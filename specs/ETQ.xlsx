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trlProps/ctrlProp1.xml" ContentType="application/vnd.ms-excel.controlpropertie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9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/Users/kennethbonnici/Projects/ETQ/specs/"/>
    </mc:Choice>
  </mc:AlternateContent>
  <xr:revisionPtr revIDLastSave="0" documentId="13_ncr:1_{2E52FC95-DF13-7F48-8CC2-2C4951769479}" xr6:coauthVersionLast="47" xr6:coauthVersionMax="47" xr10:uidLastSave="{00000000-0000-0000-0000-000000000000}"/>
  <bookViews>
    <workbookView xWindow="38400" yWindow="600" windowWidth="38400" windowHeight="21000" activeTab="3" xr2:uid="{66CD462A-5593-B541-B64D-6AAD48C341ED}"/>
  </bookViews>
  <sheets>
    <sheet name="Inputs" sheetId="3" r:id="rId1"/>
    <sheet name="Output" sheetId="6" r:id="rId2"/>
    <sheet name="RetNorm_Engine" sheetId="4" r:id="rId3"/>
    <sheet name="RetEarly_Engine" sheetId="8" r:id="rId4"/>
  </sheets>
  <definedNames>
    <definedName name="A1inc">Inputs!$B$90</definedName>
    <definedName name="A2inc">Inputs!$B$95</definedName>
    <definedName name="A3inc">Inputs!$B$100</definedName>
    <definedName name="A4inc">Inputs!$B$105</definedName>
    <definedName name="A5inc">Inputs!$B$110</definedName>
    <definedName name="AgeRange">RetNorm_Engine!$C$3:INDEX(RetNorm_Engine!$C$3:$XFD$3, COUNTA(RetNorm_Engine!$C$3:$XFD$3))</definedName>
    <definedName name="AssVar">Inputs!$A$308:$C$317</definedName>
    <definedName name="buffer">Inputs!$B$280</definedName>
    <definedName name="ChartCash_Early" localSheetId="3">RetEarly_Engine!$C$382:INDEX(RetEarly_Engine!$C$382:$XFD$382, COUNTA(RetEarly_Engine!$C$382:$XFD$382))</definedName>
    <definedName name="ChartCash_Norm">RetNorm_Engine!$C$382:INDEX(RetNorm_Engine!$C$382:$XFD$382, COUNTA(RetNorm_Engine!$C$382:$XFD$382))</definedName>
    <definedName name="ChartNW_Early" localSheetId="3">RetEarly_Engine!$C$383:INDEX(RetEarly_Engine!$C$383:$XFD$383, COUNTA(RetEarly_Engine!$C$383:$XFD$383))</definedName>
    <definedName name="ChartNW_Norm">RetNorm_Engine!$C$383:INDEX(RetNorm_Engine!$C$383:$XFD$383, COUNTA(RetNorm_Engine!$C$383:$XFD$383))</definedName>
    <definedName name="DCoth">Inputs!$B$288</definedName>
    <definedName name="DCprop">Inputs!$B$286</definedName>
    <definedName name="EndAge">Inputs!$B$255</definedName>
    <definedName name="inf">Inputs!$B$266</definedName>
    <definedName name="legacy">Inputs!$B$282</definedName>
    <definedName name="MthOff">Inputs!$B$304</definedName>
    <definedName name="MthRem">Inputs!$B$303</definedName>
    <definedName name="princ">Inputs!$B$268</definedName>
    <definedName name="ProRate">Inputs!$B$305</definedName>
    <definedName name="RetAge">Inputs!$B$20</definedName>
    <definedName name="rinc">Inputs!$B$276</definedName>
    <definedName name="sincr">Inputs!$B$274</definedName>
    <definedName name="stinc">Inputs!$B$272</definedName>
    <definedName name="stpm">Inputs!$B$11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M386" i="8" l="1"/>
  <c r="AL386" i="8"/>
  <c r="AK386" i="8"/>
  <c r="AJ386" i="8"/>
  <c r="AI386" i="8"/>
  <c r="AH386" i="8"/>
  <c r="AG386" i="8"/>
  <c r="AF386" i="8"/>
  <c r="AE386" i="8"/>
  <c r="AD386" i="8"/>
  <c r="AC386" i="8"/>
  <c r="AB386" i="8"/>
  <c r="AA386" i="8"/>
  <c r="Z386" i="8"/>
  <c r="Y386" i="8"/>
  <c r="X386" i="8"/>
  <c r="W386" i="8"/>
  <c r="V386" i="8"/>
  <c r="U386" i="8"/>
  <c r="T386" i="8"/>
  <c r="S386" i="8"/>
  <c r="R386" i="8"/>
  <c r="Q386" i="8"/>
  <c r="P386" i="8"/>
  <c r="O386" i="8"/>
  <c r="N386" i="8"/>
  <c r="M386" i="8"/>
  <c r="L386" i="8"/>
  <c r="K386" i="8"/>
  <c r="J386" i="8"/>
  <c r="I386" i="8"/>
  <c r="H386" i="8"/>
  <c r="G386" i="8"/>
  <c r="F386" i="8"/>
  <c r="E386" i="8"/>
  <c r="D386" i="8"/>
  <c r="C386" i="8"/>
  <c r="AM385" i="8"/>
  <c r="AL385" i="8"/>
  <c r="AK385" i="8"/>
  <c r="AJ385" i="8"/>
  <c r="AI385" i="8"/>
  <c r="AH385" i="8"/>
  <c r="AG385" i="8"/>
  <c r="AF385" i="8"/>
  <c r="AE385" i="8"/>
  <c r="AD385" i="8"/>
  <c r="AC385" i="8"/>
  <c r="AB385" i="8"/>
  <c r="AA385" i="8"/>
  <c r="Z385" i="8"/>
  <c r="Y385" i="8"/>
  <c r="X385" i="8"/>
  <c r="W385" i="8"/>
  <c r="V385" i="8"/>
  <c r="U385" i="8"/>
  <c r="T385" i="8"/>
  <c r="S385" i="8"/>
  <c r="R385" i="8"/>
  <c r="Q385" i="8"/>
  <c r="P385" i="8"/>
  <c r="O385" i="8"/>
  <c r="N385" i="8"/>
  <c r="M385" i="8"/>
  <c r="L385" i="8"/>
  <c r="K385" i="8"/>
  <c r="J385" i="8"/>
  <c r="I385" i="8"/>
  <c r="H385" i="8"/>
  <c r="G385" i="8"/>
  <c r="F385" i="8"/>
  <c r="E385" i="8"/>
  <c r="D385" i="8"/>
  <c r="C385" i="8"/>
  <c r="A364" i="8"/>
  <c r="A363" i="8"/>
  <c r="A362" i="8"/>
  <c r="A361" i="8"/>
  <c r="A360" i="8"/>
  <c r="A359" i="8"/>
  <c r="A353" i="8"/>
  <c r="A352" i="8"/>
  <c r="A351" i="8"/>
  <c r="A350" i="8"/>
  <c r="A349" i="8"/>
  <c r="A348" i="8"/>
  <c r="A347" i="8"/>
  <c r="A346" i="8"/>
  <c r="A338" i="8"/>
  <c r="A337" i="8"/>
  <c r="AM270" i="8"/>
  <c r="AM253" i="8"/>
  <c r="AM236" i="8"/>
  <c r="AM219" i="8"/>
  <c r="AM202" i="8"/>
  <c r="AM185" i="8"/>
  <c r="AM168" i="8"/>
  <c r="AM151" i="8"/>
  <c r="AM134" i="8"/>
  <c r="AM117" i="8"/>
  <c r="A95" i="8"/>
  <c r="A94" i="8"/>
  <c r="A93" i="8"/>
  <c r="A92" i="8"/>
  <c r="A91" i="8"/>
  <c r="A90" i="8"/>
  <c r="A358" i="8" s="1"/>
  <c r="A89" i="8"/>
  <c r="A357" i="8" s="1"/>
  <c r="A88" i="8"/>
  <c r="A356" i="8" s="1"/>
  <c r="A87" i="8"/>
  <c r="A355" i="8" s="1"/>
  <c r="A86" i="8"/>
  <c r="A354" i="8" s="1"/>
  <c r="A82" i="8"/>
  <c r="A310" i="8" s="1"/>
  <c r="A81" i="8"/>
  <c r="A309" i="8" s="1"/>
  <c r="A80" i="8"/>
  <c r="A308" i="8" s="1"/>
  <c r="A79" i="8"/>
  <c r="A307" i="8" s="1"/>
  <c r="A78" i="8"/>
  <c r="A306" i="8" s="1"/>
  <c r="A76" i="8"/>
  <c r="A75" i="8"/>
  <c r="A74" i="8"/>
  <c r="A73" i="8"/>
  <c r="A72" i="8"/>
  <c r="C65" i="8"/>
  <c r="A59" i="8"/>
  <c r="A58" i="8"/>
  <c r="A57" i="8"/>
  <c r="A55" i="8"/>
  <c r="A54" i="8"/>
  <c r="A53" i="8"/>
  <c r="AM52" i="8"/>
  <c r="AL52" i="8"/>
  <c r="AK52" i="8"/>
  <c r="AJ52" i="8"/>
  <c r="AI52" i="8"/>
  <c r="AH52" i="8"/>
  <c r="AG52" i="8"/>
  <c r="AF52" i="8"/>
  <c r="AE52" i="8"/>
  <c r="AD52" i="8"/>
  <c r="AC52" i="8"/>
  <c r="AB52" i="8"/>
  <c r="AA52" i="8"/>
  <c r="Z52" i="8"/>
  <c r="Y52" i="8"/>
  <c r="X52" i="8"/>
  <c r="W52" i="8"/>
  <c r="V52" i="8"/>
  <c r="U52" i="8"/>
  <c r="T52" i="8"/>
  <c r="S52" i="8"/>
  <c r="R52" i="8"/>
  <c r="Q52" i="8"/>
  <c r="P52" i="8"/>
  <c r="O52" i="8"/>
  <c r="N52" i="8"/>
  <c r="M52" i="8"/>
  <c r="L52" i="8"/>
  <c r="K52" i="8"/>
  <c r="J52" i="8"/>
  <c r="I52" i="8"/>
  <c r="H52" i="8"/>
  <c r="G52" i="8"/>
  <c r="F52" i="8"/>
  <c r="E52" i="8"/>
  <c r="D52" i="8"/>
  <c r="AM50" i="8"/>
  <c r="AL50" i="8"/>
  <c r="AK50" i="8"/>
  <c r="AJ50" i="8"/>
  <c r="AI50" i="8"/>
  <c r="AH50" i="8"/>
  <c r="AG50" i="8"/>
  <c r="AF50" i="8"/>
  <c r="AE50" i="8"/>
  <c r="AD50" i="8"/>
  <c r="AC50" i="8"/>
  <c r="AB50" i="8"/>
  <c r="AA50" i="8"/>
  <c r="Z50" i="8"/>
  <c r="Y50" i="8"/>
  <c r="X50" i="8"/>
  <c r="W50" i="8"/>
  <c r="V50" i="8"/>
  <c r="U50" i="8"/>
  <c r="T50" i="8"/>
  <c r="S50" i="8"/>
  <c r="R50" i="8"/>
  <c r="Q50" i="8"/>
  <c r="P50" i="8"/>
  <c r="O50" i="8"/>
  <c r="N50" i="8"/>
  <c r="M50" i="8"/>
  <c r="L50" i="8"/>
  <c r="K50" i="8"/>
  <c r="J50" i="8"/>
  <c r="I50" i="8"/>
  <c r="H50" i="8"/>
  <c r="G50" i="8"/>
  <c r="F50" i="8"/>
  <c r="E50" i="8"/>
  <c r="D50" i="8"/>
  <c r="A50" i="8"/>
  <c r="AM49" i="8"/>
  <c r="AL49" i="8"/>
  <c r="AK49" i="8"/>
  <c r="AJ49" i="8"/>
  <c r="AI49" i="8"/>
  <c r="AH49" i="8"/>
  <c r="AG49" i="8"/>
  <c r="AF49" i="8"/>
  <c r="AE49" i="8"/>
  <c r="AD49" i="8"/>
  <c r="AC49" i="8"/>
  <c r="AB49" i="8"/>
  <c r="AA49" i="8"/>
  <c r="Z49" i="8"/>
  <c r="Y49" i="8"/>
  <c r="X49" i="8"/>
  <c r="W49" i="8"/>
  <c r="V49" i="8"/>
  <c r="U49" i="8"/>
  <c r="T49" i="8"/>
  <c r="S49" i="8"/>
  <c r="R49" i="8"/>
  <c r="Q49" i="8"/>
  <c r="P49" i="8"/>
  <c r="O49" i="8"/>
  <c r="N49" i="8"/>
  <c r="M49" i="8"/>
  <c r="L49" i="8"/>
  <c r="K49" i="8"/>
  <c r="J49" i="8"/>
  <c r="I49" i="8"/>
  <c r="H49" i="8"/>
  <c r="G49" i="8"/>
  <c r="F49" i="8"/>
  <c r="E49" i="8"/>
  <c r="D49" i="8"/>
  <c r="A49" i="8"/>
  <c r="AM48" i="8"/>
  <c r="AL48" i="8"/>
  <c r="AK48" i="8"/>
  <c r="AJ48" i="8"/>
  <c r="AI48" i="8"/>
  <c r="AH48" i="8"/>
  <c r="AG48" i="8"/>
  <c r="AF48" i="8"/>
  <c r="AE48" i="8"/>
  <c r="AD48" i="8"/>
  <c r="AC48" i="8"/>
  <c r="AB48" i="8"/>
  <c r="AA48" i="8"/>
  <c r="Z48" i="8"/>
  <c r="Y48" i="8"/>
  <c r="X48" i="8"/>
  <c r="W48" i="8"/>
  <c r="V48" i="8"/>
  <c r="U48" i="8"/>
  <c r="T48" i="8"/>
  <c r="S48" i="8"/>
  <c r="R48" i="8"/>
  <c r="Q48" i="8"/>
  <c r="P48" i="8"/>
  <c r="O48" i="8"/>
  <c r="N48" i="8"/>
  <c r="M48" i="8"/>
  <c r="L48" i="8"/>
  <c r="K48" i="8"/>
  <c r="J48" i="8"/>
  <c r="I48" i="8"/>
  <c r="H48" i="8"/>
  <c r="G48" i="8"/>
  <c r="F48" i="8"/>
  <c r="E48" i="8"/>
  <c r="D48" i="8"/>
  <c r="A48" i="8"/>
  <c r="AM47" i="8"/>
  <c r="AL47" i="8"/>
  <c r="AK47" i="8"/>
  <c r="AJ47" i="8"/>
  <c r="AI47" i="8"/>
  <c r="AH47" i="8"/>
  <c r="AG47" i="8"/>
  <c r="AF47" i="8"/>
  <c r="AE47" i="8"/>
  <c r="AD47" i="8"/>
  <c r="AC47" i="8"/>
  <c r="AB47" i="8"/>
  <c r="AA47" i="8"/>
  <c r="Z47" i="8"/>
  <c r="Y47" i="8"/>
  <c r="X47" i="8"/>
  <c r="W47" i="8"/>
  <c r="V47" i="8"/>
  <c r="U47" i="8"/>
  <c r="T47" i="8"/>
  <c r="S47" i="8"/>
  <c r="R47" i="8"/>
  <c r="Q47" i="8"/>
  <c r="P47" i="8"/>
  <c r="O47" i="8"/>
  <c r="N47" i="8"/>
  <c r="M47" i="8"/>
  <c r="L47" i="8"/>
  <c r="K47" i="8"/>
  <c r="J47" i="8"/>
  <c r="I47" i="8"/>
  <c r="H47" i="8"/>
  <c r="G47" i="8"/>
  <c r="F47" i="8"/>
  <c r="E47" i="8"/>
  <c r="D47" i="8"/>
  <c r="A47" i="8"/>
  <c r="AM46" i="8"/>
  <c r="AL46" i="8"/>
  <c r="AK46" i="8"/>
  <c r="AJ46" i="8"/>
  <c r="AI46" i="8"/>
  <c r="AH46" i="8"/>
  <c r="AG46" i="8"/>
  <c r="AF46" i="8"/>
  <c r="AE46" i="8"/>
  <c r="AD46" i="8"/>
  <c r="AC46" i="8"/>
  <c r="AB46" i="8"/>
  <c r="AA46" i="8"/>
  <c r="Z46" i="8"/>
  <c r="Y46" i="8"/>
  <c r="X46" i="8"/>
  <c r="W46" i="8"/>
  <c r="V46" i="8"/>
  <c r="U46" i="8"/>
  <c r="T46" i="8"/>
  <c r="S46" i="8"/>
  <c r="R46" i="8"/>
  <c r="Q46" i="8"/>
  <c r="P46" i="8"/>
  <c r="O46" i="8"/>
  <c r="N46" i="8"/>
  <c r="M46" i="8"/>
  <c r="L46" i="8"/>
  <c r="K46" i="8"/>
  <c r="J46" i="8"/>
  <c r="I46" i="8"/>
  <c r="H46" i="8"/>
  <c r="G46" i="8"/>
  <c r="F46" i="8"/>
  <c r="E46" i="8"/>
  <c r="D46" i="8"/>
  <c r="A46" i="8"/>
  <c r="AM43" i="8"/>
  <c r="AL43" i="8"/>
  <c r="AK43" i="8"/>
  <c r="AJ43" i="8"/>
  <c r="AI43" i="8"/>
  <c r="AH43" i="8"/>
  <c r="AG43" i="8"/>
  <c r="AF43" i="8"/>
  <c r="AE43" i="8"/>
  <c r="AD43" i="8"/>
  <c r="AC43" i="8"/>
  <c r="AB43" i="8"/>
  <c r="AA43" i="8"/>
  <c r="Z43" i="8"/>
  <c r="Y43" i="8"/>
  <c r="X43" i="8"/>
  <c r="W43" i="8"/>
  <c r="V43" i="8"/>
  <c r="U43" i="8"/>
  <c r="T43" i="8"/>
  <c r="S43" i="8"/>
  <c r="R43" i="8"/>
  <c r="Q43" i="8"/>
  <c r="P43" i="8"/>
  <c r="O43" i="8"/>
  <c r="N43" i="8"/>
  <c r="M43" i="8"/>
  <c r="L43" i="8"/>
  <c r="K43" i="8"/>
  <c r="J43" i="8"/>
  <c r="I43" i="8"/>
  <c r="H43" i="8"/>
  <c r="G43" i="8"/>
  <c r="F43" i="8"/>
  <c r="E43" i="8"/>
  <c r="D43" i="8"/>
  <c r="A43" i="8"/>
  <c r="AM42" i="8"/>
  <c r="AL42" i="8"/>
  <c r="AK42" i="8"/>
  <c r="AJ42" i="8"/>
  <c r="AI42" i="8"/>
  <c r="AH42" i="8"/>
  <c r="AG42" i="8"/>
  <c r="AF42" i="8"/>
  <c r="AE42" i="8"/>
  <c r="AD42" i="8"/>
  <c r="AC42" i="8"/>
  <c r="AB42" i="8"/>
  <c r="AA42" i="8"/>
  <c r="Z42" i="8"/>
  <c r="Y42" i="8"/>
  <c r="X42" i="8"/>
  <c r="W42" i="8"/>
  <c r="V42" i="8"/>
  <c r="U42" i="8"/>
  <c r="T42" i="8"/>
  <c r="S42" i="8"/>
  <c r="R42" i="8"/>
  <c r="Q42" i="8"/>
  <c r="P42" i="8"/>
  <c r="O42" i="8"/>
  <c r="N42" i="8"/>
  <c r="M42" i="8"/>
  <c r="L42" i="8"/>
  <c r="K42" i="8"/>
  <c r="J42" i="8"/>
  <c r="I42" i="8"/>
  <c r="H42" i="8"/>
  <c r="G42" i="8"/>
  <c r="F42" i="8"/>
  <c r="E42" i="8"/>
  <c r="D42" i="8"/>
  <c r="A42" i="8"/>
  <c r="AM41" i="8"/>
  <c r="AL41" i="8"/>
  <c r="AK41" i="8"/>
  <c r="AJ41" i="8"/>
  <c r="AI41" i="8"/>
  <c r="AH41" i="8"/>
  <c r="AG41" i="8"/>
  <c r="AF41" i="8"/>
  <c r="AE41" i="8"/>
  <c r="AD41" i="8"/>
  <c r="AC41" i="8"/>
  <c r="AB41" i="8"/>
  <c r="AA41" i="8"/>
  <c r="Z41" i="8"/>
  <c r="Y41" i="8"/>
  <c r="X41" i="8"/>
  <c r="W41" i="8"/>
  <c r="V41" i="8"/>
  <c r="U41" i="8"/>
  <c r="T41" i="8"/>
  <c r="S41" i="8"/>
  <c r="R41" i="8"/>
  <c r="Q41" i="8"/>
  <c r="P41" i="8"/>
  <c r="O41" i="8"/>
  <c r="N41" i="8"/>
  <c r="M41" i="8"/>
  <c r="L41" i="8"/>
  <c r="K41" i="8"/>
  <c r="J41" i="8"/>
  <c r="I41" i="8"/>
  <c r="H41" i="8"/>
  <c r="G41" i="8"/>
  <c r="F41" i="8"/>
  <c r="E41" i="8"/>
  <c r="D41" i="8"/>
  <c r="A41" i="8"/>
  <c r="AM40" i="8"/>
  <c r="AL40" i="8"/>
  <c r="AK40" i="8"/>
  <c r="AJ40" i="8"/>
  <c r="AI40" i="8"/>
  <c r="AH40" i="8"/>
  <c r="AG40" i="8"/>
  <c r="AF40" i="8"/>
  <c r="AE40" i="8"/>
  <c r="AD40" i="8"/>
  <c r="AC40" i="8"/>
  <c r="AB40" i="8"/>
  <c r="AA40" i="8"/>
  <c r="Z40" i="8"/>
  <c r="Y40" i="8"/>
  <c r="X40" i="8"/>
  <c r="W40" i="8"/>
  <c r="V40" i="8"/>
  <c r="U40" i="8"/>
  <c r="T40" i="8"/>
  <c r="S40" i="8"/>
  <c r="R40" i="8"/>
  <c r="Q40" i="8"/>
  <c r="P40" i="8"/>
  <c r="O40" i="8"/>
  <c r="N40" i="8"/>
  <c r="M40" i="8"/>
  <c r="L40" i="8"/>
  <c r="K40" i="8"/>
  <c r="J40" i="8"/>
  <c r="I40" i="8"/>
  <c r="H40" i="8"/>
  <c r="G40" i="8"/>
  <c r="F40" i="8"/>
  <c r="E40" i="8"/>
  <c r="D40" i="8"/>
  <c r="A40" i="8"/>
  <c r="AM39" i="8"/>
  <c r="AL39" i="8"/>
  <c r="AK39" i="8"/>
  <c r="AJ39" i="8"/>
  <c r="AI39" i="8"/>
  <c r="AH39" i="8"/>
  <c r="AG39" i="8"/>
  <c r="AF39" i="8"/>
  <c r="AE39" i="8"/>
  <c r="AD39" i="8"/>
  <c r="AC39" i="8"/>
  <c r="AB39" i="8"/>
  <c r="AA39" i="8"/>
  <c r="Z39" i="8"/>
  <c r="Y39" i="8"/>
  <c r="X39" i="8"/>
  <c r="W39" i="8"/>
  <c r="V39" i="8"/>
  <c r="U39" i="8"/>
  <c r="T39" i="8"/>
  <c r="S39" i="8"/>
  <c r="R39" i="8"/>
  <c r="Q39" i="8"/>
  <c r="P39" i="8"/>
  <c r="O39" i="8"/>
  <c r="N39" i="8"/>
  <c r="M39" i="8"/>
  <c r="L39" i="8"/>
  <c r="K39" i="8"/>
  <c r="J39" i="8"/>
  <c r="I39" i="8"/>
  <c r="H39" i="8"/>
  <c r="G39" i="8"/>
  <c r="F39" i="8"/>
  <c r="E39" i="8"/>
  <c r="D39" i="8"/>
  <c r="A39" i="8"/>
  <c r="A36" i="8"/>
  <c r="A35" i="8"/>
  <c r="A34" i="8"/>
  <c r="A33" i="8"/>
  <c r="A32" i="8"/>
  <c r="A31" i="8"/>
  <c r="A30" i="8"/>
  <c r="A29" i="8"/>
  <c r="A28" i="8"/>
  <c r="A27" i="8"/>
  <c r="C24" i="8"/>
  <c r="A19" i="8"/>
  <c r="A18" i="8"/>
  <c r="A17" i="8"/>
  <c r="A12" i="8"/>
  <c r="A11" i="8"/>
  <c r="A10" i="8"/>
  <c r="A9" i="8"/>
  <c r="A8" i="8"/>
  <c r="A48" i="4"/>
  <c r="A341" i="8" l="1"/>
  <c r="A302" i="8"/>
  <c r="A342" i="8"/>
  <c r="A303" i="8"/>
  <c r="A343" i="8"/>
  <c r="A304" i="8"/>
  <c r="A333" i="8"/>
  <c r="A334" i="8"/>
  <c r="A332" i="8"/>
  <c r="A330" i="8"/>
  <c r="A340" i="8"/>
  <c r="A301" i="8"/>
  <c r="A344" i="8"/>
  <c r="A305" i="8"/>
  <c r="A331" i="8"/>
  <c r="A350" i="4"/>
  <c r="A349" i="4"/>
  <c r="A348" i="4"/>
  <c r="A347" i="4"/>
  <c r="A346" i="4"/>
  <c r="A351" i="4"/>
  <c r="AM270" i="4"/>
  <c r="AM253" i="4"/>
  <c r="AM236" i="4"/>
  <c r="AM219" i="4"/>
  <c r="AM202" i="4"/>
  <c r="AM185" i="4"/>
  <c r="AM168" i="4"/>
  <c r="AM151" i="4"/>
  <c r="AM134" i="4"/>
  <c r="C317" i="3"/>
  <c r="C316" i="3"/>
  <c r="C315" i="3"/>
  <c r="C314" i="3"/>
  <c r="C313" i="3"/>
  <c r="C312" i="3" a="1"/>
  <c r="C312" i="3" s="1"/>
  <c r="C311" i="3" a="1"/>
  <c r="C311" i="3" s="1"/>
  <c r="C310" i="3" a="1"/>
  <c r="C310" i="3" s="1"/>
  <c r="C309" i="3" a="1"/>
  <c r="C309" i="3" s="1"/>
  <c r="C308" i="3" a="1"/>
  <c r="C308" i="3" s="1"/>
  <c r="A36" i="4"/>
  <c r="A35" i="4"/>
  <c r="A34" i="4"/>
  <c r="A33" i="4"/>
  <c r="A32" i="4"/>
  <c r="G168" i="3"/>
  <c r="G169" i="3" s="1"/>
  <c r="A172" i="3"/>
  <c r="A167" i="3"/>
  <c r="A162" i="3"/>
  <c r="A157" i="3"/>
  <c r="A152" i="3"/>
  <c r="G173" i="3"/>
  <c r="G174" i="3" s="1"/>
  <c r="G163" i="3"/>
  <c r="G164" i="3" s="1"/>
  <c r="G158" i="3"/>
  <c r="G159" i="3" s="1"/>
  <c r="G153" i="3"/>
  <c r="G154" i="3" s="1"/>
  <c r="A363" i="4"/>
  <c r="A362" i="4"/>
  <c r="A361" i="4"/>
  <c r="A360" i="4"/>
  <c r="A359" i="4"/>
  <c r="A95" i="4"/>
  <c r="A94" i="4"/>
  <c r="A93" i="4"/>
  <c r="A92" i="4"/>
  <c r="A91" i="4"/>
  <c r="B317" i="3"/>
  <c r="B316" i="3"/>
  <c r="B315" i="3"/>
  <c r="B314" i="3"/>
  <c r="B313" i="3"/>
  <c r="B312" i="3"/>
  <c r="B311" i="3"/>
  <c r="B310" i="3"/>
  <c r="B309" i="3"/>
  <c r="B308" i="3"/>
  <c r="A295" i="3"/>
  <c r="A312" i="3" s="1"/>
  <c r="A294" i="3"/>
  <c r="A311" i="3" s="1"/>
  <c r="A293" i="3"/>
  <c r="A310" i="3" s="1"/>
  <c r="A292" i="3"/>
  <c r="A309" i="3" s="1"/>
  <c r="A291" i="3"/>
  <c r="A308" i="3" s="1"/>
  <c r="A72" i="4"/>
  <c r="A73" i="4"/>
  <c r="A74" i="4"/>
  <c r="A75" i="4"/>
  <c r="A76" i="4"/>
  <c r="A82" i="4"/>
  <c r="A310" i="4" s="1"/>
  <c r="A334" i="4" s="1"/>
  <c r="A81" i="4"/>
  <c r="A309" i="4" s="1"/>
  <c r="A333" i="4" s="1"/>
  <c r="A80" i="4"/>
  <c r="A308" i="4" s="1"/>
  <c r="A332" i="4" s="1"/>
  <c r="A79" i="4"/>
  <c r="A307" i="4" s="1"/>
  <c r="A331" i="4" s="1"/>
  <c r="A78" i="4"/>
  <c r="A306" i="4" s="1"/>
  <c r="A330" i="4" s="1"/>
  <c r="A300" i="3"/>
  <c r="A317" i="3" s="1"/>
  <c r="A299" i="3"/>
  <c r="A316" i="3" s="1"/>
  <c r="A298" i="3"/>
  <c r="A315" i="3" s="1"/>
  <c r="A297" i="3"/>
  <c r="A314" i="3" s="1"/>
  <c r="A296" i="3"/>
  <c r="A313" i="3" s="1"/>
  <c r="F296" i="3"/>
  <c r="F300" i="3"/>
  <c r="F299" i="3"/>
  <c r="F298" i="3"/>
  <c r="F297" i="3"/>
  <c r="AM386" i="4"/>
  <c r="AL386" i="4"/>
  <c r="AK386" i="4"/>
  <c r="AJ386" i="4"/>
  <c r="AI386" i="4"/>
  <c r="AH386" i="4"/>
  <c r="AG386" i="4"/>
  <c r="AF386" i="4"/>
  <c r="AE386" i="4"/>
  <c r="AD386" i="4"/>
  <c r="AC386" i="4"/>
  <c r="AB386" i="4"/>
  <c r="AA386" i="4"/>
  <c r="Z386" i="4"/>
  <c r="Y386" i="4"/>
  <c r="X386" i="4"/>
  <c r="W386" i="4"/>
  <c r="V386" i="4"/>
  <c r="U386" i="4"/>
  <c r="T386" i="4"/>
  <c r="S386" i="4"/>
  <c r="R386" i="4"/>
  <c r="Q386" i="4"/>
  <c r="P386" i="4"/>
  <c r="O386" i="4"/>
  <c r="N386" i="4"/>
  <c r="M386" i="4"/>
  <c r="L386" i="4"/>
  <c r="K386" i="4"/>
  <c r="J386" i="4"/>
  <c r="I386" i="4"/>
  <c r="H386" i="4"/>
  <c r="G386" i="4"/>
  <c r="F386" i="4"/>
  <c r="E386" i="4"/>
  <c r="D386" i="4"/>
  <c r="AM385" i="4"/>
  <c r="AL385" i="4"/>
  <c r="AK385" i="4"/>
  <c r="AJ385" i="4"/>
  <c r="AI385" i="4"/>
  <c r="AH385" i="4"/>
  <c r="AG385" i="4"/>
  <c r="AF385" i="4"/>
  <c r="AE385" i="4"/>
  <c r="AD385" i="4"/>
  <c r="AC385" i="4"/>
  <c r="AB385" i="4"/>
  <c r="AA385" i="4"/>
  <c r="Z385" i="4"/>
  <c r="Y385" i="4"/>
  <c r="X385" i="4"/>
  <c r="W385" i="4"/>
  <c r="V385" i="4"/>
  <c r="U385" i="4"/>
  <c r="T385" i="4"/>
  <c r="S385" i="4"/>
  <c r="R385" i="4"/>
  <c r="Q385" i="4"/>
  <c r="P385" i="4"/>
  <c r="O385" i="4"/>
  <c r="N385" i="4"/>
  <c r="M385" i="4"/>
  <c r="L385" i="4"/>
  <c r="K385" i="4"/>
  <c r="J385" i="4"/>
  <c r="I385" i="4"/>
  <c r="H385" i="4"/>
  <c r="G385" i="4"/>
  <c r="F385" i="4"/>
  <c r="E385" i="4"/>
  <c r="D385" i="4"/>
  <c r="C386" i="4"/>
  <c r="C385" i="4"/>
  <c r="B303" i="3"/>
  <c r="C34" i="8" l="1"/>
  <c r="C33" i="8"/>
  <c r="C36" i="8"/>
  <c r="C32" i="8"/>
  <c r="C35" i="8"/>
  <c r="A329" i="8"/>
  <c r="A325" i="8"/>
  <c r="A327" i="8"/>
  <c r="A328" i="8"/>
  <c r="A326" i="8"/>
  <c r="C36" i="4"/>
  <c r="C35" i="4"/>
  <c r="C34" i="4"/>
  <c r="C33" i="4"/>
  <c r="C32" i="4"/>
  <c r="B304" i="3"/>
  <c r="B305" i="3"/>
  <c r="C3" i="8"/>
  <c r="C2" i="8"/>
  <c r="C3" i="4"/>
  <c r="C2" i="4"/>
  <c r="A43" i="4"/>
  <c r="A42" i="4"/>
  <c r="A364" i="4"/>
  <c r="A353" i="4"/>
  <c r="A352" i="4"/>
  <c r="A338" i="4"/>
  <c r="A337" i="4"/>
  <c r="AM117" i="4"/>
  <c r="A90" i="4"/>
  <c r="A358" i="4" s="1"/>
  <c r="A89" i="4"/>
  <c r="A357" i="4" s="1"/>
  <c r="A88" i="4"/>
  <c r="A356" i="4" s="1"/>
  <c r="A87" i="4"/>
  <c r="A355" i="4" s="1"/>
  <c r="A86" i="4"/>
  <c r="A354" i="4" s="1"/>
  <c r="A302" i="4"/>
  <c r="A326" i="4" s="1"/>
  <c r="C65" i="4"/>
  <c r="A59" i="4"/>
  <c r="A58" i="4"/>
  <c r="A57" i="4"/>
  <c r="A55" i="4"/>
  <c r="A54" i="4"/>
  <c r="A53" i="4"/>
  <c r="D52" i="4"/>
  <c r="D50" i="4"/>
  <c r="A50" i="4"/>
  <c r="D49" i="4"/>
  <c r="A49" i="4"/>
  <c r="D48" i="4"/>
  <c r="D47" i="4"/>
  <c r="A47" i="4"/>
  <c r="D46" i="4"/>
  <c r="A46" i="4"/>
  <c r="A41" i="4"/>
  <c r="A40" i="4"/>
  <c r="A39" i="4"/>
  <c r="A31" i="4"/>
  <c r="A30" i="4"/>
  <c r="A29" i="4"/>
  <c r="A28" i="4"/>
  <c r="A27" i="4"/>
  <c r="C24" i="4"/>
  <c r="A19" i="4"/>
  <c r="A18" i="4"/>
  <c r="A17" i="4"/>
  <c r="A12" i="4"/>
  <c r="A11" i="4"/>
  <c r="A10" i="4"/>
  <c r="A9" i="4"/>
  <c r="A8" i="4"/>
  <c r="F295" i="3"/>
  <c r="F294" i="3"/>
  <c r="G148" i="3"/>
  <c r="C31" i="8" s="1"/>
  <c r="A147" i="3"/>
  <c r="G143" i="3"/>
  <c r="C30" i="8" s="1"/>
  <c r="A142" i="3"/>
  <c r="A118" i="3"/>
  <c r="A117" i="3"/>
  <c r="C377" i="8" l="1"/>
  <c r="C54" i="8"/>
  <c r="C55" i="8"/>
  <c r="C60" i="8"/>
  <c r="C83" i="8" s="1"/>
  <c r="C70" i="8"/>
  <c r="C338" i="8" s="1"/>
  <c r="C57" i="8"/>
  <c r="C61" i="8"/>
  <c r="C19" i="8"/>
  <c r="C59" i="8"/>
  <c r="C44" i="8"/>
  <c r="C20" i="8"/>
  <c r="C58" i="8"/>
  <c r="C84" i="8"/>
  <c r="C352" i="8" s="1"/>
  <c r="C18" i="8"/>
  <c r="C17" i="8"/>
  <c r="C78" i="8"/>
  <c r="C49" i="8"/>
  <c r="C79" i="8"/>
  <c r="C41" i="8"/>
  <c r="C80" i="8"/>
  <c r="C48" i="8"/>
  <c r="C47" i="8"/>
  <c r="C39" i="8"/>
  <c r="C9" i="8"/>
  <c r="D9" i="8" s="1"/>
  <c r="E9" i="8" s="1"/>
  <c r="F9" i="8" s="1"/>
  <c r="G9" i="8" s="1"/>
  <c r="H9" i="8" s="1"/>
  <c r="I9" i="8" s="1"/>
  <c r="J9" i="8" s="1"/>
  <c r="K9" i="8" s="1"/>
  <c r="L9" i="8" s="1"/>
  <c r="M9" i="8" s="1"/>
  <c r="N9" i="8" s="1"/>
  <c r="O9" i="8" s="1"/>
  <c r="P9" i="8" s="1"/>
  <c r="Q9" i="8" s="1"/>
  <c r="R9" i="8" s="1"/>
  <c r="S9" i="8" s="1"/>
  <c r="T9" i="8" s="1"/>
  <c r="U9" i="8" s="1"/>
  <c r="V9" i="8" s="1"/>
  <c r="W9" i="8" s="1"/>
  <c r="X9" i="8" s="1"/>
  <c r="Y9" i="8" s="1"/>
  <c r="Z9" i="8" s="1"/>
  <c r="AA9" i="8" s="1"/>
  <c r="AB9" i="8" s="1"/>
  <c r="AC9" i="8" s="1"/>
  <c r="AD9" i="8" s="1"/>
  <c r="AE9" i="8" s="1"/>
  <c r="AF9" i="8" s="1"/>
  <c r="AG9" i="8" s="1"/>
  <c r="AH9" i="8" s="1"/>
  <c r="AI9" i="8" s="1"/>
  <c r="AJ9" i="8" s="1"/>
  <c r="AK9" i="8" s="1"/>
  <c r="AL9" i="8" s="1"/>
  <c r="AM9" i="8" s="1"/>
  <c r="C46" i="8"/>
  <c r="C8" i="8"/>
  <c r="D8" i="8" s="1"/>
  <c r="C81" i="8"/>
  <c r="C74" i="8"/>
  <c r="C73" i="8"/>
  <c r="C52" i="8"/>
  <c r="C53" i="8" s="1"/>
  <c r="C42" i="8"/>
  <c r="C15" i="8"/>
  <c r="C82" i="8"/>
  <c r="C76" i="8"/>
  <c r="C11" i="8"/>
  <c r="D11" i="8" s="1"/>
  <c r="E11" i="8" s="1"/>
  <c r="F11" i="8" s="1"/>
  <c r="G11" i="8" s="1"/>
  <c r="H11" i="8" s="1"/>
  <c r="I11" i="8" s="1"/>
  <c r="J11" i="8" s="1"/>
  <c r="K11" i="8" s="1"/>
  <c r="L11" i="8" s="1"/>
  <c r="M11" i="8" s="1"/>
  <c r="N11" i="8" s="1"/>
  <c r="O11" i="8" s="1"/>
  <c r="P11" i="8" s="1"/>
  <c r="Q11" i="8" s="1"/>
  <c r="R11" i="8" s="1"/>
  <c r="S11" i="8" s="1"/>
  <c r="T11" i="8" s="1"/>
  <c r="U11" i="8" s="1"/>
  <c r="V11" i="8" s="1"/>
  <c r="W11" i="8" s="1"/>
  <c r="X11" i="8" s="1"/>
  <c r="Y11" i="8" s="1"/>
  <c r="Z11" i="8" s="1"/>
  <c r="AA11" i="8" s="1"/>
  <c r="AB11" i="8" s="1"/>
  <c r="AC11" i="8" s="1"/>
  <c r="AD11" i="8" s="1"/>
  <c r="AE11" i="8" s="1"/>
  <c r="AF11" i="8" s="1"/>
  <c r="AG11" i="8" s="1"/>
  <c r="AH11" i="8" s="1"/>
  <c r="AI11" i="8" s="1"/>
  <c r="AJ11" i="8" s="1"/>
  <c r="AK11" i="8" s="1"/>
  <c r="AL11" i="8" s="1"/>
  <c r="AM11" i="8" s="1"/>
  <c r="C75" i="8"/>
  <c r="C10" i="8"/>
  <c r="D10" i="8" s="1"/>
  <c r="E10" i="8" s="1"/>
  <c r="F10" i="8" s="1"/>
  <c r="G10" i="8" s="1"/>
  <c r="H10" i="8" s="1"/>
  <c r="I10" i="8" s="1"/>
  <c r="J10" i="8" s="1"/>
  <c r="K10" i="8" s="1"/>
  <c r="L10" i="8" s="1"/>
  <c r="M10" i="8" s="1"/>
  <c r="N10" i="8" s="1"/>
  <c r="O10" i="8" s="1"/>
  <c r="P10" i="8" s="1"/>
  <c r="Q10" i="8" s="1"/>
  <c r="R10" i="8" s="1"/>
  <c r="S10" i="8" s="1"/>
  <c r="T10" i="8" s="1"/>
  <c r="U10" i="8" s="1"/>
  <c r="V10" i="8" s="1"/>
  <c r="W10" i="8" s="1"/>
  <c r="X10" i="8" s="1"/>
  <c r="Y10" i="8" s="1"/>
  <c r="Z10" i="8" s="1"/>
  <c r="AA10" i="8" s="1"/>
  <c r="AB10" i="8" s="1"/>
  <c r="AC10" i="8" s="1"/>
  <c r="AD10" i="8" s="1"/>
  <c r="AE10" i="8" s="1"/>
  <c r="AF10" i="8" s="1"/>
  <c r="AG10" i="8" s="1"/>
  <c r="AH10" i="8" s="1"/>
  <c r="AI10" i="8" s="1"/>
  <c r="AJ10" i="8" s="1"/>
  <c r="AK10" i="8" s="1"/>
  <c r="AL10" i="8" s="1"/>
  <c r="AM10" i="8" s="1"/>
  <c r="C6" i="8"/>
  <c r="C5" i="8"/>
  <c r="C72" i="8"/>
  <c r="C50" i="8"/>
  <c r="C13" i="8"/>
  <c r="C14" i="8" s="1"/>
  <c r="C43" i="8"/>
  <c r="C12" i="8"/>
  <c r="D12" i="8" s="1"/>
  <c r="E12" i="8" s="1"/>
  <c r="F12" i="8" s="1"/>
  <c r="G12" i="8" s="1"/>
  <c r="H12" i="8" s="1"/>
  <c r="I12" i="8" s="1"/>
  <c r="J12" i="8" s="1"/>
  <c r="K12" i="8" s="1"/>
  <c r="L12" i="8" s="1"/>
  <c r="M12" i="8" s="1"/>
  <c r="N12" i="8" s="1"/>
  <c r="O12" i="8" s="1"/>
  <c r="P12" i="8" s="1"/>
  <c r="Q12" i="8" s="1"/>
  <c r="R12" i="8" s="1"/>
  <c r="S12" i="8" s="1"/>
  <c r="T12" i="8" s="1"/>
  <c r="U12" i="8" s="1"/>
  <c r="V12" i="8" s="1"/>
  <c r="W12" i="8" s="1"/>
  <c r="X12" i="8" s="1"/>
  <c r="Y12" i="8" s="1"/>
  <c r="Z12" i="8" s="1"/>
  <c r="AA12" i="8" s="1"/>
  <c r="AB12" i="8" s="1"/>
  <c r="AC12" i="8" s="1"/>
  <c r="AD12" i="8" s="1"/>
  <c r="AE12" i="8" s="1"/>
  <c r="AF12" i="8" s="1"/>
  <c r="AG12" i="8" s="1"/>
  <c r="AH12" i="8" s="1"/>
  <c r="AI12" i="8" s="1"/>
  <c r="AJ12" i="8" s="1"/>
  <c r="AK12" i="8" s="1"/>
  <c r="AL12" i="8" s="1"/>
  <c r="AM12" i="8" s="1"/>
  <c r="C40" i="8"/>
  <c r="AG96" i="8"/>
  <c r="AG364" i="8" s="1"/>
  <c r="U96" i="8"/>
  <c r="U364" i="8" s="1"/>
  <c r="I96" i="8"/>
  <c r="I364" i="8" s="1"/>
  <c r="AH95" i="8"/>
  <c r="V95" i="8"/>
  <c r="J95" i="8"/>
  <c r="AJ94" i="8"/>
  <c r="X94" i="8"/>
  <c r="L94" i="8"/>
  <c r="AL93" i="8"/>
  <c r="Z93" i="8"/>
  <c r="N93" i="8"/>
  <c r="AB92" i="8"/>
  <c r="P92" i="8"/>
  <c r="D92" i="8"/>
  <c r="AD91" i="8"/>
  <c r="R91" i="8"/>
  <c r="F91" i="8"/>
  <c r="AF90" i="8"/>
  <c r="T90" i="8"/>
  <c r="H90" i="8"/>
  <c r="AH89" i="8"/>
  <c r="V89" i="8"/>
  <c r="J89" i="8"/>
  <c r="AJ88" i="8"/>
  <c r="X88" i="8"/>
  <c r="L88" i="8"/>
  <c r="AL87" i="8"/>
  <c r="Z87" i="8"/>
  <c r="N87" i="8"/>
  <c r="AB86" i="8"/>
  <c r="P86" i="8"/>
  <c r="D86" i="8"/>
  <c r="AL96" i="8"/>
  <c r="AL364" i="8" s="1"/>
  <c r="Y96" i="8"/>
  <c r="Y364" i="8" s="1"/>
  <c r="L96" i="8"/>
  <c r="L364" i="8" s="1"/>
  <c r="AJ95" i="8"/>
  <c r="W95" i="8"/>
  <c r="I95" i="8"/>
  <c r="AH94" i="8"/>
  <c r="U94" i="8"/>
  <c r="H94" i="8"/>
  <c r="AG93" i="8"/>
  <c r="T93" i="8"/>
  <c r="G93" i="8"/>
  <c r="AG92" i="8"/>
  <c r="T92" i="8"/>
  <c r="G92" i="8"/>
  <c r="AF91" i="8"/>
  <c r="S91" i="8"/>
  <c r="E91" i="8"/>
  <c r="AD90" i="8"/>
  <c r="Q90" i="8"/>
  <c r="D90" i="8"/>
  <c r="AC89" i="8"/>
  <c r="P89" i="8"/>
  <c r="C89" i="8"/>
  <c r="AB88" i="8"/>
  <c r="O88" i="8"/>
  <c r="AA87" i="8"/>
  <c r="M87" i="8"/>
  <c r="AM86" i="8"/>
  <c r="Z86" i="8"/>
  <c r="M86" i="8"/>
  <c r="AI36" i="8"/>
  <c r="W36" i="8"/>
  <c r="K36" i="8"/>
  <c r="AK35" i="8"/>
  <c r="Y35" i="8"/>
  <c r="M35" i="8"/>
  <c r="AM34" i="8"/>
  <c r="AA34" i="8"/>
  <c r="O34" i="8"/>
  <c r="AC33" i="8"/>
  <c r="Q33" i="8"/>
  <c r="E33" i="8"/>
  <c r="AE32" i="8"/>
  <c r="S32" i="8"/>
  <c r="G32" i="8"/>
  <c r="AG31" i="8"/>
  <c r="U31" i="8"/>
  <c r="I31" i="8"/>
  <c r="AI30" i="8"/>
  <c r="W30" i="8"/>
  <c r="K30" i="8"/>
  <c r="AK96" i="8"/>
  <c r="AK364" i="8" s="1"/>
  <c r="X96" i="8"/>
  <c r="X364" i="8" s="1"/>
  <c r="K96" i="8"/>
  <c r="K364" i="8" s="1"/>
  <c r="AI95" i="8"/>
  <c r="U95" i="8"/>
  <c r="H95" i="8"/>
  <c r="AG94" i="8"/>
  <c r="T94" i="8"/>
  <c r="G94" i="8"/>
  <c r="AF93" i="8"/>
  <c r="S93" i="8"/>
  <c r="F93" i="8"/>
  <c r="AF92" i="8"/>
  <c r="S92" i="8"/>
  <c r="F92" i="8"/>
  <c r="AE91" i="8"/>
  <c r="Q91" i="8"/>
  <c r="D91" i="8"/>
  <c r="AC90" i="8"/>
  <c r="P90" i="8"/>
  <c r="C90" i="8"/>
  <c r="AB89" i="8"/>
  <c r="O89" i="8"/>
  <c r="AA88" i="8"/>
  <c r="N88" i="8"/>
  <c r="AM87" i="8"/>
  <c r="Y87" i="8"/>
  <c r="L87" i="8"/>
  <c r="AL86" i="8"/>
  <c r="Y86" i="8"/>
  <c r="L86" i="8"/>
  <c r="AH36" i="8"/>
  <c r="V36" i="8"/>
  <c r="J36" i="8"/>
  <c r="AJ35" i="8"/>
  <c r="X35" i="8"/>
  <c r="L35" i="8"/>
  <c r="AL34" i="8"/>
  <c r="Z34" i="8"/>
  <c r="N34" i="8"/>
  <c r="AB33" i="8"/>
  <c r="P33" i="8"/>
  <c r="D33" i="8"/>
  <c r="AD32" i="8"/>
  <c r="R32" i="8"/>
  <c r="F32" i="8"/>
  <c r="AF31" i="8"/>
  <c r="T31" i="8"/>
  <c r="H31" i="8"/>
  <c r="AH30" i="8"/>
  <c r="V30" i="8"/>
  <c r="J30" i="8"/>
  <c r="AJ96" i="8"/>
  <c r="AJ364" i="8" s="1"/>
  <c r="W96" i="8"/>
  <c r="W364" i="8" s="1"/>
  <c r="J96" i="8"/>
  <c r="J364" i="8" s="1"/>
  <c r="AG95" i="8"/>
  <c r="T95" i="8"/>
  <c r="G95" i="8"/>
  <c r="AF94" i="8"/>
  <c r="S94" i="8"/>
  <c r="F94" i="8"/>
  <c r="AE93" i="8"/>
  <c r="R93" i="8"/>
  <c r="E93" i="8"/>
  <c r="AE92" i="8"/>
  <c r="R92" i="8"/>
  <c r="E92" i="8"/>
  <c r="AC91" i="8"/>
  <c r="P91" i="8"/>
  <c r="C91" i="8"/>
  <c r="AB90" i="8"/>
  <c r="O90" i="8"/>
  <c r="AA89" i="8"/>
  <c r="N89" i="8"/>
  <c r="AM88" i="8"/>
  <c r="Z88" i="8"/>
  <c r="M88" i="8"/>
  <c r="AK87" i="8"/>
  <c r="X87" i="8"/>
  <c r="K87" i="8"/>
  <c r="AK86" i="8"/>
  <c r="X86" i="8"/>
  <c r="K86" i="8"/>
  <c r="AD96" i="8"/>
  <c r="AD364" i="8" s="1"/>
  <c r="Q96" i="8"/>
  <c r="Q364" i="8" s="1"/>
  <c r="D96" i="8"/>
  <c r="D364" i="8" s="1"/>
  <c r="AB95" i="8"/>
  <c r="O95" i="8"/>
  <c r="AA94" i="8"/>
  <c r="N94" i="8"/>
  <c r="AM93" i="8"/>
  <c r="Y93" i="8"/>
  <c r="L93" i="8"/>
  <c r="AL92" i="8"/>
  <c r="Y92" i="8"/>
  <c r="L92" i="8"/>
  <c r="AK91" i="8"/>
  <c r="X91" i="8"/>
  <c r="K91" i="8"/>
  <c r="AJ90" i="8"/>
  <c r="W90" i="8"/>
  <c r="J90" i="8"/>
  <c r="AI89" i="8"/>
  <c r="U89" i="8"/>
  <c r="H89" i="8"/>
  <c r="AG88" i="8"/>
  <c r="T88" i="8"/>
  <c r="G88" i="8"/>
  <c r="AF87" i="8"/>
  <c r="S87" i="8"/>
  <c r="F87" i="8"/>
  <c r="AF86" i="8"/>
  <c r="S86" i="8"/>
  <c r="F86" i="8"/>
  <c r="AB96" i="8"/>
  <c r="AB364" i="8" s="1"/>
  <c r="G96" i="8"/>
  <c r="G364" i="8" s="1"/>
  <c r="Z95" i="8"/>
  <c r="E95" i="8"/>
  <c r="Z94" i="8"/>
  <c r="E94" i="8"/>
  <c r="X93" i="8"/>
  <c r="D93" i="8"/>
  <c r="X92" i="8"/>
  <c r="C92" i="8"/>
  <c r="W91" i="8"/>
  <c r="V90" i="8"/>
  <c r="W89" i="8"/>
  <c r="D89" i="8"/>
  <c r="V88" i="8"/>
  <c r="D88" i="8"/>
  <c r="V87" i="8"/>
  <c r="D87" i="8"/>
  <c r="V86" i="8"/>
  <c r="C86" i="8"/>
  <c r="AG36" i="8"/>
  <c r="S36" i="8"/>
  <c r="E36" i="8"/>
  <c r="AC35" i="8"/>
  <c r="O35" i="8"/>
  <c r="AK34" i="8"/>
  <c r="W34" i="8"/>
  <c r="I34" i="8"/>
  <c r="AH33" i="8"/>
  <c r="T33" i="8"/>
  <c r="F33" i="8"/>
  <c r="AB32" i="8"/>
  <c r="N32" i="8"/>
  <c r="AL31" i="8"/>
  <c r="X31" i="8"/>
  <c r="J31" i="8"/>
  <c r="AF30" i="8"/>
  <c r="R30" i="8"/>
  <c r="D30" i="8"/>
  <c r="S33" i="8"/>
  <c r="AA32" i="8"/>
  <c r="AK31" i="8"/>
  <c r="G31" i="8"/>
  <c r="C96" i="8"/>
  <c r="C364" i="8" s="1"/>
  <c r="U93" i="8"/>
  <c r="AL91" i="8"/>
  <c r="AK90" i="8"/>
  <c r="R89" i="8"/>
  <c r="R88" i="8"/>
  <c r="AJ86" i="8"/>
  <c r="P36" i="8"/>
  <c r="J35" i="8"/>
  <c r="F34" i="8"/>
  <c r="Y32" i="8"/>
  <c r="S31" i="8"/>
  <c r="AA96" i="8"/>
  <c r="AA364" i="8" s="1"/>
  <c r="F96" i="8"/>
  <c r="F364" i="8" s="1"/>
  <c r="Y95" i="8"/>
  <c r="D95" i="8"/>
  <c r="Y94" i="8"/>
  <c r="D94" i="8"/>
  <c r="W93" i="8"/>
  <c r="C93" i="8"/>
  <c r="W92" i="8"/>
  <c r="V91" i="8"/>
  <c r="AM90" i="8"/>
  <c r="U90" i="8"/>
  <c r="AM89" i="8"/>
  <c r="T89" i="8"/>
  <c r="U88" i="8"/>
  <c r="C88" i="8"/>
  <c r="U87" i="8"/>
  <c r="C87" i="8"/>
  <c r="U86" i="8"/>
  <c r="AF36" i="8"/>
  <c r="R36" i="8"/>
  <c r="D36" i="8"/>
  <c r="AB35" i="8"/>
  <c r="N35" i="8"/>
  <c r="AJ34" i="8"/>
  <c r="V34" i="8"/>
  <c r="H34" i="8"/>
  <c r="AG33" i="8"/>
  <c r="M32" i="8"/>
  <c r="W31" i="8"/>
  <c r="AE30" i="8"/>
  <c r="Q30" i="8"/>
  <c r="S95" i="8"/>
  <c r="AM92" i="8"/>
  <c r="T91" i="8"/>
  <c r="AK89" i="8"/>
  <c r="AJ87" i="8"/>
  <c r="AD36" i="8"/>
  <c r="Z35" i="8"/>
  <c r="AH34" i="8"/>
  <c r="AM32" i="8"/>
  <c r="K32" i="8"/>
  <c r="E31" i="8"/>
  <c r="O30" i="8"/>
  <c r="Z96" i="8"/>
  <c r="Z364" i="8" s="1"/>
  <c r="E96" i="8"/>
  <c r="E364" i="8" s="1"/>
  <c r="X95" i="8"/>
  <c r="C95" i="8"/>
  <c r="W94" i="8"/>
  <c r="C94" i="8"/>
  <c r="V93" i="8"/>
  <c r="V92" i="8"/>
  <c r="AM91" i="8"/>
  <c r="U91" i="8"/>
  <c r="AL90" i="8"/>
  <c r="S90" i="8"/>
  <c r="AL89" i="8"/>
  <c r="S89" i="8"/>
  <c r="AL88" i="8"/>
  <c r="S88" i="8"/>
  <c r="T87" i="8"/>
  <c r="T86" i="8"/>
  <c r="AE36" i="8"/>
  <c r="Q36" i="8"/>
  <c r="AA35" i="8"/>
  <c r="K35" i="8"/>
  <c r="AI34" i="8"/>
  <c r="U34" i="8"/>
  <c r="G34" i="8"/>
  <c r="AF33" i="8"/>
  <c r="R33" i="8"/>
  <c r="Z32" i="8"/>
  <c r="L32" i="8"/>
  <c r="AJ31" i="8"/>
  <c r="V31" i="8"/>
  <c r="F31" i="8"/>
  <c r="AD30" i="8"/>
  <c r="P30" i="8"/>
  <c r="V96" i="8"/>
  <c r="V364" i="8" s="1"/>
  <c r="V94" i="8"/>
  <c r="U92" i="8"/>
  <c r="R90" i="8"/>
  <c r="AK88" i="8"/>
  <c r="R87" i="8"/>
  <c r="R86" i="8"/>
  <c r="T34" i="8"/>
  <c r="O33" i="8"/>
  <c r="AI31" i="8"/>
  <c r="AC30" i="8"/>
  <c r="AI96" i="8"/>
  <c r="AI364" i="8" s="1"/>
  <c r="P96" i="8"/>
  <c r="P364" i="8" s="1"/>
  <c r="AF95" i="8"/>
  <c r="N95" i="8"/>
  <c r="AI94" i="8"/>
  <c r="O94" i="8"/>
  <c r="AH93" i="8"/>
  <c r="M93" i="8"/>
  <c r="AH92" i="8"/>
  <c r="M92" i="8"/>
  <c r="AG91" i="8"/>
  <c r="L91" i="8"/>
  <c r="AE90" i="8"/>
  <c r="K90" i="8"/>
  <c r="AE89" i="8"/>
  <c r="K89" i="8"/>
  <c r="AE88" i="8"/>
  <c r="J88" i="8"/>
  <c r="AE87" i="8"/>
  <c r="J87" i="8"/>
  <c r="AE86" i="8"/>
  <c r="J86" i="8"/>
  <c r="Z36" i="8"/>
  <c r="L36" i="8"/>
  <c r="AH35" i="8"/>
  <c r="T35" i="8"/>
  <c r="F35" i="8"/>
  <c r="AD34" i="8"/>
  <c r="P34" i="8"/>
  <c r="AM33" i="8"/>
  <c r="Y33" i="8"/>
  <c r="K33" i="8"/>
  <c r="AI32" i="8"/>
  <c r="U32" i="8"/>
  <c r="E32" i="8"/>
  <c r="AC31" i="8"/>
  <c r="O31" i="8"/>
  <c r="AM30" i="8"/>
  <c r="Y30" i="8"/>
  <c r="I30" i="8"/>
  <c r="O96" i="8"/>
  <c r="O364" i="8" s="1"/>
  <c r="Q95" i="8"/>
  <c r="AC94" i="8"/>
  <c r="AI93" i="8"/>
  <c r="J92" i="8"/>
  <c r="N91" i="8"/>
  <c r="Y90" i="8"/>
  <c r="AF89" i="8"/>
  <c r="H88" i="8"/>
  <c r="P87" i="8"/>
  <c r="AA86" i="8"/>
  <c r="AA36" i="8"/>
  <c r="R35" i="8"/>
  <c r="AE34" i="8"/>
  <c r="E34" i="8"/>
  <c r="W33" i="8"/>
  <c r="AK32" i="8"/>
  <c r="O32" i="8"/>
  <c r="AA31" i="8"/>
  <c r="N30" i="8"/>
  <c r="AI35" i="8"/>
  <c r="AG32" i="8"/>
  <c r="R31" i="8"/>
  <c r="AM95" i="8"/>
  <c r="AA93" i="8"/>
  <c r="H91" i="8"/>
  <c r="AD88" i="8"/>
  <c r="X34" i="8"/>
  <c r="AF32" i="8"/>
  <c r="AG30" i="8"/>
  <c r="S34" i="8"/>
  <c r="AC32" i="8"/>
  <c r="AB30" i="8"/>
  <c r="N96" i="8"/>
  <c r="N364" i="8" s="1"/>
  <c r="P95" i="8"/>
  <c r="AB94" i="8"/>
  <c r="AD93" i="8"/>
  <c r="AK92" i="8"/>
  <c r="I92" i="8"/>
  <c r="M91" i="8"/>
  <c r="X90" i="8"/>
  <c r="AD89" i="8"/>
  <c r="AI88" i="8"/>
  <c r="F88" i="8"/>
  <c r="O87" i="8"/>
  <c r="W86" i="8"/>
  <c r="Y36" i="8"/>
  <c r="AM35" i="8"/>
  <c r="Q35" i="8"/>
  <c r="AC34" i="8"/>
  <c r="D34" i="8"/>
  <c r="V33" i="8"/>
  <c r="AJ32" i="8"/>
  <c r="J32" i="8"/>
  <c r="Z31" i="8"/>
  <c r="AL30" i="8"/>
  <c r="M30" i="8"/>
  <c r="Y34" i="8"/>
  <c r="N33" i="8"/>
  <c r="AJ30" i="8"/>
  <c r="AM96" i="8"/>
  <c r="AM364" i="8" s="1"/>
  <c r="P94" i="8"/>
  <c r="AJ91" i="8"/>
  <c r="X89" i="8"/>
  <c r="G87" i="8"/>
  <c r="AG35" i="8"/>
  <c r="M33" i="8"/>
  <c r="D32" i="8"/>
  <c r="G30" i="8"/>
  <c r="G35" i="8"/>
  <c r="AJ33" i="8"/>
  <c r="M96" i="8"/>
  <c r="M364" i="8" s="1"/>
  <c r="M95" i="8"/>
  <c r="R94" i="8"/>
  <c r="AC93" i="8"/>
  <c r="AJ92" i="8"/>
  <c r="H92" i="8"/>
  <c r="J91" i="8"/>
  <c r="N90" i="8"/>
  <c r="Z89" i="8"/>
  <c r="AH88" i="8"/>
  <c r="E88" i="8"/>
  <c r="I87" i="8"/>
  <c r="Q86" i="8"/>
  <c r="X36" i="8"/>
  <c r="AL35" i="8"/>
  <c r="P35" i="8"/>
  <c r="AB34" i="8"/>
  <c r="U33" i="8"/>
  <c r="AH32" i="8"/>
  <c r="I32" i="8"/>
  <c r="Y31" i="8"/>
  <c r="AK30" i="8"/>
  <c r="L30" i="8"/>
  <c r="L95" i="8"/>
  <c r="Q94" i="8"/>
  <c r="AB93" i="8"/>
  <c r="AI92" i="8"/>
  <c r="I91" i="8"/>
  <c r="M90" i="8"/>
  <c r="Y89" i="8"/>
  <c r="AF88" i="8"/>
  <c r="H87" i="8"/>
  <c r="O86" i="8"/>
  <c r="I35" i="8"/>
  <c r="AL33" i="8"/>
  <c r="H32" i="8"/>
  <c r="H30" i="8"/>
  <c r="K95" i="8"/>
  <c r="AD92" i="8"/>
  <c r="L90" i="8"/>
  <c r="AI87" i="8"/>
  <c r="N86" i="8"/>
  <c r="T36" i="8"/>
  <c r="AK33" i="8"/>
  <c r="Q31" i="8"/>
  <c r="AF35" i="8"/>
  <c r="L33" i="8"/>
  <c r="P31" i="8"/>
  <c r="F30" i="8"/>
  <c r="H96" i="8"/>
  <c r="H364" i="8" s="1"/>
  <c r="U36" i="8"/>
  <c r="H35" i="8"/>
  <c r="AH96" i="8"/>
  <c r="AH364" i="8" s="1"/>
  <c r="AL95" i="8"/>
  <c r="F95" i="8"/>
  <c r="M94" i="8"/>
  <c r="Q93" i="8"/>
  <c r="AC92" i="8"/>
  <c r="AI91" i="8"/>
  <c r="G91" i="8"/>
  <c r="I90" i="8"/>
  <c r="Q89" i="8"/>
  <c r="AC88" i="8"/>
  <c r="AH87" i="8"/>
  <c r="E87" i="8"/>
  <c r="I86" i="8"/>
  <c r="O36" i="8"/>
  <c r="AF96" i="8"/>
  <c r="AF364" i="8" s="1"/>
  <c r="AK95" i="8"/>
  <c r="K94" i="8"/>
  <c r="P93" i="8"/>
  <c r="AA92" i="8"/>
  <c r="AH91" i="8"/>
  <c r="G90" i="8"/>
  <c r="M89" i="8"/>
  <c r="Y88" i="8"/>
  <c r="AG87" i="8"/>
  <c r="H86" i="8"/>
  <c r="AE96" i="8"/>
  <c r="AE364" i="8" s="1"/>
  <c r="AE95" i="8"/>
  <c r="AM94" i="8"/>
  <c r="J94" i="8"/>
  <c r="O93" i="8"/>
  <c r="Z92" i="8"/>
  <c r="AB91" i="8"/>
  <c r="AI90" i="8"/>
  <c r="F90" i="8"/>
  <c r="L89" i="8"/>
  <c r="W88" i="8"/>
  <c r="AD87" i="8"/>
  <c r="AI86" i="8"/>
  <c r="G86" i="8"/>
  <c r="AL36" i="8"/>
  <c r="M36" i="8"/>
  <c r="AD35" i="8"/>
  <c r="D35" i="8"/>
  <c r="Q34" i="8"/>
  <c r="AE33" i="8"/>
  <c r="I33" i="8"/>
  <c r="W32" i="8"/>
  <c r="AM31" i="8"/>
  <c r="M31" i="8"/>
  <c r="Z30" i="8"/>
  <c r="AC96" i="8"/>
  <c r="AC364" i="8" s="1"/>
  <c r="AD95" i="8"/>
  <c r="AL94" i="8"/>
  <c r="I94" i="8"/>
  <c r="K93" i="8"/>
  <c r="Q92" i="8"/>
  <c r="AA91" i="8"/>
  <c r="AH90" i="8"/>
  <c r="E90" i="8"/>
  <c r="I89" i="8"/>
  <c r="Q88" i="8"/>
  <c r="AC87" i="8"/>
  <c r="AH86" i="8"/>
  <c r="E86" i="8"/>
  <c r="AK36" i="8"/>
  <c r="I36" i="8"/>
  <c r="W35" i="8"/>
  <c r="M34" i="8"/>
  <c r="AD33" i="8"/>
  <c r="H33" i="8"/>
  <c r="V32" i="8"/>
  <c r="AH31" i="8"/>
  <c r="L31" i="8"/>
  <c r="X30" i="8"/>
  <c r="T96" i="8"/>
  <c r="T364" i="8" s="1"/>
  <c r="AC95" i="8"/>
  <c r="AK94" i="8"/>
  <c r="J93" i="8"/>
  <c r="O92" i="8"/>
  <c r="Z91" i="8"/>
  <c r="AG90" i="8"/>
  <c r="G89" i="8"/>
  <c r="P88" i="8"/>
  <c r="AB87" i="8"/>
  <c r="AG86" i="8"/>
  <c r="AJ36" i="8"/>
  <c r="H36" i="8"/>
  <c r="AA95" i="8"/>
  <c r="K92" i="8"/>
  <c r="G36" i="8"/>
  <c r="L34" i="8"/>
  <c r="X32" i="8"/>
  <c r="AE35" i="8"/>
  <c r="P32" i="8"/>
  <c r="U35" i="8"/>
  <c r="E30" i="8"/>
  <c r="AG34" i="8"/>
  <c r="F89" i="8"/>
  <c r="D31" i="8"/>
  <c r="N92" i="8"/>
  <c r="R95" i="8"/>
  <c r="K88" i="8"/>
  <c r="F36" i="8"/>
  <c r="K34" i="8"/>
  <c r="T32" i="8"/>
  <c r="AA30" i="8"/>
  <c r="Q32" i="8"/>
  <c r="AE94" i="8"/>
  <c r="O91" i="8"/>
  <c r="T30" i="8"/>
  <c r="S30" i="8"/>
  <c r="AE31" i="8"/>
  <c r="H93" i="8"/>
  <c r="AB36" i="8"/>
  <c r="R34" i="8"/>
  <c r="Y91" i="8"/>
  <c r="I88" i="8"/>
  <c r="J34" i="8"/>
  <c r="U30" i="8"/>
  <c r="V35" i="8"/>
  <c r="AA90" i="8"/>
  <c r="Q87" i="8"/>
  <c r="AA33" i="8"/>
  <c r="AC36" i="8"/>
  <c r="K31" i="8"/>
  <c r="S96" i="8"/>
  <c r="S364" i="8" s="1"/>
  <c r="AF34" i="8"/>
  <c r="R96" i="8"/>
  <c r="R364" i="8" s="1"/>
  <c r="N36" i="8"/>
  <c r="AD94" i="8"/>
  <c r="W87" i="8"/>
  <c r="AI33" i="8"/>
  <c r="AK93" i="8"/>
  <c r="Z90" i="8"/>
  <c r="S35" i="8"/>
  <c r="Z33" i="8"/>
  <c r="AD31" i="8"/>
  <c r="AJ93" i="8"/>
  <c r="AD86" i="8"/>
  <c r="E35" i="8"/>
  <c r="X33" i="8"/>
  <c r="AB31" i="8"/>
  <c r="I93" i="8"/>
  <c r="AJ89" i="8"/>
  <c r="AC86" i="8"/>
  <c r="AM36" i="8"/>
  <c r="J33" i="8"/>
  <c r="N31" i="8"/>
  <c r="AG89" i="8"/>
  <c r="G33" i="8"/>
  <c r="E89" i="8"/>
  <c r="AL32" i="8"/>
  <c r="C84" i="4"/>
  <c r="C352" i="4" s="1"/>
  <c r="C61" i="4"/>
  <c r="C70" i="4"/>
  <c r="C338" i="4" s="1"/>
  <c r="C44" i="4"/>
  <c r="C20" i="4"/>
  <c r="C31" i="4"/>
  <c r="D34" i="4"/>
  <c r="D35" i="4"/>
  <c r="D33" i="4"/>
  <c r="D36" i="4"/>
  <c r="D32" i="4"/>
  <c r="D31" i="4"/>
  <c r="C95" i="4"/>
  <c r="C94" i="4"/>
  <c r="C93" i="4"/>
  <c r="C92" i="4"/>
  <c r="C91" i="4"/>
  <c r="C81" i="4"/>
  <c r="D81" i="4" s="1"/>
  <c r="E81" i="4" s="1"/>
  <c r="F81" i="4" s="1"/>
  <c r="G81" i="4" s="1"/>
  <c r="H81" i="4" s="1"/>
  <c r="I81" i="4" s="1"/>
  <c r="J81" i="4" s="1"/>
  <c r="K81" i="4" s="1"/>
  <c r="L81" i="4" s="1"/>
  <c r="M81" i="4" s="1"/>
  <c r="N81" i="4" s="1"/>
  <c r="O81" i="4" s="1"/>
  <c r="P81" i="4" s="1"/>
  <c r="Q81" i="4" s="1"/>
  <c r="R81" i="4" s="1"/>
  <c r="S81" i="4" s="1"/>
  <c r="T81" i="4" s="1"/>
  <c r="U81" i="4" s="1"/>
  <c r="V81" i="4" s="1"/>
  <c r="W81" i="4" s="1"/>
  <c r="X81" i="4" s="1"/>
  <c r="Y81" i="4" s="1"/>
  <c r="Z81" i="4" s="1"/>
  <c r="AA81" i="4" s="1"/>
  <c r="AB81" i="4" s="1"/>
  <c r="AC81" i="4" s="1"/>
  <c r="AD81" i="4" s="1"/>
  <c r="AE81" i="4" s="1"/>
  <c r="AF81" i="4" s="1"/>
  <c r="AG81" i="4" s="1"/>
  <c r="AH81" i="4" s="1"/>
  <c r="AI81" i="4" s="1"/>
  <c r="AJ81" i="4" s="1"/>
  <c r="AK81" i="4" s="1"/>
  <c r="AL81" i="4" s="1"/>
  <c r="AM81" i="4" s="1"/>
  <c r="C82" i="4"/>
  <c r="D82" i="4" s="1"/>
  <c r="E82" i="4" s="1"/>
  <c r="F82" i="4" s="1"/>
  <c r="G82" i="4" s="1"/>
  <c r="H82" i="4" s="1"/>
  <c r="I82" i="4" s="1"/>
  <c r="J82" i="4" s="1"/>
  <c r="K82" i="4" s="1"/>
  <c r="L82" i="4" s="1"/>
  <c r="M82" i="4" s="1"/>
  <c r="N82" i="4" s="1"/>
  <c r="O82" i="4" s="1"/>
  <c r="P82" i="4" s="1"/>
  <c r="Q82" i="4" s="1"/>
  <c r="R82" i="4" s="1"/>
  <c r="S82" i="4" s="1"/>
  <c r="T82" i="4" s="1"/>
  <c r="U82" i="4" s="1"/>
  <c r="V82" i="4" s="1"/>
  <c r="W82" i="4" s="1"/>
  <c r="X82" i="4" s="1"/>
  <c r="Y82" i="4" s="1"/>
  <c r="Z82" i="4" s="1"/>
  <c r="AA82" i="4" s="1"/>
  <c r="AB82" i="4" s="1"/>
  <c r="AC82" i="4" s="1"/>
  <c r="AD82" i="4" s="1"/>
  <c r="AE82" i="4" s="1"/>
  <c r="AF82" i="4" s="1"/>
  <c r="AG82" i="4" s="1"/>
  <c r="AH82" i="4" s="1"/>
  <c r="AI82" i="4" s="1"/>
  <c r="AJ82" i="4" s="1"/>
  <c r="AK82" i="4" s="1"/>
  <c r="AL82" i="4" s="1"/>
  <c r="AM82" i="4" s="1"/>
  <c r="C79" i="4"/>
  <c r="D79" i="4" s="1"/>
  <c r="E79" i="4" s="1"/>
  <c r="F79" i="4" s="1"/>
  <c r="G79" i="4" s="1"/>
  <c r="H79" i="4" s="1"/>
  <c r="I79" i="4" s="1"/>
  <c r="J79" i="4" s="1"/>
  <c r="K79" i="4" s="1"/>
  <c r="L79" i="4" s="1"/>
  <c r="M79" i="4" s="1"/>
  <c r="N79" i="4" s="1"/>
  <c r="O79" i="4" s="1"/>
  <c r="P79" i="4" s="1"/>
  <c r="Q79" i="4" s="1"/>
  <c r="R79" i="4" s="1"/>
  <c r="S79" i="4" s="1"/>
  <c r="T79" i="4" s="1"/>
  <c r="U79" i="4" s="1"/>
  <c r="V79" i="4" s="1"/>
  <c r="W79" i="4" s="1"/>
  <c r="X79" i="4" s="1"/>
  <c r="Y79" i="4" s="1"/>
  <c r="Z79" i="4" s="1"/>
  <c r="AA79" i="4" s="1"/>
  <c r="AB79" i="4" s="1"/>
  <c r="AC79" i="4" s="1"/>
  <c r="AD79" i="4" s="1"/>
  <c r="AE79" i="4" s="1"/>
  <c r="AF79" i="4" s="1"/>
  <c r="AG79" i="4" s="1"/>
  <c r="AH79" i="4" s="1"/>
  <c r="AI79" i="4" s="1"/>
  <c r="AJ79" i="4" s="1"/>
  <c r="AK79" i="4" s="1"/>
  <c r="AL79" i="4" s="1"/>
  <c r="AM79" i="4" s="1"/>
  <c r="C80" i="4"/>
  <c r="C78" i="4"/>
  <c r="C30" i="4"/>
  <c r="C86" i="4"/>
  <c r="C90" i="4"/>
  <c r="C96" i="4"/>
  <c r="C364" i="4" s="1"/>
  <c r="C88" i="4"/>
  <c r="C89" i="4"/>
  <c r="C87" i="4"/>
  <c r="D30" i="4"/>
  <c r="C75" i="4"/>
  <c r="D75" i="4" s="1"/>
  <c r="E75" i="4" s="1"/>
  <c r="F75" i="4" s="1"/>
  <c r="G75" i="4" s="1"/>
  <c r="H75" i="4" s="1"/>
  <c r="I75" i="4" s="1"/>
  <c r="J75" i="4" s="1"/>
  <c r="K75" i="4" s="1"/>
  <c r="L75" i="4" s="1"/>
  <c r="M75" i="4" s="1"/>
  <c r="N75" i="4" s="1"/>
  <c r="O75" i="4" s="1"/>
  <c r="P75" i="4" s="1"/>
  <c r="Q75" i="4" s="1"/>
  <c r="R75" i="4" s="1"/>
  <c r="S75" i="4" s="1"/>
  <c r="T75" i="4" s="1"/>
  <c r="U75" i="4" s="1"/>
  <c r="V75" i="4" s="1"/>
  <c r="W75" i="4" s="1"/>
  <c r="X75" i="4" s="1"/>
  <c r="Y75" i="4" s="1"/>
  <c r="Z75" i="4" s="1"/>
  <c r="AA75" i="4" s="1"/>
  <c r="AB75" i="4" s="1"/>
  <c r="AC75" i="4" s="1"/>
  <c r="AD75" i="4" s="1"/>
  <c r="AE75" i="4" s="1"/>
  <c r="AF75" i="4" s="1"/>
  <c r="AG75" i="4" s="1"/>
  <c r="AH75" i="4" s="1"/>
  <c r="AI75" i="4" s="1"/>
  <c r="AJ75" i="4" s="1"/>
  <c r="AK75" i="4" s="1"/>
  <c r="AL75" i="4" s="1"/>
  <c r="AM75" i="4" s="1"/>
  <c r="C76" i="4"/>
  <c r="D76" i="4" s="1"/>
  <c r="E76" i="4" s="1"/>
  <c r="F76" i="4" s="1"/>
  <c r="G76" i="4" s="1"/>
  <c r="H76" i="4" s="1"/>
  <c r="I76" i="4" s="1"/>
  <c r="J76" i="4" s="1"/>
  <c r="K76" i="4" s="1"/>
  <c r="L76" i="4" s="1"/>
  <c r="M76" i="4" s="1"/>
  <c r="N76" i="4" s="1"/>
  <c r="O76" i="4" s="1"/>
  <c r="P76" i="4" s="1"/>
  <c r="Q76" i="4" s="1"/>
  <c r="R76" i="4" s="1"/>
  <c r="S76" i="4" s="1"/>
  <c r="T76" i="4" s="1"/>
  <c r="U76" i="4" s="1"/>
  <c r="V76" i="4" s="1"/>
  <c r="W76" i="4" s="1"/>
  <c r="X76" i="4" s="1"/>
  <c r="Y76" i="4" s="1"/>
  <c r="Z76" i="4" s="1"/>
  <c r="AA76" i="4" s="1"/>
  <c r="AB76" i="4" s="1"/>
  <c r="AC76" i="4" s="1"/>
  <c r="AD76" i="4" s="1"/>
  <c r="AE76" i="4" s="1"/>
  <c r="AF76" i="4" s="1"/>
  <c r="AG76" i="4" s="1"/>
  <c r="AH76" i="4" s="1"/>
  <c r="AI76" i="4" s="1"/>
  <c r="AJ76" i="4" s="1"/>
  <c r="AK76" i="4" s="1"/>
  <c r="AL76" i="4" s="1"/>
  <c r="AM76" i="4" s="1"/>
  <c r="C73" i="4"/>
  <c r="D73" i="4" s="1"/>
  <c r="E73" i="4" s="1"/>
  <c r="F73" i="4" s="1"/>
  <c r="G73" i="4" s="1"/>
  <c r="H73" i="4" s="1"/>
  <c r="I73" i="4" s="1"/>
  <c r="J73" i="4" s="1"/>
  <c r="K73" i="4" s="1"/>
  <c r="L73" i="4" s="1"/>
  <c r="M73" i="4" s="1"/>
  <c r="N73" i="4" s="1"/>
  <c r="O73" i="4" s="1"/>
  <c r="P73" i="4" s="1"/>
  <c r="Q73" i="4" s="1"/>
  <c r="R73" i="4" s="1"/>
  <c r="S73" i="4" s="1"/>
  <c r="T73" i="4" s="1"/>
  <c r="U73" i="4" s="1"/>
  <c r="V73" i="4" s="1"/>
  <c r="W73" i="4" s="1"/>
  <c r="X73" i="4" s="1"/>
  <c r="Y73" i="4" s="1"/>
  <c r="Z73" i="4" s="1"/>
  <c r="AA73" i="4" s="1"/>
  <c r="AB73" i="4" s="1"/>
  <c r="AC73" i="4" s="1"/>
  <c r="AD73" i="4" s="1"/>
  <c r="AE73" i="4" s="1"/>
  <c r="AF73" i="4" s="1"/>
  <c r="AG73" i="4" s="1"/>
  <c r="AH73" i="4" s="1"/>
  <c r="AI73" i="4" s="1"/>
  <c r="AJ73" i="4" s="1"/>
  <c r="AK73" i="4" s="1"/>
  <c r="AL73" i="4" s="1"/>
  <c r="AM73" i="4" s="1"/>
  <c r="C74" i="4"/>
  <c r="D74" i="4" s="1"/>
  <c r="E74" i="4" s="1"/>
  <c r="F74" i="4" s="1"/>
  <c r="G74" i="4" s="1"/>
  <c r="H74" i="4" s="1"/>
  <c r="I74" i="4" s="1"/>
  <c r="J74" i="4" s="1"/>
  <c r="K74" i="4" s="1"/>
  <c r="L74" i="4" s="1"/>
  <c r="M74" i="4" s="1"/>
  <c r="N74" i="4" s="1"/>
  <c r="O74" i="4" s="1"/>
  <c r="P74" i="4" s="1"/>
  <c r="Q74" i="4" s="1"/>
  <c r="R74" i="4" s="1"/>
  <c r="S74" i="4" s="1"/>
  <c r="T74" i="4" s="1"/>
  <c r="U74" i="4" s="1"/>
  <c r="V74" i="4" s="1"/>
  <c r="W74" i="4" s="1"/>
  <c r="X74" i="4" s="1"/>
  <c r="Y74" i="4" s="1"/>
  <c r="Z74" i="4" s="1"/>
  <c r="AA74" i="4" s="1"/>
  <c r="AB74" i="4" s="1"/>
  <c r="AC74" i="4" s="1"/>
  <c r="AD74" i="4" s="1"/>
  <c r="AE74" i="4" s="1"/>
  <c r="AF74" i="4" s="1"/>
  <c r="AG74" i="4" s="1"/>
  <c r="AH74" i="4" s="1"/>
  <c r="AI74" i="4" s="1"/>
  <c r="AJ74" i="4" s="1"/>
  <c r="AK74" i="4" s="1"/>
  <c r="AL74" i="4" s="1"/>
  <c r="AM74" i="4" s="1"/>
  <c r="C72" i="4"/>
  <c r="D72" i="4" s="1"/>
  <c r="E72" i="4" s="1"/>
  <c r="F72" i="4" s="1"/>
  <c r="G72" i="4" s="1"/>
  <c r="H72" i="4" s="1"/>
  <c r="I72" i="4" s="1"/>
  <c r="J72" i="4" s="1"/>
  <c r="K72" i="4" s="1"/>
  <c r="L72" i="4" s="1"/>
  <c r="M72" i="4" s="1"/>
  <c r="N72" i="4" s="1"/>
  <c r="O72" i="4" s="1"/>
  <c r="P72" i="4" s="1"/>
  <c r="Q72" i="4" s="1"/>
  <c r="R72" i="4" s="1"/>
  <c r="S72" i="4" s="1"/>
  <c r="T72" i="4" s="1"/>
  <c r="U72" i="4" s="1"/>
  <c r="V72" i="4" s="1"/>
  <c r="W72" i="4" s="1"/>
  <c r="X72" i="4" s="1"/>
  <c r="Y72" i="4" s="1"/>
  <c r="Z72" i="4" s="1"/>
  <c r="AA72" i="4" s="1"/>
  <c r="AB72" i="4" s="1"/>
  <c r="AC72" i="4" s="1"/>
  <c r="AD72" i="4" s="1"/>
  <c r="AE72" i="4" s="1"/>
  <c r="AF72" i="4" s="1"/>
  <c r="AG72" i="4" s="1"/>
  <c r="AH72" i="4" s="1"/>
  <c r="AI72" i="4" s="1"/>
  <c r="AJ72" i="4" s="1"/>
  <c r="AK72" i="4" s="1"/>
  <c r="AL72" i="4" s="1"/>
  <c r="AM72" i="4" s="1"/>
  <c r="C50" i="4"/>
  <c r="C52" i="4"/>
  <c r="C48" i="4"/>
  <c r="C49" i="4"/>
  <c r="C46" i="4"/>
  <c r="C47" i="4"/>
  <c r="C43" i="4"/>
  <c r="C41" i="4"/>
  <c r="C42" i="4"/>
  <c r="C39" i="4"/>
  <c r="C40" i="4"/>
  <c r="C13" i="4"/>
  <c r="C14" i="4" s="1"/>
  <c r="C15" i="4"/>
  <c r="C11" i="4"/>
  <c r="D11" i="4" s="1"/>
  <c r="E11" i="4" s="1"/>
  <c r="F11" i="4" s="1"/>
  <c r="G11" i="4" s="1"/>
  <c r="H11" i="4" s="1"/>
  <c r="I11" i="4" s="1"/>
  <c r="J11" i="4" s="1"/>
  <c r="K11" i="4" s="1"/>
  <c r="L11" i="4" s="1"/>
  <c r="M11" i="4" s="1"/>
  <c r="N11" i="4" s="1"/>
  <c r="O11" i="4" s="1"/>
  <c r="P11" i="4" s="1"/>
  <c r="Q11" i="4" s="1"/>
  <c r="R11" i="4" s="1"/>
  <c r="S11" i="4" s="1"/>
  <c r="T11" i="4" s="1"/>
  <c r="U11" i="4" s="1"/>
  <c r="V11" i="4" s="1"/>
  <c r="W11" i="4" s="1"/>
  <c r="X11" i="4" s="1"/>
  <c r="Y11" i="4" s="1"/>
  <c r="Z11" i="4" s="1"/>
  <c r="AA11" i="4" s="1"/>
  <c r="AB11" i="4" s="1"/>
  <c r="AC11" i="4" s="1"/>
  <c r="AD11" i="4" s="1"/>
  <c r="AE11" i="4" s="1"/>
  <c r="AF11" i="4" s="1"/>
  <c r="AG11" i="4" s="1"/>
  <c r="AH11" i="4" s="1"/>
  <c r="AI11" i="4" s="1"/>
  <c r="AJ11" i="4" s="1"/>
  <c r="AK11" i="4" s="1"/>
  <c r="AL11" i="4" s="1"/>
  <c r="AM11" i="4" s="1"/>
  <c r="C12" i="4"/>
  <c r="D12" i="4" s="1"/>
  <c r="E12" i="4" s="1"/>
  <c r="F12" i="4" s="1"/>
  <c r="G12" i="4" s="1"/>
  <c r="H12" i="4" s="1"/>
  <c r="I12" i="4" s="1"/>
  <c r="J12" i="4" s="1"/>
  <c r="K12" i="4" s="1"/>
  <c r="L12" i="4" s="1"/>
  <c r="M12" i="4" s="1"/>
  <c r="N12" i="4" s="1"/>
  <c r="O12" i="4" s="1"/>
  <c r="P12" i="4" s="1"/>
  <c r="Q12" i="4" s="1"/>
  <c r="R12" i="4" s="1"/>
  <c r="S12" i="4" s="1"/>
  <c r="T12" i="4" s="1"/>
  <c r="U12" i="4" s="1"/>
  <c r="V12" i="4" s="1"/>
  <c r="W12" i="4" s="1"/>
  <c r="X12" i="4" s="1"/>
  <c r="Y12" i="4" s="1"/>
  <c r="Z12" i="4" s="1"/>
  <c r="AA12" i="4" s="1"/>
  <c r="AB12" i="4" s="1"/>
  <c r="AC12" i="4" s="1"/>
  <c r="AD12" i="4" s="1"/>
  <c r="AE12" i="4" s="1"/>
  <c r="AF12" i="4" s="1"/>
  <c r="AG12" i="4" s="1"/>
  <c r="AH12" i="4" s="1"/>
  <c r="AI12" i="4" s="1"/>
  <c r="AJ12" i="4" s="1"/>
  <c r="AK12" i="4" s="1"/>
  <c r="AL12" i="4" s="1"/>
  <c r="AM12" i="4" s="1"/>
  <c r="C8" i="4"/>
  <c r="D8" i="4" s="1"/>
  <c r="E8" i="4" s="1"/>
  <c r="F8" i="4" s="1"/>
  <c r="G8" i="4" s="1"/>
  <c r="C10" i="4"/>
  <c r="D10" i="4" s="1"/>
  <c r="E10" i="4" s="1"/>
  <c r="F10" i="4" s="1"/>
  <c r="G10" i="4" s="1"/>
  <c r="H10" i="4" s="1"/>
  <c r="I10" i="4" s="1"/>
  <c r="J10" i="4" s="1"/>
  <c r="K10" i="4" s="1"/>
  <c r="L10" i="4" s="1"/>
  <c r="M10" i="4" s="1"/>
  <c r="N10" i="4" s="1"/>
  <c r="O10" i="4" s="1"/>
  <c r="P10" i="4" s="1"/>
  <c r="Q10" i="4" s="1"/>
  <c r="R10" i="4" s="1"/>
  <c r="S10" i="4" s="1"/>
  <c r="T10" i="4" s="1"/>
  <c r="U10" i="4" s="1"/>
  <c r="V10" i="4" s="1"/>
  <c r="W10" i="4" s="1"/>
  <c r="X10" i="4" s="1"/>
  <c r="Y10" i="4" s="1"/>
  <c r="Z10" i="4" s="1"/>
  <c r="AA10" i="4" s="1"/>
  <c r="AB10" i="4" s="1"/>
  <c r="AC10" i="4" s="1"/>
  <c r="AD10" i="4" s="1"/>
  <c r="AE10" i="4" s="1"/>
  <c r="AF10" i="4" s="1"/>
  <c r="AG10" i="4" s="1"/>
  <c r="AH10" i="4" s="1"/>
  <c r="AI10" i="4" s="1"/>
  <c r="AJ10" i="4" s="1"/>
  <c r="AK10" i="4" s="1"/>
  <c r="AL10" i="4" s="1"/>
  <c r="AM10" i="4" s="1"/>
  <c r="C9" i="4"/>
  <c r="D9" i="4" s="1"/>
  <c r="E9" i="4" s="1"/>
  <c r="F9" i="4" s="1"/>
  <c r="G9" i="4" s="1"/>
  <c r="H9" i="4" s="1"/>
  <c r="I9" i="4" s="1"/>
  <c r="J9" i="4" s="1"/>
  <c r="K9" i="4" s="1"/>
  <c r="L9" i="4" s="1"/>
  <c r="M9" i="4" s="1"/>
  <c r="N9" i="4" s="1"/>
  <c r="O9" i="4" s="1"/>
  <c r="P9" i="4" s="1"/>
  <c r="Q9" i="4" s="1"/>
  <c r="R9" i="4" s="1"/>
  <c r="S9" i="4" s="1"/>
  <c r="T9" i="4" s="1"/>
  <c r="U9" i="4" s="1"/>
  <c r="V9" i="4" s="1"/>
  <c r="W9" i="4" s="1"/>
  <c r="X9" i="4" s="1"/>
  <c r="Y9" i="4" s="1"/>
  <c r="Z9" i="4" s="1"/>
  <c r="AA9" i="4" s="1"/>
  <c r="AB9" i="4" s="1"/>
  <c r="AC9" i="4" s="1"/>
  <c r="AD9" i="4" s="1"/>
  <c r="AE9" i="4" s="1"/>
  <c r="AF9" i="4" s="1"/>
  <c r="AG9" i="4" s="1"/>
  <c r="AH9" i="4" s="1"/>
  <c r="AI9" i="4" s="1"/>
  <c r="AJ9" i="4" s="1"/>
  <c r="AK9" i="4" s="1"/>
  <c r="AL9" i="4" s="1"/>
  <c r="AM9" i="4" s="1"/>
  <c r="C6" i="4"/>
  <c r="G144" i="3"/>
  <c r="G149" i="3"/>
  <c r="A340" i="4"/>
  <c r="A301" i="4"/>
  <c r="A325" i="4" s="1"/>
  <c r="A344" i="4"/>
  <c r="A305" i="4"/>
  <c r="A329" i="4" s="1"/>
  <c r="A303" i="4"/>
  <c r="A327" i="4" s="1"/>
  <c r="A342" i="4"/>
  <c r="A341" i="4"/>
  <c r="A343" i="4"/>
  <c r="A304" i="4"/>
  <c r="A328" i="4" s="1"/>
  <c r="D81" i="8" l="1"/>
  <c r="E81" i="8" s="1"/>
  <c r="F81" i="8" s="1"/>
  <c r="G81" i="8" s="1"/>
  <c r="H81" i="8" s="1"/>
  <c r="I81" i="8" s="1"/>
  <c r="J81" i="8" s="1"/>
  <c r="K81" i="8" s="1"/>
  <c r="L81" i="8" s="1"/>
  <c r="M81" i="8" s="1"/>
  <c r="N81" i="8" s="1"/>
  <c r="O81" i="8" s="1"/>
  <c r="P81" i="8" s="1"/>
  <c r="Q81" i="8" s="1"/>
  <c r="R81" i="8" s="1"/>
  <c r="S81" i="8" s="1"/>
  <c r="T81" i="8" s="1"/>
  <c r="U81" i="8" s="1"/>
  <c r="V81" i="8" s="1"/>
  <c r="W81" i="8" s="1"/>
  <c r="X81" i="8" s="1"/>
  <c r="Y81" i="8" s="1"/>
  <c r="Z81" i="8" s="1"/>
  <c r="AA81" i="8" s="1"/>
  <c r="AB81" i="8" s="1"/>
  <c r="AC81" i="8" s="1"/>
  <c r="AD81" i="8" s="1"/>
  <c r="AE81" i="8" s="1"/>
  <c r="AF81" i="8" s="1"/>
  <c r="AG81" i="8" s="1"/>
  <c r="AH81" i="8" s="1"/>
  <c r="AI81" i="8" s="1"/>
  <c r="AJ81" i="8" s="1"/>
  <c r="AK81" i="8" s="1"/>
  <c r="AL81" i="8" s="1"/>
  <c r="AM81" i="8" s="1"/>
  <c r="E8" i="8"/>
  <c r="D75" i="8"/>
  <c r="E75" i="8" s="1"/>
  <c r="F75" i="8" s="1"/>
  <c r="G75" i="8" s="1"/>
  <c r="H75" i="8" s="1"/>
  <c r="I75" i="8" s="1"/>
  <c r="J75" i="8" s="1"/>
  <c r="K75" i="8" s="1"/>
  <c r="L75" i="8" s="1"/>
  <c r="M75" i="8" s="1"/>
  <c r="N75" i="8" s="1"/>
  <c r="O75" i="8" s="1"/>
  <c r="P75" i="8" s="1"/>
  <c r="Q75" i="8" s="1"/>
  <c r="R75" i="8" s="1"/>
  <c r="S75" i="8" s="1"/>
  <c r="T75" i="8" s="1"/>
  <c r="U75" i="8" s="1"/>
  <c r="V75" i="8" s="1"/>
  <c r="W75" i="8" s="1"/>
  <c r="X75" i="8" s="1"/>
  <c r="Y75" i="8" s="1"/>
  <c r="Z75" i="8" s="1"/>
  <c r="AA75" i="8" s="1"/>
  <c r="AB75" i="8" s="1"/>
  <c r="AC75" i="8" s="1"/>
  <c r="AD75" i="8" s="1"/>
  <c r="AE75" i="8" s="1"/>
  <c r="AF75" i="8" s="1"/>
  <c r="AG75" i="8" s="1"/>
  <c r="AH75" i="8" s="1"/>
  <c r="AI75" i="8" s="1"/>
  <c r="AJ75" i="8" s="1"/>
  <c r="AK75" i="8" s="1"/>
  <c r="AL75" i="8" s="1"/>
  <c r="AM75" i="8" s="1"/>
  <c r="D76" i="8"/>
  <c r="E76" i="8" s="1"/>
  <c r="F76" i="8" s="1"/>
  <c r="G76" i="8" s="1"/>
  <c r="H76" i="8" s="1"/>
  <c r="I76" i="8" s="1"/>
  <c r="J76" i="8" s="1"/>
  <c r="K76" i="8" s="1"/>
  <c r="L76" i="8" s="1"/>
  <c r="M76" i="8" s="1"/>
  <c r="N76" i="8" s="1"/>
  <c r="O76" i="8" s="1"/>
  <c r="P76" i="8" s="1"/>
  <c r="Q76" i="8" s="1"/>
  <c r="R76" i="8" s="1"/>
  <c r="S76" i="8" s="1"/>
  <c r="T76" i="8" s="1"/>
  <c r="U76" i="8" s="1"/>
  <c r="V76" i="8" s="1"/>
  <c r="W76" i="8" s="1"/>
  <c r="X76" i="8" s="1"/>
  <c r="Y76" i="8" s="1"/>
  <c r="Z76" i="8" s="1"/>
  <c r="AA76" i="8" s="1"/>
  <c r="AB76" i="8" s="1"/>
  <c r="AC76" i="8" s="1"/>
  <c r="AD76" i="8" s="1"/>
  <c r="AE76" i="8" s="1"/>
  <c r="AF76" i="8" s="1"/>
  <c r="AG76" i="8" s="1"/>
  <c r="AH76" i="8" s="1"/>
  <c r="AI76" i="8" s="1"/>
  <c r="AJ76" i="8" s="1"/>
  <c r="AK76" i="8" s="1"/>
  <c r="AL76" i="8" s="1"/>
  <c r="AM76" i="8" s="1"/>
  <c r="D82" i="8"/>
  <c r="E82" i="8" s="1"/>
  <c r="F82" i="8" s="1"/>
  <c r="G82" i="8" s="1"/>
  <c r="H82" i="8" s="1"/>
  <c r="I82" i="8" s="1"/>
  <c r="J82" i="8" s="1"/>
  <c r="K82" i="8" s="1"/>
  <c r="L82" i="8" s="1"/>
  <c r="M82" i="8" s="1"/>
  <c r="N82" i="8" s="1"/>
  <c r="O82" i="8" s="1"/>
  <c r="P82" i="8" s="1"/>
  <c r="Q82" i="8" s="1"/>
  <c r="R82" i="8" s="1"/>
  <c r="S82" i="8" s="1"/>
  <c r="T82" i="8" s="1"/>
  <c r="U82" i="8" s="1"/>
  <c r="V82" i="8" s="1"/>
  <c r="W82" i="8" s="1"/>
  <c r="X82" i="8" s="1"/>
  <c r="Y82" i="8" s="1"/>
  <c r="Z82" i="8" s="1"/>
  <c r="AA82" i="8" s="1"/>
  <c r="AB82" i="8" s="1"/>
  <c r="AC82" i="8" s="1"/>
  <c r="AD82" i="8" s="1"/>
  <c r="AE82" i="8" s="1"/>
  <c r="AF82" i="8" s="1"/>
  <c r="AG82" i="8" s="1"/>
  <c r="AH82" i="8" s="1"/>
  <c r="AI82" i="8" s="1"/>
  <c r="AJ82" i="8" s="1"/>
  <c r="AK82" i="8" s="1"/>
  <c r="AL82" i="8" s="1"/>
  <c r="AM82" i="8" s="1"/>
  <c r="C105" i="8"/>
  <c r="D80" i="8"/>
  <c r="E80" i="8" s="1"/>
  <c r="F80" i="8" s="1"/>
  <c r="G80" i="8" s="1"/>
  <c r="H80" i="8" s="1"/>
  <c r="I80" i="8" s="1"/>
  <c r="J80" i="8" s="1"/>
  <c r="K80" i="8" s="1"/>
  <c r="L80" i="8" s="1"/>
  <c r="M80" i="8" s="1"/>
  <c r="N80" i="8" s="1"/>
  <c r="O80" i="8" s="1"/>
  <c r="P80" i="8" s="1"/>
  <c r="Q80" i="8" s="1"/>
  <c r="R80" i="8" s="1"/>
  <c r="S80" i="8" s="1"/>
  <c r="T80" i="8" s="1"/>
  <c r="U80" i="8" s="1"/>
  <c r="V80" i="8" s="1"/>
  <c r="W80" i="8" s="1"/>
  <c r="X80" i="8" s="1"/>
  <c r="Y80" i="8" s="1"/>
  <c r="Z80" i="8" s="1"/>
  <c r="AA80" i="8" s="1"/>
  <c r="AB80" i="8" s="1"/>
  <c r="AC80" i="8" s="1"/>
  <c r="AD80" i="8" s="1"/>
  <c r="AE80" i="8" s="1"/>
  <c r="AF80" i="8" s="1"/>
  <c r="AG80" i="8" s="1"/>
  <c r="AH80" i="8" s="1"/>
  <c r="AI80" i="8" s="1"/>
  <c r="AJ80" i="8" s="1"/>
  <c r="AK80" i="8" s="1"/>
  <c r="AL80" i="8" s="1"/>
  <c r="AM80" i="8" s="1"/>
  <c r="D79" i="8"/>
  <c r="E79" i="8" s="1"/>
  <c r="F79" i="8" s="1"/>
  <c r="G79" i="8" s="1"/>
  <c r="H79" i="8" s="1"/>
  <c r="I79" i="8" s="1"/>
  <c r="J79" i="8" s="1"/>
  <c r="K79" i="8" s="1"/>
  <c r="L79" i="8" s="1"/>
  <c r="M79" i="8" s="1"/>
  <c r="N79" i="8" s="1"/>
  <c r="O79" i="8" s="1"/>
  <c r="P79" i="8" s="1"/>
  <c r="Q79" i="8" s="1"/>
  <c r="R79" i="8" s="1"/>
  <c r="S79" i="8" s="1"/>
  <c r="T79" i="8" s="1"/>
  <c r="U79" i="8" s="1"/>
  <c r="V79" i="8" s="1"/>
  <c r="W79" i="8" s="1"/>
  <c r="X79" i="8" s="1"/>
  <c r="Y79" i="8" s="1"/>
  <c r="Z79" i="8" s="1"/>
  <c r="AA79" i="8" s="1"/>
  <c r="AB79" i="8" s="1"/>
  <c r="AC79" i="8" s="1"/>
  <c r="AD79" i="8" s="1"/>
  <c r="AE79" i="8" s="1"/>
  <c r="AF79" i="8" s="1"/>
  <c r="AG79" i="8" s="1"/>
  <c r="AH79" i="8" s="1"/>
  <c r="AI79" i="8" s="1"/>
  <c r="AJ79" i="8" s="1"/>
  <c r="AK79" i="8" s="1"/>
  <c r="AL79" i="8" s="1"/>
  <c r="AM79" i="8" s="1"/>
  <c r="D72" i="8"/>
  <c r="E72" i="8" s="1"/>
  <c r="F72" i="8" s="1"/>
  <c r="G72" i="8" s="1"/>
  <c r="H72" i="8" s="1"/>
  <c r="I72" i="8" s="1"/>
  <c r="J72" i="8" s="1"/>
  <c r="K72" i="8" s="1"/>
  <c r="L72" i="8" s="1"/>
  <c r="M72" i="8" s="1"/>
  <c r="N72" i="8" s="1"/>
  <c r="O72" i="8" s="1"/>
  <c r="P72" i="8" s="1"/>
  <c r="Q72" i="8" s="1"/>
  <c r="R72" i="8" s="1"/>
  <c r="S72" i="8" s="1"/>
  <c r="T72" i="8" s="1"/>
  <c r="U72" i="8" s="1"/>
  <c r="V72" i="8" s="1"/>
  <c r="W72" i="8" s="1"/>
  <c r="X72" i="8" s="1"/>
  <c r="Y72" i="8" s="1"/>
  <c r="Z72" i="8" s="1"/>
  <c r="AA72" i="8" s="1"/>
  <c r="AB72" i="8" s="1"/>
  <c r="AC72" i="8" s="1"/>
  <c r="AD72" i="8" s="1"/>
  <c r="AE72" i="8" s="1"/>
  <c r="AF72" i="8" s="1"/>
  <c r="AG72" i="8" s="1"/>
  <c r="AH72" i="8" s="1"/>
  <c r="AI72" i="8" s="1"/>
  <c r="AJ72" i="8" s="1"/>
  <c r="AK72" i="8" s="1"/>
  <c r="AL72" i="8" s="1"/>
  <c r="AM72" i="8" s="1"/>
  <c r="D73" i="8"/>
  <c r="E73" i="8" s="1"/>
  <c r="F73" i="8" s="1"/>
  <c r="G73" i="8" s="1"/>
  <c r="H73" i="8" s="1"/>
  <c r="I73" i="8" s="1"/>
  <c r="J73" i="8" s="1"/>
  <c r="K73" i="8" s="1"/>
  <c r="L73" i="8" s="1"/>
  <c r="M73" i="8" s="1"/>
  <c r="N73" i="8" s="1"/>
  <c r="O73" i="8" s="1"/>
  <c r="P73" i="8" s="1"/>
  <c r="Q73" i="8" s="1"/>
  <c r="R73" i="8" s="1"/>
  <c r="S73" i="8" s="1"/>
  <c r="T73" i="8" s="1"/>
  <c r="U73" i="8" s="1"/>
  <c r="V73" i="8" s="1"/>
  <c r="W73" i="8" s="1"/>
  <c r="X73" i="8" s="1"/>
  <c r="Y73" i="8" s="1"/>
  <c r="Z73" i="8" s="1"/>
  <c r="AA73" i="8" s="1"/>
  <c r="AB73" i="8" s="1"/>
  <c r="AC73" i="8" s="1"/>
  <c r="AD73" i="8" s="1"/>
  <c r="AE73" i="8" s="1"/>
  <c r="AF73" i="8" s="1"/>
  <c r="AG73" i="8" s="1"/>
  <c r="AH73" i="8" s="1"/>
  <c r="AI73" i="8" s="1"/>
  <c r="AJ73" i="8" s="1"/>
  <c r="AK73" i="8" s="1"/>
  <c r="AL73" i="8" s="1"/>
  <c r="AM73" i="8" s="1"/>
  <c r="D74" i="8"/>
  <c r="E74" i="8" s="1"/>
  <c r="F74" i="8" s="1"/>
  <c r="G74" i="8" s="1"/>
  <c r="H74" i="8" s="1"/>
  <c r="I74" i="8" s="1"/>
  <c r="J74" i="8" s="1"/>
  <c r="K74" i="8" s="1"/>
  <c r="L74" i="8" s="1"/>
  <c r="M74" i="8" s="1"/>
  <c r="N74" i="8" s="1"/>
  <c r="O74" i="8" s="1"/>
  <c r="P74" i="8" s="1"/>
  <c r="Q74" i="8" s="1"/>
  <c r="R74" i="8" s="1"/>
  <c r="S74" i="8" s="1"/>
  <c r="T74" i="8" s="1"/>
  <c r="U74" i="8" s="1"/>
  <c r="V74" i="8" s="1"/>
  <c r="W74" i="8" s="1"/>
  <c r="X74" i="8" s="1"/>
  <c r="Y74" i="8" s="1"/>
  <c r="Z74" i="8" s="1"/>
  <c r="AA74" i="8" s="1"/>
  <c r="AB74" i="8" s="1"/>
  <c r="AC74" i="8" s="1"/>
  <c r="AD74" i="8" s="1"/>
  <c r="AE74" i="8" s="1"/>
  <c r="AF74" i="8" s="1"/>
  <c r="AG74" i="8" s="1"/>
  <c r="AH74" i="8" s="1"/>
  <c r="AI74" i="8" s="1"/>
  <c r="AJ74" i="8" s="1"/>
  <c r="AK74" i="8" s="1"/>
  <c r="AL74" i="8" s="1"/>
  <c r="AM74" i="8" s="1"/>
  <c r="D78" i="8"/>
  <c r="E78" i="8" s="1"/>
  <c r="F78" i="8" s="1"/>
  <c r="G78" i="8" s="1"/>
  <c r="H78" i="8" s="1"/>
  <c r="I78" i="8" s="1"/>
  <c r="J78" i="8" s="1"/>
  <c r="K78" i="8" s="1"/>
  <c r="L78" i="8" s="1"/>
  <c r="M78" i="8" s="1"/>
  <c r="N78" i="8" s="1"/>
  <c r="O78" i="8" s="1"/>
  <c r="P78" i="8" s="1"/>
  <c r="Q78" i="8" s="1"/>
  <c r="R78" i="8" s="1"/>
  <c r="S78" i="8" s="1"/>
  <c r="T78" i="8" s="1"/>
  <c r="U78" i="8" s="1"/>
  <c r="V78" i="8" s="1"/>
  <c r="W78" i="8" s="1"/>
  <c r="X78" i="8" s="1"/>
  <c r="Y78" i="8" s="1"/>
  <c r="Z78" i="8" s="1"/>
  <c r="AA78" i="8" s="1"/>
  <c r="AB78" i="8" s="1"/>
  <c r="AC78" i="8" s="1"/>
  <c r="AD78" i="8" s="1"/>
  <c r="AE78" i="8" s="1"/>
  <c r="AF78" i="8" s="1"/>
  <c r="AG78" i="8" s="1"/>
  <c r="AH78" i="8" s="1"/>
  <c r="AI78" i="8" s="1"/>
  <c r="AJ78" i="8" s="1"/>
  <c r="AK78" i="8" s="1"/>
  <c r="AL78" i="8" s="1"/>
  <c r="AM78" i="8" s="1"/>
  <c r="D80" i="4"/>
  <c r="E80" i="4" s="1"/>
  <c r="F80" i="4" s="1"/>
  <c r="G80" i="4" s="1"/>
  <c r="H80" i="4" s="1"/>
  <c r="I80" i="4" s="1"/>
  <c r="J80" i="4" s="1"/>
  <c r="K80" i="4" s="1"/>
  <c r="L80" i="4" s="1"/>
  <c r="M80" i="4" s="1"/>
  <c r="N80" i="4" s="1"/>
  <c r="O80" i="4" s="1"/>
  <c r="P80" i="4" s="1"/>
  <c r="Q80" i="4" s="1"/>
  <c r="R80" i="4" s="1"/>
  <c r="S80" i="4" s="1"/>
  <c r="T80" i="4" s="1"/>
  <c r="U80" i="4" s="1"/>
  <c r="V80" i="4" s="1"/>
  <c r="W80" i="4" s="1"/>
  <c r="X80" i="4" s="1"/>
  <c r="Y80" i="4" s="1"/>
  <c r="Z80" i="4" s="1"/>
  <c r="AA80" i="4" s="1"/>
  <c r="AB80" i="4" s="1"/>
  <c r="AC80" i="4" s="1"/>
  <c r="AD80" i="4" s="1"/>
  <c r="AE80" i="4" s="1"/>
  <c r="AF80" i="4" s="1"/>
  <c r="AG80" i="4" s="1"/>
  <c r="AH80" i="4" s="1"/>
  <c r="AI80" i="4" s="1"/>
  <c r="AJ80" i="4" s="1"/>
  <c r="AK80" i="4" s="1"/>
  <c r="AL80" i="4" s="1"/>
  <c r="AM80" i="4" s="1"/>
  <c r="D78" i="4"/>
  <c r="E78" i="4" s="1"/>
  <c r="F78" i="4" s="1"/>
  <c r="G78" i="4" s="1"/>
  <c r="H78" i="4" s="1"/>
  <c r="I78" i="4" s="1"/>
  <c r="J78" i="4" s="1"/>
  <c r="K78" i="4" s="1"/>
  <c r="L78" i="4" s="1"/>
  <c r="M78" i="4" s="1"/>
  <c r="N78" i="4" s="1"/>
  <c r="O78" i="4" s="1"/>
  <c r="P78" i="4" s="1"/>
  <c r="Q78" i="4" s="1"/>
  <c r="R78" i="4" s="1"/>
  <c r="S78" i="4" s="1"/>
  <c r="T78" i="4" s="1"/>
  <c r="U78" i="4" s="1"/>
  <c r="V78" i="4" s="1"/>
  <c r="W78" i="4" s="1"/>
  <c r="X78" i="4" s="1"/>
  <c r="Y78" i="4" s="1"/>
  <c r="Z78" i="4" s="1"/>
  <c r="AA78" i="4" s="1"/>
  <c r="AB78" i="4" s="1"/>
  <c r="AC78" i="4" s="1"/>
  <c r="AD78" i="4" s="1"/>
  <c r="AE78" i="4" s="1"/>
  <c r="AF78" i="4" s="1"/>
  <c r="AG78" i="4" s="1"/>
  <c r="AH78" i="4" s="1"/>
  <c r="AI78" i="4" s="1"/>
  <c r="AJ78" i="4" s="1"/>
  <c r="AK78" i="4" s="1"/>
  <c r="AL78" i="4" s="1"/>
  <c r="AM78" i="4" s="1"/>
  <c r="H8" i="4"/>
  <c r="V3" i="6"/>
  <c r="B3" i="4"/>
  <c r="AA3" i="6"/>
  <c r="AA2" i="6"/>
  <c r="A137" i="3"/>
  <c r="A132" i="3"/>
  <c r="A127" i="3"/>
  <c r="C5" i="4" l="1"/>
  <c r="C60" i="4"/>
  <c r="C83" i="4" s="1"/>
  <c r="F8" i="8"/>
  <c r="I8" i="4"/>
  <c r="F293" i="3"/>
  <c r="F292" i="3"/>
  <c r="F291" i="3"/>
  <c r="A116" i="3"/>
  <c r="A115" i="3"/>
  <c r="A114" i="3"/>
  <c r="G133" i="3"/>
  <c r="G138" i="3"/>
  <c r="G128" i="3"/>
  <c r="D1" i="8"/>
  <c r="G16" i="3"/>
  <c r="C25" i="8" s="1"/>
  <c r="C27" i="8" l="1"/>
  <c r="AG27" i="8"/>
  <c r="AH27" i="8"/>
  <c r="I27" i="8"/>
  <c r="U27" i="8"/>
  <c r="O27" i="8"/>
  <c r="AK27" i="8"/>
  <c r="AI27" i="8"/>
  <c r="M27" i="8"/>
  <c r="T27" i="8"/>
  <c r="P27" i="8"/>
  <c r="J27" i="8"/>
  <c r="AM27" i="8"/>
  <c r="G27" i="8"/>
  <c r="AE27" i="8"/>
  <c r="X27" i="8"/>
  <c r="R27" i="8"/>
  <c r="Z27" i="8"/>
  <c r="AF27" i="8"/>
  <c r="F27" i="8"/>
  <c r="D27" i="8"/>
  <c r="AA27" i="8"/>
  <c r="H27" i="8"/>
  <c r="AC27" i="8"/>
  <c r="AD27" i="8"/>
  <c r="AL27" i="8"/>
  <c r="V27" i="8"/>
  <c r="Y27" i="8"/>
  <c r="Q27" i="8"/>
  <c r="W27" i="8"/>
  <c r="S27" i="8"/>
  <c r="L27" i="8"/>
  <c r="E27" i="8"/>
  <c r="AJ27" i="8"/>
  <c r="K27" i="8"/>
  <c r="AB27" i="8"/>
  <c r="N27" i="8"/>
  <c r="C29" i="8"/>
  <c r="AA29" i="8"/>
  <c r="AF29" i="8"/>
  <c r="AH29" i="8"/>
  <c r="V29" i="8"/>
  <c r="J29" i="8"/>
  <c r="AK29" i="8"/>
  <c r="H29" i="8"/>
  <c r="S29" i="8"/>
  <c r="Q29" i="8"/>
  <c r="Y29" i="8"/>
  <c r="AG29" i="8"/>
  <c r="U29" i="8"/>
  <c r="G29" i="8"/>
  <c r="AI29" i="8"/>
  <c r="P29" i="8"/>
  <c r="M29" i="8"/>
  <c r="E29" i="8"/>
  <c r="T29" i="8"/>
  <c r="D29" i="8"/>
  <c r="AJ29" i="8"/>
  <c r="W29" i="8"/>
  <c r="X29" i="8"/>
  <c r="I29" i="8"/>
  <c r="AL29" i="8"/>
  <c r="L29" i="8"/>
  <c r="AB29" i="8"/>
  <c r="K29" i="8"/>
  <c r="AE29" i="8"/>
  <c r="N29" i="8"/>
  <c r="F29" i="8"/>
  <c r="O29" i="8"/>
  <c r="Z29" i="8"/>
  <c r="AD29" i="8"/>
  <c r="AC29" i="8"/>
  <c r="AM29" i="8"/>
  <c r="R29" i="8"/>
  <c r="C28" i="8"/>
  <c r="AG28" i="8"/>
  <c r="T28" i="8"/>
  <c r="AI28" i="8"/>
  <c r="F28" i="8"/>
  <c r="AK28" i="8"/>
  <c r="I28" i="8"/>
  <c r="L28" i="8"/>
  <c r="AD28" i="8"/>
  <c r="G28" i="8"/>
  <c r="Y28" i="8"/>
  <c r="W28" i="8"/>
  <c r="D28" i="8"/>
  <c r="X28" i="8"/>
  <c r="N28" i="8"/>
  <c r="V28" i="8"/>
  <c r="P28" i="8"/>
  <c r="K28" i="8"/>
  <c r="AE28" i="8"/>
  <c r="AM28" i="8"/>
  <c r="AA28" i="8"/>
  <c r="AC28" i="8"/>
  <c r="O28" i="8"/>
  <c r="S28" i="8"/>
  <c r="M28" i="8"/>
  <c r="J28" i="8"/>
  <c r="E28" i="8"/>
  <c r="AF28" i="8"/>
  <c r="AL28" i="8"/>
  <c r="U28" i="8"/>
  <c r="R28" i="8"/>
  <c r="Z28" i="8"/>
  <c r="AJ28" i="8"/>
  <c r="H28" i="8"/>
  <c r="AH28" i="8"/>
  <c r="Q28" i="8"/>
  <c r="AB28" i="8"/>
  <c r="G8" i="8"/>
  <c r="C25" i="4"/>
  <c r="C292" i="3"/>
  <c r="C297" i="3"/>
  <c r="C296" i="3"/>
  <c r="C300" i="3"/>
  <c r="C298" i="3"/>
  <c r="C291" i="3"/>
  <c r="C299" i="3"/>
  <c r="C294" i="3"/>
  <c r="C295" i="3"/>
  <c r="C293" i="3"/>
  <c r="C27" i="4"/>
  <c r="D27" i="4"/>
  <c r="C29" i="4"/>
  <c r="D29" i="4"/>
  <c r="C28" i="4"/>
  <c r="D28" i="4"/>
  <c r="C53" i="4"/>
  <c r="C55" i="4"/>
  <c r="C54" i="4"/>
  <c r="C59" i="4"/>
  <c r="C58" i="4"/>
  <c r="C17" i="4"/>
  <c r="C19" i="4"/>
  <c r="C57" i="4"/>
  <c r="C18" i="4"/>
  <c r="J8" i="4"/>
  <c r="G139" i="3"/>
  <c r="G134" i="3"/>
  <c r="G129" i="3"/>
  <c r="E1" i="8"/>
  <c r="D3" i="8"/>
  <c r="D2" i="8"/>
  <c r="A251" i="8" l="1"/>
  <c r="A166" i="8"/>
  <c r="A234" i="8"/>
  <c r="A115" i="8"/>
  <c r="A149" i="8"/>
  <c r="A217" i="8"/>
  <c r="A132" i="8"/>
  <c r="A200" i="8"/>
  <c r="A268" i="8"/>
  <c r="A183" i="8"/>
  <c r="D377" i="8"/>
  <c r="D54" i="8"/>
  <c r="D55" i="8"/>
  <c r="D15" i="8"/>
  <c r="D60" i="8"/>
  <c r="D6" i="8"/>
  <c r="D13" i="8"/>
  <c r="D14" i="8" s="1"/>
  <c r="D5" i="8"/>
  <c r="D53" i="8"/>
  <c r="D83" i="8"/>
  <c r="H8" i="8"/>
  <c r="D70" i="8"/>
  <c r="D338" i="8" s="1"/>
  <c r="D57" i="8"/>
  <c r="D17" i="8"/>
  <c r="D84" i="8"/>
  <c r="D352" i="8" s="1"/>
  <c r="D44" i="8"/>
  <c r="D25" i="8"/>
  <c r="D59" i="8"/>
  <c r="D61" i="8"/>
  <c r="D20" i="8"/>
  <c r="D58" i="8"/>
  <c r="D18" i="8"/>
  <c r="D19" i="8"/>
  <c r="A234" i="4"/>
  <c r="AM239" i="4" s="1"/>
  <c r="A166" i="4"/>
  <c r="AM171" i="4" s="1"/>
  <c r="A217" i="4"/>
  <c r="AM222" i="4" s="1"/>
  <c r="A200" i="4"/>
  <c r="AM205" i="4" s="1"/>
  <c r="A115" i="4"/>
  <c r="AM120" i="4" s="1"/>
  <c r="A183" i="4"/>
  <c r="AM188" i="4" s="1"/>
  <c r="A149" i="4"/>
  <c r="AM154" i="4" s="1"/>
  <c r="A268" i="4"/>
  <c r="AM273" i="4" s="1"/>
  <c r="A132" i="4"/>
  <c r="AM137" i="4" s="1"/>
  <c r="A251" i="4"/>
  <c r="AM256" i="4" s="1"/>
  <c r="K8" i="4"/>
  <c r="F1" i="8"/>
  <c r="E3" i="8"/>
  <c r="E2" i="8"/>
  <c r="G178" i="3"/>
  <c r="D1" i="4"/>
  <c r="B191" i="8" l="1"/>
  <c r="AM188" i="8"/>
  <c r="C184" i="8"/>
  <c r="AM273" i="8"/>
  <c r="B276" i="8"/>
  <c r="C269" i="8"/>
  <c r="B208" i="8"/>
  <c r="AM205" i="8"/>
  <c r="C201" i="8"/>
  <c r="B140" i="8"/>
  <c r="AM137" i="8"/>
  <c r="C133" i="8"/>
  <c r="B225" i="8"/>
  <c r="AM222" i="8"/>
  <c r="C218" i="8"/>
  <c r="B157" i="8"/>
  <c r="AM154" i="8"/>
  <c r="C150" i="8"/>
  <c r="B123" i="8"/>
  <c r="AM120" i="8"/>
  <c r="C116" i="8"/>
  <c r="B242" i="8"/>
  <c r="AM239" i="8"/>
  <c r="C235" i="8"/>
  <c r="B174" i="8"/>
  <c r="AM171" i="8"/>
  <c r="C167" i="8"/>
  <c r="B259" i="8"/>
  <c r="AM256" i="8"/>
  <c r="C252" i="8"/>
  <c r="C37" i="8"/>
  <c r="C62" i="8" s="1"/>
  <c r="C21" i="8" s="1"/>
  <c r="C22" i="8" s="1"/>
  <c r="C64" i="8" s="1"/>
  <c r="C66" i="8" s="1"/>
  <c r="W37" i="8"/>
  <c r="S37" i="8"/>
  <c r="P37" i="8"/>
  <c r="Z37" i="8"/>
  <c r="K37" i="8"/>
  <c r="M37" i="8"/>
  <c r="AH37" i="8"/>
  <c r="AM37" i="8"/>
  <c r="R37" i="8"/>
  <c r="V37" i="8"/>
  <c r="AL37" i="8"/>
  <c r="D37" i="8"/>
  <c r="D62" i="8" s="1"/>
  <c r="F37" i="8"/>
  <c r="AB37" i="8"/>
  <c r="X37" i="8"/>
  <c r="AC37" i="8"/>
  <c r="AA37" i="8"/>
  <c r="AD37" i="8"/>
  <c r="N37" i="8"/>
  <c r="AI37" i="8"/>
  <c r="T37" i="8"/>
  <c r="J37" i="8"/>
  <c r="E37" i="8"/>
  <c r="H37" i="8"/>
  <c r="AG37" i="8"/>
  <c r="G37" i="8"/>
  <c r="U37" i="8"/>
  <c r="AE37" i="8"/>
  <c r="AK37" i="8"/>
  <c r="I37" i="8"/>
  <c r="Q37" i="8"/>
  <c r="AJ37" i="8"/>
  <c r="Y37" i="8"/>
  <c r="O37" i="8"/>
  <c r="L37" i="8"/>
  <c r="AF37" i="8"/>
  <c r="E377" i="8"/>
  <c r="E13" i="8"/>
  <c r="E14" i="8" s="1"/>
  <c r="E54" i="8"/>
  <c r="E53" i="8"/>
  <c r="E6" i="8"/>
  <c r="E5" i="8"/>
  <c r="E55" i="8"/>
  <c r="E60" i="8"/>
  <c r="E83" i="8" s="1"/>
  <c r="E15" i="8"/>
  <c r="I8" i="8"/>
  <c r="E59" i="8"/>
  <c r="E25" i="8"/>
  <c r="E61" i="8"/>
  <c r="E44" i="8"/>
  <c r="E57" i="8"/>
  <c r="E20" i="8"/>
  <c r="E70" i="8"/>
  <c r="E338" i="8" s="1"/>
  <c r="E58" i="8"/>
  <c r="E18" i="8"/>
  <c r="E19" i="8"/>
  <c r="E17" i="8"/>
  <c r="E84" i="8"/>
  <c r="E352" i="8" s="1"/>
  <c r="E35" i="4"/>
  <c r="E32" i="4"/>
  <c r="E34" i="4"/>
  <c r="E33" i="4"/>
  <c r="E36" i="4"/>
  <c r="E31" i="4"/>
  <c r="D94" i="4"/>
  <c r="D87" i="4"/>
  <c r="D92" i="4"/>
  <c r="D88" i="4"/>
  <c r="D86" i="4"/>
  <c r="D95" i="4"/>
  <c r="D91" i="4"/>
  <c r="D93" i="4"/>
  <c r="D96" i="4"/>
  <c r="D364" i="4" s="1"/>
  <c r="D90" i="4"/>
  <c r="D89" i="4"/>
  <c r="B191" i="4"/>
  <c r="C184" i="4"/>
  <c r="B259" i="4"/>
  <c r="C252" i="4"/>
  <c r="B208" i="4"/>
  <c r="C201" i="4"/>
  <c r="B225" i="4"/>
  <c r="C218" i="4"/>
  <c r="B242" i="4"/>
  <c r="C235" i="4"/>
  <c r="E30" i="4"/>
  <c r="E27" i="4"/>
  <c r="E29" i="4"/>
  <c r="E28" i="4"/>
  <c r="C37" i="4"/>
  <c r="D37" i="4"/>
  <c r="E37" i="4"/>
  <c r="B140" i="4"/>
  <c r="C133" i="4"/>
  <c r="B157" i="4"/>
  <c r="C150" i="4"/>
  <c r="B276" i="4"/>
  <c r="C269" i="4"/>
  <c r="B174" i="4"/>
  <c r="C167" i="4"/>
  <c r="B123" i="4"/>
  <c r="C116" i="4"/>
  <c r="E52" i="4"/>
  <c r="E50" i="4"/>
  <c r="D43" i="4"/>
  <c r="D39" i="4"/>
  <c r="E49" i="4"/>
  <c r="D40" i="4"/>
  <c r="D42" i="4"/>
  <c r="E48" i="4"/>
  <c r="D41" i="4"/>
  <c r="E47" i="4"/>
  <c r="E46" i="4"/>
  <c r="L8" i="4"/>
  <c r="G1" i="8"/>
  <c r="C377" i="4"/>
  <c r="F3" i="8"/>
  <c r="F2" i="8"/>
  <c r="G179" i="3"/>
  <c r="G17" i="3"/>
  <c r="D2" i="4"/>
  <c r="E1" i="4"/>
  <c r="D3" i="4"/>
  <c r="D60" i="4" s="1"/>
  <c r="C241" i="8" l="1"/>
  <c r="C240" i="8"/>
  <c r="C139" i="8"/>
  <c r="C138" i="8"/>
  <c r="A290" i="8"/>
  <c r="A314" i="8"/>
  <c r="C206" i="8"/>
  <c r="C207" i="8"/>
  <c r="C69" i="8"/>
  <c r="D65" i="8"/>
  <c r="D21" i="8" s="1"/>
  <c r="D22" i="8" s="1"/>
  <c r="D64" i="8" s="1"/>
  <c r="D66" i="8" s="1"/>
  <c r="A313" i="8"/>
  <c r="A289" i="8"/>
  <c r="A318" i="8"/>
  <c r="A294" i="8"/>
  <c r="A298" i="8"/>
  <c r="A322" i="8"/>
  <c r="A321" i="8"/>
  <c r="A297" i="8"/>
  <c r="A315" i="8"/>
  <c r="A291" i="8"/>
  <c r="C274" i="8"/>
  <c r="C275" i="8"/>
  <c r="C173" i="8"/>
  <c r="C172" i="8"/>
  <c r="C224" i="8"/>
  <c r="C223" i="8"/>
  <c r="C190" i="8"/>
  <c r="C189" i="8"/>
  <c r="A320" i="8"/>
  <c r="A296" i="8"/>
  <c r="C156" i="8"/>
  <c r="C155" i="8"/>
  <c r="C122" i="8"/>
  <c r="C121" i="8"/>
  <c r="C257" i="8"/>
  <c r="C258" i="8"/>
  <c r="A292" i="8"/>
  <c r="A316" i="8"/>
  <c r="A319" i="8"/>
  <c r="A295" i="8"/>
  <c r="A317" i="8"/>
  <c r="A293" i="8"/>
  <c r="F13" i="8"/>
  <c r="F14" i="8" s="1"/>
  <c r="F54" i="8"/>
  <c r="F55" i="8"/>
  <c r="F6" i="8"/>
  <c r="F5" i="8"/>
  <c r="F15" i="8"/>
  <c r="F60" i="8"/>
  <c r="F83" i="8" s="1"/>
  <c r="F377" i="8"/>
  <c r="F53" i="8"/>
  <c r="D83" i="4"/>
  <c r="F84" i="8"/>
  <c r="F352" i="8" s="1"/>
  <c r="F61" i="8"/>
  <c r="F58" i="8"/>
  <c r="F59" i="8"/>
  <c r="F44" i="8"/>
  <c r="F57" i="8"/>
  <c r="F25" i="8"/>
  <c r="F20" i="8"/>
  <c r="F19" i="8"/>
  <c r="F17" i="8"/>
  <c r="F70" i="8"/>
  <c r="F338" i="8" s="1"/>
  <c r="F18" i="8"/>
  <c r="J8" i="8"/>
  <c r="E62" i="8"/>
  <c r="D84" i="4"/>
  <c r="D352" i="4" s="1"/>
  <c r="D61" i="4"/>
  <c r="D70" i="4"/>
  <c r="D338" i="4" s="1"/>
  <c r="D44" i="4"/>
  <c r="D25" i="4"/>
  <c r="D20" i="4"/>
  <c r="C62" i="4"/>
  <c r="F33" i="4"/>
  <c r="F36" i="4"/>
  <c r="F35" i="4"/>
  <c r="F34" i="4"/>
  <c r="F31" i="4"/>
  <c r="F32" i="4"/>
  <c r="E94" i="4"/>
  <c r="E96" i="4"/>
  <c r="E364" i="4" s="1"/>
  <c r="E89" i="4"/>
  <c r="E90" i="4"/>
  <c r="E92" i="4"/>
  <c r="E87" i="4"/>
  <c r="E91" i="4"/>
  <c r="E86" i="4"/>
  <c r="E88" i="4"/>
  <c r="E95" i="4"/>
  <c r="E93" i="4"/>
  <c r="A295" i="4"/>
  <c r="A319" i="4"/>
  <c r="C241" i="4"/>
  <c r="C240" i="4"/>
  <c r="A296" i="4"/>
  <c r="A320" i="4"/>
  <c r="C223" i="4"/>
  <c r="C224" i="4"/>
  <c r="A294" i="4"/>
  <c r="A318" i="4"/>
  <c r="C257" i="4"/>
  <c r="C258" i="4"/>
  <c r="A297" i="4"/>
  <c r="A321" i="4"/>
  <c r="C189" i="4"/>
  <c r="C190" i="4"/>
  <c r="C207" i="4"/>
  <c r="C206" i="4"/>
  <c r="A293" i="4"/>
  <c r="A317" i="4"/>
  <c r="A298" i="4"/>
  <c r="A322" i="4"/>
  <c r="F30" i="4"/>
  <c r="F28" i="4"/>
  <c r="F29" i="4"/>
  <c r="F27" i="4"/>
  <c r="F37" i="4"/>
  <c r="C138" i="4"/>
  <c r="C139" i="4"/>
  <c r="A314" i="4"/>
  <c r="A290" i="4"/>
  <c r="C121" i="4"/>
  <c r="C122" i="4"/>
  <c r="A289" i="4"/>
  <c r="A313" i="4"/>
  <c r="C173" i="4"/>
  <c r="C172" i="4"/>
  <c r="A292" i="4"/>
  <c r="A316" i="4"/>
  <c r="C274" i="4"/>
  <c r="C275" i="4"/>
  <c r="C156" i="4"/>
  <c r="C155" i="4"/>
  <c r="A315" i="4"/>
  <c r="A291" i="4"/>
  <c r="D55" i="4"/>
  <c r="D15" i="4"/>
  <c r="D13" i="4"/>
  <c r="D14" i="4" s="1"/>
  <c r="D5" i="4"/>
  <c r="D6" i="4"/>
  <c r="D54" i="4"/>
  <c r="D53" i="4"/>
  <c r="F52" i="4"/>
  <c r="F50" i="4"/>
  <c r="E42" i="4"/>
  <c r="E43" i="4"/>
  <c r="E41" i="4"/>
  <c r="F49" i="4"/>
  <c r="F48" i="4"/>
  <c r="F47" i="4"/>
  <c r="F46" i="4"/>
  <c r="E39" i="4"/>
  <c r="E40" i="4"/>
  <c r="M8" i="4"/>
  <c r="D18" i="4"/>
  <c r="D58" i="4"/>
  <c r="D19" i="4"/>
  <c r="D59" i="4"/>
  <c r="D57" i="4"/>
  <c r="D17" i="4"/>
  <c r="H1" i="8"/>
  <c r="G2" i="8"/>
  <c r="G3" i="8"/>
  <c r="D377" i="4"/>
  <c r="E2" i="4"/>
  <c r="E3" i="4"/>
  <c r="E60" i="4" s="1"/>
  <c r="F1" i="4"/>
  <c r="E65" i="8" l="1"/>
  <c r="D69" i="8"/>
  <c r="C99" i="8"/>
  <c r="C100" i="8" s="1"/>
  <c r="C106" i="8" s="1"/>
  <c r="C370" i="8"/>
  <c r="C379" i="8" s="1"/>
  <c r="C97" i="8"/>
  <c r="C371" i="8" s="1"/>
  <c r="C380" i="8" s="1"/>
  <c r="G13" i="8"/>
  <c r="G14" i="8" s="1"/>
  <c r="G54" i="8"/>
  <c r="G5" i="8"/>
  <c r="G15" i="8"/>
  <c r="G60" i="8"/>
  <c r="G83" i="8" s="1"/>
  <c r="G55" i="8"/>
  <c r="G6" i="8"/>
  <c r="G377" i="8"/>
  <c r="G53" i="8"/>
  <c r="E84" i="4"/>
  <c r="E352" i="4" s="1"/>
  <c r="G25" i="8"/>
  <c r="G58" i="8"/>
  <c r="G19" i="8"/>
  <c r="G59" i="8"/>
  <c r="G44" i="8"/>
  <c r="G18" i="8"/>
  <c r="G17" i="8"/>
  <c r="G61" i="8"/>
  <c r="G84" i="8"/>
  <c r="G352" i="8" s="1"/>
  <c r="G70" i="8"/>
  <c r="G338" i="8" s="1"/>
  <c r="G20" i="8"/>
  <c r="G57" i="8"/>
  <c r="F62" i="8"/>
  <c r="D370" i="8"/>
  <c r="D379" i="8" s="1"/>
  <c r="D99" i="8"/>
  <c r="D97" i="8"/>
  <c r="D371" i="8" s="1"/>
  <c r="D380" i="8" s="1"/>
  <c r="E21" i="8"/>
  <c r="E22" i="8" s="1"/>
  <c r="E64" i="8" s="1"/>
  <c r="E66" i="8" s="1"/>
  <c r="K8" i="8"/>
  <c r="E83" i="4"/>
  <c r="C21" i="4"/>
  <c r="C22" i="4" s="1"/>
  <c r="C64" i="4" s="1"/>
  <c r="C66" i="4" s="1"/>
  <c r="D65" i="4" s="1"/>
  <c r="E61" i="4"/>
  <c r="E70" i="4"/>
  <c r="E338" i="4" s="1"/>
  <c r="E44" i="4"/>
  <c r="E25" i="4"/>
  <c r="E20" i="4"/>
  <c r="D62" i="4"/>
  <c r="G33" i="4"/>
  <c r="G32" i="4"/>
  <c r="G31" i="4"/>
  <c r="G35" i="4"/>
  <c r="G34" i="4"/>
  <c r="G36" i="4"/>
  <c r="F95" i="4"/>
  <c r="F86" i="4"/>
  <c r="F87" i="4"/>
  <c r="F89" i="4"/>
  <c r="F88" i="4"/>
  <c r="F93" i="4"/>
  <c r="F96" i="4"/>
  <c r="F364" i="4" s="1"/>
  <c r="F90" i="4"/>
  <c r="F94" i="4"/>
  <c r="F92" i="4"/>
  <c r="F91" i="4"/>
  <c r="G30" i="4"/>
  <c r="G28" i="4"/>
  <c r="G27" i="4"/>
  <c r="G29" i="4"/>
  <c r="G37" i="4"/>
  <c r="H3" i="8"/>
  <c r="G50" i="4"/>
  <c r="F43" i="4"/>
  <c r="G49" i="4"/>
  <c r="F41" i="4"/>
  <c r="G47" i="4"/>
  <c r="G46" i="4"/>
  <c r="F42" i="4"/>
  <c r="G52" i="4"/>
  <c r="G48" i="4"/>
  <c r="F40" i="4"/>
  <c r="F39" i="4"/>
  <c r="E55" i="4"/>
  <c r="E54" i="4"/>
  <c r="E13" i="4"/>
  <c r="E14" i="4" s="1"/>
  <c r="E15" i="4"/>
  <c r="E6" i="4"/>
  <c r="E5" i="4"/>
  <c r="E53" i="4"/>
  <c r="E58" i="4"/>
  <c r="E57" i="4"/>
  <c r="E19" i="4"/>
  <c r="E18" i="4"/>
  <c r="E59" i="4"/>
  <c r="E17" i="4"/>
  <c r="N8" i="4"/>
  <c r="H2" i="8"/>
  <c r="I1" i="8"/>
  <c r="E377" i="4"/>
  <c r="F2" i="4"/>
  <c r="G1" i="4"/>
  <c r="F3" i="4"/>
  <c r="F60" i="4" s="1"/>
  <c r="C108" i="8" l="1"/>
  <c r="C109" i="8"/>
  <c r="C110" i="8" s="1"/>
  <c r="C112" i="8" s="1"/>
  <c r="C113" i="8" s="1"/>
  <c r="H13" i="8"/>
  <c r="H14" i="8" s="1"/>
  <c r="H54" i="8"/>
  <c r="H55" i="8"/>
  <c r="H6" i="8"/>
  <c r="H5" i="8"/>
  <c r="H15" i="8"/>
  <c r="H60" i="8"/>
  <c r="H83" i="8" s="1"/>
  <c r="H377" i="8"/>
  <c r="H53" i="8"/>
  <c r="F84" i="4"/>
  <c r="F352" i="4" s="1"/>
  <c r="L8" i="8"/>
  <c r="D100" i="8"/>
  <c r="E69" i="8"/>
  <c r="F65" i="8"/>
  <c r="F21" i="8" s="1"/>
  <c r="F22" i="8" s="1"/>
  <c r="F64" i="8" s="1"/>
  <c r="F66" i="8" s="1"/>
  <c r="H61" i="8"/>
  <c r="H59" i="8"/>
  <c r="H44" i="8"/>
  <c r="H18" i="8"/>
  <c r="H17" i="8"/>
  <c r="H58" i="8"/>
  <c r="H19" i="8"/>
  <c r="H70" i="8"/>
  <c r="H338" i="8" s="1"/>
  <c r="H84" i="8"/>
  <c r="H352" i="8" s="1"/>
  <c r="H57" i="8"/>
  <c r="H20" i="8"/>
  <c r="H25" i="8"/>
  <c r="G62" i="8"/>
  <c r="F83" i="4"/>
  <c r="C69" i="4"/>
  <c r="C97" i="4" s="1"/>
  <c r="C105" i="4"/>
  <c r="F61" i="4"/>
  <c r="F70" i="4"/>
  <c r="F338" i="4" s="1"/>
  <c r="F44" i="4"/>
  <c r="F25" i="4"/>
  <c r="F20" i="4"/>
  <c r="E62" i="4"/>
  <c r="D21" i="4"/>
  <c r="D22" i="4" s="1"/>
  <c r="D64" i="4" s="1"/>
  <c r="D66" i="4" s="1"/>
  <c r="H36" i="4"/>
  <c r="H32" i="4"/>
  <c r="H34" i="4"/>
  <c r="H31" i="4"/>
  <c r="H35" i="4"/>
  <c r="H33" i="4"/>
  <c r="G91" i="4"/>
  <c r="G88" i="4"/>
  <c r="G94" i="4"/>
  <c r="G87" i="4"/>
  <c r="G90" i="4"/>
  <c r="G92" i="4"/>
  <c r="G93" i="4"/>
  <c r="G96" i="4"/>
  <c r="G364" i="4" s="1"/>
  <c r="G95" i="4"/>
  <c r="G89" i="4"/>
  <c r="G86" i="4"/>
  <c r="H30" i="4"/>
  <c r="H27" i="4"/>
  <c r="H28" i="4"/>
  <c r="H29" i="4"/>
  <c r="H37" i="4"/>
  <c r="F54" i="4"/>
  <c r="F13" i="4"/>
  <c r="F14" i="4" s="1"/>
  <c r="F55" i="4"/>
  <c r="F15" i="4"/>
  <c r="F6" i="4"/>
  <c r="F5" i="4"/>
  <c r="F53" i="4"/>
  <c r="G42" i="4"/>
  <c r="H49" i="4"/>
  <c r="G43" i="4"/>
  <c r="H47" i="4"/>
  <c r="G41" i="4"/>
  <c r="H52" i="4"/>
  <c r="G39" i="4"/>
  <c r="H46" i="4"/>
  <c r="H50" i="4"/>
  <c r="G40" i="4"/>
  <c r="H48" i="4"/>
  <c r="I3" i="8"/>
  <c r="F17" i="4"/>
  <c r="F57" i="4"/>
  <c r="F58" i="4"/>
  <c r="F18" i="4"/>
  <c r="F19" i="4"/>
  <c r="F59" i="4"/>
  <c r="O8" i="4"/>
  <c r="I2" i="8"/>
  <c r="J1" i="8"/>
  <c r="H1" i="4"/>
  <c r="F377" i="4"/>
  <c r="G2" i="4"/>
  <c r="G3" i="4"/>
  <c r="G60" i="4" s="1"/>
  <c r="C351" i="8" l="1"/>
  <c r="D105" i="8"/>
  <c r="D106" i="8" s="1"/>
  <c r="I54" i="8"/>
  <c r="I55" i="8"/>
  <c r="I15" i="8"/>
  <c r="I60" i="8"/>
  <c r="I83" i="8" s="1"/>
  <c r="I377" i="8"/>
  <c r="I5" i="8"/>
  <c r="I13" i="8"/>
  <c r="I14" i="8" s="1"/>
  <c r="I6" i="8"/>
  <c r="I53" i="8"/>
  <c r="G84" i="4"/>
  <c r="G352" i="4" s="1"/>
  <c r="H62" i="8"/>
  <c r="G65" i="8"/>
  <c r="G21" i="8" s="1"/>
  <c r="G22" i="8" s="1"/>
  <c r="G64" i="8" s="1"/>
  <c r="G66" i="8" s="1"/>
  <c r="F69" i="8"/>
  <c r="E370" i="8"/>
  <c r="E379" i="8" s="1"/>
  <c r="E97" i="8"/>
  <c r="E371" i="8" s="1"/>
  <c r="E380" i="8" s="1"/>
  <c r="E99" i="8"/>
  <c r="I61" i="8"/>
  <c r="I44" i="8"/>
  <c r="I70" i="8"/>
  <c r="I338" i="8" s="1"/>
  <c r="I57" i="8"/>
  <c r="I18" i="8"/>
  <c r="I17" i="8"/>
  <c r="I19" i="8"/>
  <c r="I20" i="8"/>
  <c r="I58" i="8"/>
  <c r="I84" i="8"/>
  <c r="I352" i="8" s="1"/>
  <c r="I59" i="8"/>
  <c r="I25" i="8"/>
  <c r="M8" i="8"/>
  <c r="G83" i="4"/>
  <c r="C99" i="4"/>
  <c r="C100" i="4" s="1"/>
  <c r="C106" i="4" s="1"/>
  <c r="C108" i="4" s="1"/>
  <c r="D105" i="4" s="1"/>
  <c r="G61" i="4"/>
  <c r="G70" i="4"/>
  <c r="G338" i="4" s="1"/>
  <c r="G44" i="4"/>
  <c r="G25" i="4"/>
  <c r="G20" i="4"/>
  <c r="F62" i="4"/>
  <c r="E65" i="4"/>
  <c r="E21" i="4" s="1"/>
  <c r="E22" i="4" s="1"/>
  <c r="E64" i="4" s="1"/>
  <c r="E66" i="4" s="1"/>
  <c r="D69" i="4"/>
  <c r="D97" i="4" s="1"/>
  <c r="I35" i="4"/>
  <c r="I34" i="4"/>
  <c r="I33" i="4"/>
  <c r="I36" i="4"/>
  <c r="I32" i="4"/>
  <c r="I31" i="4"/>
  <c r="H95" i="4"/>
  <c r="H93" i="4"/>
  <c r="H90" i="4"/>
  <c r="H96" i="4"/>
  <c r="H364" i="4" s="1"/>
  <c r="H92" i="4"/>
  <c r="H89" i="4"/>
  <c r="H87" i="4"/>
  <c r="H91" i="4"/>
  <c r="H88" i="4"/>
  <c r="H86" i="4"/>
  <c r="H94" i="4"/>
  <c r="I30" i="4"/>
  <c r="I29" i="4"/>
  <c r="I27" i="4"/>
  <c r="I28" i="4"/>
  <c r="I37" i="4"/>
  <c r="H3" i="4"/>
  <c r="G6" i="4"/>
  <c r="G13" i="4"/>
  <c r="G14" i="4" s="1"/>
  <c r="G5" i="4"/>
  <c r="G54" i="4"/>
  <c r="G55" i="4"/>
  <c r="G15" i="4"/>
  <c r="G53" i="4"/>
  <c r="J3" i="8"/>
  <c r="I49" i="4"/>
  <c r="H41" i="4"/>
  <c r="I48" i="4"/>
  <c r="H40" i="4"/>
  <c r="I47" i="4"/>
  <c r="I52" i="4"/>
  <c r="H43" i="4"/>
  <c r="H39" i="4"/>
  <c r="I46" i="4"/>
  <c r="I50" i="4"/>
  <c r="H42" i="4"/>
  <c r="P8" i="4"/>
  <c r="H2" i="4"/>
  <c r="G57" i="4"/>
  <c r="G19" i="4"/>
  <c r="G58" i="4"/>
  <c r="G18" i="4"/>
  <c r="G17" i="4"/>
  <c r="G59" i="4"/>
  <c r="J2" i="8"/>
  <c r="K1" i="8"/>
  <c r="I1" i="4"/>
  <c r="G377" i="4"/>
  <c r="D107" i="8" l="1"/>
  <c r="D108" i="8" s="1"/>
  <c r="D109" i="8"/>
  <c r="D110" i="8" s="1"/>
  <c r="D112" i="8" s="1"/>
  <c r="D113" i="8" s="1"/>
  <c r="C117" i="8" s="1"/>
  <c r="H377" i="4"/>
  <c r="H60" i="4"/>
  <c r="J54" i="8"/>
  <c r="J6" i="8"/>
  <c r="J5" i="8"/>
  <c r="J55" i="8"/>
  <c r="J60" i="8"/>
  <c r="J83" i="8" s="1"/>
  <c r="J377" i="8"/>
  <c r="J15" i="8"/>
  <c r="J13" i="8"/>
  <c r="J14" i="8" s="1"/>
  <c r="J53" i="8"/>
  <c r="H84" i="4"/>
  <c r="H352" i="4" s="1"/>
  <c r="E100" i="8"/>
  <c r="F370" i="8"/>
  <c r="F379" i="8" s="1"/>
  <c r="F97" i="8"/>
  <c r="F371" i="8" s="1"/>
  <c r="F380" i="8" s="1"/>
  <c r="F99" i="8"/>
  <c r="G69" i="8"/>
  <c r="H65" i="8"/>
  <c r="H21" i="8" s="1"/>
  <c r="H22" i="8" s="1"/>
  <c r="H64" i="8" s="1"/>
  <c r="H66" i="8" s="1"/>
  <c r="I62" i="8"/>
  <c r="J61" i="8"/>
  <c r="J44" i="8"/>
  <c r="J84" i="8"/>
  <c r="J352" i="8" s="1"/>
  <c r="J59" i="8"/>
  <c r="J58" i="8"/>
  <c r="J19" i="8"/>
  <c r="J57" i="8"/>
  <c r="J20" i="8"/>
  <c r="J18" i="8"/>
  <c r="J70" i="8"/>
  <c r="J338" i="8" s="1"/>
  <c r="J25" i="8"/>
  <c r="J17" i="8"/>
  <c r="N8" i="8"/>
  <c r="H83" i="4"/>
  <c r="C109" i="4"/>
  <c r="C110" i="4" s="1"/>
  <c r="C112" i="4" s="1"/>
  <c r="C113" i="4" s="1"/>
  <c r="C351" i="4"/>
  <c r="H61" i="4"/>
  <c r="H70" i="4"/>
  <c r="H338" i="4" s="1"/>
  <c r="H44" i="4"/>
  <c r="H25" i="4"/>
  <c r="H20" i="4"/>
  <c r="D99" i="4"/>
  <c r="D100" i="4" s="1"/>
  <c r="D106" i="4" s="1"/>
  <c r="D107" i="4" s="1"/>
  <c r="G62" i="4"/>
  <c r="J36" i="4"/>
  <c r="J35" i="4"/>
  <c r="J34" i="4"/>
  <c r="J33" i="4"/>
  <c r="J31" i="4"/>
  <c r="J32" i="4"/>
  <c r="I3" i="4"/>
  <c r="I91" i="4"/>
  <c r="I87" i="4"/>
  <c r="I96" i="4"/>
  <c r="I364" i="4" s="1"/>
  <c r="I86" i="4"/>
  <c r="I94" i="4"/>
  <c r="I88" i="4"/>
  <c r="I95" i="4"/>
  <c r="I89" i="4"/>
  <c r="I92" i="4"/>
  <c r="I93" i="4"/>
  <c r="I90" i="4"/>
  <c r="J30" i="4"/>
  <c r="J27" i="4"/>
  <c r="J28" i="4"/>
  <c r="J29" i="4"/>
  <c r="J37" i="4"/>
  <c r="K3" i="8"/>
  <c r="H53" i="4"/>
  <c r="H13" i="4"/>
  <c r="H14" i="4" s="1"/>
  <c r="H55" i="4"/>
  <c r="H5" i="4"/>
  <c r="H15" i="4"/>
  <c r="H54" i="4"/>
  <c r="H6" i="4"/>
  <c r="J48" i="4"/>
  <c r="J52" i="4"/>
  <c r="I41" i="4"/>
  <c r="J50" i="4"/>
  <c r="I39" i="4"/>
  <c r="I40" i="4"/>
  <c r="J49" i="4"/>
  <c r="I43" i="4"/>
  <c r="J46" i="4"/>
  <c r="J47" i="4"/>
  <c r="I42" i="4"/>
  <c r="I2" i="4"/>
  <c r="H59" i="4"/>
  <c r="H58" i="4"/>
  <c r="H18" i="4"/>
  <c r="H57" i="4"/>
  <c r="H17" i="4"/>
  <c r="H19" i="4"/>
  <c r="Q8" i="4"/>
  <c r="F65" i="4"/>
  <c r="E69" i="4"/>
  <c r="K2" i="8"/>
  <c r="J1" i="4"/>
  <c r="L1" i="8"/>
  <c r="E105" i="8" l="1"/>
  <c r="E106" i="8" s="1"/>
  <c r="E107" i="8" s="1"/>
  <c r="D351" i="8"/>
  <c r="K54" i="8"/>
  <c r="K15" i="8"/>
  <c r="K55" i="8"/>
  <c r="K6" i="8"/>
  <c r="K5" i="8"/>
  <c r="K60" i="8"/>
  <c r="K83" i="8" s="1"/>
  <c r="K377" i="8"/>
  <c r="K53" i="8"/>
  <c r="K13" i="8"/>
  <c r="K14" i="8" s="1"/>
  <c r="I13" i="4"/>
  <c r="I14" i="4" s="1"/>
  <c r="I60" i="4"/>
  <c r="I83" i="4" s="1"/>
  <c r="I84" i="4"/>
  <c r="I352" i="4" s="1"/>
  <c r="D108" i="4"/>
  <c r="E105" i="4" s="1"/>
  <c r="J62" i="8"/>
  <c r="K44" i="8"/>
  <c r="K20" i="8"/>
  <c r="K84" i="8"/>
  <c r="K352" i="8" s="1"/>
  <c r="K59" i="8"/>
  <c r="K57" i="8"/>
  <c r="K25" i="8"/>
  <c r="K18" i="8"/>
  <c r="K61" i="8"/>
  <c r="K17" i="8"/>
  <c r="K58" i="8"/>
  <c r="K70" i="8"/>
  <c r="K338" i="8" s="1"/>
  <c r="K19" i="8"/>
  <c r="H69" i="8"/>
  <c r="I65" i="8"/>
  <c r="I21" i="8" s="1"/>
  <c r="I22" i="8" s="1"/>
  <c r="I64" i="8" s="1"/>
  <c r="I66" i="8" s="1"/>
  <c r="G370" i="8"/>
  <c r="G379" i="8" s="1"/>
  <c r="G99" i="8"/>
  <c r="G97" i="8"/>
  <c r="G371" i="8" s="1"/>
  <c r="G380" i="8" s="1"/>
  <c r="C289" i="8"/>
  <c r="C308" i="8" s="1"/>
  <c r="C348" i="8" s="1"/>
  <c r="C120" i="8"/>
  <c r="C119" i="8"/>
  <c r="F100" i="8"/>
  <c r="O8" i="8"/>
  <c r="I61" i="4"/>
  <c r="I70" i="4"/>
  <c r="I338" i="4" s="1"/>
  <c r="I44" i="4"/>
  <c r="I25" i="4"/>
  <c r="I20" i="4"/>
  <c r="H62" i="4"/>
  <c r="F21" i="4"/>
  <c r="F22" i="4" s="1"/>
  <c r="F64" i="4" s="1"/>
  <c r="F66" i="4" s="1"/>
  <c r="K34" i="4"/>
  <c r="K31" i="4"/>
  <c r="K32" i="4"/>
  <c r="K36" i="4"/>
  <c r="K35" i="4"/>
  <c r="K33" i="4"/>
  <c r="I5" i="4"/>
  <c r="I377" i="4"/>
  <c r="I55" i="4"/>
  <c r="I53" i="4"/>
  <c r="J3" i="4"/>
  <c r="I6" i="4"/>
  <c r="I54" i="4"/>
  <c r="I15" i="4"/>
  <c r="J86" i="4"/>
  <c r="J92" i="4"/>
  <c r="J91" i="4"/>
  <c r="J96" i="4"/>
  <c r="J364" i="4" s="1"/>
  <c r="J94" i="4"/>
  <c r="J93" i="4"/>
  <c r="J89" i="4"/>
  <c r="J95" i="4"/>
  <c r="J90" i="4"/>
  <c r="J87" i="4"/>
  <c r="J88" i="4"/>
  <c r="K30" i="4"/>
  <c r="K29" i="4"/>
  <c r="K28" i="4"/>
  <c r="K27" i="4"/>
  <c r="K37" i="4"/>
  <c r="L3" i="8"/>
  <c r="K48" i="4"/>
  <c r="J40" i="4"/>
  <c r="K47" i="4"/>
  <c r="J39" i="4"/>
  <c r="K52" i="4"/>
  <c r="K50" i="4"/>
  <c r="K46" i="4"/>
  <c r="J41" i="4"/>
  <c r="J42" i="4"/>
  <c r="J43" i="4"/>
  <c r="K49" i="4"/>
  <c r="D109" i="4"/>
  <c r="D110" i="4" s="1"/>
  <c r="D112" i="4" s="1"/>
  <c r="E97" i="4"/>
  <c r="E99" i="4"/>
  <c r="R8" i="4"/>
  <c r="J2" i="4"/>
  <c r="I18" i="4"/>
  <c r="I17" i="4"/>
  <c r="I59" i="4"/>
  <c r="I57" i="4"/>
  <c r="I58" i="4"/>
  <c r="I19" i="4"/>
  <c r="L2" i="8"/>
  <c r="M1" i="8"/>
  <c r="K1" i="4"/>
  <c r="J15" i="4" l="1"/>
  <c r="J60" i="4"/>
  <c r="L55" i="8"/>
  <c r="L6" i="8"/>
  <c r="L5" i="8"/>
  <c r="L15" i="8"/>
  <c r="L60" i="8"/>
  <c r="L83" i="8" s="1"/>
  <c r="L377" i="8"/>
  <c r="L53" i="8"/>
  <c r="L13" i="8"/>
  <c r="L14" i="8" s="1"/>
  <c r="L54" i="8"/>
  <c r="J84" i="4"/>
  <c r="J352" i="4" s="1"/>
  <c r="L84" i="8"/>
  <c r="L352" i="8" s="1"/>
  <c r="L59" i="8"/>
  <c r="L19" i="8"/>
  <c r="L58" i="8"/>
  <c r="L57" i="8"/>
  <c r="L20" i="8"/>
  <c r="L61" i="8"/>
  <c r="L17" i="8"/>
  <c r="L18" i="8"/>
  <c r="L44" i="8"/>
  <c r="L70" i="8"/>
  <c r="L338" i="8" s="1"/>
  <c r="L25" i="8"/>
  <c r="K62" i="8"/>
  <c r="G100" i="8"/>
  <c r="E109" i="8"/>
  <c r="E110" i="8" s="1"/>
  <c r="I69" i="8"/>
  <c r="J65" i="8"/>
  <c r="J21" i="8" s="1"/>
  <c r="J22" i="8" s="1"/>
  <c r="J64" i="8" s="1"/>
  <c r="J66" i="8" s="1"/>
  <c r="E108" i="8"/>
  <c r="P8" i="8"/>
  <c r="H370" i="8"/>
  <c r="H379" i="8" s="1"/>
  <c r="H97" i="8"/>
  <c r="H371" i="8" s="1"/>
  <c r="H380" i="8" s="1"/>
  <c r="H99" i="8"/>
  <c r="D116" i="8"/>
  <c r="C123" i="8"/>
  <c r="J83" i="4"/>
  <c r="J61" i="4"/>
  <c r="J70" i="4"/>
  <c r="J338" i="4" s="1"/>
  <c r="J44" i="4"/>
  <c r="J25" i="4"/>
  <c r="J20" i="4"/>
  <c r="I62" i="4"/>
  <c r="G65" i="4"/>
  <c r="F69" i="4"/>
  <c r="F97" i="4" s="1"/>
  <c r="J13" i="4"/>
  <c r="J14" i="4" s="1"/>
  <c r="K3" i="4"/>
  <c r="J55" i="4"/>
  <c r="L36" i="4"/>
  <c r="L32" i="4"/>
  <c r="L31" i="4"/>
  <c r="L34" i="4"/>
  <c r="L35" i="4"/>
  <c r="L33" i="4"/>
  <c r="J53" i="4"/>
  <c r="J6" i="4"/>
  <c r="J5" i="4"/>
  <c r="J54" i="4"/>
  <c r="J377" i="4"/>
  <c r="K86" i="4"/>
  <c r="K92" i="4"/>
  <c r="K96" i="4"/>
  <c r="K364" i="4" s="1"/>
  <c r="K93" i="4"/>
  <c r="K91" i="4"/>
  <c r="K90" i="4"/>
  <c r="K89" i="4"/>
  <c r="K95" i="4"/>
  <c r="K87" i="4"/>
  <c r="K88" i="4"/>
  <c r="K94" i="4"/>
  <c r="L30" i="4"/>
  <c r="L28" i="4"/>
  <c r="L27" i="4"/>
  <c r="L29" i="4"/>
  <c r="L37" i="4"/>
  <c r="L47" i="4"/>
  <c r="L50" i="4"/>
  <c r="K39" i="4"/>
  <c r="L49" i="4"/>
  <c r="L46" i="4"/>
  <c r="L48" i="4"/>
  <c r="L52" i="4"/>
  <c r="K40" i="4"/>
  <c r="K41" i="4"/>
  <c r="K43" i="4"/>
  <c r="K42" i="4"/>
  <c r="M3" i="8"/>
  <c r="D113" i="4"/>
  <c r="D351" i="4"/>
  <c r="E100" i="4"/>
  <c r="J58" i="4"/>
  <c r="J59" i="4"/>
  <c r="J57" i="4"/>
  <c r="J17" i="4"/>
  <c r="J19" i="4"/>
  <c r="J18" i="4"/>
  <c r="K2" i="4"/>
  <c r="S8" i="4"/>
  <c r="M2" i="8"/>
  <c r="N1" i="8"/>
  <c r="L1" i="4"/>
  <c r="K54" i="4" l="1"/>
  <c r="K60" i="4"/>
  <c r="M55" i="8"/>
  <c r="M6" i="8"/>
  <c r="M5" i="8"/>
  <c r="M15" i="8"/>
  <c r="M60" i="8"/>
  <c r="M83" i="8" s="1"/>
  <c r="M377" i="8"/>
  <c r="M13" i="8"/>
  <c r="M14" i="8" s="1"/>
  <c r="M54" i="8"/>
  <c r="M53" i="8"/>
  <c r="K84" i="4"/>
  <c r="K352" i="4" s="1"/>
  <c r="E351" i="8"/>
  <c r="F105" i="8"/>
  <c r="E112" i="8"/>
  <c r="M58" i="8"/>
  <c r="M57" i="8"/>
  <c r="M20" i="8"/>
  <c r="M70" i="8"/>
  <c r="M338" i="8" s="1"/>
  <c r="M44" i="8"/>
  <c r="M17" i="8"/>
  <c r="M59" i="8"/>
  <c r="M18" i="8"/>
  <c r="M19" i="8"/>
  <c r="M84" i="8"/>
  <c r="M352" i="8" s="1"/>
  <c r="M25" i="8"/>
  <c r="M61" i="8"/>
  <c r="Q8" i="8"/>
  <c r="J69" i="8"/>
  <c r="K65" i="8"/>
  <c r="K21" i="8" s="1"/>
  <c r="K22" i="8" s="1"/>
  <c r="K64" i="8" s="1"/>
  <c r="K66" i="8" s="1"/>
  <c r="I370" i="8"/>
  <c r="I379" i="8" s="1"/>
  <c r="I99" i="8"/>
  <c r="I97" i="8"/>
  <c r="I371" i="8" s="1"/>
  <c r="I380" i="8" s="1"/>
  <c r="C313" i="8"/>
  <c r="C332" i="8" s="1"/>
  <c r="C361" i="8" s="1"/>
  <c r="C124" i="8"/>
  <c r="H100" i="8"/>
  <c r="D122" i="8"/>
  <c r="D121" i="8"/>
  <c r="L62" i="8"/>
  <c r="K83" i="4"/>
  <c r="K61" i="4"/>
  <c r="K70" i="4"/>
  <c r="K338" i="4" s="1"/>
  <c r="K44" i="4"/>
  <c r="K25" i="4"/>
  <c r="K20" i="4"/>
  <c r="F99" i="4"/>
  <c r="F100" i="4" s="1"/>
  <c r="J62" i="4"/>
  <c r="G21" i="4"/>
  <c r="G22" i="4" s="1"/>
  <c r="G64" i="4" s="1"/>
  <c r="G66" i="4" s="1"/>
  <c r="L3" i="4"/>
  <c r="K377" i="4"/>
  <c r="K55" i="4"/>
  <c r="K13" i="4"/>
  <c r="K14" i="4" s="1"/>
  <c r="K15" i="4"/>
  <c r="K6" i="4"/>
  <c r="K5" i="4"/>
  <c r="K53" i="4"/>
  <c r="M34" i="4"/>
  <c r="M36" i="4"/>
  <c r="M32" i="4"/>
  <c r="M35" i="4"/>
  <c r="M33" i="4"/>
  <c r="M31" i="4"/>
  <c r="C117" i="4"/>
  <c r="C120" i="4" s="1"/>
  <c r="L86" i="4"/>
  <c r="L87" i="4"/>
  <c r="L94" i="4"/>
  <c r="L93" i="4"/>
  <c r="L96" i="4"/>
  <c r="L364" i="4" s="1"/>
  <c r="L89" i="4"/>
  <c r="L91" i="4"/>
  <c r="L88" i="4"/>
  <c r="L95" i="4"/>
  <c r="L92" i="4"/>
  <c r="L90" i="4"/>
  <c r="M30" i="4"/>
  <c r="M28" i="4"/>
  <c r="M27" i="4"/>
  <c r="M29" i="4"/>
  <c r="M37" i="4"/>
  <c r="E106" i="4"/>
  <c r="E107" i="4" s="1"/>
  <c r="M47" i="4"/>
  <c r="L39" i="4"/>
  <c r="M46" i="4"/>
  <c r="M50" i="4"/>
  <c r="M49" i="4"/>
  <c r="L42" i="4"/>
  <c r="L43" i="4"/>
  <c r="M52" i="4"/>
  <c r="L40" i="4"/>
  <c r="L41" i="4"/>
  <c r="M48" i="4"/>
  <c r="N3" i="8"/>
  <c r="K18" i="4"/>
  <c r="K59" i="4"/>
  <c r="K17" i="4"/>
  <c r="K19" i="4"/>
  <c r="K58" i="4"/>
  <c r="K57" i="4"/>
  <c r="L2" i="4"/>
  <c r="T8" i="4"/>
  <c r="N2" i="8"/>
  <c r="O1" i="8"/>
  <c r="M1" i="4"/>
  <c r="C370" i="4"/>
  <c r="N15" i="8" l="1"/>
  <c r="N60" i="8"/>
  <c r="N377" i="8"/>
  <c r="N13" i="8"/>
  <c r="N14" i="8" s="1"/>
  <c r="N54" i="8"/>
  <c r="N5" i="8"/>
  <c r="N55" i="8"/>
  <c r="N6" i="8"/>
  <c r="N53" i="8"/>
  <c r="L6" i="4"/>
  <c r="L60" i="4"/>
  <c r="L83" i="4" s="1"/>
  <c r="L84" i="4"/>
  <c r="L352" i="4" s="1"/>
  <c r="J370" i="8"/>
  <c r="J379" i="8" s="1"/>
  <c r="J97" i="8"/>
  <c r="J371" i="8" s="1"/>
  <c r="J380" i="8" s="1"/>
  <c r="J99" i="8"/>
  <c r="R8" i="8"/>
  <c r="M62" i="8"/>
  <c r="C126" i="8"/>
  <c r="N58" i="8"/>
  <c r="N18" i="8"/>
  <c r="N70" i="8"/>
  <c r="N338" i="8" s="1"/>
  <c r="N57" i="8"/>
  <c r="N61" i="8"/>
  <c r="N17" i="8"/>
  <c r="N19" i="8"/>
  <c r="N59" i="8"/>
  <c r="N44" i="8"/>
  <c r="N84" i="8"/>
  <c r="N352" i="8" s="1"/>
  <c r="N25" i="8"/>
  <c r="N20" i="8"/>
  <c r="E113" i="8"/>
  <c r="D117" i="8" s="1"/>
  <c r="L65" i="8"/>
  <c r="L21" i="8" s="1"/>
  <c r="L22" i="8" s="1"/>
  <c r="L64" i="8" s="1"/>
  <c r="L66" i="8" s="1"/>
  <c r="K69" i="8"/>
  <c r="F106" i="8"/>
  <c r="F107" i="8" s="1"/>
  <c r="N83" i="8"/>
  <c r="I100" i="8"/>
  <c r="L61" i="4"/>
  <c r="L70" i="4"/>
  <c r="L338" i="4" s="1"/>
  <c r="L44" i="4"/>
  <c r="L25" i="4"/>
  <c r="L20" i="4"/>
  <c r="K62" i="4"/>
  <c r="H65" i="4"/>
  <c r="G69" i="4"/>
  <c r="L13" i="4"/>
  <c r="L14" i="4" s="1"/>
  <c r="L55" i="4"/>
  <c r="L5" i="4"/>
  <c r="L53" i="4"/>
  <c r="L15" i="4"/>
  <c r="L54" i="4"/>
  <c r="M3" i="4"/>
  <c r="L377" i="4"/>
  <c r="N36" i="4"/>
  <c r="N33" i="4"/>
  <c r="N32" i="4"/>
  <c r="N31" i="4"/>
  <c r="N35" i="4"/>
  <c r="N34" i="4"/>
  <c r="C119" i="4"/>
  <c r="C123" i="4" s="1"/>
  <c r="C289" i="4"/>
  <c r="C308" i="4" s="1"/>
  <c r="C348" i="4" s="1"/>
  <c r="M96" i="4"/>
  <c r="M364" i="4" s="1"/>
  <c r="M92" i="4"/>
  <c r="M88" i="4"/>
  <c r="M95" i="4"/>
  <c r="M91" i="4"/>
  <c r="M87" i="4"/>
  <c r="M86" i="4"/>
  <c r="M94" i="4"/>
  <c r="M93" i="4"/>
  <c r="M90" i="4"/>
  <c r="M89" i="4"/>
  <c r="N30" i="4"/>
  <c r="N27" i="4"/>
  <c r="N28" i="4"/>
  <c r="N29" i="4"/>
  <c r="N37" i="4"/>
  <c r="O3" i="8"/>
  <c r="N46" i="4"/>
  <c r="N49" i="4"/>
  <c r="M39" i="4"/>
  <c r="M42" i="4"/>
  <c r="M40" i="4"/>
  <c r="N48" i="4"/>
  <c r="N52" i="4"/>
  <c r="N47" i="4"/>
  <c r="M43" i="4"/>
  <c r="N50" i="4"/>
  <c r="M41" i="4"/>
  <c r="E108" i="4"/>
  <c r="F105" i="4" s="1"/>
  <c r="U8" i="4"/>
  <c r="E109" i="4"/>
  <c r="E110" i="4" s="1"/>
  <c r="L19" i="4"/>
  <c r="L57" i="4"/>
  <c r="L59" i="4"/>
  <c r="L17" i="4"/>
  <c r="L18" i="4"/>
  <c r="L58" i="4"/>
  <c r="M2" i="4"/>
  <c r="O2" i="8"/>
  <c r="P1" i="8"/>
  <c r="N1" i="4"/>
  <c r="C371" i="4"/>
  <c r="C380" i="4" s="1"/>
  <c r="C379" i="4"/>
  <c r="D370" i="4"/>
  <c r="D371" i="4"/>
  <c r="D380" i="4" s="1"/>
  <c r="O60" i="8" l="1"/>
  <c r="O377" i="8"/>
  <c r="O13" i="8"/>
  <c r="O14" i="8" s="1"/>
  <c r="O54" i="8"/>
  <c r="O5" i="8"/>
  <c r="O15" i="8"/>
  <c r="O6" i="8"/>
  <c r="O55" i="8"/>
  <c r="O53" i="8"/>
  <c r="M377" i="4"/>
  <c r="M60" i="4"/>
  <c r="M83" i="4" s="1"/>
  <c r="M84" i="4"/>
  <c r="M352" i="4" s="1"/>
  <c r="O83" i="8"/>
  <c r="F109" i="8"/>
  <c r="F110" i="8" s="1"/>
  <c r="D120" i="8"/>
  <c r="D289" i="8"/>
  <c r="D308" i="8" s="1"/>
  <c r="D348" i="8" s="1"/>
  <c r="D118" i="8"/>
  <c r="D119" i="8" s="1"/>
  <c r="F108" i="8"/>
  <c r="S8" i="8"/>
  <c r="J100" i="8"/>
  <c r="N62" i="8"/>
  <c r="C127" i="8"/>
  <c r="C128" i="8" s="1"/>
  <c r="C129" i="8" s="1"/>
  <c r="K370" i="8"/>
  <c r="K379" i="8" s="1"/>
  <c r="K99" i="8"/>
  <c r="K97" i="8"/>
  <c r="K371" i="8" s="1"/>
  <c r="K380" i="8" s="1"/>
  <c r="O70" i="8"/>
  <c r="O338" i="8" s="1"/>
  <c r="O57" i="8"/>
  <c r="O61" i="8"/>
  <c r="O25" i="8"/>
  <c r="O18" i="8"/>
  <c r="O59" i="8"/>
  <c r="O44" i="8"/>
  <c r="O19" i="8"/>
  <c r="O17" i="8"/>
  <c r="O84" i="8"/>
  <c r="O352" i="8" s="1"/>
  <c r="O58" i="8"/>
  <c r="O20" i="8"/>
  <c r="M65" i="8"/>
  <c r="M21" i="8" s="1"/>
  <c r="M22" i="8" s="1"/>
  <c r="M64" i="8" s="1"/>
  <c r="M66" i="8" s="1"/>
  <c r="L69" i="8"/>
  <c r="M61" i="4"/>
  <c r="M70" i="4"/>
  <c r="M338" i="4" s="1"/>
  <c r="M44" i="4"/>
  <c r="M25" i="4"/>
  <c r="M20" i="4"/>
  <c r="L62" i="4"/>
  <c r="G99" i="4"/>
  <c r="G100" i="4" s="1"/>
  <c r="G97" i="4"/>
  <c r="H21" i="4"/>
  <c r="H22" i="4" s="1"/>
  <c r="H64" i="4" s="1"/>
  <c r="H66" i="4" s="1"/>
  <c r="M13" i="4"/>
  <c r="M14" i="4" s="1"/>
  <c r="M15" i="4"/>
  <c r="M54" i="4"/>
  <c r="M6" i="4"/>
  <c r="M55" i="4"/>
  <c r="M5" i="4"/>
  <c r="M53" i="4"/>
  <c r="N3" i="4"/>
  <c r="O34" i="4"/>
  <c r="O35" i="4"/>
  <c r="O32" i="4"/>
  <c r="O33" i="4"/>
  <c r="O36" i="4"/>
  <c r="O31" i="4"/>
  <c r="D116" i="4"/>
  <c r="D122" i="4" s="1"/>
  <c r="N93" i="4"/>
  <c r="N89" i="4"/>
  <c r="N96" i="4"/>
  <c r="N364" i="4" s="1"/>
  <c r="N92" i="4"/>
  <c r="N88" i="4"/>
  <c r="N87" i="4"/>
  <c r="N86" i="4"/>
  <c r="N95" i="4"/>
  <c r="N91" i="4"/>
  <c r="N94" i="4"/>
  <c r="N90" i="4"/>
  <c r="O30" i="4"/>
  <c r="O27" i="4"/>
  <c r="O29" i="4"/>
  <c r="O28" i="4"/>
  <c r="O37" i="4"/>
  <c r="N377" i="4"/>
  <c r="N13" i="4"/>
  <c r="N14" i="4" s="1"/>
  <c r="O46" i="4"/>
  <c r="O49" i="4"/>
  <c r="N42" i="4"/>
  <c r="N41" i="4"/>
  <c r="N39" i="4"/>
  <c r="O52" i="4"/>
  <c r="O47" i="4"/>
  <c r="N40" i="4"/>
  <c r="N43" i="4"/>
  <c r="O48" i="4"/>
  <c r="O50" i="4"/>
  <c r="P3" i="8"/>
  <c r="E112" i="4"/>
  <c r="E351" i="4"/>
  <c r="C313" i="4"/>
  <c r="C332" i="4" s="1"/>
  <c r="V8" i="4"/>
  <c r="M59" i="4"/>
  <c r="M58" i="4"/>
  <c r="M19" i="4"/>
  <c r="M17" i="4"/>
  <c r="M18" i="4"/>
  <c r="M57" i="4"/>
  <c r="N2" i="4"/>
  <c r="C124" i="4"/>
  <c r="P2" i="8"/>
  <c r="O1" i="4"/>
  <c r="Q1" i="8"/>
  <c r="D379" i="4"/>
  <c r="E370" i="4"/>
  <c r="E379" i="4" s="1"/>
  <c r="E371" i="4"/>
  <c r="E380" i="4" s="1"/>
  <c r="O3" i="4" l="1"/>
  <c r="N60" i="4"/>
  <c r="P377" i="8"/>
  <c r="P54" i="8"/>
  <c r="P55" i="8"/>
  <c r="P6" i="8"/>
  <c r="P60" i="8"/>
  <c r="P83" i="8" s="1"/>
  <c r="P15" i="8"/>
  <c r="P13" i="8"/>
  <c r="P14" i="8" s="1"/>
  <c r="P5" i="8"/>
  <c r="P53" i="8"/>
  <c r="N84" i="4"/>
  <c r="N352" i="4" s="1"/>
  <c r="O62" i="8"/>
  <c r="F112" i="8"/>
  <c r="F351" i="8"/>
  <c r="G105" i="8"/>
  <c r="K100" i="8"/>
  <c r="L370" i="8"/>
  <c r="L379" i="8" s="1"/>
  <c r="L97" i="8"/>
  <c r="L371" i="8" s="1"/>
  <c r="L380" i="8" s="1"/>
  <c r="L99" i="8"/>
  <c r="T8" i="8"/>
  <c r="N65" i="8"/>
  <c r="N21" i="8" s="1"/>
  <c r="N22" i="8" s="1"/>
  <c r="N64" i="8" s="1"/>
  <c r="N66" i="8" s="1"/>
  <c r="M69" i="8"/>
  <c r="C130" i="8"/>
  <c r="E116" i="8"/>
  <c r="D123" i="8"/>
  <c r="P70" i="8"/>
  <c r="P338" i="8" s="1"/>
  <c r="P57" i="8"/>
  <c r="P17" i="8"/>
  <c r="P44" i="8"/>
  <c r="P84" i="8"/>
  <c r="P352" i="8" s="1"/>
  <c r="P25" i="8"/>
  <c r="P59" i="8"/>
  <c r="P19" i="8"/>
  <c r="P18" i="8"/>
  <c r="P58" i="8"/>
  <c r="P20" i="8"/>
  <c r="P61" i="8"/>
  <c r="N83" i="4"/>
  <c r="N61" i="4"/>
  <c r="N70" i="4"/>
  <c r="N338" i="4" s="1"/>
  <c r="N44" i="4"/>
  <c r="N25" i="4"/>
  <c r="N20" i="4"/>
  <c r="M62" i="4"/>
  <c r="N54" i="4"/>
  <c r="N53" i="4"/>
  <c r="I65" i="4"/>
  <c r="H69" i="4"/>
  <c r="H370" i="4" s="1"/>
  <c r="H379" i="4" s="1"/>
  <c r="O53" i="4"/>
  <c r="N5" i="4"/>
  <c r="N15" i="4"/>
  <c r="O13" i="4"/>
  <c r="O14" i="4" s="1"/>
  <c r="O5" i="4"/>
  <c r="O15" i="4"/>
  <c r="O6" i="4"/>
  <c r="N6" i="4"/>
  <c r="O54" i="4"/>
  <c r="N55" i="4"/>
  <c r="F106" i="4"/>
  <c r="F107" i="4" s="1"/>
  <c r="D121" i="4"/>
  <c r="P36" i="4"/>
  <c r="P34" i="4"/>
  <c r="P35" i="4"/>
  <c r="P33" i="4"/>
  <c r="P32" i="4"/>
  <c r="P31" i="4"/>
  <c r="O93" i="4"/>
  <c r="O94" i="4"/>
  <c r="O90" i="4"/>
  <c r="O86" i="4"/>
  <c r="O89" i="4"/>
  <c r="O92" i="4"/>
  <c r="O96" i="4"/>
  <c r="O364" i="4" s="1"/>
  <c r="O88" i="4"/>
  <c r="O87" i="4"/>
  <c r="O95" i="4"/>
  <c r="O91" i="4"/>
  <c r="P30" i="4"/>
  <c r="P29" i="4"/>
  <c r="P28" i="4"/>
  <c r="P27" i="4"/>
  <c r="P37" i="4"/>
  <c r="Q3" i="8"/>
  <c r="P52" i="4"/>
  <c r="P46" i="4"/>
  <c r="O40" i="4"/>
  <c r="O41" i="4"/>
  <c r="P50" i="4"/>
  <c r="P47" i="4"/>
  <c r="O42" i="4"/>
  <c r="O43" i="4"/>
  <c r="P48" i="4"/>
  <c r="O39" i="4"/>
  <c r="P49" i="4"/>
  <c r="C126" i="4"/>
  <c r="W8" i="4"/>
  <c r="N19" i="4"/>
  <c r="N59" i="4"/>
  <c r="N18" i="4"/>
  <c r="N58" i="4"/>
  <c r="N17" i="4"/>
  <c r="N57" i="4"/>
  <c r="O2" i="4"/>
  <c r="E113" i="4"/>
  <c r="D117" i="4" s="1"/>
  <c r="D120" i="4" s="1"/>
  <c r="Q2" i="8"/>
  <c r="R1" i="8"/>
  <c r="P1" i="4"/>
  <c r="F370" i="4"/>
  <c r="F379" i="4" s="1"/>
  <c r="F371" i="4"/>
  <c r="F380" i="4" s="1"/>
  <c r="Q377" i="8" l="1"/>
  <c r="Q13" i="8"/>
  <c r="Q14" i="8" s="1"/>
  <c r="Q53" i="8"/>
  <c r="Q55" i="8"/>
  <c r="Q54" i="8"/>
  <c r="Q6" i="8"/>
  <c r="Q5" i="8"/>
  <c r="Q15" i="8"/>
  <c r="Q60" i="8"/>
  <c r="Q83" i="8" s="1"/>
  <c r="O55" i="4"/>
  <c r="O60" i="4"/>
  <c r="O83" i="4" s="1"/>
  <c r="P3" i="4"/>
  <c r="O377" i="4"/>
  <c r="O84" i="4"/>
  <c r="O352" i="4" s="1"/>
  <c r="G106" i="8"/>
  <c r="G107" i="8" s="1"/>
  <c r="E121" i="8"/>
  <c r="E122" i="8"/>
  <c r="N69" i="8"/>
  <c r="O65" i="8"/>
  <c r="O21" i="8" s="1"/>
  <c r="O22" i="8" s="1"/>
  <c r="O64" i="8" s="1"/>
  <c r="O66" i="8" s="1"/>
  <c r="U8" i="8"/>
  <c r="Q84" i="8"/>
  <c r="Q352" i="8" s="1"/>
  <c r="Q59" i="8"/>
  <c r="Q25" i="8"/>
  <c r="Q70" i="8"/>
  <c r="Q338" i="8" s="1"/>
  <c r="Q44" i="8"/>
  <c r="Q18" i="8"/>
  <c r="Q58" i="8"/>
  <c r="Q17" i="8"/>
  <c r="Q19" i="8"/>
  <c r="Q61" i="8"/>
  <c r="Q57" i="8"/>
  <c r="Q20" i="8"/>
  <c r="M370" i="8"/>
  <c r="M379" i="8" s="1"/>
  <c r="M97" i="8"/>
  <c r="M371" i="8" s="1"/>
  <c r="M380" i="8" s="1"/>
  <c r="M99" i="8"/>
  <c r="L100" i="8"/>
  <c r="F113" i="8"/>
  <c r="E117" i="8" s="1"/>
  <c r="E118" i="8" s="1"/>
  <c r="D313" i="8"/>
  <c r="D332" i="8" s="1"/>
  <c r="D361" i="8" s="1"/>
  <c r="P62" i="8"/>
  <c r="D124" i="8"/>
  <c r="O61" i="4"/>
  <c r="O70" i="4"/>
  <c r="O338" i="4" s="1"/>
  <c r="O44" i="4"/>
  <c r="O25" i="4"/>
  <c r="O20" i="4"/>
  <c r="N62" i="4"/>
  <c r="H99" i="4"/>
  <c r="H100" i="4" s="1"/>
  <c r="H97" i="4"/>
  <c r="H371" i="4" s="1"/>
  <c r="H380" i="4" s="1"/>
  <c r="I21" i="4"/>
  <c r="I22" i="4" s="1"/>
  <c r="I64" i="4" s="1"/>
  <c r="I66" i="4" s="1"/>
  <c r="Q34" i="4"/>
  <c r="Q31" i="4"/>
  <c r="Q33" i="4"/>
  <c r="Q36" i="4"/>
  <c r="Q35" i="4"/>
  <c r="Q32" i="4"/>
  <c r="P94" i="4"/>
  <c r="P93" i="4"/>
  <c r="P89" i="4"/>
  <c r="P95" i="4"/>
  <c r="P92" i="4"/>
  <c r="P91" i="4"/>
  <c r="P86" i="4"/>
  <c r="P87" i="4"/>
  <c r="P96" i="4"/>
  <c r="P364" i="4" s="1"/>
  <c r="P90" i="4"/>
  <c r="P88" i="4"/>
  <c r="D289" i="4"/>
  <c r="D308" i="4" s="1"/>
  <c r="D348" i="4" s="1"/>
  <c r="D118" i="4"/>
  <c r="D119" i="4" s="1"/>
  <c r="D123" i="4" s="1"/>
  <c r="Q30" i="4"/>
  <c r="Q29" i="4"/>
  <c r="Q28" i="4"/>
  <c r="Q27" i="4"/>
  <c r="Q37" i="4"/>
  <c r="R3" i="8"/>
  <c r="Q52" i="4"/>
  <c r="Q50" i="4"/>
  <c r="P43" i="4"/>
  <c r="Q46" i="4"/>
  <c r="P40" i="4"/>
  <c r="Q48" i="4"/>
  <c r="Q47" i="4"/>
  <c r="P41" i="4"/>
  <c r="P39" i="4"/>
  <c r="Q49" i="4"/>
  <c r="P42" i="4"/>
  <c r="F109" i="4"/>
  <c r="F110" i="4" s="1"/>
  <c r="F108" i="4"/>
  <c r="G105" i="4" s="1"/>
  <c r="X8" i="4"/>
  <c r="O59" i="4"/>
  <c r="O58" i="4"/>
  <c r="O57" i="4"/>
  <c r="O17" i="4"/>
  <c r="O19" i="4"/>
  <c r="O18" i="4"/>
  <c r="P2" i="4"/>
  <c r="C127" i="4"/>
  <c r="C128" i="4" s="1"/>
  <c r="C129" i="4" s="1"/>
  <c r="C130" i="4" s="1"/>
  <c r="R2" i="8"/>
  <c r="S1" i="8"/>
  <c r="Q1" i="4"/>
  <c r="G371" i="4"/>
  <c r="G380" i="4" s="1"/>
  <c r="G370" i="4"/>
  <c r="R13" i="8" l="1"/>
  <c r="R14" i="8" s="1"/>
  <c r="R54" i="8"/>
  <c r="R55" i="8"/>
  <c r="R6" i="8"/>
  <c r="R5" i="8"/>
  <c r="R60" i="8"/>
  <c r="R83" i="8" s="1"/>
  <c r="R15" i="8"/>
  <c r="R377" i="8"/>
  <c r="R53" i="8"/>
  <c r="P60" i="4"/>
  <c r="P83" i="4" s="1"/>
  <c r="P55" i="4"/>
  <c r="P15" i="4"/>
  <c r="P13" i="4"/>
  <c r="P14" i="4" s="1"/>
  <c r="P54" i="4"/>
  <c r="P6" i="4"/>
  <c r="P5" i="4"/>
  <c r="P377" i="4"/>
  <c r="Q3" i="4"/>
  <c r="P53" i="4"/>
  <c r="P84" i="4"/>
  <c r="P352" i="4" s="1"/>
  <c r="V8" i="8"/>
  <c r="E120" i="8"/>
  <c r="E289" i="8"/>
  <c r="E308" i="8" s="1"/>
  <c r="E348" i="8" s="1"/>
  <c r="M100" i="8"/>
  <c r="E119" i="8"/>
  <c r="R84" i="8"/>
  <c r="R352" i="8" s="1"/>
  <c r="R25" i="8"/>
  <c r="R70" i="8"/>
  <c r="R338" i="8" s="1"/>
  <c r="R58" i="8"/>
  <c r="R20" i="8"/>
  <c r="R59" i="8"/>
  <c r="R44" i="8"/>
  <c r="R17" i="8"/>
  <c r="R19" i="8"/>
  <c r="R61" i="8"/>
  <c r="R57" i="8"/>
  <c r="R18" i="8"/>
  <c r="Q62" i="8"/>
  <c r="G109" i="8"/>
  <c r="G110" i="8" s="1"/>
  <c r="G108" i="8"/>
  <c r="O69" i="8"/>
  <c r="P65" i="8"/>
  <c r="P21" i="8" s="1"/>
  <c r="P22" i="8" s="1"/>
  <c r="P64" i="8" s="1"/>
  <c r="P66" i="8" s="1"/>
  <c r="N370" i="8"/>
  <c r="N379" i="8" s="1"/>
  <c r="N97" i="8"/>
  <c r="N371" i="8" s="1"/>
  <c r="N380" i="8" s="1"/>
  <c r="N99" i="8"/>
  <c r="D126" i="8"/>
  <c r="P61" i="4"/>
  <c r="P70" i="4"/>
  <c r="P338" i="4" s="1"/>
  <c r="P44" i="4"/>
  <c r="P25" i="4"/>
  <c r="P20" i="4"/>
  <c r="O62" i="4"/>
  <c r="I69" i="4"/>
  <c r="I370" i="4" s="1"/>
  <c r="I379" i="4" s="1"/>
  <c r="J65" i="4"/>
  <c r="R36" i="4"/>
  <c r="R34" i="4"/>
  <c r="R33" i="4"/>
  <c r="R31" i="4"/>
  <c r="R32" i="4"/>
  <c r="R35" i="4"/>
  <c r="Q92" i="4"/>
  <c r="Q86" i="4"/>
  <c r="Q93" i="4"/>
  <c r="Q90" i="4"/>
  <c r="Q94" i="4"/>
  <c r="Q96" i="4"/>
  <c r="Q364" i="4" s="1"/>
  <c r="Q88" i="4"/>
  <c r="Q91" i="4"/>
  <c r="Q95" i="4"/>
  <c r="Q89" i="4"/>
  <c r="Q87" i="4"/>
  <c r="R30" i="4"/>
  <c r="R29" i="4"/>
  <c r="R28" i="4"/>
  <c r="R27" i="4"/>
  <c r="R37" i="4"/>
  <c r="S3" i="8"/>
  <c r="R52" i="4"/>
  <c r="R50" i="4"/>
  <c r="Q42" i="4"/>
  <c r="Q40" i="4"/>
  <c r="R48" i="4"/>
  <c r="Q41" i="4"/>
  <c r="R47" i="4"/>
  <c r="Q43" i="4"/>
  <c r="R46" i="4"/>
  <c r="Q39" i="4"/>
  <c r="R49" i="4"/>
  <c r="F112" i="4"/>
  <c r="F351" i="4"/>
  <c r="E116" i="4"/>
  <c r="Y8" i="4"/>
  <c r="P18" i="4"/>
  <c r="P58" i="4"/>
  <c r="P57" i="4"/>
  <c r="P17" i="4"/>
  <c r="P59" i="4"/>
  <c r="P19" i="4"/>
  <c r="Q2" i="4"/>
  <c r="S2" i="8"/>
  <c r="T1" i="8"/>
  <c r="R1" i="4"/>
  <c r="G379" i="4"/>
  <c r="S13" i="8" l="1"/>
  <c r="S14" i="8" s="1"/>
  <c r="S54" i="8"/>
  <c r="S53" i="8"/>
  <c r="S55" i="8"/>
  <c r="S6" i="8"/>
  <c r="S15" i="8"/>
  <c r="S5" i="8"/>
  <c r="S60" i="8"/>
  <c r="S83" i="8" s="1"/>
  <c r="S377" i="8"/>
  <c r="Q60" i="4"/>
  <c r="Q377" i="4"/>
  <c r="R3" i="4"/>
  <c r="Q55" i="4"/>
  <c r="Q6" i="4"/>
  <c r="Q15" i="4"/>
  <c r="Q13" i="4"/>
  <c r="Q14" i="4" s="1"/>
  <c r="Q5" i="4"/>
  <c r="Q54" i="4"/>
  <c r="Q53" i="4"/>
  <c r="Q84" i="4"/>
  <c r="Q352" i="4" s="1"/>
  <c r="R62" i="8"/>
  <c r="Q83" i="4"/>
  <c r="G112" i="8"/>
  <c r="F116" i="8"/>
  <c r="E123" i="8"/>
  <c r="G351" i="8"/>
  <c r="H105" i="8"/>
  <c r="N100" i="8"/>
  <c r="D127" i="8"/>
  <c r="D128" i="8" s="1"/>
  <c r="D129" i="8" s="1"/>
  <c r="P69" i="8"/>
  <c r="Q65" i="8"/>
  <c r="Q21" i="8" s="1"/>
  <c r="Q22" i="8" s="1"/>
  <c r="Q64" i="8" s="1"/>
  <c r="Q66" i="8" s="1"/>
  <c r="O370" i="8"/>
  <c r="O379" i="8" s="1"/>
  <c r="O99" i="8"/>
  <c r="O97" i="8"/>
  <c r="O371" i="8" s="1"/>
  <c r="O380" i="8" s="1"/>
  <c r="S25" i="8"/>
  <c r="S58" i="8"/>
  <c r="S70" i="8"/>
  <c r="S338" i="8" s="1"/>
  <c r="S84" i="8"/>
  <c r="S352" i="8" s="1"/>
  <c r="S61" i="8"/>
  <c r="S19" i="8"/>
  <c r="S20" i="8"/>
  <c r="S57" i="8"/>
  <c r="S44" i="8"/>
  <c r="S18" i="8"/>
  <c r="S59" i="8"/>
  <c r="S17" i="8"/>
  <c r="W8" i="8"/>
  <c r="Q61" i="4"/>
  <c r="Q70" i="4"/>
  <c r="Q338" i="4" s="1"/>
  <c r="Q44" i="4"/>
  <c r="Q25" i="4"/>
  <c r="Q20" i="4"/>
  <c r="P62" i="4"/>
  <c r="J21" i="4"/>
  <c r="J22" i="4" s="1"/>
  <c r="J64" i="4" s="1"/>
  <c r="J66" i="4" s="1"/>
  <c r="I97" i="4"/>
  <c r="I371" i="4" s="1"/>
  <c r="I380" i="4" s="1"/>
  <c r="I99" i="4"/>
  <c r="I100" i="4" s="1"/>
  <c r="G106" i="4"/>
  <c r="G107" i="4" s="1"/>
  <c r="S31" i="4"/>
  <c r="S35" i="4"/>
  <c r="S33" i="4"/>
  <c r="S36" i="4"/>
  <c r="S32" i="4"/>
  <c r="S34" i="4"/>
  <c r="R92" i="4"/>
  <c r="R95" i="4"/>
  <c r="R94" i="4"/>
  <c r="R86" i="4"/>
  <c r="R91" i="4"/>
  <c r="R96" i="4"/>
  <c r="R364" i="4" s="1"/>
  <c r="R88" i="4"/>
  <c r="R87" i="4"/>
  <c r="R89" i="4"/>
  <c r="R90" i="4"/>
  <c r="R93" i="4"/>
  <c r="D313" i="4"/>
  <c r="S30" i="4"/>
  <c r="S27" i="4"/>
  <c r="S29" i="4"/>
  <c r="S28" i="4"/>
  <c r="S37" i="4"/>
  <c r="S50" i="4"/>
  <c r="R43" i="4"/>
  <c r="S49" i="4"/>
  <c r="R41" i="4"/>
  <c r="S48" i="4"/>
  <c r="S52" i="4"/>
  <c r="R39" i="4"/>
  <c r="S47" i="4"/>
  <c r="S46" i="4"/>
  <c r="R40" i="4"/>
  <c r="R42" i="4"/>
  <c r="T3" i="8"/>
  <c r="Z8" i="4"/>
  <c r="E121" i="4"/>
  <c r="E122" i="4"/>
  <c r="D124" i="4"/>
  <c r="Q58" i="4"/>
  <c r="Q57" i="4"/>
  <c r="Q17" i="4"/>
  <c r="Q59" i="4"/>
  <c r="Q19" i="4"/>
  <c r="Q18" i="4"/>
  <c r="R2" i="4"/>
  <c r="F113" i="4"/>
  <c r="E117" i="4" s="1"/>
  <c r="E120" i="4" s="1"/>
  <c r="T2" i="8"/>
  <c r="U1" i="8"/>
  <c r="S1" i="4"/>
  <c r="R60" i="4" l="1"/>
  <c r="R6" i="4"/>
  <c r="R377" i="4"/>
  <c r="R55" i="4"/>
  <c r="R5" i="4"/>
  <c r="S3" i="4"/>
  <c r="S53" i="4" s="1"/>
  <c r="R13" i="4"/>
  <c r="R14" i="4" s="1"/>
  <c r="R54" i="4"/>
  <c r="R15" i="4"/>
  <c r="T13" i="8"/>
  <c r="T14" i="8" s="1"/>
  <c r="T54" i="8"/>
  <c r="T55" i="8"/>
  <c r="T6" i="8"/>
  <c r="T5" i="8"/>
  <c r="T60" i="8"/>
  <c r="T15" i="8"/>
  <c r="T377" i="8"/>
  <c r="T53" i="8"/>
  <c r="R53" i="4"/>
  <c r="R84" i="4"/>
  <c r="R352" i="4" s="1"/>
  <c r="T83" i="8"/>
  <c r="S62" i="8"/>
  <c r="H106" i="8"/>
  <c r="H107" i="8" s="1"/>
  <c r="O100" i="8"/>
  <c r="Q69" i="8"/>
  <c r="R65" i="8"/>
  <c r="R21" i="8" s="1"/>
  <c r="R22" i="8" s="1"/>
  <c r="R64" i="8" s="1"/>
  <c r="R66" i="8" s="1"/>
  <c r="F121" i="8"/>
  <c r="F122" i="8"/>
  <c r="E313" i="8"/>
  <c r="E332" i="8" s="1"/>
  <c r="E361" i="8" s="1"/>
  <c r="E124" i="8"/>
  <c r="T61" i="8"/>
  <c r="T84" i="8"/>
  <c r="T352" i="8" s="1"/>
  <c r="T18" i="8"/>
  <c r="T17" i="8"/>
  <c r="T19" i="8"/>
  <c r="T20" i="8"/>
  <c r="T58" i="8"/>
  <c r="T70" i="8"/>
  <c r="T338" i="8" s="1"/>
  <c r="T57" i="8"/>
  <c r="T59" i="8"/>
  <c r="T44" i="8"/>
  <c r="T25" i="8"/>
  <c r="D130" i="8"/>
  <c r="C134" i="8" s="1"/>
  <c r="P370" i="8"/>
  <c r="P379" i="8" s="1"/>
  <c r="P99" i="8"/>
  <c r="P97" i="8"/>
  <c r="P371" i="8" s="1"/>
  <c r="P380" i="8" s="1"/>
  <c r="X8" i="8"/>
  <c r="G113" i="8"/>
  <c r="F117" i="8" s="1"/>
  <c r="R83" i="4"/>
  <c r="R61" i="4"/>
  <c r="R70" i="4"/>
  <c r="R338" i="4" s="1"/>
  <c r="R44" i="4"/>
  <c r="R25" i="4"/>
  <c r="R20" i="4"/>
  <c r="Q62" i="4"/>
  <c r="K65" i="4"/>
  <c r="J69" i="4"/>
  <c r="T34" i="4"/>
  <c r="T31" i="4"/>
  <c r="T35" i="4"/>
  <c r="T36" i="4"/>
  <c r="T32" i="4"/>
  <c r="T33" i="4"/>
  <c r="S95" i="4"/>
  <c r="S96" i="4"/>
  <c r="S364" i="4" s="1"/>
  <c r="S93" i="4"/>
  <c r="S90" i="4"/>
  <c r="S87" i="4"/>
  <c r="S94" i="4"/>
  <c r="S89" i="4"/>
  <c r="S88" i="4"/>
  <c r="S91" i="4"/>
  <c r="S92" i="4"/>
  <c r="S86" i="4"/>
  <c r="D332" i="4"/>
  <c r="E289" i="4"/>
  <c r="E308" i="4" s="1"/>
  <c r="E348" i="4" s="1"/>
  <c r="E118" i="4"/>
  <c r="E119" i="4" s="1"/>
  <c r="E123" i="4" s="1"/>
  <c r="T30" i="4"/>
  <c r="T28" i="4"/>
  <c r="T29" i="4"/>
  <c r="T27" i="4"/>
  <c r="T37" i="4"/>
  <c r="U3" i="8"/>
  <c r="S42" i="4"/>
  <c r="T49" i="4"/>
  <c r="S43" i="4"/>
  <c r="T47" i="4"/>
  <c r="T50" i="4"/>
  <c r="T48" i="4"/>
  <c r="T46" i="4"/>
  <c r="S40" i="4"/>
  <c r="S39" i="4"/>
  <c r="T52" i="4"/>
  <c r="S41" i="4"/>
  <c r="R17" i="4"/>
  <c r="R57" i="4"/>
  <c r="R58" i="4"/>
  <c r="R59" i="4"/>
  <c r="R19" i="4"/>
  <c r="R18" i="4"/>
  <c r="S2" i="4"/>
  <c r="G109" i="4"/>
  <c r="G110" i="4" s="1"/>
  <c r="D126" i="4"/>
  <c r="G108" i="4"/>
  <c r="H105" i="4" s="1"/>
  <c r="AA8" i="4"/>
  <c r="U2" i="8"/>
  <c r="T1" i="4"/>
  <c r="V1" i="8"/>
  <c r="S60" i="4" l="1"/>
  <c r="S54" i="4"/>
  <c r="S6" i="4"/>
  <c r="S15" i="4"/>
  <c r="S5" i="4"/>
  <c r="T3" i="4"/>
  <c r="S377" i="4"/>
  <c r="S55" i="4"/>
  <c r="S13" i="4"/>
  <c r="S14" i="4" s="1"/>
  <c r="U54" i="8"/>
  <c r="U55" i="8"/>
  <c r="U53" i="8"/>
  <c r="U15" i="8"/>
  <c r="U60" i="8"/>
  <c r="U377" i="8"/>
  <c r="U13" i="8"/>
  <c r="U14" i="8" s="1"/>
  <c r="U6" i="8"/>
  <c r="U5" i="8"/>
  <c r="T54" i="4"/>
  <c r="S84" i="4"/>
  <c r="S352" i="4" s="1"/>
  <c r="U83" i="8"/>
  <c r="F120" i="8"/>
  <c r="F289" i="8"/>
  <c r="F308" i="8" s="1"/>
  <c r="F348" i="8" s="1"/>
  <c r="Y8" i="8"/>
  <c r="F118" i="8"/>
  <c r="F119" i="8" s="1"/>
  <c r="P100" i="8"/>
  <c r="S65" i="8"/>
  <c r="S21" i="8" s="1"/>
  <c r="S22" i="8" s="1"/>
  <c r="S64" i="8" s="1"/>
  <c r="S66" i="8" s="1"/>
  <c r="R69" i="8"/>
  <c r="Q370" i="8"/>
  <c r="Q379" i="8" s="1"/>
  <c r="Q99" i="8"/>
  <c r="Q97" i="8"/>
  <c r="Q371" i="8" s="1"/>
  <c r="Q380" i="8" s="1"/>
  <c r="H109" i="8"/>
  <c r="H110" i="8" s="1"/>
  <c r="U61" i="8"/>
  <c r="U44" i="8"/>
  <c r="U70" i="8"/>
  <c r="U338" i="8" s="1"/>
  <c r="U57" i="8"/>
  <c r="U84" i="8"/>
  <c r="U352" i="8" s="1"/>
  <c r="U18" i="8"/>
  <c r="U17" i="8"/>
  <c r="U59" i="8"/>
  <c r="U19" i="8"/>
  <c r="U58" i="8"/>
  <c r="U25" i="8"/>
  <c r="U20" i="8"/>
  <c r="H108" i="8"/>
  <c r="T62" i="8"/>
  <c r="C137" i="8"/>
  <c r="C290" i="8"/>
  <c r="C307" i="8" s="1"/>
  <c r="C347" i="8" s="1"/>
  <c r="C136" i="8"/>
  <c r="E126" i="8"/>
  <c r="S83" i="4"/>
  <c r="S61" i="4"/>
  <c r="S70" i="4"/>
  <c r="S338" i="4" s="1"/>
  <c r="S44" i="4"/>
  <c r="S25" i="4"/>
  <c r="S20" i="4"/>
  <c r="R62" i="4"/>
  <c r="J97" i="4"/>
  <c r="J371" i="4" s="1"/>
  <c r="J380" i="4" s="1"/>
  <c r="J99" i="4"/>
  <c r="J100" i="4" s="1"/>
  <c r="J370" i="4"/>
  <c r="J379" i="4" s="1"/>
  <c r="K21" i="4"/>
  <c r="K22" i="4" s="1"/>
  <c r="K64" i="4" s="1"/>
  <c r="K66" i="4" s="1"/>
  <c r="U33" i="4"/>
  <c r="U34" i="4"/>
  <c r="U35" i="4"/>
  <c r="U36" i="4"/>
  <c r="U32" i="4"/>
  <c r="U31" i="4"/>
  <c r="T96" i="4"/>
  <c r="T364" i="4" s="1"/>
  <c r="T87" i="4"/>
  <c r="T95" i="4"/>
  <c r="T92" i="4"/>
  <c r="T94" i="4"/>
  <c r="T91" i="4"/>
  <c r="T88" i="4"/>
  <c r="T90" i="4"/>
  <c r="T89" i="4"/>
  <c r="T86" i="4"/>
  <c r="T93" i="4"/>
  <c r="F116" i="4"/>
  <c r="U30" i="4"/>
  <c r="U28" i="4"/>
  <c r="U29" i="4"/>
  <c r="U27" i="4"/>
  <c r="U37" i="4"/>
  <c r="U49" i="4"/>
  <c r="T41" i="4"/>
  <c r="U48" i="4"/>
  <c r="T40" i="4"/>
  <c r="T43" i="4"/>
  <c r="U50" i="4"/>
  <c r="U47" i="4"/>
  <c r="T39" i="4"/>
  <c r="U46" i="4"/>
  <c r="U52" i="4"/>
  <c r="T42" i="4"/>
  <c r="V3" i="8"/>
  <c r="G351" i="4"/>
  <c r="AB8" i="4"/>
  <c r="S57" i="4"/>
  <c r="S19" i="4"/>
  <c r="S59" i="4"/>
  <c r="S18" i="4"/>
  <c r="S58" i="4"/>
  <c r="S17" i="4"/>
  <c r="T2" i="4"/>
  <c r="D127" i="4"/>
  <c r="D128" i="4" s="1"/>
  <c r="D129" i="4" s="1"/>
  <c r="G112" i="4"/>
  <c r="V2" i="8"/>
  <c r="U1" i="4"/>
  <c r="W1" i="8"/>
  <c r="T60" i="4" l="1"/>
  <c r="T55" i="4"/>
  <c r="T13" i="4"/>
  <c r="T6" i="4"/>
  <c r="T15" i="4"/>
  <c r="T5" i="4"/>
  <c r="T377" i="4"/>
  <c r="U3" i="4"/>
  <c r="V6" i="8"/>
  <c r="V54" i="8"/>
  <c r="V5" i="8"/>
  <c r="V55" i="8"/>
  <c r="V53" i="8"/>
  <c r="V60" i="8"/>
  <c r="V83" i="8" s="1"/>
  <c r="V377" i="8"/>
  <c r="V15" i="8"/>
  <c r="V13" i="8"/>
  <c r="V14" i="8" s="1"/>
  <c r="T53" i="4"/>
  <c r="T84" i="4"/>
  <c r="T352" i="4" s="1"/>
  <c r="U62" i="8"/>
  <c r="H112" i="8"/>
  <c r="G116" i="8"/>
  <c r="F123" i="8"/>
  <c r="F124" i="8" s="1"/>
  <c r="Q100" i="8"/>
  <c r="D133" i="8"/>
  <c r="C140" i="8"/>
  <c r="R370" i="8"/>
  <c r="R379" i="8" s="1"/>
  <c r="R97" i="8"/>
  <c r="R371" i="8" s="1"/>
  <c r="R380" i="8" s="1"/>
  <c r="R99" i="8"/>
  <c r="S69" i="8"/>
  <c r="T65" i="8"/>
  <c r="T21" i="8" s="1"/>
  <c r="T22" i="8" s="1"/>
  <c r="T64" i="8" s="1"/>
  <c r="T66" i="8" s="1"/>
  <c r="H351" i="8"/>
  <c r="I105" i="8"/>
  <c r="V61" i="8"/>
  <c r="V44" i="8"/>
  <c r="V59" i="8"/>
  <c r="V18" i="8"/>
  <c r="V17" i="8"/>
  <c r="V19" i="8"/>
  <c r="V20" i="8"/>
  <c r="V57" i="8"/>
  <c r="V58" i="8"/>
  <c r="V25" i="8"/>
  <c r="V84" i="8"/>
  <c r="V352" i="8" s="1"/>
  <c r="V70" i="8"/>
  <c r="V338" i="8" s="1"/>
  <c r="E127" i="8"/>
  <c r="E128" i="8" s="1"/>
  <c r="E129" i="8" s="1"/>
  <c r="Z8" i="8"/>
  <c r="T83" i="4"/>
  <c r="T61" i="4"/>
  <c r="T70" i="4"/>
  <c r="T338" i="4" s="1"/>
  <c r="T44" i="4"/>
  <c r="T25" i="4"/>
  <c r="T20" i="4"/>
  <c r="S62" i="4"/>
  <c r="K69" i="4"/>
  <c r="L65" i="4"/>
  <c r="H106" i="4"/>
  <c r="H107" i="4" s="1"/>
  <c r="V32" i="4"/>
  <c r="V35" i="4"/>
  <c r="V33" i="4"/>
  <c r="V36" i="4"/>
  <c r="V34" i="4"/>
  <c r="V31" i="4"/>
  <c r="U91" i="4"/>
  <c r="U90" i="4"/>
  <c r="U89" i="4"/>
  <c r="U94" i="4"/>
  <c r="U86" i="4"/>
  <c r="U95" i="4"/>
  <c r="U87" i="4"/>
  <c r="U92" i="4"/>
  <c r="U96" i="4"/>
  <c r="U364" i="4" s="1"/>
  <c r="U93" i="4"/>
  <c r="U88" i="4"/>
  <c r="E124" i="4"/>
  <c r="E126" i="4" s="1"/>
  <c r="E127" i="4" s="1"/>
  <c r="E128" i="4" s="1"/>
  <c r="E129" i="4" s="1"/>
  <c r="E313" i="4"/>
  <c r="F122" i="4"/>
  <c r="F121" i="4"/>
  <c r="V30" i="4"/>
  <c r="V27" i="4"/>
  <c r="V29" i="4"/>
  <c r="V28" i="4"/>
  <c r="V37" i="4"/>
  <c r="W3" i="8"/>
  <c r="V48" i="4"/>
  <c r="U43" i="4"/>
  <c r="V47" i="4"/>
  <c r="U41" i="4"/>
  <c r="V46" i="4"/>
  <c r="U42" i="4"/>
  <c r="V50" i="4"/>
  <c r="U39" i="4"/>
  <c r="V49" i="4"/>
  <c r="U40" i="4"/>
  <c r="V52" i="4"/>
  <c r="AC8" i="4"/>
  <c r="T59" i="4"/>
  <c r="T57" i="4"/>
  <c r="T19" i="4"/>
  <c r="T58" i="4"/>
  <c r="T18" i="4"/>
  <c r="T17" i="4"/>
  <c r="U2" i="4"/>
  <c r="G113" i="4"/>
  <c r="F117" i="4" s="1"/>
  <c r="F120" i="4" s="1"/>
  <c r="W2" i="8"/>
  <c r="X1" i="8"/>
  <c r="V1" i="4"/>
  <c r="T14" i="4" l="1"/>
  <c r="U60" i="4"/>
  <c r="U55" i="4"/>
  <c r="U6" i="4"/>
  <c r="U5" i="4"/>
  <c r="U13" i="4"/>
  <c r="U14" i="4" s="1"/>
  <c r="U53" i="4"/>
  <c r="U15" i="4"/>
  <c r="U377" i="4"/>
  <c r="V3" i="4"/>
  <c r="V54" i="4"/>
  <c r="W54" i="8"/>
  <c r="W15" i="8"/>
  <c r="W60" i="8"/>
  <c r="W55" i="8"/>
  <c r="W53" i="8"/>
  <c r="W6" i="8"/>
  <c r="W5" i="8"/>
  <c r="W377" i="8"/>
  <c r="W13" i="8"/>
  <c r="W14" i="8" s="1"/>
  <c r="U54" i="4"/>
  <c r="U84" i="4"/>
  <c r="U352" i="4" s="1"/>
  <c r="F126" i="8"/>
  <c r="F313" i="8"/>
  <c r="F332" i="8" s="1"/>
  <c r="F361" i="8" s="1"/>
  <c r="W83" i="8"/>
  <c r="T69" i="8"/>
  <c r="U65" i="8"/>
  <c r="U21" i="8" s="1"/>
  <c r="U22" i="8" s="1"/>
  <c r="U64" i="8" s="1"/>
  <c r="U66" i="8" s="1"/>
  <c r="V62" i="8"/>
  <c r="W44" i="8"/>
  <c r="W20" i="8"/>
  <c r="W59" i="8"/>
  <c r="W84" i="8"/>
  <c r="W352" i="8" s="1"/>
  <c r="W19" i="8"/>
  <c r="W58" i="8"/>
  <c r="W61" i="8"/>
  <c r="W25" i="8"/>
  <c r="W70" i="8"/>
  <c r="W338" i="8" s="1"/>
  <c r="W57" i="8"/>
  <c r="W18" i="8"/>
  <c r="W17" i="8"/>
  <c r="AA8" i="8"/>
  <c r="R100" i="8"/>
  <c r="E130" i="8"/>
  <c r="D134" i="8" s="1"/>
  <c r="C314" i="8"/>
  <c r="C331" i="8" s="1"/>
  <c r="C360" i="8" s="1"/>
  <c r="C141" i="8"/>
  <c r="G122" i="8"/>
  <c r="G121" i="8"/>
  <c r="S370" i="8"/>
  <c r="S379" i="8" s="1"/>
  <c r="S99" i="8"/>
  <c r="S97" i="8"/>
  <c r="S371" i="8" s="1"/>
  <c r="S380" i="8" s="1"/>
  <c r="D139" i="8"/>
  <c r="D138" i="8"/>
  <c r="I106" i="8"/>
  <c r="I107" i="8" s="1"/>
  <c r="H113" i="8"/>
  <c r="G117" i="8" s="1"/>
  <c r="U83" i="4"/>
  <c r="U61" i="4"/>
  <c r="U70" i="4"/>
  <c r="U338" i="4" s="1"/>
  <c r="U44" i="4"/>
  <c r="U25" i="4"/>
  <c r="U20" i="4"/>
  <c r="T62" i="4"/>
  <c r="L21" i="4"/>
  <c r="L22" i="4" s="1"/>
  <c r="L64" i="4" s="1"/>
  <c r="L66" i="4" s="1"/>
  <c r="K97" i="4"/>
  <c r="K371" i="4" s="1"/>
  <c r="K380" i="4" s="1"/>
  <c r="K99" i="4"/>
  <c r="K100" i="4" s="1"/>
  <c r="K370" i="4"/>
  <c r="K379" i="4" s="1"/>
  <c r="W33" i="4"/>
  <c r="W32" i="4"/>
  <c r="W36" i="4"/>
  <c r="W34" i="4"/>
  <c r="W31" i="4"/>
  <c r="W35" i="4"/>
  <c r="V96" i="4"/>
  <c r="V364" i="4" s="1"/>
  <c r="V92" i="4"/>
  <c r="V86" i="4"/>
  <c r="V93" i="4"/>
  <c r="V91" i="4"/>
  <c r="V95" i="4"/>
  <c r="V89" i="4"/>
  <c r="V94" i="4"/>
  <c r="V88" i="4"/>
  <c r="V87" i="4"/>
  <c r="V90" i="4"/>
  <c r="E332" i="4"/>
  <c r="F289" i="4"/>
  <c r="F308" i="4" s="1"/>
  <c r="F348" i="4" s="1"/>
  <c r="F118" i="4"/>
  <c r="F119" i="4" s="1"/>
  <c r="F123" i="4" s="1"/>
  <c r="W30" i="4"/>
  <c r="W27" i="4"/>
  <c r="W28" i="4"/>
  <c r="W29" i="4"/>
  <c r="W37" i="4"/>
  <c r="W48" i="4"/>
  <c r="V40" i="4"/>
  <c r="W47" i="4"/>
  <c r="V39" i="4"/>
  <c r="W52" i="4"/>
  <c r="V41" i="4"/>
  <c r="W49" i="4"/>
  <c r="W50" i="4"/>
  <c r="V42" i="4"/>
  <c r="V43" i="4"/>
  <c r="W46" i="4"/>
  <c r="X3" i="8"/>
  <c r="AD8" i="4"/>
  <c r="U18" i="4"/>
  <c r="U19" i="4"/>
  <c r="U57" i="4"/>
  <c r="U58" i="4"/>
  <c r="U59" i="4"/>
  <c r="U17" i="4"/>
  <c r="V2" i="4"/>
  <c r="H109" i="4"/>
  <c r="H110" i="4" s="1"/>
  <c r="H108" i="4"/>
  <c r="I105" i="4" s="1"/>
  <c r="X2" i="8"/>
  <c r="Y1" i="8"/>
  <c r="W1" i="4"/>
  <c r="V60" i="4" l="1"/>
  <c r="V15" i="4"/>
  <c r="V6" i="4"/>
  <c r="V53" i="4"/>
  <c r="V55" i="4"/>
  <c r="V13" i="4"/>
  <c r="V14" i="4" s="1"/>
  <c r="V377" i="4"/>
  <c r="W3" i="4"/>
  <c r="V5" i="4"/>
  <c r="X55" i="8"/>
  <c r="X53" i="8"/>
  <c r="X6" i="8"/>
  <c r="X5" i="8"/>
  <c r="X15" i="8"/>
  <c r="X60" i="8"/>
  <c r="X83" i="8" s="1"/>
  <c r="X377" i="8"/>
  <c r="X13" i="8"/>
  <c r="X14" i="8" s="1"/>
  <c r="X54" i="8"/>
  <c r="V84" i="4"/>
  <c r="V352" i="4" s="1"/>
  <c r="G120" i="8"/>
  <c r="G289" i="8"/>
  <c r="G308" i="8" s="1"/>
  <c r="G348" i="8" s="1"/>
  <c r="I109" i="8"/>
  <c r="I110" i="8" s="1"/>
  <c r="AB8" i="8"/>
  <c r="I108" i="8"/>
  <c r="D137" i="8"/>
  <c r="D290" i="8"/>
  <c r="D307" i="8" s="1"/>
  <c r="D347" i="8" s="1"/>
  <c r="G118" i="8"/>
  <c r="G119" i="8" s="1"/>
  <c r="V65" i="8"/>
  <c r="V21" i="8" s="1"/>
  <c r="V22" i="8" s="1"/>
  <c r="V64" i="8" s="1"/>
  <c r="V66" i="8" s="1"/>
  <c r="U69" i="8"/>
  <c r="D135" i="8"/>
  <c r="D136" i="8" s="1"/>
  <c r="T370" i="8"/>
  <c r="T379" i="8" s="1"/>
  <c r="T97" i="8"/>
  <c r="T371" i="8" s="1"/>
  <c r="T380" i="8" s="1"/>
  <c r="T99" i="8"/>
  <c r="X59" i="8"/>
  <c r="X19" i="8"/>
  <c r="X84" i="8"/>
  <c r="X352" i="8" s="1"/>
  <c r="X58" i="8"/>
  <c r="X61" i="8"/>
  <c r="X44" i="8"/>
  <c r="X20" i="8"/>
  <c r="X25" i="8"/>
  <c r="X70" i="8"/>
  <c r="X338" i="8" s="1"/>
  <c r="X57" i="8"/>
  <c r="X18" i="8"/>
  <c r="X17" i="8"/>
  <c r="C143" i="8"/>
  <c r="F127" i="8"/>
  <c r="F128" i="8" s="1"/>
  <c r="F129" i="8" s="1"/>
  <c r="S100" i="8"/>
  <c r="W62" i="8"/>
  <c r="V83" i="4"/>
  <c r="V61" i="4"/>
  <c r="V70" i="4"/>
  <c r="V338" i="4" s="1"/>
  <c r="V44" i="4"/>
  <c r="V25" i="4"/>
  <c r="V20" i="4"/>
  <c r="U62" i="4"/>
  <c r="M65" i="4"/>
  <c r="L69" i="4"/>
  <c r="X31" i="4"/>
  <c r="X35" i="4"/>
  <c r="X33" i="4"/>
  <c r="X32" i="4"/>
  <c r="X34" i="4"/>
  <c r="X36" i="4"/>
  <c r="W93" i="4"/>
  <c r="W91" i="4"/>
  <c r="W88" i="4"/>
  <c r="W92" i="4"/>
  <c r="W96" i="4"/>
  <c r="W364" i="4" s="1"/>
  <c r="W90" i="4"/>
  <c r="W95" i="4"/>
  <c r="W89" i="4"/>
  <c r="W86" i="4"/>
  <c r="W87" i="4"/>
  <c r="W94" i="4"/>
  <c r="X30" i="4"/>
  <c r="X27" i="4"/>
  <c r="X29" i="4"/>
  <c r="X28" i="4"/>
  <c r="X37" i="4"/>
  <c r="Y3" i="8"/>
  <c r="X47" i="4"/>
  <c r="X50" i="4"/>
  <c r="W41" i="4"/>
  <c r="W42" i="4"/>
  <c r="X48" i="4"/>
  <c r="X52" i="4"/>
  <c r="X49" i="4"/>
  <c r="X46" i="4"/>
  <c r="W39" i="4"/>
  <c r="W43" i="4"/>
  <c r="W40" i="4"/>
  <c r="G116" i="4"/>
  <c r="H112" i="4"/>
  <c r="AE8" i="4"/>
  <c r="V58" i="4"/>
  <c r="V17" i="4"/>
  <c r="V19" i="4"/>
  <c r="V57" i="4"/>
  <c r="V18" i="4"/>
  <c r="V59" i="4"/>
  <c r="W2" i="4"/>
  <c r="H351" i="4"/>
  <c r="Y2" i="8"/>
  <c r="X1" i="4"/>
  <c r="Z1" i="8"/>
  <c r="W60" i="4" l="1"/>
  <c r="X3" i="4"/>
  <c r="W377" i="4"/>
  <c r="W6" i="4"/>
  <c r="W55" i="4"/>
  <c r="W53" i="4"/>
  <c r="W5" i="4"/>
  <c r="W15" i="4"/>
  <c r="W13" i="4"/>
  <c r="W14" i="4" s="1"/>
  <c r="Y55" i="8"/>
  <c r="Y53" i="8"/>
  <c r="Y6" i="8"/>
  <c r="Y5" i="8"/>
  <c r="Y15" i="8"/>
  <c r="Y60" i="8"/>
  <c r="Y83" i="8" s="1"/>
  <c r="Y377" i="8"/>
  <c r="Y13" i="8"/>
  <c r="Y14" i="8" s="1"/>
  <c r="Y54" i="8"/>
  <c r="W54" i="4"/>
  <c r="W84" i="4"/>
  <c r="W352" i="4" s="1"/>
  <c r="H116" i="8"/>
  <c r="G123" i="8"/>
  <c r="G124" i="8" s="1"/>
  <c r="F130" i="8"/>
  <c r="I112" i="8"/>
  <c r="U370" i="8"/>
  <c r="U379" i="8" s="1"/>
  <c r="U99" i="8"/>
  <c r="U97" i="8"/>
  <c r="U371" i="8" s="1"/>
  <c r="U380" i="8" s="1"/>
  <c r="V69" i="8"/>
  <c r="W65" i="8"/>
  <c r="W21" i="8" s="1"/>
  <c r="W22" i="8" s="1"/>
  <c r="W64" i="8" s="1"/>
  <c r="W66" i="8" s="1"/>
  <c r="I351" i="8"/>
  <c r="J105" i="8"/>
  <c r="C144" i="8"/>
  <c r="C145" i="8" s="1"/>
  <c r="C146" i="8" s="1"/>
  <c r="T100" i="8"/>
  <c r="Y84" i="8"/>
  <c r="Y352" i="8" s="1"/>
  <c r="Y58" i="8"/>
  <c r="Y61" i="8"/>
  <c r="Y20" i="8"/>
  <c r="Y59" i="8"/>
  <c r="Y44" i="8"/>
  <c r="Y70" i="8"/>
  <c r="Y338" i="8" s="1"/>
  <c r="Y57" i="8"/>
  <c r="Y25" i="8"/>
  <c r="Y18" i="8"/>
  <c r="Y17" i="8"/>
  <c r="Y19" i="8"/>
  <c r="AC8" i="8"/>
  <c r="X62" i="8"/>
  <c r="E133" i="8"/>
  <c r="D140" i="8"/>
  <c r="D141" i="8" s="1"/>
  <c r="W83" i="4"/>
  <c r="W61" i="4"/>
  <c r="W70" i="4"/>
  <c r="W338" i="4" s="1"/>
  <c r="W44" i="4"/>
  <c r="W25" i="4"/>
  <c r="W20" i="4"/>
  <c r="V62" i="4"/>
  <c r="L97" i="4"/>
  <c r="L371" i="4" s="1"/>
  <c r="L380" i="4" s="1"/>
  <c r="L99" i="4"/>
  <c r="L100" i="4" s="1"/>
  <c r="L370" i="4"/>
  <c r="L379" i="4" s="1"/>
  <c r="M21" i="4"/>
  <c r="M22" i="4" s="1"/>
  <c r="M64" i="4" s="1"/>
  <c r="M66" i="4" s="1"/>
  <c r="I106" i="4"/>
  <c r="I107" i="4" s="1"/>
  <c r="Y36" i="4"/>
  <c r="Y32" i="4"/>
  <c r="Y34" i="4"/>
  <c r="Y33" i="4"/>
  <c r="Y31" i="4"/>
  <c r="Y35" i="4"/>
  <c r="X94" i="4"/>
  <c r="X93" i="4"/>
  <c r="X86" i="4"/>
  <c r="X92" i="4"/>
  <c r="X88" i="4"/>
  <c r="X91" i="4"/>
  <c r="X96" i="4"/>
  <c r="X364" i="4" s="1"/>
  <c r="X90" i="4"/>
  <c r="X95" i="4"/>
  <c r="X87" i="4"/>
  <c r="X89" i="4"/>
  <c r="F313" i="4"/>
  <c r="Y30" i="4"/>
  <c r="Y27" i="4"/>
  <c r="Y28" i="4"/>
  <c r="Y29" i="4"/>
  <c r="Y37" i="4"/>
  <c r="Z3" i="8"/>
  <c r="Y47" i="4"/>
  <c r="X39" i="4"/>
  <c r="Y46" i="4"/>
  <c r="Y52" i="4"/>
  <c r="X40" i="4"/>
  <c r="X42" i="4"/>
  <c r="Y48" i="4"/>
  <c r="X43" i="4"/>
  <c r="Y49" i="4"/>
  <c r="Y50" i="4"/>
  <c r="X41" i="4"/>
  <c r="H113" i="4"/>
  <c r="G117" i="4" s="1"/>
  <c r="G120" i="4" s="1"/>
  <c r="AF8" i="4"/>
  <c r="W57" i="4"/>
  <c r="W18" i="4"/>
  <c r="W19" i="4"/>
  <c r="W17" i="4"/>
  <c r="W58" i="4"/>
  <c r="W59" i="4"/>
  <c r="X2" i="4"/>
  <c r="F124" i="4"/>
  <c r="G122" i="4"/>
  <c r="G121" i="4"/>
  <c r="Z2" i="8"/>
  <c r="AA1" i="8"/>
  <c r="Y1" i="4"/>
  <c r="Z15" i="8" l="1"/>
  <c r="Z60" i="8"/>
  <c r="Z377" i="8"/>
  <c r="Z13" i="8"/>
  <c r="Z14" i="8" s="1"/>
  <c r="Z5" i="8"/>
  <c r="Z55" i="8"/>
  <c r="Z6" i="8"/>
  <c r="Z53" i="8"/>
  <c r="Z54" i="8"/>
  <c r="X60" i="4"/>
  <c r="X83" i="4" s="1"/>
  <c r="X53" i="4"/>
  <c r="Y3" i="4"/>
  <c r="X6" i="4"/>
  <c r="X55" i="4"/>
  <c r="X15" i="4"/>
  <c r="X5" i="4"/>
  <c r="X13" i="4"/>
  <c r="X14" i="4" s="1"/>
  <c r="X377" i="4"/>
  <c r="X54" i="4"/>
  <c r="X84" i="4"/>
  <c r="X352" i="4" s="1"/>
  <c r="D143" i="8"/>
  <c r="X65" i="8"/>
  <c r="X21" i="8" s="1"/>
  <c r="X22" i="8" s="1"/>
  <c r="X64" i="8" s="1"/>
  <c r="X66" i="8" s="1"/>
  <c r="W69" i="8"/>
  <c r="Z83" i="8"/>
  <c r="I113" i="8"/>
  <c r="H117" i="8" s="1"/>
  <c r="H118" i="8" s="1"/>
  <c r="V370" i="8"/>
  <c r="V379" i="8" s="1"/>
  <c r="V99" i="8"/>
  <c r="V97" i="8"/>
  <c r="V371" i="8" s="1"/>
  <c r="V380" i="8" s="1"/>
  <c r="U100" i="8"/>
  <c r="G126" i="8"/>
  <c r="E138" i="8"/>
  <c r="E139" i="8"/>
  <c r="AD8" i="8"/>
  <c r="Y62" i="8"/>
  <c r="E134" i="8"/>
  <c r="E135" i="8" s="1"/>
  <c r="E136" i="8" s="1"/>
  <c r="C147" i="8"/>
  <c r="G313" i="8"/>
  <c r="G332" i="8" s="1"/>
  <c r="G361" i="8" s="1"/>
  <c r="Z58" i="8"/>
  <c r="Z18" i="8"/>
  <c r="Z70" i="8"/>
  <c r="Z338" i="8" s="1"/>
  <c r="Z57" i="8"/>
  <c r="Z20" i="8"/>
  <c r="Z59" i="8"/>
  <c r="Z44" i="8"/>
  <c r="Z25" i="8"/>
  <c r="Z84" i="8"/>
  <c r="Z352" i="8" s="1"/>
  <c r="Z61" i="8"/>
  <c r="Z17" i="8"/>
  <c r="Z19" i="8"/>
  <c r="D314" i="8"/>
  <c r="D331" i="8" s="1"/>
  <c r="D360" i="8" s="1"/>
  <c r="J106" i="8"/>
  <c r="J107" i="8" s="1"/>
  <c r="H121" i="8"/>
  <c r="H122" i="8"/>
  <c r="X61" i="4"/>
  <c r="X70" i="4"/>
  <c r="X338" i="4" s="1"/>
  <c r="X44" i="4"/>
  <c r="X25" i="4"/>
  <c r="X20" i="4"/>
  <c r="W62" i="4"/>
  <c r="N65" i="4"/>
  <c r="M69" i="4"/>
  <c r="Z31" i="4"/>
  <c r="Z33" i="4"/>
  <c r="Z32" i="4"/>
  <c r="Z36" i="4"/>
  <c r="Z35" i="4"/>
  <c r="Z34" i="4"/>
  <c r="Y94" i="4"/>
  <c r="Y90" i="4"/>
  <c r="Y95" i="4"/>
  <c r="Y91" i="4"/>
  <c r="Y87" i="4"/>
  <c r="Y86" i="4"/>
  <c r="Y93" i="4"/>
  <c r="Y89" i="4"/>
  <c r="Y96" i="4"/>
  <c r="Y364" i="4" s="1"/>
  <c r="Y92" i="4"/>
  <c r="Y88" i="4"/>
  <c r="F332" i="4"/>
  <c r="G289" i="4"/>
  <c r="G308" i="4" s="1"/>
  <c r="G348" i="4" s="1"/>
  <c r="G118" i="4"/>
  <c r="G119" i="4" s="1"/>
  <c r="G123" i="4" s="1"/>
  <c r="Z30" i="4"/>
  <c r="Z29" i="4"/>
  <c r="Z28" i="4"/>
  <c r="Z27" i="4"/>
  <c r="Z37" i="4"/>
  <c r="Z46" i="4"/>
  <c r="Z49" i="4"/>
  <c r="Z52" i="4"/>
  <c r="Z47" i="4"/>
  <c r="Y39" i="4"/>
  <c r="Z48" i="4"/>
  <c r="Y43" i="4"/>
  <c r="Y40" i="4"/>
  <c r="Z50" i="4"/>
  <c r="Y41" i="4"/>
  <c r="Y42" i="4"/>
  <c r="AA3" i="8"/>
  <c r="AG8" i="4"/>
  <c r="I109" i="4"/>
  <c r="I110" i="4" s="1"/>
  <c r="F126" i="4"/>
  <c r="X19" i="4"/>
  <c r="X57" i="4"/>
  <c r="X18" i="4"/>
  <c r="X59" i="4"/>
  <c r="X17" i="4"/>
  <c r="X58" i="4"/>
  <c r="Y2" i="4"/>
  <c r="AA2" i="8"/>
  <c r="Z1" i="4"/>
  <c r="AB1" i="8"/>
  <c r="Y60" i="4" l="1"/>
  <c r="Z3" i="4"/>
  <c r="Y53" i="4"/>
  <c r="Y5" i="4"/>
  <c r="Y15" i="4"/>
  <c r="Y6" i="4"/>
  <c r="Y377" i="4"/>
  <c r="Y13" i="4"/>
  <c r="Y14" i="4" s="1"/>
  <c r="Y55" i="4"/>
  <c r="AA60" i="8"/>
  <c r="AA377" i="8"/>
  <c r="AA13" i="8"/>
  <c r="AA14" i="8" s="1"/>
  <c r="AA55" i="8"/>
  <c r="AA6" i="8"/>
  <c r="AA5" i="8"/>
  <c r="AA53" i="8"/>
  <c r="AA54" i="8"/>
  <c r="AA15" i="8"/>
  <c r="Y54" i="4"/>
  <c r="Z54" i="4"/>
  <c r="Y84" i="4"/>
  <c r="Y352" i="4" s="1"/>
  <c r="AA83" i="8"/>
  <c r="F133" i="8"/>
  <c r="E140" i="8"/>
  <c r="AE8" i="8"/>
  <c r="Z62" i="8"/>
  <c r="V100" i="8"/>
  <c r="H120" i="8"/>
  <c r="H289" i="8"/>
  <c r="H308" i="8" s="1"/>
  <c r="H348" i="8" s="1"/>
  <c r="H119" i="8"/>
  <c r="W370" i="8"/>
  <c r="W379" i="8" s="1"/>
  <c r="W99" i="8"/>
  <c r="W97" i="8"/>
  <c r="W371" i="8" s="1"/>
  <c r="W380" i="8" s="1"/>
  <c r="J109" i="8"/>
  <c r="J110" i="8" s="1"/>
  <c r="G127" i="8"/>
  <c r="G128" i="8" s="1"/>
  <c r="G129" i="8" s="1"/>
  <c r="X69" i="8"/>
  <c r="Y65" i="8"/>
  <c r="Y21" i="8" s="1"/>
  <c r="Y22" i="8" s="1"/>
  <c r="Y64" i="8" s="1"/>
  <c r="Y66" i="8" s="1"/>
  <c r="E137" i="8"/>
  <c r="E290" i="8"/>
  <c r="E307" i="8" s="1"/>
  <c r="E347" i="8" s="1"/>
  <c r="D144" i="8"/>
  <c r="D145" i="8" s="1"/>
  <c r="D146" i="8" s="1"/>
  <c r="J108" i="8"/>
  <c r="AA70" i="8"/>
  <c r="AA338" i="8" s="1"/>
  <c r="AA57" i="8"/>
  <c r="AA61" i="8"/>
  <c r="AA59" i="8"/>
  <c r="AA44" i="8"/>
  <c r="AA58" i="8"/>
  <c r="AA17" i="8"/>
  <c r="AA84" i="8"/>
  <c r="AA352" i="8" s="1"/>
  <c r="AA20" i="8"/>
  <c r="AA19" i="8"/>
  <c r="AA25" i="8"/>
  <c r="AA18" i="8"/>
  <c r="Y83" i="4"/>
  <c r="Y61" i="4"/>
  <c r="Y70" i="4"/>
  <c r="Y338" i="4" s="1"/>
  <c r="Y44" i="4"/>
  <c r="Y25" i="4"/>
  <c r="Y20" i="4"/>
  <c r="X62" i="4"/>
  <c r="M99" i="4"/>
  <c r="M100" i="4" s="1"/>
  <c r="M97" i="4"/>
  <c r="M371" i="4" s="1"/>
  <c r="M380" i="4" s="1"/>
  <c r="M370" i="4"/>
  <c r="M379" i="4" s="1"/>
  <c r="N21" i="4"/>
  <c r="N22" i="4" s="1"/>
  <c r="N64" i="4" s="1"/>
  <c r="N66" i="4" s="1"/>
  <c r="I108" i="4"/>
  <c r="J105" i="4" s="1"/>
  <c r="AA34" i="4"/>
  <c r="AA36" i="4"/>
  <c r="AA35" i="4"/>
  <c r="AA33" i="4"/>
  <c r="AA31" i="4"/>
  <c r="AA32" i="4"/>
  <c r="Z91" i="4"/>
  <c r="Z96" i="4"/>
  <c r="Z364" i="4" s="1"/>
  <c r="Z92" i="4"/>
  <c r="Z88" i="4"/>
  <c r="Z87" i="4"/>
  <c r="Z95" i="4"/>
  <c r="Z90" i="4"/>
  <c r="Z94" i="4"/>
  <c r="Z86" i="4"/>
  <c r="Z89" i="4"/>
  <c r="Z93" i="4"/>
  <c r="AA30" i="4"/>
  <c r="AA28" i="4"/>
  <c r="AA29" i="4"/>
  <c r="AA27" i="4"/>
  <c r="AA37" i="4"/>
  <c r="AB3" i="8"/>
  <c r="AA46" i="4"/>
  <c r="AA52" i="4"/>
  <c r="AA47" i="4"/>
  <c r="Z39" i="4"/>
  <c r="AA50" i="4"/>
  <c r="Z42" i="4"/>
  <c r="AA48" i="4"/>
  <c r="Z43" i="4"/>
  <c r="Z40" i="4"/>
  <c r="AA49" i="4"/>
  <c r="Z41" i="4"/>
  <c r="H116" i="4"/>
  <c r="I112" i="4"/>
  <c r="F127" i="4"/>
  <c r="F128" i="4" s="1"/>
  <c r="F129" i="4" s="1"/>
  <c r="Y59" i="4"/>
  <c r="Y18" i="4"/>
  <c r="Y58" i="4"/>
  <c r="Y17" i="4"/>
  <c r="Y19" i="4"/>
  <c r="Y57" i="4"/>
  <c r="Z2" i="4"/>
  <c r="AH8" i="4"/>
  <c r="AB2" i="8"/>
  <c r="AC1" i="8"/>
  <c r="AA1" i="4"/>
  <c r="AB377" i="8" l="1"/>
  <c r="AB55" i="8"/>
  <c r="AB53" i="8"/>
  <c r="AB60" i="8"/>
  <c r="AB83" i="8" s="1"/>
  <c r="AB6" i="8"/>
  <c r="AB13" i="8"/>
  <c r="AB14" i="8" s="1"/>
  <c r="AB5" i="8"/>
  <c r="AB15" i="8"/>
  <c r="AB54" i="8"/>
  <c r="Z60" i="4"/>
  <c r="Z83" i="4" s="1"/>
  <c r="AA3" i="4"/>
  <c r="AA54" i="4" s="1"/>
  <c r="Z53" i="4"/>
  <c r="Z5" i="4"/>
  <c r="Z15" i="4"/>
  <c r="Z55" i="4"/>
  <c r="Z6" i="4"/>
  <c r="Z13" i="4"/>
  <c r="Z14" i="4" s="1"/>
  <c r="Z377" i="4"/>
  <c r="E141" i="8"/>
  <c r="E143" i="8" s="1"/>
  <c r="Z84" i="4"/>
  <c r="Z352" i="4" s="1"/>
  <c r="G130" i="8"/>
  <c r="F134" i="8" s="1"/>
  <c r="F135" i="8" s="1"/>
  <c r="F136" i="8" s="1"/>
  <c r="J112" i="8"/>
  <c r="D147" i="8"/>
  <c r="C151" i="8" s="1"/>
  <c r="I116" i="8"/>
  <c r="H123" i="8"/>
  <c r="Y69" i="8"/>
  <c r="Z65" i="8"/>
  <c r="Z21" i="8" s="1"/>
  <c r="Z22" i="8" s="1"/>
  <c r="Z64" i="8" s="1"/>
  <c r="Z66" i="8" s="1"/>
  <c r="X370" i="8"/>
  <c r="X379" i="8" s="1"/>
  <c r="X97" i="8"/>
  <c r="X371" i="8" s="1"/>
  <c r="X380" i="8" s="1"/>
  <c r="X99" i="8"/>
  <c r="J351" i="8"/>
  <c r="K105" i="8"/>
  <c r="AB70" i="8"/>
  <c r="AB338" i="8" s="1"/>
  <c r="AB57" i="8"/>
  <c r="AB17" i="8"/>
  <c r="AB44" i="8"/>
  <c r="AB25" i="8"/>
  <c r="AB58" i="8"/>
  <c r="AB18" i="8"/>
  <c r="AB84" i="8"/>
  <c r="AB352" i="8" s="1"/>
  <c r="AB20" i="8"/>
  <c r="AB61" i="8"/>
  <c r="AB19" i="8"/>
  <c r="AB59" i="8"/>
  <c r="AF8" i="8"/>
  <c r="AA62" i="8"/>
  <c r="W100" i="8"/>
  <c r="E314" i="8"/>
  <c r="E331" i="8" s="1"/>
  <c r="E360" i="8" s="1"/>
  <c r="F138" i="8"/>
  <c r="F139" i="8"/>
  <c r="J106" i="4"/>
  <c r="J107" i="4" s="1"/>
  <c r="Z61" i="4"/>
  <c r="Z70" i="4"/>
  <c r="Z338" i="4" s="1"/>
  <c r="Z44" i="4"/>
  <c r="Z25" i="4"/>
  <c r="Z20" i="4"/>
  <c r="Y62" i="4"/>
  <c r="N69" i="4"/>
  <c r="O65" i="4"/>
  <c r="I351" i="4"/>
  <c r="AB31" i="4"/>
  <c r="AB35" i="4"/>
  <c r="AB33" i="4"/>
  <c r="AB34" i="4"/>
  <c r="AB32" i="4"/>
  <c r="AB36" i="4"/>
  <c r="AA93" i="4"/>
  <c r="AA94" i="4"/>
  <c r="AA90" i="4"/>
  <c r="AA86" i="4"/>
  <c r="AA89" i="4"/>
  <c r="AA96" i="4"/>
  <c r="AA364" i="4" s="1"/>
  <c r="AA92" i="4"/>
  <c r="AA88" i="4"/>
  <c r="AA87" i="4"/>
  <c r="AA95" i="4"/>
  <c r="AA91" i="4"/>
  <c r="G124" i="4"/>
  <c r="G126" i="4" s="1"/>
  <c r="G127" i="4" s="1"/>
  <c r="G128" i="4" s="1"/>
  <c r="G129" i="4" s="1"/>
  <c r="G313" i="4"/>
  <c r="AB30" i="4"/>
  <c r="AB29" i="4"/>
  <c r="AB27" i="4"/>
  <c r="AB28" i="4"/>
  <c r="AB37" i="4"/>
  <c r="AC3" i="8"/>
  <c r="AB52" i="4"/>
  <c r="AA39" i="4"/>
  <c r="AB50" i="4"/>
  <c r="AA42" i="4"/>
  <c r="AA43" i="4"/>
  <c r="AB49" i="4"/>
  <c r="AB48" i="4"/>
  <c r="AB47" i="4"/>
  <c r="AA41" i="4"/>
  <c r="AA40" i="4"/>
  <c r="AB46" i="4"/>
  <c r="H121" i="4"/>
  <c r="H122" i="4"/>
  <c r="I113" i="4"/>
  <c r="H117" i="4" s="1"/>
  <c r="Z19" i="4"/>
  <c r="Z59" i="4"/>
  <c r="Z18" i="4"/>
  <c r="Z58" i="4"/>
  <c r="Z17" i="4"/>
  <c r="Z57" i="4"/>
  <c r="AA2" i="4"/>
  <c r="AI8" i="4"/>
  <c r="AC2" i="8"/>
  <c r="AB1" i="4"/>
  <c r="AD1" i="8"/>
  <c r="AA60" i="4" l="1"/>
  <c r="AA377" i="4"/>
  <c r="AA55" i="4"/>
  <c r="AA5" i="4"/>
  <c r="AA15" i="4"/>
  <c r="AA13" i="4"/>
  <c r="AA14" i="4" s="1"/>
  <c r="AB3" i="4"/>
  <c r="AB54" i="4" s="1"/>
  <c r="AA53" i="4"/>
  <c r="AA6" i="4"/>
  <c r="AC377" i="8"/>
  <c r="AC13" i="8"/>
  <c r="AC14" i="8" s="1"/>
  <c r="AC53" i="8"/>
  <c r="AC6" i="8"/>
  <c r="AC5" i="8"/>
  <c r="AC15" i="8"/>
  <c r="AC55" i="8"/>
  <c r="AC54" i="8"/>
  <c r="AC60" i="8"/>
  <c r="AC83" i="8" s="1"/>
  <c r="AA84" i="4"/>
  <c r="AA352" i="4" s="1"/>
  <c r="AB62" i="8"/>
  <c r="G133" i="8"/>
  <c r="F140" i="8"/>
  <c r="Z69" i="8"/>
  <c r="AA65" i="8"/>
  <c r="AA21" i="8" s="1"/>
  <c r="AA22" i="8" s="1"/>
  <c r="AA64" i="8" s="1"/>
  <c r="AA66" i="8" s="1"/>
  <c r="H313" i="8"/>
  <c r="H332" i="8" s="1"/>
  <c r="H361" i="8" s="1"/>
  <c r="H124" i="8"/>
  <c r="I122" i="8"/>
  <c r="I121" i="8"/>
  <c r="E144" i="8"/>
  <c r="E145" i="8" s="1"/>
  <c r="E146" i="8" s="1"/>
  <c r="AG8" i="8"/>
  <c r="C291" i="8"/>
  <c r="C306" i="8" s="1"/>
  <c r="C346" i="8" s="1"/>
  <c r="C154" i="8"/>
  <c r="C153" i="8"/>
  <c r="J113" i="8"/>
  <c r="I117" i="8" s="1"/>
  <c r="I118" i="8" s="1"/>
  <c r="AC59" i="8"/>
  <c r="AC58" i="8"/>
  <c r="AC57" i="8"/>
  <c r="AC25" i="8"/>
  <c r="AC84" i="8"/>
  <c r="AC352" i="8" s="1"/>
  <c r="AC19" i="8"/>
  <c r="AC20" i="8"/>
  <c r="AC18" i="8"/>
  <c r="AC70" i="8"/>
  <c r="AC338" i="8" s="1"/>
  <c r="AC61" i="8"/>
  <c r="AC44" i="8"/>
  <c r="AC17" i="8"/>
  <c r="K106" i="8"/>
  <c r="K107" i="8" s="1"/>
  <c r="Y370" i="8"/>
  <c r="Y379" i="8" s="1"/>
  <c r="Y97" i="8"/>
  <c r="Y371" i="8" s="1"/>
  <c r="Y380" i="8" s="1"/>
  <c r="Y99" i="8"/>
  <c r="X100" i="8"/>
  <c r="F137" i="8"/>
  <c r="F290" i="8"/>
  <c r="F307" i="8" s="1"/>
  <c r="F347" i="8" s="1"/>
  <c r="AA83" i="4"/>
  <c r="J109" i="4"/>
  <c r="J110" i="4" s="1"/>
  <c r="J112" i="4" s="1"/>
  <c r="J108" i="4"/>
  <c r="K105" i="4" s="1"/>
  <c r="AA61" i="4"/>
  <c r="AA70" i="4"/>
  <c r="AA338" i="4" s="1"/>
  <c r="AA44" i="4"/>
  <c r="AA25" i="4"/>
  <c r="AA20" i="4"/>
  <c r="Z62" i="4"/>
  <c r="O21" i="4"/>
  <c r="O22" i="4" s="1"/>
  <c r="O64" i="4" s="1"/>
  <c r="O66" i="4" s="1"/>
  <c r="N99" i="4"/>
  <c r="N100" i="4" s="1"/>
  <c r="N97" i="4"/>
  <c r="N371" i="4" s="1"/>
  <c r="N380" i="4" s="1"/>
  <c r="N370" i="4"/>
  <c r="N379" i="4" s="1"/>
  <c r="AC35" i="4"/>
  <c r="AC33" i="4"/>
  <c r="AC36" i="4"/>
  <c r="AC34" i="4"/>
  <c r="AC31" i="4"/>
  <c r="AC32" i="4"/>
  <c r="H289" i="4"/>
  <c r="H308" i="4" s="1"/>
  <c r="H348" i="4" s="1"/>
  <c r="H120" i="4"/>
  <c r="AB91" i="4"/>
  <c r="AB90" i="4"/>
  <c r="AB93" i="4"/>
  <c r="AB88" i="4"/>
  <c r="AB87" i="4"/>
  <c r="AB86" i="4"/>
  <c r="AB92" i="4"/>
  <c r="AB95" i="4"/>
  <c r="AB96" i="4"/>
  <c r="AB364" i="4" s="1"/>
  <c r="AB89" i="4"/>
  <c r="AB94" i="4"/>
  <c r="G332" i="4"/>
  <c r="H118" i="4"/>
  <c r="H119" i="4" s="1"/>
  <c r="H123" i="4" s="1"/>
  <c r="AC30" i="4"/>
  <c r="AC29" i="4"/>
  <c r="AC28" i="4"/>
  <c r="AC27" i="4"/>
  <c r="AC37" i="4"/>
  <c r="AD3" i="8"/>
  <c r="AC52" i="4"/>
  <c r="AC50" i="4"/>
  <c r="AB43" i="4"/>
  <c r="AB42" i="4"/>
  <c r="AC49" i="4"/>
  <c r="AB41" i="4"/>
  <c r="AB39" i="4"/>
  <c r="AC48" i="4"/>
  <c r="AC47" i="4"/>
  <c r="AB40" i="4"/>
  <c r="AC46" i="4"/>
  <c r="AA59" i="4"/>
  <c r="AA58" i="4"/>
  <c r="AA18" i="4"/>
  <c r="AA17" i="4"/>
  <c r="AA19" i="4"/>
  <c r="AA57" i="4"/>
  <c r="AB2" i="4"/>
  <c r="AJ8" i="4"/>
  <c r="AD2" i="8"/>
  <c r="AC1" i="4"/>
  <c r="AE1" i="8"/>
  <c r="AB60" i="4" l="1"/>
  <c r="AC3" i="4"/>
  <c r="AB53" i="4"/>
  <c r="AB6" i="4"/>
  <c r="AB15" i="4"/>
  <c r="AB55" i="4"/>
  <c r="AB13" i="4"/>
  <c r="AB14" i="4" s="1"/>
  <c r="AB5" i="4"/>
  <c r="AB377" i="4"/>
  <c r="AC54" i="4"/>
  <c r="AD13" i="8"/>
  <c r="AD14" i="8" s="1"/>
  <c r="AD55" i="8"/>
  <c r="AD53" i="8"/>
  <c r="AD6" i="8"/>
  <c r="AD15" i="8"/>
  <c r="AD5" i="8"/>
  <c r="AD60" i="8"/>
  <c r="AD83" i="8" s="1"/>
  <c r="AD377" i="8"/>
  <c r="AD54" i="8"/>
  <c r="AB84" i="4"/>
  <c r="AB352" i="4" s="1"/>
  <c r="F141" i="8"/>
  <c r="F143" i="8" s="1"/>
  <c r="I119" i="8"/>
  <c r="J116" i="8" s="1"/>
  <c r="E147" i="8"/>
  <c r="D150" i="8"/>
  <c r="C157" i="8"/>
  <c r="C158" i="8" s="1"/>
  <c r="H126" i="8"/>
  <c r="Y100" i="8"/>
  <c r="I120" i="8"/>
  <c r="I289" i="8"/>
  <c r="I308" i="8" s="1"/>
  <c r="I348" i="8" s="1"/>
  <c r="AA69" i="8"/>
  <c r="AB65" i="8"/>
  <c r="AB21" i="8" s="1"/>
  <c r="AB22" i="8" s="1"/>
  <c r="AB64" i="8" s="1"/>
  <c r="AB66" i="8" s="1"/>
  <c r="AH8" i="8"/>
  <c r="Z370" i="8"/>
  <c r="Z379" i="8" s="1"/>
  <c r="Z97" i="8"/>
  <c r="Z371" i="8" s="1"/>
  <c r="Z380" i="8" s="1"/>
  <c r="Z99" i="8"/>
  <c r="K109" i="8"/>
  <c r="K110" i="8" s="1"/>
  <c r="AC62" i="8"/>
  <c r="F314" i="8"/>
  <c r="F331" i="8" s="1"/>
  <c r="F360" i="8" s="1"/>
  <c r="AD84" i="8"/>
  <c r="AD352" i="8" s="1"/>
  <c r="AD25" i="8"/>
  <c r="AD57" i="8"/>
  <c r="AD17" i="8"/>
  <c r="AD70" i="8"/>
  <c r="AD338" i="8" s="1"/>
  <c r="AD61" i="8"/>
  <c r="AD18" i="8"/>
  <c r="AD19" i="8"/>
  <c r="AD59" i="8"/>
  <c r="AD44" i="8"/>
  <c r="AD58" i="8"/>
  <c r="AD20" i="8"/>
  <c r="K108" i="8"/>
  <c r="G138" i="8"/>
  <c r="G139" i="8"/>
  <c r="AB83" i="4"/>
  <c r="AB61" i="4"/>
  <c r="AB70" i="4"/>
  <c r="AB338" i="4" s="1"/>
  <c r="AB44" i="4"/>
  <c r="AB25" i="4"/>
  <c r="AB20" i="4"/>
  <c r="AA62" i="4"/>
  <c r="P65" i="4"/>
  <c r="O69" i="4"/>
  <c r="J351" i="4"/>
  <c r="K106" i="4"/>
  <c r="K107" i="4" s="1"/>
  <c r="AD31" i="4"/>
  <c r="AD36" i="4"/>
  <c r="AD32" i="4"/>
  <c r="AD34" i="4"/>
  <c r="AD35" i="4"/>
  <c r="AD33" i="4"/>
  <c r="AC93" i="4"/>
  <c r="AC94" i="4"/>
  <c r="AC87" i="4"/>
  <c r="AC96" i="4"/>
  <c r="AC364" i="4" s="1"/>
  <c r="AC91" i="4"/>
  <c r="AC90" i="4"/>
  <c r="AC89" i="4"/>
  <c r="AC92" i="4"/>
  <c r="AC88" i="4"/>
  <c r="AC95" i="4"/>
  <c r="AC86" i="4"/>
  <c r="AD30" i="4"/>
  <c r="AD28" i="4"/>
  <c r="AD27" i="4"/>
  <c r="AD29" i="4"/>
  <c r="AD37" i="4"/>
  <c r="AE3" i="8"/>
  <c r="AD52" i="4"/>
  <c r="AD50" i="4"/>
  <c r="AC42" i="4"/>
  <c r="AD49" i="4"/>
  <c r="AD46" i="4"/>
  <c r="AC40" i="4"/>
  <c r="AC43" i="4"/>
  <c r="AC41" i="4"/>
  <c r="AD47" i="4"/>
  <c r="AC39" i="4"/>
  <c r="AD48" i="4"/>
  <c r="I116" i="4"/>
  <c r="H313" i="4"/>
  <c r="AK8" i="4"/>
  <c r="AB18" i="4"/>
  <c r="AB58" i="4"/>
  <c r="AB17" i="4"/>
  <c r="AB59" i="4"/>
  <c r="AB19" i="4"/>
  <c r="AB57" i="4"/>
  <c r="AC2" i="4"/>
  <c r="J113" i="4"/>
  <c r="I117" i="4" s="1"/>
  <c r="AE2" i="8"/>
  <c r="AF1" i="8"/>
  <c r="AD1" i="4"/>
  <c r="AC60" i="4" l="1"/>
  <c r="AC6" i="4"/>
  <c r="AC53" i="4"/>
  <c r="AC13" i="4"/>
  <c r="AC14" i="4" s="1"/>
  <c r="AC5" i="4"/>
  <c r="AD3" i="4"/>
  <c r="AD54" i="4" s="1"/>
  <c r="AC15" i="4"/>
  <c r="AC377" i="4"/>
  <c r="AC55" i="4"/>
  <c r="AE13" i="8"/>
  <c r="AE14" i="8" s="1"/>
  <c r="AE55" i="8"/>
  <c r="AE5" i="8"/>
  <c r="AE15" i="8"/>
  <c r="AE53" i="8"/>
  <c r="AE6" i="8"/>
  <c r="AE54" i="8"/>
  <c r="AE60" i="8"/>
  <c r="AE83" i="8" s="1"/>
  <c r="AE377" i="8"/>
  <c r="AC84" i="4"/>
  <c r="AC352" i="4" s="1"/>
  <c r="I123" i="8"/>
  <c r="I313" i="8" s="1"/>
  <c r="I332" i="8" s="1"/>
  <c r="I361" i="8" s="1"/>
  <c r="C160" i="8"/>
  <c r="K112" i="8"/>
  <c r="Z100" i="8"/>
  <c r="H127" i="8"/>
  <c r="H128" i="8" s="1"/>
  <c r="H129" i="8" s="1"/>
  <c r="AI8" i="8"/>
  <c r="D156" i="8"/>
  <c r="D155" i="8"/>
  <c r="AB69" i="8"/>
  <c r="AC65" i="8"/>
  <c r="AC21" i="8" s="1"/>
  <c r="AC22" i="8" s="1"/>
  <c r="AC64" i="8" s="1"/>
  <c r="AC66" i="8" s="1"/>
  <c r="AD62" i="8"/>
  <c r="AA370" i="8"/>
  <c r="AA379" i="8" s="1"/>
  <c r="AA97" i="8"/>
  <c r="AA371" i="8" s="1"/>
  <c r="AA380" i="8" s="1"/>
  <c r="AA99" i="8"/>
  <c r="K351" i="8"/>
  <c r="L105" i="8"/>
  <c r="J121" i="8"/>
  <c r="J122" i="8"/>
  <c r="C315" i="8"/>
  <c r="C330" i="8" s="1"/>
  <c r="C359" i="8" s="1"/>
  <c r="F144" i="8"/>
  <c r="F145" i="8" s="1"/>
  <c r="F146" i="8" s="1"/>
  <c r="AE25" i="8"/>
  <c r="AE84" i="8"/>
  <c r="AE352" i="8" s="1"/>
  <c r="AE58" i="8"/>
  <c r="AE57" i="8"/>
  <c r="AE61" i="8"/>
  <c r="AE20" i="8"/>
  <c r="AE70" i="8"/>
  <c r="AE338" i="8" s="1"/>
  <c r="AE18" i="8"/>
  <c r="AE17" i="8"/>
  <c r="AE59" i="8"/>
  <c r="AE44" i="8"/>
  <c r="AE19" i="8"/>
  <c r="D151" i="8"/>
  <c r="D152" i="8" s="1"/>
  <c r="AC83" i="4"/>
  <c r="AC61" i="4"/>
  <c r="AC70" i="4"/>
  <c r="AC338" i="4" s="1"/>
  <c r="AC44" i="4"/>
  <c r="AC25" i="4"/>
  <c r="AC20" i="4"/>
  <c r="AB62" i="4"/>
  <c r="O99" i="4"/>
  <c r="O100" i="4" s="1"/>
  <c r="O97" i="4"/>
  <c r="O371" i="4" s="1"/>
  <c r="O380" i="4" s="1"/>
  <c r="O370" i="4"/>
  <c r="O379" i="4" s="1"/>
  <c r="P21" i="4"/>
  <c r="P22" i="4" s="1"/>
  <c r="P64" i="4" s="1"/>
  <c r="P66" i="4" s="1"/>
  <c r="AE36" i="4"/>
  <c r="AE32" i="4"/>
  <c r="AE31" i="4"/>
  <c r="AE35" i="4"/>
  <c r="AE34" i="4"/>
  <c r="AE33" i="4"/>
  <c r="I289" i="4"/>
  <c r="I308" i="4" s="1"/>
  <c r="I348" i="4" s="1"/>
  <c r="I120" i="4"/>
  <c r="AD91" i="4"/>
  <c r="AD95" i="4"/>
  <c r="AD92" i="4"/>
  <c r="AD94" i="4"/>
  <c r="AD87" i="4"/>
  <c r="AD93" i="4"/>
  <c r="AD89" i="4"/>
  <c r="AD90" i="4"/>
  <c r="AD88" i="4"/>
  <c r="AD96" i="4"/>
  <c r="AD364" i="4" s="1"/>
  <c r="AD86" i="4"/>
  <c r="H332" i="4"/>
  <c r="I118" i="4"/>
  <c r="I119" i="4" s="1"/>
  <c r="J116" i="4" s="1"/>
  <c r="AE30" i="4"/>
  <c r="AE27" i="4"/>
  <c r="AE29" i="4"/>
  <c r="AE28" i="4"/>
  <c r="AE37" i="4"/>
  <c r="AE50" i="4"/>
  <c r="AD43" i="4"/>
  <c r="AE49" i="4"/>
  <c r="AD41" i="4"/>
  <c r="AE46" i="4"/>
  <c r="AD40" i="4"/>
  <c r="AD39" i="4"/>
  <c r="AE48" i="4"/>
  <c r="AD42" i="4"/>
  <c r="AE52" i="4"/>
  <c r="AE47" i="4"/>
  <c r="AF3" i="8"/>
  <c r="H124" i="4"/>
  <c r="H126" i="4" s="1"/>
  <c r="AL8" i="4"/>
  <c r="K109" i="4"/>
  <c r="K110" i="4" s="1"/>
  <c r="K108" i="4"/>
  <c r="L105" i="4" s="1"/>
  <c r="I122" i="4"/>
  <c r="I121" i="4"/>
  <c r="AC58" i="4"/>
  <c r="AC57" i="4"/>
  <c r="AC59" i="4"/>
  <c r="AC17" i="4"/>
  <c r="AC19" i="4"/>
  <c r="AC18" i="4"/>
  <c r="AD2" i="4"/>
  <c r="AF2" i="8"/>
  <c r="AE1" i="4"/>
  <c r="AG1" i="8"/>
  <c r="AD55" i="4" l="1"/>
  <c r="AF13" i="8"/>
  <c r="AF14" i="8" s="1"/>
  <c r="AF55" i="8"/>
  <c r="AF53" i="8"/>
  <c r="AF6" i="8"/>
  <c r="AF5" i="8"/>
  <c r="AF15" i="8"/>
  <c r="AF54" i="8"/>
  <c r="AF60" i="8"/>
  <c r="AF83" i="8" s="1"/>
  <c r="AF377" i="8"/>
  <c r="AD60" i="4"/>
  <c r="AD83" i="4" s="1"/>
  <c r="AD15" i="4"/>
  <c r="AE3" i="4"/>
  <c r="AD5" i="4"/>
  <c r="AD53" i="4"/>
  <c r="AD13" i="4"/>
  <c r="AD14" i="4" s="1"/>
  <c r="AD6" i="4"/>
  <c r="AD377" i="4"/>
  <c r="AD84" i="4"/>
  <c r="AD352" i="4" s="1"/>
  <c r="I124" i="8"/>
  <c r="I126" i="8" s="1"/>
  <c r="F147" i="8"/>
  <c r="AF61" i="8"/>
  <c r="AF57" i="8"/>
  <c r="AF25" i="8"/>
  <c r="AF70" i="8"/>
  <c r="AF338" i="8" s="1"/>
  <c r="AF84" i="8"/>
  <c r="AF352" i="8" s="1"/>
  <c r="AF19" i="8"/>
  <c r="AF17" i="8"/>
  <c r="AF18" i="8"/>
  <c r="AF59" i="8"/>
  <c r="AF44" i="8"/>
  <c r="AF20" i="8"/>
  <c r="AF58" i="8"/>
  <c r="AA100" i="8"/>
  <c r="AC69" i="8"/>
  <c r="AD65" i="8"/>
  <c r="AD21" i="8" s="1"/>
  <c r="AD22" i="8" s="1"/>
  <c r="AD64" i="8" s="1"/>
  <c r="AD66" i="8" s="1"/>
  <c r="AB370" i="8"/>
  <c r="AB379" i="8" s="1"/>
  <c r="AB99" i="8"/>
  <c r="AB97" i="8"/>
  <c r="AB371" i="8" s="1"/>
  <c r="AB380" i="8" s="1"/>
  <c r="K113" i="8"/>
  <c r="J117" i="8" s="1"/>
  <c r="H130" i="8"/>
  <c r="G134" i="8" s="1"/>
  <c r="AE62" i="8"/>
  <c r="AJ8" i="8"/>
  <c r="L106" i="8"/>
  <c r="L107" i="8" s="1"/>
  <c r="D154" i="8"/>
  <c r="D291" i="8"/>
  <c r="D306" i="8" s="1"/>
  <c r="D346" i="8" s="1"/>
  <c r="D153" i="8"/>
  <c r="C161" i="8"/>
  <c r="C162" i="8" s="1"/>
  <c r="C163" i="8" s="1"/>
  <c r="AD61" i="4"/>
  <c r="AD70" i="4"/>
  <c r="AD338" i="4" s="1"/>
  <c r="AD44" i="4"/>
  <c r="AD25" i="4"/>
  <c r="AD20" i="4"/>
  <c r="AC62" i="4"/>
  <c r="Q65" i="4"/>
  <c r="P69" i="4"/>
  <c r="AF31" i="4"/>
  <c r="AF35" i="4"/>
  <c r="AF34" i="4"/>
  <c r="AF33" i="4"/>
  <c r="AF36" i="4"/>
  <c r="AF32" i="4"/>
  <c r="AE96" i="4"/>
  <c r="AE364" i="4" s="1"/>
  <c r="AE94" i="4"/>
  <c r="AE88" i="4"/>
  <c r="AE89" i="4"/>
  <c r="AE92" i="4"/>
  <c r="AE90" i="4"/>
  <c r="AE93" i="4"/>
  <c r="AE95" i="4"/>
  <c r="AE86" i="4"/>
  <c r="AE87" i="4"/>
  <c r="AE91" i="4"/>
  <c r="I123" i="4"/>
  <c r="I313" i="4" s="1"/>
  <c r="AF30" i="4"/>
  <c r="AF29" i="4"/>
  <c r="AF28" i="4"/>
  <c r="AF27" i="4"/>
  <c r="AF37" i="4"/>
  <c r="AG3" i="8"/>
  <c r="AE42" i="4"/>
  <c r="AF49" i="4"/>
  <c r="AF50" i="4"/>
  <c r="AF46" i="4"/>
  <c r="AE40" i="4"/>
  <c r="AF48" i="4"/>
  <c r="AF47" i="4"/>
  <c r="AE39" i="4"/>
  <c r="AE43" i="4"/>
  <c r="AE41" i="4"/>
  <c r="AF52" i="4"/>
  <c r="K112" i="4"/>
  <c r="J121" i="4"/>
  <c r="J122" i="4"/>
  <c r="AM8" i="4"/>
  <c r="K351" i="4"/>
  <c r="AD17" i="4"/>
  <c r="AD57" i="4"/>
  <c r="AD59" i="4"/>
  <c r="AD58" i="4"/>
  <c r="AD19" i="4"/>
  <c r="AD18" i="4"/>
  <c r="AE2" i="4"/>
  <c r="H127" i="4"/>
  <c r="H128" i="4" s="1"/>
  <c r="H129" i="4" s="1"/>
  <c r="AG2" i="8"/>
  <c r="AH1" i="8"/>
  <c r="AF1" i="4"/>
  <c r="AE60" i="4" l="1"/>
  <c r="AE5" i="4"/>
  <c r="AE6" i="4"/>
  <c r="AF3" i="4"/>
  <c r="AF55" i="4" s="1"/>
  <c r="AE54" i="4"/>
  <c r="AE377" i="4"/>
  <c r="AE15" i="4"/>
  <c r="AE53" i="4"/>
  <c r="AE13" i="4"/>
  <c r="AE14" i="4" s="1"/>
  <c r="AG55" i="8"/>
  <c r="AG53" i="8"/>
  <c r="AG15" i="8"/>
  <c r="AG60" i="8"/>
  <c r="AG54" i="8"/>
  <c r="AG377" i="8"/>
  <c r="AG13" i="8"/>
  <c r="AG14" i="8" s="1"/>
  <c r="AG5" i="8"/>
  <c r="AG6" i="8"/>
  <c r="AE55" i="4"/>
  <c r="AE84" i="4"/>
  <c r="AE352" i="4" s="1"/>
  <c r="C164" i="8"/>
  <c r="L109" i="8"/>
  <c r="L110" i="8" s="1"/>
  <c r="AB100" i="8"/>
  <c r="L108" i="8"/>
  <c r="AE83" i="4"/>
  <c r="AK8" i="8"/>
  <c r="AE65" i="8"/>
  <c r="AE21" i="8" s="1"/>
  <c r="AE22" i="8" s="1"/>
  <c r="AE64" i="8" s="1"/>
  <c r="AE66" i="8" s="1"/>
  <c r="AD69" i="8"/>
  <c r="AC370" i="8"/>
  <c r="AC379" i="8" s="1"/>
  <c r="AC99" i="8"/>
  <c r="AC97" i="8"/>
  <c r="AC371" i="8" s="1"/>
  <c r="AC380" i="8" s="1"/>
  <c r="AF62" i="8"/>
  <c r="AG61" i="8"/>
  <c r="AG44" i="8"/>
  <c r="AG70" i="8"/>
  <c r="AG338" i="8" s="1"/>
  <c r="AG57" i="8"/>
  <c r="AG19" i="8"/>
  <c r="AG18" i="8"/>
  <c r="AG17" i="8"/>
  <c r="AG59" i="8"/>
  <c r="AG58" i="8"/>
  <c r="AG84" i="8"/>
  <c r="AG352" i="8" s="1"/>
  <c r="AG25" i="8"/>
  <c r="AG20" i="8"/>
  <c r="E150" i="8"/>
  <c r="D157" i="8"/>
  <c r="G137" i="8"/>
  <c r="G290" i="8"/>
  <c r="G307" i="8" s="1"/>
  <c r="G347" i="8" s="1"/>
  <c r="G135" i="8"/>
  <c r="G136" i="8" s="1"/>
  <c r="I127" i="8"/>
  <c r="I128" i="8" s="1"/>
  <c r="I129" i="8" s="1"/>
  <c r="AG83" i="8"/>
  <c r="J120" i="8"/>
  <c r="J289" i="8"/>
  <c r="J308" i="8" s="1"/>
  <c r="J348" i="8" s="1"/>
  <c r="J118" i="8"/>
  <c r="J119" i="8" s="1"/>
  <c r="AE61" i="4"/>
  <c r="AE70" i="4"/>
  <c r="AE338" i="4" s="1"/>
  <c r="AE44" i="4"/>
  <c r="AE25" i="4"/>
  <c r="AE20" i="4"/>
  <c r="AD62" i="4"/>
  <c r="P97" i="4"/>
  <c r="P371" i="4" s="1"/>
  <c r="P380" i="4" s="1"/>
  <c r="P99" i="4"/>
  <c r="P100" i="4" s="1"/>
  <c r="P370" i="4"/>
  <c r="P379" i="4" s="1"/>
  <c r="Q21" i="4"/>
  <c r="Q22" i="4" s="1"/>
  <c r="Q64" i="4" s="1"/>
  <c r="Q66" i="4" s="1"/>
  <c r="L106" i="4"/>
  <c r="L107" i="4" s="1"/>
  <c r="AG33" i="4"/>
  <c r="AG31" i="4"/>
  <c r="AG34" i="4"/>
  <c r="AG36" i="4"/>
  <c r="AG32" i="4"/>
  <c r="AG35" i="4"/>
  <c r="AF92" i="4"/>
  <c r="AF86" i="4"/>
  <c r="AF95" i="4"/>
  <c r="AF93" i="4"/>
  <c r="AF90" i="4"/>
  <c r="AF89" i="4"/>
  <c r="AF91" i="4"/>
  <c r="AF88" i="4"/>
  <c r="AF94" i="4"/>
  <c r="AF96" i="4"/>
  <c r="AF364" i="4" s="1"/>
  <c r="AF87" i="4"/>
  <c r="I332" i="4"/>
  <c r="AG30" i="4"/>
  <c r="AG28" i="4"/>
  <c r="AG27" i="4"/>
  <c r="AG29" i="4"/>
  <c r="AG37" i="4"/>
  <c r="AH3" i="8"/>
  <c r="AG49" i="4"/>
  <c r="AF41" i="4"/>
  <c r="AG48" i="4"/>
  <c r="AF40" i="4"/>
  <c r="AF39" i="4"/>
  <c r="AG52" i="4"/>
  <c r="AG46" i="4"/>
  <c r="AG47" i="4"/>
  <c r="AF42" i="4"/>
  <c r="AG50" i="4"/>
  <c r="AF43" i="4"/>
  <c r="K113" i="4"/>
  <c r="J117" i="4" s="1"/>
  <c r="AE57" i="4"/>
  <c r="AE19" i="4"/>
  <c r="AE59" i="4"/>
  <c r="AE58" i="4"/>
  <c r="AE17" i="4"/>
  <c r="AE18" i="4"/>
  <c r="AF2" i="4"/>
  <c r="I124" i="4"/>
  <c r="AH2" i="8"/>
  <c r="AG1" i="4"/>
  <c r="AI1" i="8"/>
  <c r="AF60" i="4" l="1"/>
  <c r="AF13" i="4"/>
  <c r="AF14" i="4" s="1"/>
  <c r="AF15" i="4"/>
  <c r="AF54" i="4"/>
  <c r="AF5" i="4"/>
  <c r="AF377" i="4"/>
  <c r="AG3" i="4"/>
  <c r="AF53" i="4"/>
  <c r="AF6" i="4"/>
  <c r="AH5" i="8"/>
  <c r="AH6" i="8"/>
  <c r="AH55" i="8"/>
  <c r="AH53" i="8"/>
  <c r="AH60" i="8"/>
  <c r="AH54" i="8"/>
  <c r="AH377" i="8"/>
  <c r="AH13" i="8"/>
  <c r="AH14" i="8" s="1"/>
  <c r="AH15" i="8"/>
  <c r="AF84" i="4"/>
  <c r="AF352" i="4" s="1"/>
  <c r="H133" i="8"/>
  <c r="G140" i="8"/>
  <c r="G141" i="8" s="1"/>
  <c r="I130" i="8"/>
  <c r="H134" i="8" s="1"/>
  <c r="AL8" i="8"/>
  <c r="AH61" i="8"/>
  <c r="AH44" i="8"/>
  <c r="AH59" i="8"/>
  <c r="AH18" i="8"/>
  <c r="AH17" i="8"/>
  <c r="AH70" i="8"/>
  <c r="AH338" i="8" s="1"/>
  <c r="AH19" i="8"/>
  <c r="AH57" i="8"/>
  <c r="AH58" i="8"/>
  <c r="AH20" i="8"/>
  <c r="AH84" i="8"/>
  <c r="AH352" i="8" s="1"/>
  <c r="AH25" i="8"/>
  <c r="D315" i="8"/>
  <c r="D330" i="8" s="1"/>
  <c r="D359" i="8" s="1"/>
  <c r="E156" i="8"/>
  <c r="E155" i="8"/>
  <c r="L351" i="8"/>
  <c r="M105" i="8"/>
  <c r="AG62" i="8"/>
  <c r="K116" i="8"/>
  <c r="J123" i="8"/>
  <c r="J313" i="8" s="1"/>
  <c r="J332" i="8" s="1"/>
  <c r="J361" i="8" s="1"/>
  <c r="AC100" i="8"/>
  <c r="L112" i="8"/>
  <c r="E151" i="8"/>
  <c r="AH83" i="8"/>
  <c r="AD370" i="8"/>
  <c r="AD379" i="8" s="1"/>
  <c r="AD97" i="8"/>
  <c r="AD371" i="8" s="1"/>
  <c r="AD380" i="8" s="1"/>
  <c r="AD99" i="8"/>
  <c r="AE69" i="8"/>
  <c r="AF65" i="8"/>
  <c r="AF21" i="8" s="1"/>
  <c r="AF22" i="8" s="1"/>
  <c r="AF64" i="8" s="1"/>
  <c r="AF66" i="8" s="1"/>
  <c r="D158" i="8"/>
  <c r="AF83" i="4"/>
  <c r="AF61" i="4"/>
  <c r="AF70" i="4"/>
  <c r="AF338" i="4" s="1"/>
  <c r="AF44" i="4"/>
  <c r="AF25" i="4"/>
  <c r="AF20" i="4"/>
  <c r="AE62" i="4"/>
  <c r="R65" i="4"/>
  <c r="Q69" i="4"/>
  <c r="AH35" i="4"/>
  <c r="AH36" i="4"/>
  <c r="AH31" i="4"/>
  <c r="AH34" i="4"/>
  <c r="AH33" i="4"/>
  <c r="AH32" i="4"/>
  <c r="J289" i="4"/>
  <c r="J308" i="4" s="1"/>
  <c r="J348" i="4" s="1"/>
  <c r="J120" i="4"/>
  <c r="AG89" i="4"/>
  <c r="AG94" i="4"/>
  <c r="AG93" i="4"/>
  <c r="AG86" i="4"/>
  <c r="AG92" i="4"/>
  <c r="AG90" i="4"/>
  <c r="AG88" i="4"/>
  <c r="AG91" i="4"/>
  <c r="AG95" i="4"/>
  <c r="AG87" i="4"/>
  <c r="AG96" i="4"/>
  <c r="AG364" i="4" s="1"/>
  <c r="J118" i="4"/>
  <c r="J119" i="4" s="1"/>
  <c r="J123" i="4" s="1"/>
  <c r="AH30" i="4"/>
  <c r="AH29" i="4"/>
  <c r="AH28" i="4"/>
  <c r="AH27" i="4"/>
  <c r="AH37" i="4"/>
  <c r="AI3" i="8"/>
  <c r="AH48" i="4"/>
  <c r="AH49" i="4"/>
  <c r="AG43" i="4"/>
  <c r="AG39" i="4"/>
  <c r="AH52" i="4"/>
  <c r="AH46" i="4"/>
  <c r="AG40" i="4"/>
  <c r="AG42" i="4"/>
  <c r="AG41" i="4"/>
  <c r="AH50" i="4"/>
  <c r="AH47" i="4"/>
  <c r="L109" i="4"/>
  <c r="L110" i="4" s="1"/>
  <c r="L108" i="4"/>
  <c r="M105" i="4" s="1"/>
  <c r="I126" i="4"/>
  <c r="AF59" i="4"/>
  <c r="AF58" i="4"/>
  <c r="AF17" i="4"/>
  <c r="AF57" i="4"/>
  <c r="AF18" i="4"/>
  <c r="AF19" i="4"/>
  <c r="AG2" i="4"/>
  <c r="AI2" i="8"/>
  <c r="AJ1" i="8"/>
  <c r="AH1" i="4"/>
  <c r="AG60" i="4" l="1"/>
  <c r="AH3" i="4"/>
  <c r="AG53" i="4"/>
  <c r="AG54" i="4"/>
  <c r="AG13" i="4"/>
  <c r="AG14" i="4" s="1"/>
  <c r="AG5" i="4"/>
  <c r="AG15" i="4"/>
  <c r="AG377" i="4"/>
  <c r="AG6" i="4"/>
  <c r="AI60" i="8"/>
  <c r="AI83" i="8" s="1"/>
  <c r="AI15" i="8"/>
  <c r="AI55" i="8"/>
  <c r="AI53" i="8"/>
  <c r="AI6" i="8"/>
  <c r="AI5" i="8"/>
  <c r="AI54" i="8"/>
  <c r="AI377" i="8"/>
  <c r="AI13" i="8"/>
  <c r="AI14" i="8" s="1"/>
  <c r="AH55" i="4"/>
  <c r="AG55" i="4"/>
  <c r="AG84" i="4"/>
  <c r="AG352" i="4" s="1"/>
  <c r="E154" i="8"/>
  <c r="E291" i="8"/>
  <c r="E306" i="8" s="1"/>
  <c r="E346" i="8" s="1"/>
  <c r="L113" i="8"/>
  <c r="K117" i="8" s="1"/>
  <c r="AH62" i="8"/>
  <c r="D160" i="8"/>
  <c r="AM8" i="8"/>
  <c r="AF69" i="8"/>
  <c r="AG65" i="8"/>
  <c r="AG21" i="8" s="1"/>
  <c r="AG22" i="8" s="1"/>
  <c r="AG64" i="8" s="1"/>
  <c r="AG66" i="8" s="1"/>
  <c r="K122" i="8"/>
  <c r="K121" i="8"/>
  <c r="G143" i="8"/>
  <c r="AE370" i="8"/>
  <c r="AE379" i="8" s="1"/>
  <c r="AE99" i="8"/>
  <c r="AE97" i="8"/>
  <c r="AE371" i="8" s="1"/>
  <c r="AE380" i="8" s="1"/>
  <c r="H137" i="8"/>
  <c r="H290" i="8"/>
  <c r="H307" i="8" s="1"/>
  <c r="H347" i="8" s="1"/>
  <c r="AI44" i="8"/>
  <c r="AI20" i="8"/>
  <c r="AI59" i="8"/>
  <c r="AI18" i="8"/>
  <c r="AI17" i="8"/>
  <c r="AI19" i="8"/>
  <c r="AI70" i="8"/>
  <c r="AI338" i="8" s="1"/>
  <c r="AI84" i="8"/>
  <c r="AI352" i="8" s="1"/>
  <c r="AI58" i="8"/>
  <c r="AI61" i="8"/>
  <c r="AI57" i="8"/>
  <c r="AI25" i="8"/>
  <c r="AD100" i="8"/>
  <c r="M106" i="8"/>
  <c r="M107" i="8" s="1"/>
  <c r="G314" i="8"/>
  <c r="G331" i="8" s="1"/>
  <c r="G360" i="8" s="1"/>
  <c r="E152" i="8"/>
  <c r="E153" i="8" s="1"/>
  <c r="H139" i="8"/>
  <c r="H138" i="8"/>
  <c r="H135" i="8"/>
  <c r="H136" i="8" s="1"/>
  <c r="I133" i="8" s="1"/>
  <c r="J124" i="8"/>
  <c r="AG83" i="4"/>
  <c r="AG61" i="4"/>
  <c r="AG70" i="4"/>
  <c r="AG338" i="4" s="1"/>
  <c r="AG44" i="4"/>
  <c r="AG25" i="4"/>
  <c r="AG20" i="4"/>
  <c r="AF62" i="4"/>
  <c r="Q99" i="4"/>
  <c r="Q100" i="4" s="1"/>
  <c r="Q97" i="4"/>
  <c r="Q371" i="4" s="1"/>
  <c r="Q380" i="4" s="1"/>
  <c r="Q370" i="4"/>
  <c r="Q379" i="4" s="1"/>
  <c r="R21" i="4"/>
  <c r="R22" i="4" s="1"/>
  <c r="R64" i="4" s="1"/>
  <c r="R66" i="4" s="1"/>
  <c r="AI34" i="4"/>
  <c r="AI36" i="4"/>
  <c r="AI35" i="4"/>
  <c r="AI31" i="4"/>
  <c r="AI33" i="4"/>
  <c r="AI32" i="4"/>
  <c r="AH95" i="4"/>
  <c r="AH91" i="4"/>
  <c r="AH96" i="4"/>
  <c r="AH364" i="4" s="1"/>
  <c r="AH90" i="4"/>
  <c r="AH89" i="4"/>
  <c r="AH88" i="4"/>
  <c r="AH93" i="4"/>
  <c r="AH87" i="4"/>
  <c r="AH92" i="4"/>
  <c r="AH86" i="4"/>
  <c r="AH94" i="4"/>
  <c r="AI30" i="4"/>
  <c r="AI28" i="4"/>
  <c r="AI27" i="4"/>
  <c r="AI29" i="4"/>
  <c r="AI37" i="4"/>
  <c r="AJ3" i="8"/>
  <c r="AI48" i="4"/>
  <c r="AH40" i="4"/>
  <c r="AI47" i="4"/>
  <c r="AH39" i="4"/>
  <c r="AI52" i="4"/>
  <c r="AH43" i="4"/>
  <c r="AI46" i="4"/>
  <c r="AI49" i="4"/>
  <c r="AH42" i="4"/>
  <c r="AH41" i="4"/>
  <c r="AI50" i="4"/>
  <c r="L351" i="4"/>
  <c r="L112" i="4"/>
  <c r="K116" i="4"/>
  <c r="J313" i="4"/>
  <c r="AG18" i="4"/>
  <c r="AG58" i="4"/>
  <c r="AG57" i="4"/>
  <c r="AG17" i="4"/>
  <c r="AG19" i="4"/>
  <c r="AG59" i="4"/>
  <c r="AH2" i="4"/>
  <c r="I127" i="4"/>
  <c r="I128" i="4" s="1"/>
  <c r="I129" i="4" s="1"/>
  <c r="AJ2" i="8"/>
  <c r="AK1" i="8"/>
  <c r="AI1" i="4"/>
  <c r="AH60" i="4" l="1"/>
  <c r="AH377" i="4"/>
  <c r="AH53" i="4"/>
  <c r="AH15" i="4"/>
  <c r="AH6" i="4"/>
  <c r="AI3" i="4"/>
  <c r="AH54" i="4"/>
  <c r="AH5" i="4"/>
  <c r="AH13" i="4"/>
  <c r="AH14" i="4" s="1"/>
  <c r="AJ55" i="8"/>
  <c r="AJ53" i="8"/>
  <c r="AJ6" i="8"/>
  <c r="AJ5" i="8"/>
  <c r="AJ15" i="8"/>
  <c r="AJ60" i="8"/>
  <c r="AJ83" i="8" s="1"/>
  <c r="AJ54" i="8"/>
  <c r="AJ377" i="8"/>
  <c r="AJ13" i="8"/>
  <c r="AJ14" i="8" s="1"/>
  <c r="AI55" i="4"/>
  <c r="AH84" i="4"/>
  <c r="AH352" i="4" s="1"/>
  <c r="F150" i="8"/>
  <c r="E157" i="8"/>
  <c r="E158" i="8" s="1"/>
  <c r="I139" i="8"/>
  <c r="I138" i="8"/>
  <c r="AE100" i="8"/>
  <c r="H140" i="8"/>
  <c r="H314" i="8" s="1"/>
  <c r="H331" i="8" s="1"/>
  <c r="H360" i="8" s="1"/>
  <c r="M109" i="8"/>
  <c r="M110" i="8" s="1"/>
  <c r="M108" i="8"/>
  <c r="G144" i="8"/>
  <c r="G145" i="8" s="1"/>
  <c r="G146" i="8" s="1"/>
  <c r="D161" i="8"/>
  <c r="D162" i="8" s="1"/>
  <c r="D163" i="8" s="1"/>
  <c r="AJ59" i="8"/>
  <c r="AJ19" i="8"/>
  <c r="AJ84" i="8"/>
  <c r="AJ352" i="8" s="1"/>
  <c r="AJ58" i="8"/>
  <c r="AJ70" i="8"/>
  <c r="AJ338" i="8" s="1"/>
  <c r="AJ20" i="8"/>
  <c r="AJ44" i="8"/>
  <c r="AJ57" i="8"/>
  <c r="AJ18" i="8"/>
  <c r="AJ61" i="8"/>
  <c r="AJ17" i="8"/>
  <c r="AJ25" i="8"/>
  <c r="J126" i="8"/>
  <c r="AI62" i="8"/>
  <c r="K120" i="8"/>
  <c r="K289" i="8"/>
  <c r="K308" i="8" s="1"/>
  <c r="K348" i="8" s="1"/>
  <c r="AG69" i="8"/>
  <c r="AH65" i="8"/>
  <c r="AH21" i="8" s="1"/>
  <c r="AH22" i="8" s="1"/>
  <c r="AH64" i="8" s="1"/>
  <c r="AH66" i="8" s="1"/>
  <c r="K118" i="8"/>
  <c r="K119" i="8" s="1"/>
  <c r="AF370" i="8"/>
  <c r="AF379" i="8" s="1"/>
  <c r="AF97" i="8"/>
  <c r="AF371" i="8" s="1"/>
  <c r="AF380" i="8" s="1"/>
  <c r="AF99" i="8"/>
  <c r="AH83" i="4"/>
  <c r="AH61" i="4"/>
  <c r="AH70" i="4"/>
  <c r="AH338" i="4" s="1"/>
  <c r="AH44" i="4"/>
  <c r="AH25" i="4"/>
  <c r="AH20" i="4"/>
  <c r="AG62" i="4"/>
  <c r="R69" i="4"/>
  <c r="S65" i="4"/>
  <c r="M106" i="4"/>
  <c r="M107" i="4" s="1"/>
  <c r="AJ36" i="4"/>
  <c r="AJ34" i="4"/>
  <c r="AJ35" i="4"/>
  <c r="AJ32" i="4"/>
  <c r="AJ31" i="4"/>
  <c r="AJ33" i="4"/>
  <c r="AI96" i="4"/>
  <c r="AI364" i="4" s="1"/>
  <c r="AI92" i="4"/>
  <c r="AI91" i="4"/>
  <c r="AI93" i="4"/>
  <c r="AI88" i="4"/>
  <c r="AI89" i="4"/>
  <c r="AI87" i="4"/>
  <c r="AI95" i="4"/>
  <c r="AI86" i="4"/>
  <c r="AI90" i="4"/>
  <c r="AI94" i="4"/>
  <c r="J332" i="4"/>
  <c r="AJ30" i="4"/>
  <c r="AJ29" i="4"/>
  <c r="AJ28" i="4"/>
  <c r="AJ27" i="4"/>
  <c r="AJ37" i="4"/>
  <c r="AK3" i="8"/>
  <c r="AJ47" i="4"/>
  <c r="AJ50" i="4"/>
  <c r="AI43" i="4"/>
  <c r="AJ48" i="4"/>
  <c r="AI41" i="4"/>
  <c r="AJ52" i="4"/>
  <c r="AI42" i="4"/>
  <c r="AJ46" i="4"/>
  <c r="AJ49" i="4"/>
  <c r="AI40" i="4"/>
  <c r="AI39" i="4"/>
  <c r="L113" i="4"/>
  <c r="K117" i="4" s="1"/>
  <c r="J124" i="4"/>
  <c r="AH58" i="4"/>
  <c r="AH57" i="4"/>
  <c r="AH19" i="4"/>
  <c r="AH18" i="4"/>
  <c r="AH17" i="4"/>
  <c r="AH59" i="4"/>
  <c r="AI2" i="4"/>
  <c r="K121" i="4"/>
  <c r="K122" i="4"/>
  <c r="AK2" i="8"/>
  <c r="AJ1" i="4"/>
  <c r="AL1" i="8"/>
  <c r="AK53" i="8" l="1"/>
  <c r="AK6" i="8"/>
  <c r="AK5" i="8"/>
  <c r="AK15" i="8"/>
  <c r="AK60" i="8"/>
  <c r="AK83" i="8" s="1"/>
  <c r="AK54" i="8"/>
  <c r="AK377" i="8"/>
  <c r="AK13" i="8"/>
  <c r="AK14" i="8" s="1"/>
  <c r="AK55" i="8"/>
  <c r="AI60" i="4"/>
  <c r="AI83" i="4" s="1"/>
  <c r="AI5" i="4"/>
  <c r="AI377" i="4"/>
  <c r="AI53" i="4"/>
  <c r="AJ3" i="4"/>
  <c r="AJ55" i="4" s="1"/>
  <c r="AI6" i="4"/>
  <c r="AI54" i="4"/>
  <c r="AI15" i="4"/>
  <c r="AI13" i="4"/>
  <c r="AI14" i="4" s="1"/>
  <c r="AI84" i="4"/>
  <c r="AI352" i="4" s="1"/>
  <c r="H141" i="8"/>
  <c r="H143" i="8" s="1"/>
  <c r="D164" i="8"/>
  <c r="C168" i="8" s="1"/>
  <c r="M112" i="8"/>
  <c r="G147" i="8"/>
  <c r="F151" i="8" s="1"/>
  <c r="F152" i="8" s="1"/>
  <c r="F153" i="8" s="1"/>
  <c r="L116" i="8"/>
  <c r="K123" i="8"/>
  <c r="K313" i="8" s="1"/>
  <c r="K332" i="8" s="1"/>
  <c r="K361" i="8" s="1"/>
  <c r="AH69" i="8"/>
  <c r="AI65" i="8"/>
  <c r="AI21" i="8" s="1"/>
  <c r="AI22" i="8" s="1"/>
  <c r="AI64" i="8" s="1"/>
  <c r="AI66" i="8" s="1"/>
  <c r="AG370" i="8"/>
  <c r="AG379" i="8" s="1"/>
  <c r="AG97" i="8"/>
  <c r="AG371" i="8" s="1"/>
  <c r="AG380" i="8" s="1"/>
  <c r="AG99" i="8"/>
  <c r="AK84" i="8"/>
  <c r="AK352" i="8" s="1"/>
  <c r="AK58" i="8"/>
  <c r="AK19" i="8"/>
  <c r="AK20" i="8"/>
  <c r="AK25" i="8"/>
  <c r="AK18" i="8"/>
  <c r="AK61" i="8"/>
  <c r="AK17" i="8"/>
  <c r="AK59" i="8"/>
  <c r="AK44" i="8"/>
  <c r="AK70" i="8"/>
  <c r="AK338" i="8" s="1"/>
  <c r="AK57" i="8"/>
  <c r="M351" i="8"/>
  <c r="N105" i="8"/>
  <c r="E160" i="8"/>
  <c r="AJ62" i="8"/>
  <c r="J127" i="8"/>
  <c r="J128" i="8" s="1"/>
  <c r="J129" i="8" s="1"/>
  <c r="E315" i="8"/>
  <c r="E330" i="8" s="1"/>
  <c r="E359" i="8" s="1"/>
  <c r="AF100" i="8"/>
  <c r="F155" i="8"/>
  <c r="F156" i="8"/>
  <c r="AI61" i="4"/>
  <c r="AI70" i="4"/>
  <c r="AI338" i="4" s="1"/>
  <c r="AI44" i="4"/>
  <c r="AI25" i="4"/>
  <c r="AI20" i="4"/>
  <c r="AH62" i="4"/>
  <c r="S21" i="4"/>
  <c r="S22" i="4" s="1"/>
  <c r="S64" i="4" s="1"/>
  <c r="S66" i="4" s="1"/>
  <c r="R97" i="4"/>
  <c r="R371" i="4" s="1"/>
  <c r="R380" i="4" s="1"/>
  <c r="R99" i="4"/>
  <c r="R100" i="4" s="1"/>
  <c r="R370" i="4"/>
  <c r="R379" i="4" s="1"/>
  <c r="AK33" i="4"/>
  <c r="AK31" i="4"/>
  <c r="AK36" i="4"/>
  <c r="AK32" i="4"/>
  <c r="AK35" i="4"/>
  <c r="AK34" i="4"/>
  <c r="K289" i="4"/>
  <c r="K308" i="4" s="1"/>
  <c r="K348" i="4" s="1"/>
  <c r="K120" i="4"/>
  <c r="AJ88" i="4"/>
  <c r="AJ92" i="4"/>
  <c r="AJ93" i="4"/>
  <c r="AJ87" i="4"/>
  <c r="AJ89" i="4"/>
  <c r="AJ91" i="4"/>
  <c r="AJ95" i="4"/>
  <c r="AJ90" i="4"/>
  <c r="AJ86" i="4"/>
  <c r="AJ96" i="4"/>
  <c r="AJ364" i="4" s="1"/>
  <c r="AJ94" i="4"/>
  <c r="K118" i="4"/>
  <c r="K119" i="4" s="1"/>
  <c r="K123" i="4" s="1"/>
  <c r="AK30" i="4"/>
  <c r="AK29" i="4"/>
  <c r="AK27" i="4"/>
  <c r="AK28" i="4"/>
  <c r="AK37" i="4"/>
  <c r="AK47" i="4"/>
  <c r="AJ39" i="4"/>
  <c r="AK46" i="4"/>
  <c r="AK48" i="4"/>
  <c r="AJ41" i="4"/>
  <c r="AK49" i="4"/>
  <c r="AJ40" i="4"/>
  <c r="AK52" i="4"/>
  <c r="AK50" i="4"/>
  <c r="AJ42" i="4"/>
  <c r="AJ43" i="4"/>
  <c r="AL3" i="8"/>
  <c r="M109" i="4"/>
  <c r="M110" i="4" s="1"/>
  <c r="M108" i="4"/>
  <c r="N105" i="4" s="1"/>
  <c r="J126" i="4"/>
  <c r="AI58" i="4"/>
  <c r="AI19" i="4"/>
  <c r="AI17" i="4"/>
  <c r="AI57" i="4"/>
  <c r="AI59" i="4"/>
  <c r="AI18" i="4"/>
  <c r="AJ2" i="4"/>
  <c r="AL2" i="8"/>
  <c r="AM1" i="8"/>
  <c r="AK1" i="4"/>
  <c r="AL15" i="8" l="1"/>
  <c r="AL60" i="8"/>
  <c r="AL54" i="8"/>
  <c r="AL377" i="8"/>
  <c r="AL13" i="8"/>
  <c r="AL14" i="8" s="1"/>
  <c r="AL6" i="8"/>
  <c r="AL5" i="8"/>
  <c r="AL53" i="8"/>
  <c r="AL55" i="8"/>
  <c r="AJ60" i="4"/>
  <c r="AJ83" i="4" s="1"/>
  <c r="AJ54" i="4"/>
  <c r="AJ15" i="4"/>
  <c r="AJ6" i="4"/>
  <c r="AJ377" i="4"/>
  <c r="AJ5" i="4"/>
  <c r="AJ53" i="4"/>
  <c r="AJ13" i="4"/>
  <c r="AJ14" i="4" s="1"/>
  <c r="AK3" i="4"/>
  <c r="AK55" i="4"/>
  <c r="AJ84" i="4"/>
  <c r="AJ352" i="4" s="1"/>
  <c r="AL83" i="8"/>
  <c r="AK62" i="8"/>
  <c r="G150" i="8"/>
  <c r="F157" i="8"/>
  <c r="AJ65" i="8"/>
  <c r="AJ21" i="8" s="1"/>
  <c r="AJ22" i="8" s="1"/>
  <c r="AJ64" i="8" s="1"/>
  <c r="AJ66" i="8" s="1"/>
  <c r="AI69" i="8"/>
  <c r="H144" i="8"/>
  <c r="H145" i="8" s="1"/>
  <c r="H146" i="8" s="1"/>
  <c r="AH370" i="8"/>
  <c r="AH379" i="8" s="1"/>
  <c r="AH99" i="8"/>
  <c r="AH97" i="8"/>
  <c r="AH371" i="8" s="1"/>
  <c r="AH380" i="8" s="1"/>
  <c r="L122" i="8"/>
  <c r="L121" i="8"/>
  <c r="E161" i="8"/>
  <c r="E162" i="8" s="1"/>
  <c r="E163" i="8" s="1"/>
  <c r="F154" i="8"/>
  <c r="F291" i="8"/>
  <c r="F306" i="8" s="1"/>
  <c r="F346" i="8" s="1"/>
  <c r="N106" i="8"/>
  <c r="N107" i="8" s="1"/>
  <c r="K124" i="8"/>
  <c r="M113" i="8"/>
  <c r="L117" i="8" s="1"/>
  <c r="J130" i="8"/>
  <c r="I134" i="8" s="1"/>
  <c r="AG100" i="8"/>
  <c r="C292" i="8"/>
  <c r="C304" i="8" s="1"/>
  <c r="C343" i="8" s="1"/>
  <c r="C171" i="8"/>
  <c r="C170" i="8"/>
  <c r="AL84" i="8"/>
  <c r="AL352" i="8" s="1"/>
  <c r="AL58" i="8"/>
  <c r="AL18" i="8"/>
  <c r="AL70" i="8"/>
  <c r="AL338" i="8" s="1"/>
  <c r="AL57" i="8"/>
  <c r="AL20" i="8"/>
  <c r="AL61" i="8"/>
  <c r="AL17" i="8"/>
  <c r="AL19" i="8"/>
  <c r="AL59" i="8"/>
  <c r="AL44" i="8"/>
  <c r="AL25" i="8"/>
  <c r="AJ61" i="4"/>
  <c r="AJ70" i="4"/>
  <c r="AJ338" i="4" s="1"/>
  <c r="AJ44" i="4"/>
  <c r="AJ25" i="4"/>
  <c r="AJ20" i="4"/>
  <c r="AI62" i="4"/>
  <c r="S69" i="4"/>
  <c r="T65" i="4"/>
  <c r="AL33" i="4"/>
  <c r="AL32" i="4"/>
  <c r="AL31" i="4"/>
  <c r="AL35" i="4"/>
  <c r="AL34" i="4"/>
  <c r="AL36" i="4"/>
  <c r="AK90" i="4"/>
  <c r="AK95" i="4"/>
  <c r="AK91" i="4"/>
  <c r="AK87" i="4"/>
  <c r="AK94" i="4"/>
  <c r="AK86" i="4"/>
  <c r="AK93" i="4"/>
  <c r="AK89" i="4"/>
  <c r="AK88" i="4"/>
  <c r="AK92" i="4"/>
  <c r="AK96" i="4"/>
  <c r="AK364" i="4" s="1"/>
  <c r="AL30" i="4"/>
  <c r="AL27" i="4"/>
  <c r="AL28" i="4"/>
  <c r="AL29" i="4"/>
  <c r="AL37" i="4"/>
  <c r="AM3" i="8"/>
  <c r="AL46" i="4"/>
  <c r="AL49" i="4"/>
  <c r="AK41" i="4"/>
  <c r="AL50" i="4"/>
  <c r="AL52" i="4"/>
  <c r="AK42" i="4"/>
  <c r="AL48" i="4"/>
  <c r="AK40" i="4"/>
  <c r="AL47" i="4"/>
  <c r="AK43" i="4"/>
  <c r="AK39" i="4"/>
  <c r="M112" i="4"/>
  <c r="M351" i="4"/>
  <c r="AJ19" i="4"/>
  <c r="AJ57" i="4"/>
  <c r="AJ59" i="4"/>
  <c r="AJ18" i="4"/>
  <c r="AJ17" i="4"/>
  <c r="AJ58" i="4"/>
  <c r="AK2" i="4"/>
  <c r="L116" i="4"/>
  <c r="K313" i="4"/>
  <c r="J127" i="4"/>
  <c r="J128" i="4" s="1"/>
  <c r="J129" i="4" s="1"/>
  <c r="AM2" i="8"/>
  <c r="AL1" i="4"/>
  <c r="AK60" i="4" l="1"/>
  <c r="AK54" i="4"/>
  <c r="AL3" i="4"/>
  <c r="AK53" i="4"/>
  <c r="AK377" i="4"/>
  <c r="AK5" i="4"/>
  <c r="AK6" i="4"/>
  <c r="AK15" i="4"/>
  <c r="AK13" i="4"/>
  <c r="AK14" i="4" s="1"/>
  <c r="AM60" i="8"/>
  <c r="AM83" i="8" s="1"/>
  <c r="AM55" i="8"/>
  <c r="AM54" i="8"/>
  <c r="AM377" i="8"/>
  <c r="AM13" i="8"/>
  <c r="AM14" i="8" s="1"/>
  <c r="AM6" i="8"/>
  <c r="AM5" i="8"/>
  <c r="AM53" i="8"/>
  <c r="AM15" i="8"/>
  <c r="AL55" i="4"/>
  <c r="AK84" i="4"/>
  <c r="AK352" i="4" s="1"/>
  <c r="F158" i="8"/>
  <c r="F160" i="8" s="1"/>
  <c r="E164" i="8"/>
  <c r="AM70" i="8"/>
  <c r="AM338" i="8" s="1"/>
  <c r="AM57" i="8"/>
  <c r="AM61" i="8"/>
  <c r="AM20" i="8"/>
  <c r="AM84" i="8"/>
  <c r="AM352" i="8" s="1"/>
  <c r="AM59" i="8"/>
  <c r="AM44" i="8"/>
  <c r="AM19" i="8"/>
  <c r="AM25" i="8"/>
  <c r="AM58" i="8"/>
  <c r="AM17" i="8"/>
  <c r="AM18" i="8"/>
  <c r="L120" i="8"/>
  <c r="L289" i="8"/>
  <c r="L308" i="8" s="1"/>
  <c r="L348" i="8" s="1"/>
  <c r="K126" i="8"/>
  <c r="AH100" i="8"/>
  <c r="D167" i="8"/>
  <c r="C174" i="8"/>
  <c r="N109" i="8"/>
  <c r="N110" i="8" s="1"/>
  <c r="N108" i="8"/>
  <c r="AI370" i="8"/>
  <c r="AI379" i="8" s="1"/>
  <c r="AI99" i="8"/>
  <c r="AI97" i="8"/>
  <c r="AI371" i="8" s="1"/>
  <c r="AI380" i="8" s="1"/>
  <c r="AJ69" i="8"/>
  <c r="AK65" i="8"/>
  <c r="AK21" i="8" s="1"/>
  <c r="AK22" i="8" s="1"/>
  <c r="AK64" i="8" s="1"/>
  <c r="AK66" i="8" s="1"/>
  <c r="L118" i="8"/>
  <c r="L119" i="8" s="1"/>
  <c r="I137" i="8"/>
  <c r="I290" i="8"/>
  <c r="I307" i="8" s="1"/>
  <c r="I347" i="8" s="1"/>
  <c r="I135" i="8"/>
  <c r="I136" i="8" s="1"/>
  <c r="F315" i="8"/>
  <c r="F330" i="8" s="1"/>
  <c r="F359" i="8" s="1"/>
  <c r="AL62" i="8"/>
  <c r="H147" i="8"/>
  <c r="G151" i="8" s="1"/>
  <c r="G152" i="8" s="1"/>
  <c r="G155" i="8"/>
  <c r="G156" i="8"/>
  <c r="AK83" i="4"/>
  <c r="AK61" i="4"/>
  <c r="AK70" i="4"/>
  <c r="AK338" i="4" s="1"/>
  <c r="AK44" i="4"/>
  <c r="AK25" i="4"/>
  <c r="AK20" i="4"/>
  <c r="AJ62" i="4"/>
  <c r="T21" i="4"/>
  <c r="T22" i="4" s="1"/>
  <c r="T64" i="4" s="1"/>
  <c r="T66" i="4" s="1"/>
  <c r="S99" i="4"/>
  <c r="S100" i="4" s="1"/>
  <c r="S97" i="4"/>
  <c r="S371" i="4" s="1"/>
  <c r="S380" i="4" s="1"/>
  <c r="S370" i="4"/>
  <c r="S379" i="4" s="1"/>
  <c r="N106" i="4"/>
  <c r="N107" i="4" s="1"/>
  <c r="AM35" i="4"/>
  <c r="AM34" i="4"/>
  <c r="AM33" i="4"/>
  <c r="AM32" i="4"/>
  <c r="AM36" i="4"/>
  <c r="AM31" i="4"/>
  <c r="AL95" i="4"/>
  <c r="AL87" i="4"/>
  <c r="AL96" i="4"/>
  <c r="AL364" i="4" s="1"/>
  <c r="AL92" i="4"/>
  <c r="AL88" i="4"/>
  <c r="AL91" i="4"/>
  <c r="AL94" i="4"/>
  <c r="AL90" i="4"/>
  <c r="AL86" i="4"/>
  <c r="AL93" i="4"/>
  <c r="AL89" i="4"/>
  <c r="K332" i="4"/>
  <c r="AM30" i="4"/>
  <c r="AM27" i="4"/>
  <c r="AM28" i="4"/>
  <c r="AM29" i="4"/>
  <c r="AM37" i="4"/>
  <c r="AM46" i="4"/>
  <c r="AL40" i="4"/>
  <c r="AL41" i="4"/>
  <c r="AM47" i="4"/>
  <c r="AM48" i="4"/>
  <c r="AM50" i="4"/>
  <c r="AM49" i="4"/>
  <c r="AL42" i="4"/>
  <c r="AM52" i="4"/>
  <c r="AL43" i="4"/>
  <c r="AL39" i="4"/>
  <c r="AK59" i="4"/>
  <c r="AK57" i="4"/>
  <c r="AK19" i="4"/>
  <c r="AK18" i="4"/>
  <c r="AK17" i="4"/>
  <c r="AK58" i="4"/>
  <c r="AL2" i="4"/>
  <c r="L122" i="4"/>
  <c r="L121" i="4"/>
  <c r="M113" i="4"/>
  <c r="L117" i="4" s="1"/>
  <c r="K124" i="4"/>
  <c r="AM1" i="4"/>
  <c r="AL60" i="4" l="1"/>
  <c r="AL54" i="4"/>
  <c r="AL53" i="4"/>
  <c r="AL13" i="4"/>
  <c r="AL14" i="4" s="1"/>
  <c r="AL5" i="4"/>
  <c r="AL6" i="4"/>
  <c r="AL15" i="4"/>
  <c r="AL377" i="4"/>
  <c r="AM3" i="4"/>
  <c r="D168" i="8"/>
  <c r="D171" i="8" s="1"/>
  <c r="AL84" i="4"/>
  <c r="AL352" i="4" s="1"/>
  <c r="N112" i="8"/>
  <c r="J133" i="8"/>
  <c r="I140" i="8"/>
  <c r="I314" i="8" s="1"/>
  <c r="I331" i="8" s="1"/>
  <c r="I360" i="8" s="1"/>
  <c r="AJ370" i="8"/>
  <c r="AJ379" i="8" s="1"/>
  <c r="AJ99" i="8"/>
  <c r="AJ97" i="8"/>
  <c r="AJ371" i="8" s="1"/>
  <c r="AJ380" i="8" s="1"/>
  <c r="AK69" i="8"/>
  <c r="AL65" i="8"/>
  <c r="AL21" i="8" s="1"/>
  <c r="AL22" i="8" s="1"/>
  <c r="AL64" i="8" s="1"/>
  <c r="AL66" i="8" s="1"/>
  <c r="M116" i="8"/>
  <c r="L123" i="8"/>
  <c r="L313" i="8" s="1"/>
  <c r="L332" i="8" s="1"/>
  <c r="L361" i="8" s="1"/>
  <c r="K127" i="8"/>
  <c r="K128" i="8" s="1"/>
  <c r="K129" i="8" s="1"/>
  <c r="AI100" i="8"/>
  <c r="N351" i="8"/>
  <c r="O105" i="8"/>
  <c r="F161" i="8"/>
  <c r="F162" i="8" s="1"/>
  <c r="F163" i="8" s="1"/>
  <c r="C316" i="8"/>
  <c r="C328" i="8" s="1"/>
  <c r="C357" i="8" s="1"/>
  <c r="AM62" i="8"/>
  <c r="G154" i="8"/>
  <c r="G291" i="8"/>
  <c r="G306" i="8" s="1"/>
  <c r="G346" i="8" s="1"/>
  <c r="G153" i="8"/>
  <c r="D172" i="8"/>
  <c r="D173" i="8"/>
  <c r="C175" i="8"/>
  <c r="AL83" i="4"/>
  <c r="AL61" i="4"/>
  <c r="AL70" i="4"/>
  <c r="AL338" i="4" s="1"/>
  <c r="AL44" i="4"/>
  <c r="AL25" i="4"/>
  <c r="AL20" i="4"/>
  <c r="AK62" i="4"/>
  <c r="T69" i="4"/>
  <c r="U65" i="4"/>
  <c r="L289" i="4"/>
  <c r="L308" i="4" s="1"/>
  <c r="L348" i="4" s="1"/>
  <c r="L120" i="4"/>
  <c r="AM94" i="4"/>
  <c r="AM90" i="4"/>
  <c r="AM86" i="4"/>
  <c r="AM89" i="4"/>
  <c r="AM93" i="4"/>
  <c r="AM91" i="4"/>
  <c r="AM95" i="4"/>
  <c r="AM88" i="4"/>
  <c r="AM87" i="4"/>
  <c r="AM92" i="4"/>
  <c r="AM96" i="4"/>
  <c r="AM364" i="4" s="1"/>
  <c r="L118" i="4"/>
  <c r="L119" i="4" s="1"/>
  <c r="AM39" i="4"/>
  <c r="AM41" i="4"/>
  <c r="AM43" i="4"/>
  <c r="AM40" i="4"/>
  <c r="AM42" i="4"/>
  <c r="K126" i="4"/>
  <c r="N108" i="4"/>
  <c r="O105" i="4" s="1"/>
  <c r="AL19" i="4"/>
  <c r="AL59" i="4"/>
  <c r="AL18" i="4"/>
  <c r="AL17" i="4"/>
  <c r="AL57" i="4"/>
  <c r="AL58" i="4"/>
  <c r="AM2" i="4"/>
  <c r="N109" i="4"/>
  <c r="N110" i="4" s="1"/>
  <c r="D169" i="8" l="1"/>
  <c r="D170" i="8" s="1"/>
  <c r="E167" i="8" s="1"/>
  <c r="D292" i="8"/>
  <c r="D304" i="8" s="1"/>
  <c r="D343" i="8" s="1"/>
  <c r="AM60" i="4"/>
  <c r="AM6" i="4"/>
  <c r="AM15" i="4"/>
  <c r="AM13" i="4"/>
  <c r="AM14" i="4" s="1"/>
  <c r="AM377" i="4"/>
  <c r="AM53" i="4"/>
  <c r="AM54" i="4"/>
  <c r="AM5" i="4"/>
  <c r="AM55" i="4"/>
  <c r="AM84" i="4"/>
  <c r="AM352" i="4" s="1"/>
  <c r="I141" i="8"/>
  <c r="I143" i="8" s="1"/>
  <c r="K130" i="8"/>
  <c r="J134" i="8" s="1"/>
  <c r="J135" i="8" s="1"/>
  <c r="J136" i="8" s="1"/>
  <c r="K133" i="8" s="1"/>
  <c r="F164" i="8"/>
  <c r="H150" i="8"/>
  <c r="G157" i="8"/>
  <c r="G158" i="8" s="1"/>
  <c r="M122" i="8"/>
  <c r="M121" i="8"/>
  <c r="AM65" i="8"/>
  <c r="AM21" i="8" s="1"/>
  <c r="AM22" i="8" s="1"/>
  <c r="AM64" i="8" s="1"/>
  <c r="AM66" i="8" s="1"/>
  <c r="AM69" i="8" s="1"/>
  <c r="AL69" i="8"/>
  <c r="C177" i="8"/>
  <c r="AK370" i="8"/>
  <c r="AK379" i="8" s="1"/>
  <c r="AK97" i="8"/>
  <c r="AK371" i="8" s="1"/>
  <c r="AK380" i="8" s="1"/>
  <c r="AK99" i="8"/>
  <c r="AJ100" i="8"/>
  <c r="O106" i="8"/>
  <c r="O107" i="8" s="1"/>
  <c r="J138" i="8"/>
  <c r="J139" i="8"/>
  <c r="L124" i="8"/>
  <c r="N113" i="8"/>
  <c r="M117" i="8" s="1"/>
  <c r="AM83" i="4"/>
  <c r="AM61" i="4"/>
  <c r="AM70" i="4"/>
  <c r="AM338" i="4" s="1"/>
  <c r="AM44" i="4"/>
  <c r="AM25" i="4"/>
  <c r="AM20" i="4"/>
  <c r="AL62" i="4"/>
  <c r="U21" i="4"/>
  <c r="U22" i="4" s="1"/>
  <c r="U64" i="4" s="1"/>
  <c r="U66" i="4" s="1"/>
  <c r="T97" i="4"/>
  <c r="T371" i="4" s="1"/>
  <c r="T380" i="4" s="1"/>
  <c r="T99" i="4"/>
  <c r="T100" i="4" s="1"/>
  <c r="T370" i="4"/>
  <c r="T379" i="4" s="1"/>
  <c r="M116" i="4"/>
  <c r="M121" i="4" s="1"/>
  <c r="L123" i="4"/>
  <c r="L313" i="4" s="1"/>
  <c r="N112" i="4"/>
  <c r="N351" i="4"/>
  <c r="AM59" i="4"/>
  <c r="AM58" i="4"/>
  <c r="AM19" i="4"/>
  <c r="AM18" i="4"/>
  <c r="AM17" i="4"/>
  <c r="AM57" i="4"/>
  <c r="K127" i="4"/>
  <c r="K128" i="4" s="1"/>
  <c r="K129" i="4" s="1"/>
  <c r="D174" i="8" l="1"/>
  <c r="D175" i="8" s="1"/>
  <c r="D177" i="8" s="1"/>
  <c r="D178" i="8" s="1"/>
  <c r="D179" i="8" s="1"/>
  <c r="E168" i="8"/>
  <c r="E292" i="8" s="1"/>
  <c r="E304" i="8" s="1"/>
  <c r="E343" i="8" s="1"/>
  <c r="G160" i="8"/>
  <c r="AK100" i="8"/>
  <c r="H155" i="8"/>
  <c r="H156" i="8"/>
  <c r="J140" i="8"/>
  <c r="J314" i="8" s="1"/>
  <c r="J331" i="8" s="1"/>
  <c r="J360" i="8" s="1"/>
  <c r="K138" i="8"/>
  <c r="K139" i="8"/>
  <c r="I144" i="8"/>
  <c r="I145" i="8" s="1"/>
  <c r="I146" i="8" s="1"/>
  <c r="AL370" i="8"/>
  <c r="AL379" i="8" s="1"/>
  <c r="AL97" i="8"/>
  <c r="AL371" i="8" s="1"/>
  <c r="AL380" i="8" s="1"/>
  <c r="AL99" i="8"/>
  <c r="G315" i="8"/>
  <c r="G330" i="8" s="1"/>
  <c r="G359" i="8" s="1"/>
  <c r="J137" i="8"/>
  <c r="J290" i="8"/>
  <c r="J307" i="8" s="1"/>
  <c r="J347" i="8" s="1"/>
  <c r="M120" i="8"/>
  <c r="M289" i="8"/>
  <c r="M308" i="8" s="1"/>
  <c r="M348" i="8" s="1"/>
  <c r="M118" i="8"/>
  <c r="M119" i="8" s="1"/>
  <c r="C178" i="8"/>
  <c r="C179" i="8" s="1"/>
  <c r="O109" i="8"/>
  <c r="O110" i="8" s="1"/>
  <c r="O108" i="8"/>
  <c r="AM370" i="8"/>
  <c r="AM379" i="8" s="1"/>
  <c r="AM97" i="8"/>
  <c r="AM371" i="8" s="1"/>
  <c r="AM380" i="8" s="1"/>
  <c r="AM99" i="8"/>
  <c r="L126" i="8"/>
  <c r="E172" i="8"/>
  <c r="E173" i="8"/>
  <c r="AM62" i="4"/>
  <c r="U69" i="4"/>
  <c r="V65" i="4"/>
  <c r="O106" i="4"/>
  <c r="O107" i="4" s="1"/>
  <c r="L332" i="4"/>
  <c r="M122" i="4"/>
  <c r="L124" i="4"/>
  <c r="L126" i="4" s="1"/>
  <c r="L127" i="4" s="1"/>
  <c r="L128" i="4" s="1"/>
  <c r="L129" i="4" s="1"/>
  <c r="N113" i="4"/>
  <c r="M117" i="4" s="1"/>
  <c r="E171" i="8" l="1"/>
  <c r="E169" i="8"/>
  <c r="E170" i="8" s="1"/>
  <c r="E174" i="8" s="1"/>
  <c r="D316" i="8"/>
  <c r="D328" i="8" s="1"/>
  <c r="D357" i="8" s="1"/>
  <c r="D180" i="8"/>
  <c r="J141" i="8"/>
  <c r="J143" i="8" s="1"/>
  <c r="AL100" i="8"/>
  <c r="AM100" i="8" s="1"/>
  <c r="O351" i="8"/>
  <c r="P105" i="8"/>
  <c r="C180" i="8"/>
  <c r="O112" i="8"/>
  <c r="I147" i="8"/>
  <c r="H151" i="8" s="1"/>
  <c r="N116" i="8"/>
  <c r="M123" i="8"/>
  <c r="L127" i="8"/>
  <c r="L128" i="8" s="1"/>
  <c r="L129" i="8" s="1"/>
  <c r="G161" i="8"/>
  <c r="G162" i="8" s="1"/>
  <c r="G163" i="8" s="1"/>
  <c r="V21" i="4"/>
  <c r="V22" i="4" s="1"/>
  <c r="V64" i="4" s="1"/>
  <c r="V66" i="4" s="1"/>
  <c r="U99" i="4"/>
  <c r="U100" i="4" s="1"/>
  <c r="U97" i="4"/>
  <c r="U371" i="4" s="1"/>
  <c r="U380" i="4" s="1"/>
  <c r="U370" i="4"/>
  <c r="U379" i="4" s="1"/>
  <c r="M289" i="4"/>
  <c r="M308" i="4" s="1"/>
  <c r="M348" i="4" s="1"/>
  <c r="M120" i="4"/>
  <c r="M118" i="4"/>
  <c r="M119" i="4" s="1"/>
  <c r="M123" i="4" s="1"/>
  <c r="O109" i="4"/>
  <c r="O110" i="4" s="1"/>
  <c r="O108" i="4"/>
  <c r="P105" i="4" s="1"/>
  <c r="F167" i="8" l="1"/>
  <c r="F173" i="8" s="1"/>
  <c r="L130" i="8"/>
  <c r="K134" i="8" s="1"/>
  <c r="G164" i="8"/>
  <c r="F168" i="8" s="1"/>
  <c r="J144" i="8"/>
  <c r="J145" i="8" s="1"/>
  <c r="J146" i="8" s="1"/>
  <c r="H154" i="8"/>
  <c r="H291" i="8"/>
  <c r="H306" i="8" s="1"/>
  <c r="H346" i="8" s="1"/>
  <c r="H152" i="8"/>
  <c r="H153" i="8" s="1"/>
  <c r="O113" i="8"/>
  <c r="N117" i="8" s="1"/>
  <c r="N122" i="8"/>
  <c r="N121" i="8"/>
  <c r="C181" i="8"/>
  <c r="D181" i="8" s="1"/>
  <c r="C185" i="8" s="1"/>
  <c r="M313" i="8"/>
  <c r="M332" i="8" s="1"/>
  <c r="M361" i="8" s="1"/>
  <c r="M124" i="8"/>
  <c r="E316" i="8"/>
  <c r="E328" i="8" s="1"/>
  <c r="E357" i="8" s="1"/>
  <c r="P106" i="8"/>
  <c r="P107" i="8" s="1"/>
  <c r="E175" i="8"/>
  <c r="W65" i="4"/>
  <c r="V69" i="4"/>
  <c r="N116" i="4"/>
  <c r="M313" i="4"/>
  <c r="O112" i="4"/>
  <c r="O351" i="4"/>
  <c r="F172" i="8" l="1"/>
  <c r="F169" i="8"/>
  <c r="F170" i="8" s="1"/>
  <c r="J147" i="8"/>
  <c r="I150" i="8"/>
  <c r="H157" i="8"/>
  <c r="H315" i="8" s="1"/>
  <c r="H330" i="8" s="1"/>
  <c r="H359" i="8" s="1"/>
  <c r="E177" i="8"/>
  <c r="F171" i="8"/>
  <c r="F292" i="8"/>
  <c r="F304" i="8" s="1"/>
  <c r="F343" i="8" s="1"/>
  <c r="N120" i="8"/>
  <c r="N289" i="8"/>
  <c r="N308" i="8" s="1"/>
  <c r="N348" i="8" s="1"/>
  <c r="P109" i="8"/>
  <c r="P110" i="8" s="1"/>
  <c r="C293" i="8"/>
  <c r="C310" i="8" s="1"/>
  <c r="C350" i="8" s="1"/>
  <c r="C188" i="8"/>
  <c r="C187" i="8"/>
  <c r="K137" i="8"/>
  <c r="K290" i="8"/>
  <c r="K307" i="8" s="1"/>
  <c r="K347" i="8" s="1"/>
  <c r="K135" i="8"/>
  <c r="K136" i="8" s="1"/>
  <c r="P108" i="8"/>
  <c r="M126" i="8"/>
  <c r="N118" i="8"/>
  <c r="N119" i="8" s="1"/>
  <c r="V99" i="4"/>
  <c r="V100" i="4" s="1"/>
  <c r="V97" i="4"/>
  <c r="V371" i="4" s="1"/>
  <c r="V380" i="4" s="1"/>
  <c r="V370" i="4"/>
  <c r="V379" i="4" s="1"/>
  <c r="W21" i="4"/>
  <c r="W22" i="4" s="1"/>
  <c r="W64" i="4" s="1"/>
  <c r="W66" i="4" s="1"/>
  <c r="P106" i="4"/>
  <c r="P107" i="4" s="1"/>
  <c r="M332" i="4"/>
  <c r="M124" i="4"/>
  <c r="M126" i="4" s="1"/>
  <c r="O113" i="4"/>
  <c r="N117" i="4" s="1"/>
  <c r="N122" i="4"/>
  <c r="N121" i="4"/>
  <c r="I151" i="8" l="1"/>
  <c r="I152" i="8" s="1"/>
  <c r="I153" i="8" s="1"/>
  <c r="D184" i="8"/>
  <c r="C191" i="8"/>
  <c r="I155" i="8"/>
  <c r="I156" i="8"/>
  <c r="G167" i="8"/>
  <c r="F174" i="8"/>
  <c r="E178" i="8"/>
  <c r="E179" i="8" s="1"/>
  <c r="E180" i="8" s="1"/>
  <c r="P112" i="8"/>
  <c r="L133" i="8"/>
  <c r="K140" i="8"/>
  <c r="K314" i="8" s="1"/>
  <c r="K331" i="8" s="1"/>
  <c r="K360" i="8" s="1"/>
  <c r="O116" i="8"/>
  <c r="N123" i="8"/>
  <c r="N313" i="8" s="1"/>
  <c r="N332" i="8" s="1"/>
  <c r="N361" i="8" s="1"/>
  <c r="M127" i="8"/>
  <c r="M128" i="8" s="1"/>
  <c r="M129" i="8" s="1"/>
  <c r="H158" i="8"/>
  <c r="P351" i="8"/>
  <c r="Q105" i="8"/>
  <c r="W69" i="4"/>
  <c r="X65" i="4"/>
  <c r="N289" i="4"/>
  <c r="N308" i="4" s="1"/>
  <c r="N348" i="4" s="1"/>
  <c r="N120" i="4"/>
  <c r="N118" i="4"/>
  <c r="N119" i="4" s="1"/>
  <c r="N123" i="4" s="1"/>
  <c r="P109" i="4"/>
  <c r="P110" i="4" s="1"/>
  <c r="M127" i="4"/>
  <c r="M128" i="4" s="1"/>
  <c r="M129" i="4" s="1"/>
  <c r="P108" i="4"/>
  <c r="Q105" i="4" s="1"/>
  <c r="I291" i="8" l="1"/>
  <c r="I306" i="8" s="1"/>
  <c r="I346" i="8" s="1"/>
  <c r="I154" i="8"/>
  <c r="J150" i="8"/>
  <c r="I157" i="8"/>
  <c r="I315" i="8" s="1"/>
  <c r="I330" i="8" s="1"/>
  <c r="I359" i="8" s="1"/>
  <c r="E181" i="8"/>
  <c r="D185" i="8" s="1"/>
  <c r="Q106" i="8"/>
  <c r="Q107" i="8" s="1"/>
  <c r="F316" i="8"/>
  <c r="F328" i="8" s="1"/>
  <c r="F357" i="8" s="1"/>
  <c r="F175" i="8"/>
  <c r="C317" i="8"/>
  <c r="C334" i="8" s="1"/>
  <c r="C363" i="8" s="1"/>
  <c r="D189" i="8"/>
  <c r="D190" i="8"/>
  <c r="O122" i="8"/>
  <c r="O121" i="8"/>
  <c r="P113" i="8"/>
  <c r="O117" i="8" s="1"/>
  <c r="K141" i="8"/>
  <c r="M130" i="8"/>
  <c r="L134" i="8" s="1"/>
  <c r="L138" i="8"/>
  <c r="L139" i="8"/>
  <c r="N124" i="8"/>
  <c r="G173" i="8"/>
  <c r="G172" i="8"/>
  <c r="H160" i="8"/>
  <c r="C192" i="8"/>
  <c r="X21" i="4"/>
  <c r="X22" i="4" s="1"/>
  <c r="X64" i="4" s="1"/>
  <c r="X66" i="4" s="1"/>
  <c r="W99" i="4"/>
  <c r="W100" i="4" s="1"/>
  <c r="W97" i="4"/>
  <c r="W371" i="4" s="1"/>
  <c r="W380" i="4" s="1"/>
  <c r="W370" i="4"/>
  <c r="W379" i="4" s="1"/>
  <c r="O116" i="4"/>
  <c r="N313" i="4"/>
  <c r="P351" i="4"/>
  <c r="P112" i="4"/>
  <c r="L137" i="8" l="1"/>
  <c r="L290" i="8"/>
  <c r="L307" i="8" s="1"/>
  <c r="L347" i="8" s="1"/>
  <c r="F177" i="8"/>
  <c r="Q108" i="8"/>
  <c r="K143" i="8"/>
  <c r="O120" i="8"/>
  <c r="O289" i="8"/>
  <c r="O308" i="8" s="1"/>
  <c r="O348" i="8" s="1"/>
  <c r="H161" i="8"/>
  <c r="H162" i="8" s="1"/>
  <c r="H163" i="8" s="1"/>
  <c r="Q109" i="8"/>
  <c r="Q110" i="8" s="1"/>
  <c r="N126" i="8"/>
  <c r="L135" i="8"/>
  <c r="L136" i="8" s="1"/>
  <c r="D188" i="8"/>
  <c r="D293" i="8"/>
  <c r="D310" i="8" s="1"/>
  <c r="D350" i="8" s="1"/>
  <c r="C194" i="8"/>
  <c r="J156" i="8"/>
  <c r="J155" i="8"/>
  <c r="O118" i="8"/>
  <c r="O119" i="8" s="1"/>
  <c r="D186" i="8"/>
  <c r="D187" i="8" s="1"/>
  <c r="I158" i="8"/>
  <c r="Y65" i="4"/>
  <c r="X69" i="4"/>
  <c r="Q106" i="4"/>
  <c r="Q107" i="4" s="1"/>
  <c r="N332" i="4"/>
  <c r="N124" i="4"/>
  <c r="N126" i="4" s="1"/>
  <c r="N127" i="4" s="1"/>
  <c r="N128" i="4" s="1"/>
  <c r="N129" i="4" s="1"/>
  <c r="O121" i="4"/>
  <c r="O122" i="4"/>
  <c r="P113" i="4"/>
  <c r="O117" i="4" s="1"/>
  <c r="P116" i="8" l="1"/>
  <c r="O123" i="8"/>
  <c r="O313" i="8" s="1"/>
  <c r="O332" i="8" s="1"/>
  <c r="O361" i="8" s="1"/>
  <c r="Q351" i="8"/>
  <c r="R105" i="8"/>
  <c r="M133" i="8"/>
  <c r="L140" i="8"/>
  <c r="L314" i="8" s="1"/>
  <c r="L331" i="8" s="1"/>
  <c r="L360" i="8" s="1"/>
  <c r="I160" i="8"/>
  <c r="N127" i="8"/>
  <c r="N128" i="8" s="1"/>
  <c r="N129" i="8" s="1"/>
  <c r="E184" i="8"/>
  <c r="D191" i="8"/>
  <c r="D192" i="8" s="1"/>
  <c r="K144" i="8"/>
  <c r="K145" i="8" s="1"/>
  <c r="K146" i="8" s="1"/>
  <c r="F178" i="8"/>
  <c r="F179" i="8" s="1"/>
  <c r="F180" i="8" s="1"/>
  <c r="C195" i="8"/>
  <c r="C196" i="8" s="1"/>
  <c r="C197" i="8" s="1"/>
  <c r="Q112" i="8"/>
  <c r="H164" i="8"/>
  <c r="G168" i="8" s="1"/>
  <c r="X97" i="4"/>
  <c r="X371" i="4" s="1"/>
  <c r="X380" i="4" s="1"/>
  <c r="X99" i="4"/>
  <c r="X100" i="4" s="1"/>
  <c r="X370" i="4"/>
  <c r="X379" i="4" s="1"/>
  <c r="Y21" i="4"/>
  <c r="Y22" i="4" s="1"/>
  <c r="Y64" i="4" s="1"/>
  <c r="Y66" i="4" s="1"/>
  <c r="O289" i="4"/>
  <c r="O308" i="4" s="1"/>
  <c r="O348" i="4" s="1"/>
  <c r="O120" i="4"/>
  <c r="O118" i="4"/>
  <c r="O119" i="4" s="1"/>
  <c r="O123" i="4" s="1"/>
  <c r="Q109" i="4"/>
  <c r="Q110" i="4" s="1"/>
  <c r="Q108" i="4"/>
  <c r="R105" i="4" s="1"/>
  <c r="L141" i="8" l="1"/>
  <c r="L143" i="8" s="1"/>
  <c r="O124" i="8"/>
  <c r="O126" i="8" s="1"/>
  <c r="F181" i="8"/>
  <c r="E185" i="8" s="1"/>
  <c r="E186" i="8" s="1"/>
  <c r="E187" i="8" s="1"/>
  <c r="N130" i="8"/>
  <c r="M134" i="8" s="1"/>
  <c r="M135" i="8" s="1"/>
  <c r="M136" i="8" s="1"/>
  <c r="M139" i="8"/>
  <c r="M138" i="8"/>
  <c r="G171" i="8"/>
  <c r="G292" i="8"/>
  <c r="G304" i="8" s="1"/>
  <c r="G343" i="8" s="1"/>
  <c r="G169" i="8"/>
  <c r="G170" i="8" s="1"/>
  <c r="D194" i="8"/>
  <c r="I161" i="8"/>
  <c r="I162" i="8" s="1"/>
  <c r="I163" i="8" s="1"/>
  <c r="Q113" i="8"/>
  <c r="P117" i="8" s="1"/>
  <c r="C198" i="8"/>
  <c r="R106" i="8"/>
  <c r="R107" i="8" s="1"/>
  <c r="D317" i="8"/>
  <c r="D334" i="8" s="1"/>
  <c r="D363" i="8" s="1"/>
  <c r="K147" i="8"/>
  <c r="J151" i="8" s="1"/>
  <c r="E190" i="8"/>
  <c r="E189" i="8"/>
  <c r="P122" i="8"/>
  <c r="P121" i="8"/>
  <c r="Y69" i="4"/>
  <c r="Z65" i="4"/>
  <c r="Q112" i="4"/>
  <c r="P116" i="4"/>
  <c r="O313" i="4"/>
  <c r="Q351" i="4"/>
  <c r="F184" i="8" l="1"/>
  <c r="E191" i="8"/>
  <c r="N133" i="8"/>
  <c r="M140" i="8"/>
  <c r="M314" i="8" s="1"/>
  <c r="M331" i="8" s="1"/>
  <c r="M360" i="8" s="1"/>
  <c r="H167" i="8"/>
  <c r="G174" i="8"/>
  <c r="R109" i="8"/>
  <c r="R110" i="8" s="1"/>
  <c r="P120" i="8"/>
  <c r="P289" i="8"/>
  <c r="P308" i="8" s="1"/>
  <c r="P348" i="8" s="1"/>
  <c r="M137" i="8"/>
  <c r="M290" i="8"/>
  <c r="M307" i="8" s="1"/>
  <c r="M347" i="8" s="1"/>
  <c r="I164" i="8"/>
  <c r="H168" i="8" s="1"/>
  <c r="D195" i="8"/>
  <c r="D196" i="8" s="1"/>
  <c r="D197" i="8" s="1"/>
  <c r="E188" i="8"/>
  <c r="E293" i="8"/>
  <c r="E310" i="8" s="1"/>
  <c r="E350" i="8" s="1"/>
  <c r="L144" i="8"/>
  <c r="L145" i="8" s="1"/>
  <c r="L146" i="8" s="1"/>
  <c r="R108" i="8"/>
  <c r="J154" i="8"/>
  <c r="J291" i="8"/>
  <c r="J306" i="8" s="1"/>
  <c r="J346" i="8" s="1"/>
  <c r="J152" i="8"/>
  <c r="J153" i="8" s="1"/>
  <c r="P118" i="8"/>
  <c r="P119" i="8" s="1"/>
  <c r="O127" i="8"/>
  <c r="O128" i="8" s="1"/>
  <c r="O129" i="8" s="1"/>
  <c r="Z21" i="4"/>
  <c r="Z22" i="4" s="1"/>
  <c r="Z64" i="4" s="1"/>
  <c r="Z66" i="4" s="1"/>
  <c r="Y97" i="4"/>
  <c r="Y371" i="4" s="1"/>
  <c r="Y380" i="4" s="1"/>
  <c r="Y99" i="4"/>
  <c r="Y100" i="4" s="1"/>
  <c r="Y370" i="4"/>
  <c r="Y379" i="4" s="1"/>
  <c r="R106" i="4"/>
  <c r="R107" i="4" s="1"/>
  <c r="O332" i="4"/>
  <c r="O124" i="4"/>
  <c r="P121" i="4"/>
  <c r="P122" i="4"/>
  <c r="Q113" i="4"/>
  <c r="P117" i="4" s="1"/>
  <c r="E192" i="8" l="1"/>
  <c r="E194" i="8" s="1"/>
  <c r="M141" i="8"/>
  <c r="M143" i="8" s="1"/>
  <c r="R112" i="8"/>
  <c r="L147" i="8"/>
  <c r="K151" i="8" s="1"/>
  <c r="D198" i="8"/>
  <c r="C202" i="8" s="1"/>
  <c r="K150" i="8"/>
  <c r="J157" i="8"/>
  <c r="J315" i="8" s="1"/>
  <c r="J330" i="8" s="1"/>
  <c r="J359" i="8" s="1"/>
  <c r="R351" i="8"/>
  <c r="S105" i="8"/>
  <c r="Q116" i="8"/>
  <c r="P123" i="8"/>
  <c r="P313" i="8" s="1"/>
  <c r="P332" i="8" s="1"/>
  <c r="P361" i="8" s="1"/>
  <c r="N138" i="8"/>
  <c r="N139" i="8"/>
  <c r="G316" i="8"/>
  <c r="G328" i="8" s="1"/>
  <c r="G357" i="8" s="1"/>
  <c r="G175" i="8"/>
  <c r="H171" i="8"/>
  <c r="H292" i="8"/>
  <c r="H304" i="8" s="1"/>
  <c r="H343" i="8" s="1"/>
  <c r="E317" i="8"/>
  <c r="E334" i="8" s="1"/>
  <c r="E363" i="8" s="1"/>
  <c r="O130" i="8"/>
  <c r="N134" i="8" s="1"/>
  <c r="H172" i="8"/>
  <c r="H173" i="8"/>
  <c r="H169" i="8"/>
  <c r="H170" i="8" s="1"/>
  <c r="F189" i="8"/>
  <c r="F190" i="8"/>
  <c r="Z69" i="4"/>
  <c r="AA65" i="4"/>
  <c r="P289" i="4"/>
  <c r="P308" i="4" s="1"/>
  <c r="P348" i="4" s="1"/>
  <c r="P120" i="4"/>
  <c r="P118" i="4"/>
  <c r="P119" i="4" s="1"/>
  <c r="P123" i="4" s="1"/>
  <c r="O126" i="4"/>
  <c r="R109" i="4"/>
  <c r="R110" i="4" s="1"/>
  <c r="R108" i="4"/>
  <c r="S105" i="4" s="1"/>
  <c r="I167" i="8" l="1"/>
  <c r="H174" i="8"/>
  <c r="H316" i="8" s="1"/>
  <c r="H328" i="8" s="1"/>
  <c r="H357" i="8" s="1"/>
  <c r="G177" i="8"/>
  <c r="P124" i="8"/>
  <c r="Q121" i="8"/>
  <c r="Q122" i="8"/>
  <c r="M144" i="8"/>
  <c r="M145" i="8" s="1"/>
  <c r="M146" i="8" s="1"/>
  <c r="C294" i="8"/>
  <c r="C305" i="8" s="1"/>
  <c r="C344" i="8" s="1"/>
  <c r="C205" i="8"/>
  <c r="C204" i="8"/>
  <c r="K154" i="8"/>
  <c r="K291" i="8"/>
  <c r="K306" i="8" s="1"/>
  <c r="K346" i="8" s="1"/>
  <c r="N137" i="8"/>
  <c r="N290" i="8"/>
  <c r="N307" i="8" s="1"/>
  <c r="N347" i="8" s="1"/>
  <c r="E195" i="8"/>
  <c r="E196" i="8" s="1"/>
  <c r="E197" i="8" s="1"/>
  <c r="S106" i="8"/>
  <c r="S107" i="8" s="1"/>
  <c r="N135" i="8"/>
  <c r="N136" i="8" s="1"/>
  <c r="K155" i="8"/>
  <c r="K152" i="8"/>
  <c r="K153" i="8" s="1"/>
  <c r="K156" i="8"/>
  <c r="J158" i="8"/>
  <c r="R113" i="8"/>
  <c r="Q117" i="8" s="1"/>
  <c r="Q118" i="8" s="1"/>
  <c r="Q119" i="8" s="1"/>
  <c r="R116" i="8" s="1"/>
  <c r="AA21" i="4"/>
  <c r="AA22" i="4" s="1"/>
  <c r="AA64" i="4" s="1"/>
  <c r="AA66" i="4" s="1"/>
  <c r="Z99" i="4"/>
  <c r="Z100" i="4" s="1"/>
  <c r="Z97" i="4"/>
  <c r="Z371" i="4" s="1"/>
  <c r="Z380" i="4" s="1"/>
  <c r="Z370" i="4"/>
  <c r="Z379" i="4" s="1"/>
  <c r="Q116" i="4"/>
  <c r="P313" i="4"/>
  <c r="R351" i="4"/>
  <c r="R112" i="4"/>
  <c r="O127" i="4"/>
  <c r="O128" i="4" s="1"/>
  <c r="O129" i="4" s="1"/>
  <c r="H175" i="8" l="1"/>
  <c r="H177" i="8" s="1"/>
  <c r="L150" i="8"/>
  <c r="K157" i="8"/>
  <c r="K315" i="8" s="1"/>
  <c r="K330" i="8" s="1"/>
  <c r="K359" i="8" s="1"/>
  <c r="M147" i="8"/>
  <c r="E198" i="8"/>
  <c r="D202" i="8" s="1"/>
  <c r="P126" i="8"/>
  <c r="R122" i="8"/>
  <c r="R121" i="8"/>
  <c r="H178" i="8"/>
  <c r="H179" i="8" s="1"/>
  <c r="O133" i="8"/>
  <c r="N140" i="8"/>
  <c r="S108" i="8"/>
  <c r="D201" i="8"/>
  <c r="C208" i="8"/>
  <c r="C209" i="8" s="1"/>
  <c r="Q120" i="8"/>
  <c r="Q289" i="8"/>
  <c r="Q308" i="8" s="1"/>
  <c r="Q348" i="8" s="1"/>
  <c r="J160" i="8"/>
  <c r="Q123" i="8"/>
  <c r="Q313" i="8" s="1"/>
  <c r="Q332" i="8" s="1"/>
  <c r="Q361" i="8" s="1"/>
  <c r="S109" i="8"/>
  <c r="S110" i="8" s="1"/>
  <c r="G178" i="8"/>
  <c r="G179" i="8" s="1"/>
  <c r="G180" i="8" s="1"/>
  <c r="I172" i="8"/>
  <c r="I173" i="8"/>
  <c r="AB65" i="4"/>
  <c r="AA69" i="4"/>
  <c r="S106" i="4"/>
  <c r="S107" i="4" s="1"/>
  <c r="P332" i="4"/>
  <c r="Q121" i="4"/>
  <c r="Q122" i="4"/>
  <c r="P124" i="4"/>
  <c r="P126" i="4" s="1"/>
  <c r="P127" i="4" s="1"/>
  <c r="P128" i="4" s="1"/>
  <c r="P129" i="4" s="1"/>
  <c r="R113" i="4"/>
  <c r="Q117" i="4" s="1"/>
  <c r="L151" i="8" l="1"/>
  <c r="L152" i="8" s="1"/>
  <c r="L153" i="8" s="1"/>
  <c r="K158" i="8"/>
  <c r="K160" i="8" s="1"/>
  <c r="H180" i="8"/>
  <c r="Q124" i="8"/>
  <c r="Q126" i="8" s="1"/>
  <c r="C211" i="8"/>
  <c r="O139" i="8"/>
  <c r="O138" i="8"/>
  <c r="L291" i="8"/>
  <c r="L306" i="8" s="1"/>
  <c r="L346" i="8" s="1"/>
  <c r="P127" i="8"/>
  <c r="P128" i="8" s="1"/>
  <c r="P129" i="8" s="1"/>
  <c r="G181" i="8"/>
  <c r="F185" i="8" s="1"/>
  <c r="S351" i="8"/>
  <c r="T105" i="8"/>
  <c r="S112" i="8"/>
  <c r="J161" i="8"/>
  <c r="J162" i="8" s="1"/>
  <c r="J163" i="8" s="1"/>
  <c r="C318" i="8"/>
  <c r="C329" i="8" s="1"/>
  <c r="C358" i="8" s="1"/>
  <c r="D207" i="8"/>
  <c r="D206" i="8"/>
  <c r="D203" i="8"/>
  <c r="D204" i="8" s="1"/>
  <c r="N314" i="8"/>
  <c r="N331" i="8" s="1"/>
  <c r="N360" i="8" s="1"/>
  <c r="N141" i="8"/>
  <c r="D205" i="8"/>
  <c r="D294" i="8"/>
  <c r="D305" i="8" s="1"/>
  <c r="D344" i="8" s="1"/>
  <c r="L156" i="8"/>
  <c r="L155" i="8"/>
  <c r="AA97" i="4"/>
  <c r="AA371" i="4" s="1"/>
  <c r="AA380" i="4" s="1"/>
  <c r="AA99" i="4"/>
  <c r="AA100" i="4" s="1"/>
  <c r="AA370" i="4"/>
  <c r="AA379" i="4" s="1"/>
  <c r="AB21" i="4"/>
  <c r="AB22" i="4" s="1"/>
  <c r="AB64" i="4" s="1"/>
  <c r="AB66" i="4" s="1"/>
  <c r="Q289" i="4"/>
  <c r="Q308" i="4" s="1"/>
  <c r="Q348" i="4" s="1"/>
  <c r="Q120" i="4"/>
  <c r="Q118" i="4"/>
  <c r="Q119" i="4" s="1"/>
  <c r="Q123" i="4" s="1"/>
  <c r="S108" i="4"/>
  <c r="T105" i="4" s="1"/>
  <c r="S109" i="4"/>
  <c r="S110" i="4" s="1"/>
  <c r="L154" i="8" l="1"/>
  <c r="M150" i="8"/>
  <c r="L157" i="8"/>
  <c r="L315" i="8" s="1"/>
  <c r="L330" i="8" s="1"/>
  <c r="L359" i="8" s="1"/>
  <c r="E201" i="8"/>
  <c r="D208" i="8"/>
  <c r="D209" i="8" s="1"/>
  <c r="N143" i="8"/>
  <c r="S113" i="8"/>
  <c r="R117" i="8" s="1"/>
  <c r="P130" i="8"/>
  <c r="O134" i="8" s="1"/>
  <c r="T106" i="8"/>
  <c r="T107" i="8" s="1"/>
  <c r="F188" i="8"/>
  <c r="F293" i="8"/>
  <c r="F310" i="8" s="1"/>
  <c r="F350" i="8" s="1"/>
  <c r="F186" i="8"/>
  <c r="F187" i="8" s="1"/>
  <c r="H181" i="8"/>
  <c r="G185" i="8" s="1"/>
  <c r="J164" i="8"/>
  <c r="I168" i="8" s="1"/>
  <c r="C212" i="8"/>
  <c r="C213" i="8" s="1"/>
  <c r="C214" i="8" s="1"/>
  <c r="K161" i="8"/>
  <c r="K162" i="8" s="1"/>
  <c r="K163" i="8" s="1"/>
  <c r="Q127" i="8"/>
  <c r="Q128" i="8" s="1"/>
  <c r="Q129" i="8" s="1"/>
  <c r="AC65" i="4"/>
  <c r="AB69" i="4"/>
  <c r="R116" i="4"/>
  <c r="Q313" i="4"/>
  <c r="S112" i="4"/>
  <c r="S351" i="4"/>
  <c r="L158" i="8" l="1"/>
  <c r="L160" i="8" s="1"/>
  <c r="Q130" i="8"/>
  <c r="K164" i="8"/>
  <c r="O137" i="8"/>
  <c r="O290" i="8"/>
  <c r="O307" i="8" s="1"/>
  <c r="O347" i="8" s="1"/>
  <c r="O135" i="8"/>
  <c r="O136" i="8" s="1"/>
  <c r="C215" i="8"/>
  <c r="R120" i="8"/>
  <c r="R289" i="8"/>
  <c r="R308" i="8" s="1"/>
  <c r="R348" i="8" s="1"/>
  <c r="R118" i="8"/>
  <c r="R119" i="8" s="1"/>
  <c r="N144" i="8"/>
  <c r="N145" i="8" s="1"/>
  <c r="N146" i="8" s="1"/>
  <c r="T109" i="8"/>
  <c r="T110" i="8" s="1"/>
  <c r="T112" i="8" s="1"/>
  <c r="E207" i="8"/>
  <c r="E206" i="8"/>
  <c r="I171" i="8"/>
  <c r="I292" i="8"/>
  <c r="I304" i="8" s="1"/>
  <c r="I343" i="8" s="1"/>
  <c r="I169" i="8"/>
  <c r="I170" i="8" s="1"/>
  <c r="D211" i="8"/>
  <c r="T108" i="8"/>
  <c r="G188" i="8"/>
  <c r="G293" i="8"/>
  <c r="G310" i="8" s="1"/>
  <c r="G350" i="8" s="1"/>
  <c r="G184" i="8"/>
  <c r="F191" i="8"/>
  <c r="D318" i="8"/>
  <c r="D329" i="8" s="1"/>
  <c r="D358" i="8" s="1"/>
  <c r="M155" i="8"/>
  <c r="M156" i="8"/>
  <c r="AB97" i="4"/>
  <c r="AB371" i="4" s="1"/>
  <c r="AB380" i="4" s="1"/>
  <c r="AB99" i="4"/>
  <c r="AB100" i="4" s="1"/>
  <c r="AB370" i="4"/>
  <c r="AB379" i="4" s="1"/>
  <c r="AC21" i="4"/>
  <c r="AC22" i="4" s="1"/>
  <c r="AC64" i="4" s="1"/>
  <c r="AC66" i="4" s="1"/>
  <c r="T106" i="4"/>
  <c r="T107" i="4" s="1"/>
  <c r="Q332" i="4"/>
  <c r="Q124" i="4"/>
  <c r="Q126" i="4" s="1"/>
  <c r="R121" i="4"/>
  <c r="R122" i="4"/>
  <c r="S113" i="4"/>
  <c r="R117" i="4" s="1"/>
  <c r="T351" i="8" l="1"/>
  <c r="U105" i="8"/>
  <c r="P133" i="8"/>
  <c r="P134" i="8" s="1"/>
  <c r="O140" i="8"/>
  <c r="T113" i="8"/>
  <c r="J167" i="8"/>
  <c r="J168" i="8" s="1"/>
  <c r="I174" i="8"/>
  <c r="N147" i="8"/>
  <c r="M151" i="8" s="1"/>
  <c r="S116" i="8"/>
  <c r="R123" i="8"/>
  <c r="L161" i="8"/>
  <c r="L162" i="8" s="1"/>
  <c r="L163" i="8" s="1"/>
  <c r="D212" i="8"/>
  <c r="D213" i="8" s="1"/>
  <c r="D214" i="8" s="1"/>
  <c r="F317" i="8"/>
  <c r="F334" i="8" s="1"/>
  <c r="F363" i="8" s="1"/>
  <c r="F192" i="8"/>
  <c r="G190" i="8"/>
  <c r="G189" i="8"/>
  <c r="G186" i="8"/>
  <c r="G187" i="8" s="1"/>
  <c r="AD65" i="4"/>
  <c r="AC69" i="4"/>
  <c r="R289" i="4"/>
  <c r="R308" i="4" s="1"/>
  <c r="R348" i="4" s="1"/>
  <c r="R120" i="4"/>
  <c r="R118" i="4"/>
  <c r="R119" i="4" s="1"/>
  <c r="R123" i="4" s="1"/>
  <c r="T109" i="4"/>
  <c r="T110" i="4" s="1"/>
  <c r="T112" i="4" s="1"/>
  <c r="T108" i="4"/>
  <c r="U105" i="4" s="1"/>
  <c r="Q127" i="4"/>
  <c r="Q128" i="4" s="1"/>
  <c r="Q129" i="4" s="1"/>
  <c r="D215" i="8" l="1"/>
  <c r="C219" i="8" s="1"/>
  <c r="L164" i="8"/>
  <c r="K168" i="8" s="1"/>
  <c r="H184" i="8"/>
  <c r="G191" i="8"/>
  <c r="G192" i="8" s="1"/>
  <c r="J171" i="8"/>
  <c r="J292" i="8"/>
  <c r="J304" i="8" s="1"/>
  <c r="J343" i="8" s="1"/>
  <c r="S121" i="8"/>
  <c r="S122" i="8"/>
  <c r="I316" i="8"/>
  <c r="I328" i="8" s="1"/>
  <c r="I357" i="8" s="1"/>
  <c r="I175" i="8"/>
  <c r="P137" i="8"/>
  <c r="P290" i="8"/>
  <c r="P307" i="8" s="1"/>
  <c r="P347" i="8" s="1"/>
  <c r="S117" i="8"/>
  <c r="S118" i="8" s="1"/>
  <c r="S119" i="8" s="1"/>
  <c r="O314" i="8"/>
  <c r="O331" i="8" s="1"/>
  <c r="O360" i="8" s="1"/>
  <c r="O141" i="8"/>
  <c r="U106" i="8"/>
  <c r="U107" i="8" s="1"/>
  <c r="M154" i="8"/>
  <c r="M291" i="8"/>
  <c r="M306" i="8" s="1"/>
  <c r="M346" i="8" s="1"/>
  <c r="M152" i="8"/>
  <c r="M153" i="8" s="1"/>
  <c r="J173" i="8"/>
  <c r="J172" i="8"/>
  <c r="J169" i="8"/>
  <c r="J170" i="8" s="1"/>
  <c r="F194" i="8"/>
  <c r="P139" i="8"/>
  <c r="P135" i="8"/>
  <c r="P136" i="8" s="1"/>
  <c r="P138" i="8"/>
  <c r="R313" i="8"/>
  <c r="R332" i="8" s="1"/>
  <c r="R361" i="8" s="1"/>
  <c r="R124" i="8"/>
  <c r="AC99" i="4"/>
  <c r="AC100" i="4" s="1"/>
  <c r="AC97" i="4"/>
  <c r="AC371" i="4" s="1"/>
  <c r="AC380" i="4" s="1"/>
  <c r="AC370" i="4"/>
  <c r="AC379" i="4" s="1"/>
  <c r="AD21" i="4"/>
  <c r="AD22" i="4" s="1"/>
  <c r="AD64" i="4" s="1"/>
  <c r="AD66" i="4" s="1"/>
  <c r="S116" i="4"/>
  <c r="R313" i="4"/>
  <c r="T113" i="4"/>
  <c r="S117" i="4" s="1"/>
  <c r="T351" i="4"/>
  <c r="K167" i="8" l="1"/>
  <c r="J174" i="8"/>
  <c r="J316" i="8" s="1"/>
  <c r="J328" i="8" s="1"/>
  <c r="J357" i="8" s="1"/>
  <c r="N150" i="8"/>
  <c r="M157" i="8"/>
  <c r="M315" i="8" s="1"/>
  <c r="M330" i="8" s="1"/>
  <c r="M359" i="8" s="1"/>
  <c r="T116" i="8"/>
  <c r="S123" i="8"/>
  <c r="S313" i="8" s="1"/>
  <c r="S332" i="8" s="1"/>
  <c r="S361" i="8" s="1"/>
  <c r="Q133" i="8"/>
  <c r="P140" i="8"/>
  <c r="P314" i="8" s="1"/>
  <c r="P331" i="8" s="1"/>
  <c r="P360" i="8" s="1"/>
  <c r="R126" i="8"/>
  <c r="O143" i="8"/>
  <c r="S120" i="8"/>
  <c r="S289" i="8"/>
  <c r="S308" i="8" s="1"/>
  <c r="S348" i="8" s="1"/>
  <c r="K171" i="8"/>
  <c r="K292" i="8"/>
  <c r="K304" i="8" s="1"/>
  <c r="K343" i="8" s="1"/>
  <c r="U109" i="8"/>
  <c r="U110" i="8" s="1"/>
  <c r="U112" i="8" s="1"/>
  <c r="C222" i="8"/>
  <c r="C295" i="8"/>
  <c r="C302" i="8" s="1"/>
  <c r="C341" i="8" s="1"/>
  <c r="C221" i="8"/>
  <c r="G317" i="8"/>
  <c r="G334" i="8" s="1"/>
  <c r="G363" i="8" s="1"/>
  <c r="I177" i="8"/>
  <c r="H190" i="8"/>
  <c r="H189" i="8"/>
  <c r="G194" i="8"/>
  <c r="F195" i="8"/>
  <c r="F196" i="8" s="1"/>
  <c r="F197" i="8" s="1"/>
  <c r="U108" i="8"/>
  <c r="AD69" i="4"/>
  <c r="AE65" i="4"/>
  <c r="U106" i="4"/>
  <c r="U107" i="4" s="1"/>
  <c r="S289" i="4"/>
  <c r="S308" i="4" s="1"/>
  <c r="S348" i="4" s="1"/>
  <c r="S120" i="4"/>
  <c r="R332" i="4"/>
  <c r="R124" i="4"/>
  <c r="R126" i="4" s="1"/>
  <c r="R127" i="4" s="1"/>
  <c r="R128" i="4" s="1"/>
  <c r="R129" i="4" s="1"/>
  <c r="S118" i="4"/>
  <c r="S119" i="4" s="1"/>
  <c r="S123" i="4" s="1"/>
  <c r="S121" i="4"/>
  <c r="S122" i="4"/>
  <c r="P141" i="8" l="1"/>
  <c r="P143" i="8" s="1"/>
  <c r="P144" i="8" s="1"/>
  <c r="P145" i="8" s="1"/>
  <c r="J175" i="8"/>
  <c r="J177" i="8" s="1"/>
  <c r="J178" i="8" s="1"/>
  <c r="J179" i="8" s="1"/>
  <c r="U113" i="8"/>
  <c r="T117" i="8" s="1"/>
  <c r="T118" i="8" s="1"/>
  <c r="T119" i="8" s="1"/>
  <c r="F198" i="8"/>
  <c r="E202" i="8" s="1"/>
  <c r="T122" i="8"/>
  <c r="T121" i="8"/>
  <c r="S124" i="8"/>
  <c r="Q138" i="8"/>
  <c r="Q139" i="8"/>
  <c r="N156" i="8"/>
  <c r="N155" i="8"/>
  <c r="M158" i="8"/>
  <c r="D218" i="8"/>
  <c r="C225" i="8"/>
  <c r="I178" i="8"/>
  <c r="I179" i="8" s="1"/>
  <c r="O144" i="8"/>
  <c r="O145" i="8" s="1"/>
  <c r="U351" i="8"/>
  <c r="V105" i="8"/>
  <c r="G195" i="8"/>
  <c r="G196" i="8" s="1"/>
  <c r="G197" i="8" s="1"/>
  <c r="R127" i="8"/>
  <c r="R128" i="8" s="1"/>
  <c r="R129" i="8" s="1"/>
  <c r="K173" i="8"/>
  <c r="K172" i="8"/>
  <c r="K169" i="8"/>
  <c r="K170" i="8" s="1"/>
  <c r="AE21" i="4"/>
  <c r="AE22" i="4" s="1"/>
  <c r="AE64" i="4" s="1"/>
  <c r="AE66" i="4" s="1"/>
  <c r="AD97" i="4"/>
  <c r="AD371" i="4" s="1"/>
  <c r="AD380" i="4" s="1"/>
  <c r="AD99" i="4"/>
  <c r="AD100" i="4" s="1"/>
  <c r="AD370" i="4"/>
  <c r="AD379" i="4" s="1"/>
  <c r="U109" i="4"/>
  <c r="U110" i="4" s="1"/>
  <c r="U112" i="4" s="1"/>
  <c r="U108" i="4"/>
  <c r="V105" i="4" s="1"/>
  <c r="T116" i="4"/>
  <c r="S313" i="4"/>
  <c r="P146" i="8" l="1"/>
  <c r="J180" i="8"/>
  <c r="O146" i="8"/>
  <c r="O147" i="8" s="1"/>
  <c r="N151" i="8" s="1"/>
  <c r="G198" i="8"/>
  <c r="F202" i="8" s="1"/>
  <c r="F294" i="8" s="1"/>
  <c r="F305" i="8" s="1"/>
  <c r="F344" i="8" s="1"/>
  <c r="U116" i="8"/>
  <c r="T123" i="8"/>
  <c r="T313" i="8" s="1"/>
  <c r="T332" i="8" s="1"/>
  <c r="T361" i="8" s="1"/>
  <c r="R130" i="8"/>
  <c r="Q134" i="8" s="1"/>
  <c r="L167" i="8"/>
  <c r="K174" i="8"/>
  <c r="K316" i="8" s="1"/>
  <c r="K328" i="8" s="1"/>
  <c r="K357" i="8" s="1"/>
  <c r="M160" i="8"/>
  <c r="V106" i="8"/>
  <c r="V107" i="8" s="1"/>
  <c r="I180" i="8"/>
  <c r="E205" i="8"/>
  <c r="E294" i="8"/>
  <c r="E305" i="8" s="1"/>
  <c r="E344" i="8" s="1"/>
  <c r="E203" i="8"/>
  <c r="E204" i="8" s="1"/>
  <c r="S126" i="8"/>
  <c r="D223" i="8"/>
  <c r="D224" i="8"/>
  <c r="C319" i="8"/>
  <c r="C326" i="8" s="1"/>
  <c r="C355" i="8" s="1"/>
  <c r="C226" i="8"/>
  <c r="T120" i="8"/>
  <c r="T289" i="8"/>
  <c r="T308" i="8" s="1"/>
  <c r="T348" i="8" s="1"/>
  <c r="AF65" i="4"/>
  <c r="AE69" i="4"/>
  <c r="S332" i="4"/>
  <c r="S124" i="4"/>
  <c r="S126" i="4" s="1"/>
  <c r="U351" i="4"/>
  <c r="T122" i="4"/>
  <c r="T121" i="4"/>
  <c r="U113" i="4"/>
  <c r="T117" i="4" s="1"/>
  <c r="T124" i="8" l="1"/>
  <c r="T126" i="8" s="1"/>
  <c r="T127" i="8" s="1"/>
  <c r="T128" i="8" s="1"/>
  <c r="P147" i="8"/>
  <c r="F201" i="8"/>
  <c r="E208" i="8"/>
  <c r="I181" i="8"/>
  <c r="Q137" i="8"/>
  <c r="Q290" i="8"/>
  <c r="Q307" i="8" s="1"/>
  <c r="Q347" i="8" s="1"/>
  <c r="Q135" i="8"/>
  <c r="Q136" i="8" s="1"/>
  <c r="K175" i="8"/>
  <c r="V109" i="8"/>
  <c r="V110" i="8" s="1"/>
  <c r="V112" i="8" s="1"/>
  <c r="S127" i="8"/>
  <c r="S128" i="8" s="1"/>
  <c r="C228" i="8"/>
  <c r="U122" i="8"/>
  <c r="U121" i="8"/>
  <c r="V108" i="8"/>
  <c r="N154" i="8"/>
  <c r="N291" i="8"/>
  <c r="N306" i="8" s="1"/>
  <c r="N346" i="8" s="1"/>
  <c r="N152" i="8"/>
  <c r="N153" i="8" s="1"/>
  <c r="L173" i="8"/>
  <c r="L172" i="8"/>
  <c r="M161" i="8"/>
  <c r="M162" i="8" s="1"/>
  <c r="M163" i="8" s="1"/>
  <c r="F205" i="8"/>
  <c r="AE97" i="4"/>
  <c r="AE371" i="4" s="1"/>
  <c r="AE380" i="4" s="1"/>
  <c r="AE99" i="4"/>
  <c r="AE100" i="4" s="1"/>
  <c r="AE370" i="4"/>
  <c r="AE379" i="4" s="1"/>
  <c r="AF21" i="4"/>
  <c r="AF22" i="4" s="1"/>
  <c r="AF64" i="4" s="1"/>
  <c r="AF66" i="4" s="1"/>
  <c r="V106" i="4"/>
  <c r="V107" i="4" s="1"/>
  <c r="T289" i="4"/>
  <c r="T308" i="4" s="1"/>
  <c r="T348" i="4" s="1"/>
  <c r="T120" i="4"/>
  <c r="T118" i="4"/>
  <c r="T119" i="4" s="1"/>
  <c r="T123" i="4" s="1"/>
  <c r="S127" i="4"/>
  <c r="S128" i="4" s="1"/>
  <c r="S129" i="4" s="1"/>
  <c r="T129" i="8" l="1"/>
  <c r="V113" i="8"/>
  <c r="U117" i="8" s="1"/>
  <c r="M164" i="8"/>
  <c r="L168" i="8" s="1"/>
  <c r="O150" i="8"/>
  <c r="N157" i="8"/>
  <c r="R133" i="8"/>
  <c r="Q140" i="8"/>
  <c r="Q314" i="8" s="1"/>
  <c r="Q331" i="8" s="1"/>
  <c r="Q360" i="8" s="1"/>
  <c r="H185" i="8"/>
  <c r="J181" i="8"/>
  <c r="F206" i="8"/>
  <c r="F207" i="8"/>
  <c r="F203" i="8"/>
  <c r="F204" i="8" s="1"/>
  <c r="V351" i="8"/>
  <c r="W105" i="8"/>
  <c r="S129" i="8"/>
  <c r="E318" i="8"/>
  <c r="E329" i="8" s="1"/>
  <c r="E358" i="8" s="1"/>
  <c r="K177" i="8"/>
  <c r="C229" i="8"/>
  <c r="C230" i="8" s="1"/>
  <c r="C231" i="8" s="1"/>
  <c r="E209" i="8"/>
  <c r="AG65" i="4"/>
  <c r="AF69" i="4"/>
  <c r="U116" i="4"/>
  <c r="T313" i="4"/>
  <c r="V109" i="4"/>
  <c r="V110" i="4" s="1"/>
  <c r="V112" i="4" s="1"/>
  <c r="V108" i="4"/>
  <c r="W105" i="4" s="1"/>
  <c r="G201" i="8" l="1"/>
  <c r="F208" i="8"/>
  <c r="F209" i="8" s="1"/>
  <c r="F211" i="8" s="1"/>
  <c r="K178" i="8"/>
  <c r="K179" i="8" s="1"/>
  <c r="K180" i="8" s="1"/>
  <c r="S130" i="8"/>
  <c r="Q141" i="8"/>
  <c r="R138" i="8"/>
  <c r="R139" i="8"/>
  <c r="N315" i="8"/>
  <c r="N330" i="8" s="1"/>
  <c r="N359" i="8" s="1"/>
  <c r="N158" i="8"/>
  <c r="W106" i="8"/>
  <c r="W107" i="8" s="1"/>
  <c r="O156" i="8"/>
  <c r="O155" i="8"/>
  <c r="O151" i="8"/>
  <c r="L171" i="8"/>
  <c r="L292" i="8"/>
  <c r="L304" i="8" s="1"/>
  <c r="L343" i="8" s="1"/>
  <c r="L169" i="8"/>
  <c r="L170" i="8" s="1"/>
  <c r="U120" i="8"/>
  <c r="U289" i="8"/>
  <c r="U308" i="8" s="1"/>
  <c r="U348" i="8" s="1"/>
  <c r="U118" i="8"/>
  <c r="U119" i="8" s="1"/>
  <c r="C232" i="8"/>
  <c r="E211" i="8"/>
  <c r="H188" i="8"/>
  <c r="H293" i="8"/>
  <c r="H310" i="8" s="1"/>
  <c r="H350" i="8" s="1"/>
  <c r="H186" i="8"/>
  <c r="H187" i="8" s="1"/>
  <c r="AF99" i="4"/>
  <c r="AF100" i="4" s="1"/>
  <c r="AF97" i="4"/>
  <c r="AF371" i="4" s="1"/>
  <c r="AF380" i="4" s="1"/>
  <c r="AF370" i="4"/>
  <c r="AF379" i="4" s="1"/>
  <c r="AG21" i="4"/>
  <c r="AG22" i="4" s="1"/>
  <c r="AG64" i="4" s="1"/>
  <c r="AG66" i="4" s="1"/>
  <c r="T332" i="4"/>
  <c r="T124" i="4"/>
  <c r="T126" i="4" s="1"/>
  <c r="V113" i="4"/>
  <c r="U117" i="4" s="1"/>
  <c r="U121" i="4"/>
  <c r="U122" i="4"/>
  <c r="V351" i="4"/>
  <c r="I184" i="8" l="1"/>
  <c r="H191" i="8"/>
  <c r="H317" i="8" s="1"/>
  <c r="H334" i="8" s="1"/>
  <c r="H363" i="8" s="1"/>
  <c r="V116" i="8"/>
  <c r="U123" i="8"/>
  <c r="U313" i="8" s="1"/>
  <c r="U332" i="8" s="1"/>
  <c r="U361" i="8" s="1"/>
  <c r="M167" i="8"/>
  <c r="L174" i="8"/>
  <c r="O154" i="8"/>
  <c r="O291" i="8"/>
  <c r="O306" i="8" s="1"/>
  <c r="O346" i="8" s="1"/>
  <c r="O152" i="8"/>
  <c r="O153" i="8" s="1"/>
  <c r="W108" i="8"/>
  <c r="N160" i="8"/>
  <c r="R134" i="8"/>
  <c r="T130" i="8"/>
  <c r="K181" i="8"/>
  <c r="F318" i="8"/>
  <c r="F329" i="8" s="1"/>
  <c r="F358" i="8" s="1"/>
  <c r="Q143" i="8"/>
  <c r="W109" i="8"/>
  <c r="W110" i="8" s="1"/>
  <c r="W112" i="8" s="1"/>
  <c r="F212" i="8"/>
  <c r="F213" i="8" s="1"/>
  <c r="E212" i="8"/>
  <c r="E213" i="8" s="1"/>
  <c r="G206" i="8"/>
  <c r="G207" i="8"/>
  <c r="AH65" i="4"/>
  <c r="AG69" i="4"/>
  <c r="W106" i="4"/>
  <c r="W107" i="4" s="1"/>
  <c r="U289" i="4"/>
  <c r="U308" i="4" s="1"/>
  <c r="U348" i="4" s="1"/>
  <c r="U120" i="4"/>
  <c r="U118" i="4"/>
  <c r="U119" i="4" s="1"/>
  <c r="U123" i="4" s="1"/>
  <c r="T127" i="4"/>
  <c r="T128" i="4" s="1"/>
  <c r="T129" i="4" s="1"/>
  <c r="F214" i="8" l="1"/>
  <c r="H192" i="8"/>
  <c r="H194" i="8" s="1"/>
  <c r="E214" i="8"/>
  <c r="E215" i="8" s="1"/>
  <c r="D219" i="8" s="1"/>
  <c r="W351" i="8"/>
  <c r="X105" i="8"/>
  <c r="W113" i="8"/>
  <c r="V117" i="8" s="1"/>
  <c r="R137" i="8"/>
  <c r="R290" i="8"/>
  <c r="R307" i="8" s="1"/>
  <c r="R347" i="8" s="1"/>
  <c r="R135" i="8"/>
  <c r="R136" i="8" s="1"/>
  <c r="M172" i="8"/>
  <c r="M173" i="8"/>
  <c r="P150" i="8"/>
  <c r="O157" i="8"/>
  <c r="O315" i="8" s="1"/>
  <c r="O330" i="8" s="1"/>
  <c r="O359" i="8" s="1"/>
  <c r="V121" i="8"/>
  <c r="V122" i="8"/>
  <c r="Q144" i="8"/>
  <c r="Q145" i="8" s="1"/>
  <c r="Q146" i="8" s="1"/>
  <c r="L316" i="8"/>
  <c r="L328" i="8" s="1"/>
  <c r="L357" i="8" s="1"/>
  <c r="L175" i="8"/>
  <c r="N161" i="8"/>
  <c r="N162" i="8" s="1"/>
  <c r="N163" i="8" s="1"/>
  <c r="I190" i="8"/>
  <c r="I189" i="8"/>
  <c r="I185" i="8"/>
  <c r="I186" i="8" s="1"/>
  <c r="U124" i="8"/>
  <c r="AG97" i="4"/>
  <c r="AG371" i="4" s="1"/>
  <c r="AG380" i="4" s="1"/>
  <c r="AG99" i="4"/>
  <c r="AG100" i="4" s="1"/>
  <c r="AG370" i="4"/>
  <c r="AG379" i="4" s="1"/>
  <c r="AH21" i="4"/>
  <c r="AH22" i="4" s="1"/>
  <c r="AH64" i="4" s="1"/>
  <c r="AH66" i="4" s="1"/>
  <c r="V116" i="4"/>
  <c r="U313" i="4"/>
  <c r="W109" i="4"/>
  <c r="W110" i="4" s="1"/>
  <c r="W112" i="4" s="1"/>
  <c r="W108" i="4"/>
  <c r="X105" i="4" s="1"/>
  <c r="F215" i="8" l="1"/>
  <c r="E219" i="8" s="1"/>
  <c r="E295" i="8" s="1"/>
  <c r="E302" i="8" s="1"/>
  <c r="E341" i="8" s="1"/>
  <c r="S133" i="8"/>
  <c r="R140" i="8"/>
  <c r="N164" i="8"/>
  <c r="M168" i="8" s="1"/>
  <c r="Q147" i="8"/>
  <c r="P151" i="8" s="1"/>
  <c r="P152" i="8" s="1"/>
  <c r="P153" i="8" s="1"/>
  <c r="P156" i="8"/>
  <c r="P155" i="8"/>
  <c r="O158" i="8"/>
  <c r="L177" i="8"/>
  <c r="H195" i="8"/>
  <c r="H196" i="8" s="1"/>
  <c r="H197" i="8" s="1"/>
  <c r="U126" i="8"/>
  <c r="V120" i="8"/>
  <c r="V289" i="8"/>
  <c r="V308" i="8" s="1"/>
  <c r="V348" i="8" s="1"/>
  <c r="X106" i="8"/>
  <c r="X107" i="8" s="1"/>
  <c r="D222" i="8"/>
  <c r="D295" i="8"/>
  <c r="D302" i="8" s="1"/>
  <c r="D341" i="8" s="1"/>
  <c r="D220" i="8"/>
  <c r="D221" i="8" s="1"/>
  <c r="I188" i="8"/>
  <c r="I293" i="8"/>
  <c r="I310" i="8" s="1"/>
  <c r="I350" i="8" s="1"/>
  <c r="I187" i="8"/>
  <c r="V118" i="8"/>
  <c r="V119" i="8" s="1"/>
  <c r="AI65" i="4"/>
  <c r="AH69" i="4"/>
  <c r="U332" i="4"/>
  <c r="V121" i="4"/>
  <c r="V122" i="4"/>
  <c r="U124" i="4"/>
  <c r="U126" i="4" s="1"/>
  <c r="W113" i="4"/>
  <c r="V117" i="4" s="1"/>
  <c r="W351" i="4"/>
  <c r="E222" i="8" l="1"/>
  <c r="H198" i="8"/>
  <c r="G202" i="8" s="1"/>
  <c r="E218" i="8"/>
  <c r="D225" i="8"/>
  <c r="Q150" i="8"/>
  <c r="P157" i="8"/>
  <c r="P315" i="8" s="1"/>
  <c r="P330" i="8" s="1"/>
  <c r="P359" i="8" s="1"/>
  <c r="O160" i="8"/>
  <c r="W116" i="8"/>
  <c r="V123" i="8"/>
  <c r="V313" i="8" s="1"/>
  <c r="V332" i="8" s="1"/>
  <c r="V361" i="8" s="1"/>
  <c r="J184" i="8"/>
  <c r="I191" i="8"/>
  <c r="I317" i="8" s="1"/>
  <c r="I334" i="8" s="1"/>
  <c r="I363" i="8" s="1"/>
  <c r="L178" i="8"/>
  <c r="L179" i="8" s="1"/>
  <c r="L180" i="8" s="1"/>
  <c r="M171" i="8"/>
  <c r="M292" i="8"/>
  <c r="M304" i="8" s="1"/>
  <c r="M343" i="8" s="1"/>
  <c r="M169" i="8"/>
  <c r="M170" i="8" s="1"/>
  <c r="U127" i="8"/>
  <c r="U128" i="8" s="1"/>
  <c r="U129" i="8" s="1"/>
  <c r="R314" i="8"/>
  <c r="R331" i="8" s="1"/>
  <c r="R360" i="8" s="1"/>
  <c r="R141" i="8"/>
  <c r="P154" i="8"/>
  <c r="P291" i="8"/>
  <c r="P306" i="8" s="1"/>
  <c r="P346" i="8" s="1"/>
  <c r="X109" i="8"/>
  <c r="X110" i="8" s="1"/>
  <c r="X112" i="8" s="1"/>
  <c r="X108" i="8"/>
  <c r="S138" i="8"/>
  <c r="S139" i="8"/>
  <c r="S134" i="8"/>
  <c r="AH97" i="4"/>
  <c r="AH371" i="4" s="1"/>
  <c r="AH380" i="4" s="1"/>
  <c r="AH99" i="4"/>
  <c r="AH100" i="4" s="1"/>
  <c r="AH370" i="4"/>
  <c r="AH379" i="4" s="1"/>
  <c r="AI21" i="4"/>
  <c r="AI22" i="4" s="1"/>
  <c r="AI64" i="4" s="1"/>
  <c r="AI66" i="4" s="1"/>
  <c r="X106" i="4"/>
  <c r="X107" i="4" s="1"/>
  <c r="V289" i="4"/>
  <c r="V308" i="4" s="1"/>
  <c r="V348" i="4" s="1"/>
  <c r="V120" i="4"/>
  <c r="V118" i="4"/>
  <c r="V119" i="4" s="1"/>
  <c r="V123" i="4" s="1"/>
  <c r="U127" i="4"/>
  <c r="U128" i="4" s="1"/>
  <c r="U129" i="4" s="1"/>
  <c r="L181" i="8" l="1"/>
  <c r="K185" i="8" s="1"/>
  <c r="U130" i="8"/>
  <c r="T134" i="8" s="1"/>
  <c r="X113" i="8"/>
  <c r="W117" i="8" s="1"/>
  <c r="W118" i="8" s="1"/>
  <c r="W119" i="8" s="1"/>
  <c r="W121" i="8"/>
  <c r="W122" i="8"/>
  <c r="X351" i="8"/>
  <c r="Y105" i="8"/>
  <c r="Q156" i="8"/>
  <c r="Q155" i="8"/>
  <c r="N167" i="8"/>
  <c r="M174" i="8"/>
  <c r="M316" i="8" s="1"/>
  <c r="M328" i="8" s="1"/>
  <c r="M357" i="8" s="1"/>
  <c r="O161" i="8"/>
  <c r="O162" i="8" s="1"/>
  <c r="O163" i="8" s="1"/>
  <c r="V124" i="8"/>
  <c r="G205" i="8"/>
  <c r="G294" i="8"/>
  <c r="G305" i="8" s="1"/>
  <c r="G344" i="8" s="1"/>
  <c r="G203" i="8"/>
  <c r="G204" i="8" s="1"/>
  <c r="P158" i="8"/>
  <c r="S137" i="8"/>
  <c r="S290" i="8"/>
  <c r="S307" i="8" s="1"/>
  <c r="S347" i="8" s="1"/>
  <c r="R143" i="8"/>
  <c r="J190" i="8"/>
  <c r="J189" i="8"/>
  <c r="J185" i="8"/>
  <c r="D319" i="8"/>
  <c r="D326" i="8" s="1"/>
  <c r="D355" i="8" s="1"/>
  <c r="D226" i="8"/>
  <c r="E223" i="8"/>
  <c r="E224" i="8"/>
  <c r="E220" i="8"/>
  <c r="E221" i="8" s="1"/>
  <c r="S135" i="8"/>
  <c r="S136" i="8" s="1"/>
  <c r="I192" i="8"/>
  <c r="AJ65" i="4"/>
  <c r="AI69" i="4"/>
  <c r="W116" i="4"/>
  <c r="V313" i="4"/>
  <c r="X109" i="4"/>
  <c r="X110" i="4" s="1"/>
  <c r="X112" i="4" s="1"/>
  <c r="J186" i="8" l="1"/>
  <c r="J187" i="8" s="1"/>
  <c r="F218" i="8"/>
  <c r="E225" i="8"/>
  <c r="E226" i="8" s="1"/>
  <c r="E228" i="8" s="1"/>
  <c r="X116" i="8"/>
  <c r="W123" i="8"/>
  <c r="W313" i="8" s="1"/>
  <c r="W332" i="8" s="1"/>
  <c r="W361" i="8" s="1"/>
  <c r="O164" i="8"/>
  <c r="N168" i="8" s="1"/>
  <c r="N169" i="8" s="1"/>
  <c r="V126" i="8"/>
  <c r="T133" i="8"/>
  <c r="S140" i="8"/>
  <c r="R144" i="8"/>
  <c r="R145" i="8" s="1"/>
  <c r="R146" i="8" s="1"/>
  <c r="N172" i="8"/>
  <c r="N173" i="8"/>
  <c r="W120" i="8"/>
  <c r="W289" i="8"/>
  <c r="W308" i="8" s="1"/>
  <c r="W348" i="8" s="1"/>
  <c r="I194" i="8"/>
  <c r="T137" i="8"/>
  <c r="T290" i="8"/>
  <c r="T307" i="8" s="1"/>
  <c r="T347" i="8" s="1"/>
  <c r="K188" i="8"/>
  <c r="K293" i="8"/>
  <c r="K310" i="8" s="1"/>
  <c r="K350" i="8" s="1"/>
  <c r="D228" i="8"/>
  <c r="J188" i="8"/>
  <c r="J293" i="8"/>
  <c r="J310" i="8" s="1"/>
  <c r="J350" i="8" s="1"/>
  <c r="P160" i="8"/>
  <c r="Y106" i="8"/>
  <c r="Y107" i="8" s="1"/>
  <c r="H201" i="8"/>
  <c r="G208" i="8"/>
  <c r="G209" i="8" s="1"/>
  <c r="M175" i="8"/>
  <c r="AI99" i="4"/>
  <c r="AI100" i="4" s="1"/>
  <c r="AI97" i="4"/>
  <c r="AI371" i="4" s="1"/>
  <c r="AI380" i="4" s="1"/>
  <c r="AI370" i="4"/>
  <c r="AI379" i="4" s="1"/>
  <c r="AJ21" i="4"/>
  <c r="AJ22" i="4" s="1"/>
  <c r="AJ64" i="4" s="1"/>
  <c r="AJ66" i="4" s="1"/>
  <c r="X108" i="4"/>
  <c r="Y105" i="4" s="1"/>
  <c r="V332" i="4"/>
  <c r="V124" i="4"/>
  <c r="X113" i="4"/>
  <c r="W117" i="4" s="1"/>
  <c r="W121" i="4"/>
  <c r="W122" i="4"/>
  <c r="Y108" i="8" l="1"/>
  <c r="K184" i="8"/>
  <c r="J191" i="8"/>
  <c r="W124" i="8"/>
  <c r="W126" i="8" s="1"/>
  <c r="E229" i="8"/>
  <c r="E230" i="8" s="1"/>
  <c r="P161" i="8"/>
  <c r="P162" i="8" s="1"/>
  <c r="P163" i="8" s="1"/>
  <c r="S314" i="8"/>
  <c r="S331" i="8" s="1"/>
  <c r="S360" i="8" s="1"/>
  <c r="S141" i="8"/>
  <c r="R147" i="8"/>
  <c r="Q151" i="8" s="1"/>
  <c r="M177" i="8"/>
  <c r="N170" i="8"/>
  <c r="G318" i="8"/>
  <c r="G329" i="8" s="1"/>
  <c r="G358" i="8" s="1"/>
  <c r="H206" i="8"/>
  <c r="H207" i="8"/>
  <c r="D229" i="8"/>
  <c r="D230" i="8" s="1"/>
  <c r="D231" i="8" s="1"/>
  <c r="X122" i="8"/>
  <c r="X121" i="8"/>
  <c r="N171" i="8"/>
  <c r="N292" i="8"/>
  <c r="N304" i="8" s="1"/>
  <c r="N343" i="8" s="1"/>
  <c r="G211" i="8"/>
  <c r="E319" i="8"/>
  <c r="E326" i="8" s="1"/>
  <c r="E355" i="8" s="1"/>
  <c r="T138" i="8"/>
  <c r="T139" i="8"/>
  <c r="T135" i="8"/>
  <c r="T136" i="8" s="1"/>
  <c r="I195" i="8"/>
  <c r="I196" i="8" s="1"/>
  <c r="V127" i="8"/>
  <c r="V128" i="8" s="1"/>
  <c r="V129" i="8" s="1"/>
  <c r="Y109" i="8"/>
  <c r="Y110" i="8" s="1"/>
  <c r="Y112" i="8" s="1"/>
  <c r="F223" i="8"/>
  <c r="F224" i="8"/>
  <c r="X351" i="4"/>
  <c r="Y106" i="4"/>
  <c r="Y109" i="4" s="1"/>
  <c r="Y110" i="4" s="1"/>
  <c r="Y112" i="4" s="1"/>
  <c r="AK65" i="4"/>
  <c r="AJ69" i="4"/>
  <c r="W289" i="4"/>
  <c r="W308" i="4" s="1"/>
  <c r="W348" i="4" s="1"/>
  <c r="W120" i="4"/>
  <c r="W118" i="4"/>
  <c r="W119" i="4" s="1"/>
  <c r="W123" i="4" s="1"/>
  <c r="V126" i="4"/>
  <c r="Y107" i="4" l="1"/>
  <c r="Y108" i="4" s="1"/>
  <c r="Z105" i="4" s="1"/>
  <c r="Y351" i="8"/>
  <c r="Z105" i="8"/>
  <c r="Z106" i="8" s="1"/>
  <c r="E231" i="8"/>
  <c r="J317" i="8"/>
  <c r="J334" i="8" s="1"/>
  <c r="J363" i="8" s="1"/>
  <c r="J192" i="8"/>
  <c r="J194" i="8" s="1"/>
  <c r="J195" i="8" s="1"/>
  <c r="J196" i="8" s="1"/>
  <c r="K186" i="8"/>
  <c r="K187" i="8" s="1"/>
  <c r="K189" i="8"/>
  <c r="K190" i="8"/>
  <c r="Y113" i="8"/>
  <c r="X117" i="8" s="1"/>
  <c r="P164" i="8"/>
  <c r="U133" i="8"/>
  <c r="T140" i="8"/>
  <c r="T314" i="8" s="1"/>
  <c r="T331" i="8" s="1"/>
  <c r="T360" i="8" s="1"/>
  <c r="W127" i="8"/>
  <c r="W128" i="8" s="1"/>
  <c r="W129" i="8" s="1"/>
  <c r="Q154" i="8"/>
  <c r="Q291" i="8"/>
  <c r="Q306" i="8" s="1"/>
  <c r="Q346" i="8" s="1"/>
  <c r="Q152" i="8"/>
  <c r="Q153" i="8" s="1"/>
  <c r="I197" i="8"/>
  <c r="M178" i="8"/>
  <c r="M179" i="8" s="1"/>
  <c r="M180" i="8" s="1"/>
  <c r="S143" i="8"/>
  <c r="G212" i="8"/>
  <c r="G213" i="8" s="1"/>
  <c r="G214" i="8" s="1"/>
  <c r="V130" i="8"/>
  <c r="U134" i="8" s="1"/>
  <c r="O167" i="8"/>
  <c r="N174" i="8"/>
  <c r="D232" i="8"/>
  <c r="C236" i="8" s="1"/>
  <c r="AJ99" i="4"/>
  <c r="AJ100" i="4" s="1"/>
  <c r="AJ97" i="4"/>
  <c r="AJ371" i="4" s="1"/>
  <c r="AJ380" i="4" s="1"/>
  <c r="AJ370" i="4"/>
  <c r="AJ379" i="4" s="1"/>
  <c r="AK21" i="4"/>
  <c r="AK22" i="4" s="1"/>
  <c r="AK64" i="4" s="1"/>
  <c r="AK66" i="4" s="1"/>
  <c r="W313" i="4"/>
  <c r="X116" i="4"/>
  <c r="W124" i="4"/>
  <c r="W126" i="4" s="1"/>
  <c r="Y113" i="4"/>
  <c r="X117" i="4" s="1"/>
  <c r="V127" i="4"/>
  <c r="V128" i="4" s="1"/>
  <c r="V129" i="4" s="1"/>
  <c r="Z107" i="8" l="1"/>
  <c r="Z108" i="8" s="1"/>
  <c r="E232" i="8"/>
  <c r="D236" i="8" s="1"/>
  <c r="D296" i="8" s="1"/>
  <c r="D309" i="8" s="1"/>
  <c r="D349" i="8" s="1"/>
  <c r="K191" i="8"/>
  <c r="K317" i="8" s="1"/>
  <c r="K334" i="8" s="1"/>
  <c r="K363" i="8" s="1"/>
  <c r="L184" i="8"/>
  <c r="J197" i="8"/>
  <c r="W130" i="8"/>
  <c r="V134" i="8" s="1"/>
  <c r="R150" i="8"/>
  <c r="Q157" i="8"/>
  <c r="G215" i="8"/>
  <c r="F219" i="8" s="1"/>
  <c r="M181" i="8"/>
  <c r="U137" i="8"/>
  <c r="U290" i="8"/>
  <c r="U307" i="8" s="1"/>
  <c r="U347" i="8" s="1"/>
  <c r="O173" i="8"/>
  <c r="O172" i="8"/>
  <c r="I198" i="8"/>
  <c r="U139" i="8"/>
  <c r="U138" i="8"/>
  <c r="U135" i="8"/>
  <c r="U136" i="8" s="1"/>
  <c r="D239" i="8"/>
  <c r="S144" i="8"/>
  <c r="S145" i="8" s="1"/>
  <c r="S146" i="8" s="1"/>
  <c r="T141" i="8"/>
  <c r="Z109" i="8"/>
  <c r="Z110" i="8" s="1"/>
  <c r="Z112" i="8" s="1"/>
  <c r="O168" i="8"/>
  <c r="O169" i="8" s="1"/>
  <c r="C296" i="8"/>
  <c r="C309" i="8" s="1"/>
  <c r="C349" i="8" s="1"/>
  <c r="C239" i="8"/>
  <c r="C238" i="8"/>
  <c r="N316" i="8"/>
  <c r="N328" i="8" s="1"/>
  <c r="N357" i="8" s="1"/>
  <c r="N175" i="8"/>
  <c r="X120" i="8"/>
  <c r="X289" i="8"/>
  <c r="X308" i="8" s="1"/>
  <c r="X348" i="8" s="1"/>
  <c r="X118" i="8"/>
  <c r="X119" i="8" s="1"/>
  <c r="Y351" i="4"/>
  <c r="AK69" i="4"/>
  <c r="AL65" i="4"/>
  <c r="Z106" i="4"/>
  <c r="Z107" i="4" s="1"/>
  <c r="X289" i="4"/>
  <c r="X308" i="4" s="1"/>
  <c r="X348" i="4" s="1"/>
  <c r="X120" i="4"/>
  <c r="W332" i="4"/>
  <c r="X122" i="4"/>
  <c r="X121" i="4"/>
  <c r="X118" i="4"/>
  <c r="X119" i="4" s="1"/>
  <c r="X123" i="4" s="1"/>
  <c r="W127" i="4"/>
  <c r="W128" i="4" s="1"/>
  <c r="W129" i="4" s="1"/>
  <c r="L185" i="8" l="1"/>
  <c r="L188" i="8" s="1"/>
  <c r="O170" i="8"/>
  <c r="O174" i="8" s="1"/>
  <c r="O316" i="8" s="1"/>
  <c r="O328" i="8" s="1"/>
  <c r="O357" i="8" s="1"/>
  <c r="L189" i="8"/>
  <c r="L190" i="8"/>
  <c r="K192" i="8"/>
  <c r="K194" i="8" s="1"/>
  <c r="K195" i="8" s="1"/>
  <c r="K196" i="8" s="1"/>
  <c r="K197" i="8" s="1"/>
  <c r="Y116" i="8"/>
  <c r="X123" i="8"/>
  <c r="X313" i="8" s="1"/>
  <c r="X332" i="8" s="1"/>
  <c r="X361" i="8" s="1"/>
  <c r="Z113" i="8"/>
  <c r="S147" i="8"/>
  <c r="R151" i="8" s="1"/>
  <c r="V133" i="8"/>
  <c r="U140" i="8"/>
  <c r="U314" i="8" s="1"/>
  <c r="U331" i="8" s="1"/>
  <c r="U360" i="8" s="1"/>
  <c r="H202" i="8"/>
  <c r="J198" i="8"/>
  <c r="F222" i="8"/>
  <c r="F295" i="8"/>
  <c r="F302" i="8" s="1"/>
  <c r="F341" i="8" s="1"/>
  <c r="F220" i="8"/>
  <c r="F221" i="8" s="1"/>
  <c r="Q315" i="8"/>
  <c r="Q330" i="8" s="1"/>
  <c r="Q359" i="8" s="1"/>
  <c r="Q158" i="8"/>
  <c r="O171" i="8"/>
  <c r="O292" i="8"/>
  <c r="O304" i="8" s="1"/>
  <c r="O343" i="8" s="1"/>
  <c r="Z351" i="8"/>
  <c r="AA105" i="8"/>
  <c r="R156" i="8"/>
  <c r="R155" i="8"/>
  <c r="N177" i="8"/>
  <c r="T143" i="8"/>
  <c r="V137" i="8"/>
  <c r="V290" i="8"/>
  <c r="V307" i="8" s="1"/>
  <c r="V347" i="8" s="1"/>
  <c r="D235" i="8"/>
  <c r="C242" i="8"/>
  <c r="AL21" i="4"/>
  <c r="AL22" i="4" s="1"/>
  <c r="AL64" i="4" s="1"/>
  <c r="AL66" i="4" s="1"/>
  <c r="AK99" i="4"/>
  <c r="AK100" i="4" s="1"/>
  <c r="AK97" i="4"/>
  <c r="AK371" i="4" s="1"/>
  <c r="AK380" i="4" s="1"/>
  <c r="AK370" i="4"/>
  <c r="AK379" i="4" s="1"/>
  <c r="Z108" i="4"/>
  <c r="AA105" i="4" s="1"/>
  <c r="Y116" i="4"/>
  <c r="X313" i="4"/>
  <c r="Z109" i="4"/>
  <c r="Z110" i="4" s="1"/>
  <c r="Z112" i="4" s="1"/>
  <c r="P167" i="8" l="1"/>
  <c r="L186" i="8"/>
  <c r="L187" i="8" s="1"/>
  <c r="L293" i="8"/>
  <c r="L310" i="8" s="1"/>
  <c r="L350" i="8" s="1"/>
  <c r="Y117" i="8"/>
  <c r="Y118" i="8" s="1"/>
  <c r="Y119" i="8" s="1"/>
  <c r="O175" i="8"/>
  <c r="O177" i="8" s="1"/>
  <c r="O178" i="8" s="1"/>
  <c r="O179" i="8" s="1"/>
  <c r="X124" i="8"/>
  <c r="X126" i="8" s="1"/>
  <c r="Q160" i="8"/>
  <c r="U141" i="8"/>
  <c r="M184" i="8"/>
  <c r="L191" i="8"/>
  <c r="L317" i="8" s="1"/>
  <c r="L334" i="8" s="1"/>
  <c r="L363" i="8" s="1"/>
  <c r="V139" i="8"/>
  <c r="V138" i="8"/>
  <c r="V135" i="8"/>
  <c r="V136" i="8" s="1"/>
  <c r="D241" i="8"/>
  <c r="D240" i="8"/>
  <c r="D237" i="8"/>
  <c r="D238" i="8" s="1"/>
  <c r="R154" i="8"/>
  <c r="R291" i="8"/>
  <c r="R306" i="8" s="1"/>
  <c r="R346" i="8" s="1"/>
  <c r="K198" i="8"/>
  <c r="T144" i="8"/>
  <c r="T145" i="8" s="1"/>
  <c r="T146" i="8" s="1"/>
  <c r="G218" i="8"/>
  <c r="F225" i="8"/>
  <c r="C320" i="8"/>
  <c r="C333" i="8" s="1"/>
  <c r="C362" i="8" s="1"/>
  <c r="C243" i="8"/>
  <c r="R152" i="8"/>
  <c r="R153" i="8" s="1"/>
  <c r="P173" i="8"/>
  <c r="P172" i="8"/>
  <c r="N178" i="8"/>
  <c r="N179" i="8" s="1"/>
  <c r="AA106" i="8"/>
  <c r="AA107" i="8" s="1"/>
  <c r="H205" i="8"/>
  <c r="H294" i="8"/>
  <c r="H305" i="8" s="1"/>
  <c r="H344" i="8" s="1"/>
  <c r="H203" i="8"/>
  <c r="H204" i="8" s="1"/>
  <c r="Y121" i="8"/>
  <c r="Y122" i="8"/>
  <c r="Z351" i="4"/>
  <c r="AL69" i="4"/>
  <c r="AM65" i="4"/>
  <c r="X332" i="4"/>
  <c r="Z113" i="4"/>
  <c r="Y117" i="4" s="1"/>
  <c r="X124" i="4"/>
  <c r="Y121" i="4"/>
  <c r="Y122" i="4"/>
  <c r="Y120" i="8" l="1"/>
  <c r="Y289" i="8"/>
  <c r="Y308" i="8" s="1"/>
  <c r="Y348" i="8" s="1"/>
  <c r="O180" i="8"/>
  <c r="N180" i="8"/>
  <c r="N181" i="8" s="1"/>
  <c r="M185" i="8" s="1"/>
  <c r="M186" i="8" s="1"/>
  <c r="M187" i="8" s="1"/>
  <c r="I201" i="8"/>
  <c r="I202" i="8" s="1"/>
  <c r="H208" i="8"/>
  <c r="E235" i="8"/>
  <c r="D242" i="8"/>
  <c r="D243" i="8" s="1"/>
  <c r="W133" i="8"/>
  <c r="V140" i="8"/>
  <c r="V314" i="8" s="1"/>
  <c r="V331" i="8" s="1"/>
  <c r="V360" i="8" s="1"/>
  <c r="Z116" i="8"/>
  <c r="Y123" i="8"/>
  <c r="Y313" i="8" s="1"/>
  <c r="Y332" i="8" s="1"/>
  <c r="Y361" i="8" s="1"/>
  <c r="U143" i="8"/>
  <c r="M189" i="8"/>
  <c r="M190" i="8"/>
  <c r="Q161" i="8"/>
  <c r="Q162" i="8" s="1"/>
  <c r="Q163" i="8" s="1"/>
  <c r="L192" i="8"/>
  <c r="F319" i="8"/>
  <c r="F326" i="8" s="1"/>
  <c r="F355" i="8" s="1"/>
  <c r="AA109" i="8"/>
  <c r="AA110" i="8" s="1"/>
  <c r="AA112" i="8" s="1"/>
  <c r="X127" i="8"/>
  <c r="X128" i="8" s="1"/>
  <c r="X129" i="8" s="1"/>
  <c r="G223" i="8"/>
  <c r="G224" i="8"/>
  <c r="AA108" i="8"/>
  <c r="F226" i="8"/>
  <c r="S150" i="8"/>
  <c r="R157" i="8"/>
  <c r="T147" i="8"/>
  <c r="C245" i="8"/>
  <c r="AM21" i="4"/>
  <c r="AM22" i="4" s="1"/>
  <c r="AM64" i="4" s="1"/>
  <c r="AM66" i="4" s="1"/>
  <c r="AM69" i="4" s="1"/>
  <c r="AL97" i="4"/>
  <c r="AL371" i="4" s="1"/>
  <c r="AL380" i="4" s="1"/>
  <c r="AL99" i="4"/>
  <c r="AL100" i="4" s="1"/>
  <c r="AL370" i="4"/>
  <c r="AL379" i="4" s="1"/>
  <c r="AA106" i="4"/>
  <c r="AA107" i="4" s="1"/>
  <c r="Y289" i="4"/>
  <c r="Y308" i="4" s="1"/>
  <c r="Y348" i="4" s="1"/>
  <c r="Y120" i="4"/>
  <c r="Y118" i="4"/>
  <c r="Y119" i="4" s="1"/>
  <c r="Y123" i="4" s="1"/>
  <c r="X126" i="4"/>
  <c r="I205" i="8" l="1"/>
  <c r="I294" i="8"/>
  <c r="I305" i="8" s="1"/>
  <c r="I344" i="8" s="1"/>
  <c r="S151" i="8"/>
  <c r="S154" i="8" s="1"/>
  <c r="O181" i="8"/>
  <c r="AA351" i="8"/>
  <c r="AB105" i="8"/>
  <c r="AA113" i="8"/>
  <c r="Z117" i="8" s="1"/>
  <c r="Z118" i="8" s="1"/>
  <c r="Q164" i="8"/>
  <c r="P168" i="8" s="1"/>
  <c r="N184" i="8"/>
  <c r="M191" i="8"/>
  <c r="M317" i="8" s="1"/>
  <c r="M334" i="8" s="1"/>
  <c r="M363" i="8" s="1"/>
  <c r="F228" i="8"/>
  <c r="D245" i="8"/>
  <c r="W139" i="8"/>
  <c r="W138" i="8"/>
  <c r="M188" i="8"/>
  <c r="M293" i="8"/>
  <c r="M310" i="8" s="1"/>
  <c r="M350" i="8" s="1"/>
  <c r="D320" i="8"/>
  <c r="D333" i="8" s="1"/>
  <c r="D362" i="8" s="1"/>
  <c r="Z122" i="8"/>
  <c r="Z121" i="8"/>
  <c r="V141" i="8"/>
  <c r="Y124" i="8"/>
  <c r="C246" i="8"/>
  <c r="C247" i="8" s="1"/>
  <c r="C248" i="8" s="1"/>
  <c r="E241" i="8"/>
  <c r="E240" i="8"/>
  <c r="R315" i="8"/>
  <c r="R330" i="8" s="1"/>
  <c r="R359" i="8" s="1"/>
  <c r="R158" i="8"/>
  <c r="L194" i="8"/>
  <c r="U144" i="8"/>
  <c r="U145" i="8" s="1"/>
  <c r="U146" i="8" s="1"/>
  <c r="H318" i="8"/>
  <c r="H329" i="8" s="1"/>
  <c r="H358" i="8" s="1"/>
  <c r="H209" i="8"/>
  <c r="X130" i="8"/>
  <c r="W134" i="8" s="1"/>
  <c r="W135" i="8" s="1"/>
  <c r="S155" i="8"/>
  <c r="S156" i="8"/>
  <c r="I207" i="8"/>
  <c r="I206" i="8"/>
  <c r="I203" i="8"/>
  <c r="I204" i="8" s="1"/>
  <c r="AM97" i="4"/>
  <c r="AM371" i="4" s="1"/>
  <c r="AM380" i="4" s="1"/>
  <c r="AM99" i="4"/>
  <c r="AM100" i="4" s="1"/>
  <c r="AM370" i="4"/>
  <c r="AM379" i="4" s="1"/>
  <c r="AA109" i="4"/>
  <c r="AA110" i="4" s="1"/>
  <c r="AA112" i="4" s="1"/>
  <c r="AA113" i="4" s="1"/>
  <c r="Z117" i="4" s="1"/>
  <c r="X127" i="4"/>
  <c r="X128" i="4" s="1"/>
  <c r="X129" i="4" s="1"/>
  <c r="Z116" i="4"/>
  <c r="Y313" i="4"/>
  <c r="S152" i="8" l="1"/>
  <c r="S153" i="8" s="1"/>
  <c r="T150" i="8" s="1"/>
  <c r="S291" i="8"/>
  <c r="S306" i="8" s="1"/>
  <c r="S346" i="8" s="1"/>
  <c r="N185" i="8"/>
  <c r="N188" i="8" s="1"/>
  <c r="M192" i="8"/>
  <c r="M194" i="8" s="1"/>
  <c r="C249" i="8"/>
  <c r="J201" i="8"/>
  <c r="I208" i="8"/>
  <c r="I318" i="8" s="1"/>
  <c r="I329" i="8" s="1"/>
  <c r="I358" i="8" s="1"/>
  <c r="P171" i="8"/>
  <c r="P292" i="8"/>
  <c r="P304" i="8" s="1"/>
  <c r="P343" i="8" s="1"/>
  <c r="P169" i="8"/>
  <c r="P170" i="8" s="1"/>
  <c r="W137" i="8"/>
  <c r="W290" i="8"/>
  <c r="W307" i="8" s="1"/>
  <c r="W347" i="8" s="1"/>
  <c r="W136" i="8"/>
  <c r="H211" i="8"/>
  <c r="Y126" i="8"/>
  <c r="Z120" i="8"/>
  <c r="Z289" i="8"/>
  <c r="Z308" i="8" s="1"/>
  <c r="Z348" i="8" s="1"/>
  <c r="L195" i="8"/>
  <c r="L196" i="8" s="1"/>
  <c r="L197" i="8" s="1"/>
  <c r="V143" i="8"/>
  <c r="F229" i="8"/>
  <c r="F230" i="8" s="1"/>
  <c r="F231" i="8" s="1"/>
  <c r="N190" i="8"/>
  <c r="N189" i="8"/>
  <c r="U147" i="8"/>
  <c r="T151" i="8" s="1"/>
  <c r="Z119" i="8"/>
  <c r="AB106" i="8"/>
  <c r="AB107" i="8" s="1"/>
  <c r="R160" i="8"/>
  <c r="D246" i="8"/>
  <c r="D247" i="8" s="1"/>
  <c r="D248" i="8" s="1"/>
  <c r="AA108" i="4"/>
  <c r="AB105" i="4" s="1"/>
  <c r="Z289" i="4"/>
  <c r="Z308" i="4" s="1"/>
  <c r="Z348" i="4" s="1"/>
  <c r="Z120" i="4"/>
  <c r="Y332" i="4"/>
  <c r="Z118" i="4"/>
  <c r="Z119" i="4" s="1"/>
  <c r="Z123" i="4" s="1"/>
  <c r="Y124" i="4"/>
  <c r="Y126" i="4" s="1"/>
  <c r="Z122" i="4"/>
  <c r="Z121" i="4"/>
  <c r="S157" i="8" l="1"/>
  <c r="S315" i="8" s="1"/>
  <c r="S330" i="8" s="1"/>
  <c r="S359" i="8" s="1"/>
  <c r="N186" i="8"/>
  <c r="N187" i="8" s="1"/>
  <c r="O184" i="8" s="1"/>
  <c r="N293" i="8"/>
  <c r="N310" i="8" s="1"/>
  <c r="N350" i="8" s="1"/>
  <c r="S158" i="8"/>
  <c r="S160" i="8" s="1"/>
  <c r="S161" i="8" s="1"/>
  <c r="S162" i="8" s="1"/>
  <c r="D249" i="8"/>
  <c r="C253" i="8" s="1"/>
  <c r="Q167" i="8"/>
  <c r="P174" i="8"/>
  <c r="P316" i="8" s="1"/>
  <c r="P328" i="8" s="1"/>
  <c r="P357" i="8" s="1"/>
  <c r="L198" i="8"/>
  <c r="K202" i="8" s="1"/>
  <c r="X133" i="8"/>
  <c r="W140" i="8"/>
  <c r="M195" i="8"/>
  <c r="M196" i="8" s="1"/>
  <c r="M197" i="8" s="1"/>
  <c r="AB109" i="8"/>
  <c r="AB110" i="8" s="1"/>
  <c r="AB112" i="8" s="1"/>
  <c r="F232" i="8"/>
  <c r="E236" i="8" s="1"/>
  <c r="J207" i="8"/>
  <c r="J206" i="8"/>
  <c r="J202" i="8"/>
  <c r="T154" i="8"/>
  <c r="T291" i="8"/>
  <c r="T306" i="8" s="1"/>
  <c r="T346" i="8" s="1"/>
  <c r="R161" i="8"/>
  <c r="R162" i="8" s="1"/>
  <c r="R163" i="8" s="1"/>
  <c r="AB108" i="8"/>
  <c r="H212" i="8"/>
  <c r="H213" i="8" s="1"/>
  <c r="H214" i="8" s="1"/>
  <c r="V144" i="8"/>
  <c r="V145" i="8" s="1"/>
  <c r="V146" i="8" s="1"/>
  <c r="AA116" i="8"/>
  <c r="Z123" i="8"/>
  <c r="Y127" i="8"/>
  <c r="Y128" i="8" s="1"/>
  <c r="Y129" i="8" s="1"/>
  <c r="I209" i="8"/>
  <c r="T156" i="8"/>
  <c r="T155" i="8"/>
  <c r="T152" i="8"/>
  <c r="T153" i="8" s="1"/>
  <c r="AA351" i="4"/>
  <c r="AB106" i="4"/>
  <c r="AB109" i="4" s="1"/>
  <c r="AB110" i="4" s="1"/>
  <c r="AB112" i="4" s="1"/>
  <c r="AA116" i="4"/>
  <c r="Z313" i="4"/>
  <c r="Y127" i="4"/>
  <c r="Y128" i="4" s="1"/>
  <c r="Y129" i="4" s="1"/>
  <c r="N191" i="8" l="1"/>
  <c r="N317" i="8" s="1"/>
  <c r="N334" i="8" s="1"/>
  <c r="N363" i="8" s="1"/>
  <c r="AB107" i="4"/>
  <c r="AB108" i="4" s="1"/>
  <c r="AC105" i="4" s="1"/>
  <c r="S163" i="8"/>
  <c r="H215" i="8"/>
  <c r="G219" i="8" s="1"/>
  <c r="M198" i="8"/>
  <c r="U150" i="8"/>
  <c r="T157" i="8"/>
  <c r="T315" i="8" s="1"/>
  <c r="T330" i="8" s="1"/>
  <c r="T359" i="8" s="1"/>
  <c r="Y130" i="8"/>
  <c r="X134" i="8" s="1"/>
  <c r="J205" i="8"/>
  <c r="J294" i="8"/>
  <c r="J305" i="8" s="1"/>
  <c r="J344" i="8" s="1"/>
  <c r="X139" i="8"/>
  <c r="X138" i="8"/>
  <c r="V147" i="8"/>
  <c r="U151" i="8" s="1"/>
  <c r="E239" i="8"/>
  <c r="E296" i="8"/>
  <c r="E309" i="8" s="1"/>
  <c r="E349" i="8" s="1"/>
  <c r="E237" i="8"/>
  <c r="E238" i="8" s="1"/>
  <c r="K205" i="8"/>
  <c r="K294" i="8"/>
  <c r="K305" i="8" s="1"/>
  <c r="K344" i="8" s="1"/>
  <c r="W314" i="8"/>
  <c r="W331" i="8" s="1"/>
  <c r="W360" i="8" s="1"/>
  <c r="W141" i="8"/>
  <c r="J203" i="8"/>
  <c r="J204" i="8" s="1"/>
  <c r="AB113" i="8"/>
  <c r="AA117" i="8" s="1"/>
  <c r="P175" i="8"/>
  <c r="O190" i="8"/>
  <c r="O189" i="8"/>
  <c r="R164" i="8"/>
  <c r="Q168" i="8" s="1"/>
  <c r="Q169" i="8" s="1"/>
  <c r="Z313" i="8"/>
  <c r="Z332" i="8" s="1"/>
  <c r="Z361" i="8" s="1"/>
  <c r="Z124" i="8"/>
  <c r="C297" i="8"/>
  <c r="C303" i="8" s="1"/>
  <c r="C342" i="8" s="1"/>
  <c r="C256" i="8"/>
  <c r="C255" i="8"/>
  <c r="AB351" i="8"/>
  <c r="AC105" i="8"/>
  <c r="I211" i="8"/>
  <c r="Q173" i="8"/>
  <c r="Q172" i="8"/>
  <c r="AA122" i="8"/>
  <c r="AA121" i="8"/>
  <c r="Z332" i="4"/>
  <c r="Z124" i="4"/>
  <c r="Z126" i="4" s="1"/>
  <c r="AB113" i="4"/>
  <c r="AA117" i="4" s="1"/>
  <c r="AA121" i="4"/>
  <c r="AA122" i="4"/>
  <c r="N192" i="8" l="1"/>
  <c r="N194" i="8" s="1"/>
  <c r="T158" i="8"/>
  <c r="Q170" i="8"/>
  <c r="R167" i="8" s="1"/>
  <c r="R172" i="8" s="1"/>
  <c r="F235" i="8"/>
  <c r="E242" i="8"/>
  <c r="X137" i="8"/>
  <c r="X290" i="8"/>
  <c r="X307" i="8" s="1"/>
  <c r="X347" i="8" s="1"/>
  <c r="P177" i="8"/>
  <c r="Z126" i="8"/>
  <c r="Q171" i="8"/>
  <c r="Q292" i="8"/>
  <c r="Q304" i="8" s="1"/>
  <c r="Q343" i="8" s="1"/>
  <c r="N195" i="8"/>
  <c r="N196" i="8" s="1"/>
  <c r="N197" i="8" s="1"/>
  <c r="X135" i="8"/>
  <c r="X136" i="8" s="1"/>
  <c r="U155" i="8"/>
  <c r="U156" i="8"/>
  <c r="U152" i="8"/>
  <c r="U153" i="8" s="1"/>
  <c r="AA120" i="8"/>
  <c r="AA289" i="8"/>
  <c r="AA308" i="8" s="1"/>
  <c r="AA348" i="8" s="1"/>
  <c r="T160" i="8"/>
  <c r="U154" i="8"/>
  <c r="U291" i="8"/>
  <c r="U306" i="8" s="1"/>
  <c r="U346" i="8" s="1"/>
  <c r="AC106" i="8"/>
  <c r="AC107" i="8" s="1"/>
  <c r="S164" i="8"/>
  <c r="R168" i="8" s="1"/>
  <c r="K201" i="8"/>
  <c r="J208" i="8"/>
  <c r="J318" i="8" s="1"/>
  <c r="J329" i="8" s="1"/>
  <c r="J358" i="8" s="1"/>
  <c r="I212" i="8"/>
  <c r="I213" i="8" s="1"/>
  <c r="I214" i="8" s="1"/>
  <c r="AA118" i="8"/>
  <c r="AA119" i="8" s="1"/>
  <c r="G222" i="8"/>
  <c r="G295" i="8"/>
  <c r="G302" i="8" s="1"/>
  <c r="G341" i="8" s="1"/>
  <c r="G220" i="8"/>
  <c r="G221" i="8" s="1"/>
  <c r="W143" i="8"/>
  <c r="D252" i="8"/>
  <c r="C259" i="8"/>
  <c r="AC106" i="4"/>
  <c r="AC107" i="4" s="1"/>
  <c r="AB351" i="4"/>
  <c r="AA289" i="4"/>
  <c r="AA308" i="4" s="1"/>
  <c r="AA348" i="4" s="1"/>
  <c r="AA120" i="4"/>
  <c r="AA118" i="4"/>
  <c r="AA119" i="4" s="1"/>
  <c r="AA123" i="4" s="1"/>
  <c r="Z127" i="4"/>
  <c r="Z128" i="4" s="1"/>
  <c r="Z129" i="4" s="1"/>
  <c r="Q174" i="8" l="1"/>
  <c r="Q316" i="8" s="1"/>
  <c r="Q328" i="8" s="1"/>
  <c r="Q357" i="8" s="1"/>
  <c r="R173" i="8"/>
  <c r="R169" i="8"/>
  <c r="R170" i="8" s="1"/>
  <c r="Y133" i="8"/>
  <c r="X140" i="8"/>
  <c r="X314" i="8" s="1"/>
  <c r="X331" i="8" s="1"/>
  <c r="X360" i="8" s="1"/>
  <c r="H218" i="8"/>
  <c r="G225" i="8"/>
  <c r="I215" i="8"/>
  <c r="H219" i="8" s="1"/>
  <c r="V150" i="8"/>
  <c r="U157" i="8"/>
  <c r="P178" i="8"/>
  <c r="P179" i="8" s="1"/>
  <c r="P180" i="8" s="1"/>
  <c r="K206" i="8"/>
  <c r="K207" i="8"/>
  <c r="K203" i="8"/>
  <c r="K204" i="8" s="1"/>
  <c r="D258" i="8"/>
  <c r="D257" i="8"/>
  <c r="AB116" i="8"/>
  <c r="AA123" i="8"/>
  <c r="AC109" i="8"/>
  <c r="AC110" i="8" s="1"/>
  <c r="AC112" i="8" s="1"/>
  <c r="W144" i="8"/>
  <c r="W145" i="8" s="1"/>
  <c r="W146" i="8" s="1"/>
  <c r="AC108" i="8"/>
  <c r="N198" i="8"/>
  <c r="E320" i="8"/>
  <c r="E333" i="8" s="1"/>
  <c r="E362" i="8" s="1"/>
  <c r="E243" i="8"/>
  <c r="R171" i="8"/>
  <c r="R292" i="8"/>
  <c r="R304" i="8" s="1"/>
  <c r="R343" i="8" s="1"/>
  <c r="F241" i="8"/>
  <c r="F240" i="8"/>
  <c r="C321" i="8"/>
  <c r="C327" i="8" s="1"/>
  <c r="C356" i="8" s="1"/>
  <c r="C260" i="8"/>
  <c r="T161" i="8"/>
  <c r="T162" i="8" s="1"/>
  <c r="T163" i="8" s="1"/>
  <c r="Z127" i="8"/>
  <c r="Z128" i="8" s="1"/>
  <c r="Z129" i="8" s="1"/>
  <c r="J209" i="8"/>
  <c r="AC109" i="4"/>
  <c r="AC110" i="4" s="1"/>
  <c r="AC112" i="4" s="1"/>
  <c r="AB116" i="4"/>
  <c r="AA313" i="4"/>
  <c r="AC108" i="4"/>
  <c r="AD105" i="4" s="1"/>
  <c r="Q175" i="8" l="1"/>
  <c r="Q177" i="8" s="1"/>
  <c r="X141" i="8"/>
  <c r="X143" i="8" s="1"/>
  <c r="L201" i="8"/>
  <c r="K208" i="8"/>
  <c r="K318" i="8" s="1"/>
  <c r="K329" i="8" s="1"/>
  <c r="K358" i="8" s="1"/>
  <c r="P181" i="8"/>
  <c r="O185" i="8" s="1"/>
  <c r="Z130" i="8"/>
  <c r="Y134" i="8" s="1"/>
  <c r="Y135" i="8" s="1"/>
  <c r="AC351" i="8"/>
  <c r="AD105" i="8"/>
  <c r="T164" i="8"/>
  <c r="J211" i="8"/>
  <c r="V156" i="8"/>
  <c r="V155" i="8"/>
  <c r="AC113" i="8"/>
  <c r="AB117" i="8" s="1"/>
  <c r="AB118" i="8" s="1"/>
  <c r="AB119" i="8" s="1"/>
  <c r="H222" i="8"/>
  <c r="H295" i="8"/>
  <c r="H302" i="8" s="1"/>
  <c r="H341" i="8" s="1"/>
  <c r="G319" i="8"/>
  <c r="G326" i="8" s="1"/>
  <c r="G355" i="8" s="1"/>
  <c r="G226" i="8"/>
  <c r="W147" i="8"/>
  <c r="V151" i="8" s="1"/>
  <c r="H223" i="8"/>
  <c r="H224" i="8"/>
  <c r="H220" i="8"/>
  <c r="H221" i="8" s="1"/>
  <c r="S167" i="8"/>
  <c r="R174" i="8"/>
  <c r="U315" i="8"/>
  <c r="U330" i="8" s="1"/>
  <c r="U359" i="8" s="1"/>
  <c r="U158" i="8"/>
  <c r="AA313" i="8"/>
  <c r="AA332" i="8" s="1"/>
  <c r="AA361" i="8" s="1"/>
  <c r="AA124" i="8"/>
  <c r="AB122" i="8"/>
  <c r="AB121" i="8"/>
  <c r="E245" i="8"/>
  <c r="C262" i="8"/>
  <c r="Y139" i="8"/>
  <c r="Y138" i="8"/>
  <c r="AA332" i="4"/>
  <c r="AC113" i="4"/>
  <c r="AB117" i="4" s="1"/>
  <c r="AC351" i="4"/>
  <c r="AB122" i="4"/>
  <c r="AB121" i="4"/>
  <c r="AA124" i="4"/>
  <c r="K209" i="8" l="1"/>
  <c r="K211" i="8" s="1"/>
  <c r="K212" i="8" s="1"/>
  <c r="K213" i="8" s="1"/>
  <c r="S168" i="8"/>
  <c r="S292" i="8" s="1"/>
  <c r="S304" i="8" s="1"/>
  <c r="S343" i="8" s="1"/>
  <c r="I218" i="8"/>
  <c r="H225" i="8"/>
  <c r="H319" i="8" s="1"/>
  <c r="H326" i="8" s="1"/>
  <c r="H355" i="8" s="1"/>
  <c r="AC116" i="8"/>
  <c r="AB123" i="8"/>
  <c r="AB313" i="8" s="1"/>
  <c r="AB332" i="8" s="1"/>
  <c r="AB361" i="8" s="1"/>
  <c r="J212" i="8"/>
  <c r="J213" i="8" s="1"/>
  <c r="J214" i="8" s="1"/>
  <c r="AA126" i="8"/>
  <c r="C263" i="8"/>
  <c r="C264" i="8" s="1"/>
  <c r="C265" i="8" s="1"/>
  <c r="U160" i="8"/>
  <c r="E246" i="8"/>
  <c r="E247" i="8" s="1"/>
  <c r="E248" i="8" s="1"/>
  <c r="X144" i="8"/>
  <c r="X145" i="8" s="1"/>
  <c r="X146" i="8" s="1"/>
  <c r="G228" i="8"/>
  <c r="AD106" i="8"/>
  <c r="AD107" i="8" s="1"/>
  <c r="Y137" i="8"/>
  <c r="Y290" i="8"/>
  <c r="Y307" i="8" s="1"/>
  <c r="Y347" i="8" s="1"/>
  <c r="V154" i="8"/>
  <c r="V291" i="8"/>
  <c r="V306" i="8" s="1"/>
  <c r="V346" i="8" s="1"/>
  <c r="V152" i="8"/>
  <c r="V153" i="8" s="1"/>
  <c r="O188" i="8"/>
  <c r="O293" i="8"/>
  <c r="O310" i="8" s="1"/>
  <c r="O350" i="8" s="1"/>
  <c r="O186" i="8"/>
  <c r="O187" i="8" s="1"/>
  <c r="R316" i="8"/>
  <c r="R328" i="8" s="1"/>
  <c r="R357" i="8" s="1"/>
  <c r="R175" i="8"/>
  <c r="Q178" i="8"/>
  <c r="Q179" i="8" s="1"/>
  <c r="Q180" i="8" s="1"/>
  <c r="Y136" i="8"/>
  <c r="S173" i="8"/>
  <c r="S172" i="8"/>
  <c r="AB120" i="8"/>
  <c r="AB289" i="8"/>
  <c r="AB308" i="8" s="1"/>
  <c r="AB348" i="8" s="1"/>
  <c r="L206" i="8"/>
  <c r="L207" i="8"/>
  <c r="L202" i="8"/>
  <c r="AD106" i="4"/>
  <c r="AD107" i="4" s="1"/>
  <c r="AB289" i="4"/>
  <c r="AB308" i="4" s="1"/>
  <c r="AB348" i="4" s="1"/>
  <c r="AB120" i="4"/>
  <c r="AB118" i="4"/>
  <c r="AB119" i="4" s="1"/>
  <c r="AB123" i="4" s="1"/>
  <c r="AA126" i="4"/>
  <c r="S171" i="8" l="1"/>
  <c r="S169" i="8"/>
  <c r="S170" i="8" s="1"/>
  <c r="T167" i="8" s="1"/>
  <c r="H226" i="8"/>
  <c r="H228" i="8" s="1"/>
  <c r="AB124" i="8"/>
  <c r="AB126" i="8" s="1"/>
  <c r="AB127" i="8" s="1"/>
  <c r="AB128" i="8" s="1"/>
  <c r="Q181" i="8"/>
  <c r="J215" i="8"/>
  <c r="I219" i="8" s="1"/>
  <c r="H229" i="8"/>
  <c r="H230" i="8" s="1"/>
  <c r="X147" i="8"/>
  <c r="W151" i="8" s="1"/>
  <c r="E249" i="8"/>
  <c r="D253" i="8" s="1"/>
  <c r="P184" i="8"/>
  <c r="O191" i="8"/>
  <c r="C266" i="8"/>
  <c r="AD109" i="8"/>
  <c r="AD110" i="8" s="1"/>
  <c r="AD112" i="8" s="1"/>
  <c r="W150" i="8"/>
  <c r="V157" i="8"/>
  <c r="Z133" i="8"/>
  <c r="Y140" i="8"/>
  <c r="Y314" i="8" s="1"/>
  <c r="Y331" i="8" s="1"/>
  <c r="Y360" i="8" s="1"/>
  <c r="K214" i="8"/>
  <c r="R177" i="8"/>
  <c r="AC121" i="8"/>
  <c r="AC122" i="8"/>
  <c r="AD108" i="8"/>
  <c r="G229" i="8"/>
  <c r="G230" i="8" s="1"/>
  <c r="G231" i="8" s="1"/>
  <c r="U161" i="8"/>
  <c r="U162" i="8" s="1"/>
  <c r="U163" i="8" s="1"/>
  <c r="L205" i="8"/>
  <c r="L294" i="8"/>
  <c r="L305" i="8" s="1"/>
  <c r="L344" i="8" s="1"/>
  <c r="L203" i="8"/>
  <c r="L204" i="8" s="1"/>
  <c r="AA127" i="8"/>
  <c r="AA128" i="8" s="1"/>
  <c r="I223" i="8"/>
  <c r="I224" i="8"/>
  <c r="AC116" i="4"/>
  <c r="AC122" i="4" s="1"/>
  <c r="AB313" i="4"/>
  <c r="AD109" i="4"/>
  <c r="AD110" i="4" s="1"/>
  <c r="AD112" i="4" s="1"/>
  <c r="AD108" i="4"/>
  <c r="AE105" i="4" s="1"/>
  <c r="AA127" i="4"/>
  <c r="AA128" i="4" s="1"/>
  <c r="AA129" i="4" s="1"/>
  <c r="S174" i="8" l="1"/>
  <c r="S316" i="8" s="1"/>
  <c r="S328" i="8" s="1"/>
  <c r="S357" i="8" s="1"/>
  <c r="H231" i="8"/>
  <c r="AB129" i="8"/>
  <c r="U164" i="8"/>
  <c r="T168" i="8" s="1"/>
  <c r="T169" i="8" s="1"/>
  <c r="T170" i="8" s="1"/>
  <c r="AD113" i="8"/>
  <c r="AC117" i="8" s="1"/>
  <c r="G232" i="8"/>
  <c r="F236" i="8" s="1"/>
  <c r="AD351" i="8"/>
  <c r="AE105" i="8"/>
  <c r="I222" i="8"/>
  <c r="I295" i="8"/>
  <c r="I302" i="8" s="1"/>
  <c r="I341" i="8" s="1"/>
  <c r="V315" i="8"/>
  <c r="V330" i="8" s="1"/>
  <c r="V359" i="8" s="1"/>
  <c r="V158" i="8"/>
  <c r="T172" i="8"/>
  <c r="T173" i="8"/>
  <c r="I220" i="8"/>
  <c r="I221" i="8" s="1"/>
  <c r="O317" i="8"/>
  <c r="O334" i="8" s="1"/>
  <c r="O363" i="8" s="1"/>
  <c r="O192" i="8"/>
  <c r="M201" i="8"/>
  <c r="L208" i="8"/>
  <c r="L318" i="8" s="1"/>
  <c r="L329" i="8" s="1"/>
  <c r="L358" i="8" s="1"/>
  <c r="W154" i="8"/>
  <c r="W291" i="8"/>
  <c r="W306" i="8" s="1"/>
  <c r="W346" i="8" s="1"/>
  <c r="R178" i="8"/>
  <c r="R179" i="8" s="1"/>
  <c r="R180" i="8" s="1"/>
  <c r="P189" i="8"/>
  <c r="P190" i="8"/>
  <c r="P185" i="8"/>
  <c r="W155" i="8"/>
  <c r="W156" i="8"/>
  <c r="W152" i="8"/>
  <c r="W153" i="8" s="1"/>
  <c r="X150" i="8" s="1"/>
  <c r="K215" i="8"/>
  <c r="J219" i="8" s="1"/>
  <c r="D256" i="8"/>
  <c r="D297" i="8"/>
  <c r="D303" i="8" s="1"/>
  <c r="D342" i="8" s="1"/>
  <c r="D254" i="8"/>
  <c r="D255" i="8" s="1"/>
  <c r="Y141" i="8"/>
  <c r="Z138" i="8"/>
  <c r="Z139" i="8"/>
  <c r="AA129" i="8"/>
  <c r="S175" i="8"/>
  <c r="AB332" i="4"/>
  <c r="AB124" i="4"/>
  <c r="AB126" i="4" s="1"/>
  <c r="AB127" i="4" s="1"/>
  <c r="AB128" i="4" s="1"/>
  <c r="AB129" i="4" s="1"/>
  <c r="AC121" i="4"/>
  <c r="AD113" i="4"/>
  <c r="AC117" i="4" s="1"/>
  <c r="AD351" i="4"/>
  <c r="H232" i="8" l="1"/>
  <c r="G236" i="8" s="1"/>
  <c r="L209" i="8"/>
  <c r="E252" i="8"/>
  <c r="D259" i="8"/>
  <c r="J218" i="8"/>
  <c r="I225" i="8"/>
  <c r="U167" i="8"/>
  <c r="T174" i="8"/>
  <c r="T316" i="8" s="1"/>
  <c r="T328" i="8" s="1"/>
  <c r="T357" i="8" s="1"/>
  <c r="S177" i="8"/>
  <c r="J222" i="8"/>
  <c r="J295" i="8"/>
  <c r="J302" i="8" s="1"/>
  <c r="J341" i="8" s="1"/>
  <c r="X155" i="8"/>
  <c r="X156" i="8"/>
  <c r="W157" i="8"/>
  <c r="W315" i="8" s="1"/>
  <c r="W330" i="8" s="1"/>
  <c r="W359" i="8" s="1"/>
  <c r="V160" i="8"/>
  <c r="L211" i="8"/>
  <c r="R181" i="8"/>
  <c r="AE106" i="8"/>
  <c r="AE107" i="8" s="1"/>
  <c r="F239" i="8"/>
  <c r="F296" i="8"/>
  <c r="F309" i="8" s="1"/>
  <c r="F349" i="8" s="1"/>
  <c r="G296" i="8"/>
  <c r="G309" i="8" s="1"/>
  <c r="G349" i="8" s="1"/>
  <c r="F237" i="8"/>
  <c r="F238" i="8" s="1"/>
  <c r="M206" i="8"/>
  <c r="M207" i="8"/>
  <c r="M202" i="8"/>
  <c r="M203" i="8" s="1"/>
  <c r="M204" i="8" s="1"/>
  <c r="Y143" i="8"/>
  <c r="P188" i="8"/>
  <c r="P293" i="8"/>
  <c r="P310" i="8" s="1"/>
  <c r="P350" i="8" s="1"/>
  <c r="P186" i="8"/>
  <c r="P187" i="8" s="1"/>
  <c r="O194" i="8"/>
  <c r="AA130" i="8"/>
  <c r="T171" i="8"/>
  <c r="T292" i="8"/>
  <c r="T304" i="8" s="1"/>
  <c r="T343" i="8" s="1"/>
  <c r="G239" i="8"/>
  <c r="AC120" i="8"/>
  <c r="AC289" i="8"/>
  <c r="AC308" i="8" s="1"/>
  <c r="AC348" i="8" s="1"/>
  <c r="AC118" i="8"/>
  <c r="AC119" i="8" s="1"/>
  <c r="AE106" i="4"/>
  <c r="AE107" i="4" s="1"/>
  <c r="AC289" i="4"/>
  <c r="AC308" i="4" s="1"/>
  <c r="AC348" i="4" s="1"/>
  <c r="AC120" i="4"/>
  <c r="AC118" i="4"/>
  <c r="AC119" i="4" s="1"/>
  <c r="AC123" i="4" s="1"/>
  <c r="T175" i="8" l="1"/>
  <c r="T177" i="8" s="1"/>
  <c r="N201" i="8"/>
  <c r="M208" i="8"/>
  <c r="M318" i="8" s="1"/>
  <c r="M329" i="8" s="1"/>
  <c r="M358" i="8" s="1"/>
  <c r="L212" i="8"/>
  <c r="L213" i="8" s="1"/>
  <c r="L214" i="8" s="1"/>
  <c r="G235" i="8"/>
  <c r="F242" i="8"/>
  <c r="F243" i="8" s="1"/>
  <c r="U172" i="8"/>
  <c r="U173" i="8"/>
  <c r="V161" i="8"/>
  <c r="V162" i="8" s="1"/>
  <c r="V163" i="8" s="1"/>
  <c r="AE109" i="8"/>
  <c r="AE110" i="8" s="1"/>
  <c r="AE112" i="8" s="1"/>
  <c r="I319" i="8"/>
  <c r="I326" i="8" s="1"/>
  <c r="I355" i="8" s="1"/>
  <c r="I226" i="8"/>
  <c r="J223" i="8"/>
  <c r="J224" i="8"/>
  <c r="J220" i="8"/>
  <c r="J221" i="8" s="1"/>
  <c r="K218" i="8" s="1"/>
  <c r="AD116" i="8"/>
  <c r="AC123" i="8"/>
  <c r="O195" i="8"/>
  <c r="O196" i="8" s="1"/>
  <c r="O197" i="8" s="1"/>
  <c r="Y144" i="8"/>
  <c r="Y145" i="8" s="1"/>
  <c r="Y146" i="8" s="1"/>
  <c r="AE108" i="8"/>
  <c r="W158" i="8"/>
  <c r="Z134" i="8"/>
  <c r="AB130" i="8"/>
  <c r="D321" i="8"/>
  <c r="D327" i="8" s="1"/>
  <c r="D356" i="8" s="1"/>
  <c r="D260" i="8"/>
  <c r="Q184" i="8"/>
  <c r="Q185" i="8" s="1"/>
  <c r="P191" i="8"/>
  <c r="S178" i="8"/>
  <c r="S179" i="8" s="1"/>
  <c r="S180" i="8" s="1"/>
  <c r="M205" i="8"/>
  <c r="M294" i="8"/>
  <c r="M305" i="8" s="1"/>
  <c r="M344" i="8" s="1"/>
  <c r="E258" i="8"/>
  <c r="E257" i="8"/>
  <c r="AD116" i="4"/>
  <c r="AC313" i="4"/>
  <c r="AE109" i="4"/>
  <c r="AE110" i="4" s="1"/>
  <c r="AE112" i="4" s="1"/>
  <c r="M209" i="8" l="1"/>
  <c r="Y147" i="8"/>
  <c r="X151" i="8" s="1"/>
  <c r="O198" i="8"/>
  <c r="N202" i="8" s="1"/>
  <c r="F245" i="8"/>
  <c r="V164" i="8"/>
  <c r="U168" i="8" s="1"/>
  <c r="M211" i="8"/>
  <c r="S181" i="8"/>
  <c r="AE351" i="8"/>
  <c r="AF105" i="8"/>
  <c r="G241" i="8"/>
  <c r="G240" i="8"/>
  <c r="G237" i="8"/>
  <c r="G238" i="8" s="1"/>
  <c r="F320" i="8"/>
  <c r="F333" i="8" s="1"/>
  <c r="F362" i="8" s="1"/>
  <c r="K224" i="8"/>
  <c r="K223" i="8"/>
  <c r="AD121" i="8"/>
  <c r="AD122" i="8"/>
  <c r="D262" i="8"/>
  <c r="Z137" i="8"/>
  <c r="Z290" i="8"/>
  <c r="Z307" i="8" s="1"/>
  <c r="Z347" i="8" s="1"/>
  <c r="Z135" i="8"/>
  <c r="Z136" i="8" s="1"/>
  <c r="L215" i="8"/>
  <c r="K219" i="8" s="1"/>
  <c r="K220" i="8" s="1"/>
  <c r="K221" i="8" s="1"/>
  <c r="AE113" i="8"/>
  <c r="AD117" i="8" s="1"/>
  <c r="P317" i="8"/>
  <c r="P334" i="8" s="1"/>
  <c r="P363" i="8" s="1"/>
  <c r="P192" i="8"/>
  <c r="AC313" i="8"/>
  <c r="AC332" i="8" s="1"/>
  <c r="AC361" i="8" s="1"/>
  <c r="AC124" i="8"/>
  <c r="J225" i="8"/>
  <c r="J319" i="8" s="1"/>
  <c r="J326" i="8" s="1"/>
  <c r="J355" i="8" s="1"/>
  <c r="N207" i="8"/>
  <c r="N206" i="8"/>
  <c r="Q188" i="8"/>
  <c r="Q293" i="8"/>
  <c r="Q310" i="8" s="1"/>
  <c r="Q350" i="8" s="1"/>
  <c r="W160" i="8"/>
  <c r="I228" i="8"/>
  <c r="T178" i="8"/>
  <c r="T179" i="8" s="1"/>
  <c r="T180" i="8" s="1"/>
  <c r="Q189" i="8"/>
  <c r="Q190" i="8"/>
  <c r="Q186" i="8"/>
  <c r="Q187" i="8" s="1"/>
  <c r="AE108" i="4"/>
  <c r="AF105" i="4" s="1"/>
  <c r="AC332" i="4"/>
  <c r="AE113" i="4"/>
  <c r="AD117" i="4" s="1"/>
  <c r="AC124" i="4"/>
  <c r="AD121" i="4"/>
  <c r="AD122" i="4"/>
  <c r="H235" i="8" l="1"/>
  <c r="G242" i="8"/>
  <c r="G243" i="8" s="1"/>
  <c r="T181" i="8"/>
  <c r="R184" i="8"/>
  <c r="Q191" i="8"/>
  <c r="Q317" i="8" s="1"/>
  <c r="Q334" i="8" s="1"/>
  <c r="Q363" i="8" s="1"/>
  <c r="L218" i="8"/>
  <c r="K225" i="8"/>
  <c r="K319" i="8" s="1"/>
  <c r="K326" i="8" s="1"/>
  <c r="K355" i="8" s="1"/>
  <c r="AC126" i="8"/>
  <c r="D263" i="8"/>
  <c r="D264" i="8" s="1"/>
  <c r="D265" i="8" s="1"/>
  <c r="I229" i="8"/>
  <c r="I230" i="8" s="1"/>
  <c r="I231" i="8" s="1"/>
  <c r="F246" i="8"/>
  <c r="F247" i="8" s="1"/>
  <c r="F248" i="8" s="1"/>
  <c r="U171" i="8"/>
  <c r="U292" i="8"/>
  <c r="U304" i="8" s="1"/>
  <c r="U343" i="8" s="1"/>
  <c r="U169" i="8"/>
  <c r="U170" i="8" s="1"/>
  <c r="AF106" i="8"/>
  <c r="AF107" i="8" s="1"/>
  <c r="M212" i="8"/>
  <c r="M213" i="8" s="1"/>
  <c r="M214" i="8" s="1"/>
  <c r="P194" i="8"/>
  <c r="AD120" i="8"/>
  <c r="AD289" i="8"/>
  <c r="AD308" i="8" s="1"/>
  <c r="AD348" i="8" s="1"/>
  <c r="N205" i="8"/>
  <c r="N294" i="8"/>
  <c r="N305" i="8" s="1"/>
  <c r="N344" i="8" s="1"/>
  <c r="N203" i="8"/>
  <c r="N204" i="8" s="1"/>
  <c r="K222" i="8"/>
  <c r="K295" i="8"/>
  <c r="K302" i="8" s="1"/>
  <c r="K341" i="8" s="1"/>
  <c r="AD118" i="8"/>
  <c r="AD119" i="8" s="1"/>
  <c r="J226" i="8"/>
  <c r="AA133" i="8"/>
  <c r="Z140" i="8"/>
  <c r="W161" i="8"/>
  <c r="W162" i="8" s="1"/>
  <c r="W163" i="8" s="1"/>
  <c r="X154" i="8"/>
  <c r="X291" i="8"/>
  <c r="X306" i="8" s="1"/>
  <c r="X346" i="8" s="1"/>
  <c r="X152" i="8"/>
  <c r="X153" i="8" s="1"/>
  <c r="AE351" i="4"/>
  <c r="AF106" i="4"/>
  <c r="AF109" i="4" s="1"/>
  <c r="AF110" i="4" s="1"/>
  <c r="AF112" i="4" s="1"/>
  <c r="AD289" i="4"/>
  <c r="AD308" i="4" s="1"/>
  <c r="AD348" i="4" s="1"/>
  <c r="AD120" i="4"/>
  <c r="AD118" i="4"/>
  <c r="AD119" i="4" s="1"/>
  <c r="AD123" i="4" s="1"/>
  <c r="AC126" i="4"/>
  <c r="AF107" i="4" l="1"/>
  <c r="AF108" i="4" s="1"/>
  <c r="AG105" i="4" s="1"/>
  <c r="K226" i="8"/>
  <c r="K228" i="8" s="1"/>
  <c r="M215" i="8"/>
  <c r="L219" i="8" s="1"/>
  <c r="L220" i="8" s="1"/>
  <c r="L221" i="8" s="1"/>
  <c r="M218" i="8" s="1"/>
  <c r="D266" i="8"/>
  <c r="C270" i="8" s="1"/>
  <c r="AE116" i="8"/>
  <c r="AD123" i="8"/>
  <c r="F249" i="8"/>
  <c r="E253" i="8" s="1"/>
  <c r="G245" i="8"/>
  <c r="Y150" i="8"/>
  <c r="X157" i="8"/>
  <c r="R190" i="8"/>
  <c r="R189" i="8"/>
  <c r="W164" i="8"/>
  <c r="V168" i="8" s="1"/>
  <c r="AC127" i="8"/>
  <c r="AC128" i="8" s="1"/>
  <c r="AC129" i="8" s="1"/>
  <c r="Z314" i="8"/>
  <c r="Z331" i="8" s="1"/>
  <c r="Z360" i="8" s="1"/>
  <c r="Z141" i="8"/>
  <c r="Q192" i="8"/>
  <c r="AA139" i="8"/>
  <c r="AA138" i="8"/>
  <c r="AA134" i="8"/>
  <c r="AA135" i="8" s="1"/>
  <c r="J228" i="8"/>
  <c r="L223" i="8"/>
  <c r="L224" i="8"/>
  <c r="O201" i="8"/>
  <c r="N208" i="8"/>
  <c r="P195" i="8"/>
  <c r="P196" i="8" s="1"/>
  <c r="P197" i="8" s="1"/>
  <c r="AF109" i="8"/>
  <c r="AF110" i="8" s="1"/>
  <c r="AF112" i="8" s="1"/>
  <c r="G320" i="8"/>
  <c r="G333" i="8" s="1"/>
  <c r="G362" i="8" s="1"/>
  <c r="V167" i="8"/>
  <c r="U174" i="8"/>
  <c r="I232" i="8"/>
  <c r="H236" i="8" s="1"/>
  <c r="R185" i="8"/>
  <c r="AF108" i="8"/>
  <c r="H240" i="8"/>
  <c r="H241" i="8"/>
  <c r="AE116" i="4"/>
  <c r="AD313" i="4"/>
  <c r="AF113" i="4"/>
  <c r="AE117" i="4" s="1"/>
  <c r="AC127" i="4"/>
  <c r="AC128" i="4" s="1"/>
  <c r="AC129" i="4" s="1"/>
  <c r="P198" i="8" l="1"/>
  <c r="O202" i="8" s="1"/>
  <c r="O203" i="8" s="1"/>
  <c r="O204" i="8" s="1"/>
  <c r="Q194" i="8"/>
  <c r="M224" i="8"/>
  <c r="M223" i="8"/>
  <c r="V171" i="8"/>
  <c r="V292" i="8"/>
  <c r="V304" i="8" s="1"/>
  <c r="V343" i="8" s="1"/>
  <c r="G246" i="8"/>
  <c r="G247" i="8" s="1"/>
  <c r="G248" i="8" s="1"/>
  <c r="AA137" i="8"/>
  <c r="AA290" i="8"/>
  <c r="AA307" i="8" s="1"/>
  <c r="AA347" i="8" s="1"/>
  <c r="AD313" i="8"/>
  <c r="AD332" i="8" s="1"/>
  <c r="AD361" i="8" s="1"/>
  <c r="AD124" i="8"/>
  <c r="X315" i="8"/>
  <c r="X330" i="8" s="1"/>
  <c r="X359" i="8" s="1"/>
  <c r="X158" i="8"/>
  <c r="E256" i="8"/>
  <c r="E297" i="8"/>
  <c r="E303" i="8" s="1"/>
  <c r="E342" i="8" s="1"/>
  <c r="E254" i="8"/>
  <c r="E255" i="8" s="1"/>
  <c r="R186" i="8"/>
  <c r="R187" i="8" s="1"/>
  <c r="AE121" i="8"/>
  <c r="AE122" i="8"/>
  <c r="AF351" i="8"/>
  <c r="AG105" i="8"/>
  <c r="Y156" i="8"/>
  <c r="Y155" i="8"/>
  <c r="AF113" i="8"/>
  <c r="AE117" i="8" s="1"/>
  <c r="H239" i="8"/>
  <c r="H296" i="8"/>
  <c r="H309" i="8" s="1"/>
  <c r="H349" i="8" s="1"/>
  <c r="O207" i="8"/>
  <c r="O206" i="8"/>
  <c r="C273" i="8"/>
  <c r="C298" i="8"/>
  <c r="C301" i="8" s="1"/>
  <c r="C340" i="8" s="1"/>
  <c r="C272" i="8"/>
  <c r="R188" i="8"/>
  <c r="R293" i="8"/>
  <c r="R310" i="8" s="1"/>
  <c r="R350" i="8" s="1"/>
  <c r="Z143" i="8"/>
  <c r="J229" i="8"/>
  <c r="J230" i="8" s="1"/>
  <c r="J231" i="8" s="1"/>
  <c r="U316" i="8"/>
  <c r="U328" i="8" s="1"/>
  <c r="U357" i="8" s="1"/>
  <c r="U175" i="8"/>
  <c r="K229" i="8"/>
  <c r="K230" i="8" s="1"/>
  <c r="V172" i="8"/>
  <c r="V169" i="8"/>
  <c r="V170" i="8" s="1"/>
  <c r="V173" i="8"/>
  <c r="AA136" i="8"/>
  <c r="L225" i="8"/>
  <c r="L319" i="8" s="1"/>
  <c r="L326" i="8" s="1"/>
  <c r="L355" i="8" s="1"/>
  <c r="AC130" i="8"/>
  <c r="H237" i="8"/>
  <c r="H238" i="8" s="1"/>
  <c r="N318" i="8"/>
  <c r="N329" i="8" s="1"/>
  <c r="N358" i="8" s="1"/>
  <c r="N209" i="8"/>
  <c r="L222" i="8"/>
  <c r="L295" i="8"/>
  <c r="L302" i="8" s="1"/>
  <c r="L341" i="8" s="1"/>
  <c r="AF351" i="4"/>
  <c r="AG106" i="4"/>
  <c r="AG107" i="4" s="1"/>
  <c r="AE289" i="4"/>
  <c r="AE308" i="4" s="1"/>
  <c r="AE348" i="4" s="1"/>
  <c r="AE120" i="4"/>
  <c r="AD332" i="4"/>
  <c r="AD124" i="4"/>
  <c r="AD126" i="4" s="1"/>
  <c r="AD127" i="4" s="1"/>
  <c r="AD128" i="4" s="1"/>
  <c r="AD129" i="4" s="1"/>
  <c r="AE118" i="4"/>
  <c r="AE119" i="4" s="1"/>
  <c r="AE123" i="4" s="1"/>
  <c r="AE121" i="4"/>
  <c r="AE122" i="4"/>
  <c r="L226" i="8" l="1"/>
  <c r="L228" i="8" s="1"/>
  <c r="K231" i="8"/>
  <c r="W167" i="8"/>
  <c r="V174" i="8"/>
  <c r="V316" i="8" s="1"/>
  <c r="V328" i="8" s="1"/>
  <c r="V357" i="8" s="1"/>
  <c r="P201" i="8"/>
  <c r="O208" i="8"/>
  <c r="O318" i="8" s="1"/>
  <c r="O329" i="8" s="1"/>
  <c r="O358" i="8" s="1"/>
  <c r="S184" i="8"/>
  <c r="R191" i="8"/>
  <c r="F252" i="8"/>
  <c r="E259" i="8"/>
  <c r="V175" i="8"/>
  <c r="V177" i="8" s="1"/>
  <c r="I235" i="8"/>
  <c r="H242" i="8"/>
  <c r="H320" i="8" s="1"/>
  <c r="H333" i="8" s="1"/>
  <c r="H362" i="8" s="1"/>
  <c r="U177" i="8"/>
  <c r="Q195" i="8"/>
  <c r="Q196" i="8" s="1"/>
  <c r="Q197" i="8" s="1"/>
  <c r="Z144" i="8"/>
  <c r="Z145" i="8" s="1"/>
  <c r="Z146" i="8" s="1"/>
  <c r="AE120" i="8"/>
  <c r="AE289" i="8"/>
  <c r="AE308" i="8" s="1"/>
  <c r="AE348" i="8" s="1"/>
  <c r="AE118" i="8"/>
  <c r="AE119" i="8" s="1"/>
  <c r="AD126" i="8"/>
  <c r="X160" i="8"/>
  <c r="J232" i="8"/>
  <c r="I236" i="8" s="1"/>
  <c r="AB133" i="8"/>
  <c r="AB134" i="8" s="1"/>
  <c r="AA140" i="8"/>
  <c r="G249" i="8"/>
  <c r="F253" i="8" s="1"/>
  <c r="AG106" i="8"/>
  <c r="AG107" i="8" s="1"/>
  <c r="O205" i="8"/>
  <c r="O294" i="8"/>
  <c r="O305" i="8" s="1"/>
  <c r="O344" i="8" s="1"/>
  <c r="N211" i="8"/>
  <c r="D269" i="8"/>
  <c r="C276" i="8"/>
  <c r="C277" i="8" s="1"/>
  <c r="AF116" i="4"/>
  <c r="AE313" i="4"/>
  <c r="AG109" i="4"/>
  <c r="AG110" i="4" s="1"/>
  <c r="AG112" i="4" s="1"/>
  <c r="AG108" i="4"/>
  <c r="AH105" i="4" s="1"/>
  <c r="O209" i="8" l="1"/>
  <c r="O211" i="8" s="1"/>
  <c r="K232" i="8"/>
  <c r="J236" i="8" s="1"/>
  <c r="J239" i="8" s="1"/>
  <c r="V178" i="8"/>
  <c r="V179" i="8" s="1"/>
  <c r="C279" i="8"/>
  <c r="Q198" i="8"/>
  <c r="P202" i="8" s="1"/>
  <c r="P203" i="8" s="1"/>
  <c r="P204" i="8" s="1"/>
  <c r="Z147" i="8"/>
  <c r="Y151" i="8" s="1"/>
  <c r="AF116" i="8"/>
  <c r="AE123" i="8"/>
  <c r="AE313" i="8" s="1"/>
  <c r="AE332" i="8" s="1"/>
  <c r="AE361" i="8" s="1"/>
  <c r="AG109" i="8"/>
  <c r="AG110" i="8" s="1"/>
  <c r="AG112" i="8" s="1"/>
  <c r="AD127" i="8"/>
  <c r="AD128" i="8" s="1"/>
  <c r="AD129" i="8" s="1"/>
  <c r="S189" i="8"/>
  <c r="S190" i="8"/>
  <c r="S185" i="8"/>
  <c r="I241" i="8"/>
  <c r="I240" i="8"/>
  <c r="I237" i="8"/>
  <c r="I238" i="8" s="1"/>
  <c r="J235" i="8" s="1"/>
  <c r="O212" i="8"/>
  <c r="O213" i="8" s="1"/>
  <c r="L229" i="8"/>
  <c r="L230" i="8" s="1"/>
  <c r="L231" i="8" s="1"/>
  <c r="X161" i="8"/>
  <c r="X162" i="8" s="1"/>
  <c r="X163" i="8" s="1"/>
  <c r="F258" i="8"/>
  <c r="F257" i="8"/>
  <c r="F254" i="8"/>
  <c r="F255" i="8" s="1"/>
  <c r="G252" i="8" s="1"/>
  <c r="AG108" i="8"/>
  <c r="U178" i="8"/>
  <c r="U179" i="8" s="1"/>
  <c r="R317" i="8"/>
  <c r="R334" i="8" s="1"/>
  <c r="R363" i="8" s="1"/>
  <c r="R192" i="8"/>
  <c r="D274" i="8"/>
  <c r="D275" i="8"/>
  <c r="H243" i="8"/>
  <c r="E321" i="8"/>
  <c r="E327" i="8" s="1"/>
  <c r="E356" i="8" s="1"/>
  <c r="C322" i="8"/>
  <c r="C325" i="8" s="1"/>
  <c r="C354" i="8" s="1"/>
  <c r="F256" i="8"/>
  <c r="F297" i="8"/>
  <c r="F303" i="8" s="1"/>
  <c r="F342" i="8" s="1"/>
  <c r="P206" i="8"/>
  <c r="P207" i="8"/>
  <c r="AB137" i="8"/>
  <c r="AB290" i="8"/>
  <c r="AB307" i="8" s="1"/>
  <c r="AB347" i="8" s="1"/>
  <c r="AA314" i="8"/>
  <c r="AA331" i="8" s="1"/>
  <c r="AA360" i="8" s="1"/>
  <c r="AA141" i="8"/>
  <c r="AB139" i="8"/>
  <c r="AB138" i="8"/>
  <c r="AB135" i="8"/>
  <c r="AB136" i="8" s="1"/>
  <c r="N212" i="8"/>
  <c r="N213" i="8" s="1"/>
  <c r="I239" i="8"/>
  <c r="I296" i="8"/>
  <c r="I309" i="8" s="1"/>
  <c r="I349" i="8" s="1"/>
  <c r="J296" i="8"/>
  <c r="J309" i="8" s="1"/>
  <c r="J349" i="8" s="1"/>
  <c r="E260" i="8"/>
  <c r="W173" i="8"/>
  <c r="W172" i="8"/>
  <c r="AE332" i="4"/>
  <c r="AE124" i="4"/>
  <c r="AE126" i="4" s="1"/>
  <c r="AG351" i="4"/>
  <c r="AG113" i="4"/>
  <c r="AF117" i="4" s="1"/>
  <c r="AF122" i="4"/>
  <c r="AF121" i="4"/>
  <c r="O214" i="8" l="1"/>
  <c r="V180" i="8"/>
  <c r="U180" i="8"/>
  <c r="U181" i="8" s="1"/>
  <c r="N214" i="8"/>
  <c r="AG113" i="8"/>
  <c r="AF117" i="8" s="1"/>
  <c r="AC133" i="8"/>
  <c r="AB140" i="8"/>
  <c r="X164" i="8"/>
  <c r="W168" i="8" s="1"/>
  <c r="L232" i="8"/>
  <c r="K236" i="8" s="1"/>
  <c r="Q201" i="8"/>
  <c r="P208" i="8"/>
  <c r="P318" i="8" s="1"/>
  <c r="P329" i="8" s="1"/>
  <c r="P358" i="8" s="1"/>
  <c r="Y154" i="8"/>
  <c r="Y291" i="8"/>
  <c r="Y306" i="8" s="1"/>
  <c r="Y346" i="8" s="1"/>
  <c r="Y152" i="8"/>
  <c r="Y153" i="8" s="1"/>
  <c r="G258" i="8"/>
  <c r="G257" i="8"/>
  <c r="R194" i="8"/>
  <c r="AE124" i="8"/>
  <c r="S188" i="8"/>
  <c r="S293" i="8"/>
  <c r="S310" i="8" s="1"/>
  <c r="S350" i="8" s="1"/>
  <c r="F259" i="8"/>
  <c r="AF122" i="8"/>
  <c r="AF121" i="8"/>
  <c r="N215" i="8"/>
  <c r="M219" i="8" s="1"/>
  <c r="H245" i="8"/>
  <c r="AD130" i="8"/>
  <c r="AG351" i="8"/>
  <c r="AH105" i="8"/>
  <c r="S186" i="8"/>
  <c r="E262" i="8"/>
  <c r="AA143" i="8"/>
  <c r="I242" i="8"/>
  <c r="C280" i="8"/>
  <c r="C281" i="8" s="1"/>
  <c r="C282" i="8" s="1"/>
  <c r="C284" i="8" s="1"/>
  <c r="C337" i="8" s="1"/>
  <c r="S187" i="8"/>
  <c r="J240" i="8"/>
  <c r="J237" i="8"/>
  <c r="J238" i="8" s="1"/>
  <c r="J241" i="8"/>
  <c r="P205" i="8"/>
  <c r="P294" i="8"/>
  <c r="P305" i="8" s="1"/>
  <c r="P344" i="8" s="1"/>
  <c r="AH106" i="4"/>
  <c r="AH107" i="4" s="1"/>
  <c r="AF289" i="4"/>
  <c r="AF308" i="4" s="1"/>
  <c r="AF348" i="4" s="1"/>
  <c r="AF120" i="4"/>
  <c r="AF118" i="4"/>
  <c r="AF119" i="4" s="1"/>
  <c r="AF123" i="4" s="1"/>
  <c r="AE127" i="4"/>
  <c r="AE128" i="4" s="1"/>
  <c r="AE129" i="4" s="1"/>
  <c r="AC134" i="8" l="1"/>
  <c r="AC137" i="8" s="1"/>
  <c r="C365" i="8"/>
  <c r="C375" i="8" s="1"/>
  <c r="C383" i="8" s="1"/>
  <c r="C374" i="8"/>
  <c r="C382" i="8" s="1"/>
  <c r="C390" i="8" s="1"/>
  <c r="Z150" i="8"/>
  <c r="Y157" i="8"/>
  <c r="Y315" i="8" s="1"/>
  <c r="Y330" i="8" s="1"/>
  <c r="Y359" i="8" s="1"/>
  <c r="K235" i="8"/>
  <c r="J242" i="8"/>
  <c r="J320" i="8" s="1"/>
  <c r="J333" i="8" s="1"/>
  <c r="J362" i="8" s="1"/>
  <c r="Q207" i="8"/>
  <c r="Q206" i="8"/>
  <c r="T184" i="8"/>
  <c r="T185" i="8" s="1"/>
  <c r="S191" i="8"/>
  <c r="S317" i="8" s="1"/>
  <c r="S334" i="8" s="1"/>
  <c r="S363" i="8" s="1"/>
  <c r="I320" i="8"/>
  <c r="I333" i="8" s="1"/>
  <c r="I362" i="8" s="1"/>
  <c r="I243" i="8"/>
  <c r="AA144" i="8"/>
  <c r="AA145" i="8" s="1"/>
  <c r="AA146" i="8" s="1"/>
  <c r="F260" i="8"/>
  <c r="F321" i="8"/>
  <c r="F327" i="8" s="1"/>
  <c r="F356" i="8" s="1"/>
  <c r="P209" i="8"/>
  <c r="AB314" i="8"/>
  <c r="AB331" i="8" s="1"/>
  <c r="AB360" i="8" s="1"/>
  <c r="AB141" i="8"/>
  <c r="AE126" i="8"/>
  <c r="E263" i="8"/>
  <c r="E264" i="8" s="1"/>
  <c r="E265" i="8" s="1"/>
  <c r="R195" i="8"/>
  <c r="R196" i="8" s="1"/>
  <c r="R197" i="8" s="1"/>
  <c r="AF120" i="8"/>
  <c r="AF289" i="8"/>
  <c r="AF308" i="8" s="1"/>
  <c r="AF348" i="8" s="1"/>
  <c r="H246" i="8"/>
  <c r="H247" i="8" s="1"/>
  <c r="H248" i="8" s="1"/>
  <c r="AC138" i="8"/>
  <c r="AC139" i="8"/>
  <c r="AC135" i="8"/>
  <c r="AC136" i="8" s="1"/>
  <c r="M222" i="8"/>
  <c r="M295" i="8"/>
  <c r="M302" i="8" s="1"/>
  <c r="M341" i="8" s="1"/>
  <c r="M220" i="8"/>
  <c r="M221" i="8" s="1"/>
  <c r="K239" i="8"/>
  <c r="K296" i="8"/>
  <c r="K309" i="8" s="1"/>
  <c r="K349" i="8" s="1"/>
  <c r="W171" i="8"/>
  <c r="W292" i="8"/>
  <c r="W304" i="8" s="1"/>
  <c r="W343" i="8" s="1"/>
  <c r="W169" i="8"/>
  <c r="W170" i="8" s="1"/>
  <c r="AH106" i="8"/>
  <c r="AH107" i="8" s="1"/>
  <c r="AF118" i="8"/>
  <c r="AF119" i="8" s="1"/>
  <c r="V181" i="8"/>
  <c r="O215" i="8"/>
  <c r="AG116" i="4"/>
  <c r="AF313" i="4"/>
  <c r="AH109" i="4"/>
  <c r="AH110" i="4" s="1"/>
  <c r="AH112" i="4" s="1"/>
  <c r="AH108" i="4"/>
  <c r="AI105" i="4" s="1"/>
  <c r="S192" i="8" l="1"/>
  <c r="S194" i="8" s="1"/>
  <c r="Y158" i="8"/>
  <c r="Y160" i="8" s="1"/>
  <c r="J243" i="8"/>
  <c r="J245" i="8" s="1"/>
  <c r="AC290" i="8"/>
  <c r="AC307" i="8" s="1"/>
  <c r="AC347" i="8" s="1"/>
  <c r="X167" i="8"/>
  <c r="W174" i="8"/>
  <c r="W316" i="8" s="1"/>
  <c r="W328" i="8" s="1"/>
  <c r="W357" i="8" s="1"/>
  <c r="AA147" i="8"/>
  <c r="Z151" i="8" s="1"/>
  <c r="Z152" i="8" s="1"/>
  <c r="Z153" i="8" s="1"/>
  <c r="H249" i="8"/>
  <c r="G253" i="8" s="1"/>
  <c r="E266" i="8"/>
  <c r="D270" i="8" s="1"/>
  <c r="AD133" i="8"/>
  <c r="AC140" i="8"/>
  <c r="AC314" i="8" s="1"/>
  <c r="AC331" i="8" s="1"/>
  <c r="AC360" i="8" s="1"/>
  <c r="R198" i="8"/>
  <c r="Q202" i="8" s="1"/>
  <c r="P211" i="8"/>
  <c r="T188" i="8"/>
  <c r="T293" i="8"/>
  <c r="T310" i="8" s="1"/>
  <c r="T350" i="8" s="1"/>
  <c r="AH109" i="8"/>
  <c r="AH110" i="8" s="1"/>
  <c r="AH112" i="8" s="1"/>
  <c r="AG116" i="8"/>
  <c r="AF123" i="8"/>
  <c r="AF313" i="8" s="1"/>
  <c r="AF332" i="8" s="1"/>
  <c r="AF361" i="8" s="1"/>
  <c r="AH108" i="8"/>
  <c r="I245" i="8"/>
  <c r="T190" i="8"/>
  <c r="T189" i="8"/>
  <c r="T186" i="8"/>
  <c r="T187" i="8" s="1"/>
  <c r="K241" i="8"/>
  <c r="K240" i="8"/>
  <c r="K237" i="8"/>
  <c r="K238" i="8" s="1"/>
  <c r="AB143" i="8"/>
  <c r="Z156" i="8"/>
  <c r="Z155" i="8"/>
  <c r="AE127" i="8"/>
  <c r="AE128" i="8" s="1"/>
  <c r="AE129" i="8" s="1"/>
  <c r="F262" i="8"/>
  <c r="N218" i="8"/>
  <c r="N219" i="8" s="1"/>
  <c r="M225" i="8"/>
  <c r="M319" i="8" s="1"/>
  <c r="M326" i="8" s="1"/>
  <c r="M355" i="8" s="1"/>
  <c r="AF332" i="4"/>
  <c r="AH113" i="4"/>
  <c r="AG117" i="4" s="1"/>
  <c r="AH351" i="4"/>
  <c r="AG122" i="4"/>
  <c r="AG121" i="4"/>
  <c r="AF124" i="4"/>
  <c r="W175" i="8" l="1"/>
  <c r="N222" i="8"/>
  <c r="N295" i="8"/>
  <c r="N302" i="8" s="1"/>
  <c r="N341" i="8" s="1"/>
  <c r="AC141" i="8"/>
  <c r="AC143" i="8" s="1"/>
  <c r="AC144" i="8" s="1"/>
  <c r="AC145" i="8" s="1"/>
  <c r="U184" i="8"/>
  <c r="T191" i="8"/>
  <c r="T317" i="8" s="1"/>
  <c r="T334" i="8" s="1"/>
  <c r="T363" i="8" s="1"/>
  <c r="AH351" i="8"/>
  <c r="AI105" i="8"/>
  <c r="AH113" i="8"/>
  <c r="AG117" i="8" s="1"/>
  <c r="AG118" i="8" s="1"/>
  <c r="L235" i="8"/>
  <c r="K242" i="8"/>
  <c r="AA150" i="8"/>
  <c r="Z157" i="8"/>
  <c r="Z315" i="8" s="1"/>
  <c r="Z330" i="8" s="1"/>
  <c r="Z359" i="8" s="1"/>
  <c r="J246" i="8"/>
  <c r="J247" i="8" s="1"/>
  <c r="I246" i="8"/>
  <c r="I247" i="8" s="1"/>
  <c r="AE130" i="8"/>
  <c r="AD134" i="8" s="1"/>
  <c r="AD135" i="8" s="1"/>
  <c r="AD136" i="8" s="1"/>
  <c r="D273" i="8"/>
  <c r="D298" i="8"/>
  <c r="D301" i="8" s="1"/>
  <c r="D340" i="8" s="1"/>
  <c r="D271" i="8"/>
  <c r="D272" i="8" s="1"/>
  <c r="P212" i="8"/>
  <c r="P213" i="8" s="1"/>
  <c r="P214" i="8" s="1"/>
  <c r="S195" i="8"/>
  <c r="S196" i="8" s="1"/>
  <c r="S197" i="8" s="1"/>
  <c r="W177" i="8"/>
  <c r="AB144" i="8"/>
  <c r="AB145" i="8" s="1"/>
  <c r="AB146" i="8" s="1"/>
  <c r="Z154" i="8"/>
  <c r="Z291" i="8"/>
  <c r="Z306" i="8" s="1"/>
  <c r="Z346" i="8" s="1"/>
  <c r="Y161" i="8"/>
  <c r="Y162" i="8" s="1"/>
  <c r="Y163" i="8" s="1"/>
  <c r="AG122" i="8"/>
  <c r="AG121" i="8"/>
  <c r="Q205" i="8"/>
  <c r="Q294" i="8"/>
  <c r="Q305" i="8" s="1"/>
  <c r="Q344" i="8" s="1"/>
  <c r="Q203" i="8"/>
  <c r="Q204" i="8" s="1"/>
  <c r="F263" i="8"/>
  <c r="F264" i="8" s="1"/>
  <c r="F265" i="8" s="1"/>
  <c r="AD139" i="8"/>
  <c r="AD138" i="8"/>
  <c r="X173" i="8"/>
  <c r="X172" i="8"/>
  <c r="G256" i="8"/>
  <c r="G297" i="8"/>
  <c r="G303" i="8" s="1"/>
  <c r="G342" i="8" s="1"/>
  <c r="G254" i="8"/>
  <c r="G255" i="8" s="1"/>
  <c r="N224" i="8"/>
  <c r="N223" i="8"/>
  <c r="N220" i="8"/>
  <c r="N221" i="8" s="1"/>
  <c r="AF124" i="8"/>
  <c r="M226" i="8"/>
  <c r="AI106" i="4"/>
  <c r="AI107" i="4" s="1"/>
  <c r="AG289" i="4"/>
  <c r="AG308" i="4" s="1"/>
  <c r="AG348" i="4" s="1"/>
  <c r="AG120" i="4"/>
  <c r="AG118" i="4"/>
  <c r="AG119" i="4" s="1"/>
  <c r="AG123" i="4" s="1"/>
  <c r="AF126" i="4"/>
  <c r="T192" i="8" l="1"/>
  <c r="T194" i="8" s="1"/>
  <c r="AC146" i="8"/>
  <c r="Z158" i="8"/>
  <c r="Z160" i="8" s="1"/>
  <c r="J248" i="8"/>
  <c r="I248" i="8"/>
  <c r="I249" i="8" s="1"/>
  <c r="H253" i="8" s="1"/>
  <c r="AE133" i="8"/>
  <c r="AD140" i="8"/>
  <c r="AD314" i="8" s="1"/>
  <c r="AD331" i="8" s="1"/>
  <c r="AD360" i="8" s="1"/>
  <c r="H252" i="8"/>
  <c r="G259" i="8"/>
  <c r="F266" i="8"/>
  <c r="E270" i="8" s="1"/>
  <c r="O218" i="8"/>
  <c r="N225" i="8"/>
  <c r="N319" i="8" s="1"/>
  <c r="N326" i="8" s="1"/>
  <c r="N355" i="8" s="1"/>
  <c r="E269" i="8"/>
  <c r="D276" i="8"/>
  <c r="D277" i="8" s="1"/>
  <c r="AG119" i="8"/>
  <c r="Y164" i="8"/>
  <c r="X168" i="8" s="1"/>
  <c r="W178" i="8"/>
  <c r="W179" i="8" s="1"/>
  <c r="W180" i="8" s="1"/>
  <c r="AD137" i="8"/>
  <c r="AD290" i="8"/>
  <c r="AD307" i="8" s="1"/>
  <c r="AD347" i="8" s="1"/>
  <c r="AI106" i="8"/>
  <c r="AI107" i="8" s="1"/>
  <c r="AG120" i="8"/>
  <c r="AG289" i="8"/>
  <c r="AG308" i="8" s="1"/>
  <c r="AG348" i="8" s="1"/>
  <c r="AF126" i="8"/>
  <c r="S198" i="8"/>
  <c r="M228" i="8"/>
  <c r="R201" i="8"/>
  <c r="Q208" i="8"/>
  <c r="AA155" i="8"/>
  <c r="AA156" i="8"/>
  <c r="P215" i="8"/>
  <c r="U189" i="8"/>
  <c r="U190" i="8"/>
  <c r="U185" i="8"/>
  <c r="K320" i="8"/>
  <c r="K333" i="8" s="1"/>
  <c r="K362" i="8" s="1"/>
  <c r="K243" i="8"/>
  <c r="AB147" i="8"/>
  <c r="AA151" i="8" s="1"/>
  <c r="L241" i="8"/>
  <c r="L240" i="8"/>
  <c r="AH116" i="4"/>
  <c r="AG313" i="4"/>
  <c r="AI108" i="4"/>
  <c r="AJ105" i="4" s="1"/>
  <c r="AF127" i="4"/>
  <c r="AF128" i="4" s="1"/>
  <c r="AF129" i="4" s="1"/>
  <c r="AI109" i="4"/>
  <c r="AI110" i="4" s="1"/>
  <c r="AI112" i="4" s="1"/>
  <c r="AD141" i="8" l="1"/>
  <c r="N226" i="8"/>
  <c r="N228" i="8" s="1"/>
  <c r="N229" i="8" s="1"/>
  <c r="N230" i="8" s="1"/>
  <c r="AC147" i="8"/>
  <c r="D279" i="8"/>
  <c r="E273" i="8"/>
  <c r="E298" i="8"/>
  <c r="E301" i="8" s="1"/>
  <c r="E340" i="8" s="1"/>
  <c r="AI109" i="8"/>
  <c r="AI110" i="8" s="1"/>
  <c r="AI112" i="8" s="1"/>
  <c r="AD143" i="8"/>
  <c r="D322" i="8"/>
  <c r="D325" i="8" s="1"/>
  <c r="D354" i="8" s="1"/>
  <c r="G321" i="8"/>
  <c r="G327" i="8" s="1"/>
  <c r="G356" i="8" s="1"/>
  <c r="G260" i="8"/>
  <c r="O224" i="8"/>
  <c r="O223" i="8"/>
  <c r="E274" i="8"/>
  <c r="E275" i="8"/>
  <c r="E271" i="8"/>
  <c r="E272" i="8" s="1"/>
  <c r="H258" i="8"/>
  <c r="H257" i="8"/>
  <c r="H254" i="8"/>
  <c r="H255" i="8" s="1"/>
  <c r="R206" i="8"/>
  <c r="R207" i="8"/>
  <c r="Z161" i="8"/>
  <c r="Z162" i="8" s="1"/>
  <c r="Z163" i="8" s="1"/>
  <c r="AA154" i="8"/>
  <c r="AA291" i="8"/>
  <c r="AA306" i="8" s="1"/>
  <c r="AA346" i="8" s="1"/>
  <c r="R202" i="8"/>
  <c r="W181" i="8"/>
  <c r="U188" i="8"/>
  <c r="U293" i="8"/>
  <c r="U310" i="8" s="1"/>
  <c r="U350" i="8" s="1"/>
  <c r="U186" i="8"/>
  <c r="U187" i="8" s="1"/>
  <c r="H256" i="8"/>
  <c r="H297" i="8"/>
  <c r="H303" i="8" s="1"/>
  <c r="H342" i="8" s="1"/>
  <c r="T195" i="8"/>
  <c r="T196" i="8" s="1"/>
  <c r="T197" i="8" s="1"/>
  <c r="O219" i="8"/>
  <c r="O220" i="8" s="1"/>
  <c r="AA152" i="8"/>
  <c r="AA153" i="8" s="1"/>
  <c r="K245" i="8"/>
  <c r="J249" i="8"/>
  <c r="I253" i="8" s="1"/>
  <c r="Q318" i="8"/>
  <c r="Q329" i="8" s="1"/>
  <c r="Q358" i="8" s="1"/>
  <c r="Q209" i="8"/>
  <c r="X171" i="8"/>
  <c r="X292" i="8"/>
  <c r="X304" i="8" s="1"/>
  <c r="X343" i="8" s="1"/>
  <c r="X169" i="8"/>
  <c r="X170" i="8" s="1"/>
  <c r="AH116" i="8"/>
  <c r="AG123" i="8"/>
  <c r="AI108" i="8"/>
  <c r="M229" i="8"/>
  <c r="M230" i="8" s="1"/>
  <c r="AF127" i="8"/>
  <c r="AF128" i="8" s="1"/>
  <c r="AF129" i="8" s="1"/>
  <c r="AE138" i="8"/>
  <c r="AE139" i="8"/>
  <c r="AG332" i="4"/>
  <c r="AH122" i="4"/>
  <c r="AH121" i="4"/>
  <c r="AG124" i="4"/>
  <c r="AG126" i="4" s="1"/>
  <c r="AG127" i="4" s="1"/>
  <c r="AG128" i="4" s="1"/>
  <c r="AI351" i="4"/>
  <c r="AI113" i="4"/>
  <c r="AH117" i="4" s="1"/>
  <c r="N231" i="8" l="1"/>
  <c r="AF130" i="8"/>
  <c r="AE134" i="8" s="1"/>
  <c r="AI351" i="8"/>
  <c r="AJ105" i="8"/>
  <c r="Z164" i="8"/>
  <c r="F269" i="8"/>
  <c r="E276" i="8"/>
  <c r="E277" i="8" s="1"/>
  <c r="I252" i="8"/>
  <c r="H259" i="8"/>
  <c r="H321" i="8" s="1"/>
  <c r="H327" i="8" s="1"/>
  <c r="H356" i="8" s="1"/>
  <c r="AI113" i="8"/>
  <c r="AH117" i="8" s="1"/>
  <c r="AG313" i="8"/>
  <c r="AG332" i="8" s="1"/>
  <c r="AG361" i="8" s="1"/>
  <c r="AG124" i="8"/>
  <c r="T198" i="8"/>
  <c r="V184" i="8"/>
  <c r="V185" i="8" s="1"/>
  <c r="U191" i="8"/>
  <c r="G262" i="8"/>
  <c r="R205" i="8"/>
  <c r="R294" i="8"/>
  <c r="R305" i="8" s="1"/>
  <c r="R344" i="8" s="1"/>
  <c r="AB150" i="8"/>
  <c r="AA157" i="8"/>
  <c r="AA315" i="8" s="1"/>
  <c r="AA330" i="8" s="1"/>
  <c r="AA359" i="8" s="1"/>
  <c r="O222" i="8"/>
  <c r="O295" i="8"/>
  <c r="O302" i="8" s="1"/>
  <c r="O341" i="8" s="1"/>
  <c r="Q211" i="8"/>
  <c r="O221" i="8"/>
  <c r="Y167" i="8"/>
  <c r="X174" i="8"/>
  <c r="AD144" i="8"/>
  <c r="AD145" i="8" s="1"/>
  <c r="AD146" i="8" s="1"/>
  <c r="R203" i="8"/>
  <c r="R204" i="8" s="1"/>
  <c r="AH121" i="8"/>
  <c r="AH122" i="8"/>
  <c r="M231" i="8"/>
  <c r="I256" i="8"/>
  <c r="I297" i="8"/>
  <c r="I303" i="8" s="1"/>
  <c r="I342" i="8" s="1"/>
  <c r="K246" i="8"/>
  <c r="K247" i="8" s="1"/>
  <c r="K248" i="8" s="1"/>
  <c r="D280" i="8"/>
  <c r="D281" i="8" s="1"/>
  <c r="D282" i="8" s="1"/>
  <c r="D284" i="8" s="1"/>
  <c r="D337" i="8" s="1"/>
  <c r="AH289" i="4"/>
  <c r="AH308" i="4" s="1"/>
  <c r="AH348" i="4" s="1"/>
  <c r="AH120" i="4"/>
  <c r="AG129" i="4"/>
  <c r="AH118" i="4"/>
  <c r="AH119" i="4" s="1"/>
  <c r="AH123" i="4" s="1"/>
  <c r="AJ106" i="4"/>
  <c r="AJ107" i="4" s="1"/>
  <c r="Y168" i="8" l="1"/>
  <c r="H260" i="8"/>
  <c r="H262" i="8" s="1"/>
  <c r="H263" i="8" s="1"/>
  <c r="H264" i="8" s="1"/>
  <c r="K249" i="8"/>
  <c r="J253" i="8" s="1"/>
  <c r="AD147" i="8"/>
  <c r="D374" i="8"/>
  <c r="D382" i="8" s="1"/>
  <c r="D390" i="8" s="1"/>
  <c r="D365" i="8"/>
  <c r="D375" i="8" s="1"/>
  <c r="D383" i="8" s="1"/>
  <c r="G263" i="8"/>
  <c r="G264" i="8" s="1"/>
  <c r="G265" i="8" s="1"/>
  <c r="U317" i="8"/>
  <c r="U334" i="8" s="1"/>
  <c r="U363" i="8" s="1"/>
  <c r="U192" i="8"/>
  <c r="V190" i="8"/>
  <c r="V189" i="8"/>
  <c r="V186" i="8"/>
  <c r="V187" i="8" s="1"/>
  <c r="F275" i="8"/>
  <c r="F274" i="8"/>
  <c r="AB156" i="8"/>
  <c r="AB155" i="8"/>
  <c r="AB151" i="8"/>
  <c r="AG126" i="8"/>
  <c r="X316" i="8"/>
  <c r="X328" i="8" s="1"/>
  <c r="X357" i="8" s="1"/>
  <c r="X175" i="8"/>
  <c r="Y169" i="8"/>
  <c r="Y170" i="8" s="1"/>
  <c r="Y172" i="8"/>
  <c r="Y173" i="8"/>
  <c r="AH120" i="8"/>
  <c r="AH289" i="8"/>
  <c r="AH308" i="8" s="1"/>
  <c r="AH348" i="8" s="1"/>
  <c r="E322" i="8"/>
  <c r="E325" i="8" s="1"/>
  <c r="E354" i="8" s="1"/>
  <c r="Y171" i="8"/>
  <c r="Y292" i="8"/>
  <c r="Y304" i="8" s="1"/>
  <c r="Y343" i="8" s="1"/>
  <c r="M232" i="8"/>
  <c r="Q212" i="8"/>
  <c r="Q213" i="8" s="1"/>
  <c r="Q214" i="8" s="1"/>
  <c r="I258" i="8"/>
  <c r="I257" i="8"/>
  <c r="I254" i="8"/>
  <c r="I255" i="8" s="1"/>
  <c r="V188" i="8"/>
  <c r="V293" i="8"/>
  <c r="V310" i="8" s="1"/>
  <c r="V350" i="8" s="1"/>
  <c r="E279" i="8"/>
  <c r="S201" i="8"/>
  <c r="S202" i="8" s="1"/>
  <c r="R208" i="8"/>
  <c r="P218" i="8"/>
  <c r="O225" i="8"/>
  <c r="AJ106" i="8"/>
  <c r="AJ107" i="8" s="1"/>
  <c r="AH118" i="8"/>
  <c r="AH119" i="8" s="1"/>
  <c r="AA158" i="8"/>
  <c r="AE137" i="8"/>
  <c r="AE290" i="8"/>
  <c r="AE307" i="8" s="1"/>
  <c r="AE347" i="8" s="1"/>
  <c r="AE135" i="8"/>
  <c r="AE136" i="8" s="1"/>
  <c r="AJ108" i="4"/>
  <c r="AK105" i="4" s="1"/>
  <c r="AJ109" i="4"/>
  <c r="AJ110" i="4" s="1"/>
  <c r="AJ112" i="4" s="1"/>
  <c r="AJ113" i="4" s="1"/>
  <c r="AI116" i="4"/>
  <c r="AH313" i="4"/>
  <c r="H265" i="8" l="1"/>
  <c r="Z167" i="8"/>
  <c r="Y174" i="8"/>
  <c r="AI116" i="8"/>
  <c r="AH123" i="8"/>
  <c r="AH313" i="8" s="1"/>
  <c r="AH332" i="8" s="1"/>
  <c r="AH361" i="8" s="1"/>
  <c r="W184" i="8"/>
  <c r="V191" i="8"/>
  <c r="V317" i="8" s="1"/>
  <c r="V334" i="8" s="1"/>
  <c r="V363" i="8" s="1"/>
  <c r="J252" i="8"/>
  <c r="I259" i="8"/>
  <c r="I321" i="8" s="1"/>
  <c r="I327" i="8" s="1"/>
  <c r="I356" i="8" s="1"/>
  <c r="Q215" i="8"/>
  <c r="P219" i="8" s="1"/>
  <c r="P220" i="8" s="1"/>
  <c r="P221" i="8" s="1"/>
  <c r="S205" i="8"/>
  <c r="S294" i="8"/>
  <c r="S305" i="8" s="1"/>
  <c r="S344" i="8" s="1"/>
  <c r="X177" i="8"/>
  <c r="AG127" i="8"/>
  <c r="AG128" i="8" s="1"/>
  <c r="AG129" i="8" s="1"/>
  <c r="AJ109" i="8"/>
  <c r="AJ110" i="8" s="1"/>
  <c r="AJ112" i="8" s="1"/>
  <c r="AB154" i="8"/>
  <c r="AB291" i="8"/>
  <c r="AB306" i="8" s="1"/>
  <c r="AB346" i="8" s="1"/>
  <c r="L236" i="8"/>
  <c r="N232" i="8"/>
  <c r="M236" i="8" s="1"/>
  <c r="G266" i="8"/>
  <c r="F270" i="8" s="1"/>
  <c r="AB152" i="8"/>
  <c r="AB153" i="8" s="1"/>
  <c r="O319" i="8"/>
  <c r="O326" i="8" s="1"/>
  <c r="O355" i="8" s="1"/>
  <c r="O226" i="8"/>
  <c r="J256" i="8"/>
  <c r="J297" i="8"/>
  <c r="J303" i="8" s="1"/>
  <c r="J342" i="8" s="1"/>
  <c r="P223" i="8"/>
  <c r="P224" i="8"/>
  <c r="S206" i="8"/>
  <c r="S207" i="8"/>
  <c r="S203" i="8"/>
  <c r="S204" i="8" s="1"/>
  <c r="AJ108" i="8"/>
  <c r="AF133" i="8"/>
  <c r="AE140" i="8"/>
  <c r="AE314" i="8" s="1"/>
  <c r="AE331" i="8" s="1"/>
  <c r="AE360" i="8" s="1"/>
  <c r="AA160" i="8"/>
  <c r="R318" i="8"/>
  <c r="R329" i="8" s="1"/>
  <c r="R358" i="8" s="1"/>
  <c r="R209" i="8"/>
  <c r="E280" i="8"/>
  <c r="E281" i="8" s="1"/>
  <c r="E282" i="8" s="1"/>
  <c r="E284" i="8" s="1"/>
  <c r="E337" i="8" s="1"/>
  <c r="U194" i="8"/>
  <c r="AI117" i="4"/>
  <c r="AI120" i="4" s="1"/>
  <c r="AJ351" i="4"/>
  <c r="AH332" i="4"/>
  <c r="AI121" i="4"/>
  <c r="AI122" i="4"/>
  <c r="AH124" i="4"/>
  <c r="I260" i="8" l="1"/>
  <c r="AJ113" i="8"/>
  <c r="AI117" i="8" s="1"/>
  <c r="AI118" i="8" s="1"/>
  <c r="AI119" i="8" s="1"/>
  <c r="T201" i="8"/>
  <c r="S208" i="8"/>
  <c r="S318" i="8" s="1"/>
  <c r="S329" i="8" s="1"/>
  <c r="S358" i="8" s="1"/>
  <c r="Q218" i="8"/>
  <c r="P225" i="8"/>
  <c r="P319" i="8" s="1"/>
  <c r="P326" i="8" s="1"/>
  <c r="P355" i="8" s="1"/>
  <c r="AC150" i="8"/>
  <c r="AB157" i="8"/>
  <c r="AB315" i="8" s="1"/>
  <c r="AB330" i="8" s="1"/>
  <c r="AB359" i="8" s="1"/>
  <c r="E365" i="8"/>
  <c r="E375" i="8" s="1"/>
  <c r="E383" i="8" s="1"/>
  <c r="E374" i="8"/>
  <c r="E382" i="8" s="1"/>
  <c r="E390" i="8" s="1"/>
  <c r="R211" i="8"/>
  <c r="AA161" i="8"/>
  <c r="AA162" i="8" s="1"/>
  <c r="AA163" i="8" s="1"/>
  <c r="W190" i="8"/>
  <c r="W189" i="8"/>
  <c r="AH124" i="8"/>
  <c r="H266" i="8"/>
  <c r="G270" i="8" s="1"/>
  <c r="G298" i="8" s="1"/>
  <c r="G301" i="8" s="1"/>
  <c r="G340" i="8" s="1"/>
  <c r="F273" i="8"/>
  <c r="F298" i="8"/>
  <c r="F301" i="8" s="1"/>
  <c r="F340" i="8" s="1"/>
  <c r="F271" i="8"/>
  <c r="F272" i="8" s="1"/>
  <c r="L239" i="8"/>
  <c r="L296" i="8"/>
  <c r="L309" i="8" s="1"/>
  <c r="L349" i="8" s="1"/>
  <c r="L237" i="8"/>
  <c r="L238" i="8" s="1"/>
  <c r="X178" i="8"/>
  <c r="X179" i="8" s="1"/>
  <c r="X180" i="8" s="1"/>
  <c r="AI122" i="8"/>
  <c r="AI121" i="8"/>
  <c r="I262" i="8"/>
  <c r="AJ351" i="8"/>
  <c r="AK105" i="8"/>
  <c r="J257" i="8"/>
  <c r="J258" i="8"/>
  <c r="J254" i="8"/>
  <c r="J255" i="8" s="1"/>
  <c r="K252" i="8" s="1"/>
  <c r="U195" i="8"/>
  <c r="U196" i="8" s="1"/>
  <c r="U197" i="8" s="1"/>
  <c r="O228" i="8"/>
  <c r="AE141" i="8"/>
  <c r="Y316" i="8"/>
  <c r="Y328" i="8" s="1"/>
  <c r="Y357" i="8" s="1"/>
  <c r="Y175" i="8"/>
  <c r="AG130" i="8"/>
  <c r="AF134" i="8" s="1"/>
  <c r="M239" i="8"/>
  <c r="M296" i="8"/>
  <c r="M309" i="8" s="1"/>
  <c r="M349" i="8" s="1"/>
  <c r="V192" i="8"/>
  <c r="AF138" i="8"/>
  <c r="AF139" i="8"/>
  <c r="P222" i="8"/>
  <c r="P295" i="8"/>
  <c r="P302" i="8" s="1"/>
  <c r="P341" i="8" s="1"/>
  <c r="Z172" i="8"/>
  <c r="Z173" i="8"/>
  <c r="AI289" i="4"/>
  <c r="AI308" i="4" s="1"/>
  <c r="AI348" i="4" s="1"/>
  <c r="AI118" i="4"/>
  <c r="AI119" i="4" s="1"/>
  <c r="AJ116" i="4" s="1"/>
  <c r="AJ121" i="4" s="1"/>
  <c r="AK106" i="4"/>
  <c r="AK107" i="4" s="1"/>
  <c r="AH126" i="4"/>
  <c r="AK109" i="4" l="1"/>
  <c r="AK110" i="4" s="1"/>
  <c r="AK112" i="4" s="1"/>
  <c r="P226" i="8"/>
  <c r="P228" i="8" s="1"/>
  <c r="P229" i="8" s="1"/>
  <c r="P230" i="8" s="1"/>
  <c r="S209" i="8"/>
  <c r="S211" i="8" s="1"/>
  <c r="S212" i="8" s="1"/>
  <c r="S213" i="8" s="1"/>
  <c r="M235" i="8"/>
  <c r="L242" i="8"/>
  <c r="U198" i="8"/>
  <c r="T202" i="8" s="1"/>
  <c r="T203" i="8" s="1"/>
  <c r="T204" i="8" s="1"/>
  <c r="G269" i="8"/>
  <c r="F276" i="8"/>
  <c r="F277" i="8" s="1"/>
  <c r="AJ116" i="8"/>
  <c r="AI123" i="8"/>
  <c r="AI313" i="8" s="1"/>
  <c r="AI332" i="8" s="1"/>
  <c r="AI361" i="8" s="1"/>
  <c r="X181" i="8"/>
  <c r="W185" i="8" s="1"/>
  <c r="AA164" i="8"/>
  <c r="Z168" i="8" s="1"/>
  <c r="K258" i="8"/>
  <c r="K257" i="8"/>
  <c r="AH126" i="8"/>
  <c r="AF137" i="8"/>
  <c r="AF290" i="8"/>
  <c r="AF307" i="8" s="1"/>
  <c r="AF347" i="8" s="1"/>
  <c r="Y177" i="8"/>
  <c r="AK106" i="8"/>
  <c r="AK107" i="8" s="1"/>
  <c r="Q224" i="8"/>
  <c r="Q223" i="8"/>
  <c r="I263" i="8"/>
  <c r="I264" i="8" s="1"/>
  <c r="I265" i="8" s="1"/>
  <c r="J259" i="8"/>
  <c r="J321" i="8" s="1"/>
  <c r="J327" i="8" s="1"/>
  <c r="J356" i="8" s="1"/>
  <c r="AB158" i="8"/>
  <c r="AC156" i="8"/>
  <c r="AC155" i="8"/>
  <c r="AC151" i="8"/>
  <c r="AC152" i="8" s="1"/>
  <c r="AC153" i="8" s="1"/>
  <c r="T206" i="8"/>
  <c r="T207" i="8"/>
  <c r="AF135" i="8"/>
  <c r="AF136" i="8" s="1"/>
  <c r="V194" i="8"/>
  <c r="R212" i="8"/>
  <c r="R213" i="8" s="1"/>
  <c r="R214" i="8" s="1"/>
  <c r="AI120" i="8"/>
  <c r="AI289" i="8"/>
  <c r="AI308" i="8" s="1"/>
  <c r="AI348" i="8" s="1"/>
  <c r="AE143" i="8"/>
  <c r="O229" i="8"/>
  <c r="O230" i="8" s="1"/>
  <c r="G273" i="8"/>
  <c r="AI123" i="4"/>
  <c r="AI313" i="4" s="1"/>
  <c r="AI332" i="4" s="1"/>
  <c r="AJ122" i="4"/>
  <c r="AK113" i="4"/>
  <c r="AJ117" i="4" s="1"/>
  <c r="AH127" i="4"/>
  <c r="AH128" i="4" s="1"/>
  <c r="AH129" i="4" s="1"/>
  <c r="P231" i="8" l="1"/>
  <c r="AI124" i="8"/>
  <c r="AI126" i="8" s="1"/>
  <c r="U201" i="8"/>
  <c r="T208" i="8"/>
  <c r="T318" i="8" s="1"/>
  <c r="T329" i="8" s="1"/>
  <c r="T358" i="8" s="1"/>
  <c r="R215" i="8"/>
  <c r="Q219" i="8" s="1"/>
  <c r="I266" i="8"/>
  <c r="H270" i="8" s="1"/>
  <c r="AG133" i="8"/>
  <c r="AF140" i="8"/>
  <c r="AF314" i="8" s="1"/>
  <c r="AF331" i="8" s="1"/>
  <c r="AF360" i="8" s="1"/>
  <c r="AD150" i="8"/>
  <c r="AC157" i="8"/>
  <c r="AC315" i="8" s="1"/>
  <c r="AC330" i="8" s="1"/>
  <c r="AC359" i="8" s="1"/>
  <c r="AJ121" i="8"/>
  <c r="AJ122" i="8"/>
  <c r="F322" i="8"/>
  <c r="F325" i="8" s="1"/>
  <c r="F354" i="8" s="1"/>
  <c r="O231" i="8"/>
  <c r="AK108" i="8"/>
  <c r="T205" i="8"/>
  <c r="T294" i="8"/>
  <c r="T305" i="8" s="1"/>
  <c r="T344" i="8" s="1"/>
  <c r="AB160" i="8"/>
  <c r="AH127" i="8"/>
  <c r="AH128" i="8" s="1"/>
  <c r="AH129" i="8" s="1"/>
  <c r="Z171" i="8"/>
  <c r="Z292" i="8"/>
  <c r="Z304" i="8" s="1"/>
  <c r="Z343" i="8" s="1"/>
  <c r="Z169" i="8"/>
  <c r="Z170" i="8" s="1"/>
  <c r="J260" i="8"/>
  <c r="Y178" i="8"/>
  <c r="Y179" i="8" s="1"/>
  <c r="Y180" i="8" s="1"/>
  <c r="L320" i="8"/>
  <c r="L333" i="8" s="1"/>
  <c r="L362" i="8" s="1"/>
  <c r="L243" i="8"/>
  <c r="F279" i="8"/>
  <c r="AE144" i="8"/>
  <c r="AE145" i="8" s="1"/>
  <c r="AE146" i="8" s="1"/>
  <c r="S214" i="8"/>
  <c r="W188" i="8"/>
  <c r="W293" i="8"/>
  <c r="W310" i="8" s="1"/>
  <c r="W350" i="8" s="1"/>
  <c r="W186" i="8"/>
  <c r="W187" i="8" s="1"/>
  <c r="M241" i="8"/>
  <c r="M237" i="8"/>
  <c r="M238" i="8" s="1"/>
  <c r="M240" i="8"/>
  <c r="G274" i="8"/>
  <c r="G275" i="8"/>
  <c r="G271" i="8"/>
  <c r="G272" i="8" s="1"/>
  <c r="H269" i="8" s="1"/>
  <c r="V195" i="8"/>
  <c r="V196" i="8" s="1"/>
  <c r="V197" i="8" s="1"/>
  <c r="AK109" i="8"/>
  <c r="AK110" i="8" s="1"/>
  <c r="AK112" i="8" s="1"/>
  <c r="AC154" i="8"/>
  <c r="AC291" i="8"/>
  <c r="AC306" i="8" s="1"/>
  <c r="AC346" i="8" s="1"/>
  <c r="AI124" i="4"/>
  <c r="AI126" i="4" s="1"/>
  <c r="AK108" i="4"/>
  <c r="AL105" i="4" s="1"/>
  <c r="AJ289" i="4"/>
  <c r="AJ308" i="4" s="1"/>
  <c r="AJ348" i="4" s="1"/>
  <c r="AJ120" i="4"/>
  <c r="AJ118" i="4"/>
  <c r="AJ119" i="4" s="1"/>
  <c r="AJ123" i="4" s="1"/>
  <c r="T209" i="8" l="1"/>
  <c r="T211" i="8" s="1"/>
  <c r="AC158" i="8"/>
  <c r="N235" i="8"/>
  <c r="M242" i="8"/>
  <c r="M320" i="8" s="1"/>
  <c r="M333" i="8" s="1"/>
  <c r="M362" i="8" s="1"/>
  <c r="AA167" i="8"/>
  <c r="Z174" i="8"/>
  <c r="Z316" i="8" s="1"/>
  <c r="Z328" i="8" s="1"/>
  <c r="Z357" i="8" s="1"/>
  <c r="AH130" i="8"/>
  <c r="AG134" i="8" s="1"/>
  <c r="AG135" i="8" s="1"/>
  <c r="AG136" i="8" s="1"/>
  <c r="X184" i="8"/>
  <c r="W191" i="8"/>
  <c r="AC160" i="8"/>
  <c r="AK113" i="8"/>
  <c r="AJ117" i="8" s="1"/>
  <c r="V198" i="8"/>
  <c r="U202" i="8" s="1"/>
  <c r="U203" i="8" s="1"/>
  <c r="U204" i="8" s="1"/>
  <c r="AE147" i="8"/>
  <c r="AD151" i="8" s="1"/>
  <c r="AD152" i="8" s="1"/>
  <c r="AD153" i="8" s="1"/>
  <c r="AK351" i="8"/>
  <c r="AL105" i="8"/>
  <c r="H273" i="8"/>
  <c r="H298" i="8"/>
  <c r="H301" i="8" s="1"/>
  <c r="H340" i="8" s="1"/>
  <c r="Q222" i="8"/>
  <c r="Q295" i="8"/>
  <c r="Q302" i="8" s="1"/>
  <c r="Q341" i="8" s="1"/>
  <c r="Q220" i="8"/>
  <c r="Q221" i="8" s="1"/>
  <c r="M243" i="8"/>
  <c r="M245" i="8" s="1"/>
  <c r="F280" i="8"/>
  <c r="F281" i="8" s="1"/>
  <c r="F282" i="8" s="1"/>
  <c r="F284" i="8" s="1"/>
  <c r="F337" i="8" s="1"/>
  <c r="G276" i="8"/>
  <c r="O232" i="8"/>
  <c r="AG139" i="8"/>
  <c r="AG138" i="8"/>
  <c r="L245" i="8"/>
  <c r="AD156" i="8"/>
  <c r="AD155" i="8"/>
  <c r="AB161" i="8"/>
  <c r="AB162" i="8" s="1"/>
  <c r="AB163" i="8" s="1"/>
  <c r="U206" i="8"/>
  <c r="U207" i="8"/>
  <c r="H275" i="8"/>
  <c r="H271" i="8"/>
  <c r="H272" i="8" s="1"/>
  <c r="H274" i="8"/>
  <c r="S215" i="8"/>
  <c r="Y181" i="8"/>
  <c r="AI127" i="8"/>
  <c r="AI128" i="8" s="1"/>
  <c r="AI129" i="8" s="1"/>
  <c r="J262" i="8"/>
  <c r="AF141" i="8"/>
  <c r="AK351" i="4"/>
  <c r="AL106" i="4"/>
  <c r="AL109" i="4" s="1"/>
  <c r="AL110" i="4" s="1"/>
  <c r="AL112" i="4" s="1"/>
  <c r="AK116" i="4"/>
  <c r="AJ313" i="4"/>
  <c r="AI127" i="4"/>
  <c r="AI128" i="4" s="1"/>
  <c r="AI129" i="4" s="1"/>
  <c r="Z175" i="8" l="1"/>
  <c r="AL107" i="4"/>
  <c r="AL108" i="4" s="1"/>
  <c r="AM105" i="4" s="1"/>
  <c r="X185" i="8"/>
  <c r="X188" i="8" s="1"/>
  <c r="AB164" i="8"/>
  <c r="AA168" i="8" s="1"/>
  <c r="AA169" i="8" s="1"/>
  <c r="AA170" i="8" s="1"/>
  <c r="AI130" i="8"/>
  <c r="F365" i="8"/>
  <c r="F375" i="8" s="1"/>
  <c r="F383" i="8" s="1"/>
  <c r="F374" i="8"/>
  <c r="F382" i="8" s="1"/>
  <c r="F390" i="8" s="1"/>
  <c r="AE150" i="8"/>
  <c r="AD157" i="8"/>
  <c r="AD315" i="8" s="1"/>
  <c r="AD330" i="8" s="1"/>
  <c r="AD359" i="8" s="1"/>
  <c r="AH133" i="8"/>
  <c r="AG140" i="8"/>
  <c r="AG314" i="8" s="1"/>
  <c r="AG331" i="8" s="1"/>
  <c r="AG360" i="8" s="1"/>
  <c r="I269" i="8"/>
  <c r="H276" i="8"/>
  <c r="H277" i="8" s="1"/>
  <c r="V201" i="8"/>
  <c r="U208" i="8"/>
  <c r="U318" i="8" s="1"/>
  <c r="U329" i="8" s="1"/>
  <c r="U358" i="8" s="1"/>
  <c r="AL106" i="8"/>
  <c r="AL107" i="8" s="1"/>
  <c r="X190" i="8"/>
  <c r="X189" i="8"/>
  <c r="X186" i="8"/>
  <c r="X187" i="8" s="1"/>
  <c r="R218" i="8"/>
  <c r="R219" i="8" s="1"/>
  <c r="Q225" i="8"/>
  <c r="AC161" i="8"/>
  <c r="AC162" i="8" s="1"/>
  <c r="AC163" i="8" s="1"/>
  <c r="N236" i="8"/>
  <c r="N237" i="8" s="1"/>
  <c r="N238" i="8" s="1"/>
  <c r="P232" i="8"/>
  <c r="O236" i="8" s="1"/>
  <c r="T212" i="8"/>
  <c r="T213" i="8" s="1"/>
  <c r="T214" i="8" s="1"/>
  <c r="AF143" i="8"/>
  <c r="AD154" i="8"/>
  <c r="AD291" i="8"/>
  <c r="AD306" i="8" s="1"/>
  <c r="AD346" i="8" s="1"/>
  <c r="AG137" i="8"/>
  <c r="AG290" i="8"/>
  <c r="AG307" i="8" s="1"/>
  <c r="AG347" i="8" s="1"/>
  <c r="L246" i="8"/>
  <c r="L247" i="8" s="1"/>
  <c r="AA172" i="8"/>
  <c r="AA173" i="8"/>
  <c r="AJ120" i="8"/>
  <c r="AJ289" i="8"/>
  <c r="AJ308" i="8" s="1"/>
  <c r="AJ348" i="8" s="1"/>
  <c r="AJ118" i="8"/>
  <c r="AJ119" i="8" s="1"/>
  <c r="Z177" i="8"/>
  <c r="W317" i="8"/>
  <c r="W334" i="8" s="1"/>
  <c r="W363" i="8" s="1"/>
  <c r="W192" i="8"/>
  <c r="J263" i="8"/>
  <c r="J264" i="8" s="1"/>
  <c r="J265" i="8" s="1"/>
  <c r="G322" i="8"/>
  <c r="G325" i="8" s="1"/>
  <c r="G354" i="8" s="1"/>
  <c r="G277" i="8"/>
  <c r="M246" i="8"/>
  <c r="M247" i="8" s="1"/>
  <c r="U205" i="8"/>
  <c r="U294" i="8"/>
  <c r="U305" i="8" s="1"/>
  <c r="U344" i="8" s="1"/>
  <c r="N240" i="8"/>
  <c r="N241" i="8"/>
  <c r="AJ332" i="4"/>
  <c r="AJ124" i="4"/>
  <c r="AJ126" i="4" s="1"/>
  <c r="AL113" i="4"/>
  <c r="AK117" i="4" s="1"/>
  <c r="AK121" i="4"/>
  <c r="AK122" i="4"/>
  <c r="X293" i="8" l="1"/>
  <c r="X310" i="8" s="1"/>
  <c r="X350" i="8" s="1"/>
  <c r="AB167" i="8"/>
  <c r="AA174" i="8"/>
  <c r="AA316" i="8" s="1"/>
  <c r="AA328" i="8" s="1"/>
  <c r="AA357" i="8" s="1"/>
  <c r="H322" i="8"/>
  <c r="H325" i="8" s="1"/>
  <c r="H354" i="8" s="1"/>
  <c r="AG141" i="8"/>
  <c r="AG143" i="8" s="1"/>
  <c r="AD158" i="8"/>
  <c r="AD160" i="8" s="1"/>
  <c r="U209" i="8"/>
  <c r="U211" i="8" s="1"/>
  <c r="M248" i="8"/>
  <c r="J266" i="8"/>
  <c r="I270" i="8" s="1"/>
  <c r="I271" i="8" s="1"/>
  <c r="I272" i="8" s="1"/>
  <c r="O235" i="8"/>
  <c r="N242" i="8"/>
  <c r="N320" i="8" s="1"/>
  <c r="N333" i="8" s="1"/>
  <c r="N362" i="8" s="1"/>
  <c r="R222" i="8"/>
  <c r="R295" i="8"/>
  <c r="R302" i="8" s="1"/>
  <c r="R341" i="8" s="1"/>
  <c r="AK116" i="8"/>
  <c r="AJ123" i="8"/>
  <c r="AJ313" i="8" s="1"/>
  <c r="AJ332" i="8" s="1"/>
  <c r="AJ361" i="8" s="1"/>
  <c r="Y184" i="8"/>
  <c r="X191" i="8"/>
  <c r="X317" i="8" s="1"/>
  <c r="X334" i="8" s="1"/>
  <c r="X363" i="8" s="1"/>
  <c r="AB172" i="8"/>
  <c r="AB173" i="8"/>
  <c r="L248" i="8"/>
  <c r="T215" i="8"/>
  <c r="AF144" i="8"/>
  <c r="AF145" i="8" s="1"/>
  <c r="AF146" i="8" s="1"/>
  <c r="AL109" i="8"/>
  <c r="AL110" i="8" s="1"/>
  <c r="AL112" i="8" s="1"/>
  <c r="R223" i="8"/>
  <c r="R224" i="8"/>
  <c r="R220" i="8"/>
  <c r="R221" i="8" s="1"/>
  <c r="O239" i="8"/>
  <c r="O296" i="8"/>
  <c r="O309" i="8" s="1"/>
  <c r="O349" i="8" s="1"/>
  <c r="AL108" i="8"/>
  <c r="N239" i="8"/>
  <c r="N296" i="8"/>
  <c r="N309" i="8" s="1"/>
  <c r="N349" i="8" s="1"/>
  <c r="AH134" i="8"/>
  <c r="AH135" i="8" s="1"/>
  <c r="H279" i="8"/>
  <c r="G279" i="8"/>
  <c r="AH139" i="8"/>
  <c r="AH138" i="8"/>
  <c r="AE155" i="8"/>
  <c r="AE156" i="8"/>
  <c r="AC164" i="8"/>
  <c r="AB168" i="8" s="1"/>
  <c r="I275" i="8"/>
  <c r="I274" i="8"/>
  <c r="W194" i="8"/>
  <c r="V207" i="8"/>
  <c r="V206" i="8"/>
  <c r="Z178" i="8"/>
  <c r="Z179" i="8" s="1"/>
  <c r="Z180" i="8" s="1"/>
  <c r="Q319" i="8"/>
  <c r="Q326" i="8" s="1"/>
  <c r="Q355" i="8" s="1"/>
  <c r="Q226" i="8"/>
  <c r="AA171" i="8"/>
  <c r="AA292" i="8"/>
  <c r="AA304" i="8" s="1"/>
  <c r="AA343" i="8" s="1"/>
  <c r="AM106" i="4"/>
  <c r="AM107" i="4" s="1"/>
  <c r="AL351" i="4"/>
  <c r="AK289" i="4"/>
  <c r="AK308" i="4" s="1"/>
  <c r="AK348" i="4" s="1"/>
  <c r="AK120" i="4"/>
  <c r="AK118" i="4"/>
  <c r="AK119" i="4" s="1"/>
  <c r="AK123" i="4" s="1"/>
  <c r="AJ127" i="4"/>
  <c r="AJ128" i="4" s="1"/>
  <c r="AJ129" i="4" s="1"/>
  <c r="AJ124" i="8" l="1"/>
  <c r="AA175" i="8"/>
  <c r="AA177" i="8" s="1"/>
  <c r="X192" i="8"/>
  <c r="X194" i="8" s="1"/>
  <c r="X195" i="8" s="1"/>
  <c r="X196" i="8" s="1"/>
  <c r="S218" i="8"/>
  <c r="S219" i="8" s="1"/>
  <c r="S220" i="8" s="1"/>
  <c r="R225" i="8"/>
  <c r="R319" i="8" s="1"/>
  <c r="R326" i="8" s="1"/>
  <c r="R355" i="8" s="1"/>
  <c r="AF147" i="8"/>
  <c r="AE151" i="8" s="1"/>
  <c r="J269" i="8"/>
  <c r="I276" i="8"/>
  <c r="I322" i="8" s="1"/>
  <c r="I325" i="8" s="1"/>
  <c r="I354" i="8" s="1"/>
  <c r="G280" i="8"/>
  <c r="G281" i="8" s="1"/>
  <c r="N243" i="8"/>
  <c r="AJ126" i="8"/>
  <c r="AB171" i="8"/>
  <c r="AB292" i="8"/>
  <c r="AB304" i="8" s="1"/>
  <c r="AB343" i="8" s="1"/>
  <c r="AB169" i="8"/>
  <c r="AB170" i="8" s="1"/>
  <c r="Q228" i="8"/>
  <c r="O240" i="8"/>
  <c r="O237" i="8"/>
  <c r="O238" i="8" s="1"/>
  <c r="O241" i="8"/>
  <c r="W195" i="8"/>
  <c r="W196" i="8" s="1"/>
  <c r="W197" i="8" s="1"/>
  <c r="AD161" i="8"/>
  <c r="AD162" i="8" s="1"/>
  <c r="AD163" i="8" s="1"/>
  <c r="AG144" i="8"/>
  <c r="AG145" i="8" s="1"/>
  <c r="AG146" i="8" s="1"/>
  <c r="U212" i="8"/>
  <c r="U213" i="8" s="1"/>
  <c r="U214" i="8" s="1"/>
  <c r="Y189" i="8"/>
  <c r="Y190" i="8"/>
  <c r="Z181" i="8"/>
  <c r="Y185" i="8" s="1"/>
  <c r="Y186" i="8" s="1"/>
  <c r="Y187" i="8" s="1"/>
  <c r="L249" i="8"/>
  <c r="H280" i="8"/>
  <c r="H281" i="8" s="1"/>
  <c r="AH137" i="8"/>
  <c r="AH290" i="8"/>
  <c r="AH307" i="8" s="1"/>
  <c r="AH347" i="8" s="1"/>
  <c r="AL113" i="8"/>
  <c r="AK117" i="8" s="1"/>
  <c r="AL351" i="8"/>
  <c r="AM105" i="8"/>
  <c r="AH136" i="8"/>
  <c r="AK121" i="8"/>
  <c r="AK122" i="8"/>
  <c r="I273" i="8"/>
  <c r="I298" i="8"/>
  <c r="I301" i="8" s="1"/>
  <c r="I340" i="8" s="1"/>
  <c r="AM108" i="4"/>
  <c r="AM351" i="4" s="1"/>
  <c r="AM109" i="4"/>
  <c r="AM110" i="4" s="1"/>
  <c r="AM112" i="4" s="1"/>
  <c r="AM113" i="4" s="1"/>
  <c r="AL116" i="4"/>
  <c r="AK313" i="4"/>
  <c r="S224" i="8" l="1"/>
  <c r="S223" i="8"/>
  <c r="R226" i="8"/>
  <c r="R228" i="8" s="1"/>
  <c r="I277" i="8"/>
  <c r="I279" i="8" s="1"/>
  <c r="H282" i="8"/>
  <c r="H284" i="8" s="1"/>
  <c r="H337" i="8" s="1"/>
  <c r="H374" i="8" s="1"/>
  <c r="H382" i="8" s="1"/>
  <c r="H390" i="8" s="1"/>
  <c r="G282" i="8"/>
  <c r="G284" i="8" s="1"/>
  <c r="G337" i="8" s="1"/>
  <c r="G374" i="8" s="1"/>
  <c r="G382" i="8" s="1"/>
  <c r="G390" i="8" s="1"/>
  <c r="AG147" i="8"/>
  <c r="W198" i="8"/>
  <c r="V202" i="8" s="1"/>
  <c r="U215" i="8"/>
  <c r="AD164" i="8"/>
  <c r="AC167" i="8"/>
  <c r="AB174" i="8"/>
  <c r="AB316" i="8" s="1"/>
  <c r="AB328" i="8" s="1"/>
  <c r="AB357" i="8" s="1"/>
  <c r="P235" i="8"/>
  <c r="O242" i="8"/>
  <c r="Z184" i="8"/>
  <c r="Y191" i="8"/>
  <c r="Y317" i="8" s="1"/>
  <c r="Y334" i="8" s="1"/>
  <c r="Y363" i="8" s="1"/>
  <c r="AM106" i="8"/>
  <c r="AM107" i="8" s="1"/>
  <c r="AK120" i="8"/>
  <c r="AK289" i="8"/>
  <c r="AK308" i="8" s="1"/>
  <c r="AK348" i="8" s="1"/>
  <c r="AA178" i="8"/>
  <c r="AA179" i="8" s="1"/>
  <c r="AA180" i="8" s="1"/>
  <c r="G365" i="8"/>
  <c r="G375" i="8" s="1"/>
  <c r="G383" i="8" s="1"/>
  <c r="S222" i="8"/>
  <c r="S295" i="8"/>
  <c r="S302" i="8" s="1"/>
  <c r="S341" i="8" s="1"/>
  <c r="S221" i="8"/>
  <c r="X197" i="8"/>
  <c r="AK118" i="8"/>
  <c r="AK119" i="8" s="1"/>
  <c r="J274" i="8"/>
  <c r="J275" i="8"/>
  <c r="K253" i="8"/>
  <c r="M249" i="8"/>
  <c r="L253" i="8" s="1"/>
  <c r="R229" i="8"/>
  <c r="R230" i="8" s="1"/>
  <c r="AJ127" i="8"/>
  <c r="AJ128" i="8" s="1"/>
  <c r="AJ129" i="8" s="1"/>
  <c r="AE154" i="8"/>
  <c r="AE291" i="8"/>
  <c r="AE306" i="8" s="1"/>
  <c r="AE346" i="8" s="1"/>
  <c r="AE152" i="8"/>
  <c r="AE153" i="8" s="1"/>
  <c r="AI133" i="8"/>
  <c r="AH140" i="8"/>
  <c r="AH314" i="8" s="1"/>
  <c r="AH331" i="8" s="1"/>
  <c r="AH360" i="8" s="1"/>
  <c r="Y188" i="8"/>
  <c r="Y293" i="8"/>
  <c r="Y310" i="8" s="1"/>
  <c r="Y350" i="8" s="1"/>
  <c r="Q229" i="8"/>
  <c r="Q230" i="8" s="1"/>
  <c r="Q231" i="8" s="1"/>
  <c r="N245" i="8"/>
  <c r="AL117" i="4"/>
  <c r="AL120" i="4" s="1"/>
  <c r="AK332" i="4"/>
  <c r="AK124" i="4"/>
  <c r="AL122" i="4"/>
  <c r="AL121" i="4"/>
  <c r="H365" i="8" l="1"/>
  <c r="H375" i="8" s="1"/>
  <c r="H383" i="8" s="1"/>
  <c r="Y192" i="8"/>
  <c r="Y194" i="8" s="1"/>
  <c r="R231" i="8"/>
  <c r="AB175" i="8"/>
  <c r="AB177" i="8" s="1"/>
  <c r="AA181" i="8"/>
  <c r="Z185" i="8" s="1"/>
  <c r="AF150" i="8"/>
  <c r="AF151" i="8" s="1"/>
  <c r="AE157" i="8"/>
  <c r="AE315" i="8" s="1"/>
  <c r="AE330" i="8" s="1"/>
  <c r="AE359" i="8" s="1"/>
  <c r="AJ130" i="8"/>
  <c r="AI134" i="8" s="1"/>
  <c r="AI135" i="8" s="1"/>
  <c r="AI136" i="8" s="1"/>
  <c r="X198" i="8"/>
  <c r="AM109" i="8"/>
  <c r="AM110" i="8" s="1"/>
  <c r="AM112" i="8" s="1"/>
  <c r="Q232" i="8"/>
  <c r="P236" i="8" s="1"/>
  <c r="AL116" i="8"/>
  <c r="AK123" i="8"/>
  <c r="AC173" i="8"/>
  <c r="AC172" i="8"/>
  <c r="AM108" i="8"/>
  <c r="AM351" i="8" s="1"/>
  <c r="L256" i="8"/>
  <c r="L297" i="8"/>
  <c r="L303" i="8" s="1"/>
  <c r="L342" i="8" s="1"/>
  <c r="AC168" i="8"/>
  <c r="Z189" i="8"/>
  <c r="Z190" i="8"/>
  <c r="Z186" i="8"/>
  <c r="Z187" i="8" s="1"/>
  <c r="O320" i="8"/>
  <c r="O333" i="8" s="1"/>
  <c r="O362" i="8" s="1"/>
  <c r="O243" i="8"/>
  <c r="P240" i="8"/>
  <c r="P241" i="8"/>
  <c r="V205" i="8"/>
  <c r="V294" i="8"/>
  <c r="V305" i="8" s="1"/>
  <c r="V344" i="8" s="1"/>
  <c r="V203" i="8"/>
  <c r="V204" i="8" s="1"/>
  <c r="K256" i="8"/>
  <c r="K297" i="8"/>
  <c r="K303" i="8" s="1"/>
  <c r="K342" i="8" s="1"/>
  <c r="K254" i="8"/>
  <c r="K255" i="8" s="1"/>
  <c r="AI139" i="8"/>
  <c r="AI138" i="8"/>
  <c r="T218" i="8"/>
  <c r="T219" i="8" s="1"/>
  <c r="S225" i="8"/>
  <c r="I280" i="8"/>
  <c r="I281" i="8" s="1"/>
  <c r="I282" i="8" s="1"/>
  <c r="I284" i="8" s="1"/>
  <c r="I337" i="8" s="1"/>
  <c r="AH141" i="8"/>
  <c r="N246" i="8"/>
  <c r="N247" i="8" s="1"/>
  <c r="N248" i="8" s="1"/>
  <c r="AL289" i="4"/>
  <c r="AL308" i="4" s="1"/>
  <c r="AL348" i="4" s="1"/>
  <c r="AM289" i="4"/>
  <c r="AM308" i="4" s="1"/>
  <c r="AM348" i="4" s="1"/>
  <c r="AL118" i="4"/>
  <c r="AL119" i="4" s="1"/>
  <c r="AL123" i="4" s="1"/>
  <c r="AL313" i="4" s="1"/>
  <c r="AK126" i="4"/>
  <c r="R232" i="8" l="1"/>
  <c r="AC169" i="8"/>
  <c r="AC170" i="8" s="1"/>
  <c r="AM113" i="8"/>
  <c r="AL117" i="8" s="1"/>
  <c r="AL118" i="8" s="1"/>
  <c r="AL119" i="8" s="1"/>
  <c r="W201" i="8"/>
  <c r="W202" i="8" s="1"/>
  <c r="V208" i="8"/>
  <c r="AA184" i="8"/>
  <c r="Z191" i="8"/>
  <c r="Z317" i="8" s="1"/>
  <c r="Z334" i="8" s="1"/>
  <c r="Z363" i="8" s="1"/>
  <c r="AJ133" i="8"/>
  <c r="AI140" i="8"/>
  <c r="AI314" i="8" s="1"/>
  <c r="AI331" i="8" s="1"/>
  <c r="AI360" i="8" s="1"/>
  <c r="AI137" i="8"/>
  <c r="AI290" i="8"/>
  <c r="AI307" i="8" s="1"/>
  <c r="AI347" i="8" s="1"/>
  <c r="AL122" i="8"/>
  <c r="AL121" i="8"/>
  <c r="L252" i="8"/>
  <c r="K259" i="8"/>
  <c r="Y195" i="8"/>
  <c r="Y196" i="8" s="1"/>
  <c r="Y197" i="8" s="1"/>
  <c r="AH143" i="8"/>
  <c r="P239" i="8"/>
  <c r="P296" i="8"/>
  <c r="P309" i="8" s="1"/>
  <c r="P349" i="8" s="1"/>
  <c r="P237" i="8"/>
  <c r="P238" i="8" s="1"/>
  <c r="O245" i="8"/>
  <c r="AB178" i="8"/>
  <c r="AB179" i="8" s="1"/>
  <c r="AB180" i="8" s="1"/>
  <c r="AK313" i="8"/>
  <c r="AK332" i="8" s="1"/>
  <c r="AK361" i="8" s="1"/>
  <c r="AK124" i="8"/>
  <c r="AC171" i="8"/>
  <c r="AC292" i="8"/>
  <c r="AC304" i="8" s="1"/>
  <c r="AC343" i="8" s="1"/>
  <c r="AF155" i="8"/>
  <c r="AF152" i="8"/>
  <c r="AF153" i="8" s="1"/>
  <c r="AG150" i="8" s="1"/>
  <c r="AF156" i="8"/>
  <c r="S319" i="8"/>
  <c r="S326" i="8" s="1"/>
  <c r="S355" i="8" s="1"/>
  <c r="S226" i="8"/>
  <c r="T224" i="8"/>
  <c r="T223" i="8"/>
  <c r="T220" i="8"/>
  <c r="T221" i="8" s="1"/>
  <c r="Z188" i="8"/>
  <c r="Z293" i="8"/>
  <c r="Z310" i="8" s="1"/>
  <c r="Z350" i="8" s="1"/>
  <c r="T222" i="8"/>
  <c r="T295" i="8"/>
  <c r="T302" i="8" s="1"/>
  <c r="T341" i="8" s="1"/>
  <c r="N249" i="8"/>
  <c r="M253" i="8" s="1"/>
  <c r="I374" i="8"/>
  <c r="I382" i="8" s="1"/>
  <c r="I390" i="8" s="1"/>
  <c r="I365" i="8"/>
  <c r="I375" i="8" s="1"/>
  <c r="I383" i="8" s="1"/>
  <c r="AF154" i="8"/>
  <c r="AF291" i="8"/>
  <c r="AF306" i="8" s="1"/>
  <c r="AF346" i="8" s="1"/>
  <c r="AE158" i="8"/>
  <c r="AM116" i="4"/>
  <c r="AM122" i="4" s="1"/>
  <c r="AL332" i="4"/>
  <c r="AK127" i="4"/>
  <c r="AK128" i="4" s="1"/>
  <c r="AK129" i="4" s="1"/>
  <c r="AL124" i="4"/>
  <c r="AI141" i="8" l="1"/>
  <c r="AI143" i="8" s="1"/>
  <c r="Z192" i="8"/>
  <c r="AD167" i="8"/>
  <c r="AC174" i="8"/>
  <c r="AC316" i="8" s="1"/>
  <c r="AC328" i="8" s="1"/>
  <c r="AC357" i="8" s="1"/>
  <c r="Y198" i="8"/>
  <c r="Z194" i="8"/>
  <c r="U218" i="8"/>
  <c r="T225" i="8"/>
  <c r="T319" i="8" s="1"/>
  <c r="T326" i="8" s="1"/>
  <c r="T355" i="8" s="1"/>
  <c r="AB181" i="8"/>
  <c r="AA185" i="8" s="1"/>
  <c r="AA186" i="8" s="1"/>
  <c r="AM116" i="8"/>
  <c r="AL123" i="8"/>
  <c r="AL313" i="8" s="1"/>
  <c r="AL332" i="8" s="1"/>
  <c r="AL361" i="8" s="1"/>
  <c r="AJ139" i="8"/>
  <c r="AJ138" i="8"/>
  <c r="AH144" i="8"/>
  <c r="AH145" i="8" s="1"/>
  <c r="AH146" i="8" s="1"/>
  <c r="AA190" i="8"/>
  <c r="AA189" i="8"/>
  <c r="W205" i="8"/>
  <c r="W294" i="8"/>
  <c r="W305" i="8" s="1"/>
  <c r="W344" i="8" s="1"/>
  <c r="V318" i="8"/>
  <c r="V329" i="8" s="1"/>
  <c r="V358" i="8" s="1"/>
  <c r="V209" i="8"/>
  <c r="AK126" i="8"/>
  <c r="L258" i="8"/>
  <c r="L257" i="8"/>
  <c r="L254" i="8"/>
  <c r="L255" i="8" s="1"/>
  <c r="W207" i="8"/>
  <c r="W206" i="8"/>
  <c r="W203" i="8"/>
  <c r="W204" i="8" s="1"/>
  <c r="M256" i="8"/>
  <c r="M297" i="8"/>
  <c r="M303" i="8" s="1"/>
  <c r="M342" i="8" s="1"/>
  <c r="S228" i="8"/>
  <c r="K321" i="8"/>
  <c r="K327" i="8" s="1"/>
  <c r="K356" i="8" s="1"/>
  <c r="K260" i="8"/>
  <c r="AG156" i="8"/>
  <c r="AG155" i="8"/>
  <c r="AL120" i="8"/>
  <c r="AM289" i="8"/>
  <c r="AM308" i="8" s="1"/>
  <c r="AM348" i="8" s="1"/>
  <c r="AL289" i="8"/>
  <c r="AL308" i="8" s="1"/>
  <c r="AL348" i="8" s="1"/>
  <c r="O246" i="8"/>
  <c r="O247" i="8" s="1"/>
  <c r="O248" i="8" s="1"/>
  <c r="AE160" i="8"/>
  <c r="AF157" i="8"/>
  <c r="AF315" i="8" s="1"/>
  <c r="AF330" i="8" s="1"/>
  <c r="AF359" i="8" s="1"/>
  <c r="Q235" i="8"/>
  <c r="Q236" i="8" s="1"/>
  <c r="P242" i="8"/>
  <c r="P320" i="8" s="1"/>
  <c r="P333" i="8" s="1"/>
  <c r="P362" i="8" s="1"/>
  <c r="AM121" i="4"/>
  <c r="AM118" i="4"/>
  <c r="AM119" i="4" s="1"/>
  <c r="AM123" i="4" s="1"/>
  <c r="AM313" i="4" s="1"/>
  <c r="AL126" i="4"/>
  <c r="Q239" i="8" l="1"/>
  <c r="Q296" i="8"/>
  <c r="Q309" i="8" s="1"/>
  <c r="Q349" i="8" s="1"/>
  <c r="AL124" i="8"/>
  <c r="AL126" i="8" s="1"/>
  <c r="AL127" i="8" s="1"/>
  <c r="AL128" i="8" s="1"/>
  <c r="T226" i="8"/>
  <c r="T228" i="8" s="1"/>
  <c r="T229" i="8" s="1"/>
  <c r="T230" i="8" s="1"/>
  <c r="AC175" i="8"/>
  <c r="AC177" i="8" s="1"/>
  <c r="AC178" i="8" s="1"/>
  <c r="AC179" i="8" s="1"/>
  <c r="AC180" i="8" s="1"/>
  <c r="AD172" i="8"/>
  <c r="AD173" i="8"/>
  <c r="M252" i="8"/>
  <c r="L259" i="8"/>
  <c r="L321" i="8" s="1"/>
  <c r="L327" i="8" s="1"/>
  <c r="L356" i="8" s="1"/>
  <c r="O249" i="8"/>
  <c r="N253" i="8" s="1"/>
  <c r="X201" i="8"/>
  <c r="X202" i="8" s="1"/>
  <c r="W208" i="8"/>
  <c r="W318" i="8" s="1"/>
  <c r="W329" i="8" s="1"/>
  <c r="W358" i="8" s="1"/>
  <c r="Q241" i="8"/>
  <c r="Q240" i="8"/>
  <c r="Q237" i="8"/>
  <c r="Q238" i="8" s="1"/>
  <c r="R235" i="8" s="1"/>
  <c r="K262" i="8"/>
  <c r="AH147" i="8"/>
  <c r="AG151" i="8" s="1"/>
  <c r="Z195" i="8"/>
  <c r="Z196" i="8" s="1"/>
  <c r="Z197" i="8" s="1"/>
  <c r="AM122" i="8"/>
  <c r="AM121" i="8"/>
  <c r="AM118" i="8"/>
  <c r="AM119" i="8" s="1"/>
  <c r="AM123" i="8" s="1"/>
  <c r="AM313" i="8" s="1"/>
  <c r="AM332" i="8" s="1"/>
  <c r="AM361" i="8" s="1"/>
  <c r="P243" i="8"/>
  <c r="S229" i="8"/>
  <c r="S230" i="8" s="1"/>
  <c r="S231" i="8" s="1"/>
  <c r="AA188" i="8"/>
  <c r="AA293" i="8"/>
  <c r="AA310" i="8" s="1"/>
  <c r="AA350" i="8" s="1"/>
  <c r="AI144" i="8"/>
  <c r="AI145" i="8" s="1"/>
  <c r="AI146" i="8" s="1"/>
  <c r="AE161" i="8"/>
  <c r="AE162" i="8" s="1"/>
  <c r="AE163" i="8" s="1"/>
  <c r="AK127" i="8"/>
  <c r="AK128" i="8" s="1"/>
  <c r="V211" i="8"/>
  <c r="AA187" i="8"/>
  <c r="U224" i="8"/>
  <c r="U223" i="8"/>
  <c r="AF158" i="8"/>
  <c r="AM124" i="4"/>
  <c r="AM126" i="4" s="1"/>
  <c r="AM127" i="4" s="1"/>
  <c r="AM128" i="4" s="1"/>
  <c r="AM332" i="4"/>
  <c r="AL127" i="4"/>
  <c r="AL128" i="4" s="1"/>
  <c r="AL129" i="8" l="1"/>
  <c r="L260" i="8"/>
  <c r="L262" i="8" s="1"/>
  <c r="L263" i="8" s="1"/>
  <c r="L264" i="8" s="1"/>
  <c r="AC181" i="8"/>
  <c r="AE164" i="8"/>
  <c r="AD168" i="8" s="1"/>
  <c r="AI147" i="8"/>
  <c r="S232" i="8"/>
  <c r="R236" i="8" s="1"/>
  <c r="N256" i="8"/>
  <c r="N297" i="8"/>
  <c r="N303" i="8" s="1"/>
  <c r="N342" i="8" s="1"/>
  <c r="X205" i="8"/>
  <c r="X294" i="8"/>
  <c r="X305" i="8" s="1"/>
  <c r="X344" i="8" s="1"/>
  <c r="AF160" i="8"/>
  <c r="X207" i="8"/>
  <c r="X206" i="8"/>
  <c r="X203" i="8"/>
  <c r="X204" i="8" s="1"/>
  <c r="W209" i="8"/>
  <c r="AK129" i="8"/>
  <c r="T231" i="8"/>
  <c r="V212" i="8"/>
  <c r="V213" i="8" s="1"/>
  <c r="V214" i="8" s="1"/>
  <c r="P245" i="8"/>
  <c r="K263" i="8"/>
  <c r="K264" i="8" s="1"/>
  <c r="M257" i="8"/>
  <c r="M258" i="8"/>
  <c r="M254" i="8"/>
  <c r="M255" i="8" s="1"/>
  <c r="R241" i="8"/>
  <c r="R240" i="8"/>
  <c r="AB184" i="8"/>
  <c r="AA191" i="8"/>
  <c r="AA317" i="8" s="1"/>
  <c r="AA334" i="8" s="1"/>
  <c r="AA363" i="8" s="1"/>
  <c r="AG154" i="8"/>
  <c r="AG291" i="8"/>
  <c r="AG306" i="8" s="1"/>
  <c r="AG346" i="8" s="1"/>
  <c r="AG152" i="8"/>
  <c r="AG153" i="8" s="1"/>
  <c r="AM124" i="8"/>
  <c r="AM126" i="8" s="1"/>
  <c r="Z198" i="8"/>
  <c r="Q242" i="8"/>
  <c r="Q320" i="8" s="1"/>
  <c r="Q333" i="8" s="1"/>
  <c r="Q362" i="8" s="1"/>
  <c r="AM129" i="4"/>
  <c r="AL129" i="4"/>
  <c r="L265" i="8" l="1"/>
  <c r="K265" i="8"/>
  <c r="AA192" i="8"/>
  <c r="AA194" i="8" s="1"/>
  <c r="N252" i="8"/>
  <c r="M259" i="8"/>
  <c r="M321" i="8" s="1"/>
  <c r="M327" i="8" s="1"/>
  <c r="M356" i="8" s="1"/>
  <c r="AH150" i="8"/>
  <c r="AH151" i="8" s="1"/>
  <c r="AG157" i="8"/>
  <c r="AG315" i="8" s="1"/>
  <c r="AG330" i="8" s="1"/>
  <c r="AG359" i="8" s="1"/>
  <c r="V215" i="8"/>
  <c r="U219" i="8" s="1"/>
  <c r="Y201" i="8"/>
  <c r="X208" i="8"/>
  <c r="X318" i="8" s="1"/>
  <c r="X329" i="8" s="1"/>
  <c r="X358" i="8" s="1"/>
  <c r="K266" i="8"/>
  <c r="J270" i="8" s="1"/>
  <c r="AD171" i="8"/>
  <c r="AD292" i="8"/>
  <c r="AD304" i="8" s="1"/>
  <c r="AD343" i="8" s="1"/>
  <c r="AD169" i="8"/>
  <c r="AD170" i="8" s="1"/>
  <c r="R239" i="8"/>
  <c r="R296" i="8"/>
  <c r="R309" i="8" s="1"/>
  <c r="R349" i="8" s="1"/>
  <c r="P246" i="8"/>
  <c r="P247" i="8" s="1"/>
  <c r="P248" i="8" s="1"/>
  <c r="T232" i="8"/>
  <c r="AB185" i="8"/>
  <c r="AB189" i="8"/>
  <c r="AB190" i="8"/>
  <c r="R237" i="8"/>
  <c r="R238" i="8" s="1"/>
  <c r="AM127" i="8"/>
  <c r="AM128" i="8" s="1"/>
  <c r="AM129" i="8" s="1"/>
  <c r="AK130" i="8"/>
  <c r="AF161" i="8"/>
  <c r="AF162" i="8" s="1"/>
  <c r="AF163" i="8" s="1"/>
  <c r="Q243" i="8"/>
  <c r="W211" i="8"/>
  <c r="D130" i="4"/>
  <c r="C134" i="4" s="1"/>
  <c r="AG158" i="8" l="1"/>
  <c r="M260" i="8"/>
  <c r="X209" i="8"/>
  <c r="X211" i="8" s="1"/>
  <c r="L266" i="8"/>
  <c r="K270" i="8" s="1"/>
  <c r="P249" i="8"/>
  <c r="O253" i="8" s="1"/>
  <c r="AF164" i="8"/>
  <c r="AH154" i="8"/>
  <c r="AH291" i="8"/>
  <c r="AH306" i="8" s="1"/>
  <c r="AH346" i="8" s="1"/>
  <c r="S235" i="8"/>
  <c r="S236" i="8" s="1"/>
  <c r="R242" i="8"/>
  <c r="R320" i="8" s="1"/>
  <c r="R333" i="8" s="1"/>
  <c r="R362" i="8" s="1"/>
  <c r="Q245" i="8"/>
  <c r="Y207" i="8"/>
  <c r="Y206" i="8"/>
  <c r="U222" i="8"/>
  <c r="U295" i="8"/>
  <c r="U302" i="8" s="1"/>
  <c r="U341" i="8" s="1"/>
  <c r="U220" i="8"/>
  <c r="U221" i="8" s="1"/>
  <c r="AJ134" i="8"/>
  <c r="AL130" i="8"/>
  <c r="AE167" i="8"/>
  <c r="AD174" i="8"/>
  <c r="AD316" i="8" s="1"/>
  <c r="AD328" i="8" s="1"/>
  <c r="AD357" i="8" s="1"/>
  <c r="M262" i="8"/>
  <c r="J273" i="8"/>
  <c r="J298" i="8"/>
  <c r="J301" i="8" s="1"/>
  <c r="J340" i="8" s="1"/>
  <c r="J271" i="8"/>
  <c r="J272" i="8" s="1"/>
  <c r="AB188" i="8"/>
  <c r="AB293" i="8"/>
  <c r="AB310" i="8" s="1"/>
  <c r="AB350" i="8" s="1"/>
  <c r="AG160" i="8"/>
  <c r="W212" i="8"/>
  <c r="W213" i="8" s="1"/>
  <c r="W214" i="8" s="1"/>
  <c r="Y202" i="8"/>
  <c r="Y203" i="8" s="1"/>
  <c r="Y204" i="8" s="1"/>
  <c r="AH156" i="8"/>
  <c r="AH155" i="8"/>
  <c r="AH152" i="8"/>
  <c r="AH153" i="8" s="1"/>
  <c r="K273" i="8"/>
  <c r="K298" i="8"/>
  <c r="K301" i="8" s="1"/>
  <c r="K340" i="8" s="1"/>
  <c r="AB186" i="8"/>
  <c r="AB187" i="8" s="1"/>
  <c r="AA195" i="8"/>
  <c r="AA196" i="8" s="1"/>
  <c r="AA197" i="8" s="1"/>
  <c r="N257" i="8"/>
  <c r="N258" i="8"/>
  <c r="N254" i="8"/>
  <c r="N255" i="8" s="1"/>
  <c r="C137" i="4"/>
  <c r="C290" i="4"/>
  <c r="C307" i="4" s="1"/>
  <c r="C347" i="4" s="1"/>
  <c r="E130" i="4"/>
  <c r="C136" i="4"/>
  <c r="C140" i="4" s="1"/>
  <c r="S239" i="8" l="1"/>
  <c r="S296" i="8"/>
  <c r="S309" i="8" s="1"/>
  <c r="S349" i="8" s="1"/>
  <c r="R243" i="8"/>
  <c r="R245" i="8" s="1"/>
  <c r="AE168" i="8"/>
  <c r="AE292" i="8" s="1"/>
  <c r="AE304" i="8" s="1"/>
  <c r="AE343" i="8" s="1"/>
  <c r="AI150" i="8"/>
  <c r="AH157" i="8"/>
  <c r="Z201" i="8"/>
  <c r="Y208" i="8"/>
  <c r="Y318" i="8" s="1"/>
  <c r="Y329" i="8" s="1"/>
  <c r="Y358" i="8" s="1"/>
  <c r="O252" i="8"/>
  <c r="N259" i="8"/>
  <c r="N321" i="8" s="1"/>
  <c r="N327" i="8" s="1"/>
  <c r="N356" i="8" s="1"/>
  <c r="S241" i="8"/>
  <c r="S237" i="8"/>
  <c r="S238" i="8" s="1"/>
  <c r="S240" i="8"/>
  <c r="AE173" i="8"/>
  <c r="AE172" i="8"/>
  <c r="K269" i="8"/>
  <c r="J276" i="8"/>
  <c r="J322" i="8" s="1"/>
  <c r="J325" i="8" s="1"/>
  <c r="J354" i="8" s="1"/>
  <c r="AA198" i="8"/>
  <c r="AM130" i="8"/>
  <c r="X212" i="8"/>
  <c r="X213" i="8" s="1"/>
  <c r="X214" i="8" s="1"/>
  <c r="Y205" i="8"/>
  <c r="Y294" i="8"/>
  <c r="Y305" i="8" s="1"/>
  <c r="Y344" i="8" s="1"/>
  <c r="AJ137" i="8"/>
  <c r="AJ290" i="8"/>
  <c r="AJ307" i="8" s="1"/>
  <c r="AJ347" i="8" s="1"/>
  <c r="AJ135" i="8"/>
  <c r="AJ136" i="8" s="1"/>
  <c r="AC184" i="8"/>
  <c r="AB191" i="8"/>
  <c r="Q246" i="8"/>
  <c r="Q247" i="8" s="1"/>
  <c r="Q248" i="8" s="1"/>
  <c r="M263" i="8"/>
  <c r="M264" i="8" s="1"/>
  <c r="M265" i="8" s="1"/>
  <c r="AG161" i="8"/>
  <c r="AG162" i="8" s="1"/>
  <c r="AG163" i="8" s="1"/>
  <c r="AD175" i="8"/>
  <c r="W215" i="8"/>
  <c r="V218" i="8"/>
  <c r="U225" i="8"/>
  <c r="U319" i="8" s="1"/>
  <c r="U326" i="8" s="1"/>
  <c r="U355" i="8" s="1"/>
  <c r="O256" i="8"/>
  <c r="O297" i="8"/>
  <c r="O303" i="8" s="1"/>
  <c r="O342" i="8" s="1"/>
  <c r="F130" i="4"/>
  <c r="D133" i="4"/>
  <c r="D134" i="4" s="1"/>
  <c r="D137" i="4" s="1"/>
  <c r="Y209" i="8" l="1"/>
  <c r="Z202" i="8"/>
  <c r="Z205" i="8" s="1"/>
  <c r="AE169" i="8"/>
  <c r="AE170" i="8" s="1"/>
  <c r="AE171" i="8"/>
  <c r="AK133" i="8"/>
  <c r="AJ140" i="8"/>
  <c r="AJ314" i="8" s="1"/>
  <c r="AJ331" i="8" s="1"/>
  <c r="AJ360" i="8" s="1"/>
  <c r="T235" i="8"/>
  <c r="S242" i="8"/>
  <c r="S320" i="8" s="1"/>
  <c r="S333" i="8" s="1"/>
  <c r="S362" i="8" s="1"/>
  <c r="AF167" i="8"/>
  <c r="AE174" i="8"/>
  <c r="AE316" i="8" s="1"/>
  <c r="AE328" i="8" s="1"/>
  <c r="AE357" i="8" s="1"/>
  <c r="Y211" i="8"/>
  <c r="M266" i="8"/>
  <c r="L270" i="8" s="1"/>
  <c r="Q249" i="8"/>
  <c r="P253" i="8" s="1"/>
  <c r="AG164" i="8"/>
  <c r="K271" i="8"/>
  <c r="K272" i="8" s="1"/>
  <c r="K274" i="8"/>
  <c r="K275" i="8"/>
  <c r="Z206" i="8"/>
  <c r="Z207" i="8"/>
  <c r="Z203" i="8"/>
  <c r="Z204" i="8" s="1"/>
  <c r="J277" i="8"/>
  <c r="AB317" i="8"/>
  <c r="AB334" i="8" s="1"/>
  <c r="AB363" i="8" s="1"/>
  <c r="AB192" i="8"/>
  <c r="AH315" i="8"/>
  <c r="AH330" i="8" s="1"/>
  <c r="AH359" i="8" s="1"/>
  <c r="AH158" i="8"/>
  <c r="X215" i="8"/>
  <c r="O258" i="8"/>
  <c r="O257" i="8"/>
  <c r="O254" i="8"/>
  <c r="O255" i="8" s="1"/>
  <c r="AI155" i="8"/>
  <c r="AI156" i="8"/>
  <c r="N260" i="8"/>
  <c r="U226" i="8"/>
  <c r="V223" i="8"/>
  <c r="V224" i="8"/>
  <c r="V219" i="8"/>
  <c r="V220" i="8" s="1"/>
  <c r="AC189" i="8"/>
  <c r="AC190" i="8"/>
  <c r="AD177" i="8"/>
  <c r="R246" i="8"/>
  <c r="R247" i="8" s="1"/>
  <c r="R248" i="8" s="1"/>
  <c r="D290" i="4"/>
  <c r="D307" i="4" s="1"/>
  <c r="D347" i="4" s="1"/>
  <c r="G130" i="4"/>
  <c r="H130" i="4" s="1"/>
  <c r="D135" i="4"/>
  <c r="D136" i="4" s="1"/>
  <c r="D140" i="4" s="1"/>
  <c r="D138" i="4"/>
  <c r="D139" i="4"/>
  <c r="C314" i="4"/>
  <c r="C331" i="4" s="1"/>
  <c r="C360" i="4" s="1"/>
  <c r="C141" i="4"/>
  <c r="AE175" i="8" l="1"/>
  <c r="Z294" i="8"/>
  <c r="Z305" i="8" s="1"/>
  <c r="Z344" i="8" s="1"/>
  <c r="S243" i="8"/>
  <c r="S245" i="8" s="1"/>
  <c r="AJ141" i="8"/>
  <c r="AJ143" i="8" s="1"/>
  <c r="L269" i="8"/>
  <c r="L274" i="8" s="1"/>
  <c r="K276" i="8"/>
  <c r="K322" i="8" s="1"/>
  <c r="K325" i="8" s="1"/>
  <c r="K354" i="8" s="1"/>
  <c r="AA201" i="8"/>
  <c r="Z208" i="8"/>
  <c r="Z318" i="8" s="1"/>
  <c r="Z329" i="8" s="1"/>
  <c r="Z358" i="8" s="1"/>
  <c r="P252" i="8"/>
  <c r="O259" i="8"/>
  <c r="O321" i="8" s="1"/>
  <c r="O327" i="8" s="1"/>
  <c r="O356" i="8" s="1"/>
  <c r="Y212" i="8"/>
  <c r="Y213" i="8" s="1"/>
  <c r="Y214" i="8" s="1"/>
  <c r="AF168" i="8"/>
  <c r="AF169" i="8" s="1"/>
  <c r="AF170" i="8" s="1"/>
  <c r="AE177" i="8"/>
  <c r="P256" i="8"/>
  <c r="P297" i="8"/>
  <c r="P303" i="8" s="1"/>
  <c r="P342" i="8" s="1"/>
  <c r="U228" i="8"/>
  <c r="AF172" i="8"/>
  <c r="AF173" i="8"/>
  <c r="J279" i="8"/>
  <c r="AH160" i="8"/>
  <c r="V222" i="8"/>
  <c r="V295" i="8"/>
  <c r="V302" i="8" s="1"/>
  <c r="V341" i="8" s="1"/>
  <c r="R249" i="8"/>
  <c r="Q253" i="8" s="1"/>
  <c r="V221" i="8"/>
  <c r="AB194" i="8"/>
  <c r="T240" i="8"/>
  <c r="T241" i="8"/>
  <c r="AD178" i="8"/>
  <c r="AD179" i="8" s="1"/>
  <c r="AD180" i="8" s="1"/>
  <c r="N262" i="8"/>
  <c r="L273" i="8"/>
  <c r="L298" i="8"/>
  <c r="L301" i="8" s="1"/>
  <c r="L340" i="8" s="1"/>
  <c r="AK139" i="8"/>
  <c r="AK138" i="8"/>
  <c r="AK134" i="8"/>
  <c r="G134" i="4"/>
  <c r="G137" i="4" s="1"/>
  <c r="F134" i="4"/>
  <c r="F137" i="4" s="1"/>
  <c r="I130" i="4"/>
  <c r="H134" i="4" s="1"/>
  <c r="E133" i="4"/>
  <c r="E134" i="4" s="1"/>
  <c r="E290" i="4" s="1"/>
  <c r="E307" i="4" s="1"/>
  <c r="E347" i="4" s="1"/>
  <c r="C143" i="4"/>
  <c r="L271" i="8" l="1"/>
  <c r="L272" i="8" s="1"/>
  <c r="M269" i="8" s="1"/>
  <c r="L275" i="8"/>
  <c r="Z209" i="8"/>
  <c r="Z211" i="8" s="1"/>
  <c r="K277" i="8"/>
  <c r="K279" i="8" s="1"/>
  <c r="O260" i="8"/>
  <c r="O262" i="8" s="1"/>
  <c r="O263" i="8" s="1"/>
  <c r="O264" i="8" s="1"/>
  <c r="Y215" i="8"/>
  <c r="AG167" i="8"/>
  <c r="AF174" i="8"/>
  <c r="AF316" i="8" s="1"/>
  <c r="AF328" i="8" s="1"/>
  <c r="AF357" i="8" s="1"/>
  <c r="AH161" i="8"/>
  <c r="AH162" i="8" s="1"/>
  <c r="AH163" i="8" s="1"/>
  <c r="W218" i="8"/>
  <c r="V225" i="8"/>
  <c r="V319" i="8" s="1"/>
  <c r="V326" i="8" s="1"/>
  <c r="V355" i="8" s="1"/>
  <c r="AK137" i="8"/>
  <c r="AK290" i="8"/>
  <c r="AK307" i="8" s="1"/>
  <c r="AK347" i="8" s="1"/>
  <c r="Q256" i="8"/>
  <c r="Q297" i="8"/>
  <c r="Q303" i="8" s="1"/>
  <c r="Q342" i="8" s="1"/>
  <c r="N263" i="8"/>
  <c r="N264" i="8" s="1"/>
  <c r="AJ144" i="8"/>
  <c r="AJ145" i="8" s="1"/>
  <c r="AJ146" i="8" s="1"/>
  <c r="J280" i="8"/>
  <c r="J281" i="8" s="1"/>
  <c r="J282" i="8" s="1"/>
  <c r="J284" i="8" s="1"/>
  <c r="J337" i="8" s="1"/>
  <c r="AK135" i="8"/>
  <c r="AK136" i="8" s="1"/>
  <c r="AD181" i="8"/>
  <c r="AC185" i="8" s="1"/>
  <c r="S246" i="8"/>
  <c r="S247" i="8" s="1"/>
  <c r="S248" i="8" s="1"/>
  <c r="U229" i="8"/>
  <c r="U230" i="8" s="1"/>
  <c r="U231" i="8" s="1"/>
  <c r="P258" i="8"/>
  <c r="P257" i="8"/>
  <c r="P254" i="8"/>
  <c r="P255" i="8" s="1"/>
  <c r="AE178" i="8"/>
  <c r="AE179" i="8" s="1"/>
  <c r="AE180" i="8" s="1"/>
  <c r="AA206" i="8"/>
  <c r="AA207" i="8"/>
  <c r="AB195" i="8"/>
  <c r="AB196" i="8" s="1"/>
  <c r="AB197" i="8" s="1"/>
  <c r="AF171" i="8"/>
  <c r="AF292" i="8"/>
  <c r="AF304" i="8" s="1"/>
  <c r="AF343" i="8" s="1"/>
  <c r="E137" i="4"/>
  <c r="F290" i="4"/>
  <c r="F307" i="4" s="1"/>
  <c r="F347" i="4" s="1"/>
  <c r="G290" i="4"/>
  <c r="G307" i="4" s="1"/>
  <c r="G347" i="4" s="1"/>
  <c r="H290" i="4"/>
  <c r="H307" i="4" s="1"/>
  <c r="H347" i="4" s="1"/>
  <c r="H137" i="4"/>
  <c r="E135" i="4"/>
  <c r="E136" i="4" s="1"/>
  <c r="E140" i="4" s="1"/>
  <c r="D141" i="4"/>
  <c r="D143" i="4" s="1"/>
  <c r="D314" i="4"/>
  <c r="J130" i="4"/>
  <c r="I134" i="4" s="1"/>
  <c r="C144" i="4"/>
  <c r="C145" i="4" s="1"/>
  <c r="C146" i="4" s="1"/>
  <c r="C147" i="4" s="1"/>
  <c r="E139" i="4"/>
  <c r="E138" i="4"/>
  <c r="L276" i="8" l="1"/>
  <c r="L322" i="8" s="1"/>
  <c r="L325" i="8" s="1"/>
  <c r="L354" i="8" s="1"/>
  <c r="AF175" i="8"/>
  <c r="AF177" i="8" s="1"/>
  <c r="O265" i="8"/>
  <c r="AL133" i="8"/>
  <c r="AK140" i="8"/>
  <c r="AK314" i="8" s="1"/>
  <c r="AK331" i="8" s="1"/>
  <c r="AK360" i="8" s="1"/>
  <c r="AH164" i="8"/>
  <c r="AG168" i="8" s="1"/>
  <c r="AG169" i="8" s="1"/>
  <c r="AG170" i="8" s="1"/>
  <c r="AE181" i="8"/>
  <c r="U232" i="8"/>
  <c r="T236" i="8" s="1"/>
  <c r="J374" i="8"/>
  <c r="J382" i="8" s="1"/>
  <c r="J390" i="8" s="1"/>
  <c r="J365" i="8"/>
  <c r="J375" i="8" s="1"/>
  <c r="J383" i="8" s="1"/>
  <c r="Q252" i="8"/>
  <c r="P259" i="8"/>
  <c r="P321" i="8" s="1"/>
  <c r="P327" i="8" s="1"/>
  <c r="P356" i="8" s="1"/>
  <c r="S249" i="8"/>
  <c r="R253" i="8" s="1"/>
  <c r="AJ147" i="8"/>
  <c r="AI151" i="8" s="1"/>
  <c r="V226" i="8"/>
  <c r="AC188" i="8"/>
  <c r="AC293" i="8"/>
  <c r="AC310" i="8" s="1"/>
  <c r="AC350" i="8" s="1"/>
  <c r="AC186" i="8"/>
  <c r="AC187" i="8" s="1"/>
  <c r="AG173" i="8"/>
  <c r="AG172" i="8"/>
  <c r="AB198" i="8"/>
  <c r="AA202" i="8" s="1"/>
  <c r="W223" i="8"/>
  <c r="W224" i="8"/>
  <c r="W219" i="8"/>
  <c r="N265" i="8"/>
  <c r="K280" i="8"/>
  <c r="K281" i="8" s="1"/>
  <c r="K282" i="8" s="1"/>
  <c r="K284" i="8" s="1"/>
  <c r="K337" i="8" s="1"/>
  <c r="Z212" i="8"/>
  <c r="Z213" i="8" s="1"/>
  <c r="Z214" i="8" s="1"/>
  <c r="M275" i="8"/>
  <c r="M274" i="8"/>
  <c r="I290" i="4"/>
  <c r="I307" i="4" s="1"/>
  <c r="I347" i="4" s="1"/>
  <c r="I137" i="4"/>
  <c r="D331" i="4"/>
  <c r="D360" i="4" s="1"/>
  <c r="K130" i="4"/>
  <c r="F133" i="4"/>
  <c r="D144" i="4"/>
  <c r="D145" i="4" s="1"/>
  <c r="D146" i="4" s="1"/>
  <c r="L277" i="8" l="1"/>
  <c r="L279" i="8" s="1"/>
  <c r="L280" i="8" s="1"/>
  <c r="L281" i="8" s="1"/>
  <c r="L282" i="8" s="1"/>
  <c r="L284" i="8" s="1"/>
  <c r="L337" i="8" s="1"/>
  <c r="L365" i="8" s="1"/>
  <c r="L375" i="8" s="1"/>
  <c r="L383" i="8" s="1"/>
  <c r="P260" i="8"/>
  <c r="AH167" i="8"/>
  <c r="AG174" i="8"/>
  <c r="AG316" i="8" s="1"/>
  <c r="AG328" i="8" s="1"/>
  <c r="AG357" i="8" s="1"/>
  <c r="K374" i="8"/>
  <c r="K382" i="8" s="1"/>
  <c r="K390" i="8" s="1"/>
  <c r="K365" i="8"/>
  <c r="K375" i="8" s="1"/>
  <c r="K383" i="8" s="1"/>
  <c r="Z215" i="8"/>
  <c r="AI154" i="8"/>
  <c r="AI291" i="8"/>
  <c r="AI306" i="8" s="1"/>
  <c r="AI346" i="8" s="1"/>
  <c r="AI152" i="8"/>
  <c r="AI153" i="8" s="1"/>
  <c r="AA205" i="8"/>
  <c r="AA294" i="8"/>
  <c r="AA305" i="8" s="1"/>
  <c r="AA344" i="8" s="1"/>
  <c r="AA203" i="8"/>
  <c r="AA204" i="8" s="1"/>
  <c r="V228" i="8"/>
  <c r="N266" i="8"/>
  <c r="AD184" i="8"/>
  <c r="AD185" i="8" s="1"/>
  <c r="AC191" i="8"/>
  <c r="AC317" i="8" s="1"/>
  <c r="AC334" i="8" s="1"/>
  <c r="AC363" i="8" s="1"/>
  <c r="R256" i="8"/>
  <c r="R297" i="8"/>
  <c r="R303" i="8" s="1"/>
  <c r="R342" i="8" s="1"/>
  <c r="P262" i="8"/>
  <c r="AF178" i="8"/>
  <c r="AF179" i="8" s="1"/>
  <c r="AF180" i="8" s="1"/>
  <c r="AL138" i="8"/>
  <c r="AL139" i="8"/>
  <c r="AL134" i="8"/>
  <c r="W222" i="8"/>
  <c r="W295" i="8"/>
  <c r="W302" i="8" s="1"/>
  <c r="W341" i="8" s="1"/>
  <c r="Q257" i="8"/>
  <c r="Q258" i="8"/>
  <c r="Q254" i="8"/>
  <c r="Q255" i="8" s="1"/>
  <c r="W220" i="8"/>
  <c r="W221" i="8" s="1"/>
  <c r="AG171" i="8"/>
  <c r="AG292" i="8"/>
  <c r="AG304" i="8" s="1"/>
  <c r="AG343" i="8" s="1"/>
  <c r="T239" i="8"/>
  <c r="T296" i="8"/>
  <c r="T309" i="8" s="1"/>
  <c r="T349" i="8" s="1"/>
  <c r="T237" i="8"/>
  <c r="T238" i="8" s="1"/>
  <c r="AK141" i="8"/>
  <c r="L130" i="4"/>
  <c r="J134" i="4"/>
  <c r="J137" i="4" s="1"/>
  <c r="F135" i="4"/>
  <c r="F136" i="4" s="1"/>
  <c r="G133" i="4" s="1"/>
  <c r="E141" i="4"/>
  <c r="E143" i="4" s="1"/>
  <c r="E314" i="4"/>
  <c r="D147" i="4"/>
  <c r="F138" i="4"/>
  <c r="F139" i="4"/>
  <c r="L374" i="8" l="1"/>
  <c r="L382" i="8" s="1"/>
  <c r="L390" i="8" s="1"/>
  <c r="AG175" i="8"/>
  <c r="AG177" i="8" s="1"/>
  <c r="AC192" i="8"/>
  <c r="AC194" i="8" s="1"/>
  <c r="AJ150" i="8"/>
  <c r="AI157" i="8"/>
  <c r="R252" i="8"/>
  <c r="Q259" i="8"/>
  <c r="Q321" i="8" s="1"/>
  <c r="Q327" i="8" s="1"/>
  <c r="Q356" i="8" s="1"/>
  <c r="AD188" i="8"/>
  <c r="AD293" i="8"/>
  <c r="AD310" i="8" s="1"/>
  <c r="AD350" i="8" s="1"/>
  <c r="U235" i="8"/>
  <c r="T242" i="8"/>
  <c r="T320" i="8" s="1"/>
  <c r="T333" i="8" s="1"/>
  <c r="T362" i="8" s="1"/>
  <c r="AF181" i="8"/>
  <c r="P263" i="8"/>
  <c r="P264" i="8" s="1"/>
  <c r="P265" i="8" s="1"/>
  <c r="V229" i="8"/>
  <c r="V230" i="8" s="1"/>
  <c r="V231" i="8" s="1"/>
  <c r="AL137" i="8"/>
  <c r="AM290" i="8"/>
  <c r="AM307" i="8" s="1"/>
  <c r="AM347" i="8" s="1"/>
  <c r="AL290" i="8"/>
  <c r="AL307" i="8" s="1"/>
  <c r="AL347" i="8" s="1"/>
  <c r="X218" i="8"/>
  <c r="W225" i="8"/>
  <c r="W319" i="8" s="1"/>
  <c r="W326" i="8" s="1"/>
  <c r="W355" i="8" s="1"/>
  <c r="AK143" i="8"/>
  <c r="AL135" i="8"/>
  <c r="AL136" i="8" s="1"/>
  <c r="M270" i="8"/>
  <c r="O266" i="8"/>
  <c r="N270" i="8" s="1"/>
  <c r="AB201" i="8"/>
  <c r="AA208" i="8"/>
  <c r="AD189" i="8"/>
  <c r="AD190" i="8"/>
  <c r="AD186" i="8"/>
  <c r="AD187" i="8" s="1"/>
  <c r="AH172" i="8"/>
  <c r="AH173" i="8"/>
  <c r="C151" i="4"/>
  <c r="C154" i="4" s="1"/>
  <c r="M130" i="4"/>
  <c r="K134" i="4"/>
  <c r="K137" i="4" s="1"/>
  <c r="E331" i="4"/>
  <c r="E360" i="4" s="1"/>
  <c r="G135" i="4"/>
  <c r="G136" i="4" s="1"/>
  <c r="H133" i="4" s="1"/>
  <c r="F140" i="4"/>
  <c r="J290" i="4"/>
  <c r="J307" i="4" s="1"/>
  <c r="J347" i="4" s="1"/>
  <c r="E144" i="4"/>
  <c r="E145" i="4" s="1"/>
  <c r="E146" i="4" s="1"/>
  <c r="G139" i="4"/>
  <c r="G138" i="4"/>
  <c r="T243" i="8" l="1"/>
  <c r="W226" i="8"/>
  <c r="W228" i="8" s="1"/>
  <c r="P266" i="8"/>
  <c r="O270" i="8" s="1"/>
  <c r="AE184" i="8"/>
  <c r="AE185" i="8" s="1"/>
  <c r="AD191" i="8"/>
  <c r="AD317" i="8" s="1"/>
  <c r="AD334" i="8" s="1"/>
  <c r="AD363" i="8" s="1"/>
  <c r="AM133" i="8"/>
  <c r="AL140" i="8"/>
  <c r="T245" i="8"/>
  <c r="M273" i="8"/>
  <c r="M298" i="8"/>
  <c r="M301" i="8" s="1"/>
  <c r="M340" i="8" s="1"/>
  <c r="M271" i="8"/>
  <c r="M272" i="8" s="1"/>
  <c r="AI315" i="8"/>
  <c r="AI330" i="8" s="1"/>
  <c r="AI359" i="8" s="1"/>
  <c r="AI158" i="8"/>
  <c r="U240" i="8"/>
  <c r="U241" i="8"/>
  <c r="AK144" i="8"/>
  <c r="AK145" i="8" s="1"/>
  <c r="AK146" i="8" s="1"/>
  <c r="V232" i="8"/>
  <c r="U236" i="8" s="1"/>
  <c r="X223" i="8"/>
  <c r="X224" i="8"/>
  <c r="X219" i="8"/>
  <c r="AB207" i="8"/>
  <c r="AB206" i="8"/>
  <c r="AJ155" i="8"/>
  <c r="AJ156" i="8"/>
  <c r="AG178" i="8"/>
  <c r="AG179" i="8" s="1"/>
  <c r="AG180" i="8" s="1"/>
  <c r="R257" i="8"/>
  <c r="R258" i="8"/>
  <c r="R254" i="8"/>
  <c r="R255" i="8" s="1"/>
  <c r="AA318" i="8"/>
  <c r="AA329" i="8" s="1"/>
  <c r="AA358" i="8" s="1"/>
  <c r="AA209" i="8"/>
  <c r="N273" i="8"/>
  <c r="N298" i="8"/>
  <c r="N301" i="8" s="1"/>
  <c r="N340" i="8" s="1"/>
  <c r="AC195" i="8"/>
  <c r="AC196" i="8" s="1"/>
  <c r="AC197" i="8" s="1"/>
  <c r="Q260" i="8"/>
  <c r="C153" i="4"/>
  <c r="C157" i="4" s="1"/>
  <c r="C291" i="4"/>
  <c r="C306" i="4" s="1"/>
  <c r="C346" i="4" s="1"/>
  <c r="K290" i="4"/>
  <c r="K307" i="4" s="1"/>
  <c r="K347" i="4" s="1"/>
  <c r="L134" i="4"/>
  <c r="N130" i="4"/>
  <c r="H135" i="4"/>
  <c r="H136" i="4" s="1"/>
  <c r="H140" i="4" s="1"/>
  <c r="G140" i="4"/>
  <c r="G314" i="4" s="1"/>
  <c r="F314" i="4"/>
  <c r="H138" i="4"/>
  <c r="H139" i="4"/>
  <c r="F141" i="4"/>
  <c r="E147" i="4"/>
  <c r="AD192" i="8" l="1"/>
  <c r="AD194" i="8" s="1"/>
  <c r="AK147" i="8"/>
  <c r="AJ151" i="8" s="1"/>
  <c r="AC198" i="8"/>
  <c r="AB202" i="8" s="1"/>
  <c r="S252" i="8"/>
  <c r="R259" i="8"/>
  <c r="R321" i="8" s="1"/>
  <c r="R327" i="8" s="1"/>
  <c r="R356" i="8" s="1"/>
  <c r="AG181" i="8"/>
  <c r="AE188" i="8"/>
  <c r="AE293" i="8"/>
  <c r="AE310" i="8" s="1"/>
  <c r="AE350" i="8" s="1"/>
  <c r="X222" i="8"/>
  <c r="X295" i="8"/>
  <c r="X302" i="8" s="1"/>
  <c r="X341" i="8" s="1"/>
  <c r="X220" i="8"/>
  <c r="X221" i="8" s="1"/>
  <c r="AA211" i="8"/>
  <c r="AE190" i="8"/>
  <c r="AE189" i="8"/>
  <c r="AE186" i="8"/>
  <c r="AE187" i="8" s="1"/>
  <c r="AL314" i="8"/>
  <c r="AL331" i="8" s="1"/>
  <c r="AL360" i="8" s="1"/>
  <c r="AL141" i="8"/>
  <c r="W229" i="8"/>
  <c r="W230" i="8" s="1"/>
  <c r="W231" i="8" s="1"/>
  <c r="U239" i="8"/>
  <c r="U296" i="8"/>
  <c r="U309" i="8" s="1"/>
  <c r="U349" i="8" s="1"/>
  <c r="AI160" i="8"/>
  <c r="T246" i="8"/>
  <c r="T247" i="8" s="1"/>
  <c r="T248" i="8" s="1"/>
  <c r="AM138" i="8"/>
  <c r="AM139" i="8"/>
  <c r="AM135" i="8"/>
  <c r="AM136" i="8" s="1"/>
  <c r="AM140" i="8" s="1"/>
  <c r="AM314" i="8" s="1"/>
  <c r="AM331" i="8" s="1"/>
  <c r="AM360" i="8" s="1"/>
  <c r="N269" i="8"/>
  <c r="M276" i="8"/>
  <c r="Q262" i="8"/>
  <c r="U237" i="8"/>
  <c r="U238" i="8" s="1"/>
  <c r="O273" i="8"/>
  <c r="O298" i="8"/>
  <c r="O301" i="8" s="1"/>
  <c r="O340" i="8" s="1"/>
  <c r="D150" i="4"/>
  <c r="D155" i="4" s="1"/>
  <c r="M134" i="4"/>
  <c r="M290" i="4" s="1"/>
  <c r="M307" i="4" s="1"/>
  <c r="M347" i="4" s="1"/>
  <c r="O130" i="4"/>
  <c r="L290" i="4"/>
  <c r="L307" i="4" s="1"/>
  <c r="L347" i="4" s="1"/>
  <c r="L137" i="4"/>
  <c r="F331" i="4"/>
  <c r="F360" i="4" s="1"/>
  <c r="G331" i="4"/>
  <c r="G360" i="4" s="1"/>
  <c r="C158" i="4"/>
  <c r="I133" i="4"/>
  <c r="C315" i="4"/>
  <c r="C330" i="4" s="1"/>
  <c r="C359" i="4" s="1"/>
  <c r="F143" i="4"/>
  <c r="G141" i="4"/>
  <c r="G143" i="4" s="1"/>
  <c r="R260" i="8" l="1"/>
  <c r="R262" i="8" s="1"/>
  <c r="T249" i="8"/>
  <c r="S253" i="8" s="1"/>
  <c r="S254" i="8" s="1"/>
  <c r="S255" i="8" s="1"/>
  <c r="W232" i="8"/>
  <c r="AF184" i="8"/>
  <c r="AE191" i="8"/>
  <c r="AE317" i="8" s="1"/>
  <c r="AE334" i="8" s="1"/>
  <c r="AE363" i="8" s="1"/>
  <c r="R263" i="8"/>
  <c r="R264" i="8" s="1"/>
  <c r="Y218" i="8"/>
  <c r="X225" i="8"/>
  <c r="Q263" i="8"/>
  <c r="Q264" i="8" s="1"/>
  <c r="Q265" i="8" s="1"/>
  <c r="S257" i="8"/>
  <c r="S258" i="8"/>
  <c r="AD195" i="8"/>
  <c r="AD196" i="8" s="1"/>
  <c r="AD197" i="8" s="1"/>
  <c r="AB205" i="8"/>
  <c r="AB294" i="8"/>
  <c r="AB305" i="8" s="1"/>
  <c r="AB344" i="8" s="1"/>
  <c r="AB203" i="8"/>
  <c r="AB204" i="8" s="1"/>
  <c r="AI161" i="8"/>
  <c r="AI162" i="8" s="1"/>
  <c r="AI163" i="8" s="1"/>
  <c r="M322" i="8"/>
  <c r="M325" i="8" s="1"/>
  <c r="M354" i="8" s="1"/>
  <c r="M277" i="8"/>
  <c r="AJ154" i="8"/>
  <c r="AJ291" i="8"/>
  <c r="AJ306" i="8" s="1"/>
  <c r="AJ346" i="8" s="1"/>
  <c r="AJ152" i="8"/>
  <c r="AJ153" i="8" s="1"/>
  <c r="N271" i="8"/>
  <c r="N272" i="8" s="1"/>
  <c r="N275" i="8"/>
  <c r="N274" i="8"/>
  <c r="AM141" i="8"/>
  <c r="AM143" i="8" s="1"/>
  <c r="AA212" i="8"/>
  <c r="AA213" i="8" s="1"/>
  <c r="AA214" i="8" s="1"/>
  <c r="V235" i="8"/>
  <c r="U242" i="8"/>
  <c r="AL143" i="8"/>
  <c r="D151" i="4"/>
  <c r="D154" i="4" s="1"/>
  <c r="D156" i="4"/>
  <c r="N134" i="4"/>
  <c r="N137" i="4" s="1"/>
  <c r="P130" i="4"/>
  <c r="M137" i="4"/>
  <c r="H314" i="4"/>
  <c r="I139" i="4"/>
  <c r="I135" i="4"/>
  <c r="I136" i="4" s="1"/>
  <c r="J133" i="4" s="1"/>
  <c r="H141" i="4"/>
  <c r="H143" i="4" s="1"/>
  <c r="I138" i="4"/>
  <c r="F144" i="4"/>
  <c r="F145" i="4" s="1"/>
  <c r="C160" i="4"/>
  <c r="G144" i="4"/>
  <c r="G145" i="4" s="1"/>
  <c r="R265" i="8" l="1"/>
  <c r="AK150" i="8"/>
  <c r="AJ157" i="8"/>
  <c r="T252" i="8"/>
  <c r="S259" i="8"/>
  <c r="S321" i="8" s="1"/>
  <c r="S327" i="8" s="1"/>
  <c r="S356" i="8" s="1"/>
  <c r="Q266" i="8"/>
  <c r="P270" i="8" s="1"/>
  <c r="AI164" i="8"/>
  <c r="AH168" i="8" s="1"/>
  <c r="AA215" i="8"/>
  <c r="O269" i="8"/>
  <c r="N276" i="8"/>
  <c r="N322" i="8" s="1"/>
  <c r="N325" i="8" s="1"/>
  <c r="N354" i="8" s="1"/>
  <c r="AC201" i="8"/>
  <c r="AB208" i="8"/>
  <c r="AB318" i="8" s="1"/>
  <c r="AB329" i="8" s="1"/>
  <c r="AB358" i="8" s="1"/>
  <c r="AD198" i="8"/>
  <c r="U320" i="8"/>
  <c r="U333" i="8" s="1"/>
  <c r="U362" i="8" s="1"/>
  <c r="U243" i="8"/>
  <c r="AL144" i="8"/>
  <c r="AL145" i="8" s="1"/>
  <c r="Y223" i="8"/>
  <c r="Y224" i="8"/>
  <c r="Y219" i="8"/>
  <c r="X319" i="8"/>
  <c r="X326" i="8" s="1"/>
  <c r="X355" i="8" s="1"/>
  <c r="X226" i="8"/>
  <c r="AM144" i="8"/>
  <c r="AM145" i="8" s="1"/>
  <c r="AF190" i="8"/>
  <c r="AF189" i="8"/>
  <c r="S256" i="8"/>
  <c r="S297" i="8"/>
  <c r="S303" i="8" s="1"/>
  <c r="S342" i="8" s="1"/>
  <c r="V240" i="8"/>
  <c r="V241" i="8"/>
  <c r="M279" i="8"/>
  <c r="V236" i="8"/>
  <c r="V237" i="8" s="1"/>
  <c r="V238" i="8" s="1"/>
  <c r="AF185" i="8"/>
  <c r="AE192" i="8"/>
  <c r="D291" i="4"/>
  <c r="D306" i="4" s="1"/>
  <c r="D346" i="4" s="1"/>
  <c r="D152" i="4"/>
  <c r="D153" i="4" s="1"/>
  <c r="D157" i="4" s="1"/>
  <c r="N290" i="4"/>
  <c r="N307" i="4" s="1"/>
  <c r="N347" i="4" s="1"/>
  <c r="O134" i="4"/>
  <c r="Q130" i="4"/>
  <c r="H331" i="4"/>
  <c r="H360" i="4" s="1"/>
  <c r="I140" i="4"/>
  <c r="J135" i="4"/>
  <c r="J136" i="4" s="1"/>
  <c r="J140" i="4" s="1"/>
  <c r="J138" i="4"/>
  <c r="J139" i="4"/>
  <c r="G146" i="4"/>
  <c r="F146" i="4"/>
  <c r="F147" i="4" s="1"/>
  <c r="C161" i="4"/>
  <c r="C162" i="4" s="1"/>
  <c r="C163" i="4" s="1"/>
  <c r="C164" i="4" s="1"/>
  <c r="H144" i="4"/>
  <c r="H145" i="4" s="1"/>
  <c r="H146" i="4" s="1"/>
  <c r="S260" i="8" l="1"/>
  <c r="S262" i="8" s="1"/>
  <c r="AC202" i="8"/>
  <c r="AC294" i="8" s="1"/>
  <c r="AC305" i="8" s="1"/>
  <c r="AC344" i="8" s="1"/>
  <c r="AB209" i="8"/>
  <c r="AB211" i="8" s="1"/>
  <c r="Y220" i="8"/>
  <c r="Y221" i="8" s="1"/>
  <c r="AM146" i="8"/>
  <c r="W235" i="8"/>
  <c r="V242" i="8"/>
  <c r="V320" i="8" s="1"/>
  <c r="V333" i="8" s="1"/>
  <c r="V362" i="8" s="1"/>
  <c r="P273" i="8"/>
  <c r="P298" i="8"/>
  <c r="P301" i="8" s="1"/>
  <c r="P340" i="8" s="1"/>
  <c r="M280" i="8"/>
  <c r="M281" i="8" s="1"/>
  <c r="M282" i="8" s="1"/>
  <c r="M284" i="8" s="1"/>
  <c r="M337" i="8" s="1"/>
  <c r="R266" i="8"/>
  <c r="Q270" i="8" s="1"/>
  <c r="AH171" i="8"/>
  <c r="AH292" i="8"/>
  <c r="AH304" i="8" s="1"/>
  <c r="AH343" i="8" s="1"/>
  <c r="AH169" i="8"/>
  <c r="AH170" i="8" s="1"/>
  <c r="N277" i="8"/>
  <c r="Y222" i="8"/>
  <c r="Y295" i="8"/>
  <c r="Y302" i="8" s="1"/>
  <c r="Y341" i="8" s="1"/>
  <c r="T257" i="8"/>
  <c r="T258" i="8"/>
  <c r="AL146" i="8"/>
  <c r="AF188" i="8"/>
  <c r="AF293" i="8"/>
  <c r="AF310" i="8" s="1"/>
  <c r="AF350" i="8" s="1"/>
  <c r="X228" i="8"/>
  <c r="V239" i="8"/>
  <c r="V296" i="8"/>
  <c r="V309" i="8" s="1"/>
  <c r="V349" i="8" s="1"/>
  <c r="AF186" i="8"/>
  <c r="AF187" i="8" s="1"/>
  <c r="AJ315" i="8"/>
  <c r="AJ330" i="8" s="1"/>
  <c r="AJ359" i="8" s="1"/>
  <c r="AJ158" i="8"/>
  <c r="O271" i="8"/>
  <c r="O272" i="8" s="1"/>
  <c r="P269" i="8" s="1"/>
  <c r="O274" i="8"/>
  <c r="O275" i="8"/>
  <c r="U245" i="8"/>
  <c r="AE194" i="8"/>
  <c r="AC207" i="8"/>
  <c r="AC206" i="8"/>
  <c r="AK155" i="8"/>
  <c r="AK156" i="8"/>
  <c r="E150" i="4"/>
  <c r="E155" i="4" s="1"/>
  <c r="E151" i="4"/>
  <c r="P134" i="4"/>
  <c r="R130" i="4"/>
  <c r="O137" i="4"/>
  <c r="O290" i="4"/>
  <c r="O307" i="4" s="1"/>
  <c r="O347" i="4" s="1"/>
  <c r="D315" i="4"/>
  <c r="D330" i="4" s="1"/>
  <c r="D359" i="4" s="1"/>
  <c r="I141" i="4"/>
  <c r="I143" i="4" s="1"/>
  <c r="I144" i="4" s="1"/>
  <c r="I145" i="4" s="1"/>
  <c r="I146" i="4" s="1"/>
  <c r="I314" i="4"/>
  <c r="K133" i="4"/>
  <c r="G147" i="4"/>
  <c r="D158" i="4"/>
  <c r="AC205" i="8" l="1"/>
  <c r="AC203" i="8"/>
  <c r="AC204" i="8" s="1"/>
  <c r="AC208" i="8" s="1"/>
  <c r="AC318" i="8" s="1"/>
  <c r="AC329" i="8" s="1"/>
  <c r="AC358" i="8" s="1"/>
  <c r="V243" i="8"/>
  <c r="V245" i="8" s="1"/>
  <c r="Z218" i="8"/>
  <c r="Y225" i="8"/>
  <c r="Y319" i="8" s="1"/>
  <c r="Y326" i="8" s="1"/>
  <c r="Y355" i="8" s="1"/>
  <c r="O276" i="8"/>
  <c r="O322" i="8" s="1"/>
  <c r="O325" i="8" s="1"/>
  <c r="O354" i="8" s="1"/>
  <c r="AG184" i="8"/>
  <c r="AF191" i="8"/>
  <c r="AF317" i="8" s="1"/>
  <c r="AF334" i="8" s="1"/>
  <c r="AF363" i="8" s="1"/>
  <c r="AI167" i="8"/>
  <c r="AH174" i="8"/>
  <c r="AH316" i="8" s="1"/>
  <c r="AH328" i="8" s="1"/>
  <c r="AH357" i="8" s="1"/>
  <c r="Q273" i="8"/>
  <c r="Q298" i="8"/>
  <c r="Q301" i="8" s="1"/>
  <c r="Q340" i="8" s="1"/>
  <c r="N279" i="8"/>
  <c r="S263" i="8"/>
  <c r="S264" i="8" s="1"/>
  <c r="S265" i="8" s="1"/>
  <c r="U246" i="8"/>
  <c r="U247" i="8" s="1"/>
  <c r="U248" i="8" s="1"/>
  <c r="AB212" i="8"/>
  <c r="AB213" i="8" s="1"/>
  <c r="AB214" i="8" s="1"/>
  <c r="AL147" i="8"/>
  <c r="M365" i="8"/>
  <c r="M375" i="8" s="1"/>
  <c r="M383" i="8" s="1"/>
  <c r="M374" i="8"/>
  <c r="M382" i="8" s="1"/>
  <c r="M390" i="8" s="1"/>
  <c r="AE195" i="8"/>
  <c r="AE196" i="8" s="1"/>
  <c r="AE197" i="8" s="1"/>
  <c r="W241" i="8"/>
  <c r="W240" i="8"/>
  <c r="P274" i="8"/>
  <c r="P271" i="8"/>
  <c r="P272" i="8" s="1"/>
  <c r="P275" i="8"/>
  <c r="AJ160" i="8"/>
  <c r="X229" i="8"/>
  <c r="X230" i="8" s="1"/>
  <c r="X231" i="8" s="1"/>
  <c r="E156" i="4"/>
  <c r="H147" i="4"/>
  <c r="G151" i="4" s="1"/>
  <c r="G154" i="4" s="1"/>
  <c r="F151" i="4"/>
  <c r="F154" i="4" s="1"/>
  <c r="Q134" i="4"/>
  <c r="S130" i="4"/>
  <c r="P290" i="4"/>
  <c r="P307" i="4" s="1"/>
  <c r="P347" i="4" s="1"/>
  <c r="P137" i="4"/>
  <c r="E291" i="4"/>
  <c r="E306" i="4" s="1"/>
  <c r="E346" i="4" s="1"/>
  <c r="E154" i="4"/>
  <c r="I331" i="4"/>
  <c r="I360" i="4" s="1"/>
  <c r="J314" i="4"/>
  <c r="J141" i="4"/>
  <c r="J143" i="4" s="1"/>
  <c r="E152" i="4"/>
  <c r="E153" i="4" s="1"/>
  <c r="E157" i="4" s="1"/>
  <c r="K135" i="4"/>
  <c r="K136" i="4" s="1"/>
  <c r="K140" i="4" s="1"/>
  <c r="K138" i="4"/>
  <c r="K139" i="4"/>
  <c r="D160" i="4"/>
  <c r="AD201" i="8" l="1"/>
  <c r="AD207" i="8" s="1"/>
  <c r="AH175" i="8"/>
  <c r="AC209" i="8"/>
  <c r="AC211" i="8" s="1"/>
  <c r="Y226" i="8"/>
  <c r="Y228" i="8" s="1"/>
  <c r="Y229" i="8" s="1"/>
  <c r="Y230" i="8" s="1"/>
  <c r="Y231" i="8" s="1"/>
  <c r="O277" i="8"/>
  <c r="O279" i="8" s="1"/>
  <c r="O280" i="8" s="1"/>
  <c r="O281" i="8" s="1"/>
  <c r="Z223" i="8"/>
  <c r="Z224" i="8"/>
  <c r="Z219" i="8"/>
  <c r="AB215" i="8"/>
  <c r="U249" i="8"/>
  <c r="T253" i="8" s="1"/>
  <c r="Q269" i="8"/>
  <c r="P276" i="8"/>
  <c r="P322" i="8" s="1"/>
  <c r="P325" i="8" s="1"/>
  <c r="P354" i="8" s="1"/>
  <c r="S266" i="8"/>
  <c r="R270" i="8" s="1"/>
  <c r="AJ161" i="8"/>
  <c r="AJ162" i="8" s="1"/>
  <c r="AJ163" i="8" s="1"/>
  <c r="AE198" i="8"/>
  <c r="AG189" i="8"/>
  <c r="AG190" i="8"/>
  <c r="N280" i="8"/>
  <c r="N281" i="8" s="1"/>
  <c r="N282" i="8" s="1"/>
  <c r="N284" i="8" s="1"/>
  <c r="N337" i="8" s="1"/>
  <c r="AK151" i="8"/>
  <c r="AM147" i="8"/>
  <c r="AH177" i="8"/>
  <c r="AI173" i="8"/>
  <c r="AI172" i="8"/>
  <c r="AD206" i="8"/>
  <c r="X232" i="8"/>
  <c r="W236" i="8" s="1"/>
  <c r="V246" i="8"/>
  <c r="V247" i="8" s="1"/>
  <c r="V248" i="8" s="1"/>
  <c r="AF192" i="8"/>
  <c r="I147" i="4"/>
  <c r="H151" i="4" s="1"/>
  <c r="H154" i="4" s="1"/>
  <c r="R134" i="4"/>
  <c r="T130" i="4"/>
  <c r="Q137" i="4"/>
  <c r="Q290" i="4"/>
  <c r="Q307" i="4" s="1"/>
  <c r="Q347" i="4" s="1"/>
  <c r="J331" i="4"/>
  <c r="J360" i="4" s="1"/>
  <c r="F291" i="4"/>
  <c r="F306" i="4" s="1"/>
  <c r="F346" i="4" s="1"/>
  <c r="G291" i="4"/>
  <c r="G306" i="4" s="1"/>
  <c r="G346" i="4" s="1"/>
  <c r="L133" i="4"/>
  <c r="K314" i="4"/>
  <c r="F150" i="4"/>
  <c r="D161" i="4"/>
  <c r="D162" i="4" s="1"/>
  <c r="D163" i="4" s="1"/>
  <c r="J144" i="4"/>
  <c r="J145" i="4" s="1"/>
  <c r="J146" i="4" s="1"/>
  <c r="AD202" i="8" l="1"/>
  <c r="AD203" i="8" s="1"/>
  <c r="AD204" i="8" s="1"/>
  <c r="AE201" i="8" s="1"/>
  <c r="O282" i="8"/>
  <c r="O284" i="8" s="1"/>
  <c r="O337" i="8" s="1"/>
  <c r="O365" i="8" s="1"/>
  <c r="O375" i="8" s="1"/>
  <c r="O383" i="8" s="1"/>
  <c r="P277" i="8"/>
  <c r="P279" i="8" s="1"/>
  <c r="Z220" i="8"/>
  <c r="Z221" i="8" s="1"/>
  <c r="Z295" i="8"/>
  <c r="Z302" i="8" s="1"/>
  <c r="Z341" i="8" s="1"/>
  <c r="Z222" i="8"/>
  <c r="Y232" i="8"/>
  <c r="N365" i="8"/>
  <c r="N375" i="8" s="1"/>
  <c r="N383" i="8" s="1"/>
  <c r="N374" i="8"/>
  <c r="N382" i="8" s="1"/>
  <c r="N390" i="8" s="1"/>
  <c r="R273" i="8"/>
  <c r="R298" i="8"/>
  <c r="R301" i="8" s="1"/>
  <c r="R340" i="8" s="1"/>
  <c r="V249" i="8"/>
  <c r="AC212" i="8"/>
  <c r="AC213" i="8" s="1"/>
  <c r="AC214" i="8" s="1"/>
  <c r="W239" i="8"/>
  <c r="W296" i="8"/>
  <c r="W309" i="8" s="1"/>
  <c r="W349" i="8" s="1"/>
  <c r="W237" i="8"/>
  <c r="W238" i="8" s="1"/>
  <c r="Q274" i="8"/>
  <c r="Q275" i="8"/>
  <c r="Q271" i="8"/>
  <c r="Q272" i="8" s="1"/>
  <c r="AD205" i="8"/>
  <c r="AD294" i="8"/>
  <c r="AD305" i="8" s="1"/>
  <c r="AD344" i="8" s="1"/>
  <c r="T256" i="8"/>
  <c r="T297" i="8"/>
  <c r="T303" i="8" s="1"/>
  <c r="T342" i="8" s="1"/>
  <c r="T254" i="8"/>
  <c r="T255" i="8" s="1"/>
  <c r="AH178" i="8"/>
  <c r="AH179" i="8" s="1"/>
  <c r="AH180" i="8" s="1"/>
  <c r="AK154" i="8"/>
  <c r="AK291" i="8"/>
  <c r="AK306" i="8" s="1"/>
  <c r="AK346" i="8" s="1"/>
  <c r="AK152" i="8"/>
  <c r="AK153" i="8" s="1"/>
  <c r="AJ164" i="8"/>
  <c r="AI168" i="8" s="1"/>
  <c r="AF194" i="8"/>
  <c r="R137" i="4"/>
  <c r="R290" i="4"/>
  <c r="R307" i="4" s="1"/>
  <c r="R347" i="4" s="1"/>
  <c r="S134" i="4"/>
  <c r="U130" i="4"/>
  <c r="K331" i="4"/>
  <c r="K360" i="4" s="1"/>
  <c r="F152" i="4"/>
  <c r="F153" i="4" s="1"/>
  <c r="G150" i="4" s="1"/>
  <c r="E315" i="4"/>
  <c r="E330" i="4" s="1"/>
  <c r="E359" i="4" s="1"/>
  <c r="H291" i="4"/>
  <c r="H306" i="4" s="1"/>
  <c r="H346" i="4" s="1"/>
  <c r="K141" i="4"/>
  <c r="K143" i="4" s="1"/>
  <c r="K144" i="4" s="1"/>
  <c r="K145" i="4" s="1"/>
  <c r="L135" i="4"/>
  <c r="L136" i="4" s="1"/>
  <c r="M133" i="4" s="1"/>
  <c r="L139" i="4"/>
  <c r="L138" i="4"/>
  <c r="J147" i="4"/>
  <c r="I151" i="4" s="1"/>
  <c r="D164" i="4"/>
  <c r="E158" i="4"/>
  <c r="F156" i="4"/>
  <c r="F155" i="4"/>
  <c r="AD208" i="8" l="1"/>
  <c r="AD318" i="8" s="1"/>
  <c r="AD329" i="8" s="1"/>
  <c r="AD358" i="8" s="1"/>
  <c r="O374" i="8"/>
  <c r="O382" i="8" s="1"/>
  <c r="O390" i="8" s="1"/>
  <c r="Z225" i="8"/>
  <c r="AA218" i="8"/>
  <c r="AD209" i="8"/>
  <c r="AD211" i="8" s="1"/>
  <c r="AL150" i="8"/>
  <c r="AK157" i="8"/>
  <c r="R269" i="8"/>
  <c r="Q276" i="8"/>
  <c r="Q322" i="8" s="1"/>
  <c r="Q325" i="8" s="1"/>
  <c r="Q354" i="8" s="1"/>
  <c r="X235" i="8"/>
  <c r="W242" i="8"/>
  <c r="W320" i="8" s="1"/>
  <c r="W333" i="8" s="1"/>
  <c r="W362" i="8" s="1"/>
  <c r="U252" i="8"/>
  <c r="U253" i="8" s="1"/>
  <c r="T259" i="8"/>
  <c r="T321" i="8" s="1"/>
  <c r="T327" i="8" s="1"/>
  <c r="T356" i="8" s="1"/>
  <c r="AH181" i="8"/>
  <c r="AG185" i="8" s="1"/>
  <c r="AF195" i="8"/>
  <c r="AF196" i="8" s="1"/>
  <c r="AF197" i="8" s="1"/>
  <c r="P280" i="8"/>
  <c r="P281" i="8" s="1"/>
  <c r="P282" i="8" s="1"/>
  <c r="P284" i="8" s="1"/>
  <c r="P337" i="8" s="1"/>
  <c r="AC215" i="8"/>
  <c r="AI171" i="8"/>
  <c r="AI292" i="8"/>
  <c r="AI304" i="8" s="1"/>
  <c r="AI343" i="8" s="1"/>
  <c r="AI169" i="8"/>
  <c r="AI170" i="8" s="1"/>
  <c r="AE206" i="8"/>
  <c r="AE207" i="8"/>
  <c r="C168" i="4"/>
  <c r="C171" i="4" s="1"/>
  <c r="S137" i="4"/>
  <c r="S290" i="4"/>
  <c r="S307" i="4" s="1"/>
  <c r="S347" i="4" s="1"/>
  <c r="T134" i="4"/>
  <c r="V130" i="4"/>
  <c r="L140" i="4"/>
  <c r="G152" i="4"/>
  <c r="G153" i="4" s="1"/>
  <c r="G157" i="4" s="1"/>
  <c r="F157" i="4"/>
  <c r="K146" i="4"/>
  <c r="K147" i="4" s="1"/>
  <c r="M135" i="4"/>
  <c r="M136" i="4" s="1"/>
  <c r="N133" i="4" s="1"/>
  <c r="M138" i="4"/>
  <c r="M139" i="4"/>
  <c r="G155" i="4"/>
  <c r="G156" i="4"/>
  <c r="E160" i="4"/>
  <c r="I154" i="4"/>
  <c r="U256" i="8" l="1"/>
  <c r="U297" i="8"/>
  <c r="U303" i="8" s="1"/>
  <c r="U342" i="8" s="1"/>
  <c r="AA224" i="8"/>
  <c r="AA219" i="8"/>
  <c r="AA223" i="8"/>
  <c r="Z319" i="8"/>
  <c r="Z326" i="8" s="1"/>
  <c r="Z355" i="8" s="1"/>
  <c r="Z226" i="8"/>
  <c r="Z228" i="8" s="1"/>
  <c r="Z229" i="8" s="1"/>
  <c r="Z230" i="8" s="1"/>
  <c r="Z231" i="8" s="1"/>
  <c r="P374" i="8"/>
  <c r="P382" i="8" s="1"/>
  <c r="P390" i="8" s="1"/>
  <c r="P365" i="8"/>
  <c r="P375" i="8" s="1"/>
  <c r="P383" i="8" s="1"/>
  <c r="AG188" i="8"/>
  <c r="AG293" i="8"/>
  <c r="AG310" i="8" s="1"/>
  <c r="AG350" i="8" s="1"/>
  <c r="AG186" i="8"/>
  <c r="AG187" i="8" s="1"/>
  <c r="AD212" i="8"/>
  <c r="AD213" i="8" s="1"/>
  <c r="AD214" i="8" s="1"/>
  <c r="U257" i="8"/>
  <c r="U258" i="8"/>
  <c r="U254" i="8"/>
  <c r="U255" i="8" s="1"/>
  <c r="X241" i="8"/>
  <c r="X240" i="8"/>
  <c r="R275" i="8"/>
  <c r="R274" i="8"/>
  <c r="R271" i="8"/>
  <c r="R272" i="8" s="1"/>
  <c r="S269" i="8" s="1"/>
  <c r="AJ167" i="8"/>
  <c r="AI174" i="8"/>
  <c r="AK315" i="8"/>
  <c r="AK330" i="8" s="1"/>
  <c r="AK359" i="8" s="1"/>
  <c r="AK158" i="8"/>
  <c r="AL156" i="8"/>
  <c r="AL155" i="8"/>
  <c r="AL151" i="8"/>
  <c r="AF198" i="8"/>
  <c r="AE202" i="8" s="1"/>
  <c r="W243" i="8"/>
  <c r="Q277" i="8"/>
  <c r="X236" i="8"/>
  <c r="X237" i="8" s="1"/>
  <c r="T260" i="8"/>
  <c r="C292" i="4"/>
  <c r="C304" i="4" s="1"/>
  <c r="C343" i="4" s="1"/>
  <c r="C170" i="4"/>
  <c r="C174" i="4" s="1"/>
  <c r="J151" i="4"/>
  <c r="J154" i="4" s="1"/>
  <c r="U134" i="4"/>
  <c r="U137" i="4" s="1"/>
  <c r="W130" i="4"/>
  <c r="T290" i="4"/>
  <c r="T307" i="4" s="1"/>
  <c r="T347" i="4" s="1"/>
  <c r="T137" i="4"/>
  <c r="M140" i="4"/>
  <c r="L314" i="4"/>
  <c r="F158" i="4"/>
  <c r="F160" i="4" s="1"/>
  <c r="F315" i="4"/>
  <c r="F330" i="4" s="1"/>
  <c r="F359" i="4" s="1"/>
  <c r="I291" i="4"/>
  <c r="I306" i="4" s="1"/>
  <c r="I346" i="4" s="1"/>
  <c r="L141" i="4"/>
  <c r="L143" i="4" s="1"/>
  <c r="L144" i="4" s="1"/>
  <c r="L145" i="4" s="1"/>
  <c r="L146" i="4" s="1"/>
  <c r="L147" i="4" s="1"/>
  <c r="K151" i="4" s="1"/>
  <c r="N135" i="4"/>
  <c r="N136" i="4" s="1"/>
  <c r="N140" i="4" s="1"/>
  <c r="N138" i="4"/>
  <c r="N139" i="4"/>
  <c r="H150" i="4"/>
  <c r="G315" i="4"/>
  <c r="G330" i="4" s="1"/>
  <c r="G359" i="4" s="1"/>
  <c r="E161" i="4"/>
  <c r="E162" i="4" s="1"/>
  <c r="E163" i="4" s="1"/>
  <c r="R276" i="8" l="1"/>
  <c r="R322" i="8" s="1"/>
  <c r="R325" i="8" s="1"/>
  <c r="R354" i="8" s="1"/>
  <c r="AA222" i="8"/>
  <c r="AA295" i="8"/>
  <c r="AA302" i="8" s="1"/>
  <c r="AA341" i="8" s="1"/>
  <c r="AA220" i="8"/>
  <c r="AA221" i="8" s="1"/>
  <c r="AD215" i="8"/>
  <c r="V252" i="8"/>
  <c r="U259" i="8"/>
  <c r="U321" i="8" s="1"/>
  <c r="U327" i="8" s="1"/>
  <c r="U356" i="8" s="1"/>
  <c r="Z232" i="8"/>
  <c r="AH184" i="8"/>
  <c r="AG191" i="8"/>
  <c r="AG317" i="8" s="1"/>
  <c r="AG334" i="8" s="1"/>
  <c r="AG363" i="8" s="1"/>
  <c r="T262" i="8"/>
  <c r="X239" i="8"/>
  <c r="X296" i="8"/>
  <c r="X309" i="8" s="1"/>
  <c r="X349" i="8" s="1"/>
  <c r="Q279" i="8"/>
  <c r="W245" i="8"/>
  <c r="AK160" i="8"/>
  <c r="S274" i="8"/>
  <c r="S275" i="8"/>
  <c r="AL154" i="8"/>
  <c r="AL291" i="8"/>
  <c r="AL306" i="8" s="1"/>
  <c r="AL346" i="8" s="1"/>
  <c r="AM291" i="8"/>
  <c r="AM306" i="8" s="1"/>
  <c r="AM346" i="8" s="1"/>
  <c r="X238" i="8"/>
  <c r="AE205" i="8"/>
  <c r="AE294" i="8"/>
  <c r="AE305" i="8" s="1"/>
  <c r="AE344" i="8" s="1"/>
  <c r="AE203" i="8"/>
  <c r="AE204" i="8" s="1"/>
  <c r="AI316" i="8"/>
  <c r="AI328" i="8" s="1"/>
  <c r="AI357" i="8" s="1"/>
  <c r="AI175" i="8"/>
  <c r="AJ173" i="8"/>
  <c r="AJ172" i="8"/>
  <c r="AL152" i="8"/>
  <c r="AL153" i="8" s="1"/>
  <c r="D167" i="4"/>
  <c r="D173" i="4" s="1"/>
  <c r="J291" i="4"/>
  <c r="J306" i="4" s="1"/>
  <c r="J346" i="4" s="1"/>
  <c r="U290" i="4"/>
  <c r="U307" i="4" s="1"/>
  <c r="U347" i="4" s="1"/>
  <c r="V134" i="4"/>
  <c r="X130" i="4"/>
  <c r="L331" i="4"/>
  <c r="L360" i="4" s="1"/>
  <c r="H152" i="4"/>
  <c r="H153" i="4" s="1"/>
  <c r="H157" i="4" s="1"/>
  <c r="M314" i="4"/>
  <c r="M141" i="4"/>
  <c r="M143" i="4" s="1"/>
  <c r="M144" i="4" s="1"/>
  <c r="M145" i="4" s="1"/>
  <c r="O133" i="4"/>
  <c r="E164" i="4"/>
  <c r="H155" i="4"/>
  <c r="H156" i="4"/>
  <c r="C316" i="4"/>
  <c r="C175" i="4"/>
  <c r="G158" i="4"/>
  <c r="F161" i="4"/>
  <c r="F162" i="4" s="1"/>
  <c r="F163" i="4" s="1"/>
  <c r="R277" i="8" l="1"/>
  <c r="R279" i="8" s="1"/>
  <c r="U260" i="8"/>
  <c r="U262" i="8" s="1"/>
  <c r="U263" i="8" s="1"/>
  <c r="U264" i="8" s="1"/>
  <c r="AB218" i="8"/>
  <c r="AA225" i="8"/>
  <c r="AM150" i="8"/>
  <c r="AL157" i="8"/>
  <c r="AL315" i="8" s="1"/>
  <c r="AL330" i="8" s="1"/>
  <c r="AL359" i="8" s="1"/>
  <c r="T263" i="8"/>
  <c r="T264" i="8" s="1"/>
  <c r="T265" i="8" s="1"/>
  <c r="Q280" i="8"/>
  <c r="Q281" i="8" s="1"/>
  <c r="Q282" i="8" s="1"/>
  <c r="Q284" i="8" s="1"/>
  <c r="Q337" i="8" s="1"/>
  <c r="AH189" i="8"/>
  <c r="AH190" i="8"/>
  <c r="AF201" i="8"/>
  <c r="AE208" i="8"/>
  <c r="AG192" i="8"/>
  <c r="W246" i="8"/>
  <c r="W247" i="8" s="1"/>
  <c r="W248" i="8" s="1"/>
  <c r="Y235" i="8"/>
  <c r="Y236" i="8" s="1"/>
  <c r="X242" i="8"/>
  <c r="X320" i="8" s="1"/>
  <c r="X333" i="8" s="1"/>
  <c r="X362" i="8" s="1"/>
  <c r="AI177" i="8"/>
  <c r="AK161" i="8"/>
  <c r="AK162" i="8" s="1"/>
  <c r="AK163" i="8" s="1"/>
  <c r="V258" i="8"/>
  <c r="V257" i="8"/>
  <c r="D172" i="4"/>
  <c r="D168" i="4"/>
  <c r="D171" i="4" s="1"/>
  <c r="W134" i="4"/>
  <c r="W137" i="4" s="1"/>
  <c r="Y130" i="4"/>
  <c r="V290" i="4"/>
  <c r="V307" i="4" s="1"/>
  <c r="V347" i="4" s="1"/>
  <c r="V137" i="4"/>
  <c r="K291" i="4"/>
  <c r="K306" i="4" s="1"/>
  <c r="K346" i="4" s="1"/>
  <c r="K154" i="4"/>
  <c r="M331" i="4"/>
  <c r="M360" i="4" s="1"/>
  <c r="O135" i="4"/>
  <c r="O136" i="4" s="1"/>
  <c r="O140" i="4" s="1"/>
  <c r="O314" i="4" s="1"/>
  <c r="N314" i="4"/>
  <c r="O138" i="4"/>
  <c r="O139" i="4"/>
  <c r="M146" i="4"/>
  <c r="M147" i="4" s="1"/>
  <c r="L151" i="4" s="1"/>
  <c r="N141" i="4"/>
  <c r="N143" i="4" s="1"/>
  <c r="N144" i="4" s="1"/>
  <c r="N145" i="4" s="1"/>
  <c r="N146" i="4" s="1"/>
  <c r="C328" i="4"/>
  <c r="C357" i="4" s="1"/>
  <c r="F164" i="4"/>
  <c r="I150" i="4"/>
  <c r="C177" i="4"/>
  <c r="G160" i="4"/>
  <c r="AL158" i="8" l="1"/>
  <c r="AL160" i="8" s="1"/>
  <c r="AA319" i="8"/>
  <c r="AA326" i="8" s="1"/>
  <c r="AA355" i="8" s="1"/>
  <c r="AA226" i="8"/>
  <c r="AA228" i="8" s="1"/>
  <c r="AA229" i="8" s="1"/>
  <c r="AA230" i="8" s="1"/>
  <c r="AA231" i="8" s="1"/>
  <c r="AB219" i="8"/>
  <c r="AB220" i="8" s="1"/>
  <c r="AB221" i="8" s="1"/>
  <c r="AB223" i="8"/>
  <c r="AB224" i="8"/>
  <c r="AK164" i="8"/>
  <c r="AJ168" i="8" s="1"/>
  <c r="Q365" i="8"/>
  <c r="Q375" i="8" s="1"/>
  <c r="Q383" i="8" s="1"/>
  <c r="Q374" i="8"/>
  <c r="Q382" i="8" s="1"/>
  <c r="Q390" i="8" s="1"/>
  <c r="T266" i="8"/>
  <c r="S270" i="8" s="1"/>
  <c r="W249" i="8"/>
  <c r="V253" i="8" s="1"/>
  <c r="AE318" i="8"/>
  <c r="AE329" i="8" s="1"/>
  <c r="AE358" i="8" s="1"/>
  <c r="AE209" i="8"/>
  <c r="AI178" i="8"/>
  <c r="AI179" i="8" s="1"/>
  <c r="AI180" i="8" s="1"/>
  <c r="Y241" i="8"/>
  <c r="Y240" i="8"/>
  <c r="Y237" i="8"/>
  <c r="Y238" i="8" s="1"/>
  <c r="R280" i="8"/>
  <c r="R281" i="8" s="1"/>
  <c r="R282" i="8" s="1"/>
  <c r="R284" i="8" s="1"/>
  <c r="R337" i="8" s="1"/>
  <c r="AM155" i="8"/>
  <c r="AM156" i="8"/>
  <c r="AM152" i="8"/>
  <c r="AM153" i="8" s="1"/>
  <c r="AM157" i="8" s="1"/>
  <c r="AM315" i="8" s="1"/>
  <c r="AM330" i="8" s="1"/>
  <c r="AM359" i="8" s="1"/>
  <c r="X243" i="8"/>
  <c r="U265" i="8"/>
  <c r="Y239" i="8"/>
  <c r="Y296" i="8"/>
  <c r="Y309" i="8" s="1"/>
  <c r="Y349" i="8" s="1"/>
  <c r="AG194" i="8"/>
  <c r="AF206" i="8"/>
  <c r="AF207" i="8"/>
  <c r="D292" i="4"/>
  <c r="D304" i="4" s="1"/>
  <c r="D343" i="4" s="1"/>
  <c r="D169" i="4"/>
  <c r="D170" i="4" s="1"/>
  <c r="D174" i="4" s="1"/>
  <c r="W290" i="4"/>
  <c r="W307" i="4" s="1"/>
  <c r="W347" i="4" s="1"/>
  <c r="X134" i="4"/>
  <c r="X290" i="4" s="1"/>
  <c r="X307" i="4" s="1"/>
  <c r="X347" i="4" s="1"/>
  <c r="Z130" i="4"/>
  <c r="L291" i="4"/>
  <c r="L306" i="4" s="1"/>
  <c r="L346" i="4" s="1"/>
  <c r="L154" i="4"/>
  <c r="O331" i="4"/>
  <c r="O360" i="4" s="1"/>
  <c r="N331" i="4"/>
  <c r="N360" i="4" s="1"/>
  <c r="P133" i="4"/>
  <c r="P135" i="4" s="1"/>
  <c r="P136" i="4" s="1"/>
  <c r="P140" i="4" s="1"/>
  <c r="I152" i="4"/>
  <c r="I153" i="4" s="1"/>
  <c r="I157" i="4" s="1"/>
  <c r="H158" i="4"/>
  <c r="H160" i="4" s="1"/>
  <c r="H161" i="4" s="1"/>
  <c r="H162" i="4" s="1"/>
  <c r="H315" i="4"/>
  <c r="H330" i="4" s="1"/>
  <c r="H359" i="4" s="1"/>
  <c r="N147" i="4"/>
  <c r="M151" i="4" s="1"/>
  <c r="O141" i="4"/>
  <c r="O143" i="4" s="1"/>
  <c r="O144" i="4" s="1"/>
  <c r="O145" i="4" s="1"/>
  <c r="O146" i="4" s="1"/>
  <c r="C178" i="4"/>
  <c r="I156" i="4"/>
  <c r="I155" i="4"/>
  <c r="G161" i="4"/>
  <c r="G162" i="4" s="1"/>
  <c r="AC218" i="8" l="1"/>
  <c r="AB225" i="8"/>
  <c r="AB319" i="8" s="1"/>
  <c r="AB326" i="8" s="1"/>
  <c r="AB355" i="8" s="1"/>
  <c r="AB222" i="8"/>
  <c r="AB295" i="8"/>
  <c r="AB302" i="8" s="1"/>
  <c r="AB341" i="8" s="1"/>
  <c r="R365" i="8"/>
  <c r="R375" i="8" s="1"/>
  <c r="R383" i="8" s="1"/>
  <c r="R374" i="8"/>
  <c r="R382" i="8" s="1"/>
  <c r="R390" i="8" s="1"/>
  <c r="AI181" i="8"/>
  <c r="AH185" i="8" s="1"/>
  <c r="Z235" i="8"/>
  <c r="Y242" i="8"/>
  <c r="AA232" i="8"/>
  <c r="AE211" i="8"/>
  <c r="AM158" i="8"/>
  <c r="AM160" i="8" s="1"/>
  <c r="AL161" i="8"/>
  <c r="AL162" i="8" s="1"/>
  <c r="AL163" i="8" s="1"/>
  <c r="AG195" i="8"/>
  <c r="AG196" i="8" s="1"/>
  <c r="AG197" i="8" s="1"/>
  <c r="V256" i="8"/>
  <c r="V297" i="8"/>
  <c r="V303" i="8" s="1"/>
  <c r="V342" i="8" s="1"/>
  <c r="V254" i="8"/>
  <c r="V255" i="8" s="1"/>
  <c r="S273" i="8"/>
  <c r="S298" i="8"/>
  <c r="S301" i="8" s="1"/>
  <c r="S340" i="8" s="1"/>
  <c r="S271" i="8"/>
  <c r="S272" i="8" s="1"/>
  <c r="U266" i="8"/>
  <c r="T270" i="8" s="1"/>
  <c r="AJ171" i="8"/>
  <c r="AJ292" i="8"/>
  <c r="AJ304" i="8" s="1"/>
  <c r="AJ343" i="8" s="1"/>
  <c r="AJ169" i="8"/>
  <c r="AJ170" i="8" s="1"/>
  <c r="X245" i="8"/>
  <c r="Y134" i="4"/>
  <c r="Y290" i="4" s="1"/>
  <c r="Y307" i="4" s="1"/>
  <c r="Y347" i="4" s="1"/>
  <c r="AA130" i="4"/>
  <c r="X137" i="4"/>
  <c r="M291" i="4"/>
  <c r="M306" i="4" s="1"/>
  <c r="M346" i="4" s="1"/>
  <c r="M154" i="4"/>
  <c r="P138" i="4"/>
  <c r="P139" i="4"/>
  <c r="O147" i="4"/>
  <c r="N151" i="4" s="1"/>
  <c r="C179" i="4"/>
  <c r="E167" i="4"/>
  <c r="E168" i="4" s="1"/>
  <c r="P314" i="4"/>
  <c r="Q133" i="4"/>
  <c r="H163" i="4"/>
  <c r="J150" i="4"/>
  <c r="G163" i="4"/>
  <c r="AB226" i="8" l="1"/>
  <c r="AB228" i="8" s="1"/>
  <c r="AB229" i="8" s="1"/>
  <c r="AB230" i="8" s="1"/>
  <c r="AB231" i="8" s="1"/>
  <c r="AC219" i="8"/>
  <c r="AC220" i="8" s="1"/>
  <c r="AC221" i="8" s="1"/>
  <c r="AC224" i="8"/>
  <c r="AC223" i="8"/>
  <c r="AL164" i="8"/>
  <c r="AG198" i="8"/>
  <c r="AF202" i="8" s="1"/>
  <c r="T269" i="8"/>
  <c r="S276" i="8"/>
  <c r="S322" i="8" s="1"/>
  <c r="S325" i="8" s="1"/>
  <c r="S354" i="8" s="1"/>
  <c r="AK167" i="8"/>
  <c r="AJ174" i="8"/>
  <c r="AJ316" i="8" s="1"/>
  <c r="AJ328" i="8" s="1"/>
  <c r="AJ357" i="8" s="1"/>
  <c r="W252" i="8"/>
  <c r="V259" i="8"/>
  <c r="Y320" i="8"/>
  <c r="Y333" i="8" s="1"/>
  <c r="Y362" i="8" s="1"/>
  <c r="Y243" i="8"/>
  <c r="AE212" i="8"/>
  <c r="AE213" i="8" s="1"/>
  <c r="AE214" i="8" s="1"/>
  <c r="X246" i="8"/>
  <c r="X247" i="8" s="1"/>
  <c r="X248" i="8" s="1"/>
  <c r="Z236" i="8"/>
  <c r="Z237" i="8" s="1"/>
  <c r="Z238" i="8" s="1"/>
  <c r="T273" i="8"/>
  <c r="T298" i="8"/>
  <c r="T301" i="8" s="1"/>
  <c r="T340" i="8" s="1"/>
  <c r="AM161" i="8"/>
  <c r="AM162" i="8" s="1"/>
  <c r="AM163" i="8" s="1"/>
  <c r="AH188" i="8"/>
  <c r="AH293" i="8"/>
  <c r="AH310" i="8" s="1"/>
  <c r="AH350" i="8" s="1"/>
  <c r="AH186" i="8"/>
  <c r="AH187" i="8" s="1"/>
  <c r="Z240" i="8"/>
  <c r="Z241" i="8"/>
  <c r="E292" i="4"/>
  <c r="E304" i="4" s="1"/>
  <c r="E343" i="4" s="1"/>
  <c r="E171" i="4"/>
  <c r="Z134" i="4"/>
  <c r="Z137" i="4" s="1"/>
  <c r="AB130" i="4"/>
  <c r="Y137" i="4"/>
  <c r="N291" i="4"/>
  <c r="N306" i="4" s="1"/>
  <c r="N346" i="4" s="1"/>
  <c r="N154" i="4"/>
  <c r="P331" i="4"/>
  <c r="P360" i="4" s="1"/>
  <c r="J152" i="4"/>
  <c r="J153" i="4" s="1"/>
  <c r="J157" i="4" s="1"/>
  <c r="E169" i="4"/>
  <c r="E170" i="4" s="1"/>
  <c r="F167" i="4" s="1"/>
  <c r="E173" i="4"/>
  <c r="I315" i="4"/>
  <c r="I330" i="4" s="1"/>
  <c r="I359" i="4" s="1"/>
  <c r="D316" i="4"/>
  <c r="C180" i="4"/>
  <c r="D175" i="4"/>
  <c r="D177" i="4" s="1"/>
  <c r="E172" i="4"/>
  <c r="Q135" i="4"/>
  <c r="Q136" i="4" s="1"/>
  <c r="Q140" i="4" s="1"/>
  <c r="Q139" i="4"/>
  <c r="Q138" i="4"/>
  <c r="P141" i="4"/>
  <c r="P143" i="4" s="1"/>
  <c r="P144" i="4" s="1"/>
  <c r="P145" i="4" s="1"/>
  <c r="P146" i="4" s="1"/>
  <c r="P147" i="4" s="1"/>
  <c r="O151" i="4" s="1"/>
  <c r="I158" i="4"/>
  <c r="I160" i="4" s="1"/>
  <c r="J156" i="4"/>
  <c r="J155" i="4"/>
  <c r="G164" i="4"/>
  <c r="F168" i="4" s="1"/>
  <c r="S277" i="8" l="1"/>
  <c r="S279" i="8" s="1"/>
  <c r="AD218" i="8"/>
  <c r="AC225" i="8"/>
  <c r="AC319" i="8" s="1"/>
  <c r="AC326" i="8" s="1"/>
  <c r="AC355" i="8" s="1"/>
  <c r="AC222" i="8"/>
  <c r="AC295" i="8"/>
  <c r="AC302" i="8" s="1"/>
  <c r="AC341" i="8" s="1"/>
  <c r="AI184" i="8"/>
  <c r="AH191" i="8"/>
  <c r="AH317" i="8" s="1"/>
  <c r="AH334" i="8" s="1"/>
  <c r="AH363" i="8" s="1"/>
  <c r="AB232" i="8"/>
  <c r="AA235" i="8"/>
  <c r="Z242" i="8"/>
  <c r="Z320" i="8" s="1"/>
  <c r="Z333" i="8" s="1"/>
  <c r="Z362" i="8" s="1"/>
  <c r="X249" i="8"/>
  <c r="W253" i="8" s="1"/>
  <c r="V321" i="8"/>
  <c r="V327" i="8" s="1"/>
  <c r="V356" i="8" s="1"/>
  <c r="V260" i="8"/>
  <c r="AM164" i="8"/>
  <c r="W258" i="8"/>
  <c r="W257" i="8"/>
  <c r="AK172" i="8"/>
  <c r="AK173" i="8"/>
  <c r="T275" i="8"/>
  <c r="T274" i="8"/>
  <c r="T271" i="8"/>
  <c r="T272" i="8" s="1"/>
  <c r="AE215" i="8"/>
  <c r="Z239" i="8"/>
  <c r="Z296" i="8"/>
  <c r="Z309" i="8" s="1"/>
  <c r="Z349" i="8" s="1"/>
  <c r="AF205" i="8"/>
  <c r="AF294" i="8"/>
  <c r="AF305" i="8" s="1"/>
  <c r="AF344" i="8" s="1"/>
  <c r="AF203" i="8"/>
  <c r="AF204" i="8" s="1"/>
  <c r="Y245" i="8"/>
  <c r="AJ175" i="8"/>
  <c r="AK168" i="8"/>
  <c r="Z290" i="4"/>
  <c r="Z307" i="4" s="1"/>
  <c r="Z347" i="4" s="1"/>
  <c r="AA134" i="4"/>
  <c r="AC130" i="4"/>
  <c r="D328" i="4"/>
  <c r="D357" i="4" s="1"/>
  <c r="E174" i="4"/>
  <c r="E316" i="4" s="1"/>
  <c r="E328" i="4" s="1"/>
  <c r="C181" i="4"/>
  <c r="R133" i="4"/>
  <c r="Q314" i="4"/>
  <c r="K150" i="4"/>
  <c r="I161" i="4"/>
  <c r="I162" i="4" s="1"/>
  <c r="I163" i="4" s="1"/>
  <c r="D178" i="4"/>
  <c r="D179" i="4" s="1"/>
  <c r="D180" i="4" s="1"/>
  <c r="F172" i="4"/>
  <c r="F173" i="4"/>
  <c r="F171" i="4"/>
  <c r="H164" i="4"/>
  <c r="AD219" i="8" l="1"/>
  <c r="AC226" i="8"/>
  <c r="AC228" i="8" s="1"/>
  <c r="AC229" i="8" s="1"/>
  <c r="AC230" i="8" s="1"/>
  <c r="AC231" i="8" s="1"/>
  <c r="Z243" i="8"/>
  <c r="Z245" i="8" s="1"/>
  <c r="AH192" i="8"/>
  <c r="AH194" i="8" s="1"/>
  <c r="AD224" i="8"/>
  <c r="AD223" i="8"/>
  <c r="U269" i="8"/>
  <c r="T276" i="8"/>
  <c r="T322" i="8" s="1"/>
  <c r="T325" i="8" s="1"/>
  <c r="T354" i="8" s="1"/>
  <c r="AG201" i="8"/>
  <c r="AF208" i="8"/>
  <c r="AD222" i="8"/>
  <c r="AD295" i="8"/>
  <c r="AD302" i="8" s="1"/>
  <c r="AD341" i="8" s="1"/>
  <c r="AD220" i="8"/>
  <c r="AD221" i="8" s="1"/>
  <c r="Y246" i="8"/>
  <c r="Y247" i="8" s="1"/>
  <c r="Y248" i="8" s="1"/>
  <c r="AK169" i="8"/>
  <c r="AK170" i="8" s="1"/>
  <c r="V262" i="8"/>
  <c r="AA240" i="8"/>
  <c r="AA241" i="8"/>
  <c r="AK171" i="8"/>
  <c r="AK292" i="8"/>
  <c r="AK304" i="8" s="1"/>
  <c r="AK343" i="8" s="1"/>
  <c r="W256" i="8"/>
  <c r="W297" i="8"/>
  <c r="W303" i="8" s="1"/>
  <c r="W342" i="8" s="1"/>
  <c r="W254" i="8"/>
  <c r="W255" i="8" s="1"/>
  <c r="AA236" i="8"/>
  <c r="S280" i="8"/>
  <c r="S281" i="8" s="1"/>
  <c r="S282" i="8" s="1"/>
  <c r="S284" i="8" s="1"/>
  <c r="S337" i="8" s="1"/>
  <c r="AJ177" i="8"/>
  <c r="AI189" i="8"/>
  <c r="AI190" i="8"/>
  <c r="G168" i="4"/>
  <c r="G171" i="4" s="1"/>
  <c r="AB134" i="4"/>
  <c r="AD130" i="4"/>
  <c r="AA290" i="4"/>
  <c r="AA307" i="4" s="1"/>
  <c r="AA347" i="4" s="1"/>
  <c r="AA137" i="4"/>
  <c r="O291" i="4"/>
  <c r="O306" i="4" s="1"/>
  <c r="O346" i="4" s="1"/>
  <c r="O154" i="4"/>
  <c r="Q331" i="4"/>
  <c r="Q360" i="4" s="1"/>
  <c r="E175" i="4"/>
  <c r="E177" i="4" s="1"/>
  <c r="K152" i="4"/>
  <c r="K153" i="4" s="1"/>
  <c r="K157" i="4" s="1"/>
  <c r="J315" i="4"/>
  <c r="J330" i="4" s="1"/>
  <c r="J359" i="4" s="1"/>
  <c r="F292" i="4"/>
  <c r="F169" i="4"/>
  <c r="F170" i="4" s="1"/>
  <c r="F174" i="4" s="1"/>
  <c r="Q141" i="4"/>
  <c r="Q143" i="4" s="1"/>
  <c r="Q144" i="4" s="1"/>
  <c r="Q145" i="4" s="1"/>
  <c r="Q146" i="4" s="1"/>
  <c r="Q147" i="4" s="1"/>
  <c r="P151" i="4" s="1"/>
  <c r="R135" i="4"/>
  <c r="R136" i="4" s="1"/>
  <c r="R140" i="4" s="1"/>
  <c r="R138" i="4"/>
  <c r="R139" i="4"/>
  <c r="E357" i="4"/>
  <c r="J158" i="4"/>
  <c r="J160" i="4" s="1"/>
  <c r="K156" i="4"/>
  <c r="K155" i="4"/>
  <c r="D181" i="4"/>
  <c r="C185" i="4" s="1"/>
  <c r="I164" i="4"/>
  <c r="H168" i="4" s="1"/>
  <c r="T277" i="8" l="1"/>
  <c r="AL167" i="8"/>
  <c r="AK174" i="8"/>
  <c r="AK316" i="8" s="1"/>
  <c r="AK328" i="8" s="1"/>
  <c r="AK357" i="8" s="1"/>
  <c r="Y249" i="8"/>
  <c r="AE218" i="8"/>
  <c r="AD225" i="8"/>
  <c r="X252" i="8"/>
  <c r="W259" i="8"/>
  <c r="W321" i="8" s="1"/>
  <c r="W327" i="8" s="1"/>
  <c r="W356" i="8" s="1"/>
  <c r="AA239" i="8"/>
  <c r="AA296" i="8"/>
  <c r="AA309" i="8" s="1"/>
  <c r="AA349" i="8" s="1"/>
  <c r="T279" i="8"/>
  <c r="Z246" i="8"/>
  <c r="Z247" i="8" s="1"/>
  <c r="Z248" i="8" s="1"/>
  <c r="V263" i="8"/>
  <c r="V264" i="8" s="1"/>
  <c r="V265" i="8" s="1"/>
  <c r="AF318" i="8"/>
  <c r="AF329" i="8" s="1"/>
  <c r="AF358" i="8" s="1"/>
  <c r="AF209" i="8"/>
  <c r="AC232" i="8"/>
  <c r="AG206" i="8"/>
  <c r="AG207" i="8"/>
  <c r="AJ178" i="8"/>
  <c r="AJ179" i="8" s="1"/>
  <c r="AJ180" i="8" s="1"/>
  <c r="AH195" i="8"/>
  <c r="AH196" i="8" s="1"/>
  <c r="AH197" i="8" s="1"/>
  <c r="U275" i="8"/>
  <c r="U274" i="8"/>
  <c r="S365" i="8"/>
  <c r="S375" i="8" s="1"/>
  <c r="S383" i="8" s="1"/>
  <c r="S374" i="8"/>
  <c r="S382" i="8" s="1"/>
  <c r="S390" i="8" s="1"/>
  <c r="AA237" i="8"/>
  <c r="AA238" i="8" s="1"/>
  <c r="G292" i="4"/>
  <c r="G304" i="4" s="1"/>
  <c r="G343" i="4" s="1"/>
  <c r="AC134" i="4"/>
  <c r="AE130" i="4"/>
  <c r="AB137" i="4"/>
  <c r="AB290" i="4"/>
  <c r="AB307" i="4" s="1"/>
  <c r="AB347" i="4" s="1"/>
  <c r="H292" i="4"/>
  <c r="H171" i="4"/>
  <c r="G167" i="4"/>
  <c r="S133" i="4"/>
  <c r="F304" i="4"/>
  <c r="F343" i="4" s="1"/>
  <c r="C188" i="4"/>
  <c r="L150" i="4"/>
  <c r="J161" i="4"/>
  <c r="J162" i="4" s="1"/>
  <c r="J163" i="4" s="1"/>
  <c r="E178" i="4"/>
  <c r="E179" i="4" s="1"/>
  <c r="E180" i="4" s="1"/>
  <c r="AH198" i="8" l="1"/>
  <c r="AG202" i="8" s="1"/>
  <c r="AB235" i="8"/>
  <c r="AB236" i="8" s="1"/>
  <c r="AA242" i="8"/>
  <c r="AA320" i="8" s="1"/>
  <c r="AA333" i="8" s="1"/>
  <c r="AA362" i="8" s="1"/>
  <c r="V266" i="8"/>
  <c r="U270" i="8" s="1"/>
  <c r="X258" i="8"/>
  <c r="X257" i="8"/>
  <c r="X253" i="8"/>
  <c r="AF211" i="8"/>
  <c r="AE224" i="8"/>
  <c r="AE223" i="8"/>
  <c r="AJ181" i="8"/>
  <c r="AI185" i="8" s="1"/>
  <c r="T280" i="8"/>
  <c r="T281" i="8" s="1"/>
  <c r="T282" i="8" s="1"/>
  <c r="T284" i="8" s="1"/>
  <c r="T337" i="8" s="1"/>
  <c r="Z249" i="8"/>
  <c r="W260" i="8"/>
  <c r="AL172" i="8"/>
  <c r="AL173" i="8"/>
  <c r="AL168" i="8"/>
  <c r="AL169" i="8" s="1"/>
  <c r="AL170" i="8" s="1"/>
  <c r="AD319" i="8"/>
  <c r="AD326" i="8" s="1"/>
  <c r="AD355" i="8" s="1"/>
  <c r="AD226" i="8"/>
  <c r="AK175" i="8"/>
  <c r="AD134" i="4"/>
  <c r="AF130" i="4"/>
  <c r="AC290" i="4"/>
  <c r="AC307" i="4" s="1"/>
  <c r="AC347" i="4" s="1"/>
  <c r="AC137" i="4"/>
  <c r="P291" i="4"/>
  <c r="P306" i="4" s="1"/>
  <c r="P346" i="4" s="1"/>
  <c r="P154" i="4"/>
  <c r="S135" i="4"/>
  <c r="S136" i="4" s="1"/>
  <c r="S140" i="4" s="1"/>
  <c r="G169" i="4"/>
  <c r="G170" i="4" s="1"/>
  <c r="G174" i="4" s="1"/>
  <c r="L152" i="4"/>
  <c r="L153" i="4" s="1"/>
  <c r="M150" i="4" s="1"/>
  <c r="F316" i="4"/>
  <c r="F328" i="4" s="1"/>
  <c r="R314" i="4"/>
  <c r="K315" i="4"/>
  <c r="K330" i="4" s="1"/>
  <c r="K359" i="4" s="1"/>
  <c r="G173" i="4"/>
  <c r="G172" i="4"/>
  <c r="C293" i="4"/>
  <c r="C310" i="4" s="1"/>
  <c r="C350" i="4" s="1"/>
  <c r="F175" i="4"/>
  <c r="F177" i="4" s="1"/>
  <c r="F178" i="4" s="1"/>
  <c r="F179" i="4" s="1"/>
  <c r="F180" i="4" s="1"/>
  <c r="S139" i="4"/>
  <c r="R141" i="4"/>
  <c r="R143" i="4" s="1"/>
  <c r="R144" i="4" s="1"/>
  <c r="R145" i="4" s="1"/>
  <c r="R146" i="4" s="1"/>
  <c r="R147" i="4" s="1"/>
  <c r="Q151" i="4" s="1"/>
  <c r="S138" i="4"/>
  <c r="H304" i="4"/>
  <c r="H343" i="4" s="1"/>
  <c r="C187" i="4"/>
  <c r="C191" i="4" s="1"/>
  <c r="K158" i="4"/>
  <c r="K160" i="4" s="1"/>
  <c r="J164" i="4"/>
  <c r="E181" i="4"/>
  <c r="D185" i="4" s="1"/>
  <c r="L156" i="4"/>
  <c r="L155" i="4"/>
  <c r="AM167" i="8" l="1"/>
  <c r="AL174" i="8"/>
  <c r="AL316" i="8" s="1"/>
  <c r="AL328" i="8" s="1"/>
  <c r="AL357" i="8" s="1"/>
  <c r="T365" i="8"/>
  <c r="T375" i="8" s="1"/>
  <c r="T383" i="8" s="1"/>
  <c r="T374" i="8"/>
  <c r="T382" i="8" s="1"/>
  <c r="T390" i="8" s="1"/>
  <c r="AD228" i="8"/>
  <c r="AL171" i="8"/>
  <c r="AM292" i="8"/>
  <c r="AM304" i="8" s="1"/>
  <c r="AM343" i="8" s="1"/>
  <c r="AL292" i="8"/>
  <c r="AL304" i="8" s="1"/>
  <c r="AL343" i="8" s="1"/>
  <c r="AB239" i="8"/>
  <c r="AB296" i="8"/>
  <c r="AB309" i="8" s="1"/>
  <c r="AB349" i="8" s="1"/>
  <c r="W262" i="8"/>
  <c r="AI188" i="8"/>
  <c r="AI293" i="8"/>
  <c r="AI310" i="8" s="1"/>
  <c r="AI350" i="8" s="1"/>
  <c r="AI186" i="8"/>
  <c r="AI187" i="8" s="1"/>
  <c r="U273" i="8"/>
  <c r="U298" i="8"/>
  <c r="U301" i="8" s="1"/>
  <c r="U340" i="8" s="1"/>
  <c r="U271" i="8"/>
  <c r="U272" i="8" s="1"/>
  <c r="AF212" i="8"/>
  <c r="AF213" i="8" s="1"/>
  <c r="AF214" i="8" s="1"/>
  <c r="AA243" i="8"/>
  <c r="AB240" i="8"/>
  <c r="AB241" i="8"/>
  <c r="AB237" i="8"/>
  <c r="AB238" i="8" s="1"/>
  <c r="X256" i="8"/>
  <c r="X297" i="8"/>
  <c r="X303" i="8" s="1"/>
  <c r="X342" i="8" s="1"/>
  <c r="AG205" i="8"/>
  <c r="AG294" i="8"/>
  <c r="AG305" i="8" s="1"/>
  <c r="AG344" i="8" s="1"/>
  <c r="AG203" i="8"/>
  <c r="AG204" i="8" s="1"/>
  <c r="AK177" i="8"/>
  <c r="X254" i="8"/>
  <c r="X255" i="8" s="1"/>
  <c r="I168" i="4"/>
  <c r="I171" i="4" s="1"/>
  <c r="AE134" i="4"/>
  <c r="AG130" i="4"/>
  <c r="AD137" i="4"/>
  <c r="AD290" i="4"/>
  <c r="AD307" i="4" s="1"/>
  <c r="AD347" i="4" s="1"/>
  <c r="Q291" i="4"/>
  <c r="Q306" i="4" s="1"/>
  <c r="Q346" i="4" s="1"/>
  <c r="Q154" i="4"/>
  <c r="R331" i="4"/>
  <c r="R360" i="4" s="1"/>
  <c r="T133" i="4"/>
  <c r="T135" i="4" s="1"/>
  <c r="T136" i="4" s="1"/>
  <c r="T140" i="4" s="1"/>
  <c r="L157" i="4"/>
  <c r="M152" i="4"/>
  <c r="M153" i="4" s="1"/>
  <c r="M157" i="4" s="1"/>
  <c r="S314" i="4"/>
  <c r="H167" i="4"/>
  <c r="S141" i="4"/>
  <c r="S143" i="4" s="1"/>
  <c r="S144" i="4" s="1"/>
  <c r="S145" i="4" s="1"/>
  <c r="S146" i="4" s="1"/>
  <c r="S147" i="4" s="1"/>
  <c r="R151" i="4" s="1"/>
  <c r="F357" i="4"/>
  <c r="D188" i="4"/>
  <c r="D184" i="4"/>
  <c r="F181" i="4"/>
  <c r="M156" i="4"/>
  <c r="M155" i="4"/>
  <c r="K161" i="4"/>
  <c r="K162" i="4" s="1"/>
  <c r="K163" i="4" s="1"/>
  <c r="AL175" i="8" l="1"/>
  <c r="AL177" i="8" s="1"/>
  <c r="AL178" i="8" s="1"/>
  <c r="AL179" i="8" s="1"/>
  <c r="AC235" i="8"/>
  <c r="AB242" i="8"/>
  <c r="AB320" i="8" s="1"/>
  <c r="AB333" i="8" s="1"/>
  <c r="AB362" i="8" s="1"/>
  <c r="AF215" i="8"/>
  <c r="AE219" i="8" s="1"/>
  <c r="AH201" i="8"/>
  <c r="AG208" i="8"/>
  <c r="AG318" i="8" s="1"/>
  <c r="AG329" i="8" s="1"/>
  <c r="AG358" i="8" s="1"/>
  <c r="AJ184" i="8"/>
  <c r="AI191" i="8"/>
  <c r="AI317" i="8" s="1"/>
  <c r="AI334" i="8" s="1"/>
  <c r="AI363" i="8" s="1"/>
  <c r="Y252" i="8"/>
  <c r="X259" i="8"/>
  <c r="X321" i="8" s="1"/>
  <c r="X327" i="8" s="1"/>
  <c r="X356" i="8" s="1"/>
  <c r="AA245" i="8"/>
  <c r="AD229" i="8"/>
  <c r="AD230" i="8" s="1"/>
  <c r="AD231" i="8" s="1"/>
  <c r="AK178" i="8"/>
  <c r="AK179" i="8" s="1"/>
  <c r="V269" i="8"/>
  <c r="U276" i="8"/>
  <c r="U322" i="8" s="1"/>
  <c r="U325" i="8" s="1"/>
  <c r="U354" i="8" s="1"/>
  <c r="W263" i="8"/>
  <c r="W264" i="8" s="1"/>
  <c r="W265" i="8" s="1"/>
  <c r="AM173" i="8"/>
  <c r="AM169" i="8"/>
  <c r="AM170" i="8" s="1"/>
  <c r="AM174" i="8" s="1"/>
  <c r="AM316" i="8" s="1"/>
  <c r="AM328" i="8" s="1"/>
  <c r="AM357" i="8" s="1"/>
  <c r="AM172" i="8"/>
  <c r="I292" i="4"/>
  <c r="I304" i="4" s="1"/>
  <c r="I343" i="4" s="1"/>
  <c r="AF134" i="4"/>
  <c r="AH130" i="4"/>
  <c r="AE290" i="4"/>
  <c r="AE307" i="4" s="1"/>
  <c r="AE347" i="4" s="1"/>
  <c r="AE137" i="4"/>
  <c r="R291" i="4"/>
  <c r="R306" i="4" s="1"/>
  <c r="R346" i="4" s="1"/>
  <c r="R154" i="4"/>
  <c r="S331" i="4"/>
  <c r="S360" i="4" s="1"/>
  <c r="T139" i="4"/>
  <c r="T138" i="4"/>
  <c r="H169" i="4"/>
  <c r="H170" i="4" s="1"/>
  <c r="I167" i="4" s="1"/>
  <c r="G316" i="4"/>
  <c r="L315" i="4"/>
  <c r="L330" i="4" s="1"/>
  <c r="L359" i="4" s="1"/>
  <c r="C192" i="4"/>
  <c r="C194" i="4" s="1"/>
  <c r="C317" i="4"/>
  <c r="C334" i="4" s="1"/>
  <c r="C363" i="4" s="1"/>
  <c r="H172" i="4"/>
  <c r="H173" i="4"/>
  <c r="D293" i="4"/>
  <c r="D310" i="4" s="1"/>
  <c r="D350" i="4" s="1"/>
  <c r="G175" i="4"/>
  <c r="G177" i="4" s="1"/>
  <c r="G178" i="4" s="1"/>
  <c r="G179" i="4" s="1"/>
  <c r="G180" i="4" s="1"/>
  <c r="G181" i="4" s="1"/>
  <c r="F185" i="4" s="1"/>
  <c r="D186" i="4"/>
  <c r="D187" i="4" s="1"/>
  <c r="E184" i="4" s="1"/>
  <c r="E185" i="4" s="1"/>
  <c r="U133" i="4"/>
  <c r="T314" i="4"/>
  <c r="D190" i="4"/>
  <c r="D189" i="4"/>
  <c r="L158" i="4"/>
  <c r="L160" i="4" s="1"/>
  <c r="K164" i="4"/>
  <c r="N150" i="4"/>
  <c r="AL180" i="8" l="1"/>
  <c r="X260" i="8"/>
  <c r="X262" i="8" s="1"/>
  <c r="AG209" i="8"/>
  <c r="AG211" i="8" s="1"/>
  <c r="U277" i="8"/>
  <c r="U279" i="8" s="1"/>
  <c r="AB243" i="8"/>
  <c r="AB245" i="8" s="1"/>
  <c r="AB246" i="8" s="1"/>
  <c r="AB247" i="8" s="1"/>
  <c r="AK180" i="8"/>
  <c r="AK181" i="8" s="1"/>
  <c r="AJ185" i="8" s="1"/>
  <c r="W266" i="8"/>
  <c r="V270" i="8" s="1"/>
  <c r="V271" i="8" s="1"/>
  <c r="AD232" i="8"/>
  <c r="AC236" i="8" s="1"/>
  <c r="AC237" i="8" s="1"/>
  <c r="AM175" i="8"/>
  <c r="AM177" i="8" s="1"/>
  <c r="AJ190" i="8"/>
  <c r="AJ189" i="8"/>
  <c r="AH206" i="8"/>
  <c r="AH207" i="8"/>
  <c r="AE222" i="8"/>
  <c r="AE295" i="8"/>
  <c r="AE302" i="8" s="1"/>
  <c r="AE341" i="8" s="1"/>
  <c r="AE220" i="8"/>
  <c r="AE221" i="8" s="1"/>
  <c r="Y257" i="8"/>
  <c r="Y258" i="8"/>
  <c r="Y253" i="8"/>
  <c r="AA246" i="8"/>
  <c r="AA247" i="8" s="1"/>
  <c r="AA248" i="8" s="1"/>
  <c r="V275" i="8"/>
  <c r="V274" i="8"/>
  <c r="AI192" i="8"/>
  <c r="AC240" i="8"/>
  <c r="AC241" i="8"/>
  <c r="J168" i="4"/>
  <c r="J171" i="4" s="1"/>
  <c r="AG134" i="4"/>
  <c r="AG137" i="4" s="1"/>
  <c r="AI130" i="4"/>
  <c r="AF290" i="4"/>
  <c r="AF307" i="4" s="1"/>
  <c r="AF347" i="4" s="1"/>
  <c r="AF137" i="4"/>
  <c r="E293" i="4"/>
  <c r="E310" i="4" s="1"/>
  <c r="E350" i="4" s="1"/>
  <c r="E188" i="4"/>
  <c r="T331" i="4"/>
  <c r="T360" i="4" s="1"/>
  <c r="G328" i="4"/>
  <c r="G357" i="4" s="1"/>
  <c r="I169" i="4"/>
  <c r="I170" i="4" s="1"/>
  <c r="J167" i="4" s="1"/>
  <c r="H174" i="4"/>
  <c r="H175" i="4" s="1"/>
  <c r="N152" i="4"/>
  <c r="N153" i="4" s="1"/>
  <c r="O150" i="4" s="1"/>
  <c r="D191" i="4"/>
  <c r="I172" i="4"/>
  <c r="I173" i="4"/>
  <c r="M315" i="4"/>
  <c r="M330" i="4" s="1"/>
  <c r="M359" i="4" s="1"/>
  <c r="E186" i="4"/>
  <c r="E187" i="4" s="1"/>
  <c r="F184" i="4" s="1"/>
  <c r="T141" i="4"/>
  <c r="T143" i="4" s="1"/>
  <c r="T144" i="4" s="1"/>
  <c r="T145" i="4" s="1"/>
  <c r="T146" i="4" s="1"/>
  <c r="T147" i="4" s="1"/>
  <c r="S151" i="4" s="1"/>
  <c r="U135" i="4"/>
  <c r="U136" i="4" s="1"/>
  <c r="V133" i="4" s="1"/>
  <c r="U139" i="4"/>
  <c r="U138" i="4"/>
  <c r="E190" i="4"/>
  <c r="E189" i="4"/>
  <c r="F188" i="4"/>
  <c r="C195" i="4"/>
  <c r="C196" i="4" s="1"/>
  <c r="C197" i="4" s="1"/>
  <c r="M158" i="4"/>
  <c r="M160" i="4" s="1"/>
  <c r="M161" i="4" s="1"/>
  <c r="M162" i="4" s="1"/>
  <c r="L161" i="4"/>
  <c r="L162" i="4" s="1"/>
  <c r="N155" i="4"/>
  <c r="N156" i="4"/>
  <c r="V272" i="8" l="1"/>
  <c r="W269" i="8" s="1"/>
  <c r="W275" i="8" s="1"/>
  <c r="Y254" i="8"/>
  <c r="Y255" i="8" s="1"/>
  <c r="AB248" i="8"/>
  <c r="AA249" i="8"/>
  <c r="AF218" i="8"/>
  <c r="AE225" i="8"/>
  <c r="AI194" i="8"/>
  <c r="AJ188" i="8"/>
  <c r="AJ293" i="8"/>
  <c r="AJ310" i="8" s="1"/>
  <c r="AJ350" i="8" s="1"/>
  <c r="AM178" i="8"/>
  <c r="AM179" i="8" s="1"/>
  <c r="AM180" i="8" s="1"/>
  <c r="AL181" i="8"/>
  <c r="AG212" i="8"/>
  <c r="AG213" i="8" s="1"/>
  <c r="AG214" i="8" s="1"/>
  <c r="AC239" i="8"/>
  <c r="AC296" i="8"/>
  <c r="AC309" i="8" s="1"/>
  <c r="AC349" i="8" s="1"/>
  <c r="AC238" i="8"/>
  <c r="X263" i="8"/>
  <c r="X264" i="8" s="1"/>
  <c r="X265" i="8" s="1"/>
  <c r="AJ186" i="8"/>
  <c r="AJ187" i="8" s="1"/>
  <c r="V273" i="8"/>
  <c r="V298" i="8"/>
  <c r="V301" i="8" s="1"/>
  <c r="V340" i="8" s="1"/>
  <c r="Y256" i="8"/>
  <c r="Y297" i="8"/>
  <c r="Y303" i="8" s="1"/>
  <c r="Y342" i="8" s="1"/>
  <c r="U280" i="8"/>
  <c r="U281" i="8" s="1"/>
  <c r="U282" i="8" s="1"/>
  <c r="U284" i="8" s="1"/>
  <c r="U337" i="8" s="1"/>
  <c r="J169" i="4"/>
  <c r="J170" i="4" s="1"/>
  <c r="J174" i="4" s="1"/>
  <c r="J292" i="4"/>
  <c r="J304" i="4" s="1"/>
  <c r="J343" i="4" s="1"/>
  <c r="AG290" i="4"/>
  <c r="AG307" i="4" s="1"/>
  <c r="AG347" i="4" s="1"/>
  <c r="AJ130" i="4"/>
  <c r="S291" i="4"/>
  <c r="S306" i="4" s="1"/>
  <c r="S346" i="4" s="1"/>
  <c r="S154" i="4"/>
  <c r="J172" i="4"/>
  <c r="J173" i="4"/>
  <c r="O152" i="4"/>
  <c r="O153" i="4" s="1"/>
  <c r="O157" i="4" s="1"/>
  <c r="N157" i="4"/>
  <c r="E191" i="4"/>
  <c r="E192" i="4" s="1"/>
  <c r="U140" i="4"/>
  <c r="H316" i="4"/>
  <c r="I174" i="4"/>
  <c r="I175" i="4" s="1"/>
  <c r="I177" i="4" s="1"/>
  <c r="I178" i="4" s="1"/>
  <c r="I179" i="4" s="1"/>
  <c r="D192" i="4"/>
  <c r="D194" i="4" s="1"/>
  <c r="D317" i="4"/>
  <c r="F293" i="4"/>
  <c r="F310" i="4" s="1"/>
  <c r="F350" i="4" s="1"/>
  <c r="H177" i="4"/>
  <c r="H178" i="4" s="1"/>
  <c r="H179" i="4" s="1"/>
  <c r="H180" i="4" s="1"/>
  <c r="F186" i="4"/>
  <c r="F187" i="4" s="1"/>
  <c r="G184" i="4" s="1"/>
  <c r="V135" i="4"/>
  <c r="V136" i="4" s="1"/>
  <c r="V140" i="4" s="1"/>
  <c r="V139" i="4"/>
  <c r="V138" i="4"/>
  <c r="C198" i="4"/>
  <c r="F189" i="4"/>
  <c r="F190" i="4"/>
  <c r="M163" i="4"/>
  <c r="L163" i="4"/>
  <c r="O156" i="4"/>
  <c r="O155" i="4"/>
  <c r="AB249" i="8" l="1"/>
  <c r="W274" i="8"/>
  <c r="V276" i="8"/>
  <c r="V322" i="8" s="1"/>
  <c r="V325" i="8" s="1"/>
  <c r="V354" i="8" s="1"/>
  <c r="Z252" i="8"/>
  <c r="Z253" i="8" s="1"/>
  <c r="Z256" i="8" s="1"/>
  <c r="Y259" i="8"/>
  <c r="Y321" i="8" s="1"/>
  <c r="Y327" i="8" s="1"/>
  <c r="Y356" i="8" s="1"/>
  <c r="X266" i="8"/>
  <c r="W270" i="8" s="1"/>
  <c r="AK184" i="8"/>
  <c r="AJ191" i="8"/>
  <c r="U374" i="8"/>
  <c r="U382" i="8" s="1"/>
  <c r="U390" i="8" s="1"/>
  <c r="U365" i="8"/>
  <c r="U375" i="8" s="1"/>
  <c r="U383" i="8" s="1"/>
  <c r="AM181" i="8"/>
  <c r="AD235" i="8"/>
  <c r="AC242" i="8"/>
  <c r="AI195" i="8"/>
  <c r="AI196" i="8" s="1"/>
  <c r="AI197" i="8" s="1"/>
  <c r="AE319" i="8"/>
  <c r="AE326" i="8" s="1"/>
  <c r="AE355" i="8" s="1"/>
  <c r="AE226" i="8"/>
  <c r="AF224" i="8"/>
  <c r="AF223" i="8"/>
  <c r="AG215" i="8"/>
  <c r="AF219" i="8" s="1"/>
  <c r="AF220" i="8" s="1"/>
  <c r="K167" i="4"/>
  <c r="K173" i="4" s="1"/>
  <c r="AK130" i="4"/>
  <c r="D334" i="4"/>
  <c r="D363" i="4" s="1"/>
  <c r="H328" i="4"/>
  <c r="H357" i="4" s="1"/>
  <c r="J316" i="4"/>
  <c r="J328" i="4" s="1"/>
  <c r="F191" i="4"/>
  <c r="F317" i="4" s="1"/>
  <c r="I316" i="4"/>
  <c r="U314" i="4"/>
  <c r="N315" i="4"/>
  <c r="N330" i="4" s="1"/>
  <c r="N359" i="4" s="1"/>
  <c r="E317" i="4"/>
  <c r="U141" i="4"/>
  <c r="U143" i="4" s="1"/>
  <c r="U144" i="4" s="1"/>
  <c r="U145" i="4" s="1"/>
  <c r="U146" i="4" s="1"/>
  <c r="U147" i="4" s="1"/>
  <c r="T151" i="4" s="1"/>
  <c r="W133" i="4"/>
  <c r="V314" i="4"/>
  <c r="E194" i="4"/>
  <c r="D195" i="4"/>
  <c r="D196" i="4" s="1"/>
  <c r="D197" i="4" s="1"/>
  <c r="G190" i="4"/>
  <c r="G189" i="4"/>
  <c r="N158" i="4"/>
  <c r="N160" i="4" s="1"/>
  <c r="I180" i="4"/>
  <c r="P150" i="4"/>
  <c r="J175" i="4"/>
  <c r="L164" i="4"/>
  <c r="K168" i="4" s="1"/>
  <c r="H181" i="4"/>
  <c r="V277" i="8" l="1"/>
  <c r="V279" i="8" s="1"/>
  <c r="V280" i="8" s="1"/>
  <c r="V281" i="8" s="1"/>
  <c r="V282" i="8" s="1"/>
  <c r="V284" i="8" s="1"/>
  <c r="V337" i="8" s="1"/>
  <c r="Y260" i="8"/>
  <c r="Y262" i="8" s="1"/>
  <c r="Y263" i="8" s="1"/>
  <c r="Y264" i="8" s="1"/>
  <c r="Z297" i="8"/>
  <c r="Z303" i="8" s="1"/>
  <c r="Z342" i="8" s="1"/>
  <c r="Z258" i="8"/>
  <c r="Z257" i="8"/>
  <c r="Z254" i="8"/>
  <c r="Z255" i="8" s="1"/>
  <c r="AI198" i="8"/>
  <c r="AH202" i="8" s="1"/>
  <c r="AJ317" i="8"/>
  <c r="AJ334" i="8" s="1"/>
  <c r="AJ363" i="8" s="1"/>
  <c r="AJ192" i="8"/>
  <c r="W273" i="8"/>
  <c r="W298" i="8"/>
  <c r="W301" i="8" s="1"/>
  <c r="W340" i="8" s="1"/>
  <c r="W271" i="8"/>
  <c r="W272" i="8" s="1"/>
  <c r="AE228" i="8"/>
  <c r="AK190" i="8"/>
  <c r="AK189" i="8"/>
  <c r="AK185" i="8"/>
  <c r="AK186" i="8" s="1"/>
  <c r="AK187" i="8" s="1"/>
  <c r="AD241" i="8"/>
  <c r="AD240" i="8"/>
  <c r="AF222" i="8"/>
  <c r="AF295" i="8"/>
  <c r="AF302" i="8" s="1"/>
  <c r="AF341" i="8" s="1"/>
  <c r="AF221" i="8"/>
  <c r="AC320" i="8"/>
  <c r="AC333" i="8" s="1"/>
  <c r="AC362" i="8" s="1"/>
  <c r="AC243" i="8"/>
  <c r="K172" i="4"/>
  <c r="G185" i="4"/>
  <c r="G188" i="4" s="1"/>
  <c r="AL130" i="4"/>
  <c r="T291" i="4"/>
  <c r="T306" i="4" s="1"/>
  <c r="T346" i="4" s="1"/>
  <c r="T154" i="4"/>
  <c r="V331" i="4"/>
  <c r="V360" i="4" s="1"/>
  <c r="F334" i="4"/>
  <c r="F363" i="4" s="1"/>
  <c r="E334" i="4"/>
  <c r="E363" i="4" s="1"/>
  <c r="U331" i="4"/>
  <c r="U360" i="4" s="1"/>
  <c r="I328" i="4"/>
  <c r="I357" i="4" s="1"/>
  <c r="F192" i="4"/>
  <c r="F194" i="4" s="1"/>
  <c r="O315" i="4"/>
  <c r="O330" i="4" s="1"/>
  <c r="O359" i="4" s="1"/>
  <c r="P156" i="4"/>
  <c r="P152" i="4"/>
  <c r="P153" i="4" s="1"/>
  <c r="Q150" i="4" s="1"/>
  <c r="V141" i="4"/>
  <c r="V143" i="4" s="1"/>
  <c r="V144" i="4" s="1"/>
  <c r="V145" i="4" s="1"/>
  <c r="V146" i="4" s="1"/>
  <c r="V147" i="4" s="1"/>
  <c r="U151" i="4" s="1"/>
  <c r="W135" i="4"/>
  <c r="W136" i="4" s="1"/>
  <c r="W140" i="4" s="1"/>
  <c r="W139" i="4"/>
  <c r="W138" i="4"/>
  <c r="J357" i="4"/>
  <c r="D198" i="4"/>
  <c r="E195" i="4"/>
  <c r="E196" i="4" s="1"/>
  <c r="E197" i="4" s="1"/>
  <c r="O158" i="4"/>
  <c r="O160" i="4" s="1"/>
  <c r="O161" i="4" s="1"/>
  <c r="O162" i="4" s="1"/>
  <c r="P155" i="4"/>
  <c r="I181" i="4"/>
  <c r="H185" i="4" s="1"/>
  <c r="J177" i="4"/>
  <c r="M164" i="4"/>
  <c r="N161" i="4"/>
  <c r="N162" i="4" s="1"/>
  <c r="Z259" i="8" l="1"/>
  <c r="Z321" i="8" s="1"/>
  <c r="Z327" i="8" s="1"/>
  <c r="Z356" i="8" s="1"/>
  <c r="AA252" i="8"/>
  <c r="V374" i="8"/>
  <c r="V382" i="8" s="1"/>
  <c r="V390" i="8" s="1"/>
  <c r="V365" i="8"/>
  <c r="V375" i="8" s="1"/>
  <c r="V383" i="8" s="1"/>
  <c r="AL184" i="8"/>
  <c r="AK191" i="8"/>
  <c r="AK317" i="8" s="1"/>
  <c r="AK334" i="8" s="1"/>
  <c r="AK363" i="8" s="1"/>
  <c r="AJ194" i="8"/>
  <c r="AE229" i="8"/>
  <c r="AE230" i="8" s="1"/>
  <c r="AE231" i="8" s="1"/>
  <c r="AH205" i="8"/>
  <c r="AH294" i="8"/>
  <c r="AH305" i="8" s="1"/>
  <c r="AH344" i="8" s="1"/>
  <c r="AH203" i="8"/>
  <c r="AH204" i="8" s="1"/>
  <c r="X269" i="8"/>
  <c r="W276" i="8"/>
  <c r="AC245" i="8"/>
  <c r="Y265" i="8"/>
  <c r="AG218" i="8"/>
  <c r="AF225" i="8"/>
  <c r="AK188" i="8"/>
  <c r="AK293" i="8"/>
  <c r="AK310" i="8" s="1"/>
  <c r="AK350" i="8" s="1"/>
  <c r="G293" i="4"/>
  <c r="G310" i="4" s="1"/>
  <c r="G350" i="4" s="1"/>
  <c r="G186" i="4"/>
  <c r="G187" i="4" s="1"/>
  <c r="G191" i="4" s="1"/>
  <c r="C202" i="4"/>
  <c r="C205" i="4" s="1"/>
  <c r="L168" i="4"/>
  <c r="L171" i="4" s="1"/>
  <c r="AM130" i="4"/>
  <c r="K292" i="4"/>
  <c r="K171" i="4"/>
  <c r="U291" i="4"/>
  <c r="U306" i="4" s="1"/>
  <c r="U346" i="4" s="1"/>
  <c r="U154" i="4"/>
  <c r="Q152" i="4"/>
  <c r="Q153" i="4" s="1"/>
  <c r="R150" i="4" s="1"/>
  <c r="P157" i="4"/>
  <c r="K169" i="4"/>
  <c r="X133" i="4"/>
  <c r="E198" i="4"/>
  <c r="H188" i="4"/>
  <c r="F195" i="4"/>
  <c r="F196" i="4" s="1"/>
  <c r="F197" i="4" s="1"/>
  <c r="O163" i="4"/>
  <c r="N163" i="4"/>
  <c r="N164" i="4" s="1"/>
  <c r="M168" i="4" s="1"/>
  <c r="J178" i="4"/>
  <c r="J179" i="4" s="1"/>
  <c r="J180" i="4" s="1"/>
  <c r="Q156" i="4"/>
  <c r="Q155" i="4"/>
  <c r="AK192" i="8" l="1"/>
  <c r="AA253" i="8"/>
  <c r="AA254" i="8" s="1"/>
  <c r="AA255" i="8" s="1"/>
  <c r="AA257" i="8"/>
  <c r="AA258" i="8"/>
  <c r="Z260" i="8"/>
  <c r="Z262" i="8" s="1"/>
  <c r="AI201" i="8"/>
  <c r="AH208" i="8"/>
  <c r="AH318" i="8" s="1"/>
  <c r="AH329" i="8" s="1"/>
  <c r="AH358" i="8" s="1"/>
  <c r="AE232" i="8"/>
  <c r="AD236" i="8" s="1"/>
  <c r="AK194" i="8"/>
  <c r="AC246" i="8"/>
  <c r="AC247" i="8" s="1"/>
  <c r="AC248" i="8" s="1"/>
  <c r="AJ195" i="8"/>
  <c r="AJ196" i="8" s="1"/>
  <c r="AJ197" i="8" s="1"/>
  <c r="X274" i="8"/>
  <c r="X275" i="8"/>
  <c r="AL190" i="8"/>
  <c r="AL189" i="8"/>
  <c r="AL185" i="8"/>
  <c r="AL186" i="8" s="1"/>
  <c r="AL187" i="8" s="1"/>
  <c r="W322" i="8"/>
  <c r="W325" i="8" s="1"/>
  <c r="W354" i="8" s="1"/>
  <c r="W277" i="8"/>
  <c r="AF319" i="8"/>
  <c r="AF326" i="8" s="1"/>
  <c r="AF355" i="8" s="1"/>
  <c r="AF226" i="8"/>
  <c r="AG224" i="8"/>
  <c r="AG223" i="8"/>
  <c r="Y266" i="8"/>
  <c r="L292" i="4"/>
  <c r="L304" i="4" s="1"/>
  <c r="L343" i="4" s="1"/>
  <c r="C294" i="4"/>
  <c r="C305" i="4" s="1"/>
  <c r="C344" i="4" s="1"/>
  <c r="H184" i="4"/>
  <c r="H186" i="4" s="1"/>
  <c r="H187" i="4" s="1"/>
  <c r="H191" i="4" s="1"/>
  <c r="C204" i="4"/>
  <c r="C208" i="4" s="1"/>
  <c r="D202" i="4"/>
  <c r="D205" i="4" s="1"/>
  <c r="M292" i="4"/>
  <c r="M171" i="4"/>
  <c r="R152" i="4"/>
  <c r="R153" i="4" s="1"/>
  <c r="R157" i="4" s="1"/>
  <c r="Q157" i="4"/>
  <c r="W314" i="4"/>
  <c r="P315" i="4"/>
  <c r="P330" i="4" s="1"/>
  <c r="P359" i="4" s="1"/>
  <c r="G192" i="4"/>
  <c r="G194" i="4" s="1"/>
  <c r="G317" i="4"/>
  <c r="H293" i="4"/>
  <c r="H310" i="4" s="1"/>
  <c r="H350" i="4" s="1"/>
  <c r="K170" i="4"/>
  <c r="X135" i="4"/>
  <c r="X136" i="4" s="1"/>
  <c r="X140" i="4" s="1"/>
  <c r="X139" i="4"/>
  <c r="X138" i="4"/>
  <c r="W141" i="4"/>
  <c r="W143" i="4" s="1"/>
  <c r="W144" i="4" s="1"/>
  <c r="W145" i="4" s="1"/>
  <c r="W146" i="4" s="1"/>
  <c r="W147" i="4" s="1"/>
  <c r="V151" i="4" s="1"/>
  <c r="K304" i="4"/>
  <c r="K343" i="4" s="1"/>
  <c r="F198" i="4"/>
  <c r="E202" i="4" s="1"/>
  <c r="P158" i="4"/>
  <c r="P160" i="4" s="1"/>
  <c r="P161" i="4" s="1"/>
  <c r="P162" i="4" s="1"/>
  <c r="P163" i="4" s="1"/>
  <c r="O164" i="4"/>
  <c r="N168" i="4" s="1"/>
  <c r="R155" i="4"/>
  <c r="R156" i="4"/>
  <c r="J181" i="4"/>
  <c r="I185" i="4" s="1"/>
  <c r="AH209" i="8" l="1"/>
  <c r="AH211" i="8" s="1"/>
  <c r="Z263" i="8"/>
  <c r="Z264" i="8" s="1"/>
  <c r="Z265" i="8" s="1"/>
  <c r="Z266" i="8" s="1"/>
  <c r="Y270" i="8" s="1"/>
  <c r="AB252" i="8"/>
  <c r="AA259" i="8"/>
  <c r="AA321" i="8" s="1"/>
  <c r="AA327" i="8" s="1"/>
  <c r="AA356" i="8" s="1"/>
  <c r="AA256" i="8"/>
  <c r="AA297" i="8"/>
  <c r="AA303" i="8" s="1"/>
  <c r="AA342" i="8" s="1"/>
  <c r="AC249" i="8"/>
  <c r="AJ198" i="8"/>
  <c r="AI202" i="8" s="1"/>
  <c r="AI203" i="8" s="1"/>
  <c r="AI204" i="8" s="1"/>
  <c r="AM184" i="8"/>
  <c r="AL191" i="8"/>
  <c r="AL317" i="8" s="1"/>
  <c r="AL334" i="8" s="1"/>
  <c r="AL363" i="8" s="1"/>
  <c r="AF228" i="8"/>
  <c r="AK195" i="8"/>
  <c r="AK196" i="8" s="1"/>
  <c r="AK197" i="8" s="1"/>
  <c r="AD239" i="8"/>
  <c r="AD296" i="8"/>
  <c r="AD309" i="8" s="1"/>
  <c r="AD349" i="8" s="1"/>
  <c r="AD237" i="8"/>
  <c r="AD238" i="8" s="1"/>
  <c r="AL188" i="8"/>
  <c r="AM293" i="8"/>
  <c r="AM310" i="8" s="1"/>
  <c r="AM350" i="8" s="1"/>
  <c r="AL293" i="8"/>
  <c r="AL310" i="8" s="1"/>
  <c r="AL350" i="8" s="1"/>
  <c r="W279" i="8"/>
  <c r="X270" i="8"/>
  <c r="AI207" i="8"/>
  <c r="AI206" i="8"/>
  <c r="D294" i="4"/>
  <c r="D305" i="4" s="1"/>
  <c r="D344" i="4" s="1"/>
  <c r="H189" i="4"/>
  <c r="H190" i="4"/>
  <c r="D201" i="4"/>
  <c r="D203" i="4" s="1"/>
  <c r="D204" i="4" s="1"/>
  <c r="E201" i="4" s="1"/>
  <c r="E294" i="4"/>
  <c r="E305" i="4" s="1"/>
  <c r="E344" i="4" s="1"/>
  <c r="E205" i="4"/>
  <c r="N292" i="4"/>
  <c r="N171" i="4"/>
  <c r="V291" i="4"/>
  <c r="V306" i="4" s="1"/>
  <c r="V346" i="4" s="1"/>
  <c r="V154" i="4"/>
  <c r="W331" i="4"/>
  <c r="W360" i="4" s="1"/>
  <c r="G334" i="4"/>
  <c r="G363" i="4" s="1"/>
  <c r="L167" i="4"/>
  <c r="L172" i="4" s="1"/>
  <c r="K174" i="4"/>
  <c r="K175" i="4" s="1"/>
  <c r="K177" i="4" s="1"/>
  <c r="Q315" i="4"/>
  <c r="Q330" i="4" s="1"/>
  <c r="Q359" i="4" s="1"/>
  <c r="C209" i="4"/>
  <c r="C211" i="4" s="1"/>
  <c r="C318" i="4"/>
  <c r="C329" i="4" s="1"/>
  <c r="C358" i="4" s="1"/>
  <c r="Y133" i="4"/>
  <c r="X314" i="4"/>
  <c r="M304" i="4"/>
  <c r="M343" i="4" s="1"/>
  <c r="I184" i="4"/>
  <c r="G195" i="4"/>
  <c r="G196" i="4" s="1"/>
  <c r="G197" i="4" s="1"/>
  <c r="S150" i="4"/>
  <c r="P164" i="4"/>
  <c r="O168" i="4" s="1"/>
  <c r="Q158" i="4"/>
  <c r="AB253" i="8" l="1"/>
  <c r="AB254" i="8" s="1"/>
  <c r="AB255" i="8" s="1"/>
  <c r="AA260" i="8"/>
  <c r="AA262" i="8" s="1"/>
  <c r="AA263" i="8" s="1"/>
  <c r="AA264" i="8" s="1"/>
  <c r="AA265" i="8" s="1"/>
  <c r="AA266" i="8" s="1"/>
  <c r="Z270" i="8" s="1"/>
  <c r="AL192" i="8"/>
  <c r="AL194" i="8" s="1"/>
  <c r="AB258" i="8"/>
  <c r="AB257" i="8"/>
  <c r="AJ201" i="8"/>
  <c r="AI208" i="8"/>
  <c r="AI318" i="8" s="1"/>
  <c r="AI329" i="8" s="1"/>
  <c r="AI358" i="8" s="1"/>
  <c r="AH212" i="8"/>
  <c r="AH213" i="8" s="1"/>
  <c r="AH214" i="8" s="1"/>
  <c r="AK198" i="8"/>
  <c r="AM189" i="8"/>
  <c r="AM190" i="8"/>
  <c r="AM186" i="8"/>
  <c r="AM187" i="8" s="1"/>
  <c r="AM191" i="8" s="1"/>
  <c r="AM317" i="8" s="1"/>
  <c r="AM334" i="8" s="1"/>
  <c r="AM363" i="8" s="1"/>
  <c r="AE235" i="8"/>
  <c r="AD242" i="8"/>
  <c r="Y273" i="8"/>
  <c r="Y298" i="8"/>
  <c r="Y301" i="8" s="1"/>
  <c r="Y340" i="8" s="1"/>
  <c r="AI205" i="8"/>
  <c r="AI294" i="8"/>
  <c r="AI305" i="8" s="1"/>
  <c r="AI344" i="8" s="1"/>
  <c r="AF229" i="8"/>
  <c r="AF230" i="8" s="1"/>
  <c r="AF231" i="8" s="1"/>
  <c r="X273" i="8"/>
  <c r="X298" i="8"/>
  <c r="X301" i="8" s="1"/>
  <c r="X340" i="8" s="1"/>
  <c r="X271" i="8"/>
  <c r="X272" i="8" s="1"/>
  <c r="W280" i="8"/>
  <c r="W281" i="8" s="1"/>
  <c r="W282" i="8" s="1"/>
  <c r="W284" i="8" s="1"/>
  <c r="W337" i="8" s="1"/>
  <c r="AB256" i="8"/>
  <c r="AB297" i="8"/>
  <c r="AB303" i="8" s="1"/>
  <c r="AB342" i="8" s="1"/>
  <c r="D206" i="4"/>
  <c r="D207" i="4"/>
  <c r="I293" i="4"/>
  <c r="I310" i="4" s="1"/>
  <c r="I350" i="4" s="1"/>
  <c r="I188" i="4"/>
  <c r="O292" i="4"/>
  <c r="O171" i="4"/>
  <c r="X331" i="4"/>
  <c r="X360" i="4" s="1"/>
  <c r="K316" i="4"/>
  <c r="E203" i="4"/>
  <c r="E204" i="4" s="1"/>
  <c r="F201" i="4" s="1"/>
  <c r="L169" i="4"/>
  <c r="L170" i="4" s="1"/>
  <c r="L174" i="4" s="1"/>
  <c r="L316" i="4" s="1"/>
  <c r="L328" i="4" s="1"/>
  <c r="D208" i="4"/>
  <c r="L173" i="4"/>
  <c r="H192" i="4"/>
  <c r="H194" i="4" s="1"/>
  <c r="H317" i="4"/>
  <c r="R315" i="4"/>
  <c r="R330" i="4" s="1"/>
  <c r="R359" i="4" s="1"/>
  <c r="I186" i="4"/>
  <c r="I187" i="4" s="1"/>
  <c r="I191" i="4" s="1"/>
  <c r="S152" i="4"/>
  <c r="S153" i="4" s="1"/>
  <c r="S157" i="4" s="1"/>
  <c r="X141" i="4"/>
  <c r="X143" i="4" s="1"/>
  <c r="X144" i="4" s="1"/>
  <c r="X145" i="4" s="1"/>
  <c r="X146" i="4" s="1"/>
  <c r="X147" i="4" s="1"/>
  <c r="W151" i="4" s="1"/>
  <c r="Y135" i="4"/>
  <c r="Y136" i="4" s="1"/>
  <c r="Y140" i="4" s="1"/>
  <c r="Y139" i="4"/>
  <c r="Y138" i="4"/>
  <c r="N304" i="4"/>
  <c r="N343" i="4" s="1"/>
  <c r="E206" i="4"/>
  <c r="E207" i="4"/>
  <c r="G198" i="4"/>
  <c r="C212" i="4"/>
  <c r="C213" i="4" s="1"/>
  <c r="C214" i="4" s="1"/>
  <c r="I189" i="4"/>
  <c r="I190" i="4"/>
  <c r="R158" i="4"/>
  <c r="R160" i="4" s="1"/>
  <c r="S155" i="4"/>
  <c r="S156" i="4"/>
  <c r="Q160" i="4"/>
  <c r="K178" i="4"/>
  <c r="K179" i="4" s="1"/>
  <c r="K180" i="4" s="1"/>
  <c r="AJ202" i="8" l="1"/>
  <c r="AJ205" i="8" s="1"/>
  <c r="AI209" i="8"/>
  <c r="AI211" i="8" s="1"/>
  <c r="Y269" i="8"/>
  <c r="X276" i="8"/>
  <c r="X322" i="8" s="1"/>
  <c r="X325" i="8" s="1"/>
  <c r="X354" i="8" s="1"/>
  <c r="AF232" i="8"/>
  <c r="AE236" i="8" s="1"/>
  <c r="AE237" i="8" s="1"/>
  <c r="AE238" i="8" s="1"/>
  <c r="W374" i="8"/>
  <c r="W382" i="8" s="1"/>
  <c r="W390" i="8" s="1"/>
  <c r="W365" i="8"/>
  <c r="W375" i="8" s="1"/>
  <c r="W383" i="8" s="1"/>
  <c r="AH215" i="8"/>
  <c r="AG219" i="8" s="1"/>
  <c r="AM192" i="8"/>
  <c r="AM194" i="8" s="1"/>
  <c r="AC252" i="8"/>
  <c r="AB259" i="8"/>
  <c r="AL195" i="8"/>
  <c r="AL196" i="8" s="1"/>
  <c r="AL197" i="8" s="1"/>
  <c r="Z273" i="8"/>
  <c r="Z298" i="8"/>
  <c r="Z301" i="8" s="1"/>
  <c r="Z340" i="8" s="1"/>
  <c r="AD320" i="8"/>
  <c r="AD333" i="8" s="1"/>
  <c r="AD362" i="8" s="1"/>
  <c r="AD243" i="8"/>
  <c r="AJ207" i="8"/>
  <c r="AJ206" i="8"/>
  <c r="AE241" i="8"/>
  <c r="AE240" i="8"/>
  <c r="F202" i="4"/>
  <c r="F205" i="4" s="1"/>
  <c r="W291" i="4"/>
  <c r="W306" i="4" s="1"/>
  <c r="W346" i="4" s="1"/>
  <c r="W154" i="4"/>
  <c r="H334" i="4"/>
  <c r="H363" i="4" s="1"/>
  <c r="K328" i="4"/>
  <c r="K357" i="4" s="1"/>
  <c r="M167" i="4"/>
  <c r="M173" i="4" s="1"/>
  <c r="E208" i="4"/>
  <c r="E209" i="4" s="1"/>
  <c r="D209" i="4"/>
  <c r="D211" i="4" s="1"/>
  <c r="D318" i="4"/>
  <c r="D329" i="4" s="1"/>
  <c r="L357" i="4"/>
  <c r="Z133" i="4"/>
  <c r="Y141" i="4"/>
  <c r="Y143" i="4" s="1"/>
  <c r="Y144" i="4" s="1"/>
  <c r="Y145" i="4" s="1"/>
  <c r="Y146" i="4" s="1"/>
  <c r="Y147" i="4" s="1"/>
  <c r="X151" i="4" s="1"/>
  <c r="T150" i="4"/>
  <c r="O304" i="4"/>
  <c r="O343" i="4" s="1"/>
  <c r="C215" i="4"/>
  <c r="J184" i="4"/>
  <c r="F207" i="4"/>
  <c r="F206" i="4"/>
  <c r="H195" i="4"/>
  <c r="H196" i="4" s="1"/>
  <c r="H197" i="4" s="1"/>
  <c r="L175" i="4"/>
  <c r="L177" i="4" s="1"/>
  <c r="K181" i="4"/>
  <c r="J185" i="4" s="1"/>
  <c r="R161" i="4"/>
  <c r="R162" i="4" s="1"/>
  <c r="Q161" i="4"/>
  <c r="Q162" i="4" s="1"/>
  <c r="AJ294" i="8" l="1"/>
  <c r="AJ305" i="8" s="1"/>
  <c r="AJ344" i="8" s="1"/>
  <c r="AJ203" i="8"/>
  <c r="AJ204" i="8" s="1"/>
  <c r="AK201" i="8" s="1"/>
  <c r="X277" i="8"/>
  <c r="X279" i="8" s="1"/>
  <c r="AF235" i="8"/>
  <c r="AE242" i="8"/>
  <c r="AE320" i="8" s="1"/>
  <c r="AE333" i="8" s="1"/>
  <c r="AE362" i="8" s="1"/>
  <c r="AL198" i="8"/>
  <c r="AG222" i="8"/>
  <c r="AG295" i="8"/>
  <c r="AG302" i="8" s="1"/>
  <c r="AG341" i="8" s="1"/>
  <c r="AG220" i="8"/>
  <c r="AG221" i="8" s="1"/>
  <c r="AE239" i="8"/>
  <c r="AE296" i="8"/>
  <c r="AE309" i="8" s="1"/>
  <c r="AE349" i="8" s="1"/>
  <c r="AB321" i="8"/>
  <c r="AB327" i="8" s="1"/>
  <c r="AB356" i="8" s="1"/>
  <c r="AB260" i="8"/>
  <c r="AC258" i="8"/>
  <c r="AC257" i="8"/>
  <c r="AD245" i="8"/>
  <c r="AM195" i="8"/>
  <c r="AM196" i="8" s="1"/>
  <c r="AM197" i="8" s="1"/>
  <c r="AI212" i="8"/>
  <c r="AI213" i="8" s="1"/>
  <c r="AI214" i="8" s="1"/>
  <c r="Y274" i="8"/>
  <c r="Y275" i="8"/>
  <c r="Y271" i="8"/>
  <c r="Y272" i="8" s="1"/>
  <c r="Z269" i="8" s="1"/>
  <c r="F203" i="4"/>
  <c r="F204" i="4" s="1"/>
  <c r="F208" i="4" s="1"/>
  <c r="F294" i="4"/>
  <c r="F305" i="4" s="1"/>
  <c r="F344" i="4" s="1"/>
  <c r="M172" i="4"/>
  <c r="T152" i="4"/>
  <c r="T153" i="4" s="1"/>
  <c r="T157" i="4" s="1"/>
  <c r="Z138" i="4"/>
  <c r="M169" i="4"/>
  <c r="M170" i="4" s="1"/>
  <c r="N167" i="4" s="1"/>
  <c r="D358" i="4"/>
  <c r="E318" i="4"/>
  <c r="E329" i="4" s="1"/>
  <c r="S315" i="4"/>
  <c r="S330" i="4" s="1"/>
  <c r="S359" i="4" s="1"/>
  <c r="I192" i="4"/>
  <c r="I194" i="4" s="1"/>
  <c r="I195" i="4" s="1"/>
  <c r="I196" i="4" s="1"/>
  <c r="I197" i="4" s="1"/>
  <c r="I317" i="4"/>
  <c r="Y314" i="4"/>
  <c r="Z135" i="4"/>
  <c r="Z136" i="4" s="1"/>
  <c r="AA133" i="4" s="1"/>
  <c r="Z139" i="4"/>
  <c r="T156" i="4"/>
  <c r="T155" i="4"/>
  <c r="S158" i="4"/>
  <c r="S160" i="4" s="1"/>
  <c r="J190" i="4"/>
  <c r="J189" i="4"/>
  <c r="E211" i="4"/>
  <c r="H198" i="4"/>
  <c r="D212" i="4"/>
  <c r="D213" i="4" s="1"/>
  <c r="D214" i="4" s="1"/>
  <c r="R163" i="4"/>
  <c r="L178" i="4"/>
  <c r="L179" i="4" s="1"/>
  <c r="Q163" i="4"/>
  <c r="AJ208" i="8" l="1"/>
  <c r="AJ318" i="8" s="1"/>
  <c r="AJ329" i="8" s="1"/>
  <c r="AJ358" i="8" s="1"/>
  <c r="AE243" i="8"/>
  <c r="AE245" i="8" s="1"/>
  <c r="Y276" i="8"/>
  <c r="Y322" i="8" s="1"/>
  <c r="Y325" i="8" s="1"/>
  <c r="Y354" i="8" s="1"/>
  <c r="AH218" i="8"/>
  <c r="AG225" i="8"/>
  <c r="AI215" i="8"/>
  <c r="AM198" i="8"/>
  <c r="AK207" i="8"/>
  <c r="AK206" i="8"/>
  <c r="Z275" i="8"/>
  <c r="Z271" i="8"/>
  <c r="Z272" i="8" s="1"/>
  <c r="Z274" i="8"/>
  <c r="AB262" i="8"/>
  <c r="AK202" i="8"/>
  <c r="AD246" i="8"/>
  <c r="AD247" i="8" s="1"/>
  <c r="AD248" i="8" s="1"/>
  <c r="AF240" i="8"/>
  <c r="AF241" i="8"/>
  <c r="X280" i="8"/>
  <c r="X281" i="8" s="1"/>
  <c r="X282" i="8" s="1"/>
  <c r="X284" i="8" s="1"/>
  <c r="X337" i="8" s="1"/>
  <c r="G201" i="4"/>
  <c r="G207" i="4" s="1"/>
  <c r="G202" i="4"/>
  <c r="G205" i="4" s="1"/>
  <c r="J293" i="4"/>
  <c r="J310" i="4" s="1"/>
  <c r="J350" i="4" s="1"/>
  <c r="J188" i="4"/>
  <c r="X291" i="4"/>
  <c r="X306" i="4" s="1"/>
  <c r="X346" i="4" s="1"/>
  <c r="X154" i="4"/>
  <c r="Y331" i="4"/>
  <c r="Y360" i="4" s="1"/>
  <c r="I334" i="4"/>
  <c r="I363" i="4" s="1"/>
  <c r="U150" i="4"/>
  <c r="U152" i="4" s="1"/>
  <c r="U153" i="4" s="1"/>
  <c r="M174" i="4"/>
  <c r="M316" i="4" s="1"/>
  <c r="N169" i="4"/>
  <c r="N170" i="4" s="1"/>
  <c r="N174" i="4" s="1"/>
  <c r="Z140" i="4"/>
  <c r="Z314" i="4" s="1"/>
  <c r="N173" i="4"/>
  <c r="N172" i="4"/>
  <c r="E358" i="4"/>
  <c r="F209" i="4"/>
  <c r="F211" i="4" s="1"/>
  <c r="F212" i="4" s="1"/>
  <c r="F213" i="4" s="1"/>
  <c r="F318" i="4"/>
  <c r="F329" i="4" s="1"/>
  <c r="T315" i="4"/>
  <c r="T330" i="4" s="1"/>
  <c r="T359" i="4" s="1"/>
  <c r="AA138" i="4"/>
  <c r="AA135" i="4"/>
  <c r="AA136" i="4" s="1"/>
  <c r="AB133" i="4" s="1"/>
  <c r="AA139" i="4"/>
  <c r="J186" i="4"/>
  <c r="J187" i="4" s="1"/>
  <c r="J191" i="4" s="1"/>
  <c r="D215" i="4"/>
  <c r="E212" i="4"/>
  <c r="E213" i="4" s="1"/>
  <c r="E214" i="4" s="1"/>
  <c r="I198" i="4"/>
  <c r="H202" i="4" s="1"/>
  <c r="L180" i="4"/>
  <c r="T158" i="4"/>
  <c r="Q164" i="4"/>
  <c r="P168" i="4" s="1"/>
  <c r="S161" i="4"/>
  <c r="S162" i="4" s="1"/>
  <c r="S163" i="4" s="1"/>
  <c r="AJ209" i="8" l="1"/>
  <c r="AH219" i="8"/>
  <c r="AH222" i="8" s="1"/>
  <c r="Y277" i="8"/>
  <c r="Y279" i="8" s="1"/>
  <c r="X365" i="8"/>
  <c r="X375" i="8" s="1"/>
  <c r="X383" i="8" s="1"/>
  <c r="X374" i="8"/>
  <c r="X382" i="8" s="1"/>
  <c r="X390" i="8" s="1"/>
  <c r="AA269" i="8"/>
  <c r="Z276" i="8"/>
  <c r="Z322" i="8" s="1"/>
  <c r="Z325" i="8" s="1"/>
  <c r="Z354" i="8" s="1"/>
  <c r="AD249" i="8"/>
  <c r="AC253" i="8" s="1"/>
  <c r="AK205" i="8"/>
  <c r="AK294" i="8"/>
  <c r="AK305" i="8" s="1"/>
  <c r="AK344" i="8" s="1"/>
  <c r="AJ211" i="8"/>
  <c r="AB263" i="8"/>
  <c r="AB264" i="8" s="1"/>
  <c r="AB265" i="8" s="1"/>
  <c r="AE246" i="8"/>
  <c r="AE247" i="8" s="1"/>
  <c r="AE248" i="8" s="1"/>
  <c r="AG319" i="8"/>
  <c r="AG326" i="8" s="1"/>
  <c r="AG355" i="8" s="1"/>
  <c r="AG226" i="8"/>
  <c r="AK203" i="8"/>
  <c r="AK204" i="8" s="1"/>
  <c r="AH224" i="8"/>
  <c r="AH223" i="8"/>
  <c r="AH220" i="8"/>
  <c r="AH221" i="8" s="1"/>
  <c r="G203" i="4"/>
  <c r="G204" i="4" s="1"/>
  <c r="G208" i="4" s="1"/>
  <c r="G294" i="4"/>
  <c r="G305" i="4" s="1"/>
  <c r="G344" i="4" s="1"/>
  <c r="G206" i="4"/>
  <c r="C219" i="4"/>
  <c r="C222" i="4" s="1"/>
  <c r="H294" i="4"/>
  <c r="H305" i="4" s="1"/>
  <c r="H344" i="4" s="1"/>
  <c r="H205" i="4"/>
  <c r="Z331" i="4"/>
  <c r="Z360" i="4" s="1"/>
  <c r="M328" i="4"/>
  <c r="M357" i="4" s="1"/>
  <c r="U156" i="4"/>
  <c r="U155" i="4"/>
  <c r="O167" i="4"/>
  <c r="O172" i="4" s="1"/>
  <c r="M175" i="4"/>
  <c r="M177" i="4" s="1"/>
  <c r="M178" i="4" s="1"/>
  <c r="M179" i="4" s="1"/>
  <c r="N316" i="4"/>
  <c r="V150" i="4"/>
  <c r="V156" i="4" s="1"/>
  <c r="U157" i="4"/>
  <c r="AB135" i="4"/>
  <c r="AB136" i="4" s="1"/>
  <c r="AB140" i="4" s="1"/>
  <c r="AA140" i="4"/>
  <c r="AA314" i="4" s="1"/>
  <c r="F358" i="4"/>
  <c r="AB139" i="4"/>
  <c r="AB138" i="4"/>
  <c r="Z141" i="4"/>
  <c r="Z143" i="4" s="1"/>
  <c r="Z144" i="4" s="1"/>
  <c r="Z145" i="4" s="1"/>
  <c r="Z146" i="4" s="1"/>
  <c r="Z147" i="4" s="1"/>
  <c r="Y151" i="4" s="1"/>
  <c r="F214" i="4"/>
  <c r="E215" i="4"/>
  <c r="K184" i="4"/>
  <c r="L181" i="4"/>
  <c r="K185" i="4" s="1"/>
  <c r="N175" i="4"/>
  <c r="R164" i="4"/>
  <c r="T160" i="4"/>
  <c r="AH295" i="8" l="1"/>
  <c r="AH302" i="8" s="1"/>
  <c r="AH341" i="8" s="1"/>
  <c r="Z277" i="8"/>
  <c r="Z279" i="8" s="1"/>
  <c r="Z280" i="8" s="1"/>
  <c r="Z281" i="8" s="1"/>
  <c r="AB266" i="8"/>
  <c r="AA270" i="8" s="1"/>
  <c r="AA271" i="8" s="1"/>
  <c r="AA272" i="8" s="1"/>
  <c r="AI218" i="8"/>
  <c r="AH225" i="8"/>
  <c r="AE249" i="8"/>
  <c r="Y280" i="8"/>
  <c r="Y281" i="8" s="1"/>
  <c r="AC256" i="8"/>
  <c r="AC297" i="8"/>
  <c r="AC303" i="8" s="1"/>
  <c r="AC342" i="8" s="1"/>
  <c r="AC254" i="8"/>
  <c r="AC255" i="8" s="1"/>
  <c r="AL201" i="8"/>
  <c r="AK208" i="8"/>
  <c r="AK318" i="8" s="1"/>
  <c r="AK329" i="8" s="1"/>
  <c r="AK358" i="8" s="1"/>
  <c r="AA275" i="8"/>
  <c r="AA274" i="8"/>
  <c r="AG228" i="8"/>
  <c r="AJ212" i="8"/>
  <c r="AJ213" i="8" s="1"/>
  <c r="AJ214" i="8" s="1"/>
  <c r="H201" i="4"/>
  <c r="H207" i="4" s="1"/>
  <c r="C221" i="4"/>
  <c r="C225" i="4" s="1"/>
  <c r="C295" i="4"/>
  <c r="C302" i="4" s="1"/>
  <c r="C341" i="4" s="1"/>
  <c r="D219" i="4"/>
  <c r="D222" i="4" s="1"/>
  <c r="Q168" i="4"/>
  <c r="Q171" i="4" s="1"/>
  <c r="P292" i="4"/>
  <c r="P171" i="4"/>
  <c r="Y291" i="4"/>
  <c r="Y306" i="4" s="1"/>
  <c r="Y346" i="4" s="1"/>
  <c r="Y154" i="4"/>
  <c r="N328" i="4"/>
  <c r="N357" i="4" s="1"/>
  <c r="AA331" i="4"/>
  <c r="AA360" i="4" s="1"/>
  <c r="O169" i="4"/>
  <c r="O170" i="4" s="1"/>
  <c r="P167" i="4" s="1"/>
  <c r="P172" i="4" s="1"/>
  <c r="O173" i="4"/>
  <c r="V155" i="4"/>
  <c r="M180" i="4"/>
  <c r="M181" i="4" s="1"/>
  <c r="L185" i="4" s="1"/>
  <c r="N177" i="4"/>
  <c r="N178" i="4" s="1"/>
  <c r="N179" i="4" s="1"/>
  <c r="N180" i="4" s="1"/>
  <c r="AC133" i="4"/>
  <c r="AC139" i="4" s="1"/>
  <c r="V152" i="4"/>
  <c r="V153" i="4" s="1"/>
  <c r="W150" i="4" s="1"/>
  <c r="AB314" i="4"/>
  <c r="AA141" i="4"/>
  <c r="AA143" i="4" s="1"/>
  <c r="AA144" i="4" s="1"/>
  <c r="AA145" i="4" s="1"/>
  <c r="G209" i="4"/>
  <c r="G211" i="4" s="1"/>
  <c r="G318" i="4"/>
  <c r="G329" i="4" s="1"/>
  <c r="U315" i="4"/>
  <c r="U330" i="4" s="1"/>
  <c r="U359" i="4" s="1"/>
  <c r="J192" i="4"/>
  <c r="J194" i="4" s="1"/>
  <c r="J317" i="4"/>
  <c r="AB141" i="4"/>
  <c r="F215" i="4"/>
  <c r="E219" i="4" s="1"/>
  <c r="K189" i="4"/>
  <c r="K190" i="4"/>
  <c r="U158" i="4"/>
  <c r="U160" i="4" s="1"/>
  <c r="U161" i="4" s="1"/>
  <c r="U162" i="4" s="1"/>
  <c r="T161" i="4"/>
  <c r="T162" i="4" s="1"/>
  <c r="T163" i="4" s="1"/>
  <c r="S164" i="4"/>
  <c r="R168" i="4" s="1"/>
  <c r="Z282" i="8" l="1"/>
  <c r="Z284" i="8" s="1"/>
  <c r="Z337" i="8" s="1"/>
  <c r="Z374" i="8" s="1"/>
  <c r="Z382" i="8" s="1"/>
  <c r="Z390" i="8" s="1"/>
  <c r="Y282" i="8"/>
  <c r="Y284" i="8" s="1"/>
  <c r="Y337" i="8" s="1"/>
  <c r="Y365" i="8" s="1"/>
  <c r="Y375" i="8" s="1"/>
  <c r="Y383" i="8" s="1"/>
  <c r="AD252" i="8"/>
  <c r="AD253" i="8" s="1"/>
  <c r="AC259" i="8"/>
  <c r="AC321" i="8" s="1"/>
  <c r="AC327" i="8" s="1"/>
  <c r="AC356" i="8" s="1"/>
  <c r="AB269" i="8"/>
  <c r="AA276" i="8"/>
  <c r="AA322" i="8" s="1"/>
  <c r="AA325" i="8" s="1"/>
  <c r="AA354" i="8" s="1"/>
  <c r="AK209" i="8"/>
  <c r="AL207" i="8"/>
  <c r="AL206" i="8"/>
  <c r="AL202" i="8"/>
  <c r="AL203" i="8" s="1"/>
  <c r="AL204" i="8" s="1"/>
  <c r="AJ215" i="8"/>
  <c r="AI219" i="8" s="1"/>
  <c r="AI220" i="8" s="1"/>
  <c r="AI221" i="8" s="1"/>
  <c r="AI224" i="8"/>
  <c r="AI223" i="8"/>
  <c r="AG229" i="8"/>
  <c r="AG230" i="8" s="1"/>
  <c r="AG231" i="8" s="1"/>
  <c r="AH319" i="8"/>
  <c r="AH326" i="8" s="1"/>
  <c r="AH355" i="8" s="1"/>
  <c r="AH226" i="8"/>
  <c r="AA273" i="8"/>
  <c r="AA298" i="8"/>
  <c r="AA301" i="8" s="1"/>
  <c r="AA340" i="8" s="1"/>
  <c r="H203" i="4"/>
  <c r="H204" i="4" s="1"/>
  <c r="I201" i="4" s="1"/>
  <c r="I206" i="4" s="1"/>
  <c r="H206" i="4"/>
  <c r="D218" i="4"/>
  <c r="D224" i="4" s="1"/>
  <c r="D295" i="4"/>
  <c r="D302" i="4" s="1"/>
  <c r="D341" i="4" s="1"/>
  <c r="Q292" i="4"/>
  <c r="Q304" i="4" s="1"/>
  <c r="Q343" i="4" s="1"/>
  <c r="E295" i="4"/>
  <c r="E302" i="4" s="1"/>
  <c r="E341" i="4" s="1"/>
  <c r="E222" i="4"/>
  <c r="K293" i="4"/>
  <c r="K310" i="4" s="1"/>
  <c r="K350" i="4" s="1"/>
  <c r="K188" i="4"/>
  <c r="R292" i="4"/>
  <c r="R171" i="4"/>
  <c r="O174" i="4"/>
  <c r="O316" i="4" s="1"/>
  <c r="O328" i="4" s="1"/>
  <c r="O357" i="4" s="1"/>
  <c r="AB331" i="4"/>
  <c r="AB360" i="4" s="1"/>
  <c r="J334" i="4"/>
  <c r="J363" i="4" s="1"/>
  <c r="AB143" i="4"/>
  <c r="AB144" i="4" s="1"/>
  <c r="AB145" i="4" s="1"/>
  <c r="AC135" i="4"/>
  <c r="AC136" i="4" s="1"/>
  <c r="AD133" i="4" s="1"/>
  <c r="AD138" i="4" s="1"/>
  <c r="AC138" i="4"/>
  <c r="P169" i="4"/>
  <c r="P170" i="4" s="1"/>
  <c r="V157" i="4"/>
  <c r="V315" i="4" s="1"/>
  <c r="V330" i="4" s="1"/>
  <c r="V359" i="4" s="1"/>
  <c r="W152" i="4"/>
  <c r="W153" i="4" s="1"/>
  <c r="W157" i="4" s="1"/>
  <c r="P173" i="4"/>
  <c r="G358" i="4"/>
  <c r="C226" i="4"/>
  <c r="C228" i="4" s="1"/>
  <c r="C319" i="4"/>
  <c r="C326" i="4" s="1"/>
  <c r="C355" i="4" s="1"/>
  <c r="AA146" i="4"/>
  <c r="AA147" i="4" s="1"/>
  <c r="Z151" i="4" s="1"/>
  <c r="K186" i="4"/>
  <c r="K187" i="4" s="1"/>
  <c r="K191" i="4" s="1"/>
  <c r="P304" i="4"/>
  <c r="P343" i="4" s="1"/>
  <c r="G212" i="4"/>
  <c r="G213" i="4" s="1"/>
  <c r="G214" i="4" s="1"/>
  <c r="J195" i="4"/>
  <c r="J196" i="4" s="1"/>
  <c r="J197" i="4" s="1"/>
  <c r="U163" i="4"/>
  <c r="N181" i="4"/>
  <c r="M185" i="4" s="1"/>
  <c r="T164" i="4"/>
  <c r="S168" i="4" s="1"/>
  <c r="W156" i="4"/>
  <c r="W155" i="4"/>
  <c r="Y374" i="8" l="1"/>
  <c r="Y382" i="8" s="1"/>
  <c r="Y390" i="8" s="1"/>
  <c r="Z365" i="8"/>
  <c r="Z375" i="8" s="1"/>
  <c r="Z383" i="8" s="1"/>
  <c r="AA277" i="8"/>
  <c r="AA279" i="8" s="1"/>
  <c r="AG232" i="8"/>
  <c r="AF236" i="8" s="1"/>
  <c r="AM201" i="8"/>
  <c r="AL208" i="8"/>
  <c r="AL318" i="8" s="1"/>
  <c r="AL329" i="8" s="1"/>
  <c r="AL358" i="8" s="1"/>
  <c r="AJ218" i="8"/>
  <c r="AI225" i="8"/>
  <c r="AI319" i="8" s="1"/>
  <c r="AI326" i="8" s="1"/>
  <c r="AI355" i="8" s="1"/>
  <c r="AD256" i="8"/>
  <c r="AD297" i="8"/>
  <c r="AD303" i="8" s="1"/>
  <c r="AD342" i="8" s="1"/>
  <c r="AK211" i="8"/>
  <c r="AB274" i="8"/>
  <c r="AB275" i="8"/>
  <c r="AH228" i="8"/>
  <c r="AD258" i="8"/>
  <c r="AD257" i="8"/>
  <c r="AD254" i="8"/>
  <c r="AD255" i="8" s="1"/>
  <c r="AI222" i="8"/>
  <c r="AI295" i="8"/>
  <c r="AI302" i="8" s="1"/>
  <c r="AI341" i="8" s="1"/>
  <c r="AL205" i="8"/>
  <c r="AM294" i="8"/>
  <c r="AM305" i="8" s="1"/>
  <c r="AM344" i="8" s="1"/>
  <c r="AL294" i="8"/>
  <c r="AL305" i="8" s="1"/>
  <c r="AL344" i="8" s="1"/>
  <c r="AC260" i="8"/>
  <c r="H208" i="4"/>
  <c r="H318" i="4" s="1"/>
  <c r="D223" i="4"/>
  <c r="D220" i="4"/>
  <c r="D221" i="4" s="1"/>
  <c r="D225" i="4" s="1"/>
  <c r="L293" i="4"/>
  <c r="L310" i="4" s="1"/>
  <c r="L350" i="4" s="1"/>
  <c r="L188" i="4"/>
  <c r="S292" i="4"/>
  <c r="S171" i="4"/>
  <c r="Z291" i="4"/>
  <c r="Z306" i="4" s="1"/>
  <c r="Z346" i="4" s="1"/>
  <c r="Z154" i="4"/>
  <c r="O175" i="4"/>
  <c r="O177" i="4" s="1"/>
  <c r="O178" i="4" s="1"/>
  <c r="O179" i="4" s="1"/>
  <c r="O180" i="4" s="1"/>
  <c r="AB146" i="4"/>
  <c r="AB147" i="4" s="1"/>
  <c r="AA151" i="4" s="1"/>
  <c r="AC140" i="4"/>
  <c r="AC141" i="4" s="1"/>
  <c r="AC143" i="4" s="1"/>
  <c r="AC144" i="4" s="1"/>
  <c r="AC145" i="4" s="1"/>
  <c r="AC146" i="4" s="1"/>
  <c r="Q167" i="4"/>
  <c r="Q169" i="4" s="1"/>
  <c r="Q170" i="4" s="1"/>
  <c r="Q174" i="4" s="1"/>
  <c r="P174" i="4"/>
  <c r="P316" i="4" s="1"/>
  <c r="P328" i="4" s="1"/>
  <c r="V158" i="4"/>
  <c r="V160" i="4" s="1"/>
  <c r="AD139" i="4"/>
  <c r="I207" i="4"/>
  <c r="AD135" i="4"/>
  <c r="AD136" i="4" s="1"/>
  <c r="AE133" i="4" s="1"/>
  <c r="L184" i="4"/>
  <c r="K317" i="4"/>
  <c r="R304" i="4"/>
  <c r="R343" i="4" s="1"/>
  <c r="C229" i="4"/>
  <c r="C230" i="4" s="1"/>
  <c r="C231" i="4" s="1"/>
  <c r="G215" i="4"/>
  <c r="J198" i="4"/>
  <c r="X150" i="4"/>
  <c r="U164" i="4"/>
  <c r="T168" i="4" s="1"/>
  <c r="AL209" i="8" l="1"/>
  <c r="AI226" i="8"/>
  <c r="AI228" i="8" s="1"/>
  <c r="AL211" i="8"/>
  <c r="AE252" i="8"/>
  <c r="AD259" i="8"/>
  <c r="AD321" i="8" s="1"/>
  <c r="AD327" i="8" s="1"/>
  <c r="AD356" i="8" s="1"/>
  <c r="AC262" i="8"/>
  <c r="AA280" i="8"/>
  <c r="AA281" i="8" s="1"/>
  <c r="AA282" i="8" s="1"/>
  <c r="AA284" i="8" s="1"/>
  <c r="AA337" i="8" s="1"/>
  <c r="AM206" i="8"/>
  <c r="AM207" i="8"/>
  <c r="AM203" i="8"/>
  <c r="AM204" i="8" s="1"/>
  <c r="AM208" i="8" s="1"/>
  <c r="AM318" i="8" s="1"/>
  <c r="AM329" i="8" s="1"/>
  <c r="AM358" i="8" s="1"/>
  <c r="AJ223" i="8"/>
  <c r="AJ224" i="8"/>
  <c r="AF239" i="8"/>
  <c r="AF296" i="8"/>
  <c r="AF309" i="8" s="1"/>
  <c r="AF349" i="8" s="1"/>
  <c r="AF237" i="8"/>
  <c r="AF238" i="8" s="1"/>
  <c r="AH229" i="8"/>
  <c r="AH230" i="8" s="1"/>
  <c r="AH231" i="8" s="1"/>
  <c r="AK212" i="8"/>
  <c r="AK213" i="8" s="1"/>
  <c r="AK214" i="8" s="1"/>
  <c r="H209" i="4"/>
  <c r="H211" i="4" s="1"/>
  <c r="H212" i="4" s="1"/>
  <c r="H213" i="4" s="1"/>
  <c r="H214" i="4" s="1"/>
  <c r="E218" i="4"/>
  <c r="E223" i="4" s="1"/>
  <c r="F219" i="4"/>
  <c r="F222" i="4" s="1"/>
  <c r="I202" i="4"/>
  <c r="I205" i="4" s="1"/>
  <c r="M293" i="4"/>
  <c r="M310" i="4" s="1"/>
  <c r="M350" i="4" s="1"/>
  <c r="M188" i="4"/>
  <c r="T292" i="4"/>
  <c r="T171" i="4"/>
  <c r="AA291" i="4"/>
  <c r="AA306" i="4" s="1"/>
  <c r="AA346" i="4" s="1"/>
  <c r="AA154" i="4"/>
  <c r="K334" i="4"/>
  <c r="K363" i="4" s="1"/>
  <c r="H329" i="4"/>
  <c r="H358" i="4" s="1"/>
  <c r="Q173" i="4"/>
  <c r="AC314" i="4"/>
  <c r="Q172" i="4"/>
  <c r="AC147" i="4"/>
  <c r="AB151" i="4" s="1"/>
  <c r="AD140" i="4"/>
  <c r="X152" i="4"/>
  <c r="X153" i="4" s="1"/>
  <c r="X157" i="4" s="1"/>
  <c r="L186" i="4"/>
  <c r="L187" i="4" s="1"/>
  <c r="AE135" i="4"/>
  <c r="AE136" i="4" s="1"/>
  <c r="AF133" i="4" s="1"/>
  <c r="AF138" i="4" s="1"/>
  <c r="AE138" i="4"/>
  <c r="AE139" i="4"/>
  <c r="K192" i="4"/>
  <c r="K194" i="4" s="1"/>
  <c r="K195" i="4" s="1"/>
  <c r="K196" i="4" s="1"/>
  <c r="K197" i="4" s="1"/>
  <c r="W315" i="4"/>
  <c r="W330" i="4" s="1"/>
  <c r="W359" i="4" s="1"/>
  <c r="D226" i="4"/>
  <c r="D228" i="4" s="1"/>
  <c r="D319" i="4"/>
  <c r="P357" i="4"/>
  <c r="P175" i="4"/>
  <c r="P177" i="4" s="1"/>
  <c r="R167" i="4"/>
  <c r="L190" i="4"/>
  <c r="L189" i="4"/>
  <c r="S304" i="4"/>
  <c r="S343" i="4" s="1"/>
  <c r="C232" i="4"/>
  <c r="W158" i="4"/>
  <c r="W160" i="4" s="1"/>
  <c r="W161" i="4" s="1"/>
  <c r="W162" i="4" s="1"/>
  <c r="V161" i="4"/>
  <c r="V162" i="4" s="1"/>
  <c r="V163" i="4" s="1"/>
  <c r="Q316" i="4"/>
  <c r="Q328" i="4" s="1"/>
  <c r="X155" i="4"/>
  <c r="X156" i="4"/>
  <c r="O181" i="4"/>
  <c r="N185" i="4" s="1"/>
  <c r="AA374" i="8" l="1"/>
  <c r="AA382" i="8" s="1"/>
  <c r="AA390" i="8" s="1"/>
  <c r="AA365" i="8"/>
  <c r="AA375" i="8" s="1"/>
  <c r="AA383" i="8" s="1"/>
  <c r="AK215" i="8"/>
  <c r="AJ219" i="8" s="1"/>
  <c r="AG235" i="8"/>
  <c r="AF242" i="8"/>
  <c r="AC263" i="8"/>
  <c r="AC264" i="8" s="1"/>
  <c r="AC265" i="8" s="1"/>
  <c r="AD260" i="8"/>
  <c r="AE258" i="8"/>
  <c r="AE257" i="8"/>
  <c r="AH232" i="8"/>
  <c r="AM209" i="8"/>
  <c r="AM211" i="8" s="1"/>
  <c r="AI229" i="8"/>
  <c r="AI230" i="8" s="1"/>
  <c r="AI231" i="8" s="1"/>
  <c r="AL212" i="8"/>
  <c r="AL213" i="8" s="1"/>
  <c r="AL214" i="8" s="1"/>
  <c r="E220" i="4"/>
  <c r="E221" i="4" s="1"/>
  <c r="E225" i="4" s="1"/>
  <c r="E319" i="4" s="1"/>
  <c r="E224" i="4"/>
  <c r="F295" i="4"/>
  <c r="F302" i="4" s="1"/>
  <c r="F341" i="4" s="1"/>
  <c r="I294" i="4"/>
  <c r="I305" i="4" s="1"/>
  <c r="I344" i="4" s="1"/>
  <c r="I203" i="4"/>
  <c r="I204" i="4" s="1"/>
  <c r="I208" i="4" s="1"/>
  <c r="AB291" i="4"/>
  <c r="AB306" i="4" s="1"/>
  <c r="AB346" i="4" s="1"/>
  <c r="AB154" i="4"/>
  <c r="AC331" i="4"/>
  <c r="AC360" i="4" s="1"/>
  <c r="D326" i="4"/>
  <c r="D355" i="4" s="1"/>
  <c r="AF139" i="4"/>
  <c r="AD141" i="4"/>
  <c r="AD143" i="4" s="1"/>
  <c r="AD144" i="4" s="1"/>
  <c r="AD145" i="4" s="1"/>
  <c r="AD146" i="4" s="1"/>
  <c r="AD147" i="4" s="1"/>
  <c r="AC151" i="4" s="1"/>
  <c r="AD314" i="4"/>
  <c r="L191" i="4"/>
  <c r="L317" i="4" s="1"/>
  <c r="R169" i="4"/>
  <c r="R170" i="4" s="1"/>
  <c r="AF135" i="4"/>
  <c r="AF136" i="4" s="1"/>
  <c r="AG133" i="4" s="1"/>
  <c r="AE140" i="4"/>
  <c r="M184" i="4"/>
  <c r="M189" i="4" s="1"/>
  <c r="R173" i="4"/>
  <c r="R172" i="4"/>
  <c r="Q357" i="4"/>
  <c r="T304" i="4"/>
  <c r="T343" i="4" s="1"/>
  <c r="H215" i="4"/>
  <c r="D229" i="4"/>
  <c r="D230" i="4" s="1"/>
  <c r="K198" i="4"/>
  <c r="W163" i="4"/>
  <c r="V164" i="4"/>
  <c r="U168" i="4" s="1"/>
  <c r="Y150" i="4"/>
  <c r="P178" i="4"/>
  <c r="P179" i="4" s="1"/>
  <c r="P180" i="4" s="1"/>
  <c r="Q175" i="4"/>
  <c r="AI232" i="8" l="1"/>
  <c r="AC266" i="8"/>
  <c r="AB270" i="8" s="1"/>
  <c r="AD262" i="8"/>
  <c r="AG236" i="8"/>
  <c r="AG237" i="8" s="1"/>
  <c r="AG238" i="8" s="1"/>
  <c r="AF320" i="8"/>
  <c r="AF333" i="8" s="1"/>
  <c r="AF362" i="8" s="1"/>
  <c r="AF243" i="8"/>
  <c r="AJ222" i="8"/>
  <c r="AJ295" i="8"/>
  <c r="AJ302" i="8" s="1"/>
  <c r="AJ341" i="8" s="1"/>
  <c r="AJ220" i="8"/>
  <c r="AJ221" i="8" s="1"/>
  <c r="AL215" i="8"/>
  <c r="AG241" i="8"/>
  <c r="AG240" i="8"/>
  <c r="AM212" i="8"/>
  <c r="AM213" i="8" s="1"/>
  <c r="AM214" i="8" s="1"/>
  <c r="F218" i="4"/>
  <c r="F220" i="4" s="1"/>
  <c r="F221" i="4" s="1"/>
  <c r="G218" i="4" s="1"/>
  <c r="E226" i="4"/>
  <c r="E228" i="4" s="1"/>
  <c r="E229" i="4" s="1"/>
  <c r="E230" i="4" s="1"/>
  <c r="J201" i="4"/>
  <c r="J207" i="4" s="1"/>
  <c r="G219" i="4"/>
  <c r="G222" i="4" s="1"/>
  <c r="J202" i="4"/>
  <c r="J205" i="4" s="1"/>
  <c r="N293" i="4"/>
  <c r="N310" i="4" s="1"/>
  <c r="N350" i="4" s="1"/>
  <c r="N188" i="4"/>
  <c r="U292" i="4"/>
  <c r="U171" i="4"/>
  <c r="AC291" i="4"/>
  <c r="AC306" i="4" s="1"/>
  <c r="AC346" i="4" s="1"/>
  <c r="AC154" i="4"/>
  <c r="L334" i="4"/>
  <c r="L363" i="4" s="1"/>
  <c r="AD331" i="4"/>
  <c r="AD360" i="4" s="1"/>
  <c r="E326" i="4"/>
  <c r="E355" i="4" s="1"/>
  <c r="M190" i="4"/>
  <c r="L192" i="4"/>
  <c r="L194" i="4" s="1"/>
  <c r="L195" i="4" s="1"/>
  <c r="L196" i="4" s="1"/>
  <c r="L197" i="4" s="1"/>
  <c r="AG135" i="4"/>
  <c r="AG136" i="4" s="1"/>
  <c r="AG140" i="4" s="1"/>
  <c r="R174" i="4"/>
  <c r="R316" i="4" s="1"/>
  <c r="S167" i="4"/>
  <c r="AF140" i="4"/>
  <c r="AF141" i="4" s="1"/>
  <c r="AE314" i="4"/>
  <c r="AE141" i="4"/>
  <c r="AE143" i="4" s="1"/>
  <c r="AE144" i="4" s="1"/>
  <c r="AE145" i="4" s="1"/>
  <c r="AE146" i="4" s="1"/>
  <c r="AE147" i="4" s="1"/>
  <c r="AD151" i="4" s="1"/>
  <c r="M186" i="4"/>
  <c r="M187" i="4" s="1"/>
  <c r="Y152" i="4"/>
  <c r="Y153" i="4" s="1"/>
  <c r="Y157" i="4" s="1"/>
  <c r="I209" i="4"/>
  <c r="I211" i="4" s="1"/>
  <c r="I318" i="4"/>
  <c r="X315" i="4"/>
  <c r="X330" i="4" s="1"/>
  <c r="X359" i="4" s="1"/>
  <c r="D231" i="4"/>
  <c r="W164" i="4"/>
  <c r="V168" i="4" s="1"/>
  <c r="P181" i="4"/>
  <c r="O185" i="4" s="1"/>
  <c r="AG138" i="4"/>
  <c r="AG139" i="4"/>
  <c r="Q177" i="4"/>
  <c r="Y156" i="4"/>
  <c r="Y155" i="4"/>
  <c r="X158" i="4"/>
  <c r="AK218" i="8" l="1"/>
  <c r="AK219" i="8" s="1"/>
  <c r="AJ225" i="8"/>
  <c r="AJ319" i="8" s="1"/>
  <c r="AJ326" i="8" s="1"/>
  <c r="AJ355" i="8" s="1"/>
  <c r="AM215" i="8"/>
  <c r="AH235" i="8"/>
  <c r="AH236" i="8" s="1"/>
  <c r="AG242" i="8"/>
  <c r="AG320" i="8" s="1"/>
  <c r="AG333" i="8" s="1"/>
  <c r="AG362" i="8" s="1"/>
  <c r="AF245" i="8"/>
  <c r="AG239" i="8"/>
  <c r="AG296" i="8"/>
  <c r="AG309" i="8" s="1"/>
  <c r="AG349" i="8" s="1"/>
  <c r="AD263" i="8"/>
  <c r="AD264" i="8" s="1"/>
  <c r="AD265" i="8" s="1"/>
  <c r="AB273" i="8"/>
  <c r="AB298" i="8"/>
  <c r="AB301" i="8" s="1"/>
  <c r="AB340" i="8" s="1"/>
  <c r="AB271" i="8"/>
  <c r="AB272" i="8" s="1"/>
  <c r="F223" i="4"/>
  <c r="F224" i="4"/>
  <c r="F225" i="4"/>
  <c r="E231" i="4"/>
  <c r="J206" i="4"/>
  <c r="G295" i="4"/>
  <c r="G302" i="4" s="1"/>
  <c r="G341" i="4" s="1"/>
  <c r="G220" i="4"/>
  <c r="G221" i="4" s="1"/>
  <c r="H218" i="4" s="1"/>
  <c r="J203" i="4"/>
  <c r="J204" i="4" s="1"/>
  <c r="J208" i="4" s="1"/>
  <c r="J294" i="4"/>
  <c r="J305" i="4" s="1"/>
  <c r="J344" i="4" s="1"/>
  <c r="V292" i="4"/>
  <c r="V171" i="4"/>
  <c r="AD291" i="4"/>
  <c r="AD306" i="4" s="1"/>
  <c r="AD346" i="4" s="1"/>
  <c r="AD154" i="4"/>
  <c r="R328" i="4"/>
  <c r="R357" i="4" s="1"/>
  <c r="I329" i="4"/>
  <c r="I358" i="4" s="1"/>
  <c r="AE331" i="4"/>
  <c r="AE360" i="4" s="1"/>
  <c r="R175" i="4"/>
  <c r="R177" i="4" s="1"/>
  <c r="R178" i="4" s="1"/>
  <c r="R179" i="4" s="1"/>
  <c r="M191" i="4"/>
  <c r="M192" i="4" s="1"/>
  <c r="M194" i="4" s="1"/>
  <c r="N184" i="4"/>
  <c r="N186" i="4" s="1"/>
  <c r="N187" i="4" s="1"/>
  <c r="G224" i="4"/>
  <c r="AF143" i="4"/>
  <c r="AF144" i="4" s="1"/>
  <c r="AF145" i="4" s="1"/>
  <c r="AF146" i="4" s="1"/>
  <c r="AF147" i="4" s="1"/>
  <c r="AE151" i="4" s="1"/>
  <c r="G223" i="4"/>
  <c r="AF314" i="4"/>
  <c r="S169" i="4"/>
  <c r="S170" i="4" s="1"/>
  <c r="T167" i="4" s="1"/>
  <c r="S172" i="4"/>
  <c r="S173" i="4"/>
  <c r="U304" i="4"/>
  <c r="U343" i="4" s="1"/>
  <c r="D232" i="4"/>
  <c r="C236" i="4" s="1"/>
  <c r="I212" i="4"/>
  <c r="I213" i="4" s="1"/>
  <c r="I214" i="4" s="1"/>
  <c r="L198" i="4"/>
  <c r="Z150" i="4"/>
  <c r="AH133" i="4"/>
  <c r="AH134" i="4" s="1"/>
  <c r="Q178" i="4"/>
  <c r="Q179" i="4" s="1"/>
  <c r="Q180" i="4" s="1"/>
  <c r="X160" i="4"/>
  <c r="AG243" i="8" l="1"/>
  <c r="AG245" i="8" s="1"/>
  <c r="AG246" i="8" s="1"/>
  <c r="AG247" i="8" s="1"/>
  <c r="AJ226" i="8"/>
  <c r="AJ228" i="8" s="1"/>
  <c r="AD266" i="8"/>
  <c r="AC269" i="8"/>
  <c r="AB276" i="8"/>
  <c r="AK222" i="8"/>
  <c r="AK295" i="8"/>
  <c r="AK302" i="8" s="1"/>
  <c r="AK341" i="8" s="1"/>
  <c r="AH239" i="8"/>
  <c r="AH296" i="8"/>
  <c r="AH309" i="8" s="1"/>
  <c r="AH349" i="8" s="1"/>
  <c r="AF246" i="8"/>
  <c r="AF247" i="8" s="1"/>
  <c r="AH241" i="8"/>
  <c r="AH240" i="8"/>
  <c r="AH237" i="8"/>
  <c r="AH238" i="8" s="1"/>
  <c r="AK223" i="8"/>
  <c r="AK224" i="8"/>
  <c r="AK220" i="8"/>
  <c r="AK221" i="8" s="1"/>
  <c r="AH290" i="4"/>
  <c r="AH307" i="4" s="1"/>
  <c r="AH347" i="4" s="1"/>
  <c r="AH137" i="4"/>
  <c r="F226" i="4"/>
  <c r="F228" i="4" s="1"/>
  <c r="F229" i="4" s="1"/>
  <c r="F230" i="4" s="1"/>
  <c r="F231" i="4" s="1"/>
  <c r="F319" i="4"/>
  <c r="F326" i="4" s="1"/>
  <c r="F355" i="4" s="1"/>
  <c r="G225" i="4"/>
  <c r="G319" i="4" s="1"/>
  <c r="K201" i="4"/>
  <c r="K206" i="4" s="1"/>
  <c r="K202" i="4"/>
  <c r="K205" i="4" s="1"/>
  <c r="O293" i="4"/>
  <c r="O310" i="4" s="1"/>
  <c r="O350" i="4" s="1"/>
  <c r="O188" i="4"/>
  <c r="AF331" i="4"/>
  <c r="AF360" i="4" s="1"/>
  <c r="M317" i="4"/>
  <c r="N190" i="4"/>
  <c r="N189" i="4"/>
  <c r="S174" i="4"/>
  <c r="S316" i="4" s="1"/>
  <c r="T169" i="4"/>
  <c r="T170" i="4" s="1"/>
  <c r="U167" i="4" s="1"/>
  <c r="O184" i="4"/>
  <c r="O189" i="4" s="1"/>
  <c r="N191" i="4"/>
  <c r="AH135" i="4"/>
  <c r="AH136" i="4" s="1"/>
  <c r="AH140" i="4" s="1"/>
  <c r="AG314" i="4"/>
  <c r="Y315" i="4"/>
  <c r="Y330" i="4" s="1"/>
  <c r="Y359" i="4" s="1"/>
  <c r="J209" i="4"/>
  <c r="J211" i="4" s="1"/>
  <c r="J318" i="4"/>
  <c r="T173" i="4"/>
  <c r="T172" i="4"/>
  <c r="Z152" i="4"/>
  <c r="Z153" i="4" s="1"/>
  <c r="Z157" i="4" s="1"/>
  <c r="V304" i="4"/>
  <c r="V343" i="4" s="1"/>
  <c r="E232" i="4"/>
  <c r="C239" i="4"/>
  <c r="I215" i="4"/>
  <c r="H224" i="4"/>
  <c r="H223" i="4"/>
  <c r="M195" i="4"/>
  <c r="M196" i="4" s="1"/>
  <c r="M197" i="4" s="1"/>
  <c r="Z155" i="4"/>
  <c r="Z156" i="4"/>
  <c r="R180" i="4"/>
  <c r="Y158" i="4"/>
  <c r="Y160" i="4" s="1"/>
  <c r="Y161" i="4" s="1"/>
  <c r="Y162" i="4" s="1"/>
  <c r="AG141" i="4"/>
  <c r="AG143" i="4" s="1"/>
  <c r="AG144" i="4" s="1"/>
  <c r="AG145" i="4" s="1"/>
  <c r="Q181" i="4"/>
  <c r="P185" i="4" s="1"/>
  <c r="X161" i="4"/>
  <c r="X162" i="4" s="1"/>
  <c r="AH138" i="4"/>
  <c r="AH139" i="4"/>
  <c r="AG248" i="8" l="1"/>
  <c r="AC270" i="8"/>
  <c r="AC273" i="8" s="1"/>
  <c r="AF248" i="8"/>
  <c r="AF249" i="8" s="1"/>
  <c r="AE253" i="8" s="1"/>
  <c r="AI235" i="8"/>
  <c r="AI240" i="8" s="1"/>
  <c r="AH242" i="8"/>
  <c r="AH320" i="8" s="1"/>
  <c r="AH333" i="8" s="1"/>
  <c r="AH362" i="8" s="1"/>
  <c r="AL218" i="8"/>
  <c r="AK225" i="8"/>
  <c r="AK319" i="8" s="1"/>
  <c r="AK326" i="8" s="1"/>
  <c r="AK355" i="8" s="1"/>
  <c r="AB322" i="8"/>
  <c r="AB325" i="8" s="1"/>
  <c r="AB354" i="8" s="1"/>
  <c r="AB277" i="8"/>
  <c r="AC274" i="8"/>
  <c r="AC275" i="8"/>
  <c r="AJ229" i="8"/>
  <c r="AJ230" i="8" s="1"/>
  <c r="AJ231" i="8" s="1"/>
  <c r="G226" i="4"/>
  <c r="G228" i="4" s="1"/>
  <c r="G229" i="4" s="1"/>
  <c r="G230" i="4" s="1"/>
  <c r="G231" i="4" s="1"/>
  <c r="K207" i="4"/>
  <c r="K203" i="4"/>
  <c r="K204" i="4" s="1"/>
  <c r="K208" i="4" s="1"/>
  <c r="K294" i="4"/>
  <c r="K305" i="4" s="1"/>
  <c r="K344" i="4" s="1"/>
  <c r="D236" i="4"/>
  <c r="D239" i="4" s="1"/>
  <c r="H219" i="4"/>
  <c r="H222" i="4" s="1"/>
  <c r="P293" i="4"/>
  <c r="P310" i="4" s="1"/>
  <c r="P350" i="4" s="1"/>
  <c r="P188" i="4"/>
  <c r="AE291" i="4"/>
  <c r="AE306" i="4" s="1"/>
  <c r="AE346" i="4" s="1"/>
  <c r="AE154" i="4"/>
  <c r="S328" i="4"/>
  <c r="S357" i="4" s="1"/>
  <c r="M334" i="4"/>
  <c r="M363" i="4" s="1"/>
  <c r="J329" i="4"/>
  <c r="J358" i="4" s="1"/>
  <c r="AG331" i="4"/>
  <c r="AG360" i="4" s="1"/>
  <c r="G326" i="4"/>
  <c r="G355" i="4" s="1"/>
  <c r="O186" i="4"/>
  <c r="O187" i="4" s="1"/>
  <c r="P184" i="4" s="1"/>
  <c r="O190" i="4"/>
  <c r="S175" i="4"/>
  <c r="S177" i="4" s="1"/>
  <c r="T174" i="4"/>
  <c r="T175" i="4" s="1"/>
  <c r="N192" i="4"/>
  <c r="N194" i="4" s="1"/>
  <c r="N317" i="4"/>
  <c r="U169" i="4"/>
  <c r="U170" i="4" s="1"/>
  <c r="U172" i="4"/>
  <c r="U173" i="4"/>
  <c r="C296" i="4"/>
  <c r="C309" i="4" s="1"/>
  <c r="C349" i="4" s="1"/>
  <c r="AA150" i="4"/>
  <c r="C238" i="4"/>
  <c r="C242" i="4" s="1"/>
  <c r="F232" i="4"/>
  <c r="E236" i="4" s="1"/>
  <c r="J212" i="4"/>
  <c r="J213" i="4" s="1"/>
  <c r="J214" i="4" s="1"/>
  <c r="M198" i="4"/>
  <c r="AI133" i="4"/>
  <c r="AI134" i="4" s="1"/>
  <c r="R181" i="4"/>
  <c r="Q185" i="4" s="1"/>
  <c r="AG146" i="4"/>
  <c r="AG147" i="4" s="1"/>
  <c r="AF151" i="4" s="1"/>
  <c r="Y163" i="4"/>
  <c r="X163" i="4"/>
  <c r="AI241" i="8" l="1"/>
  <c r="AC271" i="8"/>
  <c r="AC272" i="8" s="1"/>
  <c r="AD269" i="8" s="1"/>
  <c r="AC298" i="8"/>
  <c r="AC301" i="8" s="1"/>
  <c r="AC340" i="8" s="1"/>
  <c r="AH243" i="8"/>
  <c r="AH245" i="8" s="1"/>
  <c r="AG249" i="8"/>
  <c r="AJ232" i="8"/>
  <c r="AI236" i="8" s="1"/>
  <c r="AB279" i="8"/>
  <c r="AE256" i="8"/>
  <c r="AE297" i="8"/>
  <c r="AE303" i="8" s="1"/>
  <c r="AE342" i="8" s="1"/>
  <c r="AE254" i="8"/>
  <c r="AE255" i="8" s="1"/>
  <c r="AD275" i="8"/>
  <c r="AD274" i="8"/>
  <c r="AK226" i="8"/>
  <c r="AL224" i="8"/>
  <c r="AL223" i="8"/>
  <c r="AL219" i="8"/>
  <c r="AI137" i="4"/>
  <c r="AI290" i="4"/>
  <c r="AI307" i="4" s="1"/>
  <c r="AI347" i="4" s="1"/>
  <c r="H220" i="4"/>
  <c r="H221" i="4" s="1"/>
  <c r="H225" i="4" s="1"/>
  <c r="L201" i="4"/>
  <c r="L206" i="4" s="1"/>
  <c r="H295" i="4"/>
  <c r="H302" i="4" s="1"/>
  <c r="H341" i="4" s="1"/>
  <c r="D296" i="4"/>
  <c r="D309" i="4" s="1"/>
  <c r="D349" i="4" s="1"/>
  <c r="L202" i="4"/>
  <c r="L205" i="4" s="1"/>
  <c r="E296" i="4"/>
  <c r="E309" i="4" s="1"/>
  <c r="E349" i="4" s="1"/>
  <c r="E239" i="4"/>
  <c r="N334" i="4"/>
  <c r="N363" i="4" s="1"/>
  <c r="O191" i="4"/>
  <c r="O192" i="4" s="1"/>
  <c r="O194" i="4" s="1"/>
  <c r="T316" i="4"/>
  <c r="T177" i="4"/>
  <c r="T178" i="4" s="1"/>
  <c r="T179" i="4" s="1"/>
  <c r="V167" i="4"/>
  <c r="V173" i="4" s="1"/>
  <c r="U174" i="4"/>
  <c r="U316" i="4" s="1"/>
  <c r="AA152" i="4"/>
  <c r="AA153" i="4" s="1"/>
  <c r="AB150" i="4" s="1"/>
  <c r="P186" i="4"/>
  <c r="P187" i="4" s="1"/>
  <c r="P191" i="4" s="1"/>
  <c r="AH314" i="4"/>
  <c r="Z315" i="4"/>
  <c r="Z330" i="4" s="1"/>
  <c r="Z359" i="4" s="1"/>
  <c r="K209" i="4"/>
  <c r="K211" i="4" s="1"/>
  <c r="K318" i="4"/>
  <c r="Z158" i="4"/>
  <c r="Z160" i="4" s="1"/>
  <c r="AA156" i="4"/>
  <c r="AA155" i="4"/>
  <c r="AI135" i="4"/>
  <c r="AI136" i="4" s="1"/>
  <c r="AI140" i="4" s="1"/>
  <c r="G232" i="4"/>
  <c r="D235" i="4"/>
  <c r="J215" i="4"/>
  <c r="P190" i="4"/>
  <c r="P189" i="4"/>
  <c r="N195" i="4"/>
  <c r="N196" i="4" s="1"/>
  <c r="N197" i="4" s="1"/>
  <c r="AI138" i="4"/>
  <c r="AI139" i="4"/>
  <c r="AH141" i="4"/>
  <c r="AH143" i="4" s="1"/>
  <c r="AH144" i="4" s="1"/>
  <c r="AH145" i="4" s="1"/>
  <c r="AH146" i="4" s="1"/>
  <c r="X164" i="4"/>
  <c r="W168" i="4" s="1"/>
  <c r="S178" i="4"/>
  <c r="S179" i="4" s="1"/>
  <c r="S180" i="4" s="1"/>
  <c r="AC276" i="8" l="1"/>
  <c r="AC322" i="8" s="1"/>
  <c r="AC325" i="8" s="1"/>
  <c r="AC354" i="8" s="1"/>
  <c r="AF252" i="8"/>
  <c r="AE259" i="8"/>
  <c r="AK228" i="8"/>
  <c r="AH246" i="8"/>
  <c r="AH247" i="8" s="1"/>
  <c r="AH248" i="8" s="1"/>
  <c r="AB280" i="8"/>
  <c r="AB281" i="8" s="1"/>
  <c r="AB282" i="8" s="1"/>
  <c r="AB284" i="8" s="1"/>
  <c r="AB337" i="8" s="1"/>
  <c r="AL222" i="8"/>
  <c r="AL295" i="8"/>
  <c r="AL302" i="8" s="1"/>
  <c r="AL341" i="8" s="1"/>
  <c r="AM295" i="8"/>
  <c r="AM302" i="8" s="1"/>
  <c r="AM341" i="8" s="1"/>
  <c r="AL220" i="8"/>
  <c r="AL221" i="8" s="1"/>
  <c r="AI239" i="8"/>
  <c r="AI296" i="8"/>
  <c r="AI309" i="8" s="1"/>
  <c r="AI349" i="8" s="1"/>
  <c r="AI237" i="8"/>
  <c r="AI238" i="8" s="1"/>
  <c r="I218" i="4"/>
  <c r="I224" i="4" s="1"/>
  <c r="L294" i="4"/>
  <c r="L305" i="4" s="1"/>
  <c r="L344" i="4" s="1"/>
  <c r="L203" i="4"/>
  <c r="L204" i="4" s="1"/>
  <c r="L208" i="4" s="1"/>
  <c r="L207" i="4"/>
  <c r="F236" i="4"/>
  <c r="F239" i="4" s="1"/>
  <c r="I219" i="4"/>
  <c r="I222" i="4" s="1"/>
  <c r="Q293" i="4"/>
  <c r="Q310" i="4" s="1"/>
  <c r="Q350" i="4" s="1"/>
  <c r="Q188" i="4"/>
  <c r="AF291" i="4"/>
  <c r="AF306" i="4" s="1"/>
  <c r="AF346" i="4" s="1"/>
  <c r="AF154" i="4"/>
  <c r="O317" i="4"/>
  <c r="O334" i="4" s="1"/>
  <c r="O363" i="4" s="1"/>
  <c r="K329" i="4"/>
  <c r="K358" i="4" s="1"/>
  <c r="T328" i="4"/>
  <c r="T357" i="4" s="1"/>
  <c r="AH331" i="4"/>
  <c r="AH360" i="4" s="1"/>
  <c r="U328" i="4"/>
  <c r="U357" i="4" s="1"/>
  <c r="V172" i="4"/>
  <c r="AA157" i="4"/>
  <c r="AA158" i="4" s="1"/>
  <c r="AA160" i="4" s="1"/>
  <c r="AA161" i="4" s="1"/>
  <c r="AA162" i="4" s="1"/>
  <c r="AB152" i="4"/>
  <c r="AB153" i="4" s="1"/>
  <c r="AC150" i="4" s="1"/>
  <c r="D237" i="4"/>
  <c r="D238" i="4" s="1"/>
  <c r="E235" i="4" s="1"/>
  <c r="V169" i="4"/>
  <c r="V170" i="4" s="1"/>
  <c r="V174" i="4" s="1"/>
  <c r="V316" i="4" s="1"/>
  <c r="V328" i="4" s="1"/>
  <c r="U175" i="4"/>
  <c r="U177" i="4" s="1"/>
  <c r="U178" i="4" s="1"/>
  <c r="U179" i="4" s="1"/>
  <c r="H226" i="4"/>
  <c r="H228" i="4" s="1"/>
  <c r="H229" i="4" s="1"/>
  <c r="H230" i="4" s="1"/>
  <c r="H231" i="4" s="1"/>
  <c r="H319" i="4"/>
  <c r="C243" i="4"/>
  <c r="C245" i="4" s="1"/>
  <c r="C320" i="4"/>
  <c r="AJ133" i="4"/>
  <c r="AJ134" i="4" s="1"/>
  <c r="D241" i="4"/>
  <c r="D240" i="4"/>
  <c r="N198" i="4"/>
  <c r="K212" i="4"/>
  <c r="K213" i="4" s="1"/>
  <c r="K214" i="4" s="1"/>
  <c r="Q184" i="4"/>
  <c r="O195" i="4"/>
  <c r="O196" i="4" s="1"/>
  <c r="O197" i="4" s="1"/>
  <c r="T180" i="4"/>
  <c r="S181" i="4"/>
  <c r="R185" i="4" s="1"/>
  <c r="AH147" i="4"/>
  <c r="AG151" i="4" s="1"/>
  <c r="Y164" i="4"/>
  <c r="AB156" i="4"/>
  <c r="AB155" i="4"/>
  <c r="Z161" i="4"/>
  <c r="Z162" i="4" s="1"/>
  <c r="Z163" i="4" s="1"/>
  <c r="AC277" i="8" l="1"/>
  <c r="AB374" i="8"/>
  <c r="AB382" i="8" s="1"/>
  <c r="AB390" i="8" s="1"/>
  <c r="AB365" i="8"/>
  <c r="AB375" i="8" s="1"/>
  <c r="AB383" i="8" s="1"/>
  <c r="AH249" i="8"/>
  <c r="AJ235" i="8"/>
  <c r="AI242" i="8"/>
  <c r="AI320" i="8" s="1"/>
  <c r="AI333" i="8" s="1"/>
  <c r="AI362" i="8" s="1"/>
  <c r="AM218" i="8"/>
  <c r="AL225" i="8"/>
  <c r="AC279" i="8"/>
  <c r="AE321" i="8"/>
  <c r="AE327" i="8" s="1"/>
  <c r="AE356" i="8" s="1"/>
  <c r="AE260" i="8"/>
  <c r="AK229" i="8"/>
  <c r="AK230" i="8" s="1"/>
  <c r="AK231" i="8" s="1"/>
  <c r="AF257" i="8"/>
  <c r="AF258" i="8"/>
  <c r="AF253" i="8"/>
  <c r="AF254" i="8" s="1"/>
  <c r="AJ290" i="4"/>
  <c r="AJ307" i="4" s="1"/>
  <c r="AJ347" i="4" s="1"/>
  <c r="AJ137" i="4"/>
  <c r="I223" i="4"/>
  <c r="M201" i="4"/>
  <c r="M207" i="4" s="1"/>
  <c r="F296" i="4"/>
  <c r="F309" i="4" s="1"/>
  <c r="F349" i="4" s="1"/>
  <c r="I295" i="4"/>
  <c r="I302" i="4" s="1"/>
  <c r="I341" i="4" s="1"/>
  <c r="I220" i="4"/>
  <c r="I221" i="4" s="1"/>
  <c r="I225" i="4" s="1"/>
  <c r="M202" i="4"/>
  <c r="M205" i="4" s="1"/>
  <c r="X168" i="4"/>
  <c r="X171" i="4" s="1"/>
  <c r="W292" i="4"/>
  <c r="W171" i="4"/>
  <c r="H326" i="4"/>
  <c r="H355" i="4" s="1"/>
  <c r="C361" i="4"/>
  <c r="C333" i="4"/>
  <c r="C362" i="4" s="1"/>
  <c r="W167" i="4"/>
  <c r="W172" i="4" s="1"/>
  <c r="AA315" i="4"/>
  <c r="AA330" i="4" s="1"/>
  <c r="AA359" i="4" s="1"/>
  <c r="E237" i="4"/>
  <c r="E238" i="4" s="1"/>
  <c r="F235" i="4" s="1"/>
  <c r="AC152" i="4"/>
  <c r="AC153" i="4" s="1"/>
  <c r="AD150" i="4" s="1"/>
  <c r="U180" i="4"/>
  <c r="AB157" i="4"/>
  <c r="Q186" i="4"/>
  <c r="Q187" i="4" s="1"/>
  <c r="R184" i="4" s="1"/>
  <c r="AJ135" i="4"/>
  <c r="AJ136" i="4" s="1"/>
  <c r="AJ140" i="4" s="1"/>
  <c r="D242" i="4"/>
  <c r="AI314" i="4"/>
  <c r="P192" i="4"/>
  <c r="P194" i="4" s="1"/>
  <c r="P317" i="4"/>
  <c r="L209" i="4"/>
  <c r="L211" i="4" s="1"/>
  <c r="L318" i="4"/>
  <c r="AI141" i="4"/>
  <c r="AI143" i="4" s="1"/>
  <c r="AI144" i="4" s="1"/>
  <c r="AI145" i="4" s="1"/>
  <c r="AI146" i="4" s="1"/>
  <c r="AI147" i="4" s="1"/>
  <c r="AJ139" i="4"/>
  <c r="AJ138" i="4"/>
  <c r="V357" i="4"/>
  <c r="H232" i="4"/>
  <c r="C246" i="4"/>
  <c r="C247" i="4" s="1"/>
  <c r="C248" i="4" s="1"/>
  <c r="E241" i="4"/>
  <c r="E240" i="4"/>
  <c r="K215" i="4"/>
  <c r="V175" i="4"/>
  <c r="V177" i="4" s="1"/>
  <c r="V178" i="4" s="1"/>
  <c r="V179" i="4" s="1"/>
  <c r="V180" i="4" s="1"/>
  <c r="O198" i="4"/>
  <c r="Q190" i="4"/>
  <c r="Q189" i="4"/>
  <c r="AA163" i="4"/>
  <c r="Z164" i="4"/>
  <c r="Y168" i="4" s="1"/>
  <c r="AC155" i="4"/>
  <c r="AC156" i="4"/>
  <c r="T181" i="4"/>
  <c r="AM224" i="8" l="1"/>
  <c r="AM223" i="8"/>
  <c r="AM220" i="8"/>
  <c r="AM221" i="8" s="1"/>
  <c r="AM225" i="8" s="1"/>
  <c r="AM319" i="8" s="1"/>
  <c r="AM326" i="8" s="1"/>
  <c r="AM355" i="8" s="1"/>
  <c r="AF256" i="8"/>
  <c r="AF297" i="8"/>
  <c r="AF303" i="8" s="1"/>
  <c r="AF342" i="8" s="1"/>
  <c r="AJ241" i="8"/>
  <c r="AJ240" i="8"/>
  <c r="AF255" i="8"/>
  <c r="AL319" i="8"/>
  <c r="AL326" i="8" s="1"/>
  <c r="AL355" i="8" s="1"/>
  <c r="AL226" i="8"/>
  <c r="AC280" i="8"/>
  <c r="AC281" i="8" s="1"/>
  <c r="AC282" i="8" s="1"/>
  <c r="AC284" i="8" s="1"/>
  <c r="AC337" i="8" s="1"/>
  <c r="AK232" i="8"/>
  <c r="AJ236" i="8" s="1"/>
  <c r="AE262" i="8"/>
  <c r="AI243" i="8"/>
  <c r="M206" i="4"/>
  <c r="J218" i="4"/>
  <c r="X292" i="4"/>
  <c r="X304" i="4" s="1"/>
  <c r="X343" i="4" s="1"/>
  <c r="M294" i="4"/>
  <c r="M305" i="4" s="1"/>
  <c r="M344" i="4" s="1"/>
  <c r="M203" i="4"/>
  <c r="M204" i="4" s="1"/>
  <c r="M208" i="4" s="1"/>
  <c r="G236" i="4"/>
  <c r="G239" i="4" s="1"/>
  <c r="J219" i="4"/>
  <c r="J222" i="4" s="1"/>
  <c r="N202" i="4"/>
  <c r="N205" i="4" s="1"/>
  <c r="S185" i="4"/>
  <c r="S188" i="4" s="1"/>
  <c r="R293" i="4"/>
  <c r="R310" i="4" s="1"/>
  <c r="R350" i="4" s="1"/>
  <c r="R188" i="4"/>
  <c r="Y292" i="4"/>
  <c r="Y171" i="4"/>
  <c r="AG291" i="4"/>
  <c r="AG306" i="4" s="1"/>
  <c r="AG346" i="4" s="1"/>
  <c r="AG154" i="4"/>
  <c r="W169" i="4"/>
  <c r="W170" i="4" s="1"/>
  <c r="W174" i="4" s="1"/>
  <c r="W316" i="4" s="1"/>
  <c r="W328" i="4" s="1"/>
  <c r="W173" i="4"/>
  <c r="AI331" i="4"/>
  <c r="AI360" i="4" s="1"/>
  <c r="P334" i="4"/>
  <c r="P363" i="4" s="1"/>
  <c r="L329" i="4"/>
  <c r="L358" i="4" s="1"/>
  <c r="AD152" i="4"/>
  <c r="AD153" i="4" s="1"/>
  <c r="AE150" i="4" s="1"/>
  <c r="F237" i="4"/>
  <c r="F238" i="4" s="1"/>
  <c r="F242" i="4" s="1"/>
  <c r="AC157" i="4"/>
  <c r="E242" i="4"/>
  <c r="E243" i="4" s="1"/>
  <c r="Q191" i="4"/>
  <c r="AK133" i="4"/>
  <c r="AK134" i="4" s="1"/>
  <c r="AJ314" i="4"/>
  <c r="I226" i="4"/>
  <c r="I228" i="4" s="1"/>
  <c r="I319" i="4"/>
  <c r="D243" i="4"/>
  <c r="D245" i="4" s="1"/>
  <c r="D320" i="4"/>
  <c r="AB315" i="4"/>
  <c r="AB330" i="4" s="1"/>
  <c r="AB359" i="4" s="1"/>
  <c r="R186" i="4"/>
  <c r="R187" i="4" s="1"/>
  <c r="R191" i="4" s="1"/>
  <c r="W304" i="4"/>
  <c r="W343" i="4" s="1"/>
  <c r="C249" i="4"/>
  <c r="F240" i="4"/>
  <c r="F241" i="4"/>
  <c r="L212" i="4"/>
  <c r="L213" i="4" s="1"/>
  <c r="L214" i="4" s="1"/>
  <c r="R189" i="4"/>
  <c r="R190" i="4"/>
  <c r="P195" i="4"/>
  <c r="P196" i="4" s="1"/>
  <c r="P197" i="4" s="1"/>
  <c r="U181" i="4"/>
  <c r="T185" i="4" s="1"/>
  <c r="AA164" i="4"/>
  <c r="Z168" i="4" s="1"/>
  <c r="AD156" i="4"/>
  <c r="AD155" i="4"/>
  <c r="AJ141" i="4"/>
  <c r="AJ143" i="4" s="1"/>
  <c r="AB158" i="4"/>
  <c r="AC374" i="8" l="1"/>
  <c r="AC382" i="8" s="1"/>
  <c r="AC390" i="8" s="1"/>
  <c r="AC365" i="8"/>
  <c r="AC375" i="8" s="1"/>
  <c r="AC383" i="8" s="1"/>
  <c r="AE263" i="8"/>
  <c r="AE264" i="8" s="1"/>
  <c r="AE265" i="8" s="1"/>
  <c r="AJ239" i="8"/>
  <c r="AJ296" i="8"/>
  <c r="AJ309" i="8" s="1"/>
  <c r="AJ349" i="8" s="1"/>
  <c r="AG252" i="8"/>
  <c r="AF259" i="8"/>
  <c r="AF321" i="8" s="1"/>
  <c r="AF327" i="8" s="1"/>
  <c r="AF356" i="8" s="1"/>
  <c r="AL228" i="8"/>
  <c r="AM226" i="8"/>
  <c r="AM228" i="8" s="1"/>
  <c r="AI245" i="8"/>
  <c r="AJ237" i="8"/>
  <c r="AJ238" i="8" s="1"/>
  <c r="AK137" i="4"/>
  <c r="AK290" i="4"/>
  <c r="AK307" i="4" s="1"/>
  <c r="AK347" i="4" s="1"/>
  <c r="J220" i="4"/>
  <c r="J221" i="4" s="1"/>
  <c r="J225" i="4" s="1"/>
  <c r="J223" i="4"/>
  <c r="J224" i="4"/>
  <c r="S293" i="4"/>
  <c r="S310" i="4" s="1"/>
  <c r="S350" i="4" s="1"/>
  <c r="N201" i="4"/>
  <c r="N206" i="4" s="1"/>
  <c r="G296" i="4"/>
  <c r="G309" i="4" s="1"/>
  <c r="G349" i="4" s="1"/>
  <c r="J295" i="4"/>
  <c r="J302" i="4" s="1"/>
  <c r="J341" i="4" s="1"/>
  <c r="N294" i="4"/>
  <c r="N305" i="4" s="1"/>
  <c r="N344" i="4" s="1"/>
  <c r="T293" i="4"/>
  <c r="T310" i="4" s="1"/>
  <c r="T350" i="4" s="1"/>
  <c r="T188" i="4"/>
  <c r="Z292" i="4"/>
  <c r="Z171" i="4"/>
  <c r="X167" i="4"/>
  <c r="X169" i="4" s="1"/>
  <c r="X170" i="4" s="1"/>
  <c r="Y167" i="4" s="1"/>
  <c r="I326" i="4"/>
  <c r="I355" i="4" s="1"/>
  <c r="AJ331" i="4"/>
  <c r="AJ360" i="4" s="1"/>
  <c r="D361" i="4"/>
  <c r="D333" i="4"/>
  <c r="D362" i="4" s="1"/>
  <c r="AD157" i="4"/>
  <c r="AK135" i="4"/>
  <c r="AK136" i="4" s="1"/>
  <c r="AK139" i="4"/>
  <c r="AK138" i="4"/>
  <c r="AE152" i="4"/>
  <c r="AE153" i="4" s="1"/>
  <c r="E320" i="4"/>
  <c r="Q192" i="4"/>
  <c r="Q194" i="4" s="1"/>
  <c r="Q317" i="4"/>
  <c r="AC315" i="4"/>
  <c r="AC330" i="4" s="1"/>
  <c r="AC359" i="4" s="1"/>
  <c r="M209" i="4"/>
  <c r="M211" i="4" s="1"/>
  <c r="M318" i="4"/>
  <c r="W357" i="4"/>
  <c r="Y304" i="4"/>
  <c r="Y343" i="4" s="1"/>
  <c r="E245" i="4"/>
  <c r="G235" i="4"/>
  <c r="D246" i="4"/>
  <c r="D247" i="4" s="1"/>
  <c r="D248" i="4" s="1"/>
  <c r="L215" i="4"/>
  <c r="I229" i="4"/>
  <c r="I230" i="4" s="1"/>
  <c r="P198" i="4"/>
  <c r="S184" i="4"/>
  <c r="W175" i="4"/>
  <c r="W177" i="4" s="1"/>
  <c r="W178" i="4" s="1"/>
  <c r="W179" i="4" s="1"/>
  <c r="W180" i="4" s="1"/>
  <c r="V181" i="4"/>
  <c r="U185" i="4" s="1"/>
  <c r="AC158" i="4"/>
  <c r="AC160" i="4" s="1"/>
  <c r="AC161" i="4" s="1"/>
  <c r="AC162" i="4" s="1"/>
  <c r="AB160" i="4"/>
  <c r="AE155" i="4"/>
  <c r="AE156" i="4"/>
  <c r="AJ144" i="4"/>
  <c r="AJ145" i="4" s="1"/>
  <c r="AJ146" i="4" s="1"/>
  <c r="AK235" i="8" l="1"/>
  <c r="AJ242" i="8"/>
  <c r="AJ320" i="8" s="1"/>
  <c r="AJ333" i="8" s="1"/>
  <c r="AJ362" i="8" s="1"/>
  <c r="AM229" i="8"/>
  <c r="AM230" i="8" s="1"/>
  <c r="AE266" i="8"/>
  <c r="AD270" i="8" s="1"/>
  <c r="AG258" i="8"/>
  <c r="AG257" i="8"/>
  <c r="AG253" i="8"/>
  <c r="AI246" i="8"/>
  <c r="AI247" i="8" s="1"/>
  <c r="AI248" i="8" s="1"/>
  <c r="AF260" i="8"/>
  <c r="AL229" i="8"/>
  <c r="AL230" i="8" s="1"/>
  <c r="K218" i="4"/>
  <c r="K223" i="4" s="1"/>
  <c r="N203" i="4"/>
  <c r="N204" i="4" s="1"/>
  <c r="N208" i="4" s="1"/>
  <c r="N207" i="4"/>
  <c r="K219" i="4"/>
  <c r="K222" i="4" s="1"/>
  <c r="O202" i="4"/>
  <c r="O205" i="4" s="1"/>
  <c r="X173" i="4"/>
  <c r="X172" i="4"/>
  <c r="M329" i="4"/>
  <c r="M358" i="4" s="1"/>
  <c r="Q334" i="4"/>
  <c r="Q363" i="4" s="1"/>
  <c r="E361" i="4"/>
  <c r="E333" i="4"/>
  <c r="E362" i="4" s="1"/>
  <c r="AK140" i="4"/>
  <c r="AK314" i="4" s="1"/>
  <c r="AL133" i="4"/>
  <c r="AF150" i="4"/>
  <c r="AF155" i="4" s="1"/>
  <c r="AE157" i="4"/>
  <c r="S186" i="4"/>
  <c r="S187" i="4" s="1"/>
  <c r="S191" i="4" s="1"/>
  <c r="X174" i="4"/>
  <c r="X316" i="4" s="1"/>
  <c r="G237" i="4"/>
  <c r="G238" i="4" s="1"/>
  <c r="G242" i="4" s="1"/>
  <c r="R192" i="4"/>
  <c r="R194" i="4" s="1"/>
  <c r="R195" i="4" s="1"/>
  <c r="R196" i="4" s="1"/>
  <c r="R317" i="4"/>
  <c r="F243" i="4"/>
  <c r="F245" i="4" s="1"/>
  <c r="AD315" i="4"/>
  <c r="AD330" i="4" s="1"/>
  <c r="AD359" i="4" s="1"/>
  <c r="F320" i="4"/>
  <c r="J226" i="4"/>
  <c r="J228" i="4" s="1"/>
  <c r="J229" i="4" s="1"/>
  <c r="J230" i="4" s="1"/>
  <c r="J319" i="4"/>
  <c r="Y172" i="4"/>
  <c r="Y169" i="4"/>
  <c r="Y170" i="4" s="1"/>
  <c r="Y174" i="4" s="1"/>
  <c r="Z304" i="4"/>
  <c r="Z343" i="4" s="1"/>
  <c r="D249" i="4"/>
  <c r="E246" i="4"/>
  <c r="E247" i="4" s="1"/>
  <c r="E248" i="4" s="1"/>
  <c r="G241" i="4"/>
  <c r="G240" i="4"/>
  <c r="I231" i="4"/>
  <c r="M212" i="4"/>
  <c r="M213" i="4" s="1"/>
  <c r="M214" i="4" s="1"/>
  <c r="S189" i="4"/>
  <c r="S190" i="4"/>
  <c r="Q195" i="4"/>
  <c r="Q196" i="4" s="1"/>
  <c r="Q197" i="4" s="1"/>
  <c r="Y173" i="4"/>
  <c r="W181" i="4"/>
  <c r="V185" i="4" s="1"/>
  <c r="AJ147" i="4"/>
  <c r="AB161" i="4"/>
  <c r="AB162" i="4" s="1"/>
  <c r="AC163" i="4" s="1"/>
  <c r="AD158" i="4"/>
  <c r="AM231" i="8" l="1"/>
  <c r="AG254" i="8"/>
  <c r="AG255" i="8" s="1"/>
  <c r="AI249" i="8"/>
  <c r="AD273" i="8"/>
  <c r="AD298" i="8"/>
  <c r="AD301" i="8" s="1"/>
  <c r="AD340" i="8" s="1"/>
  <c r="AD271" i="8"/>
  <c r="AD272" i="8" s="1"/>
  <c r="AF262" i="8"/>
  <c r="AL231" i="8"/>
  <c r="AK241" i="8"/>
  <c r="AK240" i="8"/>
  <c r="AG256" i="8"/>
  <c r="AG297" i="8"/>
  <c r="AG303" i="8" s="1"/>
  <c r="AG342" i="8" s="1"/>
  <c r="AJ243" i="8"/>
  <c r="AL138" i="4"/>
  <c r="AL134" i="4"/>
  <c r="AL135" i="4" s="1"/>
  <c r="AL136" i="4" s="1"/>
  <c r="K224" i="4"/>
  <c r="O201" i="4"/>
  <c r="O206" i="4" s="1"/>
  <c r="K220" i="4"/>
  <c r="K221" i="4" s="1"/>
  <c r="K225" i="4" s="1"/>
  <c r="O294" i="4"/>
  <c r="O305" i="4" s="1"/>
  <c r="O344" i="4" s="1"/>
  <c r="K295" i="4"/>
  <c r="K302" i="4" s="1"/>
  <c r="K341" i="4" s="1"/>
  <c r="C253" i="4"/>
  <c r="C256" i="4" s="1"/>
  <c r="U293" i="4"/>
  <c r="U310" i="4" s="1"/>
  <c r="U350" i="4" s="1"/>
  <c r="U188" i="4"/>
  <c r="J326" i="4"/>
  <c r="J355" i="4" s="1"/>
  <c r="X328" i="4"/>
  <c r="X357" i="4" s="1"/>
  <c r="AK331" i="4"/>
  <c r="AK360" i="4" s="1"/>
  <c r="F361" i="4"/>
  <c r="F333" i="4"/>
  <c r="F362" i="4" s="1"/>
  <c r="R334" i="4"/>
  <c r="R363" i="4" s="1"/>
  <c r="AF156" i="4"/>
  <c r="AK141" i="4"/>
  <c r="AK143" i="4" s="1"/>
  <c r="AK144" i="4" s="1"/>
  <c r="AK145" i="4" s="1"/>
  <c r="AK146" i="4" s="1"/>
  <c r="AK147" i="4" s="1"/>
  <c r="AL139" i="4"/>
  <c r="AF152" i="4"/>
  <c r="AF153" i="4" s="1"/>
  <c r="AG150" i="4" s="1"/>
  <c r="J231" i="4"/>
  <c r="N209" i="4"/>
  <c r="N211" i="4" s="1"/>
  <c r="N318" i="4"/>
  <c r="AE315" i="4"/>
  <c r="AE330" i="4" s="1"/>
  <c r="AE359" i="4" s="1"/>
  <c r="X175" i="4"/>
  <c r="X177" i="4" s="1"/>
  <c r="X178" i="4" s="1"/>
  <c r="X179" i="4" s="1"/>
  <c r="X180" i="4" s="1"/>
  <c r="X181" i="4" s="1"/>
  <c r="W185" i="4" s="1"/>
  <c r="Z167" i="4"/>
  <c r="E249" i="4"/>
  <c r="D253" i="4" s="1"/>
  <c r="H235" i="4"/>
  <c r="I232" i="4"/>
  <c r="H236" i="4" s="1"/>
  <c r="F246" i="4"/>
  <c r="F247" i="4" s="1"/>
  <c r="F248" i="4" s="1"/>
  <c r="M215" i="4"/>
  <c r="L219" i="4" s="1"/>
  <c r="Q198" i="4"/>
  <c r="R197" i="4"/>
  <c r="T184" i="4"/>
  <c r="Y316" i="4"/>
  <c r="Y328" i="4" s="1"/>
  <c r="AE158" i="4"/>
  <c r="AE160" i="4" s="1"/>
  <c r="AE161" i="4" s="1"/>
  <c r="AE162" i="4" s="1"/>
  <c r="AD160" i="4"/>
  <c r="AB163" i="4"/>
  <c r="AH252" i="8" l="1"/>
  <c r="AH253" i="8" s="1"/>
  <c r="AG259" i="8"/>
  <c r="AG321" i="8" s="1"/>
  <c r="AG327" i="8" s="1"/>
  <c r="AG356" i="8" s="1"/>
  <c r="AF263" i="8"/>
  <c r="AF264" i="8" s="1"/>
  <c r="AF265" i="8" s="1"/>
  <c r="AE269" i="8"/>
  <c r="AD276" i="8"/>
  <c r="AD322" i="8" s="1"/>
  <c r="AD325" i="8" s="1"/>
  <c r="AD354" i="8" s="1"/>
  <c r="AL232" i="8"/>
  <c r="AJ245" i="8"/>
  <c r="AL137" i="4"/>
  <c r="AL290" i="4"/>
  <c r="AL307" i="4" s="1"/>
  <c r="AL347" i="4" s="1"/>
  <c r="AM290" i="4"/>
  <c r="AM307" i="4" s="1"/>
  <c r="AM347" i="4" s="1"/>
  <c r="O203" i="4"/>
  <c r="O204" i="4" s="1"/>
  <c r="O208" i="4" s="1"/>
  <c r="O207" i="4"/>
  <c r="L218" i="4"/>
  <c r="L220" i="4" s="1"/>
  <c r="L221" i="4" s="1"/>
  <c r="L225" i="4" s="1"/>
  <c r="C255" i="4"/>
  <c r="C259" i="4" s="1"/>
  <c r="C297" i="4"/>
  <c r="C303" i="4" s="1"/>
  <c r="C342" i="4" s="1"/>
  <c r="P202" i="4"/>
  <c r="P205" i="4" s="1"/>
  <c r="D297" i="4"/>
  <c r="D303" i="4" s="1"/>
  <c r="D342" i="4" s="1"/>
  <c r="D256" i="4"/>
  <c r="L295" i="4"/>
  <c r="L302" i="4" s="1"/>
  <c r="L341" i="4" s="1"/>
  <c r="L222" i="4"/>
  <c r="V293" i="4"/>
  <c r="V310" i="4" s="1"/>
  <c r="V350" i="4" s="1"/>
  <c r="V188" i="4"/>
  <c r="N329" i="4"/>
  <c r="N358" i="4" s="1"/>
  <c r="AL140" i="4"/>
  <c r="AL314" i="4" s="1"/>
  <c r="AM133" i="4"/>
  <c r="AM138" i="4" s="1"/>
  <c r="AF157" i="4"/>
  <c r="AF315" i="4" s="1"/>
  <c r="AF330" i="4" s="1"/>
  <c r="AF359" i="4" s="1"/>
  <c r="T186" i="4"/>
  <c r="T187" i="4" s="1"/>
  <c r="T191" i="4" s="1"/>
  <c r="AG152" i="4"/>
  <c r="AG153" i="4" s="1"/>
  <c r="AG157" i="4" s="1"/>
  <c r="Z169" i="4"/>
  <c r="Z170" i="4" s="1"/>
  <c r="Z174" i="4" s="1"/>
  <c r="S192" i="4"/>
  <c r="S194" i="4" s="1"/>
  <c r="S317" i="4"/>
  <c r="G243" i="4"/>
  <c r="G245" i="4" s="1"/>
  <c r="G246" i="4" s="1"/>
  <c r="G247" i="4" s="1"/>
  <c r="G248" i="4" s="1"/>
  <c r="G320" i="4"/>
  <c r="K226" i="4"/>
  <c r="K228" i="4" s="1"/>
  <c r="K229" i="4" s="1"/>
  <c r="K230" i="4" s="1"/>
  <c r="K231" i="4" s="1"/>
  <c r="K319" i="4"/>
  <c r="Z172" i="4"/>
  <c r="Z173" i="4"/>
  <c r="Y357" i="4"/>
  <c r="F249" i="4"/>
  <c r="E253" i="4" s="1"/>
  <c r="J232" i="4"/>
  <c r="H239" i="4"/>
  <c r="H241" i="4"/>
  <c r="H240" i="4"/>
  <c r="R198" i="4"/>
  <c r="N212" i="4"/>
  <c r="N213" i="4" s="1"/>
  <c r="N214" i="4" s="1"/>
  <c r="T190" i="4"/>
  <c r="T189" i="4"/>
  <c r="Y175" i="4"/>
  <c r="Y177" i="4" s="1"/>
  <c r="AD161" i="4"/>
  <c r="AD162" i="4" s="1"/>
  <c r="AE163" i="4" s="1"/>
  <c r="AG155" i="4"/>
  <c r="AG156" i="4"/>
  <c r="AB164" i="4"/>
  <c r="AA168" i="4" s="1"/>
  <c r="AH297" i="8" l="1"/>
  <c r="AH303" i="8" s="1"/>
  <c r="AH342" i="8" s="1"/>
  <c r="AH256" i="8"/>
  <c r="AH254" i="8"/>
  <c r="AH255" i="8" s="1"/>
  <c r="AH257" i="8"/>
  <c r="AH258" i="8"/>
  <c r="AG260" i="8"/>
  <c r="AG262" i="8" s="1"/>
  <c r="AK236" i="8"/>
  <c r="AM232" i="8"/>
  <c r="AF266" i="8"/>
  <c r="AE270" i="8" s="1"/>
  <c r="AE271" i="8" s="1"/>
  <c r="AD277" i="8"/>
  <c r="AE274" i="8"/>
  <c r="AE275" i="8"/>
  <c r="AJ246" i="8"/>
  <c r="AJ247" i="8" s="1"/>
  <c r="AJ248" i="8" s="1"/>
  <c r="P201" i="4"/>
  <c r="P203" i="4" s="1"/>
  <c r="P204" i="4" s="1"/>
  <c r="P208" i="4" s="1"/>
  <c r="L223" i="4"/>
  <c r="L224" i="4"/>
  <c r="D252" i="4"/>
  <c r="D258" i="4" s="1"/>
  <c r="P294" i="4"/>
  <c r="P305" i="4" s="1"/>
  <c r="P344" i="4" s="1"/>
  <c r="I236" i="4"/>
  <c r="I239" i="4" s="1"/>
  <c r="Q202" i="4"/>
  <c r="Q205" i="4" s="1"/>
  <c r="E297" i="4"/>
  <c r="E303" i="4" s="1"/>
  <c r="E342" i="4" s="1"/>
  <c r="E256" i="4"/>
  <c r="W293" i="4"/>
  <c r="W310" i="4" s="1"/>
  <c r="W350" i="4" s="1"/>
  <c r="W188" i="4"/>
  <c r="AM139" i="4"/>
  <c r="AL141" i="4"/>
  <c r="AL143" i="4" s="1"/>
  <c r="AL144" i="4" s="1"/>
  <c r="AL145" i="4" s="1"/>
  <c r="AL146" i="4" s="1"/>
  <c r="AL147" i="4" s="1"/>
  <c r="K326" i="4"/>
  <c r="K355" i="4" s="1"/>
  <c r="AL331" i="4"/>
  <c r="AL360" i="4" s="1"/>
  <c r="G361" i="4"/>
  <c r="G333" i="4"/>
  <c r="G362" i="4" s="1"/>
  <c r="AM135" i="4"/>
  <c r="AM136" i="4" s="1"/>
  <c r="AM140" i="4" s="1"/>
  <c r="AM314" i="4" s="1"/>
  <c r="S334" i="4"/>
  <c r="S363" i="4" s="1"/>
  <c r="AF158" i="4"/>
  <c r="AF160" i="4" s="1"/>
  <c r="AF161" i="4" s="1"/>
  <c r="AF162" i="4" s="1"/>
  <c r="O209" i="4"/>
  <c r="O211" i="4" s="1"/>
  <c r="O212" i="4" s="1"/>
  <c r="O213" i="4" s="1"/>
  <c r="O214" i="4" s="1"/>
  <c r="O318" i="4"/>
  <c r="C260" i="4"/>
  <c r="C262" i="4" s="1"/>
  <c r="C321" i="4"/>
  <c r="C327" i="4" s="1"/>
  <c r="C356" i="4" s="1"/>
  <c r="H296" i="4"/>
  <c r="H309" i="4" s="1"/>
  <c r="H349" i="4" s="1"/>
  <c r="AA167" i="4"/>
  <c r="H237" i="4"/>
  <c r="H238" i="4" s="1"/>
  <c r="H242" i="4" s="1"/>
  <c r="G249" i="4"/>
  <c r="K232" i="4"/>
  <c r="N215" i="4"/>
  <c r="M218" i="4"/>
  <c r="U184" i="4"/>
  <c r="S195" i="4"/>
  <c r="S196" i="4" s="1"/>
  <c r="S197" i="4" s="1"/>
  <c r="AD163" i="4"/>
  <c r="AH150" i="4"/>
  <c r="AH151" i="4" s="1"/>
  <c r="AC164" i="4"/>
  <c r="Y178" i="4"/>
  <c r="Y179" i="4" s="1"/>
  <c r="Y180" i="4" s="1"/>
  <c r="AG263" i="8" l="1"/>
  <c r="AG264" i="8" s="1"/>
  <c r="AG265" i="8" s="1"/>
  <c r="AG266" i="8" s="1"/>
  <c r="AI252" i="8"/>
  <c r="AH259" i="8"/>
  <c r="AH321" i="8" s="1"/>
  <c r="AH327" i="8" s="1"/>
  <c r="AH356" i="8" s="1"/>
  <c r="AE272" i="8"/>
  <c r="AF269" i="8" s="1"/>
  <c r="AF275" i="8" s="1"/>
  <c r="AJ249" i="8"/>
  <c r="AD279" i="8"/>
  <c r="AE273" i="8"/>
  <c r="AE298" i="8"/>
  <c r="AE301" i="8" s="1"/>
  <c r="AE340" i="8" s="1"/>
  <c r="AK239" i="8"/>
  <c r="AK296" i="8"/>
  <c r="AK309" i="8" s="1"/>
  <c r="AK349" i="8" s="1"/>
  <c r="AK237" i="8"/>
  <c r="AK238" i="8" s="1"/>
  <c r="AH154" i="4"/>
  <c r="AH291" i="4"/>
  <c r="AH306" i="4" s="1"/>
  <c r="AH346" i="4" s="1"/>
  <c r="P206" i="4"/>
  <c r="P207" i="4"/>
  <c r="D254" i="4"/>
  <c r="D255" i="4" s="1"/>
  <c r="D259" i="4" s="1"/>
  <c r="D257" i="4"/>
  <c r="Q294" i="4"/>
  <c r="Q305" i="4" s="1"/>
  <c r="Q344" i="4" s="1"/>
  <c r="I296" i="4"/>
  <c r="I309" i="4" s="1"/>
  <c r="I349" i="4" s="1"/>
  <c r="F253" i="4"/>
  <c r="F256" i="4" s="1"/>
  <c r="J236" i="4"/>
  <c r="J239" i="4" s="1"/>
  <c r="M219" i="4"/>
  <c r="M222" i="4" s="1"/>
  <c r="AB168" i="4"/>
  <c r="AB171" i="4" s="1"/>
  <c r="AA292" i="4"/>
  <c r="AA171" i="4"/>
  <c r="AM141" i="4"/>
  <c r="AM143" i="4" s="1"/>
  <c r="AM144" i="4" s="1"/>
  <c r="AM145" i="4" s="1"/>
  <c r="AM146" i="4" s="1"/>
  <c r="AM147" i="4" s="1"/>
  <c r="O329" i="4"/>
  <c r="O358" i="4" s="1"/>
  <c r="AM331" i="4"/>
  <c r="AM360" i="4" s="1"/>
  <c r="AF163" i="4"/>
  <c r="AH152" i="4"/>
  <c r="AH153" i="4" s="1"/>
  <c r="AI150" i="4" s="1"/>
  <c r="AI151" i="4" s="1"/>
  <c r="AI154" i="4" s="1"/>
  <c r="AA172" i="4"/>
  <c r="U186" i="4"/>
  <c r="U187" i="4" s="1"/>
  <c r="V184" i="4" s="1"/>
  <c r="L226" i="4"/>
  <c r="L228" i="4" s="1"/>
  <c r="L319" i="4"/>
  <c r="Z175" i="4"/>
  <c r="Z177" i="4" s="1"/>
  <c r="Z178" i="4" s="1"/>
  <c r="Z179" i="4" s="1"/>
  <c r="Z316" i="4"/>
  <c r="T192" i="4"/>
  <c r="T194" i="4" s="1"/>
  <c r="T317" i="4"/>
  <c r="AG315" i="4"/>
  <c r="AG330" i="4" s="1"/>
  <c r="AG359" i="4" s="1"/>
  <c r="AA173" i="4"/>
  <c r="AA169" i="4"/>
  <c r="I235" i="4"/>
  <c r="Q201" i="4"/>
  <c r="C263" i="4"/>
  <c r="C264" i="4" s="1"/>
  <c r="C265" i="4" s="1"/>
  <c r="O215" i="4"/>
  <c r="M223" i="4"/>
  <c r="M224" i="4"/>
  <c r="S198" i="4"/>
  <c r="U189" i="4"/>
  <c r="U190" i="4"/>
  <c r="AG158" i="4"/>
  <c r="AG160" i="4" s="1"/>
  <c r="AD164" i="4"/>
  <c r="AC168" i="4" s="1"/>
  <c r="Y181" i="4"/>
  <c r="X185" i="4" s="1"/>
  <c r="AH156" i="4"/>
  <c r="AH155" i="4"/>
  <c r="AF274" i="8" l="1"/>
  <c r="AF270" i="8"/>
  <c r="AF298" i="8" s="1"/>
  <c r="AF301" i="8" s="1"/>
  <c r="AF340" i="8" s="1"/>
  <c r="AI253" i="8"/>
  <c r="AI256" i="8" s="1"/>
  <c r="AI258" i="8"/>
  <c r="AI257" i="8"/>
  <c r="AE276" i="8"/>
  <c r="AE322" i="8" s="1"/>
  <c r="AE325" i="8" s="1"/>
  <c r="AE354" i="8" s="1"/>
  <c r="AH260" i="8"/>
  <c r="AH262" i="8" s="1"/>
  <c r="AL235" i="8"/>
  <c r="AK242" i="8"/>
  <c r="AK320" i="8" s="1"/>
  <c r="AK333" i="8" s="1"/>
  <c r="AK362" i="8" s="1"/>
  <c r="AD280" i="8"/>
  <c r="AD281" i="8" s="1"/>
  <c r="AD282" i="8" s="1"/>
  <c r="AD284" i="8" s="1"/>
  <c r="AD337" i="8" s="1"/>
  <c r="AI291" i="4"/>
  <c r="AI306" i="4" s="1"/>
  <c r="AI346" i="4" s="1"/>
  <c r="E252" i="4"/>
  <c r="E254" i="4" s="1"/>
  <c r="E255" i="4" s="1"/>
  <c r="F297" i="4"/>
  <c r="F303" i="4" s="1"/>
  <c r="F342" i="4" s="1"/>
  <c r="J296" i="4"/>
  <c r="J309" i="4" s="1"/>
  <c r="J349" i="4" s="1"/>
  <c r="M295" i="4"/>
  <c r="M302" i="4" s="1"/>
  <c r="M341" i="4" s="1"/>
  <c r="M220" i="4"/>
  <c r="M221" i="4" s="1"/>
  <c r="M225" i="4" s="1"/>
  <c r="AB292" i="4"/>
  <c r="AB304" i="4" s="1"/>
  <c r="AB343" i="4" s="1"/>
  <c r="N219" i="4"/>
  <c r="N222" i="4" s="1"/>
  <c r="R202" i="4"/>
  <c r="R205" i="4" s="1"/>
  <c r="X293" i="4"/>
  <c r="X310" i="4" s="1"/>
  <c r="X350" i="4" s="1"/>
  <c r="X188" i="4"/>
  <c r="T334" i="4"/>
  <c r="T363" i="4" s="1"/>
  <c r="L326" i="4"/>
  <c r="L355" i="4" s="1"/>
  <c r="Z328" i="4"/>
  <c r="Z357" i="4" s="1"/>
  <c r="C266" i="4"/>
  <c r="Z180" i="4"/>
  <c r="Z181" i="4" s="1"/>
  <c r="Y185" i="4" s="1"/>
  <c r="AI152" i="4"/>
  <c r="AI153" i="4" s="1"/>
  <c r="AI157" i="4" s="1"/>
  <c r="U191" i="4"/>
  <c r="V186" i="4"/>
  <c r="V187" i="4" s="1"/>
  <c r="W184" i="4" s="1"/>
  <c r="Q203" i="4"/>
  <c r="Q204" i="4" s="1"/>
  <c r="R201" i="4" s="1"/>
  <c r="I237" i="4"/>
  <c r="I238" i="4" s="1"/>
  <c r="I242" i="4" s="1"/>
  <c r="I320" i="4" s="1"/>
  <c r="AH157" i="4"/>
  <c r="P209" i="4"/>
  <c r="P211" i="4" s="1"/>
  <c r="P212" i="4" s="1"/>
  <c r="P213" i="4" s="1"/>
  <c r="P214" i="4" s="1"/>
  <c r="P318" i="4"/>
  <c r="D260" i="4"/>
  <c r="D262" i="4" s="1"/>
  <c r="D321" i="4"/>
  <c r="H243" i="4"/>
  <c r="H245" i="4" s="1"/>
  <c r="H246" i="4" s="1"/>
  <c r="H247" i="4" s="1"/>
  <c r="H248" i="4" s="1"/>
  <c r="H320" i="4"/>
  <c r="AA170" i="4"/>
  <c r="I241" i="4"/>
  <c r="Q206" i="4"/>
  <c r="I240" i="4"/>
  <c r="Q207" i="4"/>
  <c r="AA304" i="4"/>
  <c r="AA343" i="4" s="1"/>
  <c r="L229" i="4"/>
  <c r="L230" i="4" s="1"/>
  <c r="L231" i="4" s="1"/>
  <c r="V190" i="4"/>
  <c r="V189" i="4"/>
  <c r="T195" i="4"/>
  <c r="T196" i="4" s="1"/>
  <c r="T197" i="4" s="1"/>
  <c r="AE164" i="4"/>
  <c r="AD168" i="4" s="1"/>
  <c r="AG161" i="4"/>
  <c r="AG162" i="4" s="1"/>
  <c r="AG163" i="4" s="1"/>
  <c r="AI156" i="4"/>
  <c r="AI155" i="4"/>
  <c r="AF273" i="8" l="1"/>
  <c r="AF271" i="8"/>
  <c r="AF272" i="8" s="1"/>
  <c r="AG269" i="8" s="1"/>
  <c r="AI254" i="8"/>
  <c r="AI255" i="8" s="1"/>
  <c r="AI259" i="8" s="1"/>
  <c r="AI297" i="8"/>
  <c r="AI303" i="8" s="1"/>
  <c r="AI342" i="8" s="1"/>
  <c r="AH263" i="8"/>
  <c r="AH264" i="8" s="1"/>
  <c r="AH265" i="8" s="1"/>
  <c r="AH266" i="8" s="1"/>
  <c r="AE277" i="8"/>
  <c r="AE279" i="8" s="1"/>
  <c r="AE280" i="8" s="1"/>
  <c r="AE281" i="8" s="1"/>
  <c r="AE282" i="8" s="1"/>
  <c r="AE284" i="8" s="1"/>
  <c r="AE337" i="8" s="1"/>
  <c r="AL241" i="8"/>
  <c r="AL240" i="8"/>
  <c r="AL236" i="8"/>
  <c r="AL237" i="8" s="1"/>
  <c r="AD374" i="8"/>
  <c r="AD382" i="8" s="1"/>
  <c r="AD390" i="8" s="1"/>
  <c r="AD365" i="8"/>
  <c r="AD375" i="8" s="1"/>
  <c r="AD383" i="8" s="1"/>
  <c r="AK243" i="8"/>
  <c r="E258" i="4"/>
  <c r="E257" i="4"/>
  <c r="N218" i="4"/>
  <c r="N220" i="4" s="1"/>
  <c r="N221" i="4" s="1"/>
  <c r="N225" i="4" s="1"/>
  <c r="R294" i="4"/>
  <c r="R305" i="4" s="1"/>
  <c r="R344" i="4" s="1"/>
  <c r="N295" i="4"/>
  <c r="N302" i="4" s="1"/>
  <c r="N341" i="4" s="1"/>
  <c r="AC292" i="4"/>
  <c r="AC171" i="4"/>
  <c r="P329" i="4"/>
  <c r="P358" i="4" s="1"/>
  <c r="I361" i="4"/>
  <c r="I333" i="4"/>
  <c r="I362" i="4" s="1"/>
  <c r="H361" i="4"/>
  <c r="H333" i="4"/>
  <c r="H362" i="4" s="1"/>
  <c r="D327" i="4"/>
  <c r="D356" i="4" s="1"/>
  <c r="F252" i="4"/>
  <c r="F258" i="4" s="1"/>
  <c r="E259" i="4"/>
  <c r="Q208" i="4"/>
  <c r="V191" i="4"/>
  <c r="AB167" i="4"/>
  <c r="AA174" i="4"/>
  <c r="AA316" i="4" s="1"/>
  <c r="J235" i="4"/>
  <c r="J241" i="4" s="1"/>
  <c r="W186" i="4"/>
  <c r="W187" i="4" s="1"/>
  <c r="W191" i="4" s="1"/>
  <c r="R203" i="4"/>
  <c r="R204" i="4" s="1"/>
  <c r="R208" i="4" s="1"/>
  <c r="AH315" i="4"/>
  <c r="AH330" i="4" s="1"/>
  <c r="AH359" i="4" s="1"/>
  <c r="M226" i="4"/>
  <c r="M228" i="4" s="1"/>
  <c r="M319" i="4"/>
  <c r="U192" i="4"/>
  <c r="U194" i="4" s="1"/>
  <c r="U317" i="4"/>
  <c r="I243" i="4"/>
  <c r="I245" i="4" s="1"/>
  <c r="R206" i="4"/>
  <c r="R207" i="4"/>
  <c r="D263" i="4"/>
  <c r="D264" i="4" s="1"/>
  <c r="D265" i="4" s="1"/>
  <c r="H249" i="4"/>
  <c r="L232" i="4"/>
  <c r="K236" i="4" s="1"/>
  <c r="P215" i="4"/>
  <c r="T198" i="4"/>
  <c r="W189" i="4"/>
  <c r="W190" i="4"/>
  <c r="AF164" i="4"/>
  <c r="AJ150" i="4"/>
  <c r="AJ151" i="4" s="1"/>
  <c r="AH158" i="4"/>
  <c r="AJ252" i="8" l="1"/>
  <c r="AF276" i="8"/>
  <c r="AF322" i="8" s="1"/>
  <c r="AF325" i="8" s="1"/>
  <c r="AF354" i="8" s="1"/>
  <c r="AG270" i="8"/>
  <c r="AG273" i="8" s="1"/>
  <c r="AL238" i="8"/>
  <c r="AM235" i="8" s="1"/>
  <c r="AM240" i="8" s="1"/>
  <c r="AE365" i="8"/>
  <c r="AE375" i="8" s="1"/>
  <c r="AE383" i="8" s="1"/>
  <c r="AE374" i="8"/>
  <c r="AE382" i="8" s="1"/>
  <c r="AE390" i="8" s="1"/>
  <c r="AL239" i="8"/>
  <c r="AM296" i="8"/>
  <c r="AM309" i="8" s="1"/>
  <c r="AM349" i="8" s="1"/>
  <c r="AL296" i="8"/>
  <c r="AL309" i="8" s="1"/>
  <c r="AL349" i="8" s="1"/>
  <c r="AK245" i="8"/>
  <c r="AJ258" i="8"/>
  <c r="AJ257" i="8"/>
  <c r="AI321" i="8"/>
  <c r="AI327" i="8" s="1"/>
  <c r="AI356" i="8" s="1"/>
  <c r="AI260" i="8"/>
  <c r="AG275" i="8"/>
  <c r="AG274" i="8"/>
  <c r="AJ291" i="4"/>
  <c r="AJ306" i="4" s="1"/>
  <c r="AJ346" i="4" s="1"/>
  <c r="AJ154" i="4"/>
  <c r="N223" i="4"/>
  <c r="N224" i="4"/>
  <c r="G253" i="4"/>
  <c r="G256" i="4" s="1"/>
  <c r="O219" i="4"/>
  <c r="O222" i="4" s="1"/>
  <c r="S202" i="4"/>
  <c r="S205" i="4" s="1"/>
  <c r="AE168" i="4"/>
  <c r="AE171" i="4" s="1"/>
  <c r="K296" i="4"/>
  <c r="K309" i="4" s="1"/>
  <c r="K349" i="4" s="1"/>
  <c r="K239" i="4"/>
  <c r="Y293" i="4"/>
  <c r="Y310" i="4" s="1"/>
  <c r="Y350" i="4" s="1"/>
  <c r="Y188" i="4"/>
  <c r="AD292" i="4"/>
  <c r="AD304" i="4" s="1"/>
  <c r="AD343" i="4" s="1"/>
  <c r="AD171" i="4"/>
  <c r="AA328" i="4"/>
  <c r="AA357" i="4" s="1"/>
  <c r="M326" i="4"/>
  <c r="M355" i="4" s="1"/>
  <c r="U334" i="4"/>
  <c r="U363" i="4" s="1"/>
  <c r="D266" i="4"/>
  <c r="C270" i="4" s="1"/>
  <c r="F257" i="4"/>
  <c r="J240" i="4"/>
  <c r="AJ152" i="4"/>
  <c r="AJ153" i="4" s="1"/>
  <c r="AJ157" i="4" s="1"/>
  <c r="J237" i="4"/>
  <c r="J238" i="4" s="1"/>
  <c r="AB169" i="4"/>
  <c r="AB170" i="4" s="1"/>
  <c r="AC167" i="4" s="1"/>
  <c r="S201" i="4"/>
  <c r="AB172" i="4"/>
  <c r="AA175" i="4"/>
  <c r="AA177" i="4" s="1"/>
  <c r="AB173" i="4"/>
  <c r="F254" i="4"/>
  <c r="F255" i="4" s="1"/>
  <c r="G252" i="4" s="1"/>
  <c r="G258" i="4" s="1"/>
  <c r="E260" i="4"/>
  <c r="E262" i="4" s="1"/>
  <c r="E321" i="4"/>
  <c r="Q209" i="4"/>
  <c r="Q211" i="4" s="1"/>
  <c r="Q212" i="4" s="1"/>
  <c r="Q213" i="4" s="1"/>
  <c r="Q214" i="4" s="1"/>
  <c r="Q318" i="4"/>
  <c r="AI315" i="4"/>
  <c r="AI330" i="4" s="1"/>
  <c r="AI359" i="4" s="1"/>
  <c r="R318" i="4"/>
  <c r="V192" i="4"/>
  <c r="V194" i="4" s="1"/>
  <c r="V195" i="4" s="1"/>
  <c r="V196" i="4" s="1"/>
  <c r="V317" i="4"/>
  <c r="R209" i="4"/>
  <c r="AC304" i="4"/>
  <c r="AC343" i="4" s="1"/>
  <c r="I246" i="4"/>
  <c r="I247" i="4" s="1"/>
  <c r="I248" i="4" s="1"/>
  <c r="O218" i="4"/>
  <c r="M229" i="4"/>
  <c r="M230" i="4" s="1"/>
  <c r="M231" i="4" s="1"/>
  <c r="X184" i="4"/>
  <c r="U195" i="4"/>
  <c r="U196" i="4" s="1"/>
  <c r="AG164" i="4"/>
  <c r="AF168" i="4" s="1"/>
  <c r="AI158" i="4"/>
  <c r="AI160" i="4" s="1"/>
  <c r="AI161" i="4" s="1"/>
  <c r="AI162" i="4" s="1"/>
  <c r="AJ155" i="4"/>
  <c r="AJ156" i="4"/>
  <c r="AH160" i="4"/>
  <c r="AG271" i="8" l="1"/>
  <c r="AG272" i="8" s="1"/>
  <c r="AH269" i="8" s="1"/>
  <c r="AH274" i="8" s="1"/>
  <c r="AF277" i="8"/>
  <c r="AF279" i="8" s="1"/>
  <c r="AG298" i="8"/>
  <c r="AG301" i="8" s="1"/>
  <c r="AG340" i="8" s="1"/>
  <c r="AM237" i="8"/>
  <c r="AM238" i="8" s="1"/>
  <c r="AM242" i="8" s="1"/>
  <c r="AM241" i="8"/>
  <c r="AL242" i="8"/>
  <c r="AL320" i="8" s="1"/>
  <c r="AL333" i="8" s="1"/>
  <c r="AL362" i="8" s="1"/>
  <c r="AI262" i="8"/>
  <c r="AK246" i="8"/>
  <c r="AK247" i="8" s="1"/>
  <c r="AK248" i="8" s="1"/>
  <c r="G297" i="4"/>
  <c r="G303" i="4" s="1"/>
  <c r="G342" i="4" s="1"/>
  <c r="AE292" i="4"/>
  <c r="AE304" i="4" s="1"/>
  <c r="AE343" i="4" s="1"/>
  <c r="S203" i="4"/>
  <c r="S204" i="4" s="1"/>
  <c r="T201" i="4" s="1"/>
  <c r="O295" i="4"/>
  <c r="O302" i="4" s="1"/>
  <c r="O341" i="4" s="1"/>
  <c r="S294" i="4"/>
  <c r="S305" i="4" s="1"/>
  <c r="S344" i="4" s="1"/>
  <c r="C298" i="4"/>
  <c r="C301" i="4" s="1"/>
  <c r="C340" i="4" s="1"/>
  <c r="C273" i="4"/>
  <c r="AF292" i="4"/>
  <c r="AF171" i="4"/>
  <c r="C272" i="4"/>
  <c r="D269" i="4" s="1"/>
  <c r="V334" i="4"/>
  <c r="V363" i="4" s="1"/>
  <c r="R329" i="4"/>
  <c r="R358" i="4" s="1"/>
  <c r="E327" i="4"/>
  <c r="E356" i="4" s="1"/>
  <c r="Q329" i="4"/>
  <c r="Q358" i="4" s="1"/>
  <c r="G254" i="4"/>
  <c r="G255" i="4" s="1"/>
  <c r="G259" i="4" s="1"/>
  <c r="G257" i="4"/>
  <c r="K235" i="4"/>
  <c r="J242" i="4"/>
  <c r="J320" i="4" s="1"/>
  <c r="AC169" i="4"/>
  <c r="AC170" i="4" s="1"/>
  <c r="AC174" i="4" s="1"/>
  <c r="O220" i="4"/>
  <c r="O221" i="4" s="1"/>
  <c r="AB174" i="4"/>
  <c r="AB316" i="4" s="1"/>
  <c r="R211" i="4"/>
  <c r="R212" i="4" s="1"/>
  <c r="R213" i="4" s="1"/>
  <c r="R214" i="4" s="1"/>
  <c r="S207" i="4"/>
  <c r="X186" i="4"/>
  <c r="X187" i="4" s="1"/>
  <c r="Y184" i="4" s="1"/>
  <c r="S206" i="4"/>
  <c r="F259" i="4"/>
  <c r="F260" i="4" s="1"/>
  <c r="F262" i="4" s="1"/>
  <c r="AC173" i="4"/>
  <c r="N226" i="4"/>
  <c r="N228" i="4" s="1"/>
  <c r="N319" i="4"/>
  <c r="W192" i="4"/>
  <c r="W194" i="4" s="1"/>
  <c r="W195" i="4" s="1"/>
  <c r="W196" i="4" s="1"/>
  <c r="W197" i="4" s="1"/>
  <c r="W317" i="4"/>
  <c r="AC172" i="4"/>
  <c r="V197" i="4"/>
  <c r="I249" i="4"/>
  <c r="E263" i="4"/>
  <c r="E264" i="4" s="1"/>
  <c r="E265" i="4" s="1"/>
  <c r="M232" i="4"/>
  <c r="L236" i="4" s="1"/>
  <c r="Q215" i="4"/>
  <c r="O224" i="4"/>
  <c r="O223" i="4"/>
  <c r="U197" i="4"/>
  <c r="X190" i="4"/>
  <c r="X189" i="4"/>
  <c r="AK150" i="4"/>
  <c r="AK151" i="4" s="1"/>
  <c r="AA178" i="4"/>
  <c r="AA179" i="4" s="1"/>
  <c r="AA180" i="4" s="1"/>
  <c r="AH161" i="4"/>
  <c r="AH162" i="4" s="1"/>
  <c r="AI163" i="4" s="1"/>
  <c r="AH275" i="8" l="1"/>
  <c r="AG276" i="8"/>
  <c r="AG322" i="8" s="1"/>
  <c r="AG325" i="8" s="1"/>
  <c r="AG354" i="8" s="1"/>
  <c r="AM243" i="8"/>
  <c r="AL243" i="8"/>
  <c r="AL245" i="8" s="1"/>
  <c r="AL246" i="8" s="1"/>
  <c r="AL247" i="8" s="1"/>
  <c r="AM320" i="8"/>
  <c r="AM333" i="8" s="1"/>
  <c r="AM362" i="8" s="1"/>
  <c r="AK249" i="8"/>
  <c r="AJ253" i="8" s="1"/>
  <c r="AF280" i="8"/>
  <c r="AF281" i="8" s="1"/>
  <c r="AF282" i="8" s="1"/>
  <c r="AF284" i="8" s="1"/>
  <c r="AF337" i="8" s="1"/>
  <c r="AI263" i="8"/>
  <c r="AI264" i="8" s="1"/>
  <c r="AI265" i="8" s="1"/>
  <c r="AK154" i="4"/>
  <c r="AK291" i="4"/>
  <c r="AK306" i="4" s="1"/>
  <c r="AK346" i="4" s="1"/>
  <c r="S208" i="4"/>
  <c r="S209" i="4" s="1"/>
  <c r="S211" i="4" s="1"/>
  <c r="H253" i="4"/>
  <c r="H256" i="4" s="1"/>
  <c r="P219" i="4"/>
  <c r="P222" i="4" s="1"/>
  <c r="L296" i="4"/>
  <c r="L309" i="4" s="1"/>
  <c r="L349" i="4" s="1"/>
  <c r="L239" i="4"/>
  <c r="C276" i="4"/>
  <c r="C322" i="4" s="1"/>
  <c r="C325" i="4" s="1"/>
  <c r="C354" i="4" s="1"/>
  <c r="AB328" i="4"/>
  <c r="AB357" i="4" s="1"/>
  <c r="W334" i="4"/>
  <c r="W363" i="4" s="1"/>
  <c r="N326" i="4"/>
  <c r="N355" i="4" s="1"/>
  <c r="J361" i="4"/>
  <c r="J333" i="4"/>
  <c r="J362" i="4" s="1"/>
  <c r="F321" i="4"/>
  <c r="E266" i="4"/>
  <c r="D270" i="4" s="1"/>
  <c r="H252" i="4"/>
  <c r="D274" i="4"/>
  <c r="D275" i="4"/>
  <c r="J243" i="4"/>
  <c r="J245" i="4" s="1"/>
  <c r="J246" i="4" s="1"/>
  <c r="J247" i="4" s="1"/>
  <c r="AB175" i="4"/>
  <c r="AB177" i="4" s="1"/>
  <c r="K241" i="4"/>
  <c r="K237" i="4"/>
  <c r="K238" i="4" s="1"/>
  <c r="K240" i="4"/>
  <c r="P218" i="4"/>
  <c r="O225" i="4"/>
  <c r="Y186" i="4"/>
  <c r="Y187" i="4" s="1"/>
  <c r="Y191" i="4" s="1"/>
  <c r="X191" i="4"/>
  <c r="G321" i="4"/>
  <c r="G260" i="4"/>
  <c r="G262" i="4" s="1"/>
  <c r="G263" i="4" s="1"/>
  <c r="G264" i="4" s="1"/>
  <c r="AJ315" i="4"/>
  <c r="AJ330" i="4" s="1"/>
  <c r="AJ359" i="4" s="1"/>
  <c r="AD167" i="4"/>
  <c r="AK156" i="4"/>
  <c r="AK152" i="4"/>
  <c r="AK153" i="4" s="1"/>
  <c r="AL150" i="4" s="1"/>
  <c r="AL151" i="4" s="1"/>
  <c r="AL154" i="4" s="1"/>
  <c r="AF304" i="4"/>
  <c r="AF343" i="4" s="1"/>
  <c r="F263" i="4"/>
  <c r="F264" i="4" s="1"/>
  <c r="F265" i="4" s="1"/>
  <c r="N229" i="4"/>
  <c r="N230" i="4" s="1"/>
  <c r="N231" i="4" s="1"/>
  <c r="R215" i="4"/>
  <c r="U198" i="4"/>
  <c r="T202" i="4" s="1"/>
  <c r="T207" i="4"/>
  <c r="T206" i="4"/>
  <c r="Y189" i="4"/>
  <c r="Y190" i="4"/>
  <c r="AJ158" i="4"/>
  <c r="AJ160" i="4" s="1"/>
  <c r="AK155" i="4"/>
  <c r="AH163" i="4"/>
  <c r="AH164" i="4" s="1"/>
  <c r="AG168" i="4" s="1"/>
  <c r="AA181" i="4"/>
  <c r="Z185" i="4" s="1"/>
  <c r="AG277" i="8" l="1"/>
  <c r="AM245" i="8"/>
  <c r="AM246" i="8" s="1"/>
  <c r="AM247" i="8" s="1"/>
  <c r="AL248" i="8"/>
  <c r="AL249" i="8" s="1"/>
  <c r="AG279" i="8"/>
  <c r="AF365" i="8"/>
  <c r="AF375" i="8" s="1"/>
  <c r="AF383" i="8" s="1"/>
  <c r="AF374" i="8"/>
  <c r="AF382" i="8" s="1"/>
  <c r="AF390" i="8" s="1"/>
  <c r="AI266" i="8"/>
  <c r="AH270" i="8" s="1"/>
  <c r="AJ256" i="8"/>
  <c r="AJ297" i="8"/>
  <c r="AJ303" i="8" s="1"/>
  <c r="AJ342" i="8" s="1"/>
  <c r="AJ254" i="8"/>
  <c r="AJ255" i="8" s="1"/>
  <c r="AL291" i="4"/>
  <c r="AL306" i="4" s="1"/>
  <c r="AL346" i="4" s="1"/>
  <c r="AM291" i="4"/>
  <c r="AM306" i="4" s="1"/>
  <c r="AM346" i="4" s="1"/>
  <c r="S318" i="4"/>
  <c r="S329" i="4" s="1"/>
  <c r="S358" i="4" s="1"/>
  <c r="H254" i="4"/>
  <c r="H255" i="4" s="1"/>
  <c r="H259" i="4" s="1"/>
  <c r="P295" i="4"/>
  <c r="P302" i="4" s="1"/>
  <c r="P341" i="4" s="1"/>
  <c r="H297" i="4"/>
  <c r="H303" i="4" s="1"/>
  <c r="H342" i="4" s="1"/>
  <c r="P220" i="4"/>
  <c r="P221" i="4" s="1"/>
  <c r="Q218" i="4" s="1"/>
  <c r="Q219" i="4"/>
  <c r="Q222" i="4" s="1"/>
  <c r="D298" i="4"/>
  <c r="D301" i="4" s="1"/>
  <c r="D340" i="4" s="1"/>
  <c r="D273" i="4"/>
  <c r="AG292" i="4"/>
  <c r="AG171" i="4"/>
  <c r="C277" i="4"/>
  <c r="C279" i="4" s="1"/>
  <c r="F327" i="4"/>
  <c r="F356" i="4" s="1"/>
  <c r="H258" i="4"/>
  <c r="D271" i="4"/>
  <c r="D272" i="4" s="1"/>
  <c r="H257" i="4"/>
  <c r="G327" i="4"/>
  <c r="G356" i="4" s="1"/>
  <c r="F266" i="4"/>
  <c r="P224" i="4"/>
  <c r="P223" i="4"/>
  <c r="L235" i="4"/>
  <c r="K242" i="4"/>
  <c r="AD169" i="4"/>
  <c r="AD170" i="4" s="1"/>
  <c r="AK157" i="4"/>
  <c r="AK315" i="4" s="1"/>
  <c r="AK330" i="4" s="1"/>
  <c r="AK359" i="4" s="1"/>
  <c r="AL152" i="4"/>
  <c r="AL153" i="4" s="1"/>
  <c r="AL157" i="4" s="1"/>
  <c r="O226" i="4"/>
  <c r="O228" i="4" s="1"/>
  <c r="O229" i="4" s="1"/>
  <c r="O230" i="4" s="1"/>
  <c r="O231" i="4" s="1"/>
  <c r="O319" i="4"/>
  <c r="X192" i="4"/>
  <c r="X194" i="4" s="1"/>
  <c r="X195" i="4" s="1"/>
  <c r="X196" i="4" s="1"/>
  <c r="X197" i="4" s="1"/>
  <c r="X317" i="4"/>
  <c r="AC175" i="4"/>
  <c r="AC177" i="4" s="1"/>
  <c r="AC178" i="4" s="1"/>
  <c r="AC179" i="4" s="1"/>
  <c r="AC316" i="4"/>
  <c r="AD173" i="4"/>
  <c r="AD172" i="4"/>
  <c r="G265" i="4"/>
  <c r="N232" i="4"/>
  <c r="M236" i="4" s="1"/>
  <c r="J248" i="4"/>
  <c r="S212" i="4"/>
  <c r="S213" i="4" s="1"/>
  <c r="S214" i="4" s="1"/>
  <c r="V198" i="4"/>
  <c r="U202" i="4" s="1"/>
  <c r="Z184" i="4"/>
  <c r="AI164" i="4"/>
  <c r="AH168" i="4" s="1"/>
  <c r="AJ161" i="4"/>
  <c r="AJ162" i="4" s="1"/>
  <c r="AB178" i="4"/>
  <c r="AB179" i="4" s="1"/>
  <c r="AL156" i="4"/>
  <c r="AL155" i="4"/>
  <c r="AM248" i="8" l="1"/>
  <c r="AM249" i="8" s="1"/>
  <c r="AK252" i="8"/>
  <c r="AK253" i="8" s="1"/>
  <c r="AJ259" i="8"/>
  <c r="AH273" i="8"/>
  <c r="AH298" i="8"/>
  <c r="AH301" i="8" s="1"/>
  <c r="AH340" i="8" s="1"/>
  <c r="AH271" i="8"/>
  <c r="AH272" i="8" s="1"/>
  <c r="AG280" i="8"/>
  <c r="AG281" i="8" s="1"/>
  <c r="AG282" i="8" s="1"/>
  <c r="AG284" i="8" s="1"/>
  <c r="AG337" i="8" s="1"/>
  <c r="I252" i="4"/>
  <c r="I257" i="4" s="1"/>
  <c r="Q220" i="4"/>
  <c r="Q221" i="4" s="1"/>
  <c r="Q225" i="4" s="1"/>
  <c r="Q224" i="4"/>
  <c r="Q223" i="4"/>
  <c r="P225" i="4"/>
  <c r="P226" i="4" s="1"/>
  <c r="P228" i="4" s="1"/>
  <c r="P229" i="4" s="1"/>
  <c r="P230" i="4" s="1"/>
  <c r="P231" i="4" s="1"/>
  <c r="Q295" i="4"/>
  <c r="Q302" i="4" s="1"/>
  <c r="Q341" i="4" s="1"/>
  <c r="E270" i="4"/>
  <c r="E273" i="4" s="1"/>
  <c r="M296" i="4"/>
  <c r="M309" i="4" s="1"/>
  <c r="M349" i="4" s="1"/>
  <c r="M239" i="4"/>
  <c r="T294" i="4"/>
  <c r="T305" i="4" s="1"/>
  <c r="T344" i="4" s="1"/>
  <c r="T205" i="4"/>
  <c r="Z293" i="4"/>
  <c r="Z310" i="4" s="1"/>
  <c r="Z350" i="4" s="1"/>
  <c r="Z188" i="4"/>
  <c r="AH292" i="4"/>
  <c r="AH171" i="4"/>
  <c r="C280" i="4"/>
  <c r="C281" i="4" s="1"/>
  <c r="C282" i="4" s="1"/>
  <c r="C284" i="4" s="1"/>
  <c r="C337" i="4" s="1"/>
  <c r="E269" i="4"/>
  <c r="D276" i="4"/>
  <c r="X334" i="4"/>
  <c r="X363" i="4" s="1"/>
  <c r="O326" i="4"/>
  <c r="O355" i="4" s="1"/>
  <c r="AC328" i="4"/>
  <c r="AC357" i="4" s="1"/>
  <c r="G266" i="4"/>
  <c r="K243" i="4"/>
  <c r="K245" i="4" s="1"/>
  <c r="K320" i="4"/>
  <c r="L237" i="4"/>
  <c r="L238" i="4" s="1"/>
  <c r="M235" i="4" s="1"/>
  <c r="M237" i="4" s="1"/>
  <c r="M238" i="4" s="1"/>
  <c r="M242" i="4" s="1"/>
  <c r="L241" i="4"/>
  <c r="L240" i="4"/>
  <c r="AD174" i="4"/>
  <c r="AD316" i="4" s="1"/>
  <c r="H260" i="4"/>
  <c r="H262" i="4" s="1"/>
  <c r="H321" i="4"/>
  <c r="Y192" i="4"/>
  <c r="Y194" i="4" s="1"/>
  <c r="Y317" i="4"/>
  <c r="AE167" i="4"/>
  <c r="T203" i="4"/>
  <c r="T204" i="4" s="1"/>
  <c r="T208" i="4" s="1"/>
  <c r="Z186" i="4"/>
  <c r="Z187" i="4" s="1"/>
  <c r="AA184" i="4" s="1"/>
  <c r="AG304" i="4"/>
  <c r="AG343" i="4" s="1"/>
  <c r="J249" i="4"/>
  <c r="I253" i="4" s="1"/>
  <c r="O232" i="4"/>
  <c r="N236" i="4" s="1"/>
  <c r="S215" i="4"/>
  <c r="U205" i="4"/>
  <c r="W198" i="4"/>
  <c r="Z190" i="4"/>
  <c r="Z189" i="4"/>
  <c r="AC180" i="4"/>
  <c r="AK158" i="4"/>
  <c r="AK160" i="4" s="1"/>
  <c r="AK161" i="4" s="1"/>
  <c r="AK162" i="4" s="1"/>
  <c r="AJ163" i="4"/>
  <c r="AJ164" i="4" s="1"/>
  <c r="AM150" i="4"/>
  <c r="AB180" i="4"/>
  <c r="AG374" i="8" l="1"/>
  <c r="AG382" i="8" s="1"/>
  <c r="AG390" i="8" s="1"/>
  <c r="AG365" i="8"/>
  <c r="AG375" i="8" s="1"/>
  <c r="AG383" i="8" s="1"/>
  <c r="AK256" i="8"/>
  <c r="AK297" i="8"/>
  <c r="AK303" i="8" s="1"/>
  <c r="AK342" i="8" s="1"/>
  <c r="AI269" i="8"/>
  <c r="AH276" i="8"/>
  <c r="AJ321" i="8"/>
  <c r="AJ327" i="8" s="1"/>
  <c r="AJ356" i="8" s="1"/>
  <c r="AJ260" i="8"/>
  <c r="AK257" i="8"/>
  <c r="AK258" i="8"/>
  <c r="AK254" i="8"/>
  <c r="AK255" i="8" s="1"/>
  <c r="AL252" i="8" s="1"/>
  <c r="I258" i="4"/>
  <c r="R218" i="4"/>
  <c r="R224" i="4" s="1"/>
  <c r="P319" i="4"/>
  <c r="P326" i="4" s="1"/>
  <c r="P355" i="4" s="1"/>
  <c r="E298" i="4"/>
  <c r="E301" i="4" s="1"/>
  <c r="E340" i="4" s="1"/>
  <c r="F270" i="4"/>
  <c r="F273" i="4" s="1"/>
  <c r="R219" i="4"/>
  <c r="R222" i="4" s="1"/>
  <c r="V202" i="4"/>
  <c r="V205" i="4" s="1"/>
  <c r="N296" i="4"/>
  <c r="N309" i="4" s="1"/>
  <c r="N349" i="4" s="1"/>
  <c r="N239" i="4"/>
  <c r="C374" i="4"/>
  <c r="C382" i="4" s="1"/>
  <c r="C365" i="4"/>
  <c r="C375" i="4" s="1"/>
  <c r="C383" i="4" s="1"/>
  <c r="K361" i="4"/>
  <c r="K333" i="4"/>
  <c r="K362" i="4" s="1"/>
  <c r="H327" i="4"/>
  <c r="H356" i="4" s="1"/>
  <c r="D322" i="4"/>
  <c r="D277" i="4"/>
  <c r="D279" i="4" s="1"/>
  <c r="Y334" i="4"/>
  <c r="Y363" i="4" s="1"/>
  <c r="AD328" i="4"/>
  <c r="AD357" i="4" s="1"/>
  <c r="E275" i="4"/>
  <c r="E274" i="4"/>
  <c r="E271" i="4"/>
  <c r="E272" i="4" s="1"/>
  <c r="L242" i="4"/>
  <c r="L320" i="4" s="1"/>
  <c r="AD175" i="4"/>
  <c r="AD177" i="4" s="1"/>
  <c r="AD178" i="4" s="1"/>
  <c r="AD179" i="4" s="1"/>
  <c r="AD180" i="4" s="1"/>
  <c r="M240" i="4"/>
  <c r="M241" i="4"/>
  <c r="K246" i="4"/>
  <c r="K247" i="4" s="1"/>
  <c r="K248" i="4" s="1"/>
  <c r="K249" i="4" s="1"/>
  <c r="AM152" i="4"/>
  <c r="AM153" i="4" s="1"/>
  <c r="AM157" i="4" s="1"/>
  <c r="AE169" i="4"/>
  <c r="AE170" i="4" s="1"/>
  <c r="Z191" i="4"/>
  <c r="AE173" i="4"/>
  <c r="AL315" i="4"/>
  <c r="AL330" i="4" s="1"/>
  <c r="AL359" i="4" s="1"/>
  <c r="Q226" i="4"/>
  <c r="Q228" i="4" s="1"/>
  <c r="Q229" i="4" s="1"/>
  <c r="Q230" i="4" s="1"/>
  <c r="Q231" i="4" s="1"/>
  <c r="Q319" i="4"/>
  <c r="AE172" i="4"/>
  <c r="U294" i="4"/>
  <c r="U305" i="4" s="1"/>
  <c r="U344" i="4" s="1"/>
  <c r="AH304" i="4"/>
  <c r="AH343" i="4" s="1"/>
  <c r="H263" i="4"/>
  <c r="H264" i="4" s="1"/>
  <c r="H265" i="4" s="1"/>
  <c r="I256" i="4"/>
  <c r="N235" i="4"/>
  <c r="P232" i="4"/>
  <c r="O236" i="4" s="1"/>
  <c r="X198" i="4"/>
  <c r="W202" i="4" s="1"/>
  <c r="U201" i="4"/>
  <c r="AA190" i="4"/>
  <c r="AA189" i="4"/>
  <c r="Y195" i="4"/>
  <c r="Y196" i="4" s="1"/>
  <c r="Y197" i="4" s="1"/>
  <c r="AL158" i="4"/>
  <c r="AL160" i="4" s="1"/>
  <c r="AL161" i="4" s="1"/>
  <c r="AL162" i="4" s="1"/>
  <c r="AL163" i="4" s="1"/>
  <c r="AK163" i="4"/>
  <c r="AK164" i="4" s="1"/>
  <c r="AM156" i="4"/>
  <c r="AM155" i="4"/>
  <c r="AB181" i="4"/>
  <c r="AA185" i="4" s="1"/>
  <c r="AH322" i="8" l="1"/>
  <c r="AH325" i="8" s="1"/>
  <c r="AH354" i="8" s="1"/>
  <c r="AH277" i="8"/>
  <c r="AI275" i="8"/>
  <c r="AI274" i="8"/>
  <c r="AL257" i="8"/>
  <c r="AL258" i="8"/>
  <c r="AL253" i="8"/>
  <c r="AJ262" i="8"/>
  <c r="AK259" i="8"/>
  <c r="AK321" i="8" s="1"/>
  <c r="AK327" i="8" s="1"/>
  <c r="AK356" i="8" s="1"/>
  <c r="R223" i="4"/>
  <c r="R220" i="4"/>
  <c r="R221" i="4" s="1"/>
  <c r="R225" i="4" s="1"/>
  <c r="V294" i="4"/>
  <c r="V305" i="4" s="1"/>
  <c r="V344" i="4" s="1"/>
  <c r="R295" i="4"/>
  <c r="R302" i="4" s="1"/>
  <c r="R341" i="4" s="1"/>
  <c r="F298" i="4"/>
  <c r="F301" i="4" s="1"/>
  <c r="F340" i="4" s="1"/>
  <c r="J253" i="4"/>
  <c r="J256" i="4" s="1"/>
  <c r="O296" i="4"/>
  <c r="O309" i="4" s="1"/>
  <c r="O349" i="4" s="1"/>
  <c r="O239" i="4"/>
  <c r="W294" i="4"/>
  <c r="W305" i="4" s="1"/>
  <c r="W344" i="4" s="1"/>
  <c r="W205" i="4"/>
  <c r="AA293" i="4"/>
  <c r="AA310" i="4" s="1"/>
  <c r="AA350" i="4" s="1"/>
  <c r="AA188" i="4"/>
  <c r="D280" i="4"/>
  <c r="D281" i="4" s="1"/>
  <c r="D282" i="4" s="1"/>
  <c r="D284" i="4" s="1"/>
  <c r="D337" i="4" s="1"/>
  <c r="D374" i="4" s="1"/>
  <c r="D382" i="4" s="1"/>
  <c r="L361" i="4"/>
  <c r="L333" i="4"/>
  <c r="L362" i="4" s="1"/>
  <c r="F269" i="4"/>
  <c r="E276" i="4"/>
  <c r="E277" i="4" s="1"/>
  <c r="E279" i="4" s="1"/>
  <c r="E280" i="4" s="1"/>
  <c r="Q326" i="4"/>
  <c r="Q355" i="4" s="1"/>
  <c r="D325" i="4"/>
  <c r="D354" i="4" s="1"/>
  <c r="H266" i="4"/>
  <c r="L243" i="4"/>
  <c r="L245" i="4" s="1"/>
  <c r="L246" i="4" s="1"/>
  <c r="L247" i="4" s="1"/>
  <c r="AF167" i="4"/>
  <c r="AF173" i="4" s="1"/>
  <c r="AE174" i="4"/>
  <c r="AE175" i="4" s="1"/>
  <c r="AE177" i="4" s="1"/>
  <c r="U203" i="4"/>
  <c r="U204" i="4" s="1"/>
  <c r="N237" i="4"/>
  <c r="N238" i="4" s="1"/>
  <c r="N242" i="4" s="1"/>
  <c r="AM315" i="4"/>
  <c r="AM330" i="4" s="1"/>
  <c r="AM359" i="4" s="1"/>
  <c r="Z192" i="4"/>
  <c r="Z194" i="4" s="1"/>
  <c r="Z317" i="4"/>
  <c r="T209" i="4"/>
  <c r="T211" i="4" s="1"/>
  <c r="T318" i="4"/>
  <c r="M243" i="4"/>
  <c r="M320" i="4"/>
  <c r="I297" i="4"/>
  <c r="I303" i="4" s="1"/>
  <c r="I342" i="4" s="1"/>
  <c r="I254" i="4"/>
  <c r="I255" i="4" s="1"/>
  <c r="I259" i="4" s="1"/>
  <c r="AA186" i="4"/>
  <c r="AA187" i="4" s="1"/>
  <c r="AA191" i="4" s="1"/>
  <c r="Q232" i="4"/>
  <c r="P236" i="4" s="1"/>
  <c r="N240" i="4"/>
  <c r="N241" i="4"/>
  <c r="Y198" i="4"/>
  <c r="U207" i="4"/>
  <c r="U206" i="4"/>
  <c r="AC181" i="4"/>
  <c r="AB185" i="4" s="1"/>
  <c r="AL164" i="4"/>
  <c r="AM158" i="4"/>
  <c r="AM160" i="4" s="1"/>
  <c r="AJ263" i="8" l="1"/>
  <c r="AJ264" i="8" s="1"/>
  <c r="AJ265" i="8" s="1"/>
  <c r="AH279" i="8"/>
  <c r="AL256" i="8"/>
  <c r="AL297" i="8"/>
  <c r="AL303" i="8" s="1"/>
  <c r="AL342" i="8" s="1"/>
  <c r="AM297" i="8"/>
  <c r="AM303" i="8" s="1"/>
  <c r="AM342" i="8" s="1"/>
  <c r="AL254" i="8"/>
  <c r="AL255" i="8" s="1"/>
  <c r="AK260" i="8"/>
  <c r="S218" i="4"/>
  <c r="S223" i="4" s="1"/>
  <c r="J297" i="4"/>
  <c r="J303" i="4" s="1"/>
  <c r="J342" i="4" s="1"/>
  <c r="G270" i="4"/>
  <c r="G273" i="4" s="1"/>
  <c r="X202" i="4"/>
  <c r="X205" i="4" s="1"/>
  <c r="P296" i="4"/>
  <c r="P309" i="4" s="1"/>
  <c r="P349" i="4" s="1"/>
  <c r="P239" i="4"/>
  <c r="D365" i="4"/>
  <c r="D375" i="4" s="1"/>
  <c r="D383" i="4" s="1"/>
  <c r="E281" i="4"/>
  <c r="E282" i="4" s="1"/>
  <c r="E284" i="4" s="1"/>
  <c r="E337" i="4" s="1"/>
  <c r="Z334" i="4"/>
  <c r="Z363" i="4" s="1"/>
  <c r="M361" i="4"/>
  <c r="M333" i="4"/>
  <c r="M362" i="4" s="1"/>
  <c r="E322" i="4"/>
  <c r="F274" i="4"/>
  <c r="F275" i="4"/>
  <c r="F271" i="4"/>
  <c r="F272" i="4" s="1"/>
  <c r="G269" i="4" s="1"/>
  <c r="T329" i="4"/>
  <c r="T358" i="4" s="1"/>
  <c r="AF172" i="4"/>
  <c r="M245" i="4"/>
  <c r="M246" i="4" s="1"/>
  <c r="M247" i="4" s="1"/>
  <c r="M248" i="4" s="1"/>
  <c r="L248" i="4"/>
  <c r="L249" i="4" s="1"/>
  <c r="AE316" i="4"/>
  <c r="V201" i="4"/>
  <c r="V206" i="4" s="1"/>
  <c r="U208" i="4"/>
  <c r="AF169" i="4"/>
  <c r="AF170" i="4" s="1"/>
  <c r="AF174" i="4" s="1"/>
  <c r="AF316" i="4" s="1"/>
  <c r="AF328" i="4" s="1"/>
  <c r="R226" i="4"/>
  <c r="R228" i="4" s="1"/>
  <c r="R319" i="4"/>
  <c r="AB184" i="4"/>
  <c r="J252" i="4"/>
  <c r="O235" i="4"/>
  <c r="T212" i="4"/>
  <c r="T213" i="4" s="1"/>
  <c r="T214" i="4" s="1"/>
  <c r="Z195" i="4"/>
  <c r="Z196" i="4" s="1"/>
  <c r="Z197" i="4" s="1"/>
  <c r="AD181" i="4"/>
  <c r="AC185" i="4" s="1"/>
  <c r="AM161" i="4"/>
  <c r="AM162" i="4" s="1"/>
  <c r="AM163" i="4" s="1"/>
  <c r="AE178" i="4"/>
  <c r="AE179" i="4" s="1"/>
  <c r="AE180" i="4" s="1"/>
  <c r="AJ266" i="8" l="1"/>
  <c r="AI270" i="8" s="1"/>
  <c r="AK262" i="8"/>
  <c r="AH280" i="8"/>
  <c r="AH281" i="8" s="1"/>
  <c r="AH282" i="8" s="1"/>
  <c r="AH284" i="8" s="1"/>
  <c r="AH337" i="8" s="1"/>
  <c r="AM252" i="8"/>
  <c r="AL259" i="8"/>
  <c r="AL321" i="8" s="1"/>
  <c r="AL327" i="8" s="1"/>
  <c r="AL356" i="8" s="1"/>
  <c r="S224" i="4"/>
  <c r="X294" i="4"/>
  <c r="X305" i="4" s="1"/>
  <c r="X344" i="4" s="1"/>
  <c r="G298" i="4"/>
  <c r="G301" i="4" s="1"/>
  <c r="G340" i="4" s="1"/>
  <c r="K253" i="4"/>
  <c r="K256" i="4" s="1"/>
  <c r="AB293" i="4"/>
  <c r="AB310" i="4" s="1"/>
  <c r="AB350" i="4" s="1"/>
  <c r="AB188" i="4"/>
  <c r="E374" i="4"/>
  <c r="E382" i="4" s="1"/>
  <c r="E325" i="4"/>
  <c r="E354" i="4" s="1"/>
  <c r="E365" i="4" s="1"/>
  <c r="E375" i="4" s="1"/>
  <c r="E383" i="4" s="1"/>
  <c r="F276" i="4"/>
  <c r="F277" i="4" s="1"/>
  <c r="G274" i="4"/>
  <c r="G275" i="4"/>
  <c r="G271" i="4"/>
  <c r="G272" i="4" s="1"/>
  <c r="H269" i="4" s="1"/>
  <c r="R326" i="4"/>
  <c r="R355" i="4" s="1"/>
  <c r="AE328" i="4"/>
  <c r="AE357" i="4" s="1"/>
  <c r="AG167" i="4"/>
  <c r="AG169" i="4" s="1"/>
  <c r="V207" i="4"/>
  <c r="J254" i="4"/>
  <c r="J255" i="4" s="1"/>
  <c r="K252" i="4" s="1"/>
  <c r="AB189" i="4"/>
  <c r="O237" i="4"/>
  <c r="O238" i="4" s="1"/>
  <c r="P235" i="4" s="1"/>
  <c r="V203" i="4"/>
  <c r="V204" i="4" s="1"/>
  <c r="W201" i="4" s="1"/>
  <c r="N243" i="4"/>
  <c r="N245" i="4" s="1"/>
  <c r="N320" i="4"/>
  <c r="U209" i="4"/>
  <c r="U211" i="4" s="1"/>
  <c r="U318" i="4"/>
  <c r="I260" i="4"/>
  <c r="I262" i="4" s="1"/>
  <c r="I321" i="4"/>
  <c r="AA192" i="4"/>
  <c r="AA194" i="4" s="1"/>
  <c r="AA195" i="4" s="1"/>
  <c r="AA196" i="4" s="1"/>
  <c r="AA197" i="4" s="1"/>
  <c r="AA317" i="4"/>
  <c r="AB190" i="4"/>
  <c r="AF357" i="4"/>
  <c r="AB186" i="4"/>
  <c r="AB187" i="4" s="1"/>
  <c r="AB191" i="4" s="1"/>
  <c r="J258" i="4"/>
  <c r="J257" i="4"/>
  <c r="M249" i="4"/>
  <c r="O240" i="4"/>
  <c r="O241" i="4"/>
  <c r="T215" i="4"/>
  <c r="S219" i="4" s="1"/>
  <c r="R229" i="4"/>
  <c r="R230" i="4" s="1"/>
  <c r="R231" i="4" s="1"/>
  <c r="Z198" i="4"/>
  <c r="AF175" i="4"/>
  <c r="AF177" i="4" s="1"/>
  <c r="AM164" i="4"/>
  <c r="AE181" i="4"/>
  <c r="AD185" i="4" s="1"/>
  <c r="AH374" i="8" l="1"/>
  <c r="AH382" i="8" s="1"/>
  <c r="AH390" i="8" s="1"/>
  <c r="AH365" i="8"/>
  <c r="AH375" i="8" s="1"/>
  <c r="AH383" i="8" s="1"/>
  <c r="AM257" i="8"/>
  <c r="AM258" i="8"/>
  <c r="AM254" i="8"/>
  <c r="AM255" i="8" s="1"/>
  <c r="AM259" i="8" s="1"/>
  <c r="AM321" i="8" s="1"/>
  <c r="AM327" i="8" s="1"/>
  <c r="AM356" i="8" s="1"/>
  <c r="AI273" i="8"/>
  <c r="AI298" i="8"/>
  <c r="AI301" i="8" s="1"/>
  <c r="AI340" i="8" s="1"/>
  <c r="AI271" i="8"/>
  <c r="AI272" i="8" s="1"/>
  <c r="AK263" i="8"/>
  <c r="AK264" i="8" s="1"/>
  <c r="AK265" i="8" s="1"/>
  <c r="AL260" i="8"/>
  <c r="K297" i="4"/>
  <c r="K303" i="4" s="1"/>
  <c r="K342" i="4" s="1"/>
  <c r="L253" i="4"/>
  <c r="L256" i="4" s="1"/>
  <c r="Y202" i="4"/>
  <c r="Y205" i="4" s="1"/>
  <c r="S295" i="4"/>
  <c r="S302" i="4" s="1"/>
  <c r="S341" i="4" s="1"/>
  <c r="S222" i="4"/>
  <c r="AC293" i="4"/>
  <c r="AC310" i="4" s="1"/>
  <c r="AC350" i="4" s="1"/>
  <c r="AC188" i="4"/>
  <c r="G276" i="4"/>
  <c r="G277" i="4" s="1"/>
  <c r="G279" i="4" s="1"/>
  <c r="F279" i="4"/>
  <c r="H274" i="4"/>
  <c r="H275" i="4"/>
  <c r="N361" i="4"/>
  <c r="N333" i="4"/>
  <c r="N362" i="4" s="1"/>
  <c r="AA334" i="4"/>
  <c r="AA363" i="4" s="1"/>
  <c r="I327" i="4"/>
  <c r="I356" i="4" s="1"/>
  <c r="F322" i="4"/>
  <c r="U329" i="4"/>
  <c r="U358" i="4" s="1"/>
  <c r="AG170" i="4"/>
  <c r="AH167" i="4" s="1"/>
  <c r="AH169" i="4" s="1"/>
  <c r="AH170" i="4" s="1"/>
  <c r="AG173" i="4"/>
  <c r="AG172" i="4"/>
  <c r="V208" i="4"/>
  <c r="V209" i="4" s="1"/>
  <c r="V211" i="4" s="1"/>
  <c r="V212" i="4" s="1"/>
  <c r="V213" i="4" s="1"/>
  <c r="W203" i="4"/>
  <c r="W204" i="4" s="1"/>
  <c r="W208" i="4" s="1"/>
  <c r="P237" i="4"/>
  <c r="P238" i="4" s="1"/>
  <c r="Q235" i="4" s="1"/>
  <c r="K254" i="4"/>
  <c r="K255" i="4" s="1"/>
  <c r="K259" i="4" s="1"/>
  <c r="J259" i="4"/>
  <c r="O242" i="4"/>
  <c r="S220" i="4"/>
  <c r="S221" i="4" s="1"/>
  <c r="S225" i="4" s="1"/>
  <c r="K258" i="4"/>
  <c r="K257" i="4"/>
  <c r="I263" i="4"/>
  <c r="I264" i="4" s="1"/>
  <c r="I265" i="4" s="1"/>
  <c r="R232" i="4"/>
  <c r="Q236" i="4" s="1"/>
  <c r="P241" i="4"/>
  <c r="P240" i="4"/>
  <c r="N246" i="4"/>
  <c r="N247" i="4" s="1"/>
  <c r="N248" i="4" s="1"/>
  <c r="AA198" i="4"/>
  <c r="U212" i="4"/>
  <c r="U213" i="4" s="1"/>
  <c r="W207" i="4"/>
  <c r="W206" i="4"/>
  <c r="AC184" i="4"/>
  <c r="AF178" i="4"/>
  <c r="AF179" i="4" s="1"/>
  <c r="AK266" i="8" l="1"/>
  <c r="AJ269" i="8"/>
  <c r="AI276" i="8"/>
  <c r="AI322" i="8" s="1"/>
  <c r="AI325" i="8" s="1"/>
  <c r="AI354" i="8" s="1"/>
  <c r="AM260" i="8"/>
  <c r="AM262" i="8" s="1"/>
  <c r="AL262" i="8"/>
  <c r="Y294" i="4"/>
  <c r="Y305" i="4" s="1"/>
  <c r="Y344" i="4" s="1"/>
  <c r="L297" i="4"/>
  <c r="L303" i="4" s="1"/>
  <c r="L342" i="4" s="1"/>
  <c r="Z202" i="4"/>
  <c r="Z205" i="4" s="1"/>
  <c r="Q296" i="4"/>
  <c r="Q309" i="4" s="1"/>
  <c r="Q349" i="4" s="1"/>
  <c r="Q239" i="4"/>
  <c r="AD293" i="4"/>
  <c r="AD310" i="4" s="1"/>
  <c r="AD350" i="4" s="1"/>
  <c r="AD188" i="4"/>
  <c r="G322" i="4"/>
  <c r="G325" i="4" s="1"/>
  <c r="G354" i="4" s="1"/>
  <c r="G280" i="4"/>
  <c r="G281" i="4" s="1"/>
  <c r="F280" i="4"/>
  <c r="F281" i="4" s="1"/>
  <c r="F282" i="4" s="1"/>
  <c r="F284" i="4" s="1"/>
  <c r="F337" i="4" s="1"/>
  <c r="F374" i="4" s="1"/>
  <c r="F382" i="4" s="1"/>
  <c r="AH173" i="4"/>
  <c r="AH172" i="4"/>
  <c r="F325" i="4"/>
  <c r="F354" i="4" s="1"/>
  <c r="AG174" i="4"/>
  <c r="AG316" i="4" s="1"/>
  <c r="I266" i="4"/>
  <c r="V318" i="4"/>
  <c r="P242" i="4"/>
  <c r="AH174" i="4"/>
  <c r="AC186" i="4"/>
  <c r="AC187" i="4" s="1"/>
  <c r="AC191" i="4" s="1"/>
  <c r="J260" i="4"/>
  <c r="J262" i="4" s="1"/>
  <c r="J321" i="4"/>
  <c r="AB192" i="4"/>
  <c r="AB194" i="4" s="1"/>
  <c r="AB317" i="4"/>
  <c r="AI167" i="4"/>
  <c r="AI168" i="4" s="1"/>
  <c r="O243" i="4"/>
  <c r="O245" i="4" s="1"/>
  <c r="O320" i="4"/>
  <c r="Q237" i="4"/>
  <c r="Q238" i="4" s="1"/>
  <c r="Q242" i="4" s="1"/>
  <c r="L252" i="4"/>
  <c r="N249" i="4"/>
  <c r="V214" i="4"/>
  <c r="Q241" i="4"/>
  <c r="Q240" i="4"/>
  <c r="T218" i="4"/>
  <c r="X201" i="4"/>
  <c r="U214" i="4"/>
  <c r="AC190" i="4"/>
  <c r="AC189" i="4"/>
  <c r="AF180" i="4"/>
  <c r="AI277" i="8" l="1"/>
  <c r="AI279" i="8" s="1"/>
  <c r="AL263" i="8"/>
  <c r="AL264" i="8" s="1"/>
  <c r="AL265" i="8" s="1"/>
  <c r="AJ274" i="8"/>
  <c r="AJ275" i="8"/>
  <c r="AJ270" i="8"/>
  <c r="AM263" i="8"/>
  <c r="AM264" i="8" s="1"/>
  <c r="AI292" i="4"/>
  <c r="AI304" i="4" s="1"/>
  <c r="AI343" i="4" s="1"/>
  <c r="AI171" i="4"/>
  <c r="Z294" i="4"/>
  <c r="Z305" i="4" s="1"/>
  <c r="Z344" i="4" s="1"/>
  <c r="H270" i="4"/>
  <c r="H273" i="4" s="1"/>
  <c r="M253" i="4"/>
  <c r="M256" i="4" s="1"/>
  <c r="G282" i="4"/>
  <c r="G284" i="4" s="1"/>
  <c r="G337" i="4" s="1"/>
  <c r="G374" i="4" s="1"/>
  <c r="G382" i="4" s="1"/>
  <c r="F365" i="4"/>
  <c r="F375" i="4" s="1"/>
  <c r="F383" i="4" s="1"/>
  <c r="AH316" i="4"/>
  <c r="AH328" i="4" s="1"/>
  <c r="AH357" i="4" s="1"/>
  <c r="AG328" i="4"/>
  <c r="AG357" i="4" s="1"/>
  <c r="O361" i="4"/>
  <c r="O333" i="4"/>
  <c r="O362" i="4" s="1"/>
  <c r="AB334" i="4"/>
  <c r="AB363" i="4" s="1"/>
  <c r="AG175" i="4"/>
  <c r="AG177" i="4" s="1"/>
  <c r="AG178" i="4" s="1"/>
  <c r="AG179" i="4" s="1"/>
  <c r="AG180" i="4" s="1"/>
  <c r="J327" i="4"/>
  <c r="J356" i="4" s="1"/>
  <c r="V329" i="4"/>
  <c r="V358" i="4" s="1"/>
  <c r="AH175" i="4"/>
  <c r="X203" i="4"/>
  <c r="X204" i="4" s="1"/>
  <c r="X208" i="4" s="1"/>
  <c r="AI169" i="4"/>
  <c r="AI170" i="4" s="1"/>
  <c r="AJ167" i="4" s="1"/>
  <c r="AJ168" i="4" s="1"/>
  <c r="AJ171" i="4" s="1"/>
  <c r="L254" i="4"/>
  <c r="L255" i="4" s="1"/>
  <c r="L259" i="4" s="1"/>
  <c r="P243" i="4"/>
  <c r="P245" i="4" s="1"/>
  <c r="P246" i="4" s="1"/>
  <c r="P247" i="4" s="1"/>
  <c r="P320" i="4"/>
  <c r="K260" i="4"/>
  <c r="K262" i="4" s="1"/>
  <c r="K321" i="4"/>
  <c r="AI173" i="4"/>
  <c r="W209" i="4"/>
  <c r="W211" i="4" s="1"/>
  <c r="W318" i="4"/>
  <c r="AI172" i="4"/>
  <c r="S226" i="4"/>
  <c r="S228" i="4" s="1"/>
  <c r="S319" i="4"/>
  <c r="J263" i="4"/>
  <c r="J264" i="4" s="1"/>
  <c r="J265" i="4" s="1"/>
  <c r="L257" i="4"/>
  <c r="L258" i="4"/>
  <c r="R235" i="4"/>
  <c r="O246" i="4"/>
  <c r="O247" i="4" s="1"/>
  <c r="O248" i="4" s="1"/>
  <c r="T224" i="4"/>
  <c r="T223" i="4"/>
  <c r="U215" i="4"/>
  <c r="T219" i="4" s="1"/>
  <c r="X206" i="4"/>
  <c r="X207" i="4"/>
  <c r="AD184" i="4"/>
  <c r="AB195" i="4"/>
  <c r="AB196" i="4" s="1"/>
  <c r="AB197" i="4" s="1"/>
  <c r="AF181" i="4"/>
  <c r="AE185" i="4" s="1"/>
  <c r="AM265" i="8" l="1"/>
  <c r="AJ273" i="8"/>
  <c r="AJ298" i="8"/>
  <c r="AJ301" i="8" s="1"/>
  <c r="AJ340" i="8" s="1"/>
  <c r="AJ271" i="8"/>
  <c r="AJ272" i="8" s="1"/>
  <c r="AL266" i="8"/>
  <c r="AI280" i="8"/>
  <c r="AI281" i="8" s="1"/>
  <c r="AI282" i="8" s="1"/>
  <c r="AI284" i="8" s="1"/>
  <c r="AI337" i="8" s="1"/>
  <c r="AJ292" i="4"/>
  <c r="AJ304" i="4" s="1"/>
  <c r="AJ343" i="4" s="1"/>
  <c r="H298" i="4"/>
  <c r="H301" i="4" s="1"/>
  <c r="H340" i="4" s="1"/>
  <c r="H271" i="4"/>
  <c r="H272" i="4" s="1"/>
  <c r="I269" i="4" s="1"/>
  <c r="I274" i="4" s="1"/>
  <c r="M297" i="4"/>
  <c r="M303" i="4" s="1"/>
  <c r="M342" i="4" s="1"/>
  <c r="AE293" i="4"/>
  <c r="AE310" i="4" s="1"/>
  <c r="AE350" i="4" s="1"/>
  <c r="AE188" i="4"/>
  <c r="G365" i="4"/>
  <c r="G375" i="4" s="1"/>
  <c r="G383" i="4" s="1"/>
  <c r="S326" i="4"/>
  <c r="S355" i="4" s="1"/>
  <c r="P361" i="4"/>
  <c r="P333" i="4"/>
  <c r="P362" i="4" s="1"/>
  <c r="AH177" i="4"/>
  <c r="AH178" i="4" s="1"/>
  <c r="AH179" i="4" s="1"/>
  <c r="AH180" i="4" s="1"/>
  <c r="W329" i="4"/>
  <c r="W358" i="4" s="1"/>
  <c r="K327" i="4"/>
  <c r="K356" i="4" s="1"/>
  <c r="J266" i="4"/>
  <c r="I270" i="4" s="1"/>
  <c r="AI174" i="4"/>
  <c r="AI316" i="4" s="1"/>
  <c r="AD186" i="4"/>
  <c r="AD187" i="4" s="1"/>
  <c r="AE184" i="4" s="1"/>
  <c r="AJ169" i="4"/>
  <c r="AJ170" i="4" s="1"/>
  <c r="AJ174" i="4" s="1"/>
  <c r="AC192" i="4"/>
  <c r="AC194" i="4" s="1"/>
  <c r="AC317" i="4"/>
  <c r="Q243" i="4"/>
  <c r="Q245" i="4" s="1"/>
  <c r="Q320" i="4"/>
  <c r="M252" i="4"/>
  <c r="L321" i="4"/>
  <c r="K263" i="4"/>
  <c r="K264" i="4" s="1"/>
  <c r="K265" i="4" s="1"/>
  <c r="O249" i="4"/>
  <c r="P248" i="4"/>
  <c r="R240" i="4"/>
  <c r="R241" i="4"/>
  <c r="Y201" i="4"/>
  <c r="V215" i="4"/>
  <c r="S229" i="4"/>
  <c r="S230" i="4" s="1"/>
  <c r="S231" i="4" s="1"/>
  <c r="AB198" i="4"/>
  <c r="W212" i="4"/>
  <c r="W213" i="4" s="1"/>
  <c r="W214" i="4" s="1"/>
  <c r="AD189" i="4"/>
  <c r="AD190" i="4"/>
  <c r="AG181" i="4"/>
  <c r="AJ173" i="4"/>
  <c r="AJ172" i="4"/>
  <c r="AI374" i="8" l="1"/>
  <c r="AI382" i="8" s="1"/>
  <c r="AI390" i="8" s="1"/>
  <c r="AI365" i="8"/>
  <c r="AI375" i="8" s="1"/>
  <c r="AI383" i="8" s="1"/>
  <c r="AK269" i="8"/>
  <c r="AK270" i="8" s="1"/>
  <c r="AJ276" i="8"/>
  <c r="AJ322" i="8" s="1"/>
  <c r="AJ325" i="8" s="1"/>
  <c r="AJ354" i="8" s="1"/>
  <c r="AM266" i="8"/>
  <c r="I275" i="4"/>
  <c r="H276" i="4"/>
  <c r="H277" i="4" s="1"/>
  <c r="H279" i="4" s="1"/>
  <c r="H280" i="4" s="1"/>
  <c r="H281" i="4" s="1"/>
  <c r="H282" i="4" s="1"/>
  <c r="H284" i="4" s="1"/>
  <c r="H337" i="4" s="1"/>
  <c r="H374" i="4" s="1"/>
  <c r="H382" i="4" s="1"/>
  <c r="N253" i="4"/>
  <c r="N256" i="4" s="1"/>
  <c r="U219" i="4"/>
  <c r="U222" i="4" s="1"/>
  <c r="AA202" i="4"/>
  <c r="AA205" i="4" s="1"/>
  <c r="I298" i="4"/>
  <c r="I301" i="4" s="1"/>
  <c r="I340" i="4" s="1"/>
  <c r="I273" i="4"/>
  <c r="T295" i="4"/>
  <c r="T302" i="4" s="1"/>
  <c r="T341" i="4" s="1"/>
  <c r="T222" i="4"/>
  <c r="AI328" i="4"/>
  <c r="AI357" i="4" s="1"/>
  <c r="I271" i="4"/>
  <c r="I272" i="4" s="1"/>
  <c r="J269" i="4" s="1"/>
  <c r="J275" i="4" s="1"/>
  <c r="L327" i="4"/>
  <c r="L356" i="4" s="1"/>
  <c r="AC334" i="4"/>
  <c r="AC363" i="4" s="1"/>
  <c r="Q361" i="4"/>
  <c r="Q333" i="4"/>
  <c r="Q362" i="4" s="1"/>
  <c r="K266" i="4"/>
  <c r="AE186" i="4"/>
  <c r="AE187" i="4" s="1"/>
  <c r="AE191" i="4" s="1"/>
  <c r="AD191" i="4"/>
  <c r="M254" i="4"/>
  <c r="M255" i="4" s="1"/>
  <c r="M259" i="4" s="1"/>
  <c r="AI175" i="4"/>
  <c r="AI177" i="4" s="1"/>
  <c r="AI178" i="4" s="1"/>
  <c r="AI179" i="4" s="1"/>
  <c r="AI180" i="4" s="1"/>
  <c r="X209" i="4"/>
  <c r="X211" i="4" s="1"/>
  <c r="X318" i="4"/>
  <c r="L260" i="4"/>
  <c r="L262" i="4" s="1"/>
  <c r="M257" i="4"/>
  <c r="M258" i="4"/>
  <c r="T220" i="4"/>
  <c r="T221" i="4" s="1"/>
  <c r="T225" i="4" s="1"/>
  <c r="AK167" i="4"/>
  <c r="AK168" i="4" s="1"/>
  <c r="Y207" i="4"/>
  <c r="Y203" i="4"/>
  <c r="Y204" i="4" s="1"/>
  <c r="Z201" i="4" s="1"/>
  <c r="P249" i="4"/>
  <c r="Y206" i="4"/>
  <c r="Q246" i="4"/>
  <c r="Q247" i="4" s="1"/>
  <c r="Q248" i="4" s="1"/>
  <c r="S232" i="4"/>
  <c r="R236" i="4" s="1"/>
  <c r="W215" i="4"/>
  <c r="AE190" i="4"/>
  <c r="AE189" i="4"/>
  <c r="AC195" i="4"/>
  <c r="AC196" i="4" s="1"/>
  <c r="AC197" i="4" s="1"/>
  <c r="AH181" i="4"/>
  <c r="AJ316" i="4"/>
  <c r="AJ328" i="4" s="1"/>
  <c r="AJ277" i="8" l="1"/>
  <c r="AJ279" i="8" s="1"/>
  <c r="AK273" i="8"/>
  <c r="AK298" i="8"/>
  <c r="AK301" i="8" s="1"/>
  <c r="AK340" i="8" s="1"/>
  <c r="AK274" i="8"/>
  <c r="AK275" i="8"/>
  <c r="AK271" i="8"/>
  <c r="AK272" i="8" s="1"/>
  <c r="AL269" i="8" s="1"/>
  <c r="AK171" i="4"/>
  <c r="AK292" i="4"/>
  <c r="AK304" i="4" s="1"/>
  <c r="AK343" i="4" s="1"/>
  <c r="H322" i="4"/>
  <c r="H325" i="4" s="1"/>
  <c r="H354" i="4" s="1"/>
  <c r="H365" i="4" s="1"/>
  <c r="H375" i="4" s="1"/>
  <c r="H383" i="4" s="1"/>
  <c r="N297" i="4"/>
  <c r="N303" i="4" s="1"/>
  <c r="N342" i="4" s="1"/>
  <c r="U295" i="4"/>
  <c r="U302" i="4" s="1"/>
  <c r="U341" i="4" s="1"/>
  <c r="AA294" i="4"/>
  <c r="AA305" i="4" s="1"/>
  <c r="AA344" i="4" s="1"/>
  <c r="J270" i="4"/>
  <c r="J273" i="4" s="1"/>
  <c r="O253" i="4"/>
  <c r="O256" i="4" s="1"/>
  <c r="V219" i="4"/>
  <c r="V222" i="4" s="1"/>
  <c r="R296" i="4"/>
  <c r="R309" i="4" s="1"/>
  <c r="R349" i="4" s="1"/>
  <c r="R239" i="4"/>
  <c r="J274" i="4"/>
  <c r="I276" i="4"/>
  <c r="I322" i="4" s="1"/>
  <c r="I325" i="4" s="1"/>
  <c r="I354" i="4" s="1"/>
  <c r="X329" i="4"/>
  <c r="X358" i="4" s="1"/>
  <c r="N252" i="4"/>
  <c r="N257" i="4" s="1"/>
  <c r="Z203" i="4"/>
  <c r="Z204" i="4" s="1"/>
  <c r="Z208" i="4" s="1"/>
  <c r="AK169" i="4"/>
  <c r="AK170" i="4" s="1"/>
  <c r="Y208" i="4"/>
  <c r="M260" i="4"/>
  <c r="M262" i="4" s="1"/>
  <c r="M263" i="4" s="1"/>
  <c r="M264" i="4" s="1"/>
  <c r="M321" i="4"/>
  <c r="AD192" i="4"/>
  <c r="AD194" i="4" s="1"/>
  <c r="AD317" i="4"/>
  <c r="AK173" i="4"/>
  <c r="AK172" i="4"/>
  <c r="R237" i="4"/>
  <c r="R238" i="4" s="1"/>
  <c r="R242" i="4" s="1"/>
  <c r="AJ357" i="4"/>
  <c r="Q249" i="4"/>
  <c r="L263" i="4"/>
  <c r="L264" i="4" s="1"/>
  <c r="U218" i="4"/>
  <c r="X212" i="4"/>
  <c r="X213" i="4" s="1"/>
  <c r="X214" i="4" s="1"/>
  <c r="AC198" i="4"/>
  <c r="Z207" i="4"/>
  <c r="Z206" i="4"/>
  <c r="AF184" i="4"/>
  <c r="AF185" i="4" s="1"/>
  <c r="AF188" i="4" s="1"/>
  <c r="AJ175" i="4"/>
  <c r="AJ177" i="4" s="1"/>
  <c r="AI181" i="4"/>
  <c r="AK276" i="8" l="1"/>
  <c r="AK322" i="8" s="1"/>
  <c r="AK325" i="8" s="1"/>
  <c r="AK354" i="8" s="1"/>
  <c r="AL274" i="8"/>
  <c r="AL275" i="8"/>
  <c r="AJ280" i="8"/>
  <c r="AJ281" i="8" s="1"/>
  <c r="AJ282" i="8" s="1"/>
  <c r="AJ284" i="8" s="1"/>
  <c r="AJ337" i="8" s="1"/>
  <c r="AL270" i="8"/>
  <c r="AF293" i="4"/>
  <c r="AF310" i="4" s="1"/>
  <c r="AF350" i="4" s="1"/>
  <c r="J271" i="4"/>
  <c r="J272" i="4" s="1"/>
  <c r="K269" i="4" s="1"/>
  <c r="K274" i="4" s="1"/>
  <c r="O297" i="4"/>
  <c r="O303" i="4" s="1"/>
  <c r="O342" i="4" s="1"/>
  <c r="J298" i="4"/>
  <c r="J301" i="4" s="1"/>
  <c r="J340" i="4" s="1"/>
  <c r="V295" i="4"/>
  <c r="V302" i="4" s="1"/>
  <c r="V341" i="4" s="1"/>
  <c r="P253" i="4"/>
  <c r="P256" i="4" s="1"/>
  <c r="AB202" i="4"/>
  <c r="AB205" i="4" s="1"/>
  <c r="I277" i="4"/>
  <c r="I279" i="4" s="1"/>
  <c r="I280" i="4" s="1"/>
  <c r="I281" i="4" s="1"/>
  <c r="I282" i="4" s="1"/>
  <c r="I284" i="4" s="1"/>
  <c r="I337" i="4" s="1"/>
  <c r="AD334" i="4"/>
  <c r="AD363" i="4" s="1"/>
  <c r="M327" i="4"/>
  <c r="M356" i="4" s="1"/>
  <c r="N258" i="4"/>
  <c r="N254" i="4"/>
  <c r="N255" i="4" s="1"/>
  <c r="N259" i="4" s="1"/>
  <c r="AL167" i="4"/>
  <c r="AK174" i="4"/>
  <c r="AK175" i="4" s="1"/>
  <c r="AK177" i="4" s="1"/>
  <c r="AK178" i="4" s="1"/>
  <c r="AK179" i="4" s="1"/>
  <c r="U220" i="4"/>
  <c r="U221" i="4" s="1"/>
  <c r="U225" i="4" s="1"/>
  <c r="AF186" i="4"/>
  <c r="AF187" i="4" s="1"/>
  <c r="AF191" i="4" s="1"/>
  <c r="Y209" i="4"/>
  <c r="Y211" i="4" s="1"/>
  <c r="Y212" i="4" s="1"/>
  <c r="Y213" i="4" s="1"/>
  <c r="Y318" i="4"/>
  <c r="AE192" i="4"/>
  <c r="AE194" i="4" s="1"/>
  <c r="AE317" i="4"/>
  <c r="T226" i="4"/>
  <c r="T228" i="4" s="1"/>
  <c r="T319" i="4"/>
  <c r="M265" i="4"/>
  <c r="L265" i="4"/>
  <c r="S235" i="4"/>
  <c r="X215" i="4"/>
  <c r="U224" i="4"/>
  <c r="U223" i="4"/>
  <c r="AA201" i="4"/>
  <c r="AF190" i="4"/>
  <c r="AF189" i="4"/>
  <c r="AD195" i="4"/>
  <c r="AD196" i="4" s="1"/>
  <c r="AD197" i="4" s="1"/>
  <c r="AJ178" i="4"/>
  <c r="AJ179" i="4" s="1"/>
  <c r="AJ180" i="4" s="1"/>
  <c r="AJ365" i="8" l="1"/>
  <c r="AJ375" i="8" s="1"/>
  <c r="AJ383" i="8" s="1"/>
  <c r="AJ374" i="8"/>
  <c r="AJ382" i="8" s="1"/>
  <c r="AJ390" i="8" s="1"/>
  <c r="AL273" i="8"/>
  <c r="AM298" i="8"/>
  <c r="AM301" i="8" s="1"/>
  <c r="AM340" i="8" s="1"/>
  <c r="AL298" i="8"/>
  <c r="AL301" i="8" s="1"/>
  <c r="AL340" i="8" s="1"/>
  <c r="AL271" i="8"/>
  <c r="AL272" i="8" s="1"/>
  <c r="AK277" i="8"/>
  <c r="AL173" i="4"/>
  <c r="AL168" i="4"/>
  <c r="AL169" i="4" s="1"/>
  <c r="AL170" i="4" s="1"/>
  <c r="AM167" i="4" s="1"/>
  <c r="J276" i="4"/>
  <c r="J277" i="4" s="1"/>
  <c r="J279" i="4" s="1"/>
  <c r="K275" i="4"/>
  <c r="P297" i="4"/>
  <c r="P303" i="4" s="1"/>
  <c r="P342" i="4" s="1"/>
  <c r="AB294" i="4"/>
  <c r="AB305" i="4" s="1"/>
  <c r="AB344" i="4" s="1"/>
  <c r="W219" i="4"/>
  <c r="W222" i="4" s="1"/>
  <c r="O252" i="4"/>
  <c r="O257" i="4" s="1"/>
  <c r="AE334" i="4"/>
  <c r="AE363" i="4" s="1"/>
  <c r="Y329" i="4"/>
  <c r="Y358" i="4" s="1"/>
  <c r="T326" i="4"/>
  <c r="T355" i="4" s="1"/>
  <c r="I374" i="4"/>
  <c r="I382" i="4" s="1"/>
  <c r="I365" i="4"/>
  <c r="I375" i="4" s="1"/>
  <c r="I383" i="4" s="1"/>
  <c r="L266" i="4"/>
  <c r="AL172" i="4"/>
  <c r="AK316" i="4"/>
  <c r="AA203" i="4"/>
  <c r="AA204" i="4" s="1"/>
  <c r="AA208" i="4" s="1"/>
  <c r="Y214" i="4"/>
  <c r="Y215" i="4" s="1"/>
  <c r="N260" i="4"/>
  <c r="N262" i="4" s="1"/>
  <c r="N321" i="4"/>
  <c r="Z209" i="4"/>
  <c r="Z211" i="4" s="1"/>
  <c r="Z318" i="4"/>
  <c r="R243" i="4"/>
  <c r="R245" i="4" s="1"/>
  <c r="R320" i="4"/>
  <c r="S241" i="4"/>
  <c r="S240" i="4"/>
  <c r="V218" i="4"/>
  <c r="T229" i="4"/>
  <c r="T230" i="4" s="1"/>
  <c r="T231" i="4" s="1"/>
  <c r="AD198" i="4"/>
  <c r="AA207" i="4"/>
  <c r="AA206" i="4"/>
  <c r="AG184" i="4"/>
  <c r="AG185" i="4" s="1"/>
  <c r="AE195" i="4"/>
  <c r="AE196" i="4" s="1"/>
  <c r="AE197" i="4" s="1"/>
  <c r="AK180" i="4"/>
  <c r="AJ181" i="4"/>
  <c r="AM269" i="8" l="1"/>
  <c r="AL276" i="8"/>
  <c r="AL322" i="8" s="1"/>
  <c r="AL325" i="8" s="1"/>
  <c r="AL354" i="8" s="1"/>
  <c r="AK279" i="8"/>
  <c r="J322" i="4"/>
  <c r="J325" i="4" s="1"/>
  <c r="J354" i="4" s="1"/>
  <c r="AG293" i="4"/>
  <c r="AG310" i="4" s="1"/>
  <c r="AG350" i="4" s="1"/>
  <c r="AG188" i="4"/>
  <c r="AL171" i="4"/>
  <c r="AL292" i="4"/>
  <c r="AL304" i="4" s="1"/>
  <c r="AL343" i="4" s="1"/>
  <c r="AM292" i="4"/>
  <c r="AM304" i="4" s="1"/>
  <c r="AM343" i="4" s="1"/>
  <c r="W295" i="4"/>
  <c r="W302" i="4" s="1"/>
  <c r="W341" i="4" s="1"/>
  <c r="K270" i="4"/>
  <c r="K273" i="4" s="1"/>
  <c r="X219" i="4"/>
  <c r="X222" i="4" s="1"/>
  <c r="AC202" i="4"/>
  <c r="AC205" i="4" s="1"/>
  <c r="O254" i="4"/>
  <c r="O255" i="4" s="1"/>
  <c r="P252" i="4" s="1"/>
  <c r="P257" i="4" s="1"/>
  <c r="O258" i="4"/>
  <c r="J280" i="4"/>
  <c r="J281" i="4" s="1"/>
  <c r="J282" i="4" s="1"/>
  <c r="J284" i="4" s="1"/>
  <c r="J337" i="4" s="1"/>
  <c r="Z329" i="4"/>
  <c r="Z358" i="4" s="1"/>
  <c r="AK328" i="4"/>
  <c r="AK357" i="4" s="1"/>
  <c r="N327" i="4"/>
  <c r="N356" i="4" s="1"/>
  <c r="R361" i="4"/>
  <c r="R333" i="4"/>
  <c r="R362" i="4" s="1"/>
  <c r="M266" i="4"/>
  <c r="AL174" i="4"/>
  <c r="AL316" i="4" s="1"/>
  <c r="AG186" i="4"/>
  <c r="AG187" i="4" s="1"/>
  <c r="AH184" i="4" s="1"/>
  <c r="AH185" i="4" s="1"/>
  <c r="AH188" i="4" s="1"/>
  <c r="AM169" i="4"/>
  <c r="AM170" i="4" s="1"/>
  <c r="AM174" i="4" s="1"/>
  <c r="V220" i="4"/>
  <c r="V221" i="4" s="1"/>
  <c r="V225" i="4" s="1"/>
  <c r="U226" i="4"/>
  <c r="U228" i="4" s="1"/>
  <c r="U319" i="4"/>
  <c r="AF192" i="4"/>
  <c r="AF194" i="4" s="1"/>
  <c r="AF317" i="4"/>
  <c r="N263" i="4"/>
  <c r="N264" i="4" s="1"/>
  <c r="N265" i="4" s="1"/>
  <c r="T232" i="4"/>
  <c r="S236" i="4" s="1"/>
  <c r="R246" i="4"/>
  <c r="R247" i="4" s="1"/>
  <c r="R248" i="4" s="1"/>
  <c r="V224" i="4"/>
  <c r="V223" i="4"/>
  <c r="AB201" i="4"/>
  <c r="Z212" i="4"/>
  <c r="Z213" i="4" s="1"/>
  <c r="Z214" i="4" s="1"/>
  <c r="AE198" i="4"/>
  <c r="AG189" i="4"/>
  <c r="AG190" i="4"/>
  <c r="AM173" i="4"/>
  <c r="AM172" i="4"/>
  <c r="AK181" i="4"/>
  <c r="AL277" i="8" l="1"/>
  <c r="AL279" i="8" s="1"/>
  <c r="AL280" i="8" s="1"/>
  <c r="AL281" i="8" s="1"/>
  <c r="AK280" i="8"/>
  <c r="AK281" i="8" s="1"/>
  <c r="AK282" i="8" s="1"/>
  <c r="AK284" i="8" s="1"/>
  <c r="AK337" i="8" s="1"/>
  <c r="AM275" i="8"/>
  <c r="AM274" i="8"/>
  <c r="AM271" i="8"/>
  <c r="AM272" i="8" s="1"/>
  <c r="AM276" i="8" s="1"/>
  <c r="AM322" i="8" s="1"/>
  <c r="AM325" i="8" s="1"/>
  <c r="AM354" i="8" s="1"/>
  <c r="AH293" i="4"/>
  <c r="AH310" i="4" s="1"/>
  <c r="AH350" i="4" s="1"/>
  <c r="K298" i="4"/>
  <c r="K301" i="4" s="1"/>
  <c r="K340" i="4" s="1"/>
  <c r="P254" i="4"/>
  <c r="P255" i="4" s="1"/>
  <c r="P259" i="4" s="1"/>
  <c r="X295" i="4"/>
  <c r="X302" i="4" s="1"/>
  <c r="X341" i="4" s="1"/>
  <c r="AC294" i="4"/>
  <c r="AC305" i="4" s="1"/>
  <c r="AC344" i="4" s="1"/>
  <c r="L270" i="4"/>
  <c r="L273" i="4" s="1"/>
  <c r="P258" i="4"/>
  <c r="K271" i="4"/>
  <c r="K272" i="4" s="1"/>
  <c r="K276" i="4" s="1"/>
  <c r="K277" i="4" s="1"/>
  <c r="AD202" i="4"/>
  <c r="AD205" i="4" s="1"/>
  <c r="O259" i="4"/>
  <c r="O321" i="4" s="1"/>
  <c r="S296" i="4"/>
  <c r="S309" i="4" s="1"/>
  <c r="S349" i="4" s="1"/>
  <c r="S239" i="4"/>
  <c r="J365" i="4"/>
  <c r="J375" i="4" s="1"/>
  <c r="J383" i="4" s="1"/>
  <c r="J374" i="4"/>
  <c r="J382" i="4" s="1"/>
  <c r="U326" i="4"/>
  <c r="U355" i="4" s="1"/>
  <c r="AF334" i="4"/>
  <c r="AF363" i="4" s="1"/>
  <c r="AL328" i="4"/>
  <c r="AL357" i="4" s="1"/>
  <c r="N266" i="4"/>
  <c r="AL175" i="4"/>
  <c r="AL177" i="4" s="1"/>
  <c r="AL178" i="4" s="1"/>
  <c r="AL179" i="4" s="1"/>
  <c r="AL180" i="4" s="1"/>
  <c r="AL181" i="4" s="1"/>
  <c r="AH186" i="4"/>
  <c r="AH187" i="4" s="1"/>
  <c r="AH191" i="4" s="1"/>
  <c r="AG191" i="4"/>
  <c r="AA209" i="4"/>
  <c r="AA211" i="4" s="1"/>
  <c r="AA212" i="4" s="1"/>
  <c r="AA213" i="4" s="1"/>
  <c r="AA214" i="4" s="1"/>
  <c r="AA318" i="4"/>
  <c r="S237" i="4"/>
  <c r="S238" i="4" s="1"/>
  <c r="S242" i="4" s="1"/>
  <c r="AM316" i="4"/>
  <c r="AM328" i="4" s="1"/>
  <c r="AB203" i="4"/>
  <c r="AB204" i="4" s="1"/>
  <c r="AB208" i="4" s="1"/>
  <c r="R249" i="4"/>
  <c r="W218" i="4"/>
  <c r="AB206" i="4"/>
  <c r="U229" i="4"/>
  <c r="U230" i="4" s="1"/>
  <c r="U231" i="4" s="1"/>
  <c r="Z215" i="4"/>
  <c r="AB207" i="4"/>
  <c r="AH190" i="4"/>
  <c r="AH189" i="4"/>
  <c r="AF195" i="4"/>
  <c r="AF196" i="4" s="1"/>
  <c r="AF197" i="4" s="1"/>
  <c r="AL282" i="8" l="1"/>
  <c r="AL284" i="8" s="1"/>
  <c r="AL337" i="8" s="1"/>
  <c r="AL365" i="8" s="1"/>
  <c r="AL375" i="8" s="1"/>
  <c r="AL383" i="8" s="1"/>
  <c r="AK365" i="8"/>
  <c r="AK375" i="8" s="1"/>
  <c r="AK383" i="8" s="1"/>
  <c r="AK374" i="8"/>
  <c r="AK382" i="8" s="1"/>
  <c r="AK390" i="8" s="1"/>
  <c r="AM277" i="8"/>
  <c r="AM279" i="8" s="1"/>
  <c r="O260" i="4"/>
  <c r="O262" i="4" s="1"/>
  <c r="O263" i="4" s="1"/>
  <c r="O264" i="4" s="1"/>
  <c r="L269" i="4"/>
  <c r="L274" i="4" s="1"/>
  <c r="Q252" i="4"/>
  <c r="Q258" i="4" s="1"/>
  <c r="K322" i="4"/>
  <c r="K325" i="4" s="1"/>
  <c r="K354" i="4" s="1"/>
  <c r="L298" i="4"/>
  <c r="L301" i="4" s="1"/>
  <c r="L340" i="4" s="1"/>
  <c r="AD294" i="4"/>
  <c r="AD305" i="4" s="1"/>
  <c r="AD344" i="4" s="1"/>
  <c r="M270" i="4"/>
  <c r="M273" i="4" s="1"/>
  <c r="Q253" i="4"/>
  <c r="Q256" i="4" s="1"/>
  <c r="Y219" i="4"/>
  <c r="Y222" i="4" s="1"/>
  <c r="O327" i="4"/>
  <c r="O356" i="4" s="1"/>
  <c r="AA329" i="4"/>
  <c r="AA358" i="4" s="1"/>
  <c r="K279" i="4"/>
  <c r="K280" i="4" s="1"/>
  <c r="W220" i="4"/>
  <c r="W221" i="4" s="1"/>
  <c r="X218" i="4" s="1"/>
  <c r="AM175" i="4"/>
  <c r="AM177" i="4" s="1"/>
  <c r="AM178" i="4" s="1"/>
  <c r="AM179" i="4" s="1"/>
  <c r="AM180" i="4" s="1"/>
  <c r="AM181" i="4" s="1"/>
  <c r="P260" i="4"/>
  <c r="P321" i="4"/>
  <c r="AG192" i="4"/>
  <c r="AG194" i="4" s="1"/>
  <c r="AG317" i="4"/>
  <c r="V226" i="4"/>
  <c r="V228" i="4" s="1"/>
  <c r="V319" i="4"/>
  <c r="AM357" i="4"/>
  <c r="AC201" i="4"/>
  <c r="T235" i="4"/>
  <c r="U232" i="4"/>
  <c r="T236" i="4" s="1"/>
  <c r="AA215" i="4"/>
  <c r="W224" i="4"/>
  <c r="W223" i="4"/>
  <c r="AF198" i="4"/>
  <c r="AI184" i="4"/>
  <c r="AI185" i="4" s="1"/>
  <c r="AL374" i="8" l="1"/>
  <c r="AL382" i="8" s="1"/>
  <c r="AL390" i="8" s="1"/>
  <c r="P262" i="4"/>
  <c r="P263" i="4" s="1"/>
  <c r="P264" i="4" s="1"/>
  <c r="AM280" i="8"/>
  <c r="AM281" i="8" s="1"/>
  <c r="AM282" i="8" s="1"/>
  <c r="AM284" i="8" s="1"/>
  <c r="AM337" i="8" s="1"/>
  <c r="AI293" i="4"/>
  <c r="AI310" i="4" s="1"/>
  <c r="AI350" i="4" s="1"/>
  <c r="AI188" i="4"/>
  <c r="L275" i="4"/>
  <c r="L271" i="4"/>
  <c r="L272" i="4" s="1"/>
  <c r="M269" i="4" s="1"/>
  <c r="M275" i="4" s="1"/>
  <c r="M298" i="4"/>
  <c r="M301" i="4" s="1"/>
  <c r="M340" i="4" s="1"/>
  <c r="Q257" i="4"/>
  <c r="Y295" i="4"/>
  <c r="Y302" i="4" s="1"/>
  <c r="Y341" i="4" s="1"/>
  <c r="Q297" i="4"/>
  <c r="Q303" i="4" s="1"/>
  <c r="Q342" i="4" s="1"/>
  <c r="Q254" i="4"/>
  <c r="Q255" i="4" s="1"/>
  <c r="Q259" i="4" s="1"/>
  <c r="Z219" i="4"/>
  <c r="Z222" i="4" s="1"/>
  <c r="AE202" i="4"/>
  <c r="AE205" i="4" s="1"/>
  <c r="T296" i="4"/>
  <c r="T309" i="4" s="1"/>
  <c r="T349" i="4" s="1"/>
  <c r="T239" i="4"/>
  <c r="V326" i="4"/>
  <c r="V355" i="4" s="1"/>
  <c r="AG334" i="4"/>
  <c r="AG363" i="4" s="1"/>
  <c r="P327" i="4"/>
  <c r="P356" i="4" s="1"/>
  <c r="K281" i="4"/>
  <c r="X220" i="4"/>
  <c r="X221" i="4" s="1"/>
  <c r="X225" i="4" s="1"/>
  <c r="AC203" i="4"/>
  <c r="AC204" i="4" s="1"/>
  <c r="W225" i="4"/>
  <c r="AI186" i="4"/>
  <c r="AI187" i="4" s="1"/>
  <c r="AI191" i="4" s="1"/>
  <c r="AH192" i="4"/>
  <c r="AH194" i="4" s="1"/>
  <c r="AH317" i="4"/>
  <c r="S243" i="4"/>
  <c r="S245" i="4" s="1"/>
  <c r="S320" i="4"/>
  <c r="AB209" i="4"/>
  <c r="AB211" i="4" s="1"/>
  <c r="AB212" i="4" s="1"/>
  <c r="AB213" i="4" s="1"/>
  <c r="AB214" i="4" s="1"/>
  <c r="AB318" i="4"/>
  <c r="AC206" i="4"/>
  <c r="AC207" i="4"/>
  <c r="T237" i="4"/>
  <c r="T238" i="4" s="1"/>
  <c r="T242" i="4" s="1"/>
  <c r="P265" i="4"/>
  <c r="O265" i="4"/>
  <c r="T241" i="4"/>
  <c r="T240" i="4"/>
  <c r="X223" i="4"/>
  <c r="X224" i="4"/>
  <c r="V229" i="4"/>
  <c r="V230" i="4" s="1"/>
  <c r="V231" i="4" s="1"/>
  <c r="AG195" i="4"/>
  <c r="AG196" i="4" s="1"/>
  <c r="AG197" i="4" s="1"/>
  <c r="AI189" i="4"/>
  <c r="AI190" i="4"/>
  <c r="AM374" i="8" l="1"/>
  <c r="AM382" i="8" s="1"/>
  <c r="AM390" i="8" s="1"/>
  <c r="AM365" i="8"/>
  <c r="AM375" i="8" s="1"/>
  <c r="AM383" i="8" s="1"/>
  <c r="L276" i="4"/>
  <c r="L277" i="4" s="1"/>
  <c r="L279" i="4" s="1"/>
  <c r="L280" i="4" s="1"/>
  <c r="L281" i="4" s="1"/>
  <c r="L282" i="4" s="1"/>
  <c r="L284" i="4" s="1"/>
  <c r="L337" i="4" s="1"/>
  <c r="M271" i="4"/>
  <c r="M272" i="4" s="1"/>
  <c r="N269" i="4" s="1"/>
  <c r="N275" i="4" s="1"/>
  <c r="M274" i="4"/>
  <c r="R252" i="4"/>
  <c r="R258" i="4" s="1"/>
  <c r="AE294" i="4"/>
  <c r="AE305" i="4" s="1"/>
  <c r="AE344" i="4" s="1"/>
  <c r="Z295" i="4"/>
  <c r="Z302" i="4" s="1"/>
  <c r="Z341" i="4" s="1"/>
  <c r="L322" i="4"/>
  <c r="L325" i="4" s="1"/>
  <c r="L354" i="4" s="1"/>
  <c r="AH334" i="4"/>
  <c r="AH363" i="4" s="1"/>
  <c r="S361" i="4"/>
  <c r="S333" i="4"/>
  <c r="S362" i="4" s="1"/>
  <c r="AB329" i="4"/>
  <c r="AB358" i="4" s="1"/>
  <c r="O266" i="4"/>
  <c r="K282" i="4"/>
  <c r="K284" i="4" s="1"/>
  <c r="K337" i="4" s="1"/>
  <c r="AC208" i="4"/>
  <c r="AC318" i="4" s="1"/>
  <c r="Q260" i="4"/>
  <c r="Q262" i="4" s="1"/>
  <c r="Q321" i="4"/>
  <c r="W226" i="4"/>
  <c r="W228" i="4" s="1"/>
  <c r="W319" i="4"/>
  <c r="AD201" i="4"/>
  <c r="U235" i="4"/>
  <c r="V232" i="4"/>
  <c r="U236" i="4" s="1"/>
  <c r="S246" i="4"/>
  <c r="S247" i="4" s="1"/>
  <c r="S248" i="4" s="1"/>
  <c r="Y218" i="4"/>
  <c r="AB215" i="4"/>
  <c r="AG198" i="4"/>
  <c r="AJ184" i="4"/>
  <c r="AJ185" i="4" s="1"/>
  <c r="AH195" i="4"/>
  <c r="AH196" i="4" s="1"/>
  <c r="AH197" i="4" s="1"/>
  <c r="M276" i="4" l="1"/>
  <c r="N274" i="4"/>
  <c r="AJ293" i="4"/>
  <c r="AJ310" i="4" s="1"/>
  <c r="AJ350" i="4" s="1"/>
  <c r="AJ188" i="4"/>
  <c r="R257" i="4"/>
  <c r="P266" i="4"/>
  <c r="N270" i="4"/>
  <c r="AA219" i="4"/>
  <c r="AA222" i="4" s="1"/>
  <c r="AF202" i="4"/>
  <c r="AF205" i="4" s="1"/>
  <c r="M322" i="4"/>
  <c r="M325" i="4" s="1"/>
  <c r="M354" i="4" s="1"/>
  <c r="M277" i="4"/>
  <c r="M279" i="4" s="1"/>
  <c r="M280" i="4" s="1"/>
  <c r="M281" i="4" s="1"/>
  <c r="M282" i="4" s="1"/>
  <c r="M284" i="4" s="1"/>
  <c r="M337" i="4" s="1"/>
  <c r="U296" i="4"/>
  <c r="U309" i="4" s="1"/>
  <c r="U349" i="4" s="1"/>
  <c r="U239" i="4"/>
  <c r="L365" i="4"/>
  <c r="L375" i="4" s="1"/>
  <c r="L383" i="4" s="1"/>
  <c r="W326" i="4"/>
  <c r="W355" i="4" s="1"/>
  <c r="AC329" i="4"/>
  <c r="AC358" i="4" s="1"/>
  <c r="L374" i="4"/>
  <c r="L382" i="4" s="1"/>
  <c r="Q327" i="4"/>
  <c r="Q356" i="4" s="1"/>
  <c r="K365" i="4"/>
  <c r="K375" i="4" s="1"/>
  <c r="K383" i="4" s="1"/>
  <c r="K374" i="4"/>
  <c r="K382" i="4" s="1"/>
  <c r="AC209" i="4"/>
  <c r="AC211" i="4" s="1"/>
  <c r="AC212" i="4" s="1"/>
  <c r="AC213" i="4" s="1"/>
  <c r="AC214" i="4" s="1"/>
  <c r="Y220" i="4"/>
  <c r="Y221" i="4" s="1"/>
  <c r="Y225" i="4" s="1"/>
  <c r="AJ186" i="4"/>
  <c r="AJ187" i="4" s="1"/>
  <c r="AJ191" i="4" s="1"/>
  <c r="AD203" i="4"/>
  <c r="AD204" i="4" s="1"/>
  <c r="X226" i="4"/>
  <c r="X228" i="4" s="1"/>
  <c r="X319" i="4"/>
  <c r="T243" i="4"/>
  <c r="T245" i="4" s="1"/>
  <c r="T320" i="4"/>
  <c r="AI192" i="4"/>
  <c r="AI194" i="4" s="1"/>
  <c r="AI317" i="4"/>
  <c r="AD207" i="4"/>
  <c r="AD206" i="4"/>
  <c r="U237" i="4"/>
  <c r="U238" i="4" s="1"/>
  <c r="V235" i="4" s="1"/>
  <c r="S249" i="4"/>
  <c r="R253" i="4" s="1"/>
  <c r="Q263" i="4"/>
  <c r="Q264" i="4" s="1"/>
  <c r="Q265" i="4" s="1"/>
  <c r="U241" i="4"/>
  <c r="U240" i="4"/>
  <c r="W229" i="4"/>
  <c r="W230" i="4" s="1"/>
  <c r="W231" i="4" s="1"/>
  <c r="Y223" i="4"/>
  <c r="Y224" i="4"/>
  <c r="AH198" i="4"/>
  <c r="AJ189" i="4"/>
  <c r="AJ190" i="4"/>
  <c r="AA295" i="4" l="1"/>
  <c r="AA302" i="4" s="1"/>
  <c r="AA341" i="4" s="1"/>
  <c r="AF294" i="4"/>
  <c r="AF305" i="4" s="1"/>
  <c r="AF344" i="4" s="1"/>
  <c r="O270" i="4"/>
  <c r="O273" i="4" s="1"/>
  <c r="AG202" i="4"/>
  <c r="AG205" i="4" s="1"/>
  <c r="N273" i="4"/>
  <c r="R297" i="4"/>
  <c r="R256" i="4"/>
  <c r="N271" i="4"/>
  <c r="N272" i="4" s="1"/>
  <c r="O269" i="4" s="1"/>
  <c r="N298" i="4"/>
  <c r="N301" i="4" s="1"/>
  <c r="N340" i="4" s="1"/>
  <c r="X326" i="4"/>
  <c r="X355" i="4" s="1"/>
  <c r="T361" i="4"/>
  <c r="T333" i="4"/>
  <c r="T362" i="4" s="1"/>
  <c r="AI334" i="4"/>
  <c r="AI363" i="4" s="1"/>
  <c r="Q266" i="4"/>
  <c r="P270" i="4" s="1"/>
  <c r="M374" i="4"/>
  <c r="M382" i="4" s="1"/>
  <c r="M365" i="4"/>
  <c r="M375" i="4" s="1"/>
  <c r="M383" i="4" s="1"/>
  <c r="AE201" i="4"/>
  <c r="AE207" i="4" s="1"/>
  <c r="AD208" i="4"/>
  <c r="AD209" i="4" s="1"/>
  <c r="AD211" i="4" s="1"/>
  <c r="U242" i="4"/>
  <c r="R254" i="4"/>
  <c r="R255" i="4" s="1"/>
  <c r="R259" i="4" s="1"/>
  <c r="R303" i="4"/>
  <c r="R342" i="4" s="1"/>
  <c r="W232" i="4"/>
  <c r="V236" i="4" s="1"/>
  <c r="T246" i="4"/>
  <c r="T247" i="4" s="1"/>
  <c r="T248" i="4" s="1"/>
  <c r="V241" i="4"/>
  <c r="V240" i="4"/>
  <c r="Z218" i="4"/>
  <c r="X229" i="4"/>
  <c r="X230" i="4" s="1"/>
  <c r="X231" i="4" s="1"/>
  <c r="AC215" i="4"/>
  <c r="AK184" i="4"/>
  <c r="AK185" i="4" s="1"/>
  <c r="AI195" i="4"/>
  <c r="AI196" i="4" s="1"/>
  <c r="AI197" i="4" s="1"/>
  <c r="AG294" i="4" l="1"/>
  <c r="AG305" i="4" s="1"/>
  <c r="AG344" i="4" s="1"/>
  <c r="AK188" i="4"/>
  <c r="AK293" i="4"/>
  <c r="AK310" i="4" s="1"/>
  <c r="AK350" i="4" s="1"/>
  <c r="O298" i="4"/>
  <c r="O301" i="4" s="1"/>
  <c r="O340" i="4" s="1"/>
  <c r="AB219" i="4"/>
  <c r="AB222" i="4" s="1"/>
  <c r="P298" i="4"/>
  <c r="P301" i="4" s="1"/>
  <c r="P340" i="4" s="1"/>
  <c r="P273" i="4"/>
  <c r="N276" i="4"/>
  <c r="N322" i="4" s="1"/>
  <c r="V296" i="4"/>
  <c r="V309" i="4" s="1"/>
  <c r="V349" i="4" s="1"/>
  <c r="V239" i="4"/>
  <c r="AE206" i="4"/>
  <c r="O271" i="4"/>
  <c r="O272" i="4" s="1"/>
  <c r="P269" i="4" s="1"/>
  <c r="O274" i="4"/>
  <c r="O275" i="4"/>
  <c r="Z220" i="4"/>
  <c r="Z221" i="4" s="1"/>
  <c r="Z225" i="4" s="1"/>
  <c r="AE203" i="4"/>
  <c r="AE204" i="4" s="1"/>
  <c r="AF201" i="4" s="1"/>
  <c r="AF207" i="4" s="1"/>
  <c r="AD318" i="4"/>
  <c r="Y226" i="4"/>
  <c r="Y228" i="4" s="1"/>
  <c r="Y319" i="4"/>
  <c r="AJ192" i="4"/>
  <c r="AJ194" i="4" s="1"/>
  <c r="AJ317" i="4"/>
  <c r="U243" i="4"/>
  <c r="U245" i="4" s="1"/>
  <c r="U320" i="4"/>
  <c r="V237" i="4"/>
  <c r="V238" i="4" s="1"/>
  <c r="V242" i="4" s="1"/>
  <c r="AK186" i="4"/>
  <c r="AK187" i="4" s="1"/>
  <c r="AK191" i="4" s="1"/>
  <c r="S252" i="4"/>
  <c r="T249" i="4"/>
  <c r="X232" i="4"/>
  <c r="W236" i="4" s="1"/>
  <c r="AK190" i="4"/>
  <c r="AK189" i="4"/>
  <c r="Z223" i="4"/>
  <c r="Z224" i="4"/>
  <c r="AD212" i="4"/>
  <c r="AD213" i="4" s="1"/>
  <c r="AI198" i="4"/>
  <c r="AB295" i="4" l="1"/>
  <c r="AB302" i="4" s="1"/>
  <c r="AB341" i="4" s="1"/>
  <c r="N277" i="4"/>
  <c r="N279" i="4" s="1"/>
  <c r="S253" i="4"/>
  <c r="S256" i="4" s="1"/>
  <c r="W296" i="4"/>
  <c r="W309" i="4" s="1"/>
  <c r="W349" i="4" s="1"/>
  <c r="W239" i="4"/>
  <c r="AD329" i="4"/>
  <c r="AD358" i="4" s="1"/>
  <c r="AJ334" i="4"/>
  <c r="AJ363" i="4" s="1"/>
  <c r="Y326" i="4"/>
  <c r="Y355" i="4" s="1"/>
  <c r="U361" i="4"/>
  <c r="U333" i="4"/>
  <c r="U362" i="4" s="1"/>
  <c r="N325" i="4"/>
  <c r="N354" i="4" s="1"/>
  <c r="O276" i="4"/>
  <c r="O277" i="4" s="1"/>
  <c r="P274" i="4"/>
  <c r="P271" i="4"/>
  <c r="P272" i="4" s="1"/>
  <c r="Q269" i="4" s="1"/>
  <c r="P275" i="4"/>
  <c r="AE208" i="4"/>
  <c r="AE209" i="4" s="1"/>
  <c r="AE211" i="4" s="1"/>
  <c r="AE212" i="4" s="1"/>
  <c r="AE213" i="4" s="1"/>
  <c r="AF206" i="4"/>
  <c r="AF203" i="4"/>
  <c r="AF204" i="4" s="1"/>
  <c r="R260" i="4"/>
  <c r="R262" i="4" s="1"/>
  <c r="R321" i="4"/>
  <c r="S297" i="4"/>
  <c r="S303" i="4" s="1"/>
  <c r="S342" i="4" s="1"/>
  <c r="S254" i="4"/>
  <c r="S255" i="4" s="1"/>
  <c r="S259" i="4" s="1"/>
  <c r="W235" i="4"/>
  <c r="AK317" i="4"/>
  <c r="AL184" i="4"/>
  <c r="AL185" i="4" s="1"/>
  <c r="S257" i="4"/>
  <c r="S258" i="4"/>
  <c r="U246" i="4"/>
  <c r="U247" i="4" s="1"/>
  <c r="AA218" i="4"/>
  <c r="Y229" i="4"/>
  <c r="Y230" i="4" s="1"/>
  <c r="Y231" i="4" s="1"/>
  <c r="AD214" i="4"/>
  <c r="AJ195" i="4"/>
  <c r="AJ196" i="4" s="1"/>
  <c r="AJ197" i="4" s="1"/>
  <c r="AL188" i="4" l="1"/>
  <c r="AM293" i="4"/>
  <c r="AM310" i="4" s="1"/>
  <c r="AM350" i="4" s="1"/>
  <c r="AL293" i="4"/>
  <c r="AL310" i="4" s="1"/>
  <c r="AL350" i="4" s="1"/>
  <c r="N280" i="4"/>
  <c r="N281" i="4" s="1"/>
  <c r="N282" i="4" s="1"/>
  <c r="N284" i="4" s="1"/>
  <c r="N337" i="4" s="1"/>
  <c r="R327" i="4"/>
  <c r="R356" i="4" s="1"/>
  <c r="O322" i="4"/>
  <c r="AK334" i="4"/>
  <c r="AK363" i="4" s="1"/>
  <c r="P276" i="4"/>
  <c r="P277" i="4" s="1"/>
  <c r="P279" i="4" s="1"/>
  <c r="O279" i="4"/>
  <c r="O280" i="4" s="1"/>
  <c r="O281" i="4" s="1"/>
  <c r="Q274" i="4"/>
  <c r="Q275" i="4"/>
  <c r="AE318" i="4"/>
  <c r="AE214" i="4"/>
  <c r="AG201" i="4"/>
  <c r="AF208" i="4"/>
  <c r="AF209" i="4" s="1"/>
  <c r="AF211" i="4" s="1"/>
  <c r="AA220" i="4"/>
  <c r="AA221" i="4" s="1"/>
  <c r="AA225" i="4" s="1"/>
  <c r="AL186" i="4"/>
  <c r="AL187" i="4" s="1"/>
  <c r="AM184" i="4" s="1"/>
  <c r="AM189" i="4" s="1"/>
  <c r="AK192" i="4"/>
  <c r="AK194" i="4" s="1"/>
  <c r="AK195" i="4" s="1"/>
  <c r="AK196" i="4" s="1"/>
  <c r="V243" i="4"/>
  <c r="V245" i="4" s="1"/>
  <c r="V246" i="4" s="1"/>
  <c r="V247" i="4" s="1"/>
  <c r="V248" i="4" s="1"/>
  <c r="V320" i="4"/>
  <c r="Z226" i="4"/>
  <c r="Z228" i="4" s="1"/>
  <c r="Z319" i="4"/>
  <c r="AL190" i="4"/>
  <c r="AL189" i="4"/>
  <c r="W237" i="4"/>
  <c r="W238" i="4" s="1"/>
  <c r="W242" i="4" s="1"/>
  <c r="W241" i="4"/>
  <c r="W240" i="4"/>
  <c r="T252" i="4"/>
  <c r="R263" i="4"/>
  <c r="R264" i="4" s="1"/>
  <c r="R265" i="4" s="1"/>
  <c r="U248" i="4"/>
  <c r="Y232" i="4"/>
  <c r="X236" i="4" s="1"/>
  <c r="AD215" i="4"/>
  <c r="AC219" i="4" s="1"/>
  <c r="AA224" i="4"/>
  <c r="AA223" i="4"/>
  <c r="AJ198" i="4"/>
  <c r="X296" i="4" l="1"/>
  <c r="X309" i="4" s="1"/>
  <c r="X349" i="4" s="1"/>
  <c r="X239" i="4"/>
  <c r="N365" i="4"/>
  <c r="N375" i="4" s="1"/>
  <c r="N383" i="4" s="1"/>
  <c r="N374" i="4"/>
  <c r="N382" i="4" s="1"/>
  <c r="P280" i="4"/>
  <c r="P281" i="4" s="1"/>
  <c r="P282" i="4" s="1"/>
  <c r="P284" i="4" s="1"/>
  <c r="P337" i="4" s="1"/>
  <c r="V361" i="4"/>
  <c r="V333" i="4"/>
  <c r="V362" i="4" s="1"/>
  <c r="P322" i="4"/>
  <c r="O325" i="4"/>
  <c r="O354" i="4" s="1"/>
  <c r="AE329" i="4"/>
  <c r="AE358" i="4" s="1"/>
  <c r="Z326" i="4"/>
  <c r="Z355" i="4" s="1"/>
  <c r="R266" i="4"/>
  <c r="Q270" i="4" s="1"/>
  <c r="O282" i="4"/>
  <c r="O284" i="4" s="1"/>
  <c r="O337" i="4" s="1"/>
  <c r="AF318" i="4"/>
  <c r="AM190" i="4"/>
  <c r="AL191" i="4"/>
  <c r="AL317" i="4" s="1"/>
  <c r="AK197" i="4"/>
  <c r="AK198" i="4" s="1"/>
  <c r="AM186" i="4"/>
  <c r="AM187" i="4" s="1"/>
  <c r="AM191" i="4" s="1"/>
  <c r="AG203" i="4"/>
  <c r="AG204" i="4" s="1"/>
  <c r="AH201" i="4" s="1"/>
  <c r="AH202" i="4" s="1"/>
  <c r="AG206" i="4"/>
  <c r="AG207" i="4"/>
  <c r="S260" i="4"/>
  <c r="S262" i="4" s="1"/>
  <c r="S321" i="4"/>
  <c r="X235" i="4"/>
  <c r="AB218" i="4"/>
  <c r="U249" i="4"/>
  <c r="T253" i="4" s="1"/>
  <c r="T258" i="4"/>
  <c r="T257" i="4"/>
  <c r="Z229" i="4"/>
  <c r="Z230" i="4" s="1"/>
  <c r="Z231" i="4" s="1"/>
  <c r="AE215" i="4"/>
  <c r="AC222" i="4"/>
  <c r="AF212" i="4"/>
  <c r="AF213" i="4" s="1"/>
  <c r="AF214" i="4" s="1"/>
  <c r="AH205" i="4" l="1"/>
  <c r="AH294" i="4"/>
  <c r="AH305" i="4" s="1"/>
  <c r="AH344" i="4" s="1"/>
  <c r="AD219" i="4"/>
  <c r="AD222" i="4" s="1"/>
  <c r="Q271" i="4"/>
  <c r="Q272" i="4" s="1"/>
  <c r="R269" i="4" s="1"/>
  <c r="R275" i="4" s="1"/>
  <c r="Q273" i="4"/>
  <c r="AF329" i="4"/>
  <c r="AF358" i="4" s="1"/>
  <c r="O365" i="4"/>
  <c r="O375" i="4" s="1"/>
  <c r="O383" i="4" s="1"/>
  <c r="Q298" i="4"/>
  <c r="Q301" i="4" s="1"/>
  <c r="Q340" i="4" s="1"/>
  <c r="AL334" i="4"/>
  <c r="AL363" i="4" s="1"/>
  <c r="P325" i="4"/>
  <c r="P354" i="4" s="1"/>
  <c r="P365" i="4" s="1"/>
  <c r="P375" i="4" s="1"/>
  <c r="P383" i="4" s="1"/>
  <c r="S327" i="4"/>
  <c r="S356" i="4" s="1"/>
  <c r="P374" i="4"/>
  <c r="P382" i="4" s="1"/>
  <c r="O374" i="4"/>
  <c r="O382" i="4" s="1"/>
  <c r="AL192" i="4"/>
  <c r="AL194" i="4" s="1"/>
  <c r="AL195" i="4" s="1"/>
  <c r="AL196" i="4" s="1"/>
  <c r="AM192" i="4"/>
  <c r="AM317" i="4"/>
  <c r="AH203" i="4"/>
  <c r="AH204" i="4" s="1"/>
  <c r="AH208" i="4" s="1"/>
  <c r="AB224" i="4"/>
  <c r="AG208" i="4"/>
  <c r="AH206" i="4"/>
  <c r="AH207" i="4"/>
  <c r="W243" i="4"/>
  <c r="W245" i="4" s="1"/>
  <c r="W246" i="4" s="1"/>
  <c r="W247" i="4" s="1"/>
  <c r="W248" i="4" s="1"/>
  <c r="W320" i="4"/>
  <c r="AA226" i="4"/>
  <c r="AA228" i="4" s="1"/>
  <c r="AA319" i="4"/>
  <c r="AC295" i="4"/>
  <c r="AC302" i="4" s="1"/>
  <c r="AC341" i="4" s="1"/>
  <c r="X237" i="4"/>
  <c r="X238" i="4" s="1"/>
  <c r="Y235" i="4" s="1"/>
  <c r="X240" i="4"/>
  <c r="X241" i="4"/>
  <c r="AB223" i="4"/>
  <c r="AB220" i="4"/>
  <c r="AB221" i="4" s="1"/>
  <c r="AC218" i="4" s="1"/>
  <c r="S263" i="4"/>
  <c r="S264" i="4" s="1"/>
  <c r="S265" i="4" s="1"/>
  <c r="V249" i="4"/>
  <c r="U253" i="4" s="1"/>
  <c r="Z232" i="4"/>
  <c r="Y236" i="4" s="1"/>
  <c r="AF215" i="4"/>
  <c r="AD295" i="4" l="1"/>
  <c r="AD302" i="4" s="1"/>
  <c r="AD341" i="4" s="1"/>
  <c r="AE219" i="4"/>
  <c r="AE222" i="4" s="1"/>
  <c r="R274" i="4"/>
  <c r="Q276" i="4"/>
  <c r="Q322" i="4" s="1"/>
  <c r="T297" i="4"/>
  <c r="T303" i="4" s="1"/>
  <c r="T342" i="4" s="1"/>
  <c r="T256" i="4"/>
  <c r="Y296" i="4"/>
  <c r="Y309" i="4" s="1"/>
  <c r="Y349" i="4" s="1"/>
  <c r="Y239" i="4"/>
  <c r="Q277" i="4"/>
  <c r="Q279" i="4" s="1"/>
  <c r="Q325" i="4"/>
  <c r="Q354" i="4" s="1"/>
  <c r="AA326" i="4"/>
  <c r="AA355" i="4" s="1"/>
  <c r="W361" i="4"/>
  <c r="W333" i="4"/>
  <c r="W362" i="4" s="1"/>
  <c r="AM334" i="4"/>
  <c r="AM363" i="4" s="1"/>
  <c r="S266" i="4"/>
  <c r="R270" i="4" s="1"/>
  <c r="AM194" i="4"/>
  <c r="AM195" i="4" s="1"/>
  <c r="AM196" i="4" s="1"/>
  <c r="AI201" i="4"/>
  <c r="X242" i="4"/>
  <c r="AG318" i="4"/>
  <c r="AG209" i="4"/>
  <c r="AG211" i="4" s="1"/>
  <c r="AG212" i="4" s="1"/>
  <c r="AG213" i="4" s="1"/>
  <c r="AG214" i="4" s="1"/>
  <c r="AG215" i="4" s="1"/>
  <c r="AC220" i="4"/>
  <c r="AC221" i="4" s="1"/>
  <c r="AB225" i="4"/>
  <c r="AH209" i="4"/>
  <c r="AH318" i="4"/>
  <c r="T254" i="4"/>
  <c r="T255" i="4" s="1"/>
  <c r="T259" i="4" s="1"/>
  <c r="AC224" i="4"/>
  <c r="AC223" i="4"/>
  <c r="Y241" i="4"/>
  <c r="Y237" i="4"/>
  <c r="Y238" i="4" s="1"/>
  <c r="Y242" i="4" s="1"/>
  <c r="Y240" i="4"/>
  <c r="U256" i="4"/>
  <c r="W249" i="4"/>
  <c r="AA229" i="4"/>
  <c r="AA230" i="4" s="1"/>
  <c r="AA231" i="4" s="1"/>
  <c r="AL197" i="4"/>
  <c r="AI202" i="4" l="1"/>
  <c r="AE295" i="4"/>
  <c r="AE302" i="4" s="1"/>
  <c r="AE341" i="4" s="1"/>
  <c r="V253" i="4"/>
  <c r="V256" i="4" s="1"/>
  <c r="AF219" i="4"/>
  <c r="AF222" i="4" s="1"/>
  <c r="R271" i="4"/>
  <c r="R272" i="4" s="1"/>
  <c r="S269" i="4" s="1"/>
  <c r="R273" i="4"/>
  <c r="R298" i="4"/>
  <c r="R301" i="4" s="1"/>
  <c r="R340" i="4" s="1"/>
  <c r="Q280" i="4"/>
  <c r="Q281" i="4" s="1"/>
  <c r="Q282" i="4" s="1"/>
  <c r="Q284" i="4" s="1"/>
  <c r="Q337" i="4" s="1"/>
  <c r="AG329" i="4"/>
  <c r="AG358" i="4" s="1"/>
  <c r="AH329" i="4"/>
  <c r="AH358" i="4" s="1"/>
  <c r="AM197" i="4"/>
  <c r="AI206" i="4"/>
  <c r="AI207" i="4"/>
  <c r="AH211" i="4"/>
  <c r="AH212" i="4" s="1"/>
  <c r="AH213" i="4" s="1"/>
  <c r="AH214" i="4" s="1"/>
  <c r="AD218" i="4"/>
  <c r="AD223" i="4" s="1"/>
  <c r="AC225" i="4"/>
  <c r="X243" i="4"/>
  <c r="X245" i="4" s="1"/>
  <c r="X246" i="4" s="1"/>
  <c r="X247" i="4" s="1"/>
  <c r="X248" i="4" s="1"/>
  <c r="X249" i="4" s="1"/>
  <c r="X320" i="4"/>
  <c r="AB226" i="4"/>
  <c r="AB228" i="4" s="1"/>
  <c r="AB229" i="4" s="1"/>
  <c r="AB230" i="4" s="1"/>
  <c r="AB231" i="4" s="1"/>
  <c r="AB319" i="4"/>
  <c r="V297" i="4"/>
  <c r="V303" i="4" s="1"/>
  <c r="V342" i="4" s="1"/>
  <c r="U297" i="4"/>
  <c r="U303" i="4" s="1"/>
  <c r="U342" i="4" s="1"/>
  <c r="U252" i="4"/>
  <c r="Z235" i="4"/>
  <c r="AA232" i="4"/>
  <c r="Z236" i="4" s="1"/>
  <c r="AL198" i="4"/>
  <c r="R276" i="4" l="1"/>
  <c r="R322" i="4" s="1"/>
  <c r="AI205" i="4"/>
  <c r="AI294" i="4"/>
  <c r="AI305" i="4" s="1"/>
  <c r="AI344" i="4" s="1"/>
  <c r="AF295" i="4"/>
  <c r="AF302" i="4" s="1"/>
  <c r="AF341" i="4" s="1"/>
  <c r="AI203" i="4"/>
  <c r="AI204" i="4" s="1"/>
  <c r="W253" i="4"/>
  <c r="W256" i="4" s="1"/>
  <c r="Z296" i="4"/>
  <c r="Z309" i="4" s="1"/>
  <c r="Z349" i="4" s="1"/>
  <c r="Z239" i="4"/>
  <c r="Q374" i="4"/>
  <c r="Q382" i="4" s="1"/>
  <c r="Q365" i="4"/>
  <c r="Q375" i="4" s="1"/>
  <c r="Q383" i="4" s="1"/>
  <c r="X361" i="4"/>
  <c r="X333" i="4"/>
  <c r="X362" i="4" s="1"/>
  <c r="AB326" i="4"/>
  <c r="AB355" i="4" s="1"/>
  <c r="S275" i="4"/>
  <c r="S274" i="4"/>
  <c r="AD224" i="4"/>
  <c r="U254" i="4"/>
  <c r="U255" i="4" s="1"/>
  <c r="U259" i="4" s="1"/>
  <c r="AD220" i="4"/>
  <c r="AD221" i="4" s="1"/>
  <c r="AE218" i="4" s="1"/>
  <c r="AC226" i="4"/>
  <c r="AC228" i="4" s="1"/>
  <c r="AC229" i="4" s="1"/>
  <c r="AC230" i="4" s="1"/>
  <c r="AC319" i="4"/>
  <c r="Y243" i="4"/>
  <c r="Y245" i="4" s="1"/>
  <c r="Y320" i="4"/>
  <c r="T260" i="4"/>
  <c r="T262" i="4" s="1"/>
  <c r="T321" i="4"/>
  <c r="Z237" i="4"/>
  <c r="Z238" i="4" s="1"/>
  <c r="Z242" i="4" s="1"/>
  <c r="U257" i="4"/>
  <c r="U258" i="4"/>
  <c r="AB232" i="4"/>
  <c r="AA236" i="4" s="1"/>
  <c r="Z241" i="4"/>
  <c r="Z240" i="4"/>
  <c r="AH215" i="4"/>
  <c r="AM198" i="4"/>
  <c r="R277" i="4" l="1"/>
  <c r="W297" i="4"/>
  <c r="W303" i="4" s="1"/>
  <c r="W342" i="4" s="1"/>
  <c r="AI208" i="4"/>
  <c r="AJ201" i="4"/>
  <c r="AG219" i="4"/>
  <c r="AG222" i="4" s="1"/>
  <c r="AA296" i="4"/>
  <c r="AA309" i="4" s="1"/>
  <c r="AA349" i="4" s="1"/>
  <c r="AA239" i="4"/>
  <c r="R325" i="4"/>
  <c r="R354" i="4" s="1"/>
  <c r="Y361" i="4"/>
  <c r="Y333" i="4"/>
  <c r="Y362" i="4" s="1"/>
  <c r="AC326" i="4"/>
  <c r="AC355" i="4" s="1"/>
  <c r="T327" i="4"/>
  <c r="T356" i="4" s="1"/>
  <c r="R279" i="4"/>
  <c r="AD225" i="4"/>
  <c r="AE220" i="4"/>
  <c r="AE221" i="4" s="1"/>
  <c r="AE225" i="4" s="1"/>
  <c r="AE223" i="4"/>
  <c r="AC231" i="4"/>
  <c r="AC232" i="4" s="1"/>
  <c r="AB236" i="4" s="1"/>
  <c r="AE224" i="4"/>
  <c r="V252" i="4"/>
  <c r="T263" i="4"/>
  <c r="T264" i="4" s="1"/>
  <c r="T265" i="4" s="1"/>
  <c r="AA235" i="4"/>
  <c r="Y246" i="4"/>
  <c r="Y247" i="4" s="1"/>
  <c r="Y248" i="4" s="1"/>
  <c r="AJ202" i="4" l="1"/>
  <c r="AJ206" i="4"/>
  <c r="AJ207" i="4"/>
  <c r="AJ203" i="4"/>
  <c r="AJ204" i="4" s="1"/>
  <c r="AI209" i="4"/>
  <c r="AI211" i="4" s="1"/>
  <c r="AI212" i="4" s="1"/>
  <c r="AI213" i="4" s="1"/>
  <c r="AI214" i="4" s="1"/>
  <c r="AI215" i="4" s="1"/>
  <c r="AI318" i="4"/>
  <c r="AI329" i="4" s="1"/>
  <c r="AI358" i="4" s="1"/>
  <c r="AG295" i="4"/>
  <c r="AG302" i="4" s="1"/>
  <c r="AG341" i="4" s="1"/>
  <c r="AB296" i="4"/>
  <c r="AB309" i="4" s="1"/>
  <c r="AB349" i="4" s="1"/>
  <c r="AB239" i="4"/>
  <c r="R280" i="4"/>
  <c r="R281" i="4" s="1"/>
  <c r="R282" i="4" s="1"/>
  <c r="R284" i="4" s="1"/>
  <c r="R337" i="4" s="1"/>
  <c r="T266" i="4"/>
  <c r="AF218" i="4"/>
  <c r="AF220" i="4" s="1"/>
  <c r="AF221" i="4" s="1"/>
  <c r="AG218" i="4" s="1"/>
  <c r="AA237" i="4"/>
  <c r="AA238" i="4" s="1"/>
  <c r="V254" i="4"/>
  <c r="V255" i="4" s="1"/>
  <c r="V259" i="4" s="1"/>
  <c r="AD226" i="4"/>
  <c r="AD228" i="4" s="1"/>
  <c r="AD229" i="4" s="1"/>
  <c r="AD230" i="4" s="1"/>
  <c r="AD231" i="4" s="1"/>
  <c r="AD232" i="4" s="1"/>
  <c r="AC236" i="4" s="1"/>
  <c r="AD319" i="4"/>
  <c r="U260" i="4"/>
  <c r="U262" i="4" s="1"/>
  <c r="U321" i="4"/>
  <c r="AE226" i="4"/>
  <c r="AE319" i="4"/>
  <c r="Z243" i="4"/>
  <c r="Z245" i="4" s="1"/>
  <c r="Z320" i="4"/>
  <c r="Y249" i="4"/>
  <c r="V258" i="4"/>
  <c r="V257" i="4"/>
  <c r="AA241" i="4"/>
  <c r="AA240" i="4"/>
  <c r="AJ208" i="4" l="1"/>
  <c r="AJ318" i="4" s="1"/>
  <c r="AK201" i="4"/>
  <c r="AJ205" i="4"/>
  <c r="AJ209" i="4" s="1"/>
  <c r="AJ211" i="4" s="1"/>
  <c r="AJ212" i="4" s="1"/>
  <c r="AJ213" i="4" s="1"/>
  <c r="AJ294" i="4"/>
  <c r="AJ305" i="4" s="1"/>
  <c r="AJ344" i="4" s="1"/>
  <c r="S270" i="4"/>
  <c r="S273" i="4" s="1"/>
  <c r="X253" i="4"/>
  <c r="X256" i="4" s="1"/>
  <c r="AH219" i="4"/>
  <c r="AH222" i="4" s="1"/>
  <c r="AC296" i="4"/>
  <c r="AC309" i="4" s="1"/>
  <c r="AC349" i="4" s="1"/>
  <c r="AC239" i="4"/>
  <c r="R374" i="4"/>
  <c r="R382" i="4" s="1"/>
  <c r="R365" i="4"/>
  <c r="R375" i="4" s="1"/>
  <c r="R383" i="4" s="1"/>
  <c r="Z361" i="4"/>
  <c r="Z333" i="4"/>
  <c r="Z362" i="4" s="1"/>
  <c r="AE326" i="4"/>
  <c r="AE355" i="4" s="1"/>
  <c r="U327" i="4"/>
  <c r="U356" i="4" s="1"/>
  <c r="AJ329" i="4"/>
  <c r="AJ358" i="4" s="1"/>
  <c r="AD326" i="4"/>
  <c r="AD355" i="4" s="1"/>
  <c r="AF223" i="4"/>
  <c r="AF224" i="4"/>
  <c r="AB235" i="4"/>
  <c r="AB240" i="4" s="1"/>
  <c r="AA242" i="4"/>
  <c r="AE228" i="4"/>
  <c r="AE229" i="4" s="1"/>
  <c r="AE230" i="4" s="1"/>
  <c r="AE231" i="4" s="1"/>
  <c r="AG220" i="4"/>
  <c r="AG221" i="4" s="1"/>
  <c r="AH218" i="4" s="1"/>
  <c r="AF225" i="4"/>
  <c r="W252" i="4"/>
  <c r="U263" i="4"/>
  <c r="U264" i="4" s="1"/>
  <c r="U265" i="4" s="1"/>
  <c r="Z246" i="4"/>
  <c r="Z247" i="4" s="1"/>
  <c r="Z248" i="4" s="1"/>
  <c r="AG224" i="4"/>
  <c r="AG223" i="4"/>
  <c r="AK202" i="4" l="1"/>
  <c r="AK203" i="4" s="1"/>
  <c r="AK204" i="4" s="1"/>
  <c r="AK206" i="4"/>
  <c r="AK207" i="4"/>
  <c r="X297" i="4"/>
  <c r="X303" i="4" s="1"/>
  <c r="X342" i="4" s="1"/>
  <c r="AH295" i="4"/>
  <c r="AH302" i="4" s="1"/>
  <c r="AH341" i="4" s="1"/>
  <c r="S271" i="4"/>
  <c r="S272" i="4" s="1"/>
  <c r="T269" i="4" s="1"/>
  <c r="T274" i="4" s="1"/>
  <c r="S298" i="4"/>
  <c r="S301" i="4" s="1"/>
  <c r="S340" i="4" s="1"/>
  <c r="AB241" i="4"/>
  <c r="U266" i="4"/>
  <c r="AH220" i="4"/>
  <c r="AH221" i="4" s="1"/>
  <c r="AI218" i="4" s="1"/>
  <c r="AG225" i="4"/>
  <c r="W257" i="4"/>
  <c r="AB237" i="4"/>
  <c r="AB238" i="4" s="1"/>
  <c r="AB242" i="4" s="1"/>
  <c r="AA243" i="4"/>
  <c r="AA245" i="4" s="1"/>
  <c r="AA320" i="4"/>
  <c r="AF226" i="4"/>
  <c r="AF228" i="4" s="1"/>
  <c r="AF319" i="4"/>
  <c r="V260" i="4"/>
  <c r="V262" i="4" s="1"/>
  <c r="V321" i="4"/>
  <c r="W258" i="4"/>
  <c r="W254" i="4"/>
  <c r="W255" i="4" s="1"/>
  <c r="W259" i="4" s="1"/>
  <c r="Z249" i="4"/>
  <c r="AE232" i="4"/>
  <c r="AD236" i="4" s="1"/>
  <c r="AH224" i="4"/>
  <c r="AH223" i="4"/>
  <c r="AJ214" i="4"/>
  <c r="AK208" i="4" l="1"/>
  <c r="AK318" i="4" s="1"/>
  <c r="AK329" i="4" s="1"/>
  <c r="AK358" i="4" s="1"/>
  <c r="AL201" i="4"/>
  <c r="T275" i="4"/>
  <c r="AK205" i="4"/>
  <c r="AK294" i="4"/>
  <c r="AK305" i="4" s="1"/>
  <c r="AK344" i="4" s="1"/>
  <c r="S276" i="4"/>
  <c r="T270" i="4"/>
  <c r="T271" i="4" s="1"/>
  <c r="T272" i="4" s="1"/>
  <c r="U269" i="4" s="1"/>
  <c r="U274" i="4" s="1"/>
  <c r="Y253" i="4"/>
  <c r="Y256" i="4" s="1"/>
  <c r="AD296" i="4"/>
  <c r="AD309" i="4" s="1"/>
  <c r="AD349" i="4" s="1"/>
  <c r="AD239" i="4"/>
  <c r="AA361" i="4"/>
  <c r="AA333" i="4"/>
  <c r="AA362" i="4" s="1"/>
  <c r="V327" i="4"/>
  <c r="V356" i="4" s="1"/>
  <c r="AF326" i="4"/>
  <c r="AF355" i="4" s="1"/>
  <c r="AC235" i="4"/>
  <c r="AC240" i="4" s="1"/>
  <c r="AH225" i="4"/>
  <c r="AB243" i="4"/>
  <c r="AB245" i="4" s="1"/>
  <c r="AB246" i="4" s="1"/>
  <c r="AB247" i="4" s="1"/>
  <c r="AB320" i="4"/>
  <c r="AG226" i="4"/>
  <c r="AG228" i="4" s="1"/>
  <c r="AG319" i="4"/>
  <c r="X252" i="4"/>
  <c r="X257" i="4" s="1"/>
  <c r="V263" i="4"/>
  <c r="V264" i="4" s="1"/>
  <c r="V265" i="4" s="1"/>
  <c r="AA246" i="4"/>
  <c r="AA247" i="4" s="1"/>
  <c r="AI224" i="4"/>
  <c r="AI223" i="4"/>
  <c r="AJ215" i="4"/>
  <c r="AI219" i="4" s="1"/>
  <c r="AF229" i="4"/>
  <c r="AF230" i="4" s="1"/>
  <c r="AF231" i="4" s="1"/>
  <c r="AK209" i="4" l="1"/>
  <c r="AK211" i="4" s="1"/>
  <c r="AK212" i="4" s="1"/>
  <c r="AK213" i="4" s="1"/>
  <c r="AK214" i="4" s="1"/>
  <c r="AK215" i="4" s="1"/>
  <c r="AL206" i="4"/>
  <c r="AL202" i="4"/>
  <c r="AL203" i="4" s="1"/>
  <c r="AL204" i="4" s="1"/>
  <c r="AL207" i="4"/>
  <c r="T298" i="4"/>
  <c r="T301" i="4" s="1"/>
  <c r="T340" i="4" s="1"/>
  <c r="S322" i="4"/>
  <c r="S325" i="4" s="1"/>
  <c r="S354" i="4" s="1"/>
  <c r="S277" i="4"/>
  <c r="S279" i="4" s="1"/>
  <c r="S280" i="4" s="1"/>
  <c r="S281" i="4" s="1"/>
  <c r="S282" i="4" s="1"/>
  <c r="S284" i="4" s="1"/>
  <c r="S337" i="4" s="1"/>
  <c r="T276" i="4"/>
  <c r="T322" i="4" s="1"/>
  <c r="U275" i="4"/>
  <c r="Y297" i="4"/>
  <c r="Y303" i="4" s="1"/>
  <c r="Y342" i="4" s="1"/>
  <c r="T273" i="4"/>
  <c r="AC241" i="4"/>
  <c r="AB361" i="4"/>
  <c r="AB333" i="4"/>
  <c r="AB362" i="4" s="1"/>
  <c r="AG326" i="4"/>
  <c r="AG355" i="4" s="1"/>
  <c r="V266" i="4"/>
  <c r="AC237" i="4"/>
  <c r="AC238" i="4" s="1"/>
  <c r="AD235" i="4" s="1"/>
  <c r="AD240" i="4" s="1"/>
  <c r="X254" i="4"/>
  <c r="X255" i="4" s="1"/>
  <c r="Y252" i="4" s="1"/>
  <c r="X258" i="4"/>
  <c r="W260" i="4"/>
  <c r="W262" i="4" s="1"/>
  <c r="W263" i="4" s="1"/>
  <c r="W264" i="4" s="1"/>
  <c r="W321" i="4"/>
  <c r="AH226" i="4"/>
  <c r="AH228" i="4" s="1"/>
  <c r="AH229" i="4" s="1"/>
  <c r="AH230" i="4" s="1"/>
  <c r="AH319" i="4"/>
  <c r="AB248" i="4"/>
  <c r="AA248" i="4"/>
  <c r="AF232" i="4"/>
  <c r="AE236" i="4" s="1"/>
  <c r="AG229" i="4"/>
  <c r="AG230" i="4" s="1"/>
  <c r="AG231" i="4" s="1"/>
  <c r="AL208" i="4" l="1"/>
  <c r="AL318" i="4" s="1"/>
  <c r="AL329" i="4" s="1"/>
  <c r="AL358" i="4" s="1"/>
  <c r="AM201" i="4"/>
  <c r="AL205" i="4"/>
  <c r="AM294" i="4"/>
  <c r="AM305" i="4" s="1"/>
  <c r="AM344" i="4" s="1"/>
  <c r="AL294" i="4"/>
  <c r="AL305" i="4" s="1"/>
  <c r="AL344" i="4" s="1"/>
  <c r="T277" i="4"/>
  <c r="T279" i="4" s="1"/>
  <c r="T280" i="4" s="1"/>
  <c r="U270" i="4"/>
  <c r="U273" i="4" s="1"/>
  <c r="AJ219" i="4"/>
  <c r="AJ222" i="4" s="1"/>
  <c r="AE296" i="4"/>
  <c r="AE309" i="4" s="1"/>
  <c r="AE349" i="4" s="1"/>
  <c r="AE239" i="4"/>
  <c r="AI295" i="4"/>
  <c r="AI302" i="4" s="1"/>
  <c r="AI341" i="4" s="1"/>
  <c r="AI222" i="4"/>
  <c r="S365" i="4"/>
  <c r="S375" i="4" s="1"/>
  <c r="S383" i="4" s="1"/>
  <c r="S374" i="4"/>
  <c r="S382" i="4" s="1"/>
  <c r="T325" i="4"/>
  <c r="T354" i="4" s="1"/>
  <c r="AH326" i="4"/>
  <c r="AH355" i="4" s="1"/>
  <c r="W327" i="4"/>
  <c r="W356" i="4" s="1"/>
  <c r="AD241" i="4"/>
  <c r="Y254" i="4"/>
  <c r="Y255" i="4" s="1"/>
  <c r="Y259" i="4" s="1"/>
  <c r="X259" i="4"/>
  <c r="X321" i="4" s="1"/>
  <c r="AC242" i="4"/>
  <c r="AC320" i="4" s="1"/>
  <c r="AD237" i="4"/>
  <c r="AD238" i="4" s="1"/>
  <c r="AE235" i="4" s="1"/>
  <c r="W265" i="4"/>
  <c r="AI220" i="4"/>
  <c r="AI221" i="4" s="1"/>
  <c r="AI225" i="4" s="1"/>
  <c r="AA249" i="4"/>
  <c r="Z253" i="4" s="1"/>
  <c r="Y258" i="4"/>
  <c r="Y257" i="4"/>
  <c r="AG232" i="4"/>
  <c r="AF236" i="4" s="1"/>
  <c r="AH231" i="4"/>
  <c r="AL209" i="4" l="1"/>
  <c r="AL211" i="4" s="1"/>
  <c r="AL212" i="4" s="1"/>
  <c r="AL213" i="4" s="1"/>
  <c r="AL214" i="4" s="1"/>
  <c r="AL215" i="4" s="1"/>
  <c r="AK219" i="4" s="1"/>
  <c r="U271" i="4"/>
  <c r="U272" i="4" s="1"/>
  <c r="V269" i="4" s="1"/>
  <c r="V274" i="4" s="1"/>
  <c r="AJ295" i="4"/>
  <c r="AJ302" i="4" s="1"/>
  <c r="AJ341" i="4" s="1"/>
  <c r="AM206" i="4"/>
  <c r="AM203" i="4"/>
  <c r="AM204" i="4" s="1"/>
  <c r="AM208" i="4" s="1"/>
  <c r="AM318" i="4" s="1"/>
  <c r="AM329" i="4" s="1"/>
  <c r="AM358" i="4" s="1"/>
  <c r="AM207" i="4"/>
  <c r="U298" i="4"/>
  <c r="U301" i="4" s="1"/>
  <c r="U340" i="4" s="1"/>
  <c r="AF296" i="4"/>
  <c r="AF309" i="4" s="1"/>
  <c r="AF349" i="4" s="1"/>
  <c r="AF239" i="4"/>
  <c r="U276" i="4"/>
  <c r="U277" i="4" s="1"/>
  <c r="X260" i="4"/>
  <c r="X262" i="4" s="1"/>
  <c r="X263" i="4" s="1"/>
  <c r="X264" i="4" s="1"/>
  <c r="X265" i="4" s="1"/>
  <c r="X327" i="4"/>
  <c r="X356" i="4" s="1"/>
  <c r="AC361" i="4"/>
  <c r="AC333" i="4"/>
  <c r="AC362" i="4" s="1"/>
  <c r="W266" i="4"/>
  <c r="V270" i="4" s="1"/>
  <c r="V298" i="4" s="1"/>
  <c r="V301" i="4" s="1"/>
  <c r="V340" i="4" s="1"/>
  <c r="AC243" i="4"/>
  <c r="AC245" i="4" s="1"/>
  <c r="AC246" i="4" s="1"/>
  <c r="AC247" i="4" s="1"/>
  <c r="AC248" i="4" s="1"/>
  <c r="T281" i="4"/>
  <c r="T282" i="4" s="1"/>
  <c r="T284" i="4" s="1"/>
  <c r="T337" i="4" s="1"/>
  <c r="AE237" i="4"/>
  <c r="AE238" i="4" s="1"/>
  <c r="AE242" i="4" s="1"/>
  <c r="AD242" i="4"/>
  <c r="AD243" i="4" s="1"/>
  <c r="Z252" i="4"/>
  <c r="Z256" i="4"/>
  <c r="AB249" i="4"/>
  <c r="AH232" i="4"/>
  <c r="AG236" i="4" s="1"/>
  <c r="AE240" i="4"/>
  <c r="AE241" i="4"/>
  <c r="AJ218" i="4"/>
  <c r="V275" i="4" l="1"/>
  <c r="AM209" i="4"/>
  <c r="AM211" i="4" s="1"/>
  <c r="AM212" i="4" s="1"/>
  <c r="AM213" i="4" s="1"/>
  <c r="AM214" i="4" s="1"/>
  <c r="AM215" i="4" s="1"/>
  <c r="AA253" i="4"/>
  <c r="AA256" i="4" s="1"/>
  <c r="U322" i="4"/>
  <c r="U325" i="4" s="1"/>
  <c r="U354" i="4" s="1"/>
  <c r="V271" i="4"/>
  <c r="V272" i="4" s="1"/>
  <c r="W269" i="4" s="1"/>
  <c r="W274" i="4" s="1"/>
  <c r="V273" i="4"/>
  <c r="AG296" i="4"/>
  <c r="AG309" i="4" s="1"/>
  <c r="AG349" i="4" s="1"/>
  <c r="AG239" i="4"/>
  <c r="AD320" i="4"/>
  <c r="U279" i="4"/>
  <c r="U280" i="4" s="1"/>
  <c r="U281" i="4" s="1"/>
  <c r="U282" i="4" s="1"/>
  <c r="U284" i="4" s="1"/>
  <c r="U337" i="4" s="1"/>
  <c r="X266" i="4"/>
  <c r="AD245" i="4"/>
  <c r="AD246" i="4" s="1"/>
  <c r="AD247" i="4" s="1"/>
  <c r="AD248" i="4" s="1"/>
  <c r="T374" i="4"/>
  <c r="T382" i="4" s="1"/>
  <c r="T365" i="4"/>
  <c r="T375" i="4" s="1"/>
  <c r="T383" i="4" s="1"/>
  <c r="AJ220" i="4"/>
  <c r="AJ221" i="4" s="1"/>
  <c r="AJ225" i="4" s="1"/>
  <c r="AI226" i="4"/>
  <c r="AI228" i="4" s="1"/>
  <c r="AI319" i="4"/>
  <c r="Y260" i="4"/>
  <c r="Y262" i="4" s="1"/>
  <c r="Y321" i="4"/>
  <c r="Z297" i="4"/>
  <c r="Z303" i="4" s="1"/>
  <c r="Z342" i="4" s="1"/>
  <c r="Z254" i="4"/>
  <c r="Z255" i="4" s="1"/>
  <c r="Z259" i="4" s="1"/>
  <c r="AC249" i="4"/>
  <c r="Z257" i="4"/>
  <c r="Z258" i="4"/>
  <c r="AF235" i="4"/>
  <c r="AK222" i="4"/>
  <c r="AJ223" i="4"/>
  <c r="AJ224" i="4"/>
  <c r="AA297" i="4" l="1"/>
  <c r="AA303" i="4" s="1"/>
  <c r="AA342" i="4" s="1"/>
  <c r="W270" i="4"/>
  <c r="W273" i="4" s="1"/>
  <c r="W275" i="4"/>
  <c r="AB253" i="4"/>
  <c r="AB297" i="4" s="1"/>
  <c r="AB303" i="4" s="1"/>
  <c r="AB342" i="4" s="1"/>
  <c r="V276" i="4"/>
  <c r="V322" i="4" s="1"/>
  <c r="AI326" i="4"/>
  <c r="AI355" i="4" s="1"/>
  <c r="AD361" i="4"/>
  <c r="AD333" i="4"/>
  <c r="AD362" i="4" s="1"/>
  <c r="Y327" i="4"/>
  <c r="Y356" i="4" s="1"/>
  <c r="U374" i="4"/>
  <c r="U382" i="4" s="1"/>
  <c r="U365" i="4"/>
  <c r="U375" i="4" s="1"/>
  <c r="U383" i="4" s="1"/>
  <c r="AF237" i="4"/>
  <c r="AF238" i="4" s="1"/>
  <c r="AF242" i="4" s="1"/>
  <c r="AE243" i="4"/>
  <c r="AE245" i="4" s="1"/>
  <c r="AE320" i="4"/>
  <c r="AK295" i="4"/>
  <c r="AK302" i="4" s="1"/>
  <c r="AK341" i="4" s="1"/>
  <c r="AA252" i="4"/>
  <c r="AD249" i="4"/>
  <c r="Y263" i="4"/>
  <c r="Y264" i="4" s="1"/>
  <c r="Y265" i="4" s="1"/>
  <c r="AF241" i="4"/>
  <c r="AF240" i="4"/>
  <c r="AK218" i="4"/>
  <c r="AI229" i="4"/>
  <c r="AI230" i="4" s="1"/>
  <c r="AI231" i="4" s="1"/>
  <c r="W271" i="4" l="1"/>
  <c r="W272" i="4" s="1"/>
  <c r="V277" i="4"/>
  <c r="W298" i="4"/>
  <c r="W301" i="4" s="1"/>
  <c r="W340" i="4" s="1"/>
  <c r="AC253" i="4"/>
  <c r="AC256" i="4" s="1"/>
  <c r="AB256" i="4"/>
  <c r="V325" i="4"/>
  <c r="V354" i="4" s="1"/>
  <c r="AE361" i="4"/>
  <c r="AE333" i="4"/>
  <c r="AE362" i="4" s="1"/>
  <c r="Y266" i="4"/>
  <c r="X270" i="4" s="1"/>
  <c r="V279" i="4"/>
  <c r="V280" i="4" s="1"/>
  <c r="AA254" i="4"/>
  <c r="AA255" i="4" s="1"/>
  <c r="AB252" i="4" s="1"/>
  <c r="AK220" i="4"/>
  <c r="AK221" i="4" s="1"/>
  <c r="AK225" i="4" s="1"/>
  <c r="Z260" i="4"/>
  <c r="Z262" i="4" s="1"/>
  <c r="Z321" i="4"/>
  <c r="AJ226" i="4"/>
  <c r="AJ228" i="4" s="1"/>
  <c r="AJ319" i="4"/>
  <c r="AA258" i="4"/>
  <c r="AA257" i="4"/>
  <c r="AG235" i="4"/>
  <c r="AE246" i="4"/>
  <c r="AE247" i="4" s="1"/>
  <c r="AE248" i="4" s="1"/>
  <c r="AI232" i="4"/>
  <c r="AH236" i="4" s="1"/>
  <c r="AK224" i="4"/>
  <c r="AK223" i="4"/>
  <c r="AC297" i="4" l="1"/>
  <c r="AC303" i="4" s="1"/>
  <c r="AC342" i="4" s="1"/>
  <c r="X269" i="4"/>
  <c r="X271" i="4" s="1"/>
  <c r="X272" i="4" s="1"/>
  <c r="Y269" i="4" s="1"/>
  <c r="Y274" i="4" s="1"/>
  <c r="W276" i="4"/>
  <c r="X273" i="4"/>
  <c r="AH296" i="4"/>
  <c r="AH309" i="4" s="1"/>
  <c r="AH349" i="4" s="1"/>
  <c r="AH239" i="4"/>
  <c r="AJ326" i="4"/>
  <c r="AJ355" i="4" s="1"/>
  <c r="Z327" i="4"/>
  <c r="Z356" i="4" s="1"/>
  <c r="X298" i="4"/>
  <c r="X301" i="4" s="1"/>
  <c r="X340" i="4" s="1"/>
  <c r="V281" i="4"/>
  <c r="AB254" i="4"/>
  <c r="AB255" i="4" s="1"/>
  <c r="AB259" i="4" s="1"/>
  <c r="AA259" i="4"/>
  <c r="AG237" i="4"/>
  <c r="AG238" i="4" s="1"/>
  <c r="AG242" i="4" s="1"/>
  <c r="AF243" i="4"/>
  <c r="AF245" i="4" s="1"/>
  <c r="AF320" i="4"/>
  <c r="Z263" i="4"/>
  <c r="Z264" i="4" s="1"/>
  <c r="Z265" i="4" s="1"/>
  <c r="AE249" i="4"/>
  <c r="AB257" i="4"/>
  <c r="AB258" i="4"/>
  <c r="AG240" i="4"/>
  <c r="AG241" i="4"/>
  <c r="AL218" i="4"/>
  <c r="AL219" i="4" s="1"/>
  <c r="AJ229" i="4"/>
  <c r="AJ230" i="4" s="1"/>
  <c r="AJ231" i="4" s="1"/>
  <c r="AL222" i="4" l="1"/>
  <c r="AL295" i="4"/>
  <c r="AL302" i="4" s="1"/>
  <c r="AL341" i="4" s="1"/>
  <c r="AM295" i="4"/>
  <c r="AM302" i="4" s="1"/>
  <c r="AM341" i="4" s="1"/>
  <c r="X276" i="4"/>
  <c r="X322" i="4" s="1"/>
  <c r="X325" i="4" s="1"/>
  <c r="X354" i="4" s="1"/>
  <c r="Y275" i="4"/>
  <c r="W277" i="4"/>
  <c r="W279" i="4" s="1"/>
  <c r="W280" i="4" s="1"/>
  <c r="W281" i="4" s="1"/>
  <c r="W282" i="4" s="1"/>
  <c r="W284" i="4" s="1"/>
  <c r="W337" i="4" s="1"/>
  <c r="W374" i="4" s="1"/>
  <c r="W382" i="4" s="1"/>
  <c r="W322" i="4"/>
  <c r="W325" i="4" s="1"/>
  <c r="W354" i="4" s="1"/>
  <c r="X274" i="4"/>
  <c r="X275" i="4"/>
  <c r="AD253" i="4"/>
  <c r="AD256" i="4" s="1"/>
  <c r="AF361" i="4"/>
  <c r="AF333" i="4"/>
  <c r="AF362" i="4" s="1"/>
  <c r="Z266" i="4"/>
  <c r="Y270" i="4" s="1"/>
  <c r="Y298" i="4" s="1"/>
  <c r="Y301" i="4" s="1"/>
  <c r="Y340" i="4" s="1"/>
  <c r="V282" i="4"/>
  <c r="V284" i="4" s="1"/>
  <c r="V337" i="4" s="1"/>
  <c r="V374" i="4" s="1"/>
  <c r="V382" i="4" s="1"/>
  <c r="AL220" i="4"/>
  <c r="AL221" i="4" s="1"/>
  <c r="AL225" i="4" s="1"/>
  <c r="AK226" i="4"/>
  <c r="AK228" i="4" s="1"/>
  <c r="AK319" i="4"/>
  <c r="AA260" i="4"/>
  <c r="AA262" i="4" s="1"/>
  <c r="AA321" i="4"/>
  <c r="AC252" i="4"/>
  <c r="AB321" i="4"/>
  <c r="AB260" i="4"/>
  <c r="AH235" i="4"/>
  <c r="AF246" i="4"/>
  <c r="AF247" i="4" s="1"/>
  <c r="AF248" i="4" s="1"/>
  <c r="AJ232" i="4"/>
  <c r="AI236" i="4" s="1"/>
  <c r="AL223" i="4"/>
  <c r="AL224" i="4"/>
  <c r="AD297" i="4" l="1"/>
  <c r="AD303" i="4" s="1"/>
  <c r="AD342" i="4" s="1"/>
  <c r="X277" i="4"/>
  <c r="X279" i="4" s="1"/>
  <c r="X280" i="4" s="1"/>
  <c r="X281" i="4" s="1"/>
  <c r="X282" i="4" s="1"/>
  <c r="X284" i="4" s="1"/>
  <c r="X337" i="4" s="1"/>
  <c r="X365" i="4" s="1"/>
  <c r="X375" i="4" s="1"/>
  <c r="X383" i="4" s="1"/>
  <c r="V365" i="4"/>
  <c r="V375" i="4" s="1"/>
  <c r="V383" i="4" s="1"/>
  <c r="W365" i="4"/>
  <c r="W375" i="4" s="1"/>
  <c r="W383" i="4" s="1"/>
  <c r="Y271" i="4"/>
  <c r="Y272" i="4" s="1"/>
  <c r="Y276" i="4" s="1"/>
  <c r="Y273" i="4"/>
  <c r="AI296" i="4"/>
  <c r="AI309" i="4" s="1"/>
  <c r="AI349" i="4" s="1"/>
  <c r="AI239" i="4"/>
  <c r="AA327" i="4"/>
  <c r="AA356" i="4" s="1"/>
  <c r="AK326" i="4"/>
  <c r="AK355" i="4" s="1"/>
  <c r="AB327" i="4"/>
  <c r="AB356" i="4" s="1"/>
  <c r="AC254" i="4"/>
  <c r="AC255" i="4" s="1"/>
  <c r="AD252" i="4" s="1"/>
  <c r="AH237" i="4"/>
  <c r="AH238" i="4" s="1"/>
  <c r="AH242" i="4" s="1"/>
  <c r="AG243" i="4"/>
  <c r="AG245" i="4" s="1"/>
  <c r="AG320" i="4"/>
  <c r="AF249" i="4"/>
  <c r="AB262" i="4"/>
  <c r="AA263" i="4"/>
  <c r="AA264" i="4" s="1"/>
  <c r="AA265" i="4" s="1"/>
  <c r="AC258" i="4"/>
  <c r="AC257" i="4"/>
  <c r="AH241" i="4"/>
  <c r="AH240" i="4"/>
  <c r="AM218" i="4"/>
  <c r="AK229" i="4"/>
  <c r="AK230" i="4" s="1"/>
  <c r="AK231" i="4" s="1"/>
  <c r="X374" i="4" l="1"/>
  <c r="X382" i="4" s="1"/>
  <c r="AE253" i="4"/>
  <c r="AE256" i="4" s="1"/>
  <c r="Z269" i="4"/>
  <c r="Z275" i="4" s="1"/>
  <c r="AG361" i="4"/>
  <c r="AG333" i="4"/>
  <c r="AG362" i="4" s="1"/>
  <c r="AA266" i="4"/>
  <c r="Z270" i="4" s="1"/>
  <c r="Y322" i="4"/>
  <c r="Y277" i="4"/>
  <c r="Z274" i="4"/>
  <c r="AD254" i="4"/>
  <c r="AD255" i="4" s="1"/>
  <c r="AE252" i="4" s="1"/>
  <c r="AC259" i="4"/>
  <c r="AM220" i="4"/>
  <c r="AM221" i="4" s="1"/>
  <c r="AL226" i="4"/>
  <c r="AL228" i="4" s="1"/>
  <c r="AL319" i="4"/>
  <c r="AD258" i="4"/>
  <c r="AD257" i="4"/>
  <c r="AB263" i="4"/>
  <c r="AB264" i="4" s="1"/>
  <c r="AB265" i="4" s="1"/>
  <c r="AI235" i="4"/>
  <c r="AH320" i="4"/>
  <c r="AK232" i="4"/>
  <c r="AJ236" i="4" s="1"/>
  <c r="AG246" i="4"/>
  <c r="AG247" i="4" s="1"/>
  <c r="AG248" i="4" s="1"/>
  <c r="AM224" i="4"/>
  <c r="AM223" i="4"/>
  <c r="AE297" i="4" l="1"/>
  <c r="AE303" i="4" s="1"/>
  <c r="AE342" i="4" s="1"/>
  <c r="Z271" i="4"/>
  <c r="Z272" i="4" s="1"/>
  <c r="AA269" i="4" s="1"/>
  <c r="AA275" i="4" s="1"/>
  <c r="Z273" i="4"/>
  <c r="AJ296" i="4"/>
  <c r="AJ309" i="4" s="1"/>
  <c r="AJ349" i="4" s="1"/>
  <c r="AJ239" i="4"/>
  <c r="Z298" i="4"/>
  <c r="Z301" i="4" s="1"/>
  <c r="Z340" i="4" s="1"/>
  <c r="Y325" i="4"/>
  <c r="Y354" i="4" s="1"/>
  <c r="AL326" i="4"/>
  <c r="AL355" i="4" s="1"/>
  <c r="AH361" i="4"/>
  <c r="AH333" i="4"/>
  <c r="AH362" i="4" s="1"/>
  <c r="Y279" i="4"/>
  <c r="Y280" i="4" s="1"/>
  <c r="Y281" i="4" s="1"/>
  <c r="Y282" i="4" s="1"/>
  <c r="Y284" i="4" s="1"/>
  <c r="Y337" i="4" s="1"/>
  <c r="AB266" i="4"/>
  <c r="AA270" i="4" s="1"/>
  <c r="AE254" i="4"/>
  <c r="AE255" i="4" s="1"/>
  <c r="AE259" i="4" s="1"/>
  <c r="AM225" i="4"/>
  <c r="AM319" i="4" s="1"/>
  <c r="AI237" i="4"/>
  <c r="AI238" i="4" s="1"/>
  <c r="AI242" i="4" s="1"/>
  <c r="AD259" i="4"/>
  <c r="AC260" i="4"/>
  <c r="AC262" i="4" s="1"/>
  <c r="AC321" i="4"/>
  <c r="AH243" i="4"/>
  <c r="AH245" i="4" s="1"/>
  <c r="AG249" i="4"/>
  <c r="AE257" i="4"/>
  <c r="AE258" i="4"/>
  <c r="AI241" i="4"/>
  <c r="AI240" i="4"/>
  <c r="AL229" i="4"/>
  <c r="AL230" i="4" s="1"/>
  <c r="AA274" i="4" l="1"/>
  <c r="Z276" i="4"/>
  <c r="Z277" i="4" s="1"/>
  <c r="Z279" i="4" s="1"/>
  <c r="Z280" i="4" s="1"/>
  <c r="Z281" i="4" s="1"/>
  <c r="Z282" i="4" s="1"/>
  <c r="Z284" i="4" s="1"/>
  <c r="Z337" i="4" s="1"/>
  <c r="Z374" i="4" s="1"/>
  <c r="Z382" i="4" s="1"/>
  <c r="AF253" i="4"/>
  <c r="AF256" i="4" s="1"/>
  <c r="AA271" i="4"/>
  <c r="AA272" i="4" s="1"/>
  <c r="AB269" i="4" s="1"/>
  <c r="AB274" i="4" s="1"/>
  <c r="AA273" i="4"/>
  <c r="AA298" i="4"/>
  <c r="AA301" i="4" s="1"/>
  <c r="AA340" i="4" s="1"/>
  <c r="AC327" i="4"/>
  <c r="AC356" i="4" s="1"/>
  <c r="AM326" i="4"/>
  <c r="AM355" i="4" s="1"/>
  <c r="Z322" i="4"/>
  <c r="Y374" i="4"/>
  <c r="Y382" i="4" s="1"/>
  <c r="Y365" i="4"/>
  <c r="Y375" i="4" s="1"/>
  <c r="Y383" i="4" s="1"/>
  <c r="AM226" i="4"/>
  <c r="AM228" i="4" s="1"/>
  <c r="AM229" i="4" s="1"/>
  <c r="AM230" i="4" s="1"/>
  <c r="AD260" i="4"/>
  <c r="AD262" i="4" s="1"/>
  <c r="AD263" i="4" s="1"/>
  <c r="AD264" i="4" s="1"/>
  <c r="AD321" i="4"/>
  <c r="AF252" i="4"/>
  <c r="AE321" i="4"/>
  <c r="AE260" i="4"/>
  <c r="AC263" i="4"/>
  <c r="AC264" i="4" s="1"/>
  <c r="AJ235" i="4"/>
  <c r="AH246" i="4"/>
  <c r="AH247" i="4" s="1"/>
  <c r="AH248" i="4" s="1"/>
  <c r="AL231" i="4"/>
  <c r="AA276" i="4" l="1"/>
  <c r="AA322" i="4" s="1"/>
  <c r="AF297" i="4"/>
  <c r="AF303" i="4" s="1"/>
  <c r="AF342" i="4" s="1"/>
  <c r="AB275" i="4"/>
  <c r="AA277" i="4"/>
  <c r="AA279" i="4" s="1"/>
  <c r="AE327" i="4"/>
  <c r="AE356" i="4" s="1"/>
  <c r="AA325" i="4"/>
  <c r="AA354" i="4" s="1"/>
  <c r="Z325" i="4"/>
  <c r="Z354" i="4" s="1"/>
  <c r="Z365" i="4" s="1"/>
  <c r="Z375" i="4" s="1"/>
  <c r="Z383" i="4" s="1"/>
  <c r="AD327" i="4"/>
  <c r="AD356" i="4" s="1"/>
  <c r="AM231" i="4"/>
  <c r="AE262" i="4"/>
  <c r="AE263" i="4" s="1"/>
  <c r="AE264" i="4" s="1"/>
  <c r="AE265" i="4" s="1"/>
  <c r="AD265" i="4"/>
  <c r="AJ237" i="4"/>
  <c r="AJ238" i="4" s="1"/>
  <c r="AJ242" i="4" s="1"/>
  <c r="AF254" i="4"/>
  <c r="AF255" i="4" s="1"/>
  <c r="AF259" i="4" s="1"/>
  <c r="AI243" i="4"/>
  <c r="AI245" i="4" s="1"/>
  <c r="AI320" i="4"/>
  <c r="AC265" i="4"/>
  <c r="AH249" i="4"/>
  <c r="AF258" i="4"/>
  <c r="AF257" i="4"/>
  <c r="AL232" i="4"/>
  <c r="AK236" i="4" s="1"/>
  <c r="AJ240" i="4"/>
  <c r="AJ241" i="4"/>
  <c r="AG253" i="4" l="1"/>
  <c r="AG256" i="4" s="1"/>
  <c r="AA280" i="4"/>
  <c r="AA281" i="4" s="1"/>
  <c r="AA282" i="4" s="1"/>
  <c r="AA284" i="4" s="1"/>
  <c r="AA337" i="4" s="1"/>
  <c r="AI361" i="4"/>
  <c r="AI333" i="4"/>
  <c r="AI362" i="4" s="1"/>
  <c r="AC266" i="4"/>
  <c r="AG252" i="4"/>
  <c r="AK235" i="4"/>
  <c r="AI246" i="4"/>
  <c r="AI247" i="4" s="1"/>
  <c r="AI248" i="4" s="1"/>
  <c r="AM232" i="4"/>
  <c r="AG297" i="4" l="1"/>
  <c r="AG303" i="4" s="1"/>
  <c r="AG342" i="4" s="1"/>
  <c r="AB270" i="4"/>
  <c r="AB273" i="4" s="1"/>
  <c r="AL236" i="4"/>
  <c r="AL239" i="4" s="1"/>
  <c r="AK296" i="4"/>
  <c r="AK309" i="4" s="1"/>
  <c r="AK349" i="4" s="1"/>
  <c r="AK239" i="4"/>
  <c r="AD266" i="4"/>
  <c r="AC270" i="4" s="1"/>
  <c r="AB298" i="4"/>
  <c r="AB301" i="4" s="1"/>
  <c r="AB340" i="4" s="1"/>
  <c r="AA374" i="4"/>
  <c r="AA382" i="4" s="1"/>
  <c r="AA365" i="4"/>
  <c r="AA375" i="4" s="1"/>
  <c r="AA383" i="4" s="1"/>
  <c r="AG254" i="4"/>
  <c r="AG255" i="4" s="1"/>
  <c r="AG259" i="4" s="1"/>
  <c r="AF260" i="4"/>
  <c r="AF262" i="4" s="1"/>
  <c r="AF321" i="4"/>
  <c r="AJ243" i="4"/>
  <c r="AJ245" i="4" s="1"/>
  <c r="AJ320" i="4"/>
  <c r="AK237" i="4"/>
  <c r="AK238" i="4" s="1"/>
  <c r="AK242" i="4" s="1"/>
  <c r="AI249" i="4"/>
  <c r="AG257" i="4"/>
  <c r="AG258" i="4"/>
  <c r="AK240" i="4"/>
  <c r="AK241" i="4"/>
  <c r="AL296" i="4" l="1"/>
  <c r="AL309" i="4" s="1"/>
  <c r="AL349" i="4" s="1"/>
  <c r="AB271" i="4"/>
  <c r="AB272" i="4" s="1"/>
  <c r="AC269" i="4" s="1"/>
  <c r="AC271" i="4" s="1"/>
  <c r="AC272" i="4" s="1"/>
  <c r="AD269" i="4" s="1"/>
  <c r="AM296" i="4"/>
  <c r="AM309" i="4" s="1"/>
  <c r="AM349" i="4" s="1"/>
  <c r="AH253" i="4"/>
  <c r="AH256" i="4" s="1"/>
  <c r="AC273" i="4"/>
  <c r="AE266" i="4"/>
  <c r="AJ361" i="4"/>
  <c r="AJ333" i="4"/>
  <c r="AJ362" i="4" s="1"/>
  <c r="AF327" i="4"/>
  <c r="AF356" i="4" s="1"/>
  <c r="AH252" i="4"/>
  <c r="AF263" i="4"/>
  <c r="AF264" i="4" s="1"/>
  <c r="AF265" i="4" s="1"/>
  <c r="AL235" i="4"/>
  <c r="AJ246" i="4"/>
  <c r="AJ247" i="4" s="1"/>
  <c r="AJ248" i="4" s="1"/>
  <c r="AC275" i="4" l="1"/>
  <c r="AC274" i="4"/>
  <c r="AB276" i="4"/>
  <c r="AB277" i="4" s="1"/>
  <c r="AB279" i="4" s="1"/>
  <c r="AB280" i="4" s="1"/>
  <c r="AB281" i="4" s="1"/>
  <c r="AB282" i="4" s="1"/>
  <c r="AB284" i="4" s="1"/>
  <c r="AB337" i="4" s="1"/>
  <c r="AH297" i="4"/>
  <c r="AH303" i="4" s="1"/>
  <c r="AH342" i="4" s="1"/>
  <c r="AD270" i="4"/>
  <c r="AD273" i="4" s="1"/>
  <c r="AC298" i="4"/>
  <c r="AC301" i="4" s="1"/>
  <c r="AC340" i="4" s="1"/>
  <c r="AF266" i="4"/>
  <c r="AC276" i="4"/>
  <c r="AD275" i="4"/>
  <c r="AD274" i="4"/>
  <c r="AL237" i="4"/>
  <c r="AL238" i="4" s="1"/>
  <c r="AL242" i="4" s="1"/>
  <c r="AH254" i="4"/>
  <c r="AH255" i="4" s="1"/>
  <c r="AI252" i="4" s="1"/>
  <c r="AG260" i="4"/>
  <c r="AG262" i="4" s="1"/>
  <c r="AG321" i="4"/>
  <c r="AK243" i="4"/>
  <c r="AK245" i="4" s="1"/>
  <c r="AK320" i="4"/>
  <c r="AJ249" i="4"/>
  <c r="AH258" i="4"/>
  <c r="AH257" i="4"/>
  <c r="AL240" i="4"/>
  <c r="AL241" i="4"/>
  <c r="AC322" i="4" l="1"/>
  <c r="AD271" i="4"/>
  <c r="AD272" i="4" s="1"/>
  <c r="AE269" i="4" s="1"/>
  <c r="AE274" i="4" s="1"/>
  <c r="AB322" i="4"/>
  <c r="AB325" i="4" s="1"/>
  <c r="AB354" i="4" s="1"/>
  <c r="AB365" i="4" s="1"/>
  <c r="AB375" i="4" s="1"/>
  <c r="AB383" i="4" s="1"/>
  <c r="AD298" i="4"/>
  <c r="AD301" i="4" s="1"/>
  <c r="AD340" i="4" s="1"/>
  <c r="AE270" i="4"/>
  <c r="AE298" i="4" s="1"/>
  <c r="AE301" i="4" s="1"/>
  <c r="AE340" i="4" s="1"/>
  <c r="AI253" i="4"/>
  <c r="AI256" i="4" s="1"/>
  <c r="AC325" i="4"/>
  <c r="AC354" i="4" s="1"/>
  <c r="AK361" i="4"/>
  <c r="AK333" i="4"/>
  <c r="AK362" i="4" s="1"/>
  <c r="AG327" i="4"/>
  <c r="AG356" i="4" s="1"/>
  <c r="AB374" i="4"/>
  <c r="AB382" i="4" s="1"/>
  <c r="AC277" i="4"/>
  <c r="AH259" i="4"/>
  <c r="AI258" i="4"/>
  <c r="AI257" i="4"/>
  <c r="AG263" i="4"/>
  <c r="AG264" i="4" s="1"/>
  <c r="AG265" i="4" s="1"/>
  <c r="AM235" i="4"/>
  <c r="AK246" i="4"/>
  <c r="AK247" i="4" s="1"/>
  <c r="AK248" i="4" s="1"/>
  <c r="AD276" i="4" l="1"/>
  <c r="AD322" i="4" s="1"/>
  <c r="AE275" i="4"/>
  <c r="AI254" i="4"/>
  <c r="AI255" i="4" s="1"/>
  <c r="AI259" i="4" s="1"/>
  <c r="AE271" i="4"/>
  <c r="AE272" i="4" s="1"/>
  <c r="AF269" i="4" s="1"/>
  <c r="AF275" i="4" s="1"/>
  <c r="AI297" i="4"/>
  <c r="AI303" i="4" s="1"/>
  <c r="AI342" i="4" s="1"/>
  <c r="AE273" i="4"/>
  <c r="AD325" i="4"/>
  <c r="AD354" i="4" s="1"/>
  <c r="AC279" i="4"/>
  <c r="AG266" i="4"/>
  <c r="AF270" i="4" s="1"/>
  <c r="AD277" i="4"/>
  <c r="AM237" i="4"/>
  <c r="AM238" i="4" s="1"/>
  <c r="AL243" i="4"/>
  <c r="AL245" i="4" s="1"/>
  <c r="AL320" i="4"/>
  <c r="AH260" i="4"/>
  <c r="AH262" i="4" s="1"/>
  <c r="AH321" i="4"/>
  <c r="AK249" i="4"/>
  <c r="AM240" i="4"/>
  <c r="AM241" i="4"/>
  <c r="AJ252" i="4" l="1"/>
  <c r="AF274" i="4"/>
  <c r="AE276" i="4"/>
  <c r="AE322" i="4" s="1"/>
  <c r="AJ253" i="4"/>
  <c r="AJ256" i="4" s="1"/>
  <c r="AF271" i="4"/>
  <c r="AF272" i="4" s="1"/>
  <c r="AG269" i="4" s="1"/>
  <c r="AG274" i="4" s="1"/>
  <c r="AF273" i="4"/>
  <c r="AC280" i="4"/>
  <c r="AC281" i="4" s="1"/>
  <c r="AC282" i="4" s="1"/>
  <c r="AC284" i="4" s="1"/>
  <c r="AC337" i="4" s="1"/>
  <c r="AL361" i="4"/>
  <c r="AL333" i="4"/>
  <c r="AL362" i="4" s="1"/>
  <c r="AE325" i="4"/>
  <c r="AE354" i="4" s="1"/>
  <c r="AH327" i="4"/>
  <c r="AH356" i="4" s="1"/>
  <c r="AF298" i="4"/>
  <c r="AF301" i="4" s="1"/>
  <c r="AF340" i="4" s="1"/>
  <c r="AD279" i="4"/>
  <c r="AM242" i="4"/>
  <c r="AM320" i="4" s="1"/>
  <c r="AI260" i="4"/>
  <c r="AI262" i="4" s="1"/>
  <c r="AI321" i="4"/>
  <c r="AJ257" i="4"/>
  <c r="AJ258" i="4"/>
  <c r="AH263" i="4"/>
  <c r="AH264" i="4" s="1"/>
  <c r="AH265" i="4" s="1"/>
  <c r="AL246" i="4"/>
  <c r="AL247" i="4" s="1"/>
  <c r="AL248" i="4" s="1"/>
  <c r="AE277" i="4" l="1"/>
  <c r="AE279" i="4" s="1"/>
  <c r="AE280" i="4" s="1"/>
  <c r="AE281" i="4" s="1"/>
  <c r="AJ254" i="4"/>
  <c r="AJ255" i="4" s="1"/>
  <c r="AJ259" i="4" s="1"/>
  <c r="AJ297" i="4"/>
  <c r="AJ303" i="4" s="1"/>
  <c r="AJ342" i="4" s="1"/>
  <c r="AG275" i="4"/>
  <c r="AF276" i="4"/>
  <c r="AF322" i="4" s="1"/>
  <c r="AC365" i="4"/>
  <c r="AC375" i="4" s="1"/>
  <c r="AC383" i="4" s="1"/>
  <c r="AC374" i="4"/>
  <c r="AC382" i="4" s="1"/>
  <c r="AD280" i="4"/>
  <c r="AD281" i="4" s="1"/>
  <c r="AM361" i="4"/>
  <c r="AM333" i="4"/>
  <c r="AM362" i="4" s="1"/>
  <c r="AI327" i="4"/>
  <c r="AI356" i="4" s="1"/>
  <c r="AH266" i="4"/>
  <c r="AG270" i="4" s="1"/>
  <c r="AM243" i="4"/>
  <c r="AM245" i="4" s="1"/>
  <c r="AM246" i="4" s="1"/>
  <c r="AM247" i="4" s="1"/>
  <c r="AM248" i="4" s="1"/>
  <c r="AI263" i="4"/>
  <c r="AI264" i="4" s="1"/>
  <c r="AI265" i="4" s="1"/>
  <c r="AL249" i="4"/>
  <c r="AK252" i="4" l="1"/>
  <c r="AK258" i="4" s="1"/>
  <c r="AF277" i="4"/>
  <c r="AK253" i="4"/>
  <c r="AK256" i="4" s="1"/>
  <c r="AG271" i="4"/>
  <c r="AG272" i="4" s="1"/>
  <c r="AH269" i="4" s="1"/>
  <c r="AH275" i="4" s="1"/>
  <c r="AG273" i="4"/>
  <c r="AD282" i="4"/>
  <c r="AD284" i="4" s="1"/>
  <c r="AD337" i="4" s="1"/>
  <c r="AE282" i="4"/>
  <c r="AE284" i="4" s="1"/>
  <c r="AE337" i="4" s="1"/>
  <c r="AE374" i="4" s="1"/>
  <c r="AE382" i="4" s="1"/>
  <c r="AF325" i="4"/>
  <c r="AF354" i="4" s="1"/>
  <c r="AF279" i="4"/>
  <c r="AF280" i="4" s="1"/>
  <c r="AF281" i="4" s="1"/>
  <c r="AF282" i="4" s="1"/>
  <c r="AF284" i="4" s="1"/>
  <c r="AF337" i="4" s="1"/>
  <c r="AI266" i="4"/>
  <c r="AH270" i="4" s="1"/>
  <c r="AG298" i="4"/>
  <c r="AG301" i="4" s="1"/>
  <c r="AG340" i="4" s="1"/>
  <c r="AJ260" i="4"/>
  <c r="AJ262" i="4" s="1"/>
  <c r="AJ321" i="4"/>
  <c r="AM249" i="4"/>
  <c r="AH274" i="4" l="1"/>
  <c r="AK257" i="4"/>
  <c r="AK254" i="4"/>
  <c r="AK255" i="4" s="1"/>
  <c r="AK259" i="4" s="1"/>
  <c r="AK297" i="4"/>
  <c r="AK303" i="4" s="1"/>
  <c r="AK342" i="4" s="1"/>
  <c r="AL253" i="4"/>
  <c r="AL256" i="4" s="1"/>
  <c r="AG276" i="4"/>
  <c r="AH271" i="4"/>
  <c r="AH272" i="4" s="1"/>
  <c r="AI269" i="4" s="1"/>
  <c r="AI275" i="4" s="1"/>
  <c r="AH273" i="4"/>
  <c r="AE365" i="4"/>
  <c r="AE375" i="4" s="1"/>
  <c r="AE383" i="4" s="1"/>
  <c r="AH298" i="4"/>
  <c r="AH301" i="4" s="1"/>
  <c r="AH340" i="4" s="1"/>
  <c r="AD374" i="4"/>
  <c r="AD382" i="4" s="1"/>
  <c r="AD365" i="4"/>
  <c r="AD375" i="4" s="1"/>
  <c r="AD383" i="4" s="1"/>
  <c r="AJ327" i="4"/>
  <c r="AJ356" i="4" s="1"/>
  <c r="AF374" i="4"/>
  <c r="AF382" i="4" s="1"/>
  <c r="AF365" i="4"/>
  <c r="AF375" i="4" s="1"/>
  <c r="AF383" i="4" s="1"/>
  <c r="AJ263" i="4"/>
  <c r="AJ264" i="4" s="1"/>
  <c r="AJ265" i="4" s="1"/>
  <c r="AH276" i="4" l="1"/>
  <c r="AH322" i="4" s="1"/>
  <c r="AL252" i="4"/>
  <c r="AL257" i="4" s="1"/>
  <c r="AL297" i="4"/>
  <c r="AL303" i="4" s="1"/>
  <c r="AL342" i="4" s="1"/>
  <c r="AI274" i="4"/>
  <c r="AM297" i="4"/>
  <c r="AM303" i="4" s="1"/>
  <c r="AM342" i="4" s="1"/>
  <c r="AG322" i="4"/>
  <c r="AG325" i="4" s="1"/>
  <c r="AG354" i="4" s="1"/>
  <c r="AG277" i="4"/>
  <c r="AG279" i="4" s="1"/>
  <c r="AG280" i="4" s="1"/>
  <c r="AG281" i="4" s="1"/>
  <c r="AG282" i="4" s="1"/>
  <c r="AG284" i="4" s="1"/>
  <c r="AG337" i="4" s="1"/>
  <c r="AH325" i="4"/>
  <c r="AH354" i="4" s="1"/>
  <c r="AJ266" i="4"/>
  <c r="AI270" i="4" s="1"/>
  <c r="AH277" i="4"/>
  <c r="AL254" i="4"/>
  <c r="AL255" i="4" s="1"/>
  <c r="AL259" i="4" s="1"/>
  <c r="AK260" i="4"/>
  <c r="AK262" i="4" s="1"/>
  <c r="AK321" i="4"/>
  <c r="AL258" i="4" l="1"/>
  <c r="AI271" i="4"/>
  <c r="AI272" i="4" s="1"/>
  <c r="AJ269" i="4" s="1"/>
  <c r="AJ274" i="4" s="1"/>
  <c r="AI273" i="4"/>
  <c r="AI298" i="4"/>
  <c r="AI301" i="4" s="1"/>
  <c r="AI340" i="4" s="1"/>
  <c r="AK327" i="4"/>
  <c r="AK356" i="4" s="1"/>
  <c r="AH279" i="4"/>
  <c r="AG374" i="4"/>
  <c r="AG382" i="4" s="1"/>
  <c r="AG365" i="4"/>
  <c r="AG375" i="4" s="1"/>
  <c r="AG383" i="4" s="1"/>
  <c r="AM252" i="4"/>
  <c r="AK263" i="4"/>
  <c r="AK264" i="4" s="1"/>
  <c r="AK265" i="4" s="1"/>
  <c r="AI276" i="4" l="1"/>
  <c r="AI277" i="4" s="1"/>
  <c r="AI279" i="4" s="1"/>
  <c r="AJ275" i="4"/>
  <c r="AH280" i="4"/>
  <c r="AH281" i="4" s="1"/>
  <c r="AK266" i="4"/>
  <c r="AM254" i="4"/>
  <c r="AM255" i="4" s="1"/>
  <c r="AM259" i="4" s="1"/>
  <c r="AL260" i="4"/>
  <c r="AL262" i="4" s="1"/>
  <c r="AL321" i="4"/>
  <c r="AM257" i="4"/>
  <c r="AM258" i="4"/>
  <c r="AI322" i="4" l="1"/>
  <c r="AJ270" i="4"/>
  <c r="AJ273" i="4" s="1"/>
  <c r="AH282" i="4"/>
  <c r="AH284" i="4" s="1"/>
  <c r="AH337" i="4" s="1"/>
  <c r="AI280" i="4"/>
  <c r="AI281" i="4" s="1"/>
  <c r="AI282" i="4" s="1"/>
  <c r="AI284" i="4" s="1"/>
  <c r="AI337" i="4" s="1"/>
  <c r="AI374" i="4" s="1"/>
  <c r="AI382" i="4" s="1"/>
  <c r="AL327" i="4"/>
  <c r="AL356" i="4" s="1"/>
  <c r="AI325" i="4"/>
  <c r="AI354" i="4" s="1"/>
  <c r="AM321" i="4"/>
  <c r="AM260" i="4"/>
  <c r="AM262" i="4" s="1"/>
  <c r="AL263" i="4"/>
  <c r="AL264" i="4" s="1"/>
  <c r="AL265" i="4" s="1"/>
  <c r="AJ271" i="4" l="1"/>
  <c r="AJ272" i="4" s="1"/>
  <c r="AJ298" i="4"/>
  <c r="AJ301" i="4" s="1"/>
  <c r="AJ340" i="4" s="1"/>
  <c r="AI365" i="4"/>
  <c r="AI375" i="4" s="1"/>
  <c r="AI383" i="4" s="1"/>
  <c r="AH374" i="4"/>
  <c r="AH382" i="4" s="1"/>
  <c r="AH365" i="4"/>
  <c r="AH375" i="4" s="1"/>
  <c r="AH383" i="4" s="1"/>
  <c r="AM327" i="4"/>
  <c r="AM356" i="4" s="1"/>
  <c r="AL266" i="4"/>
  <c r="AM263" i="4"/>
  <c r="AM264" i="4" s="1"/>
  <c r="AM265" i="4" s="1"/>
  <c r="AJ276" i="4" l="1"/>
  <c r="AK269" i="4"/>
  <c r="AK270" i="4"/>
  <c r="AK273" i="4" s="1"/>
  <c r="AM266" i="4"/>
  <c r="AK274" i="4" l="1"/>
  <c r="AK275" i="4"/>
  <c r="AJ322" i="4"/>
  <c r="AJ325" i="4" s="1"/>
  <c r="AJ354" i="4" s="1"/>
  <c r="AJ277" i="4"/>
  <c r="AJ279" i="4" s="1"/>
  <c r="AJ280" i="4" s="1"/>
  <c r="AJ281" i="4" s="1"/>
  <c r="AJ282" i="4" s="1"/>
  <c r="AJ284" i="4" s="1"/>
  <c r="AJ337" i="4" s="1"/>
  <c r="AK298" i="4"/>
  <c r="AK301" i="4" s="1"/>
  <c r="AK340" i="4" s="1"/>
  <c r="AL270" i="4"/>
  <c r="AL273" i="4" s="1"/>
  <c r="AK271" i="4"/>
  <c r="AK272" i="4" s="1"/>
  <c r="AL269" i="4" s="1"/>
  <c r="AL275" i="4" s="1"/>
  <c r="AM298" i="4"/>
  <c r="AM301" i="4" s="1"/>
  <c r="AM340" i="4" s="1"/>
  <c r="AL298" i="4" l="1"/>
  <c r="AL301" i="4" s="1"/>
  <c r="AL340" i="4" s="1"/>
  <c r="AK276" i="4"/>
  <c r="AK322" i="4" s="1"/>
  <c r="AK325" i="4" s="1"/>
  <c r="AK354" i="4" s="1"/>
  <c r="AL271" i="4"/>
  <c r="AL272" i="4" s="1"/>
  <c r="AL274" i="4"/>
  <c r="AJ365" i="4"/>
  <c r="AJ375" i="4" s="1"/>
  <c r="AJ383" i="4" s="1"/>
  <c r="AJ374" i="4"/>
  <c r="AJ382" i="4" s="1"/>
  <c r="AK277" i="4" l="1"/>
  <c r="AK279" i="4" s="1"/>
  <c r="AK280" i="4" s="1"/>
  <c r="AK281" i="4" s="1"/>
  <c r="AK282" i="4" s="1"/>
  <c r="AK284" i="4" s="1"/>
  <c r="AK337" i="4" s="1"/>
  <c r="AM269" i="4"/>
  <c r="AL276" i="4"/>
  <c r="AL322" i="4" l="1"/>
  <c r="AL325" i="4" s="1"/>
  <c r="AL354" i="4" s="1"/>
  <c r="AL277" i="4"/>
  <c r="AM271" i="4"/>
  <c r="AM272" i="4" s="1"/>
  <c r="AM276" i="4" s="1"/>
  <c r="AM322" i="4" s="1"/>
  <c r="AM325" i="4" s="1"/>
  <c r="AM354" i="4" s="1"/>
  <c r="AM274" i="4"/>
  <c r="AM275" i="4"/>
  <c r="AK374" i="4"/>
  <c r="AK382" i="4" s="1"/>
  <c r="AK365" i="4"/>
  <c r="AK375" i="4" s="1"/>
  <c r="AK383" i="4" s="1"/>
  <c r="AM277" i="4" l="1"/>
  <c r="AM279" i="4" s="1"/>
  <c r="AL279" i="4"/>
  <c r="AL280" i="4" l="1"/>
  <c r="AL281" i="4" s="1"/>
  <c r="AL282" i="4" s="1"/>
  <c r="AL284" i="4" s="1"/>
  <c r="AL337" i="4" s="1"/>
  <c r="AM280" i="4"/>
  <c r="AM281" i="4" s="1"/>
  <c r="AM282" i="4" l="1"/>
  <c r="AM284" i="4" s="1"/>
  <c r="AM337" i="4" s="1"/>
  <c r="AM374" i="4" s="1"/>
  <c r="AM382" i="4" s="1"/>
  <c r="AL374" i="4"/>
  <c r="AL382" i="4" s="1"/>
  <c r="AL365" i="4"/>
  <c r="AL375" i="4" s="1"/>
  <c r="AL383" i="4" s="1"/>
  <c r="AM365" i="4" l="1"/>
  <c r="AM375" i="4" s="1"/>
  <c r="AM383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<sst xmlns="http://schemas.openxmlformats.org/spreadsheetml/2006/main" count="819" uniqueCount="230">
  <si>
    <t>Stock market investments</t>
  </si>
  <si>
    <t>Age</t>
  </si>
  <si>
    <t>Home loan</t>
  </si>
  <si>
    <t>Credit card balances</t>
  </si>
  <si>
    <t>more / less than current</t>
  </si>
  <si>
    <t>Year</t>
  </si>
  <si>
    <t>Home</t>
  </si>
  <si>
    <t>Interest on cash balances</t>
  </si>
  <si>
    <t>Cash</t>
  </si>
  <si>
    <t>Cash b/fwd</t>
  </si>
  <si>
    <t>Cash c/fwd</t>
  </si>
  <si>
    <t>Stock market equity investments</t>
  </si>
  <si>
    <t>Home loan repayment</t>
  </si>
  <si>
    <t>Net from other work</t>
  </si>
  <si>
    <t>Continue other work until age</t>
  </si>
  <si>
    <t>Living expenses</t>
  </si>
  <si>
    <t>Inflows</t>
  </si>
  <si>
    <t>Outflows</t>
  </si>
  <si>
    <t>Net Cash Flow</t>
  </si>
  <si>
    <t>Liquidation required</t>
  </si>
  <si>
    <t>Liquidations</t>
  </si>
  <si>
    <t>b/fwd</t>
  </si>
  <si>
    <t>Disposals</t>
  </si>
  <si>
    <t>Growth</t>
  </si>
  <si>
    <t>c/fwd</t>
  </si>
  <si>
    <t>Disposal costs</t>
  </si>
  <si>
    <t>Stock market equity</t>
  </si>
  <si>
    <t>Net worth</t>
  </si>
  <si>
    <t>Name</t>
  </si>
  <si>
    <t>Home current market value</t>
  </si>
  <si>
    <t>Rental income foregone</t>
  </si>
  <si>
    <t>Dependents</t>
  </si>
  <si>
    <t>Home loan (mortgage)</t>
  </si>
  <si>
    <t>Other loan</t>
  </si>
  <si>
    <t>Other loan repayment</t>
  </si>
  <si>
    <t>Loan repayment</t>
  </si>
  <si>
    <t>Net proceeds</t>
  </si>
  <si>
    <t>Balance</t>
  </si>
  <si>
    <t>Plan to live until age</t>
  </si>
  <si>
    <t>Dependent 1</t>
  </si>
  <si>
    <t>Dependent 2</t>
  </si>
  <si>
    <t>Dependent 3</t>
  </si>
  <si>
    <t>Property 1</t>
  </si>
  <si>
    <t>Property 2</t>
  </si>
  <si>
    <t>Property 3</t>
  </si>
  <si>
    <t>Amount</t>
  </si>
  <si>
    <t>Net employment / self-employment income</t>
  </si>
  <si>
    <t>Other post-retirement income</t>
  </si>
  <si>
    <t>if not a home owner</t>
  </si>
  <si>
    <t>Annual cost saved</t>
  </si>
  <si>
    <t>Other property</t>
  </si>
  <si>
    <t>Dependents cost</t>
  </si>
  <si>
    <t>Other property costs</t>
  </si>
  <si>
    <t>Current baseline</t>
  </si>
  <si>
    <t>from 66-75</t>
  </si>
  <si>
    <t>from age 76</t>
  </si>
  <si>
    <t>Spending adjustment (at today's euros)</t>
  </si>
  <si>
    <t>Major one-off expense events</t>
  </si>
  <si>
    <t>Net worth adjustments after liquidations</t>
  </si>
  <si>
    <t>Adjusted net worth</t>
  </si>
  <si>
    <t>Without liquidations</t>
  </si>
  <si>
    <t>With liquidations</t>
  </si>
  <si>
    <t>Charts</t>
  </si>
  <si>
    <t>Net rental income from other properties</t>
  </si>
  <si>
    <t>Credit cards cleared</t>
  </si>
  <si>
    <t>Net Worth before liquidations</t>
  </si>
  <si>
    <t>from now to 65</t>
  </si>
  <si>
    <t>Extra cash</t>
  </si>
  <si>
    <t>Extra interest</t>
  </si>
  <si>
    <t>Cash buffer at any time</t>
  </si>
  <si>
    <t>Cash available (after buffer)</t>
  </si>
  <si>
    <t>Outputs</t>
  </si>
  <si>
    <t>Full pension</t>
  </si>
  <si>
    <t>Pension reduction from early retirement</t>
  </si>
  <si>
    <t>QUICK START</t>
  </si>
  <si>
    <t>Your age</t>
  </si>
  <si>
    <t>Current net annual income</t>
  </si>
  <si>
    <t>Must be entered</t>
  </si>
  <si>
    <t>Net of tax, from employment or self-employment</t>
  </si>
  <si>
    <t>Total cash balances</t>
  </si>
  <si>
    <t>current and savings accounts, bonds, term deposits</t>
  </si>
  <si>
    <t>Current market value of equity portfolio</t>
  </si>
  <si>
    <t>Interest rate</t>
  </si>
  <si>
    <t>Monthly repayment</t>
  </si>
  <si>
    <t>Months remaining</t>
  </si>
  <si>
    <t>Years remaining</t>
  </si>
  <si>
    <t>Annual pension at retirement</t>
  </si>
  <si>
    <t>Net annual state pension entitlement</t>
  </si>
  <si>
    <t>Statutory retirement age</t>
  </si>
  <si>
    <t>Year at which pension starts</t>
  </si>
  <si>
    <t>DEEPER DIVE</t>
  </si>
  <si>
    <t>including inflation</t>
  </si>
  <si>
    <t>Years from now</t>
  </si>
  <si>
    <t>Leave blank if none</t>
  </si>
  <si>
    <t>Years to support</t>
  </si>
  <si>
    <t>Other income</t>
  </si>
  <si>
    <t>net annual after all costs and tax</t>
  </si>
  <si>
    <t>Annual living expenses</t>
  </si>
  <si>
    <t>Income Event 1</t>
  </si>
  <si>
    <t>Income Event 2</t>
  </si>
  <si>
    <t>Income Event 3</t>
  </si>
  <si>
    <t>Enter 0 or leave blank if none</t>
  </si>
  <si>
    <t>Expense Event 1</t>
  </si>
  <si>
    <t>Expense Event 2</t>
  </si>
  <si>
    <t>Expense Event 3</t>
  </si>
  <si>
    <t>Market value</t>
  </si>
  <si>
    <t>Annual costs</t>
  </si>
  <si>
    <t>Repairs, maintenance, etc.</t>
  </si>
  <si>
    <t xml:space="preserve">Investment Properties </t>
  </si>
  <si>
    <t>Other work income (net annual)</t>
  </si>
  <si>
    <t>FINER DETAILS</t>
  </si>
  <si>
    <t>Cash interest rate</t>
  </si>
  <si>
    <t>Stock market return</t>
  </si>
  <si>
    <t>Rental income annual increase</t>
  </si>
  <si>
    <t>Salary annual growth rate</t>
  </si>
  <si>
    <t>Property annual appreciation</t>
  </si>
  <si>
    <t>Pension reduction per year early</t>
  </si>
  <si>
    <t>From age</t>
  </si>
  <si>
    <t>To age</t>
  </si>
  <si>
    <t>Food, education, healthcare,
etc.</t>
  </si>
  <si>
    <t>Annual cost</t>
  </si>
  <si>
    <t>emergency reserve</t>
  </si>
  <si>
    <t>reduction in pension for each year retired early</t>
  </si>
  <si>
    <t>tax, broker and other fees</t>
  </si>
  <si>
    <t>Stock market selling costs</t>
  </si>
  <si>
    <t>Property disposal costs</t>
  </si>
  <si>
    <t xml:space="preserve">agency, tax, legal fees </t>
  </si>
  <si>
    <t>0 = would never sell</t>
  </si>
  <si>
    <t>Major life expense events</t>
  </si>
  <si>
    <t>Major life income events</t>
  </si>
  <si>
    <t>Major one-off income events</t>
  </si>
  <si>
    <t>Part-time / consulting / side projects etc. Leave blank if none</t>
  </si>
  <si>
    <t>Assumed cleared in Year 1. Leave blank if none</t>
  </si>
  <si>
    <t>Leave blank if not a home owner</t>
  </si>
  <si>
    <t>Leave blank if no mortgage</t>
  </si>
  <si>
    <t>User Tooltips</t>
  </si>
  <si>
    <t>UI Notes</t>
  </si>
  <si>
    <t>Excel helpers</t>
  </si>
  <si>
    <t>Defaults</t>
  </si>
  <si>
    <t>Activated only if user wants to</t>
  </si>
  <si>
    <t>Works behind the scenes, show and allow edit if user wants to</t>
  </si>
  <si>
    <t>Hide until user enters dependent name</t>
  </si>
  <si>
    <t>Hide until user enters property name</t>
  </si>
  <si>
    <t>Show with property name only if name was entered</t>
  </si>
  <si>
    <t>Show only if other work income entered</t>
  </si>
  <si>
    <t>show only if not a home owner (B12="")</t>
  </si>
  <si>
    <t>Sliema</t>
  </si>
  <si>
    <t>Cash balance after disposals inc interest</t>
  </si>
  <si>
    <t>Retire at</t>
  </si>
  <si>
    <t>Cash available (after extra interest)</t>
  </si>
  <si>
    <t>Only show if value&gt;0 entered in B141</t>
  </si>
  <si>
    <t>User inputs</t>
  </si>
  <si>
    <t>Qormi</t>
  </si>
  <si>
    <t>Wedding</t>
  </si>
  <si>
    <t>John</t>
  </si>
  <si>
    <t>Jack</t>
  </si>
  <si>
    <t>Bill</t>
  </si>
  <si>
    <t>Gzira</t>
  </si>
  <si>
    <t>Inheritance</t>
  </si>
  <si>
    <t>Sell Painting</t>
  </si>
  <si>
    <t>Sell Jewels</t>
  </si>
  <si>
    <t>New Car</t>
  </si>
  <si>
    <t>New AC</t>
  </si>
  <si>
    <t>Dependent 4</t>
  </si>
  <si>
    <t>Dependent 5</t>
  </si>
  <si>
    <t>Stephen</t>
  </si>
  <si>
    <t>Jane</t>
  </si>
  <si>
    <t>Property 4</t>
  </si>
  <si>
    <t>Property 5</t>
  </si>
  <si>
    <t>Gudja</t>
  </si>
  <si>
    <t>Marsa</t>
  </si>
  <si>
    <t>General inflation</t>
  </si>
  <si>
    <t>Months remaining this year</t>
  </si>
  <si>
    <t>Month offset</t>
  </si>
  <si>
    <t>Pro-rate factor</t>
  </si>
  <si>
    <t>Legacy amount</t>
  </si>
  <si>
    <t>wealth to preserve for your heirs</t>
  </si>
  <si>
    <t>Cash buffer</t>
  </si>
  <si>
    <t>Other Assets of Value</t>
  </si>
  <si>
    <t>Jewelry</t>
  </si>
  <si>
    <t>Annual appreciation / depreciation</t>
  </si>
  <si>
    <t>Hide until user enters asset name</t>
  </si>
  <si>
    <t>posiytive if it asset value grows, negative if asset depreciates</t>
  </si>
  <si>
    <t>Asset 1</t>
  </si>
  <si>
    <t>Asset 2</t>
  </si>
  <si>
    <t>Asset 3</t>
  </si>
  <si>
    <t>Asset 4</t>
  </si>
  <si>
    <t>Asset 5</t>
  </si>
  <si>
    <t>Car</t>
  </si>
  <si>
    <t>Painting</t>
  </si>
  <si>
    <t>Boat</t>
  </si>
  <si>
    <t>Antiques</t>
  </si>
  <si>
    <t>Asset liquidation order</t>
  </si>
  <si>
    <t>Other assets of value</t>
  </si>
  <si>
    <t>Cum asset disposals</t>
  </si>
  <si>
    <t>Asset values after liquidations</t>
  </si>
  <si>
    <t>Cum asset loan repayments on liquidations</t>
  </si>
  <si>
    <t>Other asset loans</t>
  </si>
  <si>
    <t>Loans</t>
  </si>
  <si>
    <t>Other asset loans repayments</t>
  </si>
  <si>
    <t>Other assets disposal costs</t>
  </si>
  <si>
    <t xml:space="preserve">agency, tax, other fees </t>
  </si>
  <si>
    <t>Asset</t>
  </si>
  <si>
    <t>DispCost</t>
  </si>
  <si>
    <t>Asset loan balances after liquidations</t>
  </si>
  <si>
    <t>Stock market crash scenarios</t>
  </si>
  <si>
    <t>Crash 1</t>
  </si>
  <si>
    <t>% drop</t>
  </si>
  <si>
    <t>Time to recover</t>
  </si>
  <si>
    <t>Crash 2</t>
  </si>
  <si>
    <t>Crash 3</t>
  </si>
  <si>
    <t>min 5, max  90%</t>
  </si>
  <si>
    <t>Crash 4</t>
  </si>
  <si>
    <t>Crash 5</t>
  </si>
  <si>
    <t>Years for market to trecover to previous high just before crash</t>
  </si>
  <si>
    <t>Home downsizing</t>
  </si>
  <si>
    <t>New home buy or rent?</t>
  </si>
  <si>
    <t>Buy</t>
  </si>
  <si>
    <t>New home purchase cost</t>
  </si>
  <si>
    <t>Only if B219 = Rent</t>
  </si>
  <si>
    <t>New home monthly rent</t>
  </si>
  <si>
    <t>Home rent</t>
  </si>
  <si>
    <t>Sale of home (downsizing)</t>
  </si>
  <si>
    <t>Purchase of home (downsizing)</t>
  </si>
  <si>
    <t xml:space="preserve">at today's prices, including agency, tax, legal fees, moving, improvements etc. </t>
  </si>
  <si>
    <t>Home monthly rent</t>
  </si>
  <si>
    <t>Average monthly stock investment</t>
  </si>
  <si>
    <t>Average monthly amount invested into stock market holdings until retirement.</t>
  </si>
  <si>
    <t>Stock investment contributions</t>
  </si>
  <si>
    <t>Webapp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</si>
</sst>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(* #,##0.00_);_(* \(#,##0.00\);_(* &quot;-&quot;??_);_(@_)"/>
    <numFmt numFmtId="164" formatCode="#,##0\ ;\(#,##0\);\ \ \ \-\ "/>
    <numFmt numFmtId="165" formatCode="#,##0.0\ ;\(#,##0.0\);\ \ \ \-\ "/>
    <numFmt numFmtId="166" formatCode="0.0%"/>
    <numFmt numFmtId="167" formatCode="0;0;"/>
    <numFmt numFmtId="168" formatCode=";;"/>
    <numFmt numFmtId="169" formatCode="#,##0.00\ ;\(#,##0.00\);\ \ \ \-\ "/>
    <numFmt numFmtId="170" formatCode="#,##0.0000\ ;\(#,##0.0000\);\ \ \ \-\ "/>
  </numFmts>
  <fonts count="19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scheme val="minor"/>
    </font>
    <font>
      <sz val="8"/>
      <name val="Aptos Narrow"/>
      <family val="2"/>
      <scheme val="minor"/>
    </font>
    <font>
      <sz val="12"/>
      <color rgb="FFC00000"/>
      <name val="Aptos Narrow"/>
      <scheme val="minor"/>
    </font>
    <font>
      <b/>
      <sz val="14"/>
      <color theme="1"/>
      <name val="Aptos Narrow"/>
      <scheme val="minor"/>
    </font>
    <font>
      <sz val="8"/>
      <color theme="0" tint="-0.249977111117893"/>
      <name val="Aptos Narrow"/>
      <scheme val="minor"/>
    </font>
    <font>
      <sz val="12"/>
      <name val="Aptos Narrow"/>
      <scheme val="minor"/>
    </font>
    <font>
      <sz val="12"/>
      <color rgb="FF9C5700"/>
      <name val="Aptos Narrow"/>
      <family val="2"/>
      <scheme val="minor"/>
    </font>
    <font>
      <b/>
      <sz val="12"/>
      <name val="Aptos Narrow"/>
      <scheme val="minor"/>
    </font>
    <font>
      <b/>
      <sz val="22"/>
      <color theme="1"/>
      <name val="Aptos Narrow"/>
      <scheme val="minor"/>
    </font>
    <font>
      <b/>
      <sz val="10"/>
      <name val="Aptos Narrow"/>
      <scheme val="minor"/>
    </font>
    <font>
      <sz val="10"/>
      <name val="Aptos Narrow"/>
      <scheme val="minor"/>
    </font>
    <font>
      <b/>
      <sz val="10"/>
      <color theme="0" tint="-0.499984740745262"/>
      <name val="Aptos Narrow"/>
      <scheme val="minor"/>
    </font>
    <font>
      <sz val="10"/>
      <color theme="0" tint="-0.499984740745262"/>
      <name val="Aptos Narrow"/>
      <scheme val="minor"/>
    </font>
    <font>
      <b/>
      <sz val="14"/>
      <name val="Aptos Narrow"/>
      <scheme val="minor"/>
    </font>
    <font>
      <sz val="14"/>
      <name val="Aptos Narrow"/>
      <scheme val="minor"/>
    </font>
    <font>
      <sz val="12"/>
      <color rgb="FFFF0000"/>
      <name val="Aptos Narrow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EB9C"/>
      </patternFill>
    </fill>
    <fill>
      <patternFill patternType="solid">
        <fgColor rgb="FFFFFFCC"/>
        <bgColor rgb="FF000000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ED6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6">
    <border>
      <left/>
      <right/>
      <top/>
      <bottom/>
      <diagonal/>
    </border>
    <border>
      <left style="thin">
        <color theme="0" tint="-0.14993743705557422"/>
      </left>
      <right style="thin">
        <color theme="0" tint="-0.14993743705557422"/>
      </right>
      <top style="thin">
        <color theme="0" tint="-0.14993743705557422"/>
      </top>
      <bottom style="thin">
        <color theme="0" tint="-0.14993743705557422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theme="0" tint="-0.14993743705557422"/>
      </left>
      <right/>
      <top style="thin">
        <color theme="0" tint="-0.14993743705557422"/>
      </top>
      <bottom style="thin">
        <color theme="0" tint="-0.14993743705557422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9" fillId="3" borderId="0" applyNumberFormat="0" applyBorder="0" applyAlignment="0" applyProtection="0"/>
  </cellStyleXfs>
  <cellXfs count="117">
    <xf numFmtId="0" fontId="0" fillId="0" borderId="0" xfId="0"/>
    <xf numFmtId="0" fontId="2" fillId="0" borderId="0" xfId="0" applyFont="1"/>
    <xf numFmtId="0" fontId="3" fillId="0" borderId="0" xfId="0" applyFont="1"/>
    <xf numFmtId="0" fontId="3" fillId="0" borderId="0" xfId="0" applyFont="1" applyAlignment="1">
      <alignment horizontal="left" indent="2"/>
    </xf>
    <xf numFmtId="0" fontId="3" fillId="0" borderId="0" xfId="0" applyFont="1" applyAlignment="1">
      <alignment horizontal="left" indent="1"/>
    </xf>
    <xf numFmtId="0" fontId="3" fillId="0" borderId="0" xfId="0" applyFont="1" applyAlignment="1">
      <alignment horizontal="right"/>
    </xf>
    <xf numFmtId="0" fontId="3" fillId="0" borderId="0" xfId="0" applyFont="1" applyAlignment="1">
      <alignment horizontal="center"/>
    </xf>
    <xf numFmtId="164" fontId="3" fillId="0" borderId="0" xfId="0" applyNumberFormat="1" applyFont="1" applyAlignment="1">
      <alignment horizontal="right"/>
    </xf>
    <xf numFmtId="0" fontId="5" fillId="0" borderId="0" xfId="0" applyFont="1" applyAlignment="1">
      <alignment horizontal="center"/>
    </xf>
    <xf numFmtId="164" fontId="3" fillId="0" borderId="2" xfId="0" applyNumberFormat="1" applyFont="1" applyBorder="1" applyAlignment="1">
      <alignment horizontal="right"/>
    </xf>
    <xf numFmtId="164" fontId="2" fillId="0" borderId="0" xfId="0" applyNumberFormat="1" applyFont="1" applyAlignment="1">
      <alignment horizontal="center"/>
    </xf>
    <xf numFmtId="164" fontId="5" fillId="0" borderId="0" xfId="0" applyNumberFormat="1" applyFont="1" applyAlignment="1">
      <alignment horizontal="left"/>
    </xf>
    <xf numFmtId="0" fontId="6" fillId="0" borderId="0" xfId="0" applyFont="1"/>
    <xf numFmtId="164" fontId="0" fillId="0" borderId="0" xfId="0" applyNumberFormat="1" applyAlignment="1">
      <alignment horizontal="right"/>
    </xf>
    <xf numFmtId="0" fontId="7" fillId="0" borderId="0" xfId="0" applyFont="1" applyAlignment="1">
      <alignment horizontal="center"/>
    </xf>
    <xf numFmtId="0" fontId="2" fillId="0" borderId="0" xfId="0" applyFont="1" applyAlignment="1">
      <alignment horizontal="left" indent="1"/>
    </xf>
    <xf numFmtId="0" fontId="3" fillId="0" borderId="0" xfId="0" applyFont="1" applyAlignment="1">
      <alignment horizontal="left" indent="3"/>
    </xf>
    <xf numFmtId="0" fontId="3" fillId="0" borderId="0" xfId="0" applyFont="1" applyAlignment="1">
      <alignment horizontal="left" indent="4"/>
    </xf>
    <xf numFmtId="0" fontId="8" fillId="0" borderId="0" xfId="0" applyFont="1" applyAlignment="1">
      <alignment horizontal="left" indent="2"/>
    </xf>
    <xf numFmtId="0" fontId="8" fillId="0" borderId="0" xfId="0" applyFont="1" applyAlignment="1">
      <alignment horizontal="center"/>
    </xf>
    <xf numFmtId="164" fontId="8" fillId="0" borderId="0" xfId="0" applyNumberFormat="1" applyFont="1" applyAlignment="1">
      <alignment horizontal="right"/>
    </xf>
    <xf numFmtId="0" fontId="8" fillId="0" borderId="0" xfId="0" applyFont="1"/>
    <xf numFmtId="0" fontId="8" fillId="0" borderId="0" xfId="0" applyFont="1" applyAlignment="1">
      <alignment horizontal="left" indent="3"/>
    </xf>
    <xf numFmtId="164" fontId="3" fillId="0" borderId="0" xfId="0" applyNumberFormat="1" applyFont="1" applyAlignment="1">
      <alignment horizontal="center"/>
    </xf>
    <xf numFmtId="0" fontId="3" fillId="0" borderId="3" xfId="0" applyFont="1" applyBorder="1" applyAlignment="1">
      <alignment horizontal="left" indent="1"/>
    </xf>
    <xf numFmtId="0" fontId="6" fillId="0" borderId="3" xfId="0" applyFont="1" applyBorder="1"/>
    <xf numFmtId="0" fontId="3" fillId="0" borderId="3" xfId="0" applyFont="1" applyBorder="1" applyAlignment="1">
      <alignment horizontal="center"/>
    </xf>
    <xf numFmtId="164" fontId="3" fillId="0" borderId="3" xfId="0" applyNumberFormat="1" applyFont="1" applyBorder="1" applyAlignment="1">
      <alignment horizontal="right"/>
    </xf>
    <xf numFmtId="164" fontId="5" fillId="0" borderId="3" xfId="0" applyNumberFormat="1" applyFont="1" applyBorder="1" applyAlignment="1">
      <alignment horizontal="left"/>
    </xf>
    <xf numFmtId="0" fontId="2" fillId="0" borderId="3" xfId="0" applyFont="1" applyBorder="1" applyAlignment="1">
      <alignment horizontal="left" indent="1"/>
    </xf>
    <xf numFmtId="0" fontId="3" fillId="0" borderId="0" xfId="0" applyFont="1" applyAlignment="1">
      <alignment horizontal="left"/>
    </xf>
    <xf numFmtId="164" fontId="3" fillId="0" borderId="0" xfId="0" applyNumberFormat="1" applyFont="1"/>
    <xf numFmtId="0" fontId="1" fillId="3" borderId="0" xfId="3" applyFont="1" applyAlignment="1">
      <alignment horizontal="center"/>
    </xf>
    <xf numFmtId="0" fontId="8" fillId="0" borderId="3" xfId="0" applyFont="1" applyBorder="1" applyAlignment="1">
      <alignment horizontal="center"/>
    </xf>
    <xf numFmtId="0" fontId="8" fillId="0" borderId="0" xfId="0" applyFont="1" applyAlignment="1">
      <alignment horizontal="left" indent="1"/>
    </xf>
    <xf numFmtId="164" fontId="8" fillId="2" borderId="1" xfId="0" applyNumberFormat="1" applyFont="1" applyFill="1" applyBorder="1" applyAlignment="1" applyProtection="1">
      <alignment horizontal="center"/>
      <protection locked="0"/>
    </xf>
    <xf numFmtId="166" fontId="8" fillId="2" borderId="1" xfId="0" applyNumberFormat="1" applyFont="1" applyFill="1" applyBorder="1" applyAlignment="1" applyProtection="1">
      <alignment horizontal="center"/>
      <protection locked="0"/>
    </xf>
    <xf numFmtId="164" fontId="8" fillId="0" borderId="0" xfId="0" applyNumberFormat="1" applyFont="1" applyAlignment="1">
      <alignment horizontal="center"/>
    </xf>
    <xf numFmtId="0" fontId="8" fillId="2" borderId="1" xfId="0" applyFont="1" applyFill="1" applyBorder="1" applyAlignment="1" applyProtection="1">
      <alignment horizontal="center"/>
      <protection locked="0"/>
    </xf>
    <xf numFmtId="0" fontId="8" fillId="4" borderId="4" xfId="0" applyFont="1" applyFill="1" applyBorder="1" applyAlignment="1" applyProtection="1">
      <alignment horizontal="center"/>
      <protection locked="0"/>
    </xf>
    <xf numFmtId="9" fontId="8" fillId="2" borderId="1" xfId="0" applyNumberFormat="1" applyFont="1" applyFill="1" applyBorder="1" applyAlignment="1" applyProtection="1">
      <alignment horizontal="center"/>
      <protection locked="0"/>
    </xf>
    <xf numFmtId="166" fontId="8" fillId="2" borderId="1" xfId="1" applyNumberFormat="1" applyFont="1" applyFill="1" applyBorder="1" applyAlignment="1" applyProtection="1">
      <alignment horizontal="center"/>
      <protection locked="0"/>
    </xf>
    <xf numFmtId="9" fontId="8" fillId="2" borderId="1" xfId="1" applyFont="1" applyFill="1" applyBorder="1" applyAlignment="1" applyProtection="1">
      <alignment horizontal="center"/>
      <protection locked="0"/>
    </xf>
    <xf numFmtId="167" fontId="8" fillId="2" borderId="1" xfId="2" applyNumberFormat="1" applyFont="1" applyFill="1" applyBorder="1" applyAlignment="1" applyProtection="1">
      <alignment horizontal="center"/>
      <protection locked="0"/>
    </xf>
    <xf numFmtId="165" fontId="8" fillId="0" borderId="0" xfId="0" applyNumberFormat="1" applyFont="1" applyAlignment="1">
      <alignment horizontal="center"/>
    </xf>
    <xf numFmtId="0" fontId="8" fillId="5" borderId="0" xfId="0" applyFont="1" applyFill="1" applyAlignment="1">
      <alignment horizontal="left" indent="3"/>
    </xf>
    <xf numFmtId="0" fontId="10" fillId="0" borderId="0" xfId="0" applyFont="1" applyAlignment="1">
      <alignment horizontal="left" indent="2"/>
    </xf>
    <xf numFmtId="0" fontId="8" fillId="0" borderId="0" xfId="0" applyFont="1" applyAlignment="1">
      <alignment horizontal="left" indent="4"/>
    </xf>
    <xf numFmtId="167" fontId="8" fillId="0" borderId="0" xfId="0" applyNumberFormat="1" applyFont="1" applyAlignment="1">
      <alignment horizontal="left" indent="3"/>
    </xf>
    <xf numFmtId="0" fontId="8" fillId="0" borderId="0" xfId="0" applyFont="1" applyAlignment="1">
      <alignment horizontal="left" wrapText="1" indent="2"/>
    </xf>
    <xf numFmtId="168" fontId="8" fillId="0" borderId="0" xfId="0" applyNumberFormat="1" applyFont="1" applyAlignment="1">
      <alignment horizontal="left" indent="3"/>
    </xf>
    <xf numFmtId="0" fontId="6" fillId="0" borderId="0" xfId="0" applyFont="1" applyAlignment="1">
      <alignment horizontal="center"/>
    </xf>
    <xf numFmtId="0" fontId="12" fillId="5" borderId="0" xfId="0" applyFont="1" applyFill="1" applyAlignment="1">
      <alignment horizontal="left" indent="1"/>
    </xf>
    <xf numFmtId="0" fontId="13" fillId="0" borderId="0" xfId="0" applyFont="1"/>
    <xf numFmtId="0" fontId="13" fillId="0" borderId="0" xfId="0" applyFont="1" applyAlignment="1">
      <alignment horizontal="left" indent="1"/>
    </xf>
    <xf numFmtId="0" fontId="13" fillId="0" borderId="0" xfId="0" applyFont="1" applyAlignment="1">
      <alignment horizontal="center"/>
    </xf>
    <xf numFmtId="0" fontId="13" fillId="0" borderId="0" xfId="0" applyFont="1" applyAlignment="1">
      <alignment horizontal="left"/>
    </xf>
    <xf numFmtId="43" fontId="13" fillId="0" borderId="0" xfId="2" applyFont="1" applyBorder="1" applyAlignment="1">
      <alignment horizontal="right"/>
    </xf>
    <xf numFmtId="164" fontId="13" fillId="0" borderId="0" xfId="0" applyNumberFormat="1" applyFont="1" applyAlignment="1">
      <alignment horizontal="right"/>
    </xf>
    <xf numFmtId="0" fontId="12" fillId="5" borderId="0" xfId="0" applyFont="1" applyFill="1"/>
    <xf numFmtId="43" fontId="13" fillId="0" borderId="0" xfId="2" applyFont="1" applyBorder="1" applyAlignment="1"/>
    <xf numFmtId="0" fontId="14" fillId="5" borderId="0" xfId="0" applyFont="1" applyFill="1" applyAlignment="1">
      <alignment horizontal="left"/>
    </xf>
    <xf numFmtId="0" fontId="15" fillId="0" borderId="0" xfId="0" applyFont="1"/>
    <xf numFmtId="0" fontId="15" fillId="0" borderId="0" xfId="0" applyFont="1" applyAlignment="1">
      <alignment horizontal="left"/>
    </xf>
    <xf numFmtId="43" fontId="15" fillId="0" borderId="0" xfId="2" applyFont="1" applyBorder="1" applyAlignment="1">
      <alignment horizontal="left"/>
    </xf>
    <xf numFmtId="165" fontId="15" fillId="0" borderId="0" xfId="0" applyNumberFormat="1" applyFont="1" applyAlignment="1">
      <alignment horizontal="center"/>
    </xf>
    <xf numFmtId="0" fontId="15" fillId="0" borderId="0" xfId="0" applyFont="1" applyAlignment="1">
      <alignment horizontal="left" indent="1"/>
    </xf>
    <xf numFmtId="0" fontId="15" fillId="0" borderId="0" xfId="0" applyFont="1" applyAlignment="1">
      <alignment horizontal="center"/>
    </xf>
    <xf numFmtId="164" fontId="15" fillId="0" borderId="0" xfId="0" applyNumberFormat="1" applyFont="1" applyAlignment="1">
      <alignment horizontal="center"/>
    </xf>
    <xf numFmtId="0" fontId="8" fillId="0" borderId="3" xfId="0" applyFont="1" applyBorder="1" applyAlignment="1">
      <alignment horizontal="left" indent="3"/>
    </xf>
    <xf numFmtId="2" fontId="8" fillId="0" borderId="0" xfId="0" applyNumberFormat="1" applyFont="1" applyAlignment="1">
      <alignment horizontal="center"/>
    </xf>
    <xf numFmtId="0" fontId="10" fillId="7" borderId="0" xfId="0" applyFont="1" applyFill="1" applyAlignment="1">
      <alignment horizontal="left" indent="2"/>
    </xf>
    <xf numFmtId="0" fontId="8" fillId="7" borderId="0" xfId="0" applyFont="1" applyFill="1" applyAlignment="1">
      <alignment horizontal="center"/>
    </xf>
    <xf numFmtId="0" fontId="8" fillId="7" borderId="0" xfId="0" applyFont="1" applyFill="1" applyAlignment="1">
      <alignment horizontal="left" indent="1"/>
    </xf>
    <xf numFmtId="0" fontId="16" fillId="8" borderId="3" xfId="0" applyFont="1" applyFill="1" applyBorder="1" applyAlignment="1">
      <alignment horizontal="left" indent="1"/>
    </xf>
    <xf numFmtId="0" fontId="17" fillId="8" borderId="3" xfId="0" applyFont="1" applyFill="1" applyBorder="1" applyAlignment="1">
      <alignment horizontal="center"/>
    </xf>
    <xf numFmtId="0" fontId="16" fillId="9" borderId="3" xfId="0" applyFont="1" applyFill="1" applyBorder="1" applyAlignment="1">
      <alignment horizontal="left" indent="1"/>
    </xf>
    <xf numFmtId="0" fontId="17" fillId="9" borderId="3" xfId="0" applyFont="1" applyFill="1" applyBorder="1" applyAlignment="1">
      <alignment horizontal="center"/>
    </xf>
    <xf numFmtId="0" fontId="16" fillId="10" borderId="3" xfId="0" applyFont="1" applyFill="1" applyBorder="1" applyAlignment="1">
      <alignment horizontal="left" indent="1"/>
    </xf>
    <xf numFmtId="0" fontId="17" fillId="10" borderId="3" xfId="0" applyFont="1" applyFill="1" applyBorder="1" applyAlignment="1">
      <alignment horizontal="center"/>
    </xf>
    <xf numFmtId="168" fontId="8" fillId="0" borderId="0" xfId="0" applyNumberFormat="1" applyFont="1" applyAlignment="1">
      <alignment horizontal="left" indent="1"/>
    </xf>
    <xf numFmtId="9" fontId="8" fillId="0" borderId="0" xfId="1" applyFont="1" applyAlignment="1">
      <alignment horizontal="center"/>
    </xf>
    <xf numFmtId="168" fontId="8" fillId="0" borderId="0" xfId="0" applyNumberFormat="1" applyFont="1" applyAlignment="1">
      <alignment horizontal="left" indent="2"/>
    </xf>
    <xf numFmtId="164" fontId="18" fillId="0" borderId="0" xfId="0" applyNumberFormat="1" applyFont="1" applyAlignment="1">
      <alignment horizontal="left"/>
    </xf>
    <xf numFmtId="169" fontId="3" fillId="0" borderId="0" xfId="0" applyNumberFormat="1" applyFont="1" applyAlignment="1">
      <alignment horizontal="right"/>
    </xf>
    <xf numFmtId="170" fontId="3" fillId="0" borderId="0" xfId="0" applyNumberFormat="1" applyFont="1" applyAlignment="1">
      <alignment horizontal="right"/>
    </xf>
    <xf numFmtId="164" fontId="3" fillId="11" borderId="0" xfId="0" applyNumberFormat="1" applyFont="1" applyFill="1" applyAlignment="1">
      <alignment horizontal="right"/>
    </xf>
    <xf numFmtId="164" fontId="3" fillId="9" borderId="0" xfId="0" applyNumberFormat="1" applyFont="1" applyFill="1" applyAlignment="1">
      <alignment horizontal="right"/>
    </xf>
    <xf numFmtId="0" fontId="11" fillId="6" borderId="0" xfId="0" applyFont="1" applyFill="1" applyAlignment="1">
      <alignment horizontal="center" vertical="center"/>
    </xf>
    <xf numFmtId="0" fontId="8" fillId="5" borderId="0" xfId="0" applyFont="1" applyFill="1" applyAlignment="1">
      <alignment vertical="center"/>
    </xf>
    <xf numFmtId="0" fontId="8" fillId="0" borderId="0" xfId="0" applyFont="1" applyAlignment="1">
      <alignment vertical="center"/>
    </xf>
    <xf numFmtId="0" fontId="8" fillId="0" borderId="0" xfId="0" applyFont="1" applyAlignment="1">
      <alignment horizontal="center" vertical="center"/>
    </xf>
    <xf numFmtId="0" fontId="12" fillId="8" borderId="3" xfId="0" applyFont="1" applyFill="1" applyBorder="1" applyAlignment="1">
      <alignment horizontal="center" vertical="center"/>
    </xf>
    <xf numFmtId="164" fontId="8" fillId="0" borderId="5" xfId="0" applyNumberFormat="1" applyFont="1" applyBorder="1" applyAlignment="1" applyProtection="1">
      <alignment horizontal="center" vertical="center"/>
      <protection locked="0"/>
    </xf>
    <xf numFmtId="9" fontId="8" fillId="0" borderId="5" xfId="0" applyNumberFormat="1" applyFont="1" applyBorder="1" applyAlignment="1" applyProtection="1">
      <alignment horizontal="center" vertical="center"/>
      <protection locked="0"/>
    </xf>
    <xf numFmtId="166" fontId="8" fillId="0" borderId="5" xfId="0" applyNumberFormat="1" applyFont="1" applyBorder="1" applyAlignment="1" applyProtection="1">
      <alignment horizontal="center" vertical="center"/>
      <protection locked="0"/>
    </xf>
    <xf numFmtId="166" fontId="8" fillId="0" borderId="5" xfId="1" applyNumberFormat="1" applyFont="1" applyFill="1" applyBorder="1" applyAlignment="1" applyProtection="1">
      <alignment horizontal="center" vertical="center"/>
      <protection locked="0"/>
    </xf>
    <xf numFmtId="9" fontId="8" fillId="0" borderId="5" xfId="1" applyFont="1" applyFill="1" applyBorder="1" applyAlignment="1" applyProtection="1">
      <alignment horizontal="center" vertical="center"/>
      <protection locked="0"/>
    </xf>
    <xf numFmtId="0" fontId="8" fillId="0" borderId="3" xfId="0" applyFont="1" applyBorder="1" applyAlignment="1">
      <alignment vertical="center"/>
    </xf>
    <xf numFmtId="9" fontId="8" fillId="0" borderId="0" xfId="1" applyFont="1" applyAlignment="1">
      <alignment horizontal="center" vertical="center"/>
    </xf>
    <xf numFmtId="0" fontId="3" fillId="0" borderId="0" xfId="0" applyFont="1" applyFill="1"/>
    <xf numFmtId="164" fontId="3" fillId="0" borderId="0" xfId="0" applyNumberFormat="1" applyFont="1" applyFill="1" applyAlignment="1">
      <alignment horizontal="right"/>
    </xf>
    <xf numFmtId="164" fontId="3" fillId="0" borderId="2" xfId="0" applyNumberFormat="1" applyFont="1" applyFill="1" applyBorder="1" applyAlignment="1">
      <alignment horizontal="right"/>
    </xf>
    <xf numFmtId="164" fontId="3" fillId="0" borderId="3" xfId="0" applyNumberFormat="1" applyFont="1" applyFill="1" applyBorder="1" applyAlignment="1">
      <alignment horizontal="right"/>
    </xf>
    <xf numFmtId="170" fontId="3" fillId="0" borderId="0" xfId="0" applyNumberFormat="1" applyFont="1" applyFill="1" applyAlignment="1">
      <alignment horizontal="right"/>
    </xf>
    <xf numFmtId="164" fontId="5" fillId="0" borderId="3" xfId="0" applyNumberFormat="1" applyFont="1" applyFill="1" applyBorder="1" applyAlignment="1">
      <alignment horizontal="left"/>
    </xf>
    <xf numFmtId="164" fontId="5" fillId="0" borderId="0" xfId="0" applyNumberFormat="1" applyFont="1" applyFill="1" applyAlignment="1">
      <alignment horizontal="left"/>
    </xf>
    <xf numFmtId="164" fontId="8" fillId="0" borderId="0" xfId="0" applyNumberFormat="1" applyFont="1" applyFill="1" applyAlignment="1">
      <alignment horizontal="right"/>
    </xf>
    <xf numFmtId="164" fontId="18" fillId="0" borderId="0" xfId="0" applyNumberFormat="1" applyFont="1" applyFill="1" applyAlignment="1">
      <alignment horizontal="left"/>
    </xf>
    <xf numFmtId="0" fontId="3" fillId="6" borderId="0" xfId="0" applyFont="1" applyFill="1"/>
    <xf numFmtId="164" fontId="3" fillId="6" borderId="0" xfId="0" applyNumberFormat="1" applyFont="1" applyFill="1" applyAlignment="1">
      <alignment horizontal="right"/>
    </xf>
    <xf numFmtId="164" fontId="3" fillId="6" borderId="2" xfId="0" applyNumberFormat="1" applyFont="1" applyFill="1" applyBorder="1" applyAlignment="1">
      <alignment horizontal="right"/>
    </xf>
    <xf numFmtId="164" fontId="3" fillId="6" borderId="3" xfId="0" applyNumberFormat="1" applyFont="1" applyFill="1" applyBorder="1" applyAlignment="1">
      <alignment horizontal="right"/>
    </xf>
    <xf numFmtId="170" fontId="3" fillId="6" borderId="0" xfId="0" applyNumberFormat="1" applyFont="1" applyFill="1" applyAlignment="1">
      <alignment horizontal="right"/>
    </xf>
    <xf numFmtId="169" fontId="3" fillId="6" borderId="0" xfId="0" applyNumberFormat="1" applyFont="1" applyFill="1" applyAlignment="1">
      <alignment horizontal="right"/>
    </xf>
    <xf numFmtId="164" fontId="8" fillId="6" borderId="0" xfId="0" applyNumberFormat="1" applyFont="1" applyFill="1" applyAlignment="1">
      <alignment horizontal="right"/>
    </xf>
    <xf numFmtId="164" fontId="3" fillId="6" borderId="0" xfId="0" applyNumberFormat="1" applyFont="1" applyFill="1" applyAlignment="1">
      <alignment horizontal="center"/>
    </xf>
  </cellXfs>
  <cellStyles count="4">
    <cellStyle name="Comma" xfId="2" builtinId="3"/>
    <cellStyle name="Neutral" xfId="3" builtinId="28"/>
    <cellStyle name="Normal" xfId="0" builtinId="0"/>
    <cellStyle name="Per cent" xfId="1" builtinId="5"/>
  </cellStyles>
  <dxfs count="0"/>
  <tableStyles count="0" defaultTableStyle="TableStyleMedium2" defaultPivotStyle="PivotStyleLight16"/>
  <colors>
    <mruColors>
      <color rgb="FFFFFED6"/>
      <color rgb="FFFFFFC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2000" b="1"/>
              <a:t>Cash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MT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Output!$AA$2</c:f>
              <c:strCache>
                <c:ptCount val="1"/>
                <c:pt idx="0">
                  <c:v>Retire at  49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[0]!AgeRange</c:f>
              <c:numCache>
                <c:formatCode>General</c:formatCode>
                <c:ptCount val="37"/>
                <c:pt idx="0">
                  <c:v>48</c:v>
                </c:pt>
                <c:pt idx="1">
                  <c:v>49</c:v>
                </c:pt>
                <c:pt idx="2">
                  <c:v>50</c:v>
                </c:pt>
                <c:pt idx="3">
                  <c:v>51</c:v>
                </c:pt>
                <c:pt idx="4">
                  <c:v>52</c:v>
                </c:pt>
                <c:pt idx="5">
                  <c:v>53</c:v>
                </c:pt>
                <c:pt idx="6">
                  <c:v>54</c:v>
                </c:pt>
                <c:pt idx="7">
                  <c:v>55</c:v>
                </c:pt>
                <c:pt idx="8">
                  <c:v>56</c:v>
                </c:pt>
                <c:pt idx="9">
                  <c:v>57</c:v>
                </c:pt>
                <c:pt idx="10">
                  <c:v>58</c:v>
                </c:pt>
                <c:pt idx="11">
                  <c:v>59</c:v>
                </c:pt>
                <c:pt idx="12">
                  <c:v>60</c:v>
                </c:pt>
                <c:pt idx="13">
                  <c:v>61</c:v>
                </c:pt>
                <c:pt idx="14">
                  <c:v>62</c:v>
                </c:pt>
                <c:pt idx="15">
                  <c:v>63</c:v>
                </c:pt>
                <c:pt idx="16">
                  <c:v>64</c:v>
                </c:pt>
                <c:pt idx="17">
                  <c:v>65</c:v>
                </c:pt>
                <c:pt idx="18">
                  <c:v>66</c:v>
                </c:pt>
                <c:pt idx="19">
                  <c:v>67</c:v>
                </c:pt>
                <c:pt idx="20">
                  <c:v>68</c:v>
                </c:pt>
                <c:pt idx="21">
                  <c:v>69</c:v>
                </c:pt>
                <c:pt idx="22">
                  <c:v>70</c:v>
                </c:pt>
                <c:pt idx="23">
                  <c:v>71</c:v>
                </c:pt>
                <c:pt idx="24">
                  <c:v>72</c:v>
                </c:pt>
                <c:pt idx="25">
                  <c:v>73</c:v>
                </c:pt>
                <c:pt idx="26">
                  <c:v>74</c:v>
                </c:pt>
                <c:pt idx="27">
                  <c:v>75</c:v>
                </c:pt>
                <c:pt idx="28">
                  <c:v>76</c:v>
                </c:pt>
                <c:pt idx="29">
                  <c:v>77</c:v>
                </c:pt>
                <c:pt idx="30">
                  <c:v>78</c:v>
                </c:pt>
                <c:pt idx="31">
                  <c:v>79</c:v>
                </c:pt>
                <c:pt idx="32">
                  <c:v>80</c:v>
                </c:pt>
                <c:pt idx="33">
                  <c:v>81</c:v>
                </c:pt>
                <c:pt idx="34">
                  <c:v>82</c:v>
                </c:pt>
                <c:pt idx="35">
                  <c:v>83</c:v>
                </c:pt>
                <c:pt idx="36">
                  <c:v>84</c:v>
                </c:pt>
              </c:numCache>
            </c:numRef>
          </c:cat>
          <c:val>
            <c:numRef>
              <c:f>RetEarly_Engine!ChartCash_Early</c:f>
              <c:numCache>
                <c:formatCode>#,##0\ ;\(#,##0\);\ \ \ \-\ </c:formatCode>
                <c:ptCount val="37"/>
                <c:pt idx="0">
                  <c:v>109870.73521238755</c:v>
                </c:pt>
                <c:pt idx="1">
                  <c:v>124614.87941079485</c:v>
                </c:pt>
                <c:pt idx="2">
                  <c:v>215076.06668918394</c:v>
                </c:pt>
                <c:pt idx="3">
                  <c:v>127206.24373947346</c:v>
                </c:pt>
                <c:pt idx="4">
                  <c:v>232711.67734335674</c:v>
                </c:pt>
                <c:pt idx="5">
                  <c:v>179321.73641809248</c:v>
                </c:pt>
                <c:pt idx="6">
                  <c:v>140950.88962435036</c:v>
                </c:pt>
                <c:pt idx="7">
                  <c:v>229062.13035729429</c:v>
                </c:pt>
                <c:pt idx="8">
                  <c:v>168063.23261060109</c:v>
                </c:pt>
                <c:pt idx="9">
                  <c:v>188702.1052700505</c:v>
                </c:pt>
                <c:pt idx="10">
                  <c:v>113712.40321337662</c:v>
                </c:pt>
                <c:pt idx="11">
                  <c:v>86057.731206196739</c:v>
                </c:pt>
                <c:pt idx="12">
                  <c:v>242027.88532400748</c:v>
                </c:pt>
                <c:pt idx="13">
                  <c:v>207731.41495922045</c:v>
                </c:pt>
                <c:pt idx="14">
                  <c:v>171945.59134265</c:v>
                </c:pt>
                <c:pt idx="15">
                  <c:v>134262.9653373333</c:v>
                </c:pt>
                <c:pt idx="16">
                  <c:v>94642.441399338597</c:v>
                </c:pt>
                <c:pt idx="17">
                  <c:v>70510.263969922482</c:v>
                </c:pt>
                <c:pt idx="18">
                  <c:v>125958.70423331723</c:v>
                </c:pt>
                <c:pt idx="19">
                  <c:v>109647.08406825736</c:v>
                </c:pt>
                <c:pt idx="20">
                  <c:v>92631.814856256737</c:v>
                </c:pt>
                <c:pt idx="21">
                  <c:v>429159.27979104465</c:v>
                </c:pt>
                <c:pt idx="22">
                  <c:v>388705.91028048279</c:v>
                </c:pt>
                <c:pt idx="23">
                  <c:v>346025.57863410452</c:v>
                </c:pt>
                <c:pt idx="24">
                  <c:v>300869.35748654528</c:v>
                </c:pt>
                <c:pt idx="25">
                  <c:v>253180.30083543458</c:v>
                </c:pt>
                <c:pt idx="26">
                  <c:v>202900.18756539875</c:v>
                </c:pt>
                <c:pt idx="27">
                  <c:v>149969.49402634538</c:v>
                </c:pt>
                <c:pt idx="28">
                  <c:v>104559.40303102252</c:v>
                </c:pt>
                <c:pt idx="29">
                  <c:v>668293.44654123939</c:v>
                </c:pt>
                <c:pt idx="30">
                  <c:v>622512.06018756866</c:v>
                </c:pt>
                <c:pt idx="31">
                  <c:v>573868.1354354911</c:v>
                </c:pt>
                <c:pt idx="32">
                  <c:v>522089.50081485481</c:v>
                </c:pt>
                <c:pt idx="33">
                  <c:v>467097.78857894585</c:v>
                </c:pt>
                <c:pt idx="34">
                  <c:v>408812.6717873821</c:v>
                </c:pt>
                <c:pt idx="35">
                  <c:v>347151.81532627222</c:v>
                </c:pt>
                <c:pt idx="36">
                  <c:v>282030.82570387836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E00-C94B-93B6-9E84AE83035F}"/>
            </c:ext>
          </c:extLst>
        </c:ser>
        <c:ser>
          <c:idx val="2"/>
          <c:order val="1"/>
          <c:tx>
            <c:strRef>
              <c:f>Output!$AA$3</c:f>
              <c:strCache>
                <c:ptCount val="1"/>
                <c:pt idx="0">
                  <c:v>Retire at  65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[0]!AgeRange</c:f>
              <c:numCache>
                <c:formatCode>General</c:formatCode>
                <c:ptCount val="37"/>
                <c:pt idx="0">
                  <c:v>48</c:v>
                </c:pt>
                <c:pt idx="1">
                  <c:v>49</c:v>
                </c:pt>
                <c:pt idx="2">
                  <c:v>50</c:v>
                </c:pt>
                <c:pt idx="3">
                  <c:v>51</c:v>
                </c:pt>
                <c:pt idx="4">
                  <c:v>52</c:v>
                </c:pt>
                <c:pt idx="5">
                  <c:v>53</c:v>
                </c:pt>
                <c:pt idx="6">
                  <c:v>54</c:v>
                </c:pt>
                <c:pt idx="7">
                  <c:v>55</c:v>
                </c:pt>
                <c:pt idx="8">
                  <c:v>56</c:v>
                </c:pt>
                <c:pt idx="9">
                  <c:v>57</c:v>
                </c:pt>
                <c:pt idx="10">
                  <c:v>58</c:v>
                </c:pt>
                <c:pt idx="11">
                  <c:v>59</c:v>
                </c:pt>
                <c:pt idx="12">
                  <c:v>60</c:v>
                </c:pt>
                <c:pt idx="13">
                  <c:v>61</c:v>
                </c:pt>
                <c:pt idx="14">
                  <c:v>62</c:v>
                </c:pt>
                <c:pt idx="15">
                  <c:v>63</c:v>
                </c:pt>
                <c:pt idx="16">
                  <c:v>64</c:v>
                </c:pt>
                <c:pt idx="17">
                  <c:v>65</c:v>
                </c:pt>
                <c:pt idx="18">
                  <c:v>66</c:v>
                </c:pt>
                <c:pt idx="19">
                  <c:v>67</c:v>
                </c:pt>
                <c:pt idx="20">
                  <c:v>68</c:v>
                </c:pt>
                <c:pt idx="21">
                  <c:v>69</c:v>
                </c:pt>
                <c:pt idx="22">
                  <c:v>70</c:v>
                </c:pt>
                <c:pt idx="23">
                  <c:v>71</c:v>
                </c:pt>
                <c:pt idx="24">
                  <c:v>72</c:v>
                </c:pt>
                <c:pt idx="25">
                  <c:v>73</c:v>
                </c:pt>
                <c:pt idx="26">
                  <c:v>74</c:v>
                </c:pt>
                <c:pt idx="27">
                  <c:v>75</c:v>
                </c:pt>
                <c:pt idx="28">
                  <c:v>76</c:v>
                </c:pt>
                <c:pt idx="29">
                  <c:v>77</c:v>
                </c:pt>
                <c:pt idx="30">
                  <c:v>78</c:v>
                </c:pt>
                <c:pt idx="31">
                  <c:v>79</c:v>
                </c:pt>
                <c:pt idx="32">
                  <c:v>80</c:v>
                </c:pt>
                <c:pt idx="33">
                  <c:v>81</c:v>
                </c:pt>
                <c:pt idx="34">
                  <c:v>82</c:v>
                </c:pt>
                <c:pt idx="35">
                  <c:v>83</c:v>
                </c:pt>
                <c:pt idx="36">
                  <c:v>84</c:v>
                </c:pt>
              </c:numCache>
            </c:numRef>
          </c:cat>
          <c:val>
            <c:numRef>
              <c:f>[0]!ChartCash_Norm</c:f>
              <c:numCache>
                <c:formatCode>#,##0\ ;\(#,##0\);\ \ \ \-\ </c:formatCode>
                <c:ptCount val="37"/>
                <c:pt idx="0">
                  <c:v>62919.0625</c:v>
                </c:pt>
                <c:pt idx="1">
                  <c:v>72490.535937499997</c:v>
                </c:pt>
                <c:pt idx="2">
                  <c:v>88207.499804687497</c:v>
                </c:pt>
                <c:pt idx="3">
                  <c:v>85714.080452231734</c:v>
                </c:pt>
                <c:pt idx="4">
                  <c:v>279276.11396248138</c:v>
                </c:pt>
                <c:pt idx="5">
                  <c:v>321025.81800930644</c:v>
                </c:pt>
                <c:pt idx="6">
                  <c:v>382892.09672247234</c:v>
                </c:pt>
                <c:pt idx="7">
                  <c:v>449181.31879998074</c:v>
                </c:pt>
                <c:pt idx="8">
                  <c:v>502080.69175229734</c:v>
                </c:pt>
                <c:pt idx="9">
                  <c:v>641897.59165074176</c:v>
                </c:pt>
                <c:pt idx="10">
                  <c:v>693438.66125641076</c:v>
                </c:pt>
                <c:pt idx="11">
                  <c:v>798500.49246398674</c:v>
                </c:pt>
                <c:pt idx="12">
                  <c:v>909267.05744988273</c:v>
                </c:pt>
                <c:pt idx="13">
                  <c:v>1025981.2911249469</c:v>
                </c:pt>
                <c:pt idx="14">
                  <c:v>1148895.4105429514</c:v>
                </c:pt>
                <c:pt idx="15">
                  <c:v>1278271.248199099</c:v>
                </c:pt>
                <c:pt idx="16">
                  <c:v>1414380.5968228865</c:v>
                </c:pt>
                <c:pt idx="17">
                  <c:v>1452527.6236677105</c:v>
                </c:pt>
                <c:pt idx="18">
                  <c:v>1499854.2259580824</c:v>
                </c:pt>
                <c:pt idx="19">
                  <c:v>1548907.5815076504</c:v>
                </c:pt>
                <c:pt idx="20">
                  <c:v>1599752.4964402271</c:v>
                </c:pt>
                <c:pt idx="21">
                  <c:v>1652456.179392647</c:v>
                </c:pt>
                <c:pt idx="22">
                  <c:v>1686171.2358988209</c:v>
                </c:pt>
                <c:pt idx="23">
                  <c:v>1720841.1811310996</c:v>
                </c:pt>
                <c:pt idx="24">
                  <c:v>1756501.7452458595</c:v>
                </c:pt>
                <c:pt idx="25">
                  <c:v>1793190.1198307537</c:v>
                </c:pt>
                <c:pt idx="26">
                  <c:v>1830945.016796795</c:v>
                </c:pt>
                <c:pt idx="27">
                  <c:v>1869806.7295462058</c:v>
                </c:pt>
                <c:pt idx="28">
                  <c:v>1919924.4525328081</c:v>
                </c:pt>
                <c:pt idx="29">
                  <c:v>1971739.9419416173</c:v>
                </c:pt>
                <c:pt idx="30">
                  <c:v>2025317.5778012427</c:v>
                </c:pt>
                <c:pt idx="31">
                  <c:v>2080724.2224962406</c:v>
                </c:pt>
                <c:pt idx="32">
                  <c:v>2138029.314381151</c:v>
                </c:pt>
                <c:pt idx="33">
                  <c:v>2197304.9648157731</c:v>
                </c:pt>
                <c:pt idx="34">
                  <c:v>2258626.0587430005</c:v>
                </c:pt>
                <c:pt idx="35">
                  <c:v>2322070.3589347131</c:v>
                </c:pt>
                <c:pt idx="36">
                  <c:v>2387718.614035564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E00-C94B-93B6-9E84AE83035F}"/>
            </c:ext>
          </c:extLst>
        </c:ser>
        <c:ser>
          <c:idx val="0"/>
          <c:order val="2"/>
          <c:tx>
            <c:v>Cash buffer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RetNorm_Engine!$C$385:$AM$385</c:f>
              <c:numCache>
                <c:formatCode>#,##0\ ;\(#,##0\);\ \ \ \-\ </c:formatCode>
                <c:ptCount val="37"/>
                <c:pt idx="0">
                  <c:v>50000</c:v>
                </c:pt>
                <c:pt idx="1">
                  <c:v>50000</c:v>
                </c:pt>
                <c:pt idx="2">
                  <c:v>50000</c:v>
                </c:pt>
                <c:pt idx="3">
                  <c:v>50000</c:v>
                </c:pt>
                <c:pt idx="4">
                  <c:v>50000</c:v>
                </c:pt>
                <c:pt idx="5">
                  <c:v>50000</c:v>
                </c:pt>
                <c:pt idx="6">
                  <c:v>50000</c:v>
                </c:pt>
                <c:pt idx="7">
                  <c:v>50000</c:v>
                </c:pt>
                <c:pt idx="8">
                  <c:v>50000</c:v>
                </c:pt>
                <c:pt idx="9">
                  <c:v>50000</c:v>
                </c:pt>
                <c:pt idx="10">
                  <c:v>50000</c:v>
                </c:pt>
                <c:pt idx="11">
                  <c:v>50000</c:v>
                </c:pt>
                <c:pt idx="12">
                  <c:v>50000</c:v>
                </c:pt>
                <c:pt idx="13">
                  <c:v>50000</c:v>
                </c:pt>
                <c:pt idx="14">
                  <c:v>50000</c:v>
                </c:pt>
                <c:pt idx="15">
                  <c:v>50000</c:v>
                </c:pt>
                <c:pt idx="16">
                  <c:v>50000</c:v>
                </c:pt>
                <c:pt idx="17">
                  <c:v>50000</c:v>
                </c:pt>
                <c:pt idx="18">
                  <c:v>50000</c:v>
                </c:pt>
                <c:pt idx="19">
                  <c:v>50000</c:v>
                </c:pt>
                <c:pt idx="20">
                  <c:v>50000</c:v>
                </c:pt>
                <c:pt idx="21">
                  <c:v>50000</c:v>
                </c:pt>
                <c:pt idx="22">
                  <c:v>50000</c:v>
                </c:pt>
                <c:pt idx="23">
                  <c:v>50000</c:v>
                </c:pt>
                <c:pt idx="24">
                  <c:v>50000</c:v>
                </c:pt>
                <c:pt idx="25">
                  <c:v>50000</c:v>
                </c:pt>
                <c:pt idx="26">
                  <c:v>50000</c:v>
                </c:pt>
                <c:pt idx="27">
                  <c:v>50000</c:v>
                </c:pt>
                <c:pt idx="28">
                  <c:v>50000</c:v>
                </c:pt>
                <c:pt idx="29">
                  <c:v>50000</c:v>
                </c:pt>
                <c:pt idx="30">
                  <c:v>50000</c:v>
                </c:pt>
                <c:pt idx="31">
                  <c:v>50000</c:v>
                </c:pt>
                <c:pt idx="32">
                  <c:v>50000</c:v>
                </c:pt>
                <c:pt idx="33">
                  <c:v>50000</c:v>
                </c:pt>
                <c:pt idx="34">
                  <c:v>50000</c:v>
                </c:pt>
                <c:pt idx="35">
                  <c:v>50000</c:v>
                </c:pt>
                <c:pt idx="36">
                  <c:v>50000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93A-B048-8129-2D665B6788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03642623"/>
        <c:axId val="1403644863"/>
      </c:lineChart>
      <c:catAx>
        <c:axId val="14036426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MT"/>
          </a:p>
        </c:txPr>
        <c:crossAx val="1403644863"/>
        <c:crosses val="autoZero"/>
        <c:auto val="1"/>
        <c:lblAlgn val="ctr"/>
        <c:lblOffset val="100"/>
        <c:tickLblSkip val="2"/>
        <c:noMultiLvlLbl val="0"/>
      </c:catAx>
      <c:valAx>
        <c:axId val="14036448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\ ;\(#,##0\);\ \ \ \-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MT"/>
          </a:p>
        </c:txPr>
        <c:crossAx val="14036426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egendEntry>
        <c:idx val="0"/>
        <c:txPr>
          <a:bodyPr rot="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MT"/>
          </a:p>
        </c:txPr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MT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MT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2000" b="1"/>
              <a:t>Net Worth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MT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Output!$AA$2</c:f>
              <c:strCache>
                <c:ptCount val="1"/>
                <c:pt idx="0">
                  <c:v>Retire at  49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[0]!AgeRange</c:f>
              <c:numCache>
                <c:formatCode>General</c:formatCode>
                <c:ptCount val="37"/>
                <c:pt idx="0">
                  <c:v>48</c:v>
                </c:pt>
                <c:pt idx="1">
                  <c:v>49</c:v>
                </c:pt>
                <c:pt idx="2">
                  <c:v>50</c:v>
                </c:pt>
                <c:pt idx="3">
                  <c:v>51</c:v>
                </c:pt>
                <c:pt idx="4">
                  <c:v>52</c:v>
                </c:pt>
                <c:pt idx="5">
                  <c:v>53</c:v>
                </c:pt>
                <c:pt idx="6">
                  <c:v>54</c:v>
                </c:pt>
                <c:pt idx="7">
                  <c:v>55</c:v>
                </c:pt>
                <c:pt idx="8">
                  <c:v>56</c:v>
                </c:pt>
                <c:pt idx="9">
                  <c:v>57</c:v>
                </c:pt>
                <c:pt idx="10">
                  <c:v>58</c:v>
                </c:pt>
                <c:pt idx="11">
                  <c:v>59</c:v>
                </c:pt>
                <c:pt idx="12">
                  <c:v>60</c:v>
                </c:pt>
                <c:pt idx="13">
                  <c:v>61</c:v>
                </c:pt>
                <c:pt idx="14">
                  <c:v>62</c:v>
                </c:pt>
                <c:pt idx="15">
                  <c:v>63</c:v>
                </c:pt>
                <c:pt idx="16">
                  <c:v>64</c:v>
                </c:pt>
                <c:pt idx="17">
                  <c:v>65</c:v>
                </c:pt>
                <c:pt idx="18">
                  <c:v>66</c:v>
                </c:pt>
                <c:pt idx="19">
                  <c:v>67</c:v>
                </c:pt>
                <c:pt idx="20">
                  <c:v>68</c:v>
                </c:pt>
                <c:pt idx="21">
                  <c:v>69</c:v>
                </c:pt>
                <c:pt idx="22">
                  <c:v>70</c:v>
                </c:pt>
                <c:pt idx="23">
                  <c:v>71</c:v>
                </c:pt>
                <c:pt idx="24">
                  <c:v>72</c:v>
                </c:pt>
                <c:pt idx="25">
                  <c:v>73</c:v>
                </c:pt>
                <c:pt idx="26">
                  <c:v>74</c:v>
                </c:pt>
                <c:pt idx="27">
                  <c:v>75</c:v>
                </c:pt>
                <c:pt idx="28">
                  <c:v>76</c:v>
                </c:pt>
                <c:pt idx="29">
                  <c:v>77</c:v>
                </c:pt>
                <c:pt idx="30">
                  <c:v>78</c:v>
                </c:pt>
                <c:pt idx="31">
                  <c:v>79</c:v>
                </c:pt>
                <c:pt idx="32">
                  <c:v>80</c:v>
                </c:pt>
                <c:pt idx="33">
                  <c:v>81</c:v>
                </c:pt>
                <c:pt idx="34">
                  <c:v>82</c:v>
                </c:pt>
                <c:pt idx="35">
                  <c:v>83</c:v>
                </c:pt>
                <c:pt idx="36">
                  <c:v>84</c:v>
                </c:pt>
              </c:numCache>
            </c:numRef>
          </c:cat>
          <c:val>
            <c:numRef>
              <c:f>RetEarly_Engine!ChartNW_Early</c:f>
              <c:numCache>
                <c:formatCode>#,##0\ ;\(#,##0\);\ \ \ \-\ </c:formatCode>
                <c:ptCount val="37"/>
                <c:pt idx="0">
                  <c:v>1680419.572837129</c:v>
                </c:pt>
                <c:pt idx="1">
                  <c:v>1667001.9504190523</c:v>
                </c:pt>
                <c:pt idx="2">
                  <c:v>1644972.657124877</c:v>
                </c:pt>
                <c:pt idx="3">
                  <c:v>1611245.3795523301</c:v>
                </c:pt>
                <c:pt idx="4">
                  <c:v>1522753.2445202188</c:v>
                </c:pt>
                <c:pt idx="5">
                  <c:v>1515181.8037838382</c:v>
                </c:pt>
                <c:pt idx="6">
                  <c:v>1519635.3738002756</c:v>
                </c:pt>
                <c:pt idx="7">
                  <c:v>1495615.7101465701</c:v>
                </c:pt>
                <c:pt idx="8">
                  <c:v>1469488.319679406</c:v>
                </c:pt>
                <c:pt idx="9">
                  <c:v>1525165.7529145433</c:v>
                </c:pt>
                <c:pt idx="10">
                  <c:v>1481536.8761629304</c:v>
                </c:pt>
                <c:pt idx="11">
                  <c:v>1486620.5084261768</c:v>
                </c:pt>
                <c:pt idx="12">
                  <c:v>1458067.6843784342</c:v>
                </c:pt>
                <c:pt idx="13">
                  <c:v>1452764.8799842305</c:v>
                </c:pt>
                <c:pt idx="14">
                  <c:v>1447216.9087174134</c:v>
                </c:pt>
                <c:pt idx="15">
                  <c:v>1441034.9282123926</c:v>
                </c:pt>
                <c:pt idx="16">
                  <c:v>1434197.94384075</c:v>
                </c:pt>
                <c:pt idx="17">
                  <c:v>1444153.7931306714</c:v>
                </c:pt>
                <c:pt idx="18">
                  <c:v>1466217.5689026904</c:v>
                </c:pt>
                <c:pt idx="19">
                  <c:v>1490113.7146777115</c:v>
                </c:pt>
                <c:pt idx="20">
                  <c:v>1514512.4443839947</c:v>
                </c:pt>
                <c:pt idx="21">
                  <c:v>1475257.1715150236</c:v>
                </c:pt>
                <c:pt idx="22">
                  <c:v>1466186.7387561812</c:v>
                </c:pt>
                <c:pt idx="23">
                  <c:v>1455830.8319640737</c:v>
                </c:pt>
                <c:pt idx="24">
                  <c:v>1443968.7684164136</c:v>
                </c:pt>
                <c:pt idx="25">
                  <c:v>1430572.694093199</c:v>
                </c:pt>
                <c:pt idx="26">
                  <c:v>1415614.3526208964</c:v>
                </c:pt>
                <c:pt idx="27">
                  <c:v>1399065.0840335079</c:v>
                </c:pt>
                <c:pt idx="28">
                  <c:v>1391127.8607383999</c:v>
                </c:pt>
                <c:pt idx="29">
                  <c:v>1270641.4062860566</c:v>
                </c:pt>
                <c:pt idx="30">
                  <c:v>1242930.4587247306</c:v>
                </c:pt>
                <c:pt idx="31">
                  <c:v>1212899.0859287679</c:v>
                </c:pt>
                <c:pt idx="32">
                  <c:v>1180291.3798229299</c:v>
                </c:pt>
                <c:pt idx="33">
                  <c:v>1145045.7239572632</c:v>
                </c:pt>
                <c:pt idx="34">
                  <c:v>1107099.0452270489</c:v>
                </c:pt>
                <c:pt idx="35">
                  <c:v>1066386.779969129</c:v>
                </c:pt>
                <c:pt idx="36">
                  <c:v>1022842.839286021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E00-C94B-93B6-9E84AE83035F}"/>
            </c:ext>
          </c:extLst>
        </c:ser>
        <c:ser>
          <c:idx val="2"/>
          <c:order val="1"/>
          <c:tx>
            <c:strRef>
              <c:f>Output!$AA$3</c:f>
              <c:strCache>
                <c:ptCount val="1"/>
                <c:pt idx="0">
                  <c:v>Retire at  65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[0]!AgeRange</c:f>
              <c:numCache>
                <c:formatCode>General</c:formatCode>
                <c:ptCount val="37"/>
                <c:pt idx="0">
                  <c:v>48</c:v>
                </c:pt>
                <c:pt idx="1">
                  <c:v>49</c:v>
                </c:pt>
                <c:pt idx="2">
                  <c:v>50</c:v>
                </c:pt>
                <c:pt idx="3">
                  <c:v>51</c:v>
                </c:pt>
                <c:pt idx="4">
                  <c:v>52</c:v>
                </c:pt>
                <c:pt idx="5">
                  <c:v>53</c:v>
                </c:pt>
                <c:pt idx="6">
                  <c:v>54</c:v>
                </c:pt>
                <c:pt idx="7">
                  <c:v>55</c:v>
                </c:pt>
                <c:pt idx="8">
                  <c:v>56</c:v>
                </c:pt>
                <c:pt idx="9">
                  <c:v>57</c:v>
                </c:pt>
                <c:pt idx="10">
                  <c:v>58</c:v>
                </c:pt>
                <c:pt idx="11">
                  <c:v>59</c:v>
                </c:pt>
                <c:pt idx="12">
                  <c:v>60</c:v>
                </c:pt>
                <c:pt idx="13">
                  <c:v>61</c:v>
                </c:pt>
                <c:pt idx="14">
                  <c:v>62</c:v>
                </c:pt>
                <c:pt idx="15">
                  <c:v>63</c:v>
                </c:pt>
                <c:pt idx="16">
                  <c:v>64</c:v>
                </c:pt>
                <c:pt idx="17">
                  <c:v>65</c:v>
                </c:pt>
                <c:pt idx="18">
                  <c:v>66</c:v>
                </c:pt>
                <c:pt idx="19">
                  <c:v>67</c:v>
                </c:pt>
                <c:pt idx="20">
                  <c:v>68</c:v>
                </c:pt>
                <c:pt idx="21">
                  <c:v>69</c:v>
                </c:pt>
                <c:pt idx="22">
                  <c:v>70</c:v>
                </c:pt>
                <c:pt idx="23">
                  <c:v>71</c:v>
                </c:pt>
                <c:pt idx="24">
                  <c:v>72</c:v>
                </c:pt>
                <c:pt idx="25">
                  <c:v>73</c:v>
                </c:pt>
                <c:pt idx="26">
                  <c:v>74</c:v>
                </c:pt>
                <c:pt idx="27">
                  <c:v>75</c:v>
                </c:pt>
                <c:pt idx="28">
                  <c:v>76</c:v>
                </c:pt>
                <c:pt idx="29">
                  <c:v>77</c:v>
                </c:pt>
                <c:pt idx="30">
                  <c:v>78</c:v>
                </c:pt>
                <c:pt idx="31">
                  <c:v>79</c:v>
                </c:pt>
                <c:pt idx="32">
                  <c:v>80</c:v>
                </c:pt>
                <c:pt idx="33">
                  <c:v>81</c:v>
                </c:pt>
                <c:pt idx="34">
                  <c:v>82</c:v>
                </c:pt>
                <c:pt idx="35">
                  <c:v>83</c:v>
                </c:pt>
                <c:pt idx="36">
                  <c:v>84</c:v>
                </c:pt>
              </c:numCache>
            </c:numRef>
          </c:cat>
          <c:val>
            <c:numRef>
              <c:f>[0]!ChartNW_Norm</c:f>
              <c:numCache>
                <c:formatCode>#,##0\ ;\(#,##0\);\ \ \ \-\ </c:formatCode>
                <c:ptCount val="37"/>
                <c:pt idx="0">
                  <c:v>1680453.1852331229</c:v>
                </c:pt>
                <c:pt idx="1">
                  <c:v>1747067.9844310579</c:v>
                </c:pt>
                <c:pt idx="2">
                  <c:v>1834500.4505989298</c:v>
                </c:pt>
                <c:pt idx="3">
                  <c:v>1902052.2239453536</c:v>
                </c:pt>
                <c:pt idx="4">
                  <c:v>1918011.5787381453</c:v>
                </c:pt>
                <c:pt idx="5">
                  <c:v>2022411.9314857356</c:v>
                </c:pt>
                <c:pt idx="6">
                  <c:v>2122401.4152869554</c:v>
                </c:pt>
                <c:pt idx="7">
                  <c:v>2241677.3415042977</c:v>
                </c:pt>
                <c:pt idx="8">
                  <c:v>2349132.1587368511</c:v>
                </c:pt>
                <c:pt idx="9">
                  <c:v>2544794.5008876654</c:v>
                </c:pt>
                <c:pt idx="10">
                  <c:v>2649941.2126468173</c:v>
                </c:pt>
                <c:pt idx="11">
                  <c:v>2794950.2867713384</c:v>
                </c:pt>
                <c:pt idx="12">
                  <c:v>2958395.7698345711</c:v>
                </c:pt>
                <c:pt idx="13">
                  <c:v>3129804.9746498452</c:v>
                </c:pt>
                <c:pt idx="14">
                  <c:v>3309465.4942626706</c:v>
                </c:pt>
                <c:pt idx="15">
                  <c:v>3503873.6100133276</c:v>
                </c:pt>
                <c:pt idx="16">
                  <c:v>3708032.2331689494</c:v>
                </c:pt>
                <c:pt idx="17">
                  <c:v>3813004.9918801524</c:v>
                </c:pt>
                <c:pt idx="18">
                  <c:v>3930082.7499404456</c:v>
                </c:pt>
                <c:pt idx="19">
                  <c:v>4007595.1179999337</c:v>
                </c:pt>
                <c:pt idx="20">
                  <c:v>4134248.7733800956</c:v>
                </c:pt>
                <c:pt idx="21">
                  <c:v>4266399.8669676967</c:v>
                </c:pt>
                <c:pt idx="22">
                  <c:v>4379260.466412968</c:v>
                </c:pt>
                <c:pt idx="23">
                  <c:v>4496380.1346510015</c:v>
                </c:pt>
                <c:pt idx="24">
                  <c:v>4546335.0040084608</c:v>
                </c:pt>
                <c:pt idx="25">
                  <c:v>4663381.2042083293</c:v>
                </c:pt>
                <c:pt idx="26">
                  <c:v>4784320.576423944</c:v>
                </c:pt>
                <c:pt idx="27">
                  <c:v>4909276.9061785955</c:v>
                </c:pt>
                <c:pt idx="28">
                  <c:v>5048486.6563745402</c:v>
                </c:pt>
                <c:pt idx="29">
                  <c:v>5192482.7477544416</c:v>
                </c:pt>
                <c:pt idx="30">
                  <c:v>5341424.74805158</c:v>
                </c:pt>
                <c:pt idx="31">
                  <c:v>5500196.9325603163</c:v>
                </c:pt>
                <c:pt idx="32">
                  <c:v>5664897.2827477781</c:v>
                </c:pt>
                <c:pt idx="33">
                  <c:v>5835772.3858440537</c:v>
                </c:pt>
                <c:pt idx="34">
                  <c:v>6013082.3633260485</c:v>
                </c:pt>
                <c:pt idx="35">
                  <c:v>6197101.6821891442</c:v>
                </c:pt>
                <c:pt idx="36">
                  <c:v>6388120.0249408158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E00-C94B-93B6-9E84AE83035F}"/>
            </c:ext>
          </c:extLst>
        </c:ser>
        <c:ser>
          <c:idx val="0"/>
          <c:order val="2"/>
          <c:tx>
            <c:v>Legacy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RetNorm_Engine!$C$386:$AM$386</c:f>
              <c:numCache>
                <c:formatCode>#,##0\ ;\(#,##0\);\ \ \ \-\ </c:formatCode>
                <c:ptCount val="37"/>
                <c:pt idx="0">
                  <c:v>1000000</c:v>
                </c:pt>
                <c:pt idx="1">
                  <c:v>1000000</c:v>
                </c:pt>
                <c:pt idx="2">
                  <c:v>1000000</c:v>
                </c:pt>
                <c:pt idx="3">
                  <c:v>1000000</c:v>
                </c:pt>
                <c:pt idx="4">
                  <c:v>1000000</c:v>
                </c:pt>
                <c:pt idx="5">
                  <c:v>1000000</c:v>
                </c:pt>
                <c:pt idx="6">
                  <c:v>1000000</c:v>
                </c:pt>
                <c:pt idx="7">
                  <c:v>1000000</c:v>
                </c:pt>
                <c:pt idx="8">
                  <c:v>1000000</c:v>
                </c:pt>
                <c:pt idx="9">
                  <c:v>1000000</c:v>
                </c:pt>
                <c:pt idx="10">
                  <c:v>1000000</c:v>
                </c:pt>
                <c:pt idx="11">
                  <c:v>1000000</c:v>
                </c:pt>
                <c:pt idx="12">
                  <c:v>1000000</c:v>
                </c:pt>
                <c:pt idx="13">
                  <c:v>1000000</c:v>
                </c:pt>
                <c:pt idx="14">
                  <c:v>1000000</c:v>
                </c:pt>
                <c:pt idx="15">
                  <c:v>1000000</c:v>
                </c:pt>
                <c:pt idx="16">
                  <c:v>1000000</c:v>
                </c:pt>
                <c:pt idx="17">
                  <c:v>1000000</c:v>
                </c:pt>
                <c:pt idx="18">
                  <c:v>1000000</c:v>
                </c:pt>
                <c:pt idx="19">
                  <c:v>1000000</c:v>
                </c:pt>
                <c:pt idx="20">
                  <c:v>1000000</c:v>
                </c:pt>
                <c:pt idx="21">
                  <c:v>1000000</c:v>
                </c:pt>
                <c:pt idx="22">
                  <c:v>1000000</c:v>
                </c:pt>
                <c:pt idx="23">
                  <c:v>1000000</c:v>
                </c:pt>
                <c:pt idx="24">
                  <c:v>1000000</c:v>
                </c:pt>
                <c:pt idx="25">
                  <c:v>1000000</c:v>
                </c:pt>
                <c:pt idx="26">
                  <c:v>1000000</c:v>
                </c:pt>
                <c:pt idx="27">
                  <c:v>1000000</c:v>
                </c:pt>
                <c:pt idx="28">
                  <c:v>1000000</c:v>
                </c:pt>
                <c:pt idx="29">
                  <c:v>1000000</c:v>
                </c:pt>
                <c:pt idx="30">
                  <c:v>1000000</c:v>
                </c:pt>
                <c:pt idx="31">
                  <c:v>1000000</c:v>
                </c:pt>
                <c:pt idx="32">
                  <c:v>1000000</c:v>
                </c:pt>
                <c:pt idx="33">
                  <c:v>1000000</c:v>
                </c:pt>
                <c:pt idx="34">
                  <c:v>1000000</c:v>
                </c:pt>
                <c:pt idx="35">
                  <c:v>1000000</c:v>
                </c:pt>
                <c:pt idx="36">
                  <c:v>1000000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1CF-FE42-A63A-4A3B336B1A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03642623"/>
        <c:axId val="1403644863"/>
      </c:lineChart>
      <c:catAx>
        <c:axId val="14036426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MT"/>
          </a:p>
        </c:txPr>
        <c:crossAx val="1403644863"/>
        <c:crosses val="autoZero"/>
        <c:auto val="1"/>
        <c:lblAlgn val="ctr"/>
        <c:lblOffset val="100"/>
        <c:tickLblSkip val="2"/>
        <c:noMultiLvlLbl val="0"/>
      </c:catAx>
      <c:valAx>
        <c:axId val="14036448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\ ;\(#,##0\);\ \ \ \-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MT"/>
          </a:p>
        </c:txPr>
        <c:crossAx val="14036426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egendEntry>
        <c:idx val="0"/>
        <c:txPr>
          <a:bodyPr rot="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MT"/>
          </a:p>
        </c:txPr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MT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MT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trlProps/ctrlProp1.xml><?xml version="1.0" encoding="utf-8"?>
<formControlPr xmlns="http://schemas.microsoft.com/office/spreadsheetml/2009/9/main" objectType="Spin" dx="15" fmlaLink="RetEarly_Engine!$B$3" max="65" min="18" page="10" val="49"/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297479</xdr:colOff>
      <xdr:row>1</xdr:row>
      <xdr:rowOff>128162</xdr:rowOff>
    </xdr:from>
    <xdr:to>
      <xdr:col>10</xdr:col>
      <xdr:colOff>297478</xdr:colOff>
      <xdr:row>30</xdr:row>
      <xdr:rowOff>160180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4EF6F3C-5549-FFD1-5465-CCE02109B7E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423336</xdr:colOff>
      <xdr:row>1</xdr:row>
      <xdr:rowOff>128162</xdr:rowOff>
    </xdr:from>
    <xdr:to>
      <xdr:col>20</xdr:col>
      <xdr:colOff>423336</xdr:colOff>
      <xdr:row>30</xdr:row>
      <xdr:rowOff>160180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022D580-9C83-6C91-B509-F2CDB56D14E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21</xdr:col>
          <xdr:colOff>38100</xdr:colOff>
          <xdr:row>4</xdr:row>
          <xdr:rowOff>63500</xdr:rowOff>
        </xdr:from>
        <xdr:to>
          <xdr:col>21</xdr:col>
          <xdr:colOff>660400</xdr:colOff>
          <xdr:row>9</xdr:row>
          <xdr:rowOff>63500</xdr:rowOff>
        </xdr:to>
        <xdr:sp macro="" textlink="">
          <xdr:nvSpPr>
            <xdr:cNvPr id="2049" name="Spinner 1" hidden="1">
              <a:extLst>
                <a:ext uri="{63B3BB69-23CF-44E3-9099-C40C66FF867C}">
                  <a14:compatExt spid="_x0000_s2049"/>
                </a:ext>
                <a:ext uri="{FF2B5EF4-FFF2-40B4-BE49-F238E27FC236}">
                  <a16:creationId xmlns:a16="http://schemas.microsoft.com/office/drawing/2014/main" id="{00000000-0008-0000-0100-000001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6C09A-970C-8B4A-8DAA-2452C038377E}">
  <sheetPr codeName="Sheet1">
    <tabColor rgb="FFFFFF00"/>
  </sheetPr>
  <dimension ref="A1:M320"/>
  <sheetViews>
    <sheetView zoomScale="130" zoomScaleNormal="130" workbookViewId="0">
      <pane ySplit="1" topLeftCell="A2" activePane="bottomLeft" state="frozen"/>
      <selection pane="bottomLeft" activeCell="A15" sqref="A15"/>
    </sheetView>
  </sheetViews>
  <sheetFormatPr baseColWidth="10" defaultRowHeight="16" x14ac:dyDescent="0.2"/>
  <cols>
    <col min="1" max="1" width="37.83203125" style="22" customWidth="1"/>
    <col min="2" max="2" width="11.6640625" style="19" customWidth="1"/>
    <col min="3" max="3" width="9.33203125" style="90" customWidth="1"/>
    <col min="4" max="4" width="54.83203125" style="55" bestFit="1" customWidth="1"/>
    <col min="5" max="5" width="43.83203125" style="53" bestFit="1" customWidth="1"/>
    <col min="6" max="6" width="16.1640625" style="63" customWidth="1"/>
    <col min="7" max="7" width="12.1640625" style="62" customWidth="1"/>
    <col min="8" max="11" width="10.83203125" style="21"/>
    <col min="12" max="12" width="10.83203125" style="2"/>
    <col min="13" max="16384" width="10.83203125" style="21"/>
  </cols>
  <sheetData>
    <row r="1" spans="1:12" x14ac:dyDescent="0.2">
      <c r="A1" s="45"/>
      <c r="B1" s="52" t="s">
        <v>151</v>
      </c>
      <c r="C1" s="89"/>
      <c r="D1" s="52" t="s">
        <v>135</v>
      </c>
      <c r="E1" s="59" t="s">
        <v>136</v>
      </c>
      <c r="F1" s="61" t="s">
        <v>137</v>
      </c>
      <c r="G1" s="61"/>
    </row>
    <row r="2" spans="1:12" ht="19" x14ac:dyDescent="0.25">
      <c r="A2" s="76" t="s">
        <v>74</v>
      </c>
      <c r="B2" s="77"/>
      <c r="D2" s="53"/>
      <c r="F2" s="62"/>
      <c r="L2" s="21"/>
    </row>
    <row r="3" spans="1:12" x14ac:dyDescent="0.2">
      <c r="D3" s="54"/>
      <c r="L3" s="21"/>
    </row>
    <row r="4" spans="1:12" x14ac:dyDescent="0.2">
      <c r="A4" s="18" t="s">
        <v>75</v>
      </c>
      <c r="B4" s="35">
        <v>48</v>
      </c>
      <c r="D4" s="54" t="s">
        <v>77</v>
      </c>
      <c r="L4" s="21"/>
    </row>
    <row r="5" spans="1:12" x14ac:dyDescent="0.2">
      <c r="A5" s="18"/>
      <c r="D5" s="54"/>
      <c r="L5" s="21"/>
    </row>
    <row r="6" spans="1:12" x14ac:dyDescent="0.2">
      <c r="A6" s="18" t="s">
        <v>76</v>
      </c>
      <c r="B6" s="35">
        <v>80000</v>
      </c>
      <c r="D6" s="54" t="s">
        <v>78</v>
      </c>
      <c r="L6" s="21"/>
    </row>
    <row r="7" spans="1:12" x14ac:dyDescent="0.2">
      <c r="A7" s="18"/>
      <c r="D7" s="54"/>
      <c r="L7" s="21"/>
    </row>
    <row r="8" spans="1:12" x14ac:dyDescent="0.2">
      <c r="A8" s="18" t="s">
        <v>79</v>
      </c>
      <c r="B8" s="35">
        <v>50000</v>
      </c>
      <c r="D8" s="54" t="s">
        <v>80</v>
      </c>
      <c r="L8" s="21"/>
    </row>
    <row r="9" spans="1:12" x14ac:dyDescent="0.2">
      <c r="A9" s="18"/>
      <c r="D9" s="54"/>
      <c r="L9" s="21"/>
    </row>
    <row r="10" spans="1:12" x14ac:dyDescent="0.2">
      <c r="A10" s="18" t="s">
        <v>0</v>
      </c>
      <c r="B10" s="35">
        <v>30000</v>
      </c>
      <c r="D10" s="54" t="s">
        <v>81</v>
      </c>
      <c r="L10" s="21"/>
    </row>
    <row r="11" spans="1:12" x14ac:dyDescent="0.2">
      <c r="A11" s="18" t="s">
        <v>226</v>
      </c>
      <c r="B11" s="35">
        <v>350</v>
      </c>
      <c r="D11" s="54" t="s">
        <v>227</v>
      </c>
      <c r="L11" s="21"/>
    </row>
    <row r="12" spans="1:12" x14ac:dyDescent="0.2">
      <c r="A12" s="18"/>
      <c r="D12" s="54"/>
      <c r="L12" s="21"/>
    </row>
    <row r="13" spans="1:12" x14ac:dyDescent="0.2">
      <c r="A13" s="18" t="s">
        <v>29</v>
      </c>
      <c r="B13" s="35">
        <v>500000</v>
      </c>
      <c r="D13" s="54" t="s">
        <v>133</v>
      </c>
      <c r="L13" s="21"/>
    </row>
    <row r="14" spans="1:12" x14ac:dyDescent="0.2">
      <c r="A14" s="18"/>
      <c r="D14" s="54"/>
      <c r="L14" s="21"/>
    </row>
    <row r="15" spans="1:12" x14ac:dyDescent="0.2">
      <c r="A15" s="18" t="s">
        <v>32</v>
      </c>
      <c r="E15" s="60"/>
      <c r="L15" s="21"/>
    </row>
    <row r="16" spans="1:12" x14ac:dyDescent="0.2">
      <c r="A16" s="22" t="s">
        <v>37</v>
      </c>
      <c r="B16" s="35">
        <v>50000</v>
      </c>
      <c r="D16" s="54" t="s">
        <v>134</v>
      </c>
      <c r="F16" s="64" t="s">
        <v>84</v>
      </c>
      <c r="G16" s="65">
        <f>IFERROR(NPER(B17/12,-B18,B16),"")</f>
        <v>215.86798639264987</v>
      </c>
      <c r="L16" s="21"/>
    </row>
    <row r="17" spans="1:12" x14ac:dyDescent="0.2">
      <c r="A17" s="22" t="s">
        <v>82</v>
      </c>
      <c r="B17" s="36">
        <v>0.03</v>
      </c>
      <c r="D17" s="54"/>
      <c r="F17" s="64" t="s">
        <v>85</v>
      </c>
      <c r="G17" s="65">
        <f>IFERROR(G16/12,"")</f>
        <v>17.988998866054157</v>
      </c>
      <c r="L17" s="21"/>
    </row>
    <row r="18" spans="1:12" x14ac:dyDescent="0.2">
      <c r="A18" s="22" t="s">
        <v>83</v>
      </c>
      <c r="B18" s="35">
        <v>300</v>
      </c>
      <c r="D18" s="54"/>
      <c r="L18" s="21"/>
    </row>
    <row r="19" spans="1:12" x14ac:dyDescent="0.2">
      <c r="A19" s="18"/>
      <c r="D19" s="54"/>
      <c r="L19" s="21"/>
    </row>
    <row r="20" spans="1:12" x14ac:dyDescent="0.2">
      <c r="A20" s="18" t="s">
        <v>88</v>
      </c>
      <c r="B20" s="35">
        <v>65</v>
      </c>
      <c r="D20" s="54" t="s">
        <v>89</v>
      </c>
      <c r="L20" s="21"/>
    </row>
    <row r="21" spans="1:12" x14ac:dyDescent="0.2">
      <c r="A21" s="18"/>
      <c r="B21" s="37"/>
      <c r="D21" s="54"/>
      <c r="L21" s="21"/>
    </row>
    <row r="22" spans="1:12" x14ac:dyDescent="0.2">
      <c r="A22" s="18" t="s">
        <v>86</v>
      </c>
      <c r="B22" s="35">
        <v>16000</v>
      </c>
      <c r="D22" s="54" t="s">
        <v>87</v>
      </c>
      <c r="L22" s="21"/>
    </row>
    <row r="23" spans="1:12" x14ac:dyDescent="0.2">
      <c r="A23" s="18"/>
      <c r="D23" s="54"/>
      <c r="L23" s="21"/>
    </row>
    <row r="24" spans="1:12" x14ac:dyDescent="0.2">
      <c r="A24" s="18" t="s">
        <v>225</v>
      </c>
      <c r="B24" s="35"/>
      <c r="D24" s="54" t="s">
        <v>48</v>
      </c>
      <c r="E24" s="53" t="s">
        <v>145</v>
      </c>
      <c r="L24" s="21"/>
    </row>
    <row r="25" spans="1:12" x14ac:dyDescent="0.2">
      <c r="A25" s="18"/>
      <c r="D25" s="54"/>
      <c r="L25" s="21"/>
    </row>
    <row r="26" spans="1:12" x14ac:dyDescent="0.2">
      <c r="A26" s="18" t="s">
        <v>97</v>
      </c>
      <c r="B26" s="35">
        <v>50000</v>
      </c>
      <c r="D26" s="54"/>
      <c r="L26" s="21"/>
    </row>
    <row r="27" spans="1:12" x14ac:dyDescent="0.2">
      <c r="D27" s="54"/>
      <c r="L27" s="21"/>
    </row>
    <row r="28" spans="1:12" x14ac:dyDescent="0.2">
      <c r="D28" s="54"/>
      <c r="L28" s="21"/>
    </row>
    <row r="29" spans="1:12" ht="19" x14ac:dyDescent="0.25">
      <c r="A29" s="78" t="s">
        <v>90</v>
      </c>
      <c r="B29" s="79"/>
      <c r="D29" s="54"/>
      <c r="E29" s="53" t="s">
        <v>139</v>
      </c>
      <c r="L29" s="21"/>
    </row>
    <row r="30" spans="1:12" x14ac:dyDescent="0.2">
      <c r="D30" s="54"/>
      <c r="L30" s="21"/>
    </row>
    <row r="31" spans="1:12" x14ac:dyDescent="0.2">
      <c r="A31" s="71" t="s">
        <v>31</v>
      </c>
      <c r="B31" s="72"/>
      <c r="D31" s="54"/>
      <c r="L31" s="21"/>
    </row>
    <row r="32" spans="1:12" x14ac:dyDescent="0.2">
      <c r="D32" s="54"/>
      <c r="L32" s="21"/>
    </row>
    <row r="33" spans="1:12" x14ac:dyDescent="0.2">
      <c r="A33" s="22" t="s">
        <v>39</v>
      </c>
      <c r="L33" s="21"/>
    </row>
    <row r="34" spans="1:12" x14ac:dyDescent="0.2">
      <c r="A34" s="47" t="s">
        <v>28</v>
      </c>
      <c r="B34" s="38" t="s">
        <v>154</v>
      </c>
      <c r="D34" s="54" t="s">
        <v>93</v>
      </c>
      <c r="L34" s="21"/>
    </row>
    <row r="35" spans="1:12" x14ac:dyDescent="0.2">
      <c r="A35" s="47" t="s">
        <v>120</v>
      </c>
      <c r="B35" s="35">
        <v>2000</v>
      </c>
      <c r="D35" s="54" t="s">
        <v>119</v>
      </c>
      <c r="E35" s="53" t="s">
        <v>141</v>
      </c>
      <c r="L35" s="21"/>
    </row>
    <row r="36" spans="1:12" x14ac:dyDescent="0.2">
      <c r="A36" s="47" t="s">
        <v>94</v>
      </c>
      <c r="B36" s="35">
        <v>3</v>
      </c>
      <c r="D36" s="54" t="s">
        <v>92</v>
      </c>
      <c r="E36" s="53" t="s">
        <v>141</v>
      </c>
      <c r="L36" s="21"/>
    </row>
    <row r="37" spans="1:12" x14ac:dyDescent="0.2">
      <c r="L37" s="21"/>
    </row>
    <row r="38" spans="1:12" x14ac:dyDescent="0.2">
      <c r="A38" s="22" t="s">
        <v>40</v>
      </c>
      <c r="L38" s="21"/>
    </row>
    <row r="39" spans="1:12" x14ac:dyDescent="0.2">
      <c r="A39" s="47" t="s">
        <v>28</v>
      </c>
      <c r="B39" s="38" t="s">
        <v>155</v>
      </c>
      <c r="D39" s="54" t="s">
        <v>93</v>
      </c>
      <c r="L39" s="21"/>
    </row>
    <row r="40" spans="1:12" x14ac:dyDescent="0.2">
      <c r="A40" s="47" t="s">
        <v>120</v>
      </c>
      <c r="B40" s="35">
        <v>1000</v>
      </c>
      <c r="D40" s="54" t="s">
        <v>119</v>
      </c>
      <c r="E40" s="53" t="s">
        <v>141</v>
      </c>
      <c r="L40" s="21"/>
    </row>
    <row r="41" spans="1:12" x14ac:dyDescent="0.2">
      <c r="A41" s="47" t="s">
        <v>94</v>
      </c>
      <c r="B41" s="35">
        <v>5</v>
      </c>
      <c r="D41" s="54" t="s">
        <v>92</v>
      </c>
      <c r="E41" s="53" t="s">
        <v>141</v>
      </c>
      <c r="L41" s="21"/>
    </row>
    <row r="43" spans="1:12" x14ac:dyDescent="0.2">
      <c r="A43" s="22" t="s">
        <v>41</v>
      </c>
      <c r="L43" s="21"/>
    </row>
    <row r="44" spans="1:12" x14ac:dyDescent="0.2">
      <c r="A44" s="47" t="s">
        <v>28</v>
      </c>
      <c r="B44" s="38" t="s">
        <v>156</v>
      </c>
      <c r="D44" s="54" t="s">
        <v>93</v>
      </c>
      <c r="L44" s="21"/>
    </row>
    <row r="45" spans="1:12" x14ac:dyDescent="0.2">
      <c r="A45" s="47" t="s">
        <v>120</v>
      </c>
      <c r="B45" s="35">
        <v>4000</v>
      </c>
      <c r="D45" s="54" t="s">
        <v>119</v>
      </c>
      <c r="E45" s="53" t="s">
        <v>141</v>
      </c>
      <c r="L45" s="21"/>
    </row>
    <row r="46" spans="1:12" x14ac:dyDescent="0.2">
      <c r="A46" s="47" t="s">
        <v>94</v>
      </c>
      <c r="B46" s="35">
        <v>2</v>
      </c>
      <c r="D46" s="54" t="s">
        <v>92</v>
      </c>
      <c r="E46" s="53" t="s">
        <v>141</v>
      </c>
      <c r="L46" s="21"/>
    </row>
    <row r="47" spans="1:12" x14ac:dyDescent="0.2">
      <c r="A47" s="47"/>
      <c r="B47" s="34"/>
      <c r="D47" s="54"/>
      <c r="L47" s="21"/>
    </row>
    <row r="48" spans="1:12" x14ac:dyDescent="0.2">
      <c r="A48" s="22" t="s">
        <v>163</v>
      </c>
      <c r="L48" s="21"/>
    </row>
    <row r="49" spans="1:12" x14ac:dyDescent="0.2">
      <c r="A49" s="47" t="s">
        <v>28</v>
      </c>
      <c r="B49" s="38" t="s">
        <v>165</v>
      </c>
      <c r="D49" s="54" t="s">
        <v>93</v>
      </c>
      <c r="L49" s="21"/>
    </row>
    <row r="50" spans="1:12" x14ac:dyDescent="0.2">
      <c r="A50" s="47" t="s">
        <v>120</v>
      </c>
      <c r="B50" s="35">
        <v>2500</v>
      </c>
      <c r="D50" s="54" t="s">
        <v>119</v>
      </c>
      <c r="E50" s="53" t="s">
        <v>141</v>
      </c>
      <c r="L50" s="21"/>
    </row>
    <row r="51" spans="1:12" x14ac:dyDescent="0.2">
      <c r="A51" s="47" t="s">
        <v>94</v>
      </c>
      <c r="B51" s="35">
        <v>3</v>
      </c>
      <c r="D51" s="54" t="s">
        <v>92</v>
      </c>
      <c r="E51" s="53" t="s">
        <v>141</v>
      </c>
      <c r="L51" s="21"/>
    </row>
    <row r="53" spans="1:12" x14ac:dyDescent="0.2">
      <c r="A53" s="22" t="s">
        <v>164</v>
      </c>
      <c r="L53" s="21"/>
    </row>
    <row r="54" spans="1:12" x14ac:dyDescent="0.2">
      <c r="A54" s="47" t="s">
        <v>28</v>
      </c>
      <c r="B54" s="38" t="s">
        <v>166</v>
      </c>
      <c r="D54" s="54" t="s">
        <v>93</v>
      </c>
      <c r="L54" s="21"/>
    </row>
    <row r="55" spans="1:12" x14ac:dyDescent="0.2">
      <c r="A55" s="47" t="s">
        <v>120</v>
      </c>
      <c r="B55" s="35">
        <v>2860</v>
      </c>
      <c r="D55" s="54" t="s">
        <v>119</v>
      </c>
      <c r="E55" s="53" t="s">
        <v>141</v>
      </c>
      <c r="L55" s="21"/>
    </row>
    <row r="56" spans="1:12" x14ac:dyDescent="0.2">
      <c r="A56" s="47" t="s">
        <v>94</v>
      </c>
      <c r="B56" s="35">
        <v>6</v>
      </c>
      <c r="D56" s="54" t="s">
        <v>92</v>
      </c>
      <c r="E56" s="53" t="s">
        <v>141</v>
      </c>
      <c r="L56" s="21"/>
    </row>
    <row r="57" spans="1:12" x14ac:dyDescent="0.2">
      <c r="A57" s="47"/>
      <c r="B57" s="34"/>
      <c r="D57" s="54"/>
      <c r="L57" s="21"/>
    </row>
    <row r="58" spans="1:12" x14ac:dyDescent="0.2">
      <c r="A58" s="71" t="s">
        <v>108</v>
      </c>
      <c r="B58" s="72"/>
      <c r="D58" s="54"/>
      <c r="L58" s="21"/>
    </row>
    <row r="59" spans="1:12" x14ac:dyDescent="0.2">
      <c r="A59" s="46"/>
      <c r="D59" s="54"/>
      <c r="L59" s="21"/>
    </row>
    <row r="60" spans="1:12" x14ac:dyDescent="0.2">
      <c r="A60" s="22" t="s">
        <v>42</v>
      </c>
      <c r="D60" s="54"/>
      <c r="L60" s="21"/>
    </row>
    <row r="61" spans="1:12" x14ac:dyDescent="0.2">
      <c r="A61" s="47" t="s">
        <v>28</v>
      </c>
      <c r="B61" s="38" t="s">
        <v>146</v>
      </c>
      <c r="D61" s="54" t="s">
        <v>93</v>
      </c>
      <c r="L61" s="21"/>
    </row>
    <row r="62" spans="1:12" x14ac:dyDescent="0.2">
      <c r="A62" s="47" t="s">
        <v>105</v>
      </c>
      <c r="B62" s="35">
        <v>300000</v>
      </c>
      <c r="D62" s="54"/>
      <c r="E62" s="53" t="s">
        <v>142</v>
      </c>
      <c r="L62" s="21"/>
    </row>
    <row r="63" spans="1:12" x14ac:dyDescent="0.2">
      <c r="A63" s="47" t="s">
        <v>106</v>
      </c>
      <c r="B63" s="35">
        <v>5000</v>
      </c>
      <c r="D63" s="54" t="s">
        <v>107</v>
      </c>
      <c r="E63" s="53" t="s">
        <v>142</v>
      </c>
      <c r="L63" s="21"/>
    </row>
    <row r="64" spans="1:12" x14ac:dyDescent="0.2">
      <c r="D64" s="54"/>
      <c r="L64" s="21"/>
    </row>
    <row r="65" spans="1:12" x14ac:dyDescent="0.2">
      <c r="A65" s="22" t="s">
        <v>43</v>
      </c>
      <c r="D65" s="54"/>
      <c r="L65" s="21"/>
    </row>
    <row r="66" spans="1:12" x14ac:dyDescent="0.2">
      <c r="A66" s="47" t="s">
        <v>28</v>
      </c>
      <c r="B66" s="38" t="s">
        <v>157</v>
      </c>
      <c r="D66" s="54" t="s">
        <v>93</v>
      </c>
      <c r="L66" s="21"/>
    </row>
    <row r="67" spans="1:12" x14ac:dyDescent="0.2">
      <c r="A67" s="47" t="s">
        <v>105</v>
      </c>
      <c r="B67" s="35">
        <v>150000</v>
      </c>
      <c r="D67" s="54"/>
      <c r="E67" s="53" t="s">
        <v>142</v>
      </c>
      <c r="L67" s="21"/>
    </row>
    <row r="68" spans="1:12" x14ac:dyDescent="0.2">
      <c r="A68" s="47" t="s">
        <v>106</v>
      </c>
      <c r="B68" s="35">
        <v>2000</v>
      </c>
      <c r="D68" s="54" t="s">
        <v>107</v>
      </c>
      <c r="E68" s="53" t="s">
        <v>142</v>
      </c>
      <c r="L68" s="21"/>
    </row>
    <row r="69" spans="1:12" x14ac:dyDescent="0.2">
      <c r="D69" s="54"/>
      <c r="L69" s="21"/>
    </row>
    <row r="70" spans="1:12" x14ac:dyDescent="0.2">
      <c r="A70" s="22" t="s">
        <v>44</v>
      </c>
      <c r="D70" s="54"/>
      <c r="L70" s="21"/>
    </row>
    <row r="71" spans="1:12" x14ac:dyDescent="0.2">
      <c r="A71" s="47" t="s">
        <v>28</v>
      </c>
      <c r="B71" s="38" t="s">
        <v>152</v>
      </c>
      <c r="D71" s="54" t="s">
        <v>93</v>
      </c>
      <c r="L71" s="21"/>
    </row>
    <row r="72" spans="1:12" x14ac:dyDescent="0.2">
      <c r="A72" s="47" t="s">
        <v>105</v>
      </c>
      <c r="B72" s="35">
        <v>220000</v>
      </c>
      <c r="D72" s="54"/>
      <c r="E72" s="53" t="s">
        <v>142</v>
      </c>
      <c r="L72" s="21"/>
    </row>
    <row r="73" spans="1:12" x14ac:dyDescent="0.2">
      <c r="A73" s="47" t="s">
        <v>106</v>
      </c>
      <c r="B73" s="35">
        <v>1200</v>
      </c>
      <c r="D73" s="54" t="s">
        <v>107</v>
      </c>
      <c r="E73" s="53" t="s">
        <v>142</v>
      </c>
      <c r="L73" s="21"/>
    </row>
    <row r="74" spans="1:12" x14ac:dyDescent="0.2">
      <c r="A74" s="47"/>
      <c r="D74" s="54"/>
      <c r="L74" s="21"/>
    </row>
    <row r="75" spans="1:12" x14ac:dyDescent="0.2">
      <c r="A75" s="22" t="s">
        <v>167</v>
      </c>
      <c r="D75" s="54"/>
      <c r="L75" s="21"/>
    </row>
    <row r="76" spans="1:12" x14ac:dyDescent="0.2">
      <c r="A76" s="47" t="s">
        <v>28</v>
      </c>
      <c r="B76" s="38" t="s">
        <v>169</v>
      </c>
      <c r="D76" s="54" t="s">
        <v>93</v>
      </c>
      <c r="L76" s="21"/>
    </row>
    <row r="77" spans="1:12" x14ac:dyDescent="0.2">
      <c r="A77" s="47" t="s">
        <v>105</v>
      </c>
      <c r="B77" s="35">
        <v>80000</v>
      </c>
      <c r="D77" s="54"/>
      <c r="E77" s="53" t="s">
        <v>142</v>
      </c>
      <c r="L77" s="21"/>
    </row>
    <row r="78" spans="1:12" x14ac:dyDescent="0.2">
      <c r="A78" s="47" t="s">
        <v>106</v>
      </c>
      <c r="B78" s="35">
        <v>1000</v>
      </c>
      <c r="D78" s="54" t="s">
        <v>107</v>
      </c>
      <c r="E78" s="53" t="s">
        <v>142</v>
      </c>
      <c r="L78" s="21"/>
    </row>
    <row r="79" spans="1:12" x14ac:dyDescent="0.2">
      <c r="D79" s="54"/>
      <c r="L79" s="21"/>
    </row>
    <row r="80" spans="1:12" x14ac:dyDescent="0.2">
      <c r="A80" s="22" t="s">
        <v>168</v>
      </c>
      <c r="D80" s="54"/>
      <c r="L80" s="21"/>
    </row>
    <row r="81" spans="1:12" x14ac:dyDescent="0.2">
      <c r="A81" s="47" t="s">
        <v>28</v>
      </c>
      <c r="B81" s="38" t="s">
        <v>170</v>
      </c>
      <c r="D81" s="54" t="s">
        <v>93</v>
      </c>
      <c r="L81" s="21"/>
    </row>
    <row r="82" spans="1:12" x14ac:dyDescent="0.2">
      <c r="A82" s="47" t="s">
        <v>105</v>
      </c>
      <c r="B82" s="35">
        <v>120000</v>
      </c>
      <c r="D82" s="54"/>
      <c r="E82" s="53" t="s">
        <v>142</v>
      </c>
      <c r="L82" s="21"/>
    </row>
    <row r="83" spans="1:12" x14ac:dyDescent="0.2">
      <c r="A83" s="47" t="s">
        <v>106</v>
      </c>
      <c r="B83" s="35">
        <v>800</v>
      </c>
      <c r="D83" s="54" t="s">
        <v>107</v>
      </c>
      <c r="E83" s="53" t="s">
        <v>142</v>
      </c>
      <c r="L83" s="21"/>
    </row>
    <row r="84" spans="1:12" x14ac:dyDescent="0.2">
      <c r="A84" s="47"/>
      <c r="D84" s="54"/>
      <c r="L84" s="21"/>
    </row>
    <row r="85" spans="1:12" x14ac:dyDescent="0.2">
      <c r="A85" s="71" t="s">
        <v>178</v>
      </c>
      <c r="B85" s="72"/>
      <c r="D85" s="54"/>
      <c r="L85" s="21"/>
    </row>
    <row r="86" spans="1:12" x14ac:dyDescent="0.2">
      <c r="A86" s="47"/>
      <c r="D86" s="54"/>
      <c r="L86" s="21"/>
    </row>
    <row r="87" spans="1:12" x14ac:dyDescent="0.2">
      <c r="A87" s="22" t="s">
        <v>183</v>
      </c>
      <c r="D87" s="54"/>
      <c r="L87" s="21"/>
    </row>
    <row r="88" spans="1:12" x14ac:dyDescent="0.2">
      <c r="A88" s="47" t="s">
        <v>28</v>
      </c>
      <c r="B88" s="38" t="s">
        <v>179</v>
      </c>
      <c r="D88" s="54" t="s">
        <v>93</v>
      </c>
      <c r="L88" s="21"/>
    </row>
    <row r="89" spans="1:12" x14ac:dyDescent="0.2">
      <c r="A89" s="47" t="s">
        <v>105</v>
      </c>
      <c r="B89" s="35">
        <v>50000</v>
      </c>
      <c r="D89" s="54"/>
      <c r="E89" s="53" t="s">
        <v>181</v>
      </c>
      <c r="L89" s="21"/>
    </row>
    <row r="90" spans="1:12" x14ac:dyDescent="0.2">
      <c r="A90" s="47" t="s">
        <v>180</v>
      </c>
      <c r="B90" s="36">
        <v>0.02</v>
      </c>
      <c r="D90" s="54" t="s">
        <v>182</v>
      </c>
      <c r="E90" s="53" t="s">
        <v>181</v>
      </c>
      <c r="L90" s="21"/>
    </row>
    <row r="91" spans="1:12" x14ac:dyDescent="0.2">
      <c r="A91" s="47"/>
      <c r="D91" s="54"/>
      <c r="L91" s="21"/>
    </row>
    <row r="92" spans="1:12" x14ac:dyDescent="0.2">
      <c r="A92" s="22" t="s">
        <v>184</v>
      </c>
      <c r="D92" s="54"/>
      <c r="L92" s="21"/>
    </row>
    <row r="93" spans="1:12" x14ac:dyDescent="0.2">
      <c r="A93" s="47" t="s">
        <v>28</v>
      </c>
      <c r="B93" s="38" t="s">
        <v>188</v>
      </c>
      <c r="D93" s="54" t="s">
        <v>93</v>
      </c>
      <c r="L93" s="21"/>
    </row>
    <row r="94" spans="1:12" x14ac:dyDescent="0.2">
      <c r="A94" s="47" t="s">
        <v>105</v>
      </c>
      <c r="B94" s="35">
        <v>40000</v>
      </c>
      <c r="D94" s="54"/>
      <c r="E94" s="53" t="s">
        <v>181</v>
      </c>
      <c r="L94" s="21"/>
    </row>
    <row r="95" spans="1:12" x14ac:dyDescent="0.2">
      <c r="A95" s="47" t="s">
        <v>180</v>
      </c>
      <c r="B95" s="36">
        <v>-0.05</v>
      </c>
      <c r="D95" s="54" t="s">
        <v>182</v>
      </c>
      <c r="E95" s="53" t="s">
        <v>181</v>
      </c>
      <c r="L95" s="21"/>
    </row>
    <row r="96" spans="1:12" x14ac:dyDescent="0.2">
      <c r="A96" s="47"/>
      <c r="D96" s="54"/>
      <c r="L96" s="21"/>
    </row>
    <row r="97" spans="1:12" x14ac:dyDescent="0.2">
      <c r="A97" s="22" t="s">
        <v>185</v>
      </c>
      <c r="D97" s="54"/>
      <c r="L97" s="21"/>
    </row>
    <row r="98" spans="1:12" x14ac:dyDescent="0.2">
      <c r="A98" s="47" t="s">
        <v>28</v>
      </c>
      <c r="B98" s="38" t="s">
        <v>189</v>
      </c>
      <c r="D98" s="54" t="s">
        <v>93</v>
      </c>
      <c r="L98" s="21"/>
    </row>
    <row r="99" spans="1:12" x14ac:dyDescent="0.2">
      <c r="A99" s="47" t="s">
        <v>105</v>
      </c>
      <c r="B99" s="35">
        <v>20000</v>
      </c>
      <c r="D99" s="54"/>
      <c r="E99" s="53" t="s">
        <v>181</v>
      </c>
      <c r="L99" s="21"/>
    </row>
    <row r="100" spans="1:12" x14ac:dyDescent="0.2">
      <c r="A100" s="47" t="s">
        <v>180</v>
      </c>
      <c r="B100" s="36">
        <v>0.03</v>
      </c>
      <c r="D100" s="54" t="s">
        <v>182</v>
      </c>
      <c r="E100" s="53" t="s">
        <v>181</v>
      </c>
      <c r="L100" s="21"/>
    </row>
    <row r="101" spans="1:12" x14ac:dyDescent="0.2">
      <c r="A101" s="47"/>
      <c r="D101" s="54"/>
      <c r="L101" s="21"/>
    </row>
    <row r="102" spans="1:12" x14ac:dyDescent="0.2">
      <c r="A102" s="22" t="s">
        <v>186</v>
      </c>
      <c r="D102" s="54"/>
      <c r="L102" s="21"/>
    </row>
    <row r="103" spans="1:12" x14ac:dyDescent="0.2">
      <c r="A103" s="47" t="s">
        <v>28</v>
      </c>
      <c r="B103" s="38" t="s">
        <v>190</v>
      </c>
      <c r="D103" s="54" t="s">
        <v>93</v>
      </c>
      <c r="L103" s="21"/>
    </row>
    <row r="104" spans="1:12" x14ac:dyDescent="0.2">
      <c r="A104" s="47" t="s">
        <v>105</v>
      </c>
      <c r="B104" s="35">
        <v>180000</v>
      </c>
      <c r="D104" s="54"/>
      <c r="E104" s="53" t="s">
        <v>181</v>
      </c>
      <c r="L104" s="21"/>
    </row>
    <row r="105" spans="1:12" x14ac:dyDescent="0.2">
      <c r="A105" s="47" t="s">
        <v>180</v>
      </c>
      <c r="B105" s="36">
        <v>-0.05</v>
      </c>
      <c r="D105" s="54" t="s">
        <v>182</v>
      </c>
      <c r="E105" s="53" t="s">
        <v>181</v>
      </c>
      <c r="L105" s="21"/>
    </row>
    <row r="106" spans="1:12" x14ac:dyDescent="0.2">
      <c r="A106" s="47"/>
      <c r="D106" s="54"/>
      <c r="L106" s="21"/>
    </row>
    <row r="107" spans="1:12" x14ac:dyDescent="0.2">
      <c r="A107" s="22" t="s">
        <v>187</v>
      </c>
      <c r="D107" s="54"/>
      <c r="L107" s="21"/>
    </row>
    <row r="108" spans="1:12" x14ac:dyDescent="0.2">
      <c r="A108" s="47" t="s">
        <v>28</v>
      </c>
      <c r="B108" s="38" t="s">
        <v>191</v>
      </c>
      <c r="D108" s="54" t="s">
        <v>93</v>
      </c>
      <c r="L108" s="21"/>
    </row>
    <row r="109" spans="1:12" x14ac:dyDescent="0.2">
      <c r="A109" s="47" t="s">
        <v>105</v>
      </c>
      <c r="B109" s="35">
        <v>82000</v>
      </c>
      <c r="D109" s="54"/>
      <c r="E109" s="53" t="s">
        <v>181</v>
      </c>
      <c r="L109" s="21"/>
    </row>
    <row r="110" spans="1:12" x14ac:dyDescent="0.2">
      <c r="A110" s="47" t="s">
        <v>180</v>
      </c>
      <c r="B110" s="36">
        <v>0.02</v>
      </c>
      <c r="D110" s="54" t="s">
        <v>182</v>
      </c>
      <c r="E110" s="53" t="s">
        <v>181</v>
      </c>
      <c r="L110" s="21"/>
    </row>
    <row r="111" spans="1:12" x14ac:dyDescent="0.2">
      <c r="A111" s="47"/>
      <c r="B111" s="21"/>
      <c r="D111" s="54"/>
      <c r="L111" s="21"/>
    </row>
    <row r="112" spans="1:12" x14ac:dyDescent="0.2">
      <c r="A112" s="71" t="s">
        <v>95</v>
      </c>
      <c r="B112" s="72"/>
      <c r="L112" s="21"/>
    </row>
    <row r="113" spans="1:12" ht="15" customHeight="1" x14ac:dyDescent="0.2">
      <c r="D113" s="54"/>
      <c r="L113" s="21"/>
    </row>
    <row r="114" spans="1:12" x14ac:dyDescent="0.2">
      <c r="A114" s="22" t="str">
        <f>"Rental income: "&amp;B61</f>
        <v>Rental income: Sliema</v>
      </c>
      <c r="B114" s="35">
        <v>12000</v>
      </c>
      <c r="D114" s="54" t="s">
        <v>96</v>
      </c>
      <c r="E114" s="53" t="s">
        <v>143</v>
      </c>
      <c r="L114" s="21"/>
    </row>
    <row r="115" spans="1:12" x14ac:dyDescent="0.2">
      <c r="A115" s="22" t="str">
        <f>"Rental income: "&amp;B66</f>
        <v>Rental income: Gzira</v>
      </c>
      <c r="B115" s="35">
        <v>10000</v>
      </c>
      <c r="D115" s="54" t="s">
        <v>96</v>
      </c>
      <c r="E115" s="53" t="s">
        <v>143</v>
      </c>
      <c r="L115" s="21"/>
    </row>
    <row r="116" spans="1:12" x14ac:dyDescent="0.2">
      <c r="A116" s="22" t="str">
        <f>"Rental income: "&amp;B71</f>
        <v>Rental income: Qormi</v>
      </c>
      <c r="B116" s="35">
        <v>8000</v>
      </c>
      <c r="D116" s="54" t="s">
        <v>96</v>
      </c>
      <c r="E116" s="53" t="s">
        <v>143</v>
      </c>
      <c r="L116" s="21"/>
    </row>
    <row r="117" spans="1:12" x14ac:dyDescent="0.2">
      <c r="A117" s="22" t="str">
        <f>"Rental income: "&amp;B76</f>
        <v>Rental income: Gudja</v>
      </c>
      <c r="B117" s="35">
        <v>5000</v>
      </c>
      <c r="D117" s="54" t="s">
        <v>96</v>
      </c>
      <c r="E117" s="53" t="s">
        <v>143</v>
      </c>
      <c r="L117" s="21"/>
    </row>
    <row r="118" spans="1:12" x14ac:dyDescent="0.2">
      <c r="A118" s="22" t="str">
        <f>"Rental income: "&amp;B81</f>
        <v>Rental income: Marsa</v>
      </c>
      <c r="B118" s="35">
        <v>6500</v>
      </c>
      <c r="D118" s="54" t="s">
        <v>96</v>
      </c>
      <c r="E118" s="53" t="s">
        <v>143</v>
      </c>
      <c r="L118" s="21"/>
    </row>
    <row r="119" spans="1:12" x14ac:dyDescent="0.2">
      <c r="D119" s="54"/>
      <c r="L119" s="21"/>
    </row>
    <row r="120" spans="1:12" x14ac:dyDescent="0.2">
      <c r="A120" s="22" t="s">
        <v>109</v>
      </c>
      <c r="B120" s="35">
        <v>2000</v>
      </c>
      <c r="D120" s="54" t="s">
        <v>131</v>
      </c>
      <c r="L120" s="21"/>
    </row>
    <row r="121" spans="1:12" x14ac:dyDescent="0.2">
      <c r="A121" s="22" t="s">
        <v>14</v>
      </c>
      <c r="B121" s="35">
        <v>58</v>
      </c>
      <c r="D121" s="54"/>
      <c r="E121" s="53" t="s">
        <v>144</v>
      </c>
      <c r="L121" s="21"/>
    </row>
    <row r="122" spans="1:12" x14ac:dyDescent="0.2">
      <c r="D122" s="54"/>
      <c r="L122" s="21"/>
    </row>
    <row r="123" spans="1:12" x14ac:dyDescent="0.2">
      <c r="A123" s="71" t="s">
        <v>198</v>
      </c>
      <c r="B123" s="72"/>
      <c r="D123" s="54"/>
      <c r="L123" s="21"/>
    </row>
    <row r="124" spans="1:12" x14ac:dyDescent="0.2">
      <c r="D124" s="54"/>
      <c r="J124" s="44"/>
      <c r="L124" s="21"/>
    </row>
    <row r="125" spans="1:12" x14ac:dyDescent="0.2">
      <c r="A125" s="22" t="s">
        <v>3</v>
      </c>
      <c r="B125" s="35">
        <v>1000</v>
      </c>
      <c r="D125" s="54" t="s">
        <v>132</v>
      </c>
      <c r="L125" s="21"/>
    </row>
    <row r="126" spans="1:12" x14ac:dyDescent="0.2">
      <c r="D126" s="54"/>
      <c r="L126" s="21"/>
    </row>
    <row r="127" spans="1:12" x14ac:dyDescent="0.2">
      <c r="A127" s="48" t="str">
        <f>B61 &amp; " Property"</f>
        <v>Sliema Property</v>
      </c>
      <c r="F127" s="64"/>
      <c r="G127" s="66"/>
      <c r="J127" s="44"/>
      <c r="L127" s="21"/>
    </row>
    <row r="128" spans="1:12" x14ac:dyDescent="0.2">
      <c r="A128" s="47" t="s">
        <v>37</v>
      </c>
      <c r="B128" s="35">
        <v>50000</v>
      </c>
      <c r="D128" s="54" t="s">
        <v>101</v>
      </c>
      <c r="F128" s="64" t="s">
        <v>84</v>
      </c>
      <c r="G128" s="65">
        <f>IFERROR(NPER(B129/12,-B130,B128),"")</f>
        <v>115.21661015797439</v>
      </c>
      <c r="L128" s="21"/>
    </row>
    <row r="129" spans="1:12" x14ac:dyDescent="0.2">
      <c r="A129" s="47" t="s">
        <v>82</v>
      </c>
      <c r="B129" s="36">
        <v>0.03</v>
      </c>
      <c r="D129" s="54"/>
      <c r="F129" s="64" t="s">
        <v>85</v>
      </c>
      <c r="G129" s="65">
        <f>IFERROR(G128/12,"")</f>
        <v>9.6013841798311983</v>
      </c>
      <c r="L129" s="21"/>
    </row>
    <row r="130" spans="1:12" x14ac:dyDescent="0.2">
      <c r="A130" s="47" t="s">
        <v>83</v>
      </c>
      <c r="B130" s="35">
        <v>500</v>
      </c>
      <c r="D130" s="54"/>
      <c r="G130" s="66"/>
      <c r="J130" s="44"/>
      <c r="L130" s="21"/>
    </row>
    <row r="131" spans="1:12" x14ac:dyDescent="0.2">
      <c r="B131" s="21"/>
      <c r="D131" s="54"/>
      <c r="G131" s="66"/>
      <c r="J131" s="44"/>
      <c r="L131" s="21"/>
    </row>
    <row r="132" spans="1:12" x14ac:dyDescent="0.2">
      <c r="A132" s="48" t="str">
        <f>B66 &amp; " Property"</f>
        <v>Gzira Property</v>
      </c>
      <c r="B132" s="21"/>
      <c r="F132" s="64"/>
      <c r="G132" s="66"/>
      <c r="L132" s="21"/>
    </row>
    <row r="133" spans="1:12" x14ac:dyDescent="0.2">
      <c r="A133" s="47" t="s">
        <v>37</v>
      </c>
      <c r="B133" s="35">
        <v>8500</v>
      </c>
      <c r="D133" s="54" t="s">
        <v>101</v>
      </c>
      <c r="F133" s="64" t="s">
        <v>84</v>
      </c>
      <c r="G133" s="65">
        <f>IFERROR(NPER(B134/12,-B135,B133),"")</f>
        <v>44.117014509786529</v>
      </c>
      <c r="L133" s="21"/>
    </row>
    <row r="134" spans="1:12" x14ac:dyDescent="0.2">
      <c r="A134" s="47" t="s">
        <v>82</v>
      </c>
      <c r="B134" s="36">
        <v>0.02</v>
      </c>
      <c r="D134" s="54"/>
      <c r="F134" s="64" t="s">
        <v>85</v>
      </c>
      <c r="G134" s="65">
        <f>IFERROR(G133/12,"")</f>
        <v>3.6764178758155439</v>
      </c>
      <c r="L134" s="21"/>
    </row>
    <row r="135" spans="1:12" x14ac:dyDescent="0.2">
      <c r="A135" s="47" t="s">
        <v>83</v>
      </c>
      <c r="B135" s="35">
        <v>200</v>
      </c>
      <c r="D135" s="54"/>
      <c r="G135" s="66"/>
      <c r="L135" s="21"/>
    </row>
    <row r="136" spans="1:12" x14ac:dyDescent="0.2">
      <c r="D136" s="54"/>
      <c r="G136" s="66"/>
      <c r="L136" s="21"/>
    </row>
    <row r="137" spans="1:12" x14ac:dyDescent="0.2">
      <c r="A137" s="48" t="str">
        <f>B71&amp; " Property"</f>
        <v>Qormi Property</v>
      </c>
      <c r="B137" s="21"/>
      <c r="F137" s="64"/>
      <c r="G137" s="66"/>
      <c r="L137" s="21"/>
    </row>
    <row r="138" spans="1:12" x14ac:dyDescent="0.2">
      <c r="A138" s="47" t="s">
        <v>37</v>
      </c>
      <c r="B138" s="35">
        <v>15000</v>
      </c>
      <c r="D138" s="54" t="s">
        <v>101</v>
      </c>
      <c r="F138" s="64" t="s">
        <v>84</v>
      </c>
      <c r="G138" s="65">
        <f>IFERROR(NPER(B139/12,-B140,B138),"")</f>
        <v>69.187438742600861</v>
      </c>
      <c r="L138" s="21"/>
    </row>
    <row r="139" spans="1:12" x14ac:dyDescent="0.2">
      <c r="A139" s="47" t="s">
        <v>82</v>
      </c>
      <c r="B139" s="36">
        <v>0.05</v>
      </c>
      <c r="D139" s="54"/>
      <c r="F139" s="64" t="s">
        <v>85</v>
      </c>
      <c r="G139" s="65">
        <f>IFERROR(G138/12,"")</f>
        <v>5.7656198952167381</v>
      </c>
      <c r="J139" s="44"/>
      <c r="L139" s="21"/>
    </row>
    <row r="140" spans="1:12" x14ac:dyDescent="0.2">
      <c r="A140" s="47" t="s">
        <v>83</v>
      </c>
      <c r="B140" s="35">
        <v>250</v>
      </c>
      <c r="D140" s="54"/>
      <c r="G140" s="66"/>
      <c r="J140" s="44"/>
      <c r="L140" s="21"/>
    </row>
    <row r="141" spans="1:12" x14ac:dyDescent="0.2">
      <c r="B141" s="21"/>
      <c r="D141" s="54"/>
      <c r="G141" s="66"/>
      <c r="L141" s="21"/>
    </row>
    <row r="142" spans="1:12" x14ac:dyDescent="0.2">
      <c r="A142" s="48" t="str">
        <f>B76 &amp; " Property"</f>
        <v>Gudja Property</v>
      </c>
      <c r="B142" s="21"/>
      <c r="F142" s="64"/>
      <c r="G142" s="66"/>
      <c r="L142" s="21"/>
    </row>
    <row r="143" spans="1:12" x14ac:dyDescent="0.2">
      <c r="A143" s="47" t="s">
        <v>37</v>
      </c>
      <c r="B143" s="35">
        <v>4680</v>
      </c>
      <c r="D143" s="54" t="s">
        <v>101</v>
      </c>
      <c r="F143" s="64" t="s">
        <v>84</v>
      </c>
      <c r="G143" s="65">
        <f>IFERROR(NPER(B144/12,-B145,B143),"")</f>
        <v>61.603232323170296</v>
      </c>
      <c r="L143" s="21"/>
    </row>
    <row r="144" spans="1:12" x14ac:dyDescent="0.2">
      <c r="A144" s="47" t="s">
        <v>82</v>
      </c>
      <c r="B144" s="36">
        <v>0.02</v>
      </c>
      <c r="D144" s="54"/>
      <c r="F144" s="64" t="s">
        <v>85</v>
      </c>
      <c r="G144" s="65">
        <f>IFERROR(G143/12,"")</f>
        <v>5.133602693597525</v>
      </c>
      <c r="L144" s="21"/>
    </row>
    <row r="145" spans="1:12" x14ac:dyDescent="0.2">
      <c r="A145" s="47" t="s">
        <v>83</v>
      </c>
      <c r="B145" s="35">
        <v>80</v>
      </c>
      <c r="D145" s="54"/>
      <c r="G145" s="66"/>
      <c r="L145" s="21"/>
    </row>
    <row r="146" spans="1:12" x14ac:dyDescent="0.2">
      <c r="D146" s="54"/>
      <c r="G146" s="66"/>
      <c r="L146" s="21"/>
    </row>
    <row r="147" spans="1:12" x14ac:dyDescent="0.2">
      <c r="A147" s="48" t="str">
        <f>B81&amp; " Property"</f>
        <v>Marsa Property</v>
      </c>
      <c r="B147" s="21"/>
      <c r="F147" s="64"/>
      <c r="G147" s="66"/>
      <c r="L147" s="21"/>
    </row>
    <row r="148" spans="1:12" x14ac:dyDescent="0.2">
      <c r="A148" s="47" t="s">
        <v>37</v>
      </c>
      <c r="B148" s="35">
        <v>9524</v>
      </c>
      <c r="D148" s="54" t="s">
        <v>101</v>
      </c>
      <c r="F148" s="64" t="s">
        <v>84</v>
      </c>
      <c r="G148" s="65">
        <f>IFERROR(NPER(B149/12,-B150,B148),"")</f>
        <v>88.577073398502804</v>
      </c>
      <c r="L148" s="21"/>
    </row>
    <row r="149" spans="1:12" x14ac:dyDescent="0.2">
      <c r="A149" s="47" t="s">
        <v>82</v>
      </c>
      <c r="B149" s="36">
        <v>0.03</v>
      </c>
      <c r="D149" s="54"/>
      <c r="F149" s="64" t="s">
        <v>85</v>
      </c>
      <c r="G149" s="65">
        <f>IFERROR(G148/12,"")</f>
        <v>7.381422783208567</v>
      </c>
      <c r="J149" s="44"/>
      <c r="L149" s="21"/>
    </row>
    <row r="150" spans="1:12" x14ac:dyDescent="0.2">
      <c r="A150" s="47" t="s">
        <v>83</v>
      </c>
      <c r="B150" s="35">
        <v>120</v>
      </c>
      <c r="D150" s="54"/>
      <c r="G150" s="66"/>
      <c r="J150" s="44"/>
      <c r="L150" s="21"/>
    </row>
    <row r="151" spans="1:12" x14ac:dyDescent="0.2">
      <c r="B151" s="21"/>
      <c r="D151" s="54"/>
      <c r="G151" s="66"/>
      <c r="L151" s="21"/>
    </row>
    <row r="152" spans="1:12" x14ac:dyDescent="0.2">
      <c r="A152" s="48" t="str">
        <f>B88</f>
        <v>Jewelry</v>
      </c>
      <c r="F152" s="64"/>
      <c r="G152" s="66"/>
      <c r="J152" s="44"/>
      <c r="L152" s="21"/>
    </row>
    <row r="153" spans="1:12" x14ac:dyDescent="0.2">
      <c r="A153" s="47" t="s">
        <v>37</v>
      </c>
      <c r="B153" s="35">
        <v>2500</v>
      </c>
      <c r="D153" s="54" t="s">
        <v>101</v>
      </c>
      <c r="F153" s="64" t="s">
        <v>84</v>
      </c>
      <c r="G153" s="65">
        <f>IFERROR(NPER(B154/12,-B155,B153),"")</f>
        <v>34.848038379600631</v>
      </c>
      <c r="L153" s="21"/>
    </row>
    <row r="154" spans="1:12" x14ac:dyDescent="0.2">
      <c r="A154" s="47" t="s">
        <v>82</v>
      </c>
      <c r="B154" s="36">
        <v>0.03</v>
      </c>
      <c r="D154" s="54"/>
      <c r="F154" s="64" t="s">
        <v>85</v>
      </c>
      <c r="G154" s="65">
        <f>IFERROR(G153/12,"")</f>
        <v>2.9040031983000527</v>
      </c>
      <c r="L154" s="21"/>
    </row>
    <row r="155" spans="1:12" x14ac:dyDescent="0.2">
      <c r="A155" s="47" t="s">
        <v>83</v>
      </c>
      <c r="B155" s="35">
        <v>75</v>
      </c>
      <c r="D155" s="54"/>
      <c r="G155" s="66"/>
      <c r="J155" s="44"/>
      <c r="L155" s="21"/>
    </row>
    <row r="156" spans="1:12" x14ac:dyDescent="0.2">
      <c r="B156" s="21"/>
      <c r="D156" s="54"/>
      <c r="G156" s="66"/>
      <c r="J156" s="44"/>
      <c r="L156" s="21"/>
    </row>
    <row r="157" spans="1:12" x14ac:dyDescent="0.2">
      <c r="A157" s="48" t="str">
        <f>B93</f>
        <v>Car</v>
      </c>
      <c r="B157" s="21"/>
      <c r="F157" s="64"/>
      <c r="G157" s="66"/>
      <c r="L157" s="21"/>
    </row>
    <row r="158" spans="1:12" x14ac:dyDescent="0.2">
      <c r="A158" s="47" t="s">
        <v>37</v>
      </c>
      <c r="B158" s="35">
        <v>6000</v>
      </c>
      <c r="D158" s="54" t="s">
        <v>101</v>
      </c>
      <c r="F158" s="64" t="s">
        <v>84</v>
      </c>
      <c r="G158" s="65">
        <f>IFERROR(NPER(B159/12,-B160,B158),"")</f>
        <v>74.230163403974942</v>
      </c>
      <c r="L158" s="21"/>
    </row>
    <row r="159" spans="1:12" x14ac:dyDescent="0.2">
      <c r="A159" s="47" t="s">
        <v>82</v>
      </c>
      <c r="B159" s="36">
        <v>0.02</v>
      </c>
      <c r="D159" s="54"/>
      <c r="F159" s="64" t="s">
        <v>85</v>
      </c>
      <c r="G159" s="65">
        <f>IFERROR(G158/12,"")</f>
        <v>6.1858469503312454</v>
      </c>
      <c r="L159" s="21"/>
    </row>
    <row r="160" spans="1:12" x14ac:dyDescent="0.2">
      <c r="A160" s="47" t="s">
        <v>83</v>
      </c>
      <c r="B160" s="35">
        <v>86</v>
      </c>
      <c r="D160" s="54"/>
      <c r="G160" s="66"/>
      <c r="L160" s="21"/>
    </row>
    <row r="161" spans="1:12" x14ac:dyDescent="0.2">
      <c r="D161" s="54"/>
      <c r="G161" s="66"/>
      <c r="L161" s="21"/>
    </row>
    <row r="162" spans="1:12" x14ac:dyDescent="0.2">
      <c r="A162" s="48" t="str">
        <f>B98</f>
        <v>Painting</v>
      </c>
      <c r="B162" s="21"/>
      <c r="F162" s="64"/>
      <c r="G162" s="66"/>
      <c r="L162" s="21"/>
    </row>
    <row r="163" spans="1:12" x14ac:dyDescent="0.2">
      <c r="A163" s="47" t="s">
        <v>37</v>
      </c>
      <c r="B163" s="35">
        <v>7500</v>
      </c>
      <c r="D163" s="54" t="s">
        <v>101</v>
      </c>
      <c r="F163" s="64" t="s">
        <v>84</v>
      </c>
      <c r="G163" s="65">
        <f>IFERROR(NPER(B164/12,-B165,B163),"")</f>
        <v>69.187438742600861</v>
      </c>
      <c r="L163" s="21"/>
    </row>
    <row r="164" spans="1:12" x14ac:dyDescent="0.2">
      <c r="A164" s="47" t="s">
        <v>82</v>
      </c>
      <c r="B164" s="36">
        <v>0.05</v>
      </c>
      <c r="D164" s="54"/>
      <c r="F164" s="64" t="s">
        <v>85</v>
      </c>
      <c r="G164" s="65">
        <f>IFERROR(G163/12,"")</f>
        <v>5.7656198952167381</v>
      </c>
      <c r="J164" s="44"/>
      <c r="L164" s="21"/>
    </row>
    <row r="165" spans="1:12" x14ac:dyDescent="0.2">
      <c r="A165" s="47" t="s">
        <v>83</v>
      </c>
      <c r="B165" s="35">
        <v>125</v>
      </c>
      <c r="D165" s="54"/>
      <c r="G165" s="66"/>
      <c r="J165" s="44"/>
      <c r="L165" s="21"/>
    </row>
    <row r="166" spans="1:12" x14ac:dyDescent="0.2">
      <c r="B166" s="21"/>
      <c r="D166" s="54"/>
      <c r="G166" s="66"/>
      <c r="L166" s="21"/>
    </row>
    <row r="167" spans="1:12" x14ac:dyDescent="0.2">
      <c r="A167" s="48" t="str">
        <f>B103</f>
        <v>Boat</v>
      </c>
      <c r="B167" s="21"/>
      <c r="F167" s="64"/>
      <c r="G167" s="66"/>
      <c r="L167" s="21"/>
    </row>
    <row r="168" spans="1:12" x14ac:dyDescent="0.2">
      <c r="A168" s="47" t="s">
        <v>37</v>
      </c>
      <c r="B168" s="35">
        <v>40000</v>
      </c>
      <c r="D168" s="54" t="s">
        <v>101</v>
      </c>
      <c r="F168" s="64" t="s">
        <v>84</v>
      </c>
      <c r="G168" s="65">
        <f>IFERROR(NPER(B169/12,-B170,B168),"")</f>
        <v>77.476430478264689</v>
      </c>
      <c r="L168" s="21"/>
    </row>
    <row r="169" spans="1:12" x14ac:dyDescent="0.2">
      <c r="A169" s="47" t="s">
        <v>82</v>
      </c>
      <c r="B169" s="36">
        <v>0.06</v>
      </c>
      <c r="D169" s="54"/>
      <c r="F169" s="64" t="s">
        <v>85</v>
      </c>
      <c r="G169" s="65">
        <f>IFERROR(G168/12,"")</f>
        <v>6.4563692065220577</v>
      </c>
      <c r="L169" s="21"/>
    </row>
    <row r="170" spans="1:12" x14ac:dyDescent="0.2">
      <c r="A170" s="47" t="s">
        <v>83</v>
      </c>
      <c r="B170" s="35">
        <v>624</v>
      </c>
      <c r="D170" s="54"/>
      <c r="G170" s="66"/>
      <c r="L170" s="21"/>
    </row>
    <row r="171" spans="1:12" x14ac:dyDescent="0.2">
      <c r="D171" s="54"/>
      <c r="G171" s="66"/>
      <c r="L171" s="21"/>
    </row>
    <row r="172" spans="1:12" x14ac:dyDescent="0.2">
      <c r="A172" s="48" t="str">
        <f>B108</f>
        <v>Antiques</v>
      </c>
      <c r="B172" s="21"/>
      <c r="F172" s="64"/>
      <c r="G172" s="66"/>
      <c r="L172" s="21"/>
    </row>
    <row r="173" spans="1:12" x14ac:dyDescent="0.2">
      <c r="A173" s="47" t="s">
        <v>37</v>
      </c>
      <c r="B173" s="35">
        <v>3800</v>
      </c>
      <c r="D173" s="54" t="s">
        <v>101</v>
      </c>
      <c r="F173" s="64" t="s">
        <v>84</v>
      </c>
      <c r="G173" s="65">
        <f>IFERROR(NPER(B174/12,-B175,B173),"")</f>
        <v>36.174197842729725</v>
      </c>
      <c r="L173" s="21"/>
    </row>
    <row r="174" spans="1:12" x14ac:dyDescent="0.2">
      <c r="A174" s="47" t="s">
        <v>82</v>
      </c>
      <c r="B174" s="36">
        <v>0.03</v>
      </c>
      <c r="D174" s="54"/>
      <c r="F174" s="64" t="s">
        <v>85</v>
      </c>
      <c r="G174" s="65">
        <f>IFERROR(G173/12,"")</f>
        <v>3.0145164868941436</v>
      </c>
      <c r="J174" s="44"/>
      <c r="L174" s="21"/>
    </row>
    <row r="175" spans="1:12" x14ac:dyDescent="0.2">
      <c r="A175" s="47" t="s">
        <v>83</v>
      </c>
      <c r="B175" s="35">
        <v>110</v>
      </c>
      <c r="D175" s="54"/>
      <c r="G175" s="66"/>
      <c r="J175" s="44"/>
      <c r="L175" s="21"/>
    </row>
    <row r="176" spans="1:12" x14ac:dyDescent="0.2">
      <c r="B176" s="21"/>
      <c r="D176" s="54"/>
      <c r="G176" s="66"/>
      <c r="L176" s="21"/>
    </row>
    <row r="177" spans="1:12" x14ac:dyDescent="0.2">
      <c r="A177" s="22" t="s">
        <v>33</v>
      </c>
      <c r="D177" s="54"/>
      <c r="F177" s="64"/>
      <c r="G177" s="65"/>
      <c r="L177" s="21"/>
    </row>
    <row r="178" spans="1:12" x14ac:dyDescent="0.2">
      <c r="A178" s="47" t="s">
        <v>37</v>
      </c>
      <c r="B178" s="35">
        <v>4000</v>
      </c>
      <c r="D178" s="54" t="s">
        <v>93</v>
      </c>
      <c r="F178" s="64" t="s">
        <v>84</v>
      </c>
      <c r="G178" s="65">
        <f>IFERROR(NPER(B179/12,-B180,B178),"")</f>
        <v>102.42032525150438</v>
      </c>
      <c r="L178" s="21"/>
    </row>
    <row r="179" spans="1:12" x14ac:dyDescent="0.2">
      <c r="A179" s="47" t="s">
        <v>82</v>
      </c>
      <c r="B179" s="36">
        <v>0.06</v>
      </c>
      <c r="D179" s="54"/>
      <c r="F179" s="64" t="s">
        <v>85</v>
      </c>
      <c r="G179" s="65">
        <f>IFERROR(G178/12,"")</f>
        <v>8.5350271042920323</v>
      </c>
      <c r="L179" s="21"/>
    </row>
    <row r="180" spans="1:12" x14ac:dyDescent="0.2">
      <c r="A180" s="47" t="s">
        <v>83</v>
      </c>
      <c r="B180" s="35">
        <v>50</v>
      </c>
      <c r="D180" s="54"/>
      <c r="E180" s="60"/>
      <c r="L180" s="21"/>
    </row>
    <row r="181" spans="1:12" x14ac:dyDescent="0.2">
      <c r="D181" s="54"/>
      <c r="E181" s="60"/>
      <c r="L181" s="21"/>
    </row>
    <row r="182" spans="1:12" x14ac:dyDescent="0.2">
      <c r="A182" s="71" t="s">
        <v>129</v>
      </c>
      <c r="B182" s="72"/>
      <c r="D182" s="54"/>
      <c r="L182" s="21"/>
    </row>
    <row r="183" spans="1:12" x14ac:dyDescent="0.2">
      <c r="B183" s="34"/>
      <c r="L183" s="21"/>
    </row>
    <row r="184" spans="1:12" s="19" customFormat="1" x14ac:dyDescent="0.2">
      <c r="A184" s="22" t="s">
        <v>98</v>
      </c>
      <c r="B184" s="34"/>
      <c r="C184" s="91"/>
      <c r="D184" s="55"/>
      <c r="E184" s="53"/>
      <c r="F184" s="63"/>
      <c r="G184" s="67"/>
    </row>
    <row r="185" spans="1:12" s="19" customFormat="1" x14ac:dyDescent="0.2">
      <c r="A185" s="47" t="s">
        <v>28</v>
      </c>
      <c r="B185" s="39" t="s">
        <v>158</v>
      </c>
      <c r="C185" s="91"/>
      <c r="D185" s="54" t="s">
        <v>93</v>
      </c>
      <c r="E185" s="53"/>
      <c r="F185" s="63"/>
      <c r="G185" s="67"/>
    </row>
    <row r="186" spans="1:12" s="19" customFormat="1" x14ac:dyDescent="0.2">
      <c r="A186" s="47" t="s">
        <v>45</v>
      </c>
      <c r="B186" s="35">
        <v>50000</v>
      </c>
      <c r="C186" s="91"/>
      <c r="D186" s="54" t="s">
        <v>101</v>
      </c>
      <c r="E186" s="53"/>
      <c r="F186" s="63"/>
      <c r="G186" s="67"/>
    </row>
    <row r="187" spans="1:12" s="19" customFormat="1" x14ac:dyDescent="0.2">
      <c r="A187" s="47" t="s">
        <v>5</v>
      </c>
      <c r="B187" s="38">
        <v>2035</v>
      </c>
      <c r="C187" s="91"/>
      <c r="D187" s="55"/>
      <c r="E187" s="53"/>
      <c r="F187" s="63"/>
      <c r="G187" s="67"/>
    </row>
    <row r="188" spans="1:12" s="19" customFormat="1" x14ac:dyDescent="0.2">
      <c r="A188" s="22"/>
      <c r="B188" s="34"/>
      <c r="C188" s="91"/>
      <c r="D188" s="55"/>
      <c r="E188" s="53"/>
      <c r="F188" s="63"/>
      <c r="G188" s="67"/>
    </row>
    <row r="189" spans="1:12" s="19" customFormat="1" x14ac:dyDescent="0.2">
      <c r="A189" s="22" t="s">
        <v>99</v>
      </c>
      <c r="B189" s="34"/>
      <c r="C189" s="91"/>
      <c r="D189" s="55"/>
      <c r="E189" s="53"/>
      <c r="F189" s="63"/>
      <c r="G189" s="67"/>
    </row>
    <row r="190" spans="1:12" s="19" customFormat="1" x14ac:dyDescent="0.2">
      <c r="A190" s="47" t="s">
        <v>28</v>
      </c>
      <c r="B190" s="39" t="s">
        <v>159</v>
      </c>
      <c r="C190" s="91"/>
      <c r="D190" s="54" t="s">
        <v>93</v>
      </c>
      <c r="E190" s="53"/>
      <c r="F190" s="63"/>
      <c r="G190" s="67"/>
    </row>
    <row r="191" spans="1:12" s="19" customFormat="1" x14ac:dyDescent="0.2">
      <c r="A191" s="47" t="s">
        <v>45</v>
      </c>
      <c r="B191" s="35">
        <v>10000</v>
      </c>
      <c r="C191" s="91"/>
      <c r="D191" s="54" t="s">
        <v>101</v>
      </c>
      <c r="E191" s="53"/>
      <c r="F191" s="63"/>
      <c r="G191" s="67"/>
    </row>
    <row r="192" spans="1:12" s="19" customFormat="1" x14ac:dyDescent="0.2">
      <c r="A192" s="47" t="s">
        <v>5</v>
      </c>
      <c r="B192" s="38">
        <v>2029</v>
      </c>
      <c r="C192" s="91"/>
      <c r="D192" s="55"/>
      <c r="E192" s="53"/>
      <c r="F192" s="63"/>
      <c r="G192" s="67"/>
    </row>
    <row r="193" spans="1:12" s="19" customFormat="1" x14ac:dyDescent="0.2">
      <c r="A193" s="22"/>
      <c r="B193" s="34"/>
      <c r="C193" s="91"/>
      <c r="D193" s="55"/>
      <c r="E193" s="53"/>
      <c r="F193" s="63"/>
      <c r="G193" s="67"/>
    </row>
    <row r="194" spans="1:12" s="19" customFormat="1" x14ac:dyDescent="0.2">
      <c r="A194" s="22" t="s">
        <v>100</v>
      </c>
      <c r="B194" s="34"/>
      <c r="C194" s="91"/>
      <c r="D194" s="55"/>
      <c r="E194" s="53"/>
      <c r="F194" s="63"/>
      <c r="G194" s="67"/>
    </row>
    <row r="195" spans="1:12" s="19" customFormat="1" x14ac:dyDescent="0.2">
      <c r="A195" s="47" t="s">
        <v>28</v>
      </c>
      <c r="B195" s="39" t="s">
        <v>160</v>
      </c>
      <c r="C195" s="91"/>
      <c r="D195" s="54" t="s">
        <v>93</v>
      </c>
      <c r="E195" s="53"/>
      <c r="F195" s="63"/>
      <c r="G195" s="67"/>
    </row>
    <row r="196" spans="1:12" s="19" customFormat="1" x14ac:dyDescent="0.2">
      <c r="A196" s="47" t="s">
        <v>45</v>
      </c>
      <c r="B196" s="35">
        <v>5000</v>
      </c>
      <c r="C196" s="91"/>
      <c r="D196" s="54" t="s">
        <v>101</v>
      </c>
      <c r="E196" s="53"/>
      <c r="F196" s="63"/>
      <c r="G196" s="67"/>
    </row>
    <row r="197" spans="1:12" s="19" customFormat="1" x14ac:dyDescent="0.2">
      <c r="A197" s="47" t="s">
        <v>5</v>
      </c>
      <c r="B197" s="38">
        <v>2032</v>
      </c>
      <c r="C197" s="91"/>
      <c r="D197" s="55"/>
      <c r="E197" s="53"/>
      <c r="F197" s="63"/>
      <c r="G197" s="67"/>
    </row>
    <row r="198" spans="1:12" s="19" customFormat="1" x14ac:dyDescent="0.2">
      <c r="A198" s="22"/>
      <c r="B198" s="34"/>
      <c r="C198" s="91"/>
      <c r="D198" s="55"/>
      <c r="E198" s="53"/>
      <c r="F198" s="63"/>
      <c r="G198" s="67"/>
    </row>
    <row r="199" spans="1:12" x14ac:dyDescent="0.2">
      <c r="A199" s="71" t="s">
        <v>128</v>
      </c>
      <c r="B199" s="73"/>
      <c r="L199" s="21"/>
    </row>
    <row r="200" spans="1:12" x14ac:dyDescent="0.2">
      <c r="A200" s="47"/>
      <c r="B200" s="34"/>
      <c r="L200" s="21"/>
    </row>
    <row r="201" spans="1:12" s="19" customFormat="1" x14ac:dyDescent="0.2">
      <c r="A201" s="22" t="s">
        <v>102</v>
      </c>
      <c r="B201" s="34"/>
      <c r="C201" s="91"/>
      <c r="D201" s="55"/>
      <c r="E201" s="53"/>
      <c r="F201" s="63"/>
      <c r="G201" s="67"/>
    </row>
    <row r="202" spans="1:12" s="19" customFormat="1" x14ac:dyDescent="0.2">
      <c r="A202" s="47" t="s">
        <v>28</v>
      </c>
      <c r="B202" s="39" t="s">
        <v>153</v>
      </c>
      <c r="C202" s="91"/>
      <c r="D202" s="54" t="s">
        <v>93</v>
      </c>
      <c r="E202" s="53"/>
      <c r="F202" s="63"/>
      <c r="G202" s="67"/>
    </row>
    <row r="203" spans="1:12" s="19" customFormat="1" x14ac:dyDescent="0.2">
      <c r="A203" s="47" t="s">
        <v>45</v>
      </c>
      <c r="B203" s="35">
        <v>40000</v>
      </c>
      <c r="C203" s="91"/>
      <c r="D203" s="54" t="s">
        <v>101</v>
      </c>
      <c r="E203" s="53"/>
      <c r="F203" s="63"/>
      <c r="G203" s="67"/>
    </row>
    <row r="204" spans="1:12" s="19" customFormat="1" x14ac:dyDescent="0.2">
      <c r="A204" s="47" t="s">
        <v>5</v>
      </c>
      <c r="B204" s="38">
        <v>2036</v>
      </c>
      <c r="C204" s="91"/>
      <c r="D204" s="55"/>
      <c r="E204" s="53"/>
      <c r="F204" s="63"/>
      <c r="G204" s="67"/>
    </row>
    <row r="205" spans="1:12" s="19" customFormat="1" x14ac:dyDescent="0.2">
      <c r="A205" s="22"/>
      <c r="B205" s="34"/>
      <c r="C205" s="91"/>
      <c r="D205" s="55"/>
      <c r="E205" s="53"/>
      <c r="F205" s="63"/>
      <c r="G205" s="67"/>
    </row>
    <row r="206" spans="1:12" s="19" customFormat="1" x14ac:dyDescent="0.2">
      <c r="A206" s="22" t="s">
        <v>103</v>
      </c>
      <c r="B206" s="34"/>
      <c r="C206" s="91"/>
      <c r="D206" s="55"/>
      <c r="E206" s="53"/>
      <c r="F206" s="63"/>
      <c r="G206" s="67"/>
    </row>
    <row r="207" spans="1:12" s="19" customFormat="1" x14ac:dyDescent="0.2">
      <c r="A207" s="47" t="s">
        <v>28</v>
      </c>
      <c r="B207" s="39" t="s">
        <v>161</v>
      </c>
      <c r="C207" s="91"/>
      <c r="D207" s="54" t="s">
        <v>93</v>
      </c>
      <c r="E207" s="53"/>
      <c r="F207" s="63"/>
      <c r="G207" s="67"/>
    </row>
    <row r="208" spans="1:12" s="19" customFormat="1" x14ac:dyDescent="0.2">
      <c r="A208" s="47" t="s">
        <v>45</v>
      </c>
      <c r="B208" s="35">
        <v>35000</v>
      </c>
      <c r="C208" s="91"/>
      <c r="D208" s="54" t="s">
        <v>101</v>
      </c>
      <c r="E208" s="53"/>
      <c r="F208" s="63"/>
      <c r="G208" s="67"/>
    </row>
    <row r="209" spans="1:12" s="19" customFormat="1" x14ac:dyDescent="0.2">
      <c r="A209" s="47" t="s">
        <v>5</v>
      </c>
      <c r="B209" s="38">
        <v>2029</v>
      </c>
      <c r="C209" s="91"/>
      <c r="D209" s="55"/>
      <c r="E209" s="53"/>
      <c r="F209" s="63"/>
      <c r="G209" s="67"/>
    </row>
    <row r="210" spans="1:12" x14ac:dyDescent="0.2">
      <c r="B210" s="34"/>
      <c r="L210" s="21"/>
    </row>
    <row r="211" spans="1:12" x14ac:dyDescent="0.2">
      <c r="A211" s="22" t="s">
        <v>104</v>
      </c>
      <c r="B211" s="34"/>
      <c r="L211" s="21"/>
    </row>
    <row r="212" spans="1:12" x14ac:dyDescent="0.2">
      <c r="A212" s="47" t="s">
        <v>28</v>
      </c>
      <c r="B212" s="39" t="s">
        <v>162</v>
      </c>
      <c r="D212" s="54" t="s">
        <v>93</v>
      </c>
      <c r="L212" s="21"/>
    </row>
    <row r="213" spans="1:12" x14ac:dyDescent="0.2">
      <c r="A213" s="47" t="s">
        <v>45</v>
      </c>
      <c r="B213" s="35">
        <v>15000</v>
      </c>
      <c r="D213" s="54" t="s">
        <v>101</v>
      </c>
      <c r="L213" s="21"/>
    </row>
    <row r="214" spans="1:12" x14ac:dyDescent="0.2">
      <c r="A214" s="47" t="s">
        <v>5</v>
      </c>
      <c r="B214" s="38">
        <v>2034</v>
      </c>
      <c r="L214" s="21"/>
    </row>
    <row r="215" spans="1:12" x14ac:dyDescent="0.2">
      <c r="A215" s="47"/>
      <c r="D215" s="54"/>
      <c r="L215" s="21"/>
    </row>
    <row r="216" spans="1:12" x14ac:dyDescent="0.2">
      <c r="A216" s="71" t="s">
        <v>215</v>
      </c>
      <c r="B216" s="73"/>
      <c r="D216" s="54"/>
      <c r="L216" s="21"/>
    </row>
    <row r="217" spans="1:12" x14ac:dyDescent="0.2">
      <c r="A217" s="47"/>
      <c r="D217" s="54"/>
      <c r="L217" s="21"/>
    </row>
    <row r="218" spans="1:12" x14ac:dyDescent="0.2">
      <c r="A218" s="47" t="s">
        <v>5</v>
      </c>
      <c r="B218" s="39">
        <v>2030</v>
      </c>
      <c r="D218" s="54"/>
      <c r="L218" s="21"/>
    </row>
    <row r="219" spans="1:12" x14ac:dyDescent="0.2">
      <c r="A219" s="47"/>
      <c r="D219" s="54"/>
      <c r="L219" s="21"/>
    </row>
    <row r="220" spans="1:12" x14ac:dyDescent="0.2">
      <c r="A220" s="47" t="s">
        <v>216</v>
      </c>
      <c r="B220" s="39" t="s">
        <v>217</v>
      </c>
      <c r="D220" s="54"/>
      <c r="L220" s="21"/>
    </row>
    <row r="221" spans="1:12" x14ac:dyDescent="0.2">
      <c r="A221" s="47"/>
      <c r="D221" s="54"/>
      <c r="L221" s="21"/>
    </row>
    <row r="222" spans="1:12" x14ac:dyDescent="0.2">
      <c r="A222" s="47" t="s">
        <v>218</v>
      </c>
      <c r="B222" s="35">
        <v>250000</v>
      </c>
      <c r="D222" s="54" t="s">
        <v>224</v>
      </c>
      <c r="L222" s="21"/>
    </row>
    <row r="223" spans="1:12" x14ac:dyDescent="0.2">
      <c r="A223" s="47"/>
      <c r="D223" s="54"/>
      <c r="L223" s="21"/>
    </row>
    <row r="224" spans="1:12" x14ac:dyDescent="0.2">
      <c r="A224" s="47" t="s">
        <v>220</v>
      </c>
      <c r="B224" s="35"/>
      <c r="D224" s="54"/>
      <c r="E224" s="53" t="s">
        <v>219</v>
      </c>
      <c r="L224" s="21"/>
    </row>
    <row r="225" spans="1:12" x14ac:dyDescent="0.2">
      <c r="A225" s="47"/>
      <c r="D225" s="54"/>
      <c r="L225" s="21"/>
    </row>
    <row r="226" spans="1:12" x14ac:dyDescent="0.2">
      <c r="A226" s="71" t="s">
        <v>205</v>
      </c>
      <c r="B226" s="73"/>
      <c r="D226" s="54"/>
      <c r="L226" s="21"/>
    </row>
    <row r="227" spans="1:12" x14ac:dyDescent="0.2">
      <c r="A227" s="47"/>
      <c r="D227" s="54"/>
      <c r="L227" s="21"/>
    </row>
    <row r="228" spans="1:12" x14ac:dyDescent="0.2">
      <c r="A228" s="22" t="s">
        <v>206</v>
      </c>
      <c r="B228" s="34"/>
      <c r="D228" s="54"/>
      <c r="L228" s="21"/>
    </row>
    <row r="229" spans="1:12" x14ac:dyDescent="0.2">
      <c r="A229" s="47" t="s">
        <v>5</v>
      </c>
      <c r="B229" s="39">
        <v>2027</v>
      </c>
      <c r="D229" s="54"/>
      <c r="L229" s="21"/>
    </row>
    <row r="230" spans="1:12" x14ac:dyDescent="0.2">
      <c r="A230" s="47" t="s">
        <v>207</v>
      </c>
      <c r="B230" s="36">
        <v>0.15</v>
      </c>
      <c r="D230" s="54"/>
      <c r="E230" s="53" t="s">
        <v>211</v>
      </c>
      <c r="L230" s="21"/>
    </row>
    <row r="231" spans="1:12" x14ac:dyDescent="0.2">
      <c r="A231" s="47" t="s">
        <v>208</v>
      </c>
      <c r="B231" s="38">
        <v>1</v>
      </c>
      <c r="D231" s="54" t="s">
        <v>214</v>
      </c>
      <c r="L231" s="21"/>
    </row>
    <row r="232" spans="1:12" x14ac:dyDescent="0.2">
      <c r="A232" s="47"/>
      <c r="D232" s="54"/>
      <c r="L232" s="21"/>
    </row>
    <row r="233" spans="1:12" x14ac:dyDescent="0.2">
      <c r="A233" s="22" t="s">
        <v>209</v>
      </c>
      <c r="B233" s="34"/>
      <c r="D233" s="54"/>
      <c r="L233" s="21"/>
    </row>
    <row r="234" spans="1:12" x14ac:dyDescent="0.2">
      <c r="A234" s="47" t="s">
        <v>5</v>
      </c>
      <c r="B234" s="39">
        <v>2032</v>
      </c>
      <c r="D234" s="54"/>
      <c r="L234" s="21"/>
    </row>
    <row r="235" spans="1:12" x14ac:dyDescent="0.2">
      <c r="A235" s="47" t="s">
        <v>207</v>
      </c>
      <c r="B235" s="36">
        <v>0.2</v>
      </c>
      <c r="D235" s="54"/>
      <c r="E235" s="53" t="s">
        <v>211</v>
      </c>
      <c r="L235" s="21"/>
    </row>
    <row r="236" spans="1:12" x14ac:dyDescent="0.2">
      <c r="A236" s="47" t="s">
        <v>208</v>
      </c>
      <c r="B236" s="38">
        <v>3</v>
      </c>
      <c r="D236" s="54" t="s">
        <v>214</v>
      </c>
      <c r="L236" s="21"/>
    </row>
    <row r="237" spans="1:12" x14ac:dyDescent="0.2">
      <c r="A237" s="47"/>
      <c r="D237" s="54"/>
      <c r="L237" s="21"/>
    </row>
    <row r="238" spans="1:12" x14ac:dyDescent="0.2">
      <c r="A238" s="22" t="s">
        <v>210</v>
      </c>
      <c r="B238" s="34"/>
      <c r="D238" s="54"/>
      <c r="L238" s="21"/>
    </row>
    <row r="239" spans="1:12" x14ac:dyDescent="0.2">
      <c r="A239" s="47" t="s">
        <v>5</v>
      </c>
      <c r="B239" s="39">
        <v>2037</v>
      </c>
      <c r="D239" s="54"/>
      <c r="L239" s="21"/>
    </row>
    <row r="240" spans="1:12" x14ac:dyDescent="0.2">
      <c r="A240" s="47" t="s">
        <v>207</v>
      </c>
      <c r="B240" s="36">
        <v>0.08</v>
      </c>
      <c r="D240" s="54"/>
      <c r="E240" s="53" t="s">
        <v>211</v>
      </c>
      <c r="L240" s="21"/>
    </row>
    <row r="241" spans="1:12" x14ac:dyDescent="0.2">
      <c r="A241" s="47" t="s">
        <v>208</v>
      </c>
      <c r="B241" s="38">
        <v>3</v>
      </c>
      <c r="D241" s="54" t="s">
        <v>214</v>
      </c>
      <c r="L241" s="21"/>
    </row>
    <row r="242" spans="1:12" x14ac:dyDescent="0.2">
      <c r="A242" s="47"/>
      <c r="D242" s="54"/>
      <c r="L242" s="21"/>
    </row>
    <row r="243" spans="1:12" x14ac:dyDescent="0.2">
      <c r="A243" s="22" t="s">
        <v>212</v>
      </c>
      <c r="B243" s="34"/>
      <c r="D243" s="54"/>
      <c r="L243" s="21"/>
    </row>
    <row r="244" spans="1:12" x14ac:dyDescent="0.2">
      <c r="A244" s="47" t="s">
        <v>5</v>
      </c>
      <c r="B244" s="39">
        <v>2045</v>
      </c>
      <c r="D244" s="54"/>
      <c r="L244" s="21"/>
    </row>
    <row r="245" spans="1:12" x14ac:dyDescent="0.2">
      <c r="A245" s="47" t="s">
        <v>207</v>
      </c>
      <c r="B245" s="36">
        <v>0.18</v>
      </c>
      <c r="D245" s="54"/>
      <c r="E245" s="53" t="s">
        <v>211</v>
      </c>
      <c r="L245" s="21"/>
    </row>
    <row r="246" spans="1:12" x14ac:dyDescent="0.2">
      <c r="A246" s="47" t="s">
        <v>208</v>
      </c>
      <c r="B246" s="38">
        <v>2</v>
      </c>
      <c r="D246" s="54" t="s">
        <v>214</v>
      </c>
      <c r="L246" s="21"/>
    </row>
    <row r="247" spans="1:12" x14ac:dyDescent="0.2">
      <c r="A247" s="47"/>
      <c r="D247" s="54"/>
      <c r="L247" s="21"/>
    </row>
    <row r="248" spans="1:12" x14ac:dyDescent="0.2">
      <c r="A248" s="22" t="s">
        <v>213</v>
      </c>
      <c r="B248" s="34"/>
      <c r="D248" s="54"/>
      <c r="L248" s="21"/>
    </row>
    <row r="249" spans="1:12" x14ac:dyDescent="0.2">
      <c r="A249" s="47" t="s">
        <v>5</v>
      </c>
      <c r="B249" s="39">
        <v>2050</v>
      </c>
      <c r="D249" s="54"/>
      <c r="L249" s="21"/>
    </row>
    <row r="250" spans="1:12" x14ac:dyDescent="0.2">
      <c r="A250" s="47" t="s">
        <v>207</v>
      </c>
      <c r="B250" s="36">
        <v>0.28000000000000003</v>
      </c>
      <c r="D250" s="54"/>
      <c r="E250" s="53" t="s">
        <v>211</v>
      </c>
      <c r="L250" s="21"/>
    </row>
    <row r="251" spans="1:12" x14ac:dyDescent="0.2">
      <c r="A251" s="47" t="s">
        <v>208</v>
      </c>
      <c r="B251" s="38">
        <v>6</v>
      </c>
      <c r="D251" s="54" t="s">
        <v>214</v>
      </c>
      <c r="L251" s="21"/>
    </row>
    <row r="252" spans="1:12" x14ac:dyDescent="0.2">
      <c r="A252" s="47"/>
      <c r="D252" s="54"/>
      <c r="L252" s="21"/>
    </row>
    <row r="253" spans="1:12" ht="19" x14ac:dyDescent="0.25">
      <c r="A253" s="74" t="s">
        <v>110</v>
      </c>
      <c r="B253" s="75"/>
      <c r="C253" s="92" t="s">
        <v>138</v>
      </c>
      <c r="D253" s="54"/>
      <c r="E253" s="53" t="s">
        <v>140</v>
      </c>
      <c r="L253" s="21"/>
    </row>
    <row r="254" spans="1:12" x14ac:dyDescent="0.2">
      <c r="D254" s="54"/>
      <c r="L254" s="21"/>
    </row>
    <row r="255" spans="1:12" x14ac:dyDescent="0.2">
      <c r="A255" s="18" t="s">
        <v>38</v>
      </c>
      <c r="B255" s="35">
        <v>85</v>
      </c>
      <c r="C255" s="93">
        <v>85</v>
      </c>
      <c r="L255" s="21"/>
    </row>
    <row r="256" spans="1:12" x14ac:dyDescent="0.2">
      <c r="A256" s="18"/>
      <c r="C256" s="91"/>
      <c r="D256" s="54"/>
      <c r="L256" s="21"/>
    </row>
    <row r="257" spans="1:12" s="19" customFormat="1" x14ac:dyDescent="0.2">
      <c r="A257" s="18" t="s">
        <v>56</v>
      </c>
      <c r="C257" s="91"/>
      <c r="D257" s="55"/>
      <c r="E257" s="53"/>
      <c r="F257" s="63"/>
      <c r="G257" s="67"/>
    </row>
    <row r="258" spans="1:12" s="19" customFormat="1" x14ac:dyDescent="0.2">
      <c r="A258" s="22" t="s">
        <v>66</v>
      </c>
      <c r="B258" s="40">
        <v>0</v>
      </c>
      <c r="C258" s="94">
        <v>0</v>
      </c>
      <c r="D258" s="56" t="s">
        <v>4</v>
      </c>
      <c r="E258" s="53"/>
      <c r="F258" s="63"/>
      <c r="G258" s="67"/>
    </row>
    <row r="259" spans="1:12" s="19" customFormat="1" x14ac:dyDescent="0.2">
      <c r="A259" s="22" t="s">
        <v>54</v>
      </c>
      <c r="B259" s="40">
        <v>-0.1</v>
      </c>
      <c r="C259" s="94">
        <v>-0.1</v>
      </c>
      <c r="D259" s="56" t="s">
        <v>4</v>
      </c>
      <c r="E259" s="53"/>
      <c r="F259" s="63"/>
      <c r="G259" s="67"/>
    </row>
    <row r="260" spans="1:12" s="19" customFormat="1" x14ac:dyDescent="0.2">
      <c r="A260" s="22" t="s">
        <v>55</v>
      </c>
      <c r="B260" s="40">
        <v>-0.2</v>
      </c>
      <c r="C260" s="94">
        <v>-0.2</v>
      </c>
      <c r="D260" s="56" t="s">
        <v>4</v>
      </c>
      <c r="E260" s="53"/>
      <c r="F260" s="63"/>
      <c r="G260" s="67"/>
    </row>
    <row r="261" spans="1:12" x14ac:dyDescent="0.2">
      <c r="C261" s="91"/>
      <c r="L261" s="21"/>
    </row>
    <row r="262" spans="1:12" x14ac:dyDescent="0.2">
      <c r="A262" s="18" t="s">
        <v>47</v>
      </c>
      <c r="B262" s="35">
        <v>12000</v>
      </c>
      <c r="C262" s="93"/>
      <c r="D262" s="54" t="s">
        <v>101</v>
      </c>
      <c r="L262" s="21"/>
    </row>
    <row r="263" spans="1:12" x14ac:dyDescent="0.2">
      <c r="A263" s="22" t="s">
        <v>117</v>
      </c>
      <c r="B263" s="35">
        <v>58</v>
      </c>
      <c r="C263" s="93"/>
      <c r="D263" s="54"/>
      <c r="L263" s="21"/>
    </row>
    <row r="264" spans="1:12" x14ac:dyDescent="0.2">
      <c r="A264" s="22" t="s">
        <v>118</v>
      </c>
      <c r="B264" s="35">
        <v>69</v>
      </c>
      <c r="C264" s="93"/>
      <c r="D264" s="54"/>
      <c r="E264" s="53" t="s">
        <v>150</v>
      </c>
      <c r="L264" s="21"/>
    </row>
    <row r="265" spans="1:12" x14ac:dyDescent="0.2">
      <c r="C265" s="91"/>
      <c r="D265" s="54"/>
      <c r="L265" s="21"/>
    </row>
    <row r="266" spans="1:12" x14ac:dyDescent="0.2">
      <c r="A266" s="18" t="s">
        <v>171</v>
      </c>
      <c r="B266" s="36">
        <v>2.5000000000000001E-2</v>
      </c>
      <c r="C266" s="95">
        <v>2.5000000000000001E-2</v>
      </c>
      <c r="L266" s="21"/>
    </row>
    <row r="267" spans="1:12" x14ac:dyDescent="0.2">
      <c r="C267" s="91"/>
      <c r="D267" s="54"/>
      <c r="L267" s="21"/>
    </row>
    <row r="268" spans="1:12" x14ac:dyDescent="0.2">
      <c r="A268" s="18" t="s">
        <v>115</v>
      </c>
      <c r="B268" s="36">
        <v>0.03</v>
      </c>
      <c r="C268" s="95">
        <v>0.03</v>
      </c>
      <c r="D268" s="54" t="s">
        <v>91</v>
      </c>
      <c r="L268" s="21"/>
    </row>
    <row r="269" spans="1:12" x14ac:dyDescent="0.2">
      <c r="C269" s="91"/>
      <c r="D269" s="54"/>
      <c r="L269" s="21"/>
    </row>
    <row r="270" spans="1:12" x14ac:dyDescent="0.2">
      <c r="A270" s="18" t="s">
        <v>111</v>
      </c>
      <c r="B270" s="41">
        <v>2.5000000000000001E-2</v>
      </c>
      <c r="C270" s="96">
        <v>2.5000000000000001E-2</v>
      </c>
      <c r="D270" s="54" t="s">
        <v>91</v>
      </c>
      <c r="L270" s="21"/>
    </row>
    <row r="271" spans="1:12" x14ac:dyDescent="0.2">
      <c r="C271" s="91"/>
      <c r="D271" s="54"/>
      <c r="L271" s="21"/>
    </row>
    <row r="272" spans="1:12" x14ac:dyDescent="0.2">
      <c r="A272" s="18" t="s">
        <v>112</v>
      </c>
      <c r="B272" s="42">
        <v>0.08</v>
      </c>
      <c r="C272" s="97">
        <v>0.08</v>
      </c>
      <c r="D272" s="54" t="s">
        <v>91</v>
      </c>
      <c r="L272" s="21"/>
    </row>
    <row r="273" spans="1:13" x14ac:dyDescent="0.2">
      <c r="C273" s="91"/>
      <c r="D273" s="54"/>
      <c r="L273" s="21"/>
    </row>
    <row r="274" spans="1:13" x14ac:dyDescent="0.2">
      <c r="A274" s="18" t="s">
        <v>114</v>
      </c>
      <c r="B274" s="40">
        <v>0.03</v>
      </c>
      <c r="C274" s="94">
        <v>0.03</v>
      </c>
      <c r="D274" s="54" t="s">
        <v>91</v>
      </c>
      <c r="L274" s="21"/>
    </row>
    <row r="275" spans="1:13" x14ac:dyDescent="0.2">
      <c r="C275" s="91"/>
      <c r="D275" s="54"/>
      <c r="L275" s="21"/>
    </row>
    <row r="276" spans="1:13" x14ac:dyDescent="0.2">
      <c r="A276" s="18" t="s">
        <v>113</v>
      </c>
      <c r="B276" s="40">
        <v>0.03</v>
      </c>
      <c r="C276" s="94">
        <v>0.03</v>
      </c>
      <c r="L276" s="21"/>
    </row>
    <row r="277" spans="1:13" x14ac:dyDescent="0.2">
      <c r="C277" s="91"/>
      <c r="D277" s="54"/>
      <c r="L277" s="21"/>
    </row>
    <row r="278" spans="1:13" ht="17" x14ac:dyDescent="0.2">
      <c r="A278" s="49" t="s">
        <v>116</v>
      </c>
      <c r="B278" s="35">
        <v>300</v>
      </c>
      <c r="C278" s="93">
        <v>300</v>
      </c>
      <c r="D278" s="54" t="s">
        <v>122</v>
      </c>
      <c r="L278" s="21"/>
    </row>
    <row r="279" spans="1:13" x14ac:dyDescent="0.2">
      <c r="A279" s="18"/>
      <c r="C279" s="91"/>
      <c r="D279" s="54"/>
      <c r="L279" s="21"/>
    </row>
    <row r="280" spans="1:13" x14ac:dyDescent="0.2">
      <c r="A280" s="18" t="s">
        <v>69</v>
      </c>
      <c r="B280" s="35">
        <v>50000</v>
      </c>
      <c r="C280" s="93">
        <v>20000</v>
      </c>
      <c r="D280" s="54" t="s">
        <v>121</v>
      </c>
      <c r="L280" s="21"/>
    </row>
    <row r="281" spans="1:13" x14ac:dyDescent="0.2">
      <c r="C281" s="91"/>
      <c r="D281" s="54"/>
      <c r="L281" s="21"/>
    </row>
    <row r="282" spans="1:13" x14ac:dyDescent="0.2">
      <c r="A282" s="18" t="s">
        <v>175</v>
      </c>
      <c r="B282" s="35">
        <v>1000000</v>
      </c>
      <c r="C282" s="93">
        <v>0</v>
      </c>
      <c r="D282" s="54" t="s">
        <v>176</v>
      </c>
      <c r="L282" s="21"/>
    </row>
    <row r="283" spans="1:13" x14ac:dyDescent="0.2">
      <c r="C283" s="91"/>
      <c r="D283" s="54"/>
      <c r="L283" s="21"/>
    </row>
    <row r="284" spans="1:13" x14ac:dyDescent="0.2">
      <c r="A284" s="18" t="s">
        <v>124</v>
      </c>
      <c r="B284" s="40">
        <v>0.05</v>
      </c>
      <c r="C284" s="94">
        <v>0.05</v>
      </c>
      <c r="D284" s="54" t="s">
        <v>123</v>
      </c>
      <c r="L284" s="21"/>
    </row>
    <row r="285" spans="1:13" x14ac:dyDescent="0.2">
      <c r="A285" s="47"/>
      <c r="C285" s="91"/>
      <c r="L285" s="21"/>
    </row>
    <row r="286" spans="1:13" x14ac:dyDescent="0.2">
      <c r="A286" s="18" t="s">
        <v>125</v>
      </c>
      <c r="B286" s="40">
        <v>0.15</v>
      </c>
      <c r="C286" s="94">
        <v>0.15</v>
      </c>
      <c r="D286" s="54" t="s">
        <v>126</v>
      </c>
      <c r="L286" s="21"/>
    </row>
    <row r="287" spans="1:13" x14ac:dyDescent="0.2">
      <c r="C287" s="91"/>
      <c r="L287" s="21"/>
      <c r="M287" s="19"/>
    </row>
    <row r="288" spans="1:13" x14ac:dyDescent="0.2">
      <c r="A288" s="18" t="s">
        <v>200</v>
      </c>
      <c r="B288" s="40">
        <v>0.02</v>
      </c>
      <c r="C288" s="94">
        <v>0.02</v>
      </c>
      <c r="D288" s="54" t="s">
        <v>201</v>
      </c>
      <c r="L288" s="21"/>
      <c r="M288" s="19"/>
    </row>
    <row r="289" spans="1:13" x14ac:dyDescent="0.2">
      <c r="C289" s="91"/>
      <c r="L289" s="21"/>
      <c r="M289" s="19"/>
    </row>
    <row r="290" spans="1:13" ht="17" x14ac:dyDescent="0.2">
      <c r="A290" s="49" t="s">
        <v>192</v>
      </c>
      <c r="C290" s="91"/>
      <c r="D290" s="57"/>
      <c r="L290" s="21"/>
      <c r="M290" s="19"/>
    </row>
    <row r="291" spans="1:13" x14ac:dyDescent="0.2">
      <c r="A291" s="50" t="str">
        <f>B61</f>
        <v>Sliema</v>
      </c>
      <c r="B291" s="43">
        <v>10</v>
      </c>
      <c r="C291" s="91">
        <f>IF(F291&lt;=0,"",_xlfn.RANK.EQ(F291,$F$291:$F$300,1)-COUNTIF($F$291:$F$300,0))</f>
        <v>10</v>
      </c>
      <c r="D291" s="54" t="s">
        <v>127</v>
      </c>
      <c r="F291" s="67">
        <f>B62</f>
        <v>300000</v>
      </c>
      <c r="L291" s="21"/>
    </row>
    <row r="292" spans="1:13" x14ac:dyDescent="0.2">
      <c r="A292" s="50" t="str">
        <f>B66</f>
        <v>Gzira</v>
      </c>
      <c r="B292" s="43">
        <v>7</v>
      </c>
      <c r="C292" s="91">
        <f t="shared" ref="C292:C300" si="0">IF(F292&lt;=0,"",_xlfn.RANK.EQ(F292,$F$291:$F$300,1)-COUNTIF($F$291:$F$300,0))</f>
        <v>7</v>
      </c>
      <c r="D292" s="58"/>
      <c r="F292" s="67">
        <f>B67</f>
        <v>150000</v>
      </c>
      <c r="L292" s="21"/>
    </row>
    <row r="293" spans="1:13" x14ac:dyDescent="0.2">
      <c r="A293" s="50" t="str">
        <f>B71</f>
        <v>Qormi</v>
      </c>
      <c r="B293" s="43">
        <v>9</v>
      </c>
      <c r="C293" s="91">
        <f t="shared" si="0"/>
        <v>9</v>
      </c>
      <c r="D293" s="58"/>
      <c r="F293" s="67">
        <f>B72</f>
        <v>220000</v>
      </c>
      <c r="L293" s="21"/>
    </row>
    <row r="294" spans="1:13" x14ac:dyDescent="0.2">
      <c r="A294" s="50" t="str">
        <f>B76</f>
        <v>Gudja</v>
      </c>
      <c r="B294" s="43">
        <v>4</v>
      </c>
      <c r="C294" s="91">
        <f t="shared" si="0"/>
        <v>4</v>
      </c>
      <c r="D294" s="58"/>
      <c r="F294" s="68">
        <f>B77</f>
        <v>80000</v>
      </c>
      <c r="L294" s="21"/>
    </row>
    <row r="295" spans="1:13" x14ac:dyDescent="0.2">
      <c r="A295" s="50" t="str">
        <f>B81</f>
        <v>Marsa</v>
      </c>
      <c r="B295" s="43">
        <v>6</v>
      </c>
      <c r="C295" s="91">
        <f t="shared" si="0"/>
        <v>6</v>
      </c>
      <c r="D295" s="58"/>
      <c r="F295" s="68">
        <f>B82</f>
        <v>120000</v>
      </c>
      <c r="L295" s="21"/>
    </row>
    <row r="296" spans="1:13" x14ac:dyDescent="0.2">
      <c r="A296" s="50" t="str">
        <f>B88</f>
        <v>Jewelry</v>
      </c>
      <c r="B296" s="43">
        <v>3</v>
      </c>
      <c r="C296" s="91">
        <f t="shared" si="0"/>
        <v>3</v>
      </c>
      <c r="D296" s="58"/>
      <c r="F296" s="68">
        <f>B89</f>
        <v>50000</v>
      </c>
      <c r="L296" s="21"/>
    </row>
    <row r="297" spans="1:13" x14ac:dyDescent="0.2">
      <c r="A297" s="50" t="str">
        <f>B93</f>
        <v>Car</v>
      </c>
      <c r="B297" s="43">
        <v>2</v>
      </c>
      <c r="C297" s="91">
        <f t="shared" si="0"/>
        <v>2</v>
      </c>
      <c r="D297" s="58"/>
      <c r="F297" s="68">
        <f>B94</f>
        <v>40000</v>
      </c>
      <c r="L297" s="21"/>
    </row>
    <row r="298" spans="1:13" x14ac:dyDescent="0.2">
      <c r="A298" s="50" t="str">
        <f>B98</f>
        <v>Painting</v>
      </c>
      <c r="B298" s="43">
        <v>1</v>
      </c>
      <c r="C298" s="91">
        <f t="shared" si="0"/>
        <v>1</v>
      </c>
      <c r="D298" s="58"/>
      <c r="F298" s="68">
        <f>B99</f>
        <v>20000</v>
      </c>
      <c r="L298" s="21"/>
    </row>
    <row r="299" spans="1:13" x14ac:dyDescent="0.2">
      <c r="A299" s="50" t="str">
        <f>B103</f>
        <v>Boat</v>
      </c>
      <c r="B299" s="43">
        <v>8</v>
      </c>
      <c r="C299" s="91">
        <f t="shared" si="0"/>
        <v>8</v>
      </c>
      <c r="D299" s="58"/>
      <c r="F299" s="68">
        <f>B104</f>
        <v>180000</v>
      </c>
      <c r="L299" s="21"/>
    </row>
    <row r="300" spans="1:13" x14ac:dyDescent="0.2">
      <c r="A300" s="50" t="str">
        <f>B108</f>
        <v>Antiques</v>
      </c>
      <c r="B300" s="43">
        <v>5</v>
      </c>
      <c r="C300" s="91">
        <f t="shared" si="0"/>
        <v>5</v>
      </c>
      <c r="D300" s="58"/>
      <c r="F300" s="68">
        <f>B109</f>
        <v>82000</v>
      </c>
      <c r="L300" s="21"/>
    </row>
    <row r="301" spans="1:13" x14ac:dyDescent="0.2">
      <c r="A301" s="69"/>
      <c r="B301" s="33"/>
      <c r="C301" s="98"/>
      <c r="L301" s="21"/>
    </row>
    <row r="302" spans="1:13" x14ac:dyDescent="0.2">
      <c r="L302" s="21"/>
    </row>
    <row r="303" spans="1:13" x14ac:dyDescent="0.2">
      <c r="A303" s="34" t="s">
        <v>172</v>
      </c>
      <c r="B303" s="19">
        <f ca="1">13-MONTH(TODAY())</f>
        <v>9</v>
      </c>
      <c r="D303" s="21"/>
      <c r="L303" s="21"/>
    </row>
    <row r="304" spans="1:13" x14ac:dyDescent="0.2">
      <c r="A304" s="34" t="s">
        <v>173</v>
      </c>
      <c r="B304" s="19">
        <f ca="1">B303-12</f>
        <v>-3</v>
      </c>
      <c r="L304" s="21"/>
    </row>
    <row r="305" spans="1:12" x14ac:dyDescent="0.2">
      <c r="A305" s="34" t="s">
        <v>174</v>
      </c>
      <c r="B305" s="70">
        <f ca="1">B303/12</f>
        <v>0.75</v>
      </c>
      <c r="L305" s="21"/>
    </row>
    <row r="306" spans="1:12" x14ac:dyDescent="0.2">
      <c r="A306" s="34"/>
      <c r="L306" s="21"/>
    </row>
    <row r="307" spans="1:12" x14ac:dyDescent="0.2">
      <c r="A307" s="34" t="s">
        <v>202</v>
      </c>
      <c r="B307" s="19" t="s">
        <v>23</v>
      </c>
      <c r="C307" s="91" t="s">
        <v>203</v>
      </c>
    </row>
    <row r="308" spans="1:12" x14ac:dyDescent="0.2">
      <c r="A308" s="82" t="str">
        <f>A291</f>
        <v>Sliema</v>
      </c>
      <c r="B308" s="81">
        <f>princ</f>
        <v>0.03</v>
      </c>
      <c r="C308" s="99" cm="1">
        <f t="array" ref="C308">DCprop</f>
        <v>0.15</v>
      </c>
    </row>
    <row r="309" spans="1:12" x14ac:dyDescent="0.2">
      <c r="A309" s="82" t="str">
        <f t="shared" ref="A309:A317" si="1">A292</f>
        <v>Gzira</v>
      </c>
      <c r="B309" s="81">
        <f>princ</f>
        <v>0.03</v>
      </c>
      <c r="C309" s="99" cm="1">
        <f t="array" ref="C309">DCprop</f>
        <v>0.15</v>
      </c>
    </row>
    <row r="310" spans="1:12" x14ac:dyDescent="0.2">
      <c r="A310" s="82" t="str">
        <f t="shared" si="1"/>
        <v>Qormi</v>
      </c>
      <c r="B310" s="81">
        <f>princ</f>
        <v>0.03</v>
      </c>
      <c r="C310" s="99" cm="1">
        <f t="array" ref="C310">DCprop</f>
        <v>0.15</v>
      </c>
    </row>
    <row r="311" spans="1:12" x14ac:dyDescent="0.2">
      <c r="A311" s="82" t="str">
        <f t="shared" si="1"/>
        <v>Gudja</v>
      </c>
      <c r="B311" s="81">
        <f>princ</f>
        <v>0.03</v>
      </c>
      <c r="C311" s="99" cm="1">
        <f t="array" ref="C311">DCprop</f>
        <v>0.15</v>
      </c>
    </row>
    <row r="312" spans="1:12" x14ac:dyDescent="0.2">
      <c r="A312" s="82" t="str">
        <f t="shared" si="1"/>
        <v>Marsa</v>
      </c>
      <c r="B312" s="81">
        <f>princ</f>
        <v>0.03</v>
      </c>
      <c r="C312" s="99" cm="1">
        <f t="array" ref="C312">DCprop</f>
        <v>0.15</v>
      </c>
    </row>
    <row r="313" spans="1:12" x14ac:dyDescent="0.2">
      <c r="A313" s="82" t="str">
        <f t="shared" si="1"/>
        <v>Jewelry</v>
      </c>
      <c r="B313" s="81">
        <f>A1inc</f>
        <v>0.02</v>
      </c>
      <c r="C313" s="99">
        <f>DCoth</f>
        <v>0.02</v>
      </c>
    </row>
    <row r="314" spans="1:12" x14ac:dyDescent="0.2">
      <c r="A314" s="82" t="str">
        <f t="shared" si="1"/>
        <v>Car</v>
      </c>
      <c r="B314" s="81">
        <f>A2inc</f>
        <v>-0.05</v>
      </c>
      <c r="C314" s="99">
        <f>DCoth</f>
        <v>0.02</v>
      </c>
    </row>
    <row r="315" spans="1:12" x14ac:dyDescent="0.2">
      <c r="A315" s="82" t="str">
        <f t="shared" si="1"/>
        <v>Painting</v>
      </c>
      <c r="B315" s="81">
        <f>A3inc</f>
        <v>0.03</v>
      </c>
      <c r="C315" s="99">
        <f>DCoth</f>
        <v>0.02</v>
      </c>
    </row>
    <row r="316" spans="1:12" x14ac:dyDescent="0.2">
      <c r="A316" s="82" t="str">
        <f t="shared" si="1"/>
        <v>Boat</v>
      </c>
      <c r="B316" s="81">
        <f>A4inc</f>
        <v>-0.05</v>
      </c>
      <c r="C316" s="99">
        <f>DCoth</f>
        <v>0.02</v>
      </c>
    </row>
    <row r="317" spans="1:12" x14ac:dyDescent="0.2">
      <c r="A317" s="82" t="str">
        <f t="shared" si="1"/>
        <v>Antiques</v>
      </c>
      <c r="B317" s="81">
        <f>A5inc</f>
        <v>0.02</v>
      </c>
      <c r="C317" s="99">
        <f>DCoth</f>
        <v>0.02</v>
      </c>
    </row>
    <row r="318" spans="1:12" x14ac:dyDescent="0.2">
      <c r="A318" s="80"/>
    </row>
    <row r="319" spans="1:12" x14ac:dyDescent="0.2">
      <c r="A319" s="80"/>
    </row>
    <row r="320" spans="1:12" x14ac:dyDescent="0.2">
      <c r="A320" s="80"/>
    </row>
  </sheetData>
  <phoneticPr fontId="4" type="noConversion"/>
  <dataValidations count="6">
    <dataValidation type="list" allowBlank="1" showInputMessage="1" showErrorMessage="1" sqref="B291:B300" xr:uid="{1C76E72A-4A74-9342-9CD6-96E686486B37}">
      <formula1>"0,1,2,3"</formula1>
    </dataValidation>
    <dataValidation type="whole" allowBlank="1" showInputMessage="1" showErrorMessage="1" sqref="B4" xr:uid="{CEBCBBEB-61E4-314B-B9D6-B93D3329E6F5}">
      <formula1>18</formula1>
      <formula2>100</formula2>
    </dataValidation>
    <dataValidation type="decimal" allowBlank="1" showInputMessage="1" showErrorMessage="1" sqref="B268" xr:uid="{A76CC167-ADB1-954D-BA8F-57DA6856622B}">
      <formula1>0</formula1>
      <formula2>0.5</formula2>
    </dataValidation>
    <dataValidation type="whole" allowBlank="1" showInputMessage="1" showErrorMessage="1" sqref="B41 B46 B51 B56 B36" xr:uid="{A3B04CD6-6A0C-9D4A-960A-19DFAACFBC84}">
      <formula1>1</formula1>
      <formula2>99</formula2>
    </dataValidation>
    <dataValidation type="custom" allowBlank="1" showInputMessage="1" showErrorMessage="1" sqref="B255" xr:uid="{CFCAF581-183B-7347-97B6-0AC7B0FFD5E6}">
      <formula1>AND(B255&gt;B4,B255&lt;=100)</formula1>
    </dataValidation>
    <dataValidation type="list" allowBlank="1" showInputMessage="1" showErrorMessage="1" sqref="B220" xr:uid="{7283AA83-2D59-EE43-86DE-B8C57A9ADAE4}">
      <formula1>"Buy,Rent"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6C8C7B-D167-A641-8E52-8DBE60839A73}">
  <sheetPr codeName="Sheet6">
    <tabColor theme="7" tint="0.79998168889431442"/>
  </sheetPr>
  <dimension ref="J2:AA13"/>
  <sheetViews>
    <sheetView showGridLines="0" zoomScale="111" zoomScaleNormal="110" workbookViewId="0">
      <selection activeCell="V3" sqref="V3:V4"/>
    </sheetView>
  </sheetViews>
  <sheetFormatPr baseColWidth="10" defaultColWidth="11.1640625" defaultRowHeight="16" x14ac:dyDescent="0.2"/>
  <cols>
    <col min="21" max="21" width="11.5" customWidth="1"/>
    <col min="22" max="22" width="8.6640625" customWidth="1"/>
    <col min="23" max="27" width="0" hidden="1" customWidth="1"/>
  </cols>
  <sheetData>
    <row r="2" spans="10:27" ht="19" x14ac:dyDescent="0.25">
      <c r="V2" s="51" t="s">
        <v>148</v>
      </c>
      <c r="AA2" s="2" t="str">
        <f>"Retire at  "&amp;RetEarly_Engine!B3</f>
        <v>Retire at  49</v>
      </c>
    </row>
    <row r="3" spans="10:27" x14ac:dyDescent="0.2">
      <c r="V3" s="88">
        <f>RetEarly_Engine!B3</f>
        <v>49</v>
      </c>
      <c r="AA3" s="2" t="str">
        <f>"Retire at  "&amp;RetAge</f>
        <v>Retire at  65</v>
      </c>
    </row>
    <row r="4" spans="10:27" x14ac:dyDescent="0.2">
      <c r="K4" s="2"/>
      <c r="V4" s="88"/>
    </row>
    <row r="13" spans="10:27" x14ac:dyDescent="0.2">
      <c r="J13" s="13"/>
    </row>
  </sheetData>
  <mergeCells count="1">
    <mergeCell ref="V3:V4"/>
  </mergeCells>
  <pageMargins left="0.7" right="0.7" top="0.75" bottom="0.75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49" r:id="rId3" name="Spinner 1">
              <controlPr defaultSize="0" autoPict="0">
                <anchor moveWithCells="1" sizeWithCells="1">
                  <from>
                    <xdr:col>21</xdr:col>
                    <xdr:colOff>38100</xdr:colOff>
                    <xdr:row>4</xdr:row>
                    <xdr:rowOff>63500</xdr:rowOff>
                  </from>
                  <to>
                    <xdr:col>21</xdr:col>
                    <xdr:colOff>660400</xdr:colOff>
                    <xdr:row>9</xdr:row>
                    <xdr:rowOff>63500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F5D27E-B873-BD4B-AD92-1E837389CA3B}">
  <sheetPr codeName="Sheet2"/>
  <dimension ref="A1:AR528"/>
  <sheetViews>
    <sheetView zoomScale="120" zoomScaleNormal="120" workbookViewId="0">
      <pane xSplit="1" ySplit="3" topLeftCell="B283" activePane="bottomRight" state="frozen"/>
      <selection activeCell="A246" sqref="A246:XFD253"/>
      <selection pane="topRight" activeCell="A246" sqref="A246:XFD253"/>
      <selection pane="bottomLeft" activeCell="A246" sqref="A246:XFD253"/>
      <selection pane="bottomRight" activeCell="G382" sqref="G382"/>
    </sheetView>
  </sheetViews>
  <sheetFormatPr baseColWidth="10" defaultRowHeight="16" x14ac:dyDescent="0.2"/>
  <cols>
    <col min="1" max="1" width="39.33203125" style="2" customWidth="1"/>
    <col min="2" max="2" width="4.33203125" style="6" customWidth="1"/>
    <col min="3" max="39" width="11.83203125" style="2" customWidth="1"/>
    <col min="40" max="2605" width="11.83203125" customWidth="1"/>
  </cols>
  <sheetData>
    <row r="1" spans="1:39" x14ac:dyDescent="0.2">
      <c r="B1" s="5">
        <v>0</v>
      </c>
      <c r="C1" s="2">
        <v>1</v>
      </c>
      <c r="D1" s="2">
        <f>C1+1</f>
        <v>2</v>
      </c>
      <c r="E1" s="2">
        <f t="shared" ref="E1:I2" si="0">D1+1</f>
        <v>3</v>
      </c>
      <c r="F1" s="2">
        <f t="shared" si="0"/>
        <v>4</v>
      </c>
      <c r="G1" s="2">
        <f t="shared" si="0"/>
        <v>5</v>
      </c>
      <c r="H1" s="2">
        <f t="shared" si="0"/>
        <v>6</v>
      </c>
      <c r="I1" s="2">
        <f t="shared" si="0"/>
        <v>7</v>
      </c>
      <c r="J1" s="2">
        <f t="shared" ref="J1:J3" si="1">I1+1</f>
        <v>8</v>
      </c>
      <c r="K1" s="2">
        <f t="shared" ref="K1:K3" si="2">J1+1</f>
        <v>9</v>
      </c>
      <c r="L1" s="2">
        <f t="shared" ref="L1:L3" si="3">K1+1</f>
        <v>10</v>
      </c>
      <c r="M1" s="2">
        <f t="shared" ref="M1:M3" si="4">L1+1</f>
        <v>11</v>
      </c>
      <c r="N1" s="2">
        <f t="shared" ref="N1:N3" si="5">M1+1</f>
        <v>12</v>
      </c>
      <c r="O1" s="2">
        <f t="shared" ref="O1:O3" si="6">N1+1</f>
        <v>13</v>
      </c>
      <c r="P1" s="2">
        <f t="shared" ref="P1:P3" si="7">O1+1</f>
        <v>14</v>
      </c>
      <c r="Q1" s="2">
        <f t="shared" ref="Q1:Q3" si="8">P1+1</f>
        <v>15</v>
      </c>
      <c r="R1" s="2">
        <f t="shared" ref="R1:R3" si="9">Q1+1</f>
        <v>16</v>
      </c>
      <c r="S1" s="2">
        <f t="shared" ref="S1:S3" si="10">R1+1</f>
        <v>17</v>
      </c>
      <c r="T1" s="2">
        <f t="shared" ref="T1:T3" si="11">S1+1</f>
        <v>18</v>
      </c>
      <c r="U1" s="2">
        <f t="shared" ref="U1:U3" si="12">T1+1</f>
        <v>19</v>
      </c>
      <c r="V1" s="2">
        <f t="shared" ref="V1:V3" si="13">U1+1</f>
        <v>20</v>
      </c>
      <c r="W1" s="2">
        <f t="shared" ref="W1:W3" si="14">V1+1</f>
        <v>21</v>
      </c>
      <c r="X1" s="2">
        <f t="shared" ref="X1:X3" si="15">W1+1</f>
        <v>22</v>
      </c>
      <c r="Y1" s="2">
        <f t="shared" ref="Y1:Y3" si="16">X1+1</f>
        <v>23</v>
      </c>
      <c r="Z1" s="2">
        <f t="shared" ref="Z1:Z3" si="17">Y1+1</f>
        <v>24</v>
      </c>
      <c r="AA1" s="2">
        <f t="shared" ref="AA1:AA3" si="18">Z1+1</f>
        <v>25</v>
      </c>
      <c r="AB1" s="2">
        <f t="shared" ref="AB1:AB3" si="19">AA1+1</f>
        <v>26</v>
      </c>
      <c r="AC1" s="2">
        <f t="shared" ref="AC1:AC3" si="20">AB1+1</f>
        <v>27</v>
      </c>
      <c r="AD1" s="2">
        <f t="shared" ref="AD1:AD3" si="21">AC1+1</f>
        <v>28</v>
      </c>
      <c r="AE1" s="2">
        <f t="shared" ref="AE1:AE3" si="22">AD1+1</f>
        <v>29</v>
      </c>
      <c r="AF1" s="2">
        <f t="shared" ref="AF1:AF3" si="23">AE1+1</f>
        <v>30</v>
      </c>
      <c r="AG1" s="2">
        <f t="shared" ref="AG1:AG3" si="24">AF1+1</f>
        <v>31</v>
      </c>
      <c r="AH1" s="2">
        <f t="shared" ref="AH1:AH3" si="25">AG1+1</f>
        <v>32</v>
      </c>
      <c r="AI1" s="2">
        <f t="shared" ref="AI1:AI3" si="26">AH1+1</f>
        <v>33</v>
      </c>
      <c r="AJ1" s="2">
        <f t="shared" ref="AJ1:AJ3" si="27">AI1+1</f>
        <v>34</v>
      </c>
      <c r="AK1" s="2">
        <f t="shared" ref="AK1:AK3" si="28">AJ1+1</f>
        <v>35</v>
      </c>
      <c r="AL1" s="2">
        <f t="shared" ref="AL1:AL3" si="29">AK1+1</f>
        <v>36</v>
      </c>
      <c r="AM1" s="2">
        <f t="shared" ref="AM1:AM3" si="30">AL1+1</f>
        <v>37</v>
      </c>
    </row>
    <row r="2" spans="1:39" x14ac:dyDescent="0.2">
      <c r="A2" s="10"/>
      <c r="B2" s="5" t="s">
        <v>5</v>
      </c>
      <c r="C2" s="2">
        <f ca="1">YEAR(TODAY())</f>
        <v>2026</v>
      </c>
      <c r="D2" s="2">
        <f ca="1">C2+1</f>
        <v>2027</v>
      </c>
      <c r="E2" s="2">
        <f t="shared" ca="1" si="0"/>
        <v>2028</v>
      </c>
      <c r="F2" s="2">
        <f t="shared" ca="1" si="0"/>
        <v>2029</v>
      </c>
      <c r="G2" s="2">
        <f t="shared" ca="1" si="0"/>
        <v>2030</v>
      </c>
      <c r="H2" s="2">
        <f t="shared" ca="1" si="0"/>
        <v>2031</v>
      </c>
      <c r="I2" s="2">
        <f t="shared" ca="1" si="0"/>
        <v>2032</v>
      </c>
      <c r="J2" s="2">
        <f t="shared" ca="1" si="1"/>
        <v>2033</v>
      </c>
      <c r="K2" s="2">
        <f t="shared" ca="1" si="2"/>
        <v>2034</v>
      </c>
      <c r="L2" s="2">
        <f t="shared" ca="1" si="3"/>
        <v>2035</v>
      </c>
      <c r="M2" s="2">
        <f t="shared" ca="1" si="4"/>
        <v>2036</v>
      </c>
      <c r="N2" s="2">
        <f t="shared" ca="1" si="5"/>
        <v>2037</v>
      </c>
      <c r="O2" s="2">
        <f t="shared" ca="1" si="6"/>
        <v>2038</v>
      </c>
      <c r="P2" s="2">
        <f t="shared" ca="1" si="7"/>
        <v>2039</v>
      </c>
      <c r="Q2" s="2">
        <f t="shared" ca="1" si="8"/>
        <v>2040</v>
      </c>
      <c r="R2" s="2">
        <f t="shared" ca="1" si="9"/>
        <v>2041</v>
      </c>
      <c r="S2" s="2">
        <f t="shared" ca="1" si="10"/>
        <v>2042</v>
      </c>
      <c r="T2" s="2">
        <f t="shared" ca="1" si="11"/>
        <v>2043</v>
      </c>
      <c r="U2" s="2">
        <f t="shared" ca="1" si="12"/>
        <v>2044</v>
      </c>
      <c r="V2" s="2">
        <f t="shared" ca="1" si="13"/>
        <v>2045</v>
      </c>
      <c r="W2" s="2">
        <f t="shared" ca="1" si="14"/>
        <v>2046</v>
      </c>
      <c r="X2" s="2">
        <f t="shared" ca="1" si="15"/>
        <v>2047</v>
      </c>
      <c r="Y2" s="2">
        <f t="shared" ca="1" si="16"/>
        <v>2048</v>
      </c>
      <c r="Z2" s="2">
        <f t="shared" ca="1" si="17"/>
        <v>2049</v>
      </c>
      <c r="AA2" s="2">
        <f t="shared" ca="1" si="18"/>
        <v>2050</v>
      </c>
      <c r="AB2" s="2">
        <f t="shared" ca="1" si="19"/>
        <v>2051</v>
      </c>
      <c r="AC2" s="2">
        <f t="shared" ca="1" si="20"/>
        <v>2052</v>
      </c>
      <c r="AD2" s="2">
        <f t="shared" ca="1" si="21"/>
        <v>2053</v>
      </c>
      <c r="AE2" s="2">
        <f t="shared" ca="1" si="22"/>
        <v>2054</v>
      </c>
      <c r="AF2" s="2">
        <f t="shared" ca="1" si="23"/>
        <v>2055</v>
      </c>
      <c r="AG2" s="2">
        <f t="shared" ca="1" si="24"/>
        <v>2056</v>
      </c>
      <c r="AH2" s="2">
        <f t="shared" ca="1" si="25"/>
        <v>2057</v>
      </c>
      <c r="AI2" s="2">
        <f t="shared" ca="1" si="26"/>
        <v>2058</v>
      </c>
      <c r="AJ2" s="2">
        <f t="shared" ca="1" si="27"/>
        <v>2059</v>
      </c>
      <c r="AK2" s="2">
        <f t="shared" ca="1" si="28"/>
        <v>2060</v>
      </c>
      <c r="AL2" s="2">
        <f t="shared" ca="1" si="29"/>
        <v>2061</v>
      </c>
      <c r="AM2" s="2">
        <f t="shared" ca="1" si="30"/>
        <v>2062</v>
      </c>
    </row>
    <row r="3" spans="1:39" x14ac:dyDescent="0.2">
      <c r="A3" s="31"/>
      <c r="B3" s="32">
        <f>Inputs!B20</f>
        <v>65</v>
      </c>
      <c r="C3" s="2">
        <f>Inputs!B4</f>
        <v>48</v>
      </c>
      <c r="D3" s="2">
        <f>C3+1</f>
        <v>49</v>
      </c>
      <c r="E3" s="2">
        <f t="shared" ref="E3:I3" si="31">D3+1</f>
        <v>50</v>
      </c>
      <c r="F3" s="2">
        <f t="shared" si="31"/>
        <v>51</v>
      </c>
      <c r="G3" s="2">
        <f t="shared" si="31"/>
        <v>52</v>
      </c>
      <c r="H3" s="2">
        <f t="shared" si="31"/>
        <v>53</v>
      </c>
      <c r="I3" s="2">
        <f t="shared" si="31"/>
        <v>54</v>
      </c>
      <c r="J3" s="2">
        <f t="shared" si="1"/>
        <v>55</v>
      </c>
      <c r="K3" s="2">
        <f t="shared" si="2"/>
        <v>56</v>
      </c>
      <c r="L3" s="2">
        <f t="shared" si="3"/>
        <v>57</v>
      </c>
      <c r="M3" s="2">
        <f t="shared" si="4"/>
        <v>58</v>
      </c>
      <c r="N3" s="2">
        <f t="shared" si="5"/>
        <v>59</v>
      </c>
      <c r="O3" s="2">
        <f t="shared" si="6"/>
        <v>60</v>
      </c>
      <c r="P3" s="2">
        <f t="shared" si="7"/>
        <v>61</v>
      </c>
      <c r="Q3" s="2">
        <f t="shared" si="8"/>
        <v>62</v>
      </c>
      <c r="R3" s="2">
        <f t="shared" si="9"/>
        <v>63</v>
      </c>
      <c r="S3" s="2">
        <f t="shared" si="10"/>
        <v>64</v>
      </c>
      <c r="T3" s="2">
        <f t="shared" si="11"/>
        <v>65</v>
      </c>
      <c r="U3" s="2">
        <f t="shared" si="12"/>
        <v>66</v>
      </c>
      <c r="V3" s="2">
        <f t="shared" si="13"/>
        <v>67</v>
      </c>
      <c r="W3" s="2">
        <f t="shared" si="14"/>
        <v>68</v>
      </c>
      <c r="X3" s="2">
        <f t="shared" si="15"/>
        <v>69</v>
      </c>
      <c r="Y3" s="2">
        <f t="shared" si="16"/>
        <v>70</v>
      </c>
      <c r="Z3" s="2">
        <f t="shared" si="17"/>
        <v>71</v>
      </c>
      <c r="AA3" s="2">
        <f t="shared" si="18"/>
        <v>72</v>
      </c>
      <c r="AB3" s="2">
        <f t="shared" si="19"/>
        <v>73</v>
      </c>
      <c r="AC3" s="2">
        <f t="shared" si="20"/>
        <v>74</v>
      </c>
      <c r="AD3" s="2">
        <f t="shared" si="21"/>
        <v>75</v>
      </c>
      <c r="AE3" s="2">
        <f t="shared" si="22"/>
        <v>76</v>
      </c>
      <c r="AF3" s="2">
        <f t="shared" si="23"/>
        <v>77</v>
      </c>
      <c r="AG3" s="2">
        <f t="shared" si="24"/>
        <v>78</v>
      </c>
      <c r="AH3" s="2">
        <f t="shared" si="25"/>
        <v>79</v>
      </c>
      <c r="AI3" s="2">
        <f t="shared" si="26"/>
        <v>80</v>
      </c>
      <c r="AJ3" s="2">
        <f t="shared" si="27"/>
        <v>81</v>
      </c>
      <c r="AK3" s="2">
        <f t="shared" si="28"/>
        <v>82</v>
      </c>
      <c r="AL3" s="2">
        <f t="shared" si="29"/>
        <v>83</v>
      </c>
      <c r="AM3" s="2">
        <f t="shared" si="30"/>
        <v>84</v>
      </c>
    </row>
    <row r="4" spans="1:39" ht="19" x14ac:dyDescent="0.25">
      <c r="A4" s="12" t="s">
        <v>16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</row>
    <row r="5" spans="1:39" x14ac:dyDescent="0.2">
      <c r="A5" s="4" t="s">
        <v>46</v>
      </c>
      <c r="B5" s="8"/>
      <c r="C5" s="7">
        <f ca="1">IF(AND(Inputs!$B$20&gt;C3,$B$3&gt;C3),Inputs!$B$6*(1+sincr)^B1,0)*ProRate</f>
        <v>60000</v>
      </c>
      <c r="D5" s="7">
        <f>IF(AND(Inputs!$B$20&gt;D3,$B$3&gt;D3),Inputs!$B$6*(1+sincr)^C1,0)</f>
        <v>82400</v>
      </c>
      <c r="E5" s="7">
        <f>IF(AND(Inputs!$B$20&gt;E3,$B$3&gt;E3),Inputs!$B$6*(1+sincr)^D1,0)</f>
        <v>84872</v>
      </c>
      <c r="F5" s="7">
        <f>IF(AND(Inputs!$B$20&gt;F3,$B$3&gt;F3),Inputs!$B$6*(1+sincr)^E1,0)</f>
        <v>87418.16</v>
      </c>
      <c r="G5" s="7">
        <f>IF(AND(Inputs!$B$20&gt;G3,$B$3&gt;G3),Inputs!$B$6*(1+sincr)^F1,0)</f>
        <v>90040.704799999992</v>
      </c>
      <c r="H5" s="7">
        <f>IF(AND(Inputs!$B$20&gt;H3,$B$3&gt;H3),Inputs!$B$6*(1+sincr)^G1,0)</f>
        <v>92741.925943999988</v>
      </c>
      <c r="I5" s="7">
        <f>IF(AND(Inputs!$B$20&gt;I3,$B$3&gt;I3),Inputs!$B$6*(1+sincr)^H1,0)</f>
        <v>95524.183722319998</v>
      </c>
      <c r="J5" s="7">
        <f>IF(AND(Inputs!$B$20&gt;J3,$B$3&gt;J3),Inputs!$B$6*(1+sincr)^I1,0)</f>
        <v>98389.909233989601</v>
      </c>
      <c r="K5" s="7">
        <f>IF(AND(Inputs!$B$20&gt;K3,$B$3&gt;K3),Inputs!$B$6*(1+sincr)^J1,0)</f>
        <v>101341.60651100927</v>
      </c>
      <c r="L5" s="7">
        <f>IF(AND(Inputs!$B$20&gt;L3,$B$3&gt;L3),Inputs!$B$6*(1+sincr)^K1,0)</f>
        <v>104381.85470633955</v>
      </c>
      <c r="M5" s="7">
        <f>IF(AND(Inputs!$B$20&gt;M3,$B$3&gt;M3),Inputs!$B$6*(1+sincr)^L1,0)</f>
        <v>107513.31034752974</v>
      </c>
      <c r="N5" s="7">
        <f>IF(AND(Inputs!$B$20&gt;N3,$B$3&gt;N3),Inputs!$B$6*(1+sincr)^M1,0)</f>
        <v>110738.70965795564</v>
      </c>
      <c r="O5" s="7">
        <f>IF(AND(Inputs!$B$20&gt;O3,$B$3&gt;O3),Inputs!$B$6*(1+sincr)^N1,0)</f>
        <v>114060.87094769429</v>
      </c>
      <c r="P5" s="7">
        <f>IF(AND(Inputs!$B$20&gt;P3,$B$3&gt;P3),Inputs!$B$6*(1+sincr)^O1,0)</f>
        <v>117482.69707612511</v>
      </c>
      <c r="Q5" s="7">
        <f>IF(AND(Inputs!$B$20&gt;Q3,$B$3&gt;Q3),Inputs!$B$6*(1+sincr)^P1,0)</f>
        <v>121007.17798840888</v>
      </c>
      <c r="R5" s="7">
        <f>IF(AND(Inputs!$B$20&gt;R3,$B$3&gt;R3),Inputs!$B$6*(1+sincr)^Q1,0)</f>
        <v>124637.39332806115</v>
      </c>
      <c r="S5" s="7">
        <f>IF(AND(Inputs!$B$20&gt;S3,$B$3&gt;S3),Inputs!$B$6*(1+sincr)^R1,0)</f>
        <v>128376.51512790297</v>
      </c>
      <c r="T5" s="7">
        <f>IF(AND(Inputs!$B$20&gt;T3,$B$3&gt;T3),Inputs!$B$6*(1+sincr)^S1,0)</f>
        <v>0</v>
      </c>
      <c r="U5" s="7">
        <f>IF(AND(Inputs!$B$20&gt;U3,$B$3&gt;U3),Inputs!$B$6*(1+sincr)^T1,0)</f>
        <v>0</v>
      </c>
      <c r="V5" s="7">
        <f>IF(AND(Inputs!$B$20&gt;V3,$B$3&gt;V3),Inputs!$B$6*(1+sincr)^U1,0)</f>
        <v>0</v>
      </c>
      <c r="W5" s="7">
        <f>IF(AND(Inputs!$B$20&gt;W3,$B$3&gt;W3),Inputs!$B$6*(1+sincr)^V1,0)</f>
        <v>0</v>
      </c>
      <c r="X5" s="7">
        <f>IF(AND(Inputs!$B$20&gt;X3,$B$3&gt;X3),Inputs!$B$6*(1+sincr)^W1,0)</f>
        <v>0</v>
      </c>
      <c r="Y5" s="7">
        <f>IF(AND(Inputs!$B$20&gt;Y3,$B$3&gt;Y3),Inputs!$B$6*(1+sincr)^X1,0)</f>
        <v>0</v>
      </c>
      <c r="Z5" s="7">
        <f>IF(AND(Inputs!$B$20&gt;Z3,$B$3&gt;Z3),Inputs!$B$6*(1+sincr)^Y1,0)</f>
        <v>0</v>
      </c>
      <c r="AA5" s="7">
        <f>IF(AND(Inputs!$B$20&gt;AA3,$B$3&gt;AA3),Inputs!$B$6*(1+sincr)^Z1,0)</f>
        <v>0</v>
      </c>
      <c r="AB5" s="7">
        <f>IF(AND(Inputs!$B$20&gt;AB3,$B$3&gt;AB3),Inputs!$B$6*(1+sincr)^AA1,0)</f>
        <v>0</v>
      </c>
      <c r="AC5" s="7">
        <f>IF(AND(Inputs!$B$20&gt;AC3,$B$3&gt;AC3),Inputs!$B$6*(1+sincr)^AB1,0)</f>
        <v>0</v>
      </c>
      <c r="AD5" s="7">
        <f>IF(AND(Inputs!$B$20&gt;AD3,$B$3&gt;AD3),Inputs!$B$6*(1+sincr)^AC1,0)</f>
        <v>0</v>
      </c>
      <c r="AE5" s="7">
        <f>IF(AND(Inputs!$B$20&gt;AE3,$B$3&gt;AE3),Inputs!$B$6*(1+sincr)^AD1,0)</f>
        <v>0</v>
      </c>
      <c r="AF5" s="7">
        <f>IF(AND(Inputs!$B$20&gt;AF3,$B$3&gt;AF3),Inputs!$B$6*(1+sincr)^AE1,0)</f>
        <v>0</v>
      </c>
      <c r="AG5" s="7">
        <f>IF(AND(Inputs!$B$20&gt;AG3,$B$3&gt;AG3),Inputs!$B$6*(1+sincr)^AF1,0)</f>
        <v>0</v>
      </c>
      <c r="AH5" s="7">
        <f>IF(AND(Inputs!$B$20&gt;AH3,$B$3&gt;AH3),Inputs!$B$6*(1+sincr)^AG1,0)</f>
        <v>0</v>
      </c>
      <c r="AI5" s="7">
        <f>IF(AND(Inputs!$B$20&gt;AI3,$B$3&gt;AI3),Inputs!$B$6*(1+sincr)^AH1,0)</f>
        <v>0</v>
      </c>
      <c r="AJ5" s="7">
        <f>IF(AND(Inputs!$B$20&gt;AJ3,$B$3&gt;AJ3),Inputs!$B$6*(1+sincr)^AI1,0)</f>
        <v>0</v>
      </c>
      <c r="AK5" s="7">
        <f>IF(AND(Inputs!$B$20&gt;AK3,$B$3&gt;AK3),Inputs!$B$6*(1+sincr)^AJ1,0)</f>
        <v>0</v>
      </c>
      <c r="AL5" s="7">
        <f>IF(AND(Inputs!$B$20&gt;AL3,$B$3&gt;AL3),Inputs!$B$6*(1+sincr)^AK1,0)</f>
        <v>0</v>
      </c>
      <c r="AM5" s="7">
        <f>IF(AND(Inputs!$B$20&gt;AM3,$B$3&gt;AM3),Inputs!$B$6*(1+sincr)^AL1,0)</f>
        <v>0</v>
      </c>
    </row>
    <row r="6" spans="1:39" x14ac:dyDescent="0.2">
      <c r="A6" s="4" t="s">
        <v>13</v>
      </c>
      <c r="B6" s="8"/>
      <c r="C6" s="7">
        <f ca="1">IF(C$3&lt;=Inputs!$B$121,Inputs!$B$120,0)*(1+inf)^B$1*ProRate</f>
        <v>1500</v>
      </c>
      <c r="D6" s="7">
        <f>IF(D$3&lt;=Inputs!$B$121,Inputs!$B$120,0)*(1+inf)^C$1</f>
        <v>2050</v>
      </c>
      <c r="E6" s="7">
        <f>IF(E$3&lt;=Inputs!$B$121,Inputs!$B$120,0)*(1+inf)^D$1</f>
        <v>2101.25</v>
      </c>
      <c r="F6" s="7">
        <f>IF(F$3&lt;=Inputs!$B$121,Inputs!$B$120,0)*(1+inf)^E$1</f>
        <v>2153.7812499999995</v>
      </c>
      <c r="G6" s="7">
        <f>IF(G$3&lt;=Inputs!$B$121,Inputs!$B$120,0)*(1+inf)^F$1</f>
        <v>2207.6257812499994</v>
      </c>
      <c r="H6" s="7">
        <f>IF(H$3&lt;=Inputs!$B$121,Inputs!$B$120,0)*(1+inf)^G$1</f>
        <v>2262.8164257812491</v>
      </c>
      <c r="I6" s="7">
        <f>IF(I$3&lt;=Inputs!$B$121,Inputs!$B$120,0)*(1+inf)^H$1</f>
        <v>2319.3868364257805</v>
      </c>
      <c r="J6" s="7">
        <f>IF(J$3&lt;=Inputs!$B$121,Inputs!$B$120,0)*(1+inf)^I$1</f>
        <v>2377.3715073364251</v>
      </c>
      <c r="K6" s="7">
        <f>IF(K$3&lt;=Inputs!$B$121,Inputs!$B$120,0)*(1+inf)^J$1</f>
        <v>2436.8057950198354</v>
      </c>
      <c r="L6" s="7">
        <f>IF(L$3&lt;=Inputs!$B$121,Inputs!$B$120,0)*(1+inf)^K$1</f>
        <v>2497.7259398953311</v>
      </c>
      <c r="M6" s="7">
        <f>IF(M$3&lt;=Inputs!$B$121,Inputs!$B$120,0)*(1+inf)^L$1</f>
        <v>2560.169088392714</v>
      </c>
      <c r="N6" s="7">
        <f>IF(N$3&lt;=Inputs!$B$121,Inputs!$B$120,0)*(1+inf)^M$1</f>
        <v>0</v>
      </c>
      <c r="O6" s="7">
        <f>IF(O$3&lt;=Inputs!$B$121,Inputs!$B$120,0)*(1+inf)^N$1</f>
        <v>0</v>
      </c>
      <c r="P6" s="7">
        <f>IF(P$3&lt;=Inputs!$B$121,Inputs!$B$120,0)*(1+inf)^O$1</f>
        <v>0</v>
      </c>
      <c r="Q6" s="7">
        <f>IF(Q$3&lt;=Inputs!$B$121,Inputs!$B$120,0)*(1+inf)^P$1</f>
        <v>0</v>
      </c>
      <c r="R6" s="7">
        <f>IF(R$3&lt;=Inputs!$B$121,Inputs!$B$120,0)*(1+inf)^Q$1</f>
        <v>0</v>
      </c>
      <c r="S6" s="7">
        <f>IF(S$3&lt;=Inputs!$B$121,Inputs!$B$120,0)*(1+inf)^R$1</f>
        <v>0</v>
      </c>
      <c r="T6" s="7">
        <f>IF(T$3&lt;=Inputs!$B$121,Inputs!$B$120,0)*(1+inf)^S$1</f>
        <v>0</v>
      </c>
      <c r="U6" s="7">
        <f>IF(U$3&lt;=Inputs!$B$121,Inputs!$B$120,0)*(1+inf)^T$1</f>
        <v>0</v>
      </c>
      <c r="V6" s="7">
        <f>IF(V$3&lt;=Inputs!$B$121,Inputs!$B$120,0)*(1+inf)^U$1</f>
        <v>0</v>
      </c>
      <c r="W6" s="7">
        <f>IF(W$3&lt;=Inputs!$B$121,Inputs!$B$120,0)*(1+inf)^V$1</f>
        <v>0</v>
      </c>
      <c r="X6" s="7">
        <f>IF(X$3&lt;=Inputs!$B$121,Inputs!$B$120,0)*(1+inf)^W$1</f>
        <v>0</v>
      </c>
      <c r="Y6" s="7">
        <f>IF(Y$3&lt;=Inputs!$B$121,Inputs!$B$120,0)*(1+inf)^X$1</f>
        <v>0</v>
      </c>
      <c r="Z6" s="7">
        <f>IF(Z$3&lt;=Inputs!$B$121,Inputs!$B$120,0)*(1+inf)^Y$1</f>
        <v>0</v>
      </c>
      <c r="AA6" s="7">
        <f>IF(AA$3&lt;=Inputs!$B$121,Inputs!$B$120,0)*(1+inf)^Z$1</f>
        <v>0</v>
      </c>
      <c r="AB6" s="7">
        <f>IF(AB$3&lt;=Inputs!$B$121,Inputs!$B$120,0)*(1+inf)^AA$1</f>
        <v>0</v>
      </c>
      <c r="AC6" s="7">
        <f>IF(AC$3&lt;=Inputs!$B$121,Inputs!$B$120,0)*(1+inf)^AB$1</f>
        <v>0</v>
      </c>
      <c r="AD6" s="7">
        <f>IF(AD$3&lt;=Inputs!$B$121,Inputs!$B$120,0)*(1+inf)^AC$1</f>
        <v>0</v>
      </c>
      <c r="AE6" s="7">
        <f>IF(AE$3&lt;=Inputs!$B$121,Inputs!$B$120,0)*(1+inf)^AD$1</f>
        <v>0</v>
      </c>
      <c r="AF6" s="7">
        <f>IF(AF$3&lt;=Inputs!$B$121,Inputs!$B$120,0)*(1+inf)^AE$1</f>
        <v>0</v>
      </c>
      <c r="AG6" s="7">
        <f>IF(AG$3&lt;=Inputs!$B$121,Inputs!$B$120,0)*(1+inf)^AF$1</f>
        <v>0</v>
      </c>
      <c r="AH6" s="7">
        <f>IF(AH$3&lt;=Inputs!$B$121,Inputs!$B$120,0)*(1+inf)^AG$1</f>
        <v>0</v>
      </c>
      <c r="AI6" s="7">
        <f>IF(AI$3&lt;=Inputs!$B$121,Inputs!$B$120,0)*(1+inf)^AH$1</f>
        <v>0</v>
      </c>
      <c r="AJ6" s="7">
        <f>IF(AJ$3&lt;=Inputs!$B$121,Inputs!$B$120,0)*(1+inf)^AI$1</f>
        <v>0</v>
      </c>
      <c r="AK6" s="7">
        <f>IF(AK$3&lt;=Inputs!$B$121,Inputs!$B$120,0)*(1+inf)^AJ$1</f>
        <v>0</v>
      </c>
      <c r="AL6" s="7">
        <f>IF(AL$3&lt;=Inputs!$B$121,Inputs!$B$120,0)*(1+inf)^AK$1</f>
        <v>0</v>
      </c>
      <c r="AM6" s="7">
        <f>IF(AM$3&lt;=Inputs!$B$121,Inputs!$B$120,0)*(1+inf)^AL$1</f>
        <v>0</v>
      </c>
    </row>
    <row r="7" spans="1:39" x14ac:dyDescent="0.2">
      <c r="A7" s="4" t="s">
        <v>63</v>
      </c>
      <c r="B7" s="8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  <c r="AG7" s="7"/>
      <c r="AH7" s="7"/>
      <c r="AI7" s="7"/>
      <c r="AJ7" s="7"/>
      <c r="AK7" s="7"/>
      <c r="AL7" s="7"/>
      <c r="AM7" s="7"/>
    </row>
    <row r="8" spans="1:39" x14ac:dyDescent="0.2">
      <c r="A8" s="3" t="str">
        <f>TEXT(Inputs!$B$61,"")</f>
        <v>Sliema</v>
      </c>
      <c r="C8" s="7">
        <f ca="1">Inputs!B114*ProRate</f>
        <v>9000</v>
      </c>
      <c r="D8" s="7">
        <f t="shared" ref="D8:S12" ca="1" si="32">C8*(1+rinc)</f>
        <v>9270</v>
      </c>
      <c r="E8" s="7">
        <f t="shared" ca="1" si="32"/>
        <v>9548.1</v>
      </c>
      <c r="F8" s="7">
        <f t="shared" ca="1" si="32"/>
        <v>9834.5430000000015</v>
      </c>
      <c r="G8" s="7">
        <f t="shared" ca="1" si="32"/>
        <v>10129.579290000001</v>
      </c>
      <c r="H8" s="7">
        <f t="shared" ca="1" si="32"/>
        <v>10433.466668700003</v>
      </c>
      <c r="I8" s="7">
        <f t="shared" ca="1" si="32"/>
        <v>10746.470668761003</v>
      </c>
      <c r="J8" s="7">
        <f t="shared" ca="1" si="32"/>
        <v>11068.864788823834</v>
      </c>
      <c r="K8" s="7">
        <f t="shared" ca="1" si="32"/>
        <v>11400.930732488549</v>
      </c>
      <c r="L8" s="7">
        <f t="shared" ca="1" si="32"/>
        <v>11742.958654463206</v>
      </c>
      <c r="M8" s="7">
        <f t="shared" ca="1" si="32"/>
        <v>12095.247414097103</v>
      </c>
      <c r="N8" s="7">
        <f t="shared" ca="1" si="32"/>
        <v>12458.104836520017</v>
      </c>
      <c r="O8" s="7">
        <f t="shared" ca="1" si="32"/>
        <v>12831.847981615618</v>
      </c>
      <c r="P8" s="7">
        <f t="shared" ca="1" si="32"/>
        <v>13216.803421064087</v>
      </c>
      <c r="Q8" s="7">
        <f t="shared" ca="1" si="32"/>
        <v>13613.30752369601</v>
      </c>
      <c r="R8" s="7">
        <f t="shared" ca="1" si="32"/>
        <v>14021.706749406891</v>
      </c>
      <c r="S8" s="7">
        <f t="shared" ca="1" si="32"/>
        <v>14442.357951889098</v>
      </c>
      <c r="T8" s="7">
        <f t="shared" ref="T8:AI12" ca="1" si="33">S8*(1+rinc)</f>
        <v>14875.628690445772</v>
      </c>
      <c r="U8" s="7">
        <f t="shared" ca="1" si="33"/>
        <v>15321.897551159145</v>
      </c>
      <c r="V8" s="7">
        <f t="shared" ca="1" si="33"/>
        <v>15781.55447769392</v>
      </c>
      <c r="W8" s="7">
        <f t="shared" ca="1" si="33"/>
        <v>16255.001112024738</v>
      </c>
      <c r="X8" s="7">
        <f t="shared" ca="1" si="33"/>
        <v>16742.65114538548</v>
      </c>
      <c r="Y8" s="7">
        <f t="shared" ca="1" si="33"/>
        <v>17244.930679747045</v>
      </c>
      <c r="Z8" s="7">
        <f t="shared" ca="1" si="33"/>
        <v>17762.278600139456</v>
      </c>
      <c r="AA8" s="7">
        <f t="shared" ca="1" si="33"/>
        <v>18295.146958143639</v>
      </c>
      <c r="AB8" s="7">
        <f t="shared" ca="1" si="33"/>
        <v>18844.001366887947</v>
      </c>
      <c r="AC8" s="7">
        <f t="shared" ca="1" si="33"/>
        <v>19409.321407894586</v>
      </c>
      <c r="AD8" s="7">
        <f t="shared" ca="1" si="33"/>
        <v>19991.601050131423</v>
      </c>
      <c r="AE8" s="7">
        <f t="shared" ca="1" si="33"/>
        <v>20591.349081635366</v>
      </c>
      <c r="AF8" s="7">
        <f t="shared" ca="1" si="33"/>
        <v>21209.089554084429</v>
      </c>
      <c r="AG8" s="7">
        <f t="shared" ca="1" si="33"/>
        <v>21845.362240706963</v>
      </c>
      <c r="AH8" s="7">
        <f t="shared" ca="1" si="33"/>
        <v>22500.723107928174</v>
      </c>
      <c r="AI8" s="7">
        <f t="shared" ca="1" si="33"/>
        <v>23175.74480116602</v>
      </c>
      <c r="AJ8" s="7">
        <f t="shared" ref="AJ8:AM12" ca="1" si="34">AI8*(1+rinc)</f>
        <v>23871.017145201</v>
      </c>
      <c r="AK8" s="7">
        <f t="shared" ca="1" si="34"/>
        <v>24587.147659557031</v>
      </c>
      <c r="AL8" s="7">
        <f t="shared" ca="1" si="34"/>
        <v>25324.762089343742</v>
      </c>
      <c r="AM8" s="7">
        <f t="shared" ca="1" si="34"/>
        <v>26084.504952024054</v>
      </c>
    </row>
    <row r="9" spans="1:39" x14ac:dyDescent="0.2">
      <c r="A9" s="3" t="str">
        <f>TEXT(Inputs!$B$66,"")</f>
        <v>Gzira</v>
      </c>
      <c r="C9" s="7">
        <f ca="1">Inputs!B115*ProRate</f>
        <v>7500</v>
      </c>
      <c r="D9" s="7">
        <f t="shared" ca="1" si="32"/>
        <v>7725</v>
      </c>
      <c r="E9" s="7">
        <f t="shared" ca="1" si="32"/>
        <v>7956.75</v>
      </c>
      <c r="F9" s="7">
        <f t="shared" ca="1" si="32"/>
        <v>8195.4524999999994</v>
      </c>
      <c r="G9" s="7">
        <f t="shared" ca="1" si="32"/>
        <v>8441.3160749999988</v>
      </c>
      <c r="H9" s="7">
        <f t="shared" ca="1" si="32"/>
        <v>8694.5555572499998</v>
      </c>
      <c r="I9" s="7">
        <f t="shared" ca="1" si="32"/>
        <v>8955.3922239674994</v>
      </c>
      <c r="J9" s="7">
        <f t="shared" ca="1" si="32"/>
        <v>9224.0539906865251</v>
      </c>
      <c r="K9" s="7">
        <f t="shared" ca="1" si="32"/>
        <v>9500.7756104071213</v>
      </c>
      <c r="L9" s="7">
        <f t="shared" ca="1" si="32"/>
        <v>9785.7988787193353</v>
      </c>
      <c r="M9" s="7">
        <f t="shared" ca="1" si="32"/>
        <v>10079.372845080916</v>
      </c>
      <c r="N9" s="7">
        <f t="shared" ca="1" si="32"/>
        <v>10381.754030433343</v>
      </c>
      <c r="O9" s="7">
        <f t="shared" ca="1" si="32"/>
        <v>10693.206651346343</v>
      </c>
      <c r="P9" s="7">
        <f t="shared" ca="1" si="32"/>
        <v>11014.002850886734</v>
      </c>
      <c r="Q9" s="7">
        <f t="shared" ca="1" si="32"/>
        <v>11344.422936413337</v>
      </c>
      <c r="R9" s="7">
        <f t="shared" ca="1" si="32"/>
        <v>11684.755624505737</v>
      </c>
      <c r="S9" s="7">
        <f t="shared" ca="1" si="32"/>
        <v>12035.298293240909</v>
      </c>
      <c r="T9" s="7">
        <f t="shared" ca="1" si="33"/>
        <v>12396.357242038137</v>
      </c>
      <c r="U9" s="7">
        <f t="shared" ca="1" si="33"/>
        <v>12768.247959299282</v>
      </c>
      <c r="V9" s="7">
        <f t="shared" ca="1" si="33"/>
        <v>13151.29539807826</v>
      </c>
      <c r="W9" s="7">
        <f t="shared" ca="1" si="33"/>
        <v>13545.834260020609</v>
      </c>
      <c r="X9" s="7">
        <f t="shared" ca="1" si="33"/>
        <v>13952.209287821228</v>
      </c>
      <c r="Y9" s="7">
        <f t="shared" ca="1" si="33"/>
        <v>14370.775566455864</v>
      </c>
      <c r="Z9" s="7">
        <f t="shared" ca="1" si="33"/>
        <v>14801.898833449541</v>
      </c>
      <c r="AA9" s="7">
        <f t="shared" ca="1" si="33"/>
        <v>15245.955798453027</v>
      </c>
      <c r="AB9" s="7">
        <f t="shared" ca="1" si="33"/>
        <v>15703.334472406619</v>
      </c>
      <c r="AC9" s="7">
        <f t="shared" ca="1" si="33"/>
        <v>16174.434506578818</v>
      </c>
      <c r="AD9" s="7">
        <f t="shared" ca="1" si="33"/>
        <v>16659.667541776183</v>
      </c>
      <c r="AE9" s="7">
        <f t="shared" ca="1" si="33"/>
        <v>17159.457568029469</v>
      </c>
      <c r="AF9" s="7">
        <f t="shared" ca="1" si="33"/>
        <v>17674.241295070355</v>
      </c>
      <c r="AG9" s="7">
        <f t="shared" ca="1" si="33"/>
        <v>18204.468533922467</v>
      </c>
      <c r="AH9" s="7">
        <f t="shared" ca="1" si="33"/>
        <v>18750.602589940143</v>
      </c>
      <c r="AI9" s="7">
        <f t="shared" ca="1" si="33"/>
        <v>19313.120667638348</v>
      </c>
      <c r="AJ9" s="7">
        <f t="shared" ca="1" si="34"/>
        <v>19892.514287667498</v>
      </c>
      <c r="AK9" s="7">
        <f t="shared" ca="1" si="34"/>
        <v>20489.289716297524</v>
      </c>
      <c r="AL9" s="7">
        <f t="shared" ca="1" si="34"/>
        <v>21103.968407786451</v>
      </c>
      <c r="AM9" s="7">
        <f t="shared" ca="1" si="34"/>
        <v>21737.087460020044</v>
      </c>
    </row>
    <row r="10" spans="1:39" x14ac:dyDescent="0.2">
      <c r="A10" s="3" t="str">
        <f>TEXT(Inputs!$B$71,"")</f>
        <v>Qormi</v>
      </c>
      <c r="C10" s="7">
        <f ca="1">Inputs!B116*ProRate</f>
        <v>6000</v>
      </c>
      <c r="D10" s="7">
        <f t="shared" ca="1" si="32"/>
        <v>6180</v>
      </c>
      <c r="E10" s="7">
        <f t="shared" ca="1" si="32"/>
        <v>6365.4000000000005</v>
      </c>
      <c r="F10" s="7">
        <f t="shared" ca="1" si="32"/>
        <v>6556.362000000001</v>
      </c>
      <c r="G10" s="7">
        <f t="shared" ca="1" si="32"/>
        <v>6753.0528600000016</v>
      </c>
      <c r="H10" s="7">
        <f t="shared" ca="1" si="32"/>
        <v>6955.6444458000014</v>
      </c>
      <c r="I10" s="7">
        <f t="shared" ca="1" si="32"/>
        <v>7164.3137791740019</v>
      </c>
      <c r="J10" s="7">
        <f t="shared" ca="1" si="32"/>
        <v>7379.2431925492219</v>
      </c>
      <c r="K10" s="7">
        <f t="shared" ca="1" si="32"/>
        <v>7600.6204883256987</v>
      </c>
      <c r="L10" s="7">
        <f t="shared" ca="1" si="32"/>
        <v>7828.6391029754695</v>
      </c>
      <c r="M10" s="7">
        <f t="shared" ca="1" si="32"/>
        <v>8063.4982760647335</v>
      </c>
      <c r="N10" s="7">
        <f t="shared" ca="1" si="32"/>
        <v>8305.4032243466754</v>
      </c>
      <c r="O10" s="7">
        <f t="shared" ca="1" si="32"/>
        <v>8554.5653210770761</v>
      </c>
      <c r="P10" s="7">
        <f t="shared" ca="1" si="32"/>
        <v>8811.202280709389</v>
      </c>
      <c r="Q10" s="7">
        <f t="shared" ca="1" si="32"/>
        <v>9075.5383491306711</v>
      </c>
      <c r="R10" s="7">
        <f t="shared" ca="1" si="32"/>
        <v>9347.8044996045919</v>
      </c>
      <c r="S10" s="7">
        <f t="shared" ca="1" si="32"/>
        <v>9628.2386345927298</v>
      </c>
      <c r="T10" s="7">
        <f t="shared" ca="1" si="33"/>
        <v>9917.0857936305129</v>
      </c>
      <c r="U10" s="7">
        <f t="shared" ca="1" si="33"/>
        <v>10214.598367439428</v>
      </c>
      <c r="V10" s="7">
        <f t="shared" ca="1" si="33"/>
        <v>10521.036318462611</v>
      </c>
      <c r="W10" s="7">
        <f t="shared" ca="1" si="33"/>
        <v>10836.66740801649</v>
      </c>
      <c r="X10" s="7">
        <f t="shared" ca="1" si="33"/>
        <v>11161.767430256985</v>
      </c>
      <c r="Y10" s="7">
        <f t="shared" ca="1" si="33"/>
        <v>11496.620453164694</v>
      </c>
      <c r="Z10" s="7">
        <f t="shared" ca="1" si="33"/>
        <v>11841.519066759636</v>
      </c>
      <c r="AA10" s="7">
        <f t="shared" ca="1" si="33"/>
        <v>12196.764638762426</v>
      </c>
      <c r="AB10" s="7">
        <f t="shared" ca="1" si="33"/>
        <v>12562.6675779253</v>
      </c>
      <c r="AC10" s="7">
        <f t="shared" ca="1" si="33"/>
        <v>12939.54760526306</v>
      </c>
      <c r="AD10" s="7">
        <f t="shared" ca="1" si="33"/>
        <v>13327.734033420953</v>
      </c>
      <c r="AE10" s="7">
        <f t="shared" ca="1" si="33"/>
        <v>13727.566054423582</v>
      </c>
      <c r="AF10" s="7">
        <f t="shared" ca="1" si="33"/>
        <v>14139.39303605629</v>
      </c>
      <c r="AG10" s="7">
        <f t="shared" ca="1" si="33"/>
        <v>14563.57482713798</v>
      </c>
      <c r="AH10" s="7">
        <f t="shared" ca="1" si="33"/>
        <v>15000.482071952119</v>
      </c>
      <c r="AI10" s="7">
        <f t="shared" ca="1" si="33"/>
        <v>15450.496534110684</v>
      </c>
      <c r="AJ10" s="7">
        <f t="shared" ca="1" si="34"/>
        <v>15914.011430134004</v>
      </c>
      <c r="AK10" s="7">
        <f t="shared" ca="1" si="34"/>
        <v>16391.431773038024</v>
      </c>
      <c r="AL10" s="7">
        <f t="shared" ca="1" si="34"/>
        <v>16883.174726229165</v>
      </c>
      <c r="AM10" s="7">
        <f t="shared" ca="1" si="34"/>
        <v>17389.669968016042</v>
      </c>
    </row>
    <row r="11" spans="1:39" x14ac:dyDescent="0.2">
      <c r="A11" s="3" t="str">
        <f>TEXT(Inputs!$B$76,"")</f>
        <v>Gudja</v>
      </c>
      <c r="C11" s="7">
        <f ca="1">Inputs!B117*ProRate</f>
        <v>3750</v>
      </c>
      <c r="D11" s="7">
        <f t="shared" ca="1" si="32"/>
        <v>3862.5</v>
      </c>
      <c r="E11" s="7">
        <f t="shared" ca="1" si="32"/>
        <v>3978.375</v>
      </c>
      <c r="F11" s="7">
        <f t="shared" ca="1" si="32"/>
        <v>4097.7262499999997</v>
      </c>
      <c r="G11" s="7">
        <f t="shared" ca="1" si="32"/>
        <v>4220.6580374999994</v>
      </c>
      <c r="H11" s="7">
        <f t="shared" ca="1" si="32"/>
        <v>4347.2777786249999</v>
      </c>
      <c r="I11" s="7">
        <f t="shared" ca="1" si="32"/>
        <v>4477.6961119837497</v>
      </c>
      <c r="J11" s="7">
        <f t="shared" ca="1" si="32"/>
        <v>4612.0269953432626</v>
      </c>
      <c r="K11" s="7">
        <f t="shared" ca="1" si="32"/>
        <v>4750.3878052035607</v>
      </c>
      <c r="L11" s="7">
        <f t="shared" ca="1" si="32"/>
        <v>4892.8994393596677</v>
      </c>
      <c r="M11" s="7">
        <f t="shared" ca="1" si="32"/>
        <v>5039.6864225404579</v>
      </c>
      <c r="N11" s="7">
        <f t="shared" ca="1" si="32"/>
        <v>5190.8770152166717</v>
      </c>
      <c r="O11" s="7">
        <f t="shared" ca="1" si="32"/>
        <v>5346.6033256731716</v>
      </c>
      <c r="P11" s="7">
        <f t="shared" ca="1" si="32"/>
        <v>5507.0014254433672</v>
      </c>
      <c r="Q11" s="7">
        <f t="shared" ca="1" si="32"/>
        <v>5672.2114682066685</v>
      </c>
      <c r="R11" s="7">
        <f t="shared" ca="1" si="32"/>
        <v>5842.3778122528684</v>
      </c>
      <c r="S11" s="7">
        <f t="shared" ca="1" si="32"/>
        <v>6017.6491466204543</v>
      </c>
      <c r="T11" s="7">
        <f t="shared" ca="1" si="33"/>
        <v>6198.1786210190685</v>
      </c>
      <c r="U11" s="7">
        <f t="shared" ca="1" si="33"/>
        <v>6384.1239796496411</v>
      </c>
      <c r="V11" s="7">
        <f t="shared" ca="1" si="33"/>
        <v>6575.6476990391302</v>
      </c>
      <c r="W11" s="7">
        <f t="shared" ca="1" si="33"/>
        <v>6772.9171300103044</v>
      </c>
      <c r="X11" s="7">
        <f t="shared" ca="1" si="33"/>
        <v>6976.104643910614</v>
      </c>
      <c r="Y11" s="7">
        <f t="shared" ca="1" si="33"/>
        <v>7185.3877832279322</v>
      </c>
      <c r="Z11" s="7">
        <f t="shared" ca="1" si="33"/>
        <v>7400.9494167247703</v>
      </c>
      <c r="AA11" s="7">
        <f t="shared" ca="1" si="33"/>
        <v>7622.9778992265137</v>
      </c>
      <c r="AB11" s="7">
        <f t="shared" ca="1" si="33"/>
        <v>7851.6672362033096</v>
      </c>
      <c r="AC11" s="7">
        <f t="shared" ca="1" si="33"/>
        <v>8087.2172532894092</v>
      </c>
      <c r="AD11" s="7">
        <f t="shared" ca="1" si="33"/>
        <v>8329.8337708880917</v>
      </c>
      <c r="AE11" s="7">
        <f t="shared" ca="1" si="33"/>
        <v>8579.7287840147346</v>
      </c>
      <c r="AF11" s="7">
        <f t="shared" ca="1" si="33"/>
        <v>8837.1206475351773</v>
      </c>
      <c r="AG11" s="7">
        <f t="shared" ca="1" si="33"/>
        <v>9102.2342669612335</v>
      </c>
      <c r="AH11" s="7">
        <f t="shared" ca="1" si="33"/>
        <v>9375.3012949700715</v>
      </c>
      <c r="AI11" s="7">
        <f t="shared" ca="1" si="33"/>
        <v>9656.560333819174</v>
      </c>
      <c r="AJ11" s="7">
        <f t="shared" ca="1" si="34"/>
        <v>9946.2571438337491</v>
      </c>
      <c r="AK11" s="7">
        <f t="shared" ca="1" si="34"/>
        <v>10244.644858148762</v>
      </c>
      <c r="AL11" s="7">
        <f t="shared" ca="1" si="34"/>
        <v>10551.984203893226</v>
      </c>
      <c r="AM11" s="7">
        <f t="shared" ca="1" si="34"/>
        <v>10868.543730010022</v>
      </c>
    </row>
    <row r="12" spans="1:39" x14ac:dyDescent="0.2">
      <c r="A12" s="3" t="str">
        <f>TEXT(Inputs!$B$81,"")</f>
        <v>Marsa</v>
      </c>
      <c r="C12" s="7">
        <f ca="1">Inputs!B118*ProRate</f>
        <v>4875</v>
      </c>
      <c r="D12" s="7">
        <f t="shared" ca="1" si="32"/>
        <v>5021.25</v>
      </c>
      <c r="E12" s="7">
        <f t="shared" ca="1" si="32"/>
        <v>5171.8874999999998</v>
      </c>
      <c r="F12" s="7">
        <f t="shared" ca="1" si="32"/>
        <v>5327.0441250000003</v>
      </c>
      <c r="G12" s="7">
        <f t="shared" ca="1" si="32"/>
        <v>5486.8554487500005</v>
      </c>
      <c r="H12" s="7">
        <f t="shared" ca="1" si="32"/>
        <v>5651.4611122125007</v>
      </c>
      <c r="I12" s="7">
        <f t="shared" ca="1" si="32"/>
        <v>5821.0049455788758</v>
      </c>
      <c r="J12" s="7">
        <f t="shared" ca="1" si="32"/>
        <v>5995.6350939462418</v>
      </c>
      <c r="K12" s="7">
        <f t="shared" ca="1" si="32"/>
        <v>6175.5041467646288</v>
      </c>
      <c r="L12" s="7">
        <f t="shared" ca="1" si="32"/>
        <v>6360.7692711675681</v>
      </c>
      <c r="M12" s="7">
        <f t="shared" ca="1" si="32"/>
        <v>6551.5923493025957</v>
      </c>
      <c r="N12" s="7">
        <f t="shared" ca="1" si="32"/>
        <v>6748.140119781674</v>
      </c>
      <c r="O12" s="7">
        <f t="shared" ca="1" si="32"/>
        <v>6950.5843233751248</v>
      </c>
      <c r="P12" s="7">
        <f t="shared" ca="1" si="32"/>
        <v>7159.1018530763786</v>
      </c>
      <c r="Q12" s="7">
        <f t="shared" ca="1" si="32"/>
        <v>7373.8749086686703</v>
      </c>
      <c r="R12" s="7">
        <f t="shared" ca="1" si="32"/>
        <v>7595.0911559287306</v>
      </c>
      <c r="S12" s="7">
        <f t="shared" ca="1" si="32"/>
        <v>7822.9438906065925</v>
      </c>
      <c r="T12" s="7">
        <f t="shared" ca="1" si="33"/>
        <v>8057.6322073247902</v>
      </c>
      <c r="U12" s="7">
        <f t="shared" ca="1" si="33"/>
        <v>8299.3611735445338</v>
      </c>
      <c r="V12" s="7">
        <f t="shared" ca="1" si="33"/>
        <v>8548.3420087508694</v>
      </c>
      <c r="W12" s="7">
        <f t="shared" ca="1" si="33"/>
        <v>8804.7922690133964</v>
      </c>
      <c r="X12" s="7">
        <f t="shared" ca="1" si="33"/>
        <v>9068.9360370837985</v>
      </c>
      <c r="Y12" s="7">
        <f t="shared" ca="1" si="33"/>
        <v>9341.0041181963134</v>
      </c>
      <c r="Z12" s="7">
        <f t="shared" ca="1" si="33"/>
        <v>9621.2342417422024</v>
      </c>
      <c r="AA12" s="7">
        <f t="shared" ca="1" si="33"/>
        <v>9909.8712689944696</v>
      </c>
      <c r="AB12" s="7">
        <f t="shared" ca="1" si="33"/>
        <v>10207.167407064304</v>
      </c>
      <c r="AC12" s="7">
        <f t="shared" ca="1" si="33"/>
        <v>10513.382429276233</v>
      </c>
      <c r="AD12" s="7">
        <f t="shared" ca="1" si="33"/>
        <v>10828.783902154521</v>
      </c>
      <c r="AE12" s="7">
        <f t="shared" ca="1" si="33"/>
        <v>11153.647419219156</v>
      </c>
      <c r="AF12" s="7">
        <f t="shared" ca="1" si="33"/>
        <v>11488.256841795732</v>
      </c>
      <c r="AG12" s="7">
        <f t="shared" ca="1" si="33"/>
        <v>11832.904547049604</v>
      </c>
      <c r="AH12" s="7">
        <f t="shared" ca="1" si="33"/>
        <v>12187.891683461092</v>
      </c>
      <c r="AI12" s="7">
        <f t="shared" ca="1" si="33"/>
        <v>12553.528433964924</v>
      </c>
      <c r="AJ12" s="7">
        <f t="shared" ca="1" si="34"/>
        <v>12930.134286983872</v>
      </c>
      <c r="AK12" s="7">
        <f t="shared" ca="1" si="34"/>
        <v>13318.038315593389</v>
      </c>
      <c r="AL12" s="7">
        <f t="shared" ca="1" si="34"/>
        <v>13717.579465061192</v>
      </c>
      <c r="AM12" s="7">
        <f t="shared" ca="1" si="34"/>
        <v>14129.106849013027</v>
      </c>
    </row>
    <row r="13" spans="1:39" x14ac:dyDescent="0.2">
      <c r="A13" s="4" t="s">
        <v>72</v>
      </c>
      <c r="B13" s="8"/>
      <c r="C13" s="7">
        <f ca="1">IF(C$3&lt;Inputs!$B$20,0,Inputs!$B$22)*(1+inf)^B$1*ProRate</f>
        <v>0</v>
      </c>
      <c r="D13" s="7">
        <f>IF(D$3&lt;Inputs!$B$20,0,Inputs!$B$22)*(1+inf)^C$1</f>
        <v>0</v>
      </c>
      <c r="E13" s="7">
        <f>IF(E$3&lt;Inputs!$B$20,0,Inputs!$B$22)*(1+inf)^D$1</f>
        <v>0</v>
      </c>
      <c r="F13" s="7">
        <f>IF(F$3&lt;Inputs!$B$20,0,Inputs!$B$22)*(1+inf)^E$1</f>
        <v>0</v>
      </c>
      <c r="G13" s="7">
        <f>IF(G$3&lt;Inputs!$B$20,0,Inputs!$B$22)*(1+inf)^F$1</f>
        <v>0</v>
      </c>
      <c r="H13" s="7">
        <f>IF(H$3&lt;Inputs!$B$20,0,Inputs!$B$22)*(1+inf)^G$1</f>
        <v>0</v>
      </c>
      <c r="I13" s="7">
        <f>IF(I$3&lt;Inputs!$B$20,0,Inputs!$B$22)*(1+inf)^H$1</f>
        <v>0</v>
      </c>
      <c r="J13" s="7">
        <f>IF(J$3&lt;Inputs!$B$20,0,Inputs!$B$22)*(1+inf)^I$1</f>
        <v>0</v>
      </c>
      <c r="K13" s="7">
        <f>IF(K$3&lt;Inputs!$B$20,0,Inputs!$B$22)*(1+inf)^J$1</f>
        <v>0</v>
      </c>
      <c r="L13" s="7">
        <f>IF(L$3&lt;Inputs!$B$20,0,Inputs!$B$22)*(1+inf)^K$1</f>
        <v>0</v>
      </c>
      <c r="M13" s="7">
        <f>IF(M$3&lt;Inputs!$B$20,0,Inputs!$B$22)*(1+inf)^L$1</f>
        <v>0</v>
      </c>
      <c r="N13" s="7">
        <f>IF(N$3&lt;Inputs!$B$20,0,Inputs!$B$22)*(1+inf)^M$1</f>
        <v>0</v>
      </c>
      <c r="O13" s="7">
        <f>IF(O$3&lt;Inputs!$B$20,0,Inputs!$B$22)*(1+inf)^N$1</f>
        <v>0</v>
      </c>
      <c r="P13" s="7">
        <f>IF(P$3&lt;Inputs!$B$20,0,Inputs!$B$22)*(1+inf)^O$1</f>
        <v>0</v>
      </c>
      <c r="Q13" s="7">
        <f>IF(Q$3&lt;Inputs!$B$20,0,Inputs!$B$22)*(1+inf)^P$1</f>
        <v>0</v>
      </c>
      <c r="R13" s="7">
        <f>IF(R$3&lt;Inputs!$B$20,0,Inputs!$B$22)*(1+inf)^Q$1</f>
        <v>0</v>
      </c>
      <c r="S13" s="7">
        <f>IF(S$3&lt;Inputs!$B$20,0,Inputs!$B$22)*(1+inf)^R$1</f>
        <v>0</v>
      </c>
      <c r="T13" s="7">
        <f>IF(T$3&lt;Inputs!$B$20,0,Inputs!$B$22)*(1+inf)^S$1</f>
        <v>24345.892178833234</v>
      </c>
      <c r="U13" s="7">
        <f>IF(U$3&lt;Inputs!$B$20,0,Inputs!$B$22)*(1+inf)^T$1</f>
        <v>24954.539483304063</v>
      </c>
      <c r="V13" s="7">
        <f>IF(V$3&lt;Inputs!$B$20,0,Inputs!$B$22)*(1+inf)^U$1</f>
        <v>25578.402970386665</v>
      </c>
      <c r="W13" s="7">
        <f>IF(W$3&lt;Inputs!$B$20,0,Inputs!$B$22)*(1+inf)^V$1</f>
        <v>26217.863044646328</v>
      </c>
      <c r="X13" s="7">
        <f>IF(X$3&lt;Inputs!$B$20,0,Inputs!$B$22)*(1+inf)^W$1</f>
        <v>26873.309620762484</v>
      </c>
      <c r="Y13" s="7">
        <f>IF(Y$3&lt;Inputs!$B$20,0,Inputs!$B$22)*(1+inf)^X$1</f>
        <v>27545.142361281545</v>
      </c>
      <c r="Z13" s="7">
        <f>IF(Z$3&lt;Inputs!$B$20,0,Inputs!$B$22)*(1+inf)^Y$1</f>
        <v>28233.770920313586</v>
      </c>
      <c r="AA13" s="7">
        <f>IF(AA$3&lt;Inputs!$B$20,0,Inputs!$B$22)*(1+inf)^Z$1</f>
        <v>28939.615193321424</v>
      </c>
      <c r="AB13" s="7">
        <f>IF(AB$3&lt;Inputs!$B$20,0,Inputs!$B$22)*(1+inf)^AA$1</f>
        <v>29663.105573154455</v>
      </c>
      <c r="AC13" s="7">
        <f>IF(AC$3&lt;Inputs!$B$20,0,Inputs!$B$22)*(1+inf)^AB$1</f>
        <v>30404.683212483313</v>
      </c>
      <c r="AD13" s="7">
        <f>IF(AD$3&lt;Inputs!$B$20,0,Inputs!$B$22)*(1+inf)^AC$1</f>
        <v>31164.800292795393</v>
      </c>
      <c r="AE13" s="7">
        <f>IF(AE$3&lt;Inputs!$B$20,0,Inputs!$B$22)*(1+inf)^AD$1</f>
        <v>31943.920300115278</v>
      </c>
      <c r="AF13" s="7">
        <f>IF(AF$3&lt;Inputs!$B$20,0,Inputs!$B$22)*(1+inf)^AE$1</f>
        <v>32742.518307618164</v>
      </c>
      <c r="AG13" s="7">
        <f>IF(AG$3&lt;Inputs!$B$20,0,Inputs!$B$22)*(1+inf)^AF$1</f>
        <v>33561.08126530861</v>
      </c>
      <c r="AH13" s="7">
        <f>IF(AH$3&lt;Inputs!$B$20,0,Inputs!$B$22)*(1+inf)^AG$1</f>
        <v>34400.108296941333</v>
      </c>
      <c r="AI13" s="7">
        <f>IF(AI$3&lt;Inputs!$B$20,0,Inputs!$B$22)*(1+inf)^AH$1</f>
        <v>35260.111004364859</v>
      </c>
      <c r="AJ13" s="7">
        <f>IF(AJ$3&lt;Inputs!$B$20,0,Inputs!$B$22)*(1+inf)^AI$1</f>
        <v>36141.613779473977</v>
      </c>
      <c r="AK13" s="7">
        <f>IF(AK$3&lt;Inputs!$B$20,0,Inputs!$B$22)*(1+inf)^AJ$1</f>
        <v>37045.154123960827</v>
      </c>
      <c r="AL13" s="7">
        <f>IF(AL$3&lt;Inputs!$B$20,0,Inputs!$B$22)*(1+inf)^AK$1</f>
        <v>37971.28297705984</v>
      </c>
      <c r="AM13" s="7">
        <f>IF(AM$3&lt;Inputs!$B$20,0,Inputs!$B$22)*(1+inf)^AL$1</f>
        <v>38920.565051486345</v>
      </c>
    </row>
    <row r="14" spans="1:39" x14ac:dyDescent="0.2">
      <c r="A14" s="4" t="s">
        <v>73</v>
      </c>
      <c r="B14" s="8"/>
      <c r="C14" s="7">
        <f ca="1">MIN(0,MAX(-IF(C13=0,0,(Inputs!$B$20-INDEX(3:3,MATCH(0,5:5,0))))*Inputs!$B$278*(1+inf)^B$1*ProRate,-C13))</f>
        <v>0</v>
      </c>
      <c r="D14" s="7">
        <f>MIN(0,MAX(-IF(D13=0,0,(Inputs!$B$20-INDEX(3:3,MATCH(0,5:5,0))))*Inputs!$B$278*(1+inf)^C$1,-D13))</f>
        <v>0</v>
      </c>
      <c r="E14" s="7">
        <f>MIN(0,MAX(-IF(E13=0,0,(Inputs!$B$20-INDEX(3:3,MATCH(0,5:5,0))))*Inputs!$B$278*(1+inf)^D$1,-E13))</f>
        <v>0</v>
      </c>
      <c r="F14" s="7">
        <f>MIN(0,MAX(-IF(F13=0,0,(Inputs!$B$20-INDEX(3:3,MATCH(0,5:5,0))))*Inputs!$B$278*(1+inf)^E$1,-F13))</f>
        <v>0</v>
      </c>
      <c r="G14" s="7">
        <f>MIN(0,MAX(-IF(G13=0,0,(Inputs!$B$20-INDEX(3:3,MATCH(0,5:5,0))))*Inputs!$B$278*(1+inf)^F$1,-G13))</f>
        <v>0</v>
      </c>
      <c r="H14" s="7">
        <f>MIN(0,MAX(-IF(H13=0,0,(Inputs!$B$20-INDEX(3:3,MATCH(0,5:5,0))))*Inputs!$B$278*(1+inf)^G$1,-H13))</f>
        <v>0</v>
      </c>
      <c r="I14" s="7">
        <f>MIN(0,MAX(-IF(I13=0,0,(Inputs!$B$20-INDEX(3:3,MATCH(0,5:5,0))))*Inputs!$B$278*(1+inf)^H$1,-I13))</f>
        <v>0</v>
      </c>
      <c r="J14" s="7">
        <f>MIN(0,MAX(-IF(J13=0,0,(Inputs!$B$20-INDEX(3:3,MATCH(0,5:5,0))))*Inputs!$B$278*(1+inf)^I$1,-J13))</f>
        <v>0</v>
      </c>
      <c r="K14" s="7">
        <f>MIN(0,MAX(-IF(K13=0,0,(Inputs!$B$20-INDEX(3:3,MATCH(0,5:5,0))))*Inputs!$B$278*(1+inf)^J$1,-K13))</f>
        <v>0</v>
      </c>
      <c r="L14" s="7">
        <f>MIN(0,MAX(-IF(L13=0,0,(Inputs!$B$20-INDEX(3:3,MATCH(0,5:5,0))))*Inputs!$B$278*(1+inf)^K$1,-L13))</f>
        <v>0</v>
      </c>
      <c r="M14" s="7">
        <f>MIN(0,MAX(-IF(M13=0,0,(Inputs!$B$20-INDEX(3:3,MATCH(0,5:5,0))))*Inputs!$B$278*(1+inf)^L$1,-M13))</f>
        <v>0</v>
      </c>
      <c r="N14" s="7">
        <f>MIN(0,MAX(-IF(N13=0,0,(Inputs!$B$20-INDEX(3:3,MATCH(0,5:5,0))))*Inputs!$B$278*(1+inf)^M$1,-N13))</f>
        <v>0</v>
      </c>
      <c r="O14" s="7">
        <f>MIN(0,MAX(-IF(O13=0,0,(Inputs!$B$20-INDEX(3:3,MATCH(0,5:5,0))))*Inputs!$B$278*(1+inf)^N$1,-O13))</f>
        <v>0</v>
      </c>
      <c r="P14" s="7">
        <f>MIN(0,MAX(-IF(P13=0,0,(Inputs!$B$20-INDEX(3:3,MATCH(0,5:5,0))))*Inputs!$B$278*(1+inf)^O$1,-P13))</f>
        <v>0</v>
      </c>
      <c r="Q14" s="7">
        <f>MIN(0,MAX(-IF(Q13=0,0,(Inputs!$B$20-INDEX(3:3,MATCH(0,5:5,0))))*Inputs!$B$278*(1+inf)^P$1,-Q13))</f>
        <v>0</v>
      </c>
      <c r="R14" s="7">
        <f>MIN(0,MAX(-IF(R13=0,0,(Inputs!$B$20-INDEX(3:3,MATCH(0,5:5,0))))*Inputs!$B$278*(1+inf)^Q$1,-R13))</f>
        <v>0</v>
      </c>
      <c r="S14" s="7">
        <f>MIN(0,MAX(-IF(S13=0,0,(Inputs!$B$20-INDEX(3:3,MATCH(0,5:5,0))))*Inputs!$B$278*(1+inf)^R$1,-S13))</f>
        <v>0</v>
      </c>
      <c r="T14" s="7">
        <f ca="1">MIN(0,MAX(-IF(T13=0,0,(Inputs!$B$20-INDEX(3:3,MATCH(0,5:5,0))))*Inputs!$B$278*(1+inf)^S$1,-T13))</f>
        <v>0</v>
      </c>
      <c r="U14" s="7">
        <f ca="1">MIN(0,MAX(-IF(U13=0,0,(Inputs!$B$20-INDEX(3:3,MATCH(0,5:5,0))))*Inputs!$B$278*(1+inf)^T$1,-U13))</f>
        <v>0</v>
      </c>
      <c r="V14" s="7">
        <f ca="1">MIN(0,MAX(-IF(V13=0,0,(Inputs!$B$20-INDEX(3:3,MATCH(0,5:5,0))))*Inputs!$B$278*(1+inf)^U$1,-V13))</f>
        <v>0</v>
      </c>
      <c r="W14" s="7">
        <f ca="1">MIN(0,MAX(-IF(W13=0,0,(Inputs!$B$20-INDEX(3:3,MATCH(0,5:5,0))))*Inputs!$B$278*(1+inf)^V$1,-W13))</f>
        <v>0</v>
      </c>
      <c r="X14" s="7">
        <f ca="1">MIN(0,MAX(-IF(X13=0,0,(Inputs!$B$20-INDEX(3:3,MATCH(0,5:5,0))))*Inputs!$B$278*(1+inf)^W$1,-X13))</f>
        <v>0</v>
      </c>
      <c r="Y14" s="7">
        <f ca="1">MIN(0,MAX(-IF(Y13=0,0,(Inputs!$B$20-INDEX(3:3,MATCH(0,5:5,0))))*Inputs!$B$278*(1+inf)^X$1,-Y13))</f>
        <v>0</v>
      </c>
      <c r="Z14" s="7">
        <f ca="1">MIN(0,MAX(-IF(Z13=0,0,(Inputs!$B$20-INDEX(3:3,MATCH(0,5:5,0))))*Inputs!$B$278*(1+inf)^Y$1,-Z13))</f>
        <v>0</v>
      </c>
      <c r="AA14" s="7">
        <f ca="1">MIN(0,MAX(-IF(AA13=0,0,(Inputs!$B$20-INDEX(3:3,MATCH(0,5:5,0))))*Inputs!$B$278*(1+inf)^Z$1,-AA13))</f>
        <v>0</v>
      </c>
      <c r="AB14" s="7">
        <f ca="1">MIN(0,MAX(-IF(AB13=0,0,(Inputs!$B$20-INDEX(3:3,MATCH(0,5:5,0))))*Inputs!$B$278*(1+inf)^AA$1,-AB13))</f>
        <v>0</v>
      </c>
      <c r="AC14" s="7">
        <f ca="1">MIN(0,MAX(-IF(AC13=0,0,(Inputs!$B$20-INDEX(3:3,MATCH(0,5:5,0))))*Inputs!$B$278*(1+inf)^AB$1,-AC13))</f>
        <v>0</v>
      </c>
      <c r="AD14" s="7">
        <f ca="1">MIN(0,MAX(-IF(AD13=0,0,(Inputs!$B$20-INDEX(3:3,MATCH(0,5:5,0))))*Inputs!$B$278*(1+inf)^AC$1,-AD13))</f>
        <v>0</v>
      </c>
      <c r="AE14" s="7">
        <f ca="1">MIN(0,MAX(-IF(AE13=0,0,(Inputs!$B$20-INDEX(3:3,MATCH(0,5:5,0))))*Inputs!$B$278*(1+inf)^AD$1,-AE13))</f>
        <v>0</v>
      </c>
      <c r="AF14" s="7">
        <f ca="1">MIN(0,MAX(-IF(AF13=0,0,(Inputs!$B$20-INDEX(3:3,MATCH(0,5:5,0))))*Inputs!$B$278*(1+inf)^AE$1,-AF13))</f>
        <v>0</v>
      </c>
      <c r="AG14" s="7">
        <f ca="1">MIN(0,MAX(-IF(AG13=0,0,(Inputs!$B$20-INDEX(3:3,MATCH(0,5:5,0))))*Inputs!$B$278*(1+inf)^AF$1,-AG13))</f>
        <v>0</v>
      </c>
      <c r="AH14" s="7">
        <f ca="1">MIN(0,MAX(-IF(AH13=0,0,(Inputs!$B$20-INDEX(3:3,MATCH(0,5:5,0))))*Inputs!$B$278*(1+inf)^AG$1,-AH13))</f>
        <v>0</v>
      </c>
      <c r="AI14" s="7">
        <f ca="1">MIN(0,MAX(-IF(AI13=0,0,(Inputs!$B$20-INDEX(3:3,MATCH(0,5:5,0))))*Inputs!$B$278*(1+inf)^AH$1,-AI13))</f>
        <v>0</v>
      </c>
      <c r="AJ14" s="7">
        <f ca="1">MIN(0,MAX(-IF(AJ13=0,0,(Inputs!$B$20-INDEX(3:3,MATCH(0,5:5,0))))*Inputs!$B$278*(1+inf)^AI$1,-AJ13))</f>
        <v>0</v>
      </c>
      <c r="AK14" s="7">
        <f ca="1">MIN(0,MAX(-IF(AK13=0,0,(Inputs!$B$20-INDEX(3:3,MATCH(0,5:5,0))))*Inputs!$B$278*(1+inf)^AJ$1,-AK13))</f>
        <v>0</v>
      </c>
      <c r="AL14" s="7">
        <f ca="1">MIN(0,MAX(-IF(AL13=0,0,(Inputs!$B$20-INDEX(3:3,MATCH(0,5:5,0))))*Inputs!$B$278*(1+inf)^AK$1,-AL13))</f>
        <v>0</v>
      </c>
      <c r="AM14" s="7">
        <f ca="1">MIN(0,MAX(-IF(AM13=0,0,(Inputs!$B$20-INDEX(3:3,MATCH(0,5:5,0))))*Inputs!$B$278*(1+inf)^AL$1,-AM13))</f>
        <v>0</v>
      </c>
    </row>
    <row r="15" spans="1:39" x14ac:dyDescent="0.2">
      <c r="A15" s="4" t="s">
        <v>47</v>
      </c>
      <c r="B15" s="8"/>
      <c r="C15" s="7">
        <f ca="1">IF(AND(C$3&gt;=Inputs!$B$263,C$3&lt;=Inputs!$B$264),Inputs!$B$262*(1+inf)^B$1,0)*ProRate</f>
        <v>0</v>
      </c>
      <c r="D15" s="7">
        <f>IF(AND(D$3&gt;=Inputs!$B$263,D$3&lt;=Inputs!$B$264),Inputs!$B$262*(1+inf)^C$1,0)</f>
        <v>0</v>
      </c>
      <c r="E15" s="7">
        <f>IF(AND(E$3&gt;=Inputs!$B$263,E$3&lt;=Inputs!$B$264),Inputs!$B$262*(1+inf)^D$1,0)</f>
        <v>0</v>
      </c>
      <c r="F15" s="7">
        <f>IF(AND(F$3&gt;=Inputs!$B$263,F$3&lt;=Inputs!$B$264),Inputs!$B$262*(1+inf)^E$1,0)</f>
        <v>0</v>
      </c>
      <c r="G15" s="7">
        <f>IF(AND(G$3&gt;=Inputs!$B$263,G$3&lt;=Inputs!$B$264),Inputs!$B$262*(1+inf)^F$1,0)</f>
        <v>0</v>
      </c>
      <c r="H15" s="7">
        <f>IF(AND(H$3&gt;=Inputs!$B$263,H$3&lt;=Inputs!$B$264),Inputs!$B$262*(1+inf)^G$1,0)</f>
        <v>0</v>
      </c>
      <c r="I15" s="7">
        <f>IF(AND(I$3&gt;=Inputs!$B$263,I$3&lt;=Inputs!$B$264),Inputs!$B$262*(1+inf)^H$1,0)</f>
        <v>0</v>
      </c>
      <c r="J15" s="7">
        <f>IF(AND(J$3&gt;=Inputs!$B$263,J$3&lt;=Inputs!$B$264),Inputs!$B$262*(1+inf)^I$1,0)</f>
        <v>0</v>
      </c>
      <c r="K15" s="7">
        <f>IF(AND(K$3&gt;=Inputs!$B$263,K$3&lt;=Inputs!$B$264),Inputs!$B$262*(1+inf)^J$1,0)</f>
        <v>0</v>
      </c>
      <c r="L15" s="7">
        <f>IF(AND(L$3&gt;=Inputs!$B$263,L$3&lt;=Inputs!$B$264),Inputs!$B$262*(1+inf)^K$1,0)</f>
        <v>0</v>
      </c>
      <c r="M15" s="7">
        <f>IF(AND(M$3&gt;=Inputs!$B$263,M$3&lt;=Inputs!$B$264),Inputs!$B$262*(1+inf)^L$1,0)</f>
        <v>15361.014530356286</v>
      </c>
      <c r="N15" s="7">
        <f>IF(AND(N$3&gt;=Inputs!$B$263,N$3&lt;=Inputs!$B$264),Inputs!$B$262*(1+inf)^M$1,0)</f>
        <v>15745.039893615192</v>
      </c>
      <c r="O15" s="7">
        <f>IF(AND(O$3&gt;=Inputs!$B$263,O$3&lt;=Inputs!$B$264),Inputs!$B$262*(1+inf)^N$1,0)</f>
        <v>16138.66589095557</v>
      </c>
      <c r="P15" s="7">
        <f>IF(AND(P$3&gt;=Inputs!$B$263,P$3&lt;=Inputs!$B$264),Inputs!$B$262*(1+inf)^O$1,0)</f>
        <v>16542.13253822946</v>
      </c>
      <c r="Q15" s="7">
        <f>IF(AND(Q$3&gt;=Inputs!$B$263,Q$3&lt;=Inputs!$B$264),Inputs!$B$262*(1+inf)^P$1,0)</f>
        <v>16955.685851685193</v>
      </c>
      <c r="R15" s="7">
        <f>IF(AND(R$3&gt;=Inputs!$B$263,R$3&lt;=Inputs!$B$264),Inputs!$B$262*(1+inf)^Q$1,0)</f>
        <v>17379.577997977325</v>
      </c>
      <c r="S15" s="7">
        <f>IF(AND(S$3&gt;=Inputs!$B$263,S$3&lt;=Inputs!$B$264),Inputs!$B$262*(1+inf)^R$1,0)</f>
        <v>17814.067447926758</v>
      </c>
      <c r="T15" s="7">
        <f>IF(AND(T$3&gt;=Inputs!$B$263,T$3&lt;=Inputs!$B$264),Inputs!$B$262*(1+inf)^S$1,0)</f>
        <v>18259.419134124924</v>
      </c>
      <c r="U15" s="7">
        <f>IF(AND(U$3&gt;=Inputs!$B$263,U$3&lt;=Inputs!$B$264),Inputs!$B$262*(1+inf)^T$1,0)</f>
        <v>18715.904612478047</v>
      </c>
      <c r="V15" s="7">
        <f>IF(AND(V$3&gt;=Inputs!$B$263,V$3&lt;=Inputs!$B$264),Inputs!$B$262*(1+inf)^U$1,0)</f>
        <v>19183.802227789998</v>
      </c>
      <c r="W15" s="7">
        <f>IF(AND(W$3&gt;=Inputs!$B$263,W$3&lt;=Inputs!$B$264),Inputs!$B$262*(1+inf)^V$1,0)</f>
        <v>19663.397283484748</v>
      </c>
      <c r="X15" s="7">
        <f>IF(AND(X$3&gt;=Inputs!$B$263,X$3&lt;=Inputs!$B$264),Inputs!$B$262*(1+inf)^W$1,0)</f>
        <v>20154.982215571865</v>
      </c>
      <c r="Y15" s="7">
        <f>IF(AND(Y$3&gt;=Inputs!$B$263,Y$3&lt;=Inputs!$B$264),Inputs!$B$262*(1+inf)^X$1,0)</f>
        <v>0</v>
      </c>
      <c r="Z15" s="7">
        <f>IF(AND(Z$3&gt;=Inputs!$B$263,Z$3&lt;=Inputs!$B$264),Inputs!$B$262*(1+inf)^Y$1,0)</f>
        <v>0</v>
      </c>
      <c r="AA15" s="7">
        <f>IF(AND(AA$3&gt;=Inputs!$B$263,AA$3&lt;=Inputs!$B$264),Inputs!$B$262*(1+inf)^Z$1,0)</f>
        <v>0</v>
      </c>
      <c r="AB15" s="7">
        <f>IF(AND(AB$3&gt;=Inputs!$B$263,AB$3&lt;=Inputs!$B$264),Inputs!$B$262*(1+inf)^AA$1,0)</f>
        <v>0</v>
      </c>
      <c r="AC15" s="7">
        <f>IF(AND(AC$3&gt;=Inputs!$B$263,AC$3&lt;=Inputs!$B$264),Inputs!$B$262*(1+inf)^AB$1,0)</f>
        <v>0</v>
      </c>
      <c r="AD15" s="7">
        <f>IF(AND(AD$3&gt;=Inputs!$B$263,AD$3&lt;=Inputs!$B$264),Inputs!$B$262*(1+inf)^AC$1,0)</f>
        <v>0</v>
      </c>
      <c r="AE15" s="7">
        <f>IF(AND(AE$3&gt;=Inputs!$B$263,AE$3&lt;=Inputs!$B$264),Inputs!$B$262*(1+inf)^AD$1,0)</f>
        <v>0</v>
      </c>
      <c r="AF15" s="7">
        <f>IF(AND(AF$3&gt;=Inputs!$B$263,AF$3&lt;=Inputs!$B$264),Inputs!$B$262*(1+inf)^AE$1,0)</f>
        <v>0</v>
      </c>
      <c r="AG15" s="7">
        <f>IF(AND(AG$3&gt;=Inputs!$B$263,AG$3&lt;=Inputs!$B$264),Inputs!$B$262*(1+inf)^AF$1,0)</f>
        <v>0</v>
      </c>
      <c r="AH15" s="7">
        <f>IF(AND(AH$3&gt;=Inputs!$B$263,AH$3&lt;=Inputs!$B$264),Inputs!$B$262*(1+inf)^AG$1,0)</f>
        <v>0</v>
      </c>
      <c r="AI15" s="7">
        <f>IF(AND(AI$3&gt;=Inputs!$B$263,AI$3&lt;=Inputs!$B$264),Inputs!$B$262*(1+inf)^AH$1,0)</f>
        <v>0</v>
      </c>
      <c r="AJ15" s="7">
        <f>IF(AND(AJ$3&gt;=Inputs!$B$263,AJ$3&lt;=Inputs!$B$264),Inputs!$B$262*(1+inf)^AI$1,0)</f>
        <v>0</v>
      </c>
      <c r="AK15" s="7">
        <f>IF(AND(AK$3&gt;=Inputs!$B$263,AK$3&lt;=Inputs!$B$264),Inputs!$B$262*(1+inf)^AJ$1,0)</f>
        <v>0</v>
      </c>
      <c r="AL15" s="7">
        <f>IF(AND(AL$3&gt;=Inputs!$B$263,AL$3&lt;=Inputs!$B$264),Inputs!$B$262*(1+inf)^AK$1,0)</f>
        <v>0</v>
      </c>
      <c r="AM15" s="7">
        <f>IF(AND(AM$3&gt;=Inputs!$B$263,AM$3&lt;=Inputs!$B$264),Inputs!$B$262*(1+inf)^AL$1,0)</f>
        <v>0</v>
      </c>
    </row>
    <row r="16" spans="1:39" x14ac:dyDescent="0.2">
      <c r="A16" s="4" t="s">
        <v>130</v>
      </c>
      <c r="B16" s="8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</row>
    <row r="17" spans="1:39" x14ac:dyDescent="0.2">
      <c r="A17" s="3" t="str">
        <f>TEXT(Inputs!B185,"")</f>
        <v>Inheritance</v>
      </c>
      <c r="B17" s="8"/>
      <c r="C17" s="7">
        <f ca="1">IF(C$2=Inputs!$B187,Inputs!$B186,0)*(1+inf)^B$1</f>
        <v>0</v>
      </c>
      <c r="D17" s="7">
        <f ca="1">IF(D$2=Inputs!$B187,Inputs!$B186,0)*(1+inf)^C$1</f>
        <v>0</v>
      </c>
      <c r="E17" s="7">
        <f ca="1">IF(E$2=Inputs!$B187,Inputs!$B186,0)*(1+inf)^D$1</f>
        <v>0</v>
      </c>
      <c r="F17" s="7">
        <f ca="1">IF(F$2=Inputs!$B187,Inputs!$B186,0)*(1+inf)^E$1</f>
        <v>0</v>
      </c>
      <c r="G17" s="7">
        <f ca="1">IF(G$2=Inputs!$B187,Inputs!$B186,0)*(1+inf)^F$1</f>
        <v>0</v>
      </c>
      <c r="H17" s="7">
        <f ca="1">IF(H$2=Inputs!$B187,Inputs!$B186,0)*(1+inf)^G$1</f>
        <v>0</v>
      </c>
      <c r="I17" s="7">
        <f ca="1">IF(I$2=Inputs!$B187,Inputs!$B186,0)*(1+inf)^H$1</f>
        <v>0</v>
      </c>
      <c r="J17" s="7">
        <f ca="1">IF(J$2=Inputs!$B187,Inputs!$B186,0)*(1+inf)^I$1</f>
        <v>0</v>
      </c>
      <c r="K17" s="7">
        <f ca="1">IF(K$2=Inputs!$B187,Inputs!$B186,0)*(1+inf)^J$1</f>
        <v>0</v>
      </c>
      <c r="L17" s="7">
        <f ca="1">IF(L$2=Inputs!$B187,Inputs!$B186,0)*(1+inf)^K$1</f>
        <v>62443.14849738327</v>
      </c>
      <c r="M17" s="7">
        <f ca="1">IF(M$2=Inputs!$B187,Inputs!$B186,0)*(1+inf)^L$1</f>
        <v>0</v>
      </c>
      <c r="N17" s="7">
        <f ca="1">IF(N$2=Inputs!$B187,Inputs!$B186,0)*(1+inf)^M$1</f>
        <v>0</v>
      </c>
      <c r="O17" s="7">
        <f ca="1">IF(O$2=Inputs!$B187,Inputs!$B186,0)*(1+inf)^N$1</f>
        <v>0</v>
      </c>
      <c r="P17" s="7">
        <f ca="1">IF(P$2=Inputs!$B187,Inputs!$B186,0)*(1+inf)^O$1</f>
        <v>0</v>
      </c>
      <c r="Q17" s="7">
        <f ca="1">IF(Q$2=Inputs!$B187,Inputs!$B186,0)*(1+inf)^P$1</f>
        <v>0</v>
      </c>
      <c r="R17" s="7">
        <f ca="1">IF(R$2=Inputs!$B187,Inputs!$B186,0)*(1+inf)^Q$1</f>
        <v>0</v>
      </c>
      <c r="S17" s="7">
        <f ca="1">IF(S$2=Inputs!$B187,Inputs!$B186,0)*(1+inf)^R$1</f>
        <v>0</v>
      </c>
      <c r="T17" s="7">
        <f ca="1">IF(T$2=Inputs!$B187,Inputs!$B186,0)*(1+inf)^S$1</f>
        <v>0</v>
      </c>
      <c r="U17" s="7">
        <f ca="1">IF(U$2=Inputs!$B187,Inputs!$B186,0)*(1+inf)^T$1</f>
        <v>0</v>
      </c>
      <c r="V17" s="7">
        <f ca="1">IF(V$2=Inputs!$B187,Inputs!$B186,0)*(1+inf)^U$1</f>
        <v>0</v>
      </c>
      <c r="W17" s="7">
        <f ca="1">IF(W$2=Inputs!$B187,Inputs!$B186,0)*(1+inf)^V$1</f>
        <v>0</v>
      </c>
      <c r="X17" s="7">
        <f ca="1">IF(X$2=Inputs!$B187,Inputs!$B186,0)*(1+inf)^W$1</f>
        <v>0</v>
      </c>
      <c r="Y17" s="7">
        <f ca="1">IF(Y$2=Inputs!$B187,Inputs!$B186,0)*(1+inf)^X$1</f>
        <v>0</v>
      </c>
      <c r="Z17" s="7">
        <f ca="1">IF(Z$2=Inputs!$B187,Inputs!$B186,0)*(1+inf)^Y$1</f>
        <v>0</v>
      </c>
      <c r="AA17" s="7">
        <f ca="1">IF(AA$2=Inputs!$B187,Inputs!$B186,0)*(1+inf)^Z$1</f>
        <v>0</v>
      </c>
      <c r="AB17" s="7">
        <f ca="1">IF(AB$2=Inputs!$B187,Inputs!$B186,0)*(1+inf)^AA$1</f>
        <v>0</v>
      </c>
      <c r="AC17" s="7">
        <f ca="1">IF(AC$2=Inputs!$B187,Inputs!$B186,0)*(1+inf)^AB$1</f>
        <v>0</v>
      </c>
      <c r="AD17" s="7">
        <f ca="1">IF(AD$2=Inputs!$B187,Inputs!$B186,0)*(1+inf)^AC$1</f>
        <v>0</v>
      </c>
      <c r="AE17" s="7">
        <f ca="1">IF(AE$2=Inputs!$B187,Inputs!$B186,0)*(1+inf)^AD$1</f>
        <v>0</v>
      </c>
      <c r="AF17" s="7">
        <f ca="1">IF(AF$2=Inputs!$B187,Inputs!$B186,0)*(1+inf)^AE$1</f>
        <v>0</v>
      </c>
      <c r="AG17" s="7">
        <f ca="1">IF(AG$2=Inputs!$B187,Inputs!$B186,0)*(1+inf)^AF$1</f>
        <v>0</v>
      </c>
      <c r="AH17" s="7">
        <f ca="1">IF(AH$2=Inputs!$B187,Inputs!$B186,0)*(1+inf)^AG$1</f>
        <v>0</v>
      </c>
      <c r="AI17" s="7">
        <f ca="1">IF(AI$2=Inputs!$B187,Inputs!$B186,0)*(1+inf)^AH$1</f>
        <v>0</v>
      </c>
      <c r="AJ17" s="7">
        <f ca="1">IF(AJ$2=Inputs!$B187,Inputs!$B186,0)*(1+inf)^AI$1</f>
        <v>0</v>
      </c>
      <c r="AK17" s="7">
        <f ca="1">IF(AK$2=Inputs!$B187,Inputs!$B186,0)*(1+inf)^AJ$1</f>
        <v>0</v>
      </c>
      <c r="AL17" s="7">
        <f ca="1">IF(AL$2=Inputs!$B187,Inputs!$B186,0)*(1+inf)^AK$1</f>
        <v>0</v>
      </c>
      <c r="AM17" s="7">
        <f ca="1">IF(AM$2=Inputs!$B187,Inputs!$B186,0)*(1+inf)^AL$1</f>
        <v>0</v>
      </c>
    </row>
    <row r="18" spans="1:39" x14ac:dyDescent="0.2">
      <c r="A18" s="3" t="str">
        <f>TEXT(Inputs!B190,"")</f>
        <v>Sell Painting</v>
      </c>
      <c r="B18" s="8"/>
      <c r="C18" s="7">
        <f ca="1">IF(C$2=Inputs!$B192,Inputs!$B191,0)*(1+inf)^B$1</f>
        <v>0</v>
      </c>
      <c r="D18" s="7">
        <f ca="1">IF(D$2=Inputs!$B192,Inputs!$B191,0)*(1+inf)^C$1</f>
        <v>0</v>
      </c>
      <c r="E18" s="7">
        <f ca="1">IF(E$2=Inputs!$B192,Inputs!$B191,0)*(1+inf)^D$1</f>
        <v>0</v>
      </c>
      <c r="F18" s="7">
        <f ca="1">IF(F$2=Inputs!$B192,Inputs!$B191,0)*(1+inf)^E$1</f>
        <v>10768.906249999998</v>
      </c>
      <c r="G18" s="7">
        <f ca="1">IF(G$2=Inputs!$B192,Inputs!$B191,0)*(1+inf)^F$1</f>
        <v>0</v>
      </c>
      <c r="H18" s="7">
        <f ca="1">IF(H$2=Inputs!$B192,Inputs!$B191,0)*(1+inf)^G$1</f>
        <v>0</v>
      </c>
      <c r="I18" s="7">
        <f ca="1">IF(I$2=Inputs!$B192,Inputs!$B191,0)*(1+inf)^H$1</f>
        <v>0</v>
      </c>
      <c r="J18" s="7">
        <f ca="1">IF(J$2=Inputs!$B192,Inputs!$B191,0)*(1+inf)^I$1</f>
        <v>0</v>
      </c>
      <c r="K18" s="7">
        <f ca="1">IF(K$2=Inputs!$B192,Inputs!$B191,0)*(1+inf)^J$1</f>
        <v>0</v>
      </c>
      <c r="L18" s="7">
        <f ca="1">IF(L$2=Inputs!$B192,Inputs!$B191,0)*(1+inf)^K$1</f>
        <v>0</v>
      </c>
      <c r="M18" s="7">
        <f ca="1">IF(M$2=Inputs!$B192,Inputs!$B191,0)*(1+inf)^L$1</f>
        <v>0</v>
      </c>
      <c r="N18" s="7">
        <f ca="1">IF(N$2=Inputs!$B192,Inputs!$B191,0)*(1+inf)^M$1</f>
        <v>0</v>
      </c>
      <c r="O18" s="7">
        <f ca="1">IF(O$2=Inputs!$B192,Inputs!$B191,0)*(1+inf)^N$1</f>
        <v>0</v>
      </c>
      <c r="P18" s="7">
        <f ca="1">IF(P$2=Inputs!$B192,Inputs!$B191,0)*(1+inf)^O$1</f>
        <v>0</v>
      </c>
      <c r="Q18" s="7">
        <f ca="1">IF(Q$2=Inputs!$B192,Inputs!$B191,0)*(1+inf)^P$1</f>
        <v>0</v>
      </c>
      <c r="R18" s="7">
        <f ca="1">IF(R$2=Inputs!$B192,Inputs!$B191,0)*(1+inf)^Q$1</f>
        <v>0</v>
      </c>
      <c r="S18" s="7">
        <f ca="1">IF(S$2=Inputs!$B192,Inputs!$B191,0)*(1+inf)^R$1</f>
        <v>0</v>
      </c>
      <c r="T18" s="7">
        <f ca="1">IF(T$2=Inputs!$B192,Inputs!$B191,0)*(1+inf)^S$1</f>
        <v>0</v>
      </c>
      <c r="U18" s="7">
        <f ca="1">IF(U$2=Inputs!$B192,Inputs!$B191,0)*(1+inf)^T$1</f>
        <v>0</v>
      </c>
      <c r="V18" s="7">
        <f ca="1">IF(V$2=Inputs!$B192,Inputs!$B191,0)*(1+inf)^U$1</f>
        <v>0</v>
      </c>
      <c r="W18" s="7">
        <f ca="1">IF(W$2=Inputs!$B192,Inputs!$B191,0)*(1+inf)^V$1</f>
        <v>0</v>
      </c>
      <c r="X18" s="7">
        <f ca="1">IF(X$2=Inputs!$B192,Inputs!$B191,0)*(1+inf)^W$1</f>
        <v>0</v>
      </c>
      <c r="Y18" s="7">
        <f ca="1">IF(Y$2=Inputs!$B192,Inputs!$B191,0)*(1+inf)^X$1</f>
        <v>0</v>
      </c>
      <c r="Z18" s="7">
        <f ca="1">IF(Z$2=Inputs!$B192,Inputs!$B191,0)*(1+inf)^Y$1</f>
        <v>0</v>
      </c>
      <c r="AA18" s="7">
        <f ca="1">IF(AA$2=Inputs!$B192,Inputs!$B191,0)*(1+inf)^Z$1</f>
        <v>0</v>
      </c>
      <c r="AB18" s="7">
        <f ca="1">IF(AB$2=Inputs!$B192,Inputs!$B191,0)*(1+inf)^AA$1</f>
        <v>0</v>
      </c>
      <c r="AC18" s="7">
        <f ca="1">IF(AC$2=Inputs!$B192,Inputs!$B191,0)*(1+inf)^AB$1</f>
        <v>0</v>
      </c>
      <c r="AD18" s="7">
        <f ca="1">IF(AD$2=Inputs!$B192,Inputs!$B191,0)*(1+inf)^AC$1</f>
        <v>0</v>
      </c>
      <c r="AE18" s="7">
        <f ca="1">IF(AE$2=Inputs!$B192,Inputs!$B191,0)*(1+inf)^AD$1</f>
        <v>0</v>
      </c>
      <c r="AF18" s="7">
        <f ca="1">IF(AF$2=Inputs!$B192,Inputs!$B191,0)*(1+inf)^AE$1</f>
        <v>0</v>
      </c>
      <c r="AG18" s="7">
        <f ca="1">IF(AG$2=Inputs!$B192,Inputs!$B191,0)*(1+inf)^AF$1</f>
        <v>0</v>
      </c>
      <c r="AH18" s="7">
        <f ca="1">IF(AH$2=Inputs!$B192,Inputs!$B191,0)*(1+inf)^AG$1</f>
        <v>0</v>
      </c>
      <c r="AI18" s="7">
        <f ca="1">IF(AI$2=Inputs!$B192,Inputs!$B191,0)*(1+inf)^AH$1</f>
        <v>0</v>
      </c>
      <c r="AJ18" s="7">
        <f ca="1">IF(AJ$2=Inputs!$B192,Inputs!$B191,0)*(1+inf)^AI$1</f>
        <v>0</v>
      </c>
      <c r="AK18" s="7">
        <f ca="1">IF(AK$2=Inputs!$B192,Inputs!$B191,0)*(1+inf)^AJ$1</f>
        <v>0</v>
      </c>
      <c r="AL18" s="7">
        <f ca="1">IF(AL$2=Inputs!$B192,Inputs!$B191,0)*(1+inf)^AK$1</f>
        <v>0</v>
      </c>
      <c r="AM18" s="7">
        <f ca="1">IF(AM$2=Inputs!$B192,Inputs!$B191,0)*(1+inf)^AL$1</f>
        <v>0</v>
      </c>
    </row>
    <row r="19" spans="1:39" x14ac:dyDescent="0.2">
      <c r="A19" s="3" t="str">
        <f>TEXT(Inputs!B195,"")</f>
        <v>Sell Jewels</v>
      </c>
      <c r="B19" s="8"/>
      <c r="C19" s="7">
        <f ca="1">IF(C$2=Inputs!$B197,Inputs!$B196,0)*(1+inf)^B$1</f>
        <v>0</v>
      </c>
      <c r="D19" s="7">
        <f ca="1">IF(D$2=Inputs!$B197,Inputs!$B196,0)*(1+inf)^C$1</f>
        <v>0</v>
      </c>
      <c r="E19" s="7">
        <f ca="1">IF(E$2=Inputs!$B197,Inputs!$B196,0)*(1+inf)^D$1</f>
        <v>0</v>
      </c>
      <c r="F19" s="7">
        <f ca="1">IF(F$2=Inputs!$B197,Inputs!$B196,0)*(1+inf)^E$1</f>
        <v>0</v>
      </c>
      <c r="G19" s="7">
        <f ca="1">IF(G$2=Inputs!$B197,Inputs!$B196,0)*(1+inf)^F$1</f>
        <v>0</v>
      </c>
      <c r="H19" s="7">
        <f ca="1">IF(H$2=Inputs!$B197,Inputs!$B196,0)*(1+inf)^G$1</f>
        <v>0</v>
      </c>
      <c r="I19" s="7">
        <f ca="1">IF(I$2=Inputs!$B197,Inputs!$B196,0)*(1+inf)^H$1</f>
        <v>5798.4670910644509</v>
      </c>
      <c r="J19" s="7">
        <f ca="1">IF(J$2=Inputs!$B197,Inputs!$B196,0)*(1+inf)^I$1</f>
        <v>0</v>
      </c>
      <c r="K19" s="7">
        <f ca="1">IF(K$2=Inputs!$B197,Inputs!$B196,0)*(1+inf)^J$1</f>
        <v>0</v>
      </c>
      <c r="L19" s="7">
        <f ca="1">IF(L$2=Inputs!$B197,Inputs!$B196,0)*(1+inf)^K$1</f>
        <v>0</v>
      </c>
      <c r="M19" s="7">
        <f ca="1">IF(M$2=Inputs!$B197,Inputs!$B196,0)*(1+inf)^L$1</f>
        <v>0</v>
      </c>
      <c r="N19" s="7">
        <f ca="1">IF(N$2=Inputs!$B197,Inputs!$B196,0)*(1+inf)^M$1</f>
        <v>0</v>
      </c>
      <c r="O19" s="7">
        <f ca="1">IF(O$2=Inputs!$B197,Inputs!$B196,0)*(1+inf)^N$1</f>
        <v>0</v>
      </c>
      <c r="P19" s="7">
        <f ca="1">IF(P$2=Inputs!$B197,Inputs!$B196,0)*(1+inf)^O$1</f>
        <v>0</v>
      </c>
      <c r="Q19" s="7">
        <f ca="1">IF(Q$2=Inputs!$B197,Inputs!$B196,0)*(1+inf)^P$1</f>
        <v>0</v>
      </c>
      <c r="R19" s="7">
        <f ca="1">IF(R$2=Inputs!$B197,Inputs!$B196,0)*(1+inf)^Q$1</f>
        <v>0</v>
      </c>
      <c r="S19" s="7">
        <f ca="1">IF(S$2=Inputs!$B197,Inputs!$B196,0)*(1+inf)^R$1</f>
        <v>0</v>
      </c>
      <c r="T19" s="7">
        <f ca="1">IF(T$2=Inputs!$B197,Inputs!$B196,0)*(1+inf)^S$1</f>
        <v>0</v>
      </c>
      <c r="U19" s="7">
        <f ca="1">IF(U$2=Inputs!$B197,Inputs!$B196,0)*(1+inf)^T$1</f>
        <v>0</v>
      </c>
      <c r="V19" s="7">
        <f ca="1">IF(V$2=Inputs!$B197,Inputs!$B196,0)*(1+inf)^U$1</f>
        <v>0</v>
      </c>
      <c r="W19" s="7">
        <f ca="1">IF(W$2=Inputs!$B197,Inputs!$B196,0)*(1+inf)^V$1</f>
        <v>0</v>
      </c>
      <c r="X19" s="7">
        <f ca="1">IF(X$2=Inputs!$B197,Inputs!$B196,0)*(1+inf)^W$1</f>
        <v>0</v>
      </c>
      <c r="Y19" s="7">
        <f ca="1">IF(Y$2=Inputs!$B197,Inputs!$B196,0)*(1+inf)^X$1</f>
        <v>0</v>
      </c>
      <c r="Z19" s="7">
        <f ca="1">IF(Z$2=Inputs!$B197,Inputs!$B196,0)*(1+inf)^Y$1</f>
        <v>0</v>
      </c>
      <c r="AA19" s="7">
        <f ca="1">IF(AA$2=Inputs!$B197,Inputs!$B196,0)*(1+inf)^Z$1</f>
        <v>0</v>
      </c>
      <c r="AB19" s="7">
        <f ca="1">IF(AB$2=Inputs!$B197,Inputs!$B196,0)*(1+inf)^AA$1</f>
        <v>0</v>
      </c>
      <c r="AC19" s="7">
        <f ca="1">IF(AC$2=Inputs!$B197,Inputs!$B196,0)*(1+inf)^AB$1</f>
        <v>0</v>
      </c>
      <c r="AD19" s="7">
        <f ca="1">IF(AD$2=Inputs!$B197,Inputs!$B196,0)*(1+inf)^AC$1</f>
        <v>0</v>
      </c>
      <c r="AE19" s="7">
        <f ca="1">IF(AE$2=Inputs!$B197,Inputs!$B196,0)*(1+inf)^AD$1</f>
        <v>0</v>
      </c>
      <c r="AF19" s="7">
        <f ca="1">IF(AF$2=Inputs!$B197,Inputs!$B196,0)*(1+inf)^AE$1</f>
        <v>0</v>
      </c>
      <c r="AG19" s="7">
        <f ca="1">IF(AG$2=Inputs!$B197,Inputs!$B196,0)*(1+inf)^AF$1</f>
        <v>0</v>
      </c>
      <c r="AH19" s="7">
        <f ca="1">IF(AH$2=Inputs!$B197,Inputs!$B196,0)*(1+inf)^AG$1</f>
        <v>0</v>
      </c>
      <c r="AI19" s="7">
        <f ca="1">IF(AI$2=Inputs!$B197,Inputs!$B196,0)*(1+inf)^AH$1</f>
        <v>0</v>
      </c>
      <c r="AJ19" s="7">
        <f ca="1">IF(AJ$2=Inputs!$B197,Inputs!$B196,0)*(1+inf)^AI$1</f>
        <v>0</v>
      </c>
      <c r="AK19" s="7">
        <f ca="1">IF(AK$2=Inputs!$B197,Inputs!$B196,0)*(1+inf)^AJ$1</f>
        <v>0</v>
      </c>
      <c r="AL19" s="7">
        <f ca="1">IF(AL$2=Inputs!$B197,Inputs!$B196,0)*(1+inf)^AK$1</f>
        <v>0</v>
      </c>
      <c r="AM19" s="7">
        <f ca="1">IF(AM$2=Inputs!$B197,Inputs!$B196,0)*(1+inf)^AL$1</f>
        <v>0</v>
      </c>
    </row>
    <row r="20" spans="1:39" x14ac:dyDescent="0.2">
      <c r="A20" s="4" t="s">
        <v>222</v>
      </c>
      <c r="B20" s="8"/>
      <c r="C20" s="7">
        <f ca="1">IF(AND(Inputs!$B$218&lt;&gt;"",C$2=Inputs!$B$218,Inputs!$B$13&gt;0),(IF(B$1=0,Inputs!$B$13*(1+princ)^ProRate,B70*(1+princ)))*(1-DCprop),0)</f>
        <v>0</v>
      </c>
      <c r="D20" s="7">
        <f ca="1">IF(AND(Inputs!$B$218&lt;&gt;"",D$2=Inputs!$B$218,Inputs!$B$13&gt;0),(IF(C$1=0,Inputs!$B$13*(1+princ)^ProRate,C70*(1+princ)))*(1-DCprop),0)</f>
        <v>0</v>
      </c>
      <c r="E20" s="7">
        <f ca="1">IF(AND(Inputs!$B$218&lt;&gt;"",E$2=Inputs!$B$218,Inputs!$B$13&gt;0),(IF(D$1=0,Inputs!$B$13*(1+princ)^ProRate,D70*(1+princ)))*(1-DCprop),0)</f>
        <v>0</v>
      </c>
      <c r="F20" s="7">
        <f ca="1">IF(AND(Inputs!$B$218&lt;&gt;"",F$2=Inputs!$B$218,Inputs!$B$13&gt;0),(IF(E$1=0,Inputs!$B$13*(1+princ)^ProRate,E70*(1+princ)))*(1-DCprop),0)</f>
        <v>0</v>
      </c>
      <c r="G20" s="7">
        <f ca="1">IF(AND(Inputs!$B$218&lt;&gt;"",G$2=Inputs!$B$218,Inputs!$B$13&gt;0),(IF(F$1=0,Inputs!$B$13*(1+princ)^ProRate,F70*(1+princ)))*(1-DCprop),0)</f>
        <v>489064.0583527881</v>
      </c>
      <c r="H20" s="7">
        <f ca="1">IF(AND(Inputs!$B$218&lt;&gt;"",H$2=Inputs!$B$218,Inputs!$B$13&gt;0),(IF(G$1=0,Inputs!$B$13*(1+princ)^ProRate,G70*(1+princ)))*(1-DCprop),0)</f>
        <v>0</v>
      </c>
      <c r="I20" s="7">
        <f ca="1">IF(AND(Inputs!$B$218&lt;&gt;"",I$2=Inputs!$B$218,Inputs!$B$13&gt;0),(IF(H$1=0,Inputs!$B$13*(1+princ)^ProRate,H70*(1+princ)))*(1-DCprop),0)</f>
        <v>0</v>
      </c>
      <c r="J20" s="7">
        <f ca="1">IF(AND(Inputs!$B$218&lt;&gt;"",J$2=Inputs!$B$218,Inputs!$B$13&gt;0),(IF(I$1=0,Inputs!$B$13*(1+princ)^ProRate,I70*(1+princ)))*(1-DCprop),0)</f>
        <v>0</v>
      </c>
      <c r="K20" s="7">
        <f ca="1">IF(AND(Inputs!$B$218&lt;&gt;"",K$2=Inputs!$B$218,Inputs!$B$13&gt;0),(IF(J$1=0,Inputs!$B$13*(1+princ)^ProRate,J70*(1+princ)))*(1-DCprop),0)</f>
        <v>0</v>
      </c>
      <c r="L20" s="7">
        <f ca="1">IF(AND(Inputs!$B$218&lt;&gt;"",L$2=Inputs!$B$218,Inputs!$B$13&gt;0),(IF(K$1=0,Inputs!$B$13*(1+princ)^ProRate,K70*(1+princ)))*(1-DCprop),0)</f>
        <v>0</v>
      </c>
      <c r="M20" s="7">
        <f ca="1">IF(AND(Inputs!$B$218&lt;&gt;"",M$2=Inputs!$B$218,Inputs!$B$13&gt;0),(IF(L$1=0,Inputs!$B$13*(1+princ)^ProRate,L70*(1+princ)))*(1-DCprop),0)</f>
        <v>0</v>
      </c>
      <c r="N20" s="7">
        <f ca="1">IF(AND(Inputs!$B$218&lt;&gt;"",N$2=Inputs!$B$218,Inputs!$B$13&gt;0),(IF(M$1=0,Inputs!$B$13*(1+princ)^ProRate,M70*(1+princ)))*(1-DCprop),0)</f>
        <v>0</v>
      </c>
      <c r="O20" s="7">
        <f ca="1">IF(AND(Inputs!$B$218&lt;&gt;"",O$2=Inputs!$B$218,Inputs!$B$13&gt;0),(IF(N$1=0,Inputs!$B$13*(1+princ)^ProRate,N70*(1+princ)))*(1-DCprop),0)</f>
        <v>0</v>
      </c>
      <c r="P20" s="7">
        <f ca="1">IF(AND(Inputs!$B$218&lt;&gt;"",P$2=Inputs!$B$218,Inputs!$B$13&gt;0),(IF(O$1=0,Inputs!$B$13*(1+princ)^ProRate,O70*(1+princ)))*(1-DCprop),0)</f>
        <v>0</v>
      </c>
      <c r="Q20" s="7">
        <f ca="1">IF(AND(Inputs!$B$218&lt;&gt;"",Q$2=Inputs!$B$218,Inputs!$B$13&gt;0),(IF(P$1=0,Inputs!$B$13*(1+princ)^ProRate,P70*(1+princ)))*(1-DCprop),0)</f>
        <v>0</v>
      </c>
      <c r="R20" s="7">
        <f ca="1">IF(AND(Inputs!$B$218&lt;&gt;"",R$2=Inputs!$B$218,Inputs!$B$13&gt;0),(IF(Q$1=0,Inputs!$B$13*(1+princ)^ProRate,Q70*(1+princ)))*(1-DCprop),0)</f>
        <v>0</v>
      </c>
      <c r="S20" s="7">
        <f ca="1">IF(AND(Inputs!$B$218&lt;&gt;"",S$2=Inputs!$B$218,Inputs!$B$13&gt;0),(IF(R$1=0,Inputs!$B$13*(1+princ)^ProRate,R70*(1+princ)))*(1-DCprop),0)</f>
        <v>0</v>
      </c>
      <c r="T20" s="7">
        <f ca="1">IF(AND(Inputs!$B$218&lt;&gt;"",T$2=Inputs!$B$218,Inputs!$B$13&gt;0),(IF(S$1=0,Inputs!$B$13*(1+princ)^ProRate,S70*(1+princ)))*(1-DCprop),0)</f>
        <v>0</v>
      </c>
      <c r="U20" s="7">
        <f ca="1">IF(AND(Inputs!$B$218&lt;&gt;"",U$2=Inputs!$B$218,Inputs!$B$13&gt;0),(IF(T$1=0,Inputs!$B$13*(1+princ)^ProRate,T70*(1+princ)))*(1-DCprop),0)</f>
        <v>0</v>
      </c>
      <c r="V20" s="7">
        <f ca="1">IF(AND(Inputs!$B$218&lt;&gt;"",V$2=Inputs!$B$218,Inputs!$B$13&gt;0),(IF(U$1=0,Inputs!$B$13*(1+princ)^ProRate,U70*(1+princ)))*(1-DCprop),0)</f>
        <v>0</v>
      </c>
      <c r="W20" s="7">
        <f ca="1">IF(AND(Inputs!$B$218&lt;&gt;"",W$2=Inputs!$B$218,Inputs!$B$13&gt;0),(IF(V$1=0,Inputs!$B$13*(1+princ)^ProRate,V70*(1+princ)))*(1-DCprop),0)</f>
        <v>0</v>
      </c>
      <c r="X20" s="7">
        <f ca="1">IF(AND(Inputs!$B$218&lt;&gt;"",X$2=Inputs!$B$218,Inputs!$B$13&gt;0),(IF(W$1=0,Inputs!$B$13*(1+princ)^ProRate,W70*(1+princ)))*(1-DCprop),0)</f>
        <v>0</v>
      </c>
      <c r="Y20" s="7">
        <f ca="1">IF(AND(Inputs!$B$218&lt;&gt;"",Y$2=Inputs!$B$218,Inputs!$B$13&gt;0),(IF(X$1=0,Inputs!$B$13*(1+princ)^ProRate,X70*(1+princ)))*(1-DCprop),0)</f>
        <v>0</v>
      </c>
      <c r="Z20" s="7">
        <f ca="1">IF(AND(Inputs!$B$218&lt;&gt;"",Z$2=Inputs!$B$218,Inputs!$B$13&gt;0),(IF(Y$1=0,Inputs!$B$13*(1+princ)^ProRate,Y70*(1+princ)))*(1-DCprop),0)</f>
        <v>0</v>
      </c>
      <c r="AA20" s="7">
        <f ca="1">IF(AND(Inputs!$B$218&lt;&gt;"",AA$2=Inputs!$B$218,Inputs!$B$13&gt;0),(IF(Z$1=0,Inputs!$B$13*(1+princ)^ProRate,Z70*(1+princ)))*(1-DCprop),0)</f>
        <v>0</v>
      </c>
      <c r="AB20" s="7">
        <f ca="1">IF(AND(Inputs!$B$218&lt;&gt;"",AB$2=Inputs!$B$218,Inputs!$B$13&gt;0),(IF(AA$1=0,Inputs!$B$13*(1+princ)^ProRate,AA70*(1+princ)))*(1-DCprop),0)</f>
        <v>0</v>
      </c>
      <c r="AC20" s="7">
        <f ca="1">IF(AND(Inputs!$B$218&lt;&gt;"",AC$2=Inputs!$B$218,Inputs!$B$13&gt;0),(IF(AB$1=0,Inputs!$B$13*(1+princ)^ProRate,AB70*(1+princ)))*(1-DCprop),0)</f>
        <v>0</v>
      </c>
      <c r="AD20" s="7">
        <f ca="1">IF(AND(Inputs!$B$218&lt;&gt;"",AD$2=Inputs!$B$218,Inputs!$B$13&gt;0),(IF(AC$1=0,Inputs!$B$13*(1+princ)^ProRate,AC70*(1+princ)))*(1-DCprop),0)</f>
        <v>0</v>
      </c>
      <c r="AE20" s="7">
        <f ca="1">IF(AND(Inputs!$B$218&lt;&gt;"",AE$2=Inputs!$B$218,Inputs!$B$13&gt;0),(IF(AD$1=0,Inputs!$B$13*(1+princ)^ProRate,AD70*(1+princ)))*(1-DCprop),0)</f>
        <v>0</v>
      </c>
      <c r="AF20" s="7">
        <f ca="1">IF(AND(Inputs!$B$218&lt;&gt;"",AF$2=Inputs!$B$218,Inputs!$B$13&gt;0),(IF(AE$1=0,Inputs!$B$13*(1+princ)^ProRate,AE70*(1+princ)))*(1-DCprop),0)</f>
        <v>0</v>
      </c>
      <c r="AG20" s="7">
        <f ca="1">IF(AND(Inputs!$B$218&lt;&gt;"",AG$2=Inputs!$B$218,Inputs!$B$13&gt;0),(IF(AF$1=0,Inputs!$B$13*(1+princ)^ProRate,AF70*(1+princ)))*(1-DCprop),0)</f>
        <v>0</v>
      </c>
      <c r="AH20" s="7">
        <f ca="1">IF(AND(Inputs!$B$218&lt;&gt;"",AH$2=Inputs!$B$218,Inputs!$B$13&gt;0),(IF(AG$1=0,Inputs!$B$13*(1+princ)^ProRate,AG70*(1+princ)))*(1-DCprop),0)</f>
        <v>0</v>
      </c>
      <c r="AI20" s="7">
        <f ca="1">IF(AND(Inputs!$B$218&lt;&gt;"",AI$2=Inputs!$B$218,Inputs!$B$13&gt;0),(IF(AH$1=0,Inputs!$B$13*(1+princ)^ProRate,AH70*(1+princ)))*(1-DCprop),0)</f>
        <v>0</v>
      </c>
      <c r="AJ20" s="7">
        <f ca="1">IF(AND(Inputs!$B$218&lt;&gt;"",AJ$2=Inputs!$B$218,Inputs!$B$13&gt;0),(IF(AI$1=0,Inputs!$B$13*(1+princ)^ProRate,AI70*(1+princ)))*(1-DCprop),0)</f>
        <v>0</v>
      </c>
      <c r="AK20" s="7">
        <f ca="1">IF(AND(Inputs!$B$218&lt;&gt;"",AK$2=Inputs!$B$218,Inputs!$B$13&gt;0),(IF(AJ$1=0,Inputs!$B$13*(1+princ)^ProRate,AJ70*(1+princ)))*(1-DCprop),0)</f>
        <v>0</v>
      </c>
      <c r="AL20" s="7">
        <f ca="1">IF(AND(Inputs!$B$218&lt;&gt;"",AL$2=Inputs!$B$218,Inputs!$B$13&gt;0),(IF(AK$1=0,Inputs!$B$13*(1+princ)^ProRate,AK70*(1+princ)))*(1-DCprop),0)</f>
        <v>0</v>
      </c>
      <c r="AM20" s="7">
        <f ca="1">IF(AND(Inputs!$B$218&lt;&gt;"",AM$2=Inputs!$B$218,Inputs!$B$13&gt;0),(IF(AL$1=0,Inputs!$B$13*(1+princ)^ProRate,AL70*(1+princ)))*(1-DCprop),0)</f>
        <v>0</v>
      </c>
    </row>
    <row r="21" spans="1:39" x14ac:dyDescent="0.2">
      <c r="A21" s="4" t="s">
        <v>7</v>
      </c>
      <c r="C21" s="7">
        <f ca="1">MAX(AVERAGE(C65,C65+SUM(C5:C20)-C62)*Inputs!$B$270,0)</f>
        <v>1394.0625</v>
      </c>
      <c r="D21" s="7">
        <f ca="1">MAX(AVERAGE(D65,D65+SUM(D5:D20)-D62)*Inputs!$B$270,0)</f>
        <v>1671.7234375</v>
      </c>
      <c r="E21" s="7">
        <f ca="1">MAX(AVERAGE(E65,E65+SUM(E5:E20)-E62)*Inputs!$B$270,0)</f>
        <v>1983.9263671875001</v>
      </c>
      <c r="F21" s="7">
        <f ca="1">MAX(AVERAGE(F65,F65+SUM(F5:F20)-F62)*Inputs!$B$270,0)</f>
        <v>2147.1800031718421</v>
      </c>
      <c r="G21" s="7">
        <f ca="1">MAX(AVERAGE(G65,G65+SUM(G5:G20)-G62)*Inputs!$B$270,0)</f>
        <v>4506.0517828976926</v>
      </c>
      <c r="H21" s="7">
        <f ca="1">MAX(AVERAGE(H65,H65+SUM(H5:H20)-H62)*Inputs!$B$270,0)</f>
        <v>7411.1349626146657</v>
      </c>
      <c r="I21" s="7">
        <f ca="1">MAX(AVERAGE(I65,I65+SUM(I5:I20)-I62)*Inputs!$B$270,0)</f>
        <v>8690.3446263182559</v>
      </c>
      <c r="J21" s="7">
        <f ca="1">MAX(AVERAGE(J65,J65+SUM(J5:J20)-J62)*Inputs!$B$270,0)</f>
        <v>10272.511302746336</v>
      </c>
      <c r="K21" s="7">
        <f ca="1">MAX(AVERAGE(K65,K65+SUM(K5:K20)-K62)*Inputs!$B$270,0)</f>
        <v>11743.975438917012</v>
      </c>
      <c r="L21" s="7">
        <f ca="1">MAX(AVERAGE(L65,L65+SUM(L5:L20)-L62)*Inputs!$B$270,0)</f>
        <v>14123.188683988137</v>
      </c>
      <c r="M21" s="7">
        <f ca="1">MAX(AVERAGE(M65,M65+SUM(M5:M20)-M62)*Inputs!$B$270,0)</f>
        <v>16485.632751940157</v>
      </c>
      <c r="N21" s="7">
        <f ca="1">MAX(AVERAGE(N65,N65+SUM(N5:N20)-N62)*Inputs!$B$270,0)</f>
        <v>18419.001897782684</v>
      </c>
      <c r="O21" s="7">
        <f ca="1">MAX(AVERAGE(O65,O65+SUM(O5:O20)-O62)*Inputs!$B$270,0)</f>
        <v>21083.549998936662</v>
      </c>
      <c r="P21" s="7">
        <f ca="1">MAX(AVERAGE(P65,P65+SUM(P5:P20)-P62)*Inputs!$B$270,0)</f>
        <v>23891.954920676912</v>
      </c>
      <c r="Q21" s="7">
        <f ca="1">MAX(AVERAGE(Q65,Q65+SUM(Q5:Q20)-Q62)*Inputs!$B$270,0)</f>
        <v>26850.329650220963</v>
      </c>
      <c r="R21" s="7">
        <f ca="1">MAX(AVERAGE(R65,R65+SUM(R5:R20)-R62)*Inputs!$B$270,0)</f>
        <v>29965.020478296923</v>
      </c>
      <c r="S21" s="7">
        <f ca="1">MAX(AVERAGE(S65,S65+SUM(S5:S20)-S62)*Inputs!$B$270,0)</f>
        <v>33242.615370641804</v>
      </c>
      <c r="T21" s="7">
        <f ca="1">MAX(AVERAGE(T65,T65+SUM(T5:T20)-T62)*Inputs!$B$270,0)</f>
        <v>35393.928648032066</v>
      </c>
      <c r="U21" s="7">
        <f ca="1">MAX(AVERAGE(U65,U65+SUM(U5:U20)-U62)*Inputs!$B$270,0)</f>
        <v>36449.158637355467</v>
      </c>
      <c r="V21" s="7">
        <f ca="1">MAX(AVERAGE(V65,V65+SUM(V5:V20)-V62)*Inputs!$B$270,0)</f>
        <v>37639.034660070778</v>
      </c>
      <c r="W21" s="7">
        <f ca="1">MAX(AVERAGE(W65,W65+SUM(W5:W20)-W62)*Inputs!$B$270,0)</f>
        <v>38872.346641331824</v>
      </c>
      <c r="X21" s="7">
        <f ca="1">MAX(AVERAGE(X65,X65+SUM(X5:X20)-X62)*Inputs!$B$270,0)</f>
        <v>40150.724392998447</v>
      </c>
      <c r="Y21" s="7">
        <f ca="1">MAX(AVERAGE(Y65,Y65+SUM(Y5:Y20)-Y62)*Inputs!$B$270,0)</f>
        <v>41217.622411005781</v>
      </c>
      <c r="Z21" s="7">
        <f ca="1">MAX(AVERAGE(Z65,Z65+SUM(Z5:Z20)-Z62)*Inputs!$B$270,0)</f>
        <v>42061.881691727416</v>
      </c>
      <c r="AA21" s="7">
        <f ca="1">MAX(AVERAGE(AA65,AA65+SUM(AA5:AA20)-AA62)*Inputs!$B$270,0)</f>
        <v>42930.159584900728</v>
      </c>
      <c r="AB21" s="7">
        <f ca="1">MAX(AVERAGE(AB65,AB65+SUM(AB5:AB20)-AB62)*Inputs!$B$270,0)</f>
        <v>43823.356358970537</v>
      </c>
      <c r="AC21" s="7">
        <f ca="1">MAX(AVERAGE(AC65,AC65+SUM(AC5:AC20)-AC62)*Inputs!$B$270,0)</f>
        <v>44742.409094167269</v>
      </c>
      <c r="AD21" s="7">
        <f ca="1">MAX(AVERAGE(AD65,AD65+SUM(AD5:AD20)-AD62)*Inputs!$B$270,0)</f>
        <v>45688.293164728406</v>
      </c>
      <c r="AE21" s="7">
        <f ca="1">MAX(AVERAGE(AE65,AE65+SUM(AE5:AE20)-AE62)*Inputs!$B$270,0)</f>
        <v>46786.804717024868</v>
      </c>
      <c r="AF21" s="7">
        <f ca="1">MAX(AVERAGE(AF65,AF65+SUM(AF5:AF20)-AF62)*Inputs!$B$270,0)</f>
        <v>48045.239437955875</v>
      </c>
      <c r="AG21" s="7">
        <f ca="1">MAX(AVERAGE(AG65,AG65+SUM(AG5:AG20)-AG62)*Inputs!$B$270,0)</f>
        <v>49346.389132627904</v>
      </c>
      <c r="AH21" s="7">
        <f ca="1">MAX(AVERAGE(AH65,AH65+SUM(AH5:AH20)-AH62)*Inputs!$B$270,0)</f>
        <v>50691.874077746703</v>
      </c>
      <c r="AI21" s="7">
        <f ca="1">MAX(AVERAGE(AI65,AI65+SUM(AI5:AI20)-AI62)*Inputs!$B$270,0)</f>
        <v>52083.376998486317</v>
      </c>
      <c r="AJ21" s="7">
        <f ca="1">MAX(AVERAGE(AJ65,AJ65+SUM(AJ5:AJ20)-AJ62)*Inputs!$B$270,0)</f>
        <v>53522.64542218425</v>
      </c>
      <c r="AK21" s="7">
        <f ca="1">MAX(AVERAGE(AK65,AK65+SUM(AK5:AK20)-AK62)*Inputs!$B$270,0)</f>
        <v>55011.494118009556</v>
      </c>
      <c r="AL21" s="7">
        <f ca="1">MAX(AVERAGE(AL65,AL65+SUM(AL5:AL20)-AL62)*Inputs!$B$270,0)</f>
        <v>56551.807625650777</v>
      </c>
      <c r="AM21" s="7">
        <f ca="1">MAX(AVERAGE(AM65,AM65+SUM(AM5:AM20)-AM62)*Inputs!$B$270,0)</f>
        <v>58145.54287617626</v>
      </c>
    </row>
    <row r="22" spans="1:39" x14ac:dyDescent="0.2">
      <c r="C22" s="9">
        <f t="shared" ref="C22:AM22" ca="1" si="35">SUM(C4:C21)</f>
        <v>94019.0625</v>
      </c>
      <c r="D22" s="9">
        <f t="shared" ca="1" si="35"/>
        <v>118180.4734375</v>
      </c>
      <c r="E22" s="9">
        <f t="shared" ca="1" si="35"/>
        <v>121977.68886718749</v>
      </c>
      <c r="F22" s="9">
        <f t="shared" ca="1" si="35"/>
        <v>136499.15537817185</v>
      </c>
      <c r="G22" s="9">
        <f t="shared" ca="1" si="35"/>
        <v>620849.9024281858</v>
      </c>
      <c r="H22" s="9">
        <f t="shared" ca="1" si="35"/>
        <v>138498.28289498339</v>
      </c>
      <c r="I22" s="9">
        <f t="shared" ca="1" si="35"/>
        <v>149497.26000559362</v>
      </c>
      <c r="J22" s="9">
        <f t="shared" ca="1" si="35"/>
        <v>149319.61610542148</v>
      </c>
      <c r="K22" s="9">
        <f t="shared" ca="1" si="35"/>
        <v>154950.60652813566</v>
      </c>
      <c r="L22" s="9">
        <f t="shared" ca="1" si="35"/>
        <v>224056.98317429153</v>
      </c>
      <c r="M22" s="9">
        <f t="shared" ca="1" si="35"/>
        <v>183749.52402530471</v>
      </c>
      <c r="N22" s="9">
        <f t="shared" ca="1" si="35"/>
        <v>187987.03067565191</v>
      </c>
      <c r="O22" s="9">
        <f t="shared" ca="1" si="35"/>
        <v>195659.89444067384</v>
      </c>
      <c r="P22" s="9">
        <f t="shared" ca="1" si="35"/>
        <v>203624.89636621141</v>
      </c>
      <c r="Q22" s="9">
        <f t="shared" ca="1" si="35"/>
        <v>211892.54867643039</v>
      </c>
      <c r="R22" s="9">
        <f t="shared" ca="1" si="35"/>
        <v>220473.72764603421</v>
      </c>
      <c r="S22" s="9">
        <f t="shared" ca="1" si="35"/>
        <v>229379.68586342136</v>
      </c>
      <c r="T22" s="9">
        <f t="shared" ca="1" si="35"/>
        <v>129444.12251544851</v>
      </c>
      <c r="U22" s="9">
        <f t="shared" ca="1" si="35"/>
        <v>133107.8317642296</v>
      </c>
      <c r="V22" s="9">
        <f t="shared" ca="1" si="35"/>
        <v>136979.11576027225</v>
      </c>
      <c r="W22" s="9">
        <f t="shared" ca="1" si="35"/>
        <v>140968.81914854844</v>
      </c>
      <c r="X22" s="9">
        <f t="shared" ca="1" si="35"/>
        <v>145080.68477379088</v>
      </c>
      <c r="Y22" s="9">
        <f t="shared" ca="1" si="35"/>
        <v>128401.48337307917</v>
      </c>
      <c r="Z22" s="9">
        <f t="shared" ca="1" si="35"/>
        <v>131723.5327708566</v>
      </c>
      <c r="AA22" s="9">
        <f t="shared" ca="1" si="35"/>
        <v>135140.49134180223</v>
      </c>
      <c r="AB22" s="9">
        <f t="shared" ca="1" si="35"/>
        <v>138655.29999261248</v>
      </c>
      <c r="AC22" s="9">
        <f t="shared" ca="1" si="35"/>
        <v>142270.99550895271</v>
      </c>
      <c r="AD22" s="9">
        <f t="shared" ca="1" si="35"/>
        <v>145990.71375589498</v>
      </c>
      <c r="AE22" s="9">
        <f t="shared" ca="1" si="35"/>
        <v>149942.47392446245</v>
      </c>
      <c r="AF22" s="9">
        <f t="shared" ca="1" si="35"/>
        <v>154135.85912011602</v>
      </c>
      <c r="AG22" s="9">
        <f t="shared" ca="1" si="35"/>
        <v>158456.01481371475</v>
      </c>
      <c r="AH22" s="9">
        <f t="shared" ca="1" si="35"/>
        <v>162906.98312293962</v>
      </c>
      <c r="AI22" s="9">
        <f t="shared" ca="1" si="35"/>
        <v>167492.93877355033</v>
      </c>
      <c r="AJ22" s="9">
        <f t="shared" ca="1" si="35"/>
        <v>172218.19349547834</v>
      </c>
      <c r="AK22" s="9">
        <f t="shared" ca="1" si="35"/>
        <v>177087.2005646051</v>
      </c>
      <c r="AL22" s="9">
        <f t="shared" ca="1" si="35"/>
        <v>182104.55949502438</v>
      </c>
      <c r="AM22" s="9">
        <f t="shared" ca="1" si="35"/>
        <v>187275.02088674577</v>
      </c>
    </row>
    <row r="23" spans="1:39" ht="19" x14ac:dyDescent="0.25">
      <c r="A23" s="12" t="s">
        <v>17</v>
      </c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  <c r="AG23" s="7"/>
      <c r="AH23" s="7"/>
      <c r="AI23" s="7"/>
      <c r="AJ23" s="7"/>
      <c r="AK23" s="7"/>
      <c r="AL23" s="7"/>
      <c r="AM23" s="7"/>
    </row>
    <row r="24" spans="1:39" x14ac:dyDescent="0.2">
      <c r="A24" s="4" t="s">
        <v>64</v>
      </c>
      <c r="C24" s="7">
        <f>Inputs!B125</f>
        <v>1000</v>
      </c>
      <c r="D24" s="7">
        <v>0</v>
      </c>
      <c r="E24" s="7">
        <v>0</v>
      </c>
      <c r="F24" s="7">
        <v>0</v>
      </c>
      <c r="G24" s="7">
        <v>0</v>
      </c>
      <c r="H24" s="7">
        <v>0</v>
      </c>
      <c r="I24" s="7">
        <v>0</v>
      </c>
      <c r="J24" s="7">
        <v>0</v>
      </c>
      <c r="K24" s="7">
        <v>0</v>
      </c>
      <c r="L24" s="7">
        <v>0</v>
      </c>
      <c r="M24" s="7">
        <v>0</v>
      </c>
      <c r="N24" s="7">
        <v>0</v>
      </c>
      <c r="O24" s="7">
        <v>0</v>
      </c>
      <c r="P24" s="7">
        <v>0</v>
      </c>
      <c r="Q24" s="7">
        <v>0</v>
      </c>
      <c r="R24" s="7">
        <v>0</v>
      </c>
      <c r="S24" s="7">
        <v>0</v>
      </c>
      <c r="T24" s="7">
        <v>0</v>
      </c>
      <c r="U24" s="7">
        <v>0</v>
      </c>
      <c r="V24" s="7">
        <v>0</v>
      </c>
      <c r="W24" s="7">
        <v>0</v>
      </c>
      <c r="X24" s="7">
        <v>0</v>
      </c>
      <c r="Y24" s="7">
        <v>0</v>
      </c>
      <c r="Z24" s="7">
        <v>0</v>
      </c>
      <c r="AA24" s="7">
        <v>0</v>
      </c>
      <c r="AB24" s="7">
        <v>0</v>
      </c>
      <c r="AC24" s="7">
        <v>0</v>
      </c>
      <c r="AD24" s="7">
        <v>0</v>
      </c>
      <c r="AE24" s="7">
        <v>0</v>
      </c>
      <c r="AF24" s="7">
        <v>0</v>
      </c>
      <c r="AG24" s="7">
        <v>0</v>
      </c>
      <c r="AH24" s="7">
        <v>0</v>
      </c>
      <c r="AI24" s="7">
        <v>0</v>
      </c>
      <c r="AJ24" s="7">
        <v>0</v>
      </c>
      <c r="AK24" s="7">
        <v>0</v>
      </c>
      <c r="AL24" s="7">
        <v>0</v>
      </c>
      <c r="AM24" s="7">
        <v>0</v>
      </c>
    </row>
    <row r="25" spans="1:39" x14ac:dyDescent="0.2">
      <c r="A25" s="4" t="s">
        <v>12</v>
      </c>
      <c r="C25" s="7">
        <f ca="1">IF(AND(Inputs!$B$218&lt;&gt;"",C$2=Inputs!$B$218,Inputs!$B$13&gt;0,Inputs!$B$16&gt;0),MIN(IF(B$1=0,MthRem,12),MAX(Inputs!$G$16-IF(B$1=0,0,B$1*12+MthOff),0))*Inputs!$B$18+MAX(FV(Inputs!$B$17/12,C$1*12+MthOff,Inputs!$B$18,-Inputs!$B$16),0),IF(AND(Inputs!$B$218&lt;&gt;"",C$2&gt;Inputs!$B$218,Inputs!$B$13&gt;0),0,MIN(IF(B$1=0,MthRem,12),MAX(Inputs!$G$16-IF(B$1=0,0,B$1*12+MthOff),0))*Inputs!$B$18))</f>
        <v>2700</v>
      </c>
      <c r="D25" s="7">
        <f ca="1">IF(AND(Inputs!$B$218&lt;&gt;"",D$2=Inputs!$B$218,Inputs!$B$13&gt;0,Inputs!$B$16&gt;0),MIN(IF(C$1=0,MthRem,12),MAX(Inputs!$G$16-IF(C$1=0,0,C$1*12+MthOff),0))*Inputs!$B$18+MAX(FV(Inputs!$B$17/12,D$1*12+MthOff,Inputs!$B$18,-Inputs!$B$16),0),IF(AND(Inputs!$B$218&lt;&gt;"",D$2&gt;Inputs!$B$218,Inputs!$B$13&gt;0),0,MIN(IF(C$1=0,MthRem,12),MAX(Inputs!$G$16-IF(C$1=0,0,C$1*12+MthOff),0))*Inputs!$B$18))</f>
        <v>3600</v>
      </c>
      <c r="E25" s="7">
        <f ca="1">IF(AND(Inputs!$B$218&lt;&gt;"",E$2=Inputs!$B$218,Inputs!$B$13&gt;0,Inputs!$B$16&gt;0),MIN(IF(D$1=0,MthRem,12),MAX(Inputs!$G$16-IF(D$1=0,0,D$1*12+MthOff),0))*Inputs!$B$18+MAX(FV(Inputs!$B$17/12,E$1*12+MthOff,Inputs!$B$18,-Inputs!$B$16),0),IF(AND(Inputs!$B$218&lt;&gt;"",E$2&gt;Inputs!$B$218,Inputs!$B$13&gt;0),0,MIN(IF(D$1=0,MthRem,12),MAX(Inputs!$G$16-IF(D$1=0,0,D$1*12+MthOff),0))*Inputs!$B$18))</f>
        <v>3600</v>
      </c>
      <c r="F25" s="7">
        <f ca="1">IF(AND(Inputs!$B$218&lt;&gt;"",F$2=Inputs!$B$218,Inputs!$B$13&gt;0,Inputs!$B$16&gt;0),MIN(IF(E$1=0,MthRem,12),MAX(Inputs!$G$16-IF(E$1=0,0,E$1*12+MthOff),0))*Inputs!$B$18+MAX(FV(Inputs!$B$17/12,F$1*12+MthOff,Inputs!$B$18,-Inputs!$B$16),0),IF(AND(Inputs!$B$218&lt;&gt;"",F$2&gt;Inputs!$B$218,Inputs!$B$13&gt;0),0,MIN(IF(E$1=0,MthRem,12),MAX(Inputs!$G$16-IF(E$1=0,0,E$1*12+MthOff),0))*Inputs!$B$18))</f>
        <v>3600</v>
      </c>
      <c r="G25" s="7">
        <f ca="1">IF(AND(Inputs!$B$218&lt;&gt;"",G$2=Inputs!$B$218,Inputs!$B$13&gt;0,Inputs!$B$16&gt;0),MIN(IF(F$1=0,MthRem,12),MAX(Inputs!$G$16-IF(F$1=0,0,F$1*12+MthOff),0))*Inputs!$B$18+MAX(FV(Inputs!$B$17/12,G$1*12+MthOff,Inputs!$B$18,-Inputs!$B$16),0),IF(AND(Inputs!$B$218&lt;&gt;"",G$2&gt;Inputs!$B$218,Inputs!$B$13&gt;0),0,MIN(IF(F$1=0,MthRem,12),MAX(Inputs!$G$16-IF(F$1=0,0,F$1*12+MthOff),0))*Inputs!$B$18))</f>
        <v>42893.637515101276</v>
      </c>
      <c r="H25" s="7">
        <f ca="1">IF(AND(Inputs!$B$218&lt;&gt;"",H$2=Inputs!$B$218,Inputs!$B$13&gt;0,Inputs!$B$16&gt;0),MIN(IF(G$1=0,MthRem,12),MAX(Inputs!$G$16-IF(G$1=0,0,G$1*12+MthOff),0))*Inputs!$B$18+MAX(FV(Inputs!$B$17/12,H$1*12+MthOff,Inputs!$B$18,-Inputs!$B$16),0),IF(AND(Inputs!$B$218&lt;&gt;"",H$2&gt;Inputs!$B$218,Inputs!$B$13&gt;0),0,MIN(IF(G$1=0,MthRem,12),MAX(Inputs!$G$16-IF(G$1=0,0,G$1*12+MthOff),0))*Inputs!$B$18))</f>
        <v>0</v>
      </c>
      <c r="I25" s="7">
        <f ca="1">IF(AND(Inputs!$B$218&lt;&gt;"",I$2=Inputs!$B$218,Inputs!$B$13&gt;0,Inputs!$B$16&gt;0),MIN(IF(H$1=0,MthRem,12),MAX(Inputs!$G$16-IF(H$1=0,0,H$1*12+MthOff),0))*Inputs!$B$18+MAX(FV(Inputs!$B$17/12,I$1*12+MthOff,Inputs!$B$18,-Inputs!$B$16),0),IF(AND(Inputs!$B$218&lt;&gt;"",I$2&gt;Inputs!$B$218,Inputs!$B$13&gt;0),0,MIN(IF(H$1=0,MthRem,12),MAX(Inputs!$G$16-IF(H$1=0,0,H$1*12+MthOff),0))*Inputs!$B$18))</f>
        <v>0</v>
      </c>
      <c r="J25" s="7">
        <f ca="1">IF(AND(Inputs!$B$218&lt;&gt;"",J$2=Inputs!$B$218,Inputs!$B$13&gt;0,Inputs!$B$16&gt;0),MIN(IF(I$1=0,MthRem,12),MAX(Inputs!$G$16-IF(I$1=0,0,I$1*12+MthOff),0))*Inputs!$B$18+MAX(FV(Inputs!$B$17/12,J$1*12+MthOff,Inputs!$B$18,-Inputs!$B$16),0),IF(AND(Inputs!$B$218&lt;&gt;"",J$2&gt;Inputs!$B$218,Inputs!$B$13&gt;0),0,MIN(IF(I$1=0,MthRem,12),MAX(Inputs!$G$16-IF(I$1=0,0,I$1*12+MthOff),0))*Inputs!$B$18))</f>
        <v>0</v>
      </c>
      <c r="K25" s="7">
        <f ca="1">IF(AND(Inputs!$B$218&lt;&gt;"",K$2=Inputs!$B$218,Inputs!$B$13&gt;0,Inputs!$B$16&gt;0),MIN(IF(J$1=0,MthRem,12),MAX(Inputs!$G$16-IF(J$1=0,0,J$1*12+MthOff),0))*Inputs!$B$18+MAX(FV(Inputs!$B$17/12,K$1*12+MthOff,Inputs!$B$18,-Inputs!$B$16),0),IF(AND(Inputs!$B$218&lt;&gt;"",K$2&gt;Inputs!$B$218,Inputs!$B$13&gt;0),0,MIN(IF(J$1=0,MthRem,12),MAX(Inputs!$G$16-IF(J$1=0,0,J$1*12+MthOff),0))*Inputs!$B$18))</f>
        <v>0</v>
      </c>
      <c r="L25" s="7">
        <f ca="1">IF(AND(Inputs!$B$218&lt;&gt;"",L$2=Inputs!$B$218,Inputs!$B$13&gt;0,Inputs!$B$16&gt;0),MIN(IF(K$1=0,MthRem,12),MAX(Inputs!$G$16-IF(K$1=0,0,K$1*12+MthOff),0))*Inputs!$B$18+MAX(FV(Inputs!$B$17/12,L$1*12+MthOff,Inputs!$B$18,-Inputs!$B$16),0),IF(AND(Inputs!$B$218&lt;&gt;"",L$2&gt;Inputs!$B$218,Inputs!$B$13&gt;0),0,MIN(IF(K$1=0,MthRem,12),MAX(Inputs!$G$16-IF(K$1=0,0,K$1*12+MthOff),0))*Inputs!$B$18))</f>
        <v>0</v>
      </c>
      <c r="M25" s="7">
        <f ca="1">IF(AND(Inputs!$B$218&lt;&gt;"",M$2=Inputs!$B$218,Inputs!$B$13&gt;0,Inputs!$B$16&gt;0),MIN(IF(L$1=0,MthRem,12),MAX(Inputs!$G$16-IF(L$1=0,0,L$1*12+MthOff),0))*Inputs!$B$18+MAX(FV(Inputs!$B$17/12,M$1*12+MthOff,Inputs!$B$18,-Inputs!$B$16),0),IF(AND(Inputs!$B$218&lt;&gt;"",M$2&gt;Inputs!$B$218,Inputs!$B$13&gt;0),0,MIN(IF(L$1=0,MthRem,12),MAX(Inputs!$G$16-IF(L$1=0,0,L$1*12+MthOff),0))*Inputs!$B$18))</f>
        <v>0</v>
      </c>
      <c r="N25" s="7">
        <f ca="1">IF(AND(Inputs!$B$218&lt;&gt;"",N$2=Inputs!$B$218,Inputs!$B$13&gt;0,Inputs!$B$16&gt;0),MIN(IF(M$1=0,MthRem,12),MAX(Inputs!$G$16-IF(M$1=0,0,M$1*12+MthOff),0))*Inputs!$B$18+MAX(FV(Inputs!$B$17/12,N$1*12+MthOff,Inputs!$B$18,-Inputs!$B$16),0),IF(AND(Inputs!$B$218&lt;&gt;"",N$2&gt;Inputs!$B$218,Inputs!$B$13&gt;0),0,MIN(IF(M$1=0,MthRem,12),MAX(Inputs!$G$16-IF(M$1=0,0,M$1*12+MthOff),0))*Inputs!$B$18))</f>
        <v>0</v>
      </c>
      <c r="O25" s="7">
        <f ca="1">IF(AND(Inputs!$B$218&lt;&gt;"",O$2=Inputs!$B$218,Inputs!$B$13&gt;0,Inputs!$B$16&gt;0),MIN(IF(N$1=0,MthRem,12),MAX(Inputs!$G$16-IF(N$1=0,0,N$1*12+MthOff),0))*Inputs!$B$18+MAX(FV(Inputs!$B$17/12,O$1*12+MthOff,Inputs!$B$18,-Inputs!$B$16),0),IF(AND(Inputs!$B$218&lt;&gt;"",O$2&gt;Inputs!$B$218,Inputs!$B$13&gt;0),0,MIN(IF(N$1=0,MthRem,12),MAX(Inputs!$G$16-IF(N$1=0,0,N$1*12+MthOff),0))*Inputs!$B$18))</f>
        <v>0</v>
      </c>
      <c r="P25" s="7">
        <f ca="1">IF(AND(Inputs!$B$218&lt;&gt;"",P$2=Inputs!$B$218,Inputs!$B$13&gt;0,Inputs!$B$16&gt;0),MIN(IF(O$1=0,MthRem,12),MAX(Inputs!$G$16-IF(O$1=0,0,O$1*12+MthOff),0))*Inputs!$B$18+MAX(FV(Inputs!$B$17/12,P$1*12+MthOff,Inputs!$B$18,-Inputs!$B$16),0),IF(AND(Inputs!$B$218&lt;&gt;"",P$2&gt;Inputs!$B$218,Inputs!$B$13&gt;0),0,MIN(IF(O$1=0,MthRem,12),MAX(Inputs!$G$16-IF(O$1=0,0,O$1*12+MthOff),0))*Inputs!$B$18))</f>
        <v>0</v>
      </c>
      <c r="Q25" s="7">
        <f ca="1">IF(AND(Inputs!$B$218&lt;&gt;"",Q$2=Inputs!$B$218,Inputs!$B$13&gt;0,Inputs!$B$16&gt;0),MIN(IF(P$1=0,MthRem,12),MAX(Inputs!$G$16-IF(P$1=0,0,P$1*12+MthOff),0))*Inputs!$B$18+MAX(FV(Inputs!$B$17/12,Q$1*12+MthOff,Inputs!$B$18,-Inputs!$B$16),0),IF(AND(Inputs!$B$218&lt;&gt;"",Q$2&gt;Inputs!$B$218,Inputs!$B$13&gt;0),0,MIN(IF(P$1=0,MthRem,12),MAX(Inputs!$G$16-IF(P$1=0,0,P$1*12+MthOff),0))*Inputs!$B$18))</f>
        <v>0</v>
      </c>
      <c r="R25" s="7">
        <f ca="1">IF(AND(Inputs!$B$218&lt;&gt;"",R$2=Inputs!$B$218,Inputs!$B$13&gt;0,Inputs!$B$16&gt;0),MIN(IF(Q$1=0,MthRem,12),MAX(Inputs!$G$16-IF(Q$1=0,0,Q$1*12+MthOff),0))*Inputs!$B$18+MAX(FV(Inputs!$B$17/12,R$1*12+MthOff,Inputs!$B$18,-Inputs!$B$16),0),IF(AND(Inputs!$B$218&lt;&gt;"",R$2&gt;Inputs!$B$218,Inputs!$B$13&gt;0),0,MIN(IF(Q$1=0,MthRem,12),MAX(Inputs!$G$16-IF(Q$1=0,0,Q$1*12+MthOff),0))*Inputs!$B$18))</f>
        <v>0</v>
      </c>
      <c r="S25" s="7">
        <f ca="1">IF(AND(Inputs!$B$218&lt;&gt;"",S$2=Inputs!$B$218,Inputs!$B$13&gt;0,Inputs!$B$16&gt;0),MIN(IF(R$1=0,MthRem,12),MAX(Inputs!$G$16-IF(R$1=0,0,R$1*12+MthOff),0))*Inputs!$B$18+MAX(FV(Inputs!$B$17/12,S$1*12+MthOff,Inputs!$B$18,-Inputs!$B$16),0),IF(AND(Inputs!$B$218&lt;&gt;"",S$2&gt;Inputs!$B$218,Inputs!$B$13&gt;0),0,MIN(IF(R$1=0,MthRem,12),MAX(Inputs!$G$16-IF(R$1=0,0,R$1*12+MthOff),0))*Inputs!$B$18))</f>
        <v>0</v>
      </c>
      <c r="T25" s="7">
        <f ca="1">IF(AND(Inputs!$B$218&lt;&gt;"",T$2=Inputs!$B$218,Inputs!$B$13&gt;0,Inputs!$B$16&gt;0),MIN(IF(S$1=0,MthRem,12),MAX(Inputs!$G$16-IF(S$1=0,0,S$1*12+MthOff),0))*Inputs!$B$18+MAX(FV(Inputs!$B$17/12,T$1*12+MthOff,Inputs!$B$18,-Inputs!$B$16),0),IF(AND(Inputs!$B$218&lt;&gt;"",T$2&gt;Inputs!$B$218,Inputs!$B$13&gt;0),0,MIN(IF(S$1=0,MthRem,12),MAX(Inputs!$G$16-IF(S$1=0,0,S$1*12+MthOff),0))*Inputs!$B$18))</f>
        <v>0</v>
      </c>
      <c r="U25" s="7">
        <f ca="1">IF(AND(Inputs!$B$218&lt;&gt;"",U$2=Inputs!$B$218,Inputs!$B$13&gt;0,Inputs!$B$16&gt;0),MIN(IF(T$1=0,MthRem,12),MAX(Inputs!$G$16-IF(T$1=0,0,T$1*12+MthOff),0))*Inputs!$B$18+MAX(FV(Inputs!$B$17/12,U$1*12+MthOff,Inputs!$B$18,-Inputs!$B$16),0),IF(AND(Inputs!$B$218&lt;&gt;"",U$2&gt;Inputs!$B$218,Inputs!$B$13&gt;0),0,MIN(IF(T$1=0,MthRem,12),MAX(Inputs!$G$16-IF(T$1=0,0,T$1*12+MthOff),0))*Inputs!$B$18))</f>
        <v>0</v>
      </c>
      <c r="V25" s="7">
        <f ca="1">IF(AND(Inputs!$B$218&lt;&gt;"",V$2=Inputs!$B$218,Inputs!$B$13&gt;0,Inputs!$B$16&gt;0),MIN(IF(U$1=0,MthRem,12),MAX(Inputs!$G$16-IF(U$1=0,0,U$1*12+MthOff),0))*Inputs!$B$18+MAX(FV(Inputs!$B$17/12,V$1*12+MthOff,Inputs!$B$18,-Inputs!$B$16),0),IF(AND(Inputs!$B$218&lt;&gt;"",V$2&gt;Inputs!$B$218,Inputs!$B$13&gt;0),0,MIN(IF(U$1=0,MthRem,12),MAX(Inputs!$G$16-IF(U$1=0,0,U$1*12+MthOff),0))*Inputs!$B$18))</f>
        <v>0</v>
      </c>
      <c r="W25" s="7">
        <f ca="1">IF(AND(Inputs!$B$218&lt;&gt;"",W$2=Inputs!$B$218,Inputs!$B$13&gt;0,Inputs!$B$16&gt;0),MIN(IF(V$1=0,MthRem,12),MAX(Inputs!$G$16-IF(V$1=0,0,V$1*12+MthOff),0))*Inputs!$B$18+MAX(FV(Inputs!$B$17/12,W$1*12+MthOff,Inputs!$B$18,-Inputs!$B$16),0),IF(AND(Inputs!$B$218&lt;&gt;"",W$2&gt;Inputs!$B$218,Inputs!$B$13&gt;0),0,MIN(IF(V$1=0,MthRem,12),MAX(Inputs!$G$16-IF(V$1=0,0,V$1*12+MthOff),0))*Inputs!$B$18))</f>
        <v>0</v>
      </c>
      <c r="X25" s="7">
        <f ca="1">IF(AND(Inputs!$B$218&lt;&gt;"",X$2=Inputs!$B$218,Inputs!$B$13&gt;0,Inputs!$B$16&gt;0),MIN(IF(W$1=0,MthRem,12),MAX(Inputs!$G$16-IF(W$1=0,0,W$1*12+MthOff),0))*Inputs!$B$18+MAX(FV(Inputs!$B$17/12,X$1*12+MthOff,Inputs!$B$18,-Inputs!$B$16),0),IF(AND(Inputs!$B$218&lt;&gt;"",X$2&gt;Inputs!$B$218,Inputs!$B$13&gt;0),0,MIN(IF(W$1=0,MthRem,12),MAX(Inputs!$G$16-IF(W$1=0,0,W$1*12+MthOff),0))*Inputs!$B$18))</f>
        <v>0</v>
      </c>
      <c r="Y25" s="7">
        <f ca="1">IF(AND(Inputs!$B$218&lt;&gt;"",Y$2=Inputs!$B$218,Inputs!$B$13&gt;0,Inputs!$B$16&gt;0),MIN(IF(X$1=0,MthRem,12),MAX(Inputs!$G$16-IF(X$1=0,0,X$1*12+MthOff),0))*Inputs!$B$18+MAX(FV(Inputs!$B$17/12,Y$1*12+MthOff,Inputs!$B$18,-Inputs!$B$16),0),IF(AND(Inputs!$B$218&lt;&gt;"",Y$2&gt;Inputs!$B$218,Inputs!$B$13&gt;0),0,MIN(IF(X$1=0,MthRem,12),MAX(Inputs!$G$16-IF(X$1=0,0,X$1*12+MthOff),0))*Inputs!$B$18))</f>
        <v>0</v>
      </c>
      <c r="Z25" s="7">
        <f ca="1">IF(AND(Inputs!$B$218&lt;&gt;"",Z$2=Inputs!$B$218,Inputs!$B$13&gt;0,Inputs!$B$16&gt;0),MIN(IF(Y$1=0,MthRem,12),MAX(Inputs!$G$16-IF(Y$1=0,0,Y$1*12+MthOff),0))*Inputs!$B$18+MAX(FV(Inputs!$B$17/12,Z$1*12+MthOff,Inputs!$B$18,-Inputs!$B$16),0),IF(AND(Inputs!$B$218&lt;&gt;"",Z$2&gt;Inputs!$B$218,Inputs!$B$13&gt;0),0,MIN(IF(Y$1=0,MthRem,12),MAX(Inputs!$G$16-IF(Y$1=0,0,Y$1*12+MthOff),0))*Inputs!$B$18))</f>
        <v>0</v>
      </c>
      <c r="AA25" s="7">
        <f ca="1">IF(AND(Inputs!$B$218&lt;&gt;"",AA$2=Inputs!$B$218,Inputs!$B$13&gt;0,Inputs!$B$16&gt;0),MIN(IF(Z$1=0,MthRem,12),MAX(Inputs!$G$16-IF(Z$1=0,0,Z$1*12+MthOff),0))*Inputs!$B$18+MAX(FV(Inputs!$B$17/12,AA$1*12+MthOff,Inputs!$B$18,-Inputs!$B$16),0),IF(AND(Inputs!$B$218&lt;&gt;"",AA$2&gt;Inputs!$B$218,Inputs!$B$13&gt;0),0,MIN(IF(Z$1=0,MthRem,12),MAX(Inputs!$G$16-IF(Z$1=0,0,Z$1*12+MthOff),0))*Inputs!$B$18))</f>
        <v>0</v>
      </c>
      <c r="AB25" s="7">
        <f ca="1">IF(AND(Inputs!$B$218&lt;&gt;"",AB$2=Inputs!$B$218,Inputs!$B$13&gt;0,Inputs!$B$16&gt;0),MIN(IF(AA$1=0,MthRem,12),MAX(Inputs!$G$16-IF(AA$1=0,0,AA$1*12+MthOff),0))*Inputs!$B$18+MAX(FV(Inputs!$B$17/12,AB$1*12+MthOff,Inputs!$B$18,-Inputs!$B$16),0),IF(AND(Inputs!$B$218&lt;&gt;"",AB$2&gt;Inputs!$B$218,Inputs!$B$13&gt;0),0,MIN(IF(AA$1=0,MthRem,12),MAX(Inputs!$G$16-IF(AA$1=0,0,AA$1*12+MthOff),0))*Inputs!$B$18))</f>
        <v>0</v>
      </c>
      <c r="AC25" s="7">
        <f ca="1">IF(AND(Inputs!$B$218&lt;&gt;"",AC$2=Inputs!$B$218,Inputs!$B$13&gt;0,Inputs!$B$16&gt;0),MIN(IF(AB$1=0,MthRem,12),MAX(Inputs!$G$16-IF(AB$1=0,0,AB$1*12+MthOff),0))*Inputs!$B$18+MAX(FV(Inputs!$B$17/12,AC$1*12+MthOff,Inputs!$B$18,-Inputs!$B$16),0),IF(AND(Inputs!$B$218&lt;&gt;"",AC$2&gt;Inputs!$B$218,Inputs!$B$13&gt;0),0,MIN(IF(AB$1=0,MthRem,12),MAX(Inputs!$G$16-IF(AB$1=0,0,AB$1*12+MthOff),0))*Inputs!$B$18))</f>
        <v>0</v>
      </c>
      <c r="AD25" s="7">
        <f ca="1">IF(AND(Inputs!$B$218&lt;&gt;"",AD$2=Inputs!$B$218,Inputs!$B$13&gt;0,Inputs!$B$16&gt;0),MIN(IF(AC$1=0,MthRem,12),MAX(Inputs!$G$16-IF(AC$1=0,0,AC$1*12+MthOff),0))*Inputs!$B$18+MAX(FV(Inputs!$B$17/12,AD$1*12+MthOff,Inputs!$B$18,-Inputs!$B$16),0),IF(AND(Inputs!$B$218&lt;&gt;"",AD$2&gt;Inputs!$B$218,Inputs!$B$13&gt;0),0,MIN(IF(AC$1=0,MthRem,12),MAX(Inputs!$G$16-IF(AC$1=0,0,AC$1*12+MthOff),0))*Inputs!$B$18))</f>
        <v>0</v>
      </c>
      <c r="AE25" s="7">
        <f ca="1">IF(AND(Inputs!$B$218&lt;&gt;"",AE$2=Inputs!$B$218,Inputs!$B$13&gt;0,Inputs!$B$16&gt;0),MIN(IF(AD$1=0,MthRem,12),MAX(Inputs!$G$16-IF(AD$1=0,0,AD$1*12+MthOff),0))*Inputs!$B$18+MAX(FV(Inputs!$B$17/12,AE$1*12+MthOff,Inputs!$B$18,-Inputs!$B$16),0),IF(AND(Inputs!$B$218&lt;&gt;"",AE$2&gt;Inputs!$B$218,Inputs!$B$13&gt;0),0,MIN(IF(AD$1=0,MthRem,12),MAX(Inputs!$G$16-IF(AD$1=0,0,AD$1*12+MthOff),0))*Inputs!$B$18))</f>
        <v>0</v>
      </c>
      <c r="AF25" s="7">
        <f ca="1">IF(AND(Inputs!$B$218&lt;&gt;"",AF$2=Inputs!$B$218,Inputs!$B$13&gt;0,Inputs!$B$16&gt;0),MIN(IF(AE$1=0,MthRem,12),MAX(Inputs!$G$16-IF(AE$1=0,0,AE$1*12+MthOff),0))*Inputs!$B$18+MAX(FV(Inputs!$B$17/12,AF$1*12+MthOff,Inputs!$B$18,-Inputs!$B$16),0),IF(AND(Inputs!$B$218&lt;&gt;"",AF$2&gt;Inputs!$B$218,Inputs!$B$13&gt;0),0,MIN(IF(AE$1=0,MthRem,12),MAX(Inputs!$G$16-IF(AE$1=0,0,AE$1*12+MthOff),0))*Inputs!$B$18))</f>
        <v>0</v>
      </c>
      <c r="AG25" s="7">
        <f ca="1">IF(AND(Inputs!$B$218&lt;&gt;"",AG$2=Inputs!$B$218,Inputs!$B$13&gt;0,Inputs!$B$16&gt;0),MIN(IF(AF$1=0,MthRem,12),MAX(Inputs!$G$16-IF(AF$1=0,0,AF$1*12+MthOff),0))*Inputs!$B$18+MAX(FV(Inputs!$B$17/12,AG$1*12+MthOff,Inputs!$B$18,-Inputs!$B$16),0),IF(AND(Inputs!$B$218&lt;&gt;"",AG$2&gt;Inputs!$B$218,Inputs!$B$13&gt;0),0,MIN(IF(AF$1=0,MthRem,12),MAX(Inputs!$G$16-IF(AF$1=0,0,AF$1*12+MthOff),0))*Inputs!$B$18))</f>
        <v>0</v>
      </c>
      <c r="AH25" s="7">
        <f ca="1">IF(AND(Inputs!$B$218&lt;&gt;"",AH$2=Inputs!$B$218,Inputs!$B$13&gt;0,Inputs!$B$16&gt;0),MIN(IF(AG$1=0,MthRem,12),MAX(Inputs!$G$16-IF(AG$1=0,0,AG$1*12+MthOff),0))*Inputs!$B$18+MAX(FV(Inputs!$B$17/12,AH$1*12+MthOff,Inputs!$B$18,-Inputs!$B$16),0),IF(AND(Inputs!$B$218&lt;&gt;"",AH$2&gt;Inputs!$B$218,Inputs!$B$13&gt;0),0,MIN(IF(AG$1=0,MthRem,12),MAX(Inputs!$G$16-IF(AG$1=0,0,AG$1*12+MthOff),0))*Inputs!$B$18))</f>
        <v>0</v>
      </c>
      <c r="AI25" s="7">
        <f ca="1">IF(AND(Inputs!$B$218&lt;&gt;"",AI$2=Inputs!$B$218,Inputs!$B$13&gt;0,Inputs!$B$16&gt;0),MIN(IF(AH$1=0,MthRem,12),MAX(Inputs!$G$16-IF(AH$1=0,0,AH$1*12+MthOff),0))*Inputs!$B$18+MAX(FV(Inputs!$B$17/12,AI$1*12+MthOff,Inputs!$B$18,-Inputs!$B$16),0),IF(AND(Inputs!$B$218&lt;&gt;"",AI$2&gt;Inputs!$B$218,Inputs!$B$13&gt;0),0,MIN(IF(AH$1=0,MthRem,12),MAX(Inputs!$G$16-IF(AH$1=0,0,AH$1*12+MthOff),0))*Inputs!$B$18))</f>
        <v>0</v>
      </c>
      <c r="AJ25" s="7">
        <f ca="1">IF(AND(Inputs!$B$218&lt;&gt;"",AJ$2=Inputs!$B$218,Inputs!$B$13&gt;0,Inputs!$B$16&gt;0),MIN(IF(AI$1=0,MthRem,12),MAX(Inputs!$G$16-IF(AI$1=0,0,AI$1*12+MthOff),0))*Inputs!$B$18+MAX(FV(Inputs!$B$17/12,AJ$1*12+MthOff,Inputs!$B$18,-Inputs!$B$16),0),IF(AND(Inputs!$B$218&lt;&gt;"",AJ$2&gt;Inputs!$B$218,Inputs!$B$13&gt;0),0,MIN(IF(AI$1=0,MthRem,12),MAX(Inputs!$G$16-IF(AI$1=0,0,AI$1*12+MthOff),0))*Inputs!$B$18))</f>
        <v>0</v>
      </c>
      <c r="AK25" s="7">
        <f ca="1">IF(AND(Inputs!$B$218&lt;&gt;"",AK$2=Inputs!$B$218,Inputs!$B$13&gt;0,Inputs!$B$16&gt;0),MIN(IF(AJ$1=0,MthRem,12),MAX(Inputs!$G$16-IF(AJ$1=0,0,AJ$1*12+MthOff),0))*Inputs!$B$18+MAX(FV(Inputs!$B$17/12,AK$1*12+MthOff,Inputs!$B$18,-Inputs!$B$16),0),IF(AND(Inputs!$B$218&lt;&gt;"",AK$2&gt;Inputs!$B$218,Inputs!$B$13&gt;0),0,MIN(IF(AJ$1=0,MthRem,12),MAX(Inputs!$G$16-IF(AJ$1=0,0,AJ$1*12+MthOff),0))*Inputs!$B$18))</f>
        <v>0</v>
      </c>
      <c r="AL25" s="7">
        <f ca="1">IF(AND(Inputs!$B$218&lt;&gt;"",AL$2=Inputs!$B$218,Inputs!$B$13&gt;0,Inputs!$B$16&gt;0),MIN(IF(AK$1=0,MthRem,12),MAX(Inputs!$G$16-IF(AK$1=0,0,AK$1*12+MthOff),0))*Inputs!$B$18+MAX(FV(Inputs!$B$17/12,AL$1*12+MthOff,Inputs!$B$18,-Inputs!$B$16),0),IF(AND(Inputs!$B$218&lt;&gt;"",AL$2&gt;Inputs!$B$218,Inputs!$B$13&gt;0),0,MIN(IF(AK$1=0,MthRem,12),MAX(Inputs!$G$16-IF(AK$1=0,0,AK$1*12+MthOff),0))*Inputs!$B$18))</f>
        <v>0</v>
      </c>
      <c r="AM25" s="7">
        <f ca="1">IF(AND(Inputs!$B$218&lt;&gt;"",AM$2=Inputs!$B$218,Inputs!$B$13&gt;0,Inputs!$B$16&gt;0),MIN(IF(AL$1=0,MthRem,12),MAX(Inputs!$G$16-IF(AL$1=0,0,AL$1*12+MthOff),0))*Inputs!$B$18+MAX(FV(Inputs!$B$17/12,AM$1*12+MthOff,Inputs!$B$18,-Inputs!$B$16),0),IF(AND(Inputs!$B$218&lt;&gt;"",AM$2&gt;Inputs!$B$218,Inputs!$B$13&gt;0),0,MIN(IF(AL$1=0,MthRem,12),MAX(Inputs!$G$16-IF(AL$1=0,0,AL$1*12+MthOff),0))*Inputs!$B$18))</f>
        <v>0</v>
      </c>
    </row>
    <row r="26" spans="1:39" x14ac:dyDescent="0.2">
      <c r="A26" s="4" t="s">
        <v>199</v>
      </c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  <c r="AG26" s="7"/>
      <c r="AH26" s="7"/>
      <c r="AI26" s="7"/>
      <c r="AJ26" s="7"/>
      <c r="AK26" s="7"/>
      <c r="AL26" s="7"/>
      <c r="AM26" s="7"/>
    </row>
    <row r="27" spans="1:39" x14ac:dyDescent="0.2">
      <c r="A27" s="3" t="str">
        <f>TEXT(Inputs!$B$61,"")</f>
        <v>Sliema</v>
      </c>
      <c r="C27" s="7">
        <f ca="1">MIN(IF(B$1=0,MthRem,12), MAX(Inputs!$G$128-IF(B$1=0,0,B$1*12+MthOff), 0))*Inputs!$B$130</f>
        <v>4500</v>
      </c>
      <c r="D27" s="7">
        <f ca="1">MIN(IF(C$1=0,MthRem,12), MAX(Inputs!$G$128-IF(C$1=0,0,C$1*12+MthOff), 0))*Inputs!$B$130</f>
        <v>6000</v>
      </c>
      <c r="E27" s="7">
        <f ca="1">MIN(IF(D$1=0,MthRem,12), MAX(Inputs!$G$128-IF(D$1=0,0,D$1*12+MthOff), 0))*Inputs!$B$130</f>
        <v>6000</v>
      </c>
      <c r="F27" s="7">
        <f ca="1">MIN(IF(E$1=0,MthRem,12), MAX(Inputs!$G$128-IF(E$1=0,0,E$1*12+MthOff), 0))*Inputs!$B$130</f>
        <v>6000</v>
      </c>
      <c r="G27" s="7">
        <f ca="1">MIN(IF(F$1=0,MthRem,12), MAX(Inputs!$G$128-IF(F$1=0,0,F$1*12+MthOff), 0))*Inputs!$B$130</f>
        <v>6000</v>
      </c>
      <c r="H27" s="7">
        <f ca="1">MIN(IF(G$1=0,MthRem,12), MAX(Inputs!$G$128-IF(G$1=0,0,G$1*12+MthOff), 0))*Inputs!$B$130</f>
        <v>6000</v>
      </c>
      <c r="I27" s="7">
        <f ca="1">MIN(IF(H$1=0,MthRem,12), MAX(Inputs!$G$128-IF(H$1=0,0,H$1*12+MthOff), 0))*Inputs!$B$130</f>
        <v>6000</v>
      </c>
      <c r="J27" s="7">
        <f ca="1">MIN(IF(I$1=0,MthRem,12), MAX(Inputs!$G$128-IF(I$1=0,0,I$1*12+MthOff), 0))*Inputs!$B$130</f>
        <v>6000</v>
      </c>
      <c r="K27" s="7">
        <f ca="1">MIN(IF(J$1=0,MthRem,12), MAX(Inputs!$G$128-IF(J$1=0,0,J$1*12+MthOff), 0))*Inputs!$B$130</f>
        <v>6000</v>
      </c>
      <c r="L27" s="7">
        <f ca="1">MIN(IF(K$1=0,MthRem,12), MAX(Inputs!$G$128-IF(K$1=0,0,K$1*12+MthOff), 0))*Inputs!$B$130</f>
        <v>5108.3050789871932</v>
      </c>
      <c r="M27" s="7">
        <f ca="1">MIN(IF(L$1=0,MthRem,12), MAX(Inputs!$G$128-IF(L$1=0,0,L$1*12+MthOff), 0))*Inputs!$B$130</f>
        <v>0</v>
      </c>
      <c r="N27" s="7">
        <f ca="1">MIN(IF(M$1=0,MthRem,12), MAX(Inputs!$G$128-IF(M$1=0,0,M$1*12+MthOff), 0))*Inputs!$B$130</f>
        <v>0</v>
      </c>
      <c r="O27" s="7">
        <f ca="1">MIN(IF(N$1=0,MthRem,12), MAX(Inputs!$G$128-IF(N$1=0,0,N$1*12+MthOff), 0))*Inputs!$B$130</f>
        <v>0</v>
      </c>
      <c r="P27" s="7">
        <f ca="1">MIN(IF(O$1=0,MthRem,12), MAX(Inputs!$G$128-IF(O$1=0,0,O$1*12+MthOff), 0))*Inputs!$B$130</f>
        <v>0</v>
      </c>
      <c r="Q27" s="7">
        <f ca="1">MIN(IF(P$1=0,MthRem,12), MAX(Inputs!$G$128-IF(P$1=0,0,P$1*12+MthOff), 0))*Inputs!$B$130</f>
        <v>0</v>
      </c>
      <c r="R27" s="7">
        <f ca="1">MIN(IF(Q$1=0,MthRem,12), MAX(Inputs!$G$128-IF(Q$1=0,0,Q$1*12+MthOff), 0))*Inputs!$B$130</f>
        <v>0</v>
      </c>
      <c r="S27" s="7">
        <f ca="1">MIN(IF(R$1=0,MthRem,12), MAX(Inputs!$G$128-IF(R$1=0,0,R$1*12+MthOff), 0))*Inputs!$B$130</f>
        <v>0</v>
      </c>
      <c r="T27" s="7">
        <f ca="1">MIN(IF(S$1=0,MthRem,12), MAX(Inputs!$G$128-IF(S$1=0,0,S$1*12+MthOff), 0))*Inputs!$B$130</f>
        <v>0</v>
      </c>
      <c r="U27" s="7">
        <f ca="1">MIN(IF(T$1=0,MthRem,12), MAX(Inputs!$G$128-IF(T$1=0,0,T$1*12+MthOff), 0))*Inputs!$B$130</f>
        <v>0</v>
      </c>
      <c r="V27" s="7">
        <f ca="1">MIN(IF(U$1=0,MthRem,12), MAX(Inputs!$G$128-IF(U$1=0,0,U$1*12+MthOff), 0))*Inputs!$B$130</f>
        <v>0</v>
      </c>
      <c r="W27" s="7">
        <f ca="1">MIN(IF(V$1=0,MthRem,12), MAX(Inputs!$G$128-IF(V$1=0,0,V$1*12+MthOff), 0))*Inputs!$B$130</f>
        <v>0</v>
      </c>
      <c r="X27" s="7">
        <f ca="1">MIN(IF(W$1=0,MthRem,12), MAX(Inputs!$G$128-IF(W$1=0,0,W$1*12+MthOff), 0))*Inputs!$B$130</f>
        <v>0</v>
      </c>
      <c r="Y27" s="7">
        <f ca="1">MIN(IF(X$1=0,MthRem,12), MAX(Inputs!$G$128-IF(X$1=0,0,X$1*12+MthOff), 0))*Inputs!$B$130</f>
        <v>0</v>
      </c>
      <c r="Z27" s="7">
        <f ca="1">MIN(IF(Y$1=0,MthRem,12), MAX(Inputs!$G$128-IF(Y$1=0,0,Y$1*12+MthOff), 0))*Inputs!$B$130</f>
        <v>0</v>
      </c>
      <c r="AA27" s="7">
        <f ca="1">MIN(IF(Z$1=0,MthRem,12), MAX(Inputs!$G$128-IF(Z$1=0,0,Z$1*12+MthOff), 0))*Inputs!$B$130</f>
        <v>0</v>
      </c>
      <c r="AB27" s="7">
        <f ca="1">MIN(IF(AA$1=0,MthRem,12), MAX(Inputs!$G$128-IF(AA$1=0,0,AA$1*12+MthOff), 0))*Inputs!$B$130</f>
        <v>0</v>
      </c>
      <c r="AC27" s="7">
        <f ca="1">MIN(IF(AB$1=0,MthRem,12), MAX(Inputs!$G$128-IF(AB$1=0,0,AB$1*12+MthOff), 0))*Inputs!$B$130</f>
        <v>0</v>
      </c>
      <c r="AD27" s="7">
        <f ca="1">MIN(IF(AC$1=0,MthRem,12), MAX(Inputs!$G$128-IF(AC$1=0,0,AC$1*12+MthOff), 0))*Inputs!$B$130</f>
        <v>0</v>
      </c>
      <c r="AE27" s="7">
        <f ca="1">MIN(IF(AD$1=0,MthRem,12), MAX(Inputs!$G$128-IF(AD$1=0,0,AD$1*12+MthOff), 0))*Inputs!$B$130</f>
        <v>0</v>
      </c>
      <c r="AF27" s="7">
        <f ca="1">MIN(IF(AE$1=0,MthRem,12), MAX(Inputs!$G$128-IF(AE$1=0,0,AE$1*12+MthOff), 0))*Inputs!$B$130</f>
        <v>0</v>
      </c>
      <c r="AG27" s="7">
        <f ca="1">MIN(IF(AF$1=0,MthRem,12), MAX(Inputs!$G$128-IF(AF$1=0,0,AF$1*12+MthOff), 0))*Inputs!$B$130</f>
        <v>0</v>
      </c>
      <c r="AH27" s="7">
        <f ca="1">MIN(IF(AG$1=0,MthRem,12), MAX(Inputs!$G$128-IF(AG$1=0,0,AG$1*12+MthOff), 0))*Inputs!$B$130</f>
        <v>0</v>
      </c>
      <c r="AI27" s="7">
        <f ca="1">MIN(IF(AH$1=0,MthRem,12), MAX(Inputs!$G$128-IF(AH$1=0,0,AH$1*12+MthOff), 0))*Inputs!$B$130</f>
        <v>0</v>
      </c>
      <c r="AJ27" s="7">
        <f ca="1">MIN(IF(AI$1=0,MthRem,12), MAX(Inputs!$G$128-IF(AI$1=0,0,AI$1*12+MthOff), 0))*Inputs!$B$130</f>
        <v>0</v>
      </c>
      <c r="AK27" s="7">
        <f ca="1">MIN(IF(AJ$1=0,MthRem,12), MAX(Inputs!$G$128-IF(AJ$1=0,0,AJ$1*12+MthOff), 0))*Inputs!$B$130</f>
        <v>0</v>
      </c>
      <c r="AL27" s="7">
        <f ca="1">MIN(IF(AK$1=0,MthRem,12), MAX(Inputs!$G$128-IF(AK$1=0,0,AK$1*12+MthOff), 0))*Inputs!$B$130</f>
        <v>0</v>
      </c>
      <c r="AM27" s="7">
        <f ca="1">MIN(IF(AL$1=0,MthRem,12), MAX(Inputs!$G$128-IF(AL$1=0,0,AL$1*12+MthOff), 0))*Inputs!$B$130</f>
        <v>0</v>
      </c>
    </row>
    <row r="28" spans="1:39" x14ac:dyDescent="0.2">
      <c r="A28" s="3" t="str">
        <f>TEXT(Inputs!$B$66,"")</f>
        <v>Gzira</v>
      </c>
      <c r="C28" s="7">
        <f ca="1">MIN(IF(B$1=0,MthRem,12), MAX(Inputs!$G$133-IF(B$1=0,0,B$1*12+MthOff), 0))*Inputs!$B$135</f>
        <v>1800</v>
      </c>
      <c r="D28" s="7">
        <f ca="1">MIN(IF(C$1=0,MthRem,12), MAX(Inputs!$G$133-IF(C$1=0,0,C$1*12+MthOff), 0))*Inputs!$B$135</f>
        <v>2400</v>
      </c>
      <c r="E28" s="7">
        <f ca="1">MIN(IF(D$1=0,MthRem,12), MAX(Inputs!$G$133-IF(D$1=0,0,D$1*12+MthOff), 0))*Inputs!$B$135</f>
        <v>2400</v>
      </c>
      <c r="F28" s="7">
        <f ca="1">MIN(IF(E$1=0,MthRem,12), MAX(Inputs!$G$133-IF(E$1=0,0,E$1*12+MthOff), 0))*Inputs!$B$135</f>
        <v>2223.4029019573059</v>
      </c>
      <c r="G28" s="7">
        <f ca="1">MIN(IF(F$1=0,MthRem,12), MAX(Inputs!$G$133-IF(F$1=0,0,F$1*12+MthOff), 0))*Inputs!$B$135</f>
        <v>0</v>
      </c>
      <c r="H28" s="7">
        <f ca="1">MIN(IF(G$1=0,MthRem,12), MAX(Inputs!$G$133-IF(G$1=0,0,G$1*12+MthOff), 0))*Inputs!$B$135</f>
        <v>0</v>
      </c>
      <c r="I28" s="7">
        <f ca="1">MIN(IF(H$1=0,MthRem,12), MAX(Inputs!$G$133-IF(H$1=0,0,H$1*12+MthOff), 0))*Inputs!$B$135</f>
        <v>0</v>
      </c>
      <c r="J28" s="7">
        <f ca="1">MIN(IF(I$1=0,MthRem,12), MAX(Inputs!$G$133-IF(I$1=0,0,I$1*12+MthOff), 0))*Inputs!$B$135</f>
        <v>0</v>
      </c>
      <c r="K28" s="7">
        <f ca="1">MIN(IF(J$1=0,MthRem,12), MAX(Inputs!$G$133-IF(J$1=0,0,J$1*12+MthOff), 0))*Inputs!$B$135</f>
        <v>0</v>
      </c>
      <c r="L28" s="7">
        <f ca="1">MIN(IF(K$1=0,MthRem,12), MAX(Inputs!$G$133-IF(K$1=0,0,K$1*12+MthOff), 0))*Inputs!$B$135</f>
        <v>0</v>
      </c>
      <c r="M28" s="7">
        <f ca="1">MIN(IF(L$1=0,MthRem,12), MAX(Inputs!$G$133-IF(L$1=0,0,L$1*12+MthOff), 0))*Inputs!$B$135</f>
        <v>0</v>
      </c>
      <c r="N28" s="7">
        <f ca="1">MIN(IF(M$1=0,MthRem,12), MAX(Inputs!$G$133-IF(M$1=0,0,M$1*12+MthOff), 0))*Inputs!$B$135</f>
        <v>0</v>
      </c>
      <c r="O28" s="7">
        <f ca="1">MIN(IF(N$1=0,MthRem,12), MAX(Inputs!$G$133-IF(N$1=0,0,N$1*12+MthOff), 0))*Inputs!$B$135</f>
        <v>0</v>
      </c>
      <c r="P28" s="7">
        <f ca="1">MIN(IF(O$1=0,MthRem,12), MAX(Inputs!$G$133-IF(O$1=0,0,O$1*12+MthOff), 0))*Inputs!$B$135</f>
        <v>0</v>
      </c>
      <c r="Q28" s="7">
        <f ca="1">MIN(IF(P$1=0,MthRem,12), MAX(Inputs!$G$133-IF(P$1=0,0,P$1*12+MthOff), 0))*Inputs!$B$135</f>
        <v>0</v>
      </c>
      <c r="R28" s="7">
        <f ca="1">MIN(IF(Q$1=0,MthRem,12), MAX(Inputs!$G$133-IF(Q$1=0,0,Q$1*12+MthOff), 0))*Inputs!$B$135</f>
        <v>0</v>
      </c>
      <c r="S28" s="7">
        <f ca="1">MIN(IF(R$1=0,MthRem,12), MAX(Inputs!$G$133-IF(R$1=0,0,R$1*12+MthOff), 0))*Inputs!$B$135</f>
        <v>0</v>
      </c>
      <c r="T28" s="7">
        <f ca="1">MIN(IF(S$1=0,MthRem,12), MAX(Inputs!$G$133-IF(S$1=0,0,S$1*12+MthOff), 0))*Inputs!$B$135</f>
        <v>0</v>
      </c>
      <c r="U28" s="7">
        <f ca="1">MIN(IF(T$1=0,MthRem,12), MAX(Inputs!$G$133-IF(T$1=0,0,T$1*12+MthOff), 0))*Inputs!$B$135</f>
        <v>0</v>
      </c>
      <c r="V28" s="7">
        <f ca="1">MIN(IF(U$1=0,MthRem,12), MAX(Inputs!$G$133-IF(U$1=0,0,U$1*12+MthOff), 0))*Inputs!$B$135</f>
        <v>0</v>
      </c>
      <c r="W28" s="7">
        <f ca="1">MIN(IF(V$1=0,MthRem,12), MAX(Inputs!$G$133-IF(V$1=0,0,V$1*12+MthOff), 0))*Inputs!$B$135</f>
        <v>0</v>
      </c>
      <c r="X28" s="7">
        <f ca="1">MIN(IF(W$1=0,MthRem,12), MAX(Inputs!$G$133-IF(W$1=0,0,W$1*12+MthOff), 0))*Inputs!$B$135</f>
        <v>0</v>
      </c>
      <c r="Y28" s="7">
        <f ca="1">MIN(IF(X$1=0,MthRem,12), MAX(Inputs!$G$133-IF(X$1=0,0,X$1*12+MthOff), 0))*Inputs!$B$135</f>
        <v>0</v>
      </c>
      <c r="Z28" s="7">
        <f ca="1">MIN(IF(Y$1=0,MthRem,12), MAX(Inputs!$G$133-IF(Y$1=0,0,Y$1*12+MthOff), 0))*Inputs!$B$135</f>
        <v>0</v>
      </c>
      <c r="AA28" s="7">
        <f ca="1">MIN(IF(Z$1=0,MthRem,12), MAX(Inputs!$G$133-IF(Z$1=0,0,Z$1*12+MthOff), 0))*Inputs!$B$135</f>
        <v>0</v>
      </c>
      <c r="AB28" s="7">
        <f ca="1">MIN(IF(AA$1=0,MthRem,12), MAX(Inputs!$G$133-IF(AA$1=0,0,AA$1*12+MthOff), 0))*Inputs!$B$135</f>
        <v>0</v>
      </c>
      <c r="AC28" s="7">
        <f ca="1">MIN(IF(AB$1=0,MthRem,12), MAX(Inputs!$G$133-IF(AB$1=0,0,AB$1*12+MthOff), 0))*Inputs!$B$135</f>
        <v>0</v>
      </c>
      <c r="AD28" s="7">
        <f ca="1">MIN(IF(AC$1=0,MthRem,12), MAX(Inputs!$G$133-IF(AC$1=0,0,AC$1*12+MthOff), 0))*Inputs!$B$135</f>
        <v>0</v>
      </c>
      <c r="AE28" s="7">
        <f ca="1">MIN(IF(AD$1=0,MthRem,12), MAX(Inputs!$G$133-IF(AD$1=0,0,AD$1*12+MthOff), 0))*Inputs!$B$135</f>
        <v>0</v>
      </c>
      <c r="AF28" s="7">
        <f ca="1">MIN(IF(AE$1=0,MthRem,12), MAX(Inputs!$G$133-IF(AE$1=0,0,AE$1*12+MthOff), 0))*Inputs!$B$135</f>
        <v>0</v>
      </c>
      <c r="AG28" s="7">
        <f ca="1">MIN(IF(AF$1=0,MthRem,12), MAX(Inputs!$G$133-IF(AF$1=0,0,AF$1*12+MthOff), 0))*Inputs!$B$135</f>
        <v>0</v>
      </c>
      <c r="AH28" s="7">
        <f ca="1">MIN(IF(AG$1=0,MthRem,12), MAX(Inputs!$G$133-IF(AG$1=0,0,AG$1*12+MthOff), 0))*Inputs!$B$135</f>
        <v>0</v>
      </c>
      <c r="AI28" s="7">
        <f ca="1">MIN(IF(AH$1=0,MthRem,12), MAX(Inputs!$G$133-IF(AH$1=0,0,AH$1*12+MthOff), 0))*Inputs!$B$135</f>
        <v>0</v>
      </c>
      <c r="AJ28" s="7">
        <f ca="1">MIN(IF(AI$1=0,MthRem,12), MAX(Inputs!$G$133-IF(AI$1=0,0,AI$1*12+MthOff), 0))*Inputs!$B$135</f>
        <v>0</v>
      </c>
      <c r="AK28" s="7">
        <f ca="1">MIN(IF(AJ$1=0,MthRem,12), MAX(Inputs!$G$133-IF(AJ$1=0,0,AJ$1*12+MthOff), 0))*Inputs!$B$135</f>
        <v>0</v>
      </c>
      <c r="AL28" s="7">
        <f ca="1">MIN(IF(AK$1=0,MthRem,12), MAX(Inputs!$G$133-IF(AK$1=0,0,AK$1*12+MthOff), 0))*Inputs!$B$135</f>
        <v>0</v>
      </c>
      <c r="AM28" s="7">
        <f ca="1">MIN(IF(AL$1=0,MthRem,12), MAX(Inputs!$G$133-IF(AL$1=0,0,AL$1*12+MthOff), 0))*Inputs!$B$135</f>
        <v>0</v>
      </c>
    </row>
    <row r="29" spans="1:39" x14ac:dyDescent="0.2">
      <c r="A29" s="3" t="str">
        <f>TEXT(Inputs!$B$71,"")</f>
        <v>Qormi</v>
      </c>
      <c r="C29" s="7">
        <f ca="1">MIN(IF(B$1=0,MthRem,12), MAX(Inputs!$G$138-IF(B$1=0,0,B$1*12+MthOff), 0))*Inputs!$B$140</f>
        <v>2250</v>
      </c>
      <c r="D29" s="7">
        <f ca="1">MIN(IF(C$1=0,MthRem,12), MAX(Inputs!$G$138-IF(C$1=0,0,C$1*12+MthOff), 0))*Inputs!$B$140</f>
        <v>3000</v>
      </c>
      <c r="E29" s="7">
        <f ca="1">MIN(IF(D$1=0,MthRem,12), MAX(Inputs!$G$138-IF(D$1=0,0,D$1*12+MthOff), 0))*Inputs!$B$140</f>
        <v>3000</v>
      </c>
      <c r="F29" s="7">
        <f ca="1">MIN(IF(E$1=0,MthRem,12), MAX(Inputs!$G$138-IF(E$1=0,0,E$1*12+MthOff), 0))*Inputs!$B$140</f>
        <v>3000</v>
      </c>
      <c r="G29" s="7">
        <f ca="1">MIN(IF(F$1=0,MthRem,12), MAX(Inputs!$G$138-IF(F$1=0,0,F$1*12+MthOff), 0))*Inputs!$B$140</f>
        <v>3000</v>
      </c>
      <c r="H29" s="7">
        <f ca="1">MIN(IF(G$1=0,MthRem,12), MAX(Inputs!$G$138-IF(G$1=0,0,G$1*12+MthOff), 0))*Inputs!$B$140</f>
        <v>3000</v>
      </c>
      <c r="I29" s="7">
        <f ca="1">MIN(IF(H$1=0,MthRem,12), MAX(Inputs!$G$138-IF(H$1=0,0,H$1*12+MthOff), 0))*Inputs!$B$140</f>
        <v>46.859685650215255</v>
      </c>
      <c r="J29" s="7">
        <f ca="1">MIN(IF(I$1=0,MthRem,12), MAX(Inputs!$G$138-IF(I$1=0,0,I$1*12+MthOff), 0))*Inputs!$B$140</f>
        <v>0</v>
      </c>
      <c r="K29" s="7">
        <f ca="1">MIN(IF(J$1=0,MthRem,12), MAX(Inputs!$G$138-IF(J$1=0,0,J$1*12+MthOff), 0))*Inputs!$B$140</f>
        <v>0</v>
      </c>
      <c r="L29" s="7">
        <f ca="1">MIN(IF(K$1=0,MthRem,12), MAX(Inputs!$G$138-IF(K$1=0,0,K$1*12+MthOff), 0))*Inputs!$B$140</f>
        <v>0</v>
      </c>
      <c r="M29" s="7">
        <f ca="1">MIN(IF(L$1=0,MthRem,12), MAX(Inputs!$G$138-IF(L$1=0,0,L$1*12+MthOff), 0))*Inputs!$B$140</f>
        <v>0</v>
      </c>
      <c r="N29" s="7">
        <f ca="1">MIN(IF(M$1=0,MthRem,12), MAX(Inputs!$G$138-IF(M$1=0,0,M$1*12+MthOff), 0))*Inputs!$B$140</f>
        <v>0</v>
      </c>
      <c r="O29" s="7">
        <f ca="1">MIN(IF(N$1=0,MthRem,12), MAX(Inputs!$G$138-IF(N$1=0,0,N$1*12+MthOff), 0))*Inputs!$B$140</f>
        <v>0</v>
      </c>
      <c r="P29" s="7">
        <f ca="1">MIN(IF(O$1=0,MthRem,12), MAX(Inputs!$G$138-IF(O$1=0,0,O$1*12+MthOff), 0))*Inputs!$B$140</f>
        <v>0</v>
      </c>
      <c r="Q29" s="7">
        <f ca="1">MIN(IF(P$1=0,MthRem,12), MAX(Inputs!$G$138-IF(P$1=0,0,P$1*12+MthOff), 0))*Inputs!$B$140</f>
        <v>0</v>
      </c>
      <c r="R29" s="7">
        <f ca="1">MIN(IF(Q$1=0,MthRem,12), MAX(Inputs!$G$138-IF(Q$1=0,0,Q$1*12+MthOff), 0))*Inputs!$B$140</f>
        <v>0</v>
      </c>
      <c r="S29" s="7">
        <f ca="1">MIN(IF(R$1=0,MthRem,12), MAX(Inputs!$G$138-IF(R$1=0,0,R$1*12+MthOff), 0))*Inputs!$B$140</f>
        <v>0</v>
      </c>
      <c r="T29" s="7">
        <f ca="1">MIN(IF(S$1=0,MthRem,12), MAX(Inputs!$G$138-IF(S$1=0,0,S$1*12+MthOff), 0))*Inputs!$B$140</f>
        <v>0</v>
      </c>
      <c r="U29" s="7">
        <f ca="1">MIN(IF(T$1=0,MthRem,12), MAX(Inputs!$G$138-IF(T$1=0,0,T$1*12+MthOff), 0))*Inputs!$B$140</f>
        <v>0</v>
      </c>
      <c r="V29" s="7">
        <f ca="1">MIN(IF(U$1=0,MthRem,12), MAX(Inputs!$G$138-IF(U$1=0,0,U$1*12+MthOff), 0))*Inputs!$B$140</f>
        <v>0</v>
      </c>
      <c r="W29" s="7">
        <f ca="1">MIN(IF(V$1=0,MthRem,12), MAX(Inputs!$G$138-IF(V$1=0,0,V$1*12+MthOff), 0))*Inputs!$B$140</f>
        <v>0</v>
      </c>
      <c r="X29" s="7">
        <f ca="1">MIN(IF(W$1=0,MthRem,12), MAX(Inputs!$G$138-IF(W$1=0,0,W$1*12+MthOff), 0))*Inputs!$B$140</f>
        <v>0</v>
      </c>
      <c r="Y29" s="7">
        <f ca="1">MIN(IF(X$1=0,MthRem,12), MAX(Inputs!$G$138-IF(X$1=0,0,X$1*12+MthOff), 0))*Inputs!$B$140</f>
        <v>0</v>
      </c>
      <c r="Z29" s="7">
        <f ca="1">MIN(IF(Y$1=0,MthRem,12), MAX(Inputs!$G$138-IF(Y$1=0,0,Y$1*12+MthOff), 0))*Inputs!$B$140</f>
        <v>0</v>
      </c>
      <c r="AA29" s="7">
        <f ca="1">MIN(IF(Z$1=0,MthRem,12), MAX(Inputs!$G$138-IF(Z$1=0,0,Z$1*12+MthOff), 0))*Inputs!$B$140</f>
        <v>0</v>
      </c>
      <c r="AB29" s="7">
        <f ca="1">MIN(IF(AA$1=0,MthRem,12), MAX(Inputs!$G$138-IF(AA$1=0,0,AA$1*12+MthOff), 0))*Inputs!$B$140</f>
        <v>0</v>
      </c>
      <c r="AC29" s="7">
        <f ca="1">MIN(IF(AB$1=0,MthRem,12), MAX(Inputs!$G$138-IF(AB$1=0,0,AB$1*12+MthOff), 0))*Inputs!$B$140</f>
        <v>0</v>
      </c>
      <c r="AD29" s="7">
        <f ca="1">MIN(IF(AC$1=0,MthRem,12), MAX(Inputs!$G$138-IF(AC$1=0,0,AC$1*12+MthOff), 0))*Inputs!$B$140</f>
        <v>0</v>
      </c>
      <c r="AE29" s="7">
        <f ca="1">MIN(IF(AD$1=0,MthRem,12), MAX(Inputs!$G$138-IF(AD$1=0,0,AD$1*12+MthOff), 0))*Inputs!$B$140</f>
        <v>0</v>
      </c>
      <c r="AF29" s="7">
        <f ca="1">MIN(IF(AE$1=0,MthRem,12), MAX(Inputs!$G$138-IF(AE$1=0,0,AE$1*12+MthOff), 0))*Inputs!$B$140</f>
        <v>0</v>
      </c>
      <c r="AG29" s="7">
        <f ca="1">MIN(IF(AF$1=0,MthRem,12), MAX(Inputs!$G$138-IF(AF$1=0,0,AF$1*12+MthOff), 0))*Inputs!$B$140</f>
        <v>0</v>
      </c>
      <c r="AH29" s="7">
        <f ca="1">MIN(IF(AG$1=0,MthRem,12), MAX(Inputs!$G$138-IF(AG$1=0,0,AG$1*12+MthOff), 0))*Inputs!$B$140</f>
        <v>0</v>
      </c>
      <c r="AI29" s="7">
        <f ca="1">MIN(IF(AH$1=0,MthRem,12), MAX(Inputs!$G$138-IF(AH$1=0,0,AH$1*12+MthOff), 0))*Inputs!$B$140</f>
        <v>0</v>
      </c>
      <c r="AJ29" s="7">
        <f ca="1">MIN(IF(AI$1=0,MthRem,12), MAX(Inputs!$G$138-IF(AI$1=0,0,AI$1*12+MthOff), 0))*Inputs!$B$140</f>
        <v>0</v>
      </c>
      <c r="AK29" s="7">
        <f ca="1">MIN(IF(AJ$1=0,MthRem,12), MAX(Inputs!$G$138-IF(AJ$1=0,0,AJ$1*12+MthOff), 0))*Inputs!$B$140</f>
        <v>0</v>
      </c>
      <c r="AL29" s="7">
        <f ca="1">MIN(IF(AK$1=0,MthRem,12), MAX(Inputs!$G$138-IF(AK$1=0,0,AK$1*12+MthOff), 0))*Inputs!$B$140</f>
        <v>0</v>
      </c>
      <c r="AM29" s="7">
        <f ca="1">MIN(IF(AL$1=0,MthRem,12), MAX(Inputs!$G$138-IF(AL$1=0,0,AL$1*12+MthOff), 0))*Inputs!$B$140</f>
        <v>0</v>
      </c>
    </row>
    <row r="30" spans="1:39" x14ac:dyDescent="0.2">
      <c r="A30" s="3" t="str">
        <f>TEXT(Inputs!$B$76,"")</f>
        <v>Gudja</v>
      </c>
      <c r="C30" s="7">
        <f ca="1">MIN(IF(B$1=0,MthRem,12), MAX(Inputs!$G$143-IF(B$1=0,0,B$1*12+MthOff), 0))*Inputs!$B$145</f>
        <v>720</v>
      </c>
      <c r="D30" s="7">
        <f ca="1">MIN(IF(C$1=0,MthRem,12), MAX(Inputs!$G$143-IF(C$1=0,0,C$1*12+MthOff), 0))*Inputs!$B$145</f>
        <v>960</v>
      </c>
      <c r="E30" s="7">
        <f ca="1">MIN(IF(D$1=0,MthRem,12), MAX(Inputs!$G$143-IF(D$1=0,0,D$1*12+MthOff), 0))*Inputs!$B$145</f>
        <v>960</v>
      </c>
      <c r="F30" s="7">
        <f ca="1">MIN(IF(E$1=0,MthRem,12), MAX(Inputs!$G$143-IF(E$1=0,0,E$1*12+MthOff), 0))*Inputs!$B$145</f>
        <v>960</v>
      </c>
      <c r="G30" s="7">
        <f ca="1">MIN(IF(F$1=0,MthRem,12), MAX(Inputs!$G$143-IF(F$1=0,0,F$1*12+MthOff), 0))*Inputs!$B$145</f>
        <v>960</v>
      </c>
      <c r="H30" s="7">
        <f ca="1">MIN(IF(G$1=0,MthRem,12), MAX(Inputs!$G$143-IF(G$1=0,0,G$1*12+MthOff), 0))*Inputs!$B$145</f>
        <v>368.25858585362369</v>
      </c>
      <c r="I30" s="7">
        <f ca="1">MIN(IF(H$1=0,MthRem,12), MAX(Inputs!$G$143-IF(H$1=0,0,H$1*12+MthOff), 0))*Inputs!$B$145</f>
        <v>0</v>
      </c>
      <c r="J30" s="7">
        <f ca="1">MIN(IF(I$1=0,MthRem,12), MAX(Inputs!$G$143-IF(I$1=0,0,I$1*12+MthOff), 0))*Inputs!$B$145</f>
        <v>0</v>
      </c>
      <c r="K30" s="7">
        <f ca="1">MIN(IF(J$1=0,MthRem,12), MAX(Inputs!$G$143-IF(J$1=0,0,J$1*12+MthOff), 0))*Inputs!$B$145</f>
        <v>0</v>
      </c>
      <c r="L30" s="7">
        <f ca="1">MIN(IF(K$1=0,MthRem,12), MAX(Inputs!$G$143-IF(K$1=0,0,K$1*12+MthOff), 0))*Inputs!$B$145</f>
        <v>0</v>
      </c>
      <c r="M30" s="7">
        <f ca="1">MIN(IF(L$1=0,MthRem,12), MAX(Inputs!$G$143-IF(L$1=0,0,L$1*12+MthOff), 0))*Inputs!$B$145</f>
        <v>0</v>
      </c>
      <c r="N30" s="7">
        <f ca="1">MIN(IF(M$1=0,MthRem,12), MAX(Inputs!$G$143-IF(M$1=0,0,M$1*12+MthOff), 0))*Inputs!$B$145</f>
        <v>0</v>
      </c>
      <c r="O30" s="7">
        <f ca="1">MIN(IF(N$1=0,MthRem,12), MAX(Inputs!$G$143-IF(N$1=0,0,N$1*12+MthOff), 0))*Inputs!$B$145</f>
        <v>0</v>
      </c>
      <c r="P30" s="7">
        <f ca="1">MIN(IF(O$1=0,MthRem,12), MAX(Inputs!$G$143-IF(O$1=0,0,O$1*12+MthOff), 0))*Inputs!$B$145</f>
        <v>0</v>
      </c>
      <c r="Q30" s="7">
        <f ca="1">MIN(IF(P$1=0,MthRem,12), MAX(Inputs!$G$143-IF(P$1=0,0,P$1*12+MthOff), 0))*Inputs!$B$145</f>
        <v>0</v>
      </c>
      <c r="R30" s="7">
        <f ca="1">MIN(IF(Q$1=0,MthRem,12), MAX(Inputs!$G$143-IF(Q$1=0,0,Q$1*12+MthOff), 0))*Inputs!$B$145</f>
        <v>0</v>
      </c>
      <c r="S30" s="7">
        <f ca="1">MIN(IF(R$1=0,MthRem,12), MAX(Inputs!$G$143-IF(R$1=0,0,R$1*12+MthOff), 0))*Inputs!$B$145</f>
        <v>0</v>
      </c>
      <c r="T30" s="7">
        <f ca="1">MIN(IF(S$1=0,MthRem,12), MAX(Inputs!$G$143-IF(S$1=0,0,S$1*12+MthOff), 0))*Inputs!$B$145</f>
        <v>0</v>
      </c>
      <c r="U30" s="7">
        <f ca="1">MIN(IF(T$1=0,MthRem,12), MAX(Inputs!$G$143-IF(T$1=0,0,T$1*12+MthOff), 0))*Inputs!$B$145</f>
        <v>0</v>
      </c>
      <c r="V30" s="7">
        <f ca="1">MIN(IF(U$1=0,MthRem,12), MAX(Inputs!$G$143-IF(U$1=0,0,U$1*12+MthOff), 0))*Inputs!$B$145</f>
        <v>0</v>
      </c>
      <c r="W30" s="7">
        <f ca="1">MIN(IF(V$1=0,MthRem,12), MAX(Inputs!$G$143-IF(V$1=0,0,V$1*12+MthOff), 0))*Inputs!$B$145</f>
        <v>0</v>
      </c>
      <c r="X30" s="7">
        <f ca="1">MIN(IF(W$1=0,MthRem,12), MAX(Inputs!$G$143-IF(W$1=0,0,W$1*12+MthOff), 0))*Inputs!$B$145</f>
        <v>0</v>
      </c>
      <c r="Y30" s="7">
        <f ca="1">MIN(IF(X$1=0,MthRem,12), MAX(Inputs!$G$143-IF(X$1=0,0,X$1*12+MthOff), 0))*Inputs!$B$145</f>
        <v>0</v>
      </c>
      <c r="Z30" s="7">
        <f ca="1">MIN(IF(Y$1=0,MthRem,12), MAX(Inputs!$G$143-IF(Y$1=0,0,Y$1*12+MthOff), 0))*Inputs!$B$145</f>
        <v>0</v>
      </c>
      <c r="AA30" s="7">
        <f ca="1">MIN(IF(Z$1=0,MthRem,12), MAX(Inputs!$G$143-IF(Z$1=0,0,Z$1*12+MthOff), 0))*Inputs!$B$145</f>
        <v>0</v>
      </c>
      <c r="AB30" s="7">
        <f ca="1">MIN(IF(AA$1=0,MthRem,12), MAX(Inputs!$G$143-IF(AA$1=0,0,AA$1*12+MthOff), 0))*Inputs!$B$145</f>
        <v>0</v>
      </c>
      <c r="AC30" s="7">
        <f ca="1">MIN(IF(AB$1=0,MthRem,12), MAX(Inputs!$G$143-IF(AB$1=0,0,AB$1*12+MthOff), 0))*Inputs!$B$145</f>
        <v>0</v>
      </c>
      <c r="AD30" s="7">
        <f ca="1">MIN(IF(AC$1=0,MthRem,12), MAX(Inputs!$G$143-IF(AC$1=0,0,AC$1*12+MthOff), 0))*Inputs!$B$145</f>
        <v>0</v>
      </c>
      <c r="AE30" s="7">
        <f ca="1">MIN(IF(AD$1=0,MthRem,12), MAX(Inputs!$G$143-IF(AD$1=0,0,AD$1*12+MthOff), 0))*Inputs!$B$145</f>
        <v>0</v>
      </c>
      <c r="AF30" s="7">
        <f ca="1">MIN(IF(AE$1=0,MthRem,12), MAX(Inputs!$G$143-IF(AE$1=0,0,AE$1*12+MthOff), 0))*Inputs!$B$145</f>
        <v>0</v>
      </c>
      <c r="AG30" s="7">
        <f ca="1">MIN(IF(AF$1=0,MthRem,12), MAX(Inputs!$G$143-IF(AF$1=0,0,AF$1*12+MthOff), 0))*Inputs!$B$145</f>
        <v>0</v>
      </c>
      <c r="AH30" s="7">
        <f ca="1">MIN(IF(AG$1=0,MthRem,12), MAX(Inputs!$G$143-IF(AG$1=0,0,AG$1*12+MthOff), 0))*Inputs!$B$145</f>
        <v>0</v>
      </c>
      <c r="AI30" s="7">
        <f ca="1">MIN(IF(AH$1=0,MthRem,12), MAX(Inputs!$G$143-IF(AH$1=0,0,AH$1*12+MthOff), 0))*Inputs!$B$145</f>
        <v>0</v>
      </c>
      <c r="AJ30" s="7">
        <f ca="1">MIN(IF(AI$1=0,MthRem,12), MAX(Inputs!$G$143-IF(AI$1=0,0,AI$1*12+MthOff), 0))*Inputs!$B$145</f>
        <v>0</v>
      </c>
      <c r="AK30" s="7">
        <f ca="1">MIN(IF(AJ$1=0,MthRem,12), MAX(Inputs!$G$143-IF(AJ$1=0,0,AJ$1*12+MthOff), 0))*Inputs!$B$145</f>
        <v>0</v>
      </c>
      <c r="AL30" s="7">
        <f ca="1">MIN(IF(AK$1=0,MthRem,12), MAX(Inputs!$G$143-IF(AK$1=0,0,AK$1*12+MthOff), 0))*Inputs!$B$145</f>
        <v>0</v>
      </c>
      <c r="AM30" s="7">
        <f ca="1">MIN(IF(AL$1=0,MthRem,12), MAX(Inputs!$G$143-IF(AL$1=0,0,AL$1*12+MthOff), 0))*Inputs!$B$145</f>
        <v>0</v>
      </c>
    </row>
    <row r="31" spans="1:39" x14ac:dyDescent="0.2">
      <c r="A31" s="3" t="str">
        <f>TEXT(Inputs!$B$81,"")</f>
        <v>Marsa</v>
      </c>
      <c r="C31" s="7">
        <f ca="1">MIN(IF(B$1=0,MthRem,12), MAX(Inputs!$G$148-IF(B$1=0,0,B$1*12+MthOff), 0))*Inputs!$B$150</f>
        <v>1080</v>
      </c>
      <c r="D31" s="7">
        <f ca="1">MIN(IF(C$1=0,MthRem,12), MAX(Inputs!$G$148-IF(C$1=0,0,C$1*12+MthOff), 0))*Inputs!$B$150</f>
        <v>1440</v>
      </c>
      <c r="E31" s="7">
        <f ca="1">MIN(IF(D$1=0,MthRem,12), MAX(Inputs!$G$148-IF(D$1=0,0,D$1*12+MthOff), 0))*Inputs!$B$150</f>
        <v>1440</v>
      </c>
      <c r="F31" s="7">
        <f ca="1">MIN(IF(E$1=0,MthRem,12), MAX(Inputs!$G$148-IF(E$1=0,0,E$1*12+MthOff), 0))*Inputs!$B$150</f>
        <v>1440</v>
      </c>
      <c r="G31" s="7">
        <f ca="1">MIN(IF(F$1=0,MthRem,12), MAX(Inputs!$G$148-IF(F$1=0,0,F$1*12+MthOff), 0))*Inputs!$B$150</f>
        <v>1440</v>
      </c>
      <c r="H31" s="7">
        <f ca="1">MIN(IF(G$1=0,MthRem,12), MAX(Inputs!$G$148-IF(G$1=0,0,G$1*12+MthOff), 0))*Inputs!$B$150</f>
        <v>1440</v>
      </c>
      <c r="I31" s="7">
        <f ca="1">MIN(IF(H$1=0,MthRem,12), MAX(Inputs!$G$148-IF(H$1=0,0,H$1*12+MthOff), 0))*Inputs!$B$150</f>
        <v>1440</v>
      </c>
      <c r="J31" s="7">
        <f ca="1">MIN(IF(I$1=0,MthRem,12), MAX(Inputs!$G$148-IF(I$1=0,0,I$1*12+MthOff), 0))*Inputs!$B$150</f>
        <v>909.24880782033654</v>
      </c>
      <c r="K31" s="7">
        <f ca="1">MIN(IF(J$1=0,MthRem,12), MAX(Inputs!$G$148-IF(J$1=0,0,J$1*12+MthOff), 0))*Inputs!$B$150</f>
        <v>0</v>
      </c>
      <c r="L31" s="7">
        <f ca="1">MIN(IF(K$1=0,MthRem,12), MAX(Inputs!$G$148-IF(K$1=0,0,K$1*12+MthOff), 0))*Inputs!$B$150</f>
        <v>0</v>
      </c>
      <c r="M31" s="7">
        <f ca="1">MIN(IF(L$1=0,MthRem,12), MAX(Inputs!$G$148-IF(L$1=0,0,L$1*12+MthOff), 0))*Inputs!$B$150</f>
        <v>0</v>
      </c>
      <c r="N31" s="7">
        <f ca="1">MIN(IF(M$1=0,MthRem,12), MAX(Inputs!$G$148-IF(M$1=0,0,M$1*12+MthOff), 0))*Inputs!$B$150</f>
        <v>0</v>
      </c>
      <c r="O31" s="7">
        <f ca="1">MIN(IF(N$1=0,MthRem,12), MAX(Inputs!$G$148-IF(N$1=0,0,N$1*12+MthOff), 0))*Inputs!$B$150</f>
        <v>0</v>
      </c>
      <c r="P31" s="7">
        <f ca="1">MIN(IF(O$1=0,MthRem,12), MAX(Inputs!$G$148-IF(O$1=0,0,O$1*12+MthOff), 0))*Inputs!$B$150</f>
        <v>0</v>
      </c>
      <c r="Q31" s="7">
        <f ca="1">MIN(IF(P$1=0,MthRem,12), MAX(Inputs!$G$148-IF(P$1=0,0,P$1*12+MthOff), 0))*Inputs!$B$150</f>
        <v>0</v>
      </c>
      <c r="R31" s="7">
        <f ca="1">MIN(IF(Q$1=0,MthRem,12), MAX(Inputs!$G$148-IF(Q$1=0,0,Q$1*12+MthOff), 0))*Inputs!$B$150</f>
        <v>0</v>
      </c>
      <c r="S31" s="7">
        <f ca="1">MIN(IF(R$1=0,MthRem,12), MAX(Inputs!$G$148-IF(R$1=0,0,R$1*12+MthOff), 0))*Inputs!$B$150</f>
        <v>0</v>
      </c>
      <c r="T31" s="7">
        <f ca="1">MIN(IF(S$1=0,MthRem,12), MAX(Inputs!$G$148-IF(S$1=0,0,S$1*12+MthOff), 0))*Inputs!$B$150</f>
        <v>0</v>
      </c>
      <c r="U31" s="7">
        <f ca="1">MIN(IF(T$1=0,MthRem,12), MAX(Inputs!$G$148-IF(T$1=0,0,T$1*12+MthOff), 0))*Inputs!$B$150</f>
        <v>0</v>
      </c>
      <c r="V31" s="7">
        <f ca="1">MIN(IF(U$1=0,MthRem,12), MAX(Inputs!$G$148-IF(U$1=0,0,U$1*12+MthOff), 0))*Inputs!$B$150</f>
        <v>0</v>
      </c>
      <c r="W31" s="7">
        <f ca="1">MIN(IF(V$1=0,MthRem,12), MAX(Inputs!$G$148-IF(V$1=0,0,V$1*12+MthOff), 0))*Inputs!$B$150</f>
        <v>0</v>
      </c>
      <c r="X31" s="7">
        <f ca="1">MIN(IF(W$1=0,MthRem,12), MAX(Inputs!$G$148-IF(W$1=0,0,W$1*12+MthOff), 0))*Inputs!$B$150</f>
        <v>0</v>
      </c>
      <c r="Y31" s="7">
        <f ca="1">MIN(IF(X$1=0,MthRem,12), MAX(Inputs!$G$148-IF(X$1=0,0,X$1*12+MthOff), 0))*Inputs!$B$150</f>
        <v>0</v>
      </c>
      <c r="Z31" s="7">
        <f ca="1">MIN(IF(Y$1=0,MthRem,12), MAX(Inputs!$G$148-IF(Y$1=0,0,Y$1*12+MthOff), 0))*Inputs!$B$150</f>
        <v>0</v>
      </c>
      <c r="AA31" s="7">
        <f ca="1">MIN(IF(Z$1=0,MthRem,12), MAX(Inputs!$G$148-IF(Z$1=0,0,Z$1*12+MthOff), 0))*Inputs!$B$150</f>
        <v>0</v>
      </c>
      <c r="AB31" s="7">
        <f ca="1">MIN(IF(AA$1=0,MthRem,12), MAX(Inputs!$G$148-IF(AA$1=0,0,AA$1*12+MthOff), 0))*Inputs!$B$150</f>
        <v>0</v>
      </c>
      <c r="AC31" s="7">
        <f ca="1">MIN(IF(AB$1=0,MthRem,12), MAX(Inputs!$G$148-IF(AB$1=0,0,AB$1*12+MthOff), 0))*Inputs!$B$150</f>
        <v>0</v>
      </c>
      <c r="AD31" s="7">
        <f ca="1">MIN(IF(AC$1=0,MthRem,12), MAX(Inputs!$G$148-IF(AC$1=0,0,AC$1*12+MthOff), 0))*Inputs!$B$150</f>
        <v>0</v>
      </c>
      <c r="AE31" s="7">
        <f ca="1">MIN(IF(AD$1=0,MthRem,12), MAX(Inputs!$G$148-IF(AD$1=0,0,AD$1*12+MthOff), 0))*Inputs!$B$150</f>
        <v>0</v>
      </c>
      <c r="AF31" s="7">
        <f ca="1">MIN(IF(AE$1=0,MthRem,12), MAX(Inputs!$G$148-IF(AE$1=0,0,AE$1*12+MthOff), 0))*Inputs!$B$150</f>
        <v>0</v>
      </c>
      <c r="AG31" s="7">
        <f ca="1">MIN(IF(AF$1=0,MthRem,12), MAX(Inputs!$G$148-IF(AF$1=0,0,AF$1*12+MthOff), 0))*Inputs!$B$150</f>
        <v>0</v>
      </c>
      <c r="AH31" s="7">
        <f ca="1">MIN(IF(AG$1=0,MthRem,12), MAX(Inputs!$G$148-IF(AG$1=0,0,AG$1*12+MthOff), 0))*Inputs!$B$150</f>
        <v>0</v>
      </c>
      <c r="AI31" s="7">
        <f ca="1">MIN(IF(AH$1=0,MthRem,12), MAX(Inputs!$G$148-IF(AH$1=0,0,AH$1*12+MthOff), 0))*Inputs!$B$150</f>
        <v>0</v>
      </c>
      <c r="AJ31" s="7">
        <f ca="1">MIN(IF(AI$1=0,MthRem,12), MAX(Inputs!$G$148-IF(AI$1=0,0,AI$1*12+MthOff), 0))*Inputs!$B$150</f>
        <v>0</v>
      </c>
      <c r="AK31" s="7">
        <f ca="1">MIN(IF(AJ$1=0,MthRem,12), MAX(Inputs!$G$148-IF(AJ$1=0,0,AJ$1*12+MthOff), 0))*Inputs!$B$150</f>
        <v>0</v>
      </c>
      <c r="AL31" s="7">
        <f ca="1">MIN(IF(AK$1=0,MthRem,12), MAX(Inputs!$G$148-IF(AK$1=0,0,AK$1*12+MthOff), 0))*Inputs!$B$150</f>
        <v>0</v>
      </c>
      <c r="AM31" s="7">
        <f ca="1">MIN(IF(AL$1=0,MthRem,12), MAX(Inputs!$G$148-IF(AL$1=0,0,AL$1*12+MthOff), 0))*Inputs!$B$150</f>
        <v>0</v>
      </c>
    </row>
    <row r="32" spans="1:39" x14ac:dyDescent="0.2">
      <c r="A32" s="3" t="str">
        <f>TEXT(Inputs!$B$88,"")</f>
        <v>Jewelry</v>
      </c>
      <c r="C32" s="7">
        <f ca="1">MIN(IF(B$1=0,MthRem,12), MAX(Inputs!$G$153-IF(B$1=0,0,B$1*12+MthOff), 0))*Inputs!$B$155</f>
        <v>675</v>
      </c>
      <c r="D32" s="7">
        <f ca="1">MIN(IF(C$1=0,MthRem,12), MAX(Inputs!$G$153-IF(C$1=0,0,C$1*12+MthOff), 0))*Inputs!$B$155</f>
        <v>900</v>
      </c>
      <c r="E32" s="7">
        <f ca="1">MIN(IF(D$1=0,MthRem,12), MAX(Inputs!$G$153-IF(D$1=0,0,D$1*12+MthOff), 0))*Inputs!$B$155</f>
        <v>900</v>
      </c>
      <c r="F32" s="7">
        <f ca="1">MIN(IF(E$1=0,MthRem,12), MAX(Inputs!$G$153-IF(E$1=0,0,E$1*12+MthOff), 0))*Inputs!$B$155</f>
        <v>138.6028784700473</v>
      </c>
      <c r="G32" s="7">
        <f ca="1">MIN(IF(F$1=0,MthRem,12), MAX(Inputs!$G$153-IF(F$1=0,0,F$1*12+MthOff), 0))*Inputs!$B$155</f>
        <v>0</v>
      </c>
      <c r="H32" s="7">
        <f ca="1">MIN(IF(G$1=0,MthRem,12), MAX(Inputs!$G$153-IF(G$1=0,0,G$1*12+MthOff), 0))*Inputs!$B$155</f>
        <v>0</v>
      </c>
      <c r="I32" s="7">
        <f ca="1">MIN(IF(H$1=0,MthRem,12), MAX(Inputs!$G$153-IF(H$1=0,0,H$1*12+MthOff), 0))*Inputs!$B$155</f>
        <v>0</v>
      </c>
      <c r="J32" s="7">
        <f ca="1">MIN(IF(I$1=0,MthRem,12), MAX(Inputs!$G$153-IF(I$1=0,0,I$1*12+MthOff), 0))*Inputs!$B$155</f>
        <v>0</v>
      </c>
      <c r="K32" s="7">
        <f ca="1">MIN(IF(J$1=0,MthRem,12), MAX(Inputs!$G$153-IF(J$1=0,0,J$1*12+MthOff), 0))*Inputs!$B$155</f>
        <v>0</v>
      </c>
      <c r="L32" s="7">
        <f ca="1">MIN(IF(K$1=0,MthRem,12), MAX(Inputs!$G$153-IF(K$1=0,0,K$1*12+MthOff), 0))*Inputs!$B$155</f>
        <v>0</v>
      </c>
      <c r="M32" s="7">
        <f ca="1">MIN(IF(L$1=0,MthRem,12), MAX(Inputs!$G$153-IF(L$1=0,0,L$1*12+MthOff), 0))*Inputs!$B$155</f>
        <v>0</v>
      </c>
      <c r="N32" s="7">
        <f ca="1">MIN(IF(M$1=0,MthRem,12), MAX(Inputs!$G$153-IF(M$1=0,0,M$1*12+MthOff), 0))*Inputs!$B$155</f>
        <v>0</v>
      </c>
      <c r="O32" s="7">
        <f ca="1">MIN(IF(N$1=0,MthRem,12), MAX(Inputs!$G$153-IF(N$1=0,0,N$1*12+MthOff), 0))*Inputs!$B$155</f>
        <v>0</v>
      </c>
      <c r="P32" s="7">
        <f ca="1">MIN(IF(O$1=0,MthRem,12), MAX(Inputs!$G$153-IF(O$1=0,0,O$1*12+MthOff), 0))*Inputs!$B$155</f>
        <v>0</v>
      </c>
      <c r="Q32" s="7">
        <f ca="1">MIN(IF(P$1=0,MthRem,12), MAX(Inputs!$G$153-IF(P$1=0,0,P$1*12+MthOff), 0))*Inputs!$B$155</f>
        <v>0</v>
      </c>
      <c r="R32" s="7">
        <f ca="1">MIN(IF(Q$1=0,MthRem,12), MAX(Inputs!$G$153-IF(Q$1=0,0,Q$1*12+MthOff), 0))*Inputs!$B$155</f>
        <v>0</v>
      </c>
      <c r="S32" s="7">
        <f ca="1">MIN(IF(R$1=0,MthRem,12), MAX(Inputs!$G$153-IF(R$1=0,0,R$1*12+MthOff), 0))*Inputs!$B$155</f>
        <v>0</v>
      </c>
      <c r="T32" s="7">
        <f ca="1">MIN(IF(S$1=0,MthRem,12), MAX(Inputs!$G$153-IF(S$1=0,0,S$1*12+MthOff), 0))*Inputs!$B$155</f>
        <v>0</v>
      </c>
      <c r="U32" s="7">
        <f ca="1">MIN(IF(T$1=0,MthRem,12), MAX(Inputs!$G$153-IF(T$1=0,0,T$1*12+MthOff), 0))*Inputs!$B$155</f>
        <v>0</v>
      </c>
      <c r="V32" s="7">
        <f ca="1">MIN(IF(U$1=0,MthRem,12), MAX(Inputs!$G$153-IF(U$1=0,0,U$1*12+MthOff), 0))*Inputs!$B$155</f>
        <v>0</v>
      </c>
      <c r="W32" s="7">
        <f ca="1">MIN(IF(V$1=0,MthRem,12), MAX(Inputs!$G$153-IF(V$1=0,0,V$1*12+MthOff), 0))*Inputs!$B$155</f>
        <v>0</v>
      </c>
      <c r="X32" s="7">
        <f ca="1">MIN(IF(W$1=0,MthRem,12), MAX(Inputs!$G$153-IF(W$1=0,0,W$1*12+MthOff), 0))*Inputs!$B$155</f>
        <v>0</v>
      </c>
      <c r="Y32" s="7">
        <f ca="1">MIN(IF(X$1=0,MthRem,12), MAX(Inputs!$G$153-IF(X$1=0,0,X$1*12+MthOff), 0))*Inputs!$B$155</f>
        <v>0</v>
      </c>
      <c r="Z32" s="7">
        <f ca="1">MIN(IF(Y$1=0,MthRem,12), MAX(Inputs!$G$153-IF(Y$1=0,0,Y$1*12+MthOff), 0))*Inputs!$B$155</f>
        <v>0</v>
      </c>
      <c r="AA32" s="7">
        <f ca="1">MIN(IF(Z$1=0,MthRem,12), MAX(Inputs!$G$153-IF(Z$1=0,0,Z$1*12+MthOff), 0))*Inputs!$B$155</f>
        <v>0</v>
      </c>
      <c r="AB32" s="7">
        <f ca="1">MIN(IF(AA$1=0,MthRem,12), MAX(Inputs!$G$153-IF(AA$1=0,0,AA$1*12+MthOff), 0))*Inputs!$B$155</f>
        <v>0</v>
      </c>
      <c r="AC32" s="7">
        <f ca="1">MIN(IF(AB$1=0,MthRem,12), MAX(Inputs!$G$153-IF(AB$1=0,0,AB$1*12+MthOff), 0))*Inputs!$B$155</f>
        <v>0</v>
      </c>
      <c r="AD32" s="7">
        <f ca="1">MIN(IF(AC$1=0,MthRem,12), MAX(Inputs!$G$153-IF(AC$1=0,0,AC$1*12+MthOff), 0))*Inputs!$B$155</f>
        <v>0</v>
      </c>
      <c r="AE32" s="7">
        <f ca="1">MIN(IF(AD$1=0,MthRem,12), MAX(Inputs!$G$153-IF(AD$1=0,0,AD$1*12+MthOff), 0))*Inputs!$B$155</f>
        <v>0</v>
      </c>
      <c r="AF32" s="7">
        <f ca="1">MIN(IF(AE$1=0,MthRem,12), MAX(Inputs!$G$153-IF(AE$1=0,0,AE$1*12+MthOff), 0))*Inputs!$B$155</f>
        <v>0</v>
      </c>
      <c r="AG32" s="7">
        <f ca="1">MIN(IF(AF$1=0,MthRem,12), MAX(Inputs!$G$153-IF(AF$1=0,0,AF$1*12+MthOff), 0))*Inputs!$B$155</f>
        <v>0</v>
      </c>
      <c r="AH32" s="7">
        <f ca="1">MIN(IF(AG$1=0,MthRem,12), MAX(Inputs!$G$153-IF(AG$1=0,0,AG$1*12+MthOff), 0))*Inputs!$B$155</f>
        <v>0</v>
      </c>
      <c r="AI32" s="7">
        <f ca="1">MIN(IF(AH$1=0,MthRem,12), MAX(Inputs!$G$153-IF(AH$1=0,0,AH$1*12+MthOff), 0))*Inputs!$B$155</f>
        <v>0</v>
      </c>
      <c r="AJ32" s="7">
        <f ca="1">MIN(IF(AI$1=0,MthRem,12), MAX(Inputs!$G$153-IF(AI$1=0,0,AI$1*12+MthOff), 0))*Inputs!$B$155</f>
        <v>0</v>
      </c>
      <c r="AK32" s="7">
        <f ca="1">MIN(IF(AJ$1=0,MthRem,12), MAX(Inputs!$G$153-IF(AJ$1=0,0,AJ$1*12+MthOff), 0))*Inputs!$B$155</f>
        <v>0</v>
      </c>
      <c r="AL32" s="7">
        <f ca="1">MIN(IF(AK$1=0,MthRem,12), MAX(Inputs!$G$153-IF(AK$1=0,0,AK$1*12+MthOff), 0))*Inputs!$B$155</f>
        <v>0</v>
      </c>
      <c r="AM32" s="7">
        <f ca="1">MIN(IF(AL$1=0,MthRem,12), MAX(Inputs!$G$153-IF(AL$1=0,0,AL$1*12+MthOff), 0))*Inputs!$B$155</f>
        <v>0</v>
      </c>
    </row>
    <row r="33" spans="1:39" x14ac:dyDescent="0.2">
      <c r="A33" s="3" t="str">
        <f>TEXT(Inputs!$B$93,"")</f>
        <v>Car</v>
      </c>
      <c r="C33" s="7">
        <f ca="1">MIN(IF(B$1=0,MthRem,12), MAX(Inputs!$G$158-IF(B$1=0,0,B$1*12+MthOff), 0))*Inputs!$B$160</f>
        <v>774</v>
      </c>
      <c r="D33" s="7">
        <f ca="1">MIN(IF(C$1=0,MthRem,12), MAX(Inputs!$G$158-IF(C$1=0,0,C$1*12+MthOff), 0))*Inputs!$B$160</f>
        <v>1032</v>
      </c>
      <c r="E33" s="7">
        <f ca="1">MIN(IF(D$1=0,MthRem,12), MAX(Inputs!$G$158-IF(D$1=0,0,D$1*12+MthOff), 0))*Inputs!$B$160</f>
        <v>1032</v>
      </c>
      <c r="F33" s="7">
        <f ca="1">MIN(IF(E$1=0,MthRem,12), MAX(Inputs!$G$158-IF(E$1=0,0,E$1*12+MthOff), 0))*Inputs!$B$160</f>
        <v>1032</v>
      </c>
      <c r="G33" s="7">
        <f ca="1">MIN(IF(F$1=0,MthRem,12), MAX(Inputs!$G$158-IF(F$1=0,0,F$1*12+MthOff), 0))*Inputs!$B$160</f>
        <v>1032</v>
      </c>
      <c r="H33" s="7">
        <f ca="1">MIN(IF(G$1=0,MthRem,12), MAX(Inputs!$G$158-IF(G$1=0,0,G$1*12+MthOff), 0))*Inputs!$B$160</f>
        <v>1032</v>
      </c>
      <c r="I33" s="7">
        <f ca="1">MIN(IF(H$1=0,MthRem,12), MAX(Inputs!$G$158-IF(H$1=0,0,H$1*12+MthOff), 0))*Inputs!$B$160</f>
        <v>449.79405274184501</v>
      </c>
      <c r="J33" s="7">
        <f ca="1">MIN(IF(I$1=0,MthRem,12), MAX(Inputs!$G$158-IF(I$1=0,0,I$1*12+MthOff), 0))*Inputs!$B$160</f>
        <v>0</v>
      </c>
      <c r="K33" s="7">
        <f ca="1">MIN(IF(J$1=0,MthRem,12), MAX(Inputs!$G$158-IF(J$1=0,0,J$1*12+MthOff), 0))*Inputs!$B$160</f>
        <v>0</v>
      </c>
      <c r="L33" s="7">
        <f ca="1">MIN(IF(K$1=0,MthRem,12), MAX(Inputs!$G$158-IF(K$1=0,0,K$1*12+MthOff), 0))*Inputs!$B$160</f>
        <v>0</v>
      </c>
      <c r="M33" s="7">
        <f ca="1">MIN(IF(L$1=0,MthRem,12), MAX(Inputs!$G$158-IF(L$1=0,0,L$1*12+MthOff), 0))*Inputs!$B$160</f>
        <v>0</v>
      </c>
      <c r="N33" s="7">
        <f ca="1">MIN(IF(M$1=0,MthRem,12), MAX(Inputs!$G$158-IF(M$1=0,0,M$1*12+MthOff), 0))*Inputs!$B$160</f>
        <v>0</v>
      </c>
      <c r="O33" s="7">
        <f ca="1">MIN(IF(N$1=0,MthRem,12), MAX(Inputs!$G$158-IF(N$1=0,0,N$1*12+MthOff), 0))*Inputs!$B$160</f>
        <v>0</v>
      </c>
      <c r="P33" s="7">
        <f ca="1">MIN(IF(O$1=0,MthRem,12), MAX(Inputs!$G$158-IF(O$1=0,0,O$1*12+MthOff), 0))*Inputs!$B$160</f>
        <v>0</v>
      </c>
      <c r="Q33" s="7">
        <f ca="1">MIN(IF(P$1=0,MthRem,12), MAX(Inputs!$G$158-IF(P$1=0,0,P$1*12+MthOff), 0))*Inputs!$B$160</f>
        <v>0</v>
      </c>
      <c r="R33" s="7">
        <f ca="1">MIN(IF(Q$1=0,MthRem,12), MAX(Inputs!$G$158-IF(Q$1=0,0,Q$1*12+MthOff), 0))*Inputs!$B$160</f>
        <v>0</v>
      </c>
      <c r="S33" s="7">
        <f ca="1">MIN(IF(R$1=0,MthRem,12), MAX(Inputs!$G$158-IF(R$1=0,0,R$1*12+MthOff), 0))*Inputs!$B$160</f>
        <v>0</v>
      </c>
      <c r="T33" s="7">
        <f ca="1">MIN(IF(S$1=0,MthRem,12), MAX(Inputs!$G$158-IF(S$1=0,0,S$1*12+MthOff), 0))*Inputs!$B$160</f>
        <v>0</v>
      </c>
      <c r="U33" s="7">
        <f ca="1">MIN(IF(T$1=0,MthRem,12), MAX(Inputs!$G$158-IF(T$1=0,0,T$1*12+MthOff), 0))*Inputs!$B$160</f>
        <v>0</v>
      </c>
      <c r="V33" s="7">
        <f ca="1">MIN(IF(U$1=0,MthRem,12), MAX(Inputs!$G$158-IF(U$1=0,0,U$1*12+MthOff), 0))*Inputs!$B$160</f>
        <v>0</v>
      </c>
      <c r="W33" s="7">
        <f ca="1">MIN(IF(V$1=0,MthRem,12), MAX(Inputs!$G$158-IF(V$1=0,0,V$1*12+MthOff), 0))*Inputs!$B$160</f>
        <v>0</v>
      </c>
      <c r="X33" s="7">
        <f ca="1">MIN(IF(W$1=0,MthRem,12), MAX(Inputs!$G$158-IF(W$1=0,0,W$1*12+MthOff), 0))*Inputs!$B$160</f>
        <v>0</v>
      </c>
      <c r="Y33" s="7">
        <f ca="1">MIN(IF(X$1=0,MthRem,12), MAX(Inputs!$G$158-IF(X$1=0,0,X$1*12+MthOff), 0))*Inputs!$B$160</f>
        <v>0</v>
      </c>
      <c r="Z33" s="7">
        <f ca="1">MIN(IF(Y$1=0,MthRem,12), MAX(Inputs!$G$158-IF(Y$1=0,0,Y$1*12+MthOff), 0))*Inputs!$B$160</f>
        <v>0</v>
      </c>
      <c r="AA33" s="7">
        <f ca="1">MIN(IF(Z$1=0,MthRem,12), MAX(Inputs!$G$158-IF(Z$1=0,0,Z$1*12+MthOff), 0))*Inputs!$B$160</f>
        <v>0</v>
      </c>
      <c r="AB33" s="7">
        <f ca="1">MIN(IF(AA$1=0,MthRem,12), MAX(Inputs!$G$158-IF(AA$1=0,0,AA$1*12+MthOff), 0))*Inputs!$B$160</f>
        <v>0</v>
      </c>
      <c r="AC33" s="7">
        <f ca="1">MIN(IF(AB$1=0,MthRem,12), MAX(Inputs!$G$158-IF(AB$1=0,0,AB$1*12+MthOff), 0))*Inputs!$B$160</f>
        <v>0</v>
      </c>
      <c r="AD33" s="7">
        <f ca="1">MIN(IF(AC$1=0,MthRem,12), MAX(Inputs!$G$158-IF(AC$1=0,0,AC$1*12+MthOff), 0))*Inputs!$B$160</f>
        <v>0</v>
      </c>
      <c r="AE33" s="7">
        <f ca="1">MIN(IF(AD$1=0,MthRem,12), MAX(Inputs!$G$158-IF(AD$1=0,0,AD$1*12+MthOff), 0))*Inputs!$B$160</f>
        <v>0</v>
      </c>
      <c r="AF33" s="7">
        <f ca="1">MIN(IF(AE$1=0,MthRem,12), MAX(Inputs!$G$158-IF(AE$1=0,0,AE$1*12+MthOff), 0))*Inputs!$B$160</f>
        <v>0</v>
      </c>
      <c r="AG33" s="7">
        <f ca="1">MIN(IF(AF$1=0,MthRem,12), MAX(Inputs!$G$158-IF(AF$1=0,0,AF$1*12+MthOff), 0))*Inputs!$B$160</f>
        <v>0</v>
      </c>
      <c r="AH33" s="7">
        <f ca="1">MIN(IF(AG$1=0,MthRem,12), MAX(Inputs!$G$158-IF(AG$1=0,0,AG$1*12+MthOff), 0))*Inputs!$B$160</f>
        <v>0</v>
      </c>
      <c r="AI33" s="7">
        <f ca="1">MIN(IF(AH$1=0,MthRem,12), MAX(Inputs!$G$158-IF(AH$1=0,0,AH$1*12+MthOff), 0))*Inputs!$B$160</f>
        <v>0</v>
      </c>
      <c r="AJ33" s="7">
        <f ca="1">MIN(IF(AI$1=0,MthRem,12), MAX(Inputs!$G$158-IF(AI$1=0,0,AI$1*12+MthOff), 0))*Inputs!$B$160</f>
        <v>0</v>
      </c>
      <c r="AK33" s="7">
        <f ca="1">MIN(IF(AJ$1=0,MthRem,12), MAX(Inputs!$G$158-IF(AJ$1=0,0,AJ$1*12+MthOff), 0))*Inputs!$B$160</f>
        <v>0</v>
      </c>
      <c r="AL33" s="7">
        <f ca="1">MIN(IF(AK$1=0,MthRem,12), MAX(Inputs!$G$158-IF(AK$1=0,0,AK$1*12+MthOff), 0))*Inputs!$B$160</f>
        <v>0</v>
      </c>
      <c r="AM33" s="7">
        <f ca="1">MIN(IF(AL$1=0,MthRem,12), MAX(Inputs!$G$158-IF(AL$1=0,0,AL$1*12+MthOff), 0))*Inputs!$B$160</f>
        <v>0</v>
      </c>
    </row>
    <row r="34" spans="1:39" x14ac:dyDescent="0.2">
      <c r="A34" s="3" t="str">
        <f>TEXT(Inputs!$B$98,"")</f>
        <v>Painting</v>
      </c>
      <c r="C34" s="7">
        <f ca="1">MIN(IF(B$1=0,MthRem,12), MAX(Inputs!$G$163-IF(B$1=0,0,B$1*12+MthOff), 0))*Inputs!$B$165</f>
        <v>1125</v>
      </c>
      <c r="D34" s="7">
        <f ca="1">MIN(IF(C$1=0,MthRem,12), MAX(Inputs!$G$163-IF(C$1=0,0,C$1*12+MthOff), 0))*Inputs!$B$165</f>
        <v>1500</v>
      </c>
      <c r="E34" s="7">
        <f ca="1">MIN(IF(D$1=0,MthRem,12), MAX(Inputs!$G$163-IF(D$1=0,0,D$1*12+MthOff), 0))*Inputs!$B$165</f>
        <v>1500</v>
      </c>
      <c r="F34" s="7">
        <f ca="1">MIN(IF(E$1=0,MthRem,12), MAX(Inputs!$G$163-IF(E$1=0,0,E$1*12+MthOff), 0))*Inputs!$B$165</f>
        <v>1500</v>
      </c>
      <c r="G34" s="7">
        <f ca="1">MIN(IF(F$1=0,MthRem,12), MAX(Inputs!$G$163-IF(F$1=0,0,F$1*12+MthOff), 0))*Inputs!$B$165</f>
        <v>1500</v>
      </c>
      <c r="H34" s="7">
        <f ca="1">MIN(IF(G$1=0,MthRem,12), MAX(Inputs!$G$163-IF(G$1=0,0,G$1*12+MthOff), 0))*Inputs!$B$165</f>
        <v>1500</v>
      </c>
      <c r="I34" s="7">
        <f ca="1">MIN(IF(H$1=0,MthRem,12), MAX(Inputs!$G$163-IF(H$1=0,0,H$1*12+MthOff), 0))*Inputs!$B$165</f>
        <v>23.429842825107627</v>
      </c>
      <c r="J34" s="7">
        <f ca="1">MIN(IF(I$1=0,MthRem,12), MAX(Inputs!$G$163-IF(I$1=0,0,I$1*12+MthOff), 0))*Inputs!$B$165</f>
        <v>0</v>
      </c>
      <c r="K34" s="7">
        <f ca="1">MIN(IF(J$1=0,MthRem,12), MAX(Inputs!$G$163-IF(J$1=0,0,J$1*12+MthOff), 0))*Inputs!$B$165</f>
        <v>0</v>
      </c>
      <c r="L34" s="7">
        <f ca="1">MIN(IF(K$1=0,MthRem,12), MAX(Inputs!$G$163-IF(K$1=0,0,K$1*12+MthOff), 0))*Inputs!$B$165</f>
        <v>0</v>
      </c>
      <c r="M34" s="7">
        <f ca="1">MIN(IF(L$1=0,MthRem,12), MAX(Inputs!$G$163-IF(L$1=0,0,L$1*12+MthOff), 0))*Inputs!$B$165</f>
        <v>0</v>
      </c>
      <c r="N34" s="7">
        <f ca="1">MIN(IF(M$1=0,MthRem,12), MAX(Inputs!$G$163-IF(M$1=0,0,M$1*12+MthOff), 0))*Inputs!$B$165</f>
        <v>0</v>
      </c>
      <c r="O34" s="7">
        <f ca="1">MIN(IF(N$1=0,MthRem,12), MAX(Inputs!$G$163-IF(N$1=0,0,N$1*12+MthOff), 0))*Inputs!$B$165</f>
        <v>0</v>
      </c>
      <c r="P34" s="7">
        <f ca="1">MIN(IF(O$1=0,MthRem,12), MAX(Inputs!$G$163-IF(O$1=0,0,O$1*12+MthOff), 0))*Inputs!$B$165</f>
        <v>0</v>
      </c>
      <c r="Q34" s="7">
        <f ca="1">MIN(IF(P$1=0,MthRem,12), MAX(Inputs!$G$163-IF(P$1=0,0,P$1*12+MthOff), 0))*Inputs!$B$165</f>
        <v>0</v>
      </c>
      <c r="R34" s="7">
        <f ca="1">MIN(IF(Q$1=0,MthRem,12), MAX(Inputs!$G$163-IF(Q$1=0,0,Q$1*12+MthOff), 0))*Inputs!$B$165</f>
        <v>0</v>
      </c>
      <c r="S34" s="7">
        <f ca="1">MIN(IF(R$1=0,MthRem,12), MAX(Inputs!$G$163-IF(R$1=0,0,R$1*12+MthOff), 0))*Inputs!$B$165</f>
        <v>0</v>
      </c>
      <c r="T34" s="7">
        <f ca="1">MIN(IF(S$1=0,MthRem,12), MAX(Inputs!$G$163-IF(S$1=0,0,S$1*12+MthOff), 0))*Inputs!$B$165</f>
        <v>0</v>
      </c>
      <c r="U34" s="7">
        <f ca="1">MIN(IF(T$1=0,MthRem,12), MAX(Inputs!$G$163-IF(T$1=0,0,T$1*12+MthOff), 0))*Inputs!$B$165</f>
        <v>0</v>
      </c>
      <c r="V34" s="7">
        <f ca="1">MIN(IF(U$1=0,MthRem,12), MAX(Inputs!$G$163-IF(U$1=0,0,U$1*12+MthOff), 0))*Inputs!$B$165</f>
        <v>0</v>
      </c>
      <c r="W34" s="7">
        <f ca="1">MIN(IF(V$1=0,MthRem,12), MAX(Inputs!$G$163-IF(V$1=0,0,V$1*12+MthOff), 0))*Inputs!$B$165</f>
        <v>0</v>
      </c>
      <c r="X34" s="7">
        <f ca="1">MIN(IF(W$1=0,MthRem,12), MAX(Inputs!$G$163-IF(W$1=0,0,W$1*12+MthOff), 0))*Inputs!$B$165</f>
        <v>0</v>
      </c>
      <c r="Y34" s="7">
        <f ca="1">MIN(IF(X$1=0,MthRem,12), MAX(Inputs!$G$163-IF(X$1=0,0,X$1*12+MthOff), 0))*Inputs!$B$165</f>
        <v>0</v>
      </c>
      <c r="Z34" s="7">
        <f ca="1">MIN(IF(Y$1=0,MthRem,12), MAX(Inputs!$G$163-IF(Y$1=0,0,Y$1*12+MthOff), 0))*Inputs!$B$165</f>
        <v>0</v>
      </c>
      <c r="AA34" s="7">
        <f ca="1">MIN(IF(Z$1=0,MthRem,12), MAX(Inputs!$G$163-IF(Z$1=0,0,Z$1*12+MthOff), 0))*Inputs!$B$165</f>
        <v>0</v>
      </c>
      <c r="AB34" s="7">
        <f ca="1">MIN(IF(AA$1=0,MthRem,12), MAX(Inputs!$G$163-IF(AA$1=0,0,AA$1*12+MthOff), 0))*Inputs!$B$165</f>
        <v>0</v>
      </c>
      <c r="AC34" s="7">
        <f ca="1">MIN(IF(AB$1=0,MthRem,12), MAX(Inputs!$G$163-IF(AB$1=0,0,AB$1*12+MthOff), 0))*Inputs!$B$165</f>
        <v>0</v>
      </c>
      <c r="AD34" s="7">
        <f ca="1">MIN(IF(AC$1=0,MthRem,12), MAX(Inputs!$G$163-IF(AC$1=0,0,AC$1*12+MthOff), 0))*Inputs!$B$165</f>
        <v>0</v>
      </c>
      <c r="AE34" s="7">
        <f ca="1">MIN(IF(AD$1=0,MthRem,12), MAX(Inputs!$G$163-IF(AD$1=0,0,AD$1*12+MthOff), 0))*Inputs!$B$165</f>
        <v>0</v>
      </c>
      <c r="AF34" s="7">
        <f ca="1">MIN(IF(AE$1=0,MthRem,12), MAX(Inputs!$G$163-IF(AE$1=0,0,AE$1*12+MthOff), 0))*Inputs!$B$165</f>
        <v>0</v>
      </c>
      <c r="AG34" s="7">
        <f ca="1">MIN(IF(AF$1=0,MthRem,12), MAX(Inputs!$G$163-IF(AF$1=0,0,AF$1*12+MthOff), 0))*Inputs!$B$165</f>
        <v>0</v>
      </c>
      <c r="AH34" s="7">
        <f ca="1">MIN(IF(AG$1=0,MthRem,12), MAX(Inputs!$G$163-IF(AG$1=0,0,AG$1*12+MthOff), 0))*Inputs!$B$165</f>
        <v>0</v>
      </c>
      <c r="AI34" s="7">
        <f ca="1">MIN(IF(AH$1=0,MthRem,12), MAX(Inputs!$G$163-IF(AH$1=0,0,AH$1*12+MthOff), 0))*Inputs!$B$165</f>
        <v>0</v>
      </c>
      <c r="AJ34" s="7">
        <f ca="1">MIN(IF(AI$1=0,MthRem,12), MAX(Inputs!$G$163-IF(AI$1=0,0,AI$1*12+MthOff), 0))*Inputs!$B$165</f>
        <v>0</v>
      </c>
      <c r="AK34" s="7">
        <f ca="1">MIN(IF(AJ$1=0,MthRem,12), MAX(Inputs!$G$163-IF(AJ$1=0,0,AJ$1*12+MthOff), 0))*Inputs!$B$165</f>
        <v>0</v>
      </c>
      <c r="AL34" s="7">
        <f ca="1">MIN(IF(AK$1=0,MthRem,12), MAX(Inputs!$G$163-IF(AK$1=0,0,AK$1*12+MthOff), 0))*Inputs!$B$165</f>
        <v>0</v>
      </c>
      <c r="AM34" s="7">
        <f ca="1">MIN(IF(AL$1=0,MthRem,12), MAX(Inputs!$G$163-IF(AL$1=0,0,AL$1*12+MthOff), 0))*Inputs!$B$165</f>
        <v>0</v>
      </c>
    </row>
    <row r="35" spans="1:39" x14ac:dyDescent="0.2">
      <c r="A35" s="3" t="str">
        <f>TEXT(Inputs!$B$103,"")</f>
        <v>Boat</v>
      </c>
      <c r="C35" s="7">
        <f ca="1">MIN(IF(B$1=0,MthRem,12), MAX(Inputs!$G$168-IF(B$1=0,0,B$1*12+MthOff), 0))*Inputs!$B$170</f>
        <v>5616</v>
      </c>
      <c r="D35" s="7">
        <f ca="1">MIN(IF(C$1=0,MthRem,12), MAX(Inputs!$G$168-IF(C$1=0,0,C$1*12+MthOff), 0))*Inputs!$B$170</f>
        <v>7488</v>
      </c>
      <c r="E35" s="7">
        <f ca="1">MIN(IF(D$1=0,MthRem,12), MAX(Inputs!$G$168-IF(D$1=0,0,D$1*12+MthOff), 0))*Inputs!$B$170</f>
        <v>7488</v>
      </c>
      <c r="F35" s="7">
        <f ca="1">MIN(IF(E$1=0,MthRem,12), MAX(Inputs!$G$168-IF(E$1=0,0,E$1*12+MthOff), 0))*Inputs!$B$170</f>
        <v>7488</v>
      </c>
      <c r="G35" s="7">
        <f ca="1">MIN(IF(F$1=0,MthRem,12), MAX(Inputs!$G$168-IF(F$1=0,0,F$1*12+MthOff), 0))*Inputs!$B$170</f>
        <v>7488</v>
      </c>
      <c r="H35" s="7">
        <f ca="1">MIN(IF(G$1=0,MthRem,12), MAX(Inputs!$G$168-IF(G$1=0,0,G$1*12+MthOff), 0))*Inputs!$B$170</f>
        <v>7488</v>
      </c>
      <c r="I35" s="7">
        <f ca="1">MIN(IF(H$1=0,MthRem,12), MAX(Inputs!$G$168-IF(H$1=0,0,H$1*12+MthOff), 0))*Inputs!$B$170</f>
        <v>5289.2926184371663</v>
      </c>
      <c r="J35" s="7">
        <f ca="1">MIN(IF(I$1=0,MthRem,12), MAX(Inputs!$G$168-IF(I$1=0,0,I$1*12+MthOff), 0))*Inputs!$B$170</f>
        <v>0</v>
      </c>
      <c r="K35" s="7">
        <f ca="1">MIN(IF(J$1=0,MthRem,12), MAX(Inputs!$G$168-IF(J$1=0,0,J$1*12+MthOff), 0))*Inputs!$B$170</f>
        <v>0</v>
      </c>
      <c r="L35" s="7">
        <f ca="1">MIN(IF(K$1=0,MthRem,12), MAX(Inputs!$G$168-IF(K$1=0,0,K$1*12+MthOff), 0))*Inputs!$B$170</f>
        <v>0</v>
      </c>
      <c r="M35" s="7">
        <f ca="1">MIN(IF(L$1=0,MthRem,12), MAX(Inputs!$G$168-IF(L$1=0,0,L$1*12+MthOff), 0))*Inputs!$B$170</f>
        <v>0</v>
      </c>
      <c r="N35" s="7">
        <f ca="1">MIN(IF(M$1=0,MthRem,12), MAX(Inputs!$G$168-IF(M$1=0,0,M$1*12+MthOff), 0))*Inputs!$B$170</f>
        <v>0</v>
      </c>
      <c r="O35" s="7">
        <f ca="1">MIN(IF(N$1=0,MthRem,12), MAX(Inputs!$G$168-IF(N$1=0,0,N$1*12+MthOff), 0))*Inputs!$B$170</f>
        <v>0</v>
      </c>
      <c r="P35" s="7">
        <f ca="1">MIN(IF(O$1=0,MthRem,12), MAX(Inputs!$G$168-IF(O$1=0,0,O$1*12+MthOff), 0))*Inputs!$B$170</f>
        <v>0</v>
      </c>
      <c r="Q35" s="7">
        <f ca="1">MIN(IF(P$1=0,MthRem,12), MAX(Inputs!$G$168-IF(P$1=0,0,P$1*12+MthOff), 0))*Inputs!$B$170</f>
        <v>0</v>
      </c>
      <c r="R35" s="7">
        <f ca="1">MIN(IF(Q$1=0,MthRem,12), MAX(Inputs!$G$168-IF(Q$1=0,0,Q$1*12+MthOff), 0))*Inputs!$B$170</f>
        <v>0</v>
      </c>
      <c r="S35" s="7">
        <f ca="1">MIN(IF(R$1=0,MthRem,12), MAX(Inputs!$G$168-IF(R$1=0,0,R$1*12+MthOff), 0))*Inputs!$B$170</f>
        <v>0</v>
      </c>
      <c r="T35" s="7">
        <f ca="1">MIN(IF(S$1=0,MthRem,12), MAX(Inputs!$G$168-IF(S$1=0,0,S$1*12+MthOff), 0))*Inputs!$B$170</f>
        <v>0</v>
      </c>
      <c r="U35" s="7">
        <f ca="1">MIN(IF(T$1=0,MthRem,12), MAX(Inputs!$G$168-IF(T$1=0,0,T$1*12+MthOff), 0))*Inputs!$B$170</f>
        <v>0</v>
      </c>
      <c r="V35" s="7">
        <f ca="1">MIN(IF(U$1=0,MthRem,12), MAX(Inputs!$G$168-IF(U$1=0,0,U$1*12+MthOff), 0))*Inputs!$B$170</f>
        <v>0</v>
      </c>
      <c r="W35" s="7">
        <f ca="1">MIN(IF(V$1=0,MthRem,12), MAX(Inputs!$G$168-IF(V$1=0,0,V$1*12+MthOff), 0))*Inputs!$B$170</f>
        <v>0</v>
      </c>
      <c r="X35" s="7">
        <f ca="1">MIN(IF(W$1=0,MthRem,12), MAX(Inputs!$G$168-IF(W$1=0,0,W$1*12+MthOff), 0))*Inputs!$B$170</f>
        <v>0</v>
      </c>
      <c r="Y35" s="7">
        <f ca="1">MIN(IF(X$1=0,MthRem,12), MAX(Inputs!$G$168-IF(X$1=0,0,X$1*12+MthOff), 0))*Inputs!$B$170</f>
        <v>0</v>
      </c>
      <c r="Z35" s="7">
        <f ca="1">MIN(IF(Y$1=0,MthRem,12), MAX(Inputs!$G$168-IF(Y$1=0,0,Y$1*12+MthOff), 0))*Inputs!$B$170</f>
        <v>0</v>
      </c>
      <c r="AA35" s="7">
        <f ca="1">MIN(IF(Z$1=0,MthRem,12), MAX(Inputs!$G$168-IF(Z$1=0,0,Z$1*12+MthOff), 0))*Inputs!$B$170</f>
        <v>0</v>
      </c>
      <c r="AB35" s="7">
        <f ca="1">MIN(IF(AA$1=0,MthRem,12), MAX(Inputs!$G$168-IF(AA$1=0,0,AA$1*12+MthOff), 0))*Inputs!$B$170</f>
        <v>0</v>
      </c>
      <c r="AC35" s="7">
        <f ca="1">MIN(IF(AB$1=0,MthRem,12), MAX(Inputs!$G$168-IF(AB$1=0,0,AB$1*12+MthOff), 0))*Inputs!$B$170</f>
        <v>0</v>
      </c>
      <c r="AD35" s="7">
        <f ca="1">MIN(IF(AC$1=0,MthRem,12), MAX(Inputs!$G$168-IF(AC$1=0,0,AC$1*12+MthOff), 0))*Inputs!$B$170</f>
        <v>0</v>
      </c>
      <c r="AE35" s="7">
        <f ca="1">MIN(IF(AD$1=0,MthRem,12), MAX(Inputs!$G$168-IF(AD$1=0,0,AD$1*12+MthOff), 0))*Inputs!$B$170</f>
        <v>0</v>
      </c>
      <c r="AF35" s="7">
        <f ca="1">MIN(IF(AE$1=0,MthRem,12), MAX(Inputs!$G$168-IF(AE$1=0,0,AE$1*12+MthOff), 0))*Inputs!$B$170</f>
        <v>0</v>
      </c>
      <c r="AG35" s="7">
        <f ca="1">MIN(IF(AF$1=0,MthRem,12), MAX(Inputs!$G$168-IF(AF$1=0,0,AF$1*12+MthOff), 0))*Inputs!$B$170</f>
        <v>0</v>
      </c>
      <c r="AH35" s="7">
        <f ca="1">MIN(IF(AG$1=0,MthRem,12), MAX(Inputs!$G$168-IF(AG$1=0,0,AG$1*12+MthOff), 0))*Inputs!$B$170</f>
        <v>0</v>
      </c>
      <c r="AI35" s="7">
        <f ca="1">MIN(IF(AH$1=0,MthRem,12), MAX(Inputs!$G$168-IF(AH$1=0,0,AH$1*12+MthOff), 0))*Inputs!$B$170</f>
        <v>0</v>
      </c>
      <c r="AJ35" s="7">
        <f ca="1">MIN(IF(AI$1=0,MthRem,12), MAX(Inputs!$G$168-IF(AI$1=0,0,AI$1*12+MthOff), 0))*Inputs!$B$170</f>
        <v>0</v>
      </c>
      <c r="AK35" s="7">
        <f ca="1">MIN(IF(AJ$1=0,MthRem,12), MAX(Inputs!$G$168-IF(AJ$1=0,0,AJ$1*12+MthOff), 0))*Inputs!$B$170</f>
        <v>0</v>
      </c>
      <c r="AL35" s="7">
        <f ca="1">MIN(IF(AK$1=0,MthRem,12), MAX(Inputs!$G$168-IF(AK$1=0,0,AK$1*12+MthOff), 0))*Inputs!$B$170</f>
        <v>0</v>
      </c>
      <c r="AM35" s="7">
        <f ca="1">MIN(IF(AL$1=0,MthRem,12), MAX(Inputs!$G$168-IF(AL$1=0,0,AL$1*12+MthOff), 0))*Inputs!$B$170</f>
        <v>0</v>
      </c>
    </row>
    <row r="36" spans="1:39" x14ac:dyDescent="0.2">
      <c r="A36" s="3" t="str">
        <f>TEXT(Inputs!$B$108,"")</f>
        <v>Antiques</v>
      </c>
      <c r="C36" s="7">
        <f ca="1">MIN(IF(B$1=0,MthRem,12), MAX(Inputs!$G$173-IF(B$1=0,0,B$1*12+MthOff), 0))*Inputs!$B$175</f>
        <v>990</v>
      </c>
      <c r="D36" s="7">
        <f ca="1">MIN(IF(C$1=0,MthRem,12), MAX(Inputs!$G$173-IF(C$1=0,0,C$1*12+MthOff), 0))*Inputs!$B$175</f>
        <v>1320</v>
      </c>
      <c r="E36" s="7">
        <f ca="1">MIN(IF(D$1=0,MthRem,12), MAX(Inputs!$G$173-IF(D$1=0,0,D$1*12+MthOff), 0))*Inputs!$B$175</f>
        <v>1320</v>
      </c>
      <c r="F36" s="7">
        <f ca="1">MIN(IF(E$1=0,MthRem,12), MAX(Inputs!$G$173-IF(E$1=0,0,E$1*12+MthOff), 0))*Inputs!$B$175</f>
        <v>349.16176270026983</v>
      </c>
      <c r="G36" s="7">
        <f ca="1">MIN(IF(F$1=0,MthRem,12), MAX(Inputs!$G$173-IF(F$1=0,0,F$1*12+MthOff), 0))*Inputs!$B$175</f>
        <v>0</v>
      </c>
      <c r="H36" s="7">
        <f ca="1">MIN(IF(G$1=0,MthRem,12), MAX(Inputs!$G$173-IF(G$1=0,0,G$1*12+MthOff), 0))*Inputs!$B$175</f>
        <v>0</v>
      </c>
      <c r="I36" s="7">
        <f ca="1">MIN(IF(H$1=0,MthRem,12), MAX(Inputs!$G$173-IF(H$1=0,0,H$1*12+MthOff), 0))*Inputs!$B$175</f>
        <v>0</v>
      </c>
      <c r="J36" s="7">
        <f ca="1">MIN(IF(I$1=0,MthRem,12), MAX(Inputs!$G$173-IF(I$1=0,0,I$1*12+MthOff), 0))*Inputs!$B$175</f>
        <v>0</v>
      </c>
      <c r="K36" s="7">
        <f ca="1">MIN(IF(J$1=0,MthRem,12), MAX(Inputs!$G$173-IF(J$1=0,0,J$1*12+MthOff), 0))*Inputs!$B$175</f>
        <v>0</v>
      </c>
      <c r="L36" s="7">
        <f ca="1">MIN(IF(K$1=0,MthRem,12), MAX(Inputs!$G$173-IF(K$1=0,0,K$1*12+MthOff), 0))*Inputs!$B$175</f>
        <v>0</v>
      </c>
      <c r="M36" s="7">
        <f ca="1">MIN(IF(L$1=0,MthRem,12), MAX(Inputs!$G$173-IF(L$1=0,0,L$1*12+MthOff), 0))*Inputs!$B$175</f>
        <v>0</v>
      </c>
      <c r="N36" s="7">
        <f ca="1">MIN(IF(M$1=0,MthRem,12), MAX(Inputs!$G$173-IF(M$1=0,0,M$1*12+MthOff), 0))*Inputs!$B$175</f>
        <v>0</v>
      </c>
      <c r="O36" s="7">
        <f ca="1">MIN(IF(N$1=0,MthRem,12), MAX(Inputs!$G$173-IF(N$1=0,0,N$1*12+MthOff), 0))*Inputs!$B$175</f>
        <v>0</v>
      </c>
      <c r="P36" s="7">
        <f ca="1">MIN(IF(O$1=0,MthRem,12), MAX(Inputs!$G$173-IF(O$1=0,0,O$1*12+MthOff), 0))*Inputs!$B$175</f>
        <v>0</v>
      </c>
      <c r="Q36" s="7">
        <f ca="1">MIN(IF(P$1=0,MthRem,12), MAX(Inputs!$G$173-IF(P$1=0,0,P$1*12+MthOff), 0))*Inputs!$B$175</f>
        <v>0</v>
      </c>
      <c r="R36" s="7">
        <f ca="1">MIN(IF(Q$1=0,MthRem,12), MAX(Inputs!$G$173-IF(Q$1=0,0,Q$1*12+MthOff), 0))*Inputs!$B$175</f>
        <v>0</v>
      </c>
      <c r="S36" s="7">
        <f ca="1">MIN(IF(R$1=0,MthRem,12), MAX(Inputs!$G$173-IF(R$1=0,0,R$1*12+MthOff), 0))*Inputs!$B$175</f>
        <v>0</v>
      </c>
      <c r="T36" s="7">
        <f ca="1">MIN(IF(S$1=0,MthRem,12), MAX(Inputs!$G$173-IF(S$1=0,0,S$1*12+MthOff), 0))*Inputs!$B$175</f>
        <v>0</v>
      </c>
      <c r="U36" s="7">
        <f ca="1">MIN(IF(T$1=0,MthRem,12), MAX(Inputs!$G$173-IF(T$1=0,0,T$1*12+MthOff), 0))*Inputs!$B$175</f>
        <v>0</v>
      </c>
      <c r="V36" s="7">
        <f ca="1">MIN(IF(U$1=0,MthRem,12), MAX(Inputs!$G$173-IF(U$1=0,0,U$1*12+MthOff), 0))*Inputs!$B$175</f>
        <v>0</v>
      </c>
      <c r="W36" s="7">
        <f ca="1">MIN(IF(V$1=0,MthRem,12), MAX(Inputs!$G$173-IF(V$1=0,0,V$1*12+MthOff), 0))*Inputs!$B$175</f>
        <v>0</v>
      </c>
      <c r="X36" s="7">
        <f ca="1">MIN(IF(W$1=0,MthRem,12), MAX(Inputs!$G$173-IF(W$1=0,0,W$1*12+MthOff), 0))*Inputs!$B$175</f>
        <v>0</v>
      </c>
      <c r="Y36" s="7">
        <f ca="1">MIN(IF(X$1=0,MthRem,12), MAX(Inputs!$G$173-IF(X$1=0,0,X$1*12+MthOff), 0))*Inputs!$B$175</f>
        <v>0</v>
      </c>
      <c r="Z36" s="7">
        <f ca="1">MIN(IF(Y$1=0,MthRem,12), MAX(Inputs!$G$173-IF(Y$1=0,0,Y$1*12+MthOff), 0))*Inputs!$B$175</f>
        <v>0</v>
      </c>
      <c r="AA36" s="7">
        <f ca="1">MIN(IF(Z$1=0,MthRem,12), MAX(Inputs!$G$173-IF(Z$1=0,0,Z$1*12+MthOff), 0))*Inputs!$B$175</f>
        <v>0</v>
      </c>
      <c r="AB36" s="7">
        <f ca="1">MIN(IF(AA$1=0,MthRem,12), MAX(Inputs!$G$173-IF(AA$1=0,0,AA$1*12+MthOff), 0))*Inputs!$B$175</f>
        <v>0</v>
      </c>
      <c r="AC36" s="7">
        <f ca="1">MIN(IF(AB$1=0,MthRem,12), MAX(Inputs!$G$173-IF(AB$1=0,0,AB$1*12+MthOff), 0))*Inputs!$B$175</f>
        <v>0</v>
      </c>
      <c r="AD36" s="7">
        <f ca="1">MIN(IF(AC$1=0,MthRem,12), MAX(Inputs!$G$173-IF(AC$1=0,0,AC$1*12+MthOff), 0))*Inputs!$B$175</f>
        <v>0</v>
      </c>
      <c r="AE36" s="7">
        <f ca="1">MIN(IF(AD$1=0,MthRem,12), MAX(Inputs!$G$173-IF(AD$1=0,0,AD$1*12+MthOff), 0))*Inputs!$B$175</f>
        <v>0</v>
      </c>
      <c r="AF36" s="7">
        <f ca="1">MIN(IF(AE$1=0,MthRem,12), MAX(Inputs!$G$173-IF(AE$1=0,0,AE$1*12+MthOff), 0))*Inputs!$B$175</f>
        <v>0</v>
      </c>
      <c r="AG36" s="7">
        <f ca="1">MIN(IF(AF$1=0,MthRem,12), MAX(Inputs!$G$173-IF(AF$1=0,0,AF$1*12+MthOff), 0))*Inputs!$B$175</f>
        <v>0</v>
      </c>
      <c r="AH36" s="7">
        <f ca="1">MIN(IF(AG$1=0,MthRem,12), MAX(Inputs!$G$173-IF(AG$1=0,0,AG$1*12+MthOff), 0))*Inputs!$B$175</f>
        <v>0</v>
      </c>
      <c r="AI36" s="7">
        <f ca="1">MIN(IF(AH$1=0,MthRem,12), MAX(Inputs!$G$173-IF(AH$1=0,0,AH$1*12+MthOff), 0))*Inputs!$B$175</f>
        <v>0</v>
      </c>
      <c r="AJ36" s="7">
        <f ca="1">MIN(IF(AI$1=0,MthRem,12), MAX(Inputs!$G$173-IF(AI$1=0,0,AI$1*12+MthOff), 0))*Inputs!$B$175</f>
        <v>0</v>
      </c>
      <c r="AK36" s="7">
        <f ca="1">MIN(IF(AJ$1=0,MthRem,12), MAX(Inputs!$G$173-IF(AJ$1=0,0,AJ$1*12+MthOff), 0))*Inputs!$B$175</f>
        <v>0</v>
      </c>
      <c r="AL36" s="7">
        <f ca="1">MIN(IF(AK$1=0,MthRem,12), MAX(Inputs!$G$173-IF(AK$1=0,0,AK$1*12+MthOff), 0))*Inputs!$B$175</f>
        <v>0</v>
      </c>
      <c r="AM36" s="7">
        <f ca="1">MIN(IF(AL$1=0,MthRem,12), MAX(Inputs!$G$173-IF(AL$1=0,0,AL$1*12+MthOff), 0))*Inputs!$B$175</f>
        <v>0</v>
      </c>
    </row>
    <row r="37" spans="1:39" x14ac:dyDescent="0.2">
      <c r="A37" s="4" t="s">
        <v>34</v>
      </c>
      <c r="C37" s="7">
        <f ca="1">MIN(IF(B$1=0,MthRem,12), MAX(Inputs!$G$178-IF(B$1=0,0,B$1*12+MthOff), 0))*Inputs!$B$180</f>
        <v>450</v>
      </c>
      <c r="D37" s="7">
        <f ca="1">MIN(IF(C$1=0,MthRem,12), MAX(Inputs!$G$178-IF(C$1=0,0,C$1*12+MthOff), 0))*Inputs!$B$180</f>
        <v>600</v>
      </c>
      <c r="E37" s="7">
        <f ca="1">MIN(IF(D$1=0,MthRem,12), MAX(Inputs!$G$178-IF(D$1=0,0,D$1*12+MthOff), 0))*Inputs!$B$180</f>
        <v>600</v>
      </c>
      <c r="F37" s="7">
        <f ca="1">MIN(IF(E$1=0,MthRem,12), MAX(Inputs!$G$178-IF(E$1=0,0,E$1*12+MthOff), 0))*Inputs!$B$180</f>
        <v>600</v>
      </c>
      <c r="G37" s="7">
        <f ca="1">MIN(IF(F$1=0,MthRem,12), MAX(Inputs!$G$178-IF(F$1=0,0,F$1*12+MthOff), 0))*Inputs!$B$180</f>
        <v>600</v>
      </c>
      <c r="H37" s="7">
        <f ca="1">MIN(IF(G$1=0,MthRem,12), MAX(Inputs!$G$178-IF(G$1=0,0,G$1*12+MthOff), 0))*Inputs!$B$180</f>
        <v>600</v>
      </c>
      <c r="I37" s="7">
        <f ca="1">MIN(IF(H$1=0,MthRem,12), MAX(Inputs!$G$178-IF(H$1=0,0,H$1*12+MthOff), 0))*Inputs!$B$180</f>
        <v>600</v>
      </c>
      <c r="J37" s="7">
        <f ca="1">MIN(IF(I$1=0,MthRem,12), MAX(Inputs!$G$178-IF(I$1=0,0,I$1*12+MthOff), 0))*Inputs!$B$180</f>
        <v>600</v>
      </c>
      <c r="K37" s="7">
        <f ca="1">MIN(IF(J$1=0,MthRem,12), MAX(Inputs!$G$178-IF(J$1=0,0,J$1*12+MthOff), 0))*Inputs!$B$180</f>
        <v>471.016262575219</v>
      </c>
      <c r="L37" s="7">
        <f ca="1">MIN(IF(K$1=0,MthRem,12), MAX(Inputs!$G$178-IF(K$1=0,0,K$1*12+MthOff), 0))*Inputs!$B$180</f>
        <v>0</v>
      </c>
      <c r="M37" s="7">
        <f ca="1">MIN(IF(L$1=0,MthRem,12), MAX(Inputs!$G$178-IF(L$1=0,0,L$1*12+MthOff), 0))*Inputs!$B$180</f>
        <v>0</v>
      </c>
      <c r="N37" s="7">
        <f ca="1">MIN(IF(M$1=0,MthRem,12), MAX(Inputs!$G$178-IF(M$1=0,0,M$1*12+MthOff), 0))*Inputs!$B$180</f>
        <v>0</v>
      </c>
      <c r="O37" s="7">
        <f ca="1">MIN(IF(N$1=0,MthRem,12), MAX(Inputs!$G$178-IF(N$1=0,0,N$1*12+MthOff), 0))*Inputs!$B$180</f>
        <v>0</v>
      </c>
      <c r="P37" s="7">
        <f ca="1">MIN(IF(O$1=0,MthRem,12), MAX(Inputs!$G$178-IF(O$1=0,0,O$1*12+MthOff), 0))*Inputs!$B$180</f>
        <v>0</v>
      </c>
      <c r="Q37" s="7">
        <f ca="1">MIN(IF(P$1=0,MthRem,12), MAX(Inputs!$G$178-IF(P$1=0,0,P$1*12+MthOff), 0))*Inputs!$B$180</f>
        <v>0</v>
      </c>
      <c r="R37" s="7">
        <f ca="1">MIN(IF(Q$1=0,MthRem,12), MAX(Inputs!$G$178-IF(Q$1=0,0,Q$1*12+MthOff), 0))*Inputs!$B$180</f>
        <v>0</v>
      </c>
      <c r="S37" s="7">
        <f ca="1">MIN(IF(R$1=0,MthRem,12), MAX(Inputs!$G$178-IF(R$1=0,0,R$1*12+MthOff), 0))*Inputs!$B$180</f>
        <v>0</v>
      </c>
      <c r="T37" s="7">
        <f ca="1">MIN(IF(S$1=0,MthRem,12), MAX(Inputs!$G$178-IF(S$1=0,0,S$1*12+MthOff), 0))*Inputs!$B$180</f>
        <v>0</v>
      </c>
      <c r="U37" s="7">
        <f ca="1">MIN(IF(T$1=0,MthRem,12), MAX(Inputs!$G$178-IF(T$1=0,0,T$1*12+MthOff), 0))*Inputs!$B$180</f>
        <v>0</v>
      </c>
      <c r="V37" s="7">
        <f ca="1">MIN(IF(U$1=0,MthRem,12), MAX(Inputs!$G$178-IF(U$1=0,0,U$1*12+MthOff), 0))*Inputs!$B$180</f>
        <v>0</v>
      </c>
      <c r="W37" s="7">
        <f ca="1">MIN(IF(V$1=0,MthRem,12), MAX(Inputs!$G$178-IF(V$1=0,0,V$1*12+MthOff), 0))*Inputs!$B$180</f>
        <v>0</v>
      </c>
      <c r="X37" s="7">
        <f ca="1">MIN(IF(W$1=0,MthRem,12), MAX(Inputs!$G$178-IF(W$1=0,0,W$1*12+MthOff), 0))*Inputs!$B$180</f>
        <v>0</v>
      </c>
      <c r="Y37" s="7">
        <f ca="1">MIN(IF(X$1=0,MthRem,12), MAX(Inputs!$G$178-IF(X$1=0,0,X$1*12+MthOff), 0))*Inputs!$B$180</f>
        <v>0</v>
      </c>
      <c r="Z37" s="7">
        <f ca="1">MIN(IF(Y$1=0,MthRem,12), MAX(Inputs!$G$178-IF(Y$1=0,0,Y$1*12+MthOff), 0))*Inputs!$B$180</f>
        <v>0</v>
      </c>
      <c r="AA37" s="7">
        <f ca="1">MIN(IF(Z$1=0,MthRem,12), MAX(Inputs!$G$178-IF(Z$1=0,0,Z$1*12+MthOff), 0))*Inputs!$B$180</f>
        <v>0</v>
      </c>
      <c r="AB37" s="7">
        <f ca="1">MIN(IF(AA$1=0,MthRem,12), MAX(Inputs!$G$178-IF(AA$1=0,0,AA$1*12+MthOff), 0))*Inputs!$B$180</f>
        <v>0</v>
      </c>
      <c r="AC37" s="7">
        <f ca="1">MIN(IF(AB$1=0,MthRem,12), MAX(Inputs!$G$178-IF(AB$1=0,0,AB$1*12+MthOff), 0))*Inputs!$B$180</f>
        <v>0</v>
      </c>
      <c r="AD37" s="7">
        <f ca="1">MIN(IF(AC$1=0,MthRem,12), MAX(Inputs!$G$178-IF(AC$1=0,0,AC$1*12+MthOff), 0))*Inputs!$B$180</f>
        <v>0</v>
      </c>
      <c r="AE37" s="7">
        <f ca="1">MIN(IF(AD$1=0,MthRem,12), MAX(Inputs!$G$178-IF(AD$1=0,0,AD$1*12+MthOff), 0))*Inputs!$B$180</f>
        <v>0</v>
      </c>
      <c r="AF37" s="7">
        <f ca="1">MIN(IF(AE$1=0,MthRem,12), MAX(Inputs!$G$178-IF(AE$1=0,0,AE$1*12+MthOff), 0))*Inputs!$B$180</f>
        <v>0</v>
      </c>
      <c r="AG37" s="7">
        <f ca="1">MIN(IF(AF$1=0,MthRem,12), MAX(Inputs!$G$178-IF(AF$1=0,0,AF$1*12+MthOff), 0))*Inputs!$B$180</f>
        <v>0</v>
      </c>
      <c r="AH37" s="7">
        <f ca="1">MIN(IF(AG$1=0,MthRem,12), MAX(Inputs!$G$178-IF(AG$1=0,0,AG$1*12+MthOff), 0))*Inputs!$B$180</f>
        <v>0</v>
      </c>
      <c r="AI37" s="7">
        <f ca="1">MIN(IF(AH$1=0,MthRem,12), MAX(Inputs!$G$178-IF(AH$1=0,0,AH$1*12+MthOff), 0))*Inputs!$B$180</f>
        <v>0</v>
      </c>
      <c r="AJ37" s="7">
        <f ca="1">MIN(IF(AI$1=0,MthRem,12), MAX(Inputs!$G$178-IF(AI$1=0,0,AI$1*12+MthOff), 0))*Inputs!$B$180</f>
        <v>0</v>
      </c>
      <c r="AK37" s="7">
        <f ca="1">MIN(IF(AJ$1=0,MthRem,12), MAX(Inputs!$G$178-IF(AJ$1=0,0,AJ$1*12+MthOff), 0))*Inputs!$B$180</f>
        <v>0</v>
      </c>
      <c r="AL37" s="7">
        <f ca="1">MIN(IF(AK$1=0,MthRem,12), MAX(Inputs!$G$178-IF(AK$1=0,0,AK$1*12+MthOff), 0))*Inputs!$B$180</f>
        <v>0</v>
      </c>
      <c r="AM37" s="7">
        <f ca="1">MIN(IF(AL$1=0,MthRem,12), MAX(Inputs!$G$178-IF(AL$1=0,0,AL$1*12+MthOff), 0))*Inputs!$B$180</f>
        <v>0</v>
      </c>
    </row>
    <row r="38" spans="1:39" x14ac:dyDescent="0.2">
      <c r="A38" s="4" t="s">
        <v>51</v>
      </c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  <c r="AA38" s="7"/>
      <c r="AB38" s="7"/>
      <c r="AC38" s="7"/>
      <c r="AD38" s="7"/>
      <c r="AE38" s="7"/>
      <c r="AF38" s="7"/>
      <c r="AG38" s="7"/>
      <c r="AH38" s="7"/>
      <c r="AI38" s="7"/>
      <c r="AJ38" s="7"/>
      <c r="AK38" s="7"/>
      <c r="AL38" s="7"/>
      <c r="AM38" s="7"/>
    </row>
    <row r="39" spans="1:39" x14ac:dyDescent="0.2">
      <c r="A39" s="3" t="str">
        <f>TEXT(Inputs!B34,"")</f>
        <v>John</v>
      </c>
      <c r="B39" s="8"/>
      <c r="C39" s="7">
        <f ca="1">IF(Inputs!$B$36&gt;=C$1,Inputs!$B$35,0)*(1+inf)^B$1*ProRate</f>
        <v>1500</v>
      </c>
      <c r="D39" s="7">
        <f>IF(Inputs!$B$36&gt;=D$1,Inputs!$B$35,0)*(1+inf)^C$1</f>
        <v>2050</v>
      </c>
      <c r="E39" s="7">
        <f>IF(Inputs!$B$36&gt;=E$1,Inputs!$B$35,0)*(1+inf)^D$1</f>
        <v>2101.25</v>
      </c>
      <c r="F39" s="7">
        <f>IF(Inputs!$B$36&gt;=F$1,Inputs!$B$35,0)*(1+inf)^E$1</f>
        <v>0</v>
      </c>
      <c r="G39" s="7">
        <f>IF(Inputs!$B$36&gt;=G$1,Inputs!$B$35,0)*(1+inf)^F$1</f>
        <v>0</v>
      </c>
      <c r="H39" s="7">
        <f>IF(Inputs!$B$36&gt;=H$1,Inputs!$B$35,0)*(1+inf)^G$1</f>
        <v>0</v>
      </c>
      <c r="I39" s="7">
        <f>IF(Inputs!$B$36&gt;=I$1,Inputs!$B$35,0)*(1+inf)^H$1</f>
        <v>0</v>
      </c>
      <c r="J39" s="7">
        <f>IF(Inputs!$B$36&gt;=J$1,Inputs!$B$35,0)*(1+inf)^I$1</f>
        <v>0</v>
      </c>
      <c r="K39" s="7">
        <f>IF(Inputs!$B$36&gt;=K$1,Inputs!$B$35,0)*(1+inf)^J$1</f>
        <v>0</v>
      </c>
      <c r="L39" s="7">
        <f>IF(Inputs!$B$36&gt;=L$1,Inputs!$B$35,0)*(1+inf)^K$1</f>
        <v>0</v>
      </c>
      <c r="M39" s="7">
        <f>IF(Inputs!$B$36&gt;=M$1,Inputs!$B$35,0)*(1+inf)^L$1</f>
        <v>0</v>
      </c>
      <c r="N39" s="7">
        <f>IF(Inputs!$B$36&gt;=N$1,Inputs!$B$35,0)*(1+inf)^M$1</f>
        <v>0</v>
      </c>
      <c r="O39" s="7">
        <f>IF(Inputs!$B$36&gt;=O$1,Inputs!$B$35,0)*(1+inf)^N$1</f>
        <v>0</v>
      </c>
      <c r="P39" s="7">
        <f>IF(Inputs!$B$36&gt;=P$1,Inputs!$B$35,0)*(1+inf)^O$1</f>
        <v>0</v>
      </c>
      <c r="Q39" s="7">
        <f>IF(Inputs!$B$36&gt;=Q$1,Inputs!$B$35,0)*(1+inf)^P$1</f>
        <v>0</v>
      </c>
      <c r="R39" s="7">
        <f>IF(Inputs!$B$36&gt;=R$1,Inputs!$B$35,0)*(1+inf)^Q$1</f>
        <v>0</v>
      </c>
      <c r="S39" s="7">
        <f>IF(Inputs!$B$36&gt;=S$1,Inputs!$B$35,0)*(1+inf)^R$1</f>
        <v>0</v>
      </c>
      <c r="T39" s="7">
        <f>IF(Inputs!$B$36&gt;=T$1,Inputs!$B$35,0)*(1+inf)^S$1</f>
        <v>0</v>
      </c>
      <c r="U39" s="7">
        <f>IF(Inputs!$B$36&gt;=U$1,Inputs!$B$35,0)*(1+inf)^T$1</f>
        <v>0</v>
      </c>
      <c r="V39" s="7">
        <f>IF(Inputs!$B$36&gt;=V$1,Inputs!$B$35,0)*(1+inf)^U$1</f>
        <v>0</v>
      </c>
      <c r="W39" s="7">
        <f>IF(Inputs!$B$36&gt;=W$1,Inputs!$B$35,0)*(1+inf)^V$1</f>
        <v>0</v>
      </c>
      <c r="X39" s="7">
        <f>IF(Inputs!$B$36&gt;=X$1,Inputs!$B$35,0)*(1+inf)^W$1</f>
        <v>0</v>
      </c>
      <c r="Y39" s="7">
        <f>IF(Inputs!$B$36&gt;=Y$1,Inputs!$B$35,0)*(1+inf)^X$1</f>
        <v>0</v>
      </c>
      <c r="Z39" s="7">
        <f>IF(Inputs!$B$36&gt;=Z$1,Inputs!$B$35,0)*(1+inf)^Y$1</f>
        <v>0</v>
      </c>
      <c r="AA39" s="7">
        <f>IF(Inputs!$B$36&gt;=AA$1,Inputs!$B$35,0)*(1+inf)^Z$1</f>
        <v>0</v>
      </c>
      <c r="AB39" s="7">
        <f>IF(Inputs!$B$36&gt;=AB$1,Inputs!$B$35,0)*(1+inf)^AA$1</f>
        <v>0</v>
      </c>
      <c r="AC39" s="7">
        <f>IF(Inputs!$B$36&gt;=AC$1,Inputs!$B$35,0)*(1+inf)^AB$1</f>
        <v>0</v>
      </c>
      <c r="AD39" s="7">
        <f>IF(Inputs!$B$36&gt;=AD$1,Inputs!$B$35,0)*(1+inf)^AC$1</f>
        <v>0</v>
      </c>
      <c r="AE39" s="7">
        <f>IF(Inputs!$B$36&gt;=AE$1,Inputs!$B$35,0)*(1+inf)^AD$1</f>
        <v>0</v>
      </c>
      <c r="AF39" s="7">
        <f>IF(Inputs!$B$36&gt;=AF$1,Inputs!$B$35,0)*(1+inf)^AE$1</f>
        <v>0</v>
      </c>
      <c r="AG39" s="7">
        <f>IF(Inputs!$B$36&gt;=AG$1,Inputs!$B$35,0)*(1+inf)^AF$1</f>
        <v>0</v>
      </c>
      <c r="AH39" s="7">
        <f>IF(Inputs!$B$36&gt;=AH$1,Inputs!$B$35,0)*(1+inf)^AG$1</f>
        <v>0</v>
      </c>
      <c r="AI39" s="7">
        <f>IF(Inputs!$B$36&gt;=AI$1,Inputs!$B$35,0)*(1+inf)^AH$1</f>
        <v>0</v>
      </c>
      <c r="AJ39" s="7">
        <f>IF(Inputs!$B$36&gt;=AJ$1,Inputs!$B$35,0)*(1+inf)^AI$1</f>
        <v>0</v>
      </c>
      <c r="AK39" s="7">
        <f>IF(Inputs!$B$36&gt;=AK$1,Inputs!$B$35,0)*(1+inf)^AJ$1</f>
        <v>0</v>
      </c>
      <c r="AL39" s="7">
        <f>IF(Inputs!$B$36&gt;=AL$1,Inputs!$B$35,0)*(1+inf)^AK$1</f>
        <v>0</v>
      </c>
      <c r="AM39" s="7">
        <f>IF(Inputs!$B$36&gt;=AM$1,Inputs!$B$35,0)*(1+inf)^AL$1</f>
        <v>0</v>
      </c>
    </row>
    <row r="40" spans="1:39" x14ac:dyDescent="0.2">
      <c r="A40" s="3" t="str">
        <f>TEXT(Inputs!B39,"")</f>
        <v>Jack</v>
      </c>
      <c r="B40" s="8"/>
      <c r="C40" s="7">
        <f ca="1">IF(Inputs!$B$41&gt;=C$1,Inputs!$B$40,0)*(1+inf)^B$1*ProRate</f>
        <v>750</v>
      </c>
      <c r="D40" s="7">
        <f>IF(Inputs!$B$41&gt;=D$1,Inputs!$B$40,0)*(1+inf)^C$1</f>
        <v>1025</v>
      </c>
      <c r="E40" s="7">
        <f>IF(Inputs!$B$41&gt;=E$1,Inputs!$B$40,0)*(1+inf)^D$1</f>
        <v>1050.625</v>
      </c>
      <c r="F40" s="7">
        <f>IF(Inputs!$B$41&gt;=F$1,Inputs!$B$40,0)*(1+inf)^E$1</f>
        <v>1076.8906249999998</v>
      </c>
      <c r="G40" s="7">
        <f>IF(Inputs!$B$41&gt;=G$1,Inputs!$B$40,0)*(1+inf)^F$1</f>
        <v>1103.8128906249997</v>
      </c>
      <c r="H40" s="7">
        <f>IF(Inputs!$B$41&gt;=H$1,Inputs!$B$40,0)*(1+inf)^G$1</f>
        <v>0</v>
      </c>
      <c r="I40" s="7">
        <f>IF(Inputs!$B$41&gt;=I$1,Inputs!$B$40,0)*(1+inf)^H$1</f>
        <v>0</v>
      </c>
      <c r="J40" s="7">
        <f>IF(Inputs!$B$41&gt;=J$1,Inputs!$B$40,0)*(1+inf)^I$1</f>
        <v>0</v>
      </c>
      <c r="K40" s="7">
        <f>IF(Inputs!$B$41&gt;=K$1,Inputs!$B$40,0)*(1+inf)^J$1</f>
        <v>0</v>
      </c>
      <c r="L40" s="7">
        <f>IF(Inputs!$B$41&gt;=L$1,Inputs!$B$40,0)*(1+inf)^K$1</f>
        <v>0</v>
      </c>
      <c r="M40" s="7">
        <f>IF(Inputs!$B$41&gt;=M$1,Inputs!$B$40,0)*(1+inf)^L$1</f>
        <v>0</v>
      </c>
      <c r="N40" s="7">
        <f>IF(Inputs!$B$41&gt;=N$1,Inputs!$B$40,0)*(1+inf)^M$1</f>
        <v>0</v>
      </c>
      <c r="O40" s="7">
        <f>IF(Inputs!$B$41&gt;=O$1,Inputs!$B$40,0)*(1+inf)^N$1</f>
        <v>0</v>
      </c>
      <c r="P40" s="7">
        <f>IF(Inputs!$B$41&gt;=P$1,Inputs!$B$40,0)*(1+inf)^O$1</f>
        <v>0</v>
      </c>
      <c r="Q40" s="7">
        <f>IF(Inputs!$B$41&gt;=Q$1,Inputs!$B$40,0)*(1+inf)^P$1</f>
        <v>0</v>
      </c>
      <c r="R40" s="7">
        <f>IF(Inputs!$B$41&gt;=R$1,Inputs!$B$40,0)*(1+inf)^Q$1</f>
        <v>0</v>
      </c>
      <c r="S40" s="7">
        <f>IF(Inputs!$B$41&gt;=S$1,Inputs!$B$40,0)*(1+inf)^R$1</f>
        <v>0</v>
      </c>
      <c r="T40" s="7">
        <f>IF(Inputs!$B$41&gt;=T$1,Inputs!$B$40,0)*(1+inf)^S$1</f>
        <v>0</v>
      </c>
      <c r="U40" s="7">
        <f>IF(Inputs!$B$41&gt;=U$1,Inputs!$B$40,0)*(1+inf)^T$1</f>
        <v>0</v>
      </c>
      <c r="V40" s="7">
        <f>IF(Inputs!$B$41&gt;=V$1,Inputs!$B$40,0)*(1+inf)^U$1</f>
        <v>0</v>
      </c>
      <c r="W40" s="7">
        <f>IF(Inputs!$B$41&gt;=W$1,Inputs!$B$40,0)*(1+inf)^V$1</f>
        <v>0</v>
      </c>
      <c r="X40" s="7">
        <f>IF(Inputs!$B$41&gt;=X$1,Inputs!$B$40,0)*(1+inf)^W$1</f>
        <v>0</v>
      </c>
      <c r="Y40" s="7">
        <f>IF(Inputs!$B$41&gt;=Y$1,Inputs!$B$40,0)*(1+inf)^X$1</f>
        <v>0</v>
      </c>
      <c r="Z40" s="7">
        <f>IF(Inputs!$B$41&gt;=Z$1,Inputs!$B$40,0)*(1+inf)^Y$1</f>
        <v>0</v>
      </c>
      <c r="AA40" s="7">
        <f>IF(Inputs!$B$41&gt;=AA$1,Inputs!$B$40,0)*(1+inf)^Z$1</f>
        <v>0</v>
      </c>
      <c r="AB40" s="7">
        <f>IF(Inputs!$B$41&gt;=AB$1,Inputs!$B$40,0)*(1+inf)^AA$1</f>
        <v>0</v>
      </c>
      <c r="AC40" s="7">
        <f>IF(Inputs!$B$41&gt;=AC$1,Inputs!$B$40,0)*(1+inf)^AB$1</f>
        <v>0</v>
      </c>
      <c r="AD40" s="7">
        <f>IF(Inputs!$B$41&gt;=AD$1,Inputs!$B$40,0)*(1+inf)^AC$1</f>
        <v>0</v>
      </c>
      <c r="AE40" s="7">
        <f>IF(Inputs!$B$41&gt;=AE$1,Inputs!$B$40,0)*(1+inf)^AD$1</f>
        <v>0</v>
      </c>
      <c r="AF40" s="7">
        <f>IF(Inputs!$B$41&gt;=AF$1,Inputs!$B$40,0)*(1+inf)^AE$1</f>
        <v>0</v>
      </c>
      <c r="AG40" s="7">
        <f>IF(Inputs!$B$41&gt;=AG$1,Inputs!$B$40,0)*(1+inf)^AF$1</f>
        <v>0</v>
      </c>
      <c r="AH40" s="7">
        <f>IF(Inputs!$B$41&gt;=AH$1,Inputs!$B$40,0)*(1+inf)^AG$1</f>
        <v>0</v>
      </c>
      <c r="AI40" s="7">
        <f>IF(Inputs!$B$41&gt;=AI$1,Inputs!$B$40,0)*(1+inf)^AH$1</f>
        <v>0</v>
      </c>
      <c r="AJ40" s="7">
        <f>IF(Inputs!$B$41&gt;=AJ$1,Inputs!$B$40,0)*(1+inf)^AI$1</f>
        <v>0</v>
      </c>
      <c r="AK40" s="7">
        <f>IF(Inputs!$B$41&gt;=AK$1,Inputs!$B$40,0)*(1+inf)^AJ$1</f>
        <v>0</v>
      </c>
      <c r="AL40" s="7">
        <f>IF(Inputs!$B$41&gt;=AL$1,Inputs!$B$40,0)*(1+inf)^AK$1</f>
        <v>0</v>
      </c>
      <c r="AM40" s="7">
        <f>IF(Inputs!$B$41&gt;=AM$1,Inputs!$B$40,0)*(1+inf)^AL$1</f>
        <v>0</v>
      </c>
    </row>
    <row r="41" spans="1:39" x14ac:dyDescent="0.2">
      <c r="A41" s="3" t="str">
        <f>TEXT(Inputs!B44,"")</f>
        <v>Bill</v>
      </c>
      <c r="B41" s="8"/>
      <c r="C41" s="7">
        <f ca="1">IF(Inputs!$B$46&gt;=C$1,Inputs!$B$45,0)*(1+inf)^B$1*ProRate</f>
        <v>3000</v>
      </c>
      <c r="D41" s="7">
        <f>IF(Inputs!$B$46&gt;=D$1,Inputs!$B$45,0)*(1+inf)^C$1</f>
        <v>4100</v>
      </c>
      <c r="E41" s="7">
        <f>IF(Inputs!$B$46&gt;=E$1,Inputs!$B$45,0)*(1+inf)^D$1</f>
        <v>0</v>
      </c>
      <c r="F41" s="7">
        <f>IF(Inputs!$B$46&gt;=F$1,Inputs!$B$45,0)*(1+inf)^E$1</f>
        <v>0</v>
      </c>
      <c r="G41" s="7">
        <f>IF(Inputs!$B$46&gt;=G$1,Inputs!$B$45,0)*(1+inf)^F$1</f>
        <v>0</v>
      </c>
      <c r="H41" s="7">
        <f>IF(Inputs!$B$46&gt;=H$1,Inputs!$B$45,0)*(1+inf)^G$1</f>
        <v>0</v>
      </c>
      <c r="I41" s="7">
        <f>IF(Inputs!$B$46&gt;=I$1,Inputs!$B$45,0)*(1+inf)^H$1</f>
        <v>0</v>
      </c>
      <c r="J41" s="7">
        <f>IF(Inputs!$B$46&gt;=J$1,Inputs!$B$45,0)*(1+inf)^I$1</f>
        <v>0</v>
      </c>
      <c r="K41" s="7">
        <f>IF(Inputs!$B$46&gt;=K$1,Inputs!$B$45,0)*(1+inf)^J$1</f>
        <v>0</v>
      </c>
      <c r="L41" s="7">
        <f>IF(Inputs!$B$46&gt;=L$1,Inputs!$B$45,0)*(1+inf)^K$1</f>
        <v>0</v>
      </c>
      <c r="M41" s="7">
        <f>IF(Inputs!$B$46&gt;=M$1,Inputs!$B$45,0)*(1+inf)^L$1</f>
        <v>0</v>
      </c>
      <c r="N41" s="7">
        <f>IF(Inputs!$B$46&gt;=N$1,Inputs!$B$45,0)*(1+inf)^M$1</f>
        <v>0</v>
      </c>
      <c r="O41" s="7">
        <f>IF(Inputs!$B$46&gt;=O$1,Inputs!$B$45,0)*(1+inf)^N$1</f>
        <v>0</v>
      </c>
      <c r="P41" s="7">
        <f>IF(Inputs!$B$46&gt;=P$1,Inputs!$B$45,0)*(1+inf)^O$1</f>
        <v>0</v>
      </c>
      <c r="Q41" s="7">
        <f>IF(Inputs!$B$46&gt;=Q$1,Inputs!$B$45,0)*(1+inf)^P$1</f>
        <v>0</v>
      </c>
      <c r="R41" s="7">
        <f>IF(Inputs!$B$46&gt;=R$1,Inputs!$B$45,0)*(1+inf)^Q$1</f>
        <v>0</v>
      </c>
      <c r="S41" s="7">
        <f>IF(Inputs!$B$46&gt;=S$1,Inputs!$B$45,0)*(1+inf)^R$1</f>
        <v>0</v>
      </c>
      <c r="T41" s="7">
        <f>IF(Inputs!$B$46&gt;=T$1,Inputs!$B$45,0)*(1+inf)^S$1</f>
        <v>0</v>
      </c>
      <c r="U41" s="7">
        <f>IF(Inputs!$B$46&gt;=U$1,Inputs!$B$45,0)*(1+inf)^T$1</f>
        <v>0</v>
      </c>
      <c r="V41" s="7">
        <f>IF(Inputs!$B$46&gt;=V$1,Inputs!$B$45,0)*(1+inf)^U$1</f>
        <v>0</v>
      </c>
      <c r="W41" s="7">
        <f>IF(Inputs!$B$46&gt;=W$1,Inputs!$B$45,0)*(1+inf)^V$1</f>
        <v>0</v>
      </c>
      <c r="X41" s="7">
        <f>IF(Inputs!$B$46&gt;=X$1,Inputs!$B$45,0)*(1+inf)^W$1</f>
        <v>0</v>
      </c>
      <c r="Y41" s="7">
        <f>IF(Inputs!$B$46&gt;=Y$1,Inputs!$B$45,0)*(1+inf)^X$1</f>
        <v>0</v>
      </c>
      <c r="Z41" s="7">
        <f>IF(Inputs!$B$46&gt;=Z$1,Inputs!$B$45,0)*(1+inf)^Y$1</f>
        <v>0</v>
      </c>
      <c r="AA41" s="7">
        <f>IF(Inputs!$B$46&gt;=AA$1,Inputs!$B$45,0)*(1+inf)^Z$1</f>
        <v>0</v>
      </c>
      <c r="AB41" s="7">
        <f>IF(Inputs!$B$46&gt;=AB$1,Inputs!$B$45,0)*(1+inf)^AA$1</f>
        <v>0</v>
      </c>
      <c r="AC41" s="7">
        <f>IF(Inputs!$B$46&gt;=AC$1,Inputs!$B$45,0)*(1+inf)^AB$1</f>
        <v>0</v>
      </c>
      <c r="AD41" s="7">
        <f>IF(Inputs!$B$46&gt;=AD$1,Inputs!$B$45,0)*(1+inf)^AC$1</f>
        <v>0</v>
      </c>
      <c r="AE41" s="7">
        <f>IF(Inputs!$B$46&gt;=AE$1,Inputs!$B$45,0)*(1+inf)^AD$1</f>
        <v>0</v>
      </c>
      <c r="AF41" s="7">
        <f>IF(Inputs!$B$46&gt;=AF$1,Inputs!$B$45,0)*(1+inf)^AE$1</f>
        <v>0</v>
      </c>
      <c r="AG41" s="7">
        <f>IF(Inputs!$B$46&gt;=AG$1,Inputs!$B$45,0)*(1+inf)^AF$1</f>
        <v>0</v>
      </c>
      <c r="AH41" s="7">
        <f>IF(Inputs!$B$46&gt;=AH$1,Inputs!$B$45,0)*(1+inf)^AG$1</f>
        <v>0</v>
      </c>
      <c r="AI41" s="7">
        <f>IF(Inputs!$B$46&gt;=AI$1,Inputs!$B$45,0)*(1+inf)^AH$1</f>
        <v>0</v>
      </c>
      <c r="AJ41" s="7">
        <f>IF(Inputs!$B$46&gt;=AJ$1,Inputs!$B$45,0)*(1+inf)^AI$1</f>
        <v>0</v>
      </c>
      <c r="AK41" s="7">
        <f>IF(Inputs!$B$46&gt;=AK$1,Inputs!$B$45,0)*(1+inf)^AJ$1</f>
        <v>0</v>
      </c>
      <c r="AL41" s="7">
        <f>IF(Inputs!$B$46&gt;=AL$1,Inputs!$B$45,0)*(1+inf)^AK$1</f>
        <v>0</v>
      </c>
      <c r="AM41" s="7">
        <f>IF(Inputs!$B$46&gt;=AM$1,Inputs!$B$45,0)*(1+inf)^AL$1</f>
        <v>0</v>
      </c>
    </row>
    <row r="42" spans="1:39" x14ac:dyDescent="0.2">
      <c r="A42" s="3" t="str">
        <f>TEXT(Inputs!B49,"")</f>
        <v>Stephen</v>
      </c>
      <c r="B42" s="8"/>
      <c r="C42" s="7">
        <f ca="1">IF(Inputs!$B$51&gt;=C$1,Inputs!$B$50,0)*(1+inf)^B$1*ProRate</f>
        <v>1875</v>
      </c>
      <c r="D42" s="7">
        <f>IF(Inputs!$B$51&gt;=D$1,Inputs!$B$50,0)*(1+inf)^C$1</f>
        <v>2562.5</v>
      </c>
      <c r="E42" s="7">
        <f>IF(Inputs!$B$51&gt;=E$1,Inputs!$B$50,0)*(1+inf)^D$1</f>
        <v>2626.5625</v>
      </c>
      <c r="F42" s="7">
        <f>IF(Inputs!$B$51&gt;=F$1,Inputs!$B$50,0)*(1+inf)^E$1</f>
        <v>0</v>
      </c>
      <c r="G42" s="7">
        <f>IF(Inputs!$B$51&gt;=G$1,Inputs!$B$50,0)*(1+inf)^F$1</f>
        <v>0</v>
      </c>
      <c r="H42" s="7">
        <f>IF(Inputs!$B$51&gt;=H$1,Inputs!$B$50,0)*(1+inf)^G$1</f>
        <v>0</v>
      </c>
      <c r="I42" s="7">
        <f>IF(Inputs!$B$51&gt;=I$1,Inputs!$B$50,0)*(1+inf)^H$1</f>
        <v>0</v>
      </c>
      <c r="J42" s="7">
        <f>IF(Inputs!$B$51&gt;=J$1,Inputs!$B$50,0)*(1+inf)^I$1</f>
        <v>0</v>
      </c>
      <c r="K42" s="7">
        <f>IF(Inputs!$B$51&gt;=K$1,Inputs!$B$50,0)*(1+inf)^J$1</f>
        <v>0</v>
      </c>
      <c r="L42" s="7">
        <f>IF(Inputs!$B$51&gt;=L$1,Inputs!$B$50,0)*(1+inf)^K$1</f>
        <v>0</v>
      </c>
      <c r="M42" s="7">
        <f>IF(Inputs!$B$51&gt;=M$1,Inputs!$B$50,0)*(1+inf)^L$1</f>
        <v>0</v>
      </c>
      <c r="N42" s="7">
        <f>IF(Inputs!$B$51&gt;=N$1,Inputs!$B$50,0)*(1+inf)^M$1</f>
        <v>0</v>
      </c>
      <c r="O42" s="7">
        <f>IF(Inputs!$B$51&gt;=O$1,Inputs!$B$50,0)*(1+inf)^N$1</f>
        <v>0</v>
      </c>
      <c r="P42" s="7">
        <f>IF(Inputs!$B$51&gt;=P$1,Inputs!$B$50,0)*(1+inf)^O$1</f>
        <v>0</v>
      </c>
      <c r="Q42" s="7">
        <f>IF(Inputs!$B$51&gt;=Q$1,Inputs!$B$50,0)*(1+inf)^P$1</f>
        <v>0</v>
      </c>
      <c r="R42" s="7">
        <f>IF(Inputs!$B$51&gt;=R$1,Inputs!$B$50,0)*(1+inf)^Q$1</f>
        <v>0</v>
      </c>
      <c r="S42" s="7">
        <f>IF(Inputs!$B$51&gt;=S$1,Inputs!$B$50,0)*(1+inf)^R$1</f>
        <v>0</v>
      </c>
      <c r="T42" s="7">
        <f>IF(Inputs!$B$51&gt;=T$1,Inputs!$B$50,0)*(1+inf)^S$1</f>
        <v>0</v>
      </c>
      <c r="U42" s="7">
        <f>IF(Inputs!$B$51&gt;=U$1,Inputs!$B$50,0)*(1+inf)^T$1</f>
        <v>0</v>
      </c>
      <c r="V42" s="7">
        <f>IF(Inputs!$B$51&gt;=V$1,Inputs!$B$50,0)*(1+inf)^U$1</f>
        <v>0</v>
      </c>
      <c r="W42" s="7">
        <f>IF(Inputs!$B$51&gt;=W$1,Inputs!$B$50,0)*(1+inf)^V$1</f>
        <v>0</v>
      </c>
      <c r="X42" s="7">
        <f>IF(Inputs!$B$51&gt;=X$1,Inputs!$B$50,0)*(1+inf)^W$1</f>
        <v>0</v>
      </c>
      <c r="Y42" s="7">
        <f>IF(Inputs!$B$51&gt;=Y$1,Inputs!$B$50,0)*(1+inf)^X$1</f>
        <v>0</v>
      </c>
      <c r="Z42" s="7">
        <f>IF(Inputs!$B$51&gt;=Z$1,Inputs!$B$50,0)*(1+inf)^Y$1</f>
        <v>0</v>
      </c>
      <c r="AA42" s="7">
        <f>IF(Inputs!$B$51&gt;=AA$1,Inputs!$B$50,0)*(1+inf)^Z$1</f>
        <v>0</v>
      </c>
      <c r="AB42" s="7">
        <f>IF(Inputs!$B$51&gt;=AB$1,Inputs!$B$50,0)*(1+inf)^AA$1</f>
        <v>0</v>
      </c>
      <c r="AC42" s="7">
        <f>IF(Inputs!$B$51&gt;=AC$1,Inputs!$B$50,0)*(1+inf)^AB$1</f>
        <v>0</v>
      </c>
      <c r="AD42" s="7">
        <f>IF(Inputs!$B$51&gt;=AD$1,Inputs!$B$50,0)*(1+inf)^AC$1</f>
        <v>0</v>
      </c>
      <c r="AE42" s="7">
        <f>IF(Inputs!$B$51&gt;=AE$1,Inputs!$B$50,0)*(1+inf)^AD$1</f>
        <v>0</v>
      </c>
      <c r="AF42" s="7">
        <f>IF(Inputs!$B$51&gt;=AF$1,Inputs!$B$50,0)*(1+inf)^AE$1</f>
        <v>0</v>
      </c>
      <c r="AG42" s="7">
        <f>IF(Inputs!$B$51&gt;=AG$1,Inputs!$B$50,0)*(1+inf)^AF$1</f>
        <v>0</v>
      </c>
      <c r="AH42" s="7">
        <f>IF(Inputs!$B$51&gt;=AH$1,Inputs!$B$50,0)*(1+inf)^AG$1</f>
        <v>0</v>
      </c>
      <c r="AI42" s="7">
        <f>IF(Inputs!$B$51&gt;=AI$1,Inputs!$B$50,0)*(1+inf)^AH$1</f>
        <v>0</v>
      </c>
      <c r="AJ42" s="7">
        <f>IF(Inputs!$B$51&gt;=AJ$1,Inputs!$B$50,0)*(1+inf)^AI$1</f>
        <v>0</v>
      </c>
      <c r="AK42" s="7">
        <f>IF(Inputs!$B$51&gt;=AK$1,Inputs!$B$50,0)*(1+inf)^AJ$1</f>
        <v>0</v>
      </c>
      <c r="AL42" s="7">
        <f>IF(Inputs!$B$51&gt;=AL$1,Inputs!$B$50,0)*(1+inf)^AK$1</f>
        <v>0</v>
      </c>
      <c r="AM42" s="7">
        <f>IF(Inputs!$B$51&gt;=AM$1,Inputs!$B$50,0)*(1+inf)^AL$1</f>
        <v>0</v>
      </c>
    </row>
    <row r="43" spans="1:39" x14ac:dyDescent="0.2">
      <c r="A43" s="3" t="str">
        <f>TEXT(Inputs!B54,"")</f>
        <v>Jane</v>
      </c>
      <c r="B43" s="8"/>
      <c r="C43" s="7">
        <f ca="1">IF(Inputs!$B$56&gt;=C$1,Inputs!$B$55,0)*(1+inf)^B$1*ProRate</f>
        <v>2145</v>
      </c>
      <c r="D43" s="7">
        <f>IF(Inputs!$B$56&gt;=D$1,Inputs!$B$55,0)*(1+inf)^C$1</f>
        <v>2931.4999999999995</v>
      </c>
      <c r="E43" s="7">
        <f>IF(Inputs!$B$56&gt;=E$1,Inputs!$B$55,0)*(1+inf)^D$1</f>
        <v>3004.7874999999999</v>
      </c>
      <c r="F43" s="7">
        <f>IF(Inputs!$B$56&gt;=F$1,Inputs!$B$55,0)*(1+inf)^E$1</f>
        <v>3079.9071874999995</v>
      </c>
      <c r="G43" s="7">
        <f>IF(Inputs!$B$56&gt;=G$1,Inputs!$B$55,0)*(1+inf)^F$1</f>
        <v>3156.9048671874993</v>
      </c>
      <c r="H43" s="7">
        <f>IF(Inputs!$B$56&gt;=H$1,Inputs!$B$55,0)*(1+inf)^G$1</f>
        <v>3235.8274888671867</v>
      </c>
      <c r="I43" s="7">
        <f>IF(Inputs!$B$56&gt;=I$1,Inputs!$B$55,0)*(1+inf)^H$1</f>
        <v>0</v>
      </c>
      <c r="J43" s="7">
        <f>IF(Inputs!$B$56&gt;=J$1,Inputs!$B$55,0)*(1+inf)^I$1</f>
        <v>0</v>
      </c>
      <c r="K43" s="7">
        <f>IF(Inputs!$B$56&gt;=K$1,Inputs!$B$55,0)*(1+inf)^J$1</f>
        <v>0</v>
      </c>
      <c r="L43" s="7">
        <f>IF(Inputs!$B$56&gt;=L$1,Inputs!$B$55,0)*(1+inf)^K$1</f>
        <v>0</v>
      </c>
      <c r="M43" s="7">
        <f>IF(Inputs!$B$56&gt;=M$1,Inputs!$B$55,0)*(1+inf)^L$1</f>
        <v>0</v>
      </c>
      <c r="N43" s="7">
        <f>IF(Inputs!$B$56&gt;=N$1,Inputs!$B$55,0)*(1+inf)^M$1</f>
        <v>0</v>
      </c>
      <c r="O43" s="7">
        <f>IF(Inputs!$B$56&gt;=O$1,Inputs!$B$55,0)*(1+inf)^N$1</f>
        <v>0</v>
      </c>
      <c r="P43" s="7">
        <f>IF(Inputs!$B$56&gt;=P$1,Inputs!$B$55,0)*(1+inf)^O$1</f>
        <v>0</v>
      </c>
      <c r="Q43" s="7">
        <f>IF(Inputs!$B$56&gt;=Q$1,Inputs!$B$55,0)*(1+inf)^P$1</f>
        <v>0</v>
      </c>
      <c r="R43" s="7">
        <f>IF(Inputs!$B$56&gt;=R$1,Inputs!$B$55,0)*(1+inf)^Q$1</f>
        <v>0</v>
      </c>
      <c r="S43" s="7">
        <f>IF(Inputs!$B$56&gt;=S$1,Inputs!$B$55,0)*(1+inf)^R$1</f>
        <v>0</v>
      </c>
      <c r="T43" s="7">
        <f>IF(Inputs!$B$56&gt;=T$1,Inputs!$B$55,0)*(1+inf)^S$1</f>
        <v>0</v>
      </c>
      <c r="U43" s="7">
        <f>IF(Inputs!$B$56&gt;=U$1,Inputs!$B$55,0)*(1+inf)^T$1</f>
        <v>0</v>
      </c>
      <c r="V43" s="7">
        <f>IF(Inputs!$B$56&gt;=V$1,Inputs!$B$55,0)*(1+inf)^U$1</f>
        <v>0</v>
      </c>
      <c r="W43" s="7">
        <f>IF(Inputs!$B$56&gt;=W$1,Inputs!$B$55,0)*(1+inf)^V$1</f>
        <v>0</v>
      </c>
      <c r="X43" s="7">
        <f>IF(Inputs!$B$56&gt;=X$1,Inputs!$B$55,0)*(1+inf)^W$1</f>
        <v>0</v>
      </c>
      <c r="Y43" s="7">
        <f>IF(Inputs!$B$56&gt;=Y$1,Inputs!$B$55,0)*(1+inf)^X$1</f>
        <v>0</v>
      </c>
      <c r="Z43" s="7">
        <f>IF(Inputs!$B$56&gt;=Z$1,Inputs!$B$55,0)*(1+inf)^Y$1</f>
        <v>0</v>
      </c>
      <c r="AA43" s="7">
        <f>IF(Inputs!$B$56&gt;=AA$1,Inputs!$B$55,0)*(1+inf)^Z$1</f>
        <v>0</v>
      </c>
      <c r="AB43" s="7">
        <f>IF(Inputs!$B$56&gt;=AB$1,Inputs!$B$55,0)*(1+inf)^AA$1</f>
        <v>0</v>
      </c>
      <c r="AC43" s="7">
        <f>IF(Inputs!$B$56&gt;=AC$1,Inputs!$B$55,0)*(1+inf)^AB$1</f>
        <v>0</v>
      </c>
      <c r="AD43" s="7">
        <f>IF(Inputs!$B$56&gt;=AD$1,Inputs!$B$55,0)*(1+inf)^AC$1</f>
        <v>0</v>
      </c>
      <c r="AE43" s="7">
        <f>IF(Inputs!$B$56&gt;=AE$1,Inputs!$B$55,0)*(1+inf)^AD$1</f>
        <v>0</v>
      </c>
      <c r="AF43" s="7">
        <f>IF(Inputs!$B$56&gt;=AF$1,Inputs!$B$55,0)*(1+inf)^AE$1</f>
        <v>0</v>
      </c>
      <c r="AG43" s="7">
        <f>IF(Inputs!$B$56&gt;=AG$1,Inputs!$B$55,0)*(1+inf)^AF$1</f>
        <v>0</v>
      </c>
      <c r="AH43" s="7">
        <f>IF(Inputs!$B$56&gt;=AH$1,Inputs!$B$55,0)*(1+inf)^AG$1</f>
        <v>0</v>
      </c>
      <c r="AI43" s="7">
        <f>IF(Inputs!$B$56&gt;=AI$1,Inputs!$B$55,0)*(1+inf)^AH$1</f>
        <v>0</v>
      </c>
      <c r="AJ43" s="7">
        <f>IF(Inputs!$B$56&gt;=AJ$1,Inputs!$B$55,0)*(1+inf)^AI$1</f>
        <v>0</v>
      </c>
      <c r="AK43" s="7">
        <f>IF(Inputs!$B$56&gt;=AK$1,Inputs!$B$55,0)*(1+inf)^AJ$1</f>
        <v>0</v>
      </c>
      <c r="AL43" s="7">
        <f>IF(Inputs!$B$56&gt;=AL$1,Inputs!$B$55,0)*(1+inf)^AK$1</f>
        <v>0</v>
      </c>
      <c r="AM43" s="7">
        <f>IF(Inputs!$B$56&gt;=AM$1,Inputs!$B$55,0)*(1+inf)^AL$1</f>
        <v>0</v>
      </c>
    </row>
    <row r="44" spans="1:39" x14ac:dyDescent="0.2">
      <c r="A44" s="4" t="s">
        <v>221</v>
      </c>
      <c r="B44" s="8"/>
      <c r="C44" s="7">
        <f ca="1">IF(AND(Inputs!$B$218&lt;&gt;"",C$2&gt;=Inputs!$B$218),IF(OR(Inputs!$B$13&lt;=0,UPPER(Inputs!$B$220)="RENT"),Inputs!$B$224*12*(1+inf)^B$1*IF(B$1=0,ProRate,1),0),Inputs!$B$24*12*(1+inf)^B$1*IF(B$1=0,ProRate,1))</f>
        <v>0</v>
      </c>
      <c r="D44" s="7">
        <f ca="1">IF(AND(Inputs!$B$218&lt;&gt;"",D$2&gt;=Inputs!$B$218),IF(OR(Inputs!$B$13&lt;=0,UPPER(Inputs!$B$220)="RENT"),Inputs!$B$224*12*(1+inf)^C$1*IF(C$1=0,ProRate,1),0),Inputs!$B$24*12*(1+inf)^C$1*IF(C$1=0,ProRate,1))</f>
        <v>0</v>
      </c>
      <c r="E44" s="7">
        <f ca="1">IF(AND(Inputs!$B$218&lt;&gt;"",E$2&gt;=Inputs!$B$218),IF(OR(Inputs!$B$13&lt;=0,UPPER(Inputs!$B$220)="RENT"),Inputs!$B$224*12*(1+inf)^D$1*IF(D$1=0,ProRate,1),0),Inputs!$B$24*12*(1+inf)^D$1*IF(D$1=0,ProRate,1))</f>
        <v>0</v>
      </c>
      <c r="F44" s="7">
        <f ca="1">IF(AND(Inputs!$B$218&lt;&gt;"",F$2&gt;=Inputs!$B$218),IF(OR(Inputs!$B$13&lt;=0,UPPER(Inputs!$B$220)="RENT"),Inputs!$B$224*12*(1+inf)^E$1*IF(E$1=0,ProRate,1),0),Inputs!$B$24*12*(1+inf)^E$1*IF(E$1=0,ProRate,1))</f>
        <v>0</v>
      </c>
      <c r="G44" s="7">
        <f ca="1">IF(AND(Inputs!$B$218&lt;&gt;"",G$2&gt;=Inputs!$B$218),IF(OR(Inputs!$B$13&lt;=0,UPPER(Inputs!$B$220)="RENT"),Inputs!$B$224*12*(1+inf)^F$1*IF(F$1=0,ProRate,1),0),Inputs!$B$24*12*(1+inf)^F$1*IF(F$1=0,ProRate,1))</f>
        <v>0</v>
      </c>
      <c r="H44" s="7">
        <f ca="1">IF(AND(Inputs!$B$218&lt;&gt;"",H$2&gt;=Inputs!$B$218),IF(OR(Inputs!$B$13&lt;=0,UPPER(Inputs!$B$220)="RENT"),Inputs!$B$224*12*(1+inf)^G$1*IF(G$1=0,ProRate,1),0),Inputs!$B$24*12*(1+inf)^G$1*IF(G$1=0,ProRate,1))</f>
        <v>0</v>
      </c>
      <c r="I44" s="7">
        <f ca="1">IF(AND(Inputs!$B$218&lt;&gt;"",I$2&gt;=Inputs!$B$218),IF(OR(Inputs!$B$13&lt;=0,UPPER(Inputs!$B$220)="RENT"),Inputs!$B$224*12*(1+inf)^H$1*IF(H$1=0,ProRate,1),0),Inputs!$B$24*12*(1+inf)^H$1*IF(H$1=0,ProRate,1))</f>
        <v>0</v>
      </c>
      <c r="J44" s="7">
        <f ca="1">IF(AND(Inputs!$B$218&lt;&gt;"",J$2&gt;=Inputs!$B$218),IF(OR(Inputs!$B$13&lt;=0,UPPER(Inputs!$B$220)="RENT"),Inputs!$B$224*12*(1+inf)^I$1*IF(I$1=0,ProRate,1),0),Inputs!$B$24*12*(1+inf)^I$1*IF(I$1=0,ProRate,1))</f>
        <v>0</v>
      </c>
      <c r="K44" s="7">
        <f ca="1">IF(AND(Inputs!$B$218&lt;&gt;"",K$2&gt;=Inputs!$B$218),IF(OR(Inputs!$B$13&lt;=0,UPPER(Inputs!$B$220)="RENT"),Inputs!$B$224*12*(1+inf)^J$1*IF(J$1=0,ProRate,1),0),Inputs!$B$24*12*(1+inf)^J$1*IF(J$1=0,ProRate,1))</f>
        <v>0</v>
      </c>
      <c r="L44" s="7">
        <f ca="1">IF(AND(Inputs!$B$218&lt;&gt;"",L$2&gt;=Inputs!$B$218),IF(OR(Inputs!$B$13&lt;=0,UPPER(Inputs!$B$220)="RENT"),Inputs!$B$224*12*(1+inf)^K$1*IF(K$1=0,ProRate,1),0),Inputs!$B$24*12*(1+inf)^K$1*IF(K$1=0,ProRate,1))</f>
        <v>0</v>
      </c>
      <c r="M44" s="7">
        <f ca="1">IF(AND(Inputs!$B$218&lt;&gt;"",M$2&gt;=Inputs!$B$218),IF(OR(Inputs!$B$13&lt;=0,UPPER(Inputs!$B$220)="RENT"),Inputs!$B$224*12*(1+inf)^L$1*IF(L$1=0,ProRate,1),0),Inputs!$B$24*12*(1+inf)^L$1*IF(L$1=0,ProRate,1))</f>
        <v>0</v>
      </c>
      <c r="N44" s="7">
        <f ca="1">IF(AND(Inputs!$B$218&lt;&gt;"",N$2&gt;=Inputs!$B$218),IF(OR(Inputs!$B$13&lt;=0,UPPER(Inputs!$B$220)="RENT"),Inputs!$B$224*12*(1+inf)^M$1*IF(M$1=0,ProRate,1),0),Inputs!$B$24*12*(1+inf)^M$1*IF(M$1=0,ProRate,1))</f>
        <v>0</v>
      </c>
      <c r="O44" s="7">
        <f ca="1">IF(AND(Inputs!$B$218&lt;&gt;"",O$2&gt;=Inputs!$B$218),IF(OR(Inputs!$B$13&lt;=0,UPPER(Inputs!$B$220)="RENT"),Inputs!$B$224*12*(1+inf)^N$1*IF(N$1=0,ProRate,1),0),Inputs!$B$24*12*(1+inf)^N$1*IF(N$1=0,ProRate,1))</f>
        <v>0</v>
      </c>
      <c r="P44" s="7">
        <f ca="1">IF(AND(Inputs!$B$218&lt;&gt;"",P$2&gt;=Inputs!$B$218),IF(OR(Inputs!$B$13&lt;=0,UPPER(Inputs!$B$220)="RENT"),Inputs!$B$224*12*(1+inf)^O$1*IF(O$1=0,ProRate,1),0),Inputs!$B$24*12*(1+inf)^O$1*IF(O$1=0,ProRate,1))</f>
        <v>0</v>
      </c>
      <c r="Q44" s="7">
        <f ca="1">IF(AND(Inputs!$B$218&lt;&gt;"",Q$2&gt;=Inputs!$B$218),IF(OR(Inputs!$B$13&lt;=0,UPPER(Inputs!$B$220)="RENT"),Inputs!$B$224*12*(1+inf)^P$1*IF(P$1=0,ProRate,1),0),Inputs!$B$24*12*(1+inf)^P$1*IF(P$1=0,ProRate,1))</f>
        <v>0</v>
      </c>
      <c r="R44" s="7">
        <f ca="1">IF(AND(Inputs!$B$218&lt;&gt;"",R$2&gt;=Inputs!$B$218),IF(OR(Inputs!$B$13&lt;=0,UPPER(Inputs!$B$220)="RENT"),Inputs!$B$224*12*(1+inf)^Q$1*IF(Q$1=0,ProRate,1),0),Inputs!$B$24*12*(1+inf)^Q$1*IF(Q$1=0,ProRate,1))</f>
        <v>0</v>
      </c>
      <c r="S44" s="7">
        <f ca="1">IF(AND(Inputs!$B$218&lt;&gt;"",S$2&gt;=Inputs!$B$218),IF(OR(Inputs!$B$13&lt;=0,UPPER(Inputs!$B$220)="RENT"),Inputs!$B$224*12*(1+inf)^R$1*IF(R$1=0,ProRate,1),0),Inputs!$B$24*12*(1+inf)^R$1*IF(R$1=0,ProRate,1))</f>
        <v>0</v>
      </c>
      <c r="T44" s="7">
        <f ca="1">IF(AND(Inputs!$B$218&lt;&gt;"",T$2&gt;=Inputs!$B$218),IF(OR(Inputs!$B$13&lt;=0,UPPER(Inputs!$B$220)="RENT"),Inputs!$B$224*12*(1+inf)^S$1*IF(S$1=0,ProRate,1),0),Inputs!$B$24*12*(1+inf)^S$1*IF(S$1=0,ProRate,1))</f>
        <v>0</v>
      </c>
      <c r="U44" s="7">
        <f ca="1">IF(AND(Inputs!$B$218&lt;&gt;"",U$2&gt;=Inputs!$B$218),IF(OR(Inputs!$B$13&lt;=0,UPPER(Inputs!$B$220)="RENT"),Inputs!$B$224*12*(1+inf)^T$1*IF(T$1=0,ProRate,1),0),Inputs!$B$24*12*(1+inf)^T$1*IF(T$1=0,ProRate,1))</f>
        <v>0</v>
      </c>
      <c r="V44" s="7">
        <f ca="1">IF(AND(Inputs!$B$218&lt;&gt;"",V$2&gt;=Inputs!$B$218),IF(OR(Inputs!$B$13&lt;=0,UPPER(Inputs!$B$220)="RENT"),Inputs!$B$224*12*(1+inf)^U$1*IF(U$1=0,ProRate,1),0),Inputs!$B$24*12*(1+inf)^U$1*IF(U$1=0,ProRate,1))</f>
        <v>0</v>
      </c>
      <c r="W44" s="7">
        <f ca="1">IF(AND(Inputs!$B$218&lt;&gt;"",W$2&gt;=Inputs!$B$218),IF(OR(Inputs!$B$13&lt;=0,UPPER(Inputs!$B$220)="RENT"),Inputs!$B$224*12*(1+inf)^V$1*IF(V$1=0,ProRate,1),0),Inputs!$B$24*12*(1+inf)^V$1*IF(V$1=0,ProRate,1))</f>
        <v>0</v>
      </c>
      <c r="X44" s="7">
        <f ca="1">IF(AND(Inputs!$B$218&lt;&gt;"",X$2&gt;=Inputs!$B$218),IF(OR(Inputs!$B$13&lt;=0,UPPER(Inputs!$B$220)="RENT"),Inputs!$B$224*12*(1+inf)^W$1*IF(W$1=0,ProRate,1),0),Inputs!$B$24*12*(1+inf)^W$1*IF(W$1=0,ProRate,1))</f>
        <v>0</v>
      </c>
      <c r="Y44" s="7">
        <f ca="1">IF(AND(Inputs!$B$218&lt;&gt;"",Y$2&gt;=Inputs!$B$218),IF(OR(Inputs!$B$13&lt;=0,UPPER(Inputs!$B$220)="RENT"),Inputs!$B$224*12*(1+inf)^X$1*IF(X$1=0,ProRate,1),0),Inputs!$B$24*12*(1+inf)^X$1*IF(X$1=0,ProRate,1))</f>
        <v>0</v>
      </c>
      <c r="Z44" s="7">
        <f ca="1">IF(AND(Inputs!$B$218&lt;&gt;"",Z$2&gt;=Inputs!$B$218),IF(OR(Inputs!$B$13&lt;=0,UPPER(Inputs!$B$220)="RENT"),Inputs!$B$224*12*(1+inf)^Y$1*IF(Y$1=0,ProRate,1),0),Inputs!$B$24*12*(1+inf)^Y$1*IF(Y$1=0,ProRate,1))</f>
        <v>0</v>
      </c>
      <c r="AA44" s="7">
        <f ca="1">IF(AND(Inputs!$B$218&lt;&gt;"",AA$2&gt;=Inputs!$B$218),IF(OR(Inputs!$B$13&lt;=0,UPPER(Inputs!$B$220)="RENT"),Inputs!$B$224*12*(1+inf)^Z$1*IF(Z$1=0,ProRate,1),0),Inputs!$B$24*12*(1+inf)^Z$1*IF(Z$1=0,ProRate,1))</f>
        <v>0</v>
      </c>
      <c r="AB44" s="7">
        <f ca="1">IF(AND(Inputs!$B$218&lt;&gt;"",AB$2&gt;=Inputs!$B$218),IF(OR(Inputs!$B$13&lt;=0,UPPER(Inputs!$B$220)="RENT"),Inputs!$B$224*12*(1+inf)^AA$1*IF(AA$1=0,ProRate,1),0),Inputs!$B$24*12*(1+inf)^AA$1*IF(AA$1=0,ProRate,1))</f>
        <v>0</v>
      </c>
      <c r="AC44" s="7">
        <f ca="1">IF(AND(Inputs!$B$218&lt;&gt;"",AC$2&gt;=Inputs!$B$218),IF(OR(Inputs!$B$13&lt;=0,UPPER(Inputs!$B$220)="RENT"),Inputs!$B$224*12*(1+inf)^AB$1*IF(AB$1=0,ProRate,1),0),Inputs!$B$24*12*(1+inf)^AB$1*IF(AB$1=0,ProRate,1))</f>
        <v>0</v>
      </c>
      <c r="AD44" s="7">
        <f ca="1">IF(AND(Inputs!$B$218&lt;&gt;"",AD$2&gt;=Inputs!$B$218),IF(OR(Inputs!$B$13&lt;=0,UPPER(Inputs!$B$220)="RENT"),Inputs!$B$224*12*(1+inf)^AC$1*IF(AC$1=0,ProRate,1),0),Inputs!$B$24*12*(1+inf)^AC$1*IF(AC$1=0,ProRate,1))</f>
        <v>0</v>
      </c>
      <c r="AE44" s="7">
        <f ca="1">IF(AND(Inputs!$B$218&lt;&gt;"",AE$2&gt;=Inputs!$B$218),IF(OR(Inputs!$B$13&lt;=0,UPPER(Inputs!$B$220)="RENT"),Inputs!$B$224*12*(1+inf)^AD$1*IF(AD$1=0,ProRate,1),0),Inputs!$B$24*12*(1+inf)^AD$1*IF(AD$1=0,ProRate,1))</f>
        <v>0</v>
      </c>
      <c r="AF44" s="7">
        <f ca="1">IF(AND(Inputs!$B$218&lt;&gt;"",AF$2&gt;=Inputs!$B$218),IF(OR(Inputs!$B$13&lt;=0,UPPER(Inputs!$B$220)="RENT"),Inputs!$B$224*12*(1+inf)^AE$1*IF(AE$1=0,ProRate,1),0),Inputs!$B$24*12*(1+inf)^AE$1*IF(AE$1=0,ProRate,1))</f>
        <v>0</v>
      </c>
      <c r="AG44" s="7">
        <f ca="1">IF(AND(Inputs!$B$218&lt;&gt;"",AG$2&gt;=Inputs!$B$218),IF(OR(Inputs!$B$13&lt;=0,UPPER(Inputs!$B$220)="RENT"),Inputs!$B$224*12*(1+inf)^AF$1*IF(AF$1=0,ProRate,1),0),Inputs!$B$24*12*(1+inf)^AF$1*IF(AF$1=0,ProRate,1))</f>
        <v>0</v>
      </c>
      <c r="AH44" s="7">
        <f ca="1">IF(AND(Inputs!$B$218&lt;&gt;"",AH$2&gt;=Inputs!$B$218),IF(OR(Inputs!$B$13&lt;=0,UPPER(Inputs!$B$220)="RENT"),Inputs!$B$224*12*(1+inf)^AG$1*IF(AG$1=0,ProRate,1),0),Inputs!$B$24*12*(1+inf)^AG$1*IF(AG$1=0,ProRate,1))</f>
        <v>0</v>
      </c>
      <c r="AI44" s="7">
        <f ca="1">IF(AND(Inputs!$B$218&lt;&gt;"",AI$2&gt;=Inputs!$B$218),IF(OR(Inputs!$B$13&lt;=0,UPPER(Inputs!$B$220)="RENT"),Inputs!$B$224*12*(1+inf)^AH$1*IF(AH$1=0,ProRate,1),0),Inputs!$B$24*12*(1+inf)^AH$1*IF(AH$1=0,ProRate,1))</f>
        <v>0</v>
      </c>
      <c r="AJ44" s="7">
        <f ca="1">IF(AND(Inputs!$B$218&lt;&gt;"",AJ$2&gt;=Inputs!$B$218),IF(OR(Inputs!$B$13&lt;=0,UPPER(Inputs!$B$220)="RENT"),Inputs!$B$224*12*(1+inf)^AI$1*IF(AI$1=0,ProRate,1),0),Inputs!$B$24*12*(1+inf)^AI$1*IF(AI$1=0,ProRate,1))</f>
        <v>0</v>
      </c>
      <c r="AK44" s="7">
        <f ca="1">IF(AND(Inputs!$B$218&lt;&gt;"",AK$2&gt;=Inputs!$B$218),IF(OR(Inputs!$B$13&lt;=0,UPPER(Inputs!$B$220)="RENT"),Inputs!$B$224*12*(1+inf)^AJ$1*IF(AJ$1=0,ProRate,1),0),Inputs!$B$24*12*(1+inf)^AJ$1*IF(AJ$1=0,ProRate,1))</f>
        <v>0</v>
      </c>
      <c r="AL44" s="7">
        <f ca="1">IF(AND(Inputs!$B$218&lt;&gt;"",AL$2&gt;=Inputs!$B$218),IF(OR(Inputs!$B$13&lt;=0,UPPER(Inputs!$B$220)="RENT"),Inputs!$B$224*12*(1+inf)^AK$1*IF(AK$1=0,ProRate,1),0),Inputs!$B$24*12*(1+inf)^AK$1*IF(AK$1=0,ProRate,1))</f>
        <v>0</v>
      </c>
      <c r="AM44" s="7">
        <f ca="1">IF(AND(Inputs!$B$218&lt;&gt;"",AM$2&gt;=Inputs!$B$218),IF(OR(Inputs!$B$13&lt;=0,UPPER(Inputs!$B$220)="RENT"),Inputs!$B$224*12*(1+inf)^AL$1*IF(AL$1=0,ProRate,1),0),Inputs!$B$24*12*(1+inf)^AL$1*IF(AL$1=0,ProRate,1))</f>
        <v>0</v>
      </c>
    </row>
    <row r="45" spans="1:39" x14ac:dyDescent="0.2">
      <c r="A45" s="4" t="s">
        <v>52</v>
      </c>
      <c r="B45" s="8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  <c r="AD45" s="7"/>
      <c r="AE45" s="7"/>
      <c r="AF45" s="7"/>
      <c r="AG45" s="7"/>
      <c r="AH45" s="7"/>
      <c r="AI45" s="7"/>
      <c r="AJ45" s="7"/>
      <c r="AK45" s="7"/>
      <c r="AL45" s="7"/>
      <c r="AM45" s="7"/>
    </row>
    <row r="46" spans="1:39" x14ac:dyDescent="0.2">
      <c r="A46" s="3" t="str">
        <f>TEXT(Inputs!$B$61,"")</f>
        <v>Sliema</v>
      </c>
      <c r="B46" s="8"/>
      <c r="C46" s="7">
        <f ca="1">Inputs!$B63*(1+inf)^B$1*ProRate</f>
        <v>3750</v>
      </c>
      <c r="D46" s="7">
        <f>Inputs!$B63*(1+inf)^C$1</f>
        <v>5125</v>
      </c>
      <c r="E46" s="7">
        <f>Inputs!$B63*(1+inf)^D$1</f>
        <v>5253.125</v>
      </c>
      <c r="F46" s="7">
        <f>Inputs!$B63*(1+inf)^E$1</f>
        <v>5384.4531249999991</v>
      </c>
      <c r="G46" s="7">
        <f>Inputs!$B63*(1+inf)^F$1</f>
        <v>5519.0644531249991</v>
      </c>
      <c r="H46" s="7">
        <f>Inputs!$B63*(1+inf)^G$1</f>
        <v>5657.041064453123</v>
      </c>
      <c r="I46" s="7">
        <f>Inputs!$B63*(1+inf)^H$1</f>
        <v>5798.4670910644509</v>
      </c>
      <c r="J46" s="7">
        <f>Inputs!$B63*(1+inf)^I$1</f>
        <v>5943.4287683410621</v>
      </c>
      <c r="K46" s="7">
        <f>Inputs!$B63*(1+inf)^J$1</f>
        <v>6092.0144875495889</v>
      </c>
      <c r="L46" s="7">
        <f>Inputs!$B63*(1+inf)^K$1</f>
        <v>6244.3148497383272</v>
      </c>
      <c r="M46" s="7">
        <f>Inputs!$B63*(1+inf)^L$1</f>
        <v>6400.4227209817855</v>
      </c>
      <c r="N46" s="7">
        <f>Inputs!$B63*(1+inf)^M$1</f>
        <v>6560.4332890063297</v>
      </c>
      <c r="O46" s="7">
        <f>Inputs!$B63*(1+inf)^N$1</f>
        <v>6724.4441212314878</v>
      </c>
      <c r="P46" s="7">
        <f>Inputs!$B63*(1+inf)^O$1</f>
        <v>6892.5552242622744</v>
      </c>
      <c r="Q46" s="7">
        <f>Inputs!$B63*(1+inf)^P$1</f>
        <v>7064.8691048688306</v>
      </c>
      <c r="R46" s="7">
        <f>Inputs!$B63*(1+inf)^Q$1</f>
        <v>7241.4908324905527</v>
      </c>
      <c r="S46" s="7">
        <f>Inputs!$B63*(1+inf)^R$1</f>
        <v>7422.5281033028159</v>
      </c>
      <c r="T46" s="7">
        <f>Inputs!$B63*(1+inf)^S$1</f>
        <v>7608.0913058853848</v>
      </c>
      <c r="U46" s="7">
        <f>Inputs!$B63*(1+inf)^T$1</f>
        <v>7798.2935885325196</v>
      </c>
      <c r="V46" s="7">
        <f>Inputs!$B63*(1+inf)^U$1</f>
        <v>7993.2509282458332</v>
      </c>
      <c r="W46" s="7">
        <f>Inputs!$B63*(1+inf)^V$1</f>
        <v>8193.0822014519781</v>
      </c>
      <c r="X46" s="7">
        <f>Inputs!$B63*(1+inf)^W$1</f>
        <v>8397.9092564882758</v>
      </c>
      <c r="Y46" s="7">
        <f>Inputs!$B63*(1+inf)^X$1</f>
        <v>8607.8569879004826</v>
      </c>
      <c r="Z46" s="7">
        <f>Inputs!$B63*(1+inf)^Y$1</f>
        <v>8823.0534125979957</v>
      </c>
      <c r="AA46" s="7">
        <f>Inputs!$B63*(1+inf)^Z$1</f>
        <v>9043.6297479129444</v>
      </c>
      <c r="AB46" s="7">
        <f>Inputs!$B63*(1+inf)^AA$1</f>
        <v>9269.7204916107676</v>
      </c>
      <c r="AC46" s="7">
        <f>Inputs!$B63*(1+inf)^AB$1</f>
        <v>9501.4635039010354</v>
      </c>
      <c r="AD46" s="7">
        <f>Inputs!$B63*(1+inf)^AC$1</f>
        <v>9739.0000914985612</v>
      </c>
      <c r="AE46" s="7">
        <f>Inputs!$B63*(1+inf)^AD$1</f>
        <v>9982.4750937860244</v>
      </c>
      <c r="AF46" s="7">
        <f>Inputs!$B63*(1+inf)^AE$1</f>
        <v>10232.036971130676</v>
      </c>
      <c r="AG46" s="7">
        <f>Inputs!$B63*(1+inf)^AF$1</f>
        <v>10487.83789540894</v>
      </c>
      <c r="AH46" s="7">
        <f>Inputs!$B63*(1+inf)^AG$1</f>
        <v>10750.033842794166</v>
      </c>
      <c r="AI46" s="7">
        <f>Inputs!$B63*(1+inf)^AH$1</f>
        <v>11018.784688864018</v>
      </c>
      <c r="AJ46" s="7">
        <f>Inputs!$B63*(1+inf)^AI$1</f>
        <v>11294.254306085619</v>
      </c>
      <c r="AK46" s="7">
        <f>Inputs!$B63*(1+inf)^AJ$1</f>
        <v>11576.610663737758</v>
      </c>
      <c r="AL46" s="7">
        <f>Inputs!$B63*(1+inf)^AK$1</f>
        <v>11866.025930331201</v>
      </c>
      <c r="AM46" s="7">
        <f>Inputs!$B63*(1+inf)^AL$1</f>
        <v>12162.676578589482</v>
      </c>
    </row>
    <row r="47" spans="1:39" x14ac:dyDescent="0.2">
      <c r="A47" s="3" t="str">
        <f>TEXT(Inputs!$B$66,"")</f>
        <v>Gzira</v>
      </c>
      <c r="B47" s="8"/>
      <c r="C47" s="7">
        <f ca="1">Inputs!$B68*(1+inf)^B$1*ProRate</f>
        <v>1500</v>
      </c>
      <c r="D47" s="7">
        <f>Inputs!$B68*(1+inf)^C$1</f>
        <v>2050</v>
      </c>
      <c r="E47" s="7">
        <f>Inputs!$B68*(1+inf)^D$1</f>
        <v>2101.25</v>
      </c>
      <c r="F47" s="7">
        <f>Inputs!$B68*(1+inf)^E$1</f>
        <v>2153.7812499999995</v>
      </c>
      <c r="G47" s="7">
        <f>Inputs!$B68*(1+inf)^F$1</f>
        <v>2207.6257812499994</v>
      </c>
      <c r="H47" s="7">
        <f>Inputs!$B68*(1+inf)^G$1</f>
        <v>2262.8164257812491</v>
      </c>
      <c r="I47" s="7">
        <f>Inputs!$B68*(1+inf)^H$1</f>
        <v>2319.3868364257805</v>
      </c>
      <c r="J47" s="7">
        <f>Inputs!$B68*(1+inf)^I$1</f>
        <v>2377.3715073364251</v>
      </c>
      <c r="K47" s="7">
        <f>Inputs!$B68*(1+inf)^J$1</f>
        <v>2436.8057950198354</v>
      </c>
      <c r="L47" s="7">
        <f>Inputs!$B68*(1+inf)^K$1</f>
        <v>2497.7259398953311</v>
      </c>
      <c r="M47" s="7">
        <f>Inputs!$B68*(1+inf)^L$1</f>
        <v>2560.169088392714</v>
      </c>
      <c r="N47" s="7">
        <f>Inputs!$B68*(1+inf)^M$1</f>
        <v>2624.1733156025321</v>
      </c>
      <c r="O47" s="7">
        <f>Inputs!$B68*(1+inf)^N$1</f>
        <v>2689.7776484925948</v>
      </c>
      <c r="P47" s="7">
        <f>Inputs!$B68*(1+inf)^O$1</f>
        <v>2757.0220897049098</v>
      </c>
      <c r="Q47" s="7">
        <f>Inputs!$B68*(1+inf)^P$1</f>
        <v>2825.9476419475322</v>
      </c>
      <c r="R47" s="7">
        <f>Inputs!$B68*(1+inf)^Q$1</f>
        <v>2896.596332996221</v>
      </c>
      <c r="S47" s="7">
        <f>Inputs!$B68*(1+inf)^R$1</f>
        <v>2969.0112413211264</v>
      </c>
      <c r="T47" s="7">
        <f>Inputs!$B68*(1+inf)^S$1</f>
        <v>3043.2365223541542</v>
      </c>
      <c r="U47" s="7">
        <f>Inputs!$B68*(1+inf)^T$1</f>
        <v>3119.3174354130078</v>
      </c>
      <c r="V47" s="7">
        <f>Inputs!$B68*(1+inf)^U$1</f>
        <v>3197.3003712983332</v>
      </c>
      <c r="W47" s="7">
        <f>Inputs!$B68*(1+inf)^V$1</f>
        <v>3277.2328805807911</v>
      </c>
      <c r="X47" s="7">
        <f>Inputs!$B68*(1+inf)^W$1</f>
        <v>3359.1637025953105</v>
      </c>
      <c r="Y47" s="7">
        <f>Inputs!$B68*(1+inf)^X$1</f>
        <v>3443.1427951601931</v>
      </c>
      <c r="Z47" s="7">
        <f>Inputs!$B68*(1+inf)^Y$1</f>
        <v>3529.2213650391982</v>
      </c>
      <c r="AA47" s="7">
        <f>Inputs!$B68*(1+inf)^Z$1</f>
        <v>3617.451899165178</v>
      </c>
      <c r="AB47" s="7">
        <f>Inputs!$B68*(1+inf)^AA$1</f>
        <v>3707.8881966443068</v>
      </c>
      <c r="AC47" s="7">
        <f>Inputs!$B68*(1+inf)^AB$1</f>
        <v>3800.5854015604141</v>
      </c>
      <c r="AD47" s="7">
        <f>Inputs!$B68*(1+inf)^AC$1</f>
        <v>3895.6000365994241</v>
      </c>
      <c r="AE47" s="7">
        <f>Inputs!$B68*(1+inf)^AD$1</f>
        <v>3992.9900375144098</v>
      </c>
      <c r="AF47" s="7">
        <f>Inputs!$B68*(1+inf)^AE$1</f>
        <v>4092.8147884522705</v>
      </c>
      <c r="AG47" s="7">
        <f>Inputs!$B68*(1+inf)^AF$1</f>
        <v>4195.1351581635763</v>
      </c>
      <c r="AH47" s="7">
        <f>Inputs!$B68*(1+inf)^AG$1</f>
        <v>4300.0135371176666</v>
      </c>
      <c r="AI47" s="7">
        <f>Inputs!$B68*(1+inf)^AH$1</f>
        <v>4407.5138755456073</v>
      </c>
      <c r="AJ47" s="7">
        <f>Inputs!$B68*(1+inf)^AI$1</f>
        <v>4517.7017224342471</v>
      </c>
      <c r="AK47" s="7">
        <f>Inputs!$B68*(1+inf)^AJ$1</f>
        <v>4630.6442654951034</v>
      </c>
      <c r="AL47" s="7">
        <f>Inputs!$B68*(1+inf)^AK$1</f>
        <v>4746.41037213248</v>
      </c>
      <c r="AM47" s="7">
        <f>Inputs!$B68*(1+inf)^AL$1</f>
        <v>4865.0706314357931</v>
      </c>
    </row>
    <row r="48" spans="1:39" x14ac:dyDescent="0.2">
      <c r="A48" s="3" t="str">
        <f>TEXT(Inputs!$B$71,"")</f>
        <v>Qormi</v>
      </c>
      <c r="B48" s="8"/>
      <c r="C48" s="7">
        <f ca="1">Inputs!$B73*(1+inf)^B$1*ProRate</f>
        <v>900</v>
      </c>
      <c r="D48" s="7">
        <f>Inputs!$B73*(1+inf)^C$1</f>
        <v>1230</v>
      </c>
      <c r="E48" s="7">
        <f>Inputs!$B73*(1+inf)^D$1</f>
        <v>1260.75</v>
      </c>
      <c r="F48" s="7">
        <f>Inputs!$B73*(1+inf)^E$1</f>
        <v>1292.26875</v>
      </c>
      <c r="G48" s="7">
        <f>Inputs!$B73*(1+inf)^F$1</f>
        <v>1324.5754687499998</v>
      </c>
      <c r="H48" s="7">
        <f>Inputs!$B73*(1+inf)^G$1</f>
        <v>1357.6898554687496</v>
      </c>
      <c r="I48" s="7">
        <f>Inputs!$B73*(1+inf)^H$1</f>
        <v>1391.6321018554681</v>
      </c>
      <c r="J48" s="7">
        <f>Inputs!$B73*(1+inf)^I$1</f>
        <v>1426.422904401855</v>
      </c>
      <c r="K48" s="7">
        <f>Inputs!$B73*(1+inf)^J$1</f>
        <v>1462.0834770119013</v>
      </c>
      <c r="L48" s="7">
        <f>Inputs!$B73*(1+inf)^K$1</f>
        <v>1498.6355639371984</v>
      </c>
      <c r="M48" s="7">
        <f>Inputs!$B73*(1+inf)^L$1</f>
        <v>1536.1014530356285</v>
      </c>
      <c r="N48" s="7">
        <f>Inputs!$B73*(1+inf)^M$1</f>
        <v>1574.5039893615192</v>
      </c>
      <c r="O48" s="7">
        <f>Inputs!$B73*(1+inf)^N$1</f>
        <v>1613.8665890955569</v>
      </c>
      <c r="P48" s="7">
        <f>Inputs!$B73*(1+inf)^O$1</f>
        <v>1654.2132538229459</v>
      </c>
      <c r="Q48" s="7">
        <f>Inputs!$B73*(1+inf)^P$1</f>
        <v>1695.5685851685193</v>
      </c>
      <c r="R48" s="7">
        <f>Inputs!$B73*(1+inf)^Q$1</f>
        <v>1737.9577997977326</v>
      </c>
      <c r="S48" s="7">
        <f>Inputs!$B73*(1+inf)^R$1</f>
        <v>1781.4067447926757</v>
      </c>
      <c r="T48" s="7">
        <f>Inputs!$B73*(1+inf)^S$1</f>
        <v>1825.9419134124923</v>
      </c>
      <c r="U48" s="7">
        <f>Inputs!$B73*(1+inf)^T$1</f>
        <v>1871.5904612478048</v>
      </c>
      <c r="V48" s="7">
        <f>Inputs!$B73*(1+inf)^U$1</f>
        <v>1918.380222779</v>
      </c>
      <c r="W48" s="7">
        <f>Inputs!$B73*(1+inf)^V$1</f>
        <v>1966.3397283484746</v>
      </c>
      <c r="X48" s="7">
        <f>Inputs!$B73*(1+inf)^W$1</f>
        <v>2015.4982215571863</v>
      </c>
      <c r="Y48" s="7">
        <f>Inputs!$B73*(1+inf)^X$1</f>
        <v>2065.8856770961161</v>
      </c>
      <c r="Z48" s="7">
        <f>Inputs!$B73*(1+inf)^Y$1</f>
        <v>2117.5328190235191</v>
      </c>
      <c r="AA48" s="7">
        <f>Inputs!$B73*(1+inf)^Z$1</f>
        <v>2170.4711394991068</v>
      </c>
      <c r="AB48" s="7">
        <f>Inputs!$B73*(1+inf)^AA$1</f>
        <v>2224.7329179865842</v>
      </c>
      <c r="AC48" s="7">
        <f>Inputs!$B73*(1+inf)^AB$1</f>
        <v>2280.3512409362484</v>
      </c>
      <c r="AD48" s="7">
        <f>Inputs!$B73*(1+inf)^AC$1</f>
        <v>2337.3600219596547</v>
      </c>
      <c r="AE48" s="7">
        <f>Inputs!$B73*(1+inf)^AD$1</f>
        <v>2395.7940225086459</v>
      </c>
      <c r="AF48" s="7">
        <f>Inputs!$B73*(1+inf)^AE$1</f>
        <v>2455.6888730713622</v>
      </c>
      <c r="AG48" s="7">
        <f>Inputs!$B73*(1+inf)^AF$1</f>
        <v>2517.0810948981457</v>
      </c>
      <c r="AH48" s="7">
        <f>Inputs!$B73*(1+inf)^AG$1</f>
        <v>2580.0081222705999</v>
      </c>
      <c r="AI48" s="7">
        <f>Inputs!$B73*(1+inf)^AH$1</f>
        <v>2644.5083253273642</v>
      </c>
      <c r="AJ48" s="7">
        <f>Inputs!$B73*(1+inf)^AI$1</f>
        <v>2710.6210334605485</v>
      </c>
      <c r="AK48" s="7">
        <f>Inputs!$B73*(1+inf)^AJ$1</f>
        <v>2778.3865592970619</v>
      </c>
      <c r="AL48" s="7">
        <f>Inputs!$B73*(1+inf)^AK$1</f>
        <v>2847.8462232794882</v>
      </c>
      <c r="AM48" s="7">
        <f>Inputs!$B73*(1+inf)^AL$1</f>
        <v>2919.0423788614758</v>
      </c>
    </row>
    <row r="49" spans="1:39" x14ac:dyDescent="0.2">
      <c r="A49" s="3" t="str">
        <f>TEXT(Inputs!$B$76,"")</f>
        <v>Gudja</v>
      </c>
      <c r="B49" s="8"/>
      <c r="C49" s="7">
        <f ca="1">Inputs!$B78*(1+inf)^B$1*ProRate</f>
        <v>750</v>
      </c>
      <c r="D49" s="7">
        <f>Inputs!$B78*(1+inf)^C$1</f>
        <v>1025</v>
      </c>
      <c r="E49" s="7">
        <f>Inputs!$B78*(1+inf)^D$1</f>
        <v>1050.625</v>
      </c>
      <c r="F49" s="7">
        <f>Inputs!$B78*(1+inf)^E$1</f>
        <v>1076.8906249999998</v>
      </c>
      <c r="G49" s="7">
        <f>Inputs!$B78*(1+inf)^F$1</f>
        <v>1103.8128906249997</v>
      </c>
      <c r="H49" s="7">
        <f>Inputs!$B78*(1+inf)^G$1</f>
        <v>1131.4082128906246</v>
      </c>
      <c r="I49" s="7">
        <f>Inputs!$B78*(1+inf)^H$1</f>
        <v>1159.6934182128903</v>
      </c>
      <c r="J49" s="7">
        <f>Inputs!$B78*(1+inf)^I$1</f>
        <v>1188.6857536682126</v>
      </c>
      <c r="K49" s="7">
        <f>Inputs!$B78*(1+inf)^J$1</f>
        <v>1218.4028975099177</v>
      </c>
      <c r="L49" s="7">
        <f>Inputs!$B78*(1+inf)^K$1</f>
        <v>1248.8629699476655</v>
      </c>
      <c r="M49" s="7">
        <f>Inputs!$B78*(1+inf)^L$1</f>
        <v>1280.084544196357</v>
      </c>
      <c r="N49" s="7">
        <f>Inputs!$B78*(1+inf)^M$1</f>
        <v>1312.086657801266</v>
      </c>
      <c r="O49" s="7">
        <f>Inputs!$B78*(1+inf)^N$1</f>
        <v>1344.8888242462974</v>
      </c>
      <c r="P49" s="7">
        <f>Inputs!$B78*(1+inf)^O$1</f>
        <v>1378.5110448524549</v>
      </c>
      <c r="Q49" s="7">
        <f>Inputs!$B78*(1+inf)^P$1</f>
        <v>1412.9738209737661</v>
      </c>
      <c r="R49" s="7">
        <f>Inputs!$B78*(1+inf)^Q$1</f>
        <v>1448.2981664981105</v>
      </c>
      <c r="S49" s="7">
        <f>Inputs!$B78*(1+inf)^R$1</f>
        <v>1484.5056206605632</v>
      </c>
      <c r="T49" s="7">
        <f>Inputs!$B78*(1+inf)^S$1</f>
        <v>1521.6182611770771</v>
      </c>
      <c r="U49" s="7">
        <f>Inputs!$B78*(1+inf)^T$1</f>
        <v>1559.6587177065039</v>
      </c>
      <c r="V49" s="7">
        <f>Inputs!$B78*(1+inf)^U$1</f>
        <v>1598.6501856491666</v>
      </c>
      <c r="W49" s="7">
        <f>Inputs!$B78*(1+inf)^V$1</f>
        <v>1638.6164402903955</v>
      </c>
      <c r="X49" s="7">
        <f>Inputs!$B78*(1+inf)^W$1</f>
        <v>1679.5818512976552</v>
      </c>
      <c r="Y49" s="7">
        <f>Inputs!$B78*(1+inf)^X$1</f>
        <v>1721.5713975800966</v>
      </c>
      <c r="Z49" s="7">
        <f>Inputs!$B78*(1+inf)^Y$1</f>
        <v>1764.6106825195991</v>
      </c>
      <c r="AA49" s="7">
        <f>Inputs!$B78*(1+inf)^Z$1</f>
        <v>1808.725949582589</v>
      </c>
      <c r="AB49" s="7">
        <f>Inputs!$B78*(1+inf)^AA$1</f>
        <v>1853.9440983221534</v>
      </c>
      <c r="AC49" s="7">
        <f>Inputs!$B78*(1+inf)^AB$1</f>
        <v>1900.292700780207</v>
      </c>
      <c r="AD49" s="7">
        <f>Inputs!$B78*(1+inf)^AC$1</f>
        <v>1947.8000182997121</v>
      </c>
      <c r="AE49" s="7">
        <f>Inputs!$B78*(1+inf)^AD$1</f>
        <v>1996.4950187572049</v>
      </c>
      <c r="AF49" s="7">
        <f>Inputs!$B78*(1+inf)^AE$1</f>
        <v>2046.4073942261352</v>
      </c>
      <c r="AG49" s="7">
        <f>Inputs!$B78*(1+inf)^AF$1</f>
        <v>2097.5675790817882</v>
      </c>
      <c r="AH49" s="7">
        <f>Inputs!$B78*(1+inf)^AG$1</f>
        <v>2150.0067685588333</v>
      </c>
      <c r="AI49" s="7">
        <f>Inputs!$B78*(1+inf)^AH$1</f>
        <v>2203.7569377728037</v>
      </c>
      <c r="AJ49" s="7">
        <f>Inputs!$B78*(1+inf)^AI$1</f>
        <v>2258.8508612171236</v>
      </c>
      <c r="AK49" s="7">
        <f>Inputs!$B78*(1+inf)^AJ$1</f>
        <v>2315.3221327475517</v>
      </c>
      <c r="AL49" s="7">
        <f>Inputs!$B78*(1+inf)^AK$1</f>
        <v>2373.20518606624</v>
      </c>
      <c r="AM49" s="7">
        <f>Inputs!$B78*(1+inf)^AL$1</f>
        <v>2432.5353157178965</v>
      </c>
    </row>
    <row r="50" spans="1:39" x14ac:dyDescent="0.2">
      <c r="A50" s="3" t="str">
        <f>TEXT(Inputs!$B$81,"")</f>
        <v>Marsa</v>
      </c>
      <c r="B50" s="8"/>
      <c r="C50" s="7">
        <f ca="1">Inputs!$B83*(1+inf)^B$1*ProRate</f>
        <v>600</v>
      </c>
      <c r="D50" s="7">
        <f>Inputs!$B83*(1+inf)^C$1</f>
        <v>819.99999999999989</v>
      </c>
      <c r="E50" s="7">
        <f>Inputs!$B83*(1+inf)^D$1</f>
        <v>840.49999999999989</v>
      </c>
      <c r="F50" s="7">
        <f>Inputs!$B83*(1+inf)^E$1</f>
        <v>861.51249999999993</v>
      </c>
      <c r="G50" s="7">
        <f>Inputs!$B83*(1+inf)^F$1</f>
        <v>883.05031249999979</v>
      </c>
      <c r="H50" s="7">
        <f>Inputs!$B83*(1+inf)^G$1</f>
        <v>905.12657031249978</v>
      </c>
      <c r="I50" s="7">
        <f>Inputs!$B83*(1+inf)^H$1</f>
        <v>927.75473457031217</v>
      </c>
      <c r="J50" s="7">
        <f>Inputs!$B83*(1+inf)^I$1</f>
        <v>950.94860293456998</v>
      </c>
      <c r="K50" s="7">
        <f>Inputs!$B83*(1+inf)^J$1</f>
        <v>974.72231800793418</v>
      </c>
      <c r="L50" s="7">
        <f>Inputs!$B83*(1+inf)^K$1</f>
        <v>999.09037595813231</v>
      </c>
      <c r="M50" s="7">
        <f>Inputs!$B83*(1+inf)^L$1</f>
        <v>1024.0676353570857</v>
      </c>
      <c r="N50" s="7">
        <f>Inputs!$B83*(1+inf)^M$1</f>
        <v>1049.6693262410129</v>
      </c>
      <c r="O50" s="7">
        <f>Inputs!$B83*(1+inf)^N$1</f>
        <v>1075.9110593970381</v>
      </c>
      <c r="P50" s="7">
        <f>Inputs!$B83*(1+inf)^O$1</f>
        <v>1102.8088358819639</v>
      </c>
      <c r="Q50" s="7">
        <f>Inputs!$B83*(1+inf)^P$1</f>
        <v>1130.3790567790129</v>
      </c>
      <c r="R50" s="7">
        <f>Inputs!$B83*(1+inf)^Q$1</f>
        <v>1158.6385331984884</v>
      </c>
      <c r="S50" s="7">
        <f>Inputs!$B83*(1+inf)^R$1</f>
        <v>1187.6044965284505</v>
      </c>
      <c r="T50" s="7">
        <f>Inputs!$B83*(1+inf)^S$1</f>
        <v>1217.2946089416616</v>
      </c>
      <c r="U50" s="7">
        <f>Inputs!$B83*(1+inf)^T$1</f>
        <v>1247.7269741652033</v>
      </c>
      <c r="V50" s="7">
        <f>Inputs!$B83*(1+inf)^U$1</f>
        <v>1278.9201485193332</v>
      </c>
      <c r="W50" s="7">
        <f>Inputs!$B83*(1+inf)^V$1</f>
        <v>1310.8931522323164</v>
      </c>
      <c r="X50" s="7">
        <f>Inputs!$B83*(1+inf)^W$1</f>
        <v>1343.6654810381242</v>
      </c>
      <c r="Y50" s="7">
        <f>Inputs!$B83*(1+inf)^X$1</f>
        <v>1377.2571180640773</v>
      </c>
      <c r="Z50" s="7">
        <f>Inputs!$B83*(1+inf)^Y$1</f>
        <v>1411.6885460156793</v>
      </c>
      <c r="AA50" s="7">
        <f>Inputs!$B83*(1+inf)^Z$1</f>
        <v>1446.9807596660712</v>
      </c>
      <c r="AB50" s="7">
        <f>Inputs!$B83*(1+inf)^AA$1</f>
        <v>1483.1552786577226</v>
      </c>
      <c r="AC50" s="7">
        <f>Inputs!$B83*(1+inf)^AB$1</f>
        <v>1520.2341606241657</v>
      </c>
      <c r="AD50" s="7">
        <f>Inputs!$B83*(1+inf)^AC$1</f>
        <v>1558.2400146397697</v>
      </c>
      <c r="AE50" s="7">
        <f>Inputs!$B83*(1+inf)^AD$1</f>
        <v>1597.1960150057639</v>
      </c>
      <c r="AF50" s="7">
        <f>Inputs!$B83*(1+inf)^AE$1</f>
        <v>1637.1259153809081</v>
      </c>
      <c r="AG50" s="7">
        <f>Inputs!$B83*(1+inf)^AF$1</f>
        <v>1678.0540632654304</v>
      </c>
      <c r="AH50" s="7">
        <f>Inputs!$B83*(1+inf)^AG$1</f>
        <v>1720.0054148470667</v>
      </c>
      <c r="AI50" s="7">
        <f>Inputs!$B83*(1+inf)^AH$1</f>
        <v>1763.0055502182429</v>
      </c>
      <c r="AJ50" s="7">
        <f>Inputs!$B83*(1+inf)^AI$1</f>
        <v>1807.0806889736989</v>
      </c>
      <c r="AK50" s="7">
        <f>Inputs!$B83*(1+inf)^AJ$1</f>
        <v>1852.2577061980414</v>
      </c>
      <c r="AL50" s="7">
        <f>Inputs!$B83*(1+inf)^AK$1</f>
        <v>1898.5641488529923</v>
      </c>
      <c r="AM50" s="7">
        <f>Inputs!$B83*(1+inf)^AL$1</f>
        <v>1946.0282525743171</v>
      </c>
    </row>
    <row r="51" spans="1:39" x14ac:dyDescent="0.2">
      <c r="A51" s="4" t="s">
        <v>15</v>
      </c>
      <c r="B51" s="8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  <c r="AD51" s="7"/>
      <c r="AE51" s="7"/>
      <c r="AF51" s="7"/>
      <c r="AG51" s="7"/>
      <c r="AH51" s="7"/>
      <c r="AI51" s="7"/>
      <c r="AJ51" s="7"/>
      <c r="AK51" s="7"/>
      <c r="AL51" s="7"/>
      <c r="AM51" s="7"/>
    </row>
    <row r="52" spans="1:39" x14ac:dyDescent="0.2">
      <c r="A52" s="3" t="s">
        <v>53</v>
      </c>
      <c r="B52" s="8"/>
      <c r="C52" s="7">
        <f ca="1">Inputs!$B$26*(1+inf)^B$1*ProRate</f>
        <v>37500</v>
      </c>
      <c r="D52" s="7">
        <f>Inputs!$B$26*(1+inf)^C$1</f>
        <v>51249.999999999993</v>
      </c>
      <c r="E52" s="7">
        <f>Inputs!$B$26*(1+inf)^D$1</f>
        <v>52531.249999999993</v>
      </c>
      <c r="F52" s="7">
        <f>Inputs!$B$26*(1+inf)^E$1</f>
        <v>53844.531249999993</v>
      </c>
      <c r="G52" s="7">
        <f>Inputs!$B$26*(1+inf)^F$1</f>
        <v>55190.644531249985</v>
      </c>
      <c r="H52" s="7">
        <f>Inputs!$B$26*(1+inf)^G$1</f>
        <v>56570.410644531235</v>
      </c>
      <c r="I52" s="7">
        <f>Inputs!$B$26*(1+inf)^H$1</f>
        <v>57984.670910644512</v>
      </c>
      <c r="J52" s="7">
        <f>Inputs!$B$26*(1+inf)^I$1</f>
        <v>59434.287683410628</v>
      </c>
      <c r="K52" s="7">
        <f>Inputs!$B$26*(1+inf)^J$1</f>
        <v>60920.144875495884</v>
      </c>
      <c r="L52" s="7">
        <f>Inputs!$B$26*(1+inf)^K$1</f>
        <v>62443.14849738327</v>
      </c>
      <c r="M52" s="7">
        <f>Inputs!$B$26*(1+inf)^L$1</f>
        <v>64004.227209817851</v>
      </c>
      <c r="N52" s="7">
        <f>Inputs!$B$26*(1+inf)^M$1</f>
        <v>65604.332890063306</v>
      </c>
      <c r="O52" s="7">
        <f>Inputs!$B$26*(1+inf)^N$1</f>
        <v>67244.44121231488</v>
      </c>
      <c r="P52" s="7">
        <f>Inputs!$B$26*(1+inf)^O$1</f>
        <v>68925.55224262274</v>
      </c>
      <c r="Q52" s="7">
        <f>Inputs!$B$26*(1+inf)^P$1</f>
        <v>70648.691048688299</v>
      </c>
      <c r="R52" s="7">
        <f>Inputs!$B$26*(1+inf)^Q$1</f>
        <v>72414.908324905526</v>
      </c>
      <c r="S52" s="7">
        <f>Inputs!$B$26*(1+inf)^R$1</f>
        <v>74225.28103302815</v>
      </c>
      <c r="T52" s="7">
        <f>Inputs!$B$26*(1+inf)^S$1</f>
        <v>76080.913058853854</v>
      </c>
      <c r="U52" s="7">
        <f>Inputs!$B$26*(1+inf)^T$1</f>
        <v>77982.935885325205</v>
      </c>
      <c r="V52" s="7">
        <f>Inputs!$B$26*(1+inf)^U$1</f>
        <v>79932.509282458326</v>
      </c>
      <c r="W52" s="7">
        <f>Inputs!$B$26*(1+inf)^V$1</f>
        <v>81930.82201451977</v>
      </c>
      <c r="X52" s="7">
        <f>Inputs!$B$26*(1+inf)^W$1</f>
        <v>83979.092564882769</v>
      </c>
      <c r="Y52" s="7">
        <f>Inputs!$B$26*(1+inf)^X$1</f>
        <v>86078.569879004834</v>
      </c>
      <c r="Z52" s="7">
        <f>Inputs!$B$26*(1+inf)^Y$1</f>
        <v>88230.534125979961</v>
      </c>
      <c r="AA52" s="7">
        <f>Inputs!$B$26*(1+inf)^Z$1</f>
        <v>90436.29747912944</v>
      </c>
      <c r="AB52" s="7">
        <f>Inputs!$B$26*(1+inf)^AA$1</f>
        <v>92697.204916107672</v>
      </c>
      <c r="AC52" s="7">
        <f>Inputs!$B$26*(1+inf)^AB$1</f>
        <v>95014.635039010347</v>
      </c>
      <c r="AD52" s="7">
        <f>Inputs!$B$26*(1+inf)^AC$1</f>
        <v>97390.000914985605</v>
      </c>
      <c r="AE52" s="7">
        <f>Inputs!$B$26*(1+inf)^AD$1</f>
        <v>99824.750937860241</v>
      </c>
      <c r="AF52" s="7">
        <f>Inputs!$B$26*(1+inf)^AE$1</f>
        <v>102320.36971130676</v>
      </c>
      <c r="AG52" s="7">
        <f>Inputs!$B$26*(1+inf)^AF$1</f>
        <v>104878.37895408941</v>
      </c>
      <c r="AH52" s="7">
        <f>Inputs!$B$26*(1+inf)^AG$1</f>
        <v>107500.33842794166</v>
      </c>
      <c r="AI52" s="7">
        <f>Inputs!$B$26*(1+inf)^AH$1</f>
        <v>110187.84688864018</v>
      </c>
      <c r="AJ52" s="7">
        <f>Inputs!$B$26*(1+inf)^AI$1</f>
        <v>112942.54306085619</v>
      </c>
      <c r="AK52" s="7">
        <f>Inputs!$B$26*(1+inf)^AJ$1</f>
        <v>115766.10663737758</v>
      </c>
      <c r="AL52" s="7">
        <f>Inputs!$B$26*(1+inf)^AK$1</f>
        <v>118660.25930331201</v>
      </c>
      <c r="AM52" s="7">
        <f>Inputs!$B$26*(1+inf)^AL$1</f>
        <v>121626.76578589482</v>
      </c>
    </row>
    <row r="53" spans="1:39" x14ac:dyDescent="0.2">
      <c r="A53" s="3" t="str">
        <f>"Adjustment "&amp;Inputs!A258</f>
        <v>Adjustment from now to 65</v>
      </c>
      <c r="B53" s="8"/>
      <c r="C53" s="7">
        <f ca="1">IF(C$3&lt;=65,Inputs!$B$258*C$52,0)</f>
        <v>0</v>
      </c>
      <c r="D53" s="7">
        <f>IF(D$3&lt;=65,Inputs!$B$258*D$52,0)</f>
        <v>0</v>
      </c>
      <c r="E53" s="7">
        <f>IF(E$3&lt;=65,Inputs!$B$258*E$52,0)</f>
        <v>0</v>
      </c>
      <c r="F53" s="7">
        <f>IF(F$3&lt;=65,Inputs!$B$258*F$52,0)</f>
        <v>0</v>
      </c>
      <c r="G53" s="7">
        <f>IF(G$3&lt;=65,Inputs!$B$258*G$52,0)</f>
        <v>0</v>
      </c>
      <c r="H53" s="7">
        <f>IF(H$3&lt;=65,Inputs!$B$258*H$52,0)</f>
        <v>0</v>
      </c>
      <c r="I53" s="7">
        <f>IF(I$3&lt;=65,Inputs!$B$258*I$52,0)</f>
        <v>0</v>
      </c>
      <c r="J53" s="7">
        <f>IF(J$3&lt;=65,Inputs!$B$258*J$52,0)</f>
        <v>0</v>
      </c>
      <c r="K53" s="7">
        <f>IF(K$3&lt;=65,Inputs!$B$258*K$52,0)</f>
        <v>0</v>
      </c>
      <c r="L53" s="7">
        <f>IF(L$3&lt;=65,Inputs!$B$258*L$52,0)</f>
        <v>0</v>
      </c>
      <c r="M53" s="7">
        <f>IF(M$3&lt;=65,Inputs!$B$258*M$52,0)</f>
        <v>0</v>
      </c>
      <c r="N53" s="7">
        <f>IF(N$3&lt;=65,Inputs!$B$258*N$52,0)</f>
        <v>0</v>
      </c>
      <c r="O53" s="7">
        <f>IF(O$3&lt;=65,Inputs!$B$258*O$52,0)</f>
        <v>0</v>
      </c>
      <c r="P53" s="7">
        <f>IF(P$3&lt;=65,Inputs!$B$258*P$52,0)</f>
        <v>0</v>
      </c>
      <c r="Q53" s="7">
        <f>IF(Q$3&lt;=65,Inputs!$B$258*Q$52,0)</f>
        <v>0</v>
      </c>
      <c r="R53" s="7">
        <f>IF(R$3&lt;=65,Inputs!$B$258*R$52,0)</f>
        <v>0</v>
      </c>
      <c r="S53" s="7">
        <f>IF(S$3&lt;=65,Inputs!$B$258*S$52,0)</f>
        <v>0</v>
      </c>
      <c r="T53" s="7">
        <f>IF(T$3&lt;=65,Inputs!$B$258*T$52,0)</f>
        <v>0</v>
      </c>
      <c r="U53" s="7">
        <f>IF(U$3&lt;=65,Inputs!$B$258*U$52,0)</f>
        <v>0</v>
      </c>
      <c r="V53" s="7">
        <f>IF(V$3&lt;=65,Inputs!$B$258*V$52,0)</f>
        <v>0</v>
      </c>
      <c r="W53" s="7">
        <f>IF(W$3&lt;=65,Inputs!$B$258*W$52,0)</f>
        <v>0</v>
      </c>
      <c r="X53" s="7">
        <f>IF(X$3&lt;=65,Inputs!$B$258*X$52,0)</f>
        <v>0</v>
      </c>
      <c r="Y53" s="7">
        <f>IF(Y$3&lt;=65,Inputs!$B$258*Y$52,0)</f>
        <v>0</v>
      </c>
      <c r="Z53" s="7">
        <f>IF(Z$3&lt;=65,Inputs!$B$258*Z$52,0)</f>
        <v>0</v>
      </c>
      <c r="AA53" s="7">
        <f>IF(AA$3&lt;=65,Inputs!$B$258*AA$52,0)</f>
        <v>0</v>
      </c>
      <c r="AB53" s="7">
        <f>IF(AB$3&lt;=65,Inputs!$B$258*AB$52,0)</f>
        <v>0</v>
      </c>
      <c r="AC53" s="7">
        <f>IF(AC$3&lt;=65,Inputs!$B$258*AC$52,0)</f>
        <v>0</v>
      </c>
      <c r="AD53" s="7">
        <f>IF(AD$3&lt;=65,Inputs!$B$258*AD$52,0)</f>
        <v>0</v>
      </c>
      <c r="AE53" s="7">
        <f>IF(AE$3&lt;=65,Inputs!$B$258*AE$52,0)</f>
        <v>0</v>
      </c>
      <c r="AF53" s="7">
        <f>IF(AF$3&lt;=65,Inputs!$B$258*AF$52,0)</f>
        <v>0</v>
      </c>
      <c r="AG53" s="7">
        <f>IF(AG$3&lt;=65,Inputs!$B$258*AG$52,0)</f>
        <v>0</v>
      </c>
      <c r="AH53" s="7">
        <f>IF(AH$3&lt;=65,Inputs!$B$258*AH$52,0)</f>
        <v>0</v>
      </c>
      <c r="AI53" s="7">
        <f>IF(AI$3&lt;=65,Inputs!$B$258*AI$52,0)</f>
        <v>0</v>
      </c>
      <c r="AJ53" s="7">
        <f>IF(AJ$3&lt;=65,Inputs!$B$258*AJ$52,0)</f>
        <v>0</v>
      </c>
      <c r="AK53" s="7">
        <f>IF(AK$3&lt;=65,Inputs!$B$258*AK$52,0)</f>
        <v>0</v>
      </c>
      <c r="AL53" s="7">
        <f>IF(AL$3&lt;=65,Inputs!$B$258*AL$52,0)</f>
        <v>0</v>
      </c>
      <c r="AM53" s="7">
        <f>IF(AM$3&lt;=65,Inputs!$B$258*AM$52,0)</f>
        <v>0</v>
      </c>
    </row>
    <row r="54" spans="1:39" x14ac:dyDescent="0.2">
      <c r="A54" s="3" t="str">
        <f>"Adjustment "&amp;Inputs!A259</f>
        <v>Adjustment from 66-75</v>
      </c>
      <c r="B54" s="8"/>
      <c r="C54" s="7">
        <f>IF(AND(C$3&gt;65,C$3&lt;=75),Inputs!$B$259*C52,0)</f>
        <v>0</v>
      </c>
      <c r="D54" s="7">
        <f>IF(AND(D$3&gt;65,D$3&lt;=75),Inputs!$B$259*D52,0)</f>
        <v>0</v>
      </c>
      <c r="E54" s="7">
        <f>IF(AND(E$3&gt;65,E$3&lt;=75),Inputs!$B$259*E52,0)</f>
        <v>0</v>
      </c>
      <c r="F54" s="7">
        <f>IF(AND(F$3&gt;65,F$3&lt;=75),Inputs!$B$259*F52,0)</f>
        <v>0</v>
      </c>
      <c r="G54" s="7">
        <f>IF(AND(G$3&gt;65,G$3&lt;=75),Inputs!$B$259*G52,0)</f>
        <v>0</v>
      </c>
      <c r="H54" s="7">
        <f>IF(AND(H$3&gt;65,H$3&lt;=75),Inputs!$B$259*H52,0)</f>
        <v>0</v>
      </c>
      <c r="I54" s="7">
        <f>IF(AND(I$3&gt;65,I$3&lt;=75),Inputs!$B$259*I52,0)</f>
        <v>0</v>
      </c>
      <c r="J54" s="7">
        <f>IF(AND(J$3&gt;65,J$3&lt;=75),Inputs!$B$259*J52,0)</f>
        <v>0</v>
      </c>
      <c r="K54" s="7">
        <f>IF(AND(K$3&gt;65,K$3&lt;=75),Inputs!$B$259*K52,0)</f>
        <v>0</v>
      </c>
      <c r="L54" s="7">
        <f>IF(AND(L$3&gt;65,L$3&lt;=75),Inputs!$B$259*L52,0)</f>
        <v>0</v>
      </c>
      <c r="M54" s="7">
        <f>IF(AND(M$3&gt;65,M$3&lt;=75),Inputs!$B$259*M52,0)</f>
        <v>0</v>
      </c>
      <c r="N54" s="7">
        <f>IF(AND(N$3&gt;65,N$3&lt;=75),Inputs!$B$259*N52,0)</f>
        <v>0</v>
      </c>
      <c r="O54" s="7">
        <f>IF(AND(O$3&gt;65,O$3&lt;=75),Inputs!$B$259*O52,0)</f>
        <v>0</v>
      </c>
      <c r="P54" s="7">
        <f>IF(AND(P$3&gt;65,P$3&lt;=75),Inputs!$B$259*P52,0)</f>
        <v>0</v>
      </c>
      <c r="Q54" s="7">
        <f>IF(AND(Q$3&gt;65,Q$3&lt;=75),Inputs!$B$259*Q52,0)</f>
        <v>0</v>
      </c>
      <c r="R54" s="7">
        <f>IF(AND(R$3&gt;65,R$3&lt;=75),Inputs!$B$259*R52,0)</f>
        <v>0</v>
      </c>
      <c r="S54" s="7">
        <f>IF(AND(S$3&gt;65,S$3&lt;=75),Inputs!$B$259*S52,0)</f>
        <v>0</v>
      </c>
      <c r="T54" s="7">
        <f>IF(AND(T$3&gt;65,T$3&lt;=75),Inputs!$B$259*T52,0)</f>
        <v>0</v>
      </c>
      <c r="U54" s="7">
        <f>IF(AND(U$3&gt;65,U$3&lt;=75),Inputs!$B$259*U52,0)</f>
        <v>-7798.2935885325205</v>
      </c>
      <c r="V54" s="7">
        <f>IF(AND(V$3&gt;65,V$3&lt;=75),Inputs!$B$259*V52,0)</f>
        <v>-7993.2509282458332</v>
      </c>
      <c r="W54" s="7">
        <f>IF(AND(W$3&gt;65,W$3&lt;=75),Inputs!$B$259*W52,0)</f>
        <v>-8193.0822014519781</v>
      </c>
      <c r="X54" s="7">
        <f>IF(AND(X$3&gt;65,X$3&lt;=75),Inputs!$B$259*X52,0)</f>
        <v>-8397.9092564882776</v>
      </c>
      <c r="Y54" s="7">
        <f>IF(AND(Y$3&gt;65,Y$3&lt;=75),Inputs!$B$259*Y52,0)</f>
        <v>-8607.8569879004845</v>
      </c>
      <c r="Z54" s="7">
        <f>IF(AND(Z$3&gt;65,Z$3&lt;=75),Inputs!$B$259*Z52,0)</f>
        <v>-8823.0534125979957</v>
      </c>
      <c r="AA54" s="7">
        <f>IF(AND(AA$3&gt;65,AA$3&lt;=75),Inputs!$B$259*AA52,0)</f>
        <v>-9043.6297479129444</v>
      </c>
      <c r="AB54" s="7">
        <f>IF(AND(AB$3&gt;65,AB$3&lt;=75),Inputs!$B$259*AB52,0)</f>
        <v>-9269.7204916107676</v>
      </c>
      <c r="AC54" s="7">
        <f>IF(AND(AC$3&gt;65,AC$3&lt;=75),Inputs!$B$259*AC52,0)</f>
        <v>-9501.4635039010354</v>
      </c>
      <c r="AD54" s="7">
        <f>IF(AND(AD$3&gt;65,AD$3&lt;=75),Inputs!$B$259*AD52,0)</f>
        <v>-9739.0000914985612</v>
      </c>
      <c r="AE54" s="7">
        <f>IF(AND(AE$3&gt;65,AE$3&lt;=75),Inputs!$B$259*AE52,0)</f>
        <v>0</v>
      </c>
      <c r="AF54" s="7">
        <f>IF(AND(AF$3&gt;65,AF$3&lt;=75),Inputs!$B$259*AF52,0)</f>
        <v>0</v>
      </c>
      <c r="AG54" s="7">
        <f>IF(AND(AG$3&gt;65,AG$3&lt;=75),Inputs!$B$259*AG52,0)</f>
        <v>0</v>
      </c>
      <c r="AH54" s="7">
        <f>IF(AND(AH$3&gt;65,AH$3&lt;=75),Inputs!$B$259*AH52,0)</f>
        <v>0</v>
      </c>
      <c r="AI54" s="7">
        <f>IF(AND(AI$3&gt;65,AI$3&lt;=75),Inputs!$B$259*AI52,0)</f>
        <v>0</v>
      </c>
      <c r="AJ54" s="7">
        <f>IF(AND(AJ$3&gt;65,AJ$3&lt;=75),Inputs!$B$259*AJ52,0)</f>
        <v>0</v>
      </c>
      <c r="AK54" s="7">
        <f>IF(AND(AK$3&gt;65,AK$3&lt;=75),Inputs!$B$259*AK52,0)</f>
        <v>0</v>
      </c>
      <c r="AL54" s="7">
        <f>IF(AND(AL$3&gt;65,AL$3&lt;=75),Inputs!$B$259*AL52,0)</f>
        <v>0</v>
      </c>
      <c r="AM54" s="7">
        <f>IF(AND(AM$3&gt;65,AM$3&lt;=75),Inputs!$B$259*AM52,0)</f>
        <v>0</v>
      </c>
    </row>
    <row r="55" spans="1:39" x14ac:dyDescent="0.2">
      <c r="A55" s="3" t="str">
        <f>"Adjustment "&amp;Inputs!A260</f>
        <v>Adjustment from age 76</v>
      </c>
      <c r="B55" s="8"/>
      <c r="C55" s="7">
        <f>IF(C$3&gt;75,Inputs!$B$260*C$52,0)</f>
        <v>0</v>
      </c>
      <c r="D55" s="7">
        <f>IF(D$3&gt;75,Inputs!$B$260*D$52,0)</f>
        <v>0</v>
      </c>
      <c r="E55" s="7">
        <f>IF(E$3&gt;75,Inputs!$B$260*E$52,0)</f>
        <v>0</v>
      </c>
      <c r="F55" s="7">
        <f>IF(F$3&gt;75,Inputs!$B$260*F$52,0)</f>
        <v>0</v>
      </c>
      <c r="G55" s="7">
        <f>IF(G$3&gt;75,Inputs!$B$260*G$52,0)</f>
        <v>0</v>
      </c>
      <c r="H55" s="7">
        <f>IF(H$3&gt;75,Inputs!$B$260*H$52,0)</f>
        <v>0</v>
      </c>
      <c r="I55" s="7">
        <f>IF(I$3&gt;75,Inputs!$B$260*I$52,0)</f>
        <v>0</v>
      </c>
      <c r="J55" s="7">
        <f>IF(J$3&gt;75,Inputs!$B$260*J$52,0)</f>
        <v>0</v>
      </c>
      <c r="K55" s="7">
        <f>IF(K$3&gt;75,Inputs!$B$260*K$52,0)</f>
        <v>0</v>
      </c>
      <c r="L55" s="7">
        <f>IF(L$3&gt;75,Inputs!$B$260*L$52,0)</f>
        <v>0</v>
      </c>
      <c r="M55" s="7">
        <f>IF(M$3&gt;75,Inputs!$B$260*M$52,0)</f>
        <v>0</v>
      </c>
      <c r="N55" s="7">
        <f>IF(N$3&gt;75,Inputs!$B$260*N$52,0)</f>
        <v>0</v>
      </c>
      <c r="O55" s="7">
        <f>IF(O$3&gt;75,Inputs!$B$260*O$52,0)</f>
        <v>0</v>
      </c>
      <c r="P55" s="7">
        <f>IF(P$3&gt;75,Inputs!$B$260*P$52,0)</f>
        <v>0</v>
      </c>
      <c r="Q55" s="7">
        <f>IF(Q$3&gt;75,Inputs!$B$260*Q$52,0)</f>
        <v>0</v>
      </c>
      <c r="R55" s="7">
        <f>IF(R$3&gt;75,Inputs!$B$260*R$52,0)</f>
        <v>0</v>
      </c>
      <c r="S55" s="7">
        <f>IF(S$3&gt;75,Inputs!$B$260*S$52,0)</f>
        <v>0</v>
      </c>
      <c r="T55" s="7">
        <f>IF(T$3&gt;75,Inputs!$B$260*T$52,0)</f>
        <v>0</v>
      </c>
      <c r="U55" s="7">
        <f>IF(U$3&gt;75,Inputs!$B$260*U$52,0)</f>
        <v>0</v>
      </c>
      <c r="V55" s="7">
        <f>IF(V$3&gt;75,Inputs!$B$260*V$52,0)</f>
        <v>0</v>
      </c>
      <c r="W55" s="7">
        <f>IF(W$3&gt;75,Inputs!$B$260*W$52,0)</f>
        <v>0</v>
      </c>
      <c r="X55" s="7">
        <f>IF(X$3&gt;75,Inputs!$B$260*X$52,0)</f>
        <v>0</v>
      </c>
      <c r="Y55" s="7">
        <f>IF(Y$3&gt;75,Inputs!$B$260*Y$52,0)</f>
        <v>0</v>
      </c>
      <c r="Z55" s="7">
        <f>IF(Z$3&gt;75,Inputs!$B$260*Z$52,0)</f>
        <v>0</v>
      </c>
      <c r="AA55" s="7">
        <f>IF(AA$3&gt;75,Inputs!$B$260*AA$52,0)</f>
        <v>0</v>
      </c>
      <c r="AB55" s="7">
        <f>IF(AB$3&gt;75,Inputs!$B$260*AB$52,0)</f>
        <v>0</v>
      </c>
      <c r="AC55" s="7">
        <f>IF(AC$3&gt;75,Inputs!$B$260*AC$52,0)</f>
        <v>0</v>
      </c>
      <c r="AD55" s="7">
        <f>IF(AD$3&gt;75,Inputs!$B$260*AD$52,0)</f>
        <v>0</v>
      </c>
      <c r="AE55" s="7">
        <f>IF(AE$3&gt;75,Inputs!$B$260*AE$52,0)</f>
        <v>-19964.950187572049</v>
      </c>
      <c r="AF55" s="7">
        <f>IF(AF$3&gt;75,Inputs!$B$260*AF$52,0)</f>
        <v>-20464.073942261355</v>
      </c>
      <c r="AG55" s="7">
        <f>IF(AG$3&gt;75,Inputs!$B$260*AG$52,0)</f>
        <v>-20975.675790817884</v>
      </c>
      <c r="AH55" s="7">
        <f>IF(AH$3&gt;75,Inputs!$B$260*AH$52,0)</f>
        <v>-21500.067685588336</v>
      </c>
      <c r="AI55" s="7">
        <f>IF(AI$3&gt;75,Inputs!$B$260*AI$52,0)</f>
        <v>-22037.569377728039</v>
      </c>
      <c r="AJ55" s="7">
        <f>IF(AJ$3&gt;75,Inputs!$B$260*AJ$52,0)</f>
        <v>-22588.508612171237</v>
      </c>
      <c r="AK55" s="7">
        <f>IF(AK$3&gt;75,Inputs!$B$260*AK$52,0)</f>
        <v>-23153.22132747552</v>
      </c>
      <c r="AL55" s="7">
        <f>IF(AL$3&gt;75,Inputs!$B$260*AL$52,0)</f>
        <v>-23732.051860662403</v>
      </c>
      <c r="AM55" s="7">
        <f>IF(AM$3&gt;75,Inputs!$B$260*AM$52,0)</f>
        <v>-24325.353157178964</v>
      </c>
    </row>
    <row r="56" spans="1:39" x14ac:dyDescent="0.2">
      <c r="A56" s="4" t="s">
        <v>57</v>
      </c>
      <c r="B56" s="8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  <c r="AG56" s="7"/>
      <c r="AH56" s="7"/>
      <c r="AI56" s="7"/>
      <c r="AJ56" s="7"/>
      <c r="AK56" s="7"/>
      <c r="AL56" s="7"/>
      <c r="AM56" s="7"/>
    </row>
    <row r="57" spans="1:39" x14ac:dyDescent="0.2">
      <c r="A57" s="3" t="str">
        <f>TEXT(Inputs!$B$202,"")</f>
        <v>Wedding</v>
      </c>
      <c r="B57" s="8"/>
      <c r="C57" s="7">
        <f ca="1">IF(C$2=Inputs!$B204,Inputs!$B203,0)*(1+inf)^B$1</f>
        <v>0</v>
      </c>
      <c r="D57" s="7">
        <f ca="1">IF(D$2=Inputs!$B204,Inputs!$B203,0)*(1+inf)^C$1</f>
        <v>0</v>
      </c>
      <c r="E57" s="7">
        <f ca="1">IF(E$2=Inputs!$B204,Inputs!$B203,0)*(1+inf)^D$1</f>
        <v>0</v>
      </c>
      <c r="F57" s="7">
        <f ca="1">IF(F$2=Inputs!$B204,Inputs!$B203,0)*(1+inf)^E$1</f>
        <v>0</v>
      </c>
      <c r="G57" s="7">
        <f ca="1">IF(G$2=Inputs!$B204,Inputs!$B203,0)*(1+inf)^F$1</f>
        <v>0</v>
      </c>
      <c r="H57" s="7">
        <f ca="1">IF(H$2=Inputs!$B204,Inputs!$B203,0)*(1+inf)^G$1</f>
        <v>0</v>
      </c>
      <c r="I57" s="7">
        <f ca="1">IF(I$2=Inputs!$B204,Inputs!$B203,0)*(1+inf)^H$1</f>
        <v>0</v>
      </c>
      <c r="J57" s="7">
        <f ca="1">IF(J$2=Inputs!$B204,Inputs!$B203,0)*(1+inf)^I$1</f>
        <v>0</v>
      </c>
      <c r="K57" s="7">
        <f ca="1">IF(K$2=Inputs!$B204,Inputs!$B203,0)*(1+inf)^J$1</f>
        <v>0</v>
      </c>
      <c r="L57" s="7">
        <f ca="1">IF(L$2=Inputs!$B204,Inputs!$B203,0)*(1+inf)^K$1</f>
        <v>0</v>
      </c>
      <c r="M57" s="7">
        <f ca="1">IF(M$2=Inputs!$B204,Inputs!$B203,0)*(1+inf)^L$1</f>
        <v>51203.381767854284</v>
      </c>
      <c r="N57" s="7">
        <f ca="1">IF(N$2=Inputs!$B204,Inputs!$B203,0)*(1+inf)^M$1</f>
        <v>0</v>
      </c>
      <c r="O57" s="7">
        <f ca="1">IF(O$2=Inputs!$B204,Inputs!$B203,0)*(1+inf)^N$1</f>
        <v>0</v>
      </c>
      <c r="P57" s="7">
        <f ca="1">IF(P$2=Inputs!$B204,Inputs!$B203,0)*(1+inf)^O$1</f>
        <v>0</v>
      </c>
      <c r="Q57" s="7">
        <f ca="1">IF(Q$2=Inputs!$B204,Inputs!$B203,0)*(1+inf)^P$1</f>
        <v>0</v>
      </c>
      <c r="R57" s="7">
        <f ca="1">IF(R$2=Inputs!$B204,Inputs!$B203,0)*(1+inf)^Q$1</f>
        <v>0</v>
      </c>
      <c r="S57" s="7">
        <f ca="1">IF(S$2=Inputs!$B204,Inputs!$B203,0)*(1+inf)^R$1</f>
        <v>0</v>
      </c>
      <c r="T57" s="7">
        <f ca="1">IF(T$2=Inputs!$B204,Inputs!$B203,0)*(1+inf)^S$1</f>
        <v>0</v>
      </c>
      <c r="U57" s="7">
        <f ca="1">IF(U$2=Inputs!$B204,Inputs!$B203,0)*(1+inf)^T$1</f>
        <v>0</v>
      </c>
      <c r="V57" s="7">
        <f ca="1">IF(V$2=Inputs!$B204,Inputs!$B203,0)*(1+inf)^U$1</f>
        <v>0</v>
      </c>
      <c r="W57" s="7">
        <f ca="1">IF(W$2=Inputs!$B204,Inputs!$B203,0)*(1+inf)^V$1</f>
        <v>0</v>
      </c>
      <c r="X57" s="7">
        <f ca="1">IF(X$2=Inputs!$B204,Inputs!$B203,0)*(1+inf)^W$1</f>
        <v>0</v>
      </c>
      <c r="Y57" s="7">
        <f ca="1">IF(Y$2=Inputs!$B204,Inputs!$B203,0)*(1+inf)^X$1</f>
        <v>0</v>
      </c>
      <c r="Z57" s="7">
        <f ca="1">IF(Z$2=Inputs!$B204,Inputs!$B203,0)*(1+inf)^Y$1</f>
        <v>0</v>
      </c>
      <c r="AA57" s="7">
        <f ca="1">IF(AA$2=Inputs!$B204,Inputs!$B203,0)*(1+inf)^Z$1</f>
        <v>0</v>
      </c>
      <c r="AB57" s="7">
        <f ca="1">IF(AB$2=Inputs!$B204,Inputs!$B203,0)*(1+inf)^AA$1</f>
        <v>0</v>
      </c>
      <c r="AC57" s="7">
        <f ca="1">IF(AC$2=Inputs!$B204,Inputs!$B203,0)*(1+inf)^AB$1</f>
        <v>0</v>
      </c>
      <c r="AD57" s="7">
        <f ca="1">IF(AD$2=Inputs!$B204,Inputs!$B203,0)*(1+inf)^AC$1</f>
        <v>0</v>
      </c>
      <c r="AE57" s="7">
        <f ca="1">IF(AE$2=Inputs!$B204,Inputs!$B203,0)*(1+inf)^AD$1</f>
        <v>0</v>
      </c>
      <c r="AF57" s="7">
        <f ca="1">IF(AF$2=Inputs!$B204,Inputs!$B203,0)*(1+inf)^AE$1</f>
        <v>0</v>
      </c>
      <c r="AG57" s="7">
        <f ca="1">IF(AG$2=Inputs!$B204,Inputs!$B203,0)*(1+inf)^AF$1</f>
        <v>0</v>
      </c>
      <c r="AH57" s="7">
        <f ca="1">IF(AH$2=Inputs!$B204,Inputs!$B203,0)*(1+inf)^AG$1</f>
        <v>0</v>
      </c>
      <c r="AI57" s="7">
        <f ca="1">IF(AI$2=Inputs!$B204,Inputs!$B203,0)*(1+inf)^AH$1</f>
        <v>0</v>
      </c>
      <c r="AJ57" s="7">
        <f ca="1">IF(AJ$2=Inputs!$B204,Inputs!$B203,0)*(1+inf)^AI$1</f>
        <v>0</v>
      </c>
      <c r="AK57" s="7">
        <f ca="1">IF(AK$2=Inputs!$B204,Inputs!$B203,0)*(1+inf)^AJ$1</f>
        <v>0</v>
      </c>
      <c r="AL57" s="7">
        <f ca="1">IF(AL$2=Inputs!$B204,Inputs!$B203,0)*(1+inf)^AK$1</f>
        <v>0</v>
      </c>
      <c r="AM57" s="7">
        <f ca="1">IF(AM$2=Inputs!$B204,Inputs!$B203,0)*(1+inf)^AL$1</f>
        <v>0</v>
      </c>
    </row>
    <row r="58" spans="1:39" x14ac:dyDescent="0.2">
      <c r="A58" s="3" t="str">
        <f>TEXT(Inputs!$B$207,"")</f>
        <v>New Car</v>
      </c>
      <c r="B58" s="8"/>
      <c r="C58" s="7">
        <f ca="1">IF(C$2=Inputs!$B209,Inputs!$B208,0)*(1+inf)^B$1</f>
        <v>0</v>
      </c>
      <c r="D58" s="7">
        <f ca="1">IF(D$2=Inputs!$B209,Inputs!$B208,0)*(1+inf)^C$1</f>
        <v>0</v>
      </c>
      <c r="E58" s="7">
        <f ca="1">IF(E$2=Inputs!$B209,Inputs!$B208,0)*(1+inf)^D$1</f>
        <v>0</v>
      </c>
      <c r="F58" s="7">
        <f ca="1">IF(F$2=Inputs!$B209,Inputs!$B208,0)*(1+inf)^E$1</f>
        <v>37691.171874999993</v>
      </c>
      <c r="G58" s="7">
        <f ca="1">IF(G$2=Inputs!$B209,Inputs!$B208,0)*(1+inf)^F$1</f>
        <v>0</v>
      </c>
      <c r="H58" s="7">
        <f ca="1">IF(H$2=Inputs!$B209,Inputs!$B208,0)*(1+inf)^G$1</f>
        <v>0</v>
      </c>
      <c r="I58" s="7">
        <f ca="1">IF(I$2=Inputs!$B209,Inputs!$B208,0)*(1+inf)^H$1</f>
        <v>0</v>
      </c>
      <c r="J58" s="7">
        <f ca="1">IF(J$2=Inputs!$B209,Inputs!$B208,0)*(1+inf)^I$1</f>
        <v>0</v>
      </c>
      <c r="K58" s="7">
        <f ca="1">IF(K$2=Inputs!$B209,Inputs!$B208,0)*(1+inf)^J$1</f>
        <v>0</v>
      </c>
      <c r="L58" s="7">
        <f ca="1">IF(L$2=Inputs!$B209,Inputs!$B208,0)*(1+inf)^K$1</f>
        <v>0</v>
      </c>
      <c r="M58" s="7">
        <f ca="1">IF(M$2=Inputs!$B209,Inputs!$B208,0)*(1+inf)^L$1</f>
        <v>0</v>
      </c>
      <c r="N58" s="7">
        <f ca="1">IF(N$2=Inputs!$B209,Inputs!$B208,0)*(1+inf)^M$1</f>
        <v>0</v>
      </c>
      <c r="O58" s="7">
        <f ca="1">IF(O$2=Inputs!$B209,Inputs!$B208,0)*(1+inf)^N$1</f>
        <v>0</v>
      </c>
      <c r="P58" s="7">
        <f ca="1">IF(P$2=Inputs!$B209,Inputs!$B208,0)*(1+inf)^O$1</f>
        <v>0</v>
      </c>
      <c r="Q58" s="7">
        <f ca="1">IF(Q$2=Inputs!$B209,Inputs!$B208,0)*(1+inf)^P$1</f>
        <v>0</v>
      </c>
      <c r="R58" s="7">
        <f ca="1">IF(R$2=Inputs!$B209,Inputs!$B208,0)*(1+inf)^Q$1</f>
        <v>0</v>
      </c>
      <c r="S58" s="7">
        <f ca="1">IF(S$2=Inputs!$B209,Inputs!$B208,0)*(1+inf)^R$1</f>
        <v>0</v>
      </c>
      <c r="T58" s="7">
        <f ca="1">IF(T$2=Inputs!$B209,Inputs!$B208,0)*(1+inf)^S$1</f>
        <v>0</v>
      </c>
      <c r="U58" s="7">
        <f ca="1">IF(U$2=Inputs!$B209,Inputs!$B208,0)*(1+inf)^T$1</f>
        <v>0</v>
      </c>
      <c r="V58" s="7">
        <f ca="1">IF(V$2=Inputs!$B209,Inputs!$B208,0)*(1+inf)^U$1</f>
        <v>0</v>
      </c>
      <c r="W58" s="7">
        <f ca="1">IF(W$2=Inputs!$B209,Inputs!$B208,0)*(1+inf)^V$1</f>
        <v>0</v>
      </c>
      <c r="X58" s="7">
        <f ca="1">IF(X$2=Inputs!$B209,Inputs!$B208,0)*(1+inf)^W$1</f>
        <v>0</v>
      </c>
      <c r="Y58" s="7">
        <f ca="1">IF(Y$2=Inputs!$B209,Inputs!$B208,0)*(1+inf)^X$1</f>
        <v>0</v>
      </c>
      <c r="Z58" s="7">
        <f ca="1">IF(Z$2=Inputs!$B209,Inputs!$B208,0)*(1+inf)^Y$1</f>
        <v>0</v>
      </c>
      <c r="AA58" s="7">
        <f ca="1">IF(AA$2=Inputs!$B209,Inputs!$B208,0)*(1+inf)^Z$1</f>
        <v>0</v>
      </c>
      <c r="AB58" s="7">
        <f ca="1">IF(AB$2=Inputs!$B209,Inputs!$B208,0)*(1+inf)^AA$1</f>
        <v>0</v>
      </c>
      <c r="AC58" s="7">
        <f ca="1">IF(AC$2=Inputs!$B209,Inputs!$B208,0)*(1+inf)^AB$1</f>
        <v>0</v>
      </c>
      <c r="AD58" s="7">
        <f ca="1">IF(AD$2=Inputs!$B209,Inputs!$B208,0)*(1+inf)^AC$1</f>
        <v>0</v>
      </c>
      <c r="AE58" s="7">
        <f ca="1">IF(AE$2=Inputs!$B209,Inputs!$B208,0)*(1+inf)^AD$1</f>
        <v>0</v>
      </c>
      <c r="AF58" s="7">
        <f ca="1">IF(AF$2=Inputs!$B209,Inputs!$B208,0)*(1+inf)^AE$1</f>
        <v>0</v>
      </c>
      <c r="AG58" s="7">
        <f ca="1">IF(AG$2=Inputs!$B209,Inputs!$B208,0)*(1+inf)^AF$1</f>
        <v>0</v>
      </c>
      <c r="AH58" s="7">
        <f ca="1">IF(AH$2=Inputs!$B209,Inputs!$B208,0)*(1+inf)^AG$1</f>
        <v>0</v>
      </c>
      <c r="AI58" s="7">
        <f ca="1">IF(AI$2=Inputs!$B209,Inputs!$B208,0)*(1+inf)^AH$1</f>
        <v>0</v>
      </c>
      <c r="AJ58" s="7">
        <f ca="1">IF(AJ$2=Inputs!$B209,Inputs!$B208,0)*(1+inf)^AI$1</f>
        <v>0</v>
      </c>
      <c r="AK58" s="7">
        <f ca="1">IF(AK$2=Inputs!$B209,Inputs!$B208,0)*(1+inf)^AJ$1</f>
        <v>0</v>
      </c>
      <c r="AL58" s="7">
        <f ca="1">IF(AL$2=Inputs!$B209,Inputs!$B208,0)*(1+inf)^AK$1</f>
        <v>0</v>
      </c>
      <c r="AM58" s="7">
        <f ca="1">IF(AM$2=Inputs!$B209,Inputs!$B208,0)*(1+inf)^AL$1</f>
        <v>0</v>
      </c>
    </row>
    <row r="59" spans="1:39" x14ac:dyDescent="0.2">
      <c r="A59" s="3" t="str">
        <f>TEXT(Inputs!$B$212,"")</f>
        <v>New AC</v>
      </c>
      <c r="B59" s="8"/>
      <c r="C59" s="7">
        <f ca="1">IF(C$2=Inputs!$B214,Inputs!$B213,0)*(1+inf)^B$1</f>
        <v>0</v>
      </c>
      <c r="D59" s="7">
        <f ca="1">IF(D$2=Inputs!$B214,Inputs!$B213,0)*(1+inf)^C$1</f>
        <v>0</v>
      </c>
      <c r="E59" s="7">
        <f ca="1">IF(E$2=Inputs!$B214,Inputs!$B213,0)*(1+inf)^D$1</f>
        <v>0</v>
      </c>
      <c r="F59" s="7">
        <f ca="1">IF(F$2=Inputs!$B214,Inputs!$B213,0)*(1+inf)^E$1</f>
        <v>0</v>
      </c>
      <c r="G59" s="7">
        <f ca="1">IF(G$2=Inputs!$B214,Inputs!$B213,0)*(1+inf)^F$1</f>
        <v>0</v>
      </c>
      <c r="H59" s="7">
        <f ca="1">IF(H$2=Inputs!$B214,Inputs!$B213,0)*(1+inf)^G$1</f>
        <v>0</v>
      </c>
      <c r="I59" s="7">
        <f ca="1">IF(I$2=Inputs!$B214,Inputs!$B213,0)*(1+inf)^H$1</f>
        <v>0</v>
      </c>
      <c r="J59" s="7">
        <f ca="1">IF(J$2=Inputs!$B214,Inputs!$B213,0)*(1+inf)^I$1</f>
        <v>0</v>
      </c>
      <c r="K59" s="7">
        <f ca="1">IF(K$2=Inputs!$B214,Inputs!$B213,0)*(1+inf)^J$1</f>
        <v>18276.043462648766</v>
      </c>
      <c r="L59" s="7">
        <f ca="1">IF(L$2=Inputs!$B214,Inputs!$B213,0)*(1+inf)^K$1</f>
        <v>0</v>
      </c>
      <c r="M59" s="7">
        <f ca="1">IF(M$2=Inputs!$B214,Inputs!$B213,0)*(1+inf)^L$1</f>
        <v>0</v>
      </c>
      <c r="N59" s="7">
        <f ca="1">IF(N$2=Inputs!$B214,Inputs!$B213,0)*(1+inf)^M$1</f>
        <v>0</v>
      </c>
      <c r="O59" s="7">
        <f ca="1">IF(O$2=Inputs!$B214,Inputs!$B213,0)*(1+inf)^N$1</f>
        <v>0</v>
      </c>
      <c r="P59" s="7">
        <f ca="1">IF(P$2=Inputs!$B214,Inputs!$B213,0)*(1+inf)^O$1</f>
        <v>0</v>
      </c>
      <c r="Q59" s="7">
        <f ca="1">IF(Q$2=Inputs!$B214,Inputs!$B213,0)*(1+inf)^P$1</f>
        <v>0</v>
      </c>
      <c r="R59" s="7">
        <f ca="1">IF(R$2=Inputs!$B214,Inputs!$B213,0)*(1+inf)^Q$1</f>
        <v>0</v>
      </c>
      <c r="S59" s="7">
        <f ca="1">IF(S$2=Inputs!$B214,Inputs!$B213,0)*(1+inf)^R$1</f>
        <v>0</v>
      </c>
      <c r="T59" s="7">
        <f ca="1">IF(T$2=Inputs!$B214,Inputs!$B213,0)*(1+inf)^S$1</f>
        <v>0</v>
      </c>
      <c r="U59" s="7">
        <f ca="1">IF(U$2=Inputs!$B214,Inputs!$B213,0)*(1+inf)^T$1</f>
        <v>0</v>
      </c>
      <c r="V59" s="7">
        <f ca="1">IF(V$2=Inputs!$B214,Inputs!$B213,0)*(1+inf)^U$1</f>
        <v>0</v>
      </c>
      <c r="W59" s="7">
        <f ca="1">IF(W$2=Inputs!$B214,Inputs!$B213,0)*(1+inf)^V$1</f>
        <v>0</v>
      </c>
      <c r="X59" s="7">
        <f ca="1">IF(X$2=Inputs!$B214,Inputs!$B213,0)*(1+inf)^W$1</f>
        <v>0</v>
      </c>
      <c r="Y59" s="7">
        <f ca="1">IF(Y$2=Inputs!$B214,Inputs!$B213,0)*(1+inf)^X$1</f>
        <v>0</v>
      </c>
      <c r="Z59" s="7">
        <f ca="1">IF(Z$2=Inputs!$B214,Inputs!$B213,0)*(1+inf)^Y$1</f>
        <v>0</v>
      </c>
      <c r="AA59" s="7">
        <f ca="1">IF(AA$2=Inputs!$B214,Inputs!$B213,0)*(1+inf)^Z$1</f>
        <v>0</v>
      </c>
      <c r="AB59" s="7">
        <f ca="1">IF(AB$2=Inputs!$B214,Inputs!$B213,0)*(1+inf)^AA$1</f>
        <v>0</v>
      </c>
      <c r="AC59" s="7">
        <f ca="1">IF(AC$2=Inputs!$B214,Inputs!$B213,0)*(1+inf)^AB$1</f>
        <v>0</v>
      </c>
      <c r="AD59" s="7">
        <f ca="1">IF(AD$2=Inputs!$B214,Inputs!$B213,0)*(1+inf)^AC$1</f>
        <v>0</v>
      </c>
      <c r="AE59" s="7">
        <f ca="1">IF(AE$2=Inputs!$B214,Inputs!$B213,0)*(1+inf)^AD$1</f>
        <v>0</v>
      </c>
      <c r="AF59" s="7">
        <f ca="1">IF(AF$2=Inputs!$B214,Inputs!$B213,0)*(1+inf)^AE$1</f>
        <v>0</v>
      </c>
      <c r="AG59" s="7">
        <f ca="1">IF(AG$2=Inputs!$B214,Inputs!$B213,0)*(1+inf)^AF$1</f>
        <v>0</v>
      </c>
      <c r="AH59" s="7">
        <f ca="1">IF(AH$2=Inputs!$B214,Inputs!$B213,0)*(1+inf)^AG$1</f>
        <v>0</v>
      </c>
      <c r="AI59" s="7">
        <f ca="1">IF(AI$2=Inputs!$B214,Inputs!$B213,0)*(1+inf)^AH$1</f>
        <v>0</v>
      </c>
      <c r="AJ59" s="7">
        <f ca="1">IF(AJ$2=Inputs!$B214,Inputs!$B213,0)*(1+inf)^AI$1</f>
        <v>0</v>
      </c>
      <c r="AK59" s="7">
        <f ca="1">IF(AK$2=Inputs!$B214,Inputs!$B213,0)*(1+inf)^AJ$1</f>
        <v>0</v>
      </c>
      <c r="AL59" s="7">
        <f ca="1">IF(AL$2=Inputs!$B214,Inputs!$B213,0)*(1+inf)^AK$1</f>
        <v>0</v>
      </c>
      <c r="AM59" s="7">
        <f ca="1">IF(AM$2=Inputs!$B214,Inputs!$B213,0)*(1+inf)^AL$1</f>
        <v>0</v>
      </c>
    </row>
    <row r="60" spans="1:39" x14ac:dyDescent="0.2">
      <c r="A60" s="4" t="s">
        <v>228</v>
      </c>
      <c r="B60" s="8"/>
      <c r="C60" s="7">
        <f ca="1">IF(C$3&lt;$B$3,Inputs!$B$11*IF(B$1=0,MthRem,12),0)</f>
        <v>3150</v>
      </c>
      <c r="D60" s="7">
        <f>IF(D$3&lt;$B$3,Inputs!$B$11*IF(C$1=0,MthRem,12),0)</f>
        <v>4200</v>
      </c>
      <c r="E60" s="7">
        <f>IF(E$3&lt;$B$3,Inputs!$B$11*IF(D$1=0,MthRem,12),0)</f>
        <v>4200</v>
      </c>
      <c r="F60" s="7">
        <f>IF(F$3&lt;$B$3,Inputs!$B$11*IF(E$1=0,MthRem,12),0)</f>
        <v>4200</v>
      </c>
      <c r="G60" s="7">
        <f>IF(G$3&lt;$B$3,Inputs!$B$11*IF(F$1=0,MthRem,12),0)</f>
        <v>4200</v>
      </c>
      <c r="H60" s="7">
        <f>IF(H$3&lt;$B$3,Inputs!$B$11*IF(G$1=0,MthRem,12),0)</f>
        <v>4200</v>
      </c>
      <c r="I60" s="7">
        <f>IF(I$3&lt;$B$3,Inputs!$B$11*IF(H$1=0,MthRem,12),0)</f>
        <v>4200</v>
      </c>
      <c r="J60" s="7">
        <f>IF(J$3&lt;$B$3,Inputs!$B$11*IF(I$1=0,MthRem,12),0)</f>
        <v>4200</v>
      </c>
      <c r="K60" s="7">
        <f>IF(K$3&lt;$B$3,Inputs!$B$11*IF(J$1=0,MthRem,12),0)</f>
        <v>4200</v>
      </c>
      <c r="L60" s="7">
        <f>IF(L$3&lt;$B$3,Inputs!$B$11*IF(K$1=0,MthRem,12),0)</f>
        <v>4200</v>
      </c>
      <c r="M60" s="7">
        <f>IF(M$3&lt;$B$3,Inputs!$B$11*IF(L$1=0,MthRem,12),0)</f>
        <v>4200</v>
      </c>
      <c r="N60" s="7">
        <f>IF(N$3&lt;$B$3,Inputs!$B$11*IF(M$1=0,MthRem,12),0)</f>
        <v>4200</v>
      </c>
      <c r="O60" s="7">
        <f>IF(O$3&lt;$B$3,Inputs!$B$11*IF(N$1=0,MthRem,12),0)</f>
        <v>4200</v>
      </c>
      <c r="P60" s="7">
        <f>IF(P$3&lt;$B$3,Inputs!$B$11*IF(O$1=0,MthRem,12),0)</f>
        <v>4200</v>
      </c>
      <c r="Q60" s="7">
        <f>IF(Q$3&lt;$B$3,Inputs!$B$11*IF(P$1=0,MthRem,12),0)</f>
        <v>4200</v>
      </c>
      <c r="R60" s="7">
        <f>IF(R$3&lt;$B$3,Inputs!$B$11*IF(Q$1=0,MthRem,12),0)</f>
        <v>4200</v>
      </c>
      <c r="S60" s="7">
        <f>IF(S$3&lt;$B$3,Inputs!$B$11*IF(R$1=0,MthRem,12),0)</f>
        <v>4200</v>
      </c>
      <c r="T60" s="7">
        <f>IF(T$3&lt;$B$3,Inputs!$B$11*IF(S$1=0,MthRem,12),0)</f>
        <v>0</v>
      </c>
      <c r="U60" s="7">
        <f>IF(U$3&lt;$B$3,Inputs!$B$11*IF(T$1=0,MthRem,12),0)</f>
        <v>0</v>
      </c>
      <c r="V60" s="7">
        <f>IF(V$3&lt;$B$3,Inputs!$B$11*IF(U$1=0,MthRem,12),0)</f>
        <v>0</v>
      </c>
      <c r="W60" s="7">
        <f>IF(W$3&lt;$B$3,Inputs!$B$11*IF(V$1=0,MthRem,12),0)</f>
        <v>0</v>
      </c>
      <c r="X60" s="7">
        <f>IF(X$3&lt;$B$3,Inputs!$B$11*IF(W$1=0,MthRem,12),0)</f>
        <v>0</v>
      </c>
      <c r="Y60" s="7">
        <f>IF(Y$3&lt;$B$3,Inputs!$B$11*IF(X$1=0,MthRem,12),0)</f>
        <v>0</v>
      </c>
      <c r="Z60" s="7">
        <f>IF(Z$3&lt;$B$3,Inputs!$B$11*IF(Y$1=0,MthRem,12),0)</f>
        <v>0</v>
      </c>
      <c r="AA60" s="7">
        <f>IF(AA$3&lt;$B$3,Inputs!$B$11*IF(Z$1=0,MthRem,12),0)</f>
        <v>0</v>
      </c>
      <c r="AB60" s="7">
        <f>IF(AB$3&lt;$B$3,Inputs!$B$11*IF(AA$1=0,MthRem,12),0)</f>
        <v>0</v>
      </c>
      <c r="AC60" s="7">
        <f>IF(AC$3&lt;$B$3,Inputs!$B$11*IF(AB$1=0,MthRem,12),0)</f>
        <v>0</v>
      </c>
      <c r="AD60" s="7">
        <f>IF(AD$3&lt;$B$3,Inputs!$B$11*IF(AC$1=0,MthRem,12),0)</f>
        <v>0</v>
      </c>
      <c r="AE60" s="7">
        <f>IF(AE$3&lt;$B$3,Inputs!$B$11*IF(AD$1=0,MthRem,12),0)</f>
        <v>0</v>
      </c>
      <c r="AF60" s="7">
        <f>IF(AF$3&lt;$B$3,Inputs!$B$11*IF(AE$1=0,MthRem,12),0)</f>
        <v>0</v>
      </c>
      <c r="AG60" s="7">
        <f>IF(AG$3&lt;$B$3,Inputs!$B$11*IF(AF$1=0,MthRem,12),0)</f>
        <v>0</v>
      </c>
      <c r="AH60" s="7">
        <f>IF(AH$3&lt;$B$3,Inputs!$B$11*IF(AG$1=0,MthRem,12),0)</f>
        <v>0</v>
      </c>
      <c r="AI60" s="7">
        <f>IF(AI$3&lt;$B$3,Inputs!$B$11*IF(AH$1=0,MthRem,12),0)</f>
        <v>0</v>
      </c>
      <c r="AJ60" s="7">
        <f>IF(AJ$3&lt;$B$3,Inputs!$B$11*IF(AI$1=0,MthRem,12),0)</f>
        <v>0</v>
      </c>
      <c r="AK60" s="7">
        <f>IF(AK$3&lt;$B$3,Inputs!$B$11*IF(AJ$1=0,MthRem,12),0)</f>
        <v>0</v>
      </c>
      <c r="AL60" s="7">
        <f>IF(AL$3&lt;$B$3,Inputs!$B$11*IF(AK$1=0,MthRem,12),0)</f>
        <v>0</v>
      </c>
      <c r="AM60" s="7">
        <f>IF(AM$3&lt;$B$3,Inputs!$B$11*IF(AL$1=0,MthRem,12),0)</f>
        <v>0</v>
      </c>
    </row>
    <row r="61" spans="1:39" x14ac:dyDescent="0.2">
      <c r="A61" s="4" t="s">
        <v>223</v>
      </c>
      <c r="B61" s="8"/>
      <c r="C61" s="7">
        <f ca="1">IF(AND(Inputs!$B$218&lt;&gt;"",C$2=Inputs!$B$218,Inputs!$B$13&gt;0,UPPER(Inputs!$B$220)="BUY"),Inputs!$B$222*(1+princ)^(ProRate+C$1-1),0)</f>
        <v>0</v>
      </c>
      <c r="D61" s="7">
        <f ca="1">IF(AND(Inputs!$B$218&lt;&gt;"",D$2=Inputs!$B$218,Inputs!$B$13&gt;0,UPPER(Inputs!$B$220)="BUY"),Inputs!$B$222*(1+princ)^(ProRate+D$1-1),0)</f>
        <v>0</v>
      </c>
      <c r="E61" s="7">
        <f ca="1">IF(AND(Inputs!$B$218&lt;&gt;"",E$2=Inputs!$B$218,Inputs!$B$13&gt;0,UPPER(Inputs!$B$220)="BUY"),Inputs!$B$222*(1+princ)^(ProRate+E$1-1),0)</f>
        <v>0</v>
      </c>
      <c r="F61" s="7">
        <f ca="1">IF(AND(Inputs!$B$218&lt;&gt;"",F$2=Inputs!$B$218,Inputs!$B$13&gt;0,UPPER(Inputs!$B$220)="BUY"),Inputs!$B$222*(1+princ)^(ProRate+F$1-1),0)</f>
        <v>0</v>
      </c>
      <c r="G61" s="7">
        <f ca="1">IF(AND(Inputs!$B$218&lt;&gt;"",G$2=Inputs!$B$218,Inputs!$B$13&gt;0,UPPER(Inputs!$B$220)="BUY"),Inputs!$B$222*(1+princ)^(ProRate+G$1-1),0)</f>
        <v>287684.74020752241</v>
      </c>
      <c r="H61" s="7">
        <f ca="1">IF(AND(Inputs!$B$218&lt;&gt;"",H$2=Inputs!$B$218,Inputs!$B$13&gt;0,UPPER(Inputs!$B$220)="BUY"),Inputs!$B$222*(1+princ)^(ProRate+H$1-1),0)</f>
        <v>0</v>
      </c>
      <c r="I61" s="7">
        <f ca="1">IF(AND(Inputs!$B$218&lt;&gt;"",I$2=Inputs!$B$218,Inputs!$B$13&gt;0,UPPER(Inputs!$B$220)="BUY"),Inputs!$B$222*(1+princ)^(ProRate+I$1-1),0)</f>
        <v>0</v>
      </c>
      <c r="J61" s="7">
        <f ca="1">IF(AND(Inputs!$B$218&lt;&gt;"",J$2=Inputs!$B$218,Inputs!$B$13&gt;0,UPPER(Inputs!$B$220)="BUY"),Inputs!$B$222*(1+princ)^(ProRate+J$1-1),0)</f>
        <v>0</v>
      </c>
      <c r="K61" s="7">
        <f ca="1">IF(AND(Inputs!$B$218&lt;&gt;"",K$2=Inputs!$B$218,Inputs!$B$13&gt;0,UPPER(Inputs!$B$220)="BUY"),Inputs!$B$222*(1+princ)^(ProRate+K$1-1),0)</f>
        <v>0</v>
      </c>
      <c r="L61" s="7">
        <f ca="1">IF(AND(Inputs!$B$218&lt;&gt;"",L$2=Inputs!$B$218,Inputs!$B$13&gt;0,UPPER(Inputs!$B$220)="BUY"),Inputs!$B$222*(1+princ)^(ProRate+L$1-1),0)</f>
        <v>0</v>
      </c>
      <c r="M61" s="7">
        <f ca="1">IF(AND(Inputs!$B$218&lt;&gt;"",M$2=Inputs!$B$218,Inputs!$B$13&gt;0,UPPER(Inputs!$B$220)="BUY"),Inputs!$B$222*(1+princ)^(ProRate+M$1-1),0)</f>
        <v>0</v>
      </c>
      <c r="N61" s="7">
        <f ca="1">IF(AND(Inputs!$B$218&lt;&gt;"",N$2=Inputs!$B$218,Inputs!$B$13&gt;0,UPPER(Inputs!$B$220)="BUY"),Inputs!$B$222*(1+princ)^(ProRate+N$1-1),0)</f>
        <v>0</v>
      </c>
      <c r="O61" s="7">
        <f ca="1">IF(AND(Inputs!$B$218&lt;&gt;"",O$2=Inputs!$B$218,Inputs!$B$13&gt;0,UPPER(Inputs!$B$220)="BUY"),Inputs!$B$222*(1+princ)^(ProRate+O$1-1),0)</f>
        <v>0</v>
      </c>
      <c r="P61" s="7">
        <f ca="1">IF(AND(Inputs!$B$218&lt;&gt;"",P$2=Inputs!$B$218,Inputs!$B$13&gt;0,UPPER(Inputs!$B$220)="BUY"),Inputs!$B$222*(1+princ)^(ProRate+P$1-1),0)</f>
        <v>0</v>
      </c>
      <c r="Q61" s="7">
        <f ca="1">IF(AND(Inputs!$B$218&lt;&gt;"",Q$2=Inputs!$B$218,Inputs!$B$13&gt;0,UPPER(Inputs!$B$220)="BUY"),Inputs!$B$222*(1+princ)^(ProRate+Q$1-1),0)</f>
        <v>0</v>
      </c>
      <c r="R61" s="7">
        <f ca="1">IF(AND(Inputs!$B$218&lt;&gt;"",R$2=Inputs!$B$218,Inputs!$B$13&gt;0,UPPER(Inputs!$B$220)="BUY"),Inputs!$B$222*(1+princ)^(ProRate+R$1-1),0)</f>
        <v>0</v>
      </c>
      <c r="S61" s="7">
        <f ca="1">IF(AND(Inputs!$B$218&lt;&gt;"",S$2=Inputs!$B$218,Inputs!$B$13&gt;0,UPPER(Inputs!$B$220)="BUY"),Inputs!$B$222*(1+princ)^(ProRate+S$1-1),0)</f>
        <v>0</v>
      </c>
      <c r="T61" s="7">
        <f ca="1">IF(AND(Inputs!$B$218&lt;&gt;"",T$2=Inputs!$B$218,Inputs!$B$13&gt;0,UPPER(Inputs!$B$220)="BUY"),Inputs!$B$222*(1+princ)^(ProRate+T$1-1),0)</f>
        <v>0</v>
      </c>
      <c r="U61" s="7">
        <f ca="1">IF(AND(Inputs!$B$218&lt;&gt;"",U$2=Inputs!$B$218,Inputs!$B$13&gt;0,UPPER(Inputs!$B$220)="BUY"),Inputs!$B$222*(1+princ)^(ProRate+U$1-1),0)</f>
        <v>0</v>
      </c>
      <c r="V61" s="7">
        <f ca="1">IF(AND(Inputs!$B$218&lt;&gt;"",V$2=Inputs!$B$218,Inputs!$B$13&gt;0,UPPER(Inputs!$B$220)="BUY"),Inputs!$B$222*(1+princ)^(ProRate+V$1-1),0)</f>
        <v>0</v>
      </c>
      <c r="W61" s="7">
        <f ca="1">IF(AND(Inputs!$B$218&lt;&gt;"",W$2=Inputs!$B$218,Inputs!$B$13&gt;0,UPPER(Inputs!$B$220)="BUY"),Inputs!$B$222*(1+princ)^(ProRate+W$1-1),0)</f>
        <v>0</v>
      </c>
      <c r="X61" s="7">
        <f ca="1">IF(AND(Inputs!$B$218&lt;&gt;"",X$2=Inputs!$B$218,Inputs!$B$13&gt;0,UPPER(Inputs!$B$220)="BUY"),Inputs!$B$222*(1+princ)^(ProRate+X$1-1),0)</f>
        <v>0</v>
      </c>
      <c r="Y61" s="7">
        <f ca="1">IF(AND(Inputs!$B$218&lt;&gt;"",Y$2=Inputs!$B$218,Inputs!$B$13&gt;0,UPPER(Inputs!$B$220)="BUY"),Inputs!$B$222*(1+princ)^(ProRate+Y$1-1),0)</f>
        <v>0</v>
      </c>
      <c r="Z61" s="7">
        <f ca="1">IF(AND(Inputs!$B$218&lt;&gt;"",Z$2=Inputs!$B$218,Inputs!$B$13&gt;0,UPPER(Inputs!$B$220)="BUY"),Inputs!$B$222*(1+princ)^(ProRate+Z$1-1),0)</f>
        <v>0</v>
      </c>
      <c r="AA61" s="7">
        <f ca="1">IF(AND(Inputs!$B$218&lt;&gt;"",AA$2=Inputs!$B$218,Inputs!$B$13&gt;0,UPPER(Inputs!$B$220)="BUY"),Inputs!$B$222*(1+princ)^(ProRate+AA$1-1),0)</f>
        <v>0</v>
      </c>
      <c r="AB61" s="7">
        <f ca="1">IF(AND(Inputs!$B$218&lt;&gt;"",AB$2=Inputs!$B$218,Inputs!$B$13&gt;0,UPPER(Inputs!$B$220)="BUY"),Inputs!$B$222*(1+princ)^(ProRate+AB$1-1),0)</f>
        <v>0</v>
      </c>
      <c r="AC61" s="7">
        <f ca="1">IF(AND(Inputs!$B$218&lt;&gt;"",AC$2=Inputs!$B$218,Inputs!$B$13&gt;0,UPPER(Inputs!$B$220)="BUY"),Inputs!$B$222*(1+princ)^(ProRate+AC$1-1),0)</f>
        <v>0</v>
      </c>
      <c r="AD61" s="7">
        <f ca="1">IF(AND(Inputs!$B$218&lt;&gt;"",AD$2=Inputs!$B$218,Inputs!$B$13&gt;0,UPPER(Inputs!$B$220)="BUY"),Inputs!$B$222*(1+princ)^(ProRate+AD$1-1),0)</f>
        <v>0</v>
      </c>
      <c r="AE61" s="7">
        <f ca="1">IF(AND(Inputs!$B$218&lt;&gt;"",AE$2=Inputs!$B$218,Inputs!$B$13&gt;0,UPPER(Inputs!$B$220)="BUY"),Inputs!$B$222*(1+princ)^(ProRate+AE$1-1),0)</f>
        <v>0</v>
      </c>
      <c r="AF61" s="7">
        <f ca="1">IF(AND(Inputs!$B$218&lt;&gt;"",AF$2=Inputs!$B$218,Inputs!$B$13&gt;0,UPPER(Inputs!$B$220)="BUY"),Inputs!$B$222*(1+princ)^(ProRate+AF$1-1),0)</f>
        <v>0</v>
      </c>
      <c r="AG61" s="7">
        <f ca="1">IF(AND(Inputs!$B$218&lt;&gt;"",AG$2=Inputs!$B$218,Inputs!$B$13&gt;0,UPPER(Inputs!$B$220)="BUY"),Inputs!$B$222*(1+princ)^(ProRate+AG$1-1),0)</f>
        <v>0</v>
      </c>
      <c r="AH61" s="7">
        <f ca="1">IF(AND(Inputs!$B$218&lt;&gt;"",AH$2=Inputs!$B$218,Inputs!$B$13&gt;0,UPPER(Inputs!$B$220)="BUY"),Inputs!$B$222*(1+princ)^(ProRate+AH$1-1),0)</f>
        <v>0</v>
      </c>
      <c r="AI61" s="7">
        <f ca="1">IF(AND(Inputs!$B$218&lt;&gt;"",AI$2=Inputs!$B$218,Inputs!$B$13&gt;0,UPPER(Inputs!$B$220)="BUY"),Inputs!$B$222*(1+princ)^(ProRate+AI$1-1),0)</f>
        <v>0</v>
      </c>
      <c r="AJ61" s="7">
        <f ca="1">IF(AND(Inputs!$B$218&lt;&gt;"",AJ$2=Inputs!$B$218,Inputs!$B$13&gt;0,UPPER(Inputs!$B$220)="BUY"),Inputs!$B$222*(1+princ)^(ProRate+AJ$1-1),0)</f>
        <v>0</v>
      </c>
      <c r="AK61" s="7">
        <f ca="1">IF(AND(Inputs!$B$218&lt;&gt;"",AK$2=Inputs!$B$218,Inputs!$B$13&gt;0,UPPER(Inputs!$B$220)="BUY"),Inputs!$B$222*(1+princ)^(ProRate+AK$1-1),0)</f>
        <v>0</v>
      </c>
      <c r="AL61" s="7">
        <f ca="1">IF(AND(Inputs!$B$218&lt;&gt;"",AL$2=Inputs!$B$218,Inputs!$B$13&gt;0,UPPER(Inputs!$B$220)="BUY"),Inputs!$B$222*(1+princ)^(ProRate+AL$1-1),0)</f>
        <v>0</v>
      </c>
      <c r="AM61" s="7">
        <f ca="1">IF(AND(Inputs!$B$218&lt;&gt;"",AM$2=Inputs!$B$218,Inputs!$B$13&gt;0,UPPER(Inputs!$B$220)="BUY"),Inputs!$B$222*(1+princ)^(ProRate+AM$1-1),0)</f>
        <v>0</v>
      </c>
    </row>
    <row r="62" spans="1:39" x14ac:dyDescent="0.2">
      <c r="A62" s="4"/>
      <c r="C62" s="9">
        <f ca="1">SUM(C23:C61)</f>
        <v>81100</v>
      </c>
      <c r="D62" s="9">
        <f t="shared" ref="D62:AM62" ca="1" si="36">SUM(D23:D61)</f>
        <v>108609</v>
      </c>
      <c r="E62" s="9">
        <f t="shared" ca="1" si="36"/>
        <v>106260.72499999999</v>
      </c>
      <c r="F62" s="9">
        <f t="shared" ca="1" si="36"/>
        <v>138992.57473062762</v>
      </c>
      <c r="G62" s="9">
        <f t="shared" ca="1" si="36"/>
        <v>427287.86891793617</v>
      </c>
      <c r="H62" s="9">
        <f t="shared" ca="1" si="36"/>
        <v>96748.5788481583</v>
      </c>
      <c r="I62" s="9">
        <f t="shared" ca="1" si="36"/>
        <v>87630.98129242775</v>
      </c>
      <c r="J62" s="9">
        <f t="shared" ca="1" si="36"/>
        <v>83030.394027913091</v>
      </c>
      <c r="K62" s="9">
        <f t="shared" ca="1" si="36"/>
        <v>102051.23357581905</v>
      </c>
      <c r="L62" s="9">
        <f t="shared" ca="1" si="36"/>
        <v>84240.083275847108</v>
      </c>
      <c r="M62" s="9">
        <f t="shared" ca="1" si="36"/>
        <v>132208.4544196357</v>
      </c>
      <c r="N62" s="9">
        <f t="shared" ca="1" si="36"/>
        <v>82925.199468075967</v>
      </c>
      <c r="O62" s="9">
        <f t="shared" ca="1" si="36"/>
        <v>84893.32945477785</v>
      </c>
      <c r="P62" s="9">
        <f t="shared" ca="1" si="36"/>
        <v>86910.662691147285</v>
      </c>
      <c r="Q62" s="9">
        <f t="shared" ca="1" si="36"/>
        <v>88978.429258425953</v>
      </c>
      <c r="R62" s="9">
        <f t="shared" ca="1" si="36"/>
        <v>91097.889989886637</v>
      </c>
      <c r="S62" s="9">
        <f t="shared" ca="1" si="36"/>
        <v>93270.33723963378</v>
      </c>
      <c r="T62" s="9">
        <f t="shared" ca="1" si="36"/>
        <v>91297.095670624622</v>
      </c>
      <c r="U62" s="9">
        <f t="shared" ca="1" si="36"/>
        <v>85781.229473857733</v>
      </c>
      <c r="V62" s="9">
        <f t="shared" ca="1" si="36"/>
        <v>87925.76021070416</v>
      </c>
      <c r="W62" s="9">
        <f t="shared" ca="1" si="36"/>
        <v>90123.90421597175</v>
      </c>
      <c r="X62" s="9">
        <f t="shared" ca="1" si="36"/>
        <v>92377.001821371043</v>
      </c>
      <c r="Y62" s="9">
        <f t="shared" ca="1" si="36"/>
        <v>94686.426866905327</v>
      </c>
      <c r="Z62" s="9">
        <f t="shared" ca="1" si="36"/>
        <v>97053.587538577965</v>
      </c>
      <c r="AA62" s="9">
        <f t="shared" ca="1" si="36"/>
        <v>99479.927227042383</v>
      </c>
      <c r="AB62" s="9">
        <f t="shared" ca="1" si="36"/>
        <v>101966.92540771843</v>
      </c>
      <c r="AC62" s="9">
        <f t="shared" ca="1" si="36"/>
        <v>104516.09854291138</v>
      </c>
      <c r="AD62" s="9">
        <f t="shared" ca="1" si="36"/>
        <v>107129.00100648416</v>
      </c>
      <c r="AE62" s="9">
        <f t="shared" ca="1" si="36"/>
        <v>99824.750937860241</v>
      </c>
      <c r="AF62" s="9">
        <f t="shared" ca="1" si="36"/>
        <v>102320.36971130676</v>
      </c>
      <c r="AG62" s="9">
        <f t="shared" ca="1" si="36"/>
        <v>104878.37895408941</v>
      </c>
      <c r="AH62" s="9">
        <f t="shared" ca="1" si="36"/>
        <v>107500.33842794166</v>
      </c>
      <c r="AI62" s="9">
        <f t="shared" ca="1" si="36"/>
        <v>110187.84688864017</v>
      </c>
      <c r="AJ62" s="9">
        <f t="shared" ca="1" si="36"/>
        <v>112942.54306085619</v>
      </c>
      <c r="AK62" s="9">
        <f t="shared" ca="1" si="36"/>
        <v>115766.10663737757</v>
      </c>
      <c r="AL62" s="9">
        <f t="shared" ca="1" si="36"/>
        <v>118660.25930331199</v>
      </c>
      <c r="AM62" s="9">
        <f t="shared" ca="1" si="36"/>
        <v>121626.76578589482</v>
      </c>
    </row>
    <row r="63" spans="1:39" x14ac:dyDescent="0.2">
      <c r="A63" s="4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  <c r="AB63" s="7"/>
      <c r="AC63" s="7"/>
      <c r="AD63" s="7"/>
      <c r="AE63" s="7"/>
      <c r="AF63" s="7"/>
      <c r="AG63" s="7"/>
      <c r="AH63" s="7"/>
      <c r="AI63" s="7"/>
      <c r="AJ63" s="7"/>
      <c r="AK63" s="7"/>
      <c r="AL63" s="7"/>
      <c r="AM63" s="7"/>
    </row>
    <row r="64" spans="1:39" ht="19" x14ac:dyDescent="0.25">
      <c r="A64" s="12" t="s">
        <v>18</v>
      </c>
      <c r="C64" s="7">
        <f t="shared" ref="C64:AM64" ca="1" si="37">C22-C62</f>
        <v>12919.0625</v>
      </c>
      <c r="D64" s="7">
        <f t="shared" ca="1" si="37"/>
        <v>9571.4734374999971</v>
      </c>
      <c r="E64" s="7">
        <f t="shared" ca="1" si="37"/>
        <v>15716.9638671875</v>
      </c>
      <c r="F64" s="7">
        <f t="shared" ca="1" si="37"/>
        <v>-2493.4193524557631</v>
      </c>
      <c r="G64" s="7">
        <f t="shared" ca="1" si="37"/>
        <v>193562.03351024963</v>
      </c>
      <c r="H64" s="7">
        <f t="shared" ca="1" si="37"/>
        <v>41749.704046825093</v>
      </c>
      <c r="I64" s="7">
        <f t="shared" ca="1" si="37"/>
        <v>61866.27871316587</v>
      </c>
      <c r="J64" s="7">
        <f t="shared" ca="1" si="37"/>
        <v>66289.222077508384</v>
      </c>
      <c r="K64" s="7">
        <f t="shared" ca="1" si="37"/>
        <v>52899.372952316611</v>
      </c>
      <c r="L64" s="7">
        <f t="shared" ca="1" si="37"/>
        <v>139816.89989844442</v>
      </c>
      <c r="M64" s="7">
        <f t="shared" ca="1" si="37"/>
        <v>51541.069605669007</v>
      </c>
      <c r="N64" s="7">
        <f t="shared" ca="1" si="37"/>
        <v>105061.83120757595</v>
      </c>
      <c r="O64" s="7">
        <f t="shared" ca="1" si="37"/>
        <v>110766.564985896</v>
      </c>
      <c r="P64" s="7">
        <f t="shared" ca="1" si="37"/>
        <v>116714.23367506413</v>
      </c>
      <c r="Q64" s="7">
        <f t="shared" ca="1" si="37"/>
        <v>122914.11941800444</v>
      </c>
      <c r="R64" s="7">
        <f t="shared" ca="1" si="37"/>
        <v>129375.83765614757</v>
      </c>
      <c r="S64" s="7">
        <f t="shared" ca="1" si="37"/>
        <v>136109.34862378758</v>
      </c>
      <c r="T64" s="7">
        <f t="shared" ca="1" si="37"/>
        <v>38147.026844823893</v>
      </c>
      <c r="U64" s="7">
        <f t="shared" ca="1" si="37"/>
        <v>47326.602290371869</v>
      </c>
      <c r="V64" s="7">
        <f t="shared" ca="1" si="37"/>
        <v>49053.355549568092</v>
      </c>
      <c r="W64" s="7">
        <f t="shared" ca="1" si="37"/>
        <v>50844.914932576692</v>
      </c>
      <c r="X64" s="7">
        <f t="shared" ca="1" si="37"/>
        <v>52703.68295241984</v>
      </c>
      <c r="Y64" s="7">
        <f t="shared" ca="1" si="37"/>
        <v>33715.056506173845</v>
      </c>
      <c r="Z64" s="7">
        <f t="shared" ca="1" si="37"/>
        <v>34669.945232278638</v>
      </c>
      <c r="AA64" s="7">
        <f t="shared" ca="1" si="37"/>
        <v>35660.564114759851</v>
      </c>
      <c r="AB64" s="7">
        <f t="shared" ca="1" si="37"/>
        <v>36688.374584894045</v>
      </c>
      <c r="AC64" s="7">
        <f t="shared" ca="1" si="37"/>
        <v>37754.896966041328</v>
      </c>
      <c r="AD64" s="7">
        <f t="shared" ca="1" si="37"/>
        <v>38861.712749410814</v>
      </c>
      <c r="AE64" s="7">
        <f t="shared" ca="1" si="37"/>
        <v>50117.72298660221</v>
      </c>
      <c r="AF64" s="7">
        <f t="shared" ca="1" si="37"/>
        <v>51815.489408809255</v>
      </c>
      <c r="AG64" s="7">
        <f t="shared" ca="1" si="37"/>
        <v>53577.635859625341</v>
      </c>
      <c r="AH64" s="7">
        <f t="shared" ca="1" si="37"/>
        <v>55406.644694997958</v>
      </c>
      <c r="AI64" s="7">
        <f t="shared" ca="1" si="37"/>
        <v>57305.091884910158</v>
      </c>
      <c r="AJ64" s="7">
        <f t="shared" ca="1" si="37"/>
        <v>59275.650434622148</v>
      </c>
      <c r="AK64" s="7">
        <f t="shared" ca="1" si="37"/>
        <v>61321.093927227528</v>
      </c>
      <c r="AL64" s="7">
        <f t="shared" ca="1" si="37"/>
        <v>63444.300191712391</v>
      </c>
      <c r="AM64" s="7">
        <f t="shared" ca="1" si="37"/>
        <v>65648.255100850947</v>
      </c>
    </row>
    <row r="65" spans="1:39" x14ac:dyDescent="0.2">
      <c r="A65" s="4" t="s">
        <v>9</v>
      </c>
      <c r="C65" s="7">
        <f>Inputs!B8</f>
        <v>50000</v>
      </c>
      <c r="D65" s="7">
        <f ca="1">C66</f>
        <v>62919.0625</v>
      </c>
      <c r="E65" s="7">
        <f t="shared" ref="E65:AM65" ca="1" si="38">D66</f>
        <v>72490.535937499997</v>
      </c>
      <c r="F65" s="7">
        <f t="shared" ca="1" si="38"/>
        <v>88207.499804687497</v>
      </c>
      <c r="G65" s="7">
        <f t="shared" ca="1" si="38"/>
        <v>85714.080452231734</v>
      </c>
      <c r="H65" s="7">
        <f t="shared" ca="1" si="38"/>
        <v>279276.11396248138</v>
      </c>
      <c r="I65" s="7">
        <f t="shared" ca="1" si="38"/>
        <v>321025.81800930644</v>
      </c>
      <c r="J65" s="7">
        <f t="shared" ca="1" si="38"/>
        <v>382892.09672247234</v>
      </c>
      <c r="K65" s="7">
        <f t="shared" ca="1" si="38"/>
        <v>449181.31879998074</v>
      </c>
      <c r="L65" s="7">
        <f t="shared" ca="1" si="38"/>
        <v>502080.69175229734</v>
      </c>
      <c r="M65" s="7">
        <f t="shared" ca="1" si="38"/>
        <v>641897.59165074176</v>
      </c>
      <c r="N65" s="7">
        <f t="shared" ca="1" si="38"/>
        <v>693438.66125641076</v>
      </c>
      <c r="O65" s="7">
        <f t="shared" ca="1" si="38"/>
        <v>798500.49246398674</v>
      </c>
      <c r="P65" s="7">
        <f t="shared" ca="1" si="38"/>
        <v>909267.05744988273</v>
      </c>
      <c r="Q65" s="7">
        <f t="shared" ca="1" si="38"/>
        <v>1025981.2911249469</v>
      </c>
      <c r="R65" s="7">
        <f t="shared" ca="1" si="38"/>
        <v>1148895.4105429514</v>
      </c>
      <c r="S65" s="7">
        <f t="shared" ca="1" si="38"/>
        <v>1278271.248199099</v>
      </c>
      <c r="T65" s="7">
        <f t="shared" ca="1" si="38"/>
        <v>1414380.5968228865</v>
      </c>
      <c r="U65" s="7">
        <f t="shared" ca="1" si="38"/>
        <v>1452527.6236677105</v>
      </c>
      <c r="V65" s="7">
        <f t="shared" ca="1" si="38"/>
        <v>1499854.2259580824</v>
      </c>
      <c r="W65" s="7">
        <f t="shared" ca="1" si="38"/>
        <v>1548907.5815076504</v>
      </c>
      <c r="X65" s="7">
        <f t="shared" ca="1" si="38"/>
        <v>1599752.4964402271</v>
      </c>
      <c r="Y65" s="7">
        <f t="shared" ca="1" si="38"/>
        <v>1652456.179392647</v>
      </c>
      <c r="Z65" s="7">
        <f t="shared" ca="1" si="38"/>
        <v>1686171.2358988209</v>
      </c>
      <c r="AA65" s="7">
        <f t="shared" ca="1" si="38"/>
        <v>1720841.1811310996</v>
      </c>
      <c r="AB65" s="7">
        <f t="shared" ca="1" si="38"/>
        <v>1756501.7452458595</v>
      </c>
      <c r="AC65" s="7">
        <f t="shared" ca="1" si="38"/>
        <v>1793190.1198307537</v>
      </c>
      <c r="AD65" s="7">
        <f t="shared" ca="1" si="38"/>
        <v>1830945.016796795</v>
      </c>
      <c r="AE65" s="7">
        <f t="shared" ca="1" si="38"/>
        <v>1869806.7295462058</v>
      </c>
      <c r="AF65" s="7">
        <f t="shared" ca="1" si="38"/>
        <v>1919924.4525328081</v>
      </c>
      <c r="AG65" s="7">
        <f t="shared" ca="1" si="38"/>
        <v>1971739.9419416173</v>
      </c>
      <c r="AH65" s="7">
        <f t="shared" ca="1" si="38"/>
        <v>2025317.5778012427</v>
      </c>
      <c r="AI65" s="7">
        <f t="shared" ca="1" si="38"/>
        <v>2080724.2224962406</v>
      </c>
      <c r="AJ65" s="7">
        <f t="shared" ca="1" si="38"/>
        <v>2138029.314381151</v>
      </c>
      <c r="AK65" s="7">
        <f t="shared" ca="1" si="38"/>
        <v>2197304.9648157731</v>
      </c>
      <c r="AL65" s="7">
        <f t="shared" ca="1" si="38"/>
        <v>2258626.0587430005</v>
      </c>
      <c r="AM65" s="7">
        <f t="shared" ca="1" si="38"/>
        <v>2322070.3589347131</v>
      </c>
    </row>
    <row r="66" spans="1:39" x14ac:dyDescent="0.2">
      <c r="A66" s="4" t="s">
        <v>10</v>
      </c>
      <c r="C66" s="9">
        <f ca="1">SUM(C64:C65)</f>
        <v>62919.0625</v>
      </c>
      <c r="D66" s="9">
        <f t="shared" ref="D66:AM66" ca="1" si="39">SUM(D64:D65)</f>
        <v>72490.535937499997</v>
      </c>
      <c r="E66" s="9">
        <f t="shared" ca="1" si="39"/>
        <v>88207.499804687497</v>
      </c>
      <c r="F66" s="9">
        <f t="shared" ca="1" si="39"/>
        <v>85714.080452231734</v>
      </c>
      <c r="G66" s="9">
        <f t="shared" ca="1" si="39"/>
        <v>279276.11396248138</v>
      </c>
      <c r="H66" s="9">
        <f t="shared" ca="1" si="39"/>
        <v>321025.81800930644</v>
      </c>
      <c r="I66" s="9">
        <f t="shared" ca="1" si="39"/>
        <v>382892.09672247234</v>
      </c>
      <c r="J66" s="9">
        <f t="shared" ca="1" si="39"/>
        <v>449181.31879998074</v>
      </c>
      <c r="K66" s="9">
        <f t="shared" ca="1" si="39"/>
        <v>502080.69175229734</v>
      </c>
      <c r="L66" s="9">
        <f t="shared" ca="1" si="39"/>
        <v>641897.59165074176</v>
      </c>
      <c r="M66" s="9">
        <f t="shared" ca="1" si="39"/>
        <v>693438.66125641076</v>
      </c>
      <c r="N66" s="9">
        <f t="shared" ca="1" si="39"/>
        <v>798500.49246398674</v>
      </c>
      <c r="O66" s="9">
        <f t="shared" ca="1" si="39"/>
        <v>909267.05744988273</v>
      </c>
      <c r="P66" s="9">
        <f t="shared" ca="1" si="39"/>
        <v>1025981.2911249469</v>
      </c>
      <c r="Q66" s="9">
        <f t="shared" ca="1" si="39"/>
        <v>1148895.4105429514</v>
      </c>
      <c r="R66" s="9">
        <f t="shared" ca="1" si="39"/>
        <v>1278271.248199099</v>
      </c>
      <c r="S66" s="9">
        <f t="shared" ca="1" si="39"/>
        <v>1414380.5968228865</v>
      </c>
      <c r="T66" s="9">
        <f t="shared" ca="1" si="39"/>
        <v>1452527.6236677105</v>
      </c>
      <c r="U66" s="9">
        <f t="shared" ca="1" si="39"/>
        <v>1499854.2259580824</v>
      </c>
      <c r="V66" s="9">
        <f t="shared" ca="1" si="39"/>
        <v>1548907.5815076504</v>
      </c>
      <c r="W66" s="9">
        <f t="shared" ca="1" si="39"/>
        <v>1599752.4964402271</v>
      </c>
      <c r="X66" s="9">
        <f t="shared" ca="1" si="39"/>
        <v>1652456.179392647</v>
      </c>
      <c r="Y66" s="9">
        <f t="shared" ca="1" si="39"/>
        <v>1686171.2358988209</v>
      </c>
      <c r="Z66" s="9">
        <f t="shared" ca="1" si="39"/>
        <v>1720841.1811310996</v>
      </c>
      <c r="AA66" s="9">
        <f t="shared" ca="1" si="39"/>
        <v>1756501.7452458595</v>
      </c>
      <c r="AB66" s="9">
        <f t="shared" ca="1" si="39"/>
        <v>1793190.1198307537</v>
      </c>
      <c r="AC66" s="9">
        <f t="shared" ca="1" si="39"/>
        <v>1830945.016796795</v>
      </c>
      <c r="AD66" s="9">
        <f t="shared" ca="1" si="39"/>
        <v>1869806.7295462058</v>
      </c>
      <c r="AE66" s="9">
        <f t="shared" ca="1" si="39"/>
        <v>1919924.4525328081</v>
      </c>
      <c r="AF66" s="9">
        <f t="shared" ca="1" si="39"/>
        <v>1971739.9419416173</v>
      </c>
      <c r="AG66" s="9">
        <f t="shared" ca="1" si="39"/>
        <v>2025317.5778012427</v>
      </c>
      <c r="AH66" s="9">
        <f t="shared" ca="1" si="39"/>
        <v>2080724.2224962406</v>
      </c>
      <c r="AI66" s="9">
        <f t="shared" ca="1" si="39"/>
        <v>2138029.314381151</v>
      </c>
      <c r="AJ66" s="9">
        <f t="shared" ca="1" si="39"/>
        <v>2197304.9648157731</v>
      </c>
      <c r="AK66" s="9">
        <f t="shared" ca="1" si="39"/>
        <v>2258626.0587430005</v>
      </c>
      <c r="AL66" s="9">
        <f t="shared" ca="1" si="39"/>
        <v>2322070.3589347131</v>
      </c>
      <c r="AM66" s="9">
        <f t="shared" ca="1" si="39"/>
        <v>2387718.614035564</v>
      </c>
    </row>
    <row r="67" spans="1:39" x14ac:dyDescent="0.2"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  <c r="AB67" s="7"/>
      <c r="AC67" s="7"/>
      <c r="AD67" s="7"/>
      <c r="AE67" s="7"/>
      <c r="AF67" s="7"/>
      <c r="AG67" s="7"/>
      <c r="AH67" s="7"/>
      <c r="AI67" s="7"/>
      <c r="AJ67" s="7"/>
      <c r="AK67" s="7"/>
      <c r="AL67" s="7"/>
      <c r="AM67" s="7"/>
    </row>
    <row r="68" spans="1:39" ht="19" x14ac:dyDescent="0.25">
      <c r="A68" s="25" t="s">
        <v>65</v>
      </c>
      <c r="B68" s="26"/>
      <c r="C68" s="27"/>
      <c r="D68" s="27"/>
      <c r="E68" s="27"/>
      <c r="F68" s="27"/>
      <c r="G68" s="27"/>
      <c r="H68" s="27"/>
      <c r="I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</row>
    <row r="69" spans="1:39" x14ac:dyDescent="0.2">
      <c r="A69" s="4" t="s">
        <v>8</v>
      </c>
      <c r="C69" s="7">
        <f t="shared" ref="C69:AM69" ca="1" si="40">C66</f>
        <v>62919.0625</v>
      </c>
      <c r="D69" s="7">
        <f t="shared" ca="1" si="40"/>
        <v>72490.535937499997</v>
      </c>
      <c r="E69" s="7">
        <f t="shared" ca="1" si="40"/>
        <v>88207.499804687497</v>
      </c>
      <c r="F69" s="7">
        <f t="shared" ca="1" si="40"/>
        <v>85714.080452231734</v>
      </c>
      <c r="G69" s="7">
        <f t="shared" ca="1" si="40"/>
        <v>279276.11396248138</v>
      </c>
      <c r="H69" s="7">
        <f t="shared" ca="1" si="40"/>
        <v>321025.81800930644</v>
      </c>
      <c r="I69" s="7">
        <f t="shared" ca="1" si="40"/>
        <v>382892.09672247234</v>
      </c>
      <c r="J69" s="7">
        <f t="shared" ca="1" si="40"/>
        <v>449181.31879998074</v>
      </c>
      <c r="K69" s="7">
        <f t="shared" ca="1" si="40"/>
        <v>502080.69175229734</v>
      </c>
      <c r="L69" s="7">
        <f t="shared" ca="1" si="40"/>
        <v>641897.59165074176</v>
      </c>
      <c r="M69" s="7">
        <f t="shared" ca="1" si="40"/>
        <v>693438.66125641076</v>
      </c>
      <c r="N69" s="7">
        <f t="shared" ca="1" si="40"/>
        <v>798500.49246398674</v>
      </c>
      <c r="O69" s="7">
        <f t="shared" ca="1" si="40"/>
        <v>909267.05744988273</v>
      </c>
      <c r="P69" s="7">
        <f t="shared" ca="1" si="40"/>
        <v>1025981.2911249469</v>
      </c>
      <c r="Q69" s="7">
        <f t="shared" ca="1" si="40"/>
        <v>1148895.4105429514</v>
      </c>
      <c r="R69" s="7">
        <f t="shared" ca="1" si="40"/>
        <v>1278271.248199099</v>
      </c>
      <c r="S69" s="7">
        <f t="shared" ca="1" si="40"/>
        <v>1414380.5968228865</v>
      </c>
      <c r="T69" s="7">
        <f t="shared" ca="1" si="40"/>
        <v>1452527.6236677105</v>
      </c>
      <c r="U69" s="7">
        <f t="shared" ca="1" si="40"/>
        <v>1499854.2259580824</v>
      </c>
      <c r="V69" s="7">
        <f t="shared" ca="1" si="40"/>
        <v>1548907.5815076504</v>
      </c>
      <c r="W69" s="7">
        <f t="shared" ca="1" si="40"/>
        <v>1599752.4964402271</v>
      </c>
      <c r="X69" s="7">
        <f t="shared" ca="1" si="40"/>
        <v>1652456.179392647</v>
      </c>
      <c r="Y69" s="7">
        <f t="shared" ca="1" si="40"/>
        <v>1686171.2358988209</v>
      </c>
      <c r="Z69" s="7">
        <f t="shared" ca="1" si="40"/>
        <v>1720841.1811310996</v>
      </c>
      <c r="AA69" s="7">
        <f t="shared" ca="1" si="40"/>
        <v>1756501.7452458595</v>
      </c>
      <c r="AB69" s="7">
        <f t="shared" ca="1" si="40"/>
        <v>1793190.1198307537</v>
      </c>
      <c r="AC69" s="7">
        <f t="shared" ca="1" si="40"/>
        <v>1830945.016796795</v>
      </c>
      <c r="AD69" s="7">
        <f t="shared" ca="1" si="40"/>
        <v>1869806.7295462058</v>
      </c>
      <c r="AE69" s="7">
        <f t="shared" ca="1" si="40"/>
        <v>1919924.4525328081</v>
      </c>
      <c r="AF69" s="7">
        <f t="shared" ca="1" si="40"/>
        <v>1971739.9419416173</v>
      </c>
      <c r="AG69" s="7">
        <f t="shared" ca="1" si="40"/>
        <v>2025317.5778012427</v>
      </c>
      <c r="AH69" s="7">
        <f t="shared" ca="1" si="40"/>
        <v>2080724.2224962406</v>
      </c>
      <c r="AI69" s="7">
        <f t="shared" ca="1" si="40"/>
        <v>2138029.314381151</v>
      </c>
      <c r="AJ69" s="7">
        <f t="shared" ca="1" si="40"/>
        <v>2197304.9648157731</v>
      </c>
      <c r="AK69" s="7">
        <f t="shared" ca="1" si="40"/>
        <v>2258626.0587430005</v>
      </c>
      <c r="AL69" s="7">
        <f t="shared" ca="1" si="40"/>
        <v>2322070.3589347131</v>
      </c>
      <c r="AM69" s="7">
        <f t="shared" ca="1" si="40"/>
        <v>2387718.614035564</v>
      </c>
    </row>
    <row r="70" spans="1:39" x14ac:dyDescent="0.2">
      <c r="A70" s="4" t="s">
        <v>6</v>
      </c>
      <c r="C70" s="7">
        <f ca="1">IF(AND(Inputs!$B$218&lt;&gt;"",C$2&gt;=Inputs!$B$218),IF(AND(Inputs!$B$13&gt;0,UPPER(Inputs!$B$220)="BUY"),IF(C$2=Inputs!$B$218,Inputs!$B$222*(1+princ)^(ProRate+C$1-1),B70*(1+princ)),0),IF(Inputs!$B$13&gt;0,IF(B$1=0,Inputs!$B$13*(1+princ)^ProRate,B70*(1+princ)),0))</f>
        <v>511208.33111474686</v>
      </c>
      <c r="D70" s="7">
        <f ca="1">IF(AND(Inputs!$B$218&lt;&gt;"",D$2&gt;=Inputs!$B$218),IF(AND(Inputs!$B$13&gt;0,UPPER(Inputs!$B$220)="BUY"),IF(D$2=Inputs!$B$218,Inputs!$B$222*(1+princ)^(ProRate+D$1-1),C70*(1+princ)),0),IF(Inputs!$B$13&gt;0,IF(C$1=0,Inputs!$B$13*(1+princ)^ProRate,C70*(1+princ)),0))</f>
        <v>526544.58104818931</v>
      </c>
      <c r="E70" s="7">
        <f ca="1">IF(AND(Inputs!$B$218&lt;&gt;"",E$2&gt;=Inputs!$B$218),IF(AND(Inputs!$B$13&gt;0,UPPER(Inputs!$B$220)="BUY"),IF(E$2=Inputs!$B$218,Inputs!$B$222*(1+princ)^(ProRate+E$1-1),D70*(1+princ)),0),IF(Inputs!$B$13&gt;0,IF(D$1=0,Inputs!$B$13*(1+princ)^ProRate,D70*(1+princ)),0))</f>
        <v>542340.91847963503</v>
      </c>
      <c r="F70" s="7">
        <f ca="1">IF(AND(Inputs!$B$218&lt;&gt;"",F$2&gt;=Inputs!$B$218),IF(AND(Inputs!$B$13&gt;0,UPPER(Inputs!$B$220)="BUY"),IF(F$2=Inputs!$B$218,Inputs!$B$222*(1+princ)^(ProRate+F$1-1),E70*(1+princ)),0),IF(Inputs!$B$13&gt;0,IF(E$1=0,Inputs!$B$13*(1+princ)^ProRate,E70*(1+princ)),0))</f>
        <v>558611.14603402407</v>
      </c>
      <c r="G70" s="7">
        <f ca="1">IF(AND(Inputs!$B$218&lt;&gt;"",G$2&gt;=Inputs!$B$218),IF(AND(Inputs!$B$13&gt;0,UPPER(Inputs!$B$220)="BUY"),IF(G$2=Inputs!$B$218,Inputs!$B$222*(1+princ)^(ProRate+G$1-1),F70*(1+princ)),0),IF(Inputs!$B$13&gt;0,IF(F$1=0,Inputs!$B$13*(1+princ)^ProRate,F70*(1+princ)),0))</f>
        <v>287684.74020752241</v>
      </c>
      <c r="H70" s="7">
        <f ca="1">IF(AND(Inputs!$B$218&lt;&gt;"",H$2&gt;=Inputs!$B$218),IF(AND(Inputs!$B$13&gt;0,UPPER(Inputs!$B$220)="BUY"),IF(H$2=Inputs!$B$218,Inputs!$B$222*(1+princ)^(ProRate+H$1-1),G70*(1+princ)),0),IF(Inputs!$B$13&gt;0,IF(G$1=0,Inputs!$B$13*(1+princ)^ProRate,G70*(1+princ)),0))</f>
        <v>296315.28241374809</v>
      </c>
      <c r="I70" s="7">
        <f ca="1">IF(AND(Inputs!$B$218&lt;&gt;"",I$2&gt;=Inputs!$B$218),IF(AND(Inputs!$B$13&gt;0,UPPER(Inputs!$B$220)="BUY"),IF(I$2=Inputs!$B$218,Inputs!$B$222*(1+princ)^(ProRate+I$1-1),H70*(1+princ)),0),IF(Inputs!$B$13&gt;0,IF(H$1=0,Inputs!$B$13*(1+princ)^ProRate,H70*(1+princ)),0))</f>
        <v>305204.74088616052</v>
      </c>
      <c r="J70" s="7">
        <f ca="1">IF(AND(Inputs!$B$218&lt;&gt;"",J$2&gt;=Inputs!$B$218),IF(AND(Inputs!$B$13&gt;0,UPPER(Inputs!$B$220)="BUY"),IF(J$2=Inputs!$B$218,Inputs!$B$222*(1+princ)^(ProRate+J$1-1),I70*(1+princ)),0),IF(Inputs!$B$13&gt;0,IF(I$1=0,Inputs!$B$13*(1+princ)^ProRate,I70*(1+princ)),0))</f>
        <v>314360.88311274536</v>
      </c>
      <c r="K70" s="7">
        <f ca="1">IF(AND(Inputs!$B$218&lt;&gt;"",K$2&gt;=Inputs!$B$218),IF(AND(Inputs!$B$13&gt;0,UPPER(Inputs!$B$220)="BUY"),IF(K$2=Inputs!$B$218,Inputs!$B$222*(1+princ)^(ProRate+K$1-1),J70*(1+princ)),0),IF(Inputs!$B$13&gt;0,IF(J$1=0,Inputs!$B$13*(1+princ)^ProRate,J70*(1+princ)),0))</f>
        <v>323791.70960612776</v>
      </c>
      <c r="L70" s="7">
        <f ca="1">IF(AND(Inputs!$B$218&lt;&gt;"",L$2&gt;=Inputs!$B$218),IF(AND(Inputs!$B$13&gt;0,UPPER(Inputs!$B$220)="BUY"),IF(L$2=Inputs!$B$218,Inputs!$B$222*(1+princ)^(ProRate+L$1-1),K70*(1+princ)),0),IF(Inputs!$B$13&gt;0,IF(K$1=0,Inputs!$B$13*(1+princ)^ProRate,K70*(1+princ)),0))</f>
        <v>333505.4608943116</v>
      </c>
      <c r="M70" s="7">
        <f ca="1">IF(AND(Inputs!$B$218&lt;&gt;"",M$2&gt;=Inputs!$B$218),IF(AND(Inputs!$B$13&gt;0,UPPER(Inputs!$B$220)="BUY"),IF(M$2=Inputs!$B$218,Inputs!$B$222*(1+princ)^(ProRate+M$1-1),L70*(1+princ)),0),IF(Inputs!$B$13&gt;0,IF(L$1=0,Inputs!$B$13*(1+princ)^ProRate,L70*(1+princ)),0))</f>
        <v>343510.62472114095</v>
      </c>
      <c r="N70" s="7">
        <f ca="1">IF(AND(Inputs!$B$218&lt;&gt;"",N$2&gt;=Inputs!$B$218),IF(AND(Inputs!$B$13&gt;0,UPPER(Inputs!$B$220)="BUY"),IF(N$2=Inputs!$B$218,Inputs!$B$222*(1+princ)^(ProRate+N$1-1),M70*(1+princ)),0),IF(Inputs!$B$13&gt;0,IF(M$1=0,Inputs!$B$13*(1+princ)^ProRate,M70*(1+princ)),0))</f>
        <v>353815.94346277521</v>
      </c>
      <c r="O70" s="7">
        <f ca="1">IF(AND(Inputs!$B$218&lt;&gt;"",O$2&gt;=Inputs!$B$218),IF(AND(Inputs!$B$13&gt;0,UPPER(Inputs!$B$220)="BUY"),IF(O$2=Inputs!$B$218,Inputs!$B$222*(1+princ)^(ProRate+O$1-1),N70*(1+princ)),0),IF(Inputs!$B$13&gt;0,IF(N$1=0,Inputs!$B$13*(1+princ)^ProRate,N70*(1+princ)),0))</f>
        <v>364430.42176665849</v>
      </c>
      <c r="P70" s="7">
        <f ca="1">IF(AND(Inputs!$B$218&lt;&gt;"",P$2&gt;=Inputs!$B$218),IF(AND(Inputs!$B$13&gt;0,UPPER(Inputs!$B$220)="BUY"),IF(P$2=Inputs!$B$218,Inputs!$B$222*(1+princ)^(ProRate+P$1-1),O70*(1+princ)),0),IF(Inputs!$B$13&gt;0,IF(O$1=0,Inputs!$B$13*(1+princ)^ProRate,O70*(1+princ)),0))</f>
        <v>375363.33441965823</v>
      </c>
      <c r="Q70" s="7">
        <f ca="1">IF(AND(Inputs!$B$218&lt;&gt;"",Q$2&gt;=Inputs!$B$218),IF(AND(Inputs!$B$13&gt;0,UPPER(Inputs!$B$220)="BUY"),IF(Q$2=Inputs!$B$218,Inputs!$B$222*(1+princ)^(ProRate+Q$1-1),P70*(1+princ)),0),IF(Inputs!$B$13&gt;0,IF(P$1=0,Inputs!$B$13*(1+princ)^ProRate,P70*(1+princ)),0))</f>
        <v>386624.23445224797</v>
      </c>
      <c r="R70" s="7">
        <f ca="1">IF(AND(Inputs!$B$218&lt;&gt;"",R$2&gt;=Inputs!$B$218),IF(AND(Inputs!$B$13&gt;0,UPPER(Inputs!$B$220)="BUY"),IF(R$2=Inputs!$B$218,Inputs!$B$222*(1+princ)^(ProRate+R$1-1),Q70*(1+princ)),0),IF(Inputs!$B$13&gt;0,IF(Q$1=0,Inputs!$B$13*(1+princ)^ProRate,Q70*(1+princ)),0))</f>
        <v>398222.96148581541</v>
      </c>
      <c r="S70" s="7">
        <f ca="1">IF(AND(Inputs!$B$218&lt;&gt;"",S$2&gt;=Inputs!$B$218),IF(AND(Inputs!$B$13&gt;0,UPPER(Inputs!$B$220)="BUY"),IF(S$2=Inputs!$B$218,Inputs!$B$222*(1+princ)^(ProRate+S$1-1),R70*(1+princ)),0),IF(Inputs!$B$13&gt;0,IF(R$1=0,Inputs!$B$13*(1+princ)^ProRate,R70*(1+princ)),0))</f>
        <v>410169.65033038991</v>
      </c>
      <c r="T70" s="7">
        <f ca="1">IF(AND(Inputs!$B$218&lt;&gt;"",T$2&gt;=Inputs!$B$218),IF(AND(Inputs!$B$13&gt;0,UPPER(Inputs!$B$220)="BUY"),IF(T$2=Inputs!$B$218,Inputs!$B$222*(1+princ)^(ProRate+T$1-1),S70*(1+princ)),0),IF(Inputs!$B$13&gt;0,IF(S$1=0,Inputs!$B$13*(1+princ)^ProRate,S70*(1+princ)),0))</f>
        <v>422474.73984030163</v>
      </c>
      <c r="U70" s="7">
        <f ca="1">IF(AND(Inputs!$B$218&lt;&gt;"",U$2&gt;=Inputs!$B$218),IF(AND(Inputs!$B$13&gt;0,UPPER(Inputs!$B$220)="BUY"),IF(U$2=Inputs!$B$218,Inputs!$B$222*(1+princ)^(ProRate+U$1-1),T70*(1+princ)),0),IF(Inputs!$B$13&gt;0,IF(T$1=0,Inputs!$B$13*(1+princ)^ProRate,T70*(1+princ)),0))</f>
        <v>435148.98203551071</v>
      </c>
      <c r="V70" s="7">
        <f ca="1">IF(AND(Inputs!$B$218&lt;&gt;"",V$2&gt;=Inputs!$B$218),IF(AND(Inputs!$B$13&gt;0,UPPER(Inputs!$B$220)="BUY"),IF(V$2=Inputs!$B$218,Inputs!$B$222*(1+princ)^(ProRate+V$1-1),U70*(1+princ)),0),IF(Inputs!$B$13&gt;0,IF(U$1=0,Inputs!$B$13*(1+princ)^ProRate,U70*(1+princ)),0))</f>
        <v>448203.45149657602</v>
      </c>
      <c r="W70" s="7">
        <f ca="1">IF(AND(Inputs!$B$218&lt;&gt;"",W$2&gt;=Inputs!$B$218),IF(AND(Inputs!$B$13&gt;0,UPPER(Inputs!$B$220)="BUY"),IF(W$2=Inputs!$B$218,Inputs!$B$222*(1+princ)^(ProRate+W$1-1),V70*(1+princ)),0),IF(Inputs!$B$13&gt;0,IF(V$1=0,Inputs!$B$13*(1+princ)^ProRate,V70*(1+princ)),0))</f>
        <v>461649.5550414733</v>
      </c>
      <c r="X70" s="7">
        <f ca="1">IF(AND(Inputs!$B$218&lt;&gt;"",X$2&gt;=Inputs!$B$218),IF(AND(Inputs!$B$13&gt;0,UPPER(Inputs!$B$220)="BUY"),IF(X$2=Inputs!$B$218,Inputs!$B$222*(1+princ)^(ProRate+X$1-1),W70*(1+princ)),0),IF(Inputs!$B$13&gt;0,IF(W$1=0,Inputs!$B$13*(1+princ)^ProRate,W70*(1+princ)),0))</f>
        <v>475499.04169271752</v>
      </c>
      <c r="Y70" s="7">
        <f ca="1">IF(AND(Inputs!$B$218&lt;&gt;"",Y$2&gt;=Inputs!$B$218),IF(AND(Inputs!$B$13&gt;0,UPPER(Inputs!$B$220)="BUY"),IF(Y$2=Inputs!$B$218,Inputs!$B$222*(1+princ)^(ProRate+Y$1-1),X70*(1+princ)),0),IF(Inputs!$B$13&gt;0,IF(X$1=0,Inputs!$B$13*(1+princ)^ProRate,X70*(1+princ)),0))</f>
        <v>489764.01294349908</v>
      </c>
      <c r="Z70" s="7">
        <f ca="1">IF(AND(Inputs!$B$218&lt;&gt;"",Z$2&gt;=Inputs!$B$218),IF(AND(Inputs!$B$13&gt;0,UPPER(Inputs!$B$220)="BUY"),IF(Z$2=Inputs!$B$218,Inputs!$B$222*(1+princ)^(ProRate+Z$1-1),Y70*(1+princ)),0),IF(Inputs!$B$13&gt;0,IF(Y$1=0,Inputs!$B$13*(1+princ)^ProRate,Y70*(1+princ)),0))</f>
        <v>504456.93333180406</v>
      </c>
      <c r="AA70" s="7">
        <f ca="1">IF(AND(Inputs!$B$218&lt;&gt;"",AA$2&gt;=Inputs!$B$218),IF(AND(Inputs!$B$13&gt;0,UPPER(Inputs!$B$220)="BUY"),IF(AA$2=Inputs!$B$218,Inputs!$B$222*(1+princ)^(ProRate+AA$1-1),Z70*(1+princ)),0),IF(Inputs!$B$13&gt;0,IF(Z$1=0,Inputs!$B$13*(1+princ)^ProRate,Z70*(1+princ)),0))</f>
        <v>519590.64133175818</v>
      </c>
      <c r="AB70" s="7">
        <f ca="1">IF(AND(Inputs!$B$218&lt;&gt;"",AB$2&gt;=Inputs!$B$218),IF(AND(Inputs!$B$13&gt;0,UPPER(Inputs!$B$220)="BUY"),IF(AB$2=Inputs!$B$218,Inputs!$B$222*(1+princ)^(ProRate+AB$1-1),AA70*(1+princ)),0),IF(Inputs!$B$13&gt;0,IF(AA$1=0,Inputs!$B$13*(1+princ)^ProRate,AA70*(1+princ)),0))</f>
        <v>535178.36057171097</v>
      </c>
      <c r="AC70" s="7">
        <f ca="1">IF(AND(Inputs!$B$218&lt;&gt;"",AC$2&gt;=Inputs!$B$218),IF(AND(Inputs!$B$13&gt;0,UPPER(Inputs!$B$220)="BUY"),IF(AC$2=Inputs!$B$218,Inputs!$B$222*(1+princ)^(ProRate+AC$1-1),AB70*(1+princ)),0),IF(Inputs!$B$13&gt;0,IF(AB$1=0,Inputs!$B$13*(1+princ)^ProRate,AB70*(1+princ)),0))</f>
        <v>551233.71138886234</v>
      </c>
      <c r="AD70" s="7">
        <f ca="1">IF(AND(Inputs!$B$218&lt;&gt;"",AD$2&gt;=Inputs!$B$218),IF(AND(Inputs!$B$13&gt;0,UPPER(Inputs!$B$220)="BUY"),IF(AD$2=Inputs!$B$218,Inputs!$B$222*(1+princ)^(ProRate+AD$1-1),AC70*(1+princ)),0),IF(Inputs!$B$13&gt;0,IF(AC$1=0,Inputs!$B$13*(1+princ)^ProRate,AC70*(1+princ)),0))</f>
        <v>567770.72273052821</v>
      </c>
      <c r="AE70" s="7">
        <f ca="1">IF(AND(Inputs!$B$218&lt;&gt;"",AE$2&gt;=Inputs!$B$218),IF(AND(Inputs!$B$13&gt;0,UPPER(Inputs!$B$220)="BUY"),IF(AE$2=Inputs!$B$218,Inputs!$B$222*(1+princ)^(ProRate+AE$1-1),AD70*(1+princ)),0),IF(Inputs!$B$13&gt;0,IF(AD$1=0,Inputs!$B$13*(1+princ)^ProRate,AD70*(1+princ)),0))</f>
        <v>584803.84441244404</v>
      </c>
      <c r="AF70" s="7">
        <f ca="1">IF(AND(Inputs!$B$218&lt;&gt;"",AF$2&gt;=Inputs!$B$218),IF(AND(Inputs!$B$13&gt;0,UPPER(Inputs!$B$220)="BUY"),IF(AF$2=Inputs!$B$218,Inputs!$B$222*(1+princ)^(ProRate+AF$1-1),AE70*(1+princ)),0),IF(Inputs!$B$13&gt;0,IF(AE$1=0,Inputs!$B$13*(1+princ)^ProRate,AE70*(1+princ)),0))</f>
        <v>602347.95974481734</v>
      </c>
      <c r="AG70" s="7">
        <f ca="1">IF(AND(Inputs!$B$218&lt;&gt;"",AG$2&gt;=Inputs!$B$218),IF(AND(Inputs!$B$13&gt;0,UPPER(Inputs!$B$220)="BUY"),IF(AG$2=Inputs!$B$218,Inputs!$B$222*(1+princ)^(ProRate+AG$1-1),AF70*(1+princ)),0),IF(Inputs!$B$13&gt;0,IF(AF$1=0,Inputs!$B$13*(1+princ)^ProRate,AF70*(1+princ)),0))</f>
        <v>620418.39853716188</v>
      </c>
      <c r="AH70" s="7">
        <f ca="1">IF(AND(Inputs!$B$218&lt;&gt;"",AH$2&gt;=Inputs!$B$218),IF(AND(Inputs!$B$13&gt;0,UPPER(Inputs!$B$220)="BUY"),IF(AH$2=Inputs!$B$218,Inputs!$B$222*(1+princ)^(ProRate+AH$1-1),AG70*(1+princ)),0),IF(Inputs!$B$13&gt;0,IF(AG$1=0,Inputs!$B$13*(1+princ)^ProRate,AG70*(1+princ)),0))</f>
        <v>639030.9504932767</v>
      </c>
      <c r="AI70" s="7">
        <f ca="1">IF(AND(Inputs!$B$218&lt;&gt;"",AI$2&gt;=Inputs!$B$218),IF(AND(Inputs!$B$13&gt;0,UPPER(Inputs!$B$220)="BUY"),IF(AI$2=Inputs!$B$218,Inputs!$B$222*(1+princ)^(ProRate+AI$1-1),AH70*(1+princ)),0),IF(Inputs!$B$13&gt;0,IF(AH$1=0,Inputs!$B$13*(1+princ)^ProRate,AH70*(1+princ)),0))</f>
        <v>658201.87900807499</v>
      </c>
      <c r="AJ70" s="7">
        <f ca="1">IF(AND(Inputs!$B$218&lt;&gt;"",AJ$2&gt;=Inputs!$B$218),IF(AND(Inputs!$B$13&gt;0,UPPER(Inputs!$B$220)="BUY"),IF(AJ$2=Inputs!$B$218,Inputs!$B$222*(1+princ)^(ProRate+AJ$1-1),AI70*(1+princ)),0),IF(Inputs!$B$13&gt;0,IF(AI$1=0,Inputs!$B$13*(1+princ)^ProRate,AI70*(1+princ)),0))</f>
        <v>677947.93537831726</v>
      </c>
      <c r="AK70" s="7">
        <f ca="1">IF(AND(Inputs!$B$218&lt;&gt;"",AK$2&gt;=Inputs!$B$218),IF(AND(Inputs!$B$13&gt;0,UPPER(Inputs!$B$220)="BUY"),IF(AK$2=Inputs!$B$218,Inputs!$B$222*(1+princ)^(ProRate+AK$1-1),AJ70*(1+princ)),0),IF(Inputs!$B$13&gt;0,IF(AJ$1=0,Inputs!$B$13*(1+princ)^ProRate,AJ70*(1+princ)),0))</f>
        <v>698286.37343966682</v>
      </c>
      <c r="AL70" s="7">
        <f ca="1">IF(AND(Inputs!$B$218&lt;&gt;"",AL$2&gt;=Inputs!$B$218),IF(AND(Inputs!$B$13&gt;0,UPPER(Inputs!$B$220)="BUY"),IF(AL$2=Inputs!$B$218,Inputs!$B$222*(1+princ)^(ProRate+AL$1-1),AK70*(1+princ)),0),IF(Inputs!$B$13&gt;0,IF(AK$1=0,Inputs!$B$13*(1+princ)^ProRate,AK70*(1+princ)),0))</f>
        <v>719234.96464285685</v>
      </c>
      <c r="AM70" s="7">
        <f ca="1">IF(AND(Inputs!$B$218&lt;&gt;"",AM$2&gt;=Inputs!$B$218),IF(AND(Inputs!$B$13&gt;0,UPPER(Inputs!$B$220)="BUY"),IF(AM$2=Inputs!$B$218,Inputs!$B$222*(1+princ)^(ProRate+AM$1-1),AL70*(1+princ)),0),IF(Inputs!$B$13&gt;0,IF(AL$1=0,Inputs!$B$13*(1+princ)^ProRate,AL70*(1+princ)),0))</f>
        <v>740812.01358214254</v>
      </c>
    </row>
    <row r="71" spans="1:39" x14ac:dyDescent="0.2">
      <c r="A71" s="4" t="s">
        <v>50</v>
      </c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  <c r="AB71" s="7"/>
      <c r="AC71" s="7"/>
      <c r="AD71" s="7"/>
      <c r="AE71" s="7"/>
      <c r="AF71" s="7"/>
      <c r="AG71" s="7"/>
      <c r="AH71" s="7"/>
      <c r="AI71" s="7"/>
      <c r="AJ71" s="7"/>
      <c r="AK71" s="7"/>
      <c r="AL71" s="7"/>
      <c r="AM71" s="7"/>
    </row>
    <row r="72" spans="1:39" x14ac:dyDescent="0.2">
      <c r="A72" s="3" t="str">
        <f>TEXT(Inputs!$B$61,"")</f>
        <v>Sliema</v>
      </c>
      <c r="C72" s="7">
        <f ca="1">Inputs!B62*(1+princ)^ProRate</f>
        <v>306724.99866884813</v>
      </c>
      <c r="D72" s="7">
        <f t="shared" ref="D72:S76" ca="1" si="41">C72*(1+princ)</f>
        <v>315926.7486289136</v>
      </c>
      <c r="E72" s="7">
        <f t="shared" ca="1" si="41"/>
        <v>325404.55108778103</v>
      </c>
      <c r="F72" s="7">
        <f t="shared" ca="1" si="41"/>
        <v>335166.68762041448</v>
      </c>
      <c r="G72" s="7">
        <f t="shared" ca="1" si="41"/>
        <v>345221.68824902695</v>
      </c>
      <c r="H72" s="7">
        <f t="shared" ca="1" si="41"/>
        <v>355578.33889649779</v>
      </c>
      <c r="I72" s="7">
        <f t="shared" ca="1" si="41"/>
        <v>366245.68906339275</v>
      </c>
      <c r="J72" s="7">
        <f t="shared" ca="1" si="41"/>
        <v>377233.05973529455</v>
      </c>
      <c r="K72" s="7">
        <f t="shared" ca="1" si="41"/>
        <v>388550.05152735341</v>
      </c>
      <c r="L72" s="7">
        <f t="shared" ca="1" si="41"/>
        <v>400206.55307317403</v>
      </c>
      <c r="M72" s="7">
        <f t="shared" ca="1" si="41"/>
        <v>412212.74966536928</v>
      </c>
      <c r="N72" s="7">
        <f t="shared" ca="1" si="41"/>
        <v>424579.13215533039</v>
      </c>
      <c r="O72" s="7">
        <f t="shared" ca="1" si="41"/>
        <v>437316.50611999031</v>
      </c>
      <c r="P72" s="7">
        <f t="shared" ca="1" si="41"/>
        <v>450436.00130359002</v>
      </c>
      <c r="Q72" s="7">
        <f t="shared" ca="1" si="41"/>
        <v>463949.08134269773</v>
      </c>
      <c r="R72" s="7">
        <f t="shared" ca="1" si="41"/>
        <v>477867.55378297868</v>
      </c>
      <c r="S72" s="7">
        <f t="shared" ca="1" si="41"/>
        <v>492203.58039646805</v>
      </c>
      <c r="T72" s="7">
        <f t="shared" ref="T72:AI76" ca="1" si="42">S72*(1+princ)</f>
        <v>506969.68780836213</v>
      </c>
      <c r="U72" s="7">
        <f t="shared" ca="1" si="42"/>
        <v>522178.77844261302</v>
      </c>
      <c r="V72" s="7">
        <f t="shared" ca="1" si="42"/>
        <v>537844.14179589145</v>
      </c>
      <c r="W72" s="7">
        <f t="shared" ca="1" si="42"/>
        <v>553979.46604976826</v>
      </c>
      <c r="X72" s="7">
        <f t="shared" ca="1" si="42"/>
        <v>570598.85003126133</v>
      </c>
      <c r="Y72" s="7">
        <f t="shared" ca="1" si="42"/>
        <v>587716.81553219922</v>
      </c>
      <c r="Z72" s="7">
        <f t="shared" ca="1" si="42"/>
        <v>605348.31999816524</v>
      </c>
      <c r="AA72" s="7">
        <f t="shared" ca="1" si="42"/>
        <v>623508.76959811023</v>
      </c>
      <c r="AB72" s="7">
        <f t="shared" ca="1" si="42"/>
        <v>642214.03268605354</v>
      </c>
      <c r="AC72" s="7">
        <f t="shared" ca="1" si="42"/>
        <v>661480.45366663521</v>
      </c>
      <c r="AD72" s="7">
        <f t="shared" ca="1" si="42"/>
        <v>681324.86727663432</v>
      </c>
      <c r="AE72" s="7">
        <f t="shared" ca="1" si="42"/>
        <v>701764.61329493334</v>
      </c>
      <c r="AF72" s="7">
        <f t="shared" ca="1" si="42"/>
        <v>722817.5516937814</v>
      </c>
      <c r="AG72" s="7">
        <f t="shared" ca="1" si="42"/>
        <v>744502.07824459486</v>
      </c>
      <c r="AH72" s="7">
        <f t="shared" ca="1" si="42"/>
        <v>766837.14059193269</v>
      </c>
      <c r="AI72" s="7">
        <f t="shared" ca="1" si="42"/>
        <v>789842.25480969064</v>
      </c>
      <c r="AJ72" s="7">
        <f t="shared" ref="AJ72:AM76" ca="1" si="43">AI72*(1+princ)</f>
        <v>813537.52245398134</v>
      </c>
      <c r="AK72" s="7">
        <f t="shared" ca="1" si="43"/>
        <v>837943.64812760078</v>
      </c>
      <c r="AL72" s="7">
        <f t="shared" ca="1" si="43"/>
        <v>863081.95757142885</v>
      </c>
      <c r="AM72" s="7">
        <f t="shared" ca="1" si="43"/>
        <v>888974.41629857174</v>
      </c>
    </row>
    <row r="73" spans="1:39" x14ac:dyDescent="0.2">
      <c r="A73" s="3" t="str">
        <f>TEXT(Inputs!$B$66,"")</f>
        <v>Gzira</v>
      </c>
      <c r="C73" s="7">
        <f ca="1">Inputs!B67*(1+princ)^ProRate</f>
        <v>153362.49933442406</v>
      </c>
      <c r="D73" s="7">
        <f t="shared" ca="1" si="41"/>
        <v>157963.3743144568</v>
      </c>
      <c r="E73" s="7">
        <f t="shared" ca="1" si="41"/>
        <v>162702.27554389052</v>
      </c>
      <c r="F73" s="7">
        <f t="shared" ca="1" si="41"/>
        <v>167583.34381020724</v>
      </c>
      <c r="G73" s="7">
        <f t="shared" ca="1" si="41"/>
        <v>172610.84412451347</v>
      </c>
      <c r="H73" s="7">
        <f t="shared" ca="1" si="41"/>
        <v>177789.1694482489</v>
      </c>
      <c r="I73" s="7">
        <f t="shared" ca="1" si="41"/>
        <v>183122.84453169638</v>
      </c>
      <c r="J73" s="7">
        <f t="shared" ca="1" si="41"/>
        <v>188616.52986764727</v>
      </c>
      <c r="K73" s="7">
        <f t="shared" ca="1" si="41"/>
        <v>194275.02576367671</v>
      </c>
      <c r="L73" s="7">
        <f t="shared" ca="1" si="41"/>
        <v>200103.27653658701</v>
      </c>
      <c r="M73" s="7">
        <f t="shared" ca="1" si="41"/>
        <v>206106.37483268464</v>
      </c>
      <c r="N73" s="7">
        <f t="shared" ca="1" si="41"/>
        <v>212289.56607766519</v>
      </c>
      <c r="O73" s="7">
        <f t="shared" ca="1" si="41"/>
        <v>218658.25305999516</v>
      </c>
      <c r="P73" s="7">
        <f t="shared" ca="1" si="41"/>
        <v>225218.00065179501</v>
      </c>
      <c r="Q73" s="7">
        <f t="shared" ca="1" si="41"/>
        <v>231974.54067134886</v>
      </c>
      <c r="R73" s="7">
        <f t="shared" ca="1" si="41"/>
        <v>238933.77689148934</v>
      </c>
      <c r="S73" s="7">
        <f t="shared" ca="1" si="41"/>
        <v>246101.79019823403</v>
      </c>
      <c r="T73" s="7">
        <f t="shared" ca="1" si="42"/>
        <v>253484.84390418106</v>
      </c>
      <c r="U73" s="7">
        <f t="shared" ca="1" si="42"/>
        <v>261089.38922130651</v>
      </c>
      <c r="V73" s="7">
        <f t="shared" ca="1" si="42"/>
        <v>268922.07089794573</v>
      </c>
      <c r="W73" s="7">
        <f t="shared" ca="1" si="42"/>
        <v>276989.73302488413</v>
      </c>
      <c r="X73" s="7">
        <f t="shared" ca="1" si="42"/>
        <v>285299.42501563067</v>
      </c>
      <c r="Y73" s="7">
        <f t="shared" ca="1" si="42"/>
        <v>293858.40776609961</v>
      </c>
      <c r="Z73" s="7">
        <f t="shared" ca="1" si="42"/>
        <v>302674.15999908262</v>
      </c>
      <c r="AA73" s="7">
        <f t="shared" ca="1" si="42"/>
        <v>311754.38479905511</v>
      </c>
      <c r="AB73" s="7">
        <f t="shared" ca="1" si="42"/>
        <v>321107.01634302677</v>
      </c>
      <c r="AC73" s="7">
        <f t="shared" ca="1" si="42"/>
        <v>330740.2268333176</v>
      </c>
      <c r="AD73" s="7">
        <f t="shared" ca="1" si="42"/>
        <v>340662.43363831716</v>
      </c>
      <c r="AE73" s="7">
        <f t="shared" ca="1" si="42"/>
        <v>350882.30664746667</v>
      </c>
      <c r="AF73" s="7">
        <f t="shared" ca="1" si="42"/>
        <v>361408.7758468907</v>
      </c>
      <c r="AG73" s="7">
        <f t="shared" ca="1" si="42"/>
        <v>372251.03912229743</v>
      </c>
      <c r="AH73" s="7">
        <f t="shared" ca="1" si="42"/>
        <v>383418.57029596635</v>
      </c>
      <c r="AI73" s="7">
        <f t="shared" ca="1" si="42"/>
        <v>394921.12740484532</v>
      </c>
      <c r="AJ73" s="7">
        <f t="shared" ca="1" si="43"/>
        <v>406768.76122699067</v>
      </c>
      <c r="AK73" s="7">
        <f t="shared" ca="1" si="43"/>
        <v>418971.82406380039</v>
      </c>
      <c r="AL73" s="7">
        <f t="shared" ca="1" si="43"/>
        <v>431540.97878571443</v>
      </c>
      <c r="AM73" s="7">
        <f t="shared" ca="1" si="43"/>
        <v>444487.20814928587</v>
      </c>
    </row>
    <row r="74" spans="1:39" x14ac:dyDescent="0.2">
      <c r="A74" s="3" t="str">
        <f>TEXT(Inputs!$B$71,"")</f>
        <v>Qormi</v>
      </c>
      <c r="C74" s="7">
        <f ca="1">Inputs!B72*(1+princ)^ProRate</f>
        <v>224931.66569048862</v>
      </c>
      <c r="D74" s="7">
        <f t="shared" ca="1" si="41"/>
        <v>231679.61566120328</v>
      </c>
      <c r="E74" s="7">
        <f t="shared" ca="1" si="41"/>
        <v>238630.00413103937</v>
      </c>
      <c r="F74" s="7">
        <f t="shared" ca="1" si="41"/>
        <v>245788.90425497055</v>
      </c>
      <c r="G74" s="7">
        <f t="shared" ca="1" si="41"/>
        <v>253162.57138261967</v>
      </c>
      <c r="H74" s="7">
        <f t="shared" ca="1" si="41"/>
        <v>260757.44852409826</v>
      </c>
      <c r="I74" s="7">
        <f t="shared" ca="1" si="41"/>
        <v>268580.17197982123</v>
      </c>
      <c r="J74" s="7">
        <f t="shared" ca="1" si="41"/>
        <v>276637.57713921589</v>
      </c>
      <c r="K74" s="7">
        <f t="shared" ca="1" si="41"/>
        <v>284936.70445339236</v>
      </c>
      <c r="L74" s="7">
        <f t="shared" ca="1" si="41"/>
        <v>293484.80558699416</v>
      </c>
      <c r="M74" s="7">
        <f t="shared" ca="1" si="41"/>
        <v>302289.34975460399</v>
      </c>
      <c r="N74" s="7">
        <f t="shared" ca="1" si="41"/>
        <v>311358.03024724213</v>
      </c>
      <c r="O74" s="7">
        <f t="shared" ca="1" si="41"/>
        <v>320698.77115465939</v>
      </c>
      <c r="P74" s="7">
        <f t="shared" ca="1" si="41"/>
        <v>330319.73428929917</v>
      </c>
      <c r="Q74" s="7">
        <f t="shared" ca="1" si="41"/>
        <v>340229.32631797815</v>
      </c>
      <c r="R74" s="7">
        <f t="shared" ca="1" si="41"/>
        <v>350436.20610751753</v>
      </c>
      <c r="S74" s="7">
        <f t="shared" ca="1" si="41"/>
        <v>360949.29229074309</v>
      </c>
      <c r="T74" s="7">
        <f t="shared" ca="1" si="42"/>
        <v>371777.77105946542</v>
      </c>
      <c r="U74" s="7">
        <f t="shared" ca="1" si="42"/>
        <v>382931.10419124941</v>
      </c>
      <c r="V74" s="7">
        <f t="shared" ca="1" si="42"/>
        <v>394419.03731698688</v>
      </c>
      <c r="W74" s="7">
        <f t="shared" ca="1" si="42"/>
        <v>406251.60843649652</v>
      </c>
      <c r="X74" s="7">
        <f t="shared" ca="1" si="42"/>
        <v>418439.15668959141</v>
      </c>
      <c r="Y74" s="7">
        <f t="shared" ca="1" si="42"/>
        <v>430992.33139027917</v>
      </c>
      <c r="Z74" s="7">
        <f t="shared" ca="1" si="42"/>
        <v>443922.10133198753</v>
      </c>
      <c r="AA74" s="7">
        <f t="shared" ca="1" si="42"/>
        <v>457239.76437194715</v>
      </c>
      <c r="AB74" s="7">
        <f t="shared" ca="1" si="42"/>
        <v>470956.95730310556</v>
      </c>
      <c r="AC74" s="7">
        <f t="shared" ca="1" si="42"/>
        <v>485085.66602219874</v>
      </c>
      <c r="AD74" s="7">
        <f t="shared" ca="1" si="42"/>
        <v>499638.23600286472</v>
      </c>
      <c r="AE74" s="7">
        <f t="shared" ca="1" si="42"/>
        <v>514627.38308295066</v>
      </c>
      <c r="AF74" s="7">
        <f t="shared" ca="1" si="42"/>
        <v>530066.20457543922</v>
      </c>
      <c r="AG74" s="7">
        <f t="shared" ca="1" si="42"/>
        <v>545968.19071270246</v>
      </c>
      <c r="AH74" s="7">
        <f t="shared" ca="1" si="42"/>
        <v>562347.23643408355</v>
      </c>
      <c r="AI74" s="7">
        <f t="shared" ca="1" si="42"/>
        <v>579217.65352710604</v>
      </c>
      <c r="AJ74" s="7">
        <f t="shared" ca="1" si="43"/>
        <v>596594.18313291925</v>
      </c>
      <c r="AK74" s="7">
        <f t="shared" ca="1" si="43"/>
        <v>614492.0086269069</v>
      </c>
      <c r="AL74" s="7">
        <f t="shared" ca="1" si="43"/>
        <v>632926.76888571412</v>
      </c>
      <c r="AM74" s="7">
        <f t="shared" ca="1" si="43"/>
        <v>651914.57195228559</v>
      </c>
    </row>
    <row r="75" spans="1:39" x14ac:dyDescent="0.2">
      <c r="A75" s="3" t="str">
        <f>TEXT(Inputs!$B$76,"")</f>
        <v>Gudja</v>
      </c>
      <c r="C75" s="7">
        <f ca="1">Inputs!B77*(1+princ)^ProRate</f>
        <v>81793.332978359496</v>
      </c>
      <c r="D75" s="7">
        <f t="shared" ca="1" si="41"/>
        <v>84247.132967710277</v>
      </c>
      <c r="E75" s="7">
        <f t="shared" ca="1" si="41"/>
        <v>86774.546956741586</v>
      </c>
      <c r="F75" s="7">
        <f t="shared" ca="1" si="41"/>
        <v>89377.783365443829</v>
      </c>
      <c r="G75" s="7">
        <f t="shared" ca="1" si="41"/>
        <v>92059.116866407145</v>
      </c>
      <c r="H75" s="7">
        <f t="shared" ca="1" si="41"/>
        <v>94820.890372399357</v>
      </c>
      <c r="I75" s="7">
        <f t="shared" ca="1" si="41"/>
        <v>97665.517083571336</v>
      </c>
      <c r="J75" s="7">
        <f t="shared" ca="1" si="41"/>
        <v>100595.48259607848</v>
      </c>
      <c r="K75" s="7">
        <f t="shared" ca="1" si="41"/>
        <v>103613.34707396083</v>
      </c>
      <c r="L75" s="7">
        <f t="shared" ca="1" si="41"/>
        <v>106721.74748617967</v>
      </c>
      <c r="M75" s="7">
        <f t="shared" ca="1" si="41"/>
        <v>109923.39991076506</v>
      </c>
      <c r="N75" s="7">
        <f t="shared" ca="1" si="41"/>
        <v>113221.10190808802</v>
      </c>
      <c r="O75" s="7">
        <f t="shared" ca="1" si="41"/>
        <v>116617.73496533066</v>
      </c>
      <c r="P75" s="7">
        <f t="shared" ca="1" si="41"/>
        <v>120116.26701429058</v>
      </c>
      <c r="Q75" s="7">
        <f t="shared" ca="1" si="41"/>
        <v>123719.7550247193</v>
      </c>
      <c r="R75" s="7">
        <f t="shared" ca="1" si="41"/>
        <v>127431.34767546089</v>
      </c>
      <c r="S75" s="7">
        <f t="shared" ca="1" si="41"/>
        <v>131254.28810572473</v>
      </c>
      <c r="T75" s="7">
        <f t="shared" ca="1" si="42"/>
        <v>135191.91674889647</v>
      </c>
      <c r="U75" s="7">
        <f t="shared" ca="1" si="42"/>
        <v>139247.67425136338</v>
      </c>
      <c r="V75" s="7">
        <f t="shared" ca="1" si="42"/>
        <v>143425.10447890428</v>
      </c>
      <c r="W75" s="7">
        <f t="shared" ca="1" si="42"/>
        <v>147727.85761327142</v>
      </c>
      <c r="X75" s="7">
        <f t="shared" ca="1" si="42"/>
        <v>152159.69334166957</v>
      </c>
      <c r="Y75" s="7">
        <f t="shared" ca="1" si="42"/>
        <v>156724.48414191965</v>
      </c>
      <c r="Z75" s="7">
        <f t="shared" ca="1" si="42"/>
        <v>161426.21866617724</v>
      </c>
      <c r="AA75" s="7">
        <f t="shared" ca="1" si="42"/>
        <v>166269.00522616255</v>
      </c>
      <c r="AB75" s="7">
        <f t="shared" ca="1" si="42"/>
        <v>171257.07538294743</v>
      </c>
      <c r="AC75" s="7">
        <f t="shared" ca="1" si="42"/>
        <v>176394.78764443586</v>
      </c>
      <c r="AD75" s="7">
        <f t="shared" ca="1" si="42"/>
        <v>181686.63127376893</v>
      </c>
      <c r="AE75" s="7">
        <f t="shared" ca="1" si="42"/>
        <v>187137.23021198201</v>
      </c>
      <c r="AF75" s="7">
        <f t="shared" ca="1" si="42"/>
        <v>192751.34711834148</v>
      </c>
      <c r="AG75" s="7">
        <f t="shared" ca="1" si="42"/>
        <v>198533.88753189173</v>
      </c>
      <c r="AH75" s="7">
        <f t="shared" ca="1" si="42"/>
        <v>204489.90415784848</v>
      </c>
      <c r="AI75" s="7">
        <f t="shared" ca="1" si="42"/>
        <v>210624.60128258393</v>
      </c>
      <c r="AJ75" s="7">
        <f t="shared" ca="1" si="43"/>
        <v>216943.33932106144</v>
      </c>
      <c r="AK75" s="7">
        <f t="shared" ca="1" si="43"/>
        <v>223451.6395006933</v>
      </c>
      <c r="AL75" s="7">
        <f t="shared" ca="1" si="43"/>
        <v>230155.18868571409</v>
      </c>
      <c r="AM75" s="7">
        <f t="shared" ca="1" si="43"/>
        <v>237059.84434628554</v>
      </c>
    </row>
    <row r="76" spans="1:39" x14ac:dyDescent="0.2">
      <c r="A76" s="3" t="str">
        <f>TEXT(Inputs!$B$81,"")</f>
        <v>Marsa</v>
      </c>
      <c r="C76" s="7">
        <f ca="1">Inputs!B82*(1+princ)^ProRate</f>
        <v>122689.99946753924</v>
      </c>
      <c r="D76" s="7">
        <f t="shared" ca="1" si="41"/>
        <v>126370.69945156542</v>
      </c>
      <c r="E76" s="7">
        <f t="shared" ca="1" si="41"/>
        <v>130161.82043511239</v>
      </c>
      <c r="F76" s="7">
        <f t="shared" ca="1" si="41"/>
        <v>134066.67504816575</v>
      </c>
      <c r="G76" s="7">
        <f t="shared" ca="1" si="41"/>
        <v>138088.67529961074</v>
      </c>
      <c r="H76" s="7">
        <f t="shared" ca="1" si="41"/>
        <v>142231.33555859906</v>
      </c>
      <c r="I76" s="7">
        <f t="shared" ca="1" si="41"/>
        <v>146498.27562535706</v>
      </c>
      <c r="J76" s="7">
        <f t="shared" ca="1" si="41"/>
        <v>150893.22389411778</v>
      </c>
      <c r="K76" s="7">
        <f t="shared" ca="1" si="41"/>
        <v>155420.02061094131</v>
      </c>
      <c r="L76" s="7">
        <f t="shared" ca="1" si="41"/>
        <v>160082.62122926954</v>
      </c>
      <c r="M76" s="7">
        <f t="shared" ca="1" si="41"/>
        <v>164885.09986614762</v>
      </c>
      <c r="N76" s="7">
        <f t="shared" ca="1" si="41"/>
        <v>169831.65286213206</v>
      </c>
      <c r="O76" s="7">
        <f t="shared" ca="1" si="41"/>
        <v>174926.60244799603</v>
      </c>
      <c r="P76" s="7">
        <f t="shared" ca="1" si="41"/>
        <v>180174.40052143592</v>
      </c>
      <c r="Q76" s="7">
        <f t="shared" ca="1" si="41"/>
        <v>185579.63253707901</v>
      </c>
      <c r="R76" s="7">
        <f t="shared" ca="1" si="41"/>
        <v>191147.0215131914</v>
      </c>
      <c r="S76" s="7">
        <f t="shared" ca="1" si="41"/>
        <v>196881.43215858715</v>
      </c>
      <c r="T76" s="7">
        <f t="shared" ca="1" si="42"/>
        <v>202787.87512334477</v>
      </c>
      <c r="U76" s="7">
        <f t="shared" ca="1" si="42"/>
        <v>208871.51137704513</v>
      </c>
      <c r="V76" s="7">
        <f t="shared" ca="1" si="42"/>
        <v>215137.65671835648</v>
      </c>
      <c r="W76" s="7">
        <f t="shared" ca="1" si="42"/>
        <v>221591.78641990718</v>
      </c>
      <c r="X76" s="7">
        <f t="shared" ca="1" si="42"/>
        <v>228239.54001250441</v>
      </c>
      <c r="Y76" s="7">
        <f t="shared" ca="1" si="42"/>
        <v>235086.72621287956</v>
      </c>
      <c r="Z76" s="7">
        <f t="shared" ca="1" si="42"/>
        <v>242139.32799926595</v>
      </c>
      <c r="AA76" s="7">
        <f t="shared" ca="1" si="42"/>
        <v>249403.50783924395</v>
      </c>
      <c r="AB76" s="7">
        <f t="shared" ca="1" si="42"/>
        <v>256885.61307442127</v>
      </c>
      <c r="AC76" s="7">
        <f t="shared" ca="1" si="42"/>
        <v>264592.18146665394</v>
      </c>
      <c r="AD76" s="7">
        <f t="shared" ca="1" si="42"/>
        <v>272529.94691065355</v>
      </c>
      <c r="AE76" s="7">
        <f t="shared" ca="1" si="42"/>
        <v>280705.84531797317</v>
      </c>
      <c r="AF76" s="7">
        <f t="shared" ca="1" si="42"/>
        <v>289127.0206775124</v>
      </c>
      <c r="AG76" s="7">
        <f t="shared" ca="1" si="42"/>
        <v>297800.83129783778</v>
      </c>
      <c r="AH76" s="7">
        <f t="shared" ca="1" si="42"/>
        <v>306734.8562367729</v>
      </c>
      <c r="AI76" s="7">
        <f t="shared" ca="1" si="42"/>
        <v>315936.90192387608</v>
      </c>
      <c r="AJ76" s="7">
        <f t="shared" ca="1" si="43"/>
        <v>325415.00898159237</v>
      </c>
      <c r="AK76" s="7">
        <f t="shared" ca="1" si="43"/>
        <v>335177.45925104013</v>
      </c>
      <c r="AL76" s="7">
        <f t="shared" ca="1" si="43"/>
        <v>345232.78302857134</v>
      </c>
      <c r="AM76" s="7">
        <f t="shared" ca="1" si="43"/>
        <v>355589.76651942846</v>
      </c>
    </row>
    <row r="77" spans="1:39" x14ac:dyDescent="0.2">
      <c r="A77" s="4" t="s">
        <v>193</v>
      </c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  <c r="AC77" s="7"/>
      <c r="AD77" s="7"/>
      <c r="AE77" s="7"/>
      <c r="AF77" s="7"/>
      <c r="AG77" s="7"/>
      <c r="AH77" s="7"/>
      <c r="AI77" s="7"/>
      <c r="AJ77" s="7"/>
      <c r="AK77" s="7"/>
      <c r="AL77" s="7"/>
      <c r="AM77" s="7"/>
    </row>
    <row r="78" spans="1:39" x14ac:dyDescent="0.2">
      <c r="A78" s="3" t="str">
        <f>TEXT(Inputs!$B$88,"")</f>
        <v>Jewelry</v>
      </c>
      <c r="C78" s="7">
        <f ca="1">Inputs!B89*(1+A1inc)^ProRate</f>
        <v>50748.140451472013</v>
      </c>
      <c r="D78" s="7">
        <f t="shared" ref="D78:AM78" ca="1" si="44">C78*(1+A1inc)</f>
        <v>51763.103260501455</v>
      </c>
      <c r="E78" s="7">
        <f t="shared" ca="1" si="44"/>
        <v>52798.365325711486</v>
      </c>
      <c r="F78" s="7">
        <f t="shared" ca="1" si="44"/>
        <v>53854.33263222572</v>
      </c>
      <c r="G78" s="7">
        <f t="shared" ca="1" si="44"/>
        <v>54931.419284870237</v>
      </c>
      <c r="H78" s="7">
        <f t="shared" ca="1" si="44"/>
        <v>56030.047670567641</v>
      </c>
      <c r="I78" s="7">
        <f t="shared" ca="1" si="44"/>
        <v>57150.648623978996</v>
      </c>
      <c r="J78" s="7">
        <f t="shared" ca="1" si="44"/>
        <v>58293.66159645858</v>
      </c>
      <c r="K78" s="7">
        <f t="shared" ca="1" si="44"/>
        <v>59459.534828387754</v>
      </c>
      <c r="L78" s="7">
        <f t="shared" ca="1" si="44"/>
        <v>60648.725524955509</v>
      </c>
      <c r="M78" s="7">
        <f t="shared" ca="1" si="44"/>
        <v>61861.700035454618</v>
      </c>
      <c r="N78" s="7">
        <f t="shared" ca="1" si="44"/>
        <v>63098.934036163715</v>
      </c>
      <c r="O78" s="7">
        <f t="shared" ca="1" si="44"/>
        <v>64360.912716886989</v>
      </c>
      <c r="P78" s="7">
        <f t="shared" ca="1" si="44"/>
        <v>65648.130971224731</v>
      </c>
      <c r="Q78" s="7">
        <f t="shared" ca="1" si="44"/>
        <v>66961.093590649223</v>
      </c>
      <c r="R78" s="7">
        <f t="shared" ca="1" si="44"/>
        <v>68300.315462462211</v>
      </c>
      <c r="S78" s="7">
        <f t="shared" ca="1" si="44"/>
        <v>69666.32177171146</v>
      </c>
      <c r="T78" s="7">
        <f t="shared" ca="1" si="44"/>
        <v>71059.648207145685</v>
      </c>
      <c r="U78" s="7">
        <f t="shared" ca="1" si="44"/>
        <v>72480.841171288601</v>
      </c>
      <c r="V78" s="7">
        <f t="shared" ca="1" si="44"/>
        <v>73930.457994714379</v>
      </c>
      <c r="W78" s="7">
        <f t="shared" ca="1" si="44"/>
        <v>75409.067154608667</v>
      </c>
      <c r="X78" s="7">
        <f t="shared" ca="1" si="44"/>
        <v>76917.248497700843</v>
      </c>
      <c r="Y78" s="7">
        <f t="shared" ca="1" si="44"/>
        <v>78455.593467654864</v>
      </c>
      <c r="Z78" s="7">
        <f t="shared" ca="1" si="44"/>
        <v>80024.705337007967</v>
      </c>
      <c r="AA78" s="7">
        <f t="shared" ca="1" si="44"/>
        <v>81625.199443748133</v>
      </c>
      <c r="AB78" s="7">
        <f t="shared" ca="1" si="44"/>
        <v>83257.703432623093</v>
      </c>
      <c r="AC78" s="7">
        <f t="shared" ca="1" si="44"/>
        <v>84922.857501275561</v>
      </c>
      <c r="AD78" s="7">
        <f t="shared" ca="1" si="44"/>
        <v>86621.314651301072</v>
      </c>
      <c r="AE78" s="7">
        <f t="shared" ca="1" si="44"/>
        <v>88353.740944327103</v>
      </c>
      <c r="AF78" s="7">
        <f t="shared" ca="1" si="44"/>
        <v>90120.815763213643</v>
      </c>
      <c r="AG78" s="7">
        <f t="shared" ca="1" si="44"/>
        <v>91923.232078477915</v>
      </c>
      <c r="AH78" s="7">
        <f t="shared" ca="1" si="44"/>
        <v>93761.696720047476</v>
      </c>
      <c r="AI78" s="7">
        <f t="shared" ca="1" si="44"/>
        <v>95636.930654448428</v>
      </c>
      <c r="AJ78" s="7">
        <f t="shared" ca="1" si="44"/>
        <v>97549.669267537392</v>
      </c>
      <c r="AK78" s="7">
        <f t="shared" ca="1" si="44"/>
        <v>99500.662652888146</v>
      </c>
      <c r="AL78" s="7">
        <f t="shared" ca="1" si="44"/>
        <v>101490.67590594591</v>
      </c>
      <c r="AM78" s="7">
        <f t="shared" ca="1" si="44"/>
        <v>103520.48942406483</v>
      </c>
    </row>
    <row r="79" spans="1:39" x14ac:dyDescent="0.2">
      <c r="A79" s="3" t="str">
        <f>TEXT(Inputs!$B$93,"")</f>
        <v>Car</v>
      </c>
      <c r="C79" s="7">
        <f ca="1">Inputs!B94*(1+A2inc)^ProRate</f>
        <v>38490.424009238486</v>
      </c>
      <c r="D79" s="7">
        <f t="shared" ref="D79:AM79" ca="1" si="45">C79*(1+A2inc)</f>
        <v>36565.902808776562</v>
      </c>
      <c r="E79" s="7">
        <f t="shared" ca="1" si="45"/>
        <v>34737.607668337732</v>
      </c>
      <c r="F79" s="7">
        <f t="shared" ca="1" si="45"/>
        <v>33000.727284920846</v>
      </c>
      <c r="G79" s="7">
        <f t="shared" ca="1" si="45"/>
        <v>31350.690920674802</v>
      </c>
      <c r="H79" s="7">
        <f t="shared" ca="1" si="45"/>
        <v>29783.156374641061</v>
      </c>
      <c r="I79" s="7">
        <f t="shared" ca="1" si="45"/>
        <v>28293.998555909006</v>
      </c>
      <c r="J79" s="7">
        <f t="shared" ca="1" si="45"/>
        <v>26879.298628113553</v>
      </c>
      <c r="K79" s="7">
        <f t="shared" ca="1" si="45"/>
        <v>25535.333696707872</v>
      </c>
      <c r="L79" s="7">
        <f t="shared" ca="1" si="45"/>
        <v>24258.567011872477</v>
      </c>
      <c r="M79" s="7">
        <f t="shared" ca="1" si="45"/>
        <v>23045.638661278852</v>
      </c>
      <c r="N79" s="7">
        <f t="shared" ca="1" si="45"/>
        <v>21893.356728214909</v>
      </c>
      <c r="O79" s="7">
        <f t="shared" ca="1" si="45"/>
        <v>20798.688891804162</v>
      </c>
      <c r="P79" s="7">
        <f t="shared" ca="1" si="45"/>
        <v>19758.754447213953</v>
      </c>
      <c r="Q79" s="7">
        <f t="shared" ca="1" si="45"/>
        <v>18770.816724853255</v>
      </c>
      <c r="R79" s="7">
        <f t="shared" ca="1" si="45"/>
        <v>17832.275888610591</v>
      </c>
      <c r="S79" s="7">
        <f t="shared" ca="1" si="45"/>
        <v>16940.662094180061</v>
      </c>
      <c r="T79" s="7">
        <f t="shared" ca="1" si="45"/>
        <v>16093.628989471057</v>
      </c>
      <c r="U79" s="7">
        <f t="shared" ca="1" si="45"/>
        <v>15288.947539997504</v>
      </c>
      <c r="V79" s="7">
        <f t="shared" ca="1" si="45"/>
        <v>14524.500162997627</v>
      </c>
      <c r="W79" s="7">
        <f t="shared" ca="1" si="45"/>
        <v>13798.275154847744</v>
      </c>
      <c r="X79" s="7">
        <f t="shared" ca="1" si="45"/>
        <v>13108.361397105356</v>
      </c>
      <c r="Y79" s="7">
        <f t="shared" ca="1" si="45"/>
        <v>12452.943327250088</v>
      </c>
      <c r="Z79" s="7">
        <f t="shared" ca="1" si="45"/>
        <v>11830.296160887583</v>
      </c>
      <c r="AA79" s="7">
        <f t="shared" ca="1" si="45"/>
        <v>11238.781352843203</v>
      </c>
      <c r="AB79" s="7">
        <f t="shared" ca="1" si="45"/>
        <v>10676.842285201043</v>
      </c>
      <c r="AC79" s="7">
        <f t="shared" ca="1" si="45"/>
        <v>10143.00017094099</v>
      </c>
      <c r="AD79" s="7">
        <f t="shared" ca="1" si="45"/>
        <v>9635.8501623939392</v>
      </c>
      <c r="AE79" s="7">
        <f t="shared" ca="1" si="45"/>
        <v>9154.0576542742419</v>
      </c>
      <c r="AF79" s="7">
        <f t="shared" ca="1" si="45"/>
        <v>8696.3547715605291</v>
      </c>
      <c r="AG79" s="7">
        <f t="shared" ca="1" si="45"/>
        <v>8261.5370329825018</v>
      </c>
      <c r="AH79" s="7">
        <f t="shared" ca="1" si="45"/>
        <v>7848.4601813333766</v>
      </c>
      <c r="AI79" s="7">
        <f t="shared" ca="1" si="45"/>
        <v>7456.0371722667078</v>
      </c>
      <c r="AJ79" s="7">
        <f t="shared" ca="1" si="45"/>
        <v>7083.235313653372</v>
      </c>
      <c r="AK79" s="7">
        <f t="shared" ca="1" si="45"/>
        <v>6729.0735479707027</v>
      </c>
      <c r="AL79" s="7">
        <f t="shared" ca="1" si="45"/>
        <v>6392.6198705721672</v>
      </c>
      <c r="AM79" s="7">
        <f t="shared" ca="1" si="45"/>
        <v>6072.9888770435582</v>
      </c>
    </row>
    <row r="80" spans="1:39" x14ac:dyDescent="0.2">
      <c r="A80" s="3" t="str">
        <f>TEXT(Inputs!$B$98,"")</f>
        <v>Painting</v>
      </c>
      <c r="C80" s="7">
        <f ca="1">Inputs!B99*(1+A3inc)^ProRate</f>
        <v>20448.333244589874</v>
      </c>
      <c r="D80" s="7">
        <f t="shared" ref="D80:AM80" ca="1" si="46">C80*(1+A3inc)</f>
        <v>21061.783241927569</v>
      </c>
      <c r="E80" s="7">
        <f t="shared" ca="1" si="46"/>
        <v>21693.636739185396</v>
      </c>
      <c r="F80" s="7">
        <f t="shared" ca="1" si="46"/>
        <v>22344.445841360957</v>
      </c>
      <c r="G80" s="7">
        <f t="shared" ca="1" si="46"/>
        <v>23014.779216601786</v>
      </c>
      <c r="H80" s="7">
        <f t="shared" ca="1" si="46"/>
        <v>23705.222593099839</v>
      </c>
      <c r="I80" s="7">
        <f t="shared" ca="1" si="46"/>
        <v>24416.379270892834</v>
      </c>
      <c r="J80" s="7">
        <f t="shared" ca="1" si="46"/>
        <v>25148.87064901962</v>
      </c>
      <c r="K80" s="7">
        <f t="shared" ca="1" si="46"/>
        <v>25903.336768490208</v>
      </c>
      <c r="L80" s="7">
        <f t="shared" ca="1" si="46"/>
        <v>26680.436871544916</v>
      </c>
      <c r="M80" s="7">
        <f t="shared" ca="1" si="46"/>
        <v>27480.849977691265</v>
      </c>
      <c r="N80" s="7">
        <f t="shared" ca="1" si="46"/>
        <v>28305.275477022005</v>
      </c>
      <c r="O80" s="7">
        <f t="shared" ca="1" si="46"/>
        <v>29154.433741332665</v>
      </c>
      <c r="P80" s="7">
        <f t="shared" ca="1" si="46"/>
        <v>30029.066753572646</v>
      </c>
      <c r="Q80" s="7">
        <f t="shared" ca="1" si="46"/>
        <v>30929.938756179825</v>
      </c>
      <c r="R80" s="7">
        <f t="shared" ca="1" si="46"/>
        <v>31857.836918865221</v>
      </c>
      <c r="S80" s="7">
        <f t="shared" ca="1" si="46"/>
        <v>32813.572026431182</v>
      </c>
      <c r="T80" s="7">
        <f t="shared" ca="1" si="46"/>
        <v>33797.979187224119</v>
      </c>
      <c r="U80" s="7">
        <f t="shared" ca="1" si="46"/>
        <v>34811.918562840845</v>
      </c>
      <c r="V80" s="7">
        <f t="shared" ca="1" si="46"/>
        <v>35856.27611972607</v>
      </c>
      <c r="W80" s="7">
        <f t="shared" ca="1" si="46"/>
        <v>36931.964403317856</v>
      </c>
      <c r="X80" s="7">
        <f t="shared" ca="1" si="46"/>
        <v>38039.923335417392</v>
      </c>
      <c r="Y80" s="7">
        <f t="shared" ca="1" si="46"/>
        <v>39181.121035479911</v>
      </c>
      <c r="Z80" s="7">
        <f t="shared" ca="1" si="46"/>
        <v>40356.554666544311</v>
      </c>
      <c r="AA80" s="7">
        <f t="shared" ca="1" si="46"/>
        <v>41567.251306540638</v>
      </c>
      <c r="AB80" s="7">
        <f t="shared" ca="1" si="46"/>
        <v>42814.268845736857</v>
      </c>
      <c r="AC80" s="7">
        <f t="shared" ca="1" si="46"/>
        <v>44098.696911108964</v>
      </c>
      <c r="AD80" s="7">
        <f t="shared" ca="1" si="46"/>
        <v>45421.657818442232</v>
      </c>
      <c r="AE80" s="7">
        <f t="shared" ca="1" si="46"/>
        <v>46784.307552995502</v>
      </c>
      <c r="AF80" s="7">
        <f t="shared" ca="1" si="46"/>
        <v>48187.83677958537</v>
      </c>
      <c r="AG80" s="7">
        <f t="shared" ca="1" si="46"/>
        <v>49633.471882972932</v>
      </c>
      <c r="AH80" s="7">
        <f t="shared" ca="1" si="46"/>
        <v>51122.476039462119</v>
      </c>
      <c r="AI80" s="7">
        <f t="shared" ca="1" si="46"/>
        <v>52656.150320645982</v>
      </c>
      <c r="AJ80" s="7">
        <f t="shared" ca="1" si="46"/>
        <v>54235.834830265361</v>
      </c>
      <c r="AK80" s="7">
        <f t="shared" ca="1" si="46"/>
        <v>55862.909875173325</v>
      </c>
      <c r="AL80" s="7">
        <f t="shared" ca="1" si="46"/>
        <v>57538.797171428523</v>
      </c>
      <c r="AM80" s="7">
        <f t="shared" ca="1" si="46"/>
        <v>59264.961086571384</v>
      </c>
    </row>
    <row r="81" spans="1:39" x14ac:dyDescent="0.2">
      <c r="A81" s="3" t="str">
        <f>TEXT(Inputs!$B$103,"")</f>
        <v>Boat</v>
      </c>
      <c r="C81" s="7">
        <f ca="1">Inputs!B104*(1+A4inc)^ProRate</f>
        <v>173206.90804157319</v>
      </c>
      <c r="D81" s="7">
        <f t="shared" ref="D81:AM81" ca="1" si="47">C81*(1+A4inc)</f>
        <v>164546.56263949451</v>
      </c>
      <c r="E81" s="7">
        <f t="shared" ca="1" si="47"/>
        <v>156319.23450751978</v>
      </c>
      <c r="F81" s="7">
        <f t="shared" ca="1" si="47"/>
        <v>148503.27278214379</v>
      </c>
      <c r="G81" s="7">
        <f t="shared" ca="1" si="47"/>
        <v>141078.10914303659</v>
      </c>
      <c r="H81" s="7">
        <f t="shared" ca="1" si="47"/>
        <v>134024.20368588474</v>
      </c>
      <c r="I81" s="7">
        <f t="shared" ca="1" si="47"/>
        <v>127322.99350159049</v>
      </c>
      <c r="J81" s="7">
        <f t="shared" ca="1" si="47"/>
        <v>120956.84382651096</v>
      </c>
      <c r="K81" s="7">
        <f t="shared" ca="1" si="47"/>
        <v>114909.0016351854</v>
      </c>
      <c r="L81" s="7">
        <f t="shared" ca="1" si="47"/>
        <v>109163.55155342612</v>
      </c>
      <c r="M81" s="7">
        <f t="shared" ca="1" si="47"/>
        <v>103705.37397575482</v>
      </c>
      <c r="N81" s="7">
        <f t="shared" ca="1" si="47"/>
        <v>98520.105276967079</v>
      </c>
      <c r="O81" s="7">
        <f t="shared" ca="1" si="47"/>
        <v>93594.100013118717</v>
      </c>
      <c r="P81" s="7">
        <f t="shared" ca="1" si="47"/>
        <v>88914.395012462774</v>
      </c>
      <c r="Q81" s="7">
        <f t="shared" ca="1" si="47"/>
        <v>84468.675261839628</v>
      </c>
      <c r="R81" s="7">
        <f t="shared" ca="1" si="47"/>
        <v>80245.241498747637</v>
      </c>
      <c r="S81" s="7">
        <f t="shared" ca="1" si="47"/>
        <v>76232.979423810248</v>
      </c>
      <c r="T81" s="7">
        <f t="shared" ca="1" si="47"/>
        <v>72421.330452619732</v>
      </c>
      <c r="U81" s="7">
        <f t="shared" ca="1" si="47"/>
        <v>68800.263929988738</v>
      </c>
      <c r="V81" s="7">
        <f t="shared" ca="1" si="47"/>
        <v>65360.250733489294</v>
      </c>
      <c r="W81" s="7">
        <f t="shared" ca="1" si="47"/>
        <v>62092.238196814826</v>
      </c>
      <c r="X81" s="7">
        <f t="shared" ca="1" si="47"/>
        <v>58987.626286974082</v>
      </c>
      <c r="Y81" s="7">
        <f t="shared" ca="1" si="47"/>
        <v>56038.244972625376</v>
      </c>
      <c r="Z81" s="7">
        <f t="shared" ca="1" si="47"/>
        <v>53236.332723994106</v>
      </c>
      <c r="AA81" s="7">
        <f t="shared" ca="1" si="47"/>
        <v>50574.5160877944</v>
      </c>
      <c r="AB81" s="7">
        <f t="shared" ca="1" si="47"/>
        <v>48045.790283404676</v>
      </c>
      <c r="AC81" s="7">
        <f t="shared" ca="1" si="47"/>
        <v>45643.500769234437</v>
      </c>
      <c r="AD81" s="7">
        <f t="shared" ca="1" si="47"/>
        <v>43361.325730772711</v>
      </c>
      <c r="AE81" s="7">
        <f t="shared" ca="1" si="47"/>
        <v>41193.259444234071</v>
      </c>
      <c r="AF81" s="7">
        <f t="shared" ca="1" si="47"/>
        <v>39133.596472022364</v>
      </c>
      <c r="AG81" s="7">
        <f t="shared" ca="1" si="47"/>
        <v>37176.916648421247</v>
      </c>
      <c r="AH81" s="7">
        <f t="shared" ca="1" si="47"/>
        <v>35318.070816000181</v>
      </c>
      <c r="AI81" s="7">
        <f t="shared" ca="1" si="47"/>
        <v>33552.167275200169</v>
      </c>
      <c r="AJ81" s="7">
        <f t="shared" ca="1" si="47"/>
        <v>31874.558911440159</v>
      </c>
      <c r="AK81" s="7">
        <f t="shared" ca="1" si="47"/>
        <v>30280.83096586815</v>
      </c>
      <c r="AL81" s="7">
        <f t="shared" ca="1" si="47"/>
        <v>28766.789417574742</v>
      </c>
      <c r="AM81" s="7">
        <f t="shared" ca="1" si="47"/>
        <v>27328.449946696004</v>
      </c>
    </row>
    <row r="82" spans="1:39" x14ac:dyDescent="0.2">
      <c r="A82" s="3" t="str">
        <f>TEXT(Inputs!$B$108,"")</f>
        <v>Antiques</v>
      </c>
      <c r="C82" s="7">
        <f ca="1">Inputs!B109*(1+A5inc)^ProRate</f>
        <v>83226.9503404141</v>
      </c>
      <c r="D82" s="7">
        <f t="shared" ref="D82:AM82" ca="1" si="48">C82*(1+A5inc)</f>
        <v>84891.489347222378</v>
      </c>
      <c r="E82" s="7">
        <f t="shared" ca="1" si="48"/>
        <v>86589.319134166828</v>
      </c>
      <c r="F82" s="7">
        <f t="shared" ca="1" si="48"/>
        <v>88321.105516850163</v>
      </c>
      <c r="G82" s="7">
        <f t="shared" ca="1" si="48"/>
        <v>90087.52762718717</v>
      </c>
      <c r="H82" s="7">
        <f t="shared" ca="1" si="48"/>
        <v>91889.278179730914</v>
      </c>
      <c r="I82" s="7">
        <f t="shared" ca="1" si="48"/>
        <v>93727.063743325532</v>
      </c>
      <c r="J82" s="7">
        <f t="shared" ca="1" si="48"/>
        <v>95601.605018192044</v>
      </c>
      <c r="K82" s="7">
        <f t="shared" ca="1" si="48"/>
        <v>97513.637118555882</v>
      </c>
      <c r="L82" s="7">
        <f t="shared" ca="1" si="48"/>
        <v>99463.909860927</v>
      </c>
      <c r="M82" s="7">
        <f t="shared" ca="1" si="48"/>
        <v>101453.18805814555</v>
      </c>
      <c r="N82" s="7">
        <f t="shared" ca="1" si="48"/>
        <v>103482.25181930845</v>
      </c>
      <c r="O82" s="7">
        <f t="shared" ca="1" si="48"/>
        <v>105551.89685569462</v>
      </c>
      <c r="P82" s="7">
        <f t="shared" ca="1" si="48"/>
        <v>107662.93479280852</v>
      </c>
      <c r="Q82" s="7">
        <f t="shared" ca="1" si="48"/>
        <v>109816.19348866469</v>
      </c>
      <c r="R82" s="7">
        <f t="shared" ca="1" si="48"/>
        <v>112012.51735843798</v>
      </c>
      <c r="S82" s="7">
        <f t="shared" ca="1" si="48"/>
        <v>114252.76770560675</v>
      </c>
      <c r="T82" s="7">
        <f t="shared" ca="1" si="48"/>
        <v>116537.82305971888</v>
      </c>
      <c r="U82" s="7">
        <f t="shared" ca="1" si="48"/>
        <v>118868.57952091326</v>
      </c>
      <c r="V82" s="7">
        <f t="shared" ca="1" si="48"/>
        <v>121245.95111133152</v>
      </c>
      <c r="W82" s="7">
        <f t="shared" ca="1" si="48"/>
        <v>123670.87013355816</v>
      </c>
      <c r="X82" s="7">
        <f t="shared" ca="1" si="48"/>
        <v>126144.28753622933</v>
      </c>
      <c r="Y82" s="7">
        <f t="shared" ca="1" si="48"/>
        <v>128667.17328695391</v>
      </c>
      <c r="Z82" s="7">
        <f t="shared" ca="1" si="48"/>
        <v>131240.51675269299</v>
      </c>
      <c r="AA82" s="7">
        <f t="shared" ca="1" si="48"/>
        <v>133865.32708774685</v>
      </c>
      <c r="AB82" s="7">
        <f t="shared" ca="1" si="48"/>
        <v>136542.6336295018</v>
      </c>
      <c r="AC82" s="7">
        <f t="shared" ca="1" si="48"/>
        <v>139273.48630209183</v>
      </c>
      <c r="AD82" s="7">
        <f t="shared" ca="1" si="48"/>
        <v>142058.95602813366</v>
      </c>
      <c r="AE82" s="7">
        <f t="shared" ca="1" si="48"/>
        <v>144900.13514869634</v>
      </c>
      <c r="AF82" s="7">
        <f t="shared" ca="1" si="48"/>
        <v>147798.13785167027</v>
      </c>
      <c r="AG82" s="7">
        <f t="shared" ca="1" si="48"/>
        <v>150754.10060870368</v>
      </c>
      <c r="AH82" s="7">
        <f t="shared" ca="1" si="48"/>
        <v>153769.18262087775</v>
      </c>
      <c r="AI82" s="7">
        <f t="shared" ca="1" si="48"/>
        <v>156844.56627329532</v>
      </c>
      <c r="AJ82" s="7">
        <f t="shared" ca="1" si="48"/>
        <v>159981.45759876122</v>
      </c>
      <c r="AK82" s="7">
        <f t="shared" ca="1" si="48"/>
        <v>163181.08675073646</v>
      </c>
      <c r="AL82" s="7">
        <f t="shared" ca="1" si="48"/>
        <v>166444.70848575118</v>
      </c>
      <c r="AM82" s="7">
        <f t="shared" ca="1" si="48"/>
        <v>169773.60265546621</v>
      </c>
    </row>
    <row r="83" spans="1:39" x14ac:dyDescent="0.2">
      <c r="A83" s="4" t="s">
        <v>11</v>
      </c>
      <c r="C83" s="7">
        <f ca="1">Inputs!B10*(1+stinc)^ProRate+C60*(1+stinc)^(ProRate/2)</f>
        <v>35024.809122913313</v>
      </c>
      <c r="D83" s="7">
        <f ca="1">C83*(1+IF(AND(Inputs!$B$229&lt;&gt;"",D$2=Inputs!$B$229),-Inputs!$B$230,IF(AND(Inputs!$B$229&lt;&gt;"",D$2&gt;Inputs!$B$229,D$2&lt;=Inputs!$B$229+Inputs!$B$231),(1/(1-Inputs!$B$230))^(1/Inputs!$B$231)-1,IF(AND(Inputs!$B$234&lt;&gt;"",D$2=Inputs!$B$234),-Inputs!$B$235,IF(AND(Inputs!$B$234&lt;&gt;"",D$2&gt;Inputs!$B$234,D$2&lt;=Inputs!$B$234+Inputs!$B$236),(1/(1-Inputs!$B$235))^(1/Inputs!$B$236)-1,IF(AND(Inputs!$B$239&lt;&gt;"",D$2=Inputs!$B$239),-Inputs!$B$240,IF(AND(Inputs!$B$239&lt;&gt;"",D$2&gt;Inputs!$B$239,D$2&lt;=Inputs!$B$239+Inputs!$B$241),(1/(1-Inputs!$B$240))^(1/Inputs!$B$241)-1,IF(AND(Inputs!$B$244&lt;&gt;"",D$2=Inputs!$B$244),-Inputs!$B$245,IF(AND(Inputs!$B$244&lt;&gt;"",D$2&gt;Inputs!$B$244,D$2&lt;=Inputs!$B$244+Inputs!$B$246),(1/(1-Inputs!$B$245))^(1/Inputs!$B$246)-1,IF(AND(Inputs!$B$249&lt;&gt;"",D$2=Inputs!$B$249),-Inputs!$B$250,IF(AND(Inputs!$B$249&lt;&gt;"",D$2&gt;Inputs!$B$249,D$2&lt;=Inputs!$B$249+Inputs!$B$251),(1/(1-Inputs!$B$250))^(1/Inputs!$B$251)-1,stinc)))))))))))+D60*SQRT(MAX(1+IF(AND(Inputs!$B$229&lt;&gt;"",D$2=Inputs!$B$229),-Inputs!$B$230,IF(AND(Inputs!$B$229&lt;&gt;"",D$2&gt;Inputs!$B$229,D$2&lt;=Inputs!$B$229+Inputs!$B$231),(1/(1-Inputs!$B$230))^(1/Inputs!$B$231)-1,IF(AND(Inputs!$B$234&lt;&gt;"",D$2=Inputs!$B$234),-Inputs!$B$235,IF(AND(Inputs!$B$234&lt;&gt;"",D$2&gt;Inputs!$B$234,D$2&lt;=Inputs!$B$234+Inputs!$B$236),(1/(1-Inputs!$B$235))^(1/Inputs!$B$236)-1,IF(AND(Inputs!$B$239&lt;&gt;"",D$2=Inputs!$B$239),-Inputs!$B$240,IF(AND(Inputs!$B$239&lt;&gt;"",D$2&gt;Inputs!$B$239,D$2&lt;=Inputs!$B$239+Inputs!$B$241),(1/(1-Inputs!$B$240))^(1/Inputs!$B$241)-1,IF(AND(Inputs!$B$244&lt;&gt;"",D$2=Inputs!$B$244),-Inputs!$B$245,IF(AND(Inputs!$B$244&lt;&gt;"",D$2&gt;Inputs!$B$244,D$2&lt;=Inputs!$B$244+Inputs!$B$246),(1/(1-Inputs!$B$245))^(1/Inputs!$B$246)-1,IF(AND(Inputs!$B$249&lt;&gt;"",D$2=Inputs!$B$249),-Inputs!$B$250,IF(AND(Inputs!$B$249&lt;&gt;"",D$2&gt;Inputs!$B$249,D$2&lt;=Inputs!$B$249+Inputs!$B$251),(1/(1-Inputs!$B$250))^(1/Inputs!$B$251)-1,stinc)))))))))),0))</f>
        <v>33643.296426539331</v>
      </c>
      <c r="E83" s="7">
        <f ca="1">D83*(1+IF(AND(Inputs!$B$229&lt;&gt;"",E$2=Inputs!$B$229),-Inputs!$B$230,IF(AND(Inputs!$B$229&lt;&gt;"",E$2&gt;Inputs!$B$229,E$2&lt;=Inputs!$B$229+Inputs!$B$231),(1/(1-Inputs!$B$230))^(1/Inputs!$B$231)-1,IF(AND(Inputs!$B$234&lt;&gt;"",E$2=Inputs!$B$234),-Inputs!$B$235,IF(AND(Inputs!$B$234&lt;&gt;"",E$2&gt;Inputs!$B$234,E$2&lt;=Inputs!$B$234+Inputs!$B$236),(1/(1-Inputs!$B$235))^(1/Inputs!$B$236)-1,IF(AND(Inputs!$B$239&lt;&gt;"",E$2=Inputs!$B$239),-Inputs!$B$240,IF(AND(Inputs!$B$239&lt;&gt;"",E$2&gt;Inputs!$B$239,E$2&lt;=Inputs!$B$239+Inputs!$B$241),(1/(1-Inputs!$B$240))^(1/Inputs!$B$241)-1,IF(AND(Inputs!$B$244&lt;&gt;"",E$2=Inputs!$B$244),-Inputs!$B$245,IF(AND(Inputs!$B$244&lt;&gt;"",E$2&gt;Inputs!$B$244,E$2&lt;=Inputs!$B$244+Inputs!$B$246),(1/(1-Inputs!$B$245))^(1/Inputs!$B$246)-1,IF(AND(Inputs!$B$249&lt;&gt;"",E$2=Inputs!$B$249),-Inputs!$B$250,IF(AND(Inputs!$B$249&lt;&gt;"",E$2&gt;Inputs!$B$249,E$2&lt;=Inputs!$B$249+Inputs!$B$251),(1/(1-Inputs!$B$250))^(1/Inputs!$B$251)-1,stinc)))))))))))+E60*SQRT(MAX(1+IF(AND(Inputs!$B$229&lt;&gt;"",E$2=Inputs!$B$229),-Inputs!$B$230,IF(AND(Inputs!$B$229&lt;&gt;"",E$2&gt;Inputs!$B$229,E$2&lt;=Inputs!$B$229+Inputs!$B$231),(1/(1-Inputs!$B$230))^(1/Inputs!$B$231)-1,IF(AND(Inputs!$B$234&lt;&gt;"",E$2=Inputs!$B$234),-Inputs!$B$235,IF(AND(Inputs!$B$234&lt;&gt;"",E$2&gt;Inputs!$B$234,E$2&lt;=Inputs!$B$234+Inputs!$B$236),(1/(1-Inputs!$B$235))^(1/Inputs!$B$236)-1,IF(AND(Inputs!$B$239&lt;&gt;"",E$2=Inputs!$B$239),-Inputs!$B$240,IF(AND(Inputs!$B$239&lt;&gt;"",E$2&gt;Inputs!$B$239,E$2&lt;=Inputs!$B$239+Inputs!$B$241),(1/(1-Inputs!$B$240))^(1/Inputs!$B$241)-1,IF(AND(Inputs!$B$244&lt;&gt;"",E$2=Inputs!$B$244),-Inputs!$B$245,IF(AND(Inputs!$B$244&lt;&gt;"",E$2&gt;Inputs!$B$244,E$2&lt;=Inputs!$B$244+Inputs!$B$246),(1/(1-Inputs!$B$245))^(1/Inputs!$B$246)-1,IF(AND(Inputs!$B$249&lt;&gt;"",E$2=Inputs!$B$249),-Inputs!$B$250,IF(AND(Inputs!$B$249&lt;&gt;"",E$2&gt;Inputs!$B$249,E$2&lt;=Inputs!$B$249+Inputs!$B$251),(1/(1-Inputs!$B$250))^(1/Inputs!$B$251)-1,stinc)))))))))),0))</f>
        <v>44135.888351296875</v>
      </c>
      <c r="F83" s="7">
        <f ca="1">E83*(1+IF(AND(Inputs!$B$229&lt;&gt;"",F$2=Inputs!$B$229),-Inputs!$B$230,IF(AND(Inputs!$B$229&lt;&gt;"",F$2&gt;Inputs!$B$229,F$2&lt;=Inputs!$B$229+Inputs!$B$231),(1/(1-Inputs!$B$230))^(1/Inputs!$B$231)-1,IF(AND(Inputs!$B$234&lt;&gt;"",F$2=Inputs!$B$234),-Inputs!$B$235,IF(AND(Inputs!$B$234&lt;&gt;"",F$2&gt;Inputs!$B$234,F$2&lt;=Inputs!$B$234+Inputs!$B$236),(1/(1-Inputs!$B$235))^(1/Inputs!$B$236)-1,IF(AND(Inputs!$B$239&lt;&gt;"",F$2=Inputs!$B$239),-Inputs!$B$240,IF(AND(Inputs!$B$239&lt;&gt;"",F$2&gt;Inputs!$B$239,F$2&lt;=Inputs!$B$239+Inputs!$B$241),(1/(1-Inputs!$B$240))^(1/Inputs!$B$241)-1,IF(AND(Inputs!$B$244&lt;&gt;"",F$2=Inputs!$B$244),-Inputs!$B$245,IF(AND(Inputs!$B$244&lt;&gt;"",F$2&gt;Inputs!$B$244,F$2&lt;=Inputs!$B$244+Inputs!$B$246),(1/(1-Inputs!$B$245))^(1/Inputs!$B$246)-1,IF(AND(Inputs!$B$249&lt;&gt;"",F$2=Inputs!$B$249),-Inputs!$B$250,IF(AND(Inputs!$B$249&lt;&gt;"",F$2&gt;Inputs!$B$249,F$2&lt;=Inputs!$B$249+Inputs!$B$251),(1/(1-Inputs!$B$250))^(1/Inputs!$B$251)-1,stinc)))))))))))+F60*SQRT(MAX(1+IF(AND(Inputs!$B$229&lt;&gt;"",F$2=Inputs!$B$229),-Inputs!$B$230,IF(AND(Inputs!$B$229&lt;&gt;"",F$2&gt;Inputs!$B$229,F$2&lt;=Inputs!$B$229+Inputs!$B$231),(1/(1-Inputs!$B$230))^(1/Inputs!$B$231)-1,IF(AND(Inputs!$B$234&lt;&gt;"",F$2=Inputs!$B$234),-Inputs!$B$235,IF(AND(Inputs!$B$234&lt;&gt;"",F$2&gt;Inputs!$B$234,F$2&lt;=Inputs!$B$234+Inputs!$B$236),(1/(1-Inputs!$B$235))^(1/Inputs!$B$236)-1,IF(AND(Inputs!$B$239&lt;&gt;"",F$2=Inputs!$B$239),-Inputs!$B$240,IF(AND(Inputs!$B$239&lt;&gt;"",F$2&gt;Inputs!$B$239,F$2&lt;=Inputs!$B$239+Inputs!$B$241),(1/(1-Inputs!$B$240))^(1/Inputs!$B$241)-1,IF(AND(Inputs!$B$244&lt;&gt;"",F$2=Inputs!$B$244),-Inputs!$B$245,IF(AND(Inputs!$B$244&lt;&gt;"",F$2&gt;Inputs!$B$244,F$2&lt;=Inputs!$B$244+Inputs!$B$246),(1/(1-Inputs!$B$245))^(1/Inputs!$B$246)-1,IF(AND(Inputs!$B$249&lt;&gt;"",F$2=Inputs!$B$249),-Inputs!$B$250,IF(AND(Inputs!$B$249&lt;&gt;"",F$2&gt;Inputs!$B$249,F$2&lt;=Inputs!$B$249+Inputs!$B$251),(1/(1-Inputs!$B$250))^(1/Inputs!$B$251)-1,stinc)))))))))),0))</f>
        <v>52031.527454474199</v>
      </c>
      <c r="G83" s="7">
        <f ca="1">F83*(1+IF(AND(Inputs!$B$229&lt;&gt;"",G$2=Inputs!$B$229),-Inputs!$B$230,IF(AND(Inputs!$B$229&lt;&gt;"",G$2&gt;Inputs!$B$229,G$2&lt;=Inputs!$B$229+Inputs!$B$231),(1/(1-Inputs!$B$230))^(1/Inputs!$B$231)-1,IF(AND(Inputs!$B$234&lt;&gt;"",G$2=Inputs!$B$234),-Inputs!$B$235,IF(AND(Inputs!$B$234&lt;&gt;"",G$2&gt;Inputs!$B$234,G$2&lt;=Inputs!$B$234+Inputs!$B$236),(1/(1-Inputs!$B$235))^(1/Inputs!$B$236)-1,IF(AND(Inputs!$B$239&lt;&gt;"",G$2=Inputs!$B$239),-Inputs!$B$240,IF(AND(Inputs!$B$239&lt;&gt;"",G$2&gt;Inputs!$B$239,G$2&lt;=Inputs!$B$239+Inputs!$B$241),(1/(1-Inputs!$B$240))^(1/Inputs!$B$241)-1,IF(AND(Inputs!$B$244&lt;&gt;"",G$2=Inputs!$B$244),-Inputs!$B$245,IF(AND(Inputs!$B$244&lt;&gt;"",G$2&gt;Inputs!$B$244,G$2&lt;=Inputs!$B$244+Inputs!$B$246),(1/(1-Inputs!$B$245))^(1/Inputs!$B$246)-1,IF(AND(Inputs!$B$249&lt;&gt;"",G$2=Inputs!$B$249),-Inputs!$B$250,IF(AND(Inputs!$B$249&lt;&gt;"",G$2&gt;Inputs!$B$249,G$2&lt;=Inputs!$B$249+Inputs!$B$251),(1/(1-Inputs!$B$250))^(1/Inputs!$B$251)-1,stinc)))))))))))+G60*SQRT(MAX(1+IF(AND(Inputs!$B$229&lt;&gt;"",G$2=Inputs!$B$229),-Inputs!$B$230,IF(AND(Inputs!$B$229&lt;&gt;"",G$2&gt;Inputs!$B$229,G$2&lt;=Inputs!$B$229+Inputs!$B$231),(1/(1-Inputs!$B$230))^(1/Inputs!$B$231)-1,IF(AND(Inputs!$B$234&lt;&gt;"",G$2=Inputs!$B$234),-Inputs!$B$235,IF(AND(Inputs!$B$234&lt;&gt;"",G$2&gt;Inputs!$B$234,G$2&lt;=Inputs!$B$234+Inputs!$B$236),(1/(1-Inputs!$B$235))^(1/Inputs!$B$236)-1,IF(AND(Inputs!$B$239&lt;&gt;"",G$2=Inputs!$B$239),-Inputs!$B$240,IF(AND(Inputs!$B$239&lt;&gt;"",G$2&gt;Inputs!$B$239,G$2&lt;=Inputs!$B$239+Inputs!$B$241),(1/(1-Inputs!$B$240))^(1/Inputs!$B$241)-1,IF(AND(Inputs!$B$244&lt;&gt;"",G$2=Inputs!$B$244),-Inputs!$B$245,IF(AND(Inputs!$B$244&lt;&gt;"",G$2&gt;Inputs!$B$244,G$2&lt;=Inputs!$B$244+Inputs!$B$246),(1/(1-Inputs!$B$245))^(1/Inputs!$B$246)-1,IF(AND(Inputs!$B$249&lt;&gt;"",G$2=Inputs!$B$249),-Inputs!$B$250,IF(AND(Inputs!$B$249&lt;&gt;"",G$2&gt;Inputs!$B$249,G$2&lt;=Inputs!$B$249+Inputs!$B$251),(1/(1-Inputs!$B$250))^(1/Inputs!$B$251)-1,stinc)))))))))),0))</f>
        <v>60558.817685905706</v>
      </c>
      <c r="H83" s="7">
        <f ca="1">G83*(1+IF(AND(Inputs!$B$229&lt;&gt;"",H$2=Inputs!$B$229),-Inputs!$B$230,IF(AND(Inputs!$B$229&lt;&gt;"",H$2&gt;Inputs!$B$229,H$2&lt;=Inputs!$B$229+Inputs!$B$231),(1/(1-Inputs!$B$230))^(1/Inputs!$B$231)-1,IF(AND(Inputs!$B$234&lt;&gt;"",H$2=Inputs!$B$234),-Inputs!$B$235,IF(AND(Inputs!$B$234&lt;&gt;"",H$2&gt;Inputs!$B$234,H$2&lt;=Inputs!$B$234+Inputs!$B$236),(1/(1-Inputs!$B$235))^(1/Inputs!$B$236)-1,IF(AND(Inputs!$B$239&lt;&gt;"",H$2=Inputs!$B$239),-Inputs!$B$240,IF(AND(Inputs!$B$239&lt;&gt;"",H$2&gt;Inputs!$B$239,H$2&lt;=Inputs!$B$239+Inputs!$B$241),(1/(1-Inputs!$B$240))^(1/Inputs!$B$241)-1,IF(AND(Inputs!$B$244&lt;&gt;"",H$2=Inputs!$B$244),-Inputs!$B$245,IF(AND(Inputs!$B$244&lt;&gt;"",H$2&gt;Inputs!$B$244,H$2&lt;=Inputs!$B$244+Inputs!$B$246),(1/(1-Inputs!$B$245))^(1/Inputs!$B$246)-1,IF(AND(Inputs!$B$249&lt;&gt;"",H$2=Inputs!$B$249),-Inputs!$B$250,IF(AND(Inputs!$B$249&lt;&gt;"",H$2&gt;Inputs!$B$249,H$2&lt;=Inputs!$B$249+Inputs!$B$251),(1/(1-Inputs!$B$250))^(1/Inputs!$B$251)-1,stinc)))))))))))+H60*SQRT(MAX(1+IF(AND(Inputs!$B$229&lt;&gt;"",H$2=Inputs!$B$229),-Inputs!$B$230,IF(AND(Inputs!$B$229&lt;&gt;"",H$2&gt;Inputs!$B$229,H$2&lt;=Inputs!$B$229+Inputs!$B$231),(1/(1-Inputs!$B$230))^(1/Inputs!$B$231)-1,IF(AND(Inputs!$B$234&lt;&gt;"",H$2=Inputs!$B$234),-Inputs!$B$235,IF(AND(Inputs!$B$234&lt;&gt;"",H$2&gt;Inputs!$B$234,H$2&lt;=Inputs!$B$234+Inputs!$B$236),(1/(1-Inputs!$B$235))^(1/Inputs!$B$236)-1,IF(AND(Inputs!$B$239&lt;&gt;"",H$2=Inputs!$B$239),-Inputs!$B$240,IF(AND(Inputs!$B$239&lt;&gt;"",H$2&gt;Inputs!$B$239,H$2&lt;=Inputs!$B$239+Inputs!$B$241),(1/(1-Inputs!$B$240))^(1/Inputs!$B$241)-1,IF(AND(Inputs!$B$244&lt;&gt;"",H$2=Inputs!$B$244),-Inputs!$B$245,IF(AND(Inputs!$B$244&lt;&gt;"",H$2&gt;Inputs!$B$244,H$2&lt;=Inputs!$B$244+Inputs!$B$246),(1/(1-Inputs!$B$245))^(1/Inputs!$B$246)-1,IF(AND(Inputs!$B$249&lt;&gt;"",H$2=Inputs!$B$249),-Inputs!$B$250,IF(AND(Inputs!$B$249&lt;&gt;"",H$2&gt;Inputs!$B$249,H$2&lt;=Inputs!$B$249+Inputs!$B$251),(1/(1-Inputs!$B$250))^(1/Inputs!$B$251)-1,stinc)))))))))),0))</f>
        <v>69768.291135851745</v>
      </c>
      <c r="I83" s="7">
        <f ca="1">H83*(1+IF(AND(Inputs!$B$229&lt;&gt;"",I$2=Inputs!$B$229),-Inputs!$B$230,IF(AND(Inputs!$B$229&lt;&gt;"",I$2&gt;Inputs!$B$229,I$2&lt;=Inputs!$B$229+Inputs!$B$231),(1/(1-Inputs!$B$230))^(1/Inputs!$B$231)-1,IF(AND(Inputs!$B$234&lt;&gt;"",I$2=Inputs!$B$234),-Inputs!$B$235,IF(AND(Inputs!$B$234&lt;&gt;"",I$2&gt;Inputs!$B$234,I$2&lt;=Inputs!$B$234+Inputs!$B$236),(1/(1-Inputs!$B$235))^(1/Inputs!$B$236)-1,IF(AND(Inputs!$B$239&lt;&gt;"",I$2=Inputs!$B$239),-Inputs!$B$240,IF(AND(Inputs!$B$239&lt;&gt;"",I$2&gt;Inputs!$B$239,I$2&lt;=Inputs!$B$239+Inputs!$B$241),(1/(1-Inputs!$B$240))^(1/Inputs!$B$241)-1,IF(AND(Inputs!$B$244&lt;&gt;"",I$2=Inputs!$B$244),-Inputs!$B$245,IF(AND(Inputs!$B$244&lt;&gt;"",I$2&gt;Inputs!$B$244,I$2&lt;=Inputs!$B$244+Inputs!$B$246),(1/(1-Inputs!$B$245))^(1/Inputs!$B$246)-1,IF(AND(Inputs!$B$249&lt;&gt;"",I$2=Inputs!$B$249),-Inputs!$B$250,IF(AND(Inputs!$B$249&lt;&gt;"",I$2&gt;Inputs!$B$249,I$2&lt;=Inputs!$B$249+Inputs!$B$251),(1/(1-Inputs!$B$250))^(1/Inputs!$B$251)-1,stinc)))))))))))+I60*SQRT(MAX(1+IF(AND(Inputs!$B$229&lt;&gt;"",I$2=Inputs!$B$229),-Inputs!$B$230,IF(AND(Inputs!$B$229&lt;&gt;"",I$2&gt;Inputs!$B$229,I$2&lt;=Inputs!$B$229+Inputs!$B$231),(1/(1-Inputs!$B$230))^(1/Inputs!$B$231)-1,IF(AND(Inputs!$B$234&lt;&gt;"",I$2=Inputs!$B$234),-Inputs!$B$235,IF(AND(Inputs!$B$234&lt;&gt;"",I$2&gt;Inputs!$B$234,I$2&lt;=Inputs!$B$234+Inputs!$B$236),(1/(1-Inputs!$B$235))^(1/Inputs!$B$236)-1,IF(AND(Inputs!$B$239&lt;&gt;"",I$2=Inputs!$B$239),-Inputs!$B$240,IF(AND(Inputs!$B$239&lt;&gt;"",I$2&gt;Inputs!$B$239,I$2&lt;=Inputs!$B$239+Inputs!$B$241),(1/(1-Inputs!$B$240))^(1/Inputs!$B$241)-1,IF(AND(Inputs!$B$244&lt;&gt;"",I$2=Inputs!$B$244),-Inputs!$B$245,IF(AND(Inputs!$B$244&lt;&gt;"",I$2&gt;Inputs!$B$244,I$2&lt;=Inputs!$B$244+Inputs!$B$246),(1/(1-Inputs!$B$245))^(1/Inputs!$B$246)-1,IF(AND(Inputs!$B$249&lt;&gt;"",I$2=Inputs!$B$249),-Inputs!$B$250,IF(AND(Inputs!$B$249&lt;&gt;"",I$2&gt;Inputs!$B$249,I$2&lt;=Inputs!$B$249+Inputs!$B$251),(1/(1-Inputs!$B$250))^(1/Inputs!$B$251)-1,stinc)))))))))),0))</f>
        <v>59571.227110881046</v>
      </c>
      <c r="J83" s="7">
        <f ca="1">I83*(1+IF(AND(Inputs!$B$229&lt;&gt;"",J$2=Inputs!$B$229),-Inputs!$B$230,IF(AND(Inputs!$B$229&lt;&gt;"",J$2&gt;Inputs!$B$229,J$2&lt;=Inputs!$B$229+Inputs!$B$231),(1/(1-Inputs!$B$230))^(1/Inputs!$B$231)-1,IF(AND(Inputs!$B$234&lt;&gt;"",J$2=Inputs!$B$234),-Inputs!$B$235,IF(AND(Inputs!$B$234&lt;&gt;"",J$2&gt;Inputs!$B$234,J$2&lt;=Inputs!$B$234+Inputs!$B$236),(1/(1-Inputs!$B$235))^(1/Inputs!$B$236)-1,IF(AND(Inputs!$B$239&lt;&gt;"",J$2=Inputs!$B$239),-Inputs!$B$240,IF(AND(Inputs!$B$239&lt;&gt;"",J$2&gt;Inputs!$B$239,J$2&lt;=Inputs!$B$239+Inputs!$B$241),(1/(1-Inputs!$B$240))^(1/Inputs!$B$241)-1,IF(AND(Inputs!$B$244&lt;&gt;"",J$2=Inputs!$B$244),-Inputs!$B$245,IF(AND(Inputs!$B$244&lt;&gt;"",J$2&gt;Inputs!$B$244,J$2&lt;=Inputs!$B$244+Inputs!$B$246),(1/(1-Inputs!$B$245))^(1/Inputs!$B$246)-1,IF(AND(Inputs!$B$249&lt;&gt;"",J$2=Inputs!$B$249),-Inputs!$B$250,IF(AND(Inputs!$B$249&lt;&gt;"",J$2&gt;Inputs!$B$249,J$2&lt;=Inputs!$B$249+Inputs!$B$251),(1/(1-Inputs!$B$250))^(1/Inputs!$B$251)-1,stinc)))))))))))+J60*SQRT(MAX(1+IF(AND(Inputs!$B$229&lt;&gt;"",J$2=Inputs!$B$229),-Inputs!$B$230,IF(AND(Inputs!$B$229&lt;&gt;"",J$2&gt;Inputs!$B$229,J$2&lt;=Inputs!$B$229+Inputs!$B$231),(1/(1-Inputs!$B$230))^(1/Inputs!$B$231)-1,IF(AND(Inputs!$B$234&lt;&gt;"",J$2=Inputs!$B$234),-Inputs!$B$235,IF(AND(Inputs!$B$234&lt;&gt;"",J$2&gt;Inputs!$B$234,J$2&lt;=Inputs!$B$234+Inputs!$B$236),(1/(1-Inputs!$B$235))^(1/Inputs!$B$236)-1,IF(AND(Inputs!$B$239&lt;&gt;"",J$2=Inputs!$B$239),-Inputs!$B$240,IF(AND(Inputs!$B$239&lt;&gt;"",J$2&gt;Inputs!$B$239,J$2&lt;=Inputs!$B$239+Inputs!$B$241),(1/(1-Inputs!$B$240))^(1/Inputs!$B$241)-1,IF(AND(Inputs!$B$244&lt;&gt;"",J$2=Inputs!$B$244),-Inputs!$B$245,IF(AND(Inputs!$B$244&lt;&gt;"",J$2&gt;Inputs!$B$244,J$2&lt;=Inputs!$B$244+Inputs!$B$246),(1/(1-Inputs!$B$245))^(1/Inputs!$B$246)-1,IF(AND(Inputs!$B$249&lt;&gt;"",J$2=Inputs!$B$249),-Inputs!$B$250,IF(AND(Inputs!$B$249&lt;&gt;"",J$2&gt;Inputs!$B$249,J$2&lt;=Inputs!$B$249+Inputs!$B$251),(1/(1-Inputs!$B$250))^(1/Inputs!$B$251)-1,stinc)))))))))),0))</f>
        <v>68530.300533061076</v>
      </c>
      <c r="K83" s="7">
        <f ca="1">J83*(1+IF(AND(Inputs!$B$229&lt;&gt;"",K$2=Inputs!$B$229),-Inputs!$B$230,IF(AND(Inputs!$B$229&lt;&gt;"",K$2&gt;Inputs!$B$229,K$2&lt;=Inputs!$B$229+Inputs!$B$231),(1/(1-Inputs!$B$230))^(1/Inputs!$B$231)-1,IF(AND(Inputs!$B$234&lt;&gt;"",K$2=Inputs!$B$234),-Inputs!$B$235,IF(AND(Inputs!$B$234&lt;&gt;"",K$2&gt;Inputs!$B$234,K$2&lt;=Inputs!$B$234+Inputs!$B$236),(1/(1-Inputs!$B$235))^(1/Inputs!$B$236)-1,IF(AND(Inputs!$B$239&lt;&gt;"",K$2=Inputs!$B$239),-Inputs!$B$240,IF(AND(Inputs!$B$239&lt;&gt;"",K$2&gt;Inputs!$B$239,K$2&lt;=Inputs!$B$239+Inputs!$B$241),(1/(1-Inputs!$B$240))^(1/Inputs!$B$241)-1,IF(AND(Inputs!$B$244&lt;&gt;"",K$2=Inputs!$B$244),-Inputs!$B$245,IF(AND(Inputs!$B$244&lt;&gt;"",K$2&gt;Inputs!$B$244,K$2&lt;=Inputs!$B$244+Inputs!$B$246),(1/(1-Inputs!$B$245))^(1/Inputs!$B$246)-1,IF(AND(Inputs!$B$249&lt;&gt;"",K$2=Inputs!$B$249),-Inputs!$B$250,IF(AND(Inputs!$B$249&lt;&gt;"",K$2&gt;Inputs!$B$249,K$2&lt;=Inputs!$B$249+Inputs!$B$251),(1/(1-Inputs!$B$250))^(1/Inputs!$B$251)-1,stinc)))))))))))+K60*SQRT(MAX(1+IF(AND(Inputs!$B$229&lt;&gt;"",K$2=Inputs!$B$229),-Inputs!$B$230,IF(AND(Inputs!$B$229&lt;&gt;"",K$2&gt;Inputs!$B$229,K$2&lt;=Inputs!$B$229+Inputs!$B$231),(1/(1-Inputs!$B$230))^(1/Inputs!$B$231)-1,IF(AND(Inputs!$B$234&lt;&gt;"",K$2=Inputs!$B$234),-Inputs!$B$235,IF(AND(Inputs!$B$234&lt;&gt;"",K$2&gt;Inputs!$B$234,K$2&lt;=Inputs!$B$234+Inputs!$B$236),(1/(1-Inputs!$B$235))^(1/Inputs!$B$236)-1,IF(AND(Inputs!$B$239&lt;&gt;"",K$2=Inputs!$B$239),-Inputs!$B$240,IF(AND(Inputs!$B$239&lt;&gt;"",K$2&gt;Inputs!$B$239,K$2&lt;=Inputs!$B$239+Inputs!$B$241),(1/(1-Inputs!$B$240))^(1/Inputs!$B$241)-1,IF(AND(Inputs!$B$244&lt;&gt;"",K$2=Inputs!$B$244),-Inputs!$B$245,IF(AND(Inputs!$B$244&lt;&gt;"",K$2&gt;Inputs!$B$244,K$2&lt;=Inputs!$B$244+Inputs!$B$246),(1/(1-Inputs!$B$245))^(1/Inputs!$B$246)-1,IF(AND(Inputs!$B$249&lt;&gt;"",K$2=Inputs!$B$249),-Inputs!$B$250,IF(AND(Inputs!$B$249&lt;&gt;"",K$2&gt;Inputs!$B$249,K$2&lt;=Inputs!$B$249+Inputs!$B$251),(1/(1-Inputs!$B$250))^(1/Inputs!$B$251)-1,stinc)))))))))),0))</f>
        <v>78181.169818704744</v>
      </c>
      <c r="L83" s="7">
        <f ca="1">K83*(1+IF(AND(Inputs!$B$229&lt;&gt;"",L$2=Inputs!$B$229),-Inputs!$B$230,IF(AND(Inputs!$B$229&lt;&gt;"",L$2&gt;Inputs!$B$229,L$2&lt;=Inputs!$B$229+Inputs!$B$231),(1/(1-Inputs!$B$230))^(1/Inputs!$B$231)-1,IF(AND(Inputs!$B$234&lt;&gt;"",L$2=Inputs!$B$234),-Inputs!$B$235,IF(AND(Inputs!$B$234&lt;&gt;"",L$2&gt;Inputs!$B$234,L$2&lt;=Inputs!$B$234+Inputs!$B$236),(1/(1-Inputs!$B$235))^(1/Inputs!$B$236)-1,IF(AND(Inputs!$B$239&lt;&gt;"",L$2=Inputs!$B$239),-Inputs!$B$240,IF(AND(Inputs!$B$239&lt;&gt;"",L$2&gt;Inputs!$B$239,L$2&lt;=Inputs!$B$239+Inputs!$B$241),(1/(1-Inputs!$B$240))^(1/Inputs!$B$241)-1,IF(AND(Inputs!$B$244&lt;&gt;"",L$2=Inputs!$B$244),-Inputs!$B$245,IF(AND(Inputs!$B$244&lt;&gt;"",L$2&gt;Inputs!$B$244,L$2&lt;=Inputs!$B$244+Inputs!$B$246),(1/(1-Inputs!$B$245))^(1/Inputs!$B$246)-1,IF(AND(Inputs!$B$249&lt;&gt;"",L$2=Inputs!$B$249),-Inputs!$B$250,IF(AND(Inputs!$B$249&lt;&gt;"",L$2&gt;Inputs!$B$249,L$2&lt;=Inputs!$B$249+Inputs!$B$251),(1/(1-Inputs!$B$250))^(1/Inputs!$B$251)-1,stinc)))))))))))+L60*SQRT(MAX(1+IF(AND(Inputs!$B$229&lt;&gt;"",L$2=Inputs!$B$229),-Inputs!$B$230,IF(AND(Inputs!$B$229&lt;&gt;"",L$2&gt;Inputs!$B$229,L$2&lt;=Inputs!$B$229+Inputs!$B$231),(1/(1-Inputs!$B$230))^(1/Inputs!$B$231)-1,IF(AND(Inputs!$B$234&lt;&gt;"",L$2=Inputs!$B$234),-Inputs!$B$235,IF(AND(Inputs!$B$234&lt;&gt;"",L$2&gt;Inputs!$B$234,L$2&lt;=Inputs!$B$234+Inputs!$B$236),(1/(1-Inputs!$B$235))^(1/Inputs!$B$236)-1,IF(AND(Inputs!$B$239&lt;&gt;"",L$2=Inputs!$B$239),-Inputs!$B$240,IF(AND(Inputs!$B$239&lt;&gt;"",L$2&gt;Inputs!$B$239,L$2&lt;=Inputs!$B$239+Inputs!$B$241),(1/(1-Inputs!$B$240))^(1/Inputs!$B$241)-1,IF(AND(Inputs!$B$244&lt;&gt;"",L$2=Inputs!$B$244),-Inputs!$B$245,IF(AND(Inputs!$B$244&lt;&gt;"",L$2&gt;Inputs!$B$244,L$2&lt;=Inputs!$B$244+Inputs!$B$246),(1/(1-Inputs!$B$245))^(1/Inputs!$B$246)-1,IF(AND(Inputs!$B$249&lt;&gt;"",L$2=Inputs!$B$249),-Inputs!$B$250,IF(AND(Inputs!$B$249&lt;&gt;"",L$2&gt;Inputs!$B$249,L$2&lt;=Inputs!$B$249+Inputs!$B$251),(1/(1-Inputs!$B$250))^(1/Inputs!$B$251)-1,stinc)))))))))),0))</f>
        <v>88577.25360768172</v>
      </c>
      <c r="M83" s="7">
        <f ca="1">L83*(1+IF(AND(Inputs!$B$229&lt;&gt;"",M$2=Inputs!$B$229),-Inputs!$B$230,IF(AND(Inputs!$B$229&lt;&gt;"",M$2&gt;Inputs!$B$229,M$2&lt;=Inputs!$B$229+Inputs!$B$231),(1/(1-Inputs!$B$230))^(1/Inputs!$B$231)-1,IF(AND(Inputs!$B$234&lt;&gt;"",M$2=Inputs!$B$234),-Inputs!$B$235,IF(AND(Inputs!$B$234&lt;&gt;"",M$2&gt;Inputs!$B$234,M$2&lt;=Inputs!$B$234+Inputs!$B$236),(1/(1-Inputs!$B$235))^(1/Inputs!$B$236)-1,IF(AND(Inputs!$B$239&lt;&gt;"",M$2=Inputs!$B$239),-Inputs!$B$240,IF(AND(Inputs!$B$239&lt;&gt;"",M$2&gt;Inputs!$B$239,M$2&lt;=Inputs!$B$239+Inputs!$B$241),(1/(1-Inputs!$B$240))^(1/Inputs!$B$241)-1,IF(AND(Inputs!$B$244&lt;&gt;"",M$2=Inputs!$B$244),-Inputs!$B$245,IF(AND(Inputs!$B$244&lt;&gt;"",M$2&gt;Inputs!$B$244,M$2&lt;=Inputs!$B$244+Inputs!$B$246),(1/(1-Inputs!$B$245))^(1/Inputs!$B$246)-1,IF(AND(Inputs!$B$249&lt;&gt;"",M$2=Inputs!$B$249),-Inputs!$B$250,IF(AND(Inputs!$B$249&lt;&gt;"",M$2&gt;Inputs!$B$249,M$2&lt;=Inputs!$B$249+Inputs!$B$251),(1/(1-Inputs!$B$250))^(1/Inputs!$B$251)-1,stinc)))))))))))+M60*SQRT(MAX(1+IF(AND(Inputs!$B$229&lt;&gt;"",M$2=Inputs!$B$229),-Inputs!$B$230,IF(AND(Inputs!$B$229&lt;&gt;"",M$2&gt;Inputs!$B$229,M$2&lt;=Inputs!$B$229+Inputs!$B$231),(1/(1-Inputs!$B$230))^(1/Inputs!$B$231)-1,IF(AND(Inputs!$B$234&lt;&gt;"",M$2=Inputs!$B$234),-Inputs!$B$235,IF(AND(Inputs!$B$234&lt;&gt;"",M$2&gt;Inputs!$B$234,M$2&lt;=Inputs!$B$234+Inputs!$B$236),(1/(1-Inputs!$B$235))^(1/Inputs!$B$236)-1,IF(AND(Inputs!$B$239&lt;&gt;"",M$2=Inputs!$B$239),-Inputs!$B$240,IF(AND(Inputs!$B$239&lt;&gt;"",M$2&gt;Inputs!$B$239,M$2&lt;=Inputs!$B$239+Inputs!$B$241),(1/(1-Inputs!$B$240))^(1/Inputs!$B$241)-1,IF(AND(Inputs!$B$244&lt;&gt;"",M$2=Inputs!$B$244),-Inputs!$B$245,IF(AND(Inputs!$B$244&lt;&gt;"",M$2&gt;Inputs!$B$244,M$2&lt;=Inputs!$B$244+Inputs!$B$246),(1/(1-Inputs!$B$245))^(1/Inputs!$B$246)-1,IF(AND(Inputs!$B$249&lt;&gt;"",M$2=Inputs!$B$249),-Inputs!$B$250,IF(AND(Inputs!$B$249&lt;&gt;"",M$2&gt;Inputs!$B$249,M$2&lt;=Inputs!$B$249+Inputs!$B$251),(1/(1-Inputs!$B$250))^(1/Inputs!$B$251)-1,stinc)))))))))),0))</f>
        <v>100028.20193136984</v>
      </c>
      <c r="N83" s="7">
        <f ca="1">M83*(1+IF(AND(Inputs!$B$229&lt;&gt;"",N$2=Inputs!$B$229),-Inputs!$B$230,IF(AND(Inputs!$B$229&lt;&gt;"",N$2&gt;Inputs!$B$229,N$2&lt;=Inputs!$B$229+Inputs!$B$231),(1/(1-Inputs!$B$230))^(1/Inputs!$B$231)-1,IF(AND(Inputs!$B$234&lt;&gt;"",N$2=Inputs!$B$234),-Inputs!$B$235,IF(AND(Inputs!$B$234&lt;&gt;"",N$2&gt;Inputs!$B$234,N$2&lt;=Inputs!$B$234+Inputs!$B$236),(1/(1-Inputs!$B$235))^(1/Inputs!$B$236)-1,IF(AND(Inputs!$B$239&lt;&gt;"",N$2=Inputs!$B$239),-Inputs!$B$240,IF(AND(Inputs!$B$239&lt;&gt;"",N$2&gt;Inputs!$B$239,N$2&lt;=Inputs!$B$239+Inputs!$B$241),(1/(1-Inputs!$B$240))^(1/Inputs!$B$241)-1,IF(AND(Inputs!$B$244&lt;&gt;"",N$2=Inputs!$B$244),-Inputs!$B$245,IF(AND(Inputs!$B$244&lt;&gt;"",N$2&gt;Inputs!$B$244,N$2&lt;=Inputs!$B$244+Inputs!$B$246),(1/(1-Inputs!$B$245))^(1/Inputs!$B$246)-1,IF(AND(Inputs!$B$249&lt;&gt;"",N$2=Inputs!$B$249),-Inputs!$B$250,IF(AND(Inputs!$B$249&lt;&gt;"",N$2&gt;Inputs!$B$249,N$2&lt;=Inputs!$B$249+Inputs!$B$251),(1/(1-Inputs!$B$250))^(1/Inputs!$B$251)-1,stinc)))))))))))+N60*SQRT(MAX(1+IF(AND(Inputs!$B$229&lt;&gt;"",N$2=Inputs!$B$229),-Inputs!$B$230,IF(AND(Inputs!$B$229&lt;&gt;"",N$2&gt;Inputs!$B$229,N$2&lt;=Inputs!$B$229+Inputs!$B$231),(1/(1-Inputs!$B$230))^(1/Inputs!$B$231)-1,IF(AND(Inputs!$B$234&lt;&gt;"",N$2=Inputs!$B$234),-Inputs!$B$235,IF(AND(Inputs!$B$234&lt;&gt;"",N$2&gt;Inputs!$B$234,N$2&lt;=Inputs!$B$234+Inputs!$B$236),(1/(1-Inputs!$B$235))^(1/Inputs!$B$236)-1,IF(AND(Inputs!$B$239&lt;&gt;"",N$2=Inputs!$B$239),-Inputs!$B$240,IF(AND(Inputs!$B$239&lt;&gt;"",N$2&gt;Inputs!$B$239,N$2&lt;=Inputs!$B$239+Inputs!$B$241),(1/(1-Inputs!$B$240))^(1/Inputs!$B$241)-1,IF(AND(Inputs!$B$244&lt;&gt;"",N$2=Inputs!$B$244),-Inputs!$B$245,IF(AND(Inputs!$B$244&lt;&gt;"",N$2&gt;Inputs!$B$244,N$2&lt;=Inputs!$B$244+Inputs!$B$246),(1/(1-Inputs!$B$245))^(1/Inputs!$B$246)-1,IF(AND(Inputs!$B$249&lt;&gt;"",N$2=Inputs!$B$249),-Inputs!$B$250,IF(AND(Inputs!$B$249&lt;&gt;"",N$2&gt;Inputs!$B$249,N$2&lt;=Inputs!$B$249+Inputs!$B$251),(1/(1-Inputs!$B$250))^(1/Inputs!$B$251)-1,stinc)))))))))),0))</f>
        <v>96054.444256442948</v>
      </c>
      <c r="O83" s="7">
        <f ca="1">N83*(1+IF(AND(Inputs!$B$229&lt;&gt;"",O$2=Inputs!$B$229),-Inputs!$B$230,IF(AND(Inputs!$B$229&lt;&gt;"",O$2&gt;Inputs!$B$229,O$2&lt;=Inputs!$B$229+Inputs!$B$231),(1/(1-Inputs!$B$230))^(1/Inputs!$B$231)-1,IF(AND(Inputs!$B$234&lt;&gt;"",O$2=Inputs!$B$234),-Inputs!$B$235,IF(AND(Inputs!$B$234&lt;&gt;"",O$2&gt;Inputs!$B$234,O$2&lt;=Inputs!$B$234+Inputs!$B$236),(1/(1-Inputs!$B$235))^(1/Inputs!$B$236)-1,IF(AND(Inputs!$B$239&lt;&gt;"",O$2=Inputs!$B$239),-Inputs!$B$240,IF(AND(Inputs!$B$239&lt;&gt;"",O$2&gt;Inputs!$B$239,O$2&lt;=Inputs!$B$239+Inputs!$B$241),(1/(1-Inputs!$B$240))^(1/Inputs!$B$241)-1,IF(AND(Inputs!$B$244&lt;&gt;"",O$2=Inputs!$B$244),-Inputs!$B$245,IF(AND(Inputs!$B$244&lt;&gt;"",O$2&gt;Inputs!$B$244,O$2&lt;=Inputs!$B$244+Inputs!$B$246),(1/(1-Inputs!$B$245))^(1/Inputs!$B$246)-1,IF(AND(Inputs!$B$249&lt;&gt;"",O$2=Inputs!$B$249),-Inputs!$B$250,IF(AND(Inputs!$B$249&lt;&gt;"",O$2&gt;Inputs!$B$249,O$2&lt;=Inputs!$B$249+Inputs!$B$251),(1/(1-Inputs!$B$250))^(1/Inputs!$B$251)-1,stinc)))))))))))+O60*SQRT(MAX(1+IF(AND(Inputs!$B$229&lt;&gt;"",O$2=Inputs!$B$229),-Inputs!$B$230,IF(AND(Inputs!$B$229&lt;&gt;"",O$2&gt;Inputs!$B$229,O$2&lt;=Inputs!$B$229+Inputs!$B$231),(1/(1-Inputs!$B$230))^(1/Inputs!$B$231)-1,IF(AND(Inputs!$B$234&lt;&gt;"",O$2=Inputs!$B$234),-Inputs!$B$235,IF(AND(Inputs!$B$234&lt;&gt;"",O$2&gt;Inputs!$B$234,O$2&lt;=Inputs!$B$234+Inputs!$B$236),(1/(1-Inputs!$B$235))^(1/Inputs!$B$236)-1,IF(AND(Inputs!$B$239&lt;&gt;"",O$2=Inputs!$B$239),-Inputs!$B$240,IF(AND(Inputs!$B$239&lt;&gt;"",O$2&gt;Inputs!$B$239,O$2&lt;=Inputs!$B$239+Inputs!$B$241),(1/(1-Inputs!$B$240))^(1/Inputs!$B$241)-1,IF(AND(Inputs!$B$244&lt;&gt;"",O$2=Inputs!$B$244),-Inputs!$B$245,IF(AND(Inputs!$B$244&lt;&gt;"",O$2&gt;Inputs!$B$244,O$2&lt;=Inputs!$B$244+Inputs!$B$246),(1/(1-Inputs!$B$245))^(1/Inputs!$B$246)-1,IF(AND(Inputs!$B$249&lt;&gt;"",O$2=Inputs!$B$249),-Inputs!$B$250,IF(AND(Inputs!$B$249&lt;&gt;"",O$2&gt;Inputs!$B$249,O$2&lt;=Inputs!$B$249+Inputs!$B$251),(1/(1-Inputs!$B$250))^(1/Inputs!$B$251)-1,stinc)))))))))),0))</f>
        <v>103020.3906512213</v>
      </c>
      <c r="P83" s="7">
        <f ca="1">O83*(1+IF(AND(Inputs!$B$229&lt;&gt;"",P$2=Inputs!$B$229),-Inputs!$B$230,IF(AND(Inputs!$B$229&lt;&gt;"",P$2&gt;Inputs!$B$229,P$2&lt;=Inputs!$B$229+Inputs!$B$231),(1/(1-Inputs!$B$230))^(1/Inputs!$B$231)-1,IF(AND(Inputs!$B$234&lt;&gt;"",P$2=Inputs!$B$234),-Inputs!$B$235,IF(AND(Inputs!$B$234&lt;&gt;"",P$2&gt;Inputs!$B$234,P$2&lt;=Inputs!$B$234+Inputs!$B$236),(1/(1-Inputs!$B$235))^(1/Inputs!$B$236)-1,IF(AND(Inputs!$B$239&lt;&gt;"",P$2=Inputs!$B$239),-Inputs!$B$240,IF(AND(Inputs!$B$239&lt;&gt;"",P$2&gt;Inputs!$B$239,P$2&lt;=Inputs!$B$239+Inputs!$B$241),(1/(1-Inputs!$B$240))^(1/Inputs!$B$241)-1,IF(AND(Inputs!$B$244&lt;&gt;"",P$2=Inputs!$B$244),-Inputs!$B$245,IF(AND(Inputs!$B$244&lt;&gt;"",P$2&gt;Inputs!$B$244,P$2&lt;=Inputs!$B$244+Inputs!$B$246),(1/(1-Inputs!$B$245))^(1/Inputs!$B$246)-1,IF(AND(Inputs!$B$249&lt;&gt;"",P$2=Inputs!$B$249),-Inputs!$B$250,IF(AND(Inputs!$B$249&lt;&gt;"",P$2&gt;Inputs!$B$249,P$2&lt;=Inputs!$B$249+Inputs!$B$251),(1/(1-Inputs!$B$250))^(1/Inputs!$B$251)-1,stinc)))))))))))+P60*SQRT(MAX(1+IF(AND(Inputs!$B$229&lt;&gt;"",P$2=Inputs!$B$229),-Inputs!$B$230,IF(AND(Inputs!$B$229&lt;&gt;"",P$2&gt;Inputs!$B$229,P$2&lt;=Inputs!$B$229+Inputs!$B$231),(1/(1-Inputs!$B$230))^(1/Inputs!$B$231)-1,IF(AND(Inputs!$B$234&lt;&gt;"",P$2=Inputs!$B$234),-Inputs!$B$235,IF(AND(Inputs!$B$234&lt;&gt;"",P$2&gt;Inputs!$B$234,P$2&lt;=Inputs!$B$234+Inputs!$B$236),(1/(1-Inputs!$B$235))^(1/Inputs!$B$236)-1,IF(AND(Inputs!$B$239&lt;&gt;"",P$2=Inputs!$B$239),-Inputs!$B$240,IF(AND(Inputs!$B$239&lt;&gt;"",P$2&gt;Inputs!$B$239,P$2&lt;=Inputs!$B$239+Inputs!$B$241),(1/(1-Inputs!$B$240))^(1/Inputs!$B$241)-1,IF(AND(Inputs!$B$244&lt;&gt;"",P$2=Inputs!$B$244),-Inputs!$B$245,IF(AND(Inputs!$B$244&lt;&gt;"",P$2&gt;Inputs!$B$244,P$2&lt;=Inputs!$B$244+Inputs!$B$246),(1/(1-Inputs!$B$245))^(1/Inputs!$B$246)-1,IF(AND(Inputs!$B$249&lt;&gt;"",P$2=Inputs!$B$249),-Inputs!$B$250,IF(AND(Inputs!$B$249&lt;&gt;"",P$2&gt;Inputs!$B$249,P$2&lt;=Inputs!$B$249+Inputs!$B$251),(1/(1-Inputs!$B$250))^(1/Inputs!$B$251)-1,stinc)))))))))),0))</f>
        <v>110182.66334754656</v>
      </c>
      <c r="Q83" s="7">
        <f ca="1">P83*(1+IF(AND(Inputs!$B$229&lt;&gt;"",Q$2=Inputs!$B$229),-Inputs!$B$230,IF(AND(Inputs!$B$229&lt;&gt;"",Q$2&gt;Inputs!$B$229,Q$2&lt;=Inputs!$B$229+Inputs!$B$231),(1/(1-Inputs!$B$230))^(1/Inputs!$B$231)-1,IF(AND(Inputs!$B$234&lt;&gt;"",Q$2=Inputs!$B$234),-Inputs!$B$235,IF(AND(Inputs!$B$234&lt;&gt;"",Q$2&gt;Inputs!$B$234,Q$2&lt;=Inputs!$B$234+Inputs!$B$236),(1/(1-Inputs!$B$235))^(1/Inputs!$B$236)-1,IF(AND(Inputs!$B$239&lt;&gt;"",Q$2=Inputs!$B$239),-Inputs!$B$240,IF(AND(Inputs!$B$239&lt;&gt;"",Q$2&gt;Inputs!$B$239,Q$2&lt;=Inputs!$B$239+Inputs!$B$241),(1/(1-Inputs!$B$240))^(1/Inputs!$B$241)-1,IF(AND(Inputs!$B$244&lt;&gt;"",Q$2=Inputs!$B$244),-Inputs!$B$245,IF(AND(Inputs!$B$244&lt;&gt;"",Q$2&gt;Inputs!$B$244,Q$2&lt;=Inputs!$B$244+Inputs!$B$246),(1/(1-Inputs!$B$245))^(1/Inputs!$B$246)-1,IF(AND(Inputs!$B$249&lt;&gt;"",Q$2=Inputs!$B$249),-Inputs!$B$250,IF(AND(Inputs!$B$249&lt;&gt;"",Q$2&gt;Inputs!$B$249,Q$2&lt;=Inputs!$B$249+Inputs!$B$251),(1/(1-Inputs!$B$250))^(1/Inputs!$B$251)-1,stinc)))))))))))+Q60*SQRT(MAX(1+IF(AND(Inputs!$B$229&lt;&gt;"",Q$2=Inputs!$B$229),-Inputs!$B$230,IF(AND(Inputs!$B$229&lt;&gt;"",Q$2&gt;Inputs!$B$229,Q$2&lt;=Inputs!$B$229+Inputs!$B$231),(1/(1-Inputs!$B$230))^(1/Inputs!$B$231)-1,IF(AND(Inputs!$B$234&lt;&gt;"",Q$2=Inputs!$B$234),-Inputs!$B$235,IF(AND(Inputs!$B$234&lt;&gt;"",Q$2&gt;Inputs!$B$234,Q$2&lt;=Inputs!$B$234+Inputs!$B$236),(1/(1-Inputs!$B$235))^(1/Inputs!$B$236)-1,IF(AND(Inputs!$B$239&lt;&gt;"",Q$2=Inputs!$B$239),-Inputs!$B$240,IF(AND(Inputs!$B$239&lt;&gt;"",Q$2&gt;Inputs!$B$239,Q$2&lt;=Inputs!$B$239+Inputs!$B$241),(1/(1-Inputs!$B$240))^(1/Inputs!$B$241)-1,IF(AND(Inputs!$B$244&lt;&gt;"",Q$2=Inputs!$B$244),-Inputs!$B$245,IF(AND(Inputs!$B$244&lt;&gt;"",Q$2&gt;Inputs!$B$244,Q$2&lt;=Inputs!$B$244+Inputs!$B$246),(1/(1-Inputs!$B$245))^(1/Inputs!$B$246)-1,IF(AND(Inputs!$B$249&lt;&gt;"",Q$2=Inputs!$B$249),-Inputs!$B$250,IF(AND(Inputs!$B$249&lt;&gt;"",Q$2&gt;Inputs!$B$249,Q$2&lt;=Inputs!$B$249+Inputs!$B$251),(1/(1-Inputs!$B$250))^(1/Inputs!$B$251)-1,stinc)))))))))),0))</f>
        <v>117546.79555146063</v>
      </c>
      <c r="R83" s="7">
        <f ca="1">Q83*(1+IF(AND(Inputs!$B$229&lt;&gt;"",R$2=Inputs!$B$229),-Inputs!$B$230,IF(AND(Inputs!$B$229&lt;&gt;"",R$2&gt;Inputs!$B$229,R$2&lt;=Inputs!$B$229+Inputs!$B$231),(1/(1-Inputs!$B$230))^(1/Inputs!$B$231)-1,IF(AND(Inputs!$B$234&lt;&gt;"",R$2=Inputs!$B$234),-Inputs!$B$235,IF(AND(Inputs!$B$234&lt;&gt;"",R$2&gt;Inputs!$B$234,R$2&lt;=Inputs!$B$234+Inputs!$B$236),(1/(1-Inputs!$B$235))^(1/Inputs!$B$236)-1,IF(AND(Inputs!$B$239&lt;&gt;"",R$2=Inputs!$B$239),-Inputs!$B$240,IF(AND(Inputs!$B$239&lt;&gt;"",R$2&gt;Inputs!$B$239,R$2&lt;=Inputs!$B$239+Inputs!$B$241),(1/(1-Inputs!$B$240))^(1/Inputs!$B$241)-1,IF(AND(Inputs!$B$244&lt;&gt;"",R$2=Inputs!$B$244),-Inputs!$B$245,IF(AND(Inputs!$B$244&lt;&gt;"",R$2&gt;Inputs!$B$244,R$2&lt;=Inputs!$B$244+Inputs!$B$246),(1/(1-Inputs!$B$245))^(1/Inputs!$B$246)-1,IF(AND(Inputs!$B$249&lt;&gt;"",R$2=Inputs!$B$249),-Inputs!$B$250,IF(AND(Inputs!$B$249&lt;&gt;"",R$2&gt;Inputs!$B$249,R$2&lt;=Inputs!$B$249+Inputs!$B$251),(1/(1-Inputs!$B$250))^(1/Inputs!$B$251)-1,stinc)))))))))))+R60*SQRT(MAX(1+IF(AND(Inputs!$B$229&lt;&gt;"",R$2=Inputs!$B$229),-Inputs!$B$230,IF(AND(Inputs!$B$229&lt;&gt;"",R$2&gt;Inputs!$B$229,R$2&lt;=Inputs!$B$229+Inputs!$B$231),(1/(1-Inputs!$B$230))^(1/Inputs!$B$231)-1,IF(AND(Inputs!$B$234&lt;&gt;"",R$2=Inputs!$B$234),-Inputs!$B$235,IF(AND(Inputs!$B$234&lt;&gt;"",R$2&gt;Inputs!$B$234,R$2&lt;=Inputs!$B$234+Inputs!$B$236),(1/(1-Inputs!$B$235))^(1/Inputs!$B$236)-1,IF(AND(Inputs!$B$239&lt;&gt;"",R$2=Inputs!$B$239),-Inputs!$B$240,IF(AND(Inputs!$B$239&lt;&gt;"",R$2&gt;Inputs!$B$239,R$2&lt;=Inputs!$B$239+Inputs!$B$241),(1/(1-Inputs!$B$240))^(1/Inputs!$B$241)-1,IF(AND(Inputs!$B$244&lt;&gt;"",R$2=Inputs!$B$244),-Inputs!$B$245,IF(AND(Inputs!$B$244&lt;&gt;"",R$2&gt;Inputs!$B$244,R$2&lt;=Inputs!$B$244+Inputs!$B$246),(1/(1-Inputs!$B$245))^(1/Inputs!$B$246)-1,IF(AND(Inputs!$B$249&lt;&gt;"",R$2=Inputs!$B$249),-Inputs!$B$250,IF(AND(Inputs!$B$249&lt;&gt;"",R$2&gt;Inputs!$B$249,R$2&lt;=Inputs!$B$249+Inputs!$B$251),(1/(1-Inputs!$B$250))^(1/Inputs!$B$251)-1,stinc)))))))))),0))</f>
        <v>131315.30723065106</v>
      </c>
      <c r="S83" s="7">
        <f ca="1">R83*(1+IF(AND(Inputs!$B$229&lt;&gt;"",S$2=Inputs!$B$229),-Inputs!$B$230,IF(AND(Inputs!$B$229&lt;&gt;"",S$2&gt;Inputs!$B$229,S$2&lt;=Inputs!$B$229+Inputs!$B$231),(1/(1-Inputs!$B$230))^(1/Inputs!$B$231)-1,IF(AND(Inputs!$B$234&lt;&gt;"",S$2=Inputs!$B$234),-Inputs!$B$235,IF(AND(Inputs!$B$234&lt;&gt;"",S$2&gt;Inputs!$B$234,S$2&lt;=Inputs!$B$234+Inputs!$B$236),(1/(1-Inputs!$B$235))^(1/Inputs!$B$236)-1,IF(AND(Inputs!$B$239&lt;&gt;"",S$2=Inputs!$B$239),-Inputs!$B$240,IF(AND(Inputs!$B$239&lt;&gt;"",S$2&gt;Inputs!$B$239,S$2&lt;=Inputs!$B$239+Inputs!$B$241),(1/(1-Inputs!$B$240))^(1/Inputs!$B$241)-1,IF(AND(Inputs!$B$244&lt;&gt;"",S$2=Inputs!$B$244),-Inputs!$B$245,IF(AND(Inputs!$B$244&lt;&gt;"",S$2&gt;Inputs!$B$244,S$2&lt;=Inputs!$B$244+Inputs!$B$246),(1/(1-Inputs!$B$245))^(1/Inputs!$B$246)-1,IF(AND(Inputs!$B$249&lt;&gt;"",S$2=Inputs!$B$249),-Inputs!$B$250,IF(AND(Inputs!$B$249&lt;&gt;"",S$2&gt;Inputs!$B$249,S$2&lt;=Inputs!$B$249+Inputs!$B$251),(1/(1-Inputs!$B$250))^(1/Inputs!$B$251)-1,stinc)))))))))))+S60*SQRT(MAX(1+IF(AND(Inputs!$B$229&lt;&gt;"",S$2=Inputs!$B$229),-Inputs!$B$230,IF(AND(Inputs!$B$229&lt;&gt;"",S$2&gt;Inputs!$B$229,S$2&lt;=Inputs!$B$229+Inputs!$B$231),(1/(1-Inputs!$B$230))^(1/Inputs!$B$231)-1,IF(AND(Inputs!$B$234&lt;&gt;"",S$2=Inputs!$B$234),-Inputs!$B$235,IF(AND(Inputs!$B$234&lt;&gt;"",S$2&gt;Inputs!$B$234,S$2&lt;=Inputs!$B$234+Inputs!$B$236),(1/(1-Inputs!$B$235))^(1/Inputs!$B$236)-1,IF(AND(Inputs!$B$239&lt;&gt;"",S$2=Inputs!$B$239),-Inputs!$B$240,IF(AND(Inputs!$B$239&lt;&gt;"",S$2&gt;Inputs!$B$239,S$2&lt;=Inputs!$B$239+Inputs!$B$241),(1/(1-Inputs!$B$240))^(1/Inputs!$B$241)-1,IF(AND(Inputs!$B$244&lt;&gt;"",S$2=Inputs!$B$244),-Inputs!$B$245,IF(AND(Inputs!$B$244&lt;&gt;"",S$2&gt;Inputs!$B$244,S$2&lt;=Inputs!$B$244+Inputs!$B$246),(1/(1-Inputs!$B$245))^(1/Inputs!$B$246)-1,IF(AND(Inputs!$B$249&lt;&gt;"",S$2=Inputs!$B$249),-Inputs!$B$250,IF(AND(Inputs!$B$249&lt;&gt;"",S$2&gt;Inputs!$B$249,S$2&lt;=Inputs!$B$249+Inputs!$B$251),(1/(1-Inputs!$B$250))^(1/Inputs!$B$251)-1,stinc)))))))))),0))</f>
        <v>146185.29984417671</v>
      </c>
      <c r="T83" s="7">
        <f ca="1">S83*(1+IF(AND(Inputs!$B$229&lt;&gt;"",T$2=Inputs!$B$229),-Inputs!$B$230,IF(AND(Inputs!$B$229&lt;&gt;"",T$2&gt;Inputs!$B$229,T$2&lt;=Inputs!$B$229+Inputs!$B$231),(1/(1-Inputs!$B$230))^(1/Inputs!$B$231)-1,IF(AND(Inputs!$B$234&lt;&gt;"",T$2=Inputs!$B$234),-Inputs!$B$235,IF(AND(Inputs!$B$234&lt;&gt;"",T$2&gt;Inputs!$B$234,T$2&lt;=Inputs!$B$234+Inputs!$B$236),(1/(1-Inputs!$B$235))^(1/Inputs!$B$236)-1,IF(AND(Inputs!$B$239&lt;&gt;"",T$2=Inputs!$B$239),-Inputs!$B$240,IF(AND(Inputs!$B$239&lt;&gt;"",T$2&gt;Inputs!$B$239,T$2&lt;=Inputs!$B$239+Inputs!$B$241),(1/(1-Inputs!$B$240))^(1/Inputs!$B$241)-1,IF(AND(Inputs!$B$244&lt;&gt;"",T$2=Inputs!$B$244),-Inputs!$B$245,IF(AND(Inputs!$B$244&lt;&gt;"",T$2&gt;Inputs!$B$244,T$2&lt;=Inputs!$B$244+Inputs!$B$246),(1/(1-Inputs!$B$245))^(1/Inputs!$B$246)-1,IF(AND(Inputs!$B$249&lt;&gt;"",T$2=Inputs!$B$249),-Inputs!$B$250,IF(AND(Inputs!$B$249&lt;&gt;"",T$2&gt;Inputs!$B$249,T$2&lt;=Inputs!$B$249+Inputs!$B$251),(1/(1-Inputs!$B$250))^(1/Inputs!$B$251)-1,stinc)))))))))))+T60*SQRT(MAX(1+IF(AND(Inputs!$B$229&lt;&gt;"",T$2=Inputs!$B$229),-Inputs!$B$230,IF(AND(Inputs!$B$229&lt;&gt;"",T$2&gt;Inputs!$B$229,T$2&lt;=Inputs!$B$229+Inputs!$B$231),(1/(1-Inputs!$B$230))^(1/Inputs!$B$231)-1,IF(AND(Inputs!$B$234&lt;&gt;"",T$2=Inputs!$B$234),-Inputs!$B$235,IF(AND(Inputs!$B$234&lt;&gt;"",T$2&gt;Inputs!$B$234,T$2&lt;=Inputs!$B$234+Inputs!$B$236),(1/(1-Inputs!$B$235))^(1/Inputs!$B$236)-1,IF(AND(Inputs!$B$239&lt;&gt;"",T$2=Inputs!$B$239),-Inputs!$B$240,IF(AND(Inputs!$B$239&lt;&gt;"",T$2&gt;Inputs!$B$239,T$2&lt;=Inputs!$B$239+Inputs!$B$241),(1/(1-Inputs!$B$240))^(1/Inputs!$B$241)-1,IF(AND(Inputs!$B$244&lt;&gt;"",T$2=Inputs!$B$244),-Inputs!$B$245,IF(AND(Inputs!$B$244&lt;&gt;"",T$2&gt;Inputs!$B$244,T$2&lt;=Inputs!$B$244+Inputs!$B$246),(1/(1-Inputs!$B$245))^(1/Inputs!$B$246)-1,IF(AND(Inputs!$B$249&lt;&gt;"",T$2=Inputs!$B$249),-Inputs!$B$250,IF(AND(Inputs!$B$249&lt;&gt;"",T$2&gt;Inputs!$B$249,T$2&lt;=Inputs!$B$249+Inputs!$B$251),(1/(1-Inputs!$B$250))^(1/Inputs!$B$251)-1,stinc)))))))))),0))</f>
        <v>157880.12383171087</v>
      </c>
      <c r="U83" s="7">
        <f ca="1">T83*(1+IF(AND(Inputs!$B$229&lt;&gt;"",U$2=Inputs!$B$229),-Inputs!$B$230,IF(AND(Inputs!$B$229&lt;&gt;"",U$2&gt;Inputs!$B$229,U$2&lt;=Inputs!$B$229+Inputs!$B$231),(1/(1-Inputs!$B$230))^(1/Inputs!$B$231)-1,IF(AND(Inputs!$B$234&lt;&gt;"",U$2=Inputs!$B$234),-Inputs!$B$235,IF(AND(Inputs!$B$234&lt;&gt;"",U$2&gt;Inputs!$B$234,U$2&lt;=Inputs!$B$234+Inputs!$B$236),(1/(1-Inputs!$B$235))^(1/Inputs!$B$236)-1,IF(AND(Inputs!$B$239&lt;&gt;"",U$2=Inputs!$B$239),-Inputs!$B$240,IF(AND(Inputs!$B$239&lt;&gt;"",U$2&gt;Inputs!$B$239,U$2&lt;=Inputs!$B$239+Inputs!$B$241),(1/(1-Inputs!$B$240))^(1/Inputs!$B$241)-1,IF(AND(Inputs!$B$244&lt;&gt;"",U$2=Inputs!$B$244),-Inputs!$B$245,IF(AND(Inputs!$B$244&lt;&gt;"",U$2&gt;Inputs!$B$244,U$2&lt;=Inputs!$B$244+Inputs!$B$246),(1/(1-Inputs!$B$245))^(1/Inputs!$B$246)-1,IF(AND(Inputs!$B$249&lt;&gt;"",U$2=Inputs!$B$249),-Inputs!$B$250,IF(AND(Inputs!$B$249&lt;&gt;"",U$2&gt;Inputs!$B$249,U$2&lt;=Inputs!$B$249+Inputs!$B$251),(1/(1-Inputs!$B$250))^(1/Inputs!$B$251)-1,stinc)))))))))))+U60*SQRT(MAX(1+IF(AND(Inputs!$B$229&lt;&gt;"",U$2=Inputs!$B$229),-Inputs!$B$230,IF(AND(Inputs!$B$229&lt;&gt;"",U$2&gt;Inputs!$B$229,U$2&lt;=Inputs!$B$229+Inputs!$B$231),(1/(1-Inputs!$B$230))^(1/Inputs!$B$231)-1,IF(AND(Inputs!$B$234&lt;&gt;"",U$2=Inputs!$B$234),-Inputs!$B$235,IF(AND(Inputs!$B$234&lt;&gt;"",U$2&gt;Inputs!$B$234,U$2&lt;=Inputs!$B$234+Inputs!$B$236),(1/(1-Inputs!$B$235))^(1/Inputs!$B$236)-1,IF(AND(Inputs!$B$239&lt;&gt;"",U$2=Inputs!$B$239),-Inputs!$B$240,IF(AND(Inputs!$B$239&lt;&gt;"",U$2&gt;Inputs!$B$239,U$2&lt;=Inputs!$B$239+Inputs!$B$241),(1/(1-Inputs!$B$240))^(1/Inputs!$B$241)-1,IF(AND(Inputs!$B$244&lt;&gt;"",U$2=Inputs!$B$244),-Inputs!$B$245,IF(AND(Inputs!$B$244&lt;&gt;"",U$2&gt;Inputs!$B$244,U$2&lt;=Inputs!$B$244+Inputs!$B$246),(1/(1-Inputs!$B$245))^(1/Inputs!$B$246)-1,IF(AND(Inputs!$B$249&lt;&gt;"",U$2=Inputs!$B$249),-Inputs!$B$250,IF(AND(Inputs!$B$249&lt;&gt;"",U$2&gt;Inputs!$B$249,U$2&lt;=Inputs!$B$249+Inputs!$B$251),(1/(1-Inputs!$B$250))^(1/Inputs!$B$251)-1,stinc)))))))))),0))</f>
        <v>170510.53373824776</v>
      </c>
      <c r="V83" s="7">
        <f ca="1">U83*(1+IF(AND(Inputs!$B$229&lt;&gt;"",V$2=Inputs!$B$229),-Inputs!$B$230,IF(AND(Inputs!$B$229&lt;&gt;"",V$2&gt;Inputs!$B$229,V$2&lt;=Inputs!$B$229+Inputs!$B$231),(1/(1-Inputs!$B$230))^(1/Inputs!$B$231)-1,IF(AND(Inputs!$B$234&lt;&gt;"",V$2=Inputs!$B$234),-Inputs!$B$235,IF(AND(Inputs!$B$234&lt;&gt;"",V$2&gt;Inputs!$B$234,V$2&lt;=Inputs!$B$234+Inputs!$B$236),(1/(1-Inputs!$B$235))^(1/Inputs!$B$236)-1,IF(AND(Inputs!$B$239&lt;&gt;"",V$2=Inputs!$B$239),-Inputs!$B$240,IF(AND(Inputs!$B$239&lt;&gt;"",V$2&gt;Inputs!$B$239,V$2&lt;=Inputs!$B$239+Inputs!$B$241),(1/(1-Inputs!$B$240))^(1/Inputs!$B$241)-1,IF(AND(Inputs!$B$244&lt;&gt;"",V$2=Inputs!$B$244),-Inputs!$B$245,IF(AND(Inputs!$B$244&lt;&gt;"",V$2&gt;Inputs!$B$244,V$2&lt;=Inputs!$B$244+Inputs!$B$246),(1/(1-Inputs!$B$245))^(1/Inputs!$B$246)-1,IF(AND(Inputs!$B$249&lt;&gt;"",V$2=Inputs!$B$249),-Inputs!$B$250,IF(AND(Inputs!$B$249&lt;&gt;"",V$2&gt;Inputs!$B$249,V$2&lt;=Inputs!$B$249+Inputs!$B$251),(1/(1-Inputs!$B$250))^(1/Inputs!$B$251)-1,stinc)))))))))))+V60*SQRT(MAX(1+IF(AND(Inputs!$B$229&lt;&gt;"",V$2=Inputs!$B$229),-Inputs!$B$230,IF(AND(Inputs!$B$229&lt;&gt;"",V$2&gt;Inputs!$B$229,V$2&lt;=Inputs!$B$229+Inputs!$B$231),(1/(1-Inputs!$B$230))^(1/Inputs!$B$231)-1,IF(AND(Inputs!$B$234&lt;&gt;"",V$2=Inputs!$B$234),-Inputs!$B$235,IF(AND(Inputs!$B$234&lt;&gt;"",V$2&gt;Inputs!$B$234,V$2&lt;=Inputs!$B$234+Inputs!$B$236),(1/(1-Inputs!$B$235))^(1/Inputs!$B$236)-1,IF(AND(Inputs!$B$239&lt;&gt;"",V$2=Inputs!$B$239),-Inputs!$B$240,IF(AND(Inputs!$B$239&lt;&gt;"",V$2&gt;Inputs!$B$239,V$2&lt;=Inputs!$B$239+Inputs!$B$241),(1/(1-Inputs!$B$240))^(1/Inputs!$B$241)-1,IF(AND(Inputs!$B$244&lt;&gt;"",V$2=Inputs!$B$244),-Inputs!$B$245,IF(AND(Inputs!$B$244&lt;&gt;"",V$2&gt;Inputs!$B$244,V$2&lt;=Inputs!$B$244+Inputs!$B$246),(1/(1-Inputs!$B$245))^(1/Inputs!$B$246)-1,IF(AND(Inputs!$B$249&lt;&gt;"",V$2=Inputs!$B$249),-Inputs!$B$250,IF(AND(Inputs!$B$249&lt;&gt;"",V$2&gt;Inputs!$B$249,V$2&lt;=Inputs!$B$249+Inputs!$B$251),(1/(1-Inputs!$B$250))^(1/Inputs!$B$251)-1,stinc)))))))))),0))</f>
        <v>139818.63766536317</v>
      </c>
      <c r="W83" s="7">
        <f ca="1">V83*(1+IF(AND(Inputs!$B$229&lt;&gt;"",W$2=Inputs!$B$229),-Inputs!$B$230,IF(AND(Inputs!$B$229&lt;&gt;"",W$2&gt;Inputs!$B$229,W$2&lt;=Inputs!$B$229+Inputs!$B$231),(1/(1-Inputs!$B$230))^(1/Inputs!$B$231)-1,IF(AND(Inputs!$B$234&lt;&gt;"",W$2=Inputs!$B$234),-Inputs!$B$235,IF(AND(Inputs!$B$234&lt;&gt;"",W$2&gt;Inputs!$B$234,W$2&lt;=Inputs!$B$234+Inputs!$B$236),(1/(1-Inputs!$B$235))^(1/Inputs!$B$236)-1,IF(AND(Inputs!$B$239&lt;&gt;"",W$2=Inputs!$B$239),-Inputs!$B$240,IF(AND(Inputs!$B$239&lt;&gt;"",W$2&gt;Inputs!$B$239,W$2&lt;=Inputs!$B$239+Inputs!$B$241),(1/(1-Inputs!$B$240))^(1/Inputs!$B$241)-1,IF(AND(Inputs!$B$244&lt;&gt;"",W$2=Inputs!$B$244),-Inputs!$B$245,IF(AND(Inputs!$B$244&lt;&gt;"",W$2&gt;Inputs!$B$244,W$2&lt;=Inputs!$B$244+Inputs!$B$246),(1/(1-Inputs!$B$245))^(1/Inputs!$B$246)-1,IF(AND(Inputs!$B$249&lt;&gt;"",W$2=Inputs!$B$249),-Inputs!$B$250,IF(AND(Inputs!$B$249&lt;&gt;"",W$2&gt;Inputs!$B$249,W$2&lt;=Inputs!$B$249+Inputs!$B$251),(1/(1-Inputs!$B$250))^(1/Inputs!$B$251)-1,stinc)))))))))))+W60*SQRT(MAX(1+IF(AND(Inputs!$B$229&lt;&gt;"",W$2=Inputs!$B$229),-Inputs!$B$230,IF(AND(Inputs!$B$229&lt;&gt;"",W$2&gt;Inputs!$B$229,W$2&lt;=Inputs!$B$229+Inputs!$B$231),(1/(1-Inputs!$B$230))^(1/Inputs!$B$231)-1,IF(AND(Inputs!$B$234&lt;&gt;"",W$2=Inputs!$B$234),-Inputs!$B$235,IF(AND(Inputs!$B$234&lt;&gt;"",W$2&gt;Inputs!$B$234,W$2&lt;=Inputs!$B$234+Inputs!$B$236),(1/(1-Inputs!$B$235))^(1/Inputs!$B$236)-1,IF(AND(Inputs!$B$239&lt;&gt;"",W$2=Inputs!$B$239),-Inputs!$B$240,IF(AND(Inputs!$B$239&lt;&gt;"",W$2&gt;Inputs!$B$239,W$2&lt;=Inputs!$B$239+Inputs!$B$241),(1/(1-Inputs!$B$240))^(1/Inputs!$B$241)-1,IF(AND(Inputs!$B$244&lt;&gt;"",W$2=Inputs!$B$244),-Inputs!$B$245,IF(AND(Inputs!$B$244&lt;&gt;"",W$2&gt;Inputs!$B$244,W$2&lt;=Inputs!$B$244+Inputs!$B$246),(1/(1-Inputs!$B$245))^(1/Inputs!$B$246)-1,IF(AND(Inputs!$B$249&lt;&gt;"",W$2=Inputs!$B$249),-Inputs!$B$250,IF(AND(Inputs!$B$249&lt;&gt;"",W$2&gt;Inputs!$B$249,W$2&lt;=Inputs!$B$249+Inputs!$B$251),(1/(1-Inputs!$B$250))^(1/Inputs!$B$251)-1,stinc)))))))))),0))</f>
        <v>154403.85531092074</v>
      </c>
      <c r="X83" s="7">
        <f ca="1">W83*(1+IF(AND(Inputs!$B$229&lt;&gt;"",X$2=Inputs!$B$229),-Inputs!$B$230,IF(AND(Inputs!$B$229&lt;&gt;"",X$2&gt;Inputs!$B$229,X$2&lt;=Inputs!$B$229+Inputs!$B$231),(1/(1-Inputs!$B$230))^(1/Inputs!$B$231)-1,IF(AND(Inputs!$B$234&lt;&gt;"",X$2=Inputs!$B$234),-Inputs!$B$235,IF(AND(Inputs!$B$234&lt;&gt;"",X$2&gt;Inputs!$B$234,X$2&lt;=Inputs!$B$234+Inputs!$B$236),(1/(1-Inputs!$B$235))^(1/Inputs!$B$236)-1,IF(AND(Inputs!$B$239&lt;&gt;"",X$2=Inputs!$B$239),-Inputs!$B$240,IF(AND(Inputs!$B$239&lt;&gt;"",X$2&gt;Inputs!$B$239,X$2&lt;=Inputs!$B$239+Inputs!$B$241),(1/(1-Inputs!$B$240))^(1/Inputs!$B$241)-1,IF(AND(Inputs!$B$244&lt;&gt;"",X$2=Inputs!$B$244),-Inputs!$B$245,IF(AND(Inputs!$B$244&lt;&gt;"",X$2&gt;Inputs!$B$244,X$2&lt;=Inputs!$B$244+Inputs!$B$246),(1/(1-Inputs!$B$245))^(1/Inputs!$B$246)-1,IF(AND(Inputs!$B$249&lt;&gt;"",X$2=Inputs!$B$249),-Inputs!$B$250,IF(AND(Inputs!$B$249&lt;&gt;"",X$2&gt;Inputs!$B$249,X$2&lt;=Inputs!$B$249+Inputs!$B$251),(1/(1-Inputs!$B$250))^(1/Inputs!$B$251)-1,stinc)))))))))))+X60*SQRT(MAX(1+IF(AND(Inputs!$B$229&lt;&gt;"",X$2=Inputs!$B$229),-Inputs!$B$230,IF(AND(Inputs!$B$229&lt;&gt;"",X$2&gt;Inputs!$B$229,X$2&lt;=Inputs!$B$229+Inputs!$B$231),(1/(1-Inputs!$B$230))^(1/Inputs!$B$231)-1,IF(AND(Inputs!$B$234&lt;&gt;"",X$2=Inputs!$B$234),-Inputs!$B$235,IF(AND(Inputs!$B$234&lt;&gt;"",X$2&gt;Inputs!$B$234,X$2&lt;=Inputs!$B$234+Inputs!$B$236),(1/(1-Inputs!$B$235))^(1/Inputs!$B$236)-1,IF(AND(Inputs!$B$239&lt;&gt;"",X$2=Inputs!$B$239),-Inputs!$B$240,IF(AND(Inputs!$B$239&lt;&gt;"",X$2&gt;Inputs!$B$239,X$2&lt;=Inputs!$B$239+Inputs!$B$241),(1/(1-Inputs!$B$240))^(1/Inputs!$B$241)-1,IF(AND(Inputs!$B$244&lt;&gt;"",X$2=Inputs!$B$244),-Inputs!$B$245,IF(AND(Inputs!$B$244&lt;&gt;"",X$2&gt;Inputs!$B$244,X$2&lt;=Inputs!$B$244+Inputs!$B$246),(1/(1-Inputs!$B$245))^(1/Inputs!$B$246)-1,IF(AND(Inputs!$B$249&lt;&gt;"",X$2=Inputs!$B$249),-Inputs!$B$250,IF(AND(Inputs!$B$249&lt;&gt;"",X$2&gt;Inputs!$B$249,X$2&lt;=Inputs!$B$249+Inputs!$B$251),(1/(1-Inputs!$B$250))^(1/Inputs!$B$251)-1,stinc)))))))))),0))</f>
        <v>170510.53373824776</v>
      </c>
      <c r="Y83" s="7">
        <f ca="1">X83*(1+IF(AND(Inputs!$B$229&lt;&gt;"",Y$2=Inputs!$B$229),-Inputs!$B$230,IF(AND(Inputs!$B$229&lt;&gt;"",Y$2&gt;Inputs!$B$229,Y$2&lt;=Inputs!$B$229+Inputs!$B$231),(1/(1-Inputs!$B$230))^(1/Inputs!$B$231)-1,IF(AND(Inputs!$B$234&lt;&gt;"",Y$2=Inputs!$B$234),-Inputs!$B$235,IF(AND(Inputs!$B$234&lt;&gt;"",Y$2&gt;Inputs!$B$234,Y$2&lt;=Inputs!$B$234+Inputs!$B$236),(1/(1-Inputs!$B$235))^(1/Inputs!$B$236)-1,IF(AND(Inputs!$B$239&lt;&gt;"",Y$2=Inputs!$B$239),-Inputs!$B$240,IF(AND(Inputs!$B$239&lt;&gt;"",Y$2&gt;Inputs!$B$239,Y$2&lt;=Inputs!$B$239+Inputs!$B$241),(1/(1-Inputs!$B$240))^(1/Inputs!$B$241)-1,IF(AND(Inputs!$B$244&lt;&gt;"",Y$2=Inputs!$B$244),-Inputs!$B$245,IF(AND(Inputs!$B$244&lt;&gt;"",Y$2&gt;Inputs!$B$244,Y$2&lt;=Inputs!$B$244+Inputs!$B$246),(1/(1-Inputs!$B$245))^(1/Inputs!$B$246)-1,IF(AND(Inputs!$B$249&lt;&gt;"",Y$2=Inputs!$B$249),-Inputs!$B$250,IF(AND(Inputs!$B$249&lt;&gt;"",Y$2&gt;Inputs!$B$249,Y$2&lt;=Inputs!$B$249+Inputs!$B$251),(1/(1-Inputs!$B$250))^(1/Inputs!$B$251)-1,stinc)))))))))))+Y60*SQRT(MAX(1+IF(AND(Inputs!$B$229&lt;&gt;"",Y$2=Inputs!$B$229),-Inputs!$B$230,IF(AND(Inputs!$B$229&lt;&gt;"",Y$2&gt;Inputs!$B$229,Y$2&lt;=Inputs!$B$229+Inputs!$B$231),(1/(1-Inputs!$B$230))^(1/Inputs!$B$231)-1,IF(AND(Inputs!$B$234&lt;&gt;"",Y$2=Inputs!$B$234),-Inputs!$B$235,IF(AND(Inputs!$B$234&lt;&gt;"",Y$2&gt;Inputs!$B$234,Y$2&lt;=Inputs!$B$234+Inputs!$B$236),(1/(1-Inputs!$B$235))^(1/Inputs!$B$236)-1,IF(AND(Inputs!$B$239&lt;&gt;"",Y$2=Inputs!$B$239),-Inputs!$B$240,IF(AND(Inputs!$B$239&lt;&gt;"",Y$2&gt;Inputs!$B$239,Y$2&lt;=Inputs!$B$239+Inputs!$B$241),(1/(1-Inputs!$B$240))^(1/Inputs!$B$241)-1,IF(AND(Inputs!$B$244&lt;&gt;"",Y$2=Inputs!$B$244),-Inputs!$B$245,IF(AND(Inputs!$B$244&lt;&gt;"",Y$2&gt;Inputs!$B$244,Y$2&lt;=Inputs!$B$244+Inputs!$B$246),(1/(1-Inputs!$B$245))^(1/Inputs!$B$246)-1,IF(AND(Inputs!$B$249&lt;&gt;"",Y$2=Inputs!$B$249),-Inputs!$B$250,IF(AND(Inputs!$B$249&lt;&gt;"",Y$2&gt;Inputs!$B$249,Y$2&lt;=Inputs!$B$249+Inputs!$B$251),(1/(1-Inputs!$B$250))^(1/Inputs!$B$251)-1,stinc)))))))))),0))</f>
        <v>184151.3764373076</v>
      </c>
      <c r="Z83" s="7">
        <f ca="1">Y83*(1+IF(AND(Inputs!$B$229&lt;&gt;"",Z$2=Inputs!$B$229),-Inputs!$B$230,IF(AND(Inputs!$B$229&lt;&gt;"",Z$2&gt;Inputs!$B$229,Z$2&lt;=Inputs!$B$229+Inputs!$B$231),(1/(1-Inputs!$B$230))^(1/Inputs!$B$231)-1,IF(AND(Inputs!$B$234&lt;&gt;"",Z$2=Inputs!$B$234),-Inputs!$B$235,IF(AND(Inputs!$B$234&lt;&gt;"",Z$2&gt;Inputs!$B$234,Z$2&lt;=Inputs!$B$234+Inputs!$B$236),(1/(1-Inputs!$B$235))^(1/Inputs!$B$236)-1,IF(AND(Inputs!$B$239&lt;&gt;"",Z$2=Inputs!$B$239),-Inputs!$B$240,IF(AND(Inputs!$B$239&lt;&gt;"",Z$2&gt;Inputs!$B$239,Z$2&lt;=Inputs!$B$239+Inputs!$B$241),(1/(1-Inputs!$B$240))^(1/Inputs!$B$241)-1,IF(AND(Inputs!$B$244&lt;&gt;"",Z$2=Inputs!$B$244),-Inputs!$B$245,IF(AND(Inputs!$B$244&lt;&gt;"",Z$2&gt;Inputs!$B$244,Z$2&lt;=Inputs!$B$244+Inputs!$B$246),(1/(1-Inputs!$B$245))^(1/Inputs!$B$246)-1,IF(AND(Inputs!$B$249&lt;&gt;"",Z$2=Inputs!$B$249),-Inputs!$B$250,IF(AND(Inputs!$B$249&lt;&gt;"",Z$2&gt;Inputs!$B$249,Z$2&lt;=Inputs!$B$249+Inputs!$B$251),(1/(1-Inputs!$B$250))^(1/Inputs!$B$251)-1,stinc)))))))))))+Z60*SQRT(MAX(1+IF(AND(Inputs!$B$229&lt;&gt;"",Z$2=Inputs!$B$229),-Inputs!$B$230,IF(AND(Inputs!$B$229&lt;&gt;"",Z$2&gt;Inputs!$B$229,Z$2&lt;=Inputs!$B$229+Inputs!$B$231),(1/(1-Inputs!$B$230))^(1/Inputs!$B$231)-1,IF(AND(Inputs!$B$234&lt;&gt;"",Z$2=Inputs!$B$234),-Inputs!$B$235,IF(AND(Inputs!$B$234&lt;&gt;"",Z$2&gt;Inputs!$B$234,Z$2&lt;=Inputs!$B$234+Inputs!$B$236),(1/(1-Inputs!$B$235))^(1/Inputs!$B$236)-1,IF(AND(Inputs!$B$239&lt;&gt;"",Z$2=Inputs!$B$239),-Inputs!$B$240,IF(AND(Inputs!$B$239&lt;&gt;"",Z$2&gt;Inputs!$B$239,Z$2&lt;=Inputs!$B$239+Inputs!$B$241),(1/(1-Inputs!$B$240))^(1/Inputs!$B$241)-1,IF(AND(Inputs!$B$244&lt;&gt;"",Z$2=Inputs!$B$244),-Inputs!$B$245,IF(AND(Inputs!$B$244&lt;&gt;"",Z$2&gt;Inputs!$B$244,Z$2&lt;=Inputs!$B$244+Inputs!$B$246),(1/(1-Inputs!$B$245))^(1/Inputs!$B$246)-1,IF(AND(Inputs!$B$249&lt;&gt;"",Z$2=Inputs!$B$249),-Inputs!$B$250,IF(AND(Inputs!$B$249&lt;&gt;"",Z$2&gt;Inputs!$B$249,Z$2&lt;=Inputs!$B$249+Inputs!$B$251),(1/(1-Inputs!$B$250))^(1/Inputs!$B$251)-1,stinc)))))))))),0))</f>
        <v>198883.48655229222</v>
      </c>
      <c r="AA83" s="7">
        <f ca="1">Z83*(1+IF(AND(Inputs!$B$229&lt;&gt;"",AA$2=Inputs!$B$229),-Inputs!$B$230,IF(AND(Inputs!$B$229&lt;&gt;"",AA$2&gt;Inputs!$B$229,AA$2&lt;=Inputs!$B$229+Inputs!$B$231),(1/(1-Inputs!$B$230))^(1/Inputs!$B$231)-1,IF(AND(Inputs!$B$234&lt;&gt;"",AA$2=Inputs!$B$234),-Inputs!$B$235,IF(AND(Inputs!$B$234&lt;&gt;"",AA$2&gt;Inputs!$B$234,AA$2&lt;=Inputs!$B$234+Inputs!$B$236),(1/(1-Inputs!$B$235))^(1/Inputs!$B$236)-1,IF(AND(Inputs!$B$239&lt;&gt;"",AA$2=Inputs!$B$239),-Inputs!$B$240,IF(AND(Inputs!$B$239&lt;&gt;"",AA$2&gt;Inputs!$B$239,AA$2&lt;=Inputs!$B$239+Inputs!$B$241),(1/(1-Inputs!$B$240))^(1/Inputs!$B$241)-1,IF(AND(Inputs!$B$244&lt;&gt;"",AA$2=Inputs!$B$244),-Inputs!$B$245,IF(AND(Inputs!$B$244&lt;&gt;"",AA$2&gt;Inputs!$B$244,AA$2&lt;=Inputs!$B$244+Inputs!$B$246),(1/(1-Inputs!$B$245))^(1/Inputs!$B$246)-1,IF(AND(Inputs!$B$249&lt;&gt;"",AA$2=Inputs!$B$249),-Inputs!$B$250,IF(AND(Inputs!$B$249&lt;&gt;"",AA$2&gt;Inputs!$B$249,AA$2&lt;=Inputs!$B$249+Inputs!$B$251),(1/(1-Inputs!$B$250))^(1/Inputs!$B$251)-1,stinc)))))))))))+AA60*SQRT(MAX(1+IF(AND(Inputs!$B$229&lt;&gt;"",AA$2=Inputs!$B$229),-Inputs!$B$230,IF(AND(Inputs!$B$229&lt;&gt;"",AA$2&gt;Inputs!$B$229,AA$2&lt;=Inputs!$B$229+Inputs!$B$231),(1/(1-Inputs!$B$230))^(1/Inputs!$B$231)-1,IF(AND(Inputs!$B$234&lt;&gt;"",AA$2=Inputs!$B$234),-Inputs!$B$235,IF(AND(Inputs!$B$234&lt;&gt;"",AA$2&gt;Inputs!$B$234,AA$2&lt;=Inputs!$B$234+Inputs!$B$236),(1/(1-Inputs!$B$235))^(1/Inputs!$B$236)-1,IF(AND(Inputs!$B$239&lt;&gt;"",AA$2=Inputs!$B$239),-Inputs!$B$240,IF(AND(Inputs!$B$239&lt;&gt;"",AA$2&gt;Inputs!$B$239,AA$2&lt;=Inputs!$B$239+Inputs!$B$241),(1/(1-Inputs!$B$240))^(1/Inputs!$B$241)-1,IF(AND(Inputs!$B$244&lt;&gt;"",AA$2=Inputs!$B$244),-Inputs!$B$245,IF(AND(Inputs!$B$244&lt;&gt;"",AA$2&gt;Inputs!$B$244,AA$2&lt;=Inputs!$B$244+Inputs!$B$246),(1/(1-Inputs!$B$245))^(1/Inputs!$B$246)-1,IF(AND(Inputs!$B$249&lt;&gt;"",AA$2=Inputs!$B$249),-Inputs!$B$250,IF(AND(Inputs!$B$249&lt;&gt;"",AA$2&gt;Inputs!$B$249,AA$2&lt;=Inputs!$B$249+Inputs!$B$251),(1/(1-Inputs!$B$250))^(1/Inputs!$B$251)-1,stinc)))))))))),0))</f>
        <v>143196.1103176504</v>
      </c>
      <c r="AB83" s="7">
        <f ca="1">AA83*(1+IF(AND(Inputs!$B$229&lt;&gt;"",AB$2=Inputs!$B$229),-Inputs!$B$230,IF(AND(Inputs!$B$229&lt;&gt;"",AB$2&gt;Inputs!$B$229,AB$2&lt;=Inputs!$B$229+Inputs!$B$231),(1/(1-Inputs!$B$230))^(1/Inputs!$B$231)-1,IF(AND(Inputs!$B$234&lt;&gt;"",AB$2=Inputs!$B$234),-Inputs!$B$235,IF(AND(Inputs!$B$234&lt;&gt;"",AB$2&gt;Inputs!$B$234,AB$2&lt;=Inputs!$B$234+Inputs!$B$236),(1/(1-Inputs!$B$235))^(1/Inputs!$B$236)-1,IF(AND(Inputs!$B$239&lt;&gt;"",AB$2=Inputs!$B$239),-Inputs!$B$240,IF(AND(Inputs!$B$239&lt;&gt;"",AB$2&gt;Inputs!$B$239,AB$2&lt;=Inputs!$B$239+Inputs!$B$241),(1/(1-Inputs!$B$240))^(1/Inputs!$B$241)-1,IF(AND(Inputs!$B$244&lt;&gt;"",AB$2=Inputs!$B$244),-Inputs!$B$245,IF(AND(Inputs!$B$244&lt;&gt;"",AB$2&gt;Inputs!$B$244,AB$2&lt;=Inputs!$B$244+Inputs!$B$246),(1/(1-Inputs!$B$245))^(1/Inputs!$B$246)-1,IF(AND(Inputs!$B$249&lt;&gt;"",AB$2=Inputs!$B$249),-Inputs!$B$250,IF(AND(Inputs!$B$249&lt;&gt;"",AB$2&gt;Inputs!$B$249,AB$2&lt;=Inputs!$B$249+Inputs!$B$251),(1/(1-Inputs!$B$250))^(1/Inputs!$B$251)-1,stinc)))))))))))+AB60*SQRT(MAX(1+IF(AND(Inputs!$B$229&lt;&gt;"",AB$2=Inputs!$B$229),-Inputs!$B$230,IF(AND(Inputs!$B$229&lt;&gt;"",AB$2&gt;Inputs!$B$229,AB$2&lt;=Inputs!$B$229+Inputs!$B$231),(1/(1-Inputs!$B$230))^(1/Inputs!$B$231)-1,IF(AND(Inputs!$B$234&lt;&gt;"",AB$2=Inputs!$B$234),-Inputs!$B$235,IF(AND(Inputs!$B$234&lt;&gt;"",AB$2&gt;Inputs!$B$234,AB$2&lt;=Inputs!$B$234+Inputs!$B$236),(1/(1-Inputs!$B$235))^(1/Inputs!$B$236)-1,IF(AND(Inputs!$B$239&lt;&gt;"",AB$2=Inputs!$B$239),-Inputs!$B$240,IF(AND(Inputs!$B$239&lt;&gt;"",AB$2&gt;Inputs!$B$239,AB$2&lt;=Inputs!$B$239+Inputs!$B$241),(1/(1-Inputs!$B$240))^(1/Inputs!$B$241)-1,IF(AND(Inputs!$B$244&lt;&gt;"",AB$2=Inputs!$B$244),-Inputs!$B$245,IF(AND(Inputs!$B$244&lt;&gt;"",AB$2&gt;Inputs!$B$244,AB$2&lt;=Inputs!$B$244+Inputs!$B$246),(1/(1-Inputs!$B$245))^(1/Inputs!$B$246)-1,IF(AND(Inputs!$B$249&lt;&gt;"",AB$2=Inputs!$B$249),-Inputs!$B$250,IF(AND(Inputs!$B$249&lt;&gt;"",AB$2&gt;Inputs!$B$249,AB$2&lt;=Inputs!$B$249+Inputs!$B$251),(1/(1-Inputs!$B$250))^(1/Inputs!$B$251)-1,stinc)))))))))),0))</f>
        <v>151254.79053984274</v>
      </c>
      <c r="AC83" s="7">
        <f ca="1">AB83*(1+IF(AND(Inputs!$B$229&lt;&gt;"",AC$2=Inputs!$B$229),-Inputs!$B$230,IF(AND(Inputs!$B$229&lt;&gt;"",AC$2&gt;Inputs!$B$229,AC$2&lt;=Inputs!$B$229+Inputs!$B$231),(1/(1-Inputs!$B$230))^(1/Inputs!$B$231)-1,IF(AND(Inputs!$B$234&lt;&gt;"",AC$2=Inputs!$B$234),-Inputs!$B$235,IF(AND(Inputs!$B$234&lt;&gt;"",AC$2&gt;Inputs!$B$234,AC$2&lt;=Inputs!$B$234+Inputs!$B$236),(1/(1-Inputs!$B$235))^(1/Inputs!$B$236)-1,IF(AND(Inputs!$B$239&lt;&gt;"",AC$2=Inputs!$B$239),-Inputs!$B$240,IF(AND(Inputs!$B$239&lt;&gt;"",AC$2&gt;Inputs!$B$239,AC$2&lt;=Inputs!$B$239+Inputs!$B$241),(1/(1-Inputs!$B$240))^(1/Inputs!$B$241)-1,IF(AND(Inputs!$B$244&lt;&gt;"",AC$2=Inputs!$B$244),-Inputs!$B$245,IF(AND(Inputs!$B$244&lt;&gt;"",AC$2&gt;Inputs!$B$244,AC$2&lt;=Inputs!$B$244+Inputs!$B$246),(1/(1-Inputs!$B$245))^(1/Inputs!$B$246)-1,IF(AND(Inputs!$B$249&lt;&gt;"",AC$2=Inputs!$B$249),-Inputs!$B$250,IF(AND(Inputs!$B$249&lt;&gt;"",AC$2&gt;Inputs!$B$249,AC$2&lt;=Inputs!$B$249+Inputs!$B$251),(1/(1-Inputs!$B$250))^(1/Inputs!$B$251)-1,stinc)))))))))))+AC60*SQRT(MAX(1+IF(AND(Inputs!$B$229&lt;&gt;"",AC$2=Inputs!$B$229),-Inputs!$B$230,IF(AND(Inputs!$B$229&lt;&gt;"",AC$2&gt;Inputs!$B$229,AC$2&lt;=Inputs!$B$229+Inputs!$B$231),(1/(1-Inputs!$B$230))^(1/Inputs!$B$231)-1,IF(AND(Inputs!$B$234&lt;&gt;"",AC$2=Inputs!$B$234),-Inputs!$B$235,IF(AND(Inputs!$B$234&lt;&gt;"",AC$2&gt;Inputs!$B$234,AC$2&lt;=Inputs!$B$234+Inputs!$B$236),(1/(1-Inputs!$B$235))^(1/Inputs!$B$236)-1,IF(AND(Inputs!$B$239&lt;&gt;"",AC$2=Inputs!$B$239),-Inputs!$B$240,IF(AND(Inputs!$B$239&lt;&gt;"",AC$2&gt;Inputs!$B$239,AC$2&lt;=Inputs!$B$239+Inputs!$B$241),(1/(1-Inputs!$B$240))^(1/Inputs!$B$241)-1,IF(AND(Inputs!$B$244&lt;&gt;"",AC$2=Inputs!$B$244),-Inputs!$B$245,IF(AND(Inputs!$B$244&lt;&gt;"",AC$2&gt;Inputs!$B$244,AC$2&lt;=Inputs!$B$244+Inputs!$B$246),(1/(1-Inputs!$B$245))^(1/Inputs!$B$246)-1,IF(AND(Inputs!$B$249&lt;&gt;"",AC$2=Inputs!$B$249),-Inputs!$B$250,IF(AND(Inputs!$B$249&lt;&gt;"",AC$2&gt;Inputs!$B$249,AC$2&lt;=Inputs!$B$249+Inputs!$B$251),(1/(1-Inputs!$B$250))^(1/Inputs!$B$251)-1,stinc)))))))))),0))</f>
        <v>159766.99095039419</v>
      </c>
      <c r="AD83" s="7">
        <f ca="1">AC83*(1+IF(AND(Inputs!$B$229&lt;&gt;"",AD$2=Inputs!$B$229),-Inputs!$B$230,IF(AND(Inputs!$B$229&lt;&gt;"",AD$2&gt;Inputs!$B$229,AD$2&lt;=Inputs!$B$229+Inputs!$B$231),(1/(1-Inputs!$B$230))^(1/Inputs!$B$231)-1,IF(AND(Inputs!$B$234&lt;&gt;"",AD$2=Inputs!$B$234),-Inputs!$B$235,IF(AND(Inputs!$B$234&lt;&gt;"",AD$2&gt;Inputs!$B$234,AD$2&lt;=Inputs!$B$234+Inputs!$B$236),(1/(1-Inputs!$B$235))^(1/Inputs!$B$236)-1,IF(AND(Inputs!$B$239&lt;&gt;"",AD$2=Inputs!$B$239),-Inputs!$B$240,IF(AND(Inputs!$B$239&lt;&gt;"",AD$2&gt;Inputs!$B$239,AD$2&lt;=Inputs!$B$239+Inputs!$B$241),(1/(1-Inputs!$B$240))^(1/Inputs!$B$241)-1,IF(AND(Inputs!$B$244&lt;&gt;"",AD$2=Inputs!$B$244),-Inputs!$B$245,IF(AND(Inputs!$B$244&lt;&gt;"",AD$2&gt;Inputs!$B$244,AD$2&lt;=Inputs!$B$244+Inputs!$B$246),(1/(1-Inputs!$B$245))^(1/Inputs!$B$246)-1,IF(AND(Inputs!$B$249&lt;&gt;"",AD$2=Inputs!$B$249),-Inputs!$B$250,IF(AND(Inputs!$B$249&lt;&gt;"",AD$2&gt;Inputs!$B$249,AD$2&lt;=Inputs!$B$249+Inputs!$B$251),(1/(1-Inputs!$B$250))^(1/Inputs!$B$251)-1,stinc)))))))))))+AD60*SQRT(MAX(1+IF(AND(Inputs!$B$229&lt;&gt;"",AD$2=Inputs!$B$229),-Inputs!$B$230,IF(AND(Inputs!$B$229&lt;&gt;"",AD$2&gt;Inputs!$B$229,AD$2&lt;=Inputs!$B$229+Inputs!$B$231),(1/(1-Inputs!$B$230))^(1/Inputs!$B$231)-1,IF(AND(Inputs!$B$234&lt;&gt;"",AD$2=Inputs!$B$234),-Inputs!$B$235,IF(AND(Inputs!$B$234&lt;&gt;"",AD$2&gt;Inputs!$B$234,AD$2&lt;=Inputs!$B$234+Inputs!$B$236),(1/(1-Inputs!$B$235))^(1/Inputs!$B$236)-1,IF(AND(Inputs!$B$239&lt;&gt;"",AD$2=Inputs!$B$239),-Inputs!$B$240,IF(AND(Inputs!$B$239&lt;&gt;"",AD$2&gt;Inputs!$B$239,AD$2&lt;=Inputs!$B$239+Inputs!$B$241),(1/(1-Inputs!$B$240))^(1/Inputs!$B$241)-1,IF(AND(Inputs!$B$244&lt;&gt;"",AD$2=Inputs!$B$244),-Inputs!$B$245,IF(AND(Inputs!$B$244&lt;&gt;"",AD$2&gt;Inputs!$B$244,AD$2&lt;=Inputs!$B$244+Inputs!$B$246),(1/(1-Inputs!$B$245))^(1/Inputs!$B$246)-1,IF(AND(Inputs!$B$249&lt;&gt;"",AD$2=Inputs!$B$249),-Inputs!$B$250,IF(AND(Inputs!$B$249&lt;&gt;"",AD$2&gt;Inputs!$B$249,AD$2&lt;=Inputs!$B$249+Inputs!$B$251),(1/(1-Inputs!$B$250))^(1/Inputs!$B$251)-1,stinc)))))))))),0))</f>
        <v>168758.23440857927</v>
      </c>
      <c r="AE83" s="7">
        <f ca="1">AD83*(1+IF(AND(Inputs!$B$229&lt;&gt;"",AE$2=Inputs!$B$229),-Inputs!$B$230,IF(AND(Inputs!$B$229&lt;&gt;"",AE$2&gt;Inputs!$B$229,AE$2&lt;=Inputs!$B$229+Inputs!$B$231),(1/(1-Inputs!$B$230))^(1/Inputs!$B$231)-1,IF(AND(Inputs!$B$234&lt;&gt;"",AE$2=Inputs!$B$234),-Inputs!$B$235,IF(AND(Inputs!$B$234&lt;&gt;"",AE$2&gt;Inputs!$B$234,AE$2&lt;=Inputs!$B$234+Inputs!$B$236),(1/(1-Inputs!$B$235))^(1/Inputs!$B$236)-1,IF(AND(Inputs!$B$239&lt;&gt;"",AE$2=Inputs!$B$239),-Inputs!$B$240,IF(AND(Inputs!$B$239&lt;&gt;"",AE$2&gt;Inputs!$B$239,AE$2&lt;=Inputs!$B$239+Inputs!$B$241),(1/(1-Inputs!$B$240))^(1/Inputs!$B$241)-1,IF(AND(Inputs!$B$244&lt;&gt;"",AE$2=Inputs!$B$244),-Inputs!$B$245,IF(AND(Inputs!$B$244&lt;&gt;"",AE$2&gt;Inputs!$B$244,AE$2&lt;=Inputs!$B$244+Inputs!$B$246),(1/(1-Inputs!$B$245))^(1/Inputs!$B$246)-1,IF(AND(Inputs!$B$249&lt;&gt;"",AE$2=Inputs!$B$249),-Inputs!$B$250,IF(AND(Inputs!$B$249&lt;&gt;"",AE$2&gt;Inputs!$B$249,AE$2&lt;=Inputs!$B$249+Inputs!$B$251),(1/(1-Inputs!$B$250))^(1/Inputs!$B$251)-1,stinc)))))))))))+AE60*SQRT(MAX(1+IF(AND(Inputs!$B$229&lt;&gt;"",AE$2=Inputs!$B$229),-Inputs!$B$230,IF(AND(Inputs!$B$229&lt;&gt;"",AE$2&gt;Inputs!$B$229,AE$2&lt;=Inputs!$B$229+Inputs!$B$231),(1/(1-Inputs!$B$230))^(1/Inputs!$B$231)-1,IF(AND(Inputs!$B$234&lt;&gt;"",AE$2=Inputs!$B$234),-Inputs!$B$235,IF(AND(Inputs!$B$234&lt;&gt;"",AE$2&gt;Inputs!$B$234,AE$2&lt;=Inputs!$B$234+Inputs!$B$236),(1/(1-Inputs!$B$235))^(1/Inputs!$B$236)-1,IF(AND(Inputs!$B$239&lt;&gt;"",AE$2=Inputs!$B$239),-Inputs!$B$240,IF(AND(Inputs!$B$239&lt;&gt;"",AE$2&gt;Inputs!$B$239,AE$2&lt;=Inputs!$B$239+Inputs!$B$241),(1/(1-Inputs!$B$240))^(1/Inputs!$B$241)-1,IF(AND(Inputs!$B$244&lt;&gt;"",AE$2=Inputs!$B$244),-Inputs!$B$245,IF(AND(Inputs!$B$244&lt;&gt;"",AE$2&gt;Inputs!$B$244,AE$2&lt;=Inputs!$B$244+Inputs!$B$246),(1/(1-Inputs!$B$245))^(1/Inputs!$B$246)-1,IF(AND(Inputs!$B$249&lt;&gt;"",AE$2=Inputs!$B$249),-Inputs!$B$250,IF(AND(Inputs!$B$249&lt;&gt;"",AE$2&gt;Inputs!$B$249,AE$2&lt;=Inputs!$B$249+Inputs!$B$251),(1/(1-Inputs!$B$250))^(1/Inputs!$B$251)-1,stinc)))))))))),0))</f>
        <v>178255.48012945612</v>
      </c>
      <c r="AF83" s="7">
        <f ca="1">AE83*(1+IF(AND(Inputs!$B$229&lt;&gt;"",AF$2=Inputs!$B$229),-Inputs!$B$230,IF(AND(Inputs!$B$229&lt;&gt;"",AF$2&gt;Inputs!$B$229,AF$2&lt;=Inputs!$B$229+Inputs!$B$231),(1/(1-Inputs!$B$230))^(1/Inputs!$B$231)-1,IF(AND(Inputs!$B$234&lt;&gt;"",AF$2=Inputs!$B$234),-Inputs!$B$235,IF(AND(Inputs!$B$234&lt;&gt;"",AF$2&gt;Inputs!$B$234,AF$2&lt;=Inputs!$B$234+Inputs!$B$236),(1/(1-Inputs!$B$235))^(1/Inputs!$B$236)-1,IF(AND(Inputs!$B$239&lt;&gt;"",AF$2=Inputs!$B$239),-Inputs!$B$240,IF(AND(Inputs!$B$239&lt;&gt;"",AF$2&gt;Inputs!$B$239,AF$2&lt;=Inputs!$B$239+Inputs!$B$241),(1/(1-Inputs!$B$240))^(1/Inputs!$B$241)-1,IF(AND(Inputs!$B$244&lt;&gt;"",AF$2=Inputs!$B$244),-Inputs!$B$245,IF(AND(Inputs!$B$244&lt;&gt;"",AF$2&gt;Inputs!$B$244,AF$2&lt;=Inputs!$B$244+Inputs!$B$246),(1/(1-Inputs!$B$245))^(1/Inputs!$B$246)-1,IF(AND(Inputs!$B$249&lt;&gt;"",AF$2=Inputs!$B$249),-Inputs!$B$250,IF(AND(Inputs!$B$249&lt;&gt;"",AF$2&gt;Inputs!$B$249,AF$2&lt;=Inputs!$B$249+Inputs!$B$251),(1/(1-Inputs!$B$250))^(1/Inputs!$B$251)-1,stinc)))))))))))+AF60*SQRT(MAX(1+IF(AND(Inputs!$B$229&lt;&gt;"",AF$2=Inputs!$B$229),-Inputs!$B$230,IF(AND(Inputs!$B$229&lt;&gt;"",AF$2&gt;Inputs!$B$229,AF$2&lt;=Inputs!$B$229+Inputs!$B$231),(1/(1-Inputs!$B$230))^(1/Inputs!$B$231)-1,IF(AND(Inputs!$B$234&lt;&gt;"",AF$2=Inputs!$B$234),-Inputs!$B$235,IF(AND(Inputs!$B$234&lt;&gt;"",AF$2&gt;Inputs!$B$234,AF$2&lt;=Inputs!$B$234+Inputs!$B$236),(1/(1-Inputs!$B$235))^(1/Inputs!$B$236)-1,IF(AND(Inputs!$B$239&lt;&gt;"",AF$2=Inputs!$B$239),-Inputs!$B$240,IF(AND(Inputs!$B$239&lt;&gt;"",AF$2&gt;Inputs!$B$239,AF$2&lt;=Inputs!$B$239+Inputs!$B$241),(1/(1-Inputs!$B$240))^(1/Inputs!$B$241)-1,IF(AND(Inputs!$B$244&lt;&gt;"",AF$2=Inputs!$B$244),-Inputs!$B$245,IF(AND(Inputs!$B$244&lt;&gt;"",AF$2&gt;Inputs!$B$244,AF$2&lt;=Inputs!$B$244+Inputs!$B$246),(1/(1-Inputs!$B$245))^(1/Inputs!$B$246)-1,IF(AND(Inputs!$B$249&lt;&gt;"",AF$2=Inputs!$B$249),-Inputs!$B$250,IF(AND(Inputs!$B$249&lt;&gt;"",AF$2&gt;Inputs!$B$249,AF$2&lt;=Inputs!$B$249+Inputs!$B$251),(1/(1-Inputs!$B$250))^(1/Inputs!$B$251)-1,stinc)))))))))),0))</f>
        <v>188287.20451798919</v>
      </c>
      <c r="AG83" s="7">
        <f ca="1">AF83*(1+IF(AND(Inputs!$B$229&lt;&gt;"",AG$2=Inputs!$B$229),-Inputs!$B$230,IF(AND(Inputs!$B$229&lt;&gt;"",AG$2&gt;Inputs!$B$229,AG$2&lt;=Inputs!$B$229+Inputs!$B$231),(1/(1-Inputs!$B$230))^(1/Inputs!$B$231)-1,IF(AND(Inputs!$B$234&lt;&gt;"",AG$2=Inputs!$B$234),-Inputs!$B$235,IF(AND(Inputs!$B$234&lt;&gt;"",AG$2&gt;Inputs!$B$234,AG$2&lt;=Inputs!$B$234+Inputs!$B$236),(1/(1-Inputs!$B$235))^(1/Inputs!$B$236)-1,IF(AND(Inputs!$B$239&lt;&gt;"",AG$2=Inputs!$B$239),-Inputs!$B$240,IF(AND(Inputs!$B$239&lt;&gt;"",AG$2&gt;Inputs!$B$239,AG$2&lt;=Inputs!$B$239+Inputs!$B$241),(1/(1-Inputs!$B$240))^(1/Inputs!$B$241)-1,IF(AND(Inputs!$B$244&lt;&gt;"",AG$2=Inputs!$B$244),-Inputs!$B$245,IF(AND(Inputs!$B$244&lt;&gt;"",AG$2&gt;Inputs!$B$244,AG$2&lt;=Inputs!$B$244+Inputs!$B$246),(1/(1-Inputs!$B$245))^(1/Inputs!$B$246)-1,IF(AND(Inputs!$B$249&lt;&gt;"",AG$2=Inputs!$B$249),-Inputs!$B$250,IF(AND(Inputs!$B$249&lt;&gt;"",AG$2&gt;Inputs!$B$249,AG$2&lt;=Inputs!$B$249+Inputs!$B$251),(1/(1-Inputs!$B$250))^(1/Inputs!$B$251)-1,stinc)))))))))))+AG60*SQRT(MAX(1+IF(AND(Inputs!$B$229&lt;&gt;"",AG$2=Inputs!$B$229),-Inputs!$B$230,IF(AND(Inputs!$B$229&lt;&gt;"",AG$2&gt;Inputs!$B$229,AG$2&lt;=Inputs!$B$229+Inputs!$B$231),(1/(1-Inputs!$B$230))^(1/Inputs!$B$231)-1,IF(AND(Inputs!$B$234&lt;&gt;"",AG$2=Inputs!$B$234),-Inputs!$B$235,IF(AND(Inputs!$B$234&lt;&gt;"",AG$2&gt;Inputs!$B$234,AG$2&lt;=Inputs!$B$234+Inputs!$B$236),(1/(1-Inputs!$B$235))^(1/Inputs!$B$236)-1,IF(AND(Inputs!$B$239&lt;&gt;"",AG$2=Inputs!$B$239),-Inputs!$B$240,IF(AND(Inputs!$B$239&lt;&gt;"",AG$2&gt;Inputs!$B$239,AG$2&lt;=Inputs!$B$239+Inputs!$B$241),(1/(1-Inputs!$B$240))^(1/Inputs!$B$241)-1,IF(AND(Inputs!$B$244&lt;&gt;"",AG$2=Inputs!$B$244),-Inputs!$B$245,IF(AND(Inputs!$B$244&lt;&gt;"",AG$2&gt;Inputs!$B$244,AG$2&lt;=Inputs!$B$244+Inputs!$B$246),(1/(1-Inputs!$B$245))^(1/Inputs!$B$246)-1,IF(AND(Inputs!$B$249&lt;&gt;"",AG$2=Inputs!$B$249),-Inputs!$B$250,IF(AND(Inputs!$B$249&lt;&gt;"",AG$2&gt;Inputs!$B$249,AG$2&lt;=Inputs!$B$249+Inputs!$B$251),(1/(1-Inputs!$B$250))^(1/Inputs!$B$251)-1,stinc)))))))))),0))</f>
        <v>198883.48655229228</v>
      </c>
      <c r="AH83" s="7">
        <f ca="1">AG83*(1+IF(AND(Inputs!$B$229&lt;&gt;"",AH$2=Inputs!$B$229),-Inputs!$B$230,IF(AND(Inputs!$B$229&lt;&gt;"",AH$2&gt;Inputs!$B$229,AH$2&lt;=Inputs!$B$229+Inputs!$B$231),(1/(1-Inputs!$B$230))^(1/Inputs!$B$231)-1,IF(AND(Inputs!$B$234&lt;&gt;"",AH$2=Inputs!$B$234),-Inputs!$B$235,IF(AND(Inputs!$B$234&lt;&gt;"",AH$2&gt;Inputs!$B$234,AH$2&lt;=Inputs!$B$234+Inputs!$B$236),(1/(1-Inputs!$B$235))^(1/Inputs!$B$236)-1,IF(AND(Inputs!$B$239&lt;&gt;"",AH$2=Inputs!$B$239),-Inputs!$B$240,IF(AND(Inputs!$B$239&lt;&gt;"",AH$2&gt;Inputs!$B$239,AH$2&lt;=Inputs!$B$239+Inputs!$B$241),(1/(1-Inputs!$B$240))^(1/Inputs!$B$241)-1,IF(AND(Inputs!$B$244&lt;&gt;"",AH$2=Inputs!$B$244),-Inputs!$B$245,IF(AND(Inputs!$B$244&lt;&gt;"",AH$2&gt;Inputs!$B$244,AH$2&lt;=Inputs!$B$244+Inputs!$B$246),(1/(1-Inputs!$B$245))^(1/Inputs!$B$246)-1,IF(AND(Inputs!$B$249&lt;&gt;"",AH$2=Inputs!$B$249),-Inputs!$B$250,IF(AND(Inputs!$B$249&lt;&gt;"",AH$2&gt;Inputs!$B$249,AH$2&lt;=Inputs!$B$249+Inputs!$B$251),(1/(1-Inputs!$B$250))^(1/Inputs!$B$251)-1,stinc)))))))))))+AH60*SQRT(MAX(1+IF(AND(Inputs!$B$229&lt;&gt;"",AH$2=Inputs!$B$229),-Inputs!$B$230,IF(AND(Inputs!$B$229&lt;&gt;"",AH$2&gt;Inputs!$B$229,AH$2&lt;=Inputs!$B$229+Inputs!$B$231),(1/(1-Inputs!$B$230))^(1/Inputs!$B$231)-1,IF(AND(Inputs!$B$234&lt;&gt;"",AH$2=Inputs!$B$234),-Inputs!$B$235,IF(AND(Inputs!$B$234&lt;&gt;"",AH$2&gt;Inputs!$B$234,AH$2&lt;=Inputs!$B$234+Inputs!$B$236),(1/(1-Inputs!$B$235))^(1/Inputs!$B$236)-1,IF(AND(Inputs!$B$239&lt;&gt;"",AH$2=Inputs!$B$239),-Inputs!$B$240,IF(AND(Inputs!$B$239&lt;&gt;"",AH$2&gt;Inputs!$B$239,AH$2&lt;=Inputs!$B$239+Inputs!$B$241),(1/(1-Inputs!$B$240))^(1/Inputs!$B$241)-1,IF(AND(Inputs!$B$244&lt;&gt;"",AH$2=Inputs!$B$244),-Inputs!$B$245,IF(AND(Inputs!$B$244&lt;&gt;"",AH$2&gt;Inputs!$B$244,AH$2&lt;=Inputs!$B$244+Inputs!$B$246),(1/(1-Inputs!$B$245))^(1/Inputs!$B$246)-1,IF(AND(Inputs!$B$249&lt;&gt;"",AH$2=Inputs!$B$249),-Inputs!$B$250,IF(AND(Inputs!$B$249&lt;&gt;"",AH$2&gt;Inputs!$B$249,AH$2&lt;=Inputs!$B$249+Inputs!$B$251),(1/(1-Inputs!$B$250))^(1/Inputs!$B$251)-1,stinc)))))))))),0))</f>
        <v>214794.16547647567</v>
      </c>
      <c r="AI83" s="7">
        <f ca="1">AH83*(1+IF(AND(Inputs!$B$229&lt;&gt;"",AI$2=Inputs!$B$229),-Inputs!$B$230,IF(AND(Inputs!$B$229&lt;&gt;"",AI$2&gt;Inputs!$B$229,AI$2&lt;=Inputs!$B$229+Inputs!$B$231),(1/(1-Inputs!$B$230))^(1/Inputs!$B$231)-1,IF(AND(Inputs!$B$234&lt;&gt;"",AI$2=Inputs!$B$234),-Inputs!$B$235,IF(AND(Inputs!$B$234&lt;&gt;"",AI$2&gt;Inputs!$B$234,AI$2&lt;=Inputs!$B$234+Inputs!$B$236),(1/(1-Inputs!$B$235))^(1/Inputs!$B$236)-1,IF(AND(Inputs!$B$239&lt;&gt;"",AI$2=Inputs!$B$239),-Inputs!$B$240,IF(AND(Inputs!$B$239&lt;&gt;"",AI$2&gt;Inputs!$B$239,AI$2&lt;=Inputs!$B$239+Inputs!$B$241),(1/(1-Inputs!$B$240))^(1/Inputs!$B$241)-1,IF(AND(Inputs!$B$244&lt;&gt;"",AI$2=Inputs!$B$244),-Inputs!$B$245,IF(AND(Inputs!$B$244&lt;&gt;"",AI$2&gt;Inputs!$B$244,AI$2&lt;=Inputs!$B$244+Inputs!$B$246),(1/(1-Inputs!$B$245))^(1/Inputs!$B$246)-1,IF(AND(Inputs!$B$249&lt;&gt;"",AI$2=Inputs!$B$249),-Inputs!$B$250,IF(AND(Inputs!$B$249&lt;&gt;"",AI$2&gt;Inputs!$B$249,AI$2&lt;=Inputs!$B$249+Inputs!$B$251),(1/(1-Inputs!$B$250))^(1/Inputs!$B$251)-1,stinc)))))))))))+AI60*SQRT(MAX(1+IF(AND(Inputs!$B$229&lt;&gt;"",AI$2=Inputs!$B$229),-Inputs!$B$230,IF(AND(Inputs!$B$229&lt;&gt;"",AI$2&gt;Inputs!$B$229,AI$2&lt;=Inputs!$B$229+Inputs!$B$231),(1/(1-Inputs!$B$230))^(1/Inputs!$B$231)-1,IF(AND(Inputs!$B$234&lt;&gt;"",AI$2=Inputs!$B$234),-Inputs!$B$235,IF(AND(Inputs!$B$234&lt;&gt;"",AI$2&gt;Inputs!$B$234,AI$2&lt;=Inputs!$B$234+Inputs!$B$236),(1/(1-Inputs!$B$235))^(1/Inputs!$B$236)-1,IF(AND(Inputs!$B$239&lt;&gt;"",AI$2=Inputs!$B$239),-Inputs!$B$240,IF(AND(Inputs!$B$239&lt;&gt;"",AI$2&gt;Inputs!$B$239,AI$2&lt;=Inputs!$B$239+Inputs!$B$241),(1/(1-Inputs!$B$240))^(1/Inputs!$B$241)-1,IF(AND(Inputs!$B$244&lt;&gt;"",AI$2=Inputs!$B$244),-Inputs!$B$245,IF(AND(Inputs!$B$244&lt;&gt;"",AI$2&gt;Inputs!$B$244,AI$2&lt;=Inputs!$B$244+Inputs!$B$246),(1/(1-Inputs!$B$245))^(1/Inputs!$B$246)-1,IF(AND(Inputs!$B$249&lt;&gt;"",AI$2=Inputs!$B$249),-Inputs!$B$250,IF(AND(Inputs!$B$249&lt;&gt;"",AI$2&gt;Inputs!$B$249,AI$2&lt;=Inputs!$B$249+Inputs!$B$251),(1/(1-Inputs!$B$250))^(1/Inputs!$B$251)-1,stinc)))))))))),0))</f>
        <v>231977.69871459375</v>
      </c>
      <c r="AJ83" s="7">
        <f ca="1">AI83*(1+IF(AND(Inputs!$B$229&lt;&gt;"",AJ$2=Inputs!$B$229),-Inputs!$B$230,IF(AND(Inputs!$B$229&lt;&gt;"",AJ$2&gt;Inputs!$B$229,AJ$2&lt;=Inputs!$B$229+Inputs!$B$231),(1/(1-Inputs!$B$230))^(1/Inputs!$B$231)-1,IF(AND(Inputs!$B$234&lt;&gt;"",AJ$2=Inputs!$B$234),-Inputs!$B$235,IF(AND(Inputs!$B$234&lt;&gt;"",AJ$2&gt;Inputs!$B$234,AJ$2&lt;=Inputs!$B$234+Inputs!$B$236),(1/(1-Inputs!$B$235))^(1/Inputs!$B$236)-1,IF(AND(Inputs!$B$239&lt;&gt;"",AJ$2=Inputs!$B$239),-Inputs!$B$240,IF(AND(Inputs!$B$239&lt;&gt;"",AJ$2&gt;Inputs!$B$239,AJ$2&lt;=Inputs!$B$239+Inputs!$B$241),(1/(1-Inputs!$B$240))^(1/Inputs!$B$241)-1,IF(AND(Inputs!$B$244&lt;&gt;"",AJ$2=Inputs!$B$244),-Inputs!$B$245,IF(AND(Inputs!$B$244&lt;&gt;"",AJ$2&gt;Inputs!$B$244,AJ$2&lt;=Inputs!$B$244+Inputs!$B$246),(1/(1-Inputs!$B$245))^(1/Inputs!$B$246)-1,IF(AND(Inputs!$B$249&lt;&gt;"",AJ$2=Inputs!$B$249),-Inputs!$B$250,IF(AND(Inputs!$B$249&lt;&gt;"",AJ$2&gt;Inputs!$B$249,AJ$2&lt;=Inputs!$B$249+Inputs!$B$251),(1/(1-Inputs!$B$250))^(1/Inputs!$B$251)-1,stinc)))))))))))+AJ60*SQRT(MAX(1+IF(AND(Inputs!$B$229&lt;&gt;"",AJ$2=Inputs!$B$229),-Inputs!$B$230,IF(AND(Inputs!$B$229&lt;&gt;"",AJ$2&gt;Inputs!$B$229,AJ$2&lt;=Inputs!$B$229+Inputs!$B$231),(1/(1-Inputs!$B$230))^(1/Inputs!$B$231)-1,IF(AND(Inputs!$B$234&lt;&gt;"",AJ$2=Inputs!$B$234),-Inputs!$B$235,IF(AND(Inputs!$B$234&lt;&gt;"",AJ$2&gt;Inputs!$B$234,AJ$2&lt;=Inputs!$B$234+Inputs!$B$236),(1/(1-Inputs!$B$235))^(1/Inputs!$B$236)-1,IF(AND(Inputs!$B$239&lt;&gt;"",AJ$2=Inputs!$B$239),-Inputs!$B$240,IF(AND(Inputs!$B$239&lt;&gt;"",AJ$2&gt;Inputs!$B$239,AJ$2&lt;=Inputs!$B$239+Inputs!$B$241),(1/(1-Inputs!$B$240))^(1/Inputs!$B$241)-1,IF(AND(Inputs!$B$244&lt;&gt;"",AJ$2=Inputs!$B$244),-Inputs!$B$245,IF(AND(Inputs!$B$244&lt;&gt;"",AJ$2&gt;Inputs!$B$244,AJ$2&lt;=Inputs!$B$244+Inputs!$B$246),(1/(1-Inputs!$B$245))^(1/Inputs!$B$246)-1,IF(AND(Inputs!$B$249&lt;&gt;"",AJ$2=Inputs!$B$249),-Inputs!$B$250,IF(AND(Inputs!$B$249&lt;&gt;"",AJ$2&gt;Inputs!$B$249,AJ$2&lt;=Inputs!$B$249+Inputs!$B$251),(1/(1-Inputs!$B$250))^(1/Inputs!$B$251)-1,stinc)))))))))),0))</f>
        <v>250535.91461176125</v>
      </c>
      <c r="AK83" s="7">
        <f ca="1">AJ83*(1+IF(AND(Inputs!$B$229&lt;&gt;"",AK$2=Inputs!$B$229),-Inputs!$B$230,IF(AND(Inputs!$B$229&lt;&gt;"",AK$2&gt;Inputs!$B$229,AK$2&lt;=Inputs!$B$229+Inputs!$B$231),(1/(1-Inputs!$B$230))^(1/Inputs!$B$231)-1,IF(AND(Inputs!$B$234&lt;&gt;"",AK$2=Inputs!$B$234),-Inputs!$B$235,IF(AND(Inputs!$B$234&lt;&gt;"",AK$2&gt;Inputs!$B$234,AK$2&lt;=Inputs!$B$234+Inputs!$B$236),(1/(1-Inputs!$B$235))^(1/Inputs!$B$236)-1,IF(AND(Inputs!$B$239&lt;&gt;"",AK$2=Inputs!$B$239),-Inputs!$B$240,IF(AND(Inputs!$B$239&lt;&gt;"",AK$2&gt;Inputs!$B$239,AK$2&lt;=Inputs!$B$239+Inputs!$B$241),(1/(1-Inputs!$B$240))^(1/Inputs!$B$241)-1,IF(AND(Inputs!$B$244&lt;&gt;"",AK$2=Inputs!$B$244),-Inputs!$B$245,IF(AND(Inputs!$B$244&lt;&gt;"",AK$2&gt;Inputs!$B$244,AK$2&lt;=Inputs!$B$244+Inputs!$B$246),(1/(1-Inputs!$B$245))^(1/Inputs!$B$246)-1,IF(AND(Inputs!$B$249&lt;&gt;"",AK$2=Inputs!$B$249),-Inputs!$B$250,IF(AND(Inputs!$B$249&lt;&gt;"",AK$2&gt;Inputs!$B$249,AK$2&lt;=Inputs!$B$249+Inputs!$B$251),(1/(1-Inputs!$B$250))^(1/Inputs!$B$251)-1,stinc)))))))))))+AK60*SQRT(MAX(1+IF(AND(Inputs!$B$229&lt;&gt;"",AK$2=Inputs!$B$229),-Inputs!$B$230,IF(AND(Inputs!$B$229&lt;&gt;"",AK$2&gt;Inputs!$B$229,AK$2&lt;=Inputs!$B$229+Inputs!$B$231),(1/(1-Inputs!$B$230))^(1/Inputs!$B$231)-1,IF(AND(Inputs!$B$234&lt;&gt;"",AK$2=Inputs!$B$234),-Inputs!$B$235,IF(AND(Inputs!$B$234&lt;&gt;"",AK$2&gt;Inputs!$B$234,AK$2&lt;=Inputs!$B$234+Inputs!$B$236),(1/(1-Inputs!$B$235))^(1/Inputs!$B$236)-1,IF(AND(Inputs!$B$239&lt;&gt;"",AK$2=Inputs!$B$239),-Inputs!$B$240,IF(AND(Inputs!$B$239&lt;&gt;"",AK$2&gt;Inputs!$B$239,AK$2&lt;=Inputs!$B$239+Inputs!$B$241),(1/(1-Inputs!$B$240))^(1/Inputs!$B$241)-1,IF(AND(Inputs!$B$244&lt;&gt;"",AK$2=Inputs!$B$244),-Inputs!$B$245,IF(AND(Inputs!$B$244&lt;&gt;"",AK$2&gt;Inputs!$B$244,AK$2&lt;=Inputs!$B$244+Inputs!$B$246),(1/(1-Inputs!$B$245))^(1/Inputs!$B$246)-1,IF(AND(Inputs!$B$249&lt;&gt;"",AK$2=Inputs!$B$249),-Inputs!$B$250,IF(AND(Inputs!$B$249&lt;&gt;"",AK$2&gt;Inputs!$B$249,AK$2&lt;=Inputs!$B$249+Inputs!$B$251),(1/(1-Inputs!$B$250))^(1/Inputs!$B$251)-1,stinc)))))))))),0))</f>
        <v>270578.78778070217</v>
      </c>
      <c r="AL83" s="7">
        <f ca="1">AK83*(1+IF(AND(Inputs!$B$229&lt;&gt;"",AL$2=Inputs!$B$229),-Inputs!$B$230,IF(AND(Inputs!$B$229&lt;&gt;"",AL$2&gt;Inputs!$B$229,AL$2&lt;=Inputs!$B$229+Inputs!$B$231),(1/(1-Inputs!$B$230))^(1/Inputs!$B$231)-1,IF(AND(Inputs!$B$234&lt;&gt;"",AL$2=Inputs!$B$234),-Inputs!$B$235,IF(AND(Inputs!$B$234&lt;&gt;"",AL$2&gt;Inputs!$B$234,AL$2&lt;=Inputs!$B$234+Inputs!$B$236),(1/(1-Inputs!$B$235))^(1/Inputs!$B$236)-1,IF(AND(Inputs!$B$239&lt;&gt;"",AL$2=Inputs!$B$239),-Inputs!$B$240,IF(AND(Inputs!$B$239&lt;&gt;"",AL$2&gt;Inputs!$B$239,AL$2&lt;=Inputs!$B$239+Inputs!$B$241),(1/(1-Inputs!$B$240))^(1/Inputs!$B$241)-1,IF(AND(Inputs!$B$244&lt;&gt;"",AL$2=Inputs!$B$244),-Inputs!$B$245,IF(AND(Inputs!$B$244&lt;&gt;"",AL$2&gt;Inputs!$B$244,AL$2&lt;=Inputs!$B$244+Inputs!$B$246),(1/(1-Inputs!$B$245))^(1/Inputs!$B$246)-1,IF(AND(Inputs!$B$249&lt;&gt;"",AL$2=Inputs!$B$249),-Inputs!$B$250,IF(AND(Inputs!$B$249&lt;&gt;"",AL$2&gt;Inputs!$B$249,AL$2&lt;=Inputs!$B$249+Inputs!$B$251),(1/(1-Inputs!$B$250))^(1/Inputs!$B$251)-1,stinc)))))))))))+AL60*SQRT(MAX(1+IF(AND(Inputs!$B$229&lt;&gt;"",AL$2=Inputs!$B$229),-Inputs!$B$230,IF(AND(Inputs!$B$229&lt;&gt;"",AL$2&gt;Inputs!$B$229,AL$2&lt;=Inputs!$B$229+Inputs!$B$231),(1/(1-Inputs!$B$230))^(1/Inputs!$B$231)-1,IF(AND(Inputs!$B$234&lt;&gt;"",AL$2=Inputs!$B$234),-Inputs!$B$235,IF(AND(Inputs!$B$234&lt;&gt;"",AL$2&gt;Inputs!$B$234,AL$2&lt;=Inputs!$B$234+Inputs!$B$236),(1/(1-Inputs!$B$235))^(1/Inputs!$B$236)-1,IF(AND(Inputs!$B$239&lt;&gt;"",AL$2=Inputs!$B$239),-Inputs!$B$240,IF(AND(Inputs!$B$239&lt;&gt;"",AL$2&gt;Inputs!$B$239,AL$2&lt;=Inputs!$B$239+Inputs!$B$241),(1/(1-Inputs!$B$240))^(1/Inputs!$B$241)-1,IF(AND(Inputs!$B$244&lt;&gt;"",AL$2=Inputs!$B$244),-Inputs!$B$245,IF(AND(Inputs!$B$244&lt;&gt;"",AL$2&gt;Inputs!$B$244,AL$2&lt;=Inputs!$B$244+Inputs!$B$246),(1/(1-Inputs!$B$245))^(1/Inputs!$B$246)-1,IF(AND(Inputs!$B$249&lt;&gt;"",AL$2=Inputs!$B$249),-Inputs!$B$250,IF(AND(Inputs!$B$249&lt;&gt;"",AL$2&gt;Inputs!$B$249,AL$2&lt;=Inputs!$B$249+Inputs!$B$251),(1/(1-Inputs!$B$250))^(1/Inputs!$B$251)-1,stinc)))))))))),0))</f>
        <v>292225.09080315835</v>
      </c>
      <c r="AM83" s="7">
        <f ca="1">AL83*(1+IF(AND(Inputs!$B$229&lt;&gt;"",AM$2=Inputs!$B$229),-Inputs!$B$230,IF(AND(Inputs!$B$229&lt;&gt;"",AM$2&gt;Inputs!$B$229,AM$2&lt;=Inputs!$B$229+Inputs!$B$231),(1/(1-Inputs!$B$230))^(1/Inputs!$B$231)-1,IF(AND(Inputs!$B$234&lt;&gt;"",AM$2=Inputs!$B$234),-Inputs!$B$235,IF(AND(Inputs!$B$234&lt;&gt;"",AM$2&gt;Inputs!$B$234,AM$2&lt;=Inputs!$B$234+Inputs!$B$236),(1/(1-Inputs!$B$235))^(1/Inputs!$B$236)-1,IF(AND(Inputs!$B$239&lt;&gt;"",AM$2=Inputs!$B$239),-Inputs!$B$240,IF(AND(Inputs!$B$239&lt;&gt;"",AM$2&gt;Inputs!$B$239,AM$2&lt;=Inputs!$B$239+Inputs!$B$241),(1/(1-Inputs!$B$240))^(1/Inputs!$B$241)-1,IF(AND(Inputs!$B$244&lt;&gt;"",AM$2=Inputs!$B$244),-Inputs!$B$245,IF(AND(Inputs!$B$244&lt;&gt;"",AM$2&gt;Inputs!$B$244,AM$2&lt;=Inputs!$B$244+Inputs!$B$246),(1/(1-Inputs!$B$245))^(1/Inputs!$B$246)-1,IF(AND(Inputs!$B$249&lt;&gt;"",AM$2=Inputs!$B$249),-Inputs!$B$250,IF(AND(Inputs!$B$249&lt;&gt;"",AM$2&gt;Inputs!$B$249,AM$2&lt;=Inputs!$B$249+Inputs!$B$251),(1/(1-Inputs!$B$250))^(1/Inputs!$B$251)-1,stinc)))))))))))+AM60*SQRT(MAX(1+IF(AND(Inputs!$B$229&lt;&gt;"",AM$2=Inputs!$B$229),-Inputs!$B$230,IF(AND(Inputs!$B$229&lt;&gt;"",AM$2&gt;Inputs!$B$229,AM$2&lt;=Inputs!$B$229+Inputs!$B$231),(1/(1-Inputs!$B$230))^(1/Inputs!$B$231)-1,IF(AND(Inputs!$B$234&lt;&gt;"",AM$2=Inputs!$B$234),-Inputs!$B$235,IF(AND(Inputs!$B$234&lt;&gt;"",AM$2&gt;Inputs!$B$234,AM$2&lt;=Inputs!$B$234+Inputs!$B$236),(1/(1-Inputs!$B$235))^(1/Inputs!$B$236)-1,IF(AND(Inputs!$B$239&lt;&gt;"",AM$2=Inputs!$B$239),-Inputs!$B$240,IF(AND(Inputs!$B$239&lt;&gt;"",AM$2&gt;Inputs!$B$239,AM$2&lt;=Inputs!$B$239+Inputs!$B$241),(1/(1-Inputs!$B$240))^(1/Inputs!$B$241)-1,IF(AND(Inputs!$B$244&lt;&gt;"",AM$2=Inputs!$B$244),-Inputs!$B$245,IF(AND(Inputs!$B$244&lt;&gt;"",AM$2&gt;Inputs!$B$244,AM$2&lt;=Inputs!$B$244+Inputs!$B$246),(1/(1-Inputs!$B$245))^(1/Inputs!$B$246)-1,IF(AND(Inputs!$B$249&lt;&gt;"",AM$2=Inputs!$B$249),-Inputs!$B$250,IF(AND(Inputs!$B$249&lt;&gt;"",AM$2&gt;Inputs!$B$249,AM$2&lt;=Inputs!$B$249+Inputs!$B$251),(1/(1-Inputs!$B$250))^(1/Inputs!$B$251)-1,stinc)))))))))),0))</f>
        <v>315603.09806741105</v>
      </c>
    </row>
    <row r="84" spans="1:39" x14ac:dyDescent="0.2">
      <c r="A84" s="4" t="s">
        <v>2</v>
      </c>
      <c r="C84" s="7">
        <f ca="1">IF(AND(Inputs!$B$218&lt;&gt;"",C$2&gt;=Inputs!$B$218,Inputs!$B$13&gt;0),0,-MAX(FV(Inputs!$B$17/12,C$1*12+MthOff,Inputs!$B$18,-Inputs!$B$16),0))</f>
        <v>-48409.157779606016</v>
      </c>
      <c r="D84" s="7">
        <f ca="1">IF(AND(Inputs!$B$218&lt;&gt;"",D$2&gt;=Inputs!$B$218,Inputs!$B$13&gt;0),0,-MAX(FV(Inputs!$B$17/12,D$1*12+MthOff,Inputs!$B$18,-Inputs!$B$16),0))</f>
        <v>-46231.653807228853</v>
      </c>
      <c r="E84" s="7">
        <f ca="1">IF(AND(Inputs!$B$218&lt;&gt;"",E$2&gt;=Inputs!$B$218,Inputs!$B$13&gt;0),0,-MAX(FV(Inputs!$B$17/12,E$1*12+MthOff,Inputs!$B$18,-Inputs!$B$16),0))</f>
        <v>-43987.918967848869</v>
      </c>
      <c r="F84" s="7">
        <f ca="1">IF(AND(Inputs!$B$218&lt;&gt;"",F$2&gt;=Inputs!$B$218,Inputs!$B$13&gt;0),0,-MAX(FV(Inputs!$B$17/12,F$1*12+MthOff,Inputs!$B$18,-Inputs!$B$16),0))</f>
        <v>-41675.938786268969</v>
      </c>
      <c r="G84" s="7">
        <f ca="1">IF(AND(Inputs!$B$218&lt;&gt;"",G$2&gt;=Inputs!$B$218,Inputs!$B$13&gt;0),0,-MAX(FV(Inputs!$B$17/12,G$1*12+MthOff,Inputs!$B$18,-Inputs!$B$16),0))</f>
        <v>0</v>
      </c>
      <c r="H84" s="7">
        <f ca="1">IF(AND(Inputs!$B$218&lt;&gt;"",H$2&gt;=Inputs!$B$218,Inputs!$B$13&gt;0),0,-MAX(FV(Inputs!$B$17/12,H$1*12+MthOff,Inputs!$B$18,-Inputs!$B$16),0))</f>
        <v>0</v>
      </c>
      <c r="I84" s="7">
        <f ca="1">IF(AND(Inputs!$B$218&lt;&gt;"",I$2&gt;=Inputs!$B$218,Inputs!$B$13&gt;0),0,-MAX(FV(Inputs!$B$17/12,I$1*12+MthOff,Inputs!$B$18,-Inputs!$B$16),0))</f>
        <v>0</v>
      </c>
      <c r="J84" s="7">
        <f ca="1">IF(AND(Inputs!$B$218&lt;&gt;"",J$2&gt;=Inputs!$B$218,Inputs!$B$13&gt;0),0,-MAX(FV(Inputs!$B$17/12,J$1*12+MthOff,Inputs!$B$18,-Inputs!$B$16),0))</f>
        <v>0</v>
      </c>
      <c r="K84" s="7">
        <f ca="1">IF(AND(Inputs!$B$218&lt;&gt;"",K$2&gt;=Inputs!$B$218,Inputs!$B$13&gt;0),0,-MAX(FV(Inputs!$B$17/12,K$1*12+MthOff,Inputs!$B$18,-Inputs!$B$16),0))</f>
        <v>0</v>
      </c>
      <c r="L84" s="7">
        <f ca="1">IF(AND(Inputs!$B$218&lt;&gt;"",L$2&gt;=Inputs!$B$218,Inputs!$B$13&gt;0),0,-MAX(FV(Inputs!$B$17/12,L$1*12+MthOff,Inputs!$B$18,-Inputs!$B$16),0))</f>
        <v>0</v>
      </c>
      <c r="M84" s="7">
        <f ca="1">IF(AND(Inputs!$B$218&lt;&gt;"",M$2&gt;=Inputs!$B$218,Inputs!$B$13&gt;0),0,-MAX(FV(Inputs!$B$17/12,M$1*12+MthOff,Inputs!$B$18,-Inputs!$B$16),0))</f>
        <v>0</v>
      </c>
      <c r="N84" s="7">
        <f ca="1">IF(AND(Inputs!$B$218&lt;&gt;"",N$2&gt;=Inputs!$B$218,Inputs!$B$13&gt;0),0,-MAX(FV(Inputs!$B$17/12,N$1*12+MthOff,Inputs!$B$18,-Inputs!$B$16),0))</f>
        <v>0</v>
      </c>
      <c r="O84" s="7">
        <f ca="1">IF(AND(Inputs!$B$218&lt;&gt;"",O$2&gt;=Inputs!$B$218,Inputs!$B$13&gt;0),0,-MAX(FV(Inputs!$B$17/12,O$1*12+MthOff,Inputs!$B$18,-Inputs!$B$16),0))</f>
        <v>0</v>
      </c>
      <c r="P84" s="7">
        <f ca="1">IF(AND(Inputs!$B$218&lt;&gt;"",P$2&gt;=Inputs!$B$218,Inputs!$B$13&gt;0),0,-MAX(FV(Inputs!$B$17/12,P$1*12+MthOff,Inputs!$B$18,-Inputs!$B$16),0))</f>
        <v>0</v>
      </c>
      <c r="Q84" s="7">
        <f ca="1">IF(AND(Inputs!$B$218&lt;&gt;"",Q$2&gt;=Inputs!$B$218,Inputs!$B$13&gt;0),0,-MAX(FV(Inputs!$B$17/12,Q$1*12+MthOff,Inputs!$B$18,-Inputs!$B$16),0))</f>
        <v>0</v>
      </c>
      <c r="R84" s="7">
        <f ca="1">IF(AND(Inputs!$B$218&lt;&gt;"",R$2&gt;=Inputs!$B$218,Inputs!$B$13&gt;0),0,-MAX(FV(Inputs!$B$17/12,R$1*12+MthOff,Inputs!$B$18,-Inputs!$B$16),0))</f>
        <v>0</v>
      </c>
      <c r="S84" s="7">
        <f ca="1">IF(AND(Inputs!$B$218&lt;&gt;"",S$2&gt;=Inputs!$B$218,Inputs!$B$13&gt;0),0,-MAX(FV(Inputs!$B$17/12,S$1*12+MthOff,Inputs!$B$18,-Inputs!$B$16),0))</f>
        <v>0</v>
      </c>
      <c r="T84" s="7">
        <f ca="1">IF(AND(Inputs!$B$218&lt;&gt;"",T$2&gt;=Inputs!$B$218,Inputs!$B$13&gt;0),0,-MAX(FV(Inputs!$B$17/12,T$1*12+MthOff,Inputs!$B$18,-Inputs!$B$16),0))</f>
        <v>0</v>
      </c>
      <c r="U84" s="7">
        <f ca="1">IF(AND(Inputs!$B$218&lt;&gt;"",U$2&gt;=Inputs!$B$218,Inputs!$B$13&gt;0),0,-MAX(FV(Inputs!$B$17/12,U$1*12+MthOff,Inputs!$B$18,-Inputs!$B$16),0))</f>
        <v>0</v>
      </c>
      <c r="V84" s="7">
        <f ca="1">IF(AND(Inputs!$B$218&lt;&gt;"",V$2&gt;=Inputs!$B$218,Inputs!$B$13&gt;0),0,-MAX(FV(Inputs!$B$17/12,V$1*12+MthOff,Inputs!$B$18,-Inputs!$B$16),0))</f>
        <v>0</v>
      </c>
      <c r="W84" s="7">
        <f ca="1">IF(AND(Inputs!$B$218&lt;&gt;"",W$2&gt;=Inputs!$B$218,Inputs!$B$13&gt;0),0,-MAX(FV(Inputs!$B$17/12,W$1*12+MthOff,Inputs!$B$18,-Inputs!$B$16),0))</f>
        <v>0</v>
      </c>
      <c r="X84" s="7">
        <f ca="1">IF(AND(Inputs!$B$218&lt;&gt;"",X$2&gt;=Inputs!$B$218,Inputs!$B$13&gt;0),0,-MAX(FV(Inputs!$B$17/12,X$1*12+MthOff,Inputs!$B$18,-Inputs!$B$16),0))</f>
        <v>0</v>
      </c>
      <c r="Y84" s="7">
        <f ca="1">IF(AND(Inputs!$B$218&lt;&gt;"",Y$2&gt;=Inputs!$B$218,Inputs!$B$13&gt;0),0,-MAX(FV(Inputs!$B$17/12,Y$1*12+MthOff,Inputs!$B$18,-Inputs!$B$16),0))</f>
        <v>0</v>
      </c>
      <c r="Z84" s="7">
        <f ca="1">IF(AND(Inputs!$B$218&lt;&gt;"",Z$2&gt;=Inputs!$B$218,Inputs!$B$13&gt;0),0,-MAX(FV(Inputs!$B$17/12,Z$1*12+MthOff,Inputs!$B$18,-Inputs!$B$16),0))</f>
        <v>0</v>
      </c>
      <c r="AA84" s="7">
        <f ca="1">IF(AND(Inputs!$B$218&lt;&gt;"",AA$2&gt;=Inputs!$B$218,Inputs!$B$13&gt;0),0,-MAX(FV(Inputs!$B$17/12,AA$1*12+MthOff,Inputs!$B$18,-Inputs!$B$16),0))</f>
        <v>0</v>
      </c>
      <c r="AB84" s="7">
        <f ca="1">IF(AND(Inputs!$B$218&lt;&gt;"",AB$2&gt;=Inputs!$B$218,Inputs!$B$13&gt;0),0,-MAX(FV(Inputs!$B$17/12,AB$1*12+MthOff,Inputs!$B$18,-Inputs!$B$16),0))</f>
        <v>0</v>
      </c>
      <c r="AC84" s="7">
        <f ca="1">IF(AND(Inputs!$B$218&lt;&gt;"",AC$2&gt;=Inputs!$B$218,Inputs!$B$13&gt;0),0,-MAX(FV(Inputs!$B$17/12,AC$1*12+MthOff,Inputs!$B$18,-Inputs!$B$16),0))</f>
        <v>0</v>
      </c>
      <c r="AD84" s="7">
        <f ca="1">IF(AND(Inputs!$B$218&lt;&gt;"",AD$2&gt;=Inputs!$B$218,Inputs!$B$13&gt;0),0,-MAX(FV(Inputs!$B$17/12,AD$1*12+MthOff,Inputs!$B$18,-Inputs!$B$16),0))</f>
        <v>0</v>
      </c>
      <c r="AE84" s="7">
        <f ca="1">IF(AND(Inputs!$B$218&lt;&gt;"",AE$2&gt;=Inputs!$B$218,Inputs!$B$13&gt;0),0,-MAX(FV(Inputs!$B$17/12,AE$1*12+MthOff,Inputs!$B$18,-Inputs!$B$16),0))</f>
        <v>0</v>
      </c>
      <c r="AF84" s="7">
        <f ca="1">IF(AND(Inputs!$B$218&lt;&gt;"",AF$2&gt;=Inputs!$B$218,Inputs!$B$13&gt;0),0,-MAX(FV(Inputs!$B$17/12,AF$1*12+MthOff,Inputs!$B$18,-Inputs!$B$16),0))</f>
        <v>0</v>
      </c>
      <c r="AG84" s="7">
        <f ca="1">IF(AND(Inputs!$B$218&lt;&gt;"",AG$2&gt;=Inputs!$B$218,Inputs!$B$13&gt;0),0,-MAX(FV(Inputs!$B$17/12,AG$1*12+MthOff,Inputs!$B$18,-Inputs!$B$16),0))</f>
        <v>0</v>
      </c>
      <c r="AH84" s="7">
        <f ca="1">IF(AND(Inputs!$B$218&lt;&gt;"",AH$2&gt;=Inputs!$B$218,Inputs!$B$13&gt;0),0,-MAX(FV(Inputs!$B$17/12,AH$1*12+MthOff,Inputs!$B$18,-Inputs!$B$16),0))</f>
        <v>0</v>
      </c>
      <c r="AI84" s="7">
        <f ca="1">IF(AND(Inputs!$B$218&lt;&gt;"",AI$2&gt;=Inputs!$B$218,Inputs!$B$13&gt;0),0,-MAX(FV(Inputs!$B$17/12,AI$1*12+MthOff,Inputs!$B$18,-Inputs!$B$16),0))</f>
        <v>0</v>
      </c>
      <c r="AJ84" s="7">
        <f ca="1">IF(AND(Inputs!$B$218&lt;&gt;"",AJ$2&gt;=Inputs!$B$218,Inputs!$B$13&gt;0),0,-MAX(FV(Inputs!$B$17/12,AJ$1*12+MthOff,Inputs!$B$18,-Inputs!$B$16),0))</f>
        <v>0</v>
      </c>
      <c r="AK84" s="7">
        <f ca="1">IF(AND(Inputs!$B$218&lt;&gt;"",AK$2&gt;=Inputs!$B$218,Inputs!$B$13&gt;0),0,-MAX(FV(Inputs!$B$17/12,AK$1*12+MthOff,Inputs!$B$18,-Inputs!$B$16),0))</f>
        <v>0</v>
      </c>
      <c r="AL84" s="7">
        <f ca="1">IF(AND(Inputs!$B$218&lt;&gt;"",AL$2&gt;=Inputs!$B$218,Inputs!$B$13&gt;0),0,-MAX(FV(Inputs!$B$17/12,AL$1*12+MthOff,Inputs!$B$18,-Inputs!$B$16),0))</f>
        <v>0</v>
      </c>
      <c r="AM84" s="7">
        <f ca="1">IF(AND(Inputs!$B$218&lt;&gt;"",AM$2&gt;=Inputs!$B$218,Inputs!$B$13&gt;0),0,-MAX(FV(Inputs!$B$17/12,AM$1*12+MthOff,Inputs!$B$18,-Inputs!$B$16),0))</f>
        <v>0</v>
      </c>
    </row>
    <row r="85" spans="1:39" x14ac:dyDescent="0.2">
      <c r="A85" s="4" t="s">
        <v>197</v>
      </c>
      <c r="C85" s="7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  <c r="AD85" s="85"/>
      <c r="AE85" s="85"/>
      <c r="AF85" s="85"/>
      <c r="AG85" s="85"/>
      <c r="AH85" s="85"/>
      <c r="AI85" s="85"/>
      <c r="AJ85" s="85"/>
      <c r="AK85" s="85"/>
      <c r="AL85" s="85"/>
      <c r="AM85" s="85"/>
    </row>
    <row r="86" spans="1:39" x14ac:dyDescent="0.2">
      <c r="A86" s="3" t="str">
        <f>TEXT(Inputs!$B$61,"")</f>
        <v>Sliema</v>
      </c>
      <c r="C86" s="7">
        <f ca="1">-MAX(FV(Inputs!$B129/12,C$1*12+MthOff,Inputs!$B130,-Inputs!$B128),0)</f>
        <v>-46591.052384870025</v>
      </c>
      <c r="D86" s="7">
        <f ca="1">-MAX(FV(Inputs!$B129/12,D$1*12+MthOff,Inputs!$B130,-Inputs!$B128),0)</f>
        <v>-41924.97244406183</v>
      </c>
      <c r="E86" s="7">
        <f ca="1">-MAX(FV(Inputs!$B129/12,E$1*12+MthOff,Inputs!$B130,-Inputs!$B128),0)</f>
        <v>-37116.969216818994</v>
      </c>
      <c r="F86" s="7">
        <f ca="1">-MAX(FV(Inputs!$B129/12,F$1*12+MthOff,Inputs!$B130,-Inputs!$B128),0)</f>
        <v>-32162.725970576364</v>
      </c>
      <c r="G86" s="7">
        <f ca="1">-MAX(FV(Inputs!$B129/12,G$1*12+MthOff,Inputs!$B130,-Inputs!$B128),0)</f>
        <v>-27057.79467521701</v>
      </c>
      <c r="H86" s="7">
        <f ca="1">-MAX(FV(Inputs!$B129/12,H$1*12+MthOff,Inputs!$B130,-Inputs!$B128),0)</f>
        <v>-21797.592009531552</v>
      </c>
      <c r="I86" s="7">
        <f ca="1">-MAX(FV(Inputs!$B129/12,I$1*12+MthOff,Inputs!$B130,-Inputs!$B128),0)</f>
        <v>-16377.395246210348</v>
      </c>
      <c r="J86" s="7">
        <f ca="1">-MAX(FV(Inputs!$B129/12,J$1*12+MthOff,Inputs!$B130,-Inputs!$B128),0)</f>
        <v>-10792.33801167312</v>
      </c>
      <c r="K86" s="7">
        <f ca="1">-MAX(FV(Inputs!$B129/12,K$1*12+MthOff,Inputs!$B130,-Inputs!$B128),0)</f>
        <v>-5037.4059169308748</v>
      </c>
      <c r="L86" s="7">
        <f ca="1">-MAX(FV(Inputs!$B129/12,L$1*12+MthOff,Inputs!$B130,-Inputs!$B128),0)</f>
        <v>0</v>
      </c>
      <c r="M86" s="7">
        <f ca="1">-MAX(FV(Inputs!$B129/12,M$1*12+MthOff,Inputs!$B130,-Inputs!$B128),0)</f>
        <v>0</v>
      </c>
      <c r="N86" s="7">
        <f ca="1">-MAX(FV(Inputs!$B129/12,N$1*12+MthOff,Inputs!$B130,-Inputs!$B128),0)</f>
        <v>0</v>
      </c>
      <c r="O86" s="7">
        <f ca="1">-MAX(FV(Inputs!$B129/12,O$1*12+MthOff,Inputs!$B130,-Inputs!$B128),0)</f>
        <v>0</v>
      </c>
      <c r="P86" s="7">
        <f ca="1">-MAX(FV(Inputs!$B129/12,P$1*12+MthOff,Inputs!$B130,-Inputs!$B128),0)</f>
        <v>0</v>
      </c>
      <c r="Q86" s="7">
        <f ca="1">-MAX(FV(Inputs!$B129/12,Q$1*12+MthOff,Inputs!$B130,-Inputs!$B128),0)</f>
        <v>0</v>
      </c>
      <c r="R86" s="7">
        <f ca="1">-MAX(FV(Inputs!$B129/12,R$1*12+MthOff,Inputs!$B130,-Inputs!$B128),0)</f>
        <v>0</v>
      </c>
      <c r="S86" s="7">
        <f ca="1">-MAX(FV(Inputs!$B129/12,S$1*12+MthOff,Inputs!$B130,-Inputs!$B128),0)</f>
        <v>0</v>
      </c>
      <c r="T86" s="7">
        <f ca="1">-MAX(FV(Inputs!$B129/12,T$1*12+MthOff,Inputs!$B130,-Inputs!$B128),0)</f>
        <v>0</v>
      </c>
      <c r="U86" s="7">
        <f ca="1">-MAX(FV(Inputs!$B129/12,U$1*12+MthOff,Inputs!$B130,-Inputs!$B128),0)</f>
        <v>0</v>
      </c>
      <c r="V86" s="7">
        <f ca="1">-MAX(FV(Inputs!$B129/12,V$1*12+MthOff,Inputs!$B130,-Inputs!$B128),0)</f>
        <v>0</v>
      </c>
      <c r="W86" s="7">
        <f ca="1">-MAX(FV(Inputs!$B129/12,W$1*12+MthOff,Inputs!$B130,-Inputs!$B128),0)</f>
        <v>0</v>
      </c>
      <c r="X86" s="7">
        <f ca="1">-MAX(FV(Inputs!$B129/12,X$1*12+MthOff,Inputs!$B130,-Inputs!$B128),0)</f>
        <v>0</v>
      </c>
      <c r="Y86" s="7">
        <f ca="1">-MAX(FV(Inputs!$B129/12,Y$1*12+MthOff,Inputs!$B130,-Inputs!$B128),0)</f>
        <v>0</v>
      </c>
      <c r="Z86" s="7">
        <f ca="1">-MAX(FV(Inputs!$B129/12,Z$1*12+MthOff,Inputs!$B130,-Inputs!$B128),0)</f>
        <v>0</v>
      </c>
      <c r="AA86" s="7">
        <f ca="1">-MAX(FV(Inputs!$B129/12,AA$1*12+MthOff,Inputs!$B130,-Inputs!$B128),0)</f>
        <v>0</v>
      </c>
      <c r="AB86" s="7">
        <f ca="1">-MAX(FV(Inputs!$B129/12,AB$1*12+MthOff,Inputs!$B130,-Inputs!$B128),0)</f>
        <v>0</v>
      </c>
      <c r="AC86" s="7">
        <f ca="1">-MAX(FV(Inputs!$B129/12,AC$1*12+MthOff,Inputs!$B130,-Inputs!$B128),0)</f>
        <v>0</v>
      </c>
      <c r="AD86" s="7">
        <f ca="1">-MAX(FV(Inputs!$B129/12,AD$1*12+MthOff,Inputs!$B130,-Inputs!$B128),0)</f>
        <v>0</v>
      </c>
      <c r="AE86" s="7">
        <f ca="1">-MAX(FV(Inputs!$B129/12,AE$1*12+MthOff,Inputs!$B130,-Inputs!$B128),0)</f>
        <v>0</v>
      </c>
      <c r="AF86" s="7">
        <f ca="1">-MAX(FV(Inputs!$B129/12,AF$1*12+MthOff,Inputs!$B130,-Inputs!$B128),0)</f>
        <v>0</v>
      </c>
      <c r="AG86" s="7">
        <f ca="1">-MAX(FV(Inputs!$B129/12,AG$1*12+MthOff,Inputs!$B130,-Inputs!$B128),0)</f>
        <v>0</v>
      </c>
      <c r="AH86" s="7">
        <f ca="1">-MAX(FV(Inputs!$B129/12,AH$1*12+MthOff,Inputs!$B130,-Inputs!$B128),0)</f>
        <v>0</v>
      </c>
      <c r="AI86" s="7">
        <f ca="1">-MAX(FV(Inputs!$B129/12,AI$1*12+MthOff,Inputs!$B130,-Inputs!$B128),0)</f>
        <v>0</v>
      </c>
      <c r="AJ86" s="7">
        <f ca="1">-MAX(FV(Inputs!$B129/12,AJ$1*12+MthOff,Inputs!$B130,-Inputs!$B128),0)</f>
        <v>0</v>
      </c>
      <c r="AK86" s="7">
        <f ca="1">-MAX(FV(Inputs!$B129/12,AK$1*12+MthOff,Inputs!$B130,-Inputs!$B128),0)</f>
        <v>0</v>
      </c>
      <c r="AL86" s="7">
        <f ca="1">-MAX(FV(Inputs!$B129/12,AL$1*12+MthOff,Inputs!$B130,-Inputs!$B128),0)</f>
        <v>0</v>
      </c>
      <c r="AM86" s="7">
        <f ca="1">-MAX(FV(Inputs!$B129/12,AM$1*12+MthOff,Inputs!$B130,-Inputs!$B128),0)</f>
        <v>0</v>
      </c>
    </row>
    <row r="87" spans="1:39" x14ac:dyDescent="0.2">
      <c r="A87" s="3" t="str">
        <f>TEXT(Inputs!$B$66,"")</f>
        <v>Gzira</v>
      </c>
      <c r="C87" s="7">
        <f ca="1">-MAX(FV(Inputs!$B134/12,C$1*12+MthOff,Inputs!$B135,-Inputs!$B133),0)</f>
        <v>-6816.3065303051853</v>
      </c>
      <c r="D87" s="7">
        <f ca="1">-MAX(FV(Inputs!$B134/12,D$1*12+MthOff,Inputs!$B135,-Inputs!$B133),0)</f>
        <v>-4531.7666039667383</v>
      </c>
      <c r="E87" s="7">
        <f ca="1">-MAX(FV(Inputs!$B134/12,E$1*12+MthOff,Inputs!$B135,-Inputs!$B133),0)</f>
        <v>-2201.1147111864902</v>
      </c>
      <c r="F87" s="7">
        <f ca="1">-MAX(FV(Inputs!$B134/12,F$1*12+MthOff,Inputs!$B135,-Inputs!$B133),0)</f>
        <v>0</v>
      </c>
      <c r="G87" s="7">
        <f ca="1">-MAX(FV(Inputs!$B134/12,G$1*12+MthOff,Inputs!$B135,-Inputs!$B133),0)</f>
        <v>0</v>
      </c>
      <c r="H87" s="7">
        <f ca="1">-MAX(FV(Inputs!$B134/12,H$1*12+MthOff,Inputs!$B135,-Inputs!$B133),0)</f>
        <v>0</v>
      </c>
      <c r="I87" s="7">
        <f ca="1">-MAX(FV(Inputs!$B134/12,I$1*12+MthOff,Inputs!$B135,-Inputs!$B133),0)</f>
        <v>0</v>
      </c>
      <c r="J87" s="7">
        <f ca="1">-MAX(FV(Inputs!$B134/12,J$1*12+MthOff,Inputs!$B135,-Inputs!$B133),0)</f>
        <v>0</v>
      </c>
      <c r="K87" s="7">
        <f ca="1">-MAX(FV(Inputs!$B134/12,K$1*12+MthOff,Inputs!$B135,-Inputs!$B133),0)</f>
        <v>0</v>
      </c>
      <c r="L87" s="7">
        <f ca="1">-MAX(FV(Inputs!$B134/12,L$1*12+MthOff,Inputs!$B135,-Inputs!$B133),0)</f>
        <v>0</v>
      </c>
      <c r="M87" s="7">
        <f ca="1">-MAX(FV(Inputs!$B134/12,M$1*12+MthOff,Inputs!$B135,-Inputs!$B133),0)</f>
        <v>0</v>
      </c>
      <c r="N87" s="7">
        <f ca="1">-MAX(FV(Inputs!$B134/12,N$1*12+MthOff,Inputs!$B135,-Inputs!$B133),0)</f>
        <v>0</v>
      </c>
      <c r="O87" s="7">
        <f ca="1">-MAX(FV(Inputs!$B134/12,O$1*12+MthOff,Inputs!$B135,-Inputs!$B133),0)</f>
        <v>0</v>
      </c>
      <c r="P87" s="7">
        <f ca="1">-MAX(FV(Inputs!$B134/12,P$1*12+MthOff,Inputs!$B135,-Inputs!$B133),0)</f>
        <v>0</v>
      </c>
      <c r="Q87" s="7">
        <f ca="1">-MAX(FV(Inputs!$B134/12,Q$1*12+MthOff,Inputs!$B135,-Inputs!$B133),0)</f>
        <v>0</v>
      </c>
      <c r="R87" s="7">
        <f ca="1">-MAX(FV(Inputs!$B134/12,R$1*12+MthOff,Inputs!$B135,-Inputs!$B133),0)</f>
        <v>0</v>
      </c>
      <c r="S87" s="7">
        <f ca="1">-MAX(FV(Inputs!$B134/12,S$1*12+MthOff,Inputs!$B135,-Inputs!$B133),0)</f>
        <v>0</v>
      </c>
      <c r="T87" s="7">
        <f ca="1">-MAX(FV(Inputs!$B134/12,T$1*12+MthOff,Inputs!$B135,-Inputs!$B133),0)</f>
        <v>0</v>
      </c>
      <c r="U87" s="7">
        <f ca="1">-MAX(FV(Inputs!$B134/12,U$1*12+MthOff,Inputs!$B135,-Inputs!$B133),0)</f>
        <v>0</v>
      </c>
      <c r="V87" s="7">
        <f ca="1">-MAX(FV(Inputs!$B134/12,V$1*12+MthOff,Inputs!$B135,-Inputs!$B133),0)</f>
        <v>0</v>
      </c>
      <c r="W87" s="7">
        <f ca="1">-MAX(FV(Inputs!$B134/12,W$1*12+MthOff,Inputs!$B135,-Inputs!$B133),0)</f>
        <v>0</v>
      </c>
      <c r="X87" s="7">
        <f ca="1">-MAX(FV(Inputs!$B134/12,X$1*12+MthOff,Inputs!$B135,-Inputs!$B133),0)</f>
        <v>0</v>
      </c>
      <c r="Y87" s="7">
        <f ca="1">-MAX(FV(Inputs!$B134/12,Y$1*12+MthOff,Inputs!$B135,-Inputs!$B133),0)</f>
        <v>0</v>
      </c>
      <c r="Z87" s="7">
        <f ca="1">-MAX(FV(Inputs!$B134/12,Z$1*12+MthOff,Inputs!$B135,-Inputs!$B133),0)</f>
        <v>0</v>
      </c>
      <c r="AA87" s="7">
        <f ca="1">-MAX(FV(Inputs!$B134/12,AA$1*12+MthOff,Inputs!$B135,-Inputs!$B133),0)</f>
        <v>0</v>
      </c>
      <c r="AB87" s="7">
        <f ca="1">-MAX(FV(Inputs!$B134/12,AB$1*12+MthOff,Inputs!$B135,-Inputs!$B133),0)</f>
        <v>0</v>
      </c>
      <c r="AC87" s="7">
        <f ca="1">-MAX(FV(Inputs!$B134/12,AC$1*12+MthOff,Inputs!$B135,-Inputs!$B133),0)</f>
        <v>0</v>
      </c>
      <c r="AD87" s="7">
        <f ca="1">-MAX(FV(Inputs!$B134/12,AD$1*12+MthOff,Inputs!$B135,-Inputs!$B133),0)</f>
        <v>0</v>
      </c>
      <c r="AE87" s="7">
        <f ca="1">-MAX(FV(Inputs!$B134/12,AE$1*12+MthOff,Inputs!$B135,-Inputs!$B133),0)</f>
        <v>0</v>
      </c>
      <c r="AF87" s="7">
        <f ca="1">-MAX(FV(Inputs!$B134/12,AF$1*12+MthOff,Inputs!$B135,-Inputs!$B133),0)</f>
        <v>0</v>
      </c>
      <c r="AG87" s="7">
        <f ca="1">-MAX(FV(Inputs!$B134/12,AG$1*12+MthOff,Inputs!$B135,-Inputs!$B133),0)</f>
        <v>0</v>
      </c>
      <c r="AH87" s="7">
        <f ca="1">-MAX(FV(Inputs!$B134/12,AH$1*12+MthOff,Inputs!$B135,-Inputs!$B133),0)</f>
        <v>0</v>
      </c>
      <c r="AI87" s="7">
        <f ca="1">-MAX(FV(Inputs!$B134/12,AI$1*12+MthOff,Inputs!$B135,-Inputs!$B133),0)</f>
        <v>0</v>
      </c>
      <c r="AJ87" s="7">
        <f ca="1">-MAX(FV(Inputs!$B134/12,AJ$1*12+MthOff,Inputs!$B135,-Inputs!$B133),0)</f>
        <v>0</v>
      </c>
      <c r="AK87" s="7">
        <f ca="1">-MAX(FV(Inputs!$B134/12,AK$1*12+MthOff,Inputs!$B135,-Inputs!$B133),0)</f>
        <v>0</v>
      </c>
      <c r="AL87" s="7">
        <f ca="1">-MAX(FV(Inputs!$B134/12,AL$1*12+MthOff,Inputs!$B135,-Inputs!$B133),0)</f>
        <v>0</v>
      </c>
      <c r="AM87" s="7">
        <f ca="1">-MAX(FV(Inputs!$B134/12,AM$1*12+MthOff,Inputs!$B135,-Inputs!$B133),0)</f>
        <v>0</v>
      </c>
    </row>
    <row r="88" spans="1:39" x14ac:dyDescent="0.2">
      <c r="A88" s="3" t="str">
        <f>TEXT(Inputs!$B$71,"")</f>
        <v>Qormi</v>
      </c>
      <c r="C88" s="7">
        <f ca="1">-MAX(FV(Inputs!$B139/12,C$1*12+MthOff,Inputs!$B140,-Inputs!$B138),0)</f>
        <v>-13284.099846375037</v>
      </c>
      <c r="D88" s="7">
        <f ca="1">-MAX(FV(Inputs!$B139/12,D$1*12+MthOff,Inputs!$B140,-Inputs!$B138),0)</f>
        <v>-10894.02573326202</v>
      </c>
      <c r="E88" s="7">
        <f ca="1">-MAX(FV(Inputs!$B139/12,E$1*12+MthOff,Inputs!$B140,-Inputs!$B138),0)</f>
        <v>-8381.6708924441427</v>
      </c>
      <c r="F88" s="7">
        <f ca="1">-MAX(FV(Inputs!$B139/12,F$1*12+MthOff,Inputs!$B140,-Inputs!$B138),0)</f>
        <v>-5740.779209817676</v>
      </c>
      <c r="G88" s="7">
        <f ca="1">-MAX(FV(Inputs!$B139/12,G$1*12+MthOff,Inputs!$B140,-Inputs!$B138),0)</f>
        <v>-2964.7744966079426</v>
      </c>
      <c r="H88" s="7">
        <f ca="1">-MAX(FV(Inputs!$B139/12,H$1*12+MthOff,Inputs!$B140,-Inputs!$B138),0)</f>
        <v>-46.744113741759065</v>
      </c>
      <c r="I88" s="7">
        <f ca="1">-MAX(FV(Inputs!$B139/12,I$1*12+MthOff,Inputs!$B140,-Inputs!$B138),0)</f>
        <v>0</v>
      </c>
      <c r="J88" s="7">
        <f ca="1">-MAX(FV(Inputs!$B139/12,J$1*12+MthOff,Inputs!$B140,-Inputs!$B138),0)</f>
        <v>0</v>
      </c>
      <c r="K88" s="7">
        <f ca="1">-MAX(FV(Inputs!$B139/12,K$1*12+MthOff,Inputs!$B140,-Inputs!$B138),0)</f>
        <v>0</v>
      </c>
      <c r="L88" s="7">
        <f ca="1">-MAX(FV(Inputs!$B139/12,L$1*12+MthOff,Inputs!$B140,-Inputs!$B138),0)</f>
        <v>0</v>
      </c>
      <c r="M88" s="7">
        <f ca="1">-MAX(FV(Inputs!$B139/12,M$1*12+MthOff,Inputs!$B140,-Inputs!$B138),0)</f>
        <v>0</v>
      </c>
      <c r="N88" s="7">
        <f ca="1">-MAX(FV(Inputs!$B139/12,N$1*12+MthOff,Inputs!$B140,-Inputs!$B138),0)</f>
        <v>0</v>
      </c>
      <c r="O88" s="7">
        <f ca="1">-MAX(FV(Inputs!$B139/12,O$1*12+MthOff,Inputs!$B140,-Inputs!$B138),0)</f>
        <v>0</v>
      </c>
      <c r="P88" s="7">
        <f ca="1">-MAX(FV(Inputs!$B139/12,P$1*12+MthOff,Inputs!$B140,-Inputs!$B138),0)</f>
        <v>0</v>
      </c>
      <c r="Q88" s="7">
        <f ca="1">-MAX(FV(Inputs!$B139/12,Q$1*12+MthOff,Inputs!$B140,-Inputs!$B138),0)</f>
        <v>0</v>
      </c>
      <c r="R88" s="7">
        <f ca="1">-MAX(FV(Inputs!$B139/12,R$1*12+MthOff,Inputs!$B140,-Inputs!$B138),0)</f>
        <v>0</v>
      </c>
      <c r="S88" s="7">
        <f ca="1">-MAX(FV(Inputs!$B139/12,S$1*12+MthOff,Inputs!$B140,-Inputs!$B138),0)</f>
        <v>0</v>
      </c>
      <c r="T88" s="7">
        <f ca="1">-MAX(FV(Inputs!$B139/12,T$1*12+MthOff,Inputs!$B140,-Inputs!$B138),0)</f>
        <v>0</v>
      </c>
      <c r="U88" s="7">
        <f ca="1">-MAX(FV(Inputs!$B139/12,U$1*12+MthOff,Inputs!$B140,-Inputs!$B138),0)</f>
        <v>0</v>
      </c>
      <c r="V88" s="7">
        <f ca="1">-MAX(FV(Inputs!$B139/12,V$1*12+MthOff,Inputs!$B140,-Inputs!$B138),0)</f>
        <v>0</v>
      </c>
      <c r="W88" s="7">
        <f ca="1">-MAX(FV(Inputs!$B139/12,W$1*12+MthOff,Inputs!$B140,-Inputs!$B138),0)</f>
        <v>0</v>
      </c>
      <c r="X88" s="7">
        <f ca="1">-MAX(FV(Inputs!$B139/12,X$1*12+MthOff,Inputs!$B140,-Inputs!$B138),0)</f>
        <v>0</v>
      </c>
      <c r="Y88" s="7">
        <f ca="1">-MAX(FV(Inputs!$B139/12,Y$1*12+MthOff,Inputs!$B140,-Inputs!$B138),0)</f>
        <v>0</v>
      </c>
      <c r="Z88" s="7">
        <f ca="1">-MAX(FV(Inputs!$B139/12,Z$1*12+MthOff,Inputs!$B140,-Inputs!$B138),0)</f>
        <v>0</v>
      </c>
      <c r="AA88" s="7">
        <f ca="1">-MAX(FV(Inputs!$B139/12,AA$1*12+MthOff,Inputs!$B140,-Inputs!$B138),0)</f>
        <v>0</v>
      </c>
      <c r="AB88" s="7">
        <f ca="1">-MAX(FV(Inputs!$B139/12,AB$1*12+MthOff,Inputs!$B140,-Inputs!$B138),0)</f>
        <v>0</v>
      </c>
      <c r="AC88" s="7">
        <f ca="1">-MAX(FV(Inputs!$B139/12,AC$1*12+MthOff,Inputs!$B140,-Inputs!$B138),0)</f>
        <v>0</v>
      </c>
      <c r="AD88" s="7">
        <f ca="1">-MAX(FV(Inputs!$B139/12,AD$1*12+MthOff,Inputs!$B140,-Inputs!$B138),0)</f>
        <v>0</v>
      </c>
      <c r="AE88" s="7">
        <f ca="1">-MAX(FV(Inputs!$B139/12,AE$1*12+MthOff,Inputs!$B140,-Inputs!$B138),0)</f>
        <v>0</v>
      </c>
      <c r="AF88" s="7">
        <f ca="1">-MAX(FV(Inputs!$B139/12,AF$1*12+MthOff,Inputs!$B140,-Inputs!$B138),0)</f>
        <v>0</v>
      </c>
      <c r="AG88" s="7">
        <f ca="1">-MAX(FV(Inputs!$B139/12,AG$1*12+MthOff,Inputs!$B140,-Inputs!$B138),0)</f>
        <v>0</v>
      </c>
      <c r="AH88" s="7">
        <f ca="1">-MAX(FV(Inputs!$B139/12,AH$1*12+MthOff,Inputs!$B140,-Inputs!$B138),0)</f>
        <v>0</v>
      </c>
      <c r="AI88" s="7">
        <f ca="1">-MAX(FV(Inputs!$B139/12,AI$1*12+MthOff,Inputs!$B140,-Inputs!$B138),0)</f>
        <v>0</v>
      </c>
      <c r="AJ88" s="7">
        <f ca="1">-MAX(FV(Inputs!$B139/12,AJ$1*12+MthOff,Inputs!$B140,-Inputs!$B138),0)</f>
        <v>0</v>
      </c>
      <c r="AK88" s="7">
        <f ca="1">-MAX(FV(Inputs!$B139/12,AK$1*12+MthOff,Inputs!$B140,-Inputs!$B138),0)</f>
        <v>0</v>
      </c>
      <c r="AL88" s="7">
        <f ca="1">-MAX(FV(Inputs!$B139/12,AL$1*12+MthOff,Inputs!$B140,-Inputs!$B138),0)</f>
        <v>0</v>
      </c>
      <c r="AM88" s="7">
        <f ca="1">-MAX(FV(Inputs!$B139/12,AM$1*12+MthOff,Inputs!$B140,-Inputs!$B138),0)</f>
        <v>0</v>
      </c>
    </row>
    <row r="89" spans="1:39" x14ac:dyDescent="0.2">
      <c r="A89" s="3" t="str">
        <f>TEXT(Inputs!$B$76,"")</f>
        <v>Gudja</v>
      </c>
      <c r="C89" s="7">
        <f ca="1">-MAX(FV(Inputs!$B144/12,C$1*12+MthOff,Inputs!$B145,-Inputs!$B143),0)</f>
        <v>-4025.8511111463736</v>
      </c>
      <c r="D89" s="7">
        <f ca="1">-MAX(FV(Inputs!$B144/12,D$1*12+MthOff,Inputs!$B145,-Inputs!$B143),0)</f>
        <v>-3138.2612491824134</v>
      </c>
      <c r="E89" s="7">
        <f ca="1">-MAX(FV(Inputs!$B144/12,E$1*12+MthOff,Inputs!$B145,-Inputs!$B143),0)</f>
        <v>-2232.7559577452803</v>
      </c>
      <c r="F89" s="7">
        <f ca="1">-MAX(FV(Inputs!$B144/12,F$1*12+MthOff,Inputs!$B145,-Inputs!$B143),0)</f>
        <v>-1308.9736254343047</v>
      </c>
      <c r="G89" s="7">
        <f ca="1">-MAX(FV(Inputs!$B144/12,G$1*12+MthOff,Inputs!$B145,-Inputs!$B143),0)</f>
        <v>-366.5453419556743</v>
      </c>
      <c r="H89" s="7">
        <f ca="1">-MAX(FV(Inputs!$B144/12,H$1*12+MthOff,Inputs!$B145,-Inputs!$B143),0)</f>
        <v>0</v>
      </c>
      <c r="I89" s="7">
        <f ca="1">-MAX(FV(Inputs!$B144/12,I$1*12+MthOff,Inputs!$B145,-Inputs!$B143),0)</f>
        <v>0</v>
      </c>
      <c r="J89" s="7">
        <f ca="1">-MAX(FV(Inputs!$B144/12,J$1*12+MthOff,Inputs!$B145,-Inputs!$B143),0)</f>
        <v>0</v>
      </c>
      <c r="K89" s="7">
        <f ca="1">-MAX(FV(Inputs!$B144/12,K$1*12+MthOff,Inputs!$B145,-Inputs!$B143),0)</f>
        <v>0</v>
      </c>
      <c r="L89" s="7">
        <f ca="1">-MAX(FV(Inputs!$B144/12,L$1*12+MthOff,Inputs!$B145,-Inputs!$B143),0)</f>
        <v>0</v>
      </c>
      <c r="M89" s="7">
        <f ca="1">-MAX(FV(Inputs!$B144/12,M$1*12+MthOff,Inputs!$B145,-Inputs!$B143),0)</f>
        <v>0</v>
      </c>
      <c r="N89" s="7">
        <f ca="1">-MAX(FV(Inputs!$B144/12,N$1*12+MthOff,Inputs!$B145,-Inputs!$B143),0)</f>
        <v>0</v>
      </c>
      <c r="O89" s="7">
        <f ca="1">-MAX(FV(Inputs!$B144/12,O$1*12+MthOff,Inputs!$B145,-Inputs!$B143),0)</f>
        <v>0</v>
      </c>
      <c r="P89" s="7">
        <f ca="1">-MAX(FV(Inputs!$B144/12,P$1*12+MthOff,Inputs!$B145,-Inputs!$B143),0)</f>
        <v>0</v>
      </c>
      <c r="Q89" s="7">
        <f ca="1">-MAX(FV(Inputs!$B144/12,Q$1*12+MthOff,Inputs!$B145,-Inputs!$B143),0)</f>
        <v>0</v>
      </c>
      <c r="R89" s="7">
        <f ca="1">-MAX(FV(Inputs!$B144/12,R$1*12+MthOff,Inputs!$B145,-Inputs!$B143),0)</f>
        <v>0</v>
      </c>
      <c r="S89" s="7">
        <f ca="1">-MAX(FV(Inputs!$B144/12,S$1*12+MthOff,Inputs!$B145,-Inputs!$B143),0)</f>
        <v>0</v>
      </c>
      <c r="T89" s="7">
        <f ca="1">-MAX(FV(Inputs!$B144/12,T$1*12+MthOff,Inputs!$B145,-Inputs!$B143),0)</f>
        <v>0</v>
      </c>
      <c r="U89" s="7">
        <f ca="1">-MAX(FV(Inputs!$B144/12,U$1*12+MthOff,Inputs!$B145,-Inputs!$B143),0)</f>
        <v>0</v>
      </c>
      <c r="V89" s="7">
        <f ca="1">-MAX(FV(Inputs!$B144/12,V$1*12+MthOff,Inputs!$B145,-Inputs!$B143),0)</f>
        <v>0</v>
      </c>
      <c r="W89" s="7">
        <f ca="1">-MAX(FV(Inputs!$B144/12,W$1*12+MthOff,Inputs!$B145,-Inputs!$B143),0)</f>
        <v>0</v>
      </c>
      <c r="X89" s="7">
        <f ca="1">-MAX(FV(Inputs!$B144/12,X$1*12+MthOff,Inputs!$B145,-Inputs!$B143),0)</f>
        <v>0</v>
      </c>
      <c r="Y89" s="7">
        <f ca="1">-MAX(FV(Inputs!$B144/12,Y$1*12+MthOff,Inputs!$B145,-Inputs!$B143),0)</f>
        <v>0</v>
      </c>
      <c r="Z89" s="7">
        <f ca="1">-MAX(FV(Inputs!$B144/12,Z$1*12+MthOff,Inputs!$B145,-Inputs!$B143),0)</f>
        <v>0</v>
      </c>
      <c r="AA89" s="7">
        <f ca="1">-MAX(FV(Inputs!$B144/12,AA$1*12+MthOff,Inputs!$B145,-Inputs!$B143),0)</f>
        <v>0</v>
      </c>
      <c r="AB89" s="7">
        <f ca="1">-MAX(FV(Inputs!$B144/12,AB$1*12+MthOff,Inputs!$B145,-Inputs!$B143),0)</f>
        <v>0</v>
      </c>
      <c r="AC89" s="7">
        <f ca="1">-MAX(FV(Inputs!$B144/12,AC$1*12+MthOff,Inputs!$B145,-Inputs!$B143),0)</f>
        <v>0</v>
      </c>
      <c r="AD89" s="7">
        <f ca="1">-MAX(FV(Inputs!$B144/12,AD$1*12+MthOff,Inputs!$B145,-Inputs!$B143),0)</f>
        <v>0</v>
      </c>
      <c r="AE89" s="7">
        <f ca="1">-MAX(FV(Inputs!$B144/12,AE$1*12+MthOff,Inputs!$B145,-Inputs!$B143),0)</f>
        <v>0</v>
      </c>
      <c r="AF89" s="7">
        <f ca="1">-MAX(FV(Inputs!$B144/12,AF$1*12+MthOff,Inputs!$B145,-Inputs!$B143),0)</f>
        <v>0</v>
      </c>
      <c r="AG89" s="7">
        <f ca="1">-MAX(FV(Inputs!$B144/12,AG$1*12+MthOff,Inputs!$B145,-Inputs!$B143),0)</f>
        <v>0</v>
      </c>
      <c r="AH89" s="7">
        <f ca="1">-MAX(FV(Inputs!$B144/12,AH$1*12+MthOff,Inputs!$B145,-Inputs!$B143),0)</f>
        <v>0</v>
      </c>
      <c r="AI89" s="7">
        <f ca="1">-MAX(FV(Inputs!$B144/12,AI$1*12+MthOff,Inputs!$B145,-Inputs!$B143),0)</f>
        <v>0</v>
      </c>
      <c r="AJ89" s="7">
        <f ca="1">-MAX(FV(Inputs!$B144/12,AJ$1*12+MthOff,Inputs!$B145,-Inputs!$B143),0)</f>
        <v>0</v>
      </c>
      <c r="AK89" s="7">
        <f ca="1">-MAX(FV(Inputs!$B144/12,AK$1*12+MthOff,Inputs!$B145,-Inputs!$B143),0)</f>
        <v>0</v>
      </c>
      <c r="AL89" s="7">
        <f ca="1">-MAX(FV(Inputs!$B144/12,AL$1*12+MthOff,Inputs!$B145,-Inputs!$B143),0)</f>
        <v>0</v>
      </c>
      <c r="AM89" s="7">
        <f ca="1">-MAX(FV(Inputs!$B144/12,AM$1*12+MthOff,Inputs!$B145,-Inputs!$B143),0)</f>
        <v>0</v>
      </c>
    </row>
    <row r="90" spans="1:39" x14ac:dyDescent="0.2">
      <c r="A90" s="3" t="str">
        <f>TEXT(Inputs!$B$81,"")</f>
        <v>Marsa</v>
      </c>
      <c r="C90" s="7">
        <f ca="1">-MAX(FV(Inputs!$B149/12,C$1*12+MthOff,Inputs!$B150,-Inputs!$B148),0)</f>
        <v>-8649.5822104017261</v>
      </c>
      <c r="D90" s="7">
        <f ca="1">-MAX(FV(Inputs!$B149/12,D$1*12+MthOff,Inputs!$B150,-Inputs!$B148),0)</f>
        <v>-7452.7015983848178</v>
      </c>
      <c r="E90" s="7">
        <f ca="1">-MAX(FV(Inputs!$B149/12,E$1*12+MthOff,Inputs!$B150,-Inputs!$B148),0)</f>
        <v>-6219.4167172421839</v>
      </c>
      <c r="F90" s="7">
        <f ca="1">-MAX(FV(Inputs!$B149/12,F$1*12+MthOff,Inputs!$B150,-Inputs!$B148),0)</f>
        <v>-4948.6202962926418</v>
      </c>
      <c r="G90" s="7">
        <f ca="1">-MAX(FV(Inputs!$B149/12,G$1*12+MthOff,Inputs!$B150,-Inputs!$B148),0)</f>
        <v>-3639.1713861576636</v>
      </c>
      <c r="H90" s="7">
        <f ca="1">-MAX(FV(Inputs!$B149/12,H$1*12+MthOff,Inputs!$B150,-Inputs!$B148),0)</f>
        <v>-2289.8943343915744</v>
      </c>
      <c r="I90" s="7">
        <f ca="1">-MAX(FV(Inputs!$B149/12,I$1*12+MthOff,Inputs!$B150,-Inputs!$B148),0)</f>
        <v>-899.57772995459527</v>
      </c>
      <c r="J90" s="7">
        <f ca="1">-MAX(FV(Inputs!$B149/12,J$1*12+MthOff,Inputs!$B150,-Inputs!$B148),0)</f>
        <v>0</v>
      </c>
      <c r="K90" s="7">
        <f ca="1">-MAX(FV(Inputs!$B149/12,K$1*12+MthOff,Inputs!$B150,-Inputs!$B148),0)</f>
        <v>0</v>
      </c>
      <c r="L90" s="7">
        <f ca="1">-MAX(FV(Inputs!$B149/12,L$1*12+MthOff,Inputs!$B150,-Inputs!$B148),0)</f>
        <v>0</v>
      </c>
      <c r="M90" s="7">
        <f ca="1">-MAX(FV(Inputs!$B149/12,M$1*12+MthOff,Inputs!$B150,-Inputs!$B148),0)</f>
        <v>0</v>
      </c>
      <c r="N90" s="7">
        <f ca="1">-MAX(FV(Inputs!$B149/12,N$1*12+MthOff,Inputs!$B150,-Inputs!$B148),0)</f>
        <v>0</v>
      </c>
      <c r="O90" s="7">
        <f ca="1">-MAX(FV(Inputs!$B149/12,O$1*12+MthOff,Inputs!$B150,-Inputs!$B148),0)</f>
        <v>0</v>
      </c>
      <c r="P90" s="7">
        <f ca="1">-MAX(FV(Inputs!$B149/12,P$1*12+MthOff,Inputs!$B150,-Inputs!$B148),0)</f>
        <v>0</v>
      </c>
      <c r="Q90" s="7">
        <f ca="1">-MAX(FV(Inputs!$B149/12,Q$1*12+MthOff,Inputs!$B150,-Inputs!$B148),0)</f>
        <v>0</v>
      </c>
      <c r="R90" s="7">
        <f ca="1">-MAX(FV(Inputs!$B149/12,R$1*12+MthOff,Inputs!$B150,-Inputs!$B148),0)</f>
        <v>0</v>
      </c>
      <c r="S90" s="7">
        <f ca="1">-MAX(FV(Inputs!$B149/12,S$1*12+MthOff,Inputs!$B150,-Inputs!$B148),0)</f>
        <v>0</v>
      </c>
      <c r="T90" s="7">
        <f ca="1">-MAX(FV(Inputs!$B149/12,T$1*12+MthOff,Inputs!$B150,-Inputs!$B148),0)</f>
        <v>0</v>
      </c>
      <c r="U90" s="7">
        <f ca="1">-MAX(FV(Inputs!$B149/12,U$1*12+MthOff,Inputs!$B150,-Inputs!$B148),0)</f>
        <v>0</v>
      </c>
      <c r="V90" s="7">
        <f ca="1">-MAX(FV(Inputs!$B149/12,V$1*12+MthOff,Inputs!$B150,-Inputs!$B148),0)</f>
        <v>0</v>
      </c>
      <c r="W90" s="7">
        <f ca="1">-MAX(FV(Inputs!$B149/12,W$1*12+MthOff,Inputs!$B150,-Inputs!$B148),0)</f>
        <v>0</v>
      </c>
      <c r="X90" s="7">
        <f ca="1">-MAX(FV(Inputs!$B149/12,X$1*12+MthOff,Inputs!$B150,-Inputs!$B148),0)</f>
        <v>0</v>
      </c>
      <c r="Y90" s="7">
        <f ca="1">-MAX(FV(Inputs!$B149/12,Y$1*12+MthOff,Inputs!$B150,-Inputs!$B148),0)</f>
        <v>0</v>
      </c>
      <c r="Z90" s="7">
        <f ca="1">-MAX(FV(Inputs!$B149/12,Z$1*12+MthOff,Inputs!$B150,-Inputs!$B148),0)</f>
        <v>0</v>
      </c>
      <c r="AA90" s="7">
        <f ca="1">-MAX(FV(Inputs!$B149/12,AA$1*12+MthOff,Inputs!$B150,-Inputs!$B148),0)</f>
        <v>0</v>
      </c>
      <c r="AB90" s="7">
        <f ca="1">-MAX(FV(Inputs!$B149/12,AB$1*12+MthOff,Inputs!$B150,-Inputs!$B148),0)</f>
        <v>0</v>
      </c>
      <c r="AC90" s="7">
        <f ca="1">-MAX(FV(Inputs!$B149/12,AC$1*12+MthOff,Inputs!$B150,-Inputs!$B148),0)</f>
        <v>0</v>
      </c>
      <c r="AD90" s="7">
        <f ca="1">-MAX(FV(Inputs!$B149/12,AD$1*12+MthOff,Inputs!$B150,-Inputs!$B148),0)</f>
        <v>0</v>
      </c>
      <c r="AE90" s="7">
        <f ca="1">-MAX(FV(Inputs!$B149/12,AE$1*12+MthOff,Inputs!$B150,-Inputs!$B148),0)</f>
        <v>0</v>
      </c>
      <c r="AF90" s="7">
        <f ca="1">-MAX(FV(Inputs!$B149/12,AF$1*12+MthOff,Inputs!$B150,-Inputs!$B148),0)</f>
        <v>0</v>
      </c>
      <c r="AG90" s="7">
        <f ca="1">-MAX(FV(Inputs!$B149/12,AG$1*12+MthOff,Inputs!$B150,-Inputs!$B148),0)</f>
        <v>0</v>
      </c>
      <c r="AH90" s="7">
        <f ca="1">-MAX(FV(Inputs!$B149/12,AH$1*12+MthOff,Inputs!$B150,-Inputs!$B148),0)</f>
        <v>0</v>
      </c>
      <c r="AI90" s="7">
        <f ca="1">-MAX(FV(Inputs!$B149/12,AI$1*12+MthOff,Inputs!$B150,-Inputs!$B148),0)</f>
        <v>0</v>
      </c>
      <c r="AJ90" s="7">
        <f ca="1">-MAX(FV(Inputs!$B149/12,AJ$1*12+MthOff,Inputs!$B150,-Inputs!$B148),0)</f>
        <v>0</v>
      </c>
      <c r="AK90" s="7">
        <f ca="1">-MAX(FV(Inputs!$B149/12,AK$1*12+MthOff,Inputs!$B150,-Inputs!$B148),0)</f>
        <v>0</v>
      </c>
      <c r="AL90" s="7">
        <f ca="1">-MAX(FV(Inputs!$B149/12,AL$1*12+MthOff,Inputs!$B150,-Inputs!$B148),0)</f>
        <v>0</v>
      </c>
      <c r="AM90" s="7">
        <f ca="1">-MAX(FV(Inputs!$B149/12,AM$1*12+MthOff,Inputs!$B150,-Inputs!$B148),0)</f>
        <v>0</v>
      </c>
    </row>
    <row r="91" spans="1:39" x14ac:dyDescent="0.2">
      <c r="A91" s="3" t="str">
        <f>TEXT(Inputs!$B$88,"")</f>
        <v>Jewelry</v>
      </c>
      <c r="C91" s="7">
        <f ca="1">-MAX(FV(Inputs!$B154/12,C$1*12+MthOff,Inputs!$B155,-Inputs!$B153),0)</f>
        <v>-1875.0262705595046</v>
      </c>
      <c r="D91" s="7">
        <f ca="1">-MAX(FV(Inputs!$B154/12,D$1*12+MthOff,Inputs!$B155,-Inputs!$B153),0)</f>
        <v>-1019.5782814113345</v>
      </c>
      <c r="E91" s="7">
        <f ca="1">-MAX(FV(Inputs!$B154/12,E$1*12+MthOff,Inputs!$B155,-Inputs!$B153),0)</f>
        <v>-138.11102308348245</v>
      </c>
      <c r="F91" s="7">
        <f ca="1">-MAX(FV(Inputs!$B154/12,F$1*12+MthOff,Inputs!$B155,-Inputs!$B153),0)</f>
        <v>0</v>
      </c>
      <c r="G91" s="7">
        <f ca="1">-MAX(FV(Inputs!$B154/12,G$1*12+MthOff,Inputs!$B155,-Inputs!$B153),0)</f>
        <v>0</v>
      </c>
      <c r="H91" s="7">
        <f ca="1">-MAX(FV(Inputs!$B154/12,H$1*12+MthOff,Inputs!$B155,-Inputs!$B153),0)</f>
        <v>0</v>
      </c>
      <c r="I91" s="7">
        <f ca="1">-MAX(FV(Inputs!$B154/12,I$1*12+MthOff,Inputs!$B155,-Inputs!$B153),0)</f>
        <v>0</v>
      </c>
      <c r="J91" s="7">
        <f ca="1">-MAX(FV(Inputs!$B154/12,J$1*12+MthOff,Inputs!$B155,-Inputs!$B153),0)</f>
        <v>0</v>
      </c>
      <c r="K91" s="7">
        <f ca="1">-MAX(FV(Inputs!$B154/12,K$1*12+MthOff,Inputs!$B155,-Inputs!$B153),0)</f>
        <v>0</v>
      </c>
      <c r="L91" s="7">
        <f ca="1">-MAX(FV(Inputs!$B154/12,L$1*12+MthOff,Inputs!$B155,-Inputs!$B153),0)</f>
        <v>0</v>
      </c>
      <c r="M91" s="7">
        <f ca="1">-MAX(FV(Inputs!$B154/12,M$1*12+MthOff,Inputs!$B155,-Inputs!$B153),0)</f>
        <v>0</v>
      </c>
      <c r="N91" s="7">
        <f ca="1">-MAX(FV(Inputs!$B154/12,N$1*12+MthOff,Inputs!$B155,-Inputs!$B153),0)</f>
        <v>0</v>
      </c>
      <c r="O91" s="7">
        <f ca="1">-MAX(FV(Inputs!$B154/12,O$1*12+MthOff,Inputs!$B155,-Inputs!$B153),0)</f>
        <v>0</v>
      </c>
      <c r="P91" s="7">
        <f ca="1">-MAX(FV(Inputs!$B154/12,P$1*12+MthOff,Inputs!$B155,-Inputs!$B153),0)</f>
        <v>0</v>
      </c>
      <c r="Q91" s="7">
        <f ca="1">-MAX(FV(Inputs!$B154/12,Q$1*12+MthOff,Inputs!$B155,-Inputs!$B153),0)</f>
        <v>0</v>
      </c>
      <c r="R91" s="7">
        <f ca="1">-MAX(FV(Inputs!$B154/12,R$1*12+MthOff,Inputs!$B155,-Inputs!$B153),0)</f>
        <v>0</v>
      </c>
      <c r="S91" s="7">
        <f ca="1">-MAX(FV(Inputs!$B154/12,S$1*12+MthOff,Inputs!$B155,-Inputs!$B153),0)</f>
        <v>0</v>
      </c>
      <c r="T91" s="7">
        <f ca="1">-MAX(FV(Inputs!$B154/12,T$1*12+MthOff,Inputs!$B155,-Inputs!$B153),0)</f>
        <v>0</v>
      </c>
      <c r="U91" s="7">
        <f ca="1">-MAX(FV(Inputs!$B154/12,U$1*12+MthOff,Inputs!$B155,-Inputs!$B153),0)</f>
        <v>0</v>
      </c>
      <c r="V91" s="7">
        <f ca="1">-MAX(FV(Inputs!$B154/12,V$1*12+MthOff,Inputs!$B155,-Inputs!$B153),0)</f>
        <v>0</v>
      </c>
      <c r="W91" s="7">
        <f ca="1">-MAX(FV(Inputs!$B154/12,W$1*12+MthOff,Inputs!$B155,-Inputs!$B153),0)</f>
        <v>0</v>
      </c>
      <c r="X91" s="7">
        <f ca="1">-MAX(FV(Inputs!$B154/12,X$1*12+MthOff,Inputs!$B155,-Inputs!$B153),0)</f>
        <v>0</v>
      </c>
      <c r="Y91" s="7">
        <f ca="1">-MAX(FV(Inputs!$B154/12,Y$1*12+MthOff,Inputs!$B155,-Inputs!$B153),0)</f>
        <v>0</v>
      </c>
      <c r="Z91" s="7">
        <f ca="1">-MAX(FV(Inputs!$B154/12,Z$1*12+MthOff,Inputs!$B155,-Inputs!$B153),0)</f>
        <v>0</v>
      </c>
      <c r="AA91" s="7">
        <f ca="1">-MAX(FV(Inputs!$B154/12,AA$1*12+MthOff,Inputs!$B155,-Inputs!$B153),0)</f>
        <v>0</v>
      </c>
      <c r="AB91" s="7">
        <f ca="1">-MAX(FV(Inputs!$B154/12,AB$1*12+MthOff,Inputs!$B155,-Inputs!$B153),0)</f>
        <v>0</v>
      </c>
      <c r="AC91" s="7">
        <f ca="1">-MAX(FV(Inputs!$B154/12,AC$1*12+MthOff,Inputs!$B155,-Inputs!$B153),0)</f>
        <v>0</v>
      </c>
      <c r="AD91" s="7">
        <f ca="1">-MAX(FV(Inputs!$B154/12,AD$1*12+MthOff,Inputs!$B155,-Inputs!$B153),0)</f>
        <v>0</v>
      </c>
      <c r="AE91" s="7">
        <f ca="1">-MAX(FV(Inputs!$B154/12,AE$1*12+MthOff,Inputs!$B155,-Inputs!$B153),0)</f>
        <v>0</v>
      </c>
      <c r="AF91" s="7">
        <f ca="1">-MAX(FV(Inputs!$B154/12,AF$1*12+MthOff,Inputs!$B155,-Inputs!$B153),0)</f>
        <v>0</v>
      </c>
      <c r="AG91" s="7">
        <f ca="1">-MAX(FV(Inputs!$B154/12,AG$1*12+MthOff,Inputs!$B155,-Inputs!$B153),0)</f>
        <v>0</v>
      </c>
      <c r="AH91" s="7">
        <f ca="1">-MAX(FV(Inputs!$B154/12,AH$1*12+MthOff,Inputs!$B155,-Inputs!$B153),0)</f>
        <v>0</v>
      </c>
      <c r="AI91" s="7">
        <f ca="1">-MAX(FV(Inputs!$B154/12,AI$1*12+MthOff,Inputs!$B155,-Inputs!$B153),0)</f>
        <v>0</v>
      </c>
      <c r="AJ91" s="7">
        <f ca="1">-MAX(FV(Inputs!$B154/12,AJ$1*12+MthOff,Inputs!$B155,-Inputs!$B153),0)</f>
        <v>0</v>
      </c>
      <c r="AK91" s="7">
        <f ca="1">-MAX(FV(Inputs!$B154/12,AK$1*12+MthOff,Inputs!$B155,-Inputs!$B153),0)</f>
        <v>0</v>
      </c>
      <c r="AL91" s="7">
        <f ca="1">-MAX(FV(Inputs!$B154/12,AL$1*12+MthOff,Inputs!$B155,-Inputs!$B153),0)</f>
        <v>0</v>
      </c>
      <c r="AM91" s="7">
        <f ca="1">-MAX(FV(Inputs!$B154/12,AM$1*12+MthOff,Inputs!$B155,-Inputs!$B153),0)</f>
        <v>0</v>
      </c>
    </row>
    <row r="92" spans="1:39" x14ac:dyDescent="0.2">
      <c r="A92" s="3" t="str">
        <f>TEXT(Inputs!$B$93,"")</f>
        <v>Car</v>
      </c>
      <c r="C92" s="7">
        <f ca="1">-MAX(FV(Inputs!$B159/12,C$1*12+MthOff,Inputs!$B160,-Inputs!$B158),0)</f>
        <v>-5311.4222222593407</v>
      </c>
      <c r="D92" s="7">
        <f ca="1">-MAX(FV(Inputs!$B159/12,D$1*12+MthOff,Inputs!$B160,-Inputs!$B158),0)</f>
        <v>-4377.1171044025405</v>
      </c>
      <c r="E92" s="7">
        <f ca="1">-MAX(FV(Inputs!$B159/12,E$1*12+MthOff,Inputs!$B160,-Inputs!$B158),0)</f>
        <v>-3423.9536397318734</v>
      </c>
      <c r="F92" s="7">
        <f ca="1">-MAX(FV(Inputs!$B159/12,F$1*12+MthOff,Inputs!$B160,-Inputs!$B158),0)</f>
        <v>-2451.5511846676886</v>
      </c>
      <c r="G92" s="7">
        <f ca="1">-MAX(FV(Inputs!$B159/12,G$1*12+MthOff,Inputs!$B160,-Inputs!$B158),0)</f>
        <v>-1459.5214125849197</v>
      </c>
      <c r="H92" s="7">
        <f ca="1">-MAX(FV(Inputs!$B159/12,H$1*12+MthOff,Inputs!$B160,-Inputs!$B158),0)</f>
        <v>-447.46815873579635</v>
      </c>
      <c r="I92" s="7">
        <f ca="1">-MAX(FV(Inputs!$B159/12,I$1*12+MthOff,Inputs!$B160,-Inputs!$B158),0)</f>
        <v>0</v>
      </c>
      <c r="J92" s="7">
        <f ca="1">-MAX(FV(Inputs!$B159/12,J$1*12+MthOff,Inputs!$B160,-Inputs!$B158),0)</f>
        <v>0</v>
      </c>
      <c r="K92" s="7">
        <f ca="1">-MAX(FV(Inputs!$B159/12,K$1*12+MthOff,Inputs!$B160,-Inputs!$B158),0)</f>
        <v>0</v>
      </c>
      <c r="L92" s="7">
        <f ca="1">-MAX(FV(Inputs!$B159/12,L$1*12+MthOff,Inputs!$B160,-Inputs!$B158),0)</f>
        <v>0</v>
      </c>
      <c r="M92" s="7">
        <f ca="1">-MAX(FV(Inputs!$B159/12,M$1*12+MthOff,Inputs!$B160,-Inputs!$B158),0)</f>
        <v>0</v>
      </c>
      <c r="N92" s="7">
        <f ca="1">-MAX(FV(Inputs!$B159/12,N$1*12+MthOff,Inputs!$B160,-Inputs!$B158),0)</f>
        <v>0</v>
      </c>
      <c r="O92" s="7">
        <f ca="1">-MAX(FV(Inputs!$B159/12,O$1*12+MthOff,Inputs!$B160,-Inputs!$B158),0)</f>
        <v>0</v>
      </c>
      <c r="P92" s="7">
        <f ca="1">-MAX(FV(Inputs!$B159/12,P$1*12+MthOff,Inputs!$B160,-Inputs!$B158),0)</f>
        <v>0</v>
      </c>
      <c r="Q92" s="7">
        <f ca="1">-MAX(FV(Inputs!$B159/12,Q$1*12+MthOff,Inputs!$B160,-Inputs!$B158),0)</f>
        <v>0</v>
      </c>
      <c r="R92" s="7">
        <f ca="1">-MAX(FV(Inputs!$B159/12,R$1*12+MthOff,Inputs!$B160,-Inputs!$B158),0)</f>
        <v>0</v>
      </c>
      <c r="S92" s="7">
        <f ca="1">-MAX(FV(Inputs!$B159/12,S$1*12+MthOff,Inputs!$B160,-Inputs!$B158),0)</f>
        <v>0</v>
      </c>
      <c r="T92" s="7">
        <f ca="1">-MAX(FV(Inputs!$B159/12,T$1*12+MthOff,Inputs!$B160,-Inputs!$B158),0)</f>
        <v>0</v>
      </c>
      <c r="U92" s="7">
        <f ca="1">-MAX(FV(Inputs!$B159/12,U$1*12+MthOff,Inputs!$B160,-Inputs!$B158),0)</f>
        <v>0</v>
      </c>
      <c r="V92" s="7">
        <f ca="1">-MAX(FV(Inputs!$B159/12,V$1*12+MthOff,Inputs!$B160,-Inputs!$B158),0)</f>
        <v>0</v>
      </c>
      <c r="W92" s="7">
        <f ca="1">-MAX(FV(Inputs!$B159/12,W$1*12+MthOff,Inputs!$B160,-Inputs!$B158),0)</f>
        <v>0</v>
      </c>
      <c r="X92" s="7">
        <f ca="1">-MAX(FV(Inputs!$B159/12,X$1*12+MthOff,Inputs!$B160,-Inputs!$B158),0)</f>
        <v>0</v>
      </c>
      <c r="Y92" s="7">
        <f ca="1">-MAX(FV(Inputs!$B159/12,Y$1*12+MthOff,Inputs!$B160,-Inputs!$B158),0)</f>
        <v>0</v>
      </c>
      <c r="Z92" s="7">
        <f ca="1">-MAX(FV(Inputs!$B159/12,Z$1*12+MthOff,Inputs!$B160,-Inputs!$B158),0)</f>
        <v>0</v>
      </c>
      <c r="AA92" s="7">
        <f ca="1">-MAX(FV(Inputs!$B159/12,AA$1*12+MthOff,Inputs!$B160,-Inputs!$B158),0)</f>
        <v>0</v>
      </c>
      <c r="AB92" s="7">
        <f ca="1">-MAX(FV(Inputs!$B159/12,AB$1*12+MthOff,Inputs!$B160,-Inputs!$B158),0)</f>
        <v>0</v>
      </c>
      <c r="AC92" s="7">
        <f ca="1">-MAX(FV(Inputs!$B159/12,AC$1*12+MthOff,Inputs!$B160,-Inputs!$B158),0)</f>
        <v>0</v>
      </c>
      <c r="AD92" s="7">
        <f ca="1">-MAX(FV(Inputs!$B159/12,AD$1*12+MthOff,Inputs!$B160,-Inputs!$B158),0)</f>
        <v>0</v>
      </c>
      <c r="AE92" s="7">
        <f ca="1">-MAX(FV(Inputs!$B159/12,AE$1*12+MthOff,Inputs!$B160,-Inputs!$B158),0)</f>
        <v>0</v>
      </c>
      <c r="AF92" s="7">
        <f ca="1">-MAX(FV(Inputs!$B159/12,AF$1*12+MthOff,Inputs!$B160,-Inputs!$B158),0)</f>
        <v>0</v>
      </c>
      <c r="AG92" s="7">
        <f ca="1">-MAX(FV(Inputs!$B159/12,AG$1*12+MthOff,Inputs!$B160,-Inputs!$B158),0)</f>
        <v>0</v>
      </c>
      <c r="AH92" s="7">
        <f ca="1">-MAX(FV(Inputs!$B159/12,AH$1*12+MthOff,Inputs!$B160,-Inputs!$B158),0)</f>
        <v>0</v>
      </c>
      <c r="AI92" s="7">
        <f ca="1">-MAX(FV(Inputs!$B159/12,AI$1*12+MthOff,Inputs!$B160,-Inputs!$B158),0)</f>
        <v>0</v>
      </c>
      <c r="AJ92" s="7">
        <f ca="1">-MAX(FV(Inputs!$B159/12,AJ$1*12+MthOff,Inputs!$B160,-Inputs!$B158),0)</f>
        <v>0</v>
      </c>
      <c r="AK92" s="7">
        <f ca="1">-MAX(FV(Inputs!$B159/12,AK$1*12+MthOff,Inputs!$B160,-Inputs!$B158),0)</f>
        <v>0</v>
      </c>
      <c r="AL92" s="7">
        <f ca="1">-MAX(FV(Inputs!$B159/12,AL$1*12+MthOff,Inputs!$B160,-Inputs!$B158),0)</f>
        <v>0</v>
      </c>
      <c r="AM92" s="7">
        <f ca="1">-MAX(FV(Inputs!$B159/12,AM$1*12+MthOff,Inputs!$B160,-Inputs!$B158),0)</f>
        <v>0</v>
      </c>
    </row>
    <row r="93" spans="1:39" x14ac:dyDescent="0.2">
      <c r="A93" s="3" t="str">
        <f>TEXT(Inputs!$B$98,"")</f>
        <v>Painting</v>
      </c>
      <c r="C93" s="7">
        <f ca="1">-MAX(FV(Inputs!$B164/12,C$1*12+MthOff,Inputs!$B165,-Inputs!$B163),0)</f>
        <v>-6642.0499231875183</v>
      </c>
      <c r="D93" s="7">
        <f ca="1">-MAX(FV(Inputs!$B164/12,D$1*12+MthOff,Inputs!$B165,-Inputs!$B163),0)</f>
        <v>-5447.0128666310102</v>
      </c>
      <c r="E93" s="7">
        <f ca="1">-MAX(FV(Inputs!$B164/12,E$1*12+MthOff,Inputs!$B165,-Inputs!$B163),0)</f>
        <v>-4190.8354462220714</v>
      </c>
      <c r="F93" s="7">
        <f ca="1">-MAX(FV(Inputs!$B164/12,F$1*12+MthOff,Inputs!$B165,-Inputs!$B163),0)</f>
        <v>-2870.389604908838</v>
      </c>
      <c r="G93" s="7">
        <f ca="1">-MAX(FV(Inputs!$B164/12,G$1*12+MthOff,Inputs!$B165,-Inputs!$B163),0)</f>
        <v>-1482.3872483039713</v>
      </c>
      <c r="H93" s="7">
        <f ca="1">-MAX(FV(Inputs!$B164/12,H$1*12+MthOff,Inputs!$B165,-Inputs!$B163),0)</f>
        <v>-23.372056870879533</v>
      </c>
      <c r="I93" s="7">
        <f ca="1">-MAX(FV(Inputs!$B164/12,I$1*12+MthOff,Inputs!$B165,-Inputs!$B163),0)</f>
        <v>0</v>
      </c>
      <c r="J93" s="7">
        <f ca="1">-MAX(FV(Inputs!$B164/12,J$1*12+MthOff,Inputs!$B165,-Inputs!$B163),0)</f>
        <v>0</v>
      </c>
      <c r="K93" s="7">
        <f ca="1">-MAX(FV(Inputs!$B164/12,K$1*12+MthOff,Inputs!$B165,-Inputs!$B163),0)</f>
        <v>0</v>
      </c>
      <c r="L93" s="7">
        <f ca="1">-MAX(FV(Inputs!$B164/12,L$1*12+MthOff,Inputs!$B165,-Inputs!$B163),0)</f>
        <v>0</v>
      </c>
      <c r="M93" s="7">
        <f ca="1">-MAX(FV(Inputs!$B164/12,M$1*12+MthOff,Inputs!$B165,-Inputs!$B163),0)</f>
        <v>0</v>
      </c>
      <c r="N93" s="7">
        <f ca="1">-MAX(FV(Inputs!$B164/12,N$1*12+MthOff,Inputs!$B165,-Inputs!$B163),0)</f>
        <v>0</v>
      </c>
      <c r="O93" s="7">
        <f ca="1">-MAX(FV(Inputs!$B164/12,O$1*12+MthOff,Inputs!$B165,-Inputs!$B163),0)</f>
        <v>0</v>
      </c>
      <c r="P93" s="7">
        <f ca="1">-MAX(FV(Inputs!$B164/12,P$1*12+MthOff,Inputs!$B165,-Inputs!$B163),0)</f>
        <v>0</v>
      </c>
      <c r="Q93" s="7">
        <f ca="1">-MAX(FV(Inputs!$B164/12,Q$1*12+MthOff,Inputs!$B165,-Inputs!$B163),0)</f>
        <v>0</v>
      </c>
      <c r="R93" s="7">
        <f ca="1">-MAX(FV(Inputs!$B164/12,R$1*12+MthOff,Inputs!$B165,-Inputs!$B163),0)</f>
        <v>0</v>
      </c>
      <c r="S93" s="7">
        <f ca="1">-MAX(FV(Inputs!$B164/12,S$1*12+MthOff,Inputs!$B165,-Inputs!$B163),0)</f>
        <v>0</v>
      </c>
      <c r="T93" s="7">
        <f ca="1">-MAX(FV(Inputs!$B164/12,T$1*12+MthOff,Inputs!$B165,-Inputs!$B163),0)</f>
        <v>0</v>
      </c>
      <c r="U93" s="7">
        <f ca="1">-MAX(FV(Inputs!$B164/12,U$1*12+MthOff,Inputs!$B165,-Inputs!$B163),0)</f>
        <v>0</v>
      </c>
      <c r="V93" s="7">
        <f ca="1">-MAX(FV(Inputs!$B164/12,V$1*12+MthOff,Inputs!$B165,-Inputs!$B163),0)</f>
        <v>0</v>
      </c>
      <c r="W93" s="7">
        <f ca="1">-MAX(FV(Inputs!$B164/12,W$1*12+MthOff,Inputs!$B165,-Inputs!$B163),0)</f>
        <v>0</v>
      </c>
      <c r="X93" s="7">
        <f ca="1">-MAX(FV(Inputs!$B164/12,X$1*12+MthOff,Inputs!$B165,-Inputs!$B163),0)</f>
        <v>0</v>
      </c>
      <c r="Y93" s="7">
        <f ca="1">-MAX(FV(Inputs!$B164/12,Y$1*12+MthOff,Inputs!$B165,-Inputs!$B163),0)</f>
        <v>0</v>
      </c>
      <c r="Z93" s="7">
        <f ca="1">-MAX(FV(Inputs!$B164/12,Z$1*12+MthOff,Inputs!$B165,-Inputs!$B163),0)</f>
        <v>0</v>
      </c>
      <c r="AA93" s="7">
        <f ca="1">-MAX(FV(Inputs!$B164/12,AA$1*12+MthOff,Inputs!$B165,-Inputs!$B163),0)</f>
        <v>0</v>
      </c>
      <c r="AB93" s="7">
        <f ca="1">-MAX(FV(Inputs!$B164/12,AB$1*12+MthOff,Inputs!$B165,-Inputs!$B163),0)</f>
        <v>0</v>
      </c>
      <c r="AC93" s="7">
        <f ca="1">-MAX(FV(Inputs!$B164/12,AC$1*12+MthOff,Inputs!$B165,-Inputs!$B163),0)</f>
        <v>0</v>
      </c>
      <c r="AD93" s="7">
        <f ca="1">-MAX(FV(Inputs!$B164/12,AD$1*12+MthOff,Inputs!$B165,-Inputs!$B163),0)</f>
        <v>0</v>
      </c>
      <c r="AE93" s="7">
        <f ca="1">-MAX(FV(Inputs!$B164/12,AE$1*12+MthOff,Inputs!$B165,-Inputs!$B163),0)</f>
        <v>0</v>
      </c>
      <c r="AF93" s="7">
        <f ca="1">-MAX(FV(Inputs!$B164/12,AF$1*12+MthOff,Inputs!$B165,-Inputs!$B163),0)</f>
        <v>0</v>
      </c>
      <c r="AG93" s="7">
        <f ca="1">-MAX(FV(Inputs!$B164/12,AG$1*12+MthOff,Inputs!$B165,-Inputs!$B163),0)</f>
        <v>0</v>
      </c>
      <c r="AH93" s="7">
        <f ca="1">-MAX(FV(Inputs!$B164/12,AH$1*12+MthOff,Inputs!$B165,-Inputs!$B163),0)</f>
        <v>0</v>
      </c>
      <c r="AI93" s="7">
        <f ca="1">-MAX(FV(Inputs!$B164/12,AI$1*12+MthOff,Inputs!$B165,-Inputs!$B163),0)</f>
        <v>0</v>
      </c>
      <c r="AJ93" s="7">
        <f ca="1">-MAX(FV(Inputs!$B164/12,AJ$1*12+MthOff,Inputs!$B165,-Inputs!$B163),0)</f>
        <v>0</v>
      </c>
      <c r="AK93" s="7">
        <f ca="1">-MAX(FV(Inputs!$B164/12,AK$1*12+MthOff,Inputs!$B165,-Inputs!$B163),0)</f>
        <v>0</v>
      </c>
      <c r="AL93" s="7">
        <f ca="1">-MAX(FV(Inputs!$B164/12,AL$1*12+MthOff,Inputs!$B165,-Inputs!$B163),0)</f>
        <v>0</v>
      </c>
      <c r="AM93" s="7">
        <f ca="1">-MAX(FV(Inputs!$B164/12,AM$1*12+MthOff,Inputs!$B165,-Inputs!$B163),0)</f>
        <v>0</v>
      </c>
    </row>
    <row r="94" spans="1:39" x14ac:dyDescent="0.2">
      <c r="A94" s="3" t="str">
        <f>TEXT(Inputs!$B$103,"")</f>
        <v>Boat</v>
      </c>
      <c r="C94" s="7">
        <f ca="1">-MAX(FV(Inputs!$B169/12,C$1*12+MthOff,Inputs!$B170,-Inputs!$B168),0)</f>
        <v>-36106.782888498572</v>
      </c>
      <c r="D94" s="7">
        <f ca="1">-MAX(FV(Inputs!$B169/12,D$1*12+MthOff,Inputs!$B170,-Inputs!$B168),0)</f>
        <v>-30636.379329838361</v>
      </c>
      <c r="E94" s="7">
        <f ca="1">-MAX(FV(Inputs!$B169/12,E$1*12+MthOff,Inputs!$B170,-Inputs!$B168),0)</f>
        <v>-24828.573249664209</v>
      </c>
      <c r="F94" s="7">
        <f ca="1">-MAX(FV(Inputs!$B169/12,F$1*12+MthOff,Inputs!$B170,-Inputs!$B168),0)</f>
        <v>-18662.55439873159</v>
      </c>
      <c r="G94" s="7">
        <f ca="1">-MAX(FV(Inputs!$B169/12,G$1*12+MthOff,Inputs!$B170,-Inputs!$B168),0)</f>
        <v>-12116.228997158192</v>
      </c>
      <c r="H94" s="7">
        <f ca="1">-MAX(FV(Inputs!$B169/12,H$1*12+MthOff,Inputs!$B170,-Inputs!$B168),0)</f>
        <v>-5166.1405690627944</v>
      </c>
      <c r="I94" s="7">
        <f ca="1">-MAX(FV(Inputs!$B169/12,I$1*12+MthOff,Inputs!$B170,-Inputs!$B168),0)</f>
        <v>0</v>
      </c>
      <c r="J94" s="7">
        <f ca="1">-MAX(FV(Inputs!$B169/12,J$1*12+MthOff,Inputs!$B170,-Inputs!$B168),0)</f>
        <v>0</v>
      </c>
      <c r="K94" s="7">
        <f ca="1">-MAX(FV(Inputs!$B169/12,K$1*12+MthOff,Inputs!$B170,-Inputs!$B168),0)</f>
        <v>0</v>
      </c>
      <c r="L94" s="7">
        <f ca="1">-MAX(FV(Inputs!$B169/12,L$1*12+MthOff,Inputs!$B170,-Inputs!$B168),0)</f>
        <v>0</v>
      </c>
      <c r="M94" s="7">
        <f ca="1">-MAX(FV(Inputs!$B169/12,M$1*12+MthOff,Inputs!$B170,-Inputs!$B168),0)</f>
        <v>0</v>
      </c>
      <c r="N94" s="7">
        <f ca="1">-MAX(FV(Inputs!$B169/12,N$1*12+MthOff,Inputs!$B170,-Inputs!$B168),0)</f>
        <v>0</v>
      </c>
      <c r="O94" s="7">
        <f ca="1">-MAX(FV(Inputs!$B169/12,O$1*12+MthOff,Inputs!$B170,-Inputs!$B168),0)</f>
        <v>0</v>
      </c>
      <c r="P94" s="7">
        <f ca="1">-MAX(FV(Inputs!$B169/12,P$1*12+MthOff,Inputs!$B170,-Inputs!$B168),0)</f>
        <v>0</v>
      </c>
      <c r="Q94" s="7">
        <f ca="1">-MAX(FV(Inputs!$B169/12,Q$1*12+MthOff,Inputs!$B170,-Inputs!$B168),0)</f>
        <v>0</v>
      </c>
      <c r="R94" s="7">
        <f ca="1">-MAX(FV(Inputs!$B169/12,R$1*12+MthOff,Inputs!$B170,-Inputs!$B168),0)</f>
        <v>0</v>
      </c>
      <c r="S94" s="7">
        <f ca="1">-MAX(FV(Inputs!$B169/12,S$1*12+MthOff,Inputs!$B170,-Inputs!$B168),0)</f>
        <v>0</v>
      </c>
      <c r="T94" s="7">
        <f ca="1">-MAX(FV(Inputs!$B169/12,T$1*12+MthOff,Inputs!$B170,-Inputs!$B168),0)</f>
        <v>0</v>
      </c>
      <c r="U94" s="7">
        <f ca="1">-MAX(FV(Inputs!$B169/12,U$1*12+MthOff,Inputs!$B170,-Inputs!$B168),0)</f>
        <v>0</v>
      </c>
      <c r="V94" s="7">
        <f ca="1">-MAX(FV(Inputs!$B169/12,V$1*12+MthOff,Inputs!$B170,-Inputs!$B168),0)</f>
        <v>0</v>
      </c>
      <c r="W94" s="7">
        <f ca="1">-MAX(FV(Inputs!$B169/12,W$1*12+MthOff,Inputs!$B170,-Inputs!$B168),0)</f>
        <v>0</v>
      </c>
      <c r="X94" s="7">
        <f ca="1">-MAX(FV(Inputs!$B169/12,X$1*12+MthOff,Inputs!$B170,-Inputs!$B168),0)</f>
        <v>0</v>
      </c>
      <c r="Y94" s="7">
        <f ca="1">-MAX(FV(Inputs!$B169/12,Y$1*12+MthOff,Inputs!$B170,-Inputs!$B168),0)</f>
        <v>0</v>
      </c>
      <c r="Z94" s="7">
        <f ca="1">-MAX(FV(Inputs!$B169/12,Z$1*12+MthOff,Inputs!$B170,-Inputs!$B168),0)</f>
        <v>0</v>
      </c>
      <c r="AA94" s="7">
        <f ca="1">-MAX(FV(Inputs!$B169/12,AA$1*12+MthOff,Inputs!$B170,-Inputs!$B168),0)</f>
        <v>0</v>
      </c>
      <c r="AB94" s="7">
        <f ca="1">-MAX(FV(Inputs!$B169/12,AB$1*12+MthOff,Inputs!$B170,-Inputs!$B168),0)</f>
        <v>0</v>
      </c>
      <c r="AC94" s="7">
        <f ca="1">-MAX(FV(Inputs!$B169/12,AC$1*12+MthOff,Inputs!$B170,-Inputs!$B168),0)</f>
        <v>0</v>
      </c>
      <c r="AD94" s="7">
        <f ca="1">-MAX(FV(Inputs!$B169/12,AD$1*12+MthOff,Inputs!$B170,-Inputs!$B168),0)</f>
        <v>0</v>
      </c>
      <c r="AE94" s="7">
        <f ca="1">-MAX(FV(Inputs!$B169/12,AE$1*12+MthOff,Inputs!$B170,-Inputs!$B168),0)</f>
        <v>0</v>
      </c>
      <c r="AF94" s="7">
        <f ca="1">-MAX(FV(Inputs!$B169/12,AF$1*12+MthOff,Inputs!$B170,-Inputs!$B168),0)</f>
        <v>0</v>
      </c>
      <c r="AG94" s="7">
        <f ca="1">-MAX(FV(Inputs!$B169/12,AG$1*12+MthOff,Inputs!$B170,-Inputs!$B168),0)</f>
        <v>0</v>
      </c>
      <c r="AH94" s="7">
        <f ca="1">-MAX(FV(Inputs!$B169/12,AH$1*12+MthOff,Inputs!$B170,-Inputs!$B168),0)</f>
        <v>0</v>
      </c>
      <c r="AI94" s="7">
        <f ca="1">-MAX(FV(Inputs!$B169/12,AI$1*12+MthOff,Inputs!$B170,-Inputs!$B168),0)</f>
        <v>0</v>
      </c>
      <c r="AJ94" s="7">
        <f ca="1">-MAX(FV(Inputs!$B169/12,AJ$1*12+MthOff,Inputs!$B170,-Inputs!$B168),0)</f>
        <v>0</v>
      </c>
      <c r="AK94" s="7">
        <f ca="1">-MAX(FV(Inputs!$B169/12,AK$1*12+MthOff,Inputs!$B170,-Inputs!$B168),0)</f>
        <v>0</v>
      </c>
      <c r="AL94" s="7">
        <f ca="1">-MAX(FV(Inputs!$B169/12,AL$1*12+MthOff,Inputs!$B170,-Inputs!$B168),0)</f>
        <v>0</v>
      </c>
      <c r="AM94" s="7">
        <f ca="1">-MAX(FV(Inputs!$B169/12,AM$1*12+MthOff,Inputs!$B170,-Inputs!$B168),0)</f>
        <v>0</v>
      </c>
    </row>
    <row r="95" spans="1:39" x14ac:dyDescent="0.2">
      <c r="A95" s="3" t="str">
        <f>TEXT(Inputs!$B$108,"")</f>
        <v>Antiques</v>
      </c>
      <c r="C95" s="7">
        <f ca="1">-MAX(FV(Inputs!$B174/12,C$1*12+MthOff,Inputs!$B175,-Inputs!$B173),0)</f>
        <v>-2886.4020391451668</v>
      </c>
      <c r="D95" s="7">
        <f ca="1">-MAX(FV(Inputs!$B174/12,D$1*12+MthOff,Inputs!$B175,-Inputs!$B173),0)</f>
        <v>-1635.892615008569</v>
      </c>
      <c r="E95" s="7">
        <f ca="1">-MAX(FV(Inputs!$B174/12,E$1*12+MthOff,Inputs!$B175,-Inputs!$B173),0)</f>
        <v>-347.34775010749127</v>
      </c>
      <c r="F95" s="7">
        <f ca="1">-MAX(FV(Inputs!$B174/12,F$1*12+MthOff,Inputs!$B175,-Inputs!$B173),0)</f>
        <v>0</v>
      </c>
      <c r="G95" s="7">
        <f ca="1">-MAX(FV(Inputs!$B174/12,G$1*12+MthOff,Inputs!$B175,-Inputs!$B173),0)</f>
        <v>0</v>
      </c>
      <c r="H95" s="7">
        <f ca="1">-MAX(FV(Inputs!$B174/12,H$1*12+MthOff,Inputs!$B175,-Inputs!$B173),0)</f>
        <v>0</v>
      </c>
      <c r="I95" s="7">
        <f ca="1">-MAX(FV(Inputs!$B174/12,I$1*12+MthOff,Inputs!$B175,-Inputs!$B173),0)</f>
        <v>0</v>
      </c>
      <c r="J95" s="7">
        <f ca="1">-MAX(FV(Inputs!$B174/12,J$1*12+MthOff,Inputs!$B175,-Inputs!$B173),0)</f>
        <v>0</v>
      </c>
      <c r="K95" s="7">
        <f ca="1">-MAX(FV(Inputs!$B174/12,K$1*12+MthOff,Inputs!$B175,-Inputs!$B173),0)</f>
        <v>0</v>
      </c>
      <c r="L95" s="7">
        <f ca="1">-MAX(FV(Inputs!$B174/12,L$1*12+MthOff,Inputs!$B175,-Inputs!$B173),0)</f>
        <v>0</v>
      </c>
      <c r="M95" s="7">
        <f ca="1">-MAX(FV(Inputs!$B174/12,M$1*12+MthOff,Inputs!$B175,-Inputs!$B173),0)</f>
        <v>0</v>
      </c>
      <c r="N95" s="7">
        <f ca="1">-MAX(FV(Inputs!$B174/12,N$1*12+MthOff,Inputs!$B175,-Inputs!$B173),0)</f>
        <v>0</v>
      </c>
      <c r="O95" s="7">
        <f ca="1">-MAX(FV(Inputs!$B174/12,O$1*12+MthOff,Inputs!$B175,-Inputs!$B173),0)</f>
        <v>0</v>
      </c>
      <c r="P95" s="7">
        <f ca="1">-MAX(FV(Inputs!$B174/12,P$1*12+MthOff,Inputs!$B175,-Inputs!$B173),0)</f>
        <v>0</v>
      </c>
      <c r="Q95" s="7">
        <f ca="1">-MAX(FV(Inputs!$B174/12,Q$1*12+MthOff,Inputs!$B175,-Inputs!$B173),0)</f>
        <v>0</v>
      </c>
      <c r="R95" s="7">
        <f ca="1">-MAX(FV(Inputs!$B174/12,R$1*12+MthOff,Inputs!$B175,-Inputs!$B173),0)</f>
        <v>0</v>
      </c>
      <c r="S95" s="7">
        <f ca="1">-MAX(FV(Inputs!$B174/12,S$1*12+MthOff,Inputs!$B175,-Inputs!$B173),0)</f>
        <v>0</v>
      </c>
      <c r="T95" s="7">
        <f ca="1">-MAX(FV(Inputs!$B174/12,T$1*12+MthOff,Inputs!$B175,-Inputs!$B173),0)</f>
        <v>0</v>
      </c>
      <c r="U95" s="7">
        <f ca="1">-MAX(FV(Inputs!$B174/12,U$1*12+MthOff,Inputs!$B175,-Inputs!$B173),0)</f>
        <v>0</v>
      </c>
      <c r="V95" s="7">
        <f ca="1">-MAX(FV(Inputs!$B174/12,V$1*12+MthOff,Inputs!$B175,-Inputs!$B173),0)</f>
        <v>0</v>
      </c>
      <c r="W95" s="7">
        <f ca="1">-MAX(FV(Inputs!$B174/12,W$1*12+MthOff,Inputs!$B175,-Inputs!$B173),0)</f>
        <v>0</v>
      </c>
      <c r="X95" s="7">
        <f ca="1">-MAX(FV(Inputs!$B174/12,X$1*12+MthOff,Inputs!$B175,-Inputs!$B173),0)</f>
        <v>0</v>
      </c>
      <c r="Y95" s="7">
        <f ca="1">-MAX(FV(Inputs!$B174/12,Y$1*12+MthOff,Inputs!$B175,-Inputs!$B173),0)</f>
        <v>0</v>
      </c>
      <c r="Z95" s="7">
        <f ca="1">-MAX(FV(Inputs!$B174/12,Z$1*12+MthOff,Inputs!$B175,-Inputs!$B173),0)</f>
        <v>0</v>
      </c>
      <c r="AA95" s="7">
        <f ca="1">-MAX(FV(Inputs!$B174/12,AA$1*12+MthOff,Inputs!$B175,-Inputs!$B173),0)</f>
        <v>0</v>
      </c>
      <c r="AB95" s="7">
        <f ca="1">-MAX(FV(Inputs!$B174/12,AB$1*12+MthOff,Inputs!$B175,-Inputs!$B173),0)</f>
        <v>0</v>
      </c>
      <c r="AC95" s="7">
        <f ca="1">-MAX(FV(Inputs!$B174/12,AC$1*12+MthOff,Inputs!$B175,-Inputs!$B173),0)</f>
        <v>0</v>
      </c>
      <c r="AD95" s="7">
        <f ca="1">-MAX(FV(Inputs!$B174/12,AD$1*12+MthOff,Inputs!$B175,-Inputs!$B173),0)</f>
        <v>0</v>
      </c>
      <c r="AE95" s="7">
        <f ca="1">-MAX(FV(Inputs!$B174/12,AE$1*12+MthOff,Inputs!$B175,-Inputs!$B173),0)</f>
        <v>0</v>
      </c>
      <c r="AF95" s="7">
        <f ca="1">-MAX(FV(Inputs!$B174/12,AF$1*12+MthOff,Inputs!$B175,-Inputs!$B173),0)</f>
        <v>0</v>
      </c>
      <c r="AG95" s="7">
        <f ca="1">-MAX(FV(Inputs!$B174/12,AG$1*12+MthOff,Inputs!$B175,-Inputs!$B173),0)</f>
        <v>0</v>
      </c>
      <c r="AH95" s="7">
        <f ca="1">-MAX(FV(Inputs!$B174/12,AH$1*12+MthOff,Inputs!$B175,-Inputs!$B173),0)</f>
        <v>0</v>
      </c>
      <c r="AI95" s="7">
        <f ca="1">-MAX(FV(Inputs!$B174/12,AI$1*12+MthOff,Inputs!$B175,-Inputs!$B173),0)</f>
        <v>0</v>
      </c>
      <c r="AJ95" s="7">
        <f ca="1">-MAX(FV(Inputs!$B174/12,AJ$1*12+MthOff,Inputs!$B175,-Inputs!$B173),0)</f>
        <v>0</v>
      </c>
      <c r="AK95" s="7">
        <f ca="1">-MAX(FV(Inputs!$B174/12,AK$1*12+MthOff,Inputs!$B175,-Inputs!$B173),0)</f>
        <v>0</v>
      </c>
      <c r="AL95" s="7">
        <f ca="1">-MAX(FV(Inputs!$B174/12,AL$1*12+MthOff,Inputs!$B175,-Inputs!$B173),0)</f>
        <v>0</v>
      </c>
      <c r="AM95" s="7">
        <f ca="1">-MAX(FV(Inputs!$B174/12,AM$1*12+MthOff,Inputs!$B175,-Inputs!$B173),0)</f>
        <v>0</v>
      </c>
    </row>
    <row r="96" spans="1:39" x14ac:dyDescent="0.2">
      <c r="A96" s="4" t="s">
        <v>33</v>
      </c>
      <c r="C96" s="7">
        <f ca="1">-MAX(FV(Inputs!$B179/12,C$1*12+MthOff,Inputs!$B180,-Inputs!$B178),0)</f>
        <v>-3724.5365251296162</v>
      </c>
      <c r="D96" s="7">
        <f ca="1">-MAX(FV(Inputs!$B179/12,D$1*12+MthOff,Inputs!$B180,-Inputs!$B178),0)</f>
        <v>-3337.4796695640352</v>
      </c>
      <c r="E96" s="7">
        <f ca="1">-MAX(FV(Inputs!$B179/12,E$1*12+MthOff,Inputs!$B180,-Inputs!$B178),0)</f>
        <v>-2926.5499940800146</v>
      </c>
      <c r="F96" s="7">
        <f ca="1">-MAX(FV(Inputs!$B179/12,F$1*12+MthOff,Inputs!$B180,-Inputs!$B178),0)</f>
        <v>-2490.2750753819519</v>
      </c>
      <c r="G96" s="7">
        <f ca="1">-MAX(FV(Inputs!$B179/12,G$1*12+MthOff,Inputs!$B180,-Inputs!$B178),0)</f>
        <v>-2027.0916743272305</v>
      </c>
      <c r="H96" s="7">
        <f ca="1">-MAX(FV(Inputs!$B179/12,H$1*12+MthOff,Inputs!$B180,-Inputs!$B178),0)</f>
        <v>-1535.3401346034998</v>
      </c>
      <c r="I96" s="7">
        <f ca="1">-MAX(FV(Inputs!$B179/12,I$1*12+MthOff,Inputs!$B180,-Inputs!$B178),0)</f>
        <v>-1013.2584359286093</v>
      </c>
      <c r="J96" s="7">
        <f ca="1">-MAX(FV(Inputs!$B179/12,J$1*12+MthOff,Inputs!$B180,-Inputs!$B178),0)</f>
        <v>-458.97588046495366</v>
      </c>
      <c r="K96" s="7">
        <f ca="1">-MAX(FV(Inputs!$B179/12,K$1*12+MthOff,Inputs!$B180,-Inputs!$B178),0)</f>
        <v>0</v>
      </c>
      <c r="L96" s="7">
        <f ca="1">-MAX(FV(Inputs!$B179/12,L$1*12+MthOff,Inputs!$B180,-Inputs!$B178),0)</f>
        <v>0</v>
      </c>
      <c r="M96" s="7">
        <f ca="1">-MAX(FV(Inputs!$B179/12,M$1*12+MthOff,Inputs!$B180,-Inputs!$B178),0)</f>
        <v>0</v>
      </c>
      <c r="N96" s="7">
        <f ca="1">-MAX(FV(Inputs!$B179/12,N$1*12+MthOff,Inputs!$B180,-Inputs!$B178),0)</f>
        <v>0</v>
      </c>
      <c r="O96" s="7">
        <f ca="1">-MAX(FV(Inputs!$B179/12,O$1*12+MthOff,Inputs!$B180,-Inputs!$B178),0)</f>
        <v>0</v>
      </c>
      <c r="P96" s="7">
        <f ca="1">-MAX(FV(Inputs!$B179/12,P$1*12+MthOff,Inputs!$B180,-Inputs!$B178),0)</f>
        <v>0</v>
      </c>
      <c r="Q96" s="7">
        <f ca="1">-MAX(FV(Inputs!$B179/12,Q$1*12+MthOff,Inputs!$B180,-Inputs!$B178),0)</f>
        <v>0</v>
      </c>
      <c r="R96" s="7">
        <f ca="1">-MAX(FV(Inputs!$B179/12,R$1*12+MthOff,Inputs!$B180,-Inputs!$B178),0)</f>
        <v>0</v>
      </c>
      <c r="S96" s="7">
        <f ca="1">-MAX(FV(Inputs!$B179/12,S$1*12+MthOff,Inputs!$B180,-Inputs!$B178),0)</f>
        <v>0</v>
      </c>
      <c r="T96" s="7">
        <f ca="1">-MAX(FV(Inputs!$B179/12,T$1*12+MthOff,Inputs!$B180,-Inputs!$B178),0)</f>
        <v>0</v>
      </c>
      <c r="U96" s="7">
        <f ca="1">-MAX(FV(Inputs!$B179/12,U$1*12+MthOff,Inputs!$B180,-Inputs!$B178),0)</f>
        <v>0</v>
      </c>
      <c r="V96" s="7">
        <f ca="1">-MAX(FV(Inputs!$B179/12,V$1*12+MthOff,Inputs!$B180,-Inputs!$B178),0)</f>
        <v>0</v>
      </c>
      <c r="W96" s="7">
        <f ca="1">-MAX(FV(Inputs!$B179/12,W$1*12+MthOff,Inputs!$B180,-Inputs!$B178),0)</f>
        <v>0</v>
      </c>
      <c r="X96" s="7">
        <f ca="1">-MAX(FV(Inputs!$B179/12,X$1*12+MthOff,Inputs!$B180,-Inputs!$B178),0)</f>
        <v>0</v>
      </c>
      <c r="Y96" s="7">
        <f ca="1">-MAX(FV(Inputs!$B179/12,Y$1*12+MthOff,Inputs!$B180,-Inputs!$B178),0)</f>
        <v>0</v>
      </c>
      <c r="Z96" s="7">
        <f ca="1">-MAX(FV(Inputs!$B179/12,Z$1*12+MthOff,Inputs!$B180,-Inputs!$B178),0)</f>
        <v>0</v>
      </c>
      <c r="AA96" s="7">
        <f ca="1">-MAX(FV(Inputs!$B179/12,AA$1*12+MthOff,Inputs!$B180,-Inputs!$B178),0)</f>
        <v>0</v>
      </c>
      <c r="AB96" s="7">
        <f ca="1">-MAX(FV(Inputs!$B179/12,AB$1*12+MthOff,Inputs!$B180,-Inputs!$B178),0)</f>
        <v>0</v>
      </c>
      <c r="AC96" s="7">
        <f ca="1">-MAX(FV(Inputs!$B179/12,AC$1*12+MthOff,Inputs!$B180,-Inputs!$B178),0)</f>
        <v>0</v>
      </c>
      <c r="AD96" s="7">
        <f ca="1">-MAX(FV(Inputs!$B179/12,AD$1*12+MthOff,Inputs!$B180,-Inputs!$B178),0)</f>
        <v>0</v>
      </c>
      <c r="AE96" s="7">
        <f ca="1">-MAX(FV(Inputs!$B179/12,AE$1*12+MthOff,Inputs!$B180,-Inputs!$B178),0)</f>
        <v>0</v>
      </c>
      <c r="AF96" s="7">
        <f ca="1">-MAX(FV(Inputs!$B179/12,AF$1*12+MthOff,Inputs!$B180,-Inputs!$B178),0)</f>
        <v>0</v>
      </c>
      <c r="AG96" s="7">
        <f ca="1">-MAX(FV(Inputs!$B179/12,AG$1*12+MthOff,Inputs!$B180,-Inputs!$B178),0)</f>
        <v>0</v>
      </c>
      <c r="AH96" s="7">
        <f ca="1">-MAX(FV(Inputs!$B179/12,AH$1*12+MthOff,Inputs!$B180,-Inputs!$B178),0)</f>
        <v>0</v>
      </c>
      <c r="AI96" s="7">
        <f ca="1">-MAX(FV(Inputs!$B179/12,AI$1*12+MthOff,Inputs!$B180,-Inputs!$B178),0)</f>
        <v>0</v>
      </c>
      <c r="AJ96" s="7">
        <f ca="1">-MAX(FV(Inputs!$B179/12,AJ$1*12+MthOff,Inputs!$B180,-Inputs!$B178),0)</f>
        <v>0</v>
      </c>
      <c r="AK96" s="7">
        <f ca="1">-MAX(FV(Inputs!$B179/12,AK$1*12+MthOff,Inputs!$B180,-Inputs!$B178),0)</f>
        <v>0</v>
      </c>
      <c r="AL96" s="7">
        <f ca="1">-MAX(FV(Inputs!$B179/12,AL$1*12+MthOff,Inputs!$B180,-Inputs!$B178),0)</f>
        <v>0</v>
      </c>
      <c r="AM96" s="7">
        <f ca="1">-MAX(FV(Inputs!$B179/12,AM$1*12+MthOff,Inputs!$B180,-Inputs!$B178),0)</f>
        <v>0</v>
      </c>
    </row>
    <row r="97" spans="1:44" x14ac:dyDescent="0.2">
      <c r="A97" s="4"/>
      <c r="C97" s="9">
        <f t="shared" ref="C97:AM97" ca="1" si="49">SUM(C68:C96)</f>
        <v>1680453.1852331229</v>
      </c>
      <c r="D97" s="9">
        <f t="shared" ca="1" si="49"/>
        <v>1747067.9844310579</v>
      </c>
      <c r="E97" s="9">
        <f t="shared" ca="1" si="49"/>
        <v>1834500.4505989298</v>
      </c>
      <c r="F97" s="9">
        <f t="shared" ca="1" si="49"/>
        <v>1902052.2239453536</v>
      </c>
      <c r="G97" s="9">
        <f t="shared" ca="1" si="49"/>
        <v>1918011.5787381453</v>
      </c>
      <c r="H97" s="9">
        <f t="shared" ca="1" si="49"/>
        <v>2022411.9314857356</v>
      </c>
      <c r="I97" s="9">
        <f t="shared" ca="1" si="49"/>
        <v>2122401.4152869554</v>
      </c>
      <c r="J97" s="9">
        <f t="shared" ca="1" si="49"/>
        <v>2241677.3415042977</v>
      </c>
      <c r="K97" s="9">
        <f t="shared" ca="1" si="49"/>
        <v>2349132.1587368511</v>
      </c>
      <c r="L97" s="9">
        <f t="shared" ca="1" si="49"/>
        <v>2544794.5008876659</v>
      </c>
      <c r="M97" s="9">
        <f t="shared" ca="1" si="49"/>
        <v>2649941.2126468173</v>
      </c>
      <c r="N97" s="9">
        <f t="shared" ca="1" si="49"/>
        <v>2794950.2867713384</v>
      </c>
      <c r="O97" s="9">
        <f t="shared" ca="1" si="49"/>
        <v>2958395.7698345711</v>
      </c>
      <c r="P97" s="9">
        <f t="shared" ca="1" si="49"/>
        <v>3129804.9746498452</v>
      </c>
      <c r="Q97" s="9">
        <f t="shared" ca="1" si="49"/>
        <v>3309465.4942626706</v>
      </c>
      <c r="R97" s="9">
        <f t="shared" ca="1" si="49"/>
        <v>3503873.6100133276</v>
      </c>
      <c r="S97" s="9">
        <f t="shared" ca="1" si="49"/>
        <v>3708032.2331689494</v>
      </c>
      <c r="T97" s="9">
        <f t="shared" ca="1" si="49"/>
        <v>3813004.9918801524</v>
      </c>
      <c r="U97" s="9">
        <f t="shared" ca="1" si="49"/>
        <v>3930082.7499404456</v>
      </c>
      <c r="V97" s="9">
        <f t="shared" ca="1" si="49"/>
        <v>4007595.1179999337</v>
      </c>
      <c r="W97" s="9">
        <f t="shared" ca="1" si="49"/>
        <v>4134248.7733800956</v>
      </c>
      <c r="X97" s="9">
        <f t="shared" ca="1" si="49"/>
        <v>4266399.8669676967</v>
      </c>
      <c r="Y97" s="9">
        <f t="shared" ca="1" si="49"/>
        <v>4379260.466412968</v>
      </c>
      <c r="Z97" s="9">
        <f t="shared" ca="1" si="49"/>
        <v>4496380.1346510015</v>
      </c>
      <c r="AA97" s="9">
        <f t="shared" ca="1" si="49"/>
        <v>4546335.0040084608</v>
      </c>
      <c r="AB97" s="9">
        <f t="shared" ca="1" si="49"/>
        <v>4663381.2042083293</v>
      </c>
      <c r="AC97" s="9">
        <f t="shared" ca="1" si="49"/>
        <v>4784320.576423944</v>
      </c>
      <c r="AD97" s="9">
        <f t="shared" ca="1" si="49"/>
        <v>4909276.9061785955</v>
      </c>
      <c r="AE97" s="9">
        <f t="shared" ca="1" si="49"/>
        <v>5048486.6563745402</v>
      </c>
      <c r="AF97" s="9">
        <f t="shared" ca="1" si="49"/>
        <v>5192482.7477544416</v>
      </c>
      <c r="AG97" s="9">
        <f t="shared" ca="1" si="49"/>
        <v>5341424.74805158</v>
      </c>
      <c r="AH97" s="9">
        <f t="shared" ca="1" si="49"/>
        <v>5500196.9325603163</v>
      </c>
      <c r="AI97" s="9">
        <f t="shared" ca="1" si="49"/>
        <v>5664897.2827477781</v>
      </c>
      <c r="AJ97" s="9">
        <f t="shared" ca="1" si="49"/>
        <v>5835772.3858440537</v>
      </c>
      <c r="AK97" s="9">
        <f t="shared" ca="1" si="49"/>
        <v>6013082.3633260485</v>
      </c>
      <c r="AL97" s="9">
        <f t="shared" ca="1" si="49"/>
        <v>6197101.6821891442</v>
      </c>
      <c r="AM97" s="9">
        <f t="shared" ca="1" si="49"/>
        <v>6388120.0249408167</v>
      </c>
    </row>
    <row r="98" spans="1:44" x14ac:dyDescent="0.2">
      <c r="A98" s="4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  <c r="AG98" s="7"/>
      <c r="AH98" s="7"/>
      <c r="AI98" s="7"/>
      <c r="AJ98" s="7"/>
      <c r="AK98" s="7"/>
      <c r="AL98" s="7"/>
      <c r="AM98" s="7"/>
    </row>
    <row r="99" spans="1:44" x14ac:dyDescent="0.2">
      <c r="A99" s="30" t="s">
        <v>70</v>
      </c>
      <c r="C99" s="7">
        <f t="shared" ref="C99:AM99" ca="1" si="50">C69-buffer</f>
        <v>12919.0625</v>
      </c>
      <c r="D99" s="7">
        <f t="shared" ca="1" si="50"/>
        <v>22490.535937499997</v>
      </c>
      <c r="E99" s="7">
        <f t="shared" ca="1" si="50"/>
        <v>38207.499804687497</v>
      </c>
      <c r="F99" s="7">
        <f t="shared" ca="1" si="50"/>
        <v>35714.080452231734</v>
      </c>
      <c r="G99" s="7">
        <f t="shared" ca="1" si="50"/>
        <v>229276.11396248138</v>
      </c>
      <c r="H99" s="7">
        <f t="shared" ca="1" si="50"/>
        <v>271025.81800930644</v>
      </c>
      <c r="I99" s="7">
        <f t="shared" ca="1" si="50"/>
        <v>332892.09672247234</v>
      </c>
      <c r="J99" s="7">
        <f t="shared" ca="1" si="50"/>
        <v>399181.31879998074</v>
      </c>
      <c r="K99" s="7">
        <f t="shared" ca="1" si="50"/>
        <v>452080.69175229734</v>
      </c>
      <c r="L99" s="7">
        <f t="shared" ca="1" si="50"/>
        <v>591897.59165074176</v>
      </c>
      <c r="M99" s="7">
        <f t="shared" ca="1" si="50"/>
        <v>643438.66125641076</v>
      </c>
      <c r="N99" s="7">
        <f t="shared" ca="1" si="50"/>
        <v>748500.49246398674</v>
      </c>
      <c r="O99" s="7">
        <f t="shared" ca="1" si="50"/>
        <v>859267.05744988273</v>
      </c>
      <c r="P99" s="7">
        <f t="shared" ca="1" si="50"/>
        <v>975981.2911249469</v>
      </c>
      <c r="Q99" s="7">
        <f t="shared" ca="1" si="50"/>
        <v>1098895.4105429514</v>
      </c>
      <c r="R99" s="7">
        <f t="shared" ca="1" si="50"/>
        <v>1228271.248199099</v>
      </c>
      <c r="S99" s="7">
        <f t="shared" ca="1" si="50"/>
        <v>1364380.5968228865</v>
      </c>
      <c r="T99" s="7">
        <f t="shared" ca="1" si="50"/>
        <v>1402527.6236677105</v>
      </c>
      <c r="U99" s="7">
        <f t="shared" ca="1" si="50"/>
        <v>1449854.2259580824</v>
      </c>
      <c r="V99" s="7">
        <f t="shared" ca="1" si="50"/>
        <v>1498907.5815076504</v>
      </c>
      <c r="W99" s="7">
        <f t="shared" ca="1" si="50"/>
        <v>1549752.4964402271</v>
      </c>
      <c r="X99" s="7">
        <f t="shared" ca="1" si="50"/>
        <v>1602456.179392647</v>
      </c>
      <c r="Y99" s="7">
        <f t="shared" ca="1" si="50"/>
        <v>1636171.2358988209</v>
      </c>
      <c r="Z99" s="7">
        <f t="shared" ca="1" si="50"/>
        <v>1670841.1811310996</v>
      </c>
      <c r="AA99" s="7">
        <f t="shared" ca="1" si="50"/>
        <v>1706501.7452458595</v>
      </c>
      <c r="AB99" s="7">
        <f t="shared" ca="1" si="50"/>
        <v>1743190.1198307537</v>
      </c>
      <c r="AC99" s="7">
        <f t="shared" ca="1" si="50"/>
        <v>1780945.016796795</v>
      </c>
      <c r="AD99" s="7">
        <f t="shared" ca="1" si="50"/>
        <v>1819806.7295462058</v>
      </c>
      <c r="AE99" s="7">
        <f t="shared" ca="1" si="50"/>
        <v>1869924.4525328081</v>
      </c>
      <c r="AF99" s="7">
        <f t="shared" ca="1" si="50"/>
        <v>1921739.9419416173</v>
      </c>
      <c r="AG99" s="7">
        <f t="shared" ca="1" si="50"/>
        <v>1975317.5778012427</v>
      </c>
      <c r="AH99" s="7">
        <f t="shared" ca="1" si="50"/>
        <v>2030724.2224962406</v>
      </c>
      <c r="AI99" s="7">
        <f t="shared" ca="1" si="50"/>
        <v>2088029.314381151</v>
      </c>
      <c r="AJ99" s="7">
        <f t="shared" ca="1" si="50"/>
        <v>2147304.9648157731</v>
      </c>
      <c r="AK99" s="7">
        <f t="shared" ca="1" si="50"/>
        <v>2208626.0587430005</v>
      </c>
      <c r="AL99" s="7">
        <f t="shared" ca="1" si="50"/>
        <v>2272070.3589347131</v>
      </c>
      <c r="AM99" s="7">
        <f t="shared" ca="1" si="50"/>
        <v>2337718.614035564</v>
      </c>
    </row>
    <row r="100" spans="1:44" x14ac:dyDescent="0.2">
      <c r="A100" s="2" t="s">
        <v>19</v>
      </c>
      <c r="C100" s="7">
        <f ca="1">IF(C99&lt;0,-C99,0)</f>
        <v>0</v>
      </c>
      <c r="D100" s="7">
        <f ca="1">IF(D99+SUM($C100:C100)&lt;0,-(D99+SUM($C100:C100)),0)</f>
        <v>0</v>
      </c>
      <c r="E100" s="7">
        <f ca="1">IF(E99+SUM($C100:D100)&lt;0,-(E99+SUM($C100:D100)),0)</f>
        <v>0</v>
      </c>
      <c r="F100" s="7">
        <f ca="1">IF(F99+SUM($C100:E100)&lt;0,-(F99+SUM($C100:E100)),0)</f>
        <v>0</v>
      </c>
      <c r="G100" s="7">
        <f ca="1">IF(G99+SUM($C100:F100)&lt;0,-(G99+SUM($C100:F100)),0)</f>
        <v>0</v>
      </c>
      <c r="H100" s="7">
        <f ca="1">IF(H99+SUM($C100:G100)&lt;0,-(H99+SUM($C100:G100)),0)</f>
        <v>0</v>
      </c>
      <c r="I100" s="7">
        <f ca="1">IF(I99+SUM($C100:H100)&lt;0,-(I99+SUM($C100:H100)),0)</f>
        <v>0</v>
      </c>
      <c r="J100" s="7">
        <f ca="1">IF(J99+SUM($C100:I100)&lt;0,-(J99+SUM($C100:I100)),0)</f>
        <v>0</v>
      </c>
      <c r="K100" s="7">
        <f ca="1">IF(K99+SUM($C100:J100)&lt;0,-(K99+SUM($C100:J100)),0)</f>
        <v>0</v>
      </c>
      <c r="L100" s="7">
        <f ca="1">IF(L99+SUM($C100:K100)&lt;0,-(L99+SUM($C100:K100)),0)</f>
        <v>0</v>
      </c>
      <c r="M100" s="7">
        <f ca="1">IF(M99+SUM($C100:L100)&lt;0,-(M99+SUM($C100:L100)),0)</f>
        <v>0</v>
      </c>
      <c r="N100" s="7">
        <f ca="1">IF(N99+SUM($C100:M100)&lt;0,-(N99+SUM($C100:M100)),0)</f>
        <v>0</v>
      </c>
      <c r="O100" s="7">
        <f ca="1">IF(O99+SUM($C100:N100)&lt;0,-(O99+SUM($C100:N100)),0)</f>
        <v>0</v>
      </c>
      <c r="P100" s="7">
        <f ca="1">IF(P99+SUM($C100:O100)&lt;0,-(P99+SUM($C100:O100)),0)</f>
        <v>0</v>
      </c>
      <c r="Q100" s="7">
        <f ca="1">IF(Q99+SUM($C100:P100)&lt;0,-(Q99+SUM($C100:P100)),0)</f>
        <v>0</v>
      </c>
      <c r="R100" s="7">
        <f ca="1">IF(R99+SUM($C100:Q100)&lt;0,-(R99+SUM($C100:Q100)),0)</f>
        <v>0</v>
      </c>
      <c r="S100" s="7">
        <f ca="1">IF(S99+SUM($C100:R100)&lt;0,-(S99+SUM($C100:R100)),0)</f>
        <v>0</v>
      </c>
      <c r="T100" s="7">
        <f ca="1">IF(T99+SUM($C100:S100)&lt;0,-(T99+SUM($C100:S100)),0)</f>
        <v>0</v>
      </c>
      <c r="U100" s="7">
        <f ca="1">IF(U99+SUM($C100:T100)&lt;0,-(U99+SUM($C100:T100)),0)</f>
        <v>0</v>
      </c>
      <c r="V100" s="7">
        <f ca="1">IF(V99+SUM($C100:U100)&lt;0,-(V99+SUM($C100:U100)),0)</f>
        <v>0</v>
      </c>
      <c r="W100" s="7">
        <f ca="1">IF(W99+SUM($C100:V100)&lt;0,-(W99+SUM($C100:V100)),0)</f>
        <v>0</v>
      </c>
      <c r="X100" s="7">
        <f ca="1">IF(X99+SUM($C100:W100)&lt;0,-(X99+SUM($C100:W100)),0)</f>
        <v>0</v>
      </c>
      <c r="Y100" s="7">
        <f ca="1">IF(Y99+SUM($C100:X100)&lt;0,-(Y99+SUM($C100:X100)),0)</f>
        <v>0</v>
      </c>
      <c r="Z100" s="7">
        <f ca="1">IF(Z99+SUM($C100:Y100)&lt;0,-(Z99+SUM($C100:Y100)),0)</f>
        <v>0</v>
      </c>
      <c r="AA100" s="7">
        <f ca="1">IF(AA99+SUM($C100:Z100)&lt;0,-(AA99+SUM($C100:Z100)),0)</f>
        <v>0</v>
      </c>
      <c r="AB100" s="7">
        <f ca="1">IF(AB99+SUM($C100:AA100)&lt;0,-(AB99+SUM($C100:AA100)),0)</f>
        <v>0</v>
      </c>
      <c r="AC100" s="7">
        <f ca="1">IF(AC99+SUM($C100:AB100)&lt;0,-(AC99+SUM($C100:AB100)),0)</f>
        <v>0</v>
      </c>
      <c r="AD100" s="7">
        <f ca="1">IF(AD99+SUM($C100:AC100)&lt;0,-(AD99+SUM($C100:AC100)),0)</f>
        <v>0</v>
      </c>
      <c r="AE100" s="7">
        <f ca="1">IF(AE99+SUM($C100:AD100)&lt;0,-(AE99+SUM($C100:AD100)),0)</f>
        <v>0</v>
      </c>
      <c r="AF100" s="7">
        <f ca="1">IF(AF99+SUM($C100:AE100)&lt;0,-(AF99+SUM($C100:AE100)),0)</f>
        <v>0</v>
      </c>
      <c r="AG100" s="7">
        <f ca="1">IF(AG99+SUM($C100:AF100)&lt;0,-(AG99+SUM($C100:AF100)),0)</f>
        <v>0</v>
      </c>
      <c r="AH100" s="7">
        <f ca="1">IF(AH99+SUM($C100:AG100)&lt;0,-(AH99+SUM($C100:AG100)),0)</f>
        <v>0</v>
      </c>
      <c r="AI100" s="7">
        <f ca="1">IF(AI99+SUM($C100:AH100)&lt;0,-(AI99+SUM($C100:AH100)),0)</f>
        <v>0</v>
      </c>
      <c r="AJ100" s="7">
        <f ca="1">IF(AJ99+SUM($C100:AI100)&lt;0,-(AJ99+SUM($C100:AI100)),0)</f>
        <v>0</v>
      </c>
      <c r="AK100" s="7">
        <f ca="1">IF(AK99+SUM($C100:AJ100)&lt;0,-(AK99+SUM($C100:AJ100)),0)</f>
        <v>0</v>
      </c>
      <c r="AL100" s="7">
        <f ca="1">IF(AL99+SUM($C100:AK100)&lt;0,-(AL99+SUM($C100:AK100)),0)</f>
        <v>0</v>
      </c>
      <c r="AM100" s="7">
        <f ca="1">IF(AM99+SUM($C100:AL100)&lt;0,-(AM99+SUM($C100:AL100)),0)</f>
        <v>0</v>
      </c>
    </row>
    <row r="101" spans="1:44" x14ac:dyDescent="0.2"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7"/>
      <c r="AJ101" s="7"/>
      <c r="AK101" s="7"/>
      <c r="AL101" s="7"/>
      <c r="AM101" s="7"/>
    </row>
    <row r="102" spans="1:44" ht="19" x14ac:dyDescent="0.25">
      <c r="A102" s="25" t="s">
        <v>20</v>
      </c>
      <c r="B102" s="26"/>
      <c r="C102" s="27"/>
      <c r="D102" s="28"/>
      <c r="E102" s="27"/>
      <c r="F102" s="27"/>
      <c r="G102" s="27"/>
      <c r="H102" s="27"/>
      <c r="I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</row>
    <row r="103" spans="1:44" x14ac:dyDescent="0.2">
      <c r="A103" s="1"/>
      <c r="C103" s="7"/>
      <c r="D103" s="11"/>
      <c r="E103" s="84"/>
      <c r="F103" s="84"/>
      <c r="G103" s="84"/>
      <c r="H103" s="84"/>
      <c r="I103" s="84"/>
      <c r="J103" s="84"/>
      <c r="K103" s="84"/>
      <c r="L103" s="84"/>
      <c r="M103" s="84"/>
      <c r="N103" s="84"/>
      <c r="O103" s="84"/>
      <c r="P103" s="84"/>
      <c r="Q103" s="84"/>
      <c r="R103" s="84"/>
      <c r="S103" s="84"/>
      <c r="T103" s="84"/>
      <c r="U103" s="84"/>
      <c r="V103" s="84"/>
      <c r="W103" s="84"/>
      <c r="X103" s="84"/>
      <c r="Y103" s="84"/>
      <c r="Z103" s="84"/>
      <c r="AA103" s="84"/>
      <c r="AB103" s="84"/>
      <c r="AC103" s="84"/>
      <c r="AD103" s="84"/>
      <c r="AE103" s="84"/>
      <c r="AF103" s="84"/>
      <c r="AG103" s="84"/>
      <c r="AH103" s="84"/>
      <c r="AI103" s="84"/>
      <c r="AJ103" s="84"/>
      <c r="AK103" s="84"/>
      <c r="AL103" s="84"/>
      <c r="AM103" s="84"/>
      <c r="AN103" s="84"/>
      <c r="AO103" s="84"/>
      <c r="AP103" s="84"/>
      <c r="AQ103" s="84"/>
      <c r="AR103" s="84"/>
    </row>
    <row r="104" spans="1:44" x14ac:dyDescent="0.2">
      <c r="A104" s="24" t="s">
        <v>26</v>
      </c>
      <c r="B104" s="26"/>
      <c r="C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  <c r="AE104" s="7"/>
      <c r="AF104" s="7"/>
      <c r="AG104" s="7"/>
      <c r="AH104" s="7"/>
      <c r="AI104" s="7"/>
      <c r="AJ104" s="7"/>
      <c r="AK104" s="7"/>
      <c r="AL104" s="7"/>
      <c r="AM104" s="7"/>
    </row>
    <row r="105" spans="1:44" x14ac:dyDescent="0.2">
      <c r="A105" s="3" t="s">
        <v>21</v>
      </c>
      <c r="C105" s="7">
        <f ca="1">C83</f>
        <v>35024.809122913313</v>
      </c>
      <c r="D105" s="7">
        <f ca="1">C108+D60</f>
        <v>39224.809122913313</v>
      </c>
      <c r="E105" s="7">
        <f t="shared" ref="E105:AM105" ca="1" si="51">D108+E60</f>
        <v>37843.296426539331</v>
      </c>
      <c r="F105" s="7">
        <f t="shared" ca="1" si="51"/>
        <v>48335.888351296875</v>
      </c>
      <c r="G105" s="7">
        <f t="shared" ca="1" si="51"/>
        <v>56231.527454474199</v>
      </c>
      <c r="H105" s="7">
        <f t="shared" ca="1" si="51"/>
        <v>64758.817685905706</v>
      </c>
      <c r="I105" s="7">
        <f t="shared" ca="1" si="51"/>
        <v>73968.29113585173</v>
      </c>
      <c r="J105" s="7">
        <f t="shared" ca="1" si="51"/>
        <v>63771.227110881031</v>
      </c>
      <c r="K105" s="7">
        <f t="shared" ca="1" si="51"/>
        <v>72730.300533061061</v>
      </c>
      <c r="L105" s="7">
        <f t="shared" ca="1" si="51"/>
        <v>82381.169818704715</v>
      </c>
      <c r="M105" s="7">
        <f t="shared" ca="1" si="51"/>
        <v>92777.253607681676</v>
      </c>
      <c r="N105" s="7">
        <f t="shared" ca="1" si="51"/>
        <v>104228.20193136978</v>
      </c>
      <c r="O105" s="7">
        <f t="shared" ca="1" si="51"/>
        <v>100254.44425644289</v>
      </c>
      <c r="P105" s="7">
        <f t="shared" ca="1" si="51"/>
        <v>107220.39065122124</v>
      </c>
      <c r="Q105" s="7">
        <f t="shared" ca="1" si="51"/>
        <v>114382.66334754651</v>
      </c>
      <c r="R105" s="7">
        <f t="shared" ca="1" si="51"/>
        <v>121746.79555146059</v>
      </c>
      <c r="S105" s="7">
        <f t="shared" ca="1" si="51"/>
        <v>135515.307230651</v>
      </c>
      <c r="T105" s="7">
        <f t="shared" ca="1" si="51"/>
        <v>146185.29984417665</v>
      </c>
      <c r="U105" s="7">
        <f t="shared" ca="1" si="51"/>
        <v>157880.12383171078</v>
      </c>
      <c r="V105" s="7">
        <f t="shared" ca="1" si="51"/>
        <v>170510.53373824764</v>
      </c>
      <c r="W105" s="7">
        <f t="shared" ca="1" si="51"/>
        <v>139818.63766536306</v>
      </c>
      <c r="X105" s="7">
        <f t="shared" ca="1" si="51"/>
        <v>154403.85531092063</v>
      </c>
      <c r="Y105" s="7">
        <f t="shared" ca="1" si="51"/>
        <v>170510.53373824764</v>
      </c>
      <c r="Z105" s="7">
        <f t="shared" ca="1" si="51"/>
        <v>184151.37643730745</v>
      </c>
      <c r="AA105" s="7">
        <f t="shared" ca="1" si="51"/>
        <v>198883.48655229204</v>
      </c>
      <c r="AB105" s="7">
        <f t="shared" ca="1" si="51"/>
        <v>143196.11031765025</v>
      </c>
      <c r="AC105" s="7">
        <f t="shared" ca="1" si="51"/>
        <v>151254.79053984256</v>
      </c>
      <c r="AD105" s="7">
        <f t="shared" ca="1" si="51"/>
        <v>159766.99095039401</v>
      </c>
      <c r="AE105" s="7">
        <f t="shared" ca="1" si="51"/>
        <v>168758.2344085791</v>
      </c>
      <c r="AF105" s="7">
        <f t="shared" ca="1" si="51"/>
        <v>178255.48012945594</v>
      </c>
      <c r="AG105" s="7">
        <f t="shared" ca="1" si="51"/>
        <v>188287.20451798901</v>
      </c>
      <c r="AH105" s="7">
        <f t="shared" ca="1" si="51"/>
        <v>198883.4865522921</v>
      </c>
      <c r="AI105" s="7">
        <f t="shared" ca="1" si="51"/>
        <v>214794.16547647546</v>
      </c>
      <c r="AJ105" s="7">
        <f t="shared" ca="1" si="51"/>
        <v>231977.69871459351</v>
      </c>
      <c r="AK105" s="7">
        <f t="shared" ca="1" si="51"/>
        <v>250535.91461176099</v>
      </c>
      <c r="AL105" s="7">
        <f t="shared" ca="1" si="51"/>
        <v>270578.78778070188</v>
      </c>
      <c r="AM105" s="7">
        <f t="shared" ca="1" si="51"/>
        <v>292225.090803158</v>
      </c>
    </row>
    <row r="106" spans="1:44" x14ac:dyDescent="0.2">
      <c r="A106" s="3" t="s">
        <v>22</v>
      </c>
      <c r="C106" s="7">
        <f ca="1">-MIN(C105, C100/(1-Inputs!$B$284))</f>
        <v>0</v>
      </c>
      <c r="D106" s="7">
        <f ca="1">-MIN(D105, D100/(1-Inputs!$B$284))</f>
        <v>0</v>
      </c>
      <c r="E106" s="7">
        <f ca="1">-MIN(E105, E100/(1-Inputs!$B$284))</f>
        <v>0</v>
      </c>
      <c r="F106" s="7">
        <f ca="1">-MIN(F105, F100/(1-Inputs!$B$284))</f>
        <v>0</v>
      </c>
      <c r="G106" s="7">
        <f ca="1">-MIN(G105, G100/(1-Inputs!$B$284))</f>
        <v>0</v>
      </c>
      <c r="H106" s="7">
        <f ca="1">-MIN(H105, H100/(1-Inputs!$B$284))</f>
        <v>0</v>
      </c>
      <c r="I106" s="7">
        <f ca="1">-MIN(I105, I100/(1-Inputs!$B$284))</f>
        <v>0</v>
      </c>
      <c r="J106" s="7">
        <f ca="1">-MIN(J105, J100/(1-Inputs!$B$284))</f>
        <v>0</v>
      </c>
      <c r="K106" s="7">
        <f ca="1">-MIN(K105, K100/(1-Inputs!$B$284))</f>
        <v>0</v>
      </c>
      <c r="L106" s="7">
        <f ca="1">-MIN(L105, L100/(1-Inputs!$B$284))</f>
        <v>0</v>
      </c>
      <c r="M106" s="7">
        <f ca="1">-MIN(M105, M100/(1-Inputs!$B$284))</f>
        <v>0</v>
      </c>
      <c r="N106" s="7">
        <f ca="1">-MIN(N105, N100/(1-Inputs!$B$284))</f>
        <v>0</v>
      </c>
      <c r="O106" s="7">
        <f ca="1">-MIN(O105, O100/(1-Inputs!$B$284))</f>
        <v>0</v>
      </c>
      <c r="P106" s="7">
        <f ca="1">-MIN(P105, P100/(1-Inputs!$B$284))</f>
        <v>0</v>
      </c>
      <c r="Q106" s="7">
        <f ca="1">-MIN(Q105, Q100/(1-Inputs!$B$284))</f>
        <v>0</v>
      </c>
      <c r="R106" s="7">
        <f ca="1">-MIN(R105, R100/(1-Inputs!$B$284))</f>
        <v>0</v>
      </c>
      <c r="S106" s="7">
        <f ca="1">-MIN(S105, S100/(1-Inputs!$B$284))</f>
        <v>0</v>
      </c>
      <c r="T106" s="7">
        <f ca="1">-MIN(T105, T100/(1-Inputs!$B$284))</f>
        <v>0</v>
      </c>
      <c r="U106" s="7">
        <f ca="1">-MIN(U105, U100/(1-Inputs!$B$284))</f>
        <v>0</v>
      </c>
      <c r="V106" s="7">
        <f ca="1">-MIN(V105, V100/(1-Inputs!$B$284))</f>
        <v>0</v>
      </c>
      <c r="W106" s="7">
        <f ca="1">-MIN(W105, W100/(1-Inputs!$B$284))</f>
        <v>0</v>
      </c>
      <c r="X106" s="7">
        <f ca="1">-MIN(X105, X100/(1-Inputs!$B$284))</f>
        <v>0</v>
      </c>
      <c r="Y106" s="7">
        <f ca="1">-MIN(Y105, Y100/(1-Inputs!$B$284))</f>
        <v>0</v>
      </c>
      <c r="Z106" s="7">
        <f ca="1">-MIN(Z105, Z100/(1-Inputs!$B$284))</f>
        <v>0</v>
      </c>
      <c r="AA106" s="7">
        <f ca="1">-MIN(AA105, AA100/(1-Inputs!$B$284))</f>
        <v>0</v>
      </c>
      <c r="AB106" s="7">
        <f ca="1">-MIN(AB105, AB100/(1-Inputs!$B$284))</f>
        <v>0</v>
      </c>
      <c r="AC106" s="7">
        <f ca="1">-MIN(AC105, AC100/(1-Inputs!$B$284))</f>
        <v>0</v>
      </c>
      <c r="AD106" s="7">
        <f ca="1">-MIN(AD105, AD100/(1-Inputs!$B$284))</f>
        <v>0</v>
      </c>
      <c r="AE106" s="7">
        <f ca="1">-MIN(AE105, AE100/(1-Inputs!$B$284))</f>
        <v>0</v>
      </c>
      <c r="AF106" s="7">
        <f ca="1">-MIN(AF105, AF100/(1-Inputs!$B$284))</f>
        <v>0</v>
      </c>
      <c r="AG106" s="7">
        <f ca="1">-MIN(AG105, AG100/(1-Inputs!$B$284))</f>
        <v>0</v>
      </c>
      <c r="AH106" s="7">
        <f ca="1">-MIN(AH105, AH100/(1-Inputs!$B$284))</f>
        <v>0</v>
      </c>
      <c r="AI106" s="7">
        <f ca="1">-MIN(AI105, AI100/(1-Inputs!$B$284))</f>
        <v>0</v>
      </c>
      <c r="AJ106" s="7">
        <f ca="1">-MIN(AJ105, AJ100/(1-Inputs!$B$284))</f>
        <v>0</v>
      </c>
      <c r="AK106" s="7">
        <f ca="1">-MIN(AK105, AK100/(1-Inputs!$B$284))</f>
        <v>0</v>
      </c>
      <c r="AL106" s="7">
        <f ca="1">-MIN(AL105, AL100/(1-Inputs!$B$284))</f>
        <v>0</v>
      </c>
      <c r="AM106" s="7">
        <f ca="1">-MIN(AM105, AM100/(1-Inputs!$B$284))</f>
        <v>0</v>
      </c>
    </row>
    <row r="107" spans="1:44" x14ac:dyDescent="0.2">
      <c r="A107" s="3" t="s">
        <v>23</v>
      </c>
      <c r="C107" s="7">
        <v>0</v>
      </c>
      <c r="D107" s="7">
        <f ca="1">(SUM(D105:D106)-D60)*IF(AND(Inputs!$B$229&lt;&gt;"",D$2=Inputs!$B$229),-Inputs!$B$230,IF(AND(Inputs!$B$229&lt;&gt;"",D$2&gt;Inputs!$B$229,D$2&lt;=Inputs!$B$229+Inputs!$B$231),(1/(1-Inputs!$B$230))^(1/Inputs!$B$231)-1,IF(AND(Inputs!$B$234&lt;&gt;"",D$2=Inputs!$B$234),-Inputs!$B$235,IF(AND(Inputs!$B$234&lt;&gt;"",D$2&gt;Inputs!$B$234,D$2&lt;=Inputs!$B$234+Inputs!$B$236),(1/(1-Inputs!$B$235))^(1/Inputs!$B$236)-1,IF(AND(Inputs!$B$239&lt;&gt;"",D$2=Inputs!$B$239),-Inputs!$B$240,IF(AND(Inputs!$B$239&lt;&gt;"",D$2&gt;Inputs!$B$239,D$2&lt;=Inputs!$B$239+Inputs!$B$241),(1/(1-Inputs!$B$240))^(1/Inputs!$B$241)-1,IF(AND(Inputs!$B$244&lt;&gt;"",D$2=Inputs!$B$244),-Inputs!$B$245,IF(AND(Inputs!$B$244&lt;&gt;"",D$2&gt;Inputs!$B$244,D$2&lt;=Inputs!$B$244+Inputs!$B$246),(1/(1-Inputs!$B$245))^(1/Inputs!$B$246)-1,IF(AND(Inputs!$B$249&lt;&gt;"",D$2=Inputs!$B$249),-Inputs!$B$250,IF(AND(Inputs!$B$249&lt;&gt;"",D$2&gt;Inputs!$B$249,D$2&lt;=Inputs!$B$249+Inputs!$B$251),(1/(1-Inputs!$B$250))^(1/Inputs!$B$251)-1,stinc))))))))))+D60*(SQRT(MAX(1+IF(AND(Inputs!$B$229&lt;&gt;"",D$2=Inputs!$B$229),-Inputs!$B$230,IF(AND(Inputs!$B$229&lt;&gt;"",D$2&gt;Inputs!$B$229,D$2&lt;=Inputs!$B$229+Inputs!$B$231),(1/(1-Inputs!$B$230))^(1/Inputs!$B$231)-1,IF(AND(Inputs!$B$234&lt;&gt;"",D$2=Inputs!$B$234),-Inputs!$B$235,IF(AND(Inputs!$B$234&lt;&gt;"",D$2&gt;Inputs!$B$234,D$2&lt;=Inputs!$B$234+Inputs!$B$236),(1/(1-Inputs!$B$235))^(1/Inputs!$B$236)-1,IF(AND(Inputs!$B$239&lt;&gt;"",D$2=Inputs!$B$239),-Inputs!$B$240,IF(AND(Inputs!$B$239&lt;&gt;"",D$2&gt;Inputs!$B$239,D$2&lt;=Inputs!$B$239+Inputs!$B$241),(1/(1-Inputs!$B$240))^(1/Inputs!$B$241)-1,IF(AND(Inputs!$B$244&lt;&gt;"",D$2=Inputs!$B$244),-Inputs!$B$245,IF(AND(Inputs!$B$244&lt;&gt;"",D$2&gt;Inputs!$B$244,D$2&lt;=Inputs!$B$244+Inputs!$B$246),(1/(1-Inputs!$B$245))^(1/Inputs!$B$246)-1,IF(AND(Inputs!$B$249&lt;&gt;"",D$2=Inputs!$B$249),-Inputs!$B$250,IF(AND(Inputs!$B$249&lt;&gt;"",D$2&gt;Inputs!$B$249,D$2&lt;=Inputs!$B$249+Inputs!$B$251),(1/(1-Inputs!$B$250))^(1/Inputs!$B$251)-1,stinc)))))))))),0))-1)</f>
        <v>-5581.512696373984</v>
      </c>
      <c r="E107" s="7">
        <f ca="1">(SUM(E105:E106)-E60)*IF(AND(Inputs!$B$229&lt;&gt;"",E$2=Inputs!$B$229),-Inputs!$B$230,IF(AND(Inputs!$B$229&lt;&gt;"",E$2&gt;Inputs!$B$229,E$2&lt;=Inputs!$B$229+Inputs!$B$231),(1/(1-Inputs!$B$230))^(1/Inputs!$B$231)-1,IF(AND(Inputs!$B$234&lt;&gt;"",E$2=Inputs!$B$234),-Inputs!$B$235,IF(AND(Inputs!$B$234&lt;&gt;"",E$2&gt;Inputs!$B$234,E$2&lt;=Inputs!$B$234+Inputs!$B$236),(1/(1-Inputs!$B$235))^(1/Inputs!$B$236)-1,IF(AND(Inputs!$B$239&lt;&gt;"",E$2=Inputs!$B$239),-Inputs!$B$240,IF(AND(Inputs!$B$239&lt;&gt;"",E$2&gt;Inputs!$B$239,E$2&lt;=Inputs!$B$239+Inputs!$B$241),(1/(1-Inputs!$B$240))^(1/Inputs!$B$241)-1,IF(AND(Inputs!$B$244&lt;&gt;"",E$2=Inputs!$B$244),-Inputs!$B$245,IF(AND(Inputs!$B$244&lt;&gt;"",E$2&gt;Inputs!$B$244,E$2&lt;=Inputs!$B$244+Inputs!$B$246),(1/(1-Inputs!$B$245))^(1/Inputs!$B$246)-1,IF(AND(Inputs!$B$249&lt;&gt;"",E$2=Inputs!$B$249),-Inputs!$B$250,IF(AND(Inputs!$B$249&lt;&gt;"",E$2&gt;Inputs!$B$249,E$2&lt;=Inputs!$B$249+Inputs!$B$251),(1/(1-Inputs!$B$250))^(1/Inputs!$B$251)-1,stinc))))))))))+E60*(SQRT(MAX(1+IF(AND(Inputs!$B$229&lt;&gt;"",E$2=Inputs!$B$229),-Inputs!$B$230,IF(AND(Inputs!$B$229&lt;&gt;"",E$2&gt;Inputs!$B$229,E$2&lt;=Inputs!$B$229+Inputs!$B$231),(1/(1-Inputs!$B$230))^(1/Inputs!$B$231)-1,IF(AND(Inputs!$B$234&lt;&gt;"",E$2=Inputs!$B$234),-Inputs!$B$235,IF(AND(Inputs!$B$234&lt;&gt;"",E$2&gt;Inputs!$B$234,E$2&lt;=Inputs!$B$234+Inputs!$B$236),(1/(1-Inputs!$B$235))^(1/Inputs!$B$236)-1,IF(AND(Inputs!$B$239&lt;&gt;"",E$2=Inputs!$B$239),-Inputs!$B$240,IF(AND(Inputs!$B$239&lt;&gt;"",E$2&gt;Inputs!$B$239,E$2&lt;=Inputs!$B$239+Inputs!$B$241),(1/(1-Inputs!$B$240))^(1/Inputs!$B$241)-1,IF(AND(Inputs!$B$244&lt;&gt;"",E$2=Inputs!$B$244),-Inputs!$B$245,IF(AND(Inputs!$B$244&lt;&gt;"",E$2&gt;Inputs!$B$244,E$2&lt;=Inputs!$B$244+Inputs!$B$246),(1/(1-Inputs!$B$245))^(1/Inputs!$B$246)-1,IF(AND(Inputs!$B$249&lt;&gt;"",E$2=Inputs!$B$249),-Inputs!$B$250,IF(AND(Inputs!$B$249&lt;&gt;"",E$2&gt;Inputs!$B$249,E$2&lt;=Inputs!$B$249+Inputs!$B$251),(1/(1-Inputs!$B$250))^(1/Inputs!$B$251)-1,stinc)))))))))),0))-1)</f>
        <v>6292.5919247575448</v>
      </c>
      <c r="F107" s="7">
        <f ca="1">(SUM(F105:F106)-F60)*IF(AND(Inputs!$B$229&lt;&gt;"",F$2=Inputs!$B$229),-Inputs!$B$230,IF(AND(Inputs!$B$229&lt;&gt;"",F$2&gt;Inputs!$B$229,F$2&lt;=Inputs!$B$229+Inputs!$B$231),(1/(1-Inputs!$B$230))^(1/Inputs!$B$231)-1,IF(AND(Inputs!$B$234&lt;&gt;"",F$2=Inputs!$B$234),-Inputs!$B$235,IF(AND(Inputs!$B$234&lt;&gt;"",F$2&gt;Inputs!$B$234,F$2&lt;=Inputs!$B$234+Inputs!$B$236),(1/(1-Inputs!$B$235))^(1/Inputs!$B$236)-1,IF(AND(Inputs!$B$239&lt;&gt;"",F$2=Inputs!$B$239),-Inputs!$B$240,IF(AND(Inputs!$B$239&lt;&gt;"",F$2&gt;Inputs!$B$239,F$2&lt;=Inputs!$B$239+Inputs!$B$241),(1/(1-Inputs!$B$240))^(1/Inputs!$B$241)-1,IF(AND(Inputs!$B$244&lt;&gt;"",F$2=Inputs!$B$244),-Inputs!$B$245,IF(AND(Inputs!$B$244&lt;&gt;"",F$2&gt;Inputs!$B$244,F$2&lt;=Inputs!$B$244+Inputs!$B$246),(1/(1-Inputs!$B$245))^(1/Inputs!$B$246)-1,IF(AND(Inputs!$B$249&lt;&gt;"",F$2=Inputs!$B$249),-Inputs!$B$250,IF(AND(Inputs!$B$249&lt;&gt;"",F$2&gt;Inputs!$B$249,F$2&lt;=Inputs!$B$249+Inputs!$B$251),(1/(1-Inputs!$B$250))^(1/Inputs!$B$251)-1,stinc))))))))))+F60*(SQRT(MAX(1+IF(AND(Inputs!$B$229&lt;&gt;"",F$2=Inputs!$B$229),-Inputs!$B$230,IF(AND(Inputs!$B$229&lt;&gt;"",F$2&gt;Inputs!$B$229,F$2&lt;=Inputs!$B$229+Inputs!$B$231),(1/(1-Inputs!$B$230))^(1/Inputs!$B$231)-1,IF(AND(Inputs!$B$234&lt;&gt;"",F$2=Inputs!$B$234),-Inputs!$B$235,IF(AND(Inputs!$B$234&lt;&gt;"",F$2&gt;Inputs!$B$234,F$2&lt;=Inputs!$B$234+Inputs!$B$236),(1/(1-Inputs!$B$235))^(1/Inputs!$B$236)-1,IF(AND(Inputs!$B$239&lt;&gt;"",F$2=Inputs!$B$239),-Inputs!$B$240,IF(AND(Inputs!$B$239&lt;&gt;"",F$2&gt;Inputs!$B$239,F$2&lt;=Inputs!$B$239+Inputs!$B$241),(1/(1-Inputs!$B$240))^(1/Inputs!$B$241)-1,IF(AND(Inputs!$B$244&lt;&gt;"",F$2=Inputs!$B$244),-Inputs!$B$245,IF(AND(Inputs!$B$244&lt;&gt;"",F$2&gt;Inputs!$B$244,F$2&lt;=Inputs!$B$244+Inputs!$B$246),(1/(1-Inputs!$B$245))^(1/Inputs!$B$246)-1,IF(AND(Inputs!$B$249&lt;&gt;"",F$2=Inputs!$B$249),-Inputs!$B$250,IF(AND(Inputs!$B$249&lt;&gt;"",F$2&gt;Inputs!$B$249,F$2&lt;=Inputs!$B$249+Inputs!$B$251),(1/(1-Inputs!$B$250))^(1/Inputs!$B$251)-1,stinc)))))))))),0))-1)</f>
        <v>3695.6391031773214</v>
      </c>
      <c r="G107" s="7">
        <f ca="1">(SUM(G105:G106)-G60)*IF(AND(Inputs!$B$229&lt;&gt;"",G$2=Inputs!$B$229),-Inputs!$B$230,IF(AND(Inputs!$B$229&lt;&gt;"",G$2&gt;Inputs!$B$229,G$2&lt;=Inputs!$B$229+Inputs!$B$231),(1/(1-Inputs!$B$230))^(1/Inputs!$B$231)-1,IF(AND(Inputs!$B$234&lt;&gt;"",G$2=Inputs!$B$234),-Inputs!$B$235,IF(AND(Inputs!$B$234&lt;&gt;"",G$2&gt;Inputs!$B$234,G$2&lt;=Inputs!$B$234+Inputs!$B$236),(1/(1-Inputs!$B$235))^(1/Inputs!$B$236)-1,IF(AND(Inputs!$B$239&lt;&gt;"",G$2=Inputs!$B$239),-Inputs!$B$240,IF(AND(Inputs!$B$239&lt;&gt;"",G$2&gt;Inputs!$B$239,G$2&lt;=Inputs!$B$239+Inputs!$B$241),(1/(1-Inputs!$B$240))^(1/Inputs!$B$241)-1,IF(AND(Inputs!$B$244&lt;&gt;"",G$2=Inputs!$B$244),-Inputs!$B$245,IF(AND(Inputs!$B$244&lt;&gt;"",G$2&gt;Inputs!$B$244,G$2&lt;=Inputs!$B$244+Inputs!$B$246),(1/(1-Inputs!$B$245))^(1/Inputs!$B$246)-1,IF(AND(Inputs!$B$249&lt;&gt;"",G$2=Inputs!$B$249),-Inputs!$B$250,IF(AND(Inputs!$B$249&lt;&gt;"",G$2&gt;Inputs!$B$249,G$2&lt;=Inputs!$B$249+Inputs!$B$251),(1/(1-Inputs!$B$250))^(1/Inputs!$B$251)-1,stinc))))))))))+G60*(SQRT(MAX(1+IF(AND(Inputs!$B$229&lt;&gt;"",G$2=Inputs!$B$229),-Inputs!$B$230,IF(AND(Inputs!$B$229&lt;&gt;"",G$2&gt;Inputs!$B$229,G$2&lt;=Inputs!$B$229+Inputs!$B$231),(1/(1-Inputs!$B$230))^(1/Inputs!$B$231)-1,IF(AND(Inputs!$B$234&lt;&gt;"",G$2=Inputs!$B$234),-Inputs!$B$235,IF(AND(Inputs!$B$234&lt;&gt;"",G$2&gt;Inputs!$B$234,G$2&lt;=Inputs!$B$234+Inputs!$B$236),(1/(1-Inputs!$B$235))^(1/Inputs!$B$236)-1,IF(AND(Inputs!$B$239&lt;&gt;"",G$2=Inputs!$B$239),-Inputs!$B$240,IF(AND(Inputs!$B$239&lt;&gt;"",G$2&gt;Inputs!$B$239,G$2&lt;=Inputs!$B$239+Inputs!$B$241),(1/(1-Inputs!$B$240))^(1/Inputs!$B$241)-1,IF(AND(Inputs!$B$244&lt;&gt;"",G$2=Inputs!$B$244),-Inputs!$B$245,IF(AND(Inputs!$B$244&lt;&gt;"",G$2&gt;Inputs!$B$244,G$2&lt;=Inputs!$B$244+Inputs!$B$246),(1/(1-Inputs!$B$245))^(1/Inputs!$B$246)-1,IF(AND(Inputs!$B$249&lt;&gt;"",G$2=Inputs!$B$249),-Inputs!$B$250,IF(AND(Inputs!$B$249&lt;&gt;"",G$2&gt;Inputs!$B$249,G$2&lt;=Inputs!$B$249+Inputs!$B$251),(1/(1-Inputs!$B$250))^(1/Inputs!$B$251)-1,stinc)))))))))),0))-1)</f>
        <v>4327.290231431507</v>
      </c>
      <c r="H107" s="7">
        <f ca="1">(SUM(H105:H106)-H60)*IF(AND(Inputs!$B$229&lt;&gt;"",H$2=Inputs!$B$229),-Inputs!$B$230,IF(AND(Inputs!$B$229&lt;&gt;"",H$2&gt;Inputs!$B$229,H$2&lt;=Inputs!$B$229+Inputs!$B$231),(1/(1-Inputs!$B$230))^(1/Inputs!$B$231)-1,IF(AND(Inputs!$B$234&lt;&gt;"",H$2=Inputs!$B$234),-Inputs!$B$235,IF(AND(Inputs!$B$234&lt;&gt;"",H$2&gt;Inputs!$B$234,H$2&lt;=Inputs!$B$234+Inputs!$B$236),(1/(1-Inputs!$B$235))^(1/Inputs!$B$236)-1,IF(AND(Inputs!$B$239&lt;&gt;"",H$2=Inputs!$B$239),-Inputs!$B$240,IF(AND(Inputs!$B$239&lt;&gt;"",H$2&gt;Inputs!$B$239,H$2&lt;=Inputs!$B$239+Inputs!$B$241),(1/(1-Inputs!$B$240))^(1/Inputs!$B$241)-1,IF(AND(Inputs!$B$244&lt;&gt;"",H$2=Inputs!$B$244),-Inputs!$B$245,IF(AND(Inputs!$B$244&lt;&gt;"",H$2&gt;Inputs!$B$244,H$2&lt;=Inputs!$B$244+Inputs!$B$246),(1/(1-Inputs!$B$245))^(1/Inputs!$B$246)-1,IF(AND(Inputs!$B$249&lt;&gt;"",H$2=Inputs!$B$249),-Inputs!$B$250,IF(AND(Inputs!$B$249&lt;&gt;"",H$2&gt;Inputs!$B$249,H$2&lt;=Inputs!$B$249+Inputs!$B$251),(1/(1-Inputs!$B$250))^(1/Inputs!$B$251)-1,stinc))))))))))+H60*(SQRT(MAX(1+IF(AND(Inputs!$B$229&lt;&gt;"",H$2=Inputs!$B$229),-Inputs!$B$230,IF(AND(Inputs!$B$229&lt;&gt;"",H$2&gt;Inputs!$B$229,H$2&lt;=Inputs!$B$229+Inputs!$B$231),(1/(1-Inputs!$B$230))^(1/Inputs!$B$231)-1,IF(AND(Inputs!$B$234&lt;&gt;"",H$2=Inputs!$B$234),-Inputs!$B$235,IF(AND(Inputs!$B$234&lt;&gt;"",H$2&gt;Inputs!$B$234,H$2&lt;=Inputs!$B$234+Inputs!$B$236),(1/(1-Inputs!$B$235))^(1/Inputs!$B$236)-1,IF(AND(Inputs!$B$239&lt;&gt;"",H$2=Inputs!$B$239),-Inputs!$B$240,IF(AND(Inputs!$B$239&lt;&gt;"",H$2&gt;Inputs!$B$239,H$2&lt;=Inputs!$B$239+Inputs!$B$241),(1/(1-Inputs!$B$240))^(1/Inputs!$B$241)-1,IF(AND(Inputs!$B$244&lt;&gt;"",H$2=Inputs!$B$244),-Inputs!$B$245,IF(AND(Inputs!$B$244&lt;&gt;"",H$2&gt;Inputs!$B$244,H$2&lt;=Inputs!$B$244+Inputs!$B$246),(1/(1-Inputs!$B$245))^(1/Inputs!$B$246)-1,IF(AND(Inputs!$B$249&lt;&gt;"",H$2=Inputs!$B$249),-Inputs!$B$250,IF(AND(Inputs!$B$249&lt;&gt;"",H$2&gt;Inputs!$B$249,H$2&lt;=Inputs!$B$249+Inputs!$B$251),(1/(1-Inputs!$B$250))^(1/Inputs!$B$251)-1,stinc)))))))))),0))-1)</f>
        <v>5009.4734499460274</v>
      </c>
      <c r="I107" s="7">
        <f ca="1">(SUM(I105:I106)-I60)*IF(AND(Inputs!$B$229&lt;&gt;"",I$2=Inputs!$B$229),-Inputs!$B$230,IF(AND(Inputs!$B$229&lt;&gt;"",I$2&gt;Inputs!$B$229,I$2&lt;=Inputs!$B$229+Inputs!$B$231),(1/(1-Inputs!$B$230))^(1/Inputs!$B$231)-1,IF(AND(Inputs!$B$234&lt;&gt;"",I$2=Inputs!$B$234),-Inputs!$B$235,IF(AND(Inputs!$B$234&lt;&gt;"",I$2&gt;Inputs!$B$234,I$2&lt;=Inputs!$B$234+Inputs!$B$236),(1/(1-Inputs!$B$235))^(1/Inputs!$B$236)-1,IF(AND(Inputs!$B$239&lt;&gt;"",I$2=Inputs!$B$239),-Inputs!$B$240,IF(AND(Inputs!$B$239&lt;&gt;"",I$2&gt;Inputs!$B$239,I$2&lt;=Inputs!$B$239+Inputs!$B$241),(1/(1-Inputs!$B$240))^(1/Inputs!$B$241)-1,IF(AND(Inputs!$B$244&lt;&gt;"",I$2=Inputs!$B$244),-Inputs!$B$245,IF(AND(Inputs!$B$244&lt;&gt;"",I$2&gt;Inputs!$B$244,I$2&lt;=Inputs!$B$244+Inputs!$B$246),(1/(1-Inputs!$B$245))^(1/Inputs!$B$246)-1,IF(AND(Inputs!$B$249&lt;&gt;"",I$2=Inputs!$B$249),-Inputs!$B$250,IF(AND(Inputs!$B$249&lt;&gt;"",I$2&gt;Inputs!$B$249,I$2&lt;=Inputs!$B$249+Inputs!$B$251),(1/(1-Inputs!$B$250))^(1/Inputs!$B$251)-1,stinc))))))))))+I60*(SQRT(MAX(1+IF(AND(Inputs!$B$229&lt;&gt;"",I$2=Inputs!$B$229),-Inputs!$B$230,IF(AND(Inputs!$B$229&lt;&gt;"",I$2&gt;Inputs!$B$229,I$2&lt;=Inputs!$B$229+Inputs!$B$231),(1/(1-Inputs!$B$230))^(1/Inputs!$B$231)-1,IF(AND(Inputs!$B$234&lt;&gt;"",I$2=Inputs!$B$234),-Inputs!$B$235,IF(AND(Inputs!$B$234&lt;&gt;"",I$2&gt;Inputs!$B$234,I$2&lt;=Inputs!$B$234+Inputs!$B$236),(1/(1-Inputs!$B$235))^(1/Inputs!$B$236)-1,IF(AND(Inputs!$B$239&lt;&gt;"",I$2=Inputs!$B$239),-Inputs!$B$240,IF(AND(Inputs!$B$239&lt;&gt;"",I$2&gt;Inputs!$B$239,I$2&lt;=Inputs!$B$239+Inputs!$B$241),(1/(1-Inputs!$B$240))^(1/Inputs!$B$241)-1,IF(AND(Inputs!$B$244&lt;&gt;"",I$2=Inputs!$B$244),-Inputs!$B$245,IF(AND(Inputs!$B$244&lt;&gt;"",I$2&gt;Inputs!$B$244,I$2&lt;=Inputs!$B$244+Inputs!$B$246),(1/(1-Inputs!$B$245))^(1/Inputs!$B$246)-1,IF(AND(Inputs!$B$249&lt;&gt;"",I$2=Inputs!$B$249),-Inputs!$B$250,IF(AND(Inputs!$B$249&lt;&gt;"",I$2&gt;Inputs!$B$249,I$2&lt;=Inputs!$B$249+Inputs!$B$251),(1/(1-Inputs!$B$250))^(1/Inputs!$B$251)-1,stinc)))))))))),0))-1)</f>
        <v>-14397.064024970699</v>
      </c>
      <c r="J107" s="7">
        <f ca="1">(SUM(J105:J106)-J60)*IF(AND(Inputs!$B$229&lt;&gt;"",J$2=Inputs!$B$229),-Inputs!$B$230,IF(AND(Inputs!$B$229&lt;&gt;"",J$2&gt;Inputs!$B$229,J$2&lt;=Inputs!$B$229+Inputs!$B$231),(1/(1-Inputs!$B$230))^(1/Inputs!$B$231)-1,IF(AND(Inputs!$B$234&lt;&gt;"",J$2=Inputs!$B$234),-Inputs!$B$235,IF(AND(Inputs!$B$234&lt;&gt;"",J$2&gt;Inputs!$B$234,J$2&lt;=Inputs!$B$234+Inputs!$B$236),(1/(1-Inputs!$B$235))^(1/Inputs!$B$236)-1,IF(AND(Inputs!$B$239&lt;&gt;"",J$2=Inputs!$B$239),-Inputs!$B$240,IF(AND(Inputs!$B$239&lt;&gt;"",J$2&gt;Inputs!$B$239,J$2&lt;=Inputs!$B$239+Inputs!$B$241),(1/(1-Inputs!$B$240))^(1/Inputs!$B$241)-1,IF(AND(Inputs!$B$244&lt;&gt;"",J$2=Inputs!$B$244),-Inputs!$B$245,IF(AND(Inputs!$B$244&lt;&gt;"",J$2&gt;Inputs!$B$244,J$2&lt;=Inputs!$B$244+Inputs!$B$246),(1/(1-Inputs!$B$245))^(1/Inputs!$B$246)-1,IF(AND(Inputs!$B$249&lt;&gt;"",J$2=Inputs!$B$249),-Inputs!$B$250,IF(AND(Inputs!$B$249&lt;&gt;"",J$2&gt;Inputs!$B$249,J$2&lt;=Inputs!$B$249+Inputs!$B$251),(1/(1-Inputs!$B$250))^(1/Inputs!$B$251)-1,stinc))))))))))+J60*(SQRT(MAX(1+IF(AND(Inputs!$B$229&lt;&gt;"",J$2=Inputs!$B$229),-Inputs!$B$230,IF(AND(Inputs!$B$229&lt;&gt;"",J$2&gt;Inputs!$B$229,J$2&lt;=Inputs!$B$229+Inputs!$B$231),(1/(1-Inputs!$B$230))^(1/Inputs!$B$231)-1,IF(AND(Inputs!$B$234&lt;&gt;"",J$2=Inputs!$B$234),-Inputs!$B$235,IF(AND(Inputs!$B$234&lt;&gt;"",J$2&gt;Inputs!$B$234,J$2&lt;=Inputs!$B$234+Inputs!$B$236),(1/(1-Inputs!$B$235))^(1/Inputs!$B$236)-1,IF(AND(Inputs!$B$239&lt;&gt;"",J$2=Inputs!$B$239),-Inputs!$B$240,IF(AND(Inputs!$B$239&lt;&gt;"",J$2&gt;Inputs!$B$239,J$2&lt;=Inputs!$B$239+Inputs!$B$241),(1/(1-Inputs!$B$240))^(1/Inputs!$B$241)-1,IF(AND(Inputs!$B$244&lt;&gt;"",J$2=Inputs!$B$244),-Inputs!$B$245,IF(AND(Inputs!$B$244&lt;&gt;"",J$2&gt;Inputs!$B$244,J$2&lt;=Inputs!$B$244+Inputs!$B$246),(1/(1-Inputs!$B$245))^(1/Inputs!$B$246)-1,IF(AND(Inputs!$B$249&lt;&gt;"",J$2=Inputs!$B$249),-Inputs!$B$250,IF(AND(Inputs!$B$249&lt;&gt;"",J$2&gt;Inputs!$B$249,J$2&lt;=Inputs!$B$249+Inputs!$B$251),(1/(1-Inputs!$B$250))^(1/Inputs!$B$251)-1,stinc)))))))))),0))-1)</f>
        <v>4759.0734221800294</v>
      </c>
      <c r="K107" s="7">
        <f ca="1">(SUM(K105:K106)-K60)*IF(AND(Inputs!$B$229&lt;&gt;"",K$2=Inputs!$B$229),-Inputs!$B$230,IF(AND(Inputs!$B$229&lt;&gt;"",K$2&gt;Inputs!$B$229,K$2&lt;=Inputs!$B$229+Inputs!$B$231),(1/(1-Inputs!$B$230))^(1/Inputs!$B$231)-1,IF(AND(Inputs!$B$234&lt;&gt;"",K$2=Inputs!$B$234),-Inputs!$B$235,IF(AND(Inputs!$B$234&lt;&gt;"",K$2&gt;Inputs!$B$234,K$2&lt;=Inputs!$B$234+Inputs!$B$236),(1/(1-Inputs!$B$235))^(1/Inputs!$B$236)-1,IF(AND(Inputs!$B$239&lt;&gt;"",K$2=Inputs!$B$239),-Inputs!$B$240,IF(AND(Inputs!$B$239&lt;&gt;"",K$2&gt;Inputs!$B$239,K$2&lt;=Inputs!$B$239+Inputs!$B$241),(1/(1-Inputs!$B$240))^(1/Inputs!$B$241)-1,IF(AND(Inputs!$B$244&lt;&gt;"",K$2=Inputs!$B$244),-Inputs!$B$245,IF(AND(Inputs!$B$244&lt;&gt;"",K$2&gt;Inputs!$B$244,K$2&lt;=Inputs!$B$244+Inputs!$B$246),(1/(1-Inputs!$B$245))^(1/Inputs!$B$246)-1,IF(AND(Inputs!$B$249&lt;&gt;"",K$2=Inputs!$B$249),-Inputs!$B$250,IF(AND(Inputs!$B$249&lt;&gt;"",K$2&gt;Inputs!$B$249,K$2&lt;=Inputs!$B$249+Inputs!$B$251),(1/(1-Inputs!$B$250))^(1/Inputs!$B$251)-1,stinc))))))))))+K60*(SQRT(MAX(1+IF(AND(Inputs!$B$229&lt;&gt;"",K$2=Inputs!$B$229),-Inputs!$B$230,IF(AND(Inputs!$B$229&lt;&gt;"",K$2&gt;Inputs!$B$229,K$2&lt;=Inputs!$B$229+Inputs!$B$231),(1/(1-Inputs!$B$230))^(1/Inputs!$B$231)-1,IF(AND(Inputs!$B$234&lt;&gt;"",K$2=Inputs!$B$234),-Inputs!$B$235,IF(AND(Inputs!$B$234&lt;&gt;"",K$2&gt;Inputs!$B$234,K$2&lt;=Inputs!$B$234+Inputs!$B$236),(1/(1-Inputs!$B$235))^(1/Inputs!$B$236)-1,IF(AND(Inputs!$B$239&lt;&gt;"",K$2=Inputs!$B$239),-Inputs!$B$240,IF(AND(Inputs!$B$239&lt;&gt;"",K$2&gt;Inputs!$B$239,K$2&lt;=Inputs!$B$239+Inputs!$B$241),(1/(1-Inputs!$B$240))^(1/Inputs!$B$241)-1,IF(AND(Inputs!$B$244&lt;&gt;"",K$2=Inputs!$B$244),-Inputs!$B$245,IF(AND(Inputs!$B$244&lt;&gt;"",K$2&gt;Inputs!$B$244,K$2&lt;=Inputs!$B$244+Inputs!$B$246),(1/(1-Inputs!$B$245))^(1/Inputs!$B$246)-1,IF(AND(Inputs!$B$249&lt;&gt;"",K$2=Inputs!$B$249),-Inputs!$B$250,IF(AND(Inputs!$B$249&lt;&gt;"",K$2&gt;Inputs!$B$249,K$2&lt;=Inputs!$B$249+Inputs!$B$251),(1/(1-Inputs!$B$250))^(1/Inputs!$B$251)-1,stinc)))))))))),0))-1)</f>
        <v>5450.8692856436601</v>
      </c>
      <c r="L107" s="7">
        <f ca="1">(SUM(L105:L106)-L60)*IF(AND(Inputs!$B$229&lt;&gt;"",L$2=Inputs!$B$229),-Inputs!$B$230,IF(AND(Inputs!$B$229&lt;&gt;"",L$2&gt;Inputs!$B$229,L$2&lt;=Inputs!$B$229+Inputs!$B$231),(1/(1-Inputs!$B$230))^(1/Inputs!$B$231)-1,IF(AND(Inputs!$B$234&lt;&gt;"",L$2=Inputs!$B$234),-Inputs!$B$235,IF(AND(Inputs!$B$234&lt;&gt;"",L$2&gt;Inputs!$B$234,L$2&lt;=Inputs!$B$234+Inputs!$B$236),(1/(1-Inputs!$B$235))^(1/Inputs!$B$236)-1,IF(AND(Inputs!$B$239&lt;&gt;"",L$2=Inputs!$B$239),-Inputs!$B$240,IF(AND(Inputs!$B$239&lt;&gt;"",L$2&gt;Inputs!$B$239,L$2&lt;=Inputs!$B$239+Inputs!$B$241),(1/(1-Inputs!$B$240))^(1/Inputs!$B$241)-1,IF(AND(Inputs!$B$244&lt;&gt;"",L$2=Inputs!$B$244),-Inputs!$B$245,IF(AND(Inputs!$B$244&lt;&gt;"",L$2&gt;Inputs!$B$244,L$2&lt;=Inputs!$B$244+Inputs!$B$246),(1/(1-Inputs!$B$245))^(1/Inputs!$B$246)-1,IF(AND(Inputs!$B$249&lt;&gt;"",L$2=Inputs!$B$249),-Inputs!$B$250,IF(AND(Inputs!$B$249&lt;&gt;"",L$2&gt;Inputs!$B$249,L$2&lt;=Inputs!$B$249+Inputs!$B$251),(1/(1-Inputs!$B$250))^(1/Inputs!$B$251)-1,stinc))))))))))+L60*(SQRT(MAX(1+IF(AND(Inputs!$B$229&lt;&gt;"",L$2=Inputs!$B$229),-Inputs!$B$230,IF(AND(Inputs!$B$229&lt;&gt;"",L$2&gt;Inputs!$B$229,L$2&lt;=Inputs!$B$229+Inputs!$B$231),(1/(1-Inputs!$B$230))^(1/Inputs!$B$231)-1,IF(AND(Inputs!$B$234&lt;&gt;"",L$2=Inputs!$B$234),-Inputs!$B$235,IF(AND(Inputs!$B$234&lt;&gt;"",L$2&gt;Inputs!$B$234,L$2&lt;=Inputs!$B$234+Inputs!$B$236),(1/(1-Inputs!$B$235))^(1/Inputs!$B$236)-1,IF(AND(Inputs!$B$239&lt;&gt;"",L$2=Inputs!$B$239),-Inputs!$B$240,IF(AND(Inputs!$B$239&lt;&gt;"",L$2&gt;Inputs!$B$239,L$2&lt;=Inputs!$B$239+Inputs!$B$241),(1/(1-Inputs!$B$240))^(1/Inputs!$B$241)-1,IF(AND(Inputs!$B$244&lt;&gt;"",L$2=Inputs!$B$244),-Inputs!$B$245,IF(AND(Inputs!$B$244&lt;&gt;"",L$2&gt;Inputs!$B$244,L$2&lt;=Inputs!$B$244+Inputs!$B$246),(1/(1-Inputs!$B$245))^(1/Inputs!$B$246)-1,IF(AND(Inputs!$B$249&lt;&gt;"",L$2=Inputs!$B$249),-Inputs!$B$250,IF(AND(Inputs!$B$249&lt;&gt;"",L$2&gt;Inputs!$B$249,L$2&lt;=Inputs!$B$249+Inputs!$B$251),(1/(1-Inputs!$B$250))^(1/Inputs!$B$251)-1,stinc)))))))))),0))-1)</f>
        <v>6196.0837889769628</v>
      </c>
      <c r="M107" s="7">
        <f ca="1">(SUM(M105:M106)-M60)*IF(AND(Inputs!$B$229&lt;&gt;"",M$2=Inputs!$B$229),-Inputs!$B$230,IF(AND(Inputs!$B$229&lt;&gt;"",M$2&gt;Inputs!$B$229,M$2&lt;=Inputs!$B$229+Inputs!$B$231),(1/(1-Inputs!$B$230))^(1/Inputs!$B$231)-1,IF(AND(Inputs!$B$234&lt;&gt;"",M$2=Inputs!$B$234),-Inputs!$B$235,IF(AND(Inputs!$B$234&lt;&gt;"",M$2&gt;Inputs!$B$234,M$2&lt;=Inputs!$B$234+Inputs!$B$236),(1/(1-Inputs!$B$235))^(1/Inputs!$B$236)-1,IF(AND(Inputs!$B$239&lt;&gt;"",M$2=Inputs!$B$239),-Inputs!$B$240,IF(AND(Inputs!$B$239&lt;&gt;"",M$2&gt;Inputs!$B$239,M$2&lt;=Inputs!$B$239+Inputs!$B$241),(1/(1-Inputs!$B$240))^(1/Inputs!$B$241)-1,IF(AND(Inputs!$B$244&lt;&gt;"",M$2=Inputs!$B$244),-Inputs!$B$245,IF(AND(Inputs!$B$244&lt;&gt;"",M$2&gt;Inputs!$B$244,M$2&lt;=Inputs!$B$244+Inputs!$B$246),(1/(1-Inputs!$B$245))^(1/Inputs!$B$246)-1,IF(AND(Inputs!$B$249&lt;&gt;"",M$2=Inputs!$B$249),-Inputs!$B$250,IF(AND(Inputs!$B$249&lt;&gt;"",M$2&gt;Inputs!$B$249,M$2&lt;=Inputs!$B$249+Inputs!$B$251),(1/(1-Inputs!$B$250))^(1/Inputs!$B$251)-1,stinc))))))))))+M60*(SQRT(MAX(1+IF(AND(Inputs!$B$229&lt;&gt;"",M$2=Inputs!$B$229),-Inputs!$B$230,IF(AND(Inputs!$B$229&lt;&gt;"",M$2&gt;Inputs!$B$229,M$2&lt;=Inputs!$B$229+Inputs!$B$231),(1/(1-Inputs!$B$230))^(1/Inputs!$B$231)-1,IF(AND(Inputs!$B$234&lt;&gt;"",M$2=Inputs!$B$234),-Inputs!$B$235,IF(AND(Inputs!$B$234&lt;&gt;"",M$2&gt;Inputs!$B$234,M$2&lt;=Inputs!$B$234+Inputs!$B$236),(1/(1-Inputs!$B$235))^(1/Inputs!$B$236)-1,IF(AND(Inputs!$B$239&lt;&gt;"",M$2=Inputs!$B$239),-Inputs!$B$240,IF(AND(Inputs!$B$239&lt;&gt;"",M$2&gt;Inputs!$B$239,M$2&lt;=Inputs!$B$239+Inputs!$B$241),(1/(1-Inputs!$B$240))^(1/Inputs!$B$241)-1,IF(AND(Inputs!$B$244&lt;&gt;"",M$2=Inputs!$B$244),-Inputs!$B$245,IF(AND(Inputs!$B$244&lt;&gt;"",M$2&gt;Inputs!$B$244,M$2&lt;=Inputs!$B$244+Inputs!$B$246),(1/(1-Inputs!$B$245))^(1/Inputs!$B$246)-1,IF(AND(Inputs!$B$249&lt;&gt;"",M$2=Inputs!$B$249),-Inputs!$B$250,IF(AND(Inputs!$B$249&lt;&gt;"",M$2&gt;Inputs!$B$249,M$2&lt;=Inputs!$B$249+Inputs!$B$251),(1/(1-Inputs!$B$250))^(1/Inputs!$B$251)-1,stinc)))))))))),0))-1)</f>
        <v>7250.9483236881051</v>
      </c>
      <c r="N107" s="7">
        <f ca="1">(SUM(N105:N106)-N60)*IF(AND(Inputs!$B$229&lt;&gt;"",N$2=Inputs!$B$229),-Inputs!$B$230,IF(AND(Inputs!$B$229&lt;&gt;"",N$2&gt;Inputs!$B$229,N$2&lt;=Inputs!$B$229+Inputs!$B$231),(1/(1-Inputs!$B$230))^(1/Inputs!$B$231)-1,IF(AND(Inputs!$B$234&lt;&gt;"",N$2=Inputs!$B$234),-Inputs!$B$235,IF(AND(Inputs!$B$234&lt;&gt;"",N$2&gt;Inputs!$B$234,N$2&lt;=Inputs!$B$234+Inputs!$B$236),(1/(1-Inputs!$B$235))^(1/Inputs!$B$236)-1,IF(AND(Inputs!$B$239&lt;&gt;"",N$2=Inputs!$B$239),-Inputs!$B$240,IF(AND(Inputs!$B$239&lt;&gt;"",N$2&gt;Inputs!$B$239,N$2&lt;=Inputs!$B$239+Inputs!$B$241),(1/(1-Inputs!$B$240))^(1/Inputs!$B$241)-1,IF(AND(Inputs!$B$244&lt;&gt;"",N$2=Inputs!$B$244),-Inputs!$B$245,IF(AND(Inputs!$B$244&lt;&gt;"",N$2&gt;Inputs!$B$244,N$2&lt;=Inputs!$B$244+Inputs!$B$246),(1/(1-Inputs!$B$245))^(1/Inputs!$B$246)-1,IF(AND(Inputs!$B$249&lt;&gt;"",N$2=Inputs!$B$249),-Inputs!$B$250,IF(AND(Inputs!$B$249&lt;&gt;"",N$2&gt;Inputs!$B$249,N$2&lt;=Inputs!$B$249+Inputs!$B$251),(1/(1-Inputs!$B$250))^(1/Inputs!$B$251)-1,stinc))))))))))+N60*(SQRT(MAX(1+IF(AND(Inputs!$B$229&lt;&gt;"",N$2=Inputs!$B$229),-Inputs!$B$230,IF(AND(Inputs!$B$229&lt;&gt;"",N$2&gt;Inputs!$B$229,N$2&lt;=Inputs!$B$229+Inputs!$B$231),(1/(1-Inputs!$B$230))^(1/Inputs!$B$231)-1,IF(AND(Inputs!$B$234&lt;&gt;"",N$2=Inputs!$B$234),-Inputs!$B$235,IF(AND(Inputs!$B$234&lt;&gt;"",N$2&gt;Inputs!$B$234,N$2&lt;=Inputs!$B$234+Inputs!$B$236),(1/(1-Inputs!$B$235))^(1/Inputs!$B$236)-1,IF(AND(Inputs!$B$239&lt;&gt;"",N$2=Inputs!$B$239),-Inputs!$B$240,IF(AND(Inputs!$B$239&lt;&gt;"",N$2&gt;Inputs!$B$239,N$2&lt;=Inputs!$B$239+Inputs!$B$241),(1/(1-Inputs!$B$240))^(1/Inputs!$B$241)-1,IF(AND(Inputs!$B$244&lt;&gt;"",N$2=Inputs!$B$244),-Inputs!$B$245,IF(AND(Inputs!$B$244&lt;&gt;"",N$2&gt;Inputs!$B$244,N$2&lt;=Inputs!$B$244+Inputs!$B$246),(1/(1-Inputs!$B$245))^(1/Inputs!$B$246)-1,IF(AND(Inputs!$B$249&lt;&gt;"",N$2=Inputs!$B$249),-Inputs!$B$250,IF(AND(Inputs!$B$249&lt;&gt;"",N$2&gt;Inputs!$B$249,N$2&lt;=Inputs!$B$249+Inputs!$B$251),(1/(1-Inputs!$B$250))^(1/Inputs!$B$251)-1,stinc)))))))))),0))-1)</f>
        <v>-8173.7576749268974</v>
      </c>
      <c r="O107" s="7">
        <f ca="1">(SUM(O105:O106)-O60)*IF(AND(Inputs!$B$229&lt;&gt;"",O$2=Inputs!$B$229),-Inputs!$B$230,IF(AND(Inputs!$B$229&lt;&gt;"",O$2&gt;Inputs!$B$229,O$2&lt;=Inputs!$B$229+Inputs!$B$231),(1/(1-Inputs!$B$230))^(1/Inputs!$B$231)-1,IF(AND(Inputs!$B$234&lt;&gt;"",O$2=Inputs!$B$234),-Inputs!$B$235,IF(AND(Inputs!$B$234&lt;&gt;"",O$2&gt;Inputs!$B$234,O$2&lt;=Inputs!$B$234+Inputs!$B$236),(1/(1-Inputs!$B$235))^(1/Inputs!$B$236)-1,IF(AND(Inputs!$B$239&lt;&gt;"",O$2=Inputs!$B$239),-Inputs!$B$240,IF(AND(Inputs!$B$239&lt;&gt;"",O$2&gt;Inputs!$B$239,O$2&lt;=Inputs!$B$239+Inputs!$B$241),(1/(1-Inputs!$B$240))^(1/Inputs!$B$241)-1,IF(AND(Inputs!$B$244&lt;&gt;"",O$2=Inputs!$B$244),-Inputs!$B$245,IF(AND(Inputs!$B$244&lt;&gt;"",O$2&gt;Inputs!$B$244,O$2&lt;=Inputs!$B$244+Inputs!$B$246),(1/(1-Inputs!$B$245))^(1/Inputs!$B$246)-1,IF(AND(Inputs!$B$249&lt;&gt;"",O$2=Inputs!$B$249),-Inputs!$B$250,IF(AND(Inputs!$B$249&lt;&gt;"",O$2&gt;Inputs!$B$249,O$2&lt;=Inputs!$B$249+Inputs!$B$251),(1/(1-Inputs!$B$250))^(1/Inputs!$B$251)-1,stinc))))))))))+O60*(SQRT(MAX(1+IF(AND(Inputs!$B$229&lt;&gt;"",O$2=Inputs!$B$229),-Inputs!$B$230,IF(AND(Inputs!$B$229&lt;&gt;"",O$2&gt;Inputs!$B$229,O$2&lt;=Inputs!$B$229+Inputs!$B$231),(1/(1-Inputs!$B$230))^(1/Inputs!$B$231)-1,IF(AND(Inputs!$B$234&lt;&gt;"",O$2=Inputs!$B$234),-Inputs!$B$235,IF(AND(Inputs!$B$234&lt;&gt;"",O$2&gt;Inputs!$B$234,O$2&lt;=Inputs!$B$234+Inputs!$B$236),(1/(1-Inputs!$B$235))^(1/Inputs!$B$236)-1,IF(AND(Inputs!$B$239&lt;&gt;"",O$2=Inputs!$B$239),-Inputs!$B$240,IF(AND(Inputs!$B$239&lt;&gt;"",O$2&gt;Inputs!$B$239,O$2&lt;=Inputs!$B$239+Inputs!$B$241),(1/(1-Inputs!$B$240))^(1/Inputs!$B$241)-1,IF(AND(Inputs!$B$244&lt;&gt;"",O$2=Inputs!$B$244),-Inputs!$B$245,IF(AND(Inputs!$B$244&lt;&gt;"",O$2&gt;Inputs!$B$244,O$2&lt;=Inputs!$B$244+Inputs!$B$246),(1/(1-Inputs!$B$245))^(1/Inputs!$B$246)-1,IF(AND(Inputs!$B$249&lt;&gt;"",O$2=Inputs!$B$249),-Inputs!$B$250,IF(AND(Inputs!$B$249&lt;&gt;"",O$2&gt;Inputs!$B$249,O$2&lt;=Inputs!$B$249+Inputs!$B$251),(1/(1-Inputs!$B$250))^(1/Inputs!$B$251)-1,stinc)))))))))),0))-1)</f>
        <v>2765.9463947783497</v>
      </c>
      <c r="P107" s="7">
        <f ca="1">(SUM(P105:P106)-P60)*IF(AND(Inputs!$B$229&lt;&gt;"",P$2=Inputs!$B$229),-Inputs!$B$230,IF(AND(Inputs!$B$229&lt;&gt;"",P$2&gt;Inputs!$B$229,P$2&lt;=Inputs!$B$229+Inputs!$B$231),(1/(1-Inputs!$B$230))^(1/Inputs!$B$231)-1,IF(AND(Inputs!$B$234&lt;&gt;"",P$2=Inputs!$B$234),-Inputs!$B$235,IF(AND(Inputs!$B$234&lt;&gt;"",P$2&gt;Inputs!$B$234,P$2&lt;=Inputs!$B$234+Inputs!$B$236),(1/(1-Inputs!$B$235))^(1/Inputs!$B$236)-1,IF(AND(Inputs!$B$239&lt;&gt;"",P$2=Inputs!$B$239),-Inputs!$B$240,IF(AND(Inputs!$B$239&lt;&gt;"",P$2&gt;Inputs!$B$239,P$2&lt;=Inputs!$B$239+Inputs!$B$241),(1/(1-Inputs!$B$240))^(1/Inputs!$B$241)-1,IF(AND(Inputs!$B$244&lt;&gt;"",P$2=Inputs!$B$244),-Inputs!$B$245,IF(AND(Inputs!$B$244&lt;&gt;"",P$2&gt;Inputs!$B$244,P$2&lt;=Inputs!$B$244+Inputs!$B$246),(1/(1-Inputs!$B$245))^(1/Inputs!$B$246)-1,IF(AND(Inputs!$B$249&lt;&gt;"",P$2=Inputs!$B$249),-Inputs!$B$250,IF(AND(Inputs!$B$249&lt;&gt;"",P$2&gt;Inputs!$B$249,P$2&lt;=Inputs!$B$249+Inputs!$B$251),(1/(1-Inputs!$B$250))^(1/Inputs!$B$251)-1,stinc))))))))))+P60*(SQRT(MAX(1+IF(AND(Inputs!$B$229&lt;&gt;"",P$2=Inputs!$B$229),-Inputs!$B$230,IF(AND(Inputs!$B$229&lt;&gt;"",P$2&gt;Inputs!$B$229,P$2&lt;=Inputs!$B$229+Inputs!$B$231),(1/(1-Inputs!$B$230))^(1/Inputs!$B$231)-1,IF(AND(Inputs!$B$234&lt;&gt;"",P$2=Inputs!$B$234),-Inputs!$B$235,IF(AND(Inputs!$B$234&lt;&gt;"",P$2&gt;Inputs!$B$234,P$2&lt;=Inputs!$B$234+Inputs!$B$236),(1/(1-Inputs!$B$235))^(1/Inputs!$B$236)-1,IF(AND(Inputs!$B$239&lt;&gt;"",P$2=Inputs!$B$239),-Inputs!$B$240,IF(AND(Inputs!$B$239&lt;&gt;"",P$2&gt;Inputs!$B$239,P$2&lt;=Inputs!$B$239+Inputs!$B$241),(1/(1-Inputs!$B$240))^(1/Inputs!$B$241)-1,IF(AND(Inputs!$B$244&lt;&gt;"",P$2=Inputs!$B$244),-Inputs!$B$245,IF(AND(Inputs!$B$244&lt;&gt;"",P$2&gt;Inputs!$B$244,P$2&lt;=Inputs!$B$244+Inputs!$B$246),(1/(1-Inputs!$B$245))^(1/Inputs!$B$246)-1,IF(AND(Inputs!$B$249&lt;&gt;"",P$2=Inputs!$B$249),-Inputs!$B$250,IF(AND(Inputs!$B$249&lt;&gt;"",P$2&gt;Inputs!$B$249,P$2&lt;=Inputs!$B$249+Inputs!$B$251),(1/(1-Inputs!$B$250))^(1/Inputs!$B$251)-1,stinc)))))))))),0))-1)</f>
        <v>2962.2726963252649</v>
      </c>
      <c r="Q107" s="7">
        <f ca="1">(SUM(Q105:Q106)-Q60)*IF(AND(Inputs!$B$229&lt;&gt;"",Q$2=Inputs!$B$229),-Inputs!$B$230,IF(AND(Inputs!$B$229&lt;&gt;"",Q$2&gt;Inputs!$B$229,Q$2&lt;=Inputs!$B$229+Inputs!$B$231),(1/(1-Inputs!$B$230))^(1/Inputs!$B$231)-1,IF(AND(Inputs!$B$234&lt;&gt;"",Q$2=Inputs!$B$234),-Inputs!$B$235,IF(AND(Inputs!$B$234&lt;&gt;"",Q$2&gt;Inputs!$B$234,Q$2&lt;=Inputs!$B$234+Inputs!$B$236),(1/(1-Inputs!$B$235))^(1/Inputs!$B$236)-1,IF(AND(Inputs!$B$239&lt;&gt;"",Q$2=Inputs!$B$239),-Inputs!$B$240,IF(AND(Inputs!$B$239&lt;&gt;"",Q$2&gt;Inputs!$B$239,Q$2&lt;=Inputs!$B$239+Inputs!$B$241),(1/(1-Inputs!$B$240))^(1/Inputs!$B$241)-1,IF(AND(Inputs!$B$244&lt;&gt;"",Q$2=Inputs!$B$244),-Inputs!$B$245,IF(AND(Inputs!$B$244&lt;&gt;"",Q$2&gt;Inputs!$B$244,Q$2&lt;=Inputs!$B$244+Inputs!$B$246),(1/(1-Inputs!$B$245))^(1/Inputs!$B$246)-1,IF(AND(Inputs!$B$249&lt;&gt;"",Q$2=Inputs!$B$249),-Inputs!$B$250,IF(AND(Inputs!$B$249&lt;&gt;"",Q$2&gt;Inputs!$B$249,Q$2&lt;=Inputs!$B$249+Inputs!$B$251),(1/(1-Inputs!$B$250))^(1/Inputs!$B$251)-1,stinc))))))))))+Q60*(SQRT(MAX(1+IF(AND(Inputs!$B$229&lt;&gt;"",Q$2=Inputs!$B$229),-Inputs!$B$230,IF(AND(Inputs!$B$229&lt;&gt;"",Q$2&gt;Inputs!$B$229,Q$2&lt;=Inputs!$B$229+Inputs!$B$231),(1/(1-Inputs!$B$230))^(1/Inputs!$B$231)-1,IF(AND(Inputs!$B$234&lt;&gt;"",Q$2=Inputs!$B$234),-Inputs!$B$235,IF(AND(Inputs!$B$234&lt;&gt;"",Q$2&gt;Inputs!$B$234,Q$2&lt;=Inputs!$B$234+Inputs!$B$236),(1/(1-Inputs!$B$235))^(1/Inputs!$B$236)-1,IF(AND(Inputs!$B$239&lt;&gt;"",Q$2=Inputs!$B$239),-Inputs!$B$240,IF(AND(Inputs!$B$239&lt;&gt;"",Q$2&gt;Inputs!$B$239,Q$2&lt;=Inputs!$B$239+Inputs!$B$241),(1/(1-Inputs!$B$240))^(1/Inputs!$B$241)-1,IF(AND(Inputs!$B$244&lt;&gt;"",Q$2=Inputs!$B$244),-Inputs!$B$245,IF(AND(Inputs!$B$244&lt;&gt;"",Q$2&gt;Inputs!$B$244,Q$2&lt;=Inputs!$B$244+Inputs!$B$246),(1/(1-Inputs!$B$245))^(1/Inputs!$B$246)-1,IF(AND(Inputs!$B$249&lt;&gt;"",Q$2=Inputs!$B$249),-Inputs!$B$250,IF(AND(Inputs!$B$249&lt;&gt;"",Q$2&gt;Inputs!$B$249,Q$2&lt;=Inputs!$B$249+Inputs!$B$251),(1/(1-Inputs!$B$250))^(1/Inputs!$B$251)-1,stinc)))))))))),0))-1)</f>
        <v>3164.1322039140728</v>
      </c>
      <c r="R107" s="7">
        <f ca="1">(SUM(R105:R106)-R60)*IF(AND(Inputs!$B$229&lt;&gt;"",R$2=Inputs!$B$229),-Inputs!$B$230,IF(AND(Inputs!$B$229&lt;&gt;"",R$2&gt;Inputs!$B$229,R$2&lt;=Inputs!$B$229+Inputs!$B$231),(1/(1-Inputs!$B$230))^(1/Inputs!$B$231)-1,IF(AND(Inputs!$B$234&lt;&gt;"",R$2=Inputs!$B$234),-Inputs!$B$235,IF(AND(Inputs!$B$234&lt;&gt;"",R$2&gt;Inputs!$B$234,R$2&lt;=Inputs!$B$234+Inputs!$B$236),(1/(1-Inputs!$B$235))^(1/Inputs!$B$236)-1,IF(AND(Inputs!$B$239&lt;&gt;"",R$2=Inputs!$B$239),-Inputs!$B$240,IF(AND(Inputs!$B$239&lt;&gt;"",R$2&gt;Inputs!$B$239,R$2&lt;=Inputs!$B$239+Inputs!$B$241),(1/(1-Inputs!$B$240))^(1/Inputs!$B$241)-1,IF(AND(Inputs!$B$244&lt;&gt;"",R$2=Inputs!$B$244),-Inputs!$B$245,IF(AND(Inputs!$B$244&lt;&gt;"",R$2&gt;Inputs!$B$244,R$2&lt;=Inputs!$B$244+Inputs!$B$246),(1/(1-Inputs!$B$245))^(1/Inputs!$B$246)-1,IF(AND(Inputs!$B$249&lt;&gt;"",R$2=Inputs!$B$249),-Inputs!$B$250,IF(AND(Inputs!$B$249&lt;&gt;"",R$2&gt;Inputs!$B$249,R$2&lt;=Inputs!$B$249+Inputs!$B$251),(1/(1-Inputs!$B$250))^(1/Inputs!$B$251)-1,stinc))))))))))+R60*(SQRT(MAX(1+IF(AND(Inputs!$B$229&lt;&gt;"",R$2=Inputs!$B$229),-Inputs!$B$230,IF(AND(Inputs!$B$229&lt;&gt;"",R$2&gt;Inputs!$B$229,R$2&lt;=Inputs!$B$229+Inputs!$B$231),(1/(1-Inputs!$B$230))^(1/Inputs!$B$231)-1,IF(AND(Inputs!$B$234&lt;&gt;"",R$2=Inputs!$B$234),-Inputs!$B$235,IF(AND(Inputs!$B$234&lt;&gt;"",R$2&gt;Inputs!$B$234,R$2&lt;=Inputs!$B$234+Inputs!$B$236),(1/(1-Inputs!$B$235))^(1/Inputs!$B$236)-1,IF(AND(Inputs!$B$239&lt;&gt;"",R$2=Inputs!$B$239),-Inputs!$B$240,IF(AND(Inputs!$B$239&lt;&gt;"",R$2&gt;Inputs!$B$239,R$2&lt;=Inputs!$B$239+Inputs!$B$241),(1/(1-Inputs!$B$240))^(1/Inputs!$B$241)-1,IF(AND(Inputs!$B$244&lt;&gt;"",R$2=Inputs!$B$244),-Inputs!$B$245,IF(AND(Inputs!$B$244&lt;&gt;"",R$2&gt;Inputs!$B$244,R$2&lt;=Inputs!$B$244+Inputs!$B$246),(1/(1-Inputs!$B$245))^(1/Inputs!$B$246)-1,IF(AND(Inputs!$B$249&lt;&gt;"",R$2=Inputs!$B$249),-Inputs!$B$250,IF(AND(Inputs!$B$249&lt;&gt;"",R$2&gt;Inputs!$B$249,R$2&lt;=Inputs!$B$249+Inputs!$B$251),(1/(1-Inputs!$B$250))^(1/Inputs!$B$251)-1,stinc)))))))))),0))-1)</f>
        <v>9568.5116791904184</v>
      </c>
      <c r="S107" s="7">
        <f ca="1">(SUM(S105:S106)-S60)*IF(AND(Inputs!$B$229&lt;&gt;"",S$2=Inputs!$B$229),-Inputs!$B$230,IF(AND(Inputs!$B$229&lt;&gt;"",S$2&gt;Inputs!$B$229,S$2&lt;=Inputs!$B$229+Inputs!$B$231),(1/(1-Inputs!$B$230))^(1/Inputs!$B$231)-1,IF(AND(Inputs!$B$234&lt;&gt;"",S$2=Inputs!$B$234),-Inputs!$B$235,IF(AND(Inputs!$B$234&lt;&gt;"",S$2&gt;Inputs!$B$234,S$2&lt;=Inputs!$B$234+Inputs!$B$236),(1/(1-Inputs!$B$235))^(1/Inputs!$B$236)-1,IF(AND(Inputs!$B$239&lt;&gt;"",S$2=Inputs!$B$239),-Inputs!$B$240,IF(AND(Inputs!$B$239&lt;&gt;"",S$2&gt;Inputs!$B$239,S$2&lt;=Inputs!$B$239+Inputs!$B$241),(1/(1-Inputs!$B$240))^(1/Inputs!$B$241)-1,IF(AND(Inputs!$B$244&lt;&gt;"",S$2=Inputs!$B$244),-Inputs!$B$245,IF(AND(Inputs!$B$244&lt;&gt;"",S$2&gt;Inputs!$B$244,S$2&lt;=Inputs!$B$244+Inputs!$B$246),(1/(1-Inputs!$B$245))^(1/Inputs!$B$246)-1,IF(AND(Inputs!$B$249&lt;&gt;"",S$2=Inputs!$B$249),-Inputs!$B$250,IF(AND(Inputs!$B$249&lt;&gt;"",S$2&gt;Inputs!$B$249,S$2&lt;=Inputs!$B$249+Inputs!$B$251),(1/(1-Inputs!$B$250))^(1/Inputs!$B$251)-1,stinc))))))))))+S60*(SQRT(MAX(1+IF(AND(Inputs!$B$229&lt;&gt;"",S$2=Inputs!$B$229),-Inputs!$B$230,IF(AND(Inputs!$B$229&lt;&gt;"",S$2&gt;Inputs!$B$229,S$2&lt;=Inputs!$B$229+Inputs!$B$231),(1/(1-Inputs!$B$230))^(1/Inputs!$B$231)-1,IF(AND(Inputs!$B$234&lt;&gt;"",S$2=Inputs!$B$234),-Inputs!$B$235,IF(AND(Inputs!$B$234&lt;&gt;"",S$2&gt;Inputs!$B$234,S$2&lt;=Inputs!$B$234+Inputs!$B$236),(1/(1-Inputs!$B$235))^(1/Inputs!$B$236)-1,IF(AND(Inputs!$B$239&lt;&gt;"",S$2=Inputs!$B$239),-Inputs!$B$240,IF(AND(Inputs!$B$239&lt;&gt;"",S$2&gt;Inputs!$B$239,S$2&lt;=Inputs!$B$239+Inputs!$B$241),(1/(1-Inputs!$B$240))^(1/Inputs!$B$241)-1,IF(AND(Inputs!$B$244&lt;&gt;"",S$2=Inputs!$B$244),-Inputs!$B$245,IF(AND(Inputs!$B$244&lt;&gt;"",S$2&gt;Inputs!$B$244,S$2&lt;=Inputs!$B$244+Inputs!$B$246),(1/(1-Inputs!$B$245))^(1/Inputs!$B$246)-1,IF(AND(Inputs!$B$249&lt;&gt;"",S$2=Inputs!$B$249),-Inputs!$B$250,IF(AND(Inputs!$B$249&lt;&gt;"",S$2&gt;Inputs!$B$249,S$2&lt;=Inputs!$B$249+Inputs!$B$251),(1/(1-Inputs!$B$250))^(1/Inputs!$B$251)-1,stinc)))))))))),0))-1)</f>
        <v>10669.992613525652</v>
      </c>
      <c r="T107" s="7">
        <f ca="1">(SUM(T105:T106)-T60)*IF(AND(Inputs!$B$229&lt;&gt;"",T$2=Inputs!$B$229),-Inputs!$B$230,IF(AND(Inputs!$B$229&lt;&gt;"",T$2&gt;Inputs!$B$229,T$2&lt;=Inputs!$B$229+Inputs!$B$231),(1/(1-Inputs!$B$230))^(1/Inputs!$B$231)-1,IF(AND(Inputs!$B$234&lt;&gt;"",T$2=Inputs!$B$234),-Inputs!$B$235,IF(AND(Inputs!$B$234&lt;&gt;"",T$2&gt;Inputs!$B$234,T$2&lt;=Inputs!$B$234+Inputs!$B$236),(1/(1-Inputs!$B$235))^(1/Inputs!$B$236)-1,IF(AND(Inputs!$B$239&lt;&gt;"",T$2=Inputs!$B$239),-Inputs!$B$240,IF(AND(Inputs!$B$239&lt;&gt;"",T$2&gt;Inputs!$B$239,T$2&lt;=Inputs!$B$239+Inputs!$B$241),(1/(1-Inputs!$B$240))^(1/Inputs!$B$241)-1,IF(AND(Inputs!$B$244&lt;&gt;"",T$2=Inputs!$B$244),-Inputs!$B$245,IF(AND(Inputs!$B$244&lt;&gt;"",T$2&gt;Inputs!$B$244,T$2&lt;=Inputs!$B$244+Inputs!$B$246),(1/(1-Inputs!$B$245))^(1/Inputs!$B$246)-1,IF(AND(Inputs!$B$249&lt;&gt;"",T$2=Inputs!$B$249),-Inputs!$B$250,IF(AND(Inputs!$B$249&lt;&gt;"",T$2&gt;Inputs!$B$249,T$2&lt;=Inputs!$B$249+Inputs!$B$251),(1/(1-Inputs!$B$250))^(1/Inputs!$B$251)-1,stinc))))))))))+T60*(SQRT(MAX(1+IF(AND(Inputs!$B$229&lt;&gt;"",T$2=Inputs!$B$229),-Inputs!$B$230,IF(AND(Inputs!$B$229&lt;&gt;"",T$2&gt;Inputs!$B$229,T$2&lt;=Inputs!$B$229+Inputs!$B$231),(1/(1-Inputs!$B$230))^(1/Inputs!$B$231)-1,IF(AND(Inputs!$B$234&lt;&gt;"",T$2=Inputs!$B$234),-Inputs!$B$235,IF(AND(Inputs!$B$234&lt;&gt;"",T$2&gt;Inputs!$B$234,T$2&lt;=Inputs!$B$234+Inputs!$B$236),(1/(1-Inputs!$B$235))^(1/Inputs!$B$236)-1,IF(AND(Inputs!$B$239&lt;&gt;"",T$2=Inputs!$B$239),-Inputs!$B$240,IF(AND(Inputs!$B$239&lt;&gt;"",T$2&gt;Inputs!$B$239,T$2&lt;=Inputs!$B$239+Inputs!$B$241),(1/(1-Inputs!$B$240))^(1/Inputs!$B$241)-1,IF(AND(Inputs!$B$244&lt;&gt;"",T$2=Inputs!$B$244),-Inputs!$B$245,IF(AND(Inputs!$B$244&lt;&gt;"",T$2&gt;Inputs!$B$244,T$2&lt;=Inputs!$B$244+Inputs!$B$246),(1/(1-Inputs!$B$245))^(1/Inputs!$B$246)-1,IF(AND(Inputs!$B$249&lt;&gt;"",T$2=Inputs!$B$249),-Inputs!$B$250,IF(AND(Inputs!$B$249&lt;&gt;"",T$2&gt;Inputs!$B$249,T$2&lt;=Inputs!$B$249+Inputs!$B$251),(1/(1-Inputs!$B$250))^(1/Inputs!$B$251)-1,stinc)))))))))),0))-1)</f>
        <v>11694.823987534133</v>
      </c>
      <c r="U107" s="7">
        <f ca="1">(SUM(U105:U106)-U60)*IF(AND(Inputs!$B$229&lt;&gt;"",U$2=Inputs!$B$229),-Inputs!$B$230,IF(AND(Inputs!$B$229&lt;&gt;"",U$2&gt;Inputs!$B$229,U$2&lt;=Inputs!$B$229+Inputs!$B$231),(1/(1-Inputs!$B$230))^(1/Inputs!$B$231)-1,IF(AND(Inputs!$B$234&lt;&gt;"",U$2=Inputs!$B$234),-Inputs!$B$235,IF(AND(Inputs!$B$234&lt;&gt;"",U$2&gt;Inputs!$B$234,U$2&lt;=Inputs!$B$234+Inputs!$B$236),(1/(1-Inputs!$B$235))^(1/Inputs!$B$236)-1,IF(AND(Inputs!$B$239&lt;&gt;"",U$2=Inputs!$B$239),-Inputs!$B$240,IF(AND(Inputs!$B$239&lt;&gt;"",U$2&gt;Inputs!$B$239,U$2&lt;=Inputs!$B$239+Inputs!$B$241),(1/(1-Inputs!$B$240))^(1/Inputs!$B$241)-1,IF(AND(Inputs!$B$244&lt;&gt;"",U$2=Inputs!$B$244),-Inputs!$B$245,IF(AND(Inputs!$B$244&lt;&gt;"",U$2&gt;Inputs!$B$244,U$2&lt;=Inputs!$B$244+Inputs!$B$246),(1/(1-Inputs!$B$245))^(1/Inputs!$B$246)-1,IF(AND(Inputs!$B$249&lt;&gt;"",U$2=Inputs!$B$249),-Inputs!$B$250,IF(AND(Inputs!$B$249&lt;&gt;"",U$2&gt;Inputs!$B$249,U$2&lt;=Inputs!$B$249+Inputs!$B$251),(1/(1-Inputs!$B$250))^(1/Inputs!$B$251)-1,stinc))))))))))+U60*(SQRT(MAX(1+IF(AND(Inputs!$B$229&lt;&gt;"",U$2=Inputs!$B$229),-Inputs!$B$230,IF(AND(Inputs!$B$229&lt;&gt;"",U$2&gt;Inputs!$B$229,U$2&lt;=Inputs!$B$229+Inputs!$B$231),(1/(1-Inputs!$B$230))^(1/Inputs!$B$231)-1,IF(AND(Inputs!$B$234&lt;&gt;"",U$2=Inputs!$B$234),-Inputs!$B$235,IF(AND(Inputs!$B$234&lt;&gt;"",U$2&gt;Inputs!$B$234,U$2&lt;=Inputs!$B$234+Inputs!$B$236),(1/(1-Inputs!$B$235))^(1/Inputs!$B$236)-1,IF(AND(Inputs!$B$239&lt;&gt;"",U$2=Inputs!$B$239),-Inputs!$B$240,IF(AND(Inputs!$B$239&lt;&gt;"",U$2&gt;Inputs!$B$239,U$2&lt;=Inputs!$B$239+Inputs!$B$241),(1/(1-Inputs!$B$240))^(1/Inputs!$B$241)-1,IF(AND(Inputs!$B$244&lt;&gt;"",U$2=Inputs!$B$244),-Inputs!$B$245,IF(AND(Inputs!$B$244&lt;&gt;"",U$2&gt;Inputs!$B$244,U$2&lt;=Inputs!$B$244+Inputs!$B$246),(1/(1-Inputs!$B$245))^(1/Inputs!$B$246)-1,IF(AND(Inputs!$B$249&lt;&gt;"",U$2=Inputs!$B$249),-Inputs!$B$250,IF(AND(Inputs!$B$249&lt;&gt;"",U$2&gt;Inputs!$B$249,U$2&lt;=Inputs!$B$249+Inputs!$B$251),(1/(1-Inputs!$B$250))^(1/Inputs!$B$251)-1,stinc)))))))))),0))-1)</f>
        <v>12630.409906536863</v>
      </c>
      <c r="V107" s="7">
        <f ca="1">(SUM(V105:V106)-V60)*IF(AND(Inputs!$B$229&lt;&gt;"",V$2=Inputs!$B$229),-Inputs!$B$230,IF(AND(Inputs!$B$229&lt;&gt;"",V$2&gt;Inputs!$B$229,V$2&lt;=Inputs!$B$229+Inputs!$B$231),(1/(1-Inputs!$B$230))^(1/Inputs!$B$231)-1,IF(AND(Inputs!$B$234&lt;&gt;"",V$2=Inputs!$B$234),-Inputs!$B$235,IF(AND(Inputs!$B$234&lt;&gt;"",V$2&gt;Inputs!$B$234,V$2&lt;=Inputs!$B$234+Inputs!$B$236),(1/(1-Inputs!$B$235))^(1/Inputs!$B$236)-1,IF(AND(Inputs!$B$239&lt;&gt;"",V$2=Inputs!$B$239),-Inputs!$B$240,IF(AND(Inputs!$B$239&lt;&gt;"",V$2&gt;Inputs!$B$239,V$2&lt;=Inputs!$B$239+Inputs!$B$241),(1/(1-Inputs!$B$240))^(1/Inputs!$B$241)-1,IF(AND(Inputs!$B$244&lt;&gt;"",V$2=Inputs!$B$244),-Inputs!$B$245,IF(AND(Inputs!$B$244&lt;&gt;"",V$2&gt;Inputs!$B$244,V$2&lt;=Inputs!$B$244+Inputs!$B$246),(1/(1-Inputs!$B$245))^(1/Inputs!$B$246)-1,IF(AND(Inputs!$B$249&lt;&gt;"",V$2=Inputs!$B$249),-Inputs!$B$250,IF(AND(Inputs!$B$249&lt;&gt;"",V$2&gt;Inputs!$B$249,V$2&lt;=Inputs!$B$249+Inputs!$B$251),(1/(1-Inputs!$B$250))^(1/Inputs!$B$251)-1,stinc))))))))))+V60*(SQRT(MAX(1+IF(AND(Inputs!$B$229&lt;&gt;"",V$2=Inputs!$B$229),-Inputs!$B$230,IF(AND(Inputs!$B$229&lt;&gt;"",V$2&gt;Inputs!$B$229,V$2&lt;=Inputs!$B$229+Inputs!$B$231),(1/(1-Inputs!$B$230))^(1/Inputs!$B$231)-1,IF(AND(Inputs!$B$234&lt;&gt;"",V$2=Inputs!$B$234),-Inputs!$B$235,IF(AND(Inputs!$B$234&lt;&gt;"",V$2&gt;Inputs!$B$234,V$2&lt;=Inputs!$B$234+Inputs!$B$236),(1/(1-Inputs!$B$235))^(1/Inputs!$B$236)-1,IF(AND(Inputs!$B$239&lt;&gt;"",V$2=Inputs!$B$239),-Inputs!$B$240,IF(AND(Inputs!$B$239&lt;&gt;"",V$2&gt;Inputs!$B$239,V$2&lt;=Inputs!$B$239+Inputs!$B$241),(1/(1-Inputs!$B$240))^(1/Inputs!$B$241)-1,IF(AND(Inputs!$B$244&lt;&gt;"",V$2=Inputs!$B$244),-Inputs!$B$245,IF(AND(Inputs!$B$244&lt;&gt;"",V$2&gt;Inputs!$B$244,V$2&lt;=Inputs!$B$244+Inputs!$B$246),(1/(1-Inputs!$B$245))^(1/Inputs!$B$246)-1,IF(AND(Inputs!$B$249&lt;&gt;"",V$2=Inputs!$B$249),-Inputs!$B$250,IF(AND(Inputs!$B$249&lt;&gt;"",V$2&gt;Inputs!$B$249,V$2&lt;=Inputs!$B$249+Inputs!$B$251),(1/(1-Inputs!$B$250))^(1/Inputs!$B$251)-1,stinc)))))))))),0))-1)</f>
        <v>-30691.896072884574</v>
      </c>
      <c r="W107" s="7">
        <f ca="1">(SUM(W105:W106)-W60)*IF(AND(Inputs!$B$229&lt;&gt;"",W$2=Inputs!$B$229),-Inputs!$B$230,IF(AND(Inputs!$B$229&lt;&gt;"",W$2&gt;Inputs!$B$229,W$2&lt;=Inputs!$B$229+Inputs!$B$231),(1/(1-Inputs!$B$230))^(1/Inputs!$B$231)-1,IF(AND(Inputs!$B$234&lt;&gt;"",W$2=Inputs!$B$234),-Inputs!$B$235,IF(AND(Inputs!$B$234&lt;&gt;"",W$2&gt;Inputs!$B$234,W$2&lt;=Inputs!$B$234+Inputs!$B$236),(1/(1-Inputs!$B$235))^(1/Inputs!$B$236)-1,IF(AND(Inputs!$B$239&lt;&gt;"",W$2=Inputs!$B$239),-Inputs!$B$240,IF(AND(Inputs!$B$239&lt;&gt;"",W$2&gt;Inputs!$B$239,W$2&lt;=Inputs!$B$239+Inputs!$B$241),(1/(1-Inputs!$B$240))^(1/Inputs!$B$241)-1,IF(AND(Inputs!$B$244&lt;&gt;"",W$2=Inputs!$B$244),-Inputs!$B$245,IF(AND(Inputs!$B$244&lt;&gt;"",W$2&gt;Inputs!$B$244,W$2&lt;=Inputs!$B$244+Inputs!$B$246),(1/(1-Inputs!$B$245))^(1/Inputs!$B$246)-1,IF(AND(Inputs!$B$249&lt;&gt;"",W$2=Inputs!$B$249),-Inputs!$B$250,IF(AND(Inputs!$B$249&lt;&gt;"",W$2&gt;Inputs!$B$249,W$2&lt;=Inputs!$B$249+Inputs!$B$251),(1/(1-Inputs!$B$250))^(1/Inputs!$B$251)-1,stinc))))))))))+W60*(SQRT(MAX(1+IF(AND(Inputs!$B$229&lt;&gt;"",W$2=Inputs!$B$229),-Inputs!$B$230,IF(AND(Inputs!$B$229&lt;&gt;"",W$2&gt;Inputs!$B$229,W$2&lt;=Inputs!$B$229+Inputs!$B$231),(1/(1-Inputs!$B$230))^(1/Inputs!$B$231)-1,IF(AND(Inputs!$B$234&lt;&gt;"",W$2=Inputs!$B$234),-Inputs!$B$235,IF(AND(Inputs!$B$234&lt;&gt;"",W$2&gt;Inputs!$B$234,W$2&lt;=Inputs!$B$234+Inputs!$B$236),(1/(1-Inputs!$B$235))^(1/Inputs!$B$236)-1,IF(AND(Inputs!$B$239&lt;&gt;"",W$2=Inputs!$B$239),-Inputs!$B$240,IF(AND(Inputs!$B$239&lt;&gt;"",W$2&gt;Inputs!$B$239,W$2&lt;=Inputs!$B$239+Inputs!$B$241),(1/(1-Inputs!$B$240))^(1/Inputs!$B$241)-1,IF(AND(Inputs!$B$244&lt;&gt;"",W$2=Inputs!$B$244),-Inputs!$B$245,IF(AND(Inputs!$B$244&lt;&gt;"",W$2&gt;Inputs!$B$244,W$2&lt;=Inputs!$B$244+Inputs!$B$246),(1/(1-Inputs!$B$245))^(1/Inputs!$B$246)-1,IF(AND(Inputs!$B$249&lt;&gt;"",W$2=Inputs!$B$249),-Inputs!$B$250,IF(AND(Inputs!$B$249&lt;&gt;"",W$2&gt;Inputs!$B$249,W$2&lt;=Inputs!$B$249+Inputs!$B$251),(1/(1-Inputs!$B$250))^(1/Inputs!$B$251)-1,stinc)))))))))),0))-1)</f>
        <v>14585.217645557555</v>
      </c>
      <c r="X107" s="7">
        <f ca="1">(SUM(X105:X106)-X60)*IF(AND(Inputs!$B$229&lt;&gt;"",X$2=Inputs!$B$229),-Inputs!$B$230,IF(AND(Inputs!$B$229&lt;&gt;"",X$2&gt;Inputs!$B$229,X$2&lt;=Inputs!$B$229+Inputs!$B$231),(1/(1-Inputs!$B$230))^(1/Inputs!$B$231)-1,IF(AND(Inputs!$B$234&lt;&gt;"",X$2=Inputs!$B$234),-Inputs!$B$235,IF(AND(Inputs!$B$234&lt;&gt;"",X$2&gt;Inputs!$B$234,X$2&lt;=Inputs!$B$234+Inputs!$B$236),(1/(1-Inputs!$B$235))^(1/Inputs!$B$236)-1,IF(AND(Inputs!$B$239&lt;&gt;"",X$2=Inputs!$B$239),-Inputs!$B$240,IF(AND(Inputs!$B$239&lt;&gt;"",X$2&gt;Inputs!$B$239,X$2&lt;=Inputs!$B$239+Inputs!$B$241),(1/(1-Inputs!$B$240))^(1/Inputs!$B$241)-1,IF(AND(Inputs!$B$244&lt;&gt;"",X$2=Inputs!$B$244),-Inputs!$B$245,IF(AND(Inputs!$B$244&lt;&gt;"",X$2&gt;Inputs!$B$244,X$2&lt;=Inputs!$B$244+Inputs!$B$246),(1/(1-Inputs!$B$245))^(1/Inputs!$B$246)-1,IF(AND(Inputs!$B$249&lt;&gt;"",X$2=Inputs!$B$249),-Inputs!$B$250,IF(AND(Inputs!$B$249&lt;&gt;"",X$2&gt;Inputs!$B$249,X$2&lt;=Inputs!$B$249+Inputs!$B$251),(1/(1-Inputs!$B$250))^(1/Inputs!$B$251)-1,stinc))))))))))+X60*(SQRT(MAX(1+IF(AND(Inputs!$B$229&lt;&gt;"",X$2=Inputs!$B$229),-Inputs!$B$230,IF(AND(Inputs!$B$229&lt;&gt;"",X$2&gt;Inputs!$B$229,X$2&lt;=Inputs!$B$229+Inputs!$B$231),(1/(1-Inputs!$B$230))^(1/Inputs!$B$231)-1,IF(AND(Inputs!$B$234&lt;&gt;"",X$2=Inputs!$B$234),-Inputs!$B$235,IF(AND(Inputs!$B$234&lt;&gt;"",X$2&gt;Inputs!$B$234,X$2&lt;=Inputs!$B$234+Inputs!$B$236),(1/(1-Inputs!$B$235))^(1/Inputs!$B$236)-1,IF(AND(Inputs!$B$239&lt;&gt;"",X$2=Inputs!$B$239),-Inputs!$B$240,IF(AND(Inputs!$B$239&lt;&gt;"",X$2&gt;Inputs!$B$239,X$2&lt;=Inputs!$B$239+Inputs!$B$241),(1/(1-Inputs!$B$240))^(1/Inputs!$B$241)-1,IF(AND(Inputs!$B$244&lt;&gt;"",X$2=Inputs!$B$244),-Inputs!$B$245,IF(AND(Inputs!$B$244&lt;&gt;"",X$2&gt;Inputs!$B$244,X$2&lt;=Inputs!$B$244+Inputs!$B$246),(1/(1-Inputs!$B$245))^(1/Inputs!$B$246)-1,IF(AND(Inputs!$B$249&lt;&gt;"",X$2=Inputs!$B$249),-Inputs!$B$250,IF(AND(Inputs!$B$249&lt;&gt;"",X$2&gt;Inputs!$B$249,X$2&lt;=Inputs!$B$249+Inputs!$B$251),(1/(1-Inputs!$B$250))^(1/Inputs!$B$251)-1,stinc)))))))))),0))-1)</f>
        <v>16106.678427327013</v>
      </c>
      <c r="Y107" s="7">
        <f ca="1">(SUM(Y105:Y106)-Y60)*IF(AND(Inputs!$B$229&lt;&gt;"",Y$2=Inputs!$B$229),-Inputs!$B$230,IF(AND(Inputs!$B$229&lt;&gt;"",Y$2&gt;Inputs!$B$229,Y$2&lt;=Inputs!$B$229+Inputs!$B$231),(1/(1-Inputs!$B$230))^(1/Inputs!$B$231)-1,IF(AND(Inputs!$B$234&lt;&gt;"",Y$2=Inputs!$B$234),-Inputs!$B$235,IF(AND(Inputs!$B$234&lt;&gt;"",Y$2&gt;Inputs!$B$234,Y$2&lt;=Inputs!$B$234+Inputs!$B$236),(1/(1-Inputs!$B$235))^(1/Inputs!$B$236)-1,IF(AND(Inputs!$B$239&lt;&gt;"",Y$2=Inputs!$B$239),-Inputs!$B$240,IF(AND(Inputs!$B$239&lt;&gt;"",Y$2&gt;Inputs!$B$239,Y$2&lt;=Inputs!$B$239+Inputs!$B$241),(1/(1-Inputs!$B$240))^(1/Inputs!$B$241)-1,IF(AND(Inputs!$B$244&lt;&gt;"",Y$2=Inputs!$B$244),-Inputs!$B$245,IF(AND(Inputs!$B$244&lt;&gt;"",Y$2&gt;Inputs!$B$244,Y$2&lt;=Inputs!$B$244+Inputs!$B$246),(1/(1-Inputs!$B$245))^(1/Inputs!$B$246)-1,IF(AND(Inputs!$B$249&lt;&gt;"",Y$2=Inputs!$B$249),-Inputs!$B$250,IF(AND(Inputs!$B$249&lt;&gt;"",Y$2&gt;Inputs!$B$249,Y$2&lt;=Inputs!$B$249+Inputs!$B$251),(1/(1-Inputs!$B$250))^(1/Inputs!$B$251)-1,stinc))))))))))+Y60*(SQRT(MAX(1+IF(AND(Inputs!$B$229&lt;&gt;"",Y$2=Inputs!$B$229),-Inputs!$B$230,IF(AND(Inputs!$B$229&lt;&gt;"",Y$2&gt;Inputs!$B$229,Y$2&lt;=Inputs!$B$229+Inputs!$B$231),(1/(1-Inputs!$B$230))^(1/Inputs!$B$231)-1,IF(AND(Inputs!$B$234&lt;&gt;"",Y$2=Inputs!$B$234),-Inputs!$B$235,IF(AND(Inputs!$B$234&lt;&gt;"",Y$2&gt;Inputs!$B$234,Y$2&lt;=Inputs!$B$234+Inputs!$B$236),(1/(1-Inputs!$B$235))^(1/Inputs!$B$236)-1,IF(AND(Inputs!$B$239&lt;&gt;"",Y$2=Inputs!$B$239),-Inputs!$B$240,IF(AND(Inputs!$B$239&lt;&gt;"",Y$2&gt;Inputs!$B$239,Y$2&lt;=Inputs!$B$239+Inputs!$B$241),(1/(1-Inputs!$B$240))^(1/Inputs!$B$241)-1,IF(AND(Inputs!$B$244&lt;&gt;"",Y$2=Inputs!$B$244),-Inputs!$B$245,IF(AND(Inputs!$B$244&lt;&gt;"",Y$2&gt;Inputs!$B$244,Y$2&lt;=Inputs!$B$244+Inputs!$B$246),(1/(1-Inputs!$B$245))^(1/Inputs!$B$246)-1,IF(AND(Inputs!$B$249&lt;&gt;"",Y$2=Inputs!$B$249),-Inputs!$B$250,IF(AND(Inputs!$B$249&lt;&gt;"",Y$2&gt;Inputs!$B$249,Y$2&lt;=Inputs!$B$249+Inputs!$B$251),(1/(1-Inputs!$B$250))^(1/Inputs!$B$251)-1,stinc)))))))))),0))-1)</f>
        <v>13640.842699059811</v>
      </c>
      <c r="Z107" s="7">
        <f ca="1">(SUM(Z105:Z106)-Z60)*IF(AND(Inputs!$B$229&lt;&gt;"",Z$2=Inputs!$B$229),-Inputs!$B$230,IF(AND(Inputs!$B$229&lt;&gt;"",Z$2&gt;Inputs!$B$229,Z$2&lt;=Inputs!$B$229+Inputs!$B$231),(1/(1-Inputs!$B$230))^(1/Inputs!$B$231)-1,IF(AND(Inputs!$B$234&lt;&gt;"",Z$2=Inputs!$B$234),-Inputs!$B$235,IF(AND(Inputs!$B$234&lt;&gt;"",Z$2&gt;Inputs!$B$234,Z$2&lt;=Inputs!$B$234+Inputs!$B$236),(1/(1-Inputs!$B$235))^(1/Inputs!$B$236)-1,IF(AND(Inputs!$B$239&lt;&gt;"",Z$2=Inputs!$B$239),-Inputs!$B$240,IF(AND(Inputs!$B$239&lt;&gt;"",Z$2&gt;Inputs!$B$239,Z$2&lt;=Inputs!$B$239+Inputs!$B$241),(1/(1-Inputs!$B$240))^(1/Inputs!$B$241)-1,IF(AND(Inputs!$B$244&lt;&gt;"",Z$2=Inputs!$B$244),-Inputs!$B$245,IF(AND(Inputs!$B$244&lt;&gt;"",Z$2&gt;Inputs!$B$244,Z$2&lt;=Inputs!$B$244+Inputs!$B$246),(1/(1-Inputs!$B$245))^(1/Inputs!$B$246)-1,IF(AND(Inputs!$B$249&lt;&gt;"",Z$2=Inputs!$B$249),-Inputs!$B$250,IF(AND(Inputs!$B$249&lt;&gt;"",Z$2&gt;Inputs!$B$249,Z$2&lt;=Inputs!$B$249+Inputs!$B$251),(1/(1-Inputs!$B$250))^(1/Inputs!$B$251)-1,stinc))))))))))+Z60*(SQRT(MAX(1+IF(AND(Inputs!$B$229&lt;&gt;"",Z$2=Inputs!$B$229),-Inputs!$B$230,IF(AND(Inputs!$B$229&lt;&gt;"",Z$2&gt;Inputs!$B$229,Z$2&lt;=Inputs!$B$229+Inputs!$B$231),(1/(1-Inputs!$B$230))^(1/Inputs!$B$231)-1,IF(AND(Inputs!$B$234&lt;&gt;"",Z$2=Inputs!$B$234),-Inputs!$B$235,IF(AND(Inputs!$B$234&lt;&gt;"",Z$2&gt;Inputs!$B$234,Z$2&lt;=Inputs!$B$234+Inputs!$B$236),(1/(1-Inputs!$B$235))^(1/Inputs!$B$236)-1,IF(AND(Inputs!$B$239&lt;&gt;"",Z$2=Inputs!$B$239),-Inputs!$B$240,IF(AND(Inputs!$B$239&lt;&gt;"",Z$2&gt;Inputs!$B$239,Z$2&lt;=Inputs!$B$239+Inputs!$B$241),(1/(1-Inputs!$B$240))^(1/Inputs!$B$241)-1,IF(AND(Inputs!$B$244&lt;&gt;"",Z$2=Inputs!$B$244),-Inputs!$B$245,IF(AND(Inputs!$B$244&lt;&gt;"",Z$2&gt;Inputs!$B$244,Z$2&lt;=Inputs!$B$244+Inputs!$B$246),(1/(1-Inputs!$B$245))^(1/Inputs!$B$246)-1,IF(AND(Inputs!$B$249&lt;&gt;"",Z$2=Inputs!$B$249),-Inputs!$B$250,IF(AND(Inputs!$B$249&lt;&gt;"",Z$2&gt;Inputs!$B$249,Z$2&lt;=Inputs!$B$249+Inputs!$B$251),(1/(1-Inputs!$B$250))^(1/Inputs!$B$251)-1,stinc)))))))))),0))-1)</f>
        <v>14732.110114984596</v>
      </c>
      <c r="AA107" s="7">
        <f ca="1">(SUM(AA105:AA106)-AA60)*IF(AND(Inputs!$B$229&lt;&gt;"",AA$2=Inputs!$B$229),-Inputs!$B$230,IF(AND(Inputs!$B$229&lt;&gt;"",AA$2&gt;Inputs!$B$229,AA$2&lt;=Inputs!$B$229+Inputs!$B$231),(1/(1-Inputs!$B$230))^(1/Inputs!$B$231)-1,IF(AND(Inputs!$B$234&lt;&gt;"",AA$2=Inputs!$B$234),-Inputs!$B$235,IF(AND(Inputs!$B$234&lt;&gt;"",AA$2&gt;Inputs!$B$234,AA$2&lt;=Inputs!$B$234+Inputs!$B$236),(1/(1-Inputs!$B$235))^(1/Inputs!$B$236)-1,IF(AND(Inputs!$B$239&lt;&gt;"",AA$2=Inputs!$B$239),-Inputs!$B$240,IF(AND(Inputs!$B$239&lt;&gt;"",AA$2&gt;Inputs!$B$239,AA$2&lt;=Inputs!$B$239+Inputs!$B$241),(1/(1-Inputs!$B$240))^(1/Inputs!$B$241)-1,IF(AND(Inputs!$B$244&lt;&gt;"",AA$2=Inputs!$B$244),-Inputs!$B$245,IF(AND(Inputs!$B$244&lt;&gt;"",AA$2&gt;Inputs!$B$244,AA$2&lt;=Inputs!$B$244+Inputs!$B$246),(1/(1-Inputs!$B$245))^(1/Inputs!$B$246)-1,IF(AND(Inputs!$B$249&lt;&gt;"",AA$2=Inputs!$B$249),-Inputs!$B$250,IF(AND(Inputs!$B$249&lt;&gt;"",AA$2&gt;Inputs!$B$249,AA$2&lt;=Inputs!$B$249+Inputs!$B$251),(1/(1-Inputs!$B$250))^(1/Inputs!$B$251)-1,stinc))))))))))+AA60*(SQRT(MAX(1+IF(AND(Inputs!$B$229&lt;&gt;"",AA$2=Inputs!$B$229),-Inputs!$B$230,IF(AND(Inputs!$B$229&lt;&gt;"",AA$2&gt;Inputs!$B$229,AA$2&lt;=Inputs!$B$229+Inputs!$B$231),(1/(1-Inputs!$B$230))^(1/Inputs!$B$231)-1,IF(AND(Inputs!$B$234&lt;&gt;"",AA$2=Inputs!$B$234),-Inputs!$B$235,IF(AND(Inputs!$B$234&lt;&gt;"",AA$2&gt;Inputs!$B$234,AA$2&lt;=Inputs!$B$234+Inputs!$B$236),(1/(1-Inputs!$B$235))^(1/Inputs!$B$236)-1,IF(AND(Inputs!$B$239&lt;&gt;"",AA$2=Inputs!$B$239),-Inputs!$B$240,IF(AND(Inputs!$B$239&lt;&gt;"",AA$2&gt;Inputs!$B$239,AA$2&lt;=Inputs!$B$239+Inputs!$B$241),(1/(1-Inputs!$B$240))^(1/Inputs!$B$241)-1,IF(AND(Inputs!$B$244&lt;&gt;"",AA$2=Inputs!$B$244),-Inputs!$B$245,IF(AND(Inputs!$B$244&lt;&gt;"",AA$2&gt;Inputs!$B$244,AA$2&lt;=Inputs!$B$244+Inputs!$B$246),(1/(1-Inputs!$B$245))^(1/Inputs!$B$246)-1,IF(AND(Inputs!$B$249&lt;&gt;"",AA$2=Inputs!$B$249),-Inputs!$B$250,IF(AND(Inputs!$B$249&lt;&gt;"",AA$2&gt;Inputs!$B$249,AA$2&lt;=Inputs!$B$249+Inputs!$B$251),(1/(1-Inputs!$B$250))^(1/Inputs!$B$251)-1,stinc)))))))))),0))-1)</f>
        <v>-55687.376234641779</v>
      </c>
      <c r="AB107" s="7">
        <f ca="1">(SUM(AB105:AB106)-AB60)*IF(AND(Inputs!$B$229&lt;&gt;"",AB$2=Inputs!$B$229),-Inputs!$B$230,IF(AND(Inputs!$B$229&lt;&gt;"",AB$2&gt;Inputs!$B$229,AB$2&lt;=Inputs!$B$229+Inputs!$B$231),(1/(1-Inputs!$B$230))^(1/Inputs!$B$231)-1,IF(AND(Inputs!$B$234&lt;&gt;"",AB$2=Inputs!$B$234),-Inputs!$B$235,IF(AND(Inputs!$B$234&lt;&gt;"",AB$2&gt;Inputs!$B$234,AB$2&lt;=Inputs!$B$234+Inputs!$B$236),(1/(1-Inputs!$B$235))^(1/Inputs!$B$236)-1,IF(AND(Inputs!$B$239&lt;&gt;"",AB$2=Inputs!$B$239),-Inputs!$B$240,IF(AND(Inputs!$B$239&lt;&gt;"",AB$2&gt;Inputs!$B$239,AB$2&lt;=Inputs!$B$239+Inputs!$B$241),(1/(1-Inputs!$B$240))^(1/Inputs!$B$241)-1,IF(AND(Inputs!$B$244&lt;&gt;"",AB$2=Inputs!$B$244),-Inputs!$B$245,IF(AND(Inputs!$B$244&lt;&gt;"",AB$2&gt;Inputs!$B$244,AB$2&lt;=Inputs!$B$244+Inputs!$B$246),(1/(1-Inputs!$B$245))^(1/Inputs!$B$246)-1,IF(AND(Inputs!$B$249&lt;&gt;"",AB$2=Inputs!$B$249),-Inputs!$B$250,IF(AND(Inputs!$B$249&lt;&gt;"",AB$2&gt;Inputs!$B$249,AB$2&lt;=Inputs!$B$249+Inputs!$B$251),(1/(1-Inputs!$B$250))^(1/Inputs!$B$251)-1,stinc))))))))))+AB60*(SQRT(MAX(1+IF(AND(Inputs!$B$229&lt;&gt;"",AB$2=Inputs!$B$229),-Inputs!$B$230,IF(AND(Inputs!$B$229&lt;&gt;"",AB$2&gt;Inputs!$B$229,AB$2&lt;=Inputs!$B$229+Inputs!$B$231),(1/(1-Inputs!$B$230))^(1/Inputs!$B$231)-1,IF(AND(Inputs!$B$234&lt;&gt;"",AB$2=Inputs!$B$234),-Inputs!$B$235,IF(AND(Inputs!$B$234&lt;&gt;"",AB$2&gt;Inputs!$B$234,AB$2&lt;=Inputs!$B$234+Inputs!$B$236),(1/(1-Inputs!$B$235))^(1/Inputs!$B$236)-1,IF(AND(Inputs!$B$239&lt;&gt;"",AB$2=Inputs!$B$239),-Inputs!$B$240,IF(AND(Inputs!$B$239&lt;&gt;"",AB$2&gt;Inputs!$B$239,AB$2&lt;=Inputs!$B$239+Inputs!$B$241),(1/(1-Inputs!$B$240))^(1/Inputs!$B$241)-1,IF(AND(Inputs!$B$244&lt;&gt;"",AB$2=Inputs!$B$244),-Inputs!$B$245,IF(AND(Inputs!$B$244&lt;&gt;"",AB$2&gt;Inputs!$B$244,AB$2&lt;=Inputs!$B$244+Inputs!$B$246),(1/(1-Inputs!$B$245))^(1/Inputs!$B$246)-1,IF(AND(Inputs!$B$249&lt;&gt;"",AB$2=Inputs!$B$249),-Inputs!$B$250,IF(AND(Inputs!$B$249&lt;&gt;"",AB$2&gt;Inputs!$B$249,AB$2&lt;=Inputs!$B$249+Inputs!$B$251),(1/(1-Inputs!$B$250))^(1/Inputs!$B$251)-1,stinc)))))))))),0))-1)</f>
        <v>8058.6802221923281</v>
      </c>
      <c r="AC107" s="7">
        <f ca="1">(SUM(AC105:AC106)-AC60)*IF(AND(Inputs!$B$229&lt;&gt;"",AC$2=Inputs!$B$229),-Inputs!$B$230,IF(AND(Inputs!$B$229&lt;&gt;"",AC$2&gt;Inputs!$B$229,AC$2&lt;=Inputs!$B$229+Inputs!$B$231),(1/(1-Inputs!$B$230))^(1/Inputs!$B$231)-1,IF(AND(Inputs!$B$234&lt;&gt;"",AC$2=Inputs!$B$234),-Inputs!$B$235,IF(AND(Inputs!$B$234&lt;&gt;"",AC$2&gt;Inputs!$B$234,AC$2&lt;=Inputs!$B$234+Inputs!$B$236),(1/(1-Inputs!$B$235))^(1/Inputs!$B$236)-1,IF(AND(Inputs!$B$239&lt;&gt;"",AC$2=Inputs!$B$239),-Inputs!$B$240,IF(AND(Inputs!$B$239&lt;&gt;"",AC$2&gt;Inputs!$B$239,AC$2&lt;=Inputs!$B$239+Inputs!$B$241),(1/(1-Inputs!$B$240))^(1/Inputs!$B$241)-1,IF(AND(Inputs!$B$244&lt;&gt;"",AC$2=Inputs!$B$244),-Inputs!$B$245,IF(AND(Inputs!$B$244&lt;&gt;"",AC$2&gt;Inputs!$B$244,AC$2&lt;=Inputs!$B$244+Inputs!$B$246),(1/(1-Inputs!$B$245))^(1/Inputs!$B$246)-1,IF(AND(Inputs!$B$249&lt;&gt;"",AC$2=Inputs!$B$249),-Inputs!$B$250,IF(AND(Inputs!$B$249&lt;&gt;"",AC$2&gt;Inputs!$B$249,AC$2&lt;=Inputs!$B$249+Inputs!$B$251),(1/(1-Inputs!$B$250))^(1/Inputs!$B$251)-1,stinc))))))))))+AC60*(SQRT(MAX(1+IF(AND(Inputs!$B$229&lt;&gt;"",AC$2=Inputs!$B$229),-Inputs!$B$230,IF(AND(Inputs!$B$229&lt;&gt;"",AC$2&gt;Inputs!$B$229,AC$2&lt;=Inputs!$B$229+Inputs!$B$231),(1/(1-Inputs!$B$230))^(1/Inputs!$B$231)-1,IF(AND(Inputs!$B$234&lt;&gt;"",AC$2=Inputs!$B$234),-Inputs!$B$235,IF(AND(Inputs!$B$234&lt;&gt;"",AC$2&gt;Inputs!$B$234,AC$2&lt;=Inputs!$B$234+Inputs!$B$236),(1/(1-Inputs!$B$235))^(1/Inputs!$B$236)-1,IF(AND(Inputs!$B$239&lt;&gt;"",AC$2=Inputs!$B$239),-Inputs!$B$240,IF(AND(Inputs!$B$239&lt;&gt;"",AC$2&gt;Inputs!$B$239,AC$2&lt;=Inputs!$B$239+Inputs!$B$241),(1/(1-Inputs!$B$240))^(1/Inputs!$B$241)-1,IF(AND(Inputs!$B$244&lt;&gt;"",AC$2=Inputs!$B$244),-Inputs!$B$245,IF(AND(Inputs!$B$244&lt;&gt;"",AC$2&gt;Inputs!$B$244,AC$2&lt;=Inputs!$B$244+Inputs!$B$246),(1/(1-Inputs!$B$245))^(1/Inputs!$B$246)-1,IF(AND(Inputs!$B$249&lt;&gt;"",AC$2=Inputs!$B$249),-Inputs!$B$250,IF(AND(Inputs!$B$249&lt;&gt;"",AC$2&gt;Inputs!$B$249,AC$2&lt;=Inputs!$B$249+Inputs!$B$251),(1/(1-Inputs!$B$250))^(1/Inputs!$B$251)-1,stinc)))))))))),0))-1)</f>
        <v>8512.2004105514461</v>
      </c>
      <c r="AD107" s="7">
        <f ca="1">(SUM(AD105:AD106)-AD60)*IF(AND(Inputs!$B$229&lt;&gt;"",AD$2=Inputs!$B$229),-Inputs!$B$230,IF(AND(Inputs!$B$229&lt;&gt;"",AD$2&gt;Inputs!$B$229,AD$2&lt;=Inputs!$B$229+Inputs!$B$231),(1/(1-Inputs!$B$230))^(1/Inputs!$B$231)-1,IF(AND(Inputs!$B$234&lt;&gt;"",AD$2=Inputs!$B$234),-Inputs!$B$235,IF(AND(Inputs!$B$234&lt;&gt;"",AD$2&gt;Inputs!$B$234,AD$2&lt;=Inputs!$B$234+Inputs!$B$236),(1/(1-Inputs!$B$235))^(1/Inputs!$B$236)-1,IF(AND(Inputs!$B$239&lt;&gt;"",AD$2=Inputs!$B$239),-Inputs!$B$240,IF(AND(Inputs!$B$239&lt;&gt;"",AD$2&gt;Inputs!$B$239,AD$2&lt;=Inputs!$B$239+Inputs!$B$241),(1/(1-Inputs!$B$240))^(1/Inputs!$B$241)-1,IF(AND(Inputs!$B$244&lt;&gt;"",AD$2=Inputs!$B$244),-Inputs!$B$245,IF(AND(Inputs!$B$244&lt;&gt;"",AD$2&gt;Inputs!$B$244,AD$2&lt;=Inputs!$B$244+Inputs!$B$246),(1/(1-Inputs!$B$245))^(1/Inputs!$B$246)-1,IF(AND(Inputs!$B$249&lt;&gt;"",AD$2=Inputs!$B$249),-Inputs!$B$250,IF(AND(Inputs!$B$249&lt;&gt;"",AD$2&gt;Inputs!$B$249,AD$2&lt;=Inputs!$B$249+Inputs!$B$251),(1/(1-Inputs!$B$250))^(1/Inputs!$B$251)-1,stinc))))))))))+AD60*(SQRT(MAX(1+IF(AND(Inputs!$B$229&lt;&gt;"",AD$2=Inputs!$B$229),-Inputs!$B$230,IF(AND(Inputs!$B$229&lt;&gt;"",AD$2&gt;Inputs!$B$229,AD$2&lt;=Inputs!$B$229+Inputs!$B$231),(1/(1-Inputs!$B$230))^(1/Inputs!$B$231)-1,IF(AND(Inputs!$B$234&lt;&gt;"",AD$2=Inputs!$B$234),-Inputs!$B$235,IF(AND(Inputs!$B$234&lt;&gt;"",AD$2&gt;Inputs!$B$234,AD$2&lt;=Inputs!$B$234+Inputs!$B$236),(1/(1-Inputs!$B$235))^(1/Inputs!$B$236)-1,IF(AND(Inputs!$B$239&lt;&gt;"",AD$2=Inputs!$B$239),-Inputs!$B$240,IF(AND(Inputs!$B$239&lt;&gt;"",AD$2&gt;Inputs!$B$239,AD$2&lt;=Inputs!$B$239+Inputs!$B$241),(1/(1-Inputs!$B$240))^(1/Inputs!$B$241)-1,IF(AND(Inputs!$B$244&lt;&gt;"",AD$2=Inputs!$B$244),-Inputs!$B$245,IF(AND(Inputs!$B$244&lt;&gt;"",AD$2&gt;Inputs!$B$244,AD$2&lt;=Inputs!$B$244+Inputs!$B$246),(1/(1-Inputs!$B$245))^(1/Inputs!$B$246)-1,IF(AND(Inputs!$B$249&lt;&gt;"",AD$2=Inputs!$B$249),-Inputs!$B$250,IF(AND(Inputs!$B$249&lt;&gt;"",AD$2&gt;Inputs!$B$249,AD$2&lt;=Inputs!$B$249+Inputs!$B$251),(1/(1-Inputs!$B$250))^(1/Inputs!$B$251)-1,stinc)))))))))),0))-1)</f>
        <v>8991.2434581850739</v>
      </c>
      <c r="AE107" s="7">
        <f ca="1">(SUM(AE105:AE106)-AE60)*IF(AND(Inputs!$B$229&lt;&gt;"",AE$2=Inputs!$B$229),-Inputs!$B$230,IF(AND(Inputs!$B$229&lt;&gt;"",AE$2&gt;Inputs!$B$229,AE$2&lt;=Inputs!$B$229+Inputs!$B$231),(1/(1-Inputs!$B$230))^(1/Inputs!$B$231)-1,IF(AND(Inputs!$B$234&lt;&gt;"",AE$2=Inputs!$B$234),-Inputs!$B$235,IF(AND(Inputs!$B$234&lt;&gt;"",AE$2&gt;Inputs!$B$234,AE$2&lt;=Inputs!$B$234+Inputs!$B$236),(1/(1-Inputs!$B$235))^(1/Inputs!$B$236)-1,IF(AND(Inputs!$B$239&lt;&gt;"",AE$2=Inputs!$B$239),-Inputs!$B$240,IF(AND(Inputs!$B$239&lt;&gt;"",AE$2&gt;Inputs!$B$239,AE$2&lt;=Inputs!$B$239+Inputs!$B$241),(1/(1-Inputs!$B$240))^(1/Inputs!$B$241)-1,IF(AND(Inputs!$B$244&lt;&gt;"",AE$2=Inputs!$B$244),-Inputs!$B$245,IF(AND(Inputs!$B$244&lt;&gt;"",AE$2&gt;Inputs!$B$244,AE$2&lt;=Inputs!$B$244+Inputs!$B$246),(1/(1-Inputs!$B$245))^(1/Inputs!$B$246)-1,IF(AND(Inputs!$B$249&lt;&gt;"",AE$2=Inputs!$B$249),-Inputs!$B$250,IF(AND(Inputs!$B$249&lt;&gt;"",AE$2&gt;Inputs!$B$249,AE$2&lt;=Inputs!$B$249+Inputs!$B$251),(1/(1-Inputs!$B$250))^(1/Inputs!$B$251)-1,stinc))))))))))+AE60*(SQRT(MAX(1+IF(AND(Inputs!$B$229&lt;&gt;"",AE$2=Inputs!$B$229),-Inputs!$B$230,IF(AND(Inputs!$B$229&lt;&gt;"",AE$2&gt;Inputs!$B$229,AE$2&lt;=Inputs!$B$229+Inputs!$B$231),(1/(1-Inputs!$B$230))^(1/Inputs!$B$231)-1,IF(AND(Inputs!$B$234&lt;&gt;"",AE$2=Inputs!$B$234),-Inputs!$B$235,IF(AND(Inputs!$B$234&lt;&gt;"",AE$2&gt;Inputs!$B$234,AE$2&lt;=Inputs!$B$234+Inputs!$B$236),(1/(1-Inputs!$B$235))^(1/Inputs!$B$236)-1,IF(AND(Inputs!$B$239&lt;&gt;"",AE$2=Inputs!$B$239),-Inputs!$B$240,IF(AND(Inputs!$B$239&lt;&gt;"",AE$2&gt;Inputs!$B$239,AE$2&lt;=Inputs!$B$239+Inputs!$B$241),(1/(1-Inputs!$B$240))^(1/Inputs!$B$241)-1,IF(AND(Inputs!$B$244&lt;&gt;"",AE$2=Inputs!$B$244),-Inputs!$B$245,IF(AND(Inputs!$B$244&lt;&gt;"",AE$2&gt;Inputs!$B$244,AE$2&lt;=Inputs!$B$244+Inputs!$B$246),(1/(1-Inputs!$B$245))^(1/Inputs!$B$246)-1,IF(AND(Inputs!$B$249&lt;&gt;"",AE$2=Inputs!$B$249),-Inputs!$B$250,IF(AND(Inputs!$B$249&lt;&gt;"",AE$2&gt;Inputs!$B$249,AE$2&lt;=Inputs!$B$249+Inputs!$B$251),(1/(1-Inputs!$B$250))^(1/Inputs!$B$251)-1,stinc)))))))))),0))-1)</f>
        <v>9497.2457208768501</v>
      </c>
      <c r="AF107" s="7">
        <f ca="1">(SUM(AF105:AF106)-AF60)*IF(AND(Inputs!$B$229&lt;&gt;"",AF$2=Inputs!$B$229),-Inputs!$B$230,IF(AND(Inputs!$B$229&lt;&gt;"",AF$2&gt;Inputs!$B$229,AF$2&lt;=Inputs!$B$229+Inputs!$B$231),(1/(1-Inputs!$B$230))^(1/Inputs!$B$231)-1,IF(AND(Inputs!$B$234&lt;&gt;"",AF$2=Inputs!$B$234),-Inputs!$B$235,IF(AND(Inputs!$B$234&lt;&gt;"",AF$2&gt;Inputs!$B$234,AF$2&lt;=Inputs!$B$234+Inputs!$B$236),(1/(1-Inputs!$B$235))^(1/Inputs!$B$236)-1,IF(AND(Inputs!$B$239&lt;&gt;"",AF$2=Inputs!$B$239),-Inputs!$B$240,IF(AND(Inputs!$B$239&lt;&gt;"",AF$2&gt;Inputs!$B$239,AF$2&lt;=Inputs!$B$239+Inputs!$B$241),(1/(1-Inputs!$B$240))^(1/Inputs!$B$241)-1,IF(AND(Inputs!$B$244&lt;&gt;"",AF$2=Inputs!$B$244),-Inputs!$B$245,IF(AND(Inputs!$B$244&lt;&gt;"",AF$2&gt;Inputs!$B$244,AF$2&lt;=Inputs!$B$244+Inputs!$B$246),(1/(1-Inputs!$B$245))^(1/Inputs!$B$246)-1,IF(AND(Inputs!$B$249&lt;&gt;"",AF$2=Inputs!$B$249),-Inputs!$B$250,IF(AND(Inputs!$B$249&lt;&gt;"",AF$2&gt;Inputs!$B$249,AF$2&lt;=Inputs!$B$249+Inputs!$B$251),(1/(1-Inputs!$B$250))^(1/Inputs!$B$251)-1,stinc))))))))))+AF60*(SQRT(MAX(1+IF(AND(Inputs!$B$229&lt;&gt;"",AF$2=Inputs!$B$229),-Inputs!$B$230,IF(AND(Inputs!$B$229&lt;&gt;"",AF$2&gt;Inputs!$B$229,AF$2&lt;=Inputs!$B$229+Inputs!$B$231),(1/(1-Inputs!$B$230))^(1/Inputs!$B$231)-1,IF(AND(Inputs!$B$234&lt;&gt;"",AF$2=Inputs!$B$234),-Inputs!$B$235,IF(AND(Inputs!$B$234&lt;&gt;"",AF$2&gt;Inputs!$B$234,AF$2&lt;=Inputs!$B$234+Inputs!$B$236),(1/(1-Inputs!$B$235))^(1/Inputs!$B$236)-1,IF(AND(Inputs!$B$239&lt;&gt;"",AF$2=Inputs!$B$239),-Inputs!$B$240,IF(AND(Inputs!$B$239&lt;&gt;"",AF$2&gt;Inputs!$B$239,AF$2&lt;=Inputs!$B$239+Inputs!$B$241),(1/(1-Inputs!$B$240))^(1/Inputs!$B$241)-1,IF(AND(Inputs!$B$244&lt;&gt;"",AF$2=Inputs!$B$244),-Inputs!$B$245,IF(AND(Inputs!$B$244&lt;&gt;"",AF$2&gt;Inputs!$B$244,AF$2&lt;=Inputs!$B$244+Inputs!$B$246),(1/(1-Inputs!$B$245))^(1/Inputs!$B$246)-1,IF(AND(Inputs!$B$249&lt;&gt;"",AF$2=Inputs!$B$249),-Inputs!$B$250,IF(AND(Inputs!$B$249&lt;&gt;"",AF$2&gt;Inputs!$B$249,AF$2&lt;=Inputs!$B$249+Inputs!$B$251),(1/(1-Inputs!$B$250))^(1/Inputs!$B$251)-1,stinc)))))))))),0))-1)</f>
        <v>10031.724388533072</v>
      </c>
      <c r="AG107" s="7">
        <f ca="1">(SUM(AG105:AG106)-AG60)*IF(AND(Inputs!$B$229&lt;&gt;"",AG$2=Inputs!$B$229),-Inputs!$B$230,IF(AND(Inputs!$B$229&lt;&gt;"",AG$2&gt;Inputs!$B$229,AG$2&lt;=Inputs!$B$229+Inputs!$B$231),(1/(1-Inputs!$B$230))^(1/Inputs!$B$231)-1,IF(AND(Inputs!$B$234&lt;&gt;"",AG$2=Inputs!$B$234),-Inputs!$B$235,IF(AND(Inputs!$B$234&lt;&gt;"",AG$2&gt;Inputs!$B$234,AG$2&lt;=Inputs!$B$234+Inputs!$B$236),(1/(1-Inputs!$B$235))^(1/Inputs!$B$236)-1,IF(AND(Inputs!$B$239&lt;&gt;"",AG$2=Inputs!$B$239),-Inputs!$B$240,IF(AND(Inputs!$B$239&lt;&gt;"",AG$2&gt;Inputs!$B$239,AG$2&lt;=Inputs!$B$239+Inputs!$B$241),(1/(1-Inputs!$B$240))^(1/Inputs!$B$241)-1,IF(AND(Inputs!$B$244&lt;&gt;"",AG$2=Inputs!$B$244),-Inputs!$B$245,IF(AND(Inputs!$B$244&lt;&gt;"",AG$2&gt;Inputs!$B$244,AG$2&lt;=Inputs!$B$244+Inputs!$B$246),(1/(1-Inputs!$B$245))^(1/Inputs!$B$246)-1,IF(AND(Inputs!$B$249&lt;&gt;"",AG$2=Inputs!$B$249),-Inputs!$B$250,IF(AND(Inputs!$B$249&lt;&gt;"",AG$2&gt;Inputs!$B$249,AG$2&lt;=Inputs!$B$249+Inputs!$B$251),(1/(1-Inputs!$B$250))^(1/Inputs!$B$251)-1,stinc))))))))))+AG60*(SQRT(MAX(1+IF(AND(Inputs!$B$229&lt;&gt;"",AG$2=Inputs!$B$229),-Inputs!$B$230,IF(AND(Inputs!$B$229&lt;&gt;"",AG$2&gt;Inputs!$B$229,AG$2&lt;=Inputs!$B$229+Inputs!$B$231),(1/(1-Inputs!$B$230))^(1/Inputs!$B$231)-1,IF(AND(Inputs!$B$234&lt;&gt;"",AG$2=Inputs!$B$234),-Inputs!$B$235,IF(AND(Inputs!$B$234&lt;&gt;"",AG$2&gt;Inputs!$B$234,AG$2&lt;=Inputs!$B$234+Inputs!$B$236),(1/(1-Inputs!$B$235))^(1/Inputs!$B$236)-1,IF(AND(Inputs!$B$239&lt;&gt;"",AG$2=Inputs!$B$239),-Inputs!$B$240,IF(AND(Inputs!$B$239&lt;&gt;"",AG$2&gt;Inputs!$B$239,AG$2&lt;=Inputs!$B$239+Inputs!$B$241),(1/(1-Inputs!$B$240))^(1/Inputs!$B$241)-1,IF(AND(Inputs!$B$244&lt;&gt;"",AG$2=Inputs!$B$244),-Inputs!$B$245,IF(AND(Inputs!$B$244&lt;&gt;"",AG$2&gt;Inputs!$B$244,AG$2&lt;=Inputs!$B$244+Inputs!$B$246),(1/(1-Inputs!$B$245))^(1/Inputs!$B$246)-1,IF(AND(Inputs!$B$249&lt;&gt;"",AG$2=Inputs!$B$249),-Inputs!$B$250,IF(AND(Inputs!$B$249&lt;&gt;"",AG$2&gt;Inputs!$B$249,AG$2&lt;=Inputs!$B$249+Inputs!$B$251),(1/(1-Inputs!$B$250))^(1/Inputs!$B$251)-1,stinc)))))))))),0))-1)</f>
        <v>10596.282034303085</v>
      </c>
      <c r="AH107" s="7">
        <f ca="1">(SUM(AH105:AH106)-AH60)*IF(AND(Inputs!$B$229&lt;&gt;"",AH$2=Inputs!$B$229),-Inputs!$B$230,IF(AND(Inputs!$B$229&lt;&gt;"",AH$2&gt;Inputs!$B$229,AH$2&lt;=Inputs!$B$229+Inputs!$B$231),(1/(1-Inputs!$B$230))^(1/Inputs!$B$231)-1,IF(AND(Inputs!$B$234&lt;&gt;"",AH$2=Inputs!$B$234),-Inputs!$B$235,IF(AND(Inputs!$B$234&lt;&gt;"",AH$2&gt;Inputs!$B$234,AH$2&lt;=Inputs!$B$234+Inputs!$B$236),(1/(1-Inputs!$B$235))^(1/Inputs!$B$236)-1,IF(AND(Inputs!$B$239&lt;&gt;"",AH$2=Inputs!$B$239),-Inputs!$B$240,IF(AND(Inputs!$B$239&lt;&gt;"",AH$2&gt;Inputs!$B$239,AH$2&lt;=Inputs!$B$239+Inputs!$B$241),(1/(1-Inputs!$B$240))^(1/Inputs!$B$241)-1,IF(AND(Inputs!$B$244&lt;&gt;"",AH$2=Inputs!$B$244),-Inputs!$B$245,IF(AND(Inputs!$B$244&lt;&gt;"",AH$2&gt;Inputs!$B$244,AH$2&lt;=Inputs!$B$244+Inputs!$B$246),(1/(1-Inputs!$B$245))^(1/Inputs!$B$246)-1,IF(AND(Inputs!$B$249&lt;&gt;"",AH$2=Inputs!$B$249),-Inputs!$B$250,IF(AND(Inputs!$B$249&lt;&gt;"",AH$2&gt;Inputs!$B$249,AH$2&lt;=Inputs!$B$249+Inputs!$B$251),(1/(1-Inputs!$B$250))^(1/Inputs!$B$251)-1,stinc))))))))))+AH60*(SQRT(MAX(1+IF(AND(Inputs!$B$229&lt;&gt;"",AH$2=Inputs!$B$229),-Inputs!$B$230,IF(AND(Inputs!$B$229&lt;&gt;"",AH$2&gt;Inputs!$B$229,AH$2&lt;=Inputs!$B$229+Inputs!$B$231),(1/(1-Inputs!$B$230))^(1/Inputs!$B$231)-1,IF(AND(Inputs!$B$234&lt;&gt;"",AH$2=Inputs!$B$234),-Inputs!$B$235,IF(AND(Inputs!$B$234&lt;&gt;"",AH$2&gt;Inputs!$B$234,AH$2&lt;=Inputs!$B$234+Inputs!$B$236),(1/(1-Inputs!$B$235))^(1/Inputs!$B$236)-1,IF(AND(Inputs!$B$239&lt;&gt;"",AH$2=Inputs!$B$239),-Inputs!$B$240,IF(AND(Inputs!$B$239&lt;&gt;"",AH$2&gt;Inputs!$B$239,AH$2&lt;=Inputs!$B$239+Inputs!$B$241),(1/(1-Inputs!$B$240))^(1/Inputs!$B$241)-1,IF(AND(Inputs!$B$244&lt;&gt;"",AH$2=Inputs!$B$244),-Inputs!$B$245,IF(AND(Inputs!$B$244&lt;&gt;"",AH$2&gt;Inputs!$B$244,AH$2&lt;=Inputs!$B$244+Inputs!$B$246),(1/(1-Inputs!$B$245))^(1/Inputs!$B$246)-1,IF(AND(Inputs!$B$249&lt;&gt;"",AH$2=Inputs!$B$249),-Inputs!$B$250,IF(AND(Inputs!$B$249&lt;&gt;"",AH$2&gt;Inputs!$B$249,AH$2&lt;=Inputs!$B$249+Inputs!$B$251),(1/(1-Inputs!$B$250))^(1/Inputs!$B$251)-1,stinc)))))))))),0))-1)</f>
        <v>15910.678924183369</v>
      </c>
      <c r="AI107" s="7">
        <f ca="1">(SUM(AI105:AI106)-AI60)*IF(AND(Inputs!$B$229&lt;&gt;"",AI$2=Inputs!$B$229),-Inputs!$B$230,IF(AND(Inputs!$B$229&lt;&gt;"",AI$2&gt;Inputs!$B$229,AI$2&lt;=Inputs!$B$229+Inputs!$B$231),(1/(1-Inputs!$B$230))^(1/Inputs!$B$231)-1,IF(AND(Inputs!$B$234&lt;&gt;"",AI$2=Inputs!$B$234),-Inputs!$B$235,IF(AND(Inputs!$B$234&lt;&gt;"",AI$2&gt;Inputs!$B$234,AI$2&lt;=Inputs!$B$234+Inputs!$B$236),(1/(1-Inputs!$B$235))^(1/Inputs!$B$236)-1,IF(AND(Inputs!$B$239&lt;&gt;"",AI$2=Inputs!$B$239),-Inputs!$B$240,IF(AND(Inputs!$B$239&lt;&gt;"",AI$2&gt;Inputs!$B$239,AI$2&lt;=Inputs!$B$239+Inputs!$B$241),(1/(1-Inputs!$B$240))^(1/Inputs!$B$241)-1,IF(AND(Inputs!$B$244&lt;&gt;"",AI$2=Inputs!$B$244),-Inputs!$B$245,IF(AND(Inputs!$B$244&lt;&gt;"",AI$2&gt;Inputs!$B$244,AI$2&lt;=Inputs!$B$244+Inputs!$B$246),(1/(1-Inputs!$B$245))^(1/Inputs!$B$246)-1,IF(AND(Inputs!$B$249&lt;&gt;"",AI$2=Inputs!$B$249),-Inputs!$B$250,IF(AND(Inputs!$B$249&lt;&gt;"",AI$2&gt;Inputs!$B$249,AI$2&lt;=Inputs!$B$249+Inputs!$B$251),(1/(1-Inputs!$B$250))^(1/Inputs!$B$251)-1,stinc))))))))))+AI60*(SQRT(MAX(1+IF(AND(Inputs!$B$229&lt;&gt;"",AI$2=Inputs!$B$229),-Inputs!$B$230,IF(AND(Inputs!$B$229&lt;&gt;"",AI$2&gt;Inputs!$B$229,AI$2&lt;=Inputs!$B$229+Inputs!$B$231),(1/(1-Inputs!$B$230))^(1/Inputs!$B$231)-1,IF(AND(Inputs!$B$234&lt;&gt;"",AI$2=Inputs!$B$234),-Inputs!$B$235,IF(AND(Inputs!$B$234&lt;&gt;"",AI$2&gt;Inputs!$B$234,AI$2&lt;=Inputs!$B$234+Inputs!$B$236),(1/(1-Inputs!$B$235))^(1/Inputs!$B$236)-1,IF(AND(Inputs!$B$239&lt;&gt;"",AI$2=Inputs!$B$239),-Inputs!$B$240,IF(AND(Inputs!$B$239&lt;&gt;"",AI$2&gt;Inputs!$B$239,AI$2&lt;=Inputs!$B$239+Inputs!$B$241),(1/(1-Inputs!$B$240))^(1/Inputs!$B$241)-1,IF(AND(Inputs!$B$244&lt;&gt;"",AI$2=Inputs!$B$244),-Inputs!$B$245,IF(AND(Inputs!$B$244&lt;&gt;"",AI$2&gt;Inputs!$B$244,AI$2&lt;=Inputs!$B$244+Inputs!$B$246),(1/(1-Inputs!$B$245))^(1/Inputs!$B$246)-1,IF(AND(Inputs!$B$249&lt;&gt;"",AI$2=Inputs!$B$249),-Inputs!$B$250,IF(AND(Inputs!$B$249&lt;&gt;"",AI$2&gt;Inputs!$B$249,AI$2&lt;=Inputs!$B$249+Inputs!$B$251),(1/(1-Inputs!$B$250))^(1/Inputs!$B$251)-1,stinc)))))))))),0))-1)</f>
        <v>17183.533238118038</v>
      </c>
      <c r="AJ107" s="7">
        <f ca="1">(SUM(AJ105:AJ106)-AJ60)*IF(AND(Inputs!$B$229&lt;&gt;"",AJ$2=Inputs!$B$229),-Inputs!$B$230,IF(AND(Inputs!$B$229&lt;&gt;"",AJ$2&gt;Inputs!$B$229,AJ$2&lt;=Inputs!$B$229+Inputs!$B$231),(1/(1-Inputs!$B$230))^(1/Inputs!$B$231)-1,IF(AND(Inputs!$B$234&lt;&gt;"",AJ$2=Inputs!$B$234),-Inputs!$B$235,IF(AND(Inputs!$B$234&lt;&gt;"",AJ$2&gt;Inputs!$B$234,AJ$2&lt;=Inputs!$B$234+Inputs!$B$236),(1/(1-Inputs!$B$235))^(1/Inputs!$B$236)-1,IF(AND(Inputs!$B$239&lt;&gt;"",AJ$2=Inputs!$B$239),-Inputs!$B$240,IF(AND(Inputs!$B$239&lt;&gt;"",AJ$2&gt;Inputs!$B$239,AJ$2&lt;=Inputs!$B$239+Inputs!$B$241),(1/(1-Inputs!$B$240))^(1/Inputs!$B$241)-1,IF(AND(Inputs!$B$244&lt;&gt;"",AJ$2=Inputs!$B$244),-Inputs!$B$245,IF(AND(Inputs!$B$244&lt;&gt;"",AJ$2&gt;Inputs!$B$244,AJ$2&lt;=Inputs!$B$244+Inputs!$B$246),(1/(1-Inputs!$B$245))^(1/Inputs!$B$246)-1,IF(AND(Inputs!$B$249&lt;&gt;"",AJ$2=Inputs!$B$249),-Inputs!$B$250,IF(AND(Inputs!$B$249&lt;&gt;"",AJ$2&gt;Inputs!$B$249,AJ$2&lt;=Inputs!$B$249+Inputs!$B$251),(1/(1-Inputs!$B$250))^(1/Inputs!$B$251)-1,stinc))))))))))+AJ60*(SQRT(MAX(1+IF(AND(Inputs!$B$229&lt;&gt;"",AJ$2=Inputs!$B$229),-Inputs!$B$230,IF(AND(Inputs!$B$229&lt;&gt;"",AJ$2&gt;Inputs!$B$229,AJ$2&lt;=Inputs!$B$229+Inputs!$B$231),(1/(1-Inputs!$B$230))^(1/Inputs!$B$231)-1,IF(AND(Inputs!$B$234&lt;&gt;"",AJ$2=Inputs!$B$234),-Inputs!$B$235,IF(AND(Inputs!$B$234&lt;&gt;"",AJ$2&gt;Inputs!$B$234,AJ$2&lt;=Inputs!$B$234+Inputs!$B$236),(1/(1-Inputs!$B$235))^(1/Inputs!$B$236)-1,IF(AND(Inputs!$B$239&lt;&gt;"",AJ$2=Inputs!$B$239),-Inputs!$B$240,IF(AND(Inputs!$B$239&lt;&gt;"",AJ$2&gt;Inputs!$B$239,AJ$2&lt;=Inputs!$B$239+Inputs!$B$241),(1/(1-Inputs!$B$240))^(1/Inputs!$B$241)-1,IF(AND(Inputs!$B$244&lt;&gt;"",AJ$2=Inputs!$B$244),-Inputs!$B$245,IF(AND(Inputs!$B$244&lt;&gt;"",AJ$2&gt;Inputs!$B$244,AJ$2&lt;=Inputs!$B$244+Inputs!$B$246),(1/(1-Inputs!$B$245))^(1/Inputs!$B$246)-1,IF(AND(Inputs!$B$249&lt;&gt;"",AJ$2=Inputs!$B$249),-Inputs!$B$250,IF(AND(Inputs!$B$249&lt;&gt;"",AJ$2&gt;Inputs!$B$249,AJ$2&lt;=Inputs!$B$249+Inputs!$B$251),(1/(1-Inputs!$B$250))^(1/Inputs!$B$251)-1,stinc)))))))))),0))-1)</f>
        <v>18558.21589716748</v>
      </c>
      <c r="AK107" s="7">
        <f ca="1">(SUM(AK105:AK106)-AK60)*IF(AND(Inputs!$B$229&lt;&gt;"",AK$2=Inputs!$B$229),-Inputs!$B$230,IF(AND(Inputs!$B$229&lt;&gt;"",AK$2&gt;Inputs!$B$229,AK$2&lt;=Inputs!$B$229+Inputs!$B$231),(1/(1-Inputs!$B$230))^(1/Inputs!$B$231)-1,IF(AND(Inputs!$B$234&lt;&gt;"",AK$2=Inputs!$B$234),-Inputs!$B$235,IF(AND(Inputs!$B$234&lt;&gt;"",AK$2&gt;Inputs!$B$234,AK$2&lt;=Inputs!$B$234+Inputs!$B$236),(1/(1-Inputs!$B$235))^(1/Inputs!$B$236)-1,IF(AND(Inputs!$B$239&lt;&gt;"",AK$2=Inputs!$B$239),-Inputs!$B$240,IF(AND(Inputs!$B$239&lt;&gt;"",AK$2&gt;Inputs!$B$239,AK$2&lt;=Inputs!$B$239+Inputs!$B$241),(1/(1-Inputs!$B$240))^(1/Inputs!$B$241)-1,IF(AND(Inputs!$B$244&lt;&gt;"",AK$2=Inputs!$B$244),-Inputs!$B$245,IF(AND(Inputs!$B$244&lt;&gt;"",AK$2&gt;Inputs!$B$244,AK$2&lt;=Inputs!$B$244+Inputs!$B$246),(1/(1-Inputs!$B$245))^(1/Inputs!$B$246)-1,IF(AND(Inputs!$B$249&lt;&gt;"",AK$2=Inputs!$B$249),-Inputs!$B$250,IF(AND(Inputs!$B$249&lt;&gt;"",AK$2&gt;Inputs!$B$249,AK$2&lt;=Inputs!$B$249+Inputs!$B$251),(1/(1-Inputs!$B$250))^(1/Inputs!$B$251)-1,stinc))))))))))+AK60*(SQRT(MAX(1+IF(AND(Inputs!$B$229&lt;&gt;"",AK$2=Inputs!$B$229),-Inputs!$B$230,IF(AND(Inputs!$B$229&lt;&gt;"",AK$2&gt;Inputs!$B$229,AK$2&lt;=Inputs!$B$229+Inputs!$B$231),(1/(1-Inputs!$B$230))^(1/Inputs!$B$231)-1,IF(AND(Inputs!$B$234&lt;&gt;"",AK$2=Inputs!$B$234),-Inputs!$B$235,IF(AND(Inputs!$B$234&lt;&gt;"",AK$2&gt;Inputs!$B$234,AK$2&lt;=Inputs!$B$234+Inputs!$B$236),(1/(1-Inputs!$B$235))^(1/Inputs!$B$236)-1,IF(AND(Inputs!$B$239&lt;&gt;"",AK$2=Inputs!$B$239),-Inputs!$B$240,IF(AND(Inputs!$B$239&lt;&gt;"",AK$2&gt;Inputs!$B$239,AK$2&lt;=Inputs!$B$239+Inputs!$B$241),(1/(1-Inputs!$B$240))^(1/Inputs!$B$241)-1,IF(AND(Inputs!$B$244&lt;&gt;"",AK$2=Inputs!$B$244),-Inputs!$B$245,IF(AND(Inputs!$B$244&lt;&gt;"",AK$2&gt;Inputs!$B$244,AK$2&lt;=Inputs!$B$244+Inputs!$B$246),(1/(1-Inputs!$B$245))^(1/Inputs!$B$246)-1,IF(AND(Inputs!$B$249&lt;&gt;"",AK$2=Inputs!$B$249),-Inputs!$B$250,IF(AND(Inputs!$B$249&lt;&gt;"",AK$2&gt;Inputs!$B$249,AK$2&lt;=Inputs!$B$249+Inputs!$B$251),(1/(1-Inputs!$B$250))^(1/Inputs!$B$251)-1,stinc)))))))))),0))-1)</f>
        <v>20042.873168940881</v>
      </c>
      <c r="AL107" s="7">
        <f ca="1">(SUM(AL105:AL106)-AL60)*IF(AND(Inputs!$B$229&lt;&gt;"",AL$2=Inputs!$B$229),-Inputs!$B$230,IF(AND(Inputs!$B$229&lt;&gt;"",AL$2&gt;Inputs!$B$229,AL$2&lt;=Inputs!$B$229+Inputs!$B$231),(1/(1-Inputs!$B$230))^(1/Inputs!$B$231)-1,IF(AND(Inputs!$B$234&lt;&gt;"",AL$2=Inputs!$B$234),-Inputs!$B$235,IF(AND(Inputs!$B$234&lt;&gt;"",AL$2&gt;Inputs!$B$234,AL$2&lt;=Inputs!$B$234+Inputs!$B$236),(1/(1-Inputs!$B$235))^(1/Inputs!$B$236)-1,IF(AND(Inputs!$B$239&lt;&gt;"",AL$2=Inputs!$B$239),-Inputs!$B$240,IF(AND(Inputs!$B$239&lt;&gt;"",AL$2&gt;Inputs!$B$239,AL$2&lt;=Inputs!$B$239+Inputs!$B$241),(1/(1-Inputs!$B$240))^(1/Inputs!$B$241)-1,IF(AND(Inputs!$B$244&lt;&gt;"",AL$2=Inputs!$B$244),-Inputs!$B$245,IF(AND(Inputs!$B$244&lt;&gt;"",AL$2&gt;Inputs!$B$244,AL$2&lt;=Inputs!$B$244+Inputs!$B$246),(1/(1-Inputs!$B$245))^(1/Inputs!$B$246)-1,IF(AND(Inputs!$B$249&lt;&gt;"",AL$2=Inputs!$B$249),-Inputs!$B$250,IF(AND(Inputs!$B$249&lt;&gt;"",AL$2&gt;Inputs!$B$249,AL$2&lt;=Inputs!$B$249+Inputs!$B$251),(1/(1-Inputs!$B$250))^(1/Inputs!$B$251)-1,stinc))))))))))+AL60*(SQRT(MAX(1+IF(AND(Inputs!$B$229&lt;&gt;"",AL$2=Inputs!$B$229),-Inputs!$B$230,IF(AND(Inputs!$B$229&lt;&gt;"",AL$2&gt;Inputs!$B$229,AL$2&lt;=Inputs!$B$229+Inputs!$B$231),(1/(1-Inputs!$B$230))^(1/Inputs!$B$231)-1,IF(AND(Inputs!$B$234&lt;&gt;"",AL$2=Inputs!$B$234),-Inputs!$B$235,IF(AND(Inputs!$B$234&lt;&gt;"",AL$2&gt;Inputs!$B$234,AL$2&lt;=Inputs!$B$234+Inputs!$B$236),(1/(1-Inputs!$B$235))^(1/Inputs!$B$236)-1,IF(AND(Inputs!$B$239&lt;&gt;"",AL$2=Inputs!$B$239),-Inputs!$B$240,IF(AND(Inputs!$B$239&lt;&gt;"",AL$2&gt;Inputs!$B$239,AL$2&lt;=Inputs!$B$239+Inputs!$B$241),(1/(1-Inputs!$B$240))^(1/Inputs!$B$241)-1,IF(AND(Inputs!$B$244&lt;&gt;"",AL$2=Inputs!$B$244),-Inputs!$B$245,IF(AND(Inputs!$B$244&lt;&gt;"",AL$2&gt;Inputs!$B$244,AL$2&lt;=Inputs!$B$244+Inputs!$B$246),(1/(1-Inputs!$B$245))^(1/Inputs!$B$246)-1,IF(AND(Inputs!$B$249&lt;&gt;"",AL$2=Inputs!$B$249),-Inputs!$B$250,IF(AND(Inputs!$B$249&lt;&gt;"",AL$2&gt;Inputs!$B$249,AL$2&lt;=Inputs!$B$249+Inputs!$B$251),(1/(1-Inputs!$B$250))^(1/Inputs!$B$251)-1,stinc)))))))))),0))-1)</f>
        <v>21646.303022456152</v>
      </c>
      <c r="AM107" s="7">
        <f ca="1">(SUM(AM105:AM106)-AM60)*IF(AND(Inputs!$B$229&lt;&gt;"",AM$2=Inputs!$B$229),-Inputs!$B$230,IF(AND(Inputs!$B$229&lt;&gt;"",AM$2&gt;Inputs!$B$229,AM$2&lt;=Inputs!$B$229+Inputs!$B$231),(1/(1-Inputs!$B$230))^(1/Inputs!$B$231)-1,IF(AND(Inputs!$B$234&lt;&gt;"",AM$2=Inputs!$B$234),-Inputs!$B$235,IF(AND(Inputs!$B$234&lt;&gt;"",AM$2&gt;Inputs!$B$234,AM$2&lt;=Inputs!$B$234+Inputs!$B$236),(1/(1-Inputs!$B$235))^(1/Inputs!$B$236)-1,IF(AND(Inputs!$B$239&lt;&gt;"",AM$2=Inputs!$B$239),-Inputs!$B$240,IF(AND(Inputs!$B$239&lt;&gt;"",AM$2&gt;Inputs!$B$239,AM$2&lt;=Inputs!$B$239+Inputs!$B$241),(1/(1-Inputs!$B$240))^(1/Inputs!$B$241)-1,IF(AND(Inputs!$B$244&lt;&gt;"",AM$2=Inputs!$B$244),-Inputs!$B$245,IF(AND(Inputs!$B$244&lt;&gt;"",AM$2&gt;Inputs!$B$244,AM$2&lt;=Inputs!$B$244+Inputs!$B$246),(1/(1-Inputs!$B$245))^(1/Inputs!$B$246)-1,IF(AND(Inputs!$B$249&lt;&gt;"",AM$2=Inputs!$B$249),-Inputs!$B$250,IF(AND(Inputs!$B$249&lt;&gt;"",AM$2&gt;Inputs!$B$249,AM$2&lt;=Inputs!$B$249+Inputs!$B$251),(1/(1-Inputs!$B$250))^(1/Inputs!$B$251)-1,stinc))))))))))+AM60*(SQRT(MAX(1+IF(AND(Inputs!$B$229&lt;&gt;"",AM$2=Inputs!$B$229),-Inputs!$B$230,IF(AND(Inputs!$B$229&lt;&gt;"",AM$2&gt;Inputs!$B$229,AM$2&lt;=Inputs!$B$229+Inputs!$B$231),(1/(1-Inputs!$B$230))^(1/Inputs!$B$231)-1,IF(AND(Inputs!$B$234&lt;&gt;"",AM$2=Inputs!$B$234),-Inputs!$B$235,IF(AND(Inputs!$B$234&lt;&gt;"",AM$2&gt;Inputs!$B$234,AM$2&lt;=Inputs!$B$234+Inputs!$B$236),(1/(1-Inputs!$B$235))^(1/Inputs!$B$236)-1,IF(AND(Inputs!$B$239&lt;&gt;"",AM$2=Inputs!$B$239),-Inputs!$B$240,IF(AND(Inputs!$B$239&lt;&gt;"",AM$2&gt;Inputs!$B$239,AM$2&lt;=Inputs!$B$239+Inputs!$B$241),(1/(1-Inputs!$B$240))^(1/Inputs!$B$241)-1,IF(AND(Inputs!$B$244&lt;&gt;"",AM$2=Inputs!$B$244),-Inputs!$B$245,IF(AND(Inputs!$B$244&lt;&gt;"",AM$2&gt;Inputs!$B$244,AM$2&lt;=Inputs!$B$244+Inputs!$B$246),(1/(1-Inputs!$B$245))^(1/Inputs!$B$246)-1,IF(AND(Inputs!$B$249&lt;&gt;"",AM$2=Inputs!$B$249),-Inputs!$B$250,IF(AND(Inputs!$B$249&lt;&gt;"",AM$2&gt;Inputs!$B$249,AM$2&lt;=Inputs!$B$249+Inputs!$B$251),(1/(1-Inputs!$B$250))^(1/Inputs!$B$251)-1,stinc)))))))))),0))-1)</f>
        <v>23378.007264252639</v>
      </c>
    </row>
    <row r="108" spans="1:44" x14ac:dyDescent="0.2">
      <c r="A108" s="3" t="s">
        <v>24</v>
      </c>
      <c r="C108" s="7">
        <f ca="1">SUM(C105:C107)</f>
        <v>35024.809122913313</v>
      </c>
      <c r="D108" s="7">
        <f ca="1">SUM(D105:D107)</f>
        <v>33643.296426539331</v>
      </c>
      <c r="E108" s="7">
        <f t="shared" ref="E108:AM108" ca="1" si="52">SUM(E105:E107)</f>
        <v>44135.888351296875</v>
      </c>
      <c r="F108" s="7">
        <f t="shared" ca="1" si="52"/>
        <v>52031.527454474199</v>
      </c>
      <c r="G108" s="7">
        <f t="shared" ca="1" si="52"/>
        <v>60558.817685905706</v>
      </c>
      <c r="H108" s="7">
        <f t="shared" ca="1" si="52"/>
        <v>69768.29113585173</v>
      </c>
      <c r="I108" s="7">
        <f t="shared" ca="1" si="52"/>
        <v>59571.227110881031</v>
      </c>
      <c r="J108" s="7">
        <f t="shared" ca="1" si="52"/>
        <v>68530.300533061061</v>
      </c>
      <c r="K108" s="7">
        <f t="shared" ca="1" si="52"/>
        <v>78181.169818704715</v>
      </c>
      <c r="L108" s="7">
        <f t="shared" ca="1" si="52"/>
        <v>88577.253607681676</v>
      </c>
      <c r="M108" s="7">
        <f t="shared" ca="1" si="52"/>
        <v>100028.20193136978</v>
      </c>
      <c r="N108" s="7">
        <f t="shared" ca="1" si="52"/>
        <v>96054.44425644289</v>
      </c>
      <c r="O108" s="7">
        <f t="shared" ca="1" si="52"/>
        <v>103020.39065122124</v>
      </c>
      <c r="P108" s="7">
        <f t="shared" ca="1" si="52"/>
        <v>110182.66334754651</v>
      </c>
      <c r="Q108" s="7">
        <f t="shared" ca="1" si="52"/>
        <v>117546.79555146059</v>
      </c>
      <c r="R108" s="7">
        <f t="shared" ca="1" si="52"/>
        <v>131315.307230651</v>
      </c>
      <c r="S108" s="7">
        <f t="shared" ca="1" si="52"/>
        <v>146185.29984417665</v>
      </c>
      <c r="T108" s="7">
        <f t="shared" ca="1" si="52"/>
        <v>157880.12383171078</v>
      </c>
      <c r="U108" s="7">
        <f t="shared" ca="1" si="52"/>
        <v>170510.53373824764</v>
      </c>
      <c r="V108" s="7">
        <f t="shared" ca="1" si="52"/>
        <v>139818.63766536306</v>
      </c>
      <c r="W108" s="7">
        <f t="shared" ca="1" si="52"/>
        <v>154403.85531092063</v>
      </c>
      <c r="X108" s="7">
        <f t="shared" ca="1" si="52"/>
        <v>170510.53373824764</v>
      </c>
      <c r="Y108" s="7">
        <f t="shared" ca="1" si="52"/>
        <v>184151.37643730745</v>
      </c>
      <c r="Z108" s="7">
        <f t="shared" ca="1" si="52"/>
        <v>198883.48655229204</v>
      </c>
      <c r="AA108" s="7">
        <f t="shared" ca="1" si="52"/>
        <v>143196.11031765025</v>
      </c>
      <c r="AB108" s="7">
        <f t="shared" ca="1" si="52"/>
        <v>151254.79053984256</v>
      </c>
      <c r="AC108" s="7">
        <f t="shared" ca="1" si="52"/>
        <v>159766.99095039401</v>
      </c>
      <c r="AD108" s="7">
        <f t="shared" ca="1" si="52"/>
        <v>168758.2344085791</v>
      </c>
      <c r="AE108" s="7">
        <f t="shared" ca="1" si="52"/>
        <v>178255.48012945594</v>
      </c>
      <c r="AF108" s="7">
        <f t="shared" ca="1" si="52"/>
        <v>188287.20451798901</v>
      </c>
      <c r="AG108" s="7">
        <f t="shared" ca="1" si="52"/>
        <v>198883.4865522921</v>
      </c>
      <c r="AH108" s="7">
        <f t="shared" ca="1" si="52"/>
        <v>214794.16547647546</v>
      </c>
      <c r="AI108" s="7">
        <f t="shared" ca="1" si="52"/>
        <v>231977.69871459351</v>
      </c>
      <c r="AJ108" s="7">
        <f t="shared" ca="1" si="52"/>
        <v>250535.91461176099</v>
      </c>
      <c r="AK108" s="7">
        <f t="shared" ca="1" si="52"/>
        <v>270578.78778070188</v>
      </c>
      <c r="AL108" s="7">
        <f t="shared" ca="1" si="52"/>
        <v>292225.090803158</v>
      </c>
      <c r="AM108" s="7">
        <f t="shared" ca="1" si="52"/>
        <v>315603.09806741064</v>
      </c>
    </row>
    <row r="109" spans="1:44" x14ac:dyDescent="0.2">
      <c r="A109" s="3" t="s">
        <v>25</v>
      </c>
      <c r="C109" s="7">
        <f ca="1">C106*Inputs!$B$284</f>
        <v>0</v>
      </c>
      <c r="D109" s="7">
        <f ca="1">D106*Inputs!$B$284</f>
        <v>0</v>
      </c>
      <c r="E109" s="7">
        <f ca="1">E106*Inputs!$B$284</f>
        <v>0</v>
      </c>
      <c r="F109" s="7">
        <f ca="1">F106*Inputs!$B$284</f>
        <v>0</v>
      </c>
      <c r="G109" s="7">
        <f ca="1">G106*Inputs!$B$284</f>
        <v>0</v>
      </c>
      <c r="H109" s="7">
        <f ca="1">H106*Inputs!$B$284</f>
        <v>0</v>
      </c>
      <c r="I109" s="7">
        <f ca="1">I106*Inputs!$B$284</f>
        <v>0</v>
      </c>
      <c r="J109" s="7">
        <f ca="1">J106*Inputs!$B$284</f>
        <v>0</v>
      </c>
      <c r="K109" s="7">
        <f ca="1">K106*Inputs!$B$284</f>
        <v>0</v>
      </c>
      <c r="L109" s="7">
        <f ca="1">L106*Inputs!$B$284</f>
        <v>0</v>
      </c>
      <c r="M109" s="7">
        <f ca="1">M106*Inputs!$B$284</f>
        <v>0</v>
      </c>
      <c r="N109" s="7">
        <f ca="1">N106*Inputs!$B$284</f>
        <v>0</v>
      </c>
      <c r="O109" s="7">
        <f ca="1">O106*Inputs!$B$284</f>
        <v>0</v>
      </c>
      <c r="P109" s="7">
        <f ca="1">P106*Inputs!$B$284</f>
        <v>0</v>
      </c>
      <c r="Q109" s="7">
        <f ca="1">Q106*Inputs!$B$284</f>
        <v>0</v>
      </c>
      <c r="R109" s="7">
        <f ca="1">R106*Inputs!$B$284</f>
        <v>0</v>
      </c>
      <c r="S109" s="7">
        <f ca="1">S106*Inputs!$B$284</f>
        <v>0</v>
      </c>
      <c r="T109" s="7">
        <f ca="1">T106*Inputs!$B$284</f>
        <v>0</v>
      </c>
      <c r="U109" s="7">
        <f ca="1">U106*Inputs!$B$284</f>
        <v>0</v>
      </c>
      <c r="V109" s="7">
        <f ca="1">V106*Inputs!$B$284</f>
        <v>0</v>
      </c>
      <c r="W109" s="7">
        <f ca="1">W106*Inputs!$B$284</f>
        <v>0</v>
      </c>
      <c r="X109" s="7">
        <f ca="1">X106*Inputs!$B$284</f>
        <v>0</v>
      </c>
      <c r="Y109" s="7">
        <f ca="1">Y106*Inputs!$B$284</f>
        <v>0</v>
      </c>
      <c r="Z109" s="7">
        <f ca="1">Z106*Inputs!$B$284</f>
        <v>0</v>
      </c>
      <c r="AA109" s="7">
        <f ca="1">AA106*Inputs!$B$284</f>
        <v>0</v>
      </c>
      <c r="AB109" s="7">
        <f ca="1">AB106*Inputs!$B$284</f>
        <v>0</v>
      </c>
      <c r="AC109" s="7">
        <f ca="1">AC106*Inputs!$B$284</f>
        <v>0</v>
      </c>
      <c r="AD109" s="7">
        <f ca="1">AD106*Inputs!$B$284</f>
        <v>0</v>
      </c>
      <c r="AE109" s="7">
        <f ca="1">AE106*Inputs!$B$284</f>
        <v>0</v>
      </c>
      <c r="AF109" s="7">
        <f ca="1">AF106*Inputs!$B$284</f>
        <v>0</v>
      </c>
      <c r="AG109" s="7">
        <f ca="1">AG106*Inputs!$B$284</f>
        <v>0</v>
      </c>
      <c r="AH109" s="7">
        <f ca="1">AH106*Inputs!$B$284</f>
        <v>0</v>
      </c>
      <c r="AI109" s="7">
        <f ca="1">AI106*Inputs!$B$284</f>
        <v>0</v>
      </c>
      <c r="AJ109" s="7">
        <f ca="1">AJ106*Inputs!$B$284</f>
        <v>0</v>
      </c>
      <c r="AK109" s="7">
        <f ca="1">AK106*Inputs!$B$284</f>
        <v>0</v>
      </c>
      <c r="AL109" s="7">
        <f ca="1">AL106*Inputs!$B$284</f>
        <v>0</v>
      </c>
      <c r="AM109" s="7">
        <f ca="1">AM106*Inputs!$B$284</f>
        <v>0</v>
      </c>
    </row>
    <row r="110" spans="1:44" x14ac:dyDescent="0.2">
      <c r="A110" s="3" t="s">
        <v>36</v>
      </c>
      <c r="C110" s="7">
        <f ca="1">-C106+C109</f>
        <v>0</v>
      </c>
      <c r="D110" s="7">
        <f t="shared" ref="D110:AM110" ca="1" si="53">-D106+D109</f>
        <v>0</v>
      </c>
      <c r="E110" s="7">
        <f t="shared" ca="1" si="53"/>
        <v>0</v>
      </c>
      <c r="F110" s="7">
        <f t="shared" ca="1" si="53"/>
        <v>0</v>
      </c>
      <c r="G110" s="7">
        <f t="shared" ca="1" si="53"/>
        <v>0</v>
      </c>
      <c r="H110" s="7">
        <f t="shared" ca="1" si="53"/>
        <v>0</v>
      </c>
      <c r="I110" s="7">
        <f t="shared" ca="1" si="53"/>
        <v>0</v>
      </c>
      <c r="J110" s="7">
        <f t="shared" ca="1" si="53"/>
        <v>0</v>
      </c>
      <c r="K110" s="7">
        <f t="shared" ca="1" si="53"/>
        <v>0</v>
      </c>
      <c r="L110" s="7">
        <f t="shared" ca="1" si="53"/>
        <v>0</v>
      </c>
      <c r="M110" s="7">
        <f t="shared" ca="1" si="53"/>
        <v>0</v>
      </c>
      <c r="N110" s="7">
        <f t="shared" ca="1" si="53"/>
        <v>0</v>
      </c>
      <c r="O110" s="7">
        <f t="shared" ca="1" si="53"/>
        <v>0</v>
      </c>
      <c r="P110" s="7">
        <f t="shared" ca="1" si="53"/>
        <v>0</v>
      </c>
      <c r="Q110" s="7">
        <f t="shared" ca="1" si="53"/>
        <v>0</v>
      </c>
      <c r="R110" s="7">
        <f t="shared" ca="1" si="53"/>
        <v>0</v>
      </c>
      <c r="S110" s="7">
        <f t="shared" ca="1" si="53"/>
        <v>0</v>
      </c>
      <c r="T110" s="7">
        <f t="shared" ca="1" si="53"/>
        <v>0</v>
      </c>
      <c r="U110" s="7">
        <f t="shared" ca="1" si="53"/>
        <v>0</v>
      </c>
      <c r="V110" s="7">
        <f t="shared" ca="1" si="53"/>
        <v>0</v>
      </c>
      <c r="W110" s="7">
        <f t="shared" ca="1" si="53"/>
        <v>0</v>
      </c>
      <c r="X110" s="7">
        <f t="shared" ca="1" si="53"/>
        <v>0</v>
      </c>
      <c r="Y110" s="7">
        <f t="shared" ca="1" si="53"/>
        <v>0</v>
      </c>
      <c r="Z110" s="7">
        <f t="shared" ca="1" si="53"/>
        <v>0</v>
      </c>
      <c r="AA110" s="7">
        <f t="shared" ca="1" si="53"/>
        <v>0</v>
      </c>
      <c r="AB110" s="7">
        <f t="shared" ca="1" si="53"/>
        <v>0</v>
      </c>
      <c r="AC110" s="7">
        <f t="shared" ca="1" si="53"/>
        <v>0</v>
      </c>
      <c r="AD110" s="7">
        <f t="shared" ca="1" si="53"/>
        <v>0</v>
      </c>
      <c r="AE110" s="7">
        <f t="shared" ca="1" si="53"/>
        <v>0</v>
      </c>
      <c r="AF110" s="7">
        <f t="shared" ca="1" si="53"/>
        <v>0</v>
      </c>
      <c r="AG110" s="7">
        <f t="shared" ca="1" si="53"/>
        <v>0</v>
      </c>
      <c r="AH110" s="7">
        <f t="shared" ca="1" si="53"/>
        <v>0</v>
      </c>
      <c r="AI110" s="7">
        <f t="shared" ca="1" si="53"/>
        <v>0</v>
      </c>
      <c r="AJ110" s="7">
        <f t="shared" ca="1" si="53"/>
        <v>0</v>
      </c>
      <c r="AK110" s="7">
        <f t="shared" ca="1" si="53"/>
        <v>0</v>
      </c>
      <c r="AL110" s="7">
        <f t="shared" ca="1" si="53"/>
        <v>0</v>
      </c>
      <c r="AM110" s="7">
        <f t="shared" ca="1" si="53"/>
        <v>0</v>
      </c>
    </row>
    <row r="111" spans="1:44" x14ac:dyDescent="0.2">
      <c r="A111" s="4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  <c r="AG111" s="7"/>
      <c r="AH111" s="7"/>
      <c r="AI111" s="7"/>
      <c r="AJ111" s="7"/>
      <c r="AK111" s="7"/>
      <c r="AL111" s="7"/>
      <c r="AM111" s="7"/>
    </row>
    <row r="112" spans="1:44" x14ac:dyDescent="0.2">
      <c r="A112" s="3" t="s">
        <v>70</v>
      </c>
      <c r="C112" s="7">
        <f ca="1">C99+SUM($C110:C110)</f>
        <v>12919.0625</v>
      </c>
      <c r="D112" s="7">
        <f ca="1">D99+SUM($C110:D110)</f>
        <v>22490.535937499997</v>
      </c>
      <c r="E112" s="7">
        <f ca="1">E99+SUM($C110:E110)</f>
        <v>38207.499804687497</v>
      </c>
      <c r="F112" s="7">
        <f ca="1">F99+SUM($C110:F110)</f>
        <v>35714.080452231734</v>
      </c>
      <c r="G112" s="7">
        <f ca="1">G99+SUM($C110:G110)</f>
        <v>229276.11396248138</v>
      </c>
      <c r="H112" s="7">
        <f ca="1">H99+SUM($C110:H110)</f>
        <v>271025.81800930644</v>
      </c>
      <c r="I112" s="7">
        <f ca="1">I99+SUM($C110:I110)</f>
        <v>332892.09672247234</v>
      </c>
      <c r="J112" s="7">
        <f ca="1">J99+SUM($C110:J110)</f>
        <v>399181.31879998074</v>
      </c>
      <c r="K112" s="7">
        <f ca="1">K99+SUM($C110:K110)</f>
        <v>452080.69175229734</v>
      </c>
      <c r="L112" s="7">
        <f ca="1">L99+SUM($C110:L110)</f>
        <v>591897.59165074176</v>
      </c>
      <c r="M112" s="7">
        <f ca="1">M99+SUM($C110:M110)</f>
        <v>643438.66125641076</v>
      </c>
      <c r="N112" s="7">
        <f ca="1">N99+SUM($C110:N110)</f>
        <v>748500.49246398674</v>
      </c>
      <c r="O112" s="7">
        <f ca="1">O99+SUM($C110:O110)</f>
        <v>859267.05744988273</v>
      </c>
      <c r="P112" s="7">
        <f ca="1">P99+SUM($C110:P110)</f>
        <v>975981.2911249469</v>
      </c>
      <c r="Q112" s="7">
        <f ca="1">Q99+SUM($C110:Q110)</f>
        <v>1098895.4105429514</v>
      </c>
      <c r="R112" s="7">
        <f ca="1">R99+SUM($C110:R110)</f>
        <v>1228271.248199099</v>
      </c>
      <c r="S112" s="7">
        <f ca="1">S99+SUM($C110:S110)</f>
        <v>1364380.5968228865</v>
      </c>
      <c r="T112" s="7">
        <f ca="1">T99+SUM($C110:T110)</f>
        <v>1402527.6236677105</v>
      </c>
      <c r="U112" s="7">
        <f ca="1">U99+SUM($C110:U110)</f>
        <v>1449854.2259580824</v>
      </c>
      <c r="V112" s="7">
        <f ca="1">V99+SUM($C110:V110)</f>
        <v>1498907.5815076504</v>
      </c>
      <c r="W112" s="7">
        <f ca="1">W99+SUM($C110:W110)</f>
        <v>1549752.4964402271</v>
      </c>
      <c r="X112" s="7">
        <f ca="1">X99+SUM($C110:X110)</f>
        <v>1602456.179392647</v>
      </c>
      <c r="Y112" s="7">
        <f ca="1">Y99+SUM($C110:Y110)</f>
        <v>1636171.2358988209</v>
      </c>
      <c r="Z112" s="7">
        <f ca="1">Z99+SUM($C110:Z110)</f>
        <v>1670841.1811310996</v>
      </c>
      <c r="AA112" s="7">
        <f ca="1">AA99+SUM($C110:AA110)</f>
        <v>1706501.7452458595</v>
      </c>
      <c r="AB112" s="7">
        <f ca="1">AB99+SUM($C110:AB110)</f>
        <v>1743190.1198307537</v>
      </c>
      <c r="AC112" s="7">
        <f ca="1">AC99+SUM($C110:AC110)</f>
        <v>1780945.016796795</v>
      </c>
      <c r="AD112" s="7">
        <f ca="1">AD99+SUM($C110:AD110)</f>
        <v>1819806.7295462058</v>
      </c>
      <c r="AE112" s="7">
        <f ca="1">AE99+SUM($C110:AE110)</f>
        <v>1869924.4525328081</v>
      </c>
      <c r="AF112" s="7">
        <f ca="1">AF99+SUM($C110:AF110)</f>
        <v>1921739.9419416173</v>
      </c>
      <c r="AG112" s="7">
        <f ca="1">AG99+SUM($C110:AG110)</f>
        <v>1975317.5778012427</v>
      </c>
      <c r="AH112" s="7">
        <f ca="1">AH99+SUM($C110:AH110)</f>
        <v>2030724.2224962406</v>
      </c>
      <c r="AI112" s="7">
        <f ca="1">AI99+SUM($C110:AI110)</f>
        <v>2088029.314381151</v>
      </c>
      <c r="AJ112" s="7">
        <f ca="1">AJ99+SUM($C110:AJ110)</f>
        <v>2147304.9648157731</v>
      </c>
      <c r="AK112" s="7">
        <f ca="1">AK99+SUM($C110:AK110)</f>
        <v>2208626.0587430005</v>
      </c>
      <c r="AL112" s="7">
        <f ca="1">AL99+SUM($C110:AL110)</f>
        <v>2272070.3589347131</v>
      </c>
      <c r="AM112" s="7">
        <f ca="1">AM99+SUM($C110:AM110)</f>
        <v>2337718.614035564</v>
      </c>
    </row>
    <row r="113" spans="1:39" x14ac:dyDescent="0.2">
      <c r="A113" s="3" t="s">
        <v>19</v>
      </c>
      <c r="C113" s="7">
        <f ca="1">IF(C112&lt;0,-C112,0)</f>
        <v>0</v>
      </c>
      <c r="D113" s="7">
        <f ca="1">IF(D112+SUM($C113:C113)&lt;0,-(D112+SUM($C113:C113)),0)</f>
        <v>0</v>
      </c>
      <c r="E113" s="7">
        <f ca="1">IF(E112+SUM($C113:D113)&lt;0,-(E112+SUM($C113:D113)),0)</f>
        <v>0</v>
      </c>
      <c r="F113" s="7">
        <f ca="1">IF(F112+SUM($C113:E113)&lt;0,-(F112+SUM($C113:E113)),0)</f>
        <v>0</v>
      </c>
      <c r="G113" s="7">
        <f ca="1">IF(G112+SUM($C113:F113)&lt;0,-(G112+SUM($C113:F113)),0)</f>
        <v>0</v>
      </c>
      <c r="H113" s="7">
        <f ca="1">IF(H112+SUM($C113:G113)&lt;0,-(H112+SUM($C113:G113)),0)</f>
        <v>0</v>
      </c>
      <c r="I113" s="7">
        <f ca="1">IF(I112+SUM($C113:H113)&lt;0,-(I112+SUM($C113:H113)),0)</f>
        <v>0</v>
      </c>
      <c r="J113" s="7">
        <f ca="1">IF(J112+SUM($C113:I113)&lt;0,-(J112+SUM($C113:I113)),0)</f>
        <v>0</v>
      </c>
      <c r="K113" s="7">
        <f ca="1">IF(K112+SUM($C113:J113)&lt;0,-(K112+SUM($C113:J113)),0)</f>
        <v>0</v>
      </c>
      <c r="L113" s="7">
        <f ca="1">IF(L112+SUM($C113:K113)&lt;0,-(L112+SUM($C113:K113)),0)</f>
        <v>0</v>
      </c>
      <c r="M113" s="7">
        <f ca="1">IF(M112+SUM($C113:L113)&lt;0,-(M112+SUM($C113:L113)),0)</f>
        <v>0</v>
      </c>
      <c r="N113" s="7">
        <f ca="1">IF(N112+SUM($C113:M113)&lt;0,-(N112+SUM($C113:M113)),0)</f>
        <v>0</v>
      </c>
      <c r="O113" s="7">
        <f ca="1">IF(O112+SUM($C113:N113)&lt;0,-(O112+SUM($C113:N113)),0)</f>
        <v>0</v>
      </c>
      <c r="P113" s="7">
        <f ca="1">IF(P112+SUM($C113:O113)&lt;0,-(P112+SUM($C113:O113)),0)</f>
        <v>0</v>
      </c>
      <c r="Q113" s="7">
        <f ca="1">IF(Q112+SUM($C113:P113)&lt;0,-(Q112+SUM($C113:P113)),0)</f>
        <v>0</v>
      </c>
      <c r="R113" s="7">
        <f ca="1">IF(R112+SUM($C113:Q113)&lt;0,-(R112+SUM($C113:Q113)),0)</f>
        <v>0</v>
      </c>
      <c r="S113" s="7">
        <f ca="1">IF(S112+SUM($C113:R113)&lt;0,-(S112+SUM($C113:R113)),0)</f>
        <v>0</v>
      </c>
      <c r="T113" s="7">
        <f ca="1">IF(T112+SUM($C113:S113)&lt;0,-(T112+SUM($C113:S113)),0)</f>
        <v>0</v>
      </c>
      <c r="U113" s="7">
        <f ca="1">IF(U112+SUM($C113:T113)&lt;0,-(U112+SUM($C113:T113)),0)</f>
        <v>0</v>
      </c>
      <c r="V113" s="7">
        <f ca="1">IF(V112+SUM($C113:U113)&lt;0,-(V112+SUM($C113:U113)),0)</f>
        <v>0</v>
      </c>
      <c r="W113" s="7">
        <f ca="1">IF(W112+SUM($C113:V113)&lt;0,-(W112+SUM($C113:V113)),0)</f>
        <v>0</v>
      </c>
      <c r="X113" s="7">
        <f ca="1">IF(X112+SUM($C113:W113)&lt;0,-(X112+SUM($C113:W113)),0)</f>
        <v>0</v>
      </c>
      <c r="Y113" s="7">
        <f ca="1">IF(Y112+SUM($C113:X113)&lt;0,-(Y112+SUM($C113:X113)),0)</f>
        <v>0</v>
      </c>
      <c r="Z113" s="7">
        <f ca="1">IF(Z112+SUM($C113:Y113)&lt;0,-(Z112+SUM($C113:Y113)),0)</f>
        <v>0</v>
      </c>
      <c r="AA113" s="7">
        <f ca="1">IF(AA112+SUM($C113:Z113)&lt;0,-(AA112+SUM($C113:Z113)),0)</f>
        <v>0</v>
      </c>
      <c r="AB113" s="7">
        <f ca="1">IF(AB112+SUM($C113:AA113)&lt;0,-(AB112+SUM($C113:AA113)),0)</f>
        <v>0</v>
      </c>
      <c r="AC113" s="7">
        <f ca="1">IF(AC112+SUM($C113:AB113)&lt;0,-(AC112+SUM($C113:AB113)),0)</f>
        <v>0</v>
      </c>
      <c r="AD113" s="7">
        <f ca="1">IF(AD112+SUM($C113:AC113)&lt;0,-(AD112+SUM($C113:AC113)),0)</f>
        <v>0</v>
      </c>
      <c r="AE113" s="7">
        <f ca="1">IF(AE112+SUM($C113:AD113)&lt;0,-(AE112+SUM($C113:AD113)),0)</f>
        <v>0</v>
      </c>
      <c r="AF113" s="7">
        <f ca="1">IF(AF112+SUM($C113:AE113)&lt;0,-(AF112+SUM($C113:AE113)),0)</f>
        <v>0</v>
      </c>
      <c r="AG113" s="7">
        <f ca="1">IF(AG112+SUM($C113:AF113)&lt;0,-(AG112+SUM($C113:AF113)),0)</f>
        <v>0</v>
      </c>
      <c r="AH113" s="7">
        <f ca="1">IF(AH112+SUM($C113:AG113)&lt;0,-(AH112+SUM($C113:AG113)),0)</f>
        <v>0</v>
      </c>
      <c r="AI113" s="7">
        <f ca="1">IF(AI112+SUM($C113:AH113)&lt;0,-(AI112+SUM($C113:AH113)),0)</f>
        <v>0</v>
      </c>
      <c r="AJ113" s="7">
        <f ca="1">IF(AJ112+SUM($C113:AI113)&lt;0,-(AJ112+SUM($C113:AI113)),0)</f>
        <v>0</v>
      </c>
      <c r="AK113" s="7">
        <f ca="1">IF(AK112+SUM($C113:AJ113)&lt;0,-(AK112+SUM($C113:AJ113)),0)</f>
        <v>0</v>
      </c>
      <c r="AL113" s="7">
        <f ca="1">IF(AL112+SUM($C113:AK113)&lt;0,-(AL112+SUM($C113:AK113)),0)</f>
        <v>0</v>
      </c>
      <c r="AM113" s="7">
        <f ca="1">IF(AM112+SUM($C113:AL113)&lt;0,-(AM112+SUM($C113:AL113)),0)</f>
        <v>0</v>
      </c>
    </row>
    <row r="114" spans="1:39" x14ac:dyDescent="0.2">
      <c r="A114" s="3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  <c r="AG114" s="7"/>
      <c r="AH114" s="7"/>
      <c r="AI114" s="7"/>
      <c r="AJ114" s="7"/>
      <c r="AK114" s="7"/>
      <c r="AL114" s="7"/>
      <c r="AM114" s="7"/>
    </row>
    <row r="115" spans="1:39" x14ac:dyDescent="0.2">
      <c r="A115" s="24" t="str">
        <f>IF(Inputs!$B$290=6,IFERROR(_xlfn.XLOOKUP($B115,Inputs!$B$291:$B$300,Inputs!$A$291:$A$300,,0,1),""),IFERROR(_xlfn.XLOOKUP($B115,Inputs!$C$291:$C$300,Inputs!$A$291:$A$300,,0,1),""))</f>
        <v>Painting</v>
      </c>
      <c r="B115" s="26">
        <v>1</v>
      </c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  <c r="AE115" s="7"/>
      <c r="AF115" s="7"/>
      <c r="AG115" s="7"/>
      <c r="AH115" s="7"/>
      <c r="AI115" s="7"/>
      <c r="AJ115" s="7"/>
      <c r="AK115" s="7"/>
      <c r="AL115" s="7"/>
      <c r="AM115" s="7"/>
    </row>
    <row r="116" spans="1:39" x14ac:dyDescent="0.2">
      <c r="A116" s="3" t="s">
        <v>21</v>
      </c>
      <c r="C116" s="7">
        <f ca="1">IFERROR(VLOOKUP($A115,$A$68:$H$97,C$1+2,FALSE),0)</f>
        <v>20448.333244589874</v>
      </c>
      <c r="D116" s="7">
        <f ca="1">C119</f>
        <v>20448.333244589874</v>
      </c>
      <c r="E116" s="7">
        <f t="shared" ref="E116:AM116" ca="1" si="54">D119</f>
        <v>21061.783241927569</v>
      </c>
      <c r="F116" s="7">
        <f t="shared" ca="1" si="54"/>
        <v>21693.636739185396</v>
      </c>
      <c r="G116" s="7">
        <f t="shared" ca="1" si="54"/>
        <v>22344.445841360957</v>
      </c>
      <c r="H116" s="7">
        <f t="shared" ca="1" si="54"/>
        <v>23014.779216601786</v>
      </c>
      <c r="I116" s="7">
        <f t="shared" ca="1" si="54"/>
        <v>23705.222593099839</v>
      </c>
      <c r="J116" s="7">
        <f t="shared" ca="1" si="54"/>
        <v>24416.379270892834</v>
      </c>
      <c r="K116" s="7">
        <f t="shared" ca="1" si="54"/>
        <v>25148.87064901962</v>
      </c>
      <c r="L116" s="7">
        <f t="shared" ca="1" si="54"/>
        <v>25903.336768490208</v>
      </c>
      <c r="M116" s="7">
        <f t="shared" ca="1" si="54"/>
        <v>26680.436871544913</v>
      </c>
      <c r="N116" s="7">
        <f t="shared" ca="1" si="54"/>
        <v>27480.849977691261</v>
      </c>
      <c r="O116" s="7">
        <f t="shared" ca="1" si="54"/>
        <v>28305.275477021998</v>
      </c>
      <c r="P116" s="7">
        <f t="shared" ca="1" si="54"/>
        <v>29154.433741332658</v>
      </c>
      <c r="Q116" s="7">
        <f t="shared" ca="1" si="54"/>
        <v>30029.066753572639</v>
      </c>
      <c r="R116" s="7">
        <f t="shared" ca="1" si="54"/>
        <v>30929.938756179818</v>
      </c>
      <c r="S116" s="7">
        <f t="shared" ca="1" si="54"/>
        <v>31857.83691886521</v>
      </c>
      <c r="T116" s="7">
        <f t="shared" ca="1" si="54"/>
        <v>32813.572026431168</v>
      </c>
      <c r="U116" s="7">
        <f t="shared" ca="1" si="54"/>
        <v>33797.979187224104</v>
      </c>
      <c r="V116" s="7">
        <f t="shared" ca="1" si="54"/>
        <v>34811.91856284083</v>
      </c>
      <c r="W116" s="7">
        <f t="shared" ca="1" si="54"/>
        <v>35856.276119726055</v>
      </c>
      <c r="X116" s="7">
        <f t="shared" ca="1" si="54"/>
        <v>36931.964403317834</v>
      </c>
      <c r="Y116" s="7">
        <f t="shared" ca="1" si="54"/>
        <v>38039.92333541737</v>
      </c>
      <c r="Z116" s="7">
        <f t="shared" ca="1" si="54"/>
        <v>39181.12103547989</v>
      </c>
      <c r="AA116" s="7">
        <f t="shared" ca="1" si="54"/>
        <v>40356.554666544289</v>
      </c>
      <c r="AB116" s="7">
        <f t="shared" ca="1" si="54"/>
        <v>41567.251306540616</v>
      </c>
      <c r="AC116" s="7">
        <f t="shared" ca="1" si="54"/>
        <v>42814.268845736835</v>
      </c>
      <c r="AD116" s="7">
        <f t="shared" ca="1" si="54"/>
        <v>44098.696911108942</v>
      </c>
      <c r="AE116" s="7">
        <f t="shared" ca="1" si="54"/>
        <v>45421.657818442211</v>
      </c>
      <c r="AF116" s="7">
        <f t="shared" ca="1" si="54"/>
        <v>46784.30755299548</v>
      </c>
      <c r="AG116" s="7">
        <f t="shared" ca="1" si="54"/>
        <v>48187.836779585341</v>
      </c>
      <c r="AH116" s="7">
        <f t="shared" ca="1" si="54"/>
        <v>49633.471882972903</v>
      </c>
      <c r="AI116" s="7">
        <f t="shared" ca="1" si="54"/>
        <v>51122.47603946209</v>
      </c>
      <c r="AJ116" s="7">
        <f t="shared" ca="1" si="54"/>
        <v>52656.150320645953</v>
      </c>
      <c r="AK116" s="7">
        <f t="shared" ca="1" si="54"/>
        <v>54235.834830265332</v>
      </c>
      <c r="AL116" s="7">
        <f t="shared" ca="1" si="54"/>
        <v>55862.909875173289</v>
      </c>
      <c r="AM116" s="7">
        <f t="shared" ca="1" si="54"/>
        <v>57538.797171428487</v>
      </c>
    </row>
    <row r="117" spans="1:39" x14ac:dyDescent="0.2">
      <c r="A117" s="3" t="s">
        <v>22</v>
      </c>
      <c r="C117" s="7">
        <f ca="1">-IF(D113&gt;0,C116,0)</f>
        <v>0</v>
      </c>
      <c r="D117" s="7">
        <f ca="1">-IF(E113&gt;0,D116,0)</f>
        <v>0</v>
      </c>
      <c r="E117" s="7">
        <f ca="1">-IF(F113&gt;0,E116,0)</f>
        <v>0</v>
      </c>
      <c r="F117" s="7">
        <f ca="1">-IF(G113&gt;0,F116,0)</f>
        <v>0</v>
      </c>
      <c r="G117" s="7">
        <f t="shared" ref="G117:AM117" ca="1" si="55">-IF(H113&gt;0,G116,0)</f>
        <v>0</v>
      </c>
      <c r="H117" s="7">
        <f t="shared" ca="1" si="55"/>
        <v>0</v>
      </c>
      <c r="I117" s="7">
        <f t="shared" ca="1" si="55"/>
        <v>0</v>
      </c>
      <c r="J117" s="7">
        <f t="shared" ca="1" si="55"/>
        <v>0</v>
      </c>
      <c r="K117" s="7">
        <f t="shared" ca="1" si="55"/>
        <v>0</v>
      </c>
      <c r="L117" s="7">
        <f t="shared" ca="1" si="55"/>
        <v>0</v>
      </c>
      <c r="M117" s="7">
        <f t="shared" ca="1" si="55"/>
        <v>0</v>
      </c>
      <c r="N117" s="7">
        <f t="shared" ca="1" si="55"/>
        <v>0</v>
      </c>
      <c r="O117" s="7">
        <f t="shared" ca="1" si="55"/>
        <v>0</v>
      </c>
      <c r="P117" s="7">
        <f t="shared" ca="1" si="55"/>
        <v>0</v>
      </c>
      <c r="Q117" s="7">
        <f t="shared" ca="1" si="55"/>
        <v>0</v>
      </c>
      <c r="R117" s="7">
        <f t="shared" ca="1" si="55"/>
        <v>0</v>
      </c>
      <c r="S117" s="7">
        <f t="shared" ca="1" si="55"/>
        <v>0</v>
      </c>
      <c r="T117" s="7">
        <f t="shared" ca="1" si="55"/>
        <v>0</v>
      </c>
      <c r="U117" s="7">
        <f t="shared" ca="1" si="55"/>
        <v>0</v>
      </c>
      <c r="V117" s="7">
        <f t="shared" ca="1" si="55"/>
        <v>0</v>
      </c>
      <c r="W117" s="7">
        <f t="shared" ca="1" si="55"/>
        <v>0</v>
      </c>
      <c r="X117" s="7">
        <f t="shared" ca="1" si="55"/>
        <v>0</v>
      </c>
      <c r="Y117" s="7">
        <f t="shared" ca="1" si="55"/>
        <v>0</v>
      </c>
      <c r="Z117" s="7">
        <f t="shared" ca="1" si="55"/>
        <v>0</v>
      </c>
      <c r="AA117" s="7">
        <f t="shared" ca="1" si="55"/>
        <v>0</v>
      </c>
      <c r="AB117" s="7">
        <f t="shared" ca="1" si="55"/>
        <v>0</v>
      </c>
      <c r="AC117" s="7">
        <f t="shared" ca="1" si="55"/>
        <v>0</v>
      </c>
      <c r="AD117" s="7">
        <f t="shared" ca="1" si="55"/>
        <v>0</v>
      </c>
      <c r="AE117" s="7">
        <f t="shared" ca="1" si="55"/>
        <v>0</v>
      </c>
      <c r="AF117" s="7">
        <f t="shared" ca="1" si="55"/>
        <v>0</v>
      </c>
      <c r="AG117" s="7">
        <f t="shared" ca="1" si="55"/>
        <v>0</v>
      </c>
      <c r="AH117" s="7">
        <f t="shared" ca="1" si="55"/>
        <v>0</v>
      </c>
      <c r="AI117" s="7">
        <f t="shared" ca="1" si="55"/>
        <v>0</v>
      </c>
      <c r="AJ117" s="7">
        <f t="shared" ca="1" si="55"/>
        <v>0</v>
      </c>
      <c r="AK117" s="7">
        <f t="shared" ca="1" si="55"/>
        <v>0</v>
      </c>
      <c r="AL117" s="7">
        <f t="shared" ca="1" si="55"/>
        <v>0</v>
      </c>
      <c r="AM117" s="7">
        <f t="shared" si="55"/>
        <v>0</v>
      </c>
    </row>
    <row r="118" spans="1:39" x14ac:dyDescent="0.2">
      <c r="A118" s="3" t="s">
        <v>23</v>
      </c>
      <c r="C118" s="7">
        <v>0</v>
      </c>
      <c r="D118" s="7">
        <f t="shared" ref="D118:AM118" ca="1" si="56">SUM(D116:D117)*VLOOKUP($A115,AssVar,2,FALSE)</f>
        <v>613.44999733769623</v>
      </c>
      <c r="E118" s="7">
        <f t="shared" ca="1" si="56"/>
        <v>631.85349725782703</v>
      </c>
      <c r="F118" s="7">
        <f t="shared" ca="1" si="56"/>
        <v>650.80910217556186</v>
      </c>
      <c r="G118" s="7">
        <f t="shared" ca="1" si="56"/>
        <v>670.33337524082867</v>
      </c>
      <c r="H118" s="7">
        <f t="shared" ca="1" si="56"/>
        <v>690.44337649805357</v>
      </c>
      <c r="I118" s="7">
        <f t="shared" ca="1" si="56"/>
        <v>711.1566777929952</v>
      </c>
      <c r="J118" s="7">
        <f t="shared" ca="1" si="56"/>
        <v>732.49137812678498</v>
      </c>
      <c r="K118" s="7">
        <f t="shared" ca="1" si="56"/>
        <v>754.46611947058852</v>
      </c>
      <c r="L118" s="7">
        <f t="shared" ca="1" si="56"/>
        <v>777.10010305470621</v>
      </c>
      <c r="M118" s="7">
        <f t="shared" ca="1" si="56"/>
        <v>800.41310614634733</v>
      </c>
      <c r="N118" s="7">
        <f t="shared" ca="1" si="56"/>
        <v>824.42549933073781</v>
      </c>
      <c r="O118" s="7">
        <f t="shared" ca="1" si="56"/>
        <v>849.15826431065989</v>
      </c>
      <c r="P118" s="7">
        <f t="shared" ca="1" si="56"/>
        <v>874.63301223997973</v>
      </c>
      <c r="Q118" s="7">
        <f t="shared" ca="1" si="56"/>
        <v>900.87200260717918</v>
      </c>
      <c r="R118" s="7">
        <f t="shared" ca="1" si="56"/>
        <v>927.89816268539448</v>
      </c>
      <c r="S118" s="7">
        <f t="shared" ca="1" si="56"/>
        <v>955.73510756595624</v>
      </c>
      <c r="T118" s="7">
        <f t="shared" ca="1" si="56"/>
        <v>984.40716079293497</v>
      </c>
      <c r="U118" s="7">
        <f t="shared" ca="1" si="56"/>
        <v>1013.9393756167231</v>
      </c>
      <c r="V118" s="7">
        <f t="shared" ca="1" si="56"/>
        <v>1044.3575568852248</v>
      </c>
      <c r="W118" s="7">
        <f t="shared" ca="1" si="56"/>
        <v>1075.6882835917816</v>
      </c>
      <c r="X118" s="7">
        <f t="shared" ca="1" si="56"/>
        <v>1107.9589320995349</v>
      </c>
      <c r="Y118" s="7">
        <f t="shared" ca="1" si="56"/>
        <v>1141.1977000625211</v>
      </c>
      <c r="Z118" s="7">
        <f t="shared" ca="1" si="56"/>
        <v>1175.4336310643966</v>
      </c>
      <c r="AA118" s="7">
        <f t="shared" ca="1" si="56"/>
        <v>1210.6966399963287</v>
      </c>
      <c r="AB118" s="7">
        <f t="shared" ca="1" si="56"/>
        <v>1247.0175391962184</v>
      </c>
      <c r="AC118" s="7">
        <f t="shared" ca="1" si="56"/>
        <v>1284.428065372105</v>
      </c>
      <c r="AD118" s="7">
        <f t="shared" ca="1" si="56"/>
        <v>1322.9609073332683</v>
      </c>
      <c r="AE118" s="7">
        <f t="shared" ca="1" si="56"/>
        <v>1362.6497345532662</v>
      </c>
      <c r="AF118" s="7">
        <f t="shared" ca="1" si="56"/>
        <v>1403.5292265898643</v>
      </c>
      <c r="AG118" s="7">
        <f t="shared" ca="1" si="56"/>
        <v>1445.6351033875601</v>
      </c>
      <c r="AH118" s="7">
        <f t="shared" ca="1" si="56"/>
        <v>1489.0041564891869</v>
      </c>
      <c r="AI118" s="7">
        <f t="shared" ca="1" si="56"/>
        <v>1533.6742811838626</v>
      </c>
      <c r="AJ118" s="7">
        <f t="shared" ca="1" si="56"/>
        <v>1579.6845096193786</v>
      </c>
      <c r="AK118" s="7">
        <f t="shared" ca="1" si="56"/>
        <v>1627.0750449079599</v>
      </c>
      <c r="AL118" s="7">
        <f t="shared" ca="1" si="56"/>
        <v>1675.8872962551986</v>
      </c>
      <c r="AM118" s="7">
        <f t="shared" ca="1" si="56"/>
        <v>1726.1639151428546</v>
      </c>
    </row>
    <row r="119" spans="1:39" x14ac:dyDescent="0.2">
      <c r="A119" s="3" t="s">
        <v>24</v>
      </c>
      <c r="C119" s="7">
        <f ca="1">SUM(C116:C118)</f>
        <v>20448.333244589874</v>
      </c>
      <c r="D119" s="7">
        <f t="shared" ref="D119:AM119" ca="1" si="57">SUM(D116:D118)</f>
        <v>21061.783241927569</v>
      </c>
      <c r="E119" s="7">
        <f t="shared" ca="1" si="57"/>
        <v>21693.636739185396</v>
      </c>
      <c r="F119" s="7">
        <f t="shared" ca="1" si="57"/>
        <v>22344.445841360957</v>
      </c>
      <c r="G119" s="7">
        <f t="shared" ca="1" si="57"/>
        <v>23014.779216601786</v>
      </c>
      <c r="H119" s="7">
        <f t="shared" ca="1" si="57"/>
        <v>23705.222593099839</v>
      </c>
      <c r="I119" s="7">
        <f t="shared" ca="1" si="57"/>
        <v>24416.379270892834</v>
      </c>
      <c r="J119" s="7">
        <f t="shared" ca="1" si="57"/>
        <v>25148.87064901962</v>
      </c>
      <c r="K119" s="7">
        <f t="shared" ca="1" si="57"/>
        <v>25903.336768490208</v>
      </c>
      <c r="L119" s="7">
        <f t="shared" ca="1" si="57"/>
        <v>26680.436871544913</v>
      </c>
      <c r="M119" s="7">
        <f t="shared" ca="1" si="57"/>
        <v>27480.849977691261</v>
      </c>
      <c r="N119" s="7">
        <f t="shared" ca="1" si="57"/>
        <v>28305.275477021998</v>
      </c>
      <c r="O119" s="7">
        <f t="shared" ca="1" si="57"/>
        <v>29154.433741332658</v>
      </c>
      <c r="P119" s="7">
        <f t="shared" ca="1" si="57"/>
        <v>30029.066753572639</v>
      </c>
      <c r="Q119" s="7">
        <f t="shared" ca="1" si="57"/>
        <v>30929.938756179818</v>
      </c>
      <c r="R119" s="7">
        <f t="shared" ca="1" si="57"/>
        <v>31857.83691886521</v>
      </c>
      <c r="S119" s="7">
        <f t="shared" ca="1" si="57"/>
        <v>32813.572026431168</v>
      </c>
      <c r="T119" s="7">
        <f t="shared" ca="1" si="57"/>
        <v>33797.979187224104</v>
      </c>
      <c r="U119" s="7">
        <f t="shared" ca="1" si="57"/>
        <v>34811.91856284083</v>
      </c>
      <c r="V119" s="7">
        <f t="shared" ca="1" si="57"/>
        <v>35856.276119726055</v>
      </c>
      <c r="W119" s="7">
        <f t="shared" ca="1" si="57"/>
        <v>36931.964403317834</v>
      </c>
      <c r="X119" s="7">
        <f t="shared" ca="1" si="57"/>
        <v>38039.92333541737</v>
      </c>
      <c r="Y119" s="7">
        <f t="shared" ca="1" si="57"/>
        <v>39181.12103547989</v>
      </c>
      <c r="Z119" s="7">
        <f t="shared" ca="1" si="57"/>
        <v>40356.554666544289</v>
      </c>
      <c r="AA119" s="7">
        <f t="shared" ca="1" si="57"/>
        <v>41567.251306540616</v>
      </c>
      <c r="AB119" s="7">
        <f t="shared" ca="1" si="57"/>
        <v>42814.268845736835</v>
      </c>
      <c r="AC119" s="7">
        <f t="shared" ca="1" si="57"/>
        <v>44098.696911108942</v>
      </c>
      <c r="AD119" s="7">
        <f t="shared" ca="1" si="57"/>
        <v>45421.657818442211</v>
      </c>
      <c r="AE119" s="7">
        <f t="shared" ca="1" si="57"/>
        <v>46784.30755299548</v>
      </c>
      <c r="AF119" s="7">
        <f t="shared" ca="1" si="57"/>
        <v>48187.836779585341</v>
      </c>
      <c r="AG119" s="7">
        <f t="shared" ca="1" si="57"/>
        <v>49633.471882972903</v>
      </c>
      <c r="AH119" s="7">
        <f t="shared" ca="1" si="57"/>
        <v>51122.47603946209</v>
      </c>
      <c r="AI119" s="7">
        <f t="shared" ca="1" si="57"/>
        <v>52656.150320645953</v>
      </c>
      <c r="AJ119" s="7">
        <f t="shared" ca="1" si="57"/>
        <v>54235.834830265332</v>
      </c>
      <c r="AK119" s="7">
        <f t="shared" ca="1" si="57"/>
        <v>55862.909875173289</v>
      </c>
      <c r="AL119" s="7">
        <f t="shared" ca="1" si="57"/>
        <v>57538.797171428487</v>
      </c>
      <c r="AM119" s="7">
        <f t="shared" ca="1" si="57"/>
        <v>59264.96108657134</v>
      </c>
    </row>
    <row r="120" spans="1:39" x14ac:dyDescent="0.2">
      <c r="A120" s="3" t="s">
        <v>25</v>
      </c>
      <c r="C120" s="7">
        <f t="shared" ref="C120:AM120" ca="1" si="58">C117*VLOOKUP($A115,AssVar,3,FALSE)</f>
        <v>0</v>
      </c>
      <c r="D120" s="7">
        <f t="shared" ca="1" si="58"/>
        <v>0</v>
      </c>
      <c r="E120" s="7">
        <f t="shared" ca="1" si="58"/>
        <v>0</v>
      </c>
      <c r="F120" s="7">
        <f t="shared" ca="1" si="58"/>
        <v>0</v>
      </c>
      <c r="G120" s="7">
        <f t="shared" ca="1" si="58"/>
        <v>0</v>
      </c>
      <c r="H120" s="7">
        <f t="shared" ca="1" si="58"/>
        <v>0</v>
      </c>
      <c r="I120" s="7">
        <f t="shared" ca="1" si="58"/>
        <v>0</v>
      </c>
      <c r="J120" s="7">
        <f t="shared" ca="1" si="58"/>
        <v>0</v>
      </c>
      <c r="K120" s="7">
        <f t="shared" ca="1" si="58"/>
        <v>0</v>
      </c>
      <c r="L120" s="7">
        <f t="shared" ca="1" si="58"/>
        <v>0</v>
      </c>
      <c r="M120" s="7">
        <f t="shared" ca="1" si="58"/>
        <v>0</v>
      </c>
      <c r="N120" s="7">
        <f t="shared" ca="1" si="58"/>
        <v>0</v>
      </c>
      <c r="O120" s="7">
        <f t="shared" ca="1" si="58"/>
        <v>0</v>
      </c>
      <c r="P120" s="7">
        <f t="shared" ca="1" si="58"/>
        <v>0</v>
      </c>
      <c r="Q120" s="7">
        <f t="shared" ca="1" si="58"/>
        <v>0</v>
      </c>
      <c r="R120" s="7">
        <f t="shared" ca="1" si="58"/>
        <v>0</v>
      </c>
      <c r="S120" s="7">
        <f t="shared" ca="1" si="58"/>
        <v>0</v>
      </c>
      <c r="T120" s="7">
        <f t="shared" ca="1" si="58"/>
        <v>0</v>
      </c>
      <c r="U120" s="7">
        <f t="shared" ca="1" si="58"/>
        <v>0</v>
      </c>
      <c r="V120" s="7">
        <f t="shared" ca="1" si="58"/>
        <v>0</v>
      </c>
      <c r="W120" s="7">
        <f t="shared" ca="1" si="58"/>
        <v>0</v>
      </c>
      <c r="X120" s="7">
        <f t="shared" ca="1" si="58"/>
        <v>0</v>
      </c>
      <c r="Y120" s="7">
        <f t="shared" ca="1" si="58"/>
        <v>0</v>
      </c>
      <c r="Z120" s="7">
        <f t="shared" ca="1" si="58"/>
        <v>0</v>
      </c>
      <c r="AA120" s="7">
        <f t="shared" ca="1" si="58"/>
        <v>0</v>
      </c>
      <c r="AB120" s="7">
        <f t="shared" ca="1" si="58"/>
        <v>0</v>
      </c>
      <c r="AC120" s="7">
        <f t="shared" ca="1" si="58"/>
        <v>0</v>
      </c>
      <c r="AD120" s="7">
        <f t="shared" ca="1" si="58"/>
        <v>0</v>
      </c>
      <c r="AE120" s="7">
        <f t="shared" ca="1" si="58"/>
        <v>0</v>
      </c>
      <c r="AF120" s="7">
        <f t="shared" ca="1" si="58"/>
        <v>0</v>
      </c>
      <c r="AG120" s="7">
        <f t="shared" ca="1" si="58"/>
        <v>0</v>
      </c>
      <c r="AH120" s="7">
        <f t="shared" ca="1" si="58"/>
        <v>0</v>
      </c>
      <c r="AI120" s="7">
        <f t="shared" ca="1" si="58"/>
        <v>0</v>
      </c>
      <c r="AJ120" s="7">
        <f t="shared" ca="1" si="58"/>
        <v>0</v>
      </c>
      <c r="AK120" s="7">
        <f t="shared" ca="1" si="58"/>
        <v>0</v>
      </c>
      <c r="AL120" s="7">
        <f t="shared" ca="1" si="58"/>
        <v>0</v>
      </c>
      <c r="AM120" s="7">
        <f t="shared" si="58"/>
        <v>0</v>
      </c>
    </row>
    <row r="121" spans="1:39" x14ac:dyDescent="0.2">
      <c r="A121" s="3" t="s">
        <v>30</v>
      </c>
      <c r="C121" s="7">
        <f t="shared" ref="C121:AM121" ca="1" si="59">IFERROR(-IF(C116=0,VLOOKUP($A115,$8:$12,C$1+2,FALSE),0),0)</f>
        <v>0</v>
      </c>
      <c r="D121" s="7">
        <f t="shared" ca="1" si="59"/>
        <v>0</v>
      </c>
      <c r="E121" s="7">
        <f t="shared" ca="1" si="59"/>
        <v>0</v>
      </c>
      <c r="F121" s="7">
        <f t="shared" ca="1" si="59"/>
        <v>0</v>
      </c>
      <c r="G121" s="7">
        <f t="shared" ca="1" si="59"/>
        <v>0</v>
      </c>
      <c r="H121" s="7">
        <f t="shared" ca="1" si="59"/>
        <v>0</v>
      </c>
      <c r="I121" s="7">
        <f t="shared" ca="1" si="59"/>
        <v>0</v>
      </c>
      <c r="J121" s="7">
        <f t="shared" ca="1" si="59"/>
        <v>0</v>
      </c>
      <c r="K121" s="7">
        <f t="shared" ca="1" si="59"/>
        <v>0</v>
      </c>
      <c r="L121" s="7">
        <f t="shared" ca="1" si="59"/>
        <v>0</v>
      </c>
      <c r="M121" s="7">
        <f t="shared" ca="1" si="59"/>
        <v>0</v>
      </c>
      <c r="N121" s="7">
        <f t="shared" ca="1" si="59"/>
        <v>0</v>
      </c>
      <c r="O121" s="7">
        <f t="shared" ca="1" si="59"/>
        <v>0</v>
      </c>
      <c r="P121" s="7">
        <f t="shared" ca="1" si="59"/>
        <v>0</v>
      </c>
      <c r="Q121" s="7">
        <f t="shared" ca="1" si="59"/>
        <v>0</v>
      </c>
      <c r="R121" s="7">
        <f t="shared" ca="1" si="59"/>
        <v>0</v>
      </c>
      <c r="S121" s="7">
        <f t="shared" ca="1" si="59"/>
        <v>0</v>
      </c>
      <c r="T121" s="7">
        <f t="shared" ca="1" si="59"/>
        <v>0</v>
      </c>
      <c r="U121" s="7">
        <f t="shared" ca="1" si="59"/>
        <v>0</v>
      </c>
      <c r="V121" s="7">
        <f t="shared" ca="1" si="59"/>
        <v>0</v>
      </c>
      <c r="W121" s="7">
        <f t="shared" ca="1" si="59"/>
        <v>0</v>
      </c>
      <c r="X121" s="7">
        <f t="shared" ca="1" si="59"/>
        <v>0</v>
      </c>
      <c r="Y121" s="7">
        <f t="shared" ca="1" si="59"/>
        <v>0</v>
      </c>
      <c r="Z121" s="7">
        <f t="shared" ca="1" si="59"/>
        <v>0</v>
      </c>
      <c r="AA121" s="7">
        <f t="shared" ca="1" si="59"/>
        <v>0</v>
      </c>
      <c r="AB121" s="7">
        <f t="shared" ca="1" si="59"/>
        <v>0</v>
      </c>
      <c r="AC121" s="7">
        <f t="shared" ca="1" si="59"/>
        <v>0</v>
      </c>
      <c r="AD121" s="7">
        <f t="shared" ca="1" si="59"/>
        <v>0</v>
      </c>
      <c r="AE121" s="7">
        <f t="shared" ca="1" si="59"/>
        <v>0</v>
      </c>
      <c r="AF121" s="7">
        <f t="shared" ca="1" si="59"/>
        <v>0</v>
      </c>
      <c r="AG121" s="7">
        <f t="shared" ca="1" si="59"/>
        <v>0</v>
      </c>
      <c r="AH121" s="7">
        <f t="shared" ca="1" si="59"/>
        <v>0</v>
      </c>
      <c r="AI121" s="7">
        <f t="shared" ca="1" si="59"/>
        <v>0</v>
      </c>
      <c r="AJ121" s="7">
        <f t="shared" ca="1" si="59"/>
        <v>0</v>
      </c>
      <c r="AK121" s="7">
        <f t="shared" ca="1" si="59"/>
        <v>0</v>
      </c>
      <c r="AL121" s="7">
        <f t="shared" ca="1" si="59"/>
        <v>0</v>
      </c>
      <c r="AM121" s="7">
        <f t="shared" ca="1" si="59"/>
        <v>0</v>
      </c>
    </row>
    <row r="122" spans="1:39" x14ac:dyDescent="0.2">
      <c r="A122" s="3" t="s">
        <v>49</v>
      </c>
      <c r="C122" s="7">
        <f t="shared" ref="C122:AM122" ca="1" si="60">IFERROR(IF(C116=0,VLOOKUP($A115,$46:$50,C$1+2,FALSE),0),0)</f>
        <v>0</v>
      </c>
      <c r="D122" s="7">
        <f t="shared" ca="1" si="60"/>
        <v>0</v>
      </c>
      <c r="E122" s="7">
        <f t="shared" ca="1" si="60"/>
        <v>0</v>
      </c>
      <c r="F122" s="7">
        <f t="shared" ca="1" si="60"/>
        <v>0</v>
      </c>
      <c r="G122" s="7">
        <f t="shared" ca="1" si="60"/>
        <v>0</v>
      </c>
      <c r="H122" s="7">
        <f t="shared" ca="1" si="60"/>
        <v>0</v>
      </c>
      <c r="I122" s="7">
        <f t="shared" ca="1" si="60"/>
        <v>0</v>
      </c>
      <c r="J122" s="7">
        <f t="shared" ca="1" si="60"/>
        <v>0</v>
      </c>
      <c r="K122" s="7">
        <f t="shared" ca="1" si="60"/>
        <v>0</v>
      </c>
      <c r="L122" s="7">
        <f t="shared" ca="1" si="60"/>
        <v>0</v>
      </c>
      <c r="M122" s="7">
        <f t="shared" ca="1" si="60"/>
        <v>0</v>
      </c>
      <c r="N122" s="7">
        <f t="shared" ca="1" si="60"/>
        <v>0</v>
      </c>
      <c r="O122" s="7">
        <f t="shared" ca="1" si="60"/>
        <v>0</v>
      </c>
      <c r="P122" s="7">
        <f t="shared" ca="1" si="60"/>
        <v>0</v>
      </c>
      <c r="Q122" s="7">
        <f t="shared" ca="1" si="60"/>
        <v>0</v>
      </c>
      <c r="R122" s="7">
        <f t="shared" ca="1" si="60"/>
        <v>0</v>
      </c>
      <c r="S122" s="7">
        <f t="shared" ca="1" si="60"/>
        <v>0</v>
      </c>
      <c r="T122" s="7">
        <f t="shared" ca="1" si="60"/>
        <v>0</v>
      </c>
      <c r="U122" s="7">
        <f t="shared" ca="1" si="60"/>
        <v>0</v>
      </c>
      <c r="V122" s="7">
        <f t="shared" ca="1" si="60"/>
        <v>0</v>
      </c>
      <c r="W122" s="7">
        <f t="shared" ca="1" si="60"/>
        <v>0</v>
      </c>
      <c r="X122" s="7">
        <f t="shared" ca="1" si="60"/>
        <v>0</v>
      </c>
      <c r="Y122" s="7">
        <f t="shared" ca="1" si="60"/>
        <v>0</v>
      </c>
      <c r="Z122" s="7">
        <f t="shared" ca="1" si="60"/>
        <v>0</v>
      </c>
      <c r="AA122" s="7">
        <f t="shared" ca="1" si="60"/>
        <v>0</v>
      </c>
      <c r="AB122" s="7">
        <f t="shared" ca="1" si="60"/>
        <v>0</v>
      </c>
      <c r="AC122" s="7">
        <f t="shared" ca="1" si="60"/>
        <v>0</v>
      </c>
      <c r="AD122" s="7">
        <f t="shared" ca="1" si="60"/>
        <v>0</v>
      </c>
      <c r="AE122" s="7">
        <f t="shared" ca="1" si="60"/>
        <v>0</v>
      </c>
      <c r="AF122" s="7">
        <f t="shared" ca="1" si="60"/>
        <v>0</v>
      </c>
      <c r="AG122" s="7">
        <f t="shared" ca="1" si="60"/>
        <v>0</v>
      </c>
      <c r="AH122" s="7">
        <f t="shared" ca="1" si="60"/>
        <v>0</v>
      </c>
      <c r="AI122" s="7">
        <f t="shared" ca="1" si="60"/>
        <v>0</v>
      </c>
      <c r="AJ122" s="7">
        <f t="shared" ca="1" si="60"/>
        <v>0</v>
      </c>
      <c r="AK122" s="7">
        <f t="shared" ca="1" si="60"/>
        <v>0</v>
      </c>
      <c r="AL122" s="7">
        <f t="shared" ca="1" si="60"/>
        <v>0</v>
      </c>
      <c r="AM122" s="7">
        <f t="shared" ca="1" si="60"/>
        <v>0</v>
      </c>
    </row>
    <row r="123" spans="1:39" x14ac:dyDescent="0.2">
      <c r="A123" s="3" t="s">
        <v>35</v>
      </c>
      <c r="B123" s="14" t="str">
        <f>A115</f>
        <v>Painting</v>
      </c>
      <c r="C123" s="7">
        <f t="shared" ref="C123:AM123" ca="1" si="61">IF(AND(C116&gt;0,C119=0),VLOOKUP($A115,$86:$95,C$1+2,FALSE),0)</f>
        <v>0</v>
      </c>
      <c r="D123" s="7">
        <f t="shared" ca="1" si="61"/>
        <v>0</v>
      </c>
      <c r="E123" s="7">
        <f t="shared" ca="1" si="61"/>
        <v>0</v>
      </c>
      <c r="F123" s="7">
        <f t="shared" ca="1" si="61"/>
        <v>0</v>
      </c>
      <c r="G123" s="7">
        <f t="shared" ca="1" si="61"/>
        <v>0</v>
      </c>
      <c r="H123" s="7">
        <f t="shared" ca="1" si="61"/>
        <v>0</v>
      </c>
      <c r="I123" s="7">
        <f t="shared" ca="1" si="61"/>
        <v>0</v>
      </c>
      <c r="J123" s="7">
        <f t="shared" ca="1" si="61"/>
        <v>0</v>
      </c>
      <c r="K123" s="7">
        <f t="shared" ca="1" si="61"/>
        <v>0</v>
      </c>
      <c r="L123" s="7">
        <f t="shared" ca="1" si="61"/>
        <v>0</v>
      </c>
      <c r="M123" s="7">
        <f t="shared" ca="1" si="61"/>
        <v>0</v>
      </c>
      <c r="N123" s="7">
        <f t="shared" ca="1" si="61"/>
        <v>0</v>
      </c>
      <c r="O123" s="7">
        <f t="shared" ca="1" si="61"/>
        <v>0</v>
      </c>
      <c r="P123" s="7">
        <f t="shared" ca="1" si="61"/>
        <v>0</v>
      </c>
      <c r="Q123" s="7">
        <f t="shared" ca="1" si="61"/>
        <v>0</v>
      </c>
      <c r="R123" s="7">
        <f t="shared" ca="1" si="61"/>
        <v>0</v>
      </c>
      <c r="S123" s="7">
        <f t="shared" ca="1" si="61"/>
        <v>0</v>
      </c>
      <c r="T123" s="7">
        <f t="shared" ca="1" si="61"/>
        <v>0</v>
      </c>
      <c r="U123" s="7">
        <f t="shared" ca="1" si="61"/>
        <v>0</v>
      </c>
      <c r="V123" s="7">
        <f t="shared" ca="1" si="61"/>
        <v>0</v>
      </c>
      <c r="W123" s="7">
        <f t="shared" ca="1" si="61"/>
        <v>0</v>
      </c>
      <c r="X123" s="7">
        <f t="shared" ca="1" si="61"/>
        <v>0</v>
      </c>
      <c r="Y123" s="7">
        <f t="shared" ca="1" si="61"/>
        <v>0</v>
      </c>
      <c r="Z123" s="7">
        <f t="shared" ca="1" si="61"/>
        <v>0</v>
      </c>
      <c r="AA123" s="7">
        <f t="shared" ca="1" si="61"/>
        <v>0</v>
      </c>
      <c r="AB123" s="7">
        <f t="shared" ca="1" si="61"/>
        <v>0</v>
      </c>
      <c r="AC123" s="7">
        <f t="shared" ca="1" si="61"/>
        <v>0</v>
      </c>
      <c r="AD123" s="7">
        <f t="shared" ca="1" si="61"/>
        <v>0</v>
      </c>
      <c r="AE123" s="7">
        <f t="shared" ca="1" si="61"/>
        <v>0</v>
      </c>
      <c r="AF123" s="7">
        <f t="shared" ca="1" si="61"/>
        <v>0</v>
      </c>
      <c r="AG123" s="7">
        <f t="shared" ca="1" si="61"/>
        <v>0</v>
      </c>
      <c r="AH123" s="7">
        <f t="shared" ca="1" si="61"/>
        <v>0</v>
      </c>
      <c r="AI123" s="7">
        <f t="shared" ca="1" si="61"/>
        <v>0</v>
      </c>
      <c r="AJ123" s="7">
        <f t="shared" ca="1" si="61"/>
        <v>0</v>
      </c>
      <c r="AK123" s="7">
        <f t="shared" ca="1" si="61"/>
        <v>0</v>
      </c>
      <c r="AL123" s="7">
        <f t="shared" ca="1" si="61"/>
        <v>0</v>
      </c>
      <c r="AM123" s="7">
        <f t="shared" ca="1" si="61"/>
        <v>0</v>
      </c>
    </row>
    <row r="124" spans="1:39" x14ac:dyDescent="0.2">
      <c r="A124" s="3" t="s">
        <v>36</v>
      </c>
      <c r="C124" s="7">
        <f ca="1">-C117+SUM(C120:C123)</f>
        <v>0</v>
      </c>
      <c r="D124" s="7">
        <f t="shared" ref="D124" ca="1" si="62">-D117+SUM(D120:D123)</f>
        <v>0</v>
      </c>
      <c r="E124" s="7">
        <f t="shared" ref="E124:AM124" ca="1" si="63">-E117+SUM(E120:E123)</f>
        <v>0</v>
      </c>
      <c r="F124" s="7">
        <f t="shared" ca="1" si="63"/>
        <v>0</v>
      </c>
      <c r="G124" s="7">
        <f t="shared" ca="1" si="63"/>
        <v>0</v>
      </c>
      <c r="H124" s="7">
        <f t="shared" ca="1" si="63"/>
        <v>0</v>
      </c>
      <c r="I124" s="7">
        <f t="shared" ca="1" si="63"/>
        <v>0</v>
      </c>
      <c r="J124" s="7">
        <f t="shared" ca="1" si="63"/>
        <v>0</v>
      </c>
      <c r="K124" s="7">
        <f t="shared" ca="1" si="63"/>
        <v>0</v>
      </c>
      <c r="L124" s="7">
        <f t="shared" ca="1" si="63"/>
        <v>0</v>
      </c>
      <c r="M124" s="7">
        <f t="shared" ca="1" si="63"/>
        <v>0</v>
      </c>
      <c r="N124" s="7">
        <f t="shared" ca="1" si="63"/>
        <v>0</v>
      </c>
      <c r="O124" s="7">
        <f t="shared" ca="1" si="63"/>
        <v>0</v>
      </c>
      <c r="P124" s="7">
        <f t="shared" ca="1" si="63"/>
        <v>0</v>
      </c>
      <c r="Q124" s="7">
        <f t="shared" ca="1" si="63"/>
        <v>0</v>
      </c>
      <c r="R124" s="7">
        <f t="shared" ca="1" si="63"/>
        <v>0</v>
      </c>
      <c r="S124" s="7">
        <f t="shared" ca="1" si="63"/>
        <v>0</v>
      </c>
      <c r="T124" s="7">
        <f t="shared" ca="1" si="63"/>
        <v>0</v>
      </c>
      <c r="U124" s="7">
        <f t="shared" ca="1" si="63"/>
        <v>0</v>
      </c>
      <c r="V124" s="7">
        <f t="shared" ca="1" si="63"/>
        <v>0</v>
      </c>
      <c r="W124" s="7">
        <f t="shared" ca="1" si="63"/>
        <v>0</v>
      </c>
      <c r="X124" s="7">
        <f t="shared" ca="1" si="63"/>
        <v>0</v>
      </c>
      <c r="Y124" s="7">
        <f t="shared" ca="1" si="63"/>
        <v>0</v>
      </c>
      <c r="Z124" s="7">
        <f t="shared" ca="1" si="63"/>
        <v>0</v>
      </c>
      <c r="AA124" s="7">
        <f t="shared" ca="1" si="63"/>
        <v>0</v>
      </c>
      <c r="AB124" s="7">
        <f t="shared" ca="1" si="63"/>
        <v>0</v>
      </c>
      <c r="AC124" s="7">
        <f t="shared" ca="1" si="63"/>
        <v>0</v>
      </c>
      <c r="AD124" s="7">
        <f t="shared" ca="1" si="63"/>
        <v>0</v>
      </c>
      <c r="AE124" s="7">
        <f t="shared" ca="1" si="63"/>
        <v>0</v>
      </c>
      <c r="AF124" s="7">
        <f t="shared" ca="1" si="63"/>
        <v>0</v>
      </c>
      <c r="AG124" s="7">
        <f t="shared" ca="1" si="63"/>
        <v>0</v>
      </c>
      <c r="AH124" s="7">
        <f t="shared" ca="1" si="63"/>
        <v>0</v>
      </c>
      <c r="AI124" s="7">
        <f t="shared" ca="1" si="63"/>
        <v>0</v>
      </c>
      <c r="AJ124" s="7">
        <f t="shared" ca="1" si="63"/>
        <v>0</v>
      </c>
      <c r="AK124" s="7">
        <f t="shared" ca="1" si="63"/>
        <v>0</v>
      </c>
      <c r="AL124" s="7">
        <f t="shared" ca="1" si="63"/>
        <v>0</v>
      </c>
      <c r="AM124" s="7">
        <f t="shared" ca="1" si="63"/>
        <v>0</v>
      </c>
    </row>
    <row r="125" spans="1:39" x14ac:dyDescent="0.2">
      <c r="A125" s="3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  <c r="AC125" s="7"/>
      <c r="AD125" s="7"/>
      <c r="AE125" s="7"/>
      <c r="AF125" s="7"/>
      <c r="AG125" s="7"/>
      <c r="AH125" s="7"/>
      <c r="AI125" s="7"/>
      <c r="AJ125" s="7"/>
      <c r="AK125" s="7"/>
      <c r="AL125" s="7"/>
      <c r="AM125" s="7"/>
    </row>
    <row r="126" spans="1:39" x14ac:dyDescent="0.2">
      <c r="A126" s="3" t="s">
        <v>70</v>
      </c>
      <c r="C126" s="7">
        <f ca="1">C112+SUM($C124:C124)</f>
        <v>12919.0625</v>
      </c>
      <c r="D126" s="7">
        <f ca="1">D112+SUM($C124:D124)</f>
        <v>22490.535937499997</v>
      </c>
      <c r="E126" s="7">
        <f ca="1">E112+SUM($C124:E124)</f>
        <v>38207.499804687497</v>
      </c>
      <c r="F126" s="7">
        <f ca="1">F112+SUM($C124:F124)</f>
        <v>35714.080452231734</v>
      </c>
      <c r="G126" s="7">
        <f ca="1">G112+SUM($C124:G124)</f>
        <v>229276.11396248138</v>
      </c>
      <c r="H126" s="7">
        <f ca="1">H112+SUM($C124:H124)</f>
        <v>271025.81800930644</v>
      </c>
      <c r="I126" s="7">
        <f ca="1">I112+SUM($C124:I124)</f>
        <v>332892.09672247234</v>
      </c>
      <c r="J126" s="7">
        <f ca="1">J112+SUM($C124:J124)</f>
        <v>399181.31879998074</v>
      </c>
      <c r="K126" s="7">
        <f ca="1">K112+SUM($C124:K124)</f>
        <v>452080.69175229734</v>
      </c>
      <c r="L126" s="7">
        <f ca="1">L112+SUM($C124:L124)</f>
        <v>591897.59165074176</v>
      </c>
      <c r="M126" s="7">
        <f ca="1">M112+SUM($C124:M124)</f>
        <v>643438.66125641076</v>
      </c>
      <c r="N126" s="7">
        <f ca="1">N112+SUM($C124:N124)</f>
        <v>748500.49246398674</v>
      </c>
      <c r="O126" s="7">
        <f ca="1">O112+SUM($C124:O124)</f>
        <v>859267.05744988273</v>
      </c>
      <c r="P126" s="7">
        <f ca="1">P112+SUM($C124:P124)</f>
        <v>975981.2911249469</v>
      </c>
      <c r="Q126" s="7">
        <f ca="1">Q112+SUM($C124:Q124)</f>
        <v>1098895.4105429514</v>
      </c>
      <c r="R126" s="7">
        <f ca="1">R112+SUM($C124:R124)</f>
        <v>1228271.248199099</v>
      </c>
      <c r="S126" s="7">
        <f ca="1">S112+SUM($C124:S124)</f>
        <v>1364380.5968228865</v>
      </c>
      <c r="T126" s="7">
        <f ca="1">T112+SUM($C124:T124)</f>
        <v>1402527.6236677105</v>
      </c>
      <c r="U126" s="7">
        <f ca="1">U112+SUM($C124:U124)</f>
        <v>1449854.2259580824</v>
      </c>
      <c r="V126" s="7">
        <f ca="1">V112+SUM($C124:V124)</f>
        <v>1498907.5815076504</v>
      </c>
      <c r="W126" s="7">
        <f ca="1">W112+SUM($C124:W124)</f>
        <v>1549752.4964402271</v>
      </c>
      <c r="X126" s="7">
        <f ca="1">X112+SUM($C124:X124)</f>
        <v>1602456.179392647</v>
      </c>
      <c r="Y126" s="7">
        <f ca="1">Y112+SUM($C124:Y124)</f>
        <v>1636171.2358988209</v>
      </c>
      <c r="Z126" s="7">
        <f ca="1">Z112+SUM($C124:Z124)</f>
        <v>1670841.1811310996</v>
      </c>
      <c r="AA126" s="7">
        <f ca="1">AA112+SUM($C124:AA124)</f>
        <v>1706501.7452458595</v>
      </c>
      <c r="AB126" s="7">
        <f ca="1">AB112+SUM($C124:AB124)</f>
        <v>1743190.1198307537</v>
      </c>
      <c r="AC126" s="7">
        <f ca="1">AC112+SUM($C124:AC124)</f>
        <v>1780945.016796795</v>
      </c>
      <c r="AD126" s="7">
        <f ca="1">AD112+SUM($C124:AD124)</f>
        <v>1819806.7295462058</v>
      </c>
      <c r="AE126" s="7">
        <f ca="1">AE112+SUM($C124:AE124)</f>
        <v>1869924.4525328081</v>
      </c>
      <c r="AF126" s="7">
        <f ca="1">AF112+SUM($C124:AF124)</f>
        <v>1921739.9419416173</v>
      </c>
      <c r="AG126" s="7">
        <f ca="1">AG112+SUM($C124:AG124)</f>
        <v>1975317.5778012427</v>
      </c>
      <c r="AH126" s="7">
        <f ca="1">AH112+SUM($C124:AH124)</f>
        <v>2030724.2224962406</v>
      </c>
      <c r="AI126" s="7">
        <f ca="1">AI112+SUM($C124:AI124)</f>
        <v>2088029.314381151</v>
      </c>
      <c r="AJ126" s="7">
        <f ca="1">AJ112+SUM($C124:AJ124)</f>
        <v>2147304.9648157731</v>
      </c>
      <c r="AK126" s="7">
        <f ca="1">AK112+SUM($C124:AK124)</f>
        <v>2208626.0587430005</v>
      </c>
      <c r="AL126" s="7">
        <f ca="1">AL112+SUM($C124:AL124)</f>
        <v>2272070.3589347131</v>
      </c>
      <c r="AM126" s="7">
        <f ca="1">AM112+SUM($C124:AM124)</f>
        <v>2337718.614035564</v>
      </c>
    </row>
    <row r="127" spans="1:39" x14ac:dyDescent="0.2">
      <c r="A127" s="3" t="s">
        <v>67</v>
      </c>
      <c r="C127" s="7">
        <f t="shared" ref="C127:AM127" ca="1" si="64">MAX(C126+buffer,0)-MAX(C$112+buffer,0)</f>
        <v>0</v>
      </c>
      <c r="D127" s="7">
        <f t="shared" ca="1" si="64"/>
        <v>0</v>
      </c>
      <c r="E127" s="7">
        <f t="shared" ca="1" si="64"/>
        <v>0</v>
      </c>
      <c r="F127" s="7">
        <f t="shared" ca="1" si="64"/>
        <v>0</v>
      </c>
      <c r="G127" s="7">
        <f t="shared" ca="1" si="64"/>
        <v>0</v>
      </c>
      <c r="H127" s="7">
        <f t="shared" ca="1" si="64"/>
        <v>0</v>
      </c>
      <c r="I127" s="7">
        <f t="shared" ca="1" si="64"/>
        <v>0</v>
      </c>
      <c r="J127" s="7">
        <f t="shared" ca="1" si="64"/>
        <v>0</v>
      </c>
      <c r="K127" s="7">
        <f t="shared" ca="1" si="64"/>
        <v>0</v>
      </c>
      <c r="L127" s="7">
        <f t="shared" ca="1" si="64"/>
        <v>0</v>
      </c>
      <c r="M127" s="7">
        <f t="shared" ca="1" si="64"/>
        <v>0</v>
      </c>
      <c r="N127" s="7">
        <f t="shared" ca="1" si="64"/>
        <v>0</v>
      </c>
      <c r="O127" s="7">
        <f t="shared" ca="1" si="64"/>
        <v>0</v>
      </c>
      <c r="P127" s="7">
        <f t="shared" ca="1" si="64"/>
        <v>0</v>
      </c>
      <c r="Q127" s="7">
        <f t="shared" ca="1" si="64"/>
        <v>0</v>
      </c>
      <c r="R127" s="7">
        <f t="shared" ca="1" si="64"/>
        <v>0</v>
      </c>
      <c r="S127" s="7">
        <f t="shared" ca="1" si="64"/>
        <v>0</v>
      </c>
      <c r="T127" s="7">
        <f t="shared" ca="1" si="64"/>
        <v>0</v>
      </c>
      <c r="U127" s="7">
        <f t="shared" ca="1" si="64"/>
        <v>0</v>
      </c>
      <c r="V127" s="7">
        <f t="shared" ca="1" si="64"/>
        <v>0</v>
      </c>
      <c r="W127" s="7">
        <f t="shared" ca="1" si="64"/>
        <v>0</v>
      </c>
      <c r="X127" s="7">
        <f t="shared" ca="1" si="64"/>
        <v>0</v>
      </c>
      <c r="Y127" s="7">
        <f t="shared" ca="1" si="64"/>
        <v>0</v>
      </c>
      <c r="Z127" s="7">
        <f t="shared" ca="1" si="64"/>
        <v>0</v>
      </c>
      <c r="AA127" s="7">
        <f t="shared" ca="1" si="64"/>
        <v>0</v>
      </c>
      <c r="AB127" s="7">
        <f t="shared" ca="1" si="64"/>
        <v>0</v>
      </c>
      <c r="AC127" s="7">
        <f t="shared" ca="1" si="64"/>
        <v>0</v>
      </c>
      <c r="AD127" s="7">
        <f t="shared" ca="1" si="64"/>
        <v>0</v>
      </c>
      <c r="AE127" s="7">
        <f t="shared" ca="1" si="64"/>
        <v>0</v>
      </c>
      <c r="AF127" s="7">
        <f t="shared" ca="1" si="64"/>
        <v>0</v>
      </c>
      <c r="AG127" s="7">
        <f t="shared" ca="1" si="64"/>
        <v>0</v>
      </c>
      <c r="AH127" s="7">
        <f t="shared" ca="1" si="64"/>
        <v>0</v>
      </c>
      <c r="AI127" s="7">
        <f t="shared" ca="1" si="64"/>
        <v>0</v>
      </c>
      <c r="AJ127" s="7">
        <f t="shared" ca="1" si="64"/>
        <v>0</v>
      </c>
      <c r="AK127" s="7">
        <f t="shared" ca="1" si="64"/>
        <v>0</v>
      </c>
      <c r="AL127" s="7">
        <f t="shared" ca="1" si="64"/>
        <v>0</v>
      </c>
      <c r="AM127" s="7">
        <f t="shared" ca="1" si="64"/>
        <v>0</v>
      </c>
    </row>
    <row r="128" spans="1:39" x14ac:dyDescent="0.2">
      <c r="A128" s="3" t="s">
        <v>68</v>
      </c>
      <c r="C128" s="7">
        <f ca="1">C127*Inputs!$B$270</f>
        <v>0</v>
      </c>
      <c r="D128" s="7">
        <f ca="1">D127*Inputs!$B$270</f>
        <v>0</v>
      </c>
      <c r="E128" s="7">
        <f ca="1">E127*Inputs!$B$270</f>
        <v>0</v>
      </c>
      <c r="F128" s="7">
        <f ca="1">F127*Inputs!$B$270</f>
        <v>0</v>
      </c>
      <c r="G128" s="7">
        <f ca="1">G127*Inputs!$B$270</f>
        <v>0</v>
      </c>
      <c r="H128" s="7">
        <f ca="1">H127*Inputs!$B$270</f>
        <v>0</v>
      </c>
      <c r="I128" s="7">
        <f ca="1">I127*Inputs!$B$270</f>
        <v>0</v>
      </c>
      <c r="J128" s="7">
        <f ca="1">J127*Inputs!$B$270</f>
        <v>0</v>
      </c>
      <c r="K128" s="7">
        <f ca="1">K127*Inputs!$B$270</f>
        <v>0</v>
      </c>
      <c r="L128" s="7">
        <f ca="1">L127*Inputs!$B$270</f>
        <v>0</v>
      </c>
      <c r="M128" s="7">
        <f ca="1">M127*Inputs!$B$270</f>
        <v>0</v>
      </c>
      <c r="N128" s="7">
        <f ca="1">N127*Inputs!$B$270</f>
        <v>0</v>
      </c>
      <c r="O128" s="7">
        <f ca="1">O127*Inputs!$B$270</f>
        <v>0</v>
      </c>
      <c r="P128" s="7">
        <f ca="1">P127*Inputs!$B$270</f>
        <v>0</v>
      </c>
      <c r="Q128" s="7">
        <f ca="1">Q127*Inputs!$B$270</f>
        <v>0</v>
      </c>
      <c r="R128" s="7">
        <f ca="1">R127*Inputs!$B$270</f>
        <v>0</v>
      </c>
      <c r="S128" s="7">
        <f ca="1">S127*Inputs!$B$270</f>
        <v>0</v>
      </c>
      <c r="T128" s="7">
        <f ca="1">T127*Inputs!$B$270</f>
        <v>0</v>
      </c>
      <c r="U128" s="7">
        <f ca="1">U127*Inputs!$B$270</f>
        <v>0</v>
      </c>
      <c r="V128" s="7">
        <f ca="1">V127*Inputs!$B$270</f>
        <v>0</v>
      </c>
      <c r="W128" s="7">
        <f ca="1">W127*Inputs!$B$270</f>
        <v>0</v>
      </c>
      <c r="X128" s="7">
        <f ca="1">X127*Inputs!$B$270</f>
        <v>0</v>
      </c>
      <c r="Y128" s="7">
        <f ca="1">Y127*Inputs!$B$270</f>
        <v>0</v>
      </c>
      <c r="Z128" s="7">
        <f ca="1">Z127*Inputs!$B$270</f>
        <v>0</v>
      </c>
      <c r="AA128" s="7">
        <f ca="1">AA127*Inputs!$B$270</f>
        <v>0</v>
      </c>
      <c r="AB128" s="7">
        <f ca="1">AB127*Inputs!$B$270</f>
        <v>0</v>
      </c>
      <c r="AC128" s="7">
        <f ca="1">AC127*Inputs!$B$270</f>
        <v>0</v>
      </c>
      <c r="AD128" s="7">
        <f ca="1">AD127*Inputs!$B$270</f>
        <v>0</v>
      </c>
      <c r="AE128" s="7">
        <f ca="1">AE127*Inputs!$B$270</f>
        <v>0</v>
      </c>
      <c r="AF128" s="7">
        <f ca="1">AF127*Inputs!$B$270</f>
        <v>0</v>
      </c>
      <c r="AG128" s="7">
        <f ca="1">AG127*Inputs!$B$270</f>
        <v>0</v>
      </c>
      <c r="AH128" s="7">
        <f ca="1">AH127*Inputs!$B$270</f>
        <v>0</v>
      </c>
      <c r="AI128" s="7">
        <f ca="1">AI127*Inputs!$B$270</f>
        <v>0</v>
      </c>
      <c r="AJ128" s="7">
        <f ca="1">AJ127*Inputs!$B$270</f>
        <v>0</v>
      </c>
      <c r="AK128" s="7">
        <f ca="1">AK127*Inputs!$B$270</f>
        <v>0</v>
      </c>
      <c r="AL128" s="7">
        <f ca="1">AL127*Inputs!$B$270</f>
        <v>0</v>
      </c>
      <c r="AM128" s="7">
        <f ca="1">AM127*Inputs!$B$270</f>
        <v>0</v>
      </c>
    </row>
    <row r="129" spans="1:39" x14ac:dyDescent="0.2">
      <c r="A129" s="3" t="s">
        <v>149</v>
      </c>
      <c r="C129" s="7">
        <f ca="1">C126+SUM($C128:C128)</f>
        <v>12919.0625</v>
      </c>
      <c r="D129" s="7">
        <f ca="1">D126+SUM($C128:D128)</f>
        <v>22490.535937499997</v>
      </c>
      <c r="E129" s="7">
        <f ca="1">E126+SUM($C128:E128)</f>
        <v>38207.499804687497</v>
      </c>
      <c r="F129" s="7">
        <f ca="1">F126+SUM($C128:F128)</f>
        <v>35714.080452231734</v>
      </c>
      <c r="G129" s="7">
        <f ca="1">G126+SUM($C128:G128)</f>
        <v>229276.11396248138</v>
      </c>
      <c r="H129" s="7">
        <f ca="1">H126+SUM($C128:H128)</f>
        <v>271025.81800930644</v>
      </c>
      <c r="I129" s="7">
        <f ca="1">I126+SUM($C128:I128)</f>
        <v>332892.09672247234</v>
      </c>
      <c r="J129" s="7">
        <f ca="1">J126+SUM($C128:J128)</f>
        <v>399181.31879998074</v>
      </c>
      <c r="K129" s="7">
        <f ca="1">K126+SUM($C128:K128)</f>
        <v>452080.69175229734</v>
      </c>
      <c r="L129" s="7">
        <f ca="1">L126+SUM($C128:L128)</f>
        <v>591897.59165074176</v>
      </c>
      <c r="M129" s="7">
        <f ca="1">M126+SUM($C128:M128)</f>
        <v>643438.66125641076</v>
      </c>
      <c r="N129" s="7">
        <f ca="1">N126+SUM($C128:N128)</f>
        <v>748500.49246398674</v>
      </c>
      <c r="O129" s="7">
        <f ca="1">O126+SUM($C128:O128)</f>
        <v>859267.05744988273</v>
      </c>
      <c r="P129" s="7">
        <f ca="1">P126+SUM($C128:P128)</f>
        <v>975981.2911249469</v>
      </c>
      <c r="Q129" s="7">
        <f ca="1">Q126+SUM($C128:Q128)</f>
        <v>1098895.4105429514</v>
      </c>
      <c r="R129" s="7">
        <f ca="1">R126+SUM($C128:R128)</f>
        <v>1228271.248199099</v>
      </c>
      <c r="S129" s="7">
        <f ca="1">S126+SUM($C128:S128)</f>
        <v>1364380.5968228865</v>
      </c>
      <c r="T129" s="7">
        <f ca="1">T126+SUM($C128:T128)</f>
        <v>1402527.6236677105</v>
      </c>
      <c r="U129" s="7">
        <f ca="1">U126+SUM($C128:U128)</f>
        <v>1449854.2259580824</v>
      </c>
      <c r="V129" s="7">
        <f ca="1">V126+SUM($C128:V128)</f>
        <v>1498907.5815076504</v>
      </c>
      <c r="W129" s="7">
        <f ca="1">W126+SUM($C128:W128)</f>
        <v>1549752.4964402271</v>
      </c>
      <c r="X129" s="7">
        <f ca="1">X126+SUM($C128:X128)</f>
        <v>1602456.179392647</v>
      </c>
      <c r="Y129" s="7">
        <f ca="1">Y126+SUM($C128:Y128)</f>
        <v>1636171.2358988209</v>
      </c>
      <c r="Z129" s="7">
        <f ca="1">Z126+SUM($C128:Z128)</f>
        <v>1670841.1811310996</v>
      </c>
      <c r="AA129" s="7">
        <f ca="1">AA126+SUM($C128:AA128)</f>
        <v>1706501.7452458595</v>
      </c>
      <c r="AB129" s="7">
        <f ca="1">AB126+SUM($C128:AB128)</f>
        <v>1743190.1198307537</v>
      </c>
      <c r="AC129" s="7">
        <f ca="1">AC126+SUM($C128:AC128)</f>
        <v>1780945.016796795</v>
      </c>
      <c r="AD129" s="7">
        <f ca="1">AD126+SUM($C128:AD128)</f>
        <v>1819806.7295462058</v>
      </c>
      <c r="AE129" s="7">
        <f ca="1">AE126+SUM($C128:AE128)</f>
        <v>1869924.4525328081</v>
      </c>
      <c r="AF129" s="7">
        <f ca="1">AF126+SUM($C128:AF128)</f>
        <v>1921739.9419416173</v>
      </c>
      <c r="AG129" s="7">
        <f ca="1">AG126+SUM($C128:AG128)</f>
        <v>1975317.5778012427</v>
      </c>
      <c r="AH129" s="7">
        <f ca="1">AH126+SUM($C128:AH128)</f>
        <v>2030724.2224962406</v>
      </c>
      <c r="AI129" s="7">
        <f ca="1">AI126+SUM($C128:AI128)</f>
        <v>2088029.314381151</v>
      </c>
      <c r="AJ129" s="7">
        <f ca="1">AJ126+SUM($C128:AJ128)</f>
        <v>2147304.9648157731</v>
      </c>
      <c r="AK129" s="7">
        <f ca="1">AK126+SUM($C128:AK128)</f>
        <v>2208626.0587430005</v>
      </c>
      <c r="AL129" s="7">
        <f ca="1">AL126+SUM($C128:AL128)</f>
        <v>2272070.3589347131</v>
      </c>
      <c r="AM129" s="7">
        <f ca="1">AM126+SUM($C128:AM128)</f>
        <v>2337718.614035564</v>
      </c>
    </row>
    <row r="130" spans="1:39" x14ac:dyDescent="0.2">
      <c r="A130" s="3" t="s">
        <v>19</v>
      </c>
      <c r="C130" s="7">
        <f ca="1">IF(C129&lt;0,-C129,0)</f>
        <v>0</v>
      </c>
      <c r="D130" s="7">
        <f ca="1">IF(D129+SUM($C130:C130)&lt;0,-(D129+SUM($C130:C130)),0)</f>
        <v>0</v>
      </c>
      <c r="E130" s="7">
        <f ca="1">IF(E129+SUM($C130:D130)&lt;0,-(E129+SUM($C130:D130)),0)</f>
        <v>0</v>
      </c>
      <c r="F130" s="7">
        <f ca="1">IF(F129+SUM($C130:E130)&lt;0,-(F129+SUM($C130:E130)),0)</f>
        <v>0</v>
      </c>
      <c r="G130" s="7">
        <f ca="1">IF(G129+SUM($C130:F130)&lt;0,-(G129+SUM($C130:F130)),0)</f>
        <v>0</v>
      </c>
      <c r="H130" s="7">
        <f ca="1">IF(H129+SUM($C130:G130)&lt;0,-(H129+SUM($C130:G130)),0)</f>
        <v>0</v>
      </c>
      <c r="I130" s="7">
        <f ca="1">IF(I129+SUM($C130:H130)&lt;0,-(I129+SUM($C130:H130)),0)</f>
        <v>0</v>
      </c>
      <c r="J130" s="7">
        <f ca="1">IF(J129+SUM($C130:I130)&lt;0,-(J129+SUM($C130:I130)),0)</f>
        <v>0</v>
      </c>
      <c r="K130" s="7">
        <f ca="1">IF(K129+SUM($C130:J130)&lt;0,-(K129+SUM($C130:J130)),0)</f>
        <v>0</v>
      </c>
      <c r="L130" s="7">
        <f ca="1">IF(L129+SUM($C130:K130)&lt;0,-(L129+SUM($C130:K130)),0)</f>
        <v>0</v>
      </c>
      <c r="M130" s="7">
        <f ca="1">IF(M129+SUM($C130:L130)&lt;0,-(M129+SUM($C130:L130)),0)</f>
        <v>0</v>
      </c>
      <c r="N130" s="7">
        <f ca="1">IF(N129+SUM($C130:M130)&lt;0,-(N129+SUM($C130:M130)),0)</f>
        <v>0</v>
      </c>
      <c r="O130" s="7">
        <f ca="1">IF(O129+SUM($C130:N130)&lt;0,-(O129+SUM($C130:N130)),0)</f>
        <v>0</v>
      </c>
      <c r="P130" s="7">
        <f ca="1">IF(P129+SUM($C130:O130)&lt;0,-(P129+SUM($C130:O130)),0)</f>
        <v>0</v>
      </c>
      <c r="Q130" s="7">
        <f ca="1">IF(Q129+SUM($C130:P130)&lt;0,-(Q129+SUM($C130:P130)),0)</f>
        <v>0</v>
      </c>
      <c r="R130" s="7">
        <f ca="1">IF(R129+SUM($C130:Q130)&lt;0,-(R129+SUM($C130:Q130)),0)</f>
        <v>0</v>
      </c>
      <c r="S130" s="7">
        <f ca="1">IF(S129+SUM($C130:R130)&lt;0,-(S129+SUM($C130:R130)),0)</f>
        <v>0</v>
      </c>
      <c r="T130" s="7">
        <f ca="1">IF(T129+SUM($C130:S130)&lt;0,-(T129+SUM($C130:S130)),0)</f>
        <v>0</v>
      </c>
      <c r="U130" s="7">
        <f ca="1">IF(U129+SUM($C130:T130)&lt;0,-(U129+SUM($C130:T130)),0)</f>
        <v>0</v>
      </c>
      <c r="V130" s="7">
        <f ca="1">IF(V129+SUM($C130:U130)&lt;0,-(V129+SUM($C130:U130)),0)</f>
        <v>0</v>
      </c>
      <c r="W130" s="7">
        <f ca="1">IF(W129+SUM($C130:V130)&lt;0,-(W129+SUM($C130:V130)),0)</f>
        <v>0</v>
      </c>
      <c r="X130" s="7">
        <f ca="1">IF(X129+SUM($C130:W130)&lt;0,-(X129+SUM($C130:W130)),0)</f>
        <v>0</v>
      </c>
      <c r="Y130" s="7">
        <f ca="1">IF(Y129+SUM($C130:X130)&lt;0,-(Y129+SUM($C130:X130)),0)</f>
        <v>0</v>
      </c>
      <c r="Z130" s="7">
        <f ca="1">IF(Z129+SUM($C130:Y130)&lt;0,-(Z129+SUM($C130:Y130)),0)</f>
        <v>0</v>
      </c>
      <c r="AA130" s="7">
        <f ca="1">IF(AA129+SUM($C130:Z130)&lt;0,-(AA129+SUM($C130:Z130)),0)</f>
        <v>0</v>
      </c>
      <c r="AB130" s="7">
        <f ca="1">IF(AB129+SUM($C130:AA130)&lt;0,-(AB129+SUM($C130:AA130)),0)</f>
        <v>0</v>
      </c>
      <c r="AC130" s="7">
        <f ca="1">IF(AC129+SUM($C130:AB130)&lt;0,-(AC129+SUM($C130:AB130)),0)</f>
        <v>0</v>
      </c>
      <c r="AD130" s="7">
        <f ca="1">IF(AD129+SUM($C130:AC130)&lt;0,-(AD129+SUM($C130:AC130)),0)</f>
        <v>0</v>
      </c>
      <c r="AE130" s="7">
        <f ca="1">IF(AE129+SUM($C130:AD130)&lt;0,-(AE129+SUM($C130:AD130)),0)</f>
        <v>0</v>
      </c>
      <c r="AF130" s="7">
        <f ca="1">IF(AF129+SUM($C130:AE130)&lt;0,-(AF129+SUM($C130:AE130)),0)</f>
        <v>0</v>
      </c>
      <c r="AG130" s="7">
        <f ca="1">IF(AG129+SUM($C130:AF130)&lt;0,-(AG129+SUM($C130:AF130)),0)</f>
        <v>0</v>
      </c>
      <c r="AH130" s="7">
        <f ca="1">IF(AH129+SUM($C130:AG130)&lt;0,-(AH129+SUM($C130:AG130)),0)</f>
        <v>0</v>
      </c>
      <c r="AI130" s="7">
        <f ca="1">IF(AI129+SUM($C130:AH130)&lt;0,-(AI129+SUM($C130:AH130)),0)</f>
        <v>0</v>
      </c>
      <c r="AJ130" s="7">
        <f ca="1">IF(AJ129+SUM($C130:AI130)&lt;0,-(AJ129+SUM($C130:AI130)),0)</f>
        <v>0</v>
      </c>
      <c r="AK130" s="7">
        <f ca="1">IF(AK129+SUM($C130:AJ130)&lt;0,-(AK129+SUM($C130:AJ130)),0)</f>
        <v>0</v>
      </c>
      <c r="AL130" s="7">
        <f ca="1">IF(AL129+SUM($C130:AK130)&lt;0,-(AL129+SUM($C130:AK130)),0)</f>
        <v>0</v>
      </c>
      <c r="AM130" s="7">
        <f ca="1">IF(AM129+SUM($C130:AL130)&lt;0,-(AM129+SUM($C130:AL130)),0)</f>
        <v>0</v>
      </c>
    </row>
    <row r="131" spans="1:39" x14ac:dyDescent="0.2"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  <c r="AC131" s="7"/>
      <c r="AD131" s="7"/>
      <c r="AE131" s="7"/>
      <c r="AF131" s="7"/>
      <c r="AG131" s="7"/>
      <c r="AH131" s="7"/>
      <c r="AI131" s="7"/>
      <c r="AJ131" s="7"/>
      <c r="AK131" s="7"/>
      <c r="AL131" s="7"/>
      <c r="AM131" s="7"/>
    </row>
    <row r="132" spans="1:39" x14ac:dyDescent="0.2">
      <c r="A132" s="24" t="str">
        <f>IF(Inputs!$B$290=6,IFERROR(_xlfn.XLOOKUP($B132,Inputs!$B$291:$B$300,Inputs!$A$291:$A$300,,0,1),""),IFERROR(_xlfn.XLOOKUP($B132,Inputs!$C$291:$C$300,Inputs!$A$291:$A$300,,0,1),""))</f>
        <v>Car</v>
      </c>
      <c r="B132" s="26">
        <v>2</v>
      </c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/>
      <c r="AG132" s="7"/>
      <c r="AH132" s="7"/>
      <c r="AI132" s="7"/>
      <c r="AJ132" s="7"/>
      <c r="AK132" s="7"/>
      <c r="AL132" s="7"/>
      <c r="AM132" s="7"/>
    </row>
    <row r="133" spans="1:39" x14ac:dyDescent="0.2">
      <c r="A133" s="3" t="s">
        <v>21</v>
      </c>
      <c r="C133" s="7">
        <f ca="1">IFERROR(VLOOKUP($A132,$A$68:$H$97,C$1+2,FALSE),0)</f>
        <v>38490.424009238486</v>
      </c>
      <c r="D133" s="7">
        <f ca="1">C136</f>
        <v>38490.424009238486</v>
      </c>
      <c r="E133" s="7">
        <f t="shared" ref="E133:AM133" ca="1" si="65">D136</f>
        <v>36565.902808776562</v>
      </c>
      <c r="F133" s="7">
        <f t="shared" ca="1" si="65"/>
        <v>34737.607668337732</v>
      </c>
      <c r="G133" s="7">
        <f t="shared" ca="1" si="65"/>
        <v>33000.727284920846</v>
      </c>
      <c r="H133" s="7">
        <f t="shared" ca="1" si="65"/>
        <v>31350.690920674802</v>
      </c>
      <c r="I133" s="7">
        <f t="shared" ca="1" si="65"/>
        <v>29783.156374641061</v>
      </c>
      <c r="J133" s="7">
        <f t="shared" ca="1" si="65"/>
        <v>28293.998555909009</v>
      </c>
      <c r="K133" s="7">
        <f t="shared" ca="1" si="65"/>
        <v>26879.29862811356</v>
      </c>
      <c r="L133" s="7">
        <f t="shared" ca="1" si="65"/>
        <v>25535.333696707883</v>
      </c>
      <c r="M133" s="7">
        <f t="shared" ca="1" si="65"/>
        <v>24258.567011872488</v>
      </c>
      <c r="N133" s="7">
        <f t="shared" ca="1" si="65"/>
        <v>23045.638661278863</v>
      </c>
      <c r="O133" s="7">
        <f t="shared" ca="1" si="65"/>
        <v>21893.35672821492</v>
      </c>
      <c r="P133" s="7">
        <f t="shared" ca="1" si="65"/>
        <v>20798.688891804173</v>
      </c>
      <c r="Q133" s="7">
        <f t="shared" ca="1" si="65"/>
        <v>19758.754447213963</v>
      </c>
      <c r="R133" s="7">
        <f t="shared" ca="1" si="65"/>
        <v>18770.816724853266</v>
      </c>
      <c r="S133" s="7">
        <f t="shared" ca="1" si="65"/>
        <v>17832.275888610602</v>
      </c>
      <c r="T133" s="7">
        <f t="shared" ca="1" si="65"/>
        <v>16940.662094180072</v>
      </c>
      <c r="U133" s="7">
        <f t="shared" ca="1" si="65"/>
        <v>16093.628989471068</v>
      </c>
      <c r="V133" s="7">
        <f t="shared" ca="1" si="65"/>
        <v>15288.947539997514</v>
      </c>
      <c r="W133" s="7">
        <f t="shared" ca="1" si="65"/>
        <v>14524.50016299764</v>
      </c>
      <c r="X133" s="7">
        <f t="shared" ca="1" si="65"/>
        <v>13798.275154847757</v>
      </c>
      <c r="Y133" s="7">
        <f t="shared" ca="1" si="65"/>
        <v>13108.361397105369</v>
      </c>
      <c r="Z133" s="7">
        <f t="shared" ca="1" si="65"/>
        <v>12452.943327250101</v>
      </c>
      <c r="AA133" s="7">
        <f t="shared" ca="1" si="65"/>
        <v>11830.296160887596</v>
      </c>
      <c r="AB133" s="7">
        <f t="shared" ca="1" si="65"/>
        <v>11238.781352843216</v>
      </c>
      <c r="AC133" s="7">
        <f t="shared" ca="1" si="65"/>
        <v>10676.842285201055</v>
      </c>
      <c r="AD133" s="7">
        <f t="shared" ca="1" si="65"/>
        <v>10143.000170941003</v>
      </c>
      <c r="AE133" s="7">
        <f t="shared" ca="1" si="65"/>
        <v>9635.8501623939519</v>
      </c>
      <c r="AF133" s="7">
        <f t="shared" ca="1" si="65"/>
        <v>9154.0576542742547</v>
      </c>
      <c r="AG133" s="7">
        <f t="shared" ca="1" si="65"/>
        <v>8696.3547715605418</v>
      </c>
      <c r="AH133" s="7">
        <f t="shared" ca="1" si="65"/>
        <v>8261.5370329825146</v>
      </c>
      <c r="AI133" s="7">
        <f t="shared" ca="1" si="65"/>
        <v>7848.4601813333884</v>
      </c>
      <c r="AJ133" s="7">
        <f t="shared" ca="1" si="65"/>
        <v>7456.0371722667187</v>
      </c>
      <c r="AK133" s="7">
        <f t="shared" ca="1" si="65"/>
        <v>7083.2353136533829</v>
      </c>
      <c r="AL133" s="7">
        <f t="shared" ca="1" si="65"/>
        <v>6729.0735479707137</v>
      </c>
      <c r="AM133" s="7">
        <f t="shared" ca="1" si="65"/>
        <v>6392.6198705721781</v>
      </c>
    </row>
    <row r="134" spans="1:39" x14ac:dyDescent="0.2">
      <c r="A134" s="3" t="s">
        <v>22</v>
      </c>
      <c r="C134" s="7">
        <f ca="1">-IF(D130&gt;0,C133,0)</f>
        <v>0</v>
      </c>
      <c r="D134" s="7">
        <f ca="1">-IF(E130&gt;0,D133,0)</f>
        <v>0</v>
      </c>
      <c r="E134" s="7">
        <f ca="1">-IF(F130&gt;0,E133,0)</f>
        <v>0</v>
      </c>
      <c r="F134" s="7">
        <f ca="1">-IF(G130&gt;0,F133,0)</f>
        <v>0</v>
      </c>
      <c r="G134" s="7">
        <f t="shared" ref="G134" ca="1" si="66">-IF(H130&gt;0,G133,0)</f>
        <v>0</v>
      </c>
      <c r="H134" s="7">
        <f t="shared" ref="H134" ca="1" si="67">-IF(I130&gt;0,H133,0)</f>
        <v>0</v>
      </c>
      <c r="I134" s="7">
        <f t="shared" ref="I134" ca="1" si="68">-IF(J130&gt;0,I133,0)</f>
        <v>0</v>
      </c>
      <c r="J134" s="7">
        <f t="shared" ref="J134" ca="1" si="69">-IF(K130&gt;0,J133,0)</f>
        <v>0</v>
      </c>
      <c r="K134" s="7">
        <f t="shared" ref="K134" ca="1" si="70">-IF(L130&gt;0,K133,0)</f>
        <v>0</v>
      </c>
      <c r="L134" s="7">
        <f t="shared" ref="L134" ca="1" si="71">-IF(M130&gt;0,L133,0)</f>
        <v>0</v>
      </c>
      <c r="M134" s="7">
        <f t="shared" ref="M134" ca="1" si="72">-IF(N130&gt;0,M133,0)</f>
        <v>0</v>
      </c>
      <c r="N134" s="7">
        <f t="shared" ref="N134" ca="1" si="73">-IF(O130&gt;0,N133,0)</f>
        <v>0</v>
      </c>
      <c r="O134" s="7">
        <f t="shared" ref="O134" ca="1" si="74">-IF(P130&gt;0,O133,0)</f>
        <v>0</v>
      </c>
      <c r="P134" s="7">
        <f t="shared" ref="P134" ca="1" si="75">-IF(Q130&gt;0,P133,0)</f>
        <v>0</v>
      </c>
      <c r="Q134" s="7">
        <f t="shared" ref="Q134" ca="1" si="76">-IF(R130&gt;0,Q133,0)</f>
        <v>0</v>
      </c>
      <c r="R134" s="7">
        <f t="shared" ref="R134" ca="1" si="77">-IF(S130&gt;0,R133,0)</f>
        <v>0</v>
      </c>
      <c r="S134" s="7">
        <f t="shared" ref="S134" ca="1" si="78">-IF(T130&gt;0,S133,0)</f>
        <v>0</v>
      </c>
      <c r="T134" s="7">
        <f t="shared" ref="T134" ca="1" si="79">-IF(U130&gt;0,T133,0)</f>
        <v>0</v>
      </c>
      <c r="U134" s="7">
        <f t="shared" ref="U134" ca="1" si="80">-IF(V130&gt;0,U133,0)</f>
        <v>0</v>
      </c>
      <c r="V134" s="7">
        <f t="shared" ref="V134" ca="1" si="81">-IF(W130&gt;0,V133,0)</f>
        <v>0</v>
      </c>
      <c r="W134" s="7">
        <f t="shared" ref="W134" ca="1" si="82">-IF(X130&gt;0,W133,0)</f>
        <v>0</v>
      </c>
      <c r="X134" s="7">
        <f t="shared" ref="X134" ca="1" si="83">-IF(Y130&gt;0,X133,0)</f>
        <v>0</v>
      </c>
      <c r="Y134" s="7">
        <f t="shared" ref="Y134" ca="1" si="84">-IF(Z130&gt;0,Y133,0)</f>
        <v>0</v>
      </c>
      <c r="Z134" s="7">
        <f t="shared" ref="Z134" ca="1" si="85">-IF(AA130&gt;0,Z133,0)</f>
        <v>0</v>
      </c>
      <c r="AA134" s="7">
        <f t="shared" ref="AA134" ca="1" si="86">-IF(AB130&gt;0,AA133,0)</f>
        <v>0</v>
      </c>
      <c r="AB134" s="7">
        <f t="shared" ref="AB134" ca="1" si="87">-IF(AC130&gt;0,AB133,0)</f>
        <v>0</v>
      </c>
      <c r="AC134" s="7">
        <f t="shared" ref="AC134" ca="1" si="88">-IF(AD130&gt;0,AC133,0)</f>
        <v>0</v>
      </c>
      <c r="AD134" s="7">
        <f t="shared" ref="AD134" ca="1" si="89">-IF(AE130&gt;0,AD133,0)</f>
        <v>0</v>
      </c>
      <c r="AE134" s="7">
        <f t="shared" ref="AE134" ca="1" si="90">-IF(AF130&gt;0,AE133,0)</f>
        <v>0</v>
      </c>
      <c r="AF134" s="7">
        <f t="shared" ref="AF134" ca="1" si="91">-IF(AG130&gt;0,AF133,0)</f>
        <v>0</v>
      </c>
      <c r="AG134" s="7">
        <f t="shared" ref="AG134" ca="1" si="92">-IF(AH130&gt;0,AG133,0)</f>
        <v>0</v>
      </c>
      <c r="AH134" s="7">
        <f t="shared" ref="AH134" ca="1" si="93">-IF(AI130&gt;0,AH133,0)</f>
        <v>0</v>
      </c>
      <c r="AI134" s="7">
        <f t="shared" ref="AI134" ca="1" si="94">-IF(AJ130&gt;0,AI133,0)</f>
        <v>0</v>
      </c>
      <c r="AJ134" s="7">
        <f t="shared" ref="AJ134" ca="1" si="95">-IF(AK130&gt;0,AJ133,0)</f>
        <v>0</v>
      </c>
      <c r="AK134" s="7">
        <f t="shared" ref="AK134" ca="1" si="96">-IF(AL130&gt;0,AK133,0)</f>
        <v>0</v>
      </c>
      <c r="AL134" s="7">
        <f t="shared" ref="AL134" ca="1" si="97">-IF(AM130&gt;0,AL133,0)</f>
        <v>0</v>
      </c>
      <c r="AM134" s="7">
        <f t="shared" ref="AM134" si="98">-IF(AN130&gt;0,AM133,0)</f>
        <v>0</v>
      </c>
    </row>
    <row r="135" spans="1:39" x14ac:dyDescent="0.2">
      <c r="A135" s="3" t="s">
        <v>23</v>
      </c>
      <c r="C135" s="7">
        <v>0</v>
      </c>
      <c r="D135" s="7">
        <f t="shared" ref="D135:AM135" ca="1" si="99">SUM(D133:D134)*VLOOKUP($A132,AssVar,2,FALSE)</f>
        <v>-1924.5212004619243</v>
      </c>
      <c r="E135" s="7">
        <f t="shared" ca="1" si="99"/>
        <v>-1828.2951404388282</v>
      </c>
      <c r="F135" s="7">
        <f t="shared" ca="1" si="99"/>
        <v>-1736.8803834168866</v>
      </c>
      <c r="G135" s="7">
        <f t="shared" ca="1" si="99"/>
        <v>-1650.0363642460425</v>
      </c>
      <c r="H135" s="7">
        <f t="shared" ca="1" si="99"/>
        <v>-1567.5345460337403</v>
      </c>
      <c r="I135" s="7">
        <f t="shared" ca="1" si="99"/>
        <v>-1489.1578187320531</v>
      </c>
      <c r="J135" s="7">
        <f t="shared" ca="1" si="99"/>
        <v>-1414.6999277954505</v>
      </c>
      <c r="K135" s="7">
        <f t="shared" ca="1" si="99"/>
        <v>-1343.964931405678</v>
      </c>
      <c r="L135" s="7">
        <f t="shared" ca="1" si="99"/>
        <v>-1276.7666848353942</v>
      </c>
      <c r="M135" s="7">
        <f t="shared" ca="1" si="99"/>
        <v>-1212.9283505936244</v>
      </c>
      <c r="N135" s="7">
        <f t="shared" ca="1" si="99"/>
        <v>-1152.2819330639431</v>
      </c>
      <c r="O135" s="7">
        <f t="shared" ca="1" si="99"/>
        <v>-1094.6678364107461</v>
      </c>
      <c r="P135" s="7">
        <f t="shared" ca="1" si="99"/>
        <v>-1039.9344445902086</v>
      </c>
      <c r="Q135" s="7">
        <f t="shared" ca="1" si="99"/>
        <v>-987.93772236069822</v>
      </c>
      <c r="R135" s="7">
        <f t="shared" ca="1" si="99"/>
        <v>-938.54083624266332</v>
      </c>
      <c r="S135" s="7">
        <f t="shared" ca="1" si="99"/>
        <v>-891.61379443053011</v>
      </c>
      <c r="T135" s="7">
        <f t="shared" ca="1" si="99"/>
        <v>-847.03310470900362</v>
      </c>
      <c r="U135" s="7">
        <f t="shared" ca="1" si="99"/>
        <v>-804.68144947355347</v>
      </c>
      <c r="V135" s="7">
        <f t="shared" ca="1" si="99"/>
        <v>-764.44737699987581</v>
      </c>
      <c r="W135" s="7">
        <f t="shared" ca="1" si="99"/>
        <v>-726.225008149882</v>
      </c>
      <c r="X135" s="7">
        <f t="shared" ca="1" si="99"/>
        <v>-689.91375774238793</v>
      </c>
      <c r="Y135" s="7">
        <f t="shared" ca="1" si="99"/>
        <v>-655.41806985526853</v>
      </c>
      <c r="Z135" s="7">
        <f t="shared" ca="1" si="99"/>
        <v>-622.64716636250512</v>
      </c>
      <c r="AA135" s="7">
        <f t="shared" ca="1" si="99"/>
        <v>-591.51480804437983</v>
      </c>
      <c r="AB135" s="7">
        <f t="shared" ca="1" si="99"/>
        <v>-561.93906764216081</v>
      </c>
      <c r="AC135" s="7">
        <f t="shared" ca="1" si="99"/>
        <v>-533.84211426005277</v>
      </c>
      <c r="AD135" s="7">
        <f t="shared" ca="1" si="99"/>
        <v>-507.15000854705016</v>
      </c>
      <c r="AE135" s="7">
        <f t="shared" ca="1" si="99"/>
        <v>-481.79250811969763</v>
      </c>
      <c r="AF135" s="7">
        <f t="shared" ca="1" si="99"/>
        <v>-457.70288271371277</v>
      </c>
      <c r="AG135" s="7">
        <f t="shared" ca="1" si="99"/>
        <v>-434.8177385780271</v>
      </c>
      <c r="AH135" s="7">
        <f t="shared" ca="1" si="99"/>
        <v>-413.07685164912573</v>
      </c>
      <c r="AI135" s="7">
        <f t="shared" ca="1" si="99"/>
        <v>-392.42300906666947</v>
      </c>
      <c r="AJ135" s="7">
        <f t="shared" ca="1" si="99"/>
        <v>-372.80185861333598</v>
      </c>
      <c r="AK135" s="7">
        <f t="shared" ca="1" si="99"/>
        <v>-354.16176568266917</v>
      </c>
      <c r="AL135" s="7">
        <f t="shared" ca="1" si="99"/>
        <v>-336.45367739853572</v>
      </c>
      <c r="AM135" s="7">
        <f t="shared" ca="1" si="99"/>
        <v>-319.63099352860894</v>
      </c>
    </row>
    <row r="136" spans="1:39" x14ac:dyDescent="0.2">
      <c r="A136" s="3" t="s">
        <v>24</v>
      </c>
      <c r="C136" s="7">
        <f ca="1">SUM(C133:C135)</f>
        <v>38490.424009238486</v>
      </c>
      <c r="D136" s="7">
        <f t="shared" ref="D136:AM136" ca="1" si="100">SUM(D133:D135)</f>
        <v>36565.902808776562</v>
      </c>
      <c r="E136" s="7">
        <f t="shared" ca="1" si="100"/>
        <v>34737.607668337732</v>
      </c>
      <c r="F136" s="7">
        <f t="shared" ca="1" si="100"/>
        <v>33000.727284920846</v>
      </c>
      <c r="G136" s="7">
        <f t="shared" ca="1" si="100"/>
        <v>31350.690920674802</v>
      </c>
      <c r="H136" s="7">
        <f t="shared" ca="1" si="100"/>
        <v>29783.156374641061</v>
      </c>
      <c r="I136" s="7">
        <f t="shared" ca="1" si="100"/>
        <v>28293.998555909009</v>
      </c>
      <c r="J136" s="7">
        <f t="shared" ca="1" si="100"/>
        <v>26879.29862811356</v>
      </c>
      <c r="K136" s="7">
        <f t="shared" ca="1" si="100"/>
        <v>25535.333696707883</v>
      </c>
      <c r="L136" s="7">
        <f t="shared" ca="1" si="100"/>
        <v>24258.567011872488</v>
      </c>
      <c r="M136" s="7">
        <f t="shared" ca="1" si="100"/>
        <v>23045.638661278863</v>
      </c>
      <c r="N136" s="7">
        <f t="shared" ca="1" si="100"/>
        <v>21893.35672821492</v>
      </c>
      <c r="O136" s="7">
        <f t="shared" ca="1" si="100"/>
        <v>20798.688891804173</v>
      </c>
      <c r="P136" s="7">
        <f t="shared" ca="1" si="100"/>
        <v>19758.754447213963</v>
      </c>
      <c r="Q136" s="7">
        <f t="shared" ca="1" si="100"/>
        <v>18770.816724853266</v>
      </c>
      <c r="R136" s="7">
        <f t="shared" ca="1" si="100"/>
        <v>17832.275888610602</v>
      </c>
      <c r="S136" s="7">
        <f t="shared" ca="1" si="100"/>
        <v>16940.662094180072</v>
      </c>
      <c r="T136" s="7">
        <f t="shared" ca="1" si="100"/>
        <v>16093.628989471068</v>
      </c>
      <c r="U136" s="7">
        <f t="shared" ca="1" si="100"/>
        <v>15288.947539997514</v>
      </c>
      <c r="V136" s="7">
        <f t="shared" ca="1" si="100"/>
        <v>14524.50016299764</v>
      </c>
      <c r="W136" s="7">
        <f t="shared" ca="1" si="100"/>
        <v>13798.275154847757</v>
      </c>
      <c r="X136" s="7">
        <f t="shared" ca="1" si="100"/>
        <v>13108.361397105369</v>
      </c>
      <c r="Y136" s="7">
        <f t="shared" ca="1" si="100"/>
        <v>12452.943327250101</v>
      </c>
      <c r="Z136" s="7">
        <f t="shared" ca="1" si="100"/>
        <v>11830.296160887596</v>
      </c>
      <c r="AA136" s="7">
        <f t="shared" ca="1" si="100"/>
        <v>11238.781352843216</v>
      </c>
      <c r="AB136" s="7">
        <f t="shared" ca="1" si="100"/>
        <v>10676.842285201055</v>
      </c>
      <c r="AC136" s="7">
        <f t="shared" ca="1" si="100"/>
        <v>10143.000170941003</v>
      </c>
      <c r="AD136" s="7">
        <f t="shared" ca="1" si="100"/>
        <v>9635.8501623939519</v>
      </c>
      <c r="AE136" s="7">
        <f t="shared" ca="1" si="100"/>
        <v>9154.0576542742547</v>
      </c>
      <c r="AF136" s="7">
        <f t="shared" ca="1" si="100"/>
        <v>8696.3547715605418</v>
      </c>
      <c r="AG136" s="7">
        <f t="shared" ca="1" si="100"/>
        <v>8261.5370329825146</v>
      </c>
      <c r="AH136" s="7">
        <f t="shared" ca="1" si="100"/>
        <v>7848.4601813333884</v>
      </c>
      <c r="AI136" s="7">
        <f t="shared" ca="1" si="100"/>
        <v>7456.0371722667187</v>
      </c>
      <c r="AJ136" s="7">
        <f t="shared" ca="1" si="100"/>
        <v>7083.2353136533829</v>
      </c>
      <c r="AK136" s="7">
        <f t="shared" ca="1" si="100"/>
        <v>6729.0735479707137</v>
      </c>
      <c r="AL136" s="7">
        <f t="shared" ca="1" si="100"/>
        <v>6392.6198705721781</v>
      </c>
      <c r="AM136" s="7">
        <f t="shared" ca="1" si="100"/>
        <v>6072.9888770435691</v>
      </c>
    </row>
    <row r="137" spans="1:39" x14ac:dyDescent="0.2">
      <c r="A137" s="3" t="s">
        <v>25</v>
      </c>
      <c r="C137" s="7">
        <f t="shared" ref="C137:AM137" ca="1" si="101">C134*VLOOKUP($A132,AssVar,3,FALSE)</f>
        <v>0</v>
      </c>
      <c r="D137" s="7">
        <f t="shared" ca="1" si="101"/>
        <v>0</v>
      </c>
      <c r="E137" s="7">
        <f t="shared" ca="1" si="101"/>
        <v>0</v>
      </c>
      <c r="F137" s="7">
        <f t="shared" ca="1" si="101"/>
        <v>0</v>
      </c>
      <c r="G137" s="7">
        <f t="shared" ca="1" si="101"/>
        <v>0</v>
      </c>
      <c r="H137" s="7">
        <f t="shared" ca="1" si="101"/>
        <v>0</v>
      </c>
      <c r="I137" s="7">
        <f t="shared" ca="1" si="101"/>
        <v>0</v>
      </c>
      <c r="J137" s="7">
        <f t="shared" ca="1" si="101"/>
        <v>0</v>
      </c>
      <c r="K137" s="7">
        <f t="shared" ca="1" si="101"/>
        <v>0</v>
      </c>
      <c r="L137" s="7">
        <f t="shared" ca="1" si="101"/>
        <v>0</v>
      </c>
      <c r="M137" s="7">
        <f t="shared" ca="1" si="101"/>
        <v>0</v>
      </c>
      <c r="N137" s="7">
        <f t="shared" ca="1" si="101"/>
        <v>0</v>
      </c>
      <c r="O137" s="7">
        <f t="shared" ca="1" si="101"/>
        <v>0</v>
      </c>
      <c r="P137" s="7">
        <f t="shared" ca="1" si="101"/>
        <v>0</v>
      </c>
      <c r="Q137" s="7">
        <f t="shared" ca="1" si="101"/>
        <v>0</v>
      </c>
      <c r="R137" s="7">
        <f t="shared" ca="1" si="101"/>
        <v>0</v>
      </c>
      <c r="S137" s="7">
        <f t="shared" ca="1" si="101"/>
        <v>0</v>
      </c>
      <c r="T137" s="7">
        <f t="shared" ca="1" si="101"/>
        <v>0</v>
      </c>
      <c r="U137" s="7">
        <f t="shared" ca="1" si="101"/>
        <v>0</v>
      </c>
      <c r="V137" s="7">
        <f t="shared" ca="1" si="101"/>
        <v>0</v>
      </c>
      <c r="W137" s="7">
        <f t="shared" ca="1" si="101"/>
        <v>0</v>
      </c>
      <c r="X137" s="7">
        <f t="shared" ca="1" si="101"/>
        <v>0</v>
      </c>
      <c r="Y137" s="7">
        <f t="shared" ca="1" si="101"/>
        <v>0</v>
      </c>
      <c r="Z137" s="7">
        <f t="shared" ca="1" si="101"/>
        <v>0</v>
      </c>
      <c r="AA137" s="7">
        <f t="shared" ca="1" si="101"/>
        <v>0</v>
      </c>
      <c r="AB137" s="7">
        <f t="shared" ca="1" si="101"/>
        <v>0</v>
      </c>
      <c r="AC137" s="7">
        <f t="shared" ca="1" si="101"/>
        <v>0</v>
      </c>
      <c r="AD137" s="7">
        <f t="shared" ca="1" si="101"/>
        <v>0</v>
      </c>
      <c r="AE137" s="7">
        <f t="shared" ca="1" si="101"/>
        <v>0</v>
      </c>
      <c r="AF137" s="7">
        <f t="shared" ca="1" si="101"/>
        <v>0</v>
      </c>
      <c r="AG137" s="7">
        <f t="shared" ca="1" si="101"/>
        <v>0</v>
      </c>
      <c r="AH137" s="7">
        <f t="shared" ca="1" si="101"/>
        <v>0</v>
      </c>
      <c r="AI137" s="7">
        <f t="shared" ca="1" si="101"/>
        <v>0</v>
      </c>
      <c r="AJ137" s="7">
        <f t="shared" ca="1" si="101"/>
        <v>0</v>
      </c>
      <c r="AK137" s="7">
        <f t="shared" ca="1" si="101"/>
        <v>0</v>
      </c>
      <c r="AL137" s="7">
        <f t="shared" ca="1" si="101"/>
        <v>0</v>
      </c>
      <c r="AM137" s="7">
        <f t="shared" si="101"/>
        <v>0</v>
      </c>
    </row>
    <row r="138" spans="1:39" x14ac:dyDescent="0.2">
      <c r="A138" s="3" t="s">
        <v>30</v>
      </c>
      <c r="C138" s="7">
        <f t="shared" ref="C138:AM138" ca="1" si="102">IFERROR(-IF(C133=0,VLOOKUP($A132,$8:$12,C$1+2,FALSE),0),0)</f>
        <v>0</v>
      </c>
      <c r="D138" s="7">
        <f t="shared" ca="1" si="102"/>
        <v>0</v>
      </c>
      <c r="E138" s="7">
        <f t="shared" ca="1" si="102"/>
        <v>0</v>
      </c>
      <c r="F138" s="7">
        <f t="shared" ca="1" si="102"/>
        <v>0</v>
      </c>
      <c r="G138" s="7">
        <f t="shared" ca="1" si="102"/>
        <v>0</v>
      </c>
      <c r="H138" s="7">
        <f t="shared" ca="1" si="102"/>
        <v>0</v>
      </c>
      <c r="I138" s="7">
        <f t="shared" ca="1" si="102"/>
        <v>0</v>
      </c>
      <c r="J138" s="7">
        <f t="shared" ca="1" si="102"/>
        <v>0</v>
      </c>
      <c r="K138" s="7">
        <f t="shared" ca="1" si="102"/>
        <v>0</v>
      </c>
      <c r="L138" s="7">
        <f t="shared" ca="1" si="102"/>
        <v>0</v>
      </c>
      <c r="M138" s="7">
        <f t="shared" ca="1" si="102"/>
        <v>0</v>
      </c>
      <c r="N138" s="7">
        <f t="shared" ca="1" si="102"/>
        <v>0</v>
      </c>
      <c r="O138" s="7">
        <f t="shared" ca="1" si="102"/>
        <v>0</v>
      </c>
      <c r="P138" s="7">
        <f t="shared" ca="1" si="102"/>
        <v>0</v>
      </c>
      <c r="Q138" s="7">
        <f t="shared" ca="1" si="102"/>
        <v>0</v>
      </c>
      <c r="R138" s="7">
        <f t="shared" ca="1" si="102"/>
        <v>0</v>
      </c>
      <c r="S138" s="7">
        <f t="shared" ca="1" si="102"/>
        <v>0</v>
      </c>
      <c r="T138" s="7">
        <f t="shared" ca="1" si="102"/>
        <v>0</v>
      </c>
      <c r="U138" s="7">
        <f t="shared" ca="1" si="102"/>
        <v>0</v>
      </c>
      <c r="V138" s="7">
        <f t="shared" ca="1" si="102"/>
        <v>0</v>
      </c>
      <c r="W138" s="7">
        <f t="shared" ca="1" si="102"/>
        <v>0</v>
      </c>
      <c r="X138" s="7">
        <f t="shared" ca="1" si="102"/>
        <v>0</v>
      </c>
      <c r="Y138" s="7">
        <f t="shared" ca="1" si="102"/>
        <v>0</v>
      </c>
      <c r="Z138" s="7">
        <f t="shared" ca="1" si="102"/>
        <v>0</v>
      </c>
      <c r="AA138" s="7">
        <f t="shared" ca="1" si="102"/>
        <v>0</v>
      </c>
      <c r="AB138" s="7">
        <f t="shared" ca="1" si="102"/>
        <v>0</v>
      </c>
      <c r="AC138" s="7">
        <f t="shared" ca="1" si="102"/>
        <v>0</v>
      </c>
      <c r="AD138" s="7">
        <f t="shared" ca="1" si="102"/>
        <v>0</v>
      </c>
      <c r="AE138" s="7">
        <f t="shared" ca="1" si="102"/>
        <v>0</v>
      </c>
      <c r="AF138" s="7">
        <f t="shared" ca="1" si="102"/>
        <v>0</v>
      </c>
      <c r="AG138" s="7">
        <f t="shared" ca="1" si="102"/>
        <v>0</v>
      </c>
      <c r="AH138" s="7">
        <f t="shared" ca="1" si="102"/>
        <v>0</v>
      </c>
      <c r="AI138" s="7">
        <f t="shared" ca="1" si="102"/>
        <v>0</v>
      </c>
      <c r="AJ138" s="7">
        <f t="shared" ca="1" si="102"/>
        <v>0</v>
      </c>
      <c r="AK138" s="7">
        <f t="shared" ca="1" si="102"/>
        <v>0</v>
      </c>
      <c r="AL138" s="7">
        <f t="shared" ca="1" si="102"/>
        <v>0</v>
      </c>
      <c r="AM138" s="7">
        <f t="shared" ca="1" si="102"/>
        <v>0</v>
      </c>
    </row>
    <row r="139" spans="1:39" x14ac:dyDescent="0.2">
      <c r="A139" s="3" t="s">
        <v>49</v>
      </c>
      <c r="C139" s="7">
        <f t="shared" ref="C139:AM139" ca="1" si="103">IFERROR(IF(C133=0,VLOOKUP($A132,$46:$50,C$1+2,FALSE),0),0)</f>
        <v>0</v>
      </c>
      <c r="D139" s="7">
        <f t="shared" ca="1" si="103"/>
        <v>0</v>
      </c>
      <c r="E139" s="7">
        <f t="shared" ca="1" si="103"/>
        <v>0</v>
      </c>
      <c r="F139" s="7">
        <f t="shared" ca="1" si="103"/>
        <v>0</v>
      </c>
      <c r="G139" s="7">
        <f t="shared" ca="1" si="103"/>
        <v>0</v>
      </c>
      <c r="H139" s="7">
        <f t="shared" ca="1" si="103"/>
        <v>0</v>
      </c>
      <c r="I139" s="7">
        <f t="shared" ca="1" si="103"/>
        <v>0</v>
      </c>
      <c r="J139" s="7">
        <f t="shared" ca="1" si="103"/>
        <v>0</v>
      </c>
      <c r="K139" s="7">
        <f t="shared" ca="1" si="103"/>
        <v>0</v>
      </c>
      <c r="L139" s="7">
        <f t="shared" ca="1" si="103"/>
        <v>0</v>
      </c>
      <c r="M139" s="7">
        <f t="shared" ca="1" si="103"/>
        <v>0</v>
      </c>
      <c r="N139" s="7">
        <f t="shared" ca="1" si="103"/>
        <v>0</v>
      </c>
      <c r="O139" s="7">
        <f t="shared" ca="1" si="103"/>
        <v>0</v>
      </c>
      <c r="P139" s="7">
        <f t="shared" ca="1" si="103"/>
        <v>0</v>
      </c>
      <c r="Q139" s="7">
        <f t="shared" ca="1" si="103"/>
        <v>0</v>
      </c>
      <c r="R139" s="7">
        <f t="shared" ca="1" si="103"/>
        <v>0</v>
      </c>
      <c r="S139" s="7">
        <f t="shared" ca="1" si="103"/>
        <v>0</v>
      </c>
      <c r="T139" s="7">
        <f t="shared" ca="1" si="103"/>
        <v>0</v>
      </c>
      <c r="U139" s="7">
        <f t="shared" ca="1" si="103"/>
        <v>0</v>
      </c>
      <c r="V139" s="7">
        <f t="shared" ca="1" si="103"/>
        <v>0</v>
      </c>
      <c r="W139" s="7">
        <f t="shared" ca="1" si="103"/>
        <v>0</v>
      </c>
      <c r="X139" s="7">
        <f t="shared" ca="1" si="103"/>
        <v>0</v>
      </c>
      <c r="Y139" s="7">
        <f t="shared" ca="1" si="103"/>
        <v>0</v>
      </c>
      <c r="Z139" s="7">
        <f t="shared" ca="1" si="103"/>
        <v>0</v>
      </c>
      <c r="AA139" s="7">
        <f t="shared" ca="1" si="103"/>
        <v>0</v>
      </c>
      <c r="AB139" s="7">
        <f t="shared" ca="1" si="103"/>
        <v>0</v>
      </c>
      <c r="AC139" s="7">
        <f t="shared" ca="1" si="103"/>
        <v>0</v>
      </c>
      <c r="AD139" s="7">
        <f t="shared" ca="1" si="103"/>
        <v>0</v>
      </c>
      <c r="AE139" s="7">
        <f t="shared" ca="1" si="103"/>
        <v>0</v>
      </c>
      <c r="AF139" s="7">
        <f t="shared" ca="1" si="103"/>
        <v>0</v>
      </c>
      <c r="AG139" s="7">
        <f t="shared" ca="1" si="103"/>
        <v>0</v>
      </c>
      <c r="AH139" s="7">
        <f t="shared" ca="1" si="103"/>
        <v>0</v>
      </c>
      <c r="AI139" s="7">
        <f t="shared" ca="1" si="103"/>
        <v>0</v>
      </c>
      <c r="AJ139" s="7">
        <f t="shared" ca="1" si="103"/>
        <v>0</v>
      </c>
      <c r="AK139" s="7">
        <f t="shared" ca="1" si="103"/>
        <v>0</v>
      </c>
      <c r="AL139" s="7">
        <f t="shared" ca="1" si="103"/>
        <v>0</v>
      </c>
      <c r="AM139" s="7">
        <f t="shared" ca="1" si="103"/>
        <v>0</v>
      </c>
    </row>
    <row r="140" spans="1:39" x14ac:dyDescent="0.2">
      <c r="A140" s="3" t="s">
        <v>35</v>
      </c>
      <c r="B140" s="14" t="str">
        <f>A132</f>
        <v>Car</v>
      </c>
      <c r="C140" s="7">
        <f t="shared" ref="C140:AM140" ca="1" si="104">IF(AND(C133&gt;0,C136=0),VLOOKUP($A132,$86:$95,C$1+2,FALSE),0)</f>
        <v>0</v>
      </c>
      <c r="D140" s="7">
        <f t="shared" ca="1" si="104"/>
        <v>0</v>
      </c>
      <c r="E140" s="7">
        <f t="shared" ca="1" si="104"/>
        <v>0</v>
      </c>
      <c r="F140" s="7">
        <f t="shared" ca="1" si="104"/>
        <v>0</v>
      </c>
      <c r="G140" s="7">
        <f t="shared" ca="1" si="104"/>
        <v>0</v>
      </c>
      <c r="H140" s="7">
        <f t="shared" ca="1" si="104"/>
        <v>0</v>
      </c>
      <c r="I140" s="7">
        <f t="shared" ca="1" si="104"/>
        <v>0</v>
      </c>
      <c r="J140" s="7">
        <f t="shared" ca="1" si="104"/>
        <v>0</v>
      </c>
      <c r="K140" s="7">
        <f t="shared" ca="1" si="104"/>
        <v>0</v>
      </c>
      <c r="L140" s="7">
        <f t="shared" ca="1" si="104"/>
        <v>0</v>
      </c>
      <c r="M140" s="7">
        <f t="shared" ca="1" si="104"/>
        <v>0</v>
      </c>
      <c r="N140" s="7">
        <f t="shared" ca="1" si="104"/>
        <v>0</v>
      </c>
      <c r="O140" s="7">
        <f t="shared" ca="1" si="104"/>
        <v>0</v>
      </c>
      <c r="P140" s="7">
        <f t="shared" ca="1" si="104"/>
        <v>0</v>
      </c>
      <c r="Q140" s="7">
        <f t="shared" ca="1" si="104"/>
        <v>0</v>
      </c>
      <c r="R140" s="7">
        <f t="shared" ca="1" si="104"/>
        <v>0</v>
      </c>
      <c r="S140" s="7">
        <f t="shared" ca="1" si="104"/>
        <v>0</v>
      </c>
      <c r="T140" s="7">
        <f t="shared" ca="1" si="104"/>
        <v>0</v>
      </c>
      <c r="U140" s="7">
        <f t="shared" ca="1" si="104"/>
        <v>0</v>
      </c>
      <c r="V140" s="7">
        <f t="shared" ca="1" si="104"/>
        <v>0</v>
      </c>
      <c r="W140" s="7">
        <f t="shared" ca="1" si="104"/>
        <v>0</v>
      </c>
      <c r="X140" s="7">
        <f t="shared" ca="1" si="104"/>
        <v>0</v>
      </c>
      <c r="Y140" s="7">
        <f t="shared" ca="1" si="104"/>
        <v>0</v>
      </c>
      <c r="Z140" s="7">
        <f t="shared" ca="1" si="104"/>
        <v>0</v>
      </c>
      <c r="AA140" s="7">
        <f t="shared" ca="1" si="104"/>
        <v>0</v>
      </c>
      <c r="AB140" s="7">
        <f t="shared" ca="1" si="104"/>
        <v>0</v>
      </c>
      <c r="AC140" s="7">
        <f t="shared" ca="1" si="104"/>
        <v>0</v>
      </c>
      <c r="AD140" s="7">
        <f t="shared" ca="1" si="104"/>
        <v>0</v>
      </c>
      <c r="AE140" s="7">
        <f t="shared" ca="1" si="104"/>
        <v>0</v>
      </c>
      <c r="AF140" s="7">
        <f t="shared" ca="1" si="104"/>
        <v>0</v>
      </c>
      <c r="AG140" s="7">
        <f t="shared" ca="1" si="104"/>
        <v>0</v>
      </c>
      <c r="AH140" s="7">
        <f t="shared" ca="1" si="104"/>
        <v>0</v>
      </c>
      <c r="AI140" s="7">
        <f t="shared" ca="1" si="104"/>
        <v>0</v>
      </c>
      <c r="AJ140" s="7">
        <f t="shared" ca="1" si="104"/>
        <v>0</v>
      </c>
      <c r="AK140" s="7">
        <f t="shared" ca="1" si="104"/>
        <v>0</v>
      </c>
      <c r="AL140" s="7">
        <f t="shared" ca="1" si="104"/>
        <v>0</v>
      </c>
      <c r="AM140" s="7">
        <f t="shared" ca="1" si="104"/>
        <v>0</v>
      </c>
    </row>
    <row r="141" spans="1:39" x14ac:dyDescent="0.2">
      <c r="A141" s="3" t="s">
        <v>36</v>
      </c>
      <c r="C141" s="7">
        <f ca="1">-C134+SUM(C137:C140)</f>
        <v>0</v>
      </c>
      <c r="D141" s="7">
        <f t="shared" ref="D141" ca="1" si="105">-D134+SUM(D137:D140)</f>
        <v>0</v>
      </c>
      <c r="E141" s="7">
        <f t="shared" ref="E141:AM141" ca="1" si="106">-E134+SUM(E137:E140)</f>
        <v>0</v>
      </c>
      <c r="F141" s="7">
        <f t="shared" ca="1" si="106"/>
        <v>0</v>
      </c>
      <c r="G141" s="7">
        <f t="shared" ca="1" si="106"/>
        <v>0</v>
      </c>
      <c r="H141" s="7">
        <f t="shared" ca="1" si="106"/>
        <v>0</v>
      </c>
      <c r="I141" s="7">
        <f t="shared" ca="1" si="106"/>
        <v>0</v>
      </c>
      <c r="J141" s="7">
        <f t="shared" ca="1" si="106"/>
        <v>0</v>
      </c>
      <c r="K141" s="7">
        <f t="shared" ca="1" si="106"/>
        <v>0</v>
      </c>
      <c r="L141" s="7">
        <f t="shared" ca="1" si="106"/>
        <v>0</v>
      </c>
      <c r="M141" s="7">
        <f t="shared" ca="1" si="106"/>
        <v>0</v>
      </c>
      <c r="N141" s="7">
        <f t="shared" ca="1" si="106"/>
        <v>0</v>
      </c>
      <c r="O141" s="7">
        <f t="shared" ca="1" si="106"/>
        <v>0</v>
      </c>
      <c r="P141" s="7">
        <f t="shared" ca="1" si="106"/>
        <v>0</v>
      </c>
      <c r="Q141" s="7">
        <f t="shared" ca="1" si="106"/>
        <v>0</v>
      </c>
      <c r="R141" s="7">
        <f t="shared" ca="1" si="106"/>
        <v>0</v>
      </c>
      <c r="S141" s="7">
        <f t="shared" ca="1" si="106"/>
        <v>0</v>
      </c>
      <c r="T141" s="7">
        <f t="shared" ca="1" si="106"/>
        <v>0</v>
      </c>
      <c r="U141" s="7">
        <f t="shared" ca="1" si="106"/>
        <v>0</v>
      </c>
      <c r="V141" s="7">
        <f t="shared" ca="1" si="106"/>
        <v>0</v>
      </c>
      <c r="W141" s="7">
        <f t="shared" ca="1" si="106"/>
        <v>0</v>
      </c>
      <c r="X141" s="7">
        <f t="shared" ca="1" si="106"/>
        <v>0</v>
      </c>
      <c r="Y141" s="7">
        <f t="shared" ca="1" si="106"/>
        <v>0</v>
      </c>
      <c r="Z141" s="7">
        <f t="shared" ca="1" si="106"/>
        <v>0</v>
      </c>
      <c r="AA141" s="7">
        <f t="shared" ca="1" si="106"/>
        <v>0</v>
      </c>
      <c r="AB141" s="7">
        <f t="shared" ca="1" si="106"/>
        <v>0</v>
      </c>
      <c r="AC141" s="7">
        <f t="shared" ca="1" si="106"/>
        <v>0</v>
      </c>
      <c r="AD141" s="7">
        <f t="shared" ca="1" si="106"/>
        <v>0</v>
      </c>
      <c r="AE141" s="7">
        <f t="shared" ca="1" si="106"/>
        <v>0</v>
      </c>
      <c r="AF141" s="7">
        <f t="shared" ca="1" si="106"/>
        <v>0</v>
      </c>
      <c r="AG141" s="7">
        <f t="shared" ca="1" si="106"/>
        <v>0</v>
      </c>
      <c r="AH141" s="7">
        <f t="shared" ca="1" si="106"/>
        <v>0</v>
      </c>
      <c r="AI141" s="7">
        <f t="shared" ca="1" si="106"/>
        <v>0</v>
      </c>
      <c r="AJ141" s="7">
        <f t="shared" ca="1" si="106"/>
        <v>0</v>
      </c>
      <c r="AK141" s="7">
        <f t="shared" ca="1" si="106"/>
        <v>0</v>
      </c>
      <c r="AL141" s="7">
        <f t="shared" ca="1" si="106"/>
        <v>0</v>
      </c>
      <c r="AM141" s="7">
        <f t="shared" ca="1" si="106"/>
        <v>0</v>
      </c>
    </row>
    <row r="142" spans="1:39" x14ac:dyDescent="0.2">
      <c r="A142" s="3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  <c r="AG142" s="7"/>
      <c r="AH142" s="7"/>
      <c r="AI142" s="7"/>
      <c r="AJ142" s="7"/>
      <c r="AK142" s="7"/>
      <c r="AL142" s="7"/>
      <c r="AM142" s="7"/>
    </row>
    <row r="143" spans="1:39" x14ac:dyDescent="0.2">
      <c r="A143" s="3" t="s">
        <v>70</v>
      </c>
      <c r="C143" s="7">
        <f ca="1">C129+SUM($C141:C141)</f>
        <v>12919.0625</v>
      </c>
      <c r="D143" s="7">
        <f ca="1">D129+SUM($C141:D141)</f>
        <v>22490.535937499997</v>
      </c>
      <c r="E143" s="7">
        <f ca="1">E129+SUM($C141:E141)</f>
        <v>38207.499804687497</v>
      </c>
      <c r="F143" s="7">
        <f ca="1">F129+SUM($C141:F141)</f>
        <v>35714.080452231734</v>
      </c>
      <c r="G143" s="7">
        <f ca="1">G129+SUM($C141:G141)</f>
        <v>229276.11396248138</v>
      </c>
      <c r="H143" s="7">
        <f ca="1">H129+SUM($C141:H141)</f>
        <v>271025.81800930644</v>
      </c>
      <c r="I143" s="7">
        <f ca="1">I129+SUM($C141:I141)</f>
        <v>332892.09672247234</v>
      </c>
      <c r="J143" s="7">
        <f ca="1">J129+SUM($C141:J141)</f>
        <v>399181.31879998074</v>
      </c>
      <c r="K143" s="7">
        <f ca="1">K129+SUM($C141:K141)</f>
        <v>452080.69175229734</v>
      </c>
      <c r="L143" s="7">
        <f ca="1">L129+SUM($C141:L141)</f>
        <v>591897.59165074176</v>
      </c>
      <c r="M143" s="7">
        <f ca="1">M129+SUM($C141:M141)</f>
        <v>643438.66125641076</v>
      </c>
      <c r="N143" s="7">
        <f ca="1">N129+SUM($C141:N141)</f>
        <v>748500.49246398674</v>
      </c>
      <c r="O143" s="7">
        <f ca="1">O129+SUM($C141:O141)</f>
        <v>859267.05744988273</v>
      </c>
      <c r="P143" s="7">
        <f ca="1">P129+SUM($C141:P141)</f>
        <v>975981.2911249469</v>
      </c>
      <c r="Q143" s="7">
        <f ca="1">Q129+SUM($C141:Q141)</f>
        <v>1098895.4105429514</v>
      </c>
      <c r="R143" s="7">
        <f ca="1">R129+SUM($C141:R141)</f>
        <v>1228271.248199099</v>
      </c>
      <c r="S143" s="7">
        <f ca="1">S129+SUM($C141:S141)</f>
        <v>1364380.5968228865</v>
      </c>
      <c r="T143" s="7">
        <f ca="1">T129+SUM($C141:T141)</f>
        <v>1402527.6236677105</v>
      </c>
      <c r="U143" s="7">
        <f ca="1">U129+SUM($C141:U141)</f>
        <v>1449854.2259580824</v>
      </c>
      <c r="V143" s="7">
        <f ca="1">V129+SUM($C141:V141)</f>
        <v>1498907.5815076504</v>
      </c>
      <c r="W143" s="7">
        <f ca="1">W129+SUM($C141:W141)</f>
        <v>1549752.4964402271</v>
      </c>
      <c r="X143" s="7">
        <f ca="1">X129+SUM($C141:X141)</f>
        <v>1602456.179392647</v>
      </c>
      <c r="Y143" s="7">
        <f ca="1">Y129+SUM($C141:Y141)</f>
        <v>1636171.2358988209</v>
      </c>
      <c r="Z143" s="7">
        <f ca="1">Z129+SUM($C141:Z141)</f>
        <v>1670841.1811310996</v>
      </c>
      <c r="AA143" s="7">
        <f ca="1">AA129+SUM($C141:AA141)</f>
        <v>1706501.7452458595</v>
      </c>
      <c r="AB143" s="7">
        <f ca="1">AB129+SUM($C141:AB141)</f>
        <v>1743190.1198307537</v>
      </c>
      <c r="AC143" s="7">
        <f ca="1">AC129+SUM($C141:AC141)</f>
        <v>1780945.016796795</v>
      </c>
      <c r="AD143" s="7">
        <f ca="1">AD129+SUM($C141:AD141)</f>
        <v>1819806.7295462058</v>
      </c>
      <c r="AE143" s="7">
        <f ca="1">AE129+SUM($C141:AE141)</f>
        <v>1869924.4525328081</v>
      </c>
      <c r="AF143" s="7">
        <f ca="1">AF129+SUM($C141:AF141)</f>
        <v>1921739.9419416173</v>
      </c>
      <c r="AG143" s="7">
        <f ca="1">AG129+SUM($C141:AG141)</f>
        <v>1975317.5778012427</v>
      </c>
      <c r="AH143" s="7">
        <f ca="1">AH129+SUM($C141:AH141)</f>
        <v>2030724.2224962406</v>
      </c>
      <c r="AI143" s="7">
        <f ca="1">AI129+SUM($C141:AI141)</f>
        <v>2088029.314381151</v>
      </c>
      <c r="AJ143" s="7">
        <f ca="1">AJ129+SUM($C141:AJ141)</f>
        <v>2147304.9648157731</v>
      </c>
      <c r="AK143" s="7">
        <f ca="1">AK129+SUM($C141:AK141)</f>
        <v>2208626.0587430005</v>
      </c>
      <c r="AL143" s="7">
        <f ca="1">AL129+SUM($C141:AL141)</f>
        <v>2272070.3589347131</v>
      </c>
      <c r="AM143" s="7">
        <f ca="1">AM129+SUM($C141:AM141)</f>
        <v>2337718.614035564</v>
      </c>
    </row>
    <row r="144" spans="1:39" x14ac:dyDescent="0.2">
      <c r="A144" s="3" t="s">
        <v>67</v>
      </c>
      <c r="C144" s="7">
        <f t="shared" ref="C144:AM144" ca="1" si="107">MAX(C143+buffer,0)-MAX(C129+buffer,0)</f>
        <v>0</v>
      </c>
      <c r="D144" s="7">
        <f t="shared" ca="1" si="107"/>
        <v>0</v>
      </c>
      <c r="E144" s="7">
        <f t="shared" ca="1" si="107"/>
        <v>0</v>
      </c>
      <c r="F144" s="7">
        <f t="shared" ca="1" si="107"/>
        <v>0</v>
      </c>
      <c r="G144" s="7">
        <f t="shared" ca="1" si="107"/>
        <v>0</v>
      </c>
      <c r="H144" s="7">
        <f t="shared" ca="1" si="107"/>
        <v>0</v>
      </c>
      <c r="I144" s="7">
        <f t="shared" ca="1" si="107"/>
        <v>0</v>
      </c>
      <c r="J144" s="7">
        <f t="shared" ca="1" si="107"/>
        <v>0</v>
      </c>
      <c r="K144" s="7">
        <f t="shared" ca="1" si="107"/>
        <v>0</v>
      </c>
      <c r="L144" s="7">
        <f t="shared" ca="1" si="107"/>
        <v>0</v>
      </c>
      <c r="M144" s="7">
        <f t="shared" ca="1" si="107"/>
        <v>0</v>
      </c>
      <c r="N144" s="7">
        <f t="shared" ca="1" si="107"/>
        <v>0</v>
      </c>
      <c r="O144" s="7">
        <f t="shared" ca="1" si="107"/>
        <v>0</v>
      </c>
      <c r="P144" s="7">
        <f t="shared" ca="1" si="107"/>
        <v>0</v>
      </c>
      <c r="Q144" s="7">
        <f t="shared" ca="1" si="107"/>
        <v>0</v>
      </c>
      <c r="R144" s="7">
        <f t="shared" ca="1" si="107"/>
        <v>0</v>
      </c>
      <c r="S144" s="7">
        <f t="shared" ca="1" si="107"/>
        <v>0</v>
      </c>
      <c r="T144" s="7">
        <f t="shared" ca="1" si="107"/>
        <v>0</v>
      </c>
      <c r="U144" s="7">
        <f t="shared" ca="1" si="107"/>
        <v>0</v>
      </c>
      <c r="V144" s="7">
        <f t="shared" ca="1" si="107"/>
        <v>0</v>
      </c>
      <c r="W144" s="7">
        <f t="shared" ca="1" si="107"/>
        <v>0</v>
      </c>
      <c r="X144" s="7">
        <f t="shared" ca="1" si="107"/>
        <v>0</v>
      </c>
      <c r="Y144" s="7">
        <f t="shared" ca="1" si="107"/>
        <v>0</v>
      </c>
      <c r="Z144" s="7">
        <f t="shared" ca="1" si="107"/>
        <v>0</v>
      </c>
      <c r="AA144" s="7">
        <f t="shared" ca="1" si="107"/>
        <v>0</v>
      </c>
      <c r="AB144" s="7">
        <f t="shared" ca="1" si="107"/>
        <v>0</v>
      </c>
      <c r="AC144" s="7">
        <f t="shared" ca="1" si="107"/>
        <v>0</v>
      </c>
      <c r="AD144" s="7">
        <f t="shared" ca="1" si="107"/>
        <v>0</v>
      </c>
      <c r="AE144" s="7">
        <f t="shared" ca="1" si="107"/>
        <v>0</v>
      </c>
      <c r="AF144" s="7">
        <f t="shared" ca="1" si="107"/>
        <v>0</v>
      </c>
      <c r="AG144" s="7">
        <f t="shared" ca="1" si="107"/>
        <v>0</v>
      </c>
      <c r="AH144" s="7">
        <f t="shared" ca="1" si="107"/>
        <v>0</v>
      </c>
      <c r="AI144" s="7">
        <f t="shared" ca="1" si="107"/>
        <v>0</v>
      </c>
      <c r="AJ144" s="7">
        <f t="shared" ca="1" si="107"/>
        <v>0</v>
      </c>
      <c r="AK144" s="7">
        <f t="shared" ca="1" si="107"/>
        <v>0</v>
      </c>
      <c r="AL144" s="7">
        <f t="shared" ca="1" si="107"/>
        <v>0</v>
      </c>
      <c r="AM144" s="7">
        <f t="shared" ca="1" si="107"/>
        <v>0</v>
      </c>
    </row>
    <row r="145" spans="1:39" x14ac:dyDescent="0.2">
      <c r="A145" s="3" t="s">
        <v>68</v>
      </c>
      <c r="C145" s="7">
        <f ca="1">C144*Inputs!$B$270</f>
        <v>0</v>
      </c>
      <c r="D145" s="7">
        <f ca="1">D144*Inputs!$B$270</f>
        <v>0</v>
      </c>
      <c r="E145" s="7">
        <f ca="1">E144*Inputs!$B$270</f>
        <v>0</v>
      </c>
      <c r="F145" s="7">
        <f ca="1">F144*Inputs!$B$270</f>
        <v>0</v>
      </c>
      <c r="G145" s="7">
        <f ca="1">G144*Inputs!$B$270</f>
        <v>0</v>
      </c>
      <c r="H145" s="7">
        <f ca="1">H144*Inputs!$B$270</f>
        <v>0</v>
      </c>
      <c r="I145" s="7">
        <f ca="1">I144*Inputs!$B$270</f>
        <v>0</v>
      </c>
      <c r="J145" s="7">
        <f ca="1">J144*Inputs!$B$270</f>
        <v>0</v>
      </c>
      <c r="K145" s="7">
        <f ca="1">K144*Inputs!$B$270</f>
        <v>0</v>
      </c>
      <c r="L145" s="7">
        <f ca="1">L144*Inputs!$B$270</f>
        <v>0</v>
      </c>
      <c r="M145" s="7">
        <f ca="1">M144*Inputs!$B$270</f>
        <v>0</v>
      </c>
      <c r="N145" s="7">
        <f ca="1">N144*Inputs!$B$270</f>
        <v>0</v>
      </c>
      <c r="O145" s="7">
        <f ca="1">O144*Inputs!$B$270</f>
        <v>0</v>
      </c>
      <c r="P145" s="7">
        <f ca="1">P144*Inputs!$B$270</f>
        <v>0</v>
      </c>
      <c r="Q145" s="7">
        <f ca="1">Q144*Inputs!$B$270</f>
        <v>0</v>
      </c>
      <c r="R145" s="7">
        <f ca="1">R144*Inputs!$B$270</f>
        <v>0</v>
      </c>
      <c r="S145" s="7">
        <f ca="1">S144*Inputs!$B$270</f>
        <v>0</v>
      </c>
      <c r="T145" s="7">
        <f ca="1">T144*Inputs!$B$270</f>
        <v>0</v>
      </c>
      <c r="U145" s="7">
        <f ca="1">U144*Inputs!$B$270</f>
        <v>0</v>
      </c>
      <c r="V145" s="7">
        <f ca="1">V144*Inputs!$B$270</f>
        <v>0</v>
      </c>
      <c r="W145" s="7">
        <f ca="1">W144*Inputs!$B$270</f>
        <v>0</v>
      </c>
      <c r="X145" s="7">
        <f ca="1">X144*Inputs!$B$270</f>
        <v>0</v>
      </c>
      <c r="Y145" s="7">
        <f ca="1">Y144*Inputs!$B$270</f>
        <v>0</v>
      </c>
      <c r="Z145" s="7">
        <f ca="1">Z144*Inputs!$B$270</f>
        <v>0</v>
      </c>
      <c r="AA145" s="7">
        <f ca="1">AA144*Inputs!$B$270</f>
        <v>0</v>
      </c>
      <c r="AB145" s="7">
        <f ca="1">AB144*Inputs!$B$270</f>
        <v>0</v>
      </c>
      <c r="AC145" s="7">
        <f ca="1">AC144*Inputs!$B$270</f>
        <v>0</v>
      </c>
      <c r="AD145" s="7">
        <f ca="1">AD144*Inputs!$B$270</f>
        <v>0</v>
      </c>
      <c r="AE145" s="7">
        <f ca="1">AE144*Inputs!$B$270</f>
        <v>0</v>
      </c>
      <c r="AF145" s="7">
        <f ca="1">AF144*Inputs!$B$270</f>
        <v>0</v>
      </c>
      <c r="AG145" s="7">
        <f ca="1">AG144*Inputs!$B$270</f>
        <v>0</v>
      </c>
      <c r="AH145" s="7">
        <f ca="1">AH144*Inputs!$B$270</f>
        <v>0</v>
      </c>
      <c r="AI145" s="7">
        <f ca="1">AI144*Inputs!$B$270</f>
        <v>0</v>
      </c>
      <c r="AJ145" s="7">
        <f ca="1">AJ144*Inputs!$B$270</f>
        <v>0</v>
      </c>
      <c r="AK145" s="7">
        <f ca="1">AK144*Inputs!$B$270</f>
        <v>0</v>
      </c>
      <c r="AL145" s="7">
        <f ca="1">AL144*Inputs!$B$270</f>
        <v>0</v>
      </c>
      <c r="AM145" s="7">
        <f ca="1">AM144*Inputs!$B$270</f>
        <v>0</v>
      </c>
    </row>
    <row r="146" spans="1:39" x14ac:dyDescent="0.2">
      <c r="A146" s="3" t="s">
        <v>149</v>
      </c>
      <c r="C146" s="7">
        <f ca="1">C143+SUM($C145:C145)</f>
        <v>12919.0625</v>
      </c>
      <c r="D146" s="7">
        <f ca="1">D143+SUM($C145:D145)</f>
        <v>22490.535937499997</v>
      </c>
      <c r="E146" s="7">
        <f ca="1">E143+SUM($C145:E145)</f>
        <v>38207.499804687497</v>
      </c>
      <c r="F146" s="7">
        <f ca="1">F143+SUM($C145:F145)</f>
        <v>35714.080452231734</v>
      </c>
      <c r="G146" s="7">
        <f ca="1">G143+SUM($C145:G145)</f>
        <v>229276.11396248138</v>
      </c>
      <c r="H146" s="7">
        <f ca="1">H143+SUM($C145:H145)</f>
        <v>271025.81800930644</v>
      </c>
      <c r="I146" s="7">
        <f ca="1">I143+SUM($C145:I145)</f>
        <v>332892.09672247234</v>
      </c>
      <c r="J146" s="7">
        <f ca="1">J143+SUM($C145:J145)</f>
        <v>399181.31879998074</v>
      </c>
      <c r="K146" s="7">
        <f ca="1">K143+SUM($C145:K145)</f>
        <v>452080.69175229734</v>
      </c>
      <c r="L146" s="7">
        <f ca="1">L143+SUM($C145:L145)</f>
        <v>591897.59165074176</v>
      </c>
      <c r="M146" s="7">
        <f ca="1">M143+SUM($C145:M145)</f>
        <v>643438.66125641076</v>
      </c>
      <c r="N146" s="7">
        <f ca="1">N143+SUM($C145:N145)</f>
        <v>748500.49246398674</v>
      </c>
      <c r="O146" s="7">
        <f ca="1">O143+SUM($C145:O145)</f>
        <v>859267.05744988273</v>
      </c>
      <c r="P146" s="7">
        <f ca="1">P143+SUM($C145:P145)</f>
        <v>975981.2911249469</v>
      </c>
      <c r="Q146" s="7">
        <f ca="1">Q143+SUM($C145:Q145)</f>
        <v>1098895.4105429514</v>
      </c>
      <c r="R146" s="7">
        <f ca="1">R143+SUM($C145:R145)</f>
        <v>1228271.248199099</v>
      </c>
      <c r="S146" s="7">
        <f ca="1">S143+SUM($C145:S145)</f>
        <v>1364380.5968228865</v>
      </c>
      <c r="T146" s="7">
        <f ca="1">T143+SUM($C145:T145)</f>
        <v>1402527.6236677105</v>
      </c>
      <c r="U146" s="7">
        <f ca="1">U143+SUM($C145:U145)</f>
        <v>1449854.2259580824</v>
      </c>
      <c r="V146" s="7">
        <f ca="1">V143+SUM($C145:V145)</f>
        <v>1498907.5815076504</v>
      </c>
      <c r="W146" s="7">
        <f ca="1">W143+SUM($C145:W145)</f>
        <v>1549752.4964402271</v>
      </c>
      <c r="X146" s="7">
        <f ca="1">X143+SUM($C145:X145)</f>
        <v>1602456.179392647</v>
      </c>
      <c r="Y146" s="7">
        <f ca="1">Y143+SUM($C145:Y145)</f>
        <v>1636171.2358988209</v>
      </c>
      <c r="Z146" s="7">
        <f ca="1">Z143+SUM($C145:Z145)</f>
        <v>1670841.1811310996</v>
      </c>
      <c r="AA146" s="7">
        <f ca="1">AA143+SUM($C145:AA145)</f>
        <v>1706501.7452458595</v>
      </c>
      <c r="AB146" s="7">
        <f ca="1">AB143+SUM($C145:AB145)</f>
        <v>1743190.1198307537</v>
      </c>
      <c r="AC146" s="7">
        <f ca="1">AC143+SUM($C145:AC145)</f>
        <v>1780945.016796795</v>
      </c>
      <c r="AD146" s="7">
        <f ca="1">AD143+SUM($C145:AD145)</f>
        <v>1819806.7295462058</v>
      </c>
      <c r="AE146" s="7">
        <f ca="1">AE143+SUM($C145:AE145)</f>
        <v>1869924.4525328081</v>
      </c>
      <c r="AF146" s="7">
        <f ca="1">AF143+SUM($C145:AF145)</f>
        <v>1921739.9419416173</v>
      </c>
      <c r="AG146" s="7">
        <f ca="1">AG143+SUM($C145:AG145)</f>
        <v>1975317.5778012427</v>
      </c>
      <c r="AH146" s="7">
        <f ca="1">AH143+SUM($C145:AH145)</f>
        <v>2030724.2224962406</v>
      </c>
      <c r="AI146" s="7">
        <f ca="1">AI143+SUM($C145:AI145)</f>
        <v>2088029.314381151</v>
      </c>
      <c r="AJ146" s="7">
        <f ca="1">AJ143+SUM($C145:AJ145)</f>
        <v>2147304.9648157731</v>
      </c>
      <c r="AK146" s="7">
        <f ca="1">AK143+SUM($C145:AK145)</f>
        <v>2208626.0587430005</v>
      </c>
      <c r="AL146" s="7">
        <f ca="1">AL143+SUM($C145:AL145)</f>
        <v>2272070.3589347131</v>
      </c>
      <c r="AM146" s="7">
        <f ca="1">AM143+SUM($C145:AM145)</f>
        <v>2337718.614035564</v>
      </c>
    </row>
    <row r="147" spans="1:39" x14ac:dyDescent="0.2">
      <c r="A147" s="3" t="s">
        <v>19</v>
      </c>
      <c r="C147" s="7">
        <f ca="1">IF(C146&lt;0,-C146,0)</f>
        <v>0</v>
      </c>
      <c r="D147" s="7">
        <f ca="1">IF(D146+SUM($C147:C147)&lt;0,-(D146+SUM($C147:C147)),0)</f>
        <v>0</v>
      </c>
      <c r="E147" s="7">
        <f ca="1">IF(E146+SUM($C147:D147)&lt;0,-(E146+SUM($C147:D147)),0)</f>
        <v>0</v>
      </c>
      <c r="F147" s="7">
        <f ca="1">IF(F146+SUM($C147:E147)&lt;0,-(F146+SUM($C147:E147)),0)</f>
        <v>0</v>
      </c>
      <c r="G147" s="7">
        <f ca="1">IF(G146+SUM($C147:F147)&lt;0,-(G146+SUM($C147:F147)),0)</f>
        <v>0</v>
      </c>
      <c r="H147" s="7">
        <f ca="1">IF(H146+SUM($C147:G147)&lt;0,-(H146+SUM($C147:G147)),0)</f>
        <v>0</v>
      </c>
      <c r="I147" s="7">
        <f ca="1">IF(I146+SUM($C147:H147)&lt;0,-(I146+SUM($C147:H147)),0)</f>
        <v>0</v>
      </c>
      <c r="J147" s="7">
        <f ca="1">IF(J146+SUM($C147:I147)&lt;0,-(J146+SUM($C147:I147)),0)</f>
        <v>0</v>
      </c>
      <c r="K147" s="7">
        <f ca="1">IF(K146+SUM($C147:J147)&lt;0,-(K146+SUM($C147:J147)),0)</f>
        <v>0</v>
      </c>
      <c r="L147" s="7">
        <f ca="1">IF(L146+SUM($C147:K147)&lt;0,-(L146+SUM($C147:K147)),0)</f>
        <v>0</v>
      </c>
      <c r="M147" s="7">
        <f ca="1">IF(M146+SUM($C147:L147)&lt;0,-(M146+SUM($C147:L147)),0)</f>
        <v>0</v>
      </c>
      <c r="N147" s="7">
        <f ca="1">IF(N146+SUM($C147:M147)&lt;0,-(N146+SUM($C147:M147)),0)</f>
        <v>0</v>
      </c>
      <c r="O147" s="7">
        <f ca="1">IF(O146+SUM($C147:N147)&lt;0,-(O146+SUM($C147:N147)),0)</f>
        <v>0</v>
      </c>
      <c r="P147" s="7">
        <f ca="1">IF(P146+SUM($C147:O147)&lt;0,-(P146+SUM($C147:O147)),0)</f>
        <v>0</v>
      </c>
      <c r="Q147" s="7">
        <f ca="1">IF(Q146+SUM($C147:P147)&lt;0,-(Q146+SUM($C147:P147)),0)</f>
        <v>0</v>
      </c>
      <c r="R147" s="7">
        <f ca="1">IF(R146+SUM($C147:Q147)&lt;0,-(R146+SUM($C147:Q147)),0)</f>
        <v>0</v>
      </c>
      <c r="S147" s="7">
        <f ca="1">IF(S146+SUM($C147:R147)&lt;0,-(S146+SUM($C147:R147)),0)</f>
        <v>0</v>
      </c>
      <c r="T147" s="7">
        <f ca="1">IF(T146+SUM($C147:S147)&lt;0,-(T146+SUM($C147:S147)),0)</f>
        <v>0</v>
      </c>
      <c r="U147" s="7">
        <f ca="1">IF(U146+SUM($C147:T147)&lt;0,-(U146+SUM($C147:T147)),0)</f>
        <v>0</v>
      </c>
      <c r="V147" s="7">
        <f ca="1">IF(V146+SUM($C147:U147)&lt;0,-(V146+SUM($C147:U147)),0)</f>
        <v>0</v>
      </c>
      <c r="W147" s="7">
        <f ca="1">IF(W146+SUM($C147:V147)&lt;0,-(W146+SUM($C147:V147)),0)</f>
        <v>0</v>
      </c>
      <c r="X147" s="7">
        <f ca="1">IF(X146+SUM($C147:W147)&lt;0,-(X146+SUM($C147:W147)),0)</f>
        <v>0</v>
      </c>
      <c r="Y147" s="7">
        <f ca="1">IF(Y146+SUM($C147:X147)&lt;0,-(Y146+SUM($C147:X147)),0)</f>
        <v>0</v>
      </c>
      <c r="Z147" s="7">
        <f ca="1">IF(Z146+SUM($C147:Y147)&lt;0,-(Z146+SUM($C147:Y147)),0)</f>
        <v>0</v>
      </c>
      <c r="AA147" s="7">
        <f ca="1">IF(AA146+SUM($C147:Z147)&lt;0,-(AA146+SUM($C147:Z147)),0)</f>
        <v>0</v>
      </c>
      <c r="AB147" s="7">
        <f ca="1">IF(AB146+SUM($C147:AA147)&lt;0,-(AB146+SUM($C147:AA147)),0)</f>
        <v>0</v>
      </c>
      <c r="AC147" s="7">
        <f ca="1">IF(AC146+SUM($C147:AB147)&lt;0,-(AC146+SUM($C147:AB147)),0)</f>
        <v>0</v>
      </c>
      <c r="AD147" s="7">
        <f ca="1">IF(AD146+SUM($C147:AC147)&lt;0,-(AD146+SUM($C147:AC147)),0)</f>
        <v>0</v>
      </c>
      <c r="AE147" s="7">
        <f ca="1">IF(AE146+SUM($C147:AD147)&lt;0,-(AE146+SUM($C147:AD147)),0)</f>
        <v>0</v>
      </c>
      <c r="AF147" s="7">
        <f ca="1">IF(AF146+SUM($C147:AE147)&lt;0,-(AF146+SUM($C147:AE147)),0)</f>
        <v>0</v>
      </c>
      <c r="AG147" s="7">
        <f ca="1">IF(AG146+SUM($C147:AF147)&lt;0,-(AG146+SUM($C147:AF147)),0)</f>
        <v>0</v>
      </c>
      <c r="AH147" s="7">
        <f ca="1">IF(AH146+SUM($C147:AG147)&lt;0,-(AH146+SUM($C147:AG147)),0)</f>
        <v>0</v>
      </c>
      <c r="AI147" s="7">
        <f ca="1">IF(AI146+SUM($C147:AH147)&lt;0,-(AI146+SUM($C147:AH147)),0)</f>
        <v>0</v>
      </c>
      <c r="AJ147" s="7">
        <f ca="1">IF(AJ146+SUM($C147:AI147)&lt;0,-(AJ146+SUM($C147:AI147)),0)</f>
        <v>0</v>
      </c>
      <c r="AK147" s="7">
        <f ca="1">IF(AK146+SUM($C147:AJ147)&lt;0,-(AK146+SUM($C147:AJ147)),0)</f>
        <v>0</v>
      </c>
      <c r="AL147" s="7">
        <f ca="1">IF(AL146+SUM($C147:AK147)&lt;0,-(AL146+SUM($C147:AK147)),0)</f>
        <v>0</v>
      </c>
      <c r="AM147" s="7">
        <f ca="1">IF(AM146+SUM($C147:AL147)&lt;0,-(AM146+SUM($C147:AL147)),0)</f>
        <v>0</v>
      </c>
    </row>
    <row r="148" spans="1:39" x14ac:dyDescent="0.2"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  <c r="AG148" s="7"/>
      <c r="AH148" s="7"/>
      <c r="AI148" s="7"/>
      <c r="AJ148" s="7"/>
      <c r="AK148" s="7"/>
      <c r="AL148" s="7"/>
      <c r="AM148" s="7"/>
    </row>
    <row r="149" spans="1:39" x14ac:dyDescent="0.2">
      <c r="A149" s="24" t="str">
        <f>IF(Inputs!$B$290=6,IFERROR(_xlfn.XLOOKUP($B149,Inputs!$B$291:$B$300,Inputs!$A$291:$A$300,,0,1),""),IFERROR(_xlfn.XLOOKUP($B149,Inputs!$C$291:$C$300,Inputs!$A$291:$A$300,,0,1),""))</f>
        <v>Jewelry</v>
      </c>
      <c r="B149" s="26">
        <v>3</v>
      </c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/>
      <c r="AG149" s="7"/>
      <c r="AH149" s="7"/>
      <c r="AI149" s="7"/>
      <c r="AJ149" s="7"/>
      <c r="AK149" s="7"/>
      <c r="AL149" s="7"/>
      <c r="AM149" s="7"/>
    </row>
    <row r="150" spans="1:39" x14ac:dyDescent="0.2">
      <c r="A150" s="3" t="s">
        <v>21</v>
      </c>
      <c r="C150" s="7">
        <f ca="1">IFERROR(VLOOKUP($A149,$A$68:$H$97,C$1+2,FALSE),0)</f>
        <v>50748.140451472013</v>
      </c>
      <c r="D150" s="7">
        <f ca="1">C153</f>
        <v>50748.140451472013</v>
      </c>
      <c r="E150" s="7">
        <f t="shared" ref="E150:AM150" ca="1" si="108">D153</f>
        <v>51763.103260501455</v>
      </c>
      <c r="F150" s="7">
        <f t="shared" ca="1" si="108"/>
        <v>52798.365325711486</v>
      </c>
      <c r="G150" s="7">
        <f t="shared" ca="1" si="108"/>
        <v>53854.332632225713</v>
      </c>
      <c r="H150" s="7">
        <f t="shared" ca="1" si="108"/>
        <v>54931.41928487023</v>
      </c>
      <c r="I150" s="7">
        <f t="shared" ca="1" si="108"/>
        <v>56030.047670567634</v>
      </c>
      <c r="J150" s="7">
        <f t="shared" ca="1" si="108"/>
        <v>57150.648623978988</v>
      </c>
      <c r="K150" s="7">
        <f t="shared" ca="1" si="108"/>
        <v>58293.661596458565</v>
      </c>
      <c r="L150" s="7">
        <f t="shared" ca="1" si="108"/>
        <v>59459.534828387739</v>
      </c>
      <c r="M150" s="7">
        <f t="shared" ca="1" si="108"/>
        <v>60648.725524955495</v>
      </c>
      <c r="N150" s="7">
        <f t="shared" ca="1" si="108"/>
        <v>61861.700035454603</v>
      </c>
      <c r="O150" s="7">
        <f t="shared" ca="1" si="108"/>
        <v>63098.934036163693</v>
      </c>
      <c r="P150" s="7">
        <f t="shared" ca="1" si="108"/>
        <v>64360.912716886967</v>
      </c>
      <c r="Q150" s="7">
        <f t="shared" ca="1" si="108"/>
        <v>65648.130971224702</v>
      </c>
      <c r="R150" s="7">
        <f t="shared" ca="1" si="108"/>
        <v>66961.093590649194</v>
      </c>
      <c r="S150" s="7">
        <f t="shared" ca="1" si="108"/>
        <v>68300.315462462182</v>
      </c>
      <c r="T150" s="7">
        <f t="shared" ca="1" si="108"/>
        <v>69666.321771711431</v>
      </c>
      <c r="U150" s="7">
        <f t="shared" ca="1" si="108"/>
        <v>71059.648207145656</v>
      </c>
      <c r="V150" s="7">
        <f t="shared" ca="1" si="108"/>
        <v>72480.841171288572</v>
      </c>
      <c r="W150" s="7">
        <f t="shared" ca="1" si="108"/>
        <v>73930.45799471435</v>
      </c>
      <c r="X150" s="7">
        <f t="shared" ca="1" si="108"/>
        <v>75409.067154608638</v>
      </c>
      <c r="Y150" s="7">
        <f t="shared" ca="1" si="108"/>
        <v>76917.248497700813</v>
      </c>
      <c r="Z150" s="7">
        <f t="shared" ca="1" si="108"/>
        <v>78455.593467654835</v>
      </c>
      <c r="AA150" s="7">
        <f t="shared" ca="1" si="108"/>
        <v>80024.705337007937</v>
      </c>
      <c r="AB150" s="7">
        <f t="shared" ca="1" si="108"/>
        <v>81625.19944374809</v>
      </c>
      <c r="AC150" s="7">
        <f t="shared" ca="1" si="108"/>
        <v>83257.70343262305</v>
      </c>
      <c r="AD150" s="7">
        <f t="shared" ca="1" si="108"/>
        <v>84922.857501275517</v>
      </c>
      <c r="AE150" s="7">
        <f t="shared" ca="1" si="108"/>
        <v>86621.314651301029</v>
      </c>
      <c r="AF150" s="7">
        <f t="shared" ca="1" si="108"/>
        <v>88353.740944327044</v>
      </c>
      <c r="AG150" s="7">
        <f t="shared" ca="1" si="108"/>
        <v>90120.815763213584</v>
      </c>
      <c r="AH150" s="7">
        <f t="shared" ca="1" si="108"/>
        <v>91923.232078477857</v>
      </c>
      <c r="AI150" s="7">
        <f t="shared" ca="1" si="108"/>
        <v>93761.696720047417</v>
      </c>
      <c r="AJ150" s="7">
        <f t="shared" ca="1" si="108"/>
        <v>95636.93065444837</v>
      </c>
      <c r="AK150" s="7">
        <f t="shared" ca="1" si="108"/>
        <v>97549.669267537334</v>
      </c>
      <c r="AL150" s="7">
        <f t="shared" ca="1" si="108"/>
        <v>99500.662652888088</v>
      </c>
      <c r="AM150" s="7">
        <f t="shared" ca="1" si="108"/>
        <v>101490.67590594586</v>
      </c>
    </row>
    <row r="151" spans="1:39" x14ac:dyDescent="0.2">
      <c r="A151" s="3" t="s">
        <v>22</v>
      </c>
      <c r="C151" s="7">
        <f ca="1">-IF(D147&gt;0,C150,0)</f>
        <v>0</v>
      </c>
      <c r="D151" s="7">
        <f ca="1">-IF(E147&gt;0,D150,0)</f>
        <v>0</v>
      </c>
      <c r="E151" s="7">
        <f ca="1">-IF(F147&gt;0,E150,0)</f>
        <v>0</v>
      </c>
      <c r="F151" s="7">
        <f ca="1">-IF(G147&gt;0,F150,0)</f>
        <v>0</v>
      </c>
      <c r="G151" s="7">
        <f t="shared" ref="G151" ca="1" si="109">-IF(H147&gt;0,G150,0)</f>
        <v>0</v>
      </c>
      <c r="H151" s="7">
        <f t="shared" ref="H151" ca="1" si="110">-IF(I147&gt;0,H150,0)</f>
        <v>0</v>
      </c>
      <c r="I151" s="7">
        <f t="shared" ref="I151" ca="1" si="111">-IF(J147&gt;0,I150,0)</f>
        <v>0</v>
      </c>
      <c r="J151" s="7">
        <f t="shared" ref="J151" ca="1" si="112">-IF(K147&gt;0,J150,0)</f>
        <v>0</v>
      </c>
      <c r="K151" s="7">
        <f t="shared" ref="K151" ca="1" si="113">-IF(L147&gt;0,K150,0)</f>
        <v>0</v>
      </c>
      <c r="L151" s="7">
        <f t="shared" ref="L151" ca="1" si="114">-IF(M147&gt;0,L150,0)</f>
        <v>0</v>
      </c>
      <c r="M151" s="7">
        <f t="shared" ref="M151" ca="1" si="115">-IF(N147&gt;0,M150,0)</f>
        <v>0</v>
      </c>
      <c r="N151" s="7">
        <f t="shared" ref="N151" ca="1" si="116">-IF(O147&gt;0,N150,0)</f>
        <v>0</v>
      </c>
      <c r="O151" s="7">
        <f t="shared" ref="O151" ca="1" si="117">-IF(P147&gt;0,O150,0)</f>
        <v>0</v>
      </c>
      <c r="P151" s="7">
        <f t="shared" ref="P151" ca="1" si="118">-IF(Q147&gt;0,P150,0)</f>
        <v>0</v>
      </c>
      <c r="Q151" s="7">
        <f t="shared" ref="Q151" ca="1" si="119">-IF(R147&gt;0,Q150,0)</f>
        <v>0</v>
      </c>
      <c r="R151" s="7">
        <f t="shared" ref="R151" ca="1" si="120">-IF(S147&gt;0,R150,0)</f>
        <v>0</v>
      </c>
      <c r="S151" s="7">
        <f t="shared" ref="S151" ca="1" si="121">-IF(T147&gt;0,S150,0)</f>
        <v>0</v>
      </c>
      <c r="T151" s="7">
        <f t="shared" ref="T151" ca="1" si="122">-IF(U147&gt;0,T150,0)</f>
        <v>0</v>
      </c>
      <c r="U151" s="7">
        <f t="shared" ref="U151" ca="1" si="123">-IF(V147&gt;0,U150,0)</f>
        <v>0</v>
      </c>
      <c r="V151" s="7">
        <f t="shared" ref="V151" ca="1" si="124">-IF(W147&gt;0,V150,0)</f>
        <v>0</v>
      </c>
      <c r="W151" s="7">
        <f t="shared" ref="W151" ca="1" si="125">-IF(X147&gt;0,W150,0)</f>
        <v>0</v>
      </c>
      <c r="X151" s="7">
        <f t="shared" ref="X151" ca="1" si="126">-IF(Y147&gt;0,X150,0)</f>
        <v>0</v>
      </c>
      <c r="Y151" s="7">
        <f t="shared" ref="Y151" ca="1" si="127">-IF(Z147&gt;0,Y150,0)</f>
        <v>0</v>
      </c>
      <c r="Z151" s="7">
        <f t="shared" ref="Z151" ca="1" si="128">-IF(AA147&gt;0,Z150,0)</f>
        <v>0</v>
      </c>
      <c r="AA151" s="7">
        <f t="shared" ref="AA151" ca="1" si="129">-IF(AB147&gt;0,AA150,0)</f>
        <v>0</v>
      </c>
      <c r="AB151" s="7">
        <f t="shared" ref="AB151" ca="1" si="130">-IF(AC147&gt;0,AB150,0)</f>
        <v>0</v>
      </c>
      <c r="AC151" s="7">
        <f t="shared" ref="AC151" ca="1" si="131">-IF(AD147&gt;0,AC150,0)</f>
        <v>0</v>
      </c>
      <c r="AD151" s="7">
        <f t="shared" ref="AD151" ca="1" si="132">-IF(AE147&gt;0,AD150,0)</f>
        <v>0</v>
      </c>
      <c r="AE151" s="7">
        <f t="shared" ref="AE151" ca="1" si="133">-IF(AF147&gt;0,AE150,0)</f>
        <v>0</v>
      </c>
      <c r="AF151" s="7">
        <f t="shared" ref="AF151" ca="1" si="134">-IF(AG147&gt;0,AF150,0)</f>
        <v>0</v>
      </c>
      <c r="AG151" s="7">
        <f t="shared" ref="AG151" ca="1" si="135">-IF(AH147&gt;0,AG150,0)</f>
        <v>0</v>
      </c>
      <c r="AH151" s="7">
        <f t="shared" ref="AH151" ca="1" si="136">-IF(AI147&gt;0,AH150,0)</f>
        <v>0</v>
      </c>
      <c r="AI151" s="7">
        <f t="shared" ref="AI151" ca="1" si="137">-IF(AJ147&gt;0,AI150,0)</f>
        <v>0</v>
      </c>
      <c r="AJ151" s="7">
        <f t="shared" ref="AJ151" ca="1" si="138">-IF(AK147&gt;0,AJ150,0)</f>
        <v>0</v>
      </c>
      <c r="AK151" s="7">
        <f t="shared" ref="AK151" ca="1" si="139">-IF(AL147&gt;0,AK150,0)</f>
        <v>0</v>
      </c>
      <c r="AL151" s="7">
        <f t="shared" ref="AL151" ca="1" si="140">-IF(AM147&gt;0,AL150,0)</f>
        <v>0</v>
      </c>
      <c r="AM151" s="7">
        <f t="shared" ref="AM151" si="141">-IF(AN147&gt;0,AM150,0)</f>
        <v>0</v>
      </c>
    </row>
    <row r="152" spans="1:39" x14ac:dyDescent="0.2">
      <c r="A152" s="3" t="s">
        <v>23</v>
      </c>
      <c r="C152" s="7">
        <v>0</v>
      </c>
      <c r="D152" s="7">
        <f t="shared" ref="D152:AM152" ca="1" si="142">SUM(D150:D151)*VLOOKUP($A149,AssVar,2,FALSE)</f>
        <v>1014.9628090294402</v>
      </c>
      <c r="E152" s="7">
        <f t="shared" ca="1" si="142"/>
        <v>1035.262065210029</v>
      </c>
      <c r="F152" s="7">
        <f t="shared" ca="1" si="142"/>
        <v>1055.9673065142297</v>
      </c>
      <c r="G152" s="7">
        <f t="shared" ca="1" si="142"/>
        <v>1077.0866526445143</v>
      </c>
      <c r="H152" s="7">
        <f t="shared" ca="1" si="142"/>
        <v>1098.6283856974046</v>
      </c>
      <c r="I152" s="7">
        <f t="shared" ca="1" si="142"/>
        <v>1120.6009534113527</v>
      </c>
      <c r="J152" s="7">
        <f t="shared" ca="1" si="142"/>
        <v>1143.0129724795797</v>
      </c>
      <c r="K152" s="7">
        <f t="shared" ca="1" si="142"/>
        <v>1165.8732319291714</v>
      </c>
      <c r="L152" s="7">
        <f t="shared" ca="1" si="142"/>
        <v>1189.1906965677549</v>
      </c>
      <c r="M152" s="7">
        <f t="shared" ca="1" si="142"/>
        <v>1212.97451049911</v>
      </c>
      <c r="N152" s="7">
        <f t="shared" ca="1" si="142"/>
        <v>1237.234000709092</v>
      </c>
      <c r="O152" s="7">
        <f t="shared" ca="1" si="142"/>
        <v>1261.9786807232738</v>
      </c>
      <c r="P152" s="7">
        <f t="shared" ca="1" si="142"/>
        <v>1287.2182543377394</v>
      </c>
      <c r="Q152" s="7">
        <f t="shared" ca="1" si="142"/>
        <v>1312.9626194244941</v>
      </c>
      <c r="R152" s="7">
        <f t="shared" ca="1" si="142"/>
        <v>1339.2218718129839</v>
      </c>
      <c r="S152" s="7">
        <f t="shared" ca="1" si="142"/>
        <v>1366.0063092492437</v>
      </c>
      <c r="T152" s="7">
        <f t="shared" ca="1" si="142"/>
        <v>1393.3264354342286</v>
      </c>
      <c r="U152" s="7">
        <f t="shared" ca="1" si="142"/>
        <v>1421.1929641429131</v>
      </c>
      <c r="V152" s="7">
        <f t="shared" ca="1" si="142"/>
        <v>1449.6168234257714</v>
      </c>
      <c r="W152" s="7">
        <f t="shared" ca="1" si="142"/>
        <v>1478.6091598942871</v>
      </c>
      <c r="X152" s="7">
        <f t="shared" ca="1" si="142"/>
        <v>1508.1813430921727</v>
      </c>
      <c r="Y152" s="7">
        <f t="shared" ca="1" si="142"/>
        <v>1538.3449699540163</v>
      </c>
      <c r="Z152" s="7">
        <f t="shared" ca="1" si="142"/>
        <v>1569.1118693530968</v>
      </c>
      <c r="AA152" s="7">
        <f t="shared" ca="1" si="142"/>
        <v>1600.4941067401587</v>
      </c>
      <c r="AB152" s="7">
        <f t="shared" ca="1" si="142"/>
        <v>1632.5039888749618</v>
      </c>
      <c r="AC152" s="7">
        <f t="shared" ca="1" si="142"/>
        <v>1665.1540686524611</v>
      </c>
      <c r="AD152" s="7">
        <f t="shared" ca="1" si="142"/>
        <v>1698.4571500255104</v>
      </c>
      <c r="AE152" s="7">
        <f t="shared" ca="1" si="142"/>
        <v>1732.4262930260206</v>
      </c>
      <c r="AF152" s="7">
        <f t="shared" ca="1" si="142"/>
        <v>1767.0748188865409</v>
      </c>
      <c r="AG152" s="7">
        <f t="shared" ca="1" si="142"/>
        <v>1802.4163152642718</v>
      </c>
      <c r="AH152" s="7">
        <f t="shared" ca="1" si="142"/>
        <v>1838.4646415695572</v>
      </c>
      <c r="AI152" s="7">
        <f t="shared" ca="1" si="142"/>
        <v>1875.2339344009483</v>
      </c>
      <c r="AJ152" s="7">
        <f t="shared" ca="1" si="142"/>
        <v>1912.7386130889674</v>
      </c>
      <c r="AK152" s="7">
        <f t="shared" ca="1" si="142"/>
        <v>1950.9933853507466</v>
      </c>
      <c r="AL152" s="7">
        <f t="shared" ca="1" si="142"/>
        <v>1990.0132530577619</v>
      </c>
      <c r="AM152" s="7">
        <f t="shared" ca="1" si="142"/>
        <v>2029.8135181189173</v>
      </c>
    </row>
    <row r="153" spans="1:39" x14ac:dyDescent="0.2">
      <c r="A153" s="3" t="s">
        <v>24</v>
      </c>
      <c r="C153" s="7">
        <f ca="1">SUM(C150:C152)</f>
        <v>50748.140451472013</v>
      </c>
      <c r="D153" s="7">
        <f t="shared" ref="D153:AM153" ca="1" si="143">SUM(D150:D152)</f>
        <v>51763.103260501455</v>
      </c>
      <c r="E153" s="7">
        <f t="shared" ca="1" si="143"/>
        <v>52798.365325711486</v>
      </c>
      <c r="F153" s="7">
        <f t="shared" ca="1" si="143"/>
        <v>53854.332632225713</v>
      </c>
      <c r="G153" s="7">
        <f t="shared" ca="1" si="143"/>
        <v>54931.41928487023</v>
      </c>
      <c r="H153" s="7">
        <f t="shared" ca="1" si="143"/>
        <v>56030.047670567634</v>
      </c>
      <c r="I153" s="7">
        <f t="shared" ca="1" si="143"/>
        <v>57150.648623978988</v>
      </c>
      <c r="J153" s="7">
        <f t="shared" ca="1" si="143"/>
        <v>58293.661596458565</v>
      </c>
      <c r="K153" s="7">
        <f t="shared" ca="1" si="143"/>
        <v>59459.534828387739</v>
      </c>
      <c r="L153" s="7">
        <f t="shared" ca="1" si="143"/>
        <v>60648.725524955495</v>
      </c>
      <c r="M153" s="7">
        <f t="shared" ca="1" si="143"/>
        <v>61861.700035454603</v>
      </c>
      <c r="N153" s="7">
        <f t="shared" ca="1" si="143"/>
        <v>63098.934036163693</v>
      </c>
      <c r="O153" s="7">
        <f t="shared" ca="1" si="143"/>
        <v>64360.912716886967</v>
      </c>
      <c r="P153" s="7">
        <f t="shared" ca="1" si="143"/>
        <v>65648.130971224702</v>
      </c>
      <c r="Q153" s="7">
        <f t="shared" ca="1" si="143"/>
        <v>66961.093590649194</v>
      </c>
      <c r="R153" s="7">
        <f t="shared" ca="1" si="143"/>
        <v>68300.315462462182</v>
      </c>
      <c r="S153" s="7">
        <f t="shared" ca="1" si="143"/>
        <v>69666.321771711431</v>
      </c>
      <c r="T153" s="7">
        <f t="shared" ca="1" si="143"/>
        <v>71059.648207145656</v>
      </c>
      <c r="U153" s="7">
        <f t="shared" ca="1" si="143"/>
        <v>72480.841171288572</v>
      </c>
      <c r="V153" s="7">
        <f t="shared" ca="1" si="143"/>
        <v>73930.45799471435</v>
      </c>
      <c r="W153" s="7">
        <f t="shared" ca="1" si="143"/>
        <v>75409.067154608638</v>
      </c>
      <c r="X153" s="7">
        <f t="shared" ca="1" si="143"/>
        <v>76917.248497700813</v>
      </c>
      <c r="Y153" s="7">
        <f t="shared" ca="1" si="143"/>
        <v>78455.593467654835</v>
      </c>
      <c r="Z153" s="7">
        <f t="shared" ca="1" si="143"/>
        <v>80024.705337007937</v>
      </c>
      <c r="AA153" s="7">
        <f t="shared" ca="1" si="143"/>
        <v>81625.19944374809</v>
      </c>
      <c r="AB153" s="7">
        <f t="shared" ca="1" si="143"/>
        <v>83257.70343262305</v>
      </c>
      <c r="AC153" s="7">
        <f t="shared" ca="1" si="143"/>
        <v>84922.857501275517</v>
      </c>
      <c r="AD153" s="7">
        <f t="shared" ca="1" si="143"/>
        <v>86621.314651301029</v>
      </c>
      <c r="AE153" s="7">
        <f t="shared" ca="1" si="143"/>
        <v>88353.740944327044</v>
      </c>
      <c r="AF153" s="7">
        <f t="shared" ca="1" si="143"/>
        <v>90120.815763213584</v>
      </c>
      <c r="AG153" s="7">
        <f t="shared" ca="1" si="143"/>
        <v>91923.232078477857</v>
      </c>
      <c r="AH153" s="7">
        <f t="shared" ca="1" si="143"/>
        <v>93761.696720047417</v>
      </c>
      <c r="AI153" s="7">
        <f t="shared" ca="1" si="143"/>
        <v>95636.93065444837</v>
      </c>
      <c r="AJ153" s="7">
        <f t="shared" ca="1" si="143"/>
        <v>97549.669267537334</v>
      </c>
      <c r="AK153" s="7">
        <f t="shared" ca="1" si="143"/>
        <v>99500.662652888088</v>
      </c>
      <c r="AL153" s="7">
        <f t="shared" ca="1" si="143"/>
        <v>101490.67590594586</v>
      </c>
      <c r="AM153" s="7">
        <f t="shared" ca="1" si="143"/>
        <v>103520.48942406477</v>
      </c>
    </row>
    <row r="154" spans="1:39" x14ac:dyDescent="0.2">
      <c r="A154" s="3" t="s">
        <v>25</v>
      </c>
      <c r="C154" s="7">
        <f t="shared" ref="C154:AM154" ca="1" si="144">C151*VLOOKUP($A149,AssVar,3,FALSE)</f>
        <v>0</v>
      </c>
      <c r="D154" s="7">
        <f t="shared" ca="1" si="144"/>
        <v>0</v>
      </c>
      <c r="E154" s="7">
        <f t="shared" ca="1" si="144"/>
        <v>0</v>
      </c>
      <c r="F154" s="7">
        <f t="shared" ca="1" si="144"/>
        <v>0</v>
      </c>
      <c r="G154" s="7">
        <f t="shared" ca="1" si="144"/>
        <v>0</v>
      </c>
      <c r="H154" s="7">
        <f t="shared" ca="1" si="144"/>
        <v>0</v>
      </c>
      <c r="I154" s="7">
        <f t="shared" ca="1" si="144"/>
        <v>0</v>
      </c>
      <c r="J154" s="7">
        <f t="shared" ca="1" si="144"/>
        <v>0</v>
      </c>
      <c r="K154" s="7">
        <f t="shared" ca="1" si="144"/>
        <v>0</v>
      </c>
      <c r="L154" s="7">
        <f t="shared" ca="1" si="144"/>
        <v>0</v>
      </c>
      <c r="M154" s="7">
        <f t="shared" ca="1" si="144"/>
        <v>0</v>
      </c>
      <c r="N154" s="7">
        <f t="shared" ca="1" si="144"/>
        <v>0</v>
      </c>
      <c r="O154" s="7">
        <f t="shared" ca="1" si="144"/>
        <v>0</v>
      </c>
      <c r="P154" s="7">
        <f t="shared" ca="1" si="144"/>
        <v>0</v>
      </c>
      <c r="Q154" s="7">
        <f t="shared" ca="1" si="144"/>
        <v>0</v>
      </c>
      <c r="R154" s="7">
        <f t="shared" ca="1" si="144"/>
        <v>0</v>
      </c>
      <c r="S154" s="7">
        <f t="shared" ca="1" si="144"/>
        <v>0</v>
      </c>
      <c r="T154" s="7">
        <f t="shared" ca="1" si="144"/>
        <v>0</v>
      </c>
      <c r="U154" s="7">
        <f t="shared" ca="1" si="144"/>
        <v>0</v>
      </c>
      <c r="V154" s="7">
        <f t="shared" ca="1" si="144"/>
        <v>0</v>
      </c>
      <c r="W154" s="7">
        <f t="shared" ca="1" si="144"/>
        <v>0</v>
      </c>
      <c r="X154" s="7">
        <f t="shared" ca="1" si="144"/>
        <v>0</v>
      </c>
      <c r="Y154" s="7">
        <f t="shared" ca="1" si="144"/>
        <v>0</v>
      </c>
      <c r="Z154" s="7">
        <f t="shared" ca="1" si="144"/>
        <v>0</v>
      </c>
      <c r="AA154" s="7">
        <f t="shared" ca="1" si="144"/>
        <v>0</v>
      </c>
      <c r="AB154" s="7">
        <f t="shared" ca="1" si="144"/>
        <v>0</v>
      </c>
      <c r="AC154" s="7">
        <f t="shared" ca="1" si="144"/>
        <v>0</v>
      </c>
      <c r="AD154" s="7">
        <f t="shared" ca="1" si="144"/>
        <v>0</v>
      </c>
      <c r="AE154" s="7">
        <f t="shared" ca="1" si="144"/>
        <v>0</v>
      </c>
      <c r="AF154" s="7">
        <f t="shared" ca="1" si="144"/>
        <v>0</v>
      </c>
      <c r="AG154" s="7">
        <f t="shared" ca="1" si="144"/>
        <v>0</v>
      </c>
      <c r="AH154" s="7">
        <f t="shared" ca="1" si="144"/>
        <v>0</v>
      </c>
      <c r="AI154" s="7">
        <f t="shared" ca="1" si="144"/>
        <v>0</v>
      </c>
      <c r="AJ154" s="7">
        <f t="shared" ca="1" si="144"/>
        <v>0</v>
      </c>
      <c r="AK154" s="7">
        <f t="shared" ca="1" si="144"/>
        <v>0</v>
      </c>
      <c r="AL154" s="7">
        <f t="shared" ca="1" si="144"/>
        <v>0</v>
      </c>
      <c r="AM154" s="7">
        <f t="shared" si="144"/>
        <v>0</v>
      </c>
    </row>
    <row r="155" spans="1:39" x14ac:dyDescent="0.2">
      <c r="A155" s="3" t="s">
        <v>30</v>
      </c>
      <c r="C155" s="7">
        <f t="shared" ref="C155:AM155" ca="1" si="145">IFERROR(-IF(C150=0,VLOOKUP($A149,$8:$12,C$1+2,FALSE),0),0)</f>
        <v>0</v>
      </c>
      <c r="D155" s="7">
        <f t="shared" ca="1" si="145"/>
        <v>0</v>
      </c>
      <c r="E155" s="7">
        <f t="shared" ca="1" si="145"/>
        <v>0</v>
      </c>
      <c r="F155" s="7">
        <f t="shared" ca="1" si="145"/>
        <v>0</v>
      </c>
      <c r="G155" s="7">
        <f t="shared" ca="1" si="145"/>
        <v>0</v>
      </c>
      <c r="H155" s="7">
        <f t="shared" ca="1" si="145"/>
        <v>0</v>
      </c>
      <c r="I155" s="7">
        <f t="shared" ca="1" si="145"/>
        <v>0</v>
      </c>
      <c r="J155" s="7">
        <f t="shared" ca="1" si="145"/>
        <v>0</v>
      </c>
      <c r="K155" s="7">
        <f t="shared" ca="1" si="145"/>
        <v>0</v>
      </c>
      <c r="L155" s="7">
        <f t="shared" ca="1" si="145"/>
        <v>0</v>
      </c>
      <c r="M155" s="7">
        <f t="shared" ca="1" si="145"/>
        <v>0</v>
      </c>
      <c r="N155" s="7">
        <f t="shared" ca="1" si="145"/>
        <v>0</v>
      </c>
      <c r="O155" s="7">
        <f t="shared" ca="1" si="145"/>
        <v>0</v>
      </c>
      <c r="P155" s="7">
        <f t="shared" ca="1" si="145"/>
        <v>0</v>
      </c>
      <c r="Q155" s="7">
        <f t="shared" ca="1" si="145"/>
        <v>0</v>
      </c>
      <c r="R155" s="7">
        <f t="shared" ca="1" si="145"/>
        <v>0</v>
      </c>
      <c r="S155" s="7">
        <f t="shared" ca="1" si="145"/>
        <v>0</v>
      </c>
      <c r="T155" s="7">
        <f t="shared" ca="1" si="145"/>
        <v>0</v>
      </c>
      <c r="U155" s="7">
        <f t="shared" ca="1" si="145"/>
        <v>0</v>
      </c>
      <c r="V155" s="7">
        <f t="shared" ca="1" si="145"/>
        <v>0</v>
      </c>
      <c r="W155" s="7">
        <f t="shared" ca="1" si="145"/>
        <v>0</v>
      </c>
      <c r="X155" s="7">
        <f t="shared" ca="1" si="145"/>
        <v>0</v>
      </c>
      <c r="Y155" s="7">
        <f t="shared" ca="1" si="145"/>
        <v>0</v>
      </c>
      <c r="Z155" s="7">
        <f t="shared" ca="1" si="145"/>
        <v>0</v>
      </c>
      <c r="AA155" s="7">
        <f t="shared" ca="1" si="145"/>
        <v>0</v>
      </c>
      <c r="AB155" s="7">
        <f t="shared" ca="1" si="145"/>
        <v>0</v>
      </c>
      <c r="AC155" s="7">
        <f t="shared" ca="1" si="145"/>
        <v>0</v>
      </c>
      <c r="AD155" s="7">
        <f t="shared" ca="1" si="145"/>
        <v>0</v>
      </c>
      <c r="AE155" s="7">
        <f t="shared" ca="1" si="145"/>
        <v>0</v>
      </c>
      <c r="AF155" s="7">
        <f t="shared" ca="1" si="145"/>
        <v>0</v>
      </c>
      <c r="AG155" s="7">
        <f t="shared" ca="1" si="145"/>
        <v>0</v>
      </c>
      <c r="AH155" s="7">
        <f t="shared" ca="1" si="145"/>
        <v>0</v>
      </c>
      <c r="AI155" s="7">
        <f t="shared" ca="1" si="145"/>
        <v>0</v>
      </c>
      <c r="AJ155" s="7">
        <f t="shared" ca="1" si="145"/>
        <v>0</v>
      </c>
      <c r="AK155" s="7">
        <f t="shared" ca="1" si="145"/>
        <v>0</v>
      </c>
      <c r="AL155" s="7">
        <f t="shared" ca="1" si="145"/>
        <v>0</v>
      </c>
      <c r="AM155" s="7">
        <f t="shared" ca="1" si="145"/>
        <v>0</v>
      </c>
    </row>
    <row r="156" spans="1:39" x14ac:dyDescent="0.2">
      <c r="A156" s="3" t="s">
        <v>49</v>
      </c>
      <c r="C156" s="7">
        <f t="shared" ref="C156:AM156" ca="1" si="146">IFERROR(IF(C150=0,VLOOKUP($A149,$46:$50,C$1+2,FALSE),0),0)</f>
        <v>0</v>
      </c>
      <c r="D156" s="7">
        <f t="shared" ca="1" si="146"/>
        <v>0</v>
      </c>
      <c r="E156" s="7">
        <f t="shared" ca="1" si="146"/>
        <v>0</v>
      </c>
      <c r="F156" s="7">
        <f t="shared" ca="1" si="146"/>
        <v>0</v>
      </c>
      <c r="G156" s="7">
        <f t="shared" ca="1" si="146"/>
        <v>0</v>
      </c>
      <c r="H156" s="7">
        <f t="shared" ca="1" si="146"/>
        <v>0</v>
      </c>
      <c r="I156" s="7">
        <f t="shared" ca="1" si="146"/>
        <v>0</v>
      </c>
      <c r="J156" s="7">
        <f t="shared" ca="1" si="146"/>
        <v>0</v>
      </c>
      <c r="K156" s="7">
        <f t="shared" ca="1" si="146"/>
        <v>0</v>
      </c>
      <c r="L156" s="7">
        <f t="shared" ca="1" si="146"/>
        <v>0</v>
      </c>
      <c r="M156" s="7">
        <f t="shared" ca="1" si="146"/>
        <v>0</v>
      </c>
      <c r="N156" s="7">
        <f t="shared" ca="1" si="146"/>
        <v>0</v>
      </c>
      <c r="O156" s="7">
        <f t="shared" ca="1" si="146"/>
        <v>0</v>
      </c>
      <c r="P156" s="7">
        <f t="shared" ca="1" si="146"/>
        <v>0</v>
      </c>
      <c r="Q156" s="7">
        <f t="shared" ca="1" si="146"/>
        <v>0</v>
      </c>
      <c r="R156" s="7">
        <f t="shared" ca="1" si="146"/>
        <v>0</v>
      </c>
      <c r="S156" s="7">
        <f t="shared" ca="1" si="146"/>
        <v>0</v>
      </c>
      <c r="T156" s="7">
        <f t="shared" ca="1" si="146"/>
        <v>0</v>
      </c>
      <c r="U156" s="7">
        <f t="shared" ca="1" si="146"/>
        <v>0</v>
      </c>
      <c r="V156" s="7">
        <f t="shared" ca="1" si="146"/>
        <v>0</v>
      </c>
      <c r="W156" s="7">
        <f t="shared" ca="1" si="146"/>
        <v>0</v>
      </c>
      <c r="X156" s="7">
        <f t="shared" ca="1" si="146"/>
        <v>0</v>
      </c>
      <c r="Y156" s="7">
        <f t="shared" ca="1" si="146"/>
        <v>0</v>
      </c>
      <c r="Z156" s="7">
        <f t="shared" ca="1" si="146"/>
        <v>0</v>
      </c>
      <c r="AA156" s="7">
        <f t="shared" ca="1" si="146"/>
        <v>0</v>
      </c>
      <c r="AB156" s="7">
        <f t="shared" ca="1" si="146"/>
        <v>0</v>
      </c>
      <c r="AC156" s="7">
        <f t="shared" ca="1" si="146"/>
        <v>0</v>
      </c>
      <c r="AD156" s="7">
        <f t="shared" ca="1" si="146"/>
        <v>0</v>
      </c>
      <c r="AE156" s="7">
        <f t="shared" ca="1" si="146"/>
        <v>0</v>
      </c>
      <c r="AF156" s="7">
        <f t="shared" ca="1" si="146"/>
        <v>0</v>
      </c>
      <c r="AG156" s="7">
        <f t="shared" ca="1" si="146"/>
        <v>0</v>
      </c>
      <c r="AH156" s="7">
        <f t="shared" ca="1" si="146"/>
        <v>0</v>
      </c>
      <c r="AI156" s="7">
        <f t="shared" ca="1" si="146"/>
        <v>0</v>
      </c>
      <c r="AJ156" s="7">
        <f t="shared" ca="1" si="146"/>
        <v>0</v>
      </c>
      <c r="AK156" s="7">
        <f t="shared" ca="1" si="146"/>
        <v>0</v>
      </c>
      <c r="AL156" s="7">
        <f t="shared" ca="1" si="146"/>
        <v>0</v>
      </c>
      <c r="AM156" s="7">
        <f t="shared" ca="1" si="146"/>
        <v>0</v>
      </c>
    </row>
    <row r="157" spans="1:39" x14ac:dyDescent="0.2">
      <c r="A157" s="3" t="s">
        <v>35</v>
      </c>
      <c r="B157" s="14" t="str">
        <f>A149</f>
        <v>Jewelry</v>
      </c>
      <c r="C157" s="7">
        <f t="shared" ref="C157:AM157" ca="1" si="147">IF(AND(C150&gt;0,C153=0),VLOOKUP($A149,$86:$95,C$1+2,FALSE),0)</f>
        <v>0</v>
      </c>
      <c r="D157" s="7">
        <f t="shared" ca="1" si="147"/>
        <v>0</v>
      </c>
      <c r="E157" s="7">
        <f t="shared" ca="1" si="147"/>
        <v>0</v>
      </c>
      <c r="F157" s="7">
        <f t="shared" ca="1" si="147"/>
        <v>0</v>
      </c>
      <c r="G157" s="7">
        <f t="shared" ca="1" si="147"/>
        <v>0</v>
      </c>
      <c r="H157" s="7">
        <f t="shared" ca="1" si="147"/>
        <v>0</v>
      </c>
      <c r="I157" s="7">
        <f t="shared" ca="1" si="147"/>
        <v>0</v>
      </c>
      <c r="J157" s="7">
        <f t="shared" ca="1" si="147"/>
        <v>0</v>
      </c>
      <c r="K157" s="7">
        <f t="shared" ca="1" si="147"/>
        <v>0</v>
      </c>
      <c r="L157" s="7">
        <f t="shared" ca="1" si="147"/>
        <v>0</v>
      </c>
      <c r="M157" s="7">
        <f t="shared" ca="1" si="147"/>
        <v>0</v>
      </c>
      <c r="N157" s="7">
        <f t="shared" ca="1" si="147"/>
        <v>0</v>
      </c>
      <c r="O157" s="7">
        <f t="shared" ca="1" si="147"/>
        <v>0</v>
      </c>
      <c r="P157" s="7">
        <f t="shared" ca="1" si="147"/>
        <v>0</v>
      </c>
      <c r="Q157" s="7">
        <f t="shared" ca="1" si="147"/>
        <v>0</v>
      </c>
      <c r="R157" s="7">
        <f t="shared" ca="1" si="147"/>
        <v>0</v>
      </c>
      <c r="S157" s="7">
        <f t="shared" ca="1" si="147"/>
        <v>0</v>
      </c>
      <c r="T157" s="7">
        <f t="shared" ca="1" si="147"/>
        <v>0</v>
      </c>
      <c r="U157" s="7">
        <f t="shared" ca="1" si="147"/>
        <v>0</v>
      </c>
      <c r="V157" s="7">
        <f t="shared" ca="1" si="147"/>
        <v>0</v>
      </c>
      <c r="W157" s="7">
        <f t="shared" ca="1" si="147"/>
        <v>0</v>
      </c>
      <c r="X157" s="7">
        <f t="shared" ca="1" si="147"/>
        <v>0</v>
      </c>
      <c r="Y157" s="7">
        <f t="shared" ca="1" si="147"/>
        <v>0</v>
      </c>
      <c r="Z157" s="7">
        <f t="shared" ca="1" si="147"/>
        <v>0</v>
      </c>
      <c r="AA157" s="7">
        <f t="shared" ca="1" si="147"/>
        <v>0</v>
      </c>
      <c r="AB157" s="7">
        <f t="shared" ca="1" si="147"/>
        <v>0</v>
      </c>
      <c r="AC157" s="7">
        <f t="shared" ca="1" si="147"/>
        <v>0</v>
      </c>
      <c r="AD157" s="7">
        <f t="shared" ca="1" si="147"/>
        <v>0</v>
      </c>
      <c r="AE157" s="7">
        <f t="shared" ca="1" si="147"/>
        <v>0</v>
      </c>
      <c r="AF157" s="7">
        <f t="shared" ca="1" si="147"/>
        <v>0</v>
      </c>
      <c r="AG157" s="7">
        <f t="shared" ca="1" si="147"/>
        <v>0</v>
      </c>
      <c r="AH157" s="7">
        <f t="shared" ca="1" si="147"/>
        <v>0</v>
      </c>
      <c r="AI157" s="7">
        <f t="shared" ca="1" si="147"/>
        <v>0</v>
      </c>
      <c r="AJ157" s="7">
        <f t="shared" ca="1" si="147"/>
        <v>0</v>
      </c>
      <c r="AK157" s="7">
        <f t="shared" ca="1" si="147"/>
        <v>0</v>
      </c>
      <c r="AL157" s="7">
        <f t="shared" ca="1" si="147"/>
        <v>0</v>
      </c>
      <c r="AM157" s="7">
        <f t="shared" ca="1" si="147"/>
        <v>0</v>
      </c>
    </row>
    <row r="158" spans="1:39" x14ac:dyDescent="0.2">
      <c r="A158" s="3" t="s">
        <v>36</v>
      </c>
      <c r="C158" s="7">
        <f ca="1">-C151+SUM(C154:C157)</f>
        <v>0</v>
      </c>
      <c r="D158" s="7">
        <f t="shared" ref="D158" ca="1" si="148">-D151+SUM(D154:D157)</f>
        <v>0</v>
      </c>
      <c r="E158" s="7">
        <f t="shared" ref="E158:AM158" ca="1" si="149">-E151+SUM(E154:E157)</f>
        <v>0</v>
      </c>
      <c r="F158" s="7">
        <f t="shared" ca="1" si="149"/>
        <v>0</v>
      </c>
      <c r="G158" s="7">
        <f t="shared" ca="1" si="149"/>
        <v>0</v>
      </c>
      <c r="H158" s="7">
        <f t="shared" ca="1" si="149"/>
        <v>0</v>
      </c>
      <c r="I158" s="7">
        <f t="shared" ca="1" si="149"/>
        <v>0</v>
      </c>
      <c r="J158" s="7">
        <f t="shared" ca="1" si="149"/>
        <v>0</v>
      </c>
      <c r="K158" s="7">
        <f t="shared" ca="1" si="149"/>
        <v>0</v>
      </c>
      <c r="L158" s="7">
        <f t="shared" ca="1" si="149"/>
        <v>0</v>
      </c>
      <c r="M158" s="7">
        <f t="shared" ca="1" si="149"/>
        <v>0</v>
      </c>
      <c r="N158" s="7">
        <f t="shared" ca="1" si="149"/>
        <v>0</v>
      </c>
      <c r="O158" s="7">
        <f t="shared" ca="1" si="149"/>
        <v>0</v>
      </c>
      <c r="P158" s="7">
        <f t="shared" ca="1" si="149"/>
        <v>0</v>
      </c>
      <c r="Q158" s="7">
        <f t="shared" ca="1" si="149"/>
        <v>0</v>
      </c>
      <c r="R158" s="7">
        <f t="shared" ca="1" si="149"/>
        <v>0</v>
      </c>
      <c r="S158" s="7">
        <f t="shared" ca="1" si="149"/>
        <v>0</v>
      </c>
      <c r="T158" s="7">
        <f t="shared" ca="1" si="149"/>
        <v>0</v>
      </c>
      <c r="U158" s="7">
        <f t="shared" ca="1" si="149"/>
        <v>0</v>
      </c>
      <c r="V158" s="7">
        <f t="shared" ca="1" si="149"/>
        <v>0</v>
      </c>
      <c r="W158" s="7">
        <f t="shared" ca="1" si="149"/>
        <v>0</v>
      </c>
      <c r="X158" s="7">
        <f t="shared" ca="1" si="149"/>
        <v>0</v>
      </c>
      <c r="Y158" s="7">
        <f t="shared" ca="1" si="149"/>
        <v>0</v>
      </c>
      <c r="Z158" s="7">
        <f t="shared" ca="1" si="149"/>
        <v>0</v>
      </c>
      <c r="AA158" s="7">
        <f t="shared" ca="1" si="149"/>
        <v>0</v>
      </c>
      <c r="AB158" s="7">
        <f t="shared" ca="1" si="149"/>
        <v>0</v>
      </c>
      <c r="AC158" s="7">
        <f t="shared" ca="1" si="149"/>
        <v>0</v>
      </c>
      <c r="AD158" s="7">
        <f t="shared" ca="1" si="149"/>
        <v>0</v>
      </c>
      <c r="AE158" s="7">
        <f t="shared" ca="1" si="149"/>
        <v>0</v>
      </c>
      <c r="AF158" s="7">
        <f t="shared" ca="1" si="149"/>
        <v>0</v>
      </c>
      <c r="AG158" s="7">
        <f t="shared" ca="1" si="149"/>
        <v>0</v>
      </c>
      <c r="AH158" s="7">
        <f t="shared" ca="1" si="149"/>
        <v>0</v>
      </c>
      <c r="AI158" s="7">
        <f t="shared" ca="1" si="149"/>
        <v>0</v>
      </c>
      <c r="AJ158" s="7">
        <f t="shared" ca="1" si="149"/>
        <v>0</v>
      </c>
      <c r="AK158" s="7">
        <f t="shared" ca="1" si="149"/>
        <v>0</v>
      </c>
      <c r="AL158" s="7">
        <f t="shared" ca="1" si="149"/>
        <v>0</v>
      </c>
      <c r="AM158" s="7">
        <f t="shared" ca="1" si="149"/>
        <v>0</v>
      </c>
    </row>
    <row r="159" spans="1:39" x14ac:dyDescent="0.2">
      <c r="A159" s="3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/>
      <c r="AG159" s="7"/>
      <c r="AH159" s="7"/>
      <c r="AI159" s="7"/>
      <c r="AJ159" s="7"/>
      <c r="AK159" s="7"/>
      <c r="AL159" s="7"/>
      <c r="AM159" s="7"/>
    </row>
    <row r="160" spans="1:39" x14ac:dyDescent="0.2">
      <c r="A160" s="3" t="s">
        <v>70</v>
      </c>
      <c r="C160" s="7">
        <f ca="1">C146+SUM($C158:C158)</f>
        <v>12919.0625</v>
      </c>
      <c r="D160" s="7">
        <f ca="1">D146+SUM($C158:D158)</f>
        <v>22490.535937499997</v>
      </c>
      <c r="E160" s="7">
        <f ca="1">E146+SUM($C158:E158)</f>
        <v>38207.499804687497</v>
      </c>
      <c r="F160" s="7">
        <f ca="1">F146+SUM($C158:F158)</f>
        <v>35714.080452231734</v>
      </c>
      <c r="G160" s="7">
        <f ca="1">G146+SUM($C158:G158)</f>
        <v>229276.11396248138</v>
      </c>
      <c r="H160" s="7">
        <f ca="1">H146+SUM($C158:H158)</f>
        <v>271025.81800930644</v>
      </c>
      <c r="I160" s="7">
        <f ca="1">I146+SUM($C158:I158)</f>
        <v>332892.09672247234</v>
      </c>
      <c r="J160" s="7">
        <f ca="1">J146+SUM($C158:J158)</f>
        <v>399181.31879998074</v>
      </c>
      <c r="K160" s="7">
        <f ca="1">K146+SUM($C158:K158)</f>
        <v>452080.69175229734</v>
      </c>
      <c r="L160" s="7">
        <f ca="1">L146+SUM($C158:L158)</f>
        <v>591897.59165074176</v>
      </c>
      <c r="M160" s="7">
        <f ca="1">M146+SUM($C158:M158)</f>
        <v>643438.66125641076</v>
      </c>
      <c r="N160" s="7">
        <f ca="1">N146+SUM($C158:N158)</f>
        <v>748500.49246398674</v>
      </c>
      <c r="O160" s="7">
        <f ca="1">O146+SUM($C158:O158)</f>
        <v>859267.05744988273</v>
      </c>
      <c r="P160" s="7">
        <f ca="1">P146+SUM($C158:P158)</f>
        <v>975981.2911249469</v>
      </c>
      <c r="Q160" s="7">
        <f ca="1">Q146+SUM($C158:Q158)</f>
        <v>1098895.4105429514</v>
      </c>
      <c r="R160" s="7">
        <f ca="1">R146+SUM($C158:R158)</f>
        <v>1228271.248199099</v>
      </c>
      <c r="S160" s="7">
        <f ca="1">S146+SUM($C158:S158)</f>
        <v>1364380.5968228865</v>
      </c>
      <c r="T160" s="7">
        <f ca="1">T146+SUM($C158:T158)</f>
        <v>1402527.6236677105</v>
      </c>
      <c r="U160" s="7">
        <f ca="1">U146+SUM($C158:U158)</f>
        <v>1449854.2259580824</v>
      </c>
      <c r="V160" s="7">
        <f ca="1">V146+SUM($C158:V158)</f>
        <v>1498907.5815076504</v>
      </c>
      <c r="W160" s="7">
        <f ca="1">W146+SUM($C158:W158)</f>
        <v>1549752.4964402271</v>
      </c>
      <c r="X160" s="7">
        <f ca="1">X146+SUM($C158:X158)</f>
        <v>1602456.179392647</v>
      </c>
      <c r="Y160" s="7">
        <f ca="1">Y146+SUM($C158:Y158)</f>
        <v>1636171.2358988209</v>
      </c>
      <c r="Z160" s="7">
        <f ca="1">Z146+SUM($C158:Z158)</f>
        <v>1670841.1811310996</v>
      </c>
      <c r="AA160" s="7">
        <f ca="1">AA146+SUM($C158:AA158)</f>
        <v>1706501.7452458595</v>
      </c>
      <c r="AB160" s="7">
        <f ca="1">AB146+SUM($C158:AB158)</f>
        <v>1743190.1198307537</v>
      </c>
      <c r="AC160" s="7">
        <f ca="1">AC146+SUM($C158:AC158)</f>
        <v>1780945.016796795</v>
      </c>
      <c r="AD160" s="7">
        <f ca="1">AD146+SUM($C158:AD158)</f>
        <v>1819806.7295462058</v>
      </c>
      <c r="AE160" s="7">
        <f ca="1">AE146+SUM($C158:AE158)</f>
        <v>1869924.4525328081</v>
      </c>
      <c r="AF160" s="7">
        <f ca="1">AF146+SUM($C158:AF158)</f>
        <v>1921739.9419416173</v>
      </c>
      <c r="AG160" s="7">
        <f ca="1">AG146+SUM($C158:AG158)</f>
        <v>1975317.5778012427</v>
      </c>
      <c r="AH160" s="7">
        <f ca="1">AH146+SUM($C158:AH158)</f>
        <v>2030724.2224962406</v>
      </c>
      <c r="AI160" s="7">
        <f ca="1">AI146+SUM($C158:AI158)</f>
        <v>2088029.314381151</v>
      </c>
      <c r="AJ160" s="7">
        <f ca="1">AJ146+SUM($C158:AJ158)</f>
        <v>2147304.9648157731</v>
      </c>
      <c r="AK160" s="7">
        <f ca="1">AK146+SUM($C158:AK158)</f>
        <v>2208626.0587430005</v>
      </c>
      <c r="AL160" s="7">
        <f ca="1">AL146+SUM($C158:AL158)</f>
        <v>2272070.3589347131</v>
      </c>
      <c r="AM160" s="7">
        <f ca="1">AM146+SUM($C158:AM158)</f>
        <v>2337718.614035564</v>
      </c>
    </row>
    <row r="161" spans="1:39" x14ac:dyDescent="0.2">
      <c r="A161" s="3" t="s">
        <v>67</v>
      </c>
      <c r="C161" s="7">
        <f t="shared" ref="C161:AM161" ca="1" si="150">MAX(C160+buffer,0)-MAX(C146+buffer,0)</f>
        <v>0</v>
      </c>
      <c r="D161" s="7">
        <f t="shared" ca="1" si="150"/>
        <v>0</v>
      </c>
      <c r="E161" s="7">
        <f t="shared" ca="1" si="150"/>
        <v>0</v>
      </c>
      <c r="F161" s="7">
        <f t="shared" ca="1" si="150"/>
        <v>0</v>
      </c>
      <c r="G161" s="7">
        <f t="shared" ca="1" si="150"/>
        <v>0</v>
      </c>
      <c r="H161" s="7">
        <f t="shared" ca="1" si="150"/>
        <v>0</v>
      </c>
      <c r="I161" s="7">
        <f t="shared" ca="1" si="150"/>
        <v>0</v>
      </c>
      <c r="J161" s="7">
        <f t="shared" ca="1" si="150"/>
        <v>0</v>
      </c>
      <c r="K161" s="7">
        <f t="shared" ca="1" si="150"/>
        <v>0</v>
      </c>
      <c r="L161" s="7">
        <f t="shared" ca="1" si="150"/>
        <v>0</v>
      </c>
      <c r="M161" s="7">
        <f t="shared" ca="1" si="150"/>
        <v>0</v>
      </c>
      <c r="N161" s="7">
        <f t="shared" ca="1" si="150"/>
        <v>0</v>
      </c>
      <c r="O161" s="7">
        <f t="shared" ca="1" si="150"/>
        <v>0</v>
      </c>
      <c r="P161" s="7">
        <f t="shared" ca="1" si="150"/>
        <v>0</v>
      </c>
      <c r="Q161" s="7">
        <f t="shared" ca="1" si="150"/>
        <v>0</v>
      </c>
      <c r="R161" s="7">
        <f t="shared" ca="1" si="150"/>
        <v>0</v>
      </c>
      <c r="S161" s="7">
        <f t="shared" ca="1" si="150"/>
        <v>0</v>
      </c>
      <c r="T161" s="7">
        <f t="shared" ca="1" si="150"/>
        <v>0</v>
      </c>
      <c r="U161" s="7">
        <f t="shared" ca="1" si="150"/>
        <v>0</v>
      </c>
      <c r="V161" s="7">
        <f t="shared" ca="1" si="150"/>
        <v>0</v>
      </c>
      <c r="W161" s="7">
        <f t="shared" ca="1" si="150"/>
        <v>0</v>
      </c>
      <c r="X161" s="7">
        <f t="shared" ca="1" si="150"/>
        <v>0</v>
      </c>
      <c r="Y161" s="7">
        <f t="shared" ca="1" si="150"/>
        <v>0</v>
      </c>
      <c r="Z161" s="7">
        <f t="shared" ca="1" si="150"/>
        <v>0</v>
      </c>
      <c r="AA161" s="7">
        <f t="shared" ca="1" si="150"/>
        <v>0</v>
      </c>
      <c r="AB161" s="7">
        <f t="shared" ca="1" si="150"/>
        <v>0</v>
      </c>
      <c r="AC161" s="7">
        <f t="shared" ca="1" si="150"/>
        <v>0</v>
      </c>
      <c r="AD161" s="7">
        <f t="shared" ca="1" si="150"/>
        <v>0</v>
      </c>
      <c r="AE161" s="7">
        <f t="shared" ca="1" si="150"/>
        <v>0</v>
      </c>
      <c r="AF161" s="7">
        <f t="shared" ca="1" si="150"/>
        <v>0</v>
      </c>
      <c r="AG161" s="7">
        <f t="shared" ca="1" si="150"/>
        <v>0</v>
      </c>
      <c r="AH161" s="7">
        <f t="shared" ca="1" si="150"/>
        <v>0</v>
      </c>
      <c r="AI161" s="7">
        <f t="shared" ca="1" si="150"/>
        <v>0</v>
      </c>
      <c r="AJ161" s="7">
        <f t="shared" ca="1" si="150"/>
        <v>0</v>
      </c>
      <c r="AK161" s="7">
        <f t="shared" ca="1" si="150"/>
        <v>0</v>
      </c>
      <c r="AL161" s="7">
        <f t="shared" ca="1" si="150"/>
        <v>0</v>
      </c>
      <c r="AM161" s="7">
        <f t="shared" ca="1" si="150"/>
        <v>0</v>
      </c>
    </row>
    <row r="162" spans="1:39" x14ac:dyDescent="0.2">
      <c r="A162" s="3" t="s">
        <v>68</v>
      </c>
      <c r="C162" s="7">
        <f ca="1">C161*Inputs!$B$270</f>
        <v>0</v>
      </c>
      <c r="D162" s="7">
        <f ca="1">D161*Inputs!$B$270</f>
        <v>0</v>
      </c>
      <c r="E162" s="7">
        <f ca="1">E161*Inputs!$B$270</f>
        <v>0</v>
      </c>
      <c r="F162" s="7">
        <f ca="1">F161*Inputs!$B$270</f>
        <v>0</v>
      </c>
      <c r="G162" s="7">
        <f ca="1">G161*Inputs!$B$270</f>
        <v>0</v>
      </c>
      <c r="H162" s="7">
        <f ca="1">H161*Inputs!$B$270</f>
        <v>0</v>
      </c>
      <c r="I162" s="7">
        <f ca="1">I161*Inputs!$B$270</f>
        <v>0</v>
      </c>
      <c r="J162" s="7">
        <f ca="1">J161*Inputs!$B$270</f>
        <v>0</v>
      </c>
      <c r="K162" s="7">
        <f ca="1">K161*Inputs!$B$270</f>
        <v>0</v>
      </c>
      <c r="L162" s="7">
        <f ca="1">L161*Inputs!$B$270</f>
        <v>0</v>
      </c>
      <c r="M162" s="7">
        <f ca="1">M161*Inputs!$B$270</f>
        <v>0</v>
      </c>
      <c r="N162" s="7">
        <f ca="1">N161*Inputs!$B$270</f>
        <v>0</v>
      </c>
      <c r="O162" s="7">
        <f ca="1">O161*Inputs!$B$270</f>
        <v>0</v>
      </c>
      <c r="P162" s="7">
        <f ca="1">P161*Inputs!$B$270</f>
        <v>0</v>
      </c>
      <c r="Q162" s="7">
        <f ca="1">Q161*Inputs!$B$270</f>
        <v>0</v>
      </c>
      <c r="R162" s="7">
        <f ca="1">R161*Inputs!$B$270</f>
        <v>0</v>
      </c>
      <c r="S162" s="7">
        <f ca="1">S161*Inputs!$B$270</f>
        <v>0</v>
      </c>
      <c r="T162" s="7">
        <f ca="1">T161*Inputs!$B$270</f>
        <v>0</v>
      </c>
      <c r="U162" s="7">
        <f ca="1">U161*Inputs!$B$270</f>
        <v>0</v>
      </c>
      <c r="V162" s="7">
        <f ca="1">V161*Inputs!$B$270</f>
        <v>0</v>
      </c>
      <c r="W162" s="7">
        <f ca="1">W161*Inputs!$B$270</f>
        <v>0</v>
      </c>
      <c r="X162" s="7">
        <f ca="1">X161*Inputs!$B$270</f>
        <v>0</v>
      </c>
      <c r="Y162" s="7">
        <f ca="1">Y161*Inputs!$B$270</f>
        <v>0</v>
      </c>
      <c r="Z162" s="7">
        <f ca="1">Z161*Inputs!$B$270</f>
        <v>0</v>
      </c>
      <c r="AA162" s="7">
        <f ca="1">AA161*Inputs!$B$270</f>
        <v>0</v>
      </c>
      <c r="AB162" s="7">
        <f ca="1">AB161*Inputs!$B$270</f>
        <v>0</v>
      </c>
      <c r="AC162" s="7">
        <f ca="1">AC161*Inputs!$B$270</f>
        <v>0</v>
      </c>
      <c r="AD162" s="7">
        <f ca="1">AD161*Inputs!$B$270</f>
        <v>0</v>
      </c>
      <c r="AE162" s="7">
        <f ca="1">AE161*Inputs!$B$270</f>
        <v>0</v>
      </c>
      <c r="AF162" s="7">
        <f ca="1">AF161*Inputs!$B$270</f>
        <v>0</v>
      </c>
      <c r="AG162" s="7">
        <f ca="1">AG161*Inputs!$B$270</f>
        <v>0</v>
      </c>
      <c r="AH162" s="7">
        <f ca="1">AH161*Inputs!$B$270</f>
        <v>0</v>
      </c>
      <c r="AI162" s="7">
        <f ca="1">AI161*Inputs!$B$270</f>
        <v>0</v>
      </c>
      <c r="AJ162" s="7">
        <f ca="1">AJ161*Inputs!$B$270</f>
        <v>0</v>
      </c>
      <c r="AK162" s="7">
        <f ca="1">AK161*Inputs!$B$270</f>
        <v>0</v>
      </c>
      <c r="AL162" s="7">
        <f ca="1">AL161*Inputs!$B$270</f>
        <v>0</v>
      </c>
      <c r="AM162" s="7">
        <f ca="1">AM161*Inputs!$B$270</f>
        <v>0</v>
      </c>
    </row>
    <row r="163" spans="1:39" x14ac:dyDescent="0.2">
      <c r="A163" s="3" t="s">
        <v>149</v>
      </c>
      <c r="C163" s="7">
        <f ca="1">C160+SUM($C162:C162)</f>
        <v>12919.0625</v>
      </c>
      <c r="D163" s="7">
        <f ca="1">D160+SUM($C162:D162)</f>
        <v>22490.535937499997</v>
      </c>
      <c r="E163" s="7">
        <f ca="1">E160+SUM($C162:E162)</f>
        <v>38207.499804687497</v>
      </c>
      <c r="F163" s="7">
        <f ca="1">F160+SUM($C162:F162)</f>
        <v>35714.080452231734</v>
      </c>
      <c r="G163" s="7">
        <f ca="1">G160+SUM($C162:G162)</f>
        <v>229276.11396248138</v>
      </c>
      <c r="H163" s="7">
        <f ca="1">H160+SUM($C162:H162)</f>
        <v>271025.81800930644</v>
      </c>
      <c r="I163" s="7">
        <f ca="1">I160+SUM($C162:I162)</f>
        <v>332892.09672247234</v>
      </c>
      <c r="J163" s="7">
        <f ca="1">J160+SUM($C162:J162)</f>
        <v>399181.31879998074</v>
      </c>
      <c r="K163" s="7">
        <f ca="1">K160+SUM($C162:K162)</f>
        <v>452080.69175229734</v>
      </c>
      <c r="L163" s="7">
        <f ca="1">L160+SUM($C162:L162)</f>
        <v>591897.59165074176</v>
      </c>
      <c r="M163" s="7">
        <f ca="1">M160+SUM($C162:M162)</f>
        <v>643438.66125641076</v>
      </c>
      <c r="N163" s="7">
        <f ca="1">N160+SUM($C162:N162)</f>
        <v>748500.49246398674</v>
      </c>
      <c r="O163" s="7">
        <f ca="1">O160+SUM($C162:O162)</f>
        <v>859267.05744988273</v>
      </c>
      <c r="P163" s="7">
        <f ca="1">P160+SUM($C162:P162)</f>
        <v>975981.2911249469</v>
      </c>
      <c r="Q163" s="7">
        <f ca="1">Q160+SUM($C162:Q162)</f>
        <v>1098895.4105429514</v>
      </c>
      <c r="R163" s="7">
        <f ca="1">R160+SUM($C162:R162)</f>
        <v>1228271.248199099</v>
      </c>
      <c r="S163" s="7">
        <f ca="1">S160+SUM($C162:S162)</f>
        <v>1364380.5968228865</v>
      </c>
      <c r="T163" s="7">
        <f ca="1">T160+SUM($C162:T162)</f>
        <v>1402527.6236677105</v>
      </c>
      <c r="U163" s="7">
        <f ca="1">U160+SUM($C162:U162)</f>
        <v>1449854.2259580824</v>
      </c>
      <c r="V163" s="7">
        <f ca="1">V160+SUM($C162:V162)</f>
        <v>1498907.5815076504</v>
      </c>
      <c r="W163" s="7">
        <f ca="1">W160+SUM($C162:W162)</f>
        <v>1549752.4964402271</v>
      </c>
      <c r="X163" s="7">
        <f ca="1">X160+SUM($C162:X162)</f>
        <v>1602456.179392647</v>
      </c>
      <c r="Y163" s="7">
        <f ca="1">Y160+SUM($C162:Y162)</f>
        <v>1636171.2358988209</v>
      </c>
      <c r="Z163" s="7">
        <f ca="1">Z160+SUM($C162:Z162)</f>
        <v>1670841.1811310996</v>
      </c>
      <c r="AA163" s="7">
        <f ca="1">AA160+SUM($C162:AA162)</f>
        <v>1706501.7452458595</v>
      </c>
      <c r="AB163" s="7">
        <f ca="1">AB160+SUM($C162:AB162)</f>
        <v>1743190.1198307537</v>
      </c>
      <c r="AC163" s="7">
        <f ca="1">AC160+SUM($C162:AC162)</f>
        <v>1780945.016796795</v>
      </c>
      <c r="AD163" s="7">
        <f ca="1">AD160+SUM($C162:AD162)</f>
        <v>1819806.7295462058</v>
      </c>
      <c r="AE163" s="7">
        <f ca="1">AE160+SUM($C162:AE162)</f>
        <v>1869924.4525328081</v>
      </c>
      <c r="AF163" s="7">
        <f ca="1">AF160+SUM($C162:AF162)</f>
        <v>1921739.9419416173</v>
      </c>
      <c r="AG163" s="7">
        <f ca="1">AG160+SUM($C162:AG162)</f>
        <v>1975317.5778012427</v>
      </c>
      <c r="AH163" s="7">
        <f ca="1">AH160+SUM($C162:AH162)</f>
        <v>2030724.2224962406</v>
      </c>
      <c r="AI163" s="7">
        <f ca="1">AI160+SUM($C162:AI162)</f>
        <v>2088029.314381151</v>
      </c>
      <c r="AJ163" s="7">
        <f ca="1">AJ160+SUM($C162:AJ162)</f>
        <v>2147304.9648157731</v>
      </c>
      <c r="AK163" s="7">
        <f ca="1">AK160+SUM($C162:AK162)</f>
        <v>2208626.0587430005</v>
      </c>
      <c r="AL163" s="7">
        <f ca="1">AL160+SUM($C162:AL162)</f>
        <v>2272070.3589347131</v>
      </c>
      <c r="AM163" s="7">
        <f ca="1">AM160+SUM($C162:AM162)</f>
        <v>2337718.614035564</v>
      </c>
    </row>
    <row r="164" spans="1:39" x14ac:dyDescent="0.2">
      <c r="A164" s="3" t="s">
        <v>19</v>
      </c>
      <c r="C164" s="7">
        <f ca="1">IF(C163&lt;0,-C163,0)</f>
        <v>0</v>
      </c>
      <c r="D164" s="7">
        <f ca="1">IF(D163+SUM($C164:C164)&lt;0,-(D163+SUM($C164:C164)),0)</f>
        <v>0</v>
      </c>
      <c r="E164" s="7">
        <f ca="1">IF(E163+SUM($C164:D164)&lt;0,-(E163+SUM($C164:D164)),0)</f>
        <v>0</v>
      </c>
      <c r="F164" s="7">
        <f ca="1">IF(F163+SUM($C164:E164)&lt;0,-(F163+SUM($C164:E164)),0)</f>
        <v>0</v>
      </c>
      <c r="G164" s="7">
        <f ca="1">IF(G163+SUM($C164:F164)&lt;0,-(G163+SUM($C164:F164)),0)</f>
        <v>0</v>
      </c>
      <c r="H164" s="7">
        <f ca="1">IF(H163+SUM($C164:G164)&lt;0,-(H163+SUM($C164:G164)),0)</f>
        <v>0</v>
      </c>
      <c r="I164" s="7">
        <f ca="1">IF(I163+SUM($C164:H164)&lt;0,-(I163+SUM($C164:H164)),0)</f>
        <v>0</v>
      </c>
      <c r="J164" s="7">
        <f ca="1">IF(J163+SUM($C164:I164)&lt;0,-(J163+SUM($C164:I164)),0)</f>
        <v>0</v>
      </c>
      <c r="K164" s="7">
        <f ca="1">IF(K163+SUM($C164:J164)&lt;0,-(K163+SUM($C164:J164)),0)</f>
        <v>0</v>
      </c>
      <c r="L164" s="7">
        <f ca="1">IF(L163+SUM($C164:K164)&lt;0,-(L163+SUM($C164:K164)),0)</f>
        <v>0</v>
      </c>
      <c r="M164" s="7">
        <f ca="1">IF(M163+SUM($C164:L164)&lt;0,-(M163+SUM($C164:L164)),0)</f>
        <v>0</v>
      </c>
      <c r="N164" s="7">
        <f ca="1">IF(N163+SUM($C164:M164)&lt;0,-(N163+SUM($C164:M164)),0)</f>
        <v>0</v>
      </c>
      <c r="O164" s="7">
        <f ca="1">IF(O163+SUM($C164:N164)&lt;0,-(O163+SUM($C164:N164)),0)</f>
        <v>0</v>
      </c>
      <c r="P164" s="7">
        <f ca="1">IF(P163+SUM($C164:O164)&lt;0,-(P163+SUM($C164:O164)),0)</f>
        <v>0</v>
      </c>
      <c r="Q164" s="7">
        <f ca="1">IF(Q163+SUM($C164:P164)&lt;0,-(Q163+SUM($C164:P164)),0)</f>
        <v>0</v>
      </c>
      <c r="R164" s="7">
        <f ca="1">IF(R163+SUM($C164:Q164)&lt;0,-(R163+SUM($C164:Q164)),0)</f>
        <v>0</v>
      </c>
      <c r="S164" s="7">
        <f ca="1">IF(S163+SUM($C164:R164)&lt;0,-(S163+SUM($C164:R164)),0)</f>
        <v>0</v>
      </c>
      <c r="T164" s="7">
        <f ca="1">IF(T163+SUM($C164:S164)&lt;0,-(T163+SUM($C164:S164)),0)</f>
        <v>0</v>
      </c>
      <c r="U164" s="7">
        <f ca="1">IF(U163+SUM($C164:T164)&lt;0,-(U163+SUM($C164:T164)),0)</f>
        <v>0</v>
      </c>
      <c r="V164" s="7">
        <f ca="1">IF(V163+SUM($C164:U164)&lt;0,-(V163+SUM($C164:U164)),0)</f>
        <v>0</v>
      </c>
      <c r="W164" s="7">
        <f ca="1">IF(W163+SUM($C164:V164)&lt;0,-(W163+SUM($C164:V164)),0)</f>
        <v>0</v>
      </c>
      <c r="X164" s="7">
        <f ca="1">IF(X163+SUM($C164:W164)&lt;0,-(X163+SUM($C164:W164)),0)</f>
        <v>0</v>
      </c>
      <c r="Y164" s="7">
        <f ca="1">IF(Y163+SUM($C164:X164)&lt;0,-(Y163+SUM($C164:X164)),0)</f>
        <v>0</v>
      </c>
      <c r="Z164" s="7">
        <f ca="1">IF(Z163+SUM($C164:Y164)&lt;0,-(Z163+SUM($C164:Y164)),0)</f>
        <v>0</v>
      </c>
      <c r="AA164" s="7">
        <f ca="1">IF(AA163+SUM($C164:Z164)&lt;0,-(AA163+SUM($C164:Z164)),0)</f>
        <v>0</v>
      </c>
      <c r="AB164" s="7">
        <f ca="1">IF(AB163+SUM($C164:AA164)&lt;0,-(AB163+SUM($C164:AA164)),0)</f>
        <v>0</v>
      </c>
      <c r="AC164" s="7">
        <f ca="1">IF(AC163+SUM($C164:AB164)&lt;0,-(AC163+SUM($C164:AB164)),0)</f>
        <v>0</v>
      </c>
      <c r="AD164" s="7">
        <f ca="1">IF(AD163+SUM($C164:AC164)&lt;0,-(AD163+SUM($C164:AC164)),0)</f>
        <v>0</v>
      </c>
      <c r="AE164" s="7">
        <f ca="1">IF(AE163+SUM($C164:AD164)&lt;0,-(AE163+SUM($C164:AD164)),0)</f>
        <v>0</v>
      </c>
      <c r="AF164" s="7">
        <f ca="1">IF(AF163+SUM($C164:AE164)&lt;0,-(AF163+SUM($C164:AE164)),0)</f>
        <v>0</v>
      </c>
      <c r="AG164" s="7">
        <f ca="1">IF(AG163+SUM($C164:AF164)&lt;0,-(AG163+SUM($C164:AF164)),0)</f>
        <v>0</v>
      </c>
      <c r="AH164" s="7">
        <f ca="1">IF(AH163+SUM($C164:AG164)&lt;0,-(AH163+SUM($C164:AG164)),0)</f>
        <v>0</v>
      </c>
      <c r="AI164" s="7">
        <f ca="1">IF(AI163+SUM($C164:AH164)&lt;0,-(AI163+SUM($C164:AH164)),0)</f>
        <v>0</v>
      </c>
      <c r="AJ164" s="7">
        <f ca="1">IF(AJ163+SUM($C164:AI164)&lt;0,-(AJ163+SUM($C164:AI164)),0)</f>
        <v>0</v>
      </c>
      <c r="AK164" s="7">
        <f ca="1">IF(AK163+SUM($C164:AJ164)&lt;0,-(AK163+SUM($C164:AJ164)),0)</f>
        <v>0</v>
      </c>
      <c r="AL164" s="7">
        <f ca="1">IF(AL163+SUM($C164:AK164)&lt;0,-(AL163+SUM($C164:AK164)),0)</f>
        <v>0</v>
      </c>
      <c r="AM164" s="7">
        <f ca="1">IF(AM163+SUM($C164:AL164)&lt;0,-(AM163+SUM($C164:AL164)),0)</f>
        <v>0</v>
      </c>
    </row>
    <row r="165" spans="1:39" x14ac:dyDescent="0.2"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  <c r="AG165" s="7"/>
      <c r="AH165" s="7"/>
      <c r="AI165" s="7"/>
      <c r="AJ165" s="7"/>
      <c r="AK165" s="7"/>
      <c r="AL165" s="7"/>
      <c r="AM165" s="7"/>
    </row>
    <row r="166" spans="1:39" x14ac:dyDescent="0.2">
      <c r="A166" s="24" t="str">
        <f>IF(Inputs!$B$290=6,IFERROR(_xlfn.XLOOKUP($B166,Inputs!$B$291:$B$300,Inputs!$A$291:$A$300,,0,1),""),IFERROR(_xlfn.XLOOKUP($B166,Inputs!$C$291:$C$300,Inputs!$A$291:$A$300,,0,1),""))</f>
        <v>Gudja</v>
      </c>
      <c r="B166" s="26">
        <v>4</v>
      </c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  <c r="AG166" s="7"/>
      <c r="AH166" s="7"/>
      <c r="AI166" s="7"/>
      <c r="AJ166" s="7"/>
      <c r="AK166" s="7"/>
      <c r="AL166" s="7"/>
      <c r="AM166" s="7"/>
    </row>
    <row r="167" spans="1:39" x14ac:dyDescent="0.2">
      <c r="A167" s="3" t="s">
        <v>21</v>
      </c>
      <c r="C167" s="7">
        <f ca="1">IFERROR(VLOOKUP($A166,$A$68:$H$97,C$1+2,FALSE),0)</f>
        <v>81793.332978359496</v>
      </c>
      <c r="D167" s="7">
        <f ca="1">C170</f>
        <v>81793.332978359496</v>
      </c>
      <c r="E167" s="7">
        <f t="shared" ref="E167:AM167" ca="1" si="151">D170</f>
        <v>84247.132967710277</v>
      </c>
      <c r="F167" s="7">
        <f t="shared" ca="1" si="151"/>
        <v>86774.546956741586</v>
      </c>
      <c r="G167" s="7">
        <f t="shared" ca="1" si="151"/>
        <v>89377.783365443829</v>
      </c>
      <c r="H167" s="7">
        <f t="shared" ca="1" si="151"/>
        <v>92059.116866407145</v>
      </c>
      <c r="I167" s="7">
        <f t="shared" ca="1" si="151"/>
        <v>94820.890372399357</v>
      </c>
      <c r="J167" s="7">
        <f t="shared" ca="1" si="151"/>
        <v>97665.517083571336</v>
      </c>
      <c r="K167" s="7">
        <f t="shared" ca="1" si="151"/>
        <v>100595.48259607848</v>
      </c>
      <c r="L167" s="7">
        <f t="shared" ca="1" si="151"/>
        <v>103613.34707396083</v>
      </c>
      <c r="M167" s="7">
        <f t="shared" ca="1" si="151"/>
        <v>106721.74748617965</v>
      </c>
      <c r="N167" s="7">
        <f t="shared" ca="1" si="151"/>
        <v>109923.39991076505</v>
      </c>
      <c r="O167" s="7">
        <f t="shared" ca="1" si="151"/>
        <v>113221.10190808799</v>
      </c>
      <c r="P167" s="7">
        <f t="shared" ca="1" si="151"/>
        <v>116617.73496533063</v>
      </c>
      <c r="Q167" s="7">
        <f t="shared" ca="1" si="151"/>
        <v>120116.26701429056</v>
      </c>
      <c r="R167" s="7">
        <f t="shared" ca="1" si="151"/>
        <v>123719.75502471927</v>
      </c>
      <c r="S167" s="7">
        <f t="shared" ca="1" si="151"/>
        <v>127431.34767546084</v>
      </c>
      <c r="T167" s="7">
        <f t="shared" ca="1" si="151"/>
        <v>131254.28810572467</v>
      </c>
      <c r="U167" s="7">
        <f t="shared" ca="1" si="151"/>
        <v>135191.91674889642</v>
      </c>
      <c r="V167" s="7">
        <f t="shared" ca="1" si="151"/>
        <v>139247.67425136332</v>
      </c>
      <c r="W167" s="7">
        <f t="shared" ca="1" si="151"/>
        <v>143425.10447890422</v>
      </c>
      <c r="X167" s="7">
        <f t="shared" ca="1" si="151"/>
        <v>147727.85761327134</v>
      </c>
      <c r="Y167" s="7">
        <f t="shared" ca="1" si="151"/>
        <v>152159.69334166948</v>
      </c>
      <c r="Z167" s="7">
        <f t="shared" ca="1" si="151"/>
        <v>156724.48414191956</v>
      </c>
      <c r="AA167" s="7">
        <f t="shared" ca="1" si="151"/>
        <v>161426.21866617716</v>
      </c>
      <c r="AB167" s="7">
        <f t="shared" ca="1" si="151"/>
        <v>166269.00522616247</v>
      </c>
      <c r="AC167" s="7">
        <f t="shared" ca="1" si="151"/>
        <v>171257.07538294734</v>
      </c>
      <c r="AD167" s="7">
        <f t="shared" ca="1" si="151"/>
        <v>176394.78764443577</v>
      </c>
      <c r="AE167" s="7">
        <f t="shared" ca="1" si="151"/>
        <v>181686.63127376884</v>
      </c>
      <c r="AF167" s="7">
        <f t="shared" ca="1" si="151"/>
        <v>187137.23021198192</v>
      </c>
      <c r="AG167" s="7">
        <f t="shared" ca="1" si="151"/>
        <v>192751.34711834136</v>
      </c>
      <c r="AH167" s="7">
        <f t="shared" ca="1" si="151"/>
        <v>198533.88753189161</v>
      </c>
      <c r="AI167" s="7">
        <f t="shared" ca="1" si="151"/>
        <v>204489.90415784836</v>
      </c>
      <c r="AJ167" s="7">
        <f t="shared" ca="1" si="151"/>
        <v>210624.60128258381</v>
      </c>
      <c r="AK167" s="7">
        <f t="shared" ca="1" si="151"/>
        <v>216943.33932106133</v>
      </c>
      <c r="AL167" s="7">
        <f t="shared" ca="1" si="151"/>
        <v>223451.63950069316</v>
      </c>
      <c r="AM167" s="7">
        <f t="shared" ca="1" si="151"/>
        <v>230155.18868571395</v>
      </c>
    </row>
    <row r="168" spans="1:39" x14ac:dyDescent="0.2">
      <c r="A168" s="3" t="s">
        <v>22</v>
      </c>
      <c r="C168" s="7">
        <f ca="1">-IF(D164&gt;0,C167,0)</f>
        <v>0</v>
      </c>
      <c r="D168" s="7">
        <f ca="1">-IF(E164&gt;0,D167,0)</f>
        <v>0</v>
      </c>
      <c r="E168" s="7">
        <f ca="1">-IF(F164&gt;0,E167,0)</f>
        <v>0</v>
      </c>
      <c r="F168" s="7">
        <f ca="1">-IF(G164&gt;0,F167,0)</f>
        <v>0</v>
      </c>
      <c r="G168" s="7">
        <f t="shared" ref="G168" ca="1" si="152">-IF(H164&gt;0,G167,0)</f>
        <v>0</v>
      </c>
      <c r="H168" s="7">
        <f t="shared" ref="H168" ca="1" si="153">-IF(I164&gt;0,H167,0)</f>
        <v>0</v>
      </c>
      <c r="I168" s="7">
        <f t="shared" ref="I168" ca="1" si="154">-IF(J164&gt;0,I167,0)</f>
        <v>0</v>
      </c>
      <c r="J168" s="7">
        <f t="shared" ref="J168" ca="1" si="155">-IF(K164&gt;0,J167,0)</f>
        <v>0</v>
      </c>
      <c r="K168" s="7">
        <f t="shared" ref="K168" ca="1" si="156">-IF(L164&gt;0,K167,0)</f>
        <v>0</v>
      </c>
      <c r="L168" s="7">
        <f t="shared" ref="L168" ca="1" si="157">-IF(M164&gt;0,L167,0)</f>
        <v>0</v>
      </c>
      <c r="M168" s="7">
        <f t="shared" ref="M168" ca="1" si="158">-IF(N164&gt;0,M167,0)</f>
        <v>0</v>
      </c>
      <c r="N168" s="7">
        <f t="shared" ref="N168" ca="1" si="159">-IF(O164&gt;0,N167,0)</f>
        <v>0</v>
      </c>
      <c r="O168" s="7">
        <f t="shared" ref="O168" ca="1" si="160">-IF(P164&gt;0,O167,0)</f>
        <v>0</v>
      </c>
      <c r="P168" s="7">
        <f t="shared" ref="P168" ca="1" si="161">-IF(Q164&gt;0,P167,0)</f>
        <v>0</v>
      </c>
      <c r="Q168" s="7">
        <f t="shared" ref="Q168" ca="1" si="162">-IF(R164&gt;0,Q167,0)</f>
        <v>0</v>
      </c>
      <c r="R168" s="7">
        <f t="shared" ref="R168" ca="1" si="163">-IF(S164&gt;0,R167,0)</f>
        <v>0</v>
      </c>
      <c r="S168" s="7">
        <f t="shared" ref="S168" ca="1" si="164">-IF(T164&gt;0,S167,0)</f>
        <v>0</v>
      </c>
      <c r="T168" s="7">
        <f t="shared" ref="T168" ca="1" si="165">-IF(U164&gt;0,T167,0)</f>
        <v>0</v>
      </c>
      <c r="U168" s="7">
        <f t="shared" ref="U168" ca="1" si="166">-IF(V164&gt;0,U167,0)</f>
        <v>0</v>
      </c>
      <c r="V168" s="7">
        <f t="shared" ref="V168" ca="1" si="167">-IF(W164&gt;0,V167,0)</f>
        <v>0</v>
      </c>
      <c r="W168" s="7">
        <f t="shared" ref="W168" ca="1" si="168">-IF(X164&gt;0,W167,0)</f>
        <v>0</v>
      </c>
      <c r="X168" s="7">
        <f t="shared" ref="X168" ca="1" si="169">-IF(Y164&gt;0,X167,0)</f>
        <v>0</v>
      </c>
      <c r="Y168" s="7">
        <f t="shared" ref="Y168" ca="1" si="170">-IF(Z164&gt;0,Y167,0)</f>
        <v>0</v>
      </c>
      <c r="Z168" s="7">
        <f t="shared" ref="Z168" ca="1" si="171">-IF(AA164&gt;0,Z167,0)</f>
        <v>0</v>
      </c>
      <c r="AA168" s="7">
        <f t="shared" ref="AA168" ca="1" si="172">-IF(AB164&gt;0,AA167,0)</f>
        <v>0</v>
      </c>
      <c r="AB168" s="7">
        <f t="shared" ref="AB168" ca="1" si="173">-IF(AC164&gt;0,AB167,0)</f>
        <v>0</v>
      </c>
      <c r="AC168" s="7">
        <f t="shared" ref="AC168" ca="1" si="174">-IF(AD164&gt;0,AC167,0)</f>
        <v>0</v>
      </c>
      <c r="AD168" s="7">
        <f t="shared" ref="AD168" ca="1" si="175">-IF(AE164&gt;0,AD167,0)</f>
        <v>0</v>
      </c>
      <c r="AE168" s="7">
        <f t="shared" ref="AE168" ca="1" si="176">-IF(AF164&gt;0,AE167,0)</f>
        <v>0</v>
      </c>
      <c r="AF168" s="7">
        <f t="shared" ref="AF168" ca="1" si="177">-IF(AG164&gt;0,AF167,0)</f>
        <v>0</v>
      </c>
      <c r="AG168" s="7">
        <f t="shared" ref="AG168" ca="1" si="178">-IF(AH164&gt;0,AG167,0)</f>
        <v>0</v>
      </c>
      <c r="AH168" s="7">
        <f t="shared" ref="AH168" ca="1" si="179">-IF(AI164&gt;0,AH167,0)</f>
        <v>0</v>
      </c>
      <c r="AI168" s="7">
        <f t="shared" ref="AI168" ca="1" si="180">-IF(AJ164&gt;0,AI167,0)</f>
        <v>0</v>
      </c>
      <c r="AJ168" s="7">
        <f t="shared" ref="AJ168" ca="1" si="181">-IF(AK164&gt;0,AJ167,0)</f>
        <v>0</v>
      </c>
      <c r="AK168" s="7">
        <f t="shared" ref="AK168" ca="1" si="182">-IF(AL164&gt;0,AK167,0)</f>
        <v>0</v>
      </c>
      <c r="AL168" s="7">
        <f t="shared" ref="AL168" ca="1" si="183">-IF(AM164&gt;0,AL167,0)</f>
        <v>0</v>
      </c>
      <c r="AM168" s="7">
        <f t="shared" ref="AM168" si="184">-IF(AN164&gt;0,AM167,0)</f>
        <v>0</v>
      </c>
    </row>
    <row r="169" spans="1:39" x14ac:dyDescent="0.2">
      <c r="A169" s="3" t="s">
        <v>23</v>
      </c>
      <c r="C169" s="7">
        <v>0</v>
      </c>
      <c r="D169" s="7">
        <f t="shared" ref="D169:AM169" ca="1" si="185">SUM(D167:D168)*VLOOKUP($A166,AssVar,2,FALSE)</f>
        <v>2453.7999893507849</v>
      </c>
      <c r="E169" s="7">
        <f t="shared" ca="1" si="185"/>
        <v>2527.4139890313081</v>
      </c>
      <c r="F169" s="7">
        <f t="shared" ca="1" si="185"/>
        <v>2603.2364087022474</v>
      </c>
      <c r="G169" s="7">
        <f t="shared" ca="1" si="185"/>
        <v>2681.3335009633147</v>
      </c>
      <c r="H169" s="7">
        <f t="shared" ca="1" si="185"/>
        <v>2761.7735059922143</v>
      </c>
      <c r="I169" s="7">
        <f t="shared" ca="1" si="185"/>
        <v>2844.6267111719808</v>
      </c>
      <c r="J169" s="7">
        <f t="shared" ca="1" si="185"/>
        <v>2929.9655125071399</v>
      </c>
      <c r="K169" s="7">
        <f t="shared" ca="1" si="185"/>
        <v>3017.8644778823541</v>
      </c>
      <c r="L169" s="7">
        <f t="shared" ca="1" si="185"/>
        <v>3108.4004122188248</v>
      </c>
      <c r="M169" s="7">
        <f t="shared" ca="1" si="185"/>
        <v>3201.6524245853893</v>
      </c>
      <c r="N169" s="7">
        <f t="shared" ca="1" si="185"/>
        <v>3297.7019973229512</v>
      </c>
      <c r="O169" s="7">
        <f t="shared" ca="1" si="185"/>
        <v>3396.6330572426396</v>
      </c>
      <c r="P169" s="7">
        <f t="shared" ca="1" si="185"/>
        <v>3498.5320489599189</v>
      </c>
      <c r="Q169" s="7">
        <f t="shared" ca="1" si="185"/>
        <v>3603.4880104287167</v>
      </c>
      <c r="R169" s="7">
        <f t="shared" ca="1" si="185"/>
        <v>3711.5926507415779</v>
      </c>
      <c r="S169" s="7">
        <f t="shared" ca="1" si="185"/>
        <v>3822.940430263825</v>
      </c>
      <c r="T169" s="7">
        <f t="shared" ca="1" si="185"/>
        <v>3937.6286431717399</v>
      </c>
      <c r="U169" s="7">
        <f t="shared" ca="1" si="185"/>
        <v>4055.7575024668922</v>
      </c>
      <c r="V169" s="7">
        <f t="shared" ca="1" si="185"/>
        <v>4177.4302275408991</v>
      </c>
      <c r="W169" s="7">
        <f t="shared" ca="1" si="185"/>
        <v>4302.7531343671262</v>
      </c>
      <c r="X169" s="7">
        <f t="shared" ca="1" si="185"/>
        <v>4431.8357283981395</v>
      </c>
      <c r="Y169" s="7">
        <f t="shared" ca="1" si="185"/>
        <v>4564.7908002500844</v>
      </c>
      <c r="Z169" s="7">
        <f t="shared" ca="1" si="185"/>
        <v>4701.7345242575866</v>
      </c>
      <c r="AA169" s="7">
        <f t="shared" ca="1" si="185"/>
        <v>4842.7865599853149</v>
      </c>
      <c r="AB169" s="7">
        <f t="shared" ca="1" si="185"/>
        <v>4988.0701567848737</v>
      </c>
      <c r="AC169" s="7">
        <f t="shared" ca="1" si="185"/>
        <v>5137.7122614884202</v>
      </c>
      <c r="AD169" s="7">
        <f t="shared" ca="1" si="185"/>
        <v>5291.8436293330733</v>
      </c>
      <c r="AE169" s="7">
        <f t="shared" ca="1" si="185"/>
        <v>5450.5989382130647</v>
      </c>
      <c r="AF169" s="7">
        <f t="shared" ca="1" si="185"/>
        <v>5614.1169063594571</v>
      </c>
      <c r="AG169" s="7">
        <f t="shared" ca="1" si="185"/>
        <v>5782.5404135502404</v>
      </c>
      <c r="AH169" s="7">
        <f t="shared" ca="1" si="185"/>
        <v>5956.0166259567477</v>
      </c>
      <c r="AI169" s="7">
        <f t="shared" ca="1" si="185"/>
        <v>6134.6971247354504</v>
      </c>
      <c r="AJ169" s="7">
        <f t="shared" ca="1" si="185"/>
        <v>6318.7380384775142</v>
      </c>
      <c r="AK169" s="7">
        <f t="shared" ca="1" si="185"/>
        <v>6508.3001796318395</v>
      </c>
      <c r="AL169" s="7">
        <f t="shared" ca="1" si="185"/>
        <v>6703.5491850207945</v>
      </c>
      <c r="AM169" s="7">
        <f t="shared" ca="1" si="185"/>
        <v>6904.6556605714186</v>
      </c>
    </row>
    <row r="170" spans="1:39" x14ac:dyDescent="0.2">
      <c r="A170" s="3" t="s">
        <v>24</v>
      </c>
      <c r="C170" s="7">
        <f ca="1">SUM(C167:C169)</f>
        <v>81793.332978359496</v>
      </c>
      <c r="D170" s="7">
        <f t="shared" ref="D170:AM170" ca="1" si="186">SUM(D167:D169)</f>
        <v>84247.132967710277</v>
      </c>
      <c r="E170" s="7">
        <f t="shared" ca="1" si="186"/>
        <v>86774.546956741586</v>
      </c>
      <c r="F170" s="7">
        <f t="shared" ca="1" si="186"/>
        <v>89377.783365443829</v>
      </c>
      <c r="G170" s="7">
        <f t="shared" ca="1" si="186"/>
        <v>92059.116866407145</v>
      </c>
      <c r="H170" s="7">
        <f t="shared" ca="1" si="186"/>
        <v>94820.890372399357</v>
      </c>
      <c r="I170" s="7">
        <f t="shared" ca="1" si="186"/>
        <v>97665.517083571336</v>
      </c>
      <c r="J170" s="7">
        <f t="shared" ca="1" si="186"/>
        <v>100595.48259607848</v>
      </c>
      <c r="K170" s="7">
        <f t="shared" ca="1" si="186"/>
        <v>103613.34707396083</v>
      </c>
      <c r="L170" s="7">
        <f t="shared" ca="1" si="186"/>
        <v>106721.74748617965</v>
      </c>
      <c r="M170" s="7">
        <f t="shared" ca="1" si="186"/>
        <v>109923.39991076505</v>
      </c>
      <c r="N170" s="7">
        <f t="shared" ca="1" si="186"/>
        <v>113221.10190808799</v>
      </c>
      <c r="O170" s="7">
        <f t="shared" ca="1" si="186"/>
        <v>116617.73496533063</v>
      </c>
      <c r="P170" s="7">
        <f t="shared" ca="1" si="186"/>
        <v>120116.26701429056</v>
      </c>
      <c r="Q170" s="7">
        <f t="shared" ca="1" si="186"/>
        <v>123719.75502471927</v>
      </c>
      <c r="R170" s="7">
        <f t="shared" ca="1" si="186"/>
        <v>127431.34767546084</v>
      </c>
      <c r="S170" s="7">
        <f t="shared" ca="1" si="186"/>
        <v>131254.28810572467</v>
      </c>
      <c r="T170" s="7">
        <f t="shared" ca="1" si="186"/>
        <v>135191.91674889642</v>
      </c>
      <c r="U170" s="7">
        <f t="shared" ca="1" si="186"/>
        <v>139247.67425136332</v>
      </c>
      <c r="V170" s="7">
        <f t="shared" ca="1" si="186"/>
        <v>143425.10447890422</v>
      </c>
      <c r="W170" s="7">
        <f t="shared" ca="1" si="186"/>
        <v>147727.85761327134</v>
      </c>
      <c r="X170" s="7">
        <f t="shared" ca="1" si="186"/>
        <v>152159.69334166948</v>
      </c>
      <c r="Y170" s="7">
        <f t="shared" ca="1" si="186"/>
        <v>156724.48414191956</v>
      </c>
      <c r="Z170" s="7">
        <f t="shared" ca="1" si="186"/>
        <v>161426.21866617716</v>
      </c>
      <c r="AA170" s="7">
        <f t="shared" ca="1" si="186"/>
        <v>166269.00522616247</v>
      </c>
      <c r="AB170" s="7">
        <f t="shared" ca="1" si="186"/>
        <v>171257.07538294734</v>
      </c>
      <c r="AC170" s="7">
        <f t="shared" ca="1" si="186"/>
        <v>176394.78764443577</v>
      </c>
      <c r="AD170" s="7">
        <f t="shared" ca="1" si="186"/>
        <v>181686.63127376884</v>
      </c>
      <c r="AE170" s="7">
        <f t="shared" ca="1" si="186"/>
        <v>187137.23021198192</v>
      </c>
      <c r="AF170" s="7">
        <f t="shared" ca="1" si="186"/>
        <v>192751.34711834136</v>
      </c>
      <c r="AG170" s="7">
        <f t="shared" ca="1" si="186"/>
        <v>198533.88753189161</v>
      </c>
      <c r="AH170" s="7">
        <f t="shared" ca="1" si="186"/>
        <v>204489.90415784836</v>
      </c>
      <c r="AI170" s="7">
        <f t="shared" ca="1" si="186"/>
        <v>210624.60128258381</v>
      </c>
      <c r="AJ170" s="7">
        <f t="shared" ca="1" si="186"/>
        <v>216943.33932106133</v>
      </c>
      <c r="AK170" s="7">
        <f t="shared" ca="1" si="186"/>
        <v>223451.63950069316</v>
      </c>
      <c r="AL170" s="7">
        <f t="shared" ca="1" si="186"/>
        <v>230155.18868571395</v>
      </c>
      <c r="AM170" s="7">
        <f t="shared" ca="1" si="186"/>
        <v>237059.84434628536</v>
      </c>
    </row>
    <row r="171" spans="1:39" x14ac:dyDescent="0.2">
      <c r="A171" s="3" t="s">
        <v>25</v>
      </c>
      <c r="C171" s="7">
        <f t="shared" ref="C171:AM171" ca="1" si="187">C168*VLOOKUP($A166,AssVar,3,FALSE)</f>
        <v>0</v>
      </c>
      <c r="D171" s="7">
        <f t="shared" ca="1" si="187"/>
        <v>0</v>
      </c>
      <c r="E171" s="7">
        <f t="shared" ca="1" si="187"/>
        <v>0</v>
      </c>
      <c r="F171" s="7">
        <f t="shared" ca="1" si="187"/>
        <v>0</v>
      </c>
      <c r="G171" s="7">
        <f t="shared" ca="1" si="187"/>
        <v>0</v>
      </c>
      <c r="H171" s="7">
        <f t="shared" ca="1" si="187"/>
        <v>0</v>
      </c>
      <c r="I171" s="7">
        <f t="shared" ca="1" si="187"/>
        <v>0</v>
      </c>
      <c r="J171" s="7">
        <f t="shared" ca="1" si="187"/>
        <v>0</v>
      </c>
      <c r="K171" s="7">
        <f t="shared" ca="1" si="187"/>
        <v>0</v>
      </c>
      <c r="L171" s="7">
        <f t="shared" ca="1" si="187"/>
        <v>0</v>
      </c>
      <c r="M171" s="7">
        <f t="shared" ca="1" si="187"/>
        <v>0</v>
      </c>
      <c r="N171" s="7">
        <f t="shared" ca="1" si="187"/>
        <v>0</v>
      </c>
      <c r="O171" s="7">
        <f t="shared" ca="1" si="187"/>
        <v>0</v>
      </c>
      <c r="P171" s="7">
        <f t="shared" ca="1" si="187"/>
        <v>0</v>
      </c>
      <c r="Q171" s="7">
        <f t="shared" ca="1" si="187"/>
        <v>0</v>
      </c>
      <c r="R171" s="7">
        <f t="shared" ca="1" si="187"/>
        <v>0</v>
      </c>
      <c r="S171" s="7">
        <f t="shared" ca="1" si="187"/>
        <v>0</v>
      </c>
      <c r="T171" s="7">
        <f t="shared" ca="1" si="187"/>
        <v>0</v>
      </c>
      <c r="U171" s="7">
        <f t="shared" ca="1" si="187"/>
        <v>0</v>
      </c>
      <c r="V171" s="7">
        <f t="shared" ca="1" si="187"/>
        <v>0</v>
      </c>
      <c r="W171" s="7">
        <f t="shared" ca="1" si="187"/>
        <v>0</v>
      </c>
      <c r="X171" s="7">
        <f t="shared" ca="1" si="187"/>
        <v>0</v>
      </c>
      <c r="Y171" s="7">
        <f t="shared" ca="1" si="187"/>
        <v>0</v>
      </c>
      <c r="Z171" s="7">
        <f t="shared" ca="1" si="187"/>
        <v>0</v>
      </c>
      <c r="AA171" s="7">
        <f t="shared" ca="1" si="187"/>
        <v>0</v>
      </c>
      <c r="AB171" s="7">
        <f t="shared" ca="1" si="187"/>
        <v>0</v>
      </c>
      <c r="AC171" s="7">
        <f t="shared" ca="1" si="187"/>
        <v>0</v>
      </c>
      <c r="AD171" s="7">
        <f t="shared" ca="1" si="187"/>
        <v>0</v>
      </c>
      <c r="AE171" s="7">
        <f t="shared" ca="1" si="187"/>
        <v>0</v>
      </c>
      <c r="AF171" s="7">
        <f t="shared" ca="1" si="187"/>
        <v>0</v>
      </c>
      <c r="AG171" s="7">
        <f t="shared" ca="1" si="187"/>
        <v>0</v>
      </c>
      <c r="AH171" s="7">
        <f t="shared" ca="1" si="187"/>
        <v>0</v>
      </c>
      <c r="AI171" s="7">
        <f t="shared" ca="1" si="187"/>
        <v>0</v>
      </c>
      <c r="AJ171" s="7">
        <f t="shared" ca="1" si="187"/>
        <v>0</v>
      </c>
      <c r="AK171" s="7">
        <f t="shared" ca="1" si="187"/>
        <v>0</v>
      </c>
      <c r="AL171" s="7">
        <f t="shared" ca="1" si="187"/>
        <v>0</v>
      </c>
      <c r="AM171" s="7">
        <f t="shared" si="187"/>
        <v>0</v>
      </c>
    </row>
    <row r="172" spans="1:39" x14ac:dyDescent="0.2">
      <c r="A172" s="3" t="s">
        <v>30</v>
      </c>
      <c r="C172" s="7">
        <f t="shared" ref="C172:AM172" ca="1" si="188">IFERROR(-IF(C167=0,VLOOKUP($A166,$8:$12,C$1+2,FALSE),0),0)</f>
        <v>0</v>
      </c>
      <c r="D172" s="7">
        <f t="shared" ca="1" si="188"/>
        <v>0</v>
      </c>
      <c r="E172" s="7">
        <f t="shared" ca="1" si="188"/>
        <v>0</v>
      </c>
      <c r="F172" s="7">
        <f t="shared" ca="1" si="188"/>
        <v>0</v>
      </c>
      <c r="G172" s="7">
        <f t="shared" ca="1" si="188"/>
        <v>0</v>
      </c>
      <c r="H172" s="7">
        <f t="shared" ca="1" si="188"/>
        <v>0</v>
      </c>
      <c r="I172" s="7">
        <f t="shared" ca="1" si="188"/>
        <v>0</v>
      </c>
      <c r="J172" s="7">
        <f t="shared" ca="1" si="188"/>
        <v>0</v>
      </c>
      <c r="K172" s="7">
        <f t="shared" ca="1" si="188"/>
        <v>0</v>
      </c>
      <c r="L172" s="7">
        <f t="shared" ca="1" si="188"/>
        <v>0</v>
      </c>
      <c r="M172" s="7">
        <f t="shared" ca="1" si="188"/>
        <v>0</v>
      </c>
      <c r="N172" s="7">
        <f t="shared" ca="1" si="188"/>
        <v>0</v>
      </c>
      <c r="O172" s="7">
        <f t="shared" ca="1" si="188"/>
        <v>0</v>
      </c>
      <c r="P172" s="7">
        <f t="shared" ca="1" si="188"/>
        <v>0</v>
      </c>
      <c r="Q172" s="7">
        <f t="shared" ca="1" si="188"/>
        <v>0</v>
      </c>
      <c r="R172" s="7">
        <f t="shared" ca="1" si="188"/>
        <v>0</v>
      </c>
      <c r="S172" s="7">
        <f t="shared" ca="1" si="188"/>
        <v>0</v>
      </c>
      <c r="T172" s="7">
        <f t="shared" ca="1" si="188"/>
        <v>0</v>
      </c>
      <c r="U172" s="7">
        <f t="shared" ca="1" si="188"/>
        <v>0</v>
      </c>
      <c r="V172" s="7">
        <f t="shared" ca="1" si="188"/>
        <v>0</v>
      </c>
      <c r="W172" s="7">
        <f t="shared" ca="1" si="188"/>
        <v>0</v>
      </c>
      <c r="X172" s="7">
        <f t="shared" ca="1" si="188"/>
        <v>0</v>
      </c>
      <c r="Y172" s="7">
        <f t="shared" ca="1" si="188"/>
        <v>0</v>
      </c>
      <c r="Z172" s="7">
        <f t="shared" ca="1" si="188"/>
        <v>0</v>
      </c>
      <c r="AA172" s="7">
        <f t="shared" ca="1" si="188"/>
        <v>0</v>
      </c>
      <c r="AB172" s="7">
        <f t="shared" ca="1" si="188"/>
        <v>0</v>
      </c>
      <c r="AC172" s="7">
        <f t="shared" ca="1" si="188"/>
        <v>0</v>
      </c>
      <c r="AD172" s="7">
        <f t="shared" ca="1" si="188"/>
        <v>0</v>
      </c>
      <c r="AE172" s="7">
        <f t="shared" ca="1" si="188"/>
        <v>0</v>
      </c>
      <c r="AF172" s="7">
        <f t="shared" ca="1" si="188"/>
        <v>0</v>
      </c>
      <c r="AG172" s="7">
        <f t="shared" ca="1" si="188"/>
        <v>0</v>
      </c>
      <c r="AH172" s="7">
        <f t="shared" ca="1" si="188"/>
        <v>0</v>
      </c>
      <c r="AI172" s="7">
        <f t="shared" ca="1" si="188"/>
        <v>0</v>
      </c>
      <c r="AJ172" s="7">
        <f t="shared" ca="1" si="188"/>
        <v>0</v>
      </c>
      <c r="AK172" s="7">
        <f t="shared" ca="1" si="188"/>
        <v>0</v>
      </c>
      <c r="AL172" s="7">
        <f t="shared" ca="1" si="188"/>
        <v>0</v>
      </c>
      <c r="AM172" s="7">
        <f t="shared" ca="1" si="188"/>
        <v>0</v>
      </c>
    </row>
    <row r="173" spans="1:39" x14ac:dyDescent="0.2">
      <c r="A173" s="3" t="s">
        <v>49</v>
      </c>
      <c r="C173" s="7">
        <f t="shared" ref="C173:AM173" ca="1" si="189">IFERROR(IF(C167=0,VLOOKUP($A166,$46:$50,C$1+2,FALSE),0),0)</f>
        <v>0</v>
      </c>
      <c r="D173" s="7">
        <f t="shared" ca="1" si="189"/>
        <v>0</v>
      </c>
      <c r="E173" s="7">
        <f t="shared" ca="1" si="189"/>
        <v>0</v>
      </c>
      <c r="F173" s="7">
        <f t="shared" ca="1" si="189"/>
        <v>0</v>
      </c>
      <c r="G173" s="7">
        <f t="shared" ca="1" si="189"/>
        <v>0</v>
      </c>
      <c r="H173" s="7">
        <f t="shared" ca="1" si="189"/>
        <v>0</v>
      </c>
      <c r="I173" s="7">
        <f t="shared" ca="1" si="189"/>
        <v>0</v>
      </c>
      <c r="J173" s="7">
        <f t="shared" ca="1" si="189"/>
        <v>0</v>
      </c>
      <c r="K173" s="7">
        <f t="shared" ca="1" si="189"/>
        <v>0</v>
      </c>
      <c r="L173" s="7">
        <f t="shared" ca="1" si="189"/>
        <v>0</v>
      </c>
      <c r="M173" s="7">
        <f t="shared" ca="1" si="189"/>
        <v>0</v>
      </c>
      <c r="N173" s="7">
        <f t="shared" ca="1" si="189"/>
        <v>0</v>
      </c>
      <c r="O173" s="7">
        <f t="shared" ca="1" si="189"/>
        <v>0</v>
      </c>
      <c r="P173" s="7">
        <f t="shared" ca="1" si="189"/>
        <v>0</v>
      </c>
      <c r="Q173" s="7">
        <f t="shared" ca="1" si="189"/>
        <v>0</v>
      </c>
      <c r="R173" s="7">
        <f t="shared" ca="1" si="189"/>
        <v>0</v>
      </c>
      <c r="S173" s="7">
        <f t="shared" ca="1" si="189"/>
        <v>0</v>
      </c>
      <c r="T173" s="7">
        <f t="shared" ca="1" si="189"/>
        <v>0</v>
      </c>
      <c r="U173" s="7">
        <f t="shared" ca="1" si="189"/>
        <v>0</v>
      </c>
      <c r="V173" s="7">
        <f t="shared" ca="1" si="189"/>
        <v>0</v>
      </c>
      <c r="W173" s="7">
        <f t="shared" ca="1" si="189"/>
        <v>0</v>
      </c>
      <c r="X173" s="7">
        <f t="shared" ca="1" si="189"/>
        <v>0</v>
      </c>
      <c r="Y173" s="7">
        <f t="shared" ca="1" si="189"/>
        <v>0</v>
      </c>
      <c r="Z173" s="7">
        <f t="shared" ca="1" si="189"/>
        <v>0</v>
      </c>
      <c r="AA173" s="7">
        <f t="shared" ca="1" si="189"/>
        <v>0</v>
      </c>
      <c r="AB173" s="7">
        <f t="shared" ca="1" si="189"/>
        <v>0</v>
      </c>
      <c r="AC173" s="7">
        <f t="shared" ca="1" si="189"/>
        <v>0</v>
      </c>
      <c r="AD173" s="7">
        <f t="shared" ca="1" si="189"/>
        <v>0</v>
      </c>
      <c r="AE173" s="7">
        <f t="shared" ca="1" si="189"/>
        <v>0</v>
      </c>
      <c r="AF173" s="7">
        <f t="shared" ca="1" si="189"/>
        <v>0</v>
      </c>
      <c r="AG173" s="7">
        <f t="shared" ca="1" si="189"/>
        <v>0</v>
      </c>
      <c r="AH173" s="7">
        <f t="shared" ca="1" si="189"/>
        <v>0</v>
      </c>
      <c r="AI173" s="7">
        <f t="shared" ca="1" si="189"/>
        <v>0</v>
      </c>
      <c r="AJ173" s="7">
        <f t="shared" ca="1" si="189"/>
        <v>0</v>
      </c>
      <c r="AK173" s="7">
        <f t="shared" ca="1" si="189"/>
        <v>0</v>
      </c>
      <c r="AL173" s="7">
        <f t="shared" ca="1" si="189"/>
        <v>0</v>
      </c>
      <c r="AM173" s="7">
        <f t="shared" ca="1" si="189"/>
        <v>0</v>
      </c>
    </row>
    <row r="174" spans="1:39" x14ac:dyDescent="0.2">
      <c r="A174" s="3" t="s">
        <v>35</v>
      </c>
      <c r="B174" s="14" t="str">
        <f>A166</f>
        <v>Gudja</v>
      </c>
      <c r="C174" s="7">
        <f t="shared" ref="C174:AM174" ca="1" si="190">IF(AND(C167&gt;0,C170=0),VLOOKUP($A166,$86:$95,C$1+2,FALSE),0)</f>
        <v>0</v>
      </c>
      <c r="D174" s="7">
        <f t="shared" ca="1" si="190"/>
        <v>0</v>
      </c>
      <c r="E174" s="7">
        <f t="shared" ca="1" si="190"/>
        <v>0</v>
      </c>
      <c r="F174" s="7">
        <f t="shared" ca="1" si="190"/>
        <v>0</v>
      </c>
      <c r="G174" s="7">
        <f t="shared" ca="1" si="190"/>
        <v>0</v>
      </c>
      <c r="H174" s="7">
        <f t="shared" ca="1" si="190"/>
        <v>0</v>
      </c>
      <c r="I174" s="7">
        <f t="shared" ca="1" si="190"/>
        <v>0</v>
      </c>
      <c r="J174" s="7">
        <f t="shared" ca="1" si="190"/>
        <v>0</v>
      </c>
      <c r="K174" s="7">
        <f t="shared" ca="1" si="190"/>
        <v>0</v>
      </c>
      <c r="L174" s="7">
        <f t="shared" ca="1" si="190"/>
        <v>0</v>
      </c>
      <c r="M174" s="7">
        <f t="shared" ca="1" si="190"/>
        <v>0</v>
      </c>
      <c r="N174" s="7">
        <f t="shared" ca="1" si="190"/>
        <v>0</v>
      </c>
      <c r="O174" s="7">
        <f t="shared" ca="1" si="190"/>
        <v>0</v>
      </c>
      <c r="P174" s="7">
        <f t="shared" ca="1" si="190"/>
        <v>0</v>
      </c>
      <c r="Q174" s="7">
        <f t="shared" ca="1" si="190"/>
        <v>0</v>
      </c>
      <c r="R174" s="7">
        <f t="shared" ca="1" si="190"/>
        <v>0</v>
      </c>
      <c r="S174" s="7">
        <f t="shared" ca="1" si="190"/>
        <v>0</v>
      </c>
      <c r="T174" s="7">
        <f t="shared" ca="1" si="190"/>
        <v>0</v>
      </c>
      <c r="U174" s="7">
        <f t="shared" ca="1" si="190"/>
        <v>0</v>
      </c>
      <c r="V174" s="7">
        <f t="shared" ca="1" si="190"/>
        <v>0</v>
      </c>
      <c r="W174" s="7">
        <f t="shared" ca="1" si="190"/>
        <v>0</v>
      </c>
      <c r="X174" s="7">
        <f t="shared" ca="1" si="190"/>
        <v>0</v>
      </c>
      <c r="Y174" s="7">
        <f t="shared" ca="1" si="190"/>
        <v>0</v>
      </c>
      <c r="Z174" s="7">
        <f t="shared" ca="1" si="190"/>
        <v>0</v>
      </c>
      <c r="AA174" s="7">
        <f t="shared" ca="1" si="190"/>
        <v>0</v>
      </c>
      <c r="AB174" s="7">
        <f t="shared" ca="1" si="190"/>
        <v>0</v>
      </c>
      <c r="AC174" s="7">
        <f t="shared" ca="1" si="190"/>
        <v>0</v>
      </c>
      <c r="AD174" s="7">
        <f t="shared" ca="1" si="190"/>
        <v>0</v>
      </c>
      <c r="AE174" s="7">
        <f t="shared" ca="1" si="190"/>
        <v>0</v>
      </c>
      <c r="AF174" s="7">
        <f t="shared" ca="1" si="190"/>
        <v>0</v>
      </c>
      <c r="AG174" s="7">
        <f t="shared" ca="1" si="190"/>
        <v>0</v>
      </c>
      <c r="AH174" s="7">
        <f t="shared" ca="1" si="190"/>
        <v>0</v>
      </c>
      <c r="AI174" s="7">
        <f t="shared" ca="1" si="190"/>
        <v>0</v>
      </c>
      <c r="AJ174" s="7">
        <f t="shared" ca="1" si="190"/>
        <v>0</v>
      </c>
      <c r="AK174" s="7">
        <f t="shared" ca="1" si="190"/>
        <v>0</v>
      </c>
      <c r="AL174" s="7">
        <f t="shared" ca="1" si="190"/>
        <v>0</v>
      </c>
      <c r="AM174" s="7">
        <f t="shared" ca="1" si="190"/>
        <v>0</v>
      </c>
    </row>
    <row r="175" spans="1:39" x14ac:dyDescent="0.2">
      <c r="A175" s="3" t="s">
        <v>36</v>
      </c>
      <c r="C175" s="7">
        <f ca="1">-C168+SUM(C171:C174)</f>
        <v>0</v>
      </c>
      <c r="D175" s="7">
        <f t="shared" ref="D175" ca="1" si="191">-D168+SUM(D171:D174)</f>
        <v>0</v>
      </c>
      <c r="E175" s="7">
        <f t="shared" ref="E175:AM175" ca="1" si="192">-E168+SUM(E171:E174)</f>
        <v>0</v>
      </c>
      <c r="F175" s="7">
        <f t="shared" ca="1" si="192"/>
        <v>0</v>
      </c>
      <c r="G175" s="7">
        <f t="shared" ca="1" si="192"/>
        <v>0</v>
      </c>
      <c r="H175" s="7">
        <f t="shared" ca="1" si="192"/>
        <v>0</v>
      </c>
      <c r="I175" s="7">
        <f t="shared" ca="1" si="192"/>
        <v>0</v>
      </c>
      <c r="J175" s="7">
        <f t="shared" ca="1" si="192"/>
        <v>0</v>
      </c>
      <c r="K175" s="7">
        <f t="shared" ca="1" si="192"/>
        <v>0</v>
      </c>
      <c r="L175" s="7">
        <f t="shared" ca="1" si="192"/>
        <v>0</v>
      </c>
      <c r="M175" s="7">
        <f t="shared" ca="1" si="192"/>
        <v>0</v>
      </c>
      <c r="N175" s="7">
        <f t="shared" ca="1" si="192"/>
        <v>0</v>
      </c>
      <c r="O175" s="7">
        <f t="shared" ca="1" si="192"/>
        <v>0</v>
      </c>
      <c r="P175" s="7">
        <f t="shared" ca="1" si="192"/>
        <v>0</v>
      </c>
      <c r="Q175" s="7">
        <f t="shared" ca="1" si="192"/>
        <v>0</v>
      </c>
      <c r="R175" s="7">
        <f t="shared" ca="1" si="192"/>
        <v>0</v>
      </c>
      <c r="S175" s="7">
        <f t="shared" ca="1" si="192"/>
        <v>0</v>
      </c>
      <c r="T175" s="7">
        <f t="shared" ca="1" si="192"/>
        <v>0</v>
      </c>
      <c r="U175" s="7">
        <f t="shared" ca="1" si="192"/>
        <v>0</v>
      </c>
      <c r="V175" s="7">
        <f t="shared" ca="1" si="192"/>
        <v>0</v>
      </c>
      <c r="W175" s="7">
        <f t="shared" ca="1" si="192"/>
        <v>0</v>
      </c>
      <c r="X175" s="7">
        <f t="shared" ca="1" si="192"/>
        <v>0</v>
      </c>
      <c r="Y175" s="7">
        <f t="shared" ca="1" si="192"/>
        <v>0</v>
      </c>
      <c r="Z175" s="7">
        <f t="shared" ca="1" si="192"/>
        <v>0</v>
      </c>
      <c r="AA175" s="7">
        <f t="shared" ca="1" si="192"/>
        <v>0</v>
      </c>
      <c r="AB175" s="7">
        <f t="shared" ca="1" si="192"/>
        <v>0</v>
      </c>
      <c r="AC175" s="7">
        <f t="shared" ca="1" si="192"/>
        <v>0</v>
      </c>
      <c r="AD175" s="7">
        <f t="shared" ca="1" si="192"/>
        <v>0</v>
      </c>
      <c r="AE175" s="7">
        <f t="shared" ca="1" si="192"/>
        <v>0</v>
      </c>
      <c r="AF175" s="7">
        <f t="shared" ca="1" si="192"/>
        <v>0</v>
      </c>
      <c r="AG175" s="7">
        <f t="shared" ca="1" si="192"/>
        <v>0</v>
      </c>
      <c r="AH175" s="7">
        <f t="shared" ca="1" si="192"/>
        <v>0</v>
      </c>
      <c r="AI175" s="7">
        <f t="shared" ca="1" si="192"/>
        <v>0</v>
      </c>
      <c r="AJ175" s="7">
        <f t="shared" ca="1" si="192"/>
        <v>0</v>
      </c>
      <c r="AK175" s="7">
        <f t="shared" ca="1" si="192"/>
        <v>0</v>
      </c>
      <c r="AL175" s="7">
        <f t="shared" ca="1" si="192"/>
        <v>0</v>
      </c>
      <c r="AM175" s="7">
        <f t="shared" ca="1" si="192"/>
        <v>0</v>
      </c>
    </row>
    <row r="176" spans="1:39" x14ac:dyDescent="0.2">
      <c r="A176" s="3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  <c r="AG176" s="7"/>
      <c r="AH176" s="7"/>
      <c r="AI176" s="7"/>
      <c r="AJ176" s="7"/>
      <c r="AK176" s="7"/>
      <c r="AL176" s="7"/>
      <c r="AM176" s="7"/>
    </row>
    <row r="177" spans="1:39" x14ac:dyDescent="0.2">
      <c r="A177" s="3" t="s">
        <v>70</v>
      </c>
      <c r="C177" s="7">
        <f ca="1">C163+SUM($C175:C175)</f>
        <v>12919.0625</v>
      </c>
      <c r="D177" s="7">
        <f ca="1">D163+SUM($C175:D175)</f>
        <v>22490.535937499997</v>
      </c>
      <c r="E177" s="7">
        <f ca="1">E163+SUM($C175:E175)</f>
        <v>38207.499804687497</v>
      </c>
      <c r="F177" s="7">
        <f ca="1">F163+SUM($C175:F175)</f>
        <v>35714.080452231734</v>
      </c>
      <c r="G177" s="7">
        <f ca="1">G163+SUM($C175:G175)</f>
        <v>229276.11396248138</v>
      </c>
      <c r="H177" s="7">
        <f ca="1">H163+SUM($C175:H175)</f>
        <v>271025.81800930644</v>
      </c>
      <c r="I177" s="7">
        <f ca="1">I163+SUM($C175:I175)</f>
        <v>332892.09672247234</v>
      </c>
      <c r="J177" s="7">
        <f ca="1">J163+SUM($C175:J175)</f>
        <v>399181.31879998074</v>
      </c>
      <c r="K177" s="7">
        <f ca="1">K163+SUM($C175:K175)</f>
        <v>452080.69175229734</v>
      </c>
      <c r="L177" s="7">
        <f ca="1">L163+SUM($C175:L175)</f>
        <v>591897.59165074176</v>
      </c>
      <c r="M177" s="7">
        <f ca="1">M163+SUM($C175:M175)</f>
        <v>643438.66125641076</v>
      </c>
      <c r="N177" s="7">
        <f ca="1">N163+SUM($C175:N175)</f>
        <v>748500.49246398674</v>
      </c>
      <c r="O177" s="7">
        <f ca="1">O163+SUM($C175:O175)</f>
        <v>859267.05744988273</v>
      </c>
      <c r="P177" s="7">
        <f ca="1">P163+SUM($C175:P175)</f>
        <v>975981.2911249469</v>
      </c>
      <c r="Q177" s="7">
        <f ca="1">Q163+SUM($C175:Q175)</f>
        <v>1098895.4105429514</v>
      </c>
      <c r="R177" s="7">
        <f ca="1">R163+SUM($C175:R175)</f>
        <v>1228271.248199099</v>
      </c>
      <c r="S177" s="7">
        <f ca="1">S163+SUM($C175:S175)</f>
        <v>1364380.5968228865</v>
      </c>
      <c r="T177" s="7">
        <f ca="1">T163+SUM($C175:T175)</f>
        <v>1402527.6236677105</v>
      </c>
      <c r="U177" s="7">
        <f ca="1">U163+SUM($C175:U175)</f>
        <v>1449854.2259580824</v>
      </c>
      <c r="V177" s="7">
        <f ca="1">V163+SUM($C175:V175)</f>
        <v>1498907.5815076504</v>
      </c>
      <c r="W177" s="7">
        <f ca="1">W163+SUM($C175:W175)</f>
        <v>1549752.4964402271</v>
      </c>
      <c r="X177" s="7">
        <f ca="1">X163+SUM($C175:X175)</f>
        <v>1602456.179392647</v>
      </c>
      <c r="Y177" s="7">
        <f ca="1">Y163+SUM($C175:Y175)</f>
        <v>1636171.2358988209</v>
      </c>
      <c r="Z177" s="7">
        <f ca="1">Z163+SUM($C175:Z175)</f>
        <v>1670841.1811310996</v>
      </c>
      <c r="AA177" s="7">
        <f ca="1">AA163+SUM($C175:AA175)</f>
        <v>1706501.7452458595</v>
      </c>
      <c r="AB177" s="7">
        <f ca="1">AB163+SUM($C175:AB175)</f>
        <v>1743190.1198307537</v>
      </c>
      <c r="AC177" s="7">
        <f ca="1">AC163+SUM($C175:AC175)</f>
        <v>1780945.016796795</v>
      </c>
      <c r="AD177" s="7">
        <f ca="1">AD163+SUM($C175:AD175)</f>
        <v>1819806.7295462058</v>
      </c>
      <c r="AE177" s="7">
        <f ca="1">AE163+SUM($C175:AE175)</f>
        <v>1869924.4525328081</v>
      </c>
      <c r="AF177" s="7">
        <f ca="1">AF163+SUM($C175:AF175)</f>
        <v>1921739.9419416173</v>
      </c>
      <c r="AG177" s="7">
        <f ca="1">AG163+SUM($C175:AG175)</f>
        <v>1975317.5778012427</v>
      </c>
      <c r="AH177" s="7">
        <f ca="1">AH163+SUM($C175:AH175)</f>
        <v>2030724.2224962406</v>
      </c>
      <c r="AI177" s="7">
        <f ca="1">AI163+SUM($C175:AI175)</f>
        <v>2088029.314381151</v>
      </c>
      <c r="AJ177" s="7">
        <f ca="1">AJ163+SUM($C175:AJ175)</f>
        <v>2147304.9648157731</v>
      </c>
      <c r="AK177" s="7">
        <f ca="1">AK163+SUM($C175:AK175)</f>
        <v>2208626.0587430005</v>
      </c>
      <c r="AL177" s="7">
        <f ca="1">AL163+SUM($C175:AL175)</f>
        <v>2272070.3589347131</v>
      </c>
      <c r="AM177" s="7">
        <f ca="1">AM163+SUM($C175:AM175)</f>
        <v>2337718.614035564</v>
      </c>
    </row>
    <row r="178" spans="1:39" x14ac:dyDescent="0.2">
      <c r="A178" s="3" t="s">
        <v>67</v>
      </c>
      <c r="C178" s="7">
        <f t="shared" ref="C178:AM178" ca="1" si="193">MAX(C177+buffer,0)-MAX(C163+buffer,0)</f>
        <v>0</v>
      </c>
      <c r="D178" s="7">
        <f t="shared" ca="1" si="193"/>
        <v>0</v>
      </c>
      <c r="E178" s="7">
        <f t="shared" ca="1" si="193"/>
        <v>0</v>
      </c>
      <c r="F178" s="7">
        <f t="shared" ca="1" si="193"/>
        <v>0</v>
      </c>
      <c r="G178" s="7">
        <f t="shared" ca="1" si="193"/>
        <v>0</v>
      </c>
      <c r="H178" s="7">
        <f t="shared" ca="1" si="193"/>
        <v>0</v>
      </c>
      <c r="I178" s="7">
        <f t="shared" ca="1" si="193"/>
        <v>0</v>
      </c>
      <c r="J178" s="7">
        <f t="shared" ca="1" si="193"/>
        <v>0</v>
      </c>
      <c r="K178" s="7">
        <f t="shared" ca="1" si="193"/>
        <v>0</v>
      </c>
      <c r="L178" s="7">
        <f t="shared" ca="1" si="193"/>
        <v>0</v>
      </c>
      <c r="M178" s="7">
        <f t="shared" ca="1" si="193"/>
        <v>0</v>
      </c>
      <c r="N178" s="7">
        <f t="shared" ca="1" si="193"/>
        <v>0</v>
      </c>
      <c r="O178" s="7">
        <f t="shared" ca="1" si="193"/>
        <v>0</v>
      </c>
      <c r="P178" s="7">
        <f t="shared" ca="1" si="193"/>
        <v>0</v>
      </c>
      <c r="Q178" s="7">
        <f t="shared" ca="1" si="193"/>
        <v>0</v>
      </c>
      <c r="R178" s="7">
        <f t="shared" ca="1" si="193"/>
        <v>0</v>
      </c>
      <c r="S178" s="7">
        <f t="shared" ca="1" si="193"/>
        <v>0</v>
      </c>
      <c r="T178" s="7">
        <f t="shared" ca="1" si="193"/>
        <v>0</v>
      </c>
      <c r="U178" s="7">
        <f t="shared" ca="1" si="193"/>
        <v>0</v>
      </c>
      <c r="V178" s="7">
        <f t="shared" ca="1" si="193"/>
        <v>0</v>
      </c>
      <c r="W178" s="7">
        <f t="shared" ca="1" si="193"/>
        <v>0</v>
      </c>
      <c r="X178" s="7">
        <f t="shared" ca="1" si="193"/>
        <v>0</v>
      </c>
      <c r="Y178" s="7">
        <f t="shared" ca="1" si="193"/>
        <v>0</v>
      </c>
      <c r="Z178" s="7">
        <f t="shared" ca="1" si="193"/>
        <v>0</v>
      </c>
      <c r="AA178" s="7">
        <f t="shared" ca="1" si="193"/>
        <v>0</v>
      </c>
      <c r="AB178" s="7">
        <f t="shared" ca="1" si="193"/>
        <v>0</v>
      </c>
      <c r="AC178" s="7">
        <f t="shared" ca="1" si="193"/>
        <v>0</v>
      </c>
      <c r="AD178" s="7">
        <f t="shared" ca="1" si="193"/>
        <v>0</v>
      </c>
      <c r="AE178" s="7">
        <f t="shared" ca="1" si="193"/>
        <v>0</v>
      </c>
      <c r="AF178" s="7">
        <f t="shared" ca="1" si="193"/>
        <v>0</v>
      </c>
      <c r="AG178" s="7">
        <f t="shared" ca="1" si="193"/>
        <v>0</v>
      </c>
      <c r="AH178" s="7">
        <f t="shared" ca="1" si="193"/>
        <v>0</v>
      </c>
      <c r="AI178" s="7">
        <f t="shared" ca="1" si="193"/>
        <v>0</v>
      </c>
      <c r="AJ178" s="7">
        <f t="shared" ca="1" si="193"/>
        <v>0</v>
      </c>
      <c r="AK178" s="7">
        <f t="shared" ca="1" si="193"/>
        <v>0</v>
      </c>
      <c r="AL178" s="7">
        <f t="shared" ca="1" si="193"/>
        <v>0</v>
      </c>
      <c r="AM178" s="7">
        <f t="shared" ca="1" si="193"/>
        <v>0</v>
      </c>
    </row>
    <row r="179" spans="1:39" x14ac:dyDescent="0.2">
      <c r="A179" s="3" t="s">
        <v>68</v>
      </c>
      <c r="C179" s="7">
        <f ca="1">C178*Inputs!$B$270</f>
        <v>0</v>
      </c>
      <c r="D179" s="7">
        <f ca="1">D178*Inputs!$B$270</f>
        <v>0</v>
      </c>
      <c r="E179" s="7">
        <f ca="1">E178*Inputs!$B$270</f>
        <v>0</v>
      </c>
      <c r="F179" s="7">
        <f ca="1">F178*Inputs!$B$270</f>
        <v>0</v>
      </c>
      <c r="G179" s="7">
        <f ca="1">G178*Inputs!$B$270</f>
        <v>0</v>
      </c>
      <c r="H179" s="7">
        <f ca="1">H178*Inputs!$B$270</f>
        <v>0</v>
      </c>
      <c r="I179" s="7">
        <f ca="1">I178*Inputs!$B$270</f>
        <v>0</v>
      </c>
      <c r="J179" s="7">
        <f ca="1">J178*Inputs!$B$270</f>
        <v>0</v>
      </c>
      <c r="K179" s="7">
        <f ca="1">K178*Inputs!$B$270</f>
        <v>0</v>
      </c>
      <c r="L179" s="7">
        <f ca="1">L178*Inputs!$B$270</f>
        <v>0</v>
      </c>
      <c r="M179" s="7">
        <f ca="1">M178*Inputs!$B$270</f>
        <v>0</v>
      </c>
      <c r="N179" s="7">
        <f ca="1">N178*Inputs!$B$270</f>
        <v>0</v>
      </c>
      <c r="O179" s="7">
        <f ca="1">O178*Inputs!$B$270</f>
        <v>0</v>
      </c>
      <c r="P179" s="7">
        <f ca="1">P178*Inputs!$B$270</f>
        <v>0</v>
      </c>
      <c r="Q179" s="7">
        <f ca="1">Q178*Inputs!$B$270</f>
        <v>0</v>
      </c>
      <c r="R179" s="7">
        <f ca="1">R178*Inputs!$B$270</f>
        <v>0</v>
      </c>
      <c r="S179" s="7">
        <f ca="1">S178*Inputs!$B$270</f>
        <v>0</v>
      </c>
      <c r="T179" s="7">
        <f ca="1">T178*Inputs!$B$270</f>
        <v>0</v>
      </c>
      <c r="U179" s="7">
        <f ca="1">U178*Inputs!$B$270</f>
        <v>0</v>
      </c>
      <c r="V179" s="7">
        <f ca="1">V178*Inputs!$B$270</f>
        <v>0</v>
      </c>
      <c r="W179" s="7">
        <f ca="1">W178*Inputs!$B$270</f>
        <v>0</v>
      </c>
      <c r="X179" s="7">
        <f ca="1">X178*Inputs!$B$270</f>
        <v>0</v>
      </c>
      <c r="Y179" s="7">
        <f ca="1">Y178*Inputs!$B$270</f>
        <v>0</v>
      </c>
      <c r="Z179" s="7">
        <f ca="1">Z178*Inputs!$B$270</f>
        <v>0</v>
      </c>
      <c r="AA179" s="7">
        <f ca="1">AA178*Inputs!$B$270</f>
        <v>0</v>
      </c>
      <c r="AB179" s="7">
        <f ca="1">AB178*Inputs!$B$270</f>
        <v>0</v>
      </c>
      <c r="AC179" s="7">
        <f ca="1">AC178*Inputs!$B$270</f>
        <v>0</v>
      </c>
      <c r="AD179" s="7">
        <f ca="1">AD178*Inputs!$B$270</f>
        <v>0</v>
      </c>
      <c r="AE179" s="7">
        <f ca="1">AE178*Inputs!$B$270</f>
        <v>0</v>
      </c>
      <c r="AF179" s="7">
        <f ca="1">AF178*Inputs!$B$270</f>
        <v>0</v>
      </c>
      <c r="AG179" s="7">
        <f ca="1">AG178*Inputs!$B$270</f>
        <v>0</v>
      </c>
      <c r="AH179" s="7">
        <f ca="1">AH178*Inputs!$B$270</f>
        <v>0</v>
      </c>
      <c r="AI179" s="7">
        <f ca="1">AI178*Inputs!$B$270</f>
        <v>0</v>
      </c>
      <c r="AJ179" s="7">
        <f ca="1">AJ178*Inputs!$B$270</f>
        <v>0</v>
      </c>
      <c r="AK179" s="7">
        <f ca="1">AK178*Inputs!$B$270</f>
        <v>0</v>
      </c>
      <c r="AL179" s="7">
        <f ca="1">AL178*Inputs!$B$270</f>
        <v>0</v>
      </c>
      <c r="AM179" s="7">
        <f ca="1">AM178*Inputs!$B$270</f>
        <v>0</v>
      </c>
    </row>
    <row r="180" spans="1:39" x14ac:dyDescent="0.2">
      <c r="A180" s="3" t="s">
        <v>149</v>
      </c>
      <c r="C180" s="7">
        <f ca="1">C177+SUM($C179:C179)</f>
        <v>12919.0625</v>
      </c>
      <c r="D180" s="7">
        <f ca="1">D177+SUM($C179:D179)</f>
        <v>22490.535937499997</v>
      </c>
      <c r="E180" s="7">
        <f ca="1">E177+SUM($C179:E179)</f>
        <v>38207.499804687497</v>
      </c>
      <c r="F180" s="7">
        <f ca="1">F177+SUM($C179:F179)</f>
        <v>35714.080452231734</v>
      </c>
      <c r="G180" s="7">
        <f ca="1">G177+SUM($C179:G179)</f>
        <v>229276.11396248138</v>
      </c>
      <c r="H180" s="7">
        <f ca="1">H177+SUM($C179:H179)</f>
        <v>271025.81800930644</v>
      </c>
      <c r="I180" s="7">
        <f ca="1">I177+SUM($C179:I179)</f>
        <v>332892.09672247234</v>
      </c>
      <c r="J180" s="7">
        <f ca="1">J177+SUM($C179:J179)</f>
        <v>399181.31879998074</v>
      </c>
      <c r="K180" s="7">
        <f ca="1">K177+SUM($C179:K179)</f>
        <v>452080.69175229734</v>
      </c>
      <c r="L180" s="7">
        <f ca="1">L177+SUM($C179:L179)</f>
        <v>591897.59165074176</v>
      </c>
      <c r="M180" s="7">
        <f ca="1">M177+SUM($C179:M179)</f>
        <v>643438.66125641076</v>
      </c>
      <c r="N180" s="7">
        <f ca="1">N177+SUM($C179:N179)</f>
        <v>748500.49246398674</v>
      </c>
      <c r="O180" s="7">
        <f ca="1">O177+SUM($C179:O179)</f>
        <v>859267.05744988273</v>
      </c>
      <c r="P180" s="7">
        <f ca="1">P177+SUM($C179:P179)</f>
        <v>975981.2911249469</v>
      </c>
      <c r="Q180" s="7">
        <f ca="1">Q177+SUM($C179:Q179)</f>
        <v>1098895.4105429514</v>
      </c>
      <c r="R180" s="7">
        <f ca="1">R177+SUM($C179:R179)</f>
        <v>1228271.248199099</v>
      </c>
      <c r="S180" s="7">
        <f ca="1">S177+SUM($C179:S179)</f>
        <v>1364380.5968228865</v>
      </c>
      <c r="T180" s="7">
        <f ca="1">T177+SUM($C179:T179)</f>
        <v>1402527.6236677105</v>
      </c>
      <c r="U180" s="7">
        <f ca="1">U177+SUM($C179:U179)</f>
        <v>1449854.2259580824</v>
      </c>
      <c r="V180" s="7">
        <f ca="1">V177+SUM($C179:V179)</f>
        <v>1498907.5815076504</v>
      </c>
      <c r="W180" s="7">
        <f ca="1">W177+SUM($C179:W179)</f>
        <v>1549752.4964402271</v>
      </c>
      <c r="X180" s="7">
        <f ca="1">X177+SUM($C179:X179)</f>
        <v>1602456.179392647</v>
      </c>
      <c r="Y180" s="7">
        <f ca="1">Y177+SUM($C179:Y179)</f>
        <v>1636171.2358988209</v>
      </c>
      <c r="Z180" s="7">
        <f ca="1">Z177+SUM($C179:Z179)</f>
        <v>1670841.1811310996</v>
      </c>
      <c r="AA180" s="7">
        <f ca="1">AA177+SUM($C179:AA179)</f>
        <v>1706501.7452458595</v>
      </c>
      <c r="AB180" s="7">
        <f ca="1">AB177+SUM($C179:AB179)</f>
        <v>1743190.1198307537</v>
      </c>
      <c r="AC180" s="7">
        <f ca="1">AC177+SUM($C179:AC179)</f>
        <v>1780945.016796795</v>
      </c>
      <c r="AD180" s="7">
        <f ca="1">AD177+SUM($C179:AD179)</f>
        <v>1819806.7295462058</v>
      </c>
      <c r="AE180" s="7">
        <f ca="1">AE177+SUM($C179:AE179)</f>
        <v>1869924.4525328081</v>
      </c>
      <c r="AF180" s="7">
        <f ca="1">AF177+SUM($C179:AF179)</f>
        <v>1921739.9419416173</v>
      </c>
      <c r="AG180" s="7">
        <f ca="1">AG177+SUM($C179:AG179)</f>
        <v>1975317.5778012427</v>
      </c>
      <c r="AH180" s="7">
        <f ca="1">AH177+SUM($C179:AH179)</f>
        <v>2030724.2224962406</v>
      </c>
      <c r="AI180" s="7">
        <f ca="1">AI177+SUM($C179:AI179)</f>
        <v>2088029.314381151</v>
      </c>
      <c r="AJ180" s="7">
        <f ca="1">AJ177+SUM($C179:AJ179)</f>
        <v>2147304.9648157731</v>
      </c>
      <c r="AK180" s="7">
        <f ca="1">AK177+SUM($C179:AK179)</f>
        <v>2208626.0587430005</v>
      </c>
      <c r="AL180" s="7">
        <f ca="1">AL177+SUM($C179:AL179)</f>
        <v>2272070.3589347131</v>
      </c>
      <c r="AM180" s="7">
        <f ca="1">AM177+SUM($C179:AM179)</f>
        <v>2337718.614035564</v>
      </c>
    </row>
    <row r="181" spans="1:39" x14ac:dyDescent="0.2">
      <c r="A181" s="3" t="s">
        <v>19</v>
      </c>
      <c r="C181" s="7">
        <f ca="1">IF(C180&lt;0,-C180,0)</f>
        <v>0</v>
      </c>
      <c r="D181" s="7">
        <f ca="1">IF(D180+SUM($C181:C181)&lt;0,-(D180+SUM($C181:C181)),0)</f>
        <v>0</v>
      </c>
      <c r="E181" s="7">
        <f ca="1">IF(E180+SUM($C181:D181)&lt;0,-(E180+SUM($C181:D181)),0)</f>
        <v>0</v>
      </c>
      <c r="F181" s="7">
        <f ca="1">IF(F180+SUM($C181:E181)&lt;0,-(F180+SUM($C181:E181)),0)</f>
        <v>0</v>
      </c>
      <c r="G181" s="7">
        <f ca="1">IF(G180+SUM($C181:F181)&lt;0,-(G180+SUM($C181:F181)),0)</f>
        <v>0</v>
      </c>
      <c r="H181" s="7">
        <f ca="1">IF(H180+SUM($C181:G181)&lt;0,-(H180+SUM($C181:G181)),0)</f>
        <v>0</v>
      </c>
      <c r="I181" s="7">
        <f ca="1">IF(I180+SUM($C181:H181)&lt;0,-(I180+SUM($C181:H181)),0)</f>
        <v>0</v>
      </c>
      <c r="J181" s="7">
        <f ca="1">IF(J180+SUM($C181:I181)&lt;0,-(J180+SUM($C181:I181)),0)</f>
        <v>0</v>
      </c>
      <c r="K181" s="7">
        <f ca="1">IF(K180+SUM($C181:J181)&lt;0,-(K180+SUM($C181:J181)),0)</f>
        <v>0</v>
      </c>
      <c r="L181" s="7">
        <f ca="1">IF(L180+SUM($C181:K181)&lt;0,-(L180+SUM($C181:K181)),0)</f>
        <v>0</v>
      </c>
      <c r="M181" s="7">
        <f ca="1">IF(M180+SUM($C181:L181)&lt;0,-(M180+SUM($C181:L181)),0)</f>
        <v>0</v>
      </c>
      <c r="N181" s="7">
        <f ca="1">IF(N180+SUM($C181:M181)&lt;0,-(N180+SUM($C181:M181)),0)</f>
        <v>0</v>
      </c>
      <c r="O181" s="7">
        <f ca="1">IF(O180+SUM($C181:N181)&lt;0,-(O180+SUM($C181:N181)),0)</f>
        <v>0</v>
      </c>
      <c r="P181" s="7">
        <f ca="1">IF(P180+SUM($C181:O181)&lt;0,-(P180+SUM($C181:O181)),0)</f>
        <v>0</v>
      </c>
      <c r="Q181" s="7">
        <f ca="1">IF(Q180+SUM($C181:P181)&lt;0,-(Q180+SUM($C181:P181)),0)</f>
        <v>0</v>
      </c>
      <c r="R181" s="7">
        <f ca="1">IF(R180+SUM($C181:Q181)&lt;0,-(R180+SUM($C181:Q181)),0)</f>
        <v>0</v>
      </c>
      <c r="S181" s="7">
        <f ca="1">IF(S180+SUM($C181:R181)&lt;0,-(S180+SUM($C181:R181)),0)</f>
        <v>0</v>
      </c>
      <c r="T181" s="7">
        <f ca="1">IF(T180+SUM($C181:S181)&lt;0,-(T180+SUM($C181:S181)),0)</f>
        <v>0</v>
      </c>
      <c r="U181" s="7">
        <f ca="1">IF(U180+SUM($C181:T181)&lt;0,-(U180+SUM($C181:T181)),0)</f>
        <v>0</v>
      </c>
      <c r="V181" s="7">
        <f ca="1">IF(V180+SUM($C181:U181)&lt;0,-(V180+SUM($C181:U181)),0)</f>
        <v>0</v>
      </c>
      <c r="W181" s="7">
        <f ca="1">IF(W180+SUM($C181:V181)&lt;0,-(W180+SUM($C181:V181)),0)</f>
        <v>0</v>
      </c>
      <c r="X181" s="7">
        <f ca="1">IF(X180+SUM($C181:W181)&lt;0,-(X180+SUM($C181:W181)),0)</f>
        <v>0</v>
      </c>
      <c r="Y181" s="7">
        <f ca="1">IF(Y180+SUM($C181:X181)&lt;0,-(Y180+SUM($C181:X181)),0)</f>
        <v>0</v>
      </c>
      <c r="Z181" s="7">
        <f ca="1">IF(Z180+SUM($C181:Y181)&lt;0,-(Z180+SUM($C181:Y181)),0)</f>
        <v>0</v>
      </c>
      <c r="AA181" s="7">
        <f ca="1">IF(AA180+SUM($C181:Z181)&lt;0,-(AA180+SUM($C181:Z181)),0)</f>
        <v>0</v>
      </c>
      <c r="AB181" s="7">
        <f ca="1">IF(AB180+SUM($C181:AA181)&lt;0,-(AB180+SUM($C181:AA181)),0)</f>
        <v>0</v>
      </c>
      <c r="AC181" s="7">
        <f ca="1">IF(AC180+SUM($C181:AB181)&lt;0,-(AC180+SUM($C181:AB181)),0)</f>
        <v>0</v>
      </c>
      <c r="AD181" s="7">
        <f ca="1">IF(AD180+SUM($C181:AC181)&lt;0,-(AD180+SUM($C181:AC181)),0)</f>
        <v>0</v>
      </c>
      <c r="AE181" s="7">
        <f ca="1">IF(AE180+SUM($C181:AD181)&lt;0,-(AE180+SUM($C181:AD181)),0)</f>
        <v>0</v>
      </c>
      <c r="AF181" s="7">
        <f ca="1">IF(AF180+SUM($C181:AE181)&lt;0,-(AF180+SUM($C181:AE181)),0)</f>
        <v>0</v>
      </c>
      <c r="AG181" s="7">
        <f ca="1">IF(AG180+SUM($C181:AF181)&lt;0,-(AG180+SUM($C181:AF181)),0)</f>
        <v>0</v>
      </c>
      <c r="AH181" s="7">
        <f ca="1">IF(AH180+SUM($C181:AG181)&lt;0,-(AH180+SUM($C181:AG181)),0)</f>
        <v>0</v>
      </c>
      <c r="AI181" s="7">
        <f ca="1">IF(AI180+SUM($C181:AH181)&lt;0,-(AI180+SUM($C181:AH181)),0)</f>
        <v>0</v>
      </c>
      <c r="AJ181" s="7">
        <f ca="1">IF(AJ180+SUM($C181:AI181)&lt;0,-(AJ180+SUM($C181:AI181)),0)</f>
        <v>0</v>
      </c>
      <c r="AK181" s="7">
        <f ca="1">IF(AK180+SUM($C181:AJ181)&lt;0,-(AK180+SUM($C181:AJ181)),0)</f>
        <v>0</v>
      </c>
      <c r="AL181" s="7">
        <f ca="1">IF(AL180+SUM($C181:AK181)&lt;0,-(AL180+SUM($C181:AK181)),0)</f>
        <v>0</v>
      </c>
      <c r="AM181" s="7">
        <f ca="1">IF(AM180+SUM($C181:AL181)&lt;0,-(AM180+SUM($C181:AL181)),0)</f>
        <v>0</v>
      </c>
    </row>
    <row r="182" spans="1:39" x14ac:dyDescent="0.2"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  <c r="AG182" s="7"/>
      <c r="AH182" s="7"/>
      <c r="AI182" s="7"/>
      <c r="AJ182" s="7"/>
      <c r="AK182" s="7"/>
      <c r="AL182" s="7"/>
      <c r="AM182" s="7"/>
    </row>
    <row r="183" spans="1:39" x14ac:dyDescent="0.2">
      <c r="A183" s="24" t="str">
        <f>IF(Inputs!$B$290=6,IFERROR(_xlfn.XLOOKUP($B183,Inputs!$B$291:$B$300,Inputs!$A$291:$A$300,,0,1),""),IFERROR(_xlfn.XLOOKUP($B183,Inputs!$C$291:$C$300,Inputs!$A$291:$A$300,,0,1),""))</f>
        <v>Antiques</v>
      </c>
      <c r="B183" s="26">
        <v>5</v>
      </c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  <c r="AG183" s="7"/>
      <c r="AH183" s="7"/>
      <c r="AI183" s="7"/>
      <c r="AJ183" s="7"/>
      <c r="AK183" s="7"/>
      <c r="AL183" s="7"/>
      <c r="AM183" s="7"/>
    </row>
    <row r="184" spans="1:39" x14ac:dyDescent="0.2">
      <c r="A184" s="3" t="s">
        <v>21</v>
      </c>
      <c r="C184" s="7">
        <f ca="1">IFERROR(VLOOKUP($A183,$A$68:$H$97,C$1+2,FALSE),0)</f>
        <v>83226.9503404141</v>
      </c>
      <c r="D184" s="7">
        <f ca="1">C187</f>
        <v>83226.9503404141</v>
      </c>
      <c r="E184" s="7">
        <f t="shared" ref="E184" ca="1" si="194">D187</f>
        <v>84891.489347222378</v>
      </c>
      <c r="F184" s="7">
        <f t="shared" ref="F184" ca="1" si="195">E187</f>
        <v>86589.319134166828</v>
      </c>
      <c r="G184" s="7">
        <f t="shared" ref="G184" ca="1" si="196">F187</f>
        <v>88321.105516850163</v>
      </c>
      <c r="H184" s="7">
        <f t="shared" ref="H184" ca="1" si="197">G187</f>
        <v>90087.52762718717</v>
      </c>
      <c r="I184" s="7">
        <f t="shared" ref="I184" ca="1" si="198">H187</f>
        <v>91889.278179730914</v>
      </c>
      <c r="J184" s="7">
        <f t="shared" ref="J184" ca="1" si="199">I187</f>
        <v>93727.063743325532</v>
      </c>
      <c r="K184" s="7">
        <f t="shared" ref="K184" ca="1" si="200">J187</f>
        <v>95601.605018192044</v>
      </c>
      <c r="L184" s="7">
        <f t="shared" ref="L184" ca="1" si="201">K187</f>
        <v>97513.637118555882</v>
      </c>
      <c r="M184" s="7">
        <f t="shared" ref="M184" ca="1" si="202">L187</f>
        <v>99463.909860927</v>
      </c>
      <c r="N184" s="7">
        <f t="shared" ref="N184" ca="1" si="203">M187</f>
        <v>101453.18805814553</v>
      </c>
      <c r="O184" s="7">
        <f t="shared" ref="O184" ca="1" si="204">N187</f>
        <v>103482.25181930844</v>
      </c>
      <c r="P184" s="7">
        <f t="shared" ref="P184" ca="1" si="205">O187</f>
        <v>105551.89685569461</v>
      </c>
      <c r="Q184" s="7">
        <f t="shared" ref="Q184" ca="1" si="206">P187</f>
        <v>107662.9347928085</v>
      </c>
      <c r="R184" s="7">
        <f t="shared" ref="R184" ca="1" si="207">Q187</f>
        <v>109816.19348866468</v>
      </c>
      <c r="S184" s="7">
        <f t="shared" ref="S184" ca="1" si="208">R187</f>
        <v>112012.51735843797</v>
      </c>
      <c r="T184" s="7">
        <f t="shared" ref="T184" ca="1" si="209">S187</f>
        <v>114252.76770560672</v>
      </c>
      <c r="U184" s="7">
        <f t="shared" ref="U184" ca="1" si="210">T187</f>
        <v>116537.82305971885</v>
      </c>
      <c r="V184" s="7">
        <f t="shared" ref="V184" ca="1" si="211">U187</f>
        <v>118868.57952091323</v>
      </c>
      <c r="W184" s="7">
        <f t="shared" ref="W184" ca="1" si="212">V187</f>
        <v>121245.95111133149</v>
      </c>
      <c r="X184" s="7">
        <f t="shared" ref="X184" ca="1" si="213">W187</f>
        <v>123670.87013355813</v>
      </c>
      <c r="Y184" s="7">
        <f t="shared" ref="Y184" ca="1" si="214">X187</f>
        <v>126144.2875362293</v>
      </c>
      <c r="Z184" s="7">
        <f t="shared" ref="Z184" ca="1" si="215">Y187</f>
        <v>128667.17328695388</v>
      </c>
      <c r="AA184" s="7">
        <f t="shared" ref="AA184" ca="1" si="216">Z187</f>
        <v>131240.51675269296</v>
      </c>
      <c r="AB184" s="7">
        <f t="shared" ref="AB184" ca="1" si="217">AA187</f>
        <v>133865.32708774682</v>
      </c>
      <c r="AC184" s="7">
        <f t="shared" ref="AC184" ca="1" si="218">AB187</f>
        <v>136542.63362950174</v>
      </c>
      <c r="AD184" s="7">
        <f t="shared" ref="AD184" ca="1" si="219">AC187</f>
        <v>139273.48630209177</v>
      </c>
      <c r="AE184" s="7">
        <f t="shared" ref="AE184" ca="1" si="220">AD187</f>
        <v>142058.9560281336</v>
      </c>
      <c r="AF184" s="7">
        <f t="shared" ref="AF184" ca="1" si="221">AE187</f>
        <v>144900.13514869628</v>
      </c>
      <c r="AG184" s="7">
        <f t="shared" ref="AG184" ca="1" si="222">AF187</f>
        <v>147798.13785167021</v>
      </c>
      <c r="AH184" s="7">
        <f t="shared" ref="AH184" ca="1" si="223">AG187</f>
        <v>150754.10060870362</v>
      </c>
      <c r="AI184" s="7">
        <f t="shared" ref="AI184" ca="1" si="224">AH187</f>
        <v>153769.18262087769</v>
      </c>
      <c r="AJ184" s="7">
        <f t="shared" ref="AJ184" ca="1" si="225">AI187</f>
        <v>156844.56627329523</v>
      </c>
      <c r="AK184" s="7">
        <f t="shared" ref="AK184" ca="1" si="226">AJ187</f>
        <v>159981.45759876113</v>
      </c>
      <c r="AL184" s="7">
        <f t="shared" ref="AL184" ca="1" si="227">AK187</f>
        <v>163181.08675073634</v>
      </c>
      <c r="AM184" s="7">
        <f t="shared" ref="AM184" ca="1" si="228">AL187</f>
        <v>166444.70848575106</v>
      </c>
    </row>
    <row r="185" spans="1:39" x14ac:dyDescent="0.2">
      <c r="A185" s="3" t="s">
        <v>22</v>
      </c>
      <c r="C185" s="7">
        <f ca="1">-IF(D181&gt;0,C184,0)</f>
        <v>0</v>
      </c>
      <c r="D185" s="7">
        <f ca="1">-IF(E181&gt;0,D184,0)</f>
        <v>0</v>
      </c>
      <c r="E185" s="7">
        <f ca="1">-IF(F181&gt;0,E184,0)</f>
        <v>0</v>
      </c>
      <c r="F185" s="7">
        <f ca="1">-IF(G181&gt;0,F184,0)</f>
        <v>0</v>
      </c>
      <c r="G185" s="7">
        <f t="shared" ref="G185" ca="1" si="229">-IF(H181&gt;0,G184,0)</f>
        <v>0</v>
      </c>
      <c r="H185" s="7">
        <f t="shared" ref="H185" ca="1" si="230">-IF(I181&gt;0,H184,0)</f>
        <v>0</v>
      </c>
      <c r="I185" s="7">
        <f t="shared" ref="I185" ca="1" si="231">-IF(J181&gt;0,I184,0)</f>
        <v>0</v>
      </c>
      <c r="J185" s="7">
        <f t="shared" ref="J185" ca="1" si="232">-IF(K181&gt;0,J184,0)</f>
        <v>0</v>
      </c>
      <c r="K185" s="7">
        <f t="shared" ref="K185" ca="1" si="233">-IF(L181&gt;0,K184,0)</f>
        <v>0</v>
      </c>
      <c r="L185" s="7">
        <f t="shared" ref="L185" ca="1" si="234">-IF(M181&gt;0,L184,0)</f>
        <v>0</v>
      </c>
      <c r="M185" s="7">
        <f t="shared" ref="M185" ca="1" si="235">-IF(N181&gt;0,M184,0)</f>
        <v>0</v>
      </c>
      <c r="N185" s="7">
        <f t="shared" ref="N185" ca="1" si="236">-IF(O181&gt;0,N184,0)</f>
        <v>0</v>
      </c>
      <c r="O185" s="7">
        <f t="shared" ref="O185" ca="1" si="237">-IF(P181&gt;0,O184,0)</f>
        <v>0</v>
      </c>
      <c r="P185" s="7">
        <f t="shared" ref="P185" ca="1" si="238">-IF(Q181&gt;0,P184,0)</f>
        <v>0</v>
      </c>
      <c r="Q185" s="7">
        <f t="shared" ref="Q185" ca="1" si="239">-IF(R181&gt;0,Q184,0)</f>
        <v>0</v>
      </c>
      <c r="R185" s="7">
        <f t="shared" ref="R185" ca="1" si="240">-IF(S181&gt;0,R184,0)</f>
        <v>0</v>
      </c>
      <c r="S185" s="7">
        <f t="shared" ref="S185" ca="1" si="241">-IF(T181&gt;0,S184,0)</f>
        <v>0</v>
      </c>
      <c r="T185" s="7">
        <f t="shared" ref="T185" ca="1" si="242">-IF(U181&gt;0,T184,0)</f>
        <v>0</v>
      </c>
      <c r="U185" s="7">
        <f t="shared" ref="U185" ca="1" si="243">-IF(V181&gt;0,U184,0)</f>
        <v>0</v>
      </c>
      <c r="V185" s="7">
        <f t="shared" ref="V185" ca="1" si="244">-IF(W181&gt;0,V184,0)</f>
        <v>0</v>
      </c>
      <c r="W185" s="7">
        <f t="shared" ref="W185" ca="1" si="245">-IF(X181&gt;0,W184,0)</f>
        <v>0</v>
      </c>
      <c r="X185" s="7">
        <f t="shared" ref="X185" ca="1" si="246">-IF(Y181&gt;0,X184,0)</f>
        <v>0</v>
      </c>
      <c r="Y185" s="7">
        <f t="shared" ref="Y185" ca="1" si="247">-IF(Z181&gt;0,Y184,0)</f>
        <v>0</v>
      </c>
      <c r="Z185" s="7">
        <f t="shared" ref="Z185" ca="1" si="248">-IF(AA181&gt;0,Z184,0)</f>
        <v>0</v>
      </c>
      <c r="AA185" s="7">
        <f t="shared" ref="AA185" ca="1" si="249">-IF(AB181&gt;0,AA184,0)</f>
        <v>0</v>
      </c>
      <c r="AB185" s="7">
        <f t="shared" ref="AB185" ca="1" si="250">-IF(AC181&gt;0,AB184,0)</f>
        <v>0</v>
      </c>
      <c r="AC185" s="7">
        <f t="shared" ref="AC185" ca="1" si="251">-IF(AD181&gt;0,AC184,0)</f>
        <v>0</v>
      </c>
      <c r="AD185" s="7">
        <f t="shared" ref="AD185" ca="1" si="252">-IF(AE181&gt;0,AD184,0)</f>
        <v>0</v>
      </c>
      <c r="AE185" s="7">
        <f t="shared" ref="AE185" ca="1" si="253">-IF(AF181&gt;0,AE184,0)</f>
        <v>0</v>
      </c>
      <c r="AF185" s="7">
        <f t="shared" ref="AF185" ca="1" si="254">-IF(AG181&gt;0,AF184,0)</f>
        <v>0</v>
      </c>
      <c r="AG185" s="7">
        <f t="shared" ref="AG185" ca="1" si="255">-IF(AH181&gt;0,AG184,0)</f>
        <v>0</v>
      </c>
      <c r="AH185" s="7">
        <f t="shared" ref="AH185" ca="1" si="256">-IF(AI181&gt;0,AH184,0)</f>
        <v>0</v>
      </c>
      <c r="AI185" s="7">
        <f t="shared" ref="AI185" ca="1" si="257">-IF(AJ181&gt;0,AI184,0)</f>
        <v>0</v>
      </c>
      <c r="AJ185" s="7">
        <f t="shared" ref="AJ185" ca="1" si="258">-IF(AK181&gt;0,AJ184,0)</f>
        <v>0</v>
      </c>
      <c r="AK185" s="7">
        <f t="shared" ref="AK185" ca="1" si="259">-IF(AL181&gt;0,AK184,0)</f>
        <v>0</v>
      </c>
      <c r="AL185" s="7">
        <f t="shared" ref="AL185" ca="1" si="260">-IF(AM181&gt;0,AL184,0)</f>
        <v>0</v>
      </c>
      <c r="AM185" s="7">
        <f t="shared" ref="AM185" si="261">-IF(AN181&gt;0,AM184,0)</f>
        <v>0</v>
      </c>
    </row>
    <row r="186" spans="1:39" x14ac:dyDescent="0.2">
      <c r="A186" s="3" t="s">
        <v>23</v>
      </c>
      <c r="C186" s="7">
        <v>0</v>
      </c>
      <c r="D186" s="7">
        <f t="shared" ref="D186:AM186" ca="1" si="262">SUM(D184:D185)*VLOOKUP($A183,AssVar,2,FALSE)</f>
        <v>1664.539006808282</v>
      </c>
      <c r="E186" s="7">
        <f t="shared" ca="1" si="262"/>
        <v>1697.8297869444475</v>
      </c>
      <c r="F186" s="7">
        <f t="shared" ca="1" si="262"/>
        <v>1731.7863826833366</v>
      </c>
      <c r="G186" s="7">
        <f t="shared" ca="1" si="262"/>
        <v>1766.4221103370032</v>
      </c>
      <c r="H186" s="7">
        <f t="shared" ca="1" si="262"/>
        <v>1801.7505525437434</v>
      </c>
      <c r="I186" s="7">
        <f t="shared" ca="1" si="262"/>
        <v>1837.7855635946182</v>
      </c>
      <c r="J186" s="7">
        <f t="shared" ca="1" si="262"/>
        <v>1874.5412748665108</v>
      </c>
      <c r="K186" s="7">
        <f t="shared" ca="1" si="262"/>
        <v>1912.032100363841</v>
      </c>
      <c r="L186" s="7">
        <f t="shared" ca="1" si="262"/>
        <v>1950.2727423711176</v>
      </c>
      <c r="M186" s="7">
        <f t="shared" ca="1" si="262"/>
        <v>1989.2781972185401</v>
      </c>
      <c r="N186" s="7">
        <f t="shared" ca="1" si="262"/>
        <v>2029.0637611629106</v>
      </c>
      <c r="O186" s="7">
        <f t="shared" ca="1" si="262"/>
        <v>2069.6450363861686</v>
      </c>
      <c r="P186" s="7">
        <f t="shared" ca="1" si="262"/>
        <v>2111.037937113892</v>
      </c>
      <c r="Q186" s="7">
        <f t="shared" ca="1" si="262"/>
        <v>2153.2586958561701</v>
      </c>
      <c r="R186" s="7">
        <f t="shared" ca="1" si="262"/>
        <v>2196.3238697732936</v>
      </c>
      <c r="S186" s="7">
        <f t="shared" ca="1" si="262"/>
        <v>2240.2503471687592</v>
      </c>
      <c r="T186" s="7">
        <f t="shared" ca="1" si="262"/>
        <v>2285.0553541121344</v>
      </c>
      <c r="U186" s="7">
        <f t="shared" ca="1" si="262"/>
        <v>2330.7564611943772</v>
      </c>
      <c r="V186" s="7">
        <f t="shared" ca="1" si="262"/>
        <v>2377.3715904182645</v>
      </c>
      <c r="W186" s="7">
        <f t="shared" ca="1" si="262"/>
        <v>2424.9190222266297</v>
      </c>
      <c r="X186" s="7">
        <f t="shared" ca="1" si="262"/>
        <v>2473.4174026711626</v>
      </c>
      <c r="Y186" s="7">
        <f t="shared" ca="1" si="262"/>
        <v>2522.8857507245862</v>
      </c>
      <c r="Z186" s="7">
        <f t="shared" ca="1" si="262"/>
        <v>2573.3434657390776</v>
      </c>
      <c r="AA186" s="7">
        <f t="shared" ca="1" si="262"/>
        <v>2624.810335053859</v>
      </c>
      <c r="AB186" s="7">
        <f t="shared" ca="1" si="262"/>
        <v>2677.3065417549365</v>
      </c>
      <c r="AC186" s="7">
        <f t="shared" ca="1" si="262"/>
        <v>2730.8526725900347</v>
      </c>
      <c r="AD186" s="7">
        <f t="shared" ca="1" si="262"/>
        <v>2785.4697260418357</v>
      </c>
      <c r="AE186" s="7">
        <f t="shared" ca="1" si="262"/>
        <v>2841.1791205626719</v>
      </c>
      <c r="AF186" s="7">
        <f t="shared" ca="1" si="262"/>
        <v>2898.0027029739258</v>
      </c>
      <c r="AG186" s="7">
        <f t="shared" ca="1" si="262"/>
        <v>2955.9627570334042</v>
      </c>
      <c r="AH186" s="7">
        <f t="shared" ca="1" si="262"/>
        <v>3015.0820121740726</v>
      </c>
      <c r="AI186" s="7">
        <f t="shared" ca="1" si="262"/>
        <v>3075.383652417554</v>
      </c>
      <c r="AJ186" s="7">
        <f t="shared" ca="1" si="262"/>
        <v>3136.8913254659046</v>
      </c>
      <c r="AK186" s="7">
        <f t="shared" ca="1" si="262"/>
        <v>3199.6291519752226</v>
      </c>
      <c r="AL186" s="7">
        <f t="shared" ca="1" si="262"/>
        <v>3263.6217350147272</v>
      </c>
      <c r="AM186" s="7">
        <f t="shared" ca="1" si="262"/>
        <v>3328.8941697150212</v>
      </c>
    </row>
    <row r="187" spans="1:39" x14ac:dyDescent="0.2">
      <c r="A187" s="3" t="s">
        <v>24</v>
      </c>
      <c r="C187" s="7">
        <f ca="1">SUM(C184:C186)</f>
        <v>83226.9503404141</v>
      </c>
      <c r="D187" s="7">
        <f t="shared" ref="D187:AM187" ca="1" si="263">SUM(D184:D186)</f>
        <v>84891.489347222378</v>
      </c>
      <c r="E187" s="7">
        <f t="shared" ca="1" si="263"/>
        <v>86589.319134166828</v>
      </c>
      <c r="F187" s="7">
        <f t="shared" ca="1" si="263"/>
        <v>88321.105516850163</v>
      </c>
      <c r="G187" s="7">
        <f t="shared" ca="1" si="263"/>
        <v>90087.52762718717</v>
      </c>
      <c r="H187" s="7">
        <f t="shared" ca="1" si="263"/>
        <v>91889.278179730914</v>
      </c>
      <c r="I187" s="7">
        <f t="shared" ca="1" si="263"/>
        <v>93727.063743325532</v>
      </c>
      <c r="J187" s="7">
        <f t="shared" ca="1" si="263"/>
        <v>95601.605018192044</v>
      </c>
      <c r="K187" s="7">
        <f t="shared" ca="1" si="263"/>
        <v>97513.637118555882</v>
      </c>
      <c r="L187" s="7">
        <f t="shared" ca="1" si="263"/>
        <v>99463.909860927</v>
      </c>
      <c r="M187" s="7">
        <f t="shared" ca="1" si="263"/>
        <v>101453.18805814553</v>
      </c>
      <c r="N187" s="7">
        <f t="shared" ca="1" si="263"/>
        <v>103482.25181930844</v>
      </c>
      <c r="O187" s="7">
        <f t="shared" ca="1" si="263"/>
        <v>105551.89685569461</v>
      </c>
      <c r="P187" s="7">
        <f t="shared" ca="1" si="263"/>
        <v>107662.9347928085</v>
      </c>
      <c r="Q187" s="7">
        <f t="shared" ca="1" si="263"/>
        <v>109816.19348866468</v>
      </c>
      <c r="R187" s="7">
        <f t="shared" ca="1" si="263"/>
        <v>112012.51735843797</v>
      </c>
      <c r="S187" s="7">
        <f t="shared" ca="1" si="263"/>
        <v>114252.76770560672</v>
      </c>
      <c r="T187" s="7">
        <f t="shared" ca="1" si="263"/>
        <v>116537.82305971885</v>
      </c>
      <c r="U187" s="7">
        <f t="shared" ca="1" si="263"/>
        <v>118868.57952091323</v>
      </c>
      <c r="V187" s="7">
        <f t="shared" ca="1" si="263"/>
        <v>121245.95111133149</v>
      </c>
      <c r="W187" s="7">
        <f t="shared" ca="1" si="263"/>
        <v>123670.87013355813</v>
      </c>
      <c r="X187" s="7">
        <f t="shared" ca="1" si="263"/>
        <v>126144.2875362293</v>
      </c>
      <c r="Y187" s="7">
        <f t="shared" ca="1" si="263"/>
        <v>128667.17328695388</v>
      </c>
      <c r="Z187" s="7">
        <f t="shared" ca="1" si="263"/>
        <v>131240.51675269296</v>
      </c>
      <c r="AA187" s="7">
        <f t="shared" ca="1" si="263"/>
        <v>133865.32708774682</v>
      </c>
      <c r="AB187" s="7">
        <f t="shared" ca="1" si="263"/>
        <v>136542.63362950174</v>
      </c>
      <c r="AC187" s="7">
        <f t="shared" ca="1" si="263"/>
        <v>139273.48630209177</v>
      </c>
      <c r="AD187" s="7">
        <f t="shared" ca="1" si="263"/>
        <v>142058.9560281336</v>
      </c>
      <c r="AE187" s="7">
        <f t="shared" ca="1" si="263"/>
        <v>144900.13514869628</v>
      </c>
      <c r="AF187" s="7">
        <f t="shared" ca="1" si="263"/>
        <v>147798.13785167021</v>
      </c>
      <c r="AG187" s="7">
        <f t="shared" ca="1" si="263"/>
        <v>150754.10060870362</v>
      </c>
      <c r="AH187" s="7">
        <f t="shared" ca="1" si="263"/>
        <v>153769.18262087769</v>
      </c>
      <c r="AI187" s="7">
        <f t="shared" ca="1" si="263"/>
        <v>156844.56627329523</v>
      </c>
      <c r="AJ187" s="7">
        <f t="shared" ca="1" si="263"/>
        <v>159981.45759876113</v>
      </c>
      <c r="AK187" s="7">
        <f t="shared" ca="1" si="263"/>
        <v>163181.08675073634</v>
      </c>
      <c r="AL187" s="7">
        <f t="shared" ca="1" si="263"/>
        <v>166444.70848575106</v>
      </c>
      <c r="AM187" s="7">
        <f t="shared" ca="1" si="263"/>
        <v>169773.60265546609</v>
      </c>
    </row>
    <row r="188" spans="1:39" x14ac:dyDescent="0.2">
      <c r="A188" s="3" t="s">
        <v>25</v>
      </c>
      <c r="C188" s="7">
        <f t="shared" ref="C188:AM188" ca="1" si="264">C185*VLOOKUP($A183,AssVar,3,FALSE)</f>
        <v>0</v>
      </c>
      <c r="D188" s="7">
        <f t="shared" ca="1" si="264"/>
        <v>0</v>
      </c>
      <c r="E188" s="7">
        <f t="shared" ca="1" si="264"/>
        <v>0</v>
      </c>
      <c r="F188" s="7">
        <f t="shared" ca="1" si="264"/>
        <v>0</v>
      </c>
      <c r="G188" s="7">
        <f t="shared" ca="1" si="264"/>
        <v>0</v>
      </c>
      <c r="H188" s="7">
        <f t="shared" ca="1" si="264"/>
        <v>0</v>
      </c>
      <c r="I188" s="7">
        <f t="shared" ca="1" si="264"/>
        <v>0</v>
      </c>
      <c r="J188" s="7">
        <f t="shared" ca="1" si="264"/>
        <v>0</v>
      </c>
      <c r="K188" s="7">
        <f t="shared" ca="1" si="264"/>
        <v>0</v>
      </c>
      <c r="L188" s="7">
        <f t="shared" ca="1" si="264"/>
        <v>0</v>
      </c>
      <c r="M188" s="7">
        <f t="shared" ca="1" si="264"/>
        <v>0</v>
      </c>
      <c r="N188" s="7">
        <f t="shared" ca="1" si="264"/>
        <v>0</v>
      </c>
      <c r="O188" s="7">
        <f t="shared" ca="1" si="264"/>
        <v>0</v>
      </c>
      <c r="P188" s="7">
        <f t="shared" ca="1" si="264"/>
        <v>0</v>
      </c>
      <c r="Q188" s="7">
        <f t="shared" ca="1" si="264"/>
        <v>0</v>
      </c>
      <c r="R188" s="7">
        <f t="shared" ca="1" si="264"/>
        <v>0</v>
      </c>
      <c r="S188" s="7">
        <f t="shared" ca="1" si="264"/>
        <v>0</v>
      </c>
      <c r="T188" s="7">
        <f t="shared" ca="1" si="264"/>
        <v>0</v>
      </c>
      <c r="U188" s="7">
        <f t="shared" ca="1" si="264"/>
        <v>0</v>
      </c>
      <c r="V188" s="7">
        <f t="shared" ca="1" si="264"/>
        <v>0</v>
      </c>
      <c r="W188" s="7">
        <f t="shared" ca="1" si="264"/>
        <v>0</v>
      </c>
      <c r="X188" s="7">
        <f t="shared" ca="1" si="264"/>
        <v>0</v>
      </c>
      <c r="Y188" s="7">
        <f t="shared" ca="1" si="264"/>
        <v>0</v>
      </c>
      <c r="Z188" s="7">
        <f t="shared" ca="1" si="264"/>
        <v>0</v>
      </c>
      <c r="AA188" s="7">
        <f t="shared" ca="1" si="264"/>
        <v>0</v>
      </c>
      <c r="AB188" s="7">
        <f t="shared" ca="1" si="264"/>
        <v>0</v>
      </c>
      <c r="AC188" s="7">
        <f t="shared" ca="1" si="264"/>
        <v>0</v>
      </c>
      <c r="AD188" s="7">
        <f t="shared" ca="1" si="264"/>
        <v>0</v>
      </c>
      <c r="AE188" s="7">
        <f t="shared" ca="1" si="264"/>
        <v>0</v>
      </c>
      <c r="AF188" s="7">
        <f t="shared" ca="1" si="264"/>
        <v>0</v>
      </c>
      <c r="AG188" s="7">
        <f t="shared" ca="1" si="264"/>
        <v>0</v>
      </c>
      <c r="AH188" s="7">
        <f t="shared" ca="1" si="264"/>
        <v>0</v>
      </c>
      <c r="AI188" s="7">
        <f t="shared" ca="1" si="264"/>
        <v>0</v>
      </c>
      <c r="AJ188" s="7">
        <f t="shared" ca="1" si="264"/>
        <v>0</v>
      </c>
      <c r="AK188" s="7">
        <f t="shared" ca="1" si="264"/>
        <v>0</v>
      </c>
      <c r="AL188" s="7">
        <f t="shared" ca="1" si="264"/>
        <v>0</v>
      </c>
      <c r="AM188" s="7">
        <f t="shared" si="264"/>
        <v>0</v>
      </c>
    </row>
    <row r="189" spans="1:39" x14ac:dyDescent="0.2">
      <c r="A189" s="3" t="s">
        <v>30</v>
      </c>
      <c r="C189" s="7">
        <f t="shared" ref="C189:AM189" ca="1" si="265">IFERROR(-IF(C184=0,VLOOKUP($A183,$8:$12,C$1+2,FALSE),0),0)</f>
        <v>0</v>
      </c>
      <c r="D189" s="7">
        <f t="shared" ca="1" si="265"/>
        <v>0</v>
      </c>
      <c r="E189" s="7">
        <f t="shared" ca="1" si="265"/>
        <v>0</v>
      </c>
      <c r="F189" s="7">
        <f t="shared" ca="1" si="265"/>
        <v>0</v>
      </c>
      <c r="G189" s="7">
        <f t="shared" ca="1" si="265"/>
        <v>0</v>
      </c>
      <c r="H189" s="7">
        <f t="shared" ca="1" si="265"/>
        <v>0</v>
      </c>
      <c r="I189" s="7">
        <f t="shared" ca="1" si="265"/>
        <v>0</v>
      </c>
      <c r="J189" s="7">
        <f t="shared" ca="1" si="265"/>
        <v>0</v>
      </c>
      <c r="K189" s="7">
        <f t="shared" ca="1" si="265"/>
        <v>0</v>
      </c>
      <c r="L189" s="7">
        <f t="shared" ca="1" si="265"/>
        <v>0</v>
      </c>
      <c r="M189" s="7">
        <f t="shared" ca="1" si="265"/>
        <v>0</v>
      </c>
      <c r="N189" s="7">
        <f t="shared" ca="1" si="265"/>
        <v>0</v>
      </c>
      <c r="O189" s="7">
        <f t="shared" ca="1" si="265"/>
        <v>0</v>
      </c>
      <c r="P189" s="7">
        <f t="shared" ca="1" si="265"/>
        <v>0</v>
      </c>
      <c r="Q189" s="7">
        <f t="shared" ca="1" si="265"/>
        <v>0</v>
      </c>
      <c r="R189" s="7">
        <f t="shared" ca="1" si="265"/>
        <v>0</v>
      </c>
      <c r="S189" s="7">
        <f t="shared" ca="1" si="265"/>
        <v>0</v>
      </c>
      <c r="T189" s="7">
        <f t="shared" ca="1" si="265"/>
        <v>0</v>
      </c>
      <c r="U189" s="7">
        <f t="shared" ca="1" si="265"/>
        <v>0</v>
      </c>
      <c r="V189" s="7">
        <f t="shared" ca="1" si="265"/>
        <v>0</v>
      </c>
      <c r="W189" s="7">
        <f t="shared" ca="1" si="265"/>
        <v>0</v>
      </c>
      <c r="X189" s="7">
        <f t="shared" ca="1" si="265"/>
        <v>0</v>
      </c>
      <c r="Y189" s="7">
        <f t="shared" ca="1" si="265"/>
        <v>0</v>
      </c>
      <c r="Z189" s="7">
        <f t="shared" ca="1" si="265"/>
        <v>0</v>
      </c>
      <c r="AA189" s="7">
        <f t="shared" ca="1" si="265"/>
        <v>0</v>
      </c>
      <c r="AB189" s="7">
        <f t="shared" ca="1" si="265"/>
        <v>0</v>
      </c>
      <c r="AC189" s="7">
        <f t="shared" ca="1" si="265"/>
        <v>0</v>
      </c>
      <c r="AD189" s="7">
        <f t="shared" ca="1" si="265"/>
        <v>0</v>
      </c>
      <c r="AE189" s="7">
        <f t="shared" ca="1" si="265"/>
        <v>0</v>
      </c>
      <c r="AF189" s="7">
        <f t="shared" ca="1" si="265"/>
        <v>0</v>
      </c>
      <c r="AG189" s="7">
        <f t="shared" ca="1" si="265"/>
        <v>0</v>
      </c>
      <c r="AH189" s="7">
        <f t="shared" ca="1" si="265"/>
        <v>0</v>
      </c>
      <c r="AI189" s="7">
        <f t="shared" ca="1" si="265"/>
        <v>0</v>
      </c>
      <c r="AJ189" s="7">
        <f t="shared" ca="1" si="265"/>
        <v>0</v>
      </c>
      <c r="AK189" s="7">
        <f t="shared" ca="1" si="265"/>
        <v>0</v>
      </c>
      <c r="AL189" s="7">
        <f t="shared" ca="1" si="265"/>
        <v>0</v>
      </c>
      <c r="AM189" s="7">
        <f t="shared" ca="1" si="265"/>
        <v>0</v>
      </c>
    </row>
    <row r="190" spans="1:39" x14ac:dyDescent="0.2">
      <c r="A190" s="3" t="s">
        <v>49</v>
      </c>
      <c r="C190" s="7">
        <f t="shared" ref="C190:AM190" ca="1" si="266">IFERROR(IF(C184=0,VLOOKUP($A183,$46:$50,C$1+2,FALSE),0),0)</f>
        <v>0</v>
      </c>
      <c r="D190" s="7">
        <f t="shared" ca="1" si="266"/>
        <v>0</v>
      </c>
      <c r="E190" s="7">
        <f t="shared" ca="1" si="266"/>
        <v>0</v>
      </c>
      <c r="F190" s="7">
        <f t="shared" ca="1" si="266"/>
        <v>0</v>
      </c>
      <c r="G190" s="7">
        <f t="shared" ca="1" si="266"/>
        <v>0</v>
      </c>
      <c r="H190" s="7">
        <f t="shared" ca="1" si="266"/>
        <v>0</v>
      </c>
      <c r="I190" s="7">
        <f t="shared" ca="1" si="266"/>
        <v>0</v>
      </c>
      <c r="J190" s="7">
        <f t="shared" ca="1" si="266"/>
        <v>0</v>
      </c>
      <c r="K190" s="7">
        <f t="shared" ca="1" si="266"/>
        <v>0</v>
      </c>
      <c r="L190" s="7">
        <f t="shared" ca="1" si="266"/>
        <v>0</v>
      </c>
      <c r="M190" s="7">
        <f t="shared" ca="1" si="266"/>
        <v>0</v>
      </c>
      <c r="N190" s="7">
        <f t="shared" ca="1" si="266"/>
        <v>0</v>
      </c>
      <c r="O190" s="7">
        <f t="shared" ca="1" si="266"/>
        <v>0</v>
      </c>
      <c r="P190" s="7">
        <f t="shared" ca="1" si="266"/>
        <v>0</v>
      </c>
      <c r="Q190" s="7">
        <f t="shared" ca="1" si="266"/>
        <v>0</v>
      </c>
      <c r="R190" s="7">
        <f t="shared" ca="1" si="266"/>
        <v>0</v>
      </c>
      <c r="S190" s="7">
        <f t="shared" ca="1" si="266"/>
        <v>0</v>
      </c>
      <c r="T190" s="7">
        <f t="shared" ca="1" si="266"/>
        <v>0</v>
      </c>
      <c r="U190" s="7">
        <f t="shared" ca="1" si="266"/>
        <v>0</v>
      </c>
      <c r="V190" s="7">
        <f t="shared" ca="1" si="266"/>
        <v>0</v>
      </c>
      <c r="W190" s="7">
        <f t="shared" ca="1" si="266"/>
        <v>0</v>
      </c>
      <c r="X190" s="7">
        <f t="shared" ca="1" si="266"/>
        <v>0</v>
      </c>
      <c r="Y190" s="7">
        <f t="shared" ca="1" si="266"/>
        <v>0</v>
      </c>
      <c r="Z190" s="7">
        <f t="shared" ca="1" si="266"/>
        <v>0</v>
      </c>
      <c r="AA190" s="7">
        <f t="shared" ca="1" si="266"/>
        <v>0</v>
      </c>
      <c r="AB190" s="7">
        <f t="shared" ca="1" si="266"/>
        <v>0</v>
      </c>
      <c r="AC190" s="7">
        <f t="shared" ca="1" si="266"/>
        <v>0</v>
      </c>
      <c r="AD190" s="7">
        <f t="shared" ca="1" si="266"/>
        <v>0</v>
      </c>
      <c r="AE190" s="7">
        <f t="shared" ca="1" si="266"/>
        <v>0</v>
      </c>
      <c r="AF190" s="7">
        <f t="shared" ca="1" si="266"/>
        <v>0</v>
      </c>
      <c r="AG190" s="7">
        <f t="shared" ca="1" si="266"/>
        <v>0</v>
      </c>
      <c r="AH190" s="7">
        <f t="shared" ca="1" si="266"/>
        <v>0</v>
      </c>
      <c r="AI190" s="7">
        <f t="shared" ca="1" si="266"/>
        <v>0</v>
      </c>
      <c r="AJ190" s="7">
        <f t="shared" ca="1" si="266"/>
        <v>0</v>
      </c>
      <c r="AK190" s="7">
        <f t="shared" ca="1" si="266"/>
        <v>0</v>
      </c>
      <c r="AL190" s="7">
        <f t="shared" ca="1" si="266"/>
        <v>0</v>
      </c>
      <c r="AM190" s="7">
        <f t="shared" ca="1" si="266"/>
        <v>0</v>
      </c>
    </row>
    <row r="191" spans="1:39" x14ac:dyDescent="0.2">
      <c r="A191" s="3" t="s">
        <v>35</v>
      </c>
      <c r="B191" s="14" t="str">
        <f>A183</f>
        <v>Antiques</v>
      </c>
      <c r="C191" s="7">
        <f t="shared" ref="C191:AM191" ca="1" si="267">IF(AND(C184&gt;0,C187=0),VLOOKUP($A183,$86:$95,C$1+2,FALSE),0)</f>
        <v>0</v>
      </c>
      <c r="D191" s="7">
        <f t="shared" ca="1" si="267"/>
        <v>0</v>
      </c>
      <c r="E191" s="7">
        <f t="shared" ca="1" si="267"/>
        <v>0</v>
      </c>
      <c r="F191" s="7">
        <f t="shared" ca="1" si="267"/>
        <v>0</v>
      </c>
      <c r="G191" s="7">
        <f t="shared" ca="1" si="267"/>
        <v>0</v>
      </c>
      <c r="H191" s="7">
        <f t="shared" ca="1" si="267"/>
        <v>0</v>
      </c>
      <c r="I191" s="7">
        <f t="shared" ca="1" si="267"/>
        <v>0</v>
      </c>
      <c r="J191" s="7">
        <f t="shared" ca="1" si="267"/>
        <v>0</v>
      </c>
      <c r="K191" s="7">
        <f t="shared" ca="1" si="267"/>
        <v>0</v>
      </c>
      <c r="L191" s="7">
        <f t="shared" ca="1" si="267"/>
        <v>0</v>
      </c>
      <c r="M191" s="7">
        <f t="shared" ca="1" si="267"/>
        <v>0</v>
      </c>
      <c r="N191" s="7">
        <f t="shared" ca="1" si="267"/>
        <v>0</v>
      </c>
      <c r="O191" s="7">
        <f t="shared" ca="1" si="267"/>
        <v>0</v>
      </c>
      <c r="P191" s="7">
        <f t="shared" ca="1" si="267"/>
        <v>0</v>
      </c>
      <c r="Q191" s="7">
        <f t="shared" ca="1" si="267"/>
        <v>0</v>
      </c>
      <c r="R191" s="7">
        <f t="shared" ca="1" si="267"/>
        <v>0</v>
      </c>
      <c r="S191" s="7">
        <f t="shared" ca="1" si="267"/>
        <v>0</v>
      </c>
      <c r="T191" s="7">
        <f t="shared" ca="1" si="267"/>
        <v>0</v>
      </c>
      <c r="U191" s="7">
        <f t="shared" ca="1" si="267"/>
        <v>0</v>
      </c>
      <c r="V191" s="7">
        <f t="shared" ca="1" si="267"/>
        <v>0</v>
      </c>
      <c r="W191" s="7">
        <f t="shared" ca="1" si="267"/>
        <v>0</v>
      </c>
      <c r="X191" s="7">
        <f t="shared" ca="1" si="267"/>
        <v>0</v>
      </c>
      <c r="Y191" s="7">
        <f t="shared" ca="1" si="267"/>
        <v>0</v>
      </c>
      <c r="Z191" s="7">
        <f t="shared" ca="1" si="267"/>
        <v>0</v>
      </c>
      <c r="AA191" s="7">
        <f t="shared" ca="1" si="267"/>
        <v>0</v>
      </c>
      <c r="AB191" s="7">
        <f t="shared" ca="1" si="267"/>
        <v>0</v>
      </c>
      <c r="AC191" s="7">
        <f t="shared" ca="1" si="267"/>
        <v>0</v>
      </c>
      <c r="AD191" s="7">
        <f t="shared" ca="1" si="267"/>
        <v>0</v>
      </c>
      <c r="AE191" s="7">
        <f t="shared" ca="1" si="267"/>
        <v>0</v>
      </c>
      <c r="AF191" s="7">
        <f t="shared" ca="1" si="267"/>
        <v>0</v>
      </c>
      <c r="AG191" s="7">
        <f t="shared" ca="1" si="267"/>
        <v>0</v>
      </c>
      <c r="AH191" s="7">
        <f t="shared" ca="1" si="267"/>
        <v>0</v>
      </c>
      <c r="AI191" s="7">
        <f t="shared" ca="1" si="267"/>
        <v>0</v>
      </c>
      <c r="AJ191" s="7">
        <f t="shared" ca="1" si="267"/>
        <v>0</v>
      </c>
      <c r="AK191" s="7">
        <f t="shared" ca="1" si="267"/>
        <v>0</v>
      </c>
      <c r="AL191" s="7">
        <f t="shared" ca="1" si="267"/>
        <v>0</v>
      </c>
      <c r="AM191" s="7">
        <f t="shared" ca="1" si="267"/>
        <v>0</v>
      </c>
    </row>
    <row r="192" spans="1:39" x14ac:dyDescent="0.2">
      <c r="A192" s="3" t="s">
        <v>36</v>
      </c>
      <c r="C192" s="7">
        <f ca="1">-C185+SUM(C188:C191)</f>
        <v>0</v>
      </c>
      <c r="D192" s="7">
        <f t="shared" ref="D192" ca="1" si="268">-D185+SUM(D188:D191)</f>
        <v>0</v>
      </c>
      <c r="E192" s="7">
        <f t="shared" ref="E192:AM192" ca="1" si="269">-E185+SUM(E188:E191)</f>
        <v>0</v>
      </c>
      <c r="F192" s="7">
        <f t="shared" ca="1" si="269"/>
        <v>0</v>
      </c>
      <c r="G192" s="7">
        <f t="shared" ca="1" si="269"/>
        <v>0</v>
      </c>
      <c r="H192" s="7">
        <f t="shared" ca="1" si="269"/>
        <v>0</v>
      </c>
      <c r="I192" s="7">
        <f t="shared" ca="1" si="269"/>
        <v>0</v>
      </c>
      <c r="J192" s="7">
        <f t="shared" ca="1" si="269"/>
        <v>0</v>
      </c>
      <c r="K192" s="7">
        <f t="shared" ca="1" si="269"/>
        <v>0</v>
      </c>
      <c r="L192" s="7">
        <f t="shared" ca="1" si="269"/>
        <v>0</v>
      </c>
      <c r="M192" s="7">
        <f t="shared" ca="1" si="269"/>
        <v>0</v>
      </c>
      <c r="N192" s="7">
        <f t="shared" ca="1" si="269"/>
        <v>0</v>
      </c>
      <c r="O192" s="7">
        <f t="shared" ca="1" si="269"/>
        <v>0</v>
      </c>
      <c r="P192" s="7">
        <f t="shared" ca="1" si="269"/>
        <v>0</v>
      </c>
      <c r="Q192" s="7">
        <f t="shared" ca="1" si="269"/>
        <v>0</v>
      </c>
      <c r="R192" s="7">
        <f t="shared" ca="1" si="269"/>
        <v>0</v>
      </c>
      <c r="S192" s="7">
        <f t="shared" ca="1" si="269"/>
        <v>0</v>
      </c>
      <c r="T192" s="7">
        <f t="shared" ca="1" si="269"/>
        <v>0</v>
      </c>
      <c r="U192" s="7">
        <f t="shared" ca="1" si="269"/>
        <v>0</v>
      </c>
      <c r="V192" s="7">
        <f t="shared" ca="1" si="269"/>
        <v>0</v>
      </c>
      <c r="W192" s="7">
        <f t="shared" ca="1" si="269"/>
        <v>0</v>
      </c>
      <c r="X192" s="7">
        <f t="shared" ca="1" si="269"/>
        <v>0</v>
      </c>
      <c r="Y192" s="7">
        <f t="shared" ca="1" si="269"/>
        <v>0</v>
      </c>
      <c r="Z192" s="7">
        <f t="shared" ca="1" si="269"/>
        <v>0</v>
      </c>
      <c r="AA192" s="7">
        <f t="shared" ca="1" si="269"/>
        <v>0</v>
      </c>
      <c r="AB192" s="7">
        <f t="shared" ca="1" si="269"/>
        <v>0</v>
      </c>
      <c r="AC192" s="7">
        <f t="shared" ca="1" si="269"/>
        <v>0</v>
      </c>
      <c r="AD192" s="7">
        <f t="shared" ca="1" si="269"/>
        <v>0</v>
      </c>
      <c r="AE192" s="7">
        <f t="shared" ca="1" si="269"/>
        <v>0</v>
      </c>
      <c r="AF192" s="7">
        <f t="shared" ca="1" si="269"/>
        <v>0</v>
      </c>
      <c r="AG192" s="7">
        <f t="shared" ca="1" si="269"/>
        <v>0</v>
      </c>
      <c r="AH192" s="7">
        <f t="shared" ca="1" si="269"/>
        <v>0</v>
      </c>
      <c r="AI192" s="7">
        <f t="shared" ca="1" si="269"/>
        <v>0</v>
      </c>
      <c r="AJ192" s="7">
        <f t="shared" ca="1" si="269"/>
        <v>0</v>
      </c>
      <c r="AK192" s="7">
        <f t="shared" ca="1" si="269"/>
        <v>0</v>
      </c>
      <c r="AL192" s="7">
        <f t="shared" ca="1" si="269"/>
        <v>0</v>
      </c>
      <c r="AM192" s="7">
        <f t="shared" ca="1" si="269"/>
        <v>0</v>
      </c>
    </row>
    <row r="193" spans="1:39" x14ac:dyDescent="0.2">
      <c r="A193" s="3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  <c r="AG193" s="7"/>
      <c r="AH193" s="7"/>
      <c r="AI193" s="7"/>
      <c r="AJ193" s="7"/>
      <c r="AK193" s="7"/>
      <c r="AL193" s="7"/>
      <c r="AM193" s="7"/>
    </row>
    <row r="194" spans="1:39" x14ac:dyDescent="0.2">
      <c r="A194" s="3" t="s">
        <v>70</v>
      </c>
      <c r="C194" s="7">
        <f ca="1">C180+SUM($C192:C192)</f>
        <v>12919.0625</v>
      </c>
      <c r="D194" s="7">
        <f ca="1">D180+SUM($C192:D192)</f>
        <v>22490.535937499997</v>
      </c>
      <c r="E194" s="7">
        <f ca="1">E180+SUM($C192:E192)</f>
        <v>38207.499804687497</v>
      </c>
      <c r="F194" s="7">
        <f ca="1">F180+SUM($C192:F192)</f>
        <v>35714.080452231734</v>
      </c>
      <c r="G194" s="7">
        <f ca="1">G180+SUM($C192:G192)</f>
        <v>229276.11396248138</v>
      </c>
      <c r="H194" s="7">
        <f ca="1">H180+SUM($C192:H192)</f>
        <v>271025.81800930644</v>
      </c>
      <c r="I194" s="7">
        <f ca="1">I180+SUM($C192:I192)</f>
        <v>332892.09672247234</v>
      </c>
      <c r="J194" s="7">
        <f ca="1">J180+SUM($C192:J192)</f>
        <v>399181.31879998074</v>
      </c>
      <c r="K194" s="7">
        <f ca="1">K180+SUM($C192:K192)</f>
        <v>452080.69175229734</v>
      </c>
      <c r="L194" s="7">
        <f ca="1">L180+SUM($C192:L192)</f>
        <v>591897.59165074176</v>
      </c>
      <c r="M194" s="7">
        <f ca="1">M180+SUM($C192:M192)</f>
        <v>643438.66125641076</v>
      </c>
      <c r="N194" s="7">
        <f ca="1">N180+SUM($C192:N192)</f>
        <v>748500.49246398674</v>
      </c>
      <c r="O194" s="7">
        <f ca="1">O180+SUM($C192:O192)</f>
        <v>859267.05744988273</v>
      </c>
      <c r="P194" s="7">
        <f ca="1">P180+SUM($C192:P192)</f>
        <v>975981.2911249469</v>
      </c>
      <c r="Q194" s="7">
        <f ca="1">Q180+SUM($C192:Q192)</f>
        <v>1098895.4105429514</v>
      </c>
      <c r="R194" s="7">
        <f ca="1">R180+SUM($C192:R192)</f>
        <v>1228271.248199099</v>
      </c>
      <c r="S194" s="7">
        <f ca="1">S180+SUM($C192:S192)</f>
        <v>1364380.5968228865</v>
      </c>
      <c r="T194" s="7">
        <f ca="1">T180+SUM($C192:T192)</f>
        <v>1402527.6236677105</v>
      </c>
      <c r="U194" s="7">
        <f ca="1">U180+SUM($C192:U192)</f>
        <v>1449854.2259580824</v>
      </c>
      <c r="V194" s="7">
        <f ca="1">V180+SUM($C192:V192)</f>
        <v>1498907.5815076504</v>
      </c>
      <c r="W194" s="7">
        <f ca="1">W180+SUM($C192:W192)</f>
        <v>1549752.4964402271</v>
      </c>
      <c r="X194" s="7">
        <f ca="1">X180+SUM($C192:X192)</f>
        <v>1602456.179392647</v>
      </c>
      <c r="Y194" s="7">
        <f ca="1">Y180+SUM($C192:Y192)</f>
        <v>1636171.2358988209</v>
      </c>
      <c r="Z194" s="7">
        <f ca="1">Z180+SUM($C192:Z192)</f>
        <v>1670841.1811310996</v>
      </c>
      <c r="AA194" s="7">
        <f ca="1">AA180+SUM($C192:AA192)</f>
        <v>1706501.7452458595</v>
      </c>
      <c r="AB194" s="7">
        <f ca="1">AB180+SUM($C192:AB192)</f>
        <v>1743190.1198307537</v>
      </c>
      <c r="AC194" s="7">
        <f ca="1">AC180+SUM($C192:AC192)</f>
        <v>1780945.016796795</v>
      </c>
      <c r="AD194" s="7">
        <f ca="1">AD180+SUM($C192:AD192)</f>
        <v>1819806.7295462058</v>
      </c>
      <c r="AE194" s="7">
        <f ca="1">AE180+SUM($C192:AE192)</f>
        <v>1869924.4525328081</v>
      </c>
      <c r="AF194" s="7">
        <f ca="1">AF180+SUM($C192:AF192)</f>
        <v>1921739.9419416173</v>
      </c>
      <c r="AG194" s="7">
        <f ca="1">AG180+SUM($C192:AG192)</f>
        <v>1975317.5778012427</v>
      </c>
      <c r="AH194" s="7">
        <f ca="1">AH180+SUM($C192:AH192)</f>
        <v>2030724.2224962406</v>
      </c>
      <c r="AI194" s="7">
        <f ca="1">AI180+SUM($C192:AI192)</f>
        <v>2088029.314381151</v>
      </c>
      <c r="AJ194" s="7">
        <f ca="1">AJ180+SUM($C192:AJ192)</f>
        <v>2147304.9648157731</v>
      </c>
      <c r="AK194" s="7">
        <f ca="1">AK180+SUM($C192:AK192)</f>
        <v>2208626.0587430005</v>
      </c>
      <c r="AL194" s="7">
        <f ca="1">AL180+SUM($C192:AL192)</f>
        <v>2272070.3589347131</v>
      </c>
      <c r="AM194" s="7">
        <f ca="1">AM180+SUM($C192:AM192)</f>
        <v>2337718.614035564</v>
      </c>
    </row>
    <row r="195" spans="1:39" x14ac:dyDescent="0.2">
      <c r="A195" s="3" t="s">
        <v>67</v>
      </c>
      <c r="C195" s="7">
        <f t="shared" ref="C195:AM195" ca="1" si="270">MAX(C194+buffer,0)-MAX(C180+buffer,0)</f>
        <v>0</v>
      </c>
      <c r="D195" s="7">
        <f t="shared" ca="1" si="270"/>
        <v>0</v>
      </c>
      <c r="E195" s="7">
        <f t="shared" ca="1" si="270"/>
        <v>0</v>
      </c>
      <c r="F195" s="7">
        <f t="shared" ca="1" si="270"/>
        <v>0</v>
      </c>
      <c r="G195" s="7">
        <f t="shared" ca="1" si="270"/>
        <v>0</v>
      </c>
      <c r="H195" s="7">
        <f t="shared" ca="1" si="270"/>
        <v>0</v>
      </c>
      <c r="I195" s="7">
        <f t="shared" ca="1" si="270"/>
        <v>0</v>
      </c>
      <c r="J195" s="7">
        <f t="shared" ca="1" si="270"/>
        <v>0</v>
      </c>
      <c r="K195" s="7">
        <f t="shared" ca="1" si="270"/>
        <v>0</v>
      </c>
      <c r="L195" s="7">
        <f t="shared" ca="1" si="270"/>
        <v>0</v>
      </c>
      <c r="M195" s="7">
        <f t="shared" ca="1" si="270"/>
        <v>0</v>
      </c>
      <c r="N195" s="7">
        <f t="shared" ca="1" si="270"/>
        <v>0</v>
      </c>
      <c r="O195" s="7">
        <f t="shared" ca="1" si="270"/>
        <v>0</v>
      </c>
      <c r="P195" s="7">
        <f t="shared" ca="1" si="270"/>
        <v>0</v>
      </c>
      <c r="Q195" s="7">
        <f t="shared" ca="1" si="270"/>
        <v>0</v>
      </c>
      <c r="R195" s="7">
        <f t="shared" ca="1" si="270"/>
        <v>0</v>
      </c>
      <c r="S195" s="7">
        <f t="shared" ca="1" si="270"/>
        <v>0</v>
      </c>
      <c r="T195" s="7">
        <f t="shared" ca="1" si="270"/>
        <v>0</v>
      </c>
      <c r="U195" s="7">
        <f t="shared" ca="1" si="270"/>
        <v>0</v>
      </c>
      <c r="V195" s="7">
        <f t="shared" ca="1" si="270"/>
        <v>0</v>
      </c>
      <c r="W195" s="7">
        <f t="shared" ca="1" si="270"/>
        <v>0</v>
      </c>
      <c r="X195" s="7">
        <f t="shared" ca="1" si="270"/>
        <v>0</v>
      </c>
      <c r="Y195" s="7">
        <f t="shared" ca="1" si="270"/>
        <v>0</v>
      </c>
      <c r="Z195" s="7">
        <f t="shared" ca="1" si="270"/>
        <v>0</v>
      </c>
      <c r="AA195" s="7">
        <f t="shared" ca="1" si="270"/>
        <v>0</v>
      </c>
      <c r="AB195" s="7">
        <f t="shared" ca="1" si="270"/>
        <v>0</v>
      </c>
      <c r="AC195" s="7">
        <f t="shared" ca="1" si="270"/>
        <v>0</v>
      </c>
      <c r="AD195" s="7">
        <f t="shared" ca="1" si="270"/>
        <v>0</v>
      </c>
      <c r="AE195" s="7">
        <f t="shared" ca="1" si="270"/>
        <v>0</v>
      </c>
      <c r="AF195" s="7">
        <f t="shared" ca="1" si="270"/>
        <v>0</v>
      </c>
      <c r="AG195" s="7">
        <f t="shared" ca="1" si="270"/>
        <v>0</v>
      </c>
      <c r="AH195" s="7">
        <f t="shared" ca="1" si="270"/>
        <v>0</v>
      </c>
      <c r="AI195" s="7">
        <f t="shared" ca="1" si="270"/>
        <v>0</v>
      </c>
      <c r="AJ195" s="7">
        <f t="shared" ca="1" si="270"/>
        <v>0</v>
      </c>
      <c r="AK195" s="7">
        <f t="shared" ca="1" si="270"/>
        <v>0</v>
      </c>
      <c r="AL195" s="7">
        <f t="shared" ca="1" si="270"/>
        <v>0</v>
      </c>
      <c r="AM195" s="7">
        <f t="shared" ca="1" si="270"/>
        <v>0</v>
      </c>
    </row>
    <row r="196" spans="1:39" x14ac:dyDescent="0.2">
      <c r="A196" s="3" t="s">
        <v>68</v>
      </c>
      <c r="C196" s="7">
        <f ca="1">C195*Inputs!$B$270</f>
        <v>0</v>
      </c>
      <c r="D196" s="7">
        <f ca="1">D195*Inputs!$B$270</f>
        <v>0</v>
      </c>
      <c r="E196" s="7">
        <f ca="1">E195*Inputs!$B$270</f>
        <v>0</v>
      </c>
      <c r="F196" s="7">
        <f ca="1">F195*Inputs!$B$270</f>
        <v>0</v>
      </c>
      <c r="G196" s="7">
        <f ca="1">G195*Inputs!$B$270</f>
        <v>0</v>
      </c>
      <c r="H196" s="7">
        <f ca="1">H195*Inputs!$B$270</f>
        <v>0</v>
      </c>
      <c r="I196" s="7">
        <f ca="1">I195*Inputs!$B$270</f>
        <v>0</v>
      </c>
      <c r="J196" s="7">
        <f ca="1">J195*Inputs!$B$270</f>
        <v>0</v>
      </c>
      <c r="K196" s="7">
        <f ca="1">K195*Inputs!$B$270</f>
        <v>0</v>
      </c>
      <c r="L196" s="7">
        <f ca="1">L195*Inputs!$B$270</f>
        <v>0</v>
      </c>
      <c r="M196" s="7">
        <f ca="1">M195*Inputs!$B$270</f>
        <v>0</v>
      </c>
      <c r="N196" s="7">
        <f ca="1">N195*Inputs!$B$270</f>
        <v>0</v>
      </c>
      <c r="O196" s="7">
        <f ca="1">O195*Inputs!$B$270</f>
        <v>0</v>
      </c>
      <c r="P196" s="7">
        <f ca="1">P195*Inputs!$B$270</f>
        <v>0</v>
      </c>
      <c r="Q196" s="7">
        <f ca="1">Q195*Inputs!$B$270</f>
        <v>0</v>
      </c>
      <c r="R196" s="7">
        <f ca="1">R195*Inputs!$B$270</f>
        <v>0</v>
      </c>
      <c r="S196" s="7">
        <f ca="1">S195*Inputs!$B$270</f>
        <v>0</v>
      </c>
      <c r="T196" s="7">
        <f ca="1">T195*Inputs!$B$270</f>
        <v>0</v>
      </c>
      <c r="U196" s="7">
        <f ca="1">U195*Inputs!$B$270</f>
        <v>0</v>
      </c>
      <c r="V196" s="7">
        <f ca="1">V195*Inputs!$B$270</f>
        <v>0</v>
      </c>
      <c r="W196" s="7">
        <f ca="1">W195*Inputs!$B$270</f>
        <v>0</v>
      </c>
      <c r="X196" s="7">
        <f ca="1">X195*Inputs!$B$270</f>
        <v>0</v>
      </c>
      <c r="Y196" s="7">
        <f ca="1">Y195*Inputs!$B$270</f>
        <v>0</v>
      </c>
      <c r="Z196" s="7">
        <f ca="1">Z195*Inputs!$B$270</f>
        <v>0</v>
      </c>
      <c r="AA196" s="7">
        <f ca="1">AA195*Inputs!$B$270</f>
        <v>0</v>
      </c>
      <c r="AB196" s="7">
        <f ca="1">AB195*Inputs!$B$270</f>
        <v>0</v>
      </c>
      <c r="AC196" s="7">
        <f ca="1">AC195*Inputs!$B$270</f>
        <v>0</v>
      </c>
      <c r="AD196" s="7">
        <f ca="1">AD195*Inputs!$B$270</f>
        <v>0</v>
      </c>
      <c r="AE196" s="7">
        <f ca="1">AE195*Inputs!$B$270</f>
        <v>0</v>
      </c>
      <c r="AF196" s="7">
        <f ca="1">AF195*Inputs!$B$270</f>
        <v>0</v>
      </c>
      <c r="AG196" s="7">
        <f ca="1">AG195*Inputs!$B$270</f>
        <v>0</v>
      </c>
      <c r="AH196" s="7">
        <f ca="1">AH195*Inputs!$B$270</f>
        <v>0</v>
      </c>
      <c r="AI196" s="7">
        <f ca="1">AI195*Inputs!$B$270</f>
        <v>0</v>
      </c>
      <c r="AJ196" s="7">
        <f ca="1">AJ195*Inputs!$B$270</f>
        <v>0</v>
      </c>
      <c r="AK196" s="7">
        <f ca="1">AK195*Inputs!$B$270</f>
        <v>0</v>
      </c>
      <c r="AL196" s="7">
        <f ca="1">AL195*Inputs!$B$270</f>
        <v>0</v>
      </c>
      <c r="AM196" s="7">
        <f ca="1">AM195*Inputs!$B$270</f>
        <v>0</v>
      </c>
    </row>
    <row r="197" spans="1:39" x14ac:dyDescent="0.2">
      <c r="A197" s="3" t="s">
        <v>149</v>
      </c>
      <c r="C197" s="7">
        <f ca="1">C194+SUM($C196:C196)</f>
        <v>12919.0625</v>
      </c>
      <c r="D197" s="7">
        <f ca="1">D194+SUM($C196:D196)</f>
        <v>22490.535937499997</v>
      </c>
      <c r="E197" s="7">
        <f ca="1">E194+SUM($C196:E196)</f>
        <v>38207.499804687497</v>
      </c>
      <c r="F197" s="7">
        <f ca="1">F194+SUM($C196:F196)</f>
        <v>35714.080452231734</v>
      </c>
      <c r="G197" s="7">
        <f ca="1">G194+SUM($C196:G196)</f>
        <v>229276.11396248138</v>
      </c>
      <c r="H197" s="7">
        <f ca="1">H194+SUM($C196:H196)</f>
        <v>271025.81800930644</v>
      </c>
      <c r="I197" s="7">
        <f ca="1">I194+SUM($C196:I196)</f>
        <v>332892.09672247234</v>
      </c>
      <c r="J197" s="7">
        <f ca="1">J194+SUM($C196:J196)</f>
        <v>399181.31879998074</v>
      </c>
      <c r="K197" s="7">
        <f ca="1">K194+SUM($C196:K196)</f>
        <v>452080.69175229734</v>
      </c>
      <c r="L197" s="7">
        <f ca="1">L194+SUM($C196:L196)</f>
        <v>591897.59165074176</v>
      </c>
      <c r="M197" s="7">
        <f ca="1">M194+SUM($C196:M196)</f>
        <v>643438.66125641076</v>
      </c>
      <c r="N197" s="7">
        <f ca="1">N194+SUM($C196:N196)</f>
        <v>748500.49246398674</v>
      </c>
      <c r="O197" s="7">
        <f ca="1">O194+SUM($C196:O196)</f>
        <v>859267.05744988273</v>
      </c>
      <c r="P197" s="7">
        <f ca="1">P194+SUM($C196:P196)</f>
        <v>975981.2911249469</v>
      </c>
      <c r="Q197" s="7">
        <f ca="1">Q194+SUM($C196:Q196)</f>
        <v>1098895.4105429514</v>
      </c>
      <c r="R197" s="7">
        <f ca="1">R194+SUM($C196:R196)</f>
        <v>1228271.248199099</v>
      </c>
      <c r="S197" s="7">
        <f ca="1">S194+SUM($C196:S196)</f>
        <v>1364380.5968228865</v>
      </c>
      <c r="T197" s="7">
        <f ca="1">T194+SUM($C196:T196)</f>
        <v>1402527.6236677105</v>
      </c>
      <c r="U197" s="7">
        <f ca="1">U194+SUM($C196:U196)</f>
        <v>1449854.2259580824</v>
      </c>
      <c r="V197" s="7">
        <f ca="1">V194+SUM($C196:V196)</f>
        <v>1498907.5815076504</v>
      </c>
      <c r="W197" s="7">
        <f ca="1">W194+SUM($C196:W196)</f>
        <v>1549752.4964402271</v>
      </c>
      <c r="X197" s="7">
        <f ca="1">X194+SUM($C196:X196)</f>
        <v>1602456.179392647</v>
      </c>
      <c r="Y197" s="7">
        <f ca="1">Y194+SUM($C196:Y196)</f>
        <v>1636171.2358988209</v>
      </c>
      <c r="Z197" s="7">
        <f ca="1">Z194+SUM($C196:Z196)</f>
        <v>1670841.1811310996</v>
      </c>
      <c r="AA197" s="7">
        <f ca="1">AA194+SUM($C196:AA196)</f>
        <v>1706501.7452458595</v>
      </c>
      <c r="AB197" s="7">
        <f ca="1">AB194+SUM($C196:AB196)</f>
        <v>1743190.1198307537</v>
      </c>
      <c r="AC197" s="7">
        <f ca="1">AC194+SUM($C196:AC196)</f>
        <v>1780945.016796795</v>
      </c>
      <c r="AD197" s="7">
        <f ca="1">AD194+SUM($C196:AD196)</f>
        <v>1819806.7295462058</v>
      </c>
      <c r="AE197" s="7">
        <f ca="1">AE194+SUM($C196:AE196)</f>
        <v>1869924.4525328081</v>
      </c>
      <c r="AF197" s="7">
        <f ca="1">AF194+SUM($C196:AF196)</f>
        <v>1921739.9419416173</v>
      </c>
      <c r="AG197" s="7">
        <f ca="1">AG194+SUM($C196:AG196)</f>
        <v>1975317.5778012427</v>
      </c>
      <c r="AH197" s="7">
        <f ca="1">AH194+SUM($C196:AH196)</f>
        <v>2030724.2224962406</v>
      </c>
      <c r="AI197" s="7">
        <f ca="1">AI194+SUM($C196:AI196)</f>
        <v>2088029.314381151</v>
      </c>
      <c r="AJ197" s="7">
        <f ca="1">AJ194+SUM($C196:AJ196)</f>
        <v>2147304.9648157731</v>
      </c>
      <c r="AK197" s="7">
        <f ca="1">AK194+SUM($C196:AK196)</f>
        <v>2208626.0587430005</v>
      </c>
      <c r="AL197" s="7">
        <f ca="1">AL194+SUM($C196:AL196)</f>
        <v>2272070.3589347131</v>
      </c>
      <c r="AM197" s="7">
        <f ca="1">AM194+SUM($C196:AM196)</f>
        <v>2337718.614035564</v>
      </c>
    </row>
    <row r="198" spans="1:39" x14ac:dyDescent="0.2">
      <c r="A198" s="3" t="s">
        <v>19</v>
      </c>
      <c r="C198" s="7">
        <f ca="1">IF(C197&lt;0,-C197,0)</f>
        <v>0</v>
      </c>
      <c r="D198" s="7">
        <f ca="1">IF(D197+SUM($C198:C198)&lt;0,-(D197+SUM($C198:C198)),0)</f>
        <v>0</v>
      </c>
      <c r="E198" s="7">
        <f ca="1">IF(E197+SUM($C198:D198)&lt;0,-(E197+SUM($C198:D198)),0)</f>
        <v>0</v>
      </c>
      <c r="F198" s="7">
        <f ca="1">IF(F197+SUM($C198:E198)&lt;0,-(F197+SUM($C198:E198)),0)</f>
        <v>0</v>
      </c>
      <c r="G198" s="7">
        <f ca="1">IF(G197+SUM($C198:F198)&lt;0,-(G197+SUM($C198:F198)),0)</f>
        <v>0</v>
      </c>
      <c r="H198" s="7">
        <f ca="1">IF(H197+SUM($C198:G198)&lt;0,-(H197+SUM($C198:G198)),0)</f>
        <v>0</v>
      </c>
      <c r="I198" s="7">
        <f ca="1">IF(I197+SUM($C198:H198)&lt;0,-(I197+SUM($C198:H198)),0)</f>
        <v>0</v>
      </c>
      <c r="J198" s="7">
        <f ca="1">IF(J197+SUM($C198:I198)&lt;0,-(J197+SUM($C198:I198)),0)</f>
        <v>0</v>
      </c>
      <c r="K198" s="7">
        <f ca="1">IF(K197+SUM($C198:J198)&lt;0,-(K197+SUM($C198:J198)),0)</f>
        <v>0</v>
      </c>
      <c r="L198" s="7">
        <f ca="1">IF(L197+SUM($C198:K198)&lt;0,-(L197+SUM($C198:K198)),0)</f>
        <v>0</v>
      </c>
      <c r="M198" s="7">
        <f ca="1">IF(M197+SUM($C198:L198)&lt;0,-(M197+SUM($C198:L198)),0)</f>
        <v>0</v>
      </c>
      <c r="N198" s="7">
        <f ca="1">IF(N197+SUM($C198:M198)&lt;0,-(N197+SUM($C198:M198)),0)</f>
        <v>0</v>
      </c>
      <c r="O198" s="7">
        <f ca="1">IF(O197+SUM($C198:N198)&lt;0,-(O197+SUM($C198:N198)),0)</f>
        <v>0</v>
      </c>
      <c r="P198" s="7">
        <f ca="1">IF(P197+SUM($C198:O198)&lt;0,-(P197+SUM($C198:O198)),0)</f>
        <v>0</v>
      </c>
      <c r="Q198" s="7">
        <f ca="1">IF(Q197+SUM($C198:P198)&lt;0,-(Q197+SUM($C198:P198)),0)</f>
        <v>0</v>
      </c>
      <c r="R198" s="7">
        <f ca="1">IF(R197+SUM($C198:Q198)&lt;0,-(R197+SUM($C198:Q198)),0)</f>
        <v>0</v>
      </c>
      <c r="S198" s="7">
        <f ca="1">IF(S197+SUM($C198:R198)&lt;0,-(S197+SUM($C198:R198)),0)</f>
        <v>0</v>
      </c>
      <c r="T198" s="7">
        <f ca="1">IF(T197+SUM($C198:S198)&lt;0,-(T197+SUM($C198:S198)),0)</f>
        <v>0</v>
      </c>
      <c r="U198" s="7">
        <f ca="1">IF(U197+SUM($C198:T198)&lt;0,-(U197+SUM($C198:T198)),0)</f>
        <v>0</v>
      </c>
      <c r="V198" s="7">
        <f ca="1">IF(V197+SUM($C198:U198)&lt;0,-(V197+SUM($C198:U198)),0)</f>
        <v>0</v>
      </c>
      <c r="W198" s="7">
        <f ca="1">IF(W197+SUM($C198:V198)&lt;0,-(W197+SUM($C198:V198)),0)</f>
        <v>0</v>
      </c>
      <c r="X198" s="7">
        <f ca="1">IF(X197+SUM($C198:W198)&lt;0,-(X197+SUM($C198:W198)),0)</f>
        <v>0</v>
      </c>
      <c r="Y198" s="7">
        <f ca="1">IF(Y197+SUM($C198:X198)&lt;0,-(Y197+SUM($C198:X198)),0)</f>
        <v>0</v>
      </c>
      <c r="Z198" s="7">
        <f ca="1">IF(Z197+SUM($C198:Y198)&lt;0,-(Z197+SUM($C198:Y198)),0)</f>
        <v>0</v>
      </c>
      <c r="AA198" s="7">
        <f ca="1">IF(AA197+SUM($C198:Z198)&lt;0,-(AA197+SUM($C198:Z198)),0)</f>
        <v>0</v>
      </c>
      <c r="AB198" s="7">
        <f ca="1">IF(AB197+SUM($C198:AA198)&lt;0,-(AB197+SUM($C198:AA198)),0)</f>
        <v>0</v>
      </c>
      <c r="AC198" s="7">
        <f ca="1">IF(AC197+SUM($C198:AB198)&lt;0,-(AC197+SUM($C198:AB198)),0)</f>
        <v>0</v>
      </c>
      <c r="AD198" s="7">
        <f ca="1">IF(AD197+SUM($C198:AC198)&lt;0,-(AD197+SUM($C198:AC198)),0)</f>
        <v>0</v>
      </c>
      <c r="AE198" s="7">
        <f ca="1">IF(AE197+SUM($C198:AD198)&lt;0,-(AE197+SUM($C198:AD198)),0)</f>
        <v>0</v>
      </c>
      <c r="AF198" s="7">
        <f ca="1">IF(AF197+SUM($C198:AE198)&lt;0,-(AF197+SUM($C198:AE198)),0)</f>
        <v>0</v>
      </c>
      <c r="AG198" s="7">
        <f ca="1">IF(AG197+SUM($C198:AF198)&lt;0,-(AG197+SUM($C198:AF198)),0)</f>
        <v>0</v>
      </c>
      <c r="AH198" s="7">
        <f ca="1">IF(AH197+SUM($C198:AG198)&lt;0,-(AH197+SUM($C198:AG198)),0)</f>
        <v>0</v>
      </c>
      <c r="AI198" s="7">
        <f ca="1">IF(AI197+SUM($C198:AH198)&lt;0,-(AI197+SUM($C198:AH198)),0)</f>
        <v>0</v>
      </c>
      <c r="AJ198" s="7">
        <f ca="1">IF(AJ197+SUM($C198:AI198)&lt;0,-(AJ197+SUM($C198:AI198)),0)</f>
        <v>0</v>
      </c>
      <c r="AK198" s="7">
        <f ca="1">IF(AK197+SUM($C198:AJ198)&lt;0,-(AK197+SUM($C198:AJ198)),0)</f>
        <v>0</v>
      </c>
      <c r="AL198" s="7">
        <f ca="1">IF(AL197+SUM($C198:AK198)&lt;0,-(AL197+SUM($C198:AK198)),0)</f>
        <v>0</v>
      </c>
      <c r="AM198" s="7">
        <f ca="1">IF(AM197+SUM($C198:AL198)&lt;0,-(AM197+SUM($C198:AL198)),0)</f>
        <v>0</v>
      </c>
    </row>
    <row r="199" spans="1:39" x14ac:dyDescent="0.2"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  <c r="AG199" s="7"/>
      <c r="AH199" s="7"/>
      <c r="AI199" s="7"/>
      <c r="AJ199" s="7"/>
      <c r="AK199" s="7"/>
      <c r="AL199" s="7"/>
      <c r="AM199" s="7"/>
    </row>
    <row r="200" spans="1:39" x14ac:dyDescent="0.2">
      <c r="A200" s="24" t="str">
        <f>IF(Inputs!$B$290=6,IFERROR(_xlfn.XLOOKUP($B200,Inputs!$B$291:$B$300,Inputs!$A$291:$A$300,,0,1),""),IFERROR(_xlfn.XLOOKUP($B200,Inputs!$C$291:$C$300,Inputs!$A$291:$A$300,,0,1),""))</f>
        <v>Marsa</v>
      </c>
      <c r="B200" s="26">
        <v>6</v>
      </c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  <c r="AG200" s="7"/>
      <c r="AH200" s="7"/>
      <c r="AI200" s="7"/>
      <c r="AJ200" s="7"/>
      <c r="AK200" s="7"/>
      <c r="AL200" s="7"/>
      <c r="AM200" s="7"/>
    </row>
    <row r="201" spans="1:39" x14ac:dyDescent="0.2">
      <c r="A201" s="3" t="s">
        <v>21</v>
      </c>
      <c r="C201" s="7">
        <f ca="1">IFERROR(VLOOKUP($A200,$A$68:$H$97,C$1+2,FALSE),0)</f>
        <v>122689.99946753924</v>
      </c>
      <c r="D201" s="7">
        <f ca="1">C204</f>
        <v>122689.99946753924</v>
      </c>
      <c r="E201" s="7">
        <f t="shared" ref="E201" ca="1" si="271">D204</f>
        <v>126370.69945156541</v>
      </c>
      <c r="F201" s="7">
        <f t="shared" ref="F201" ca="1" si="272">E204</f>
        <v>130161.82043511237</v>
      </c>
      <c r="G201" s="7">
        <f t="shared" ref="G201" ca="1" si="273">F204</f>
        <v>134066.67504816575</v>
      </c>
      <c r="H201" s="7">
        <f t="shared" ref="H201" ca="1" si="274">G204</f>
        <v>138088.67529961071</v>
      </c>
      <c r="I201" s="7">
        <f t="shared" ref="I201" ca="1" si="275">H204</f>
        <v>142231.33555859904</v>
      </c>
      <c r="J201" s="7">
        <f t="shared" ref="J201" ca="1" si="276">I204</f>
        <v>146498.275625357</v>
      </c>
      <c r="K201" s="7">
        <f t="shared" ref="K201" ca="1" si="277">J204</f>
        <v>150893.22389411772</v>
      </c>
      <c r="L201" s="7">
        <f t="shared" ref="L201" ca="1" si="278">K204</f>
        <v>155420.02061094125</v>
      </c>
      <c r="M201" s="7">
        <f t="shared" ref="M201" ca="1" si="279">L204</f>
        <v>160082.62122926948</v>
      </c>
      <c r="N201" s="7">
        <f t="shared" ref="N201" ca="1" si="280">M204</f>
        <v>164885.09986614756</v>
      </c>
      <c r="O201" s="7">
        <f t="shared" ref="O201" ca="1" si="281">N204</f>
        <v>169831.65286213197</v>
      </c>
      <c r="P201" s="7">
        <f t="shared" ref="P201" ca="1" si="282">O204</f>
        <v>174926.60244799595</v>
      </c>
      <c r="Q201" s="7">
        <f t="shared" ref="Q201" ca="1" si="283">P204</f>
        <v>180174.40052143583</v>
      </c>
      <c r="R201" s="7">
        <f t="shared" ref="R201" ca="1" si="284">Q204</f>
        <v>185579.6325370789</v>
      </c>
      <c r="S201" s="7">
        <f t="shared" ref="S201" ca="1" si="285">R204</f>
        <v>191147.02151319126</v>
      </c>
      <c r="T201" s="7">
        <f t="shared" ref="T201" ca="1" si="286">S204</f>
        <v>196881.43215858701</v>
      </c>
      <c r="U201" s="7">
        <f t="shared" ref="U201" ca="1" si="287">T204</f>
        <v>202787.87512334462</v>
      </c>
      <c r="V201" s="7">
        <f t="shared" ref="V201" ca="1" si="288">U204</f>
        <v>208871.51137704495</v>
      </c>
      <c r="W201" s="7">
        <f t="shared" ref="W201" ca="1" si="289">V204</f>
        <v>215137.6567183563</v>
      </c>
      <c r="X201" s="7">
        <f t="shared" ref="X201" ca="1" si="290">W204</f>
        <v>221591.786419907</v>
      </c>
      <c r="Y201" s="7">
        <f t="shared" ref="Y201" ca="1" si="291">X204</f>
        <v>228239.54001250421</v>
      </c>
      <c r="Z201" s="7">
        <f t="shared" ref="Z201" ca="1" si="292">Y204</f>
        <v>235086.72621287932</v>
      </c>
      <c r="AA201" s="7">
        <f t="shared" ref="AA201" ca="1" si="293">Z204</f>
        <v>242139.32799926569</v>
      </c>
      <c r="AB201" s="7">
        <f t="shared" ref="AB201" ca="1" si="294">AA204</f>
        <v>249403.50783924366</v>
      </c>
      <c r="AC201" s="7">
        <f t="shared" ref="AC201" ca="1" si="295">AB204</f>
        <v>256885.61307442095</v>
      </c>
      <c r="AD201" s="7">
        <f t="shared" ref="AD201" ca="1" si="296">AC204</f>
        <v>264592.18146665359</v>
      </c>
      <c r="AE201" s="7">
        <f t="shared" ref="AE201" ca="1" si="297">AD204</f>
        <v>272529.94691065321</v>
      </c>
      <c r="AF201" s="7">
        <f t="shared" ref="AF201" ca="1" si="298">AE204</f>
        <v>280705.84531797282</v>
      </c>
      <c r="AG201" s="7">
        <f t="shared" ref="AG201" ca="1" si="299">AF204</f>
        <v>289127.02067751199</v>
      </c>
      <c r="AH201" s="7">
        <f t="shared" ref="AH201" ca="1" si="300">AG204</f>
        <v>297800.83129783737</v>
      </c>
      <c r="AI201" s="7">
        <f t="shared" ref="AI201" ca="1" si="301">AH204</f>
        <v>306734.8562367725</v>
      </c>
      <c r="AJ201" s="7">
        <f t="shared" ref="AJ201" ca="1" si="302">AI204</f>
        <v>315936.90192387567</v>
      </c>
      <c r="AK201" s="7">
        <f t="shared" ref="AK201" ca="1" si="303">AJ204</f>
        <v>325415.00898159196</v>
      </c>
      <c r="AL201" s="7">
        <f t="shared" ref="AL201" ca="1" si="304">AK204</f>
        <v>335177.45925103972</v>
      </c>
      <c r="AM201" s="7">
        <f t="shared" ref="AM201" ca="1" si="305">AL204</f>
        <v>345232.78302857094</v>
      </c>
    </row>
    <row r="202" spans="1:39" x14ac:dyDescent="0.2">
      <c r="A202" s="3" t="s">
        <v>22</v>
      </c>
      <c r="C202" s="7">
        <f ca="1">-IF(D198&gt;0,C201,0)</f>
        <v>0</v>
      </c>
      <c r="D202" s="7">
        <f ca="1">-IF(E198&gt;0,D201,0)</f>
        <v>0</v>
      </c>
      <c r="E202" s="7">
        <f ca="1">-IF(F198&gt;0,E201,0)</f>
        <v>0</v>
      </c>
      <c r="F202" s="7">
        <f ca="1">-IF(G198&gt;0,F201,0)</f>
        <v>0</v>
      </c>
      <c r="G202" s="7">
        <f t="shared" ref="G202" ca="1" si="306">-IF(H198&gt;0,G201,0)</f>
        <v>0</v>
      </c>
      <c r="H202" s="7">
        <f t="shared" ref="H202" ca="1" si="307">-IF(I198&gt;0,H201,0)</f>
        <v>0</v>
      </c>
      <c r="I202" s="7">
        <f t="shared" ref="I202" ca="1" si="308">-IF(J198&gt;0,I201,0)</f>
        <v>0</v>
      </c>
      <c r="J202" s="7">
        <f t="shared" ref="J202" ca="1" si="309">-IF(K198&gt;0,J201,0)</f>
        <v>0</v>
      </c>
      <c r="K202" s="7">
        <f t="shared" ref="K202" ca="1" si="310">-IF(L198&gt;0,K201,0)</f>
        <v>0</v>
      </c>
      <c r="L202" s="7">
        <f t="shared" ref="L202" ca="1" si="311">-IF(M198&gt;0,L201,0)</f>
        <v>0</v>
      </c>
      <c r="M202" s="7">
        <f t="shared" ref="M202" ca="1" si="312">-IF(N198&gt;0,M201,0)</f>
        <v>0</v>
      </c>
      <c r="N202" s="7">
        <f t="shared" ref="N202" ca="1" si="313">-IF(O198&gt;0,N201,0)</f>
        <v>0</v>
      </c>
      <c r="O202" s="7">
        <f t="shared" ref="O202" ca="1" si="314">-IF(P198&gt;0,O201,0)</f>
        <v>0</v>
      </c>
      <c r="P202" s="7">
        <f t="shared" ref="P202" ca="1" si="315">-IF(Q198&gt;0,P201,0)</f>
        <v>0</v>
      </c>
      <c r="Q202" s="7">
        <f t="shared" ref="Q202" ca="1" si="316">-IF(R198&gt;0,Q201,0)</f>
        <v>0</v>
      </c>
      <c r="R202" s="7">
        <f t="shared" ref="R202" ca="1" si="317">-IF(S198&gt;0,R201,0)</f>
        <v>0</v>
      </c>
      <c r="S202" s="7">
        <f t="shared" ref="S202" ca="1" si="318">-IF(T198&gt;0,S201,0)</f>
        <v>0</v>
      </c>
      <c r="T202" s="7">
        <f t="shared" ref="T202" ca="1" si="319">-IF(U198&gt;0,T201,0)</f>
        <v>0</v>
      </c>
      <c r="U202" s="7">
        <f t="shared" ref="U202" ca="1" si="320">-IF(V198&gt;0,U201,0)</f>
        <v>0</v>
      </c>
      <c r="V202" s="7">
        <f t="shared" ref="V202" ca="1" si="321">-IF(W198&gt;0,V201,0)</f>
        <v>0</v>
      </c>
      <c r="W202" s="7">
        <f t="shared" ref="W202" ca="1" si="322">-IF(X198&gt;0,W201,0)</f>
        <v>0</v>
      </c>
      <c r="X202" s="7">
        <f t="shared" ref="X202" ca="1" si="323">-IF(Y198&gt;0,X201,0)</f>
        <v>0</v>
      </c>
      <c r="Y202" s="7">
        <f t="shared" ref="Y202" ca="1" si="324">-IF(Z198&gt;0,Y201,0)</f>
        <v>0</v>
      </c>
      <c r="Z202" s="7">
        <f t="shared" ref="Z202" ca="1" si="325">-IF(AA198&gt;0,Z201,0)</f>
        <v>0</v>
      </c>
      <c r="AA202" s="7">
        <f t="shared" ref="AA202" ca="1" si="326">-IF(AB198&gt;0,AA201,0)</f>
        <v>0</v>
      </c>
      <c r="AB202" s="7">
        <f t="shared" ref="AB202" ca="1" si="327">-IF(AC198&gt;0,AB201,0)</f>
        <v>0</v>
      </c>
      <c r="AC202" s="7">
        <f t="shared" ref="AC202" ca="1" si="328">-IF(AD198&gt;0,AC201,0)</f>
        <v>0</v>
      </c>
      <c r="AD202" s="7">
        <f t="shared" ref="AD202" ca="1" si="329">-IF(AE198&gt;0,AD201,0)</f>
        <v>0</v>
      </c>
      <c r="AE202" s="7">
        <f t="shared" ref="AE202" ca="1" si="330">-IF(AF198&gt;0,AE201,0)</f>
        <v>0</v>
      </c>
      <c r="AF202" s="7">
        <f t="shared" ref="AF202" ca="1" si="331">-IF(AG198&gt;0,AF201,0)</f>
        <v>0</v>
      </c>
      <c r="AG202" s="7">
        <f t="shared" ref="AG202" ca="1" si="332">-IF(AH198&gt;0,AG201,0)</f>
        <v>0</v>
      </c>
      <c r="AH202" s="7">
        <f t="shared" ref="AH202" ca="1" si="333">-IF(AI198&gt;0,AH201,0)</f>
        <v>0</v>
      </c>
      <c r="AI202" s="7">
        <f t="shared" ref="AI202" ca="1" si="334">-IF(AJ198&gt;0,AI201,0)</f>
        <v>0</v>
      </c>
      <c r="AJ202" s="7">
        <f t="shared" ref="AJ202" ca="1" si="335">-IF(AK198&gt;0,AJ201,0)</f>
        <v>0</v>
      </c>
      <c r="AK202" s="7">
        <f t="shared" ref="AK202" ca="1" si="336">-IF(AL198&gt;0,AK201,0)</f>
        <v>0</v>
      </c>
      <c r="AL202" s="7">
        <f t="shared" ref="AL202" ca="1" si="337">-IF(AM198&gt;0,AL201,0)</f>
        <v>0</v>
      </c>
      <c r="AM202" s="7">
        <f t="shared" ref="AM202" si="338">-IF(AN198&gt;0,AM201,0)</f>
        <v>0</v>
      </c>
    </row>
    <row r="203" spans="1:39" x14ac:dyDescent="0.2">
      <c r="A203" s="3" t="s">
        <v>23</v>
      </c>
      <c r="C203" s="7">
        <v>0</v>
      </c>
      <c r="D203" s="7">
        <f t="shared" ref="D203:AM203" ca="1" si="339">SUM(D201:D202)*VLOOKUP($A200,AssVar,2,FALSE)</f>
        <v>3680.6999840261769</v>
      </c>
      <c r="E203" s="7">
        <f t="shared" ca="1" si="339"/>
        <v>3791.1209835469622</v>
      </c>
      <c r="F203" s="7">
        <f t="shared" ca="1" si="339"/>
        <v>3904.8546130533709</v>
      </c>
      <c r="G203" s="7">
        <f t="shared" ca="1" si="339"/>
        <v>4022.0002514449725</v>
      </c>
      <c r="H203" s="7">
        <f t="shared" ca="1" si="339"/>
        <v>4142.6602589883214</v>
      </c>
      <c r="I203" s="7">
        <f t="shared" ca="1" si="339"/>
        <v>4266.9400667579712</v>
      </c>
      <c r="J203" s="7">
        <f t="shared" ca="1" si="339"/>
        <v>4394.9482687607097</v>
      </c>
      <c r="K203" s="7">
        <f t="shared" ca="1" si="339"/>
        <v>4526.7967168235318</v>
      </c>
      <c r="L203" s="7">
        <f t="shared" ca="1" si="339"/>
        <v>4662.600618328237</v>
      </c>
      <c r="M203" s="7">
        <f t="shared" ca="1" si="339"/>
        <v>4802.4786368780842</v>
      </c>
      <c r="N203" s="7">
        <f t="shared" ca="1" si="339"/>
        <v>4946.5529959844271</v>
      </c>
      <c r="O203" s="7">
        <f t="shared" ca="1" si="339"/>
        <v>5094.9495858639593</v>
      </c>
      <c r="P203" s="7">
        <f t="shared" ca="1" si="339"/>
        <v>5247.798073439878</v>
      </c>
      <c r="Q203" s="7">
        <f t="shared" ca="1" si="339"/>
        <v>5405.2320156430751</v>
      </c>
      <c r="R203" s="7">
        <f t="shared" ca="1" si="339"/>
        <v>5567.3889761123664</v>
      </c>
      <c r="S203" s="7">
        <f t="shared" ca="1" si="339"/>
        <v>5734.4106453957374</v>
      </c>
      <c r="T203" s="7">
        <f t="shared" ca="1" si="339"/>
        <v>5906.4429647576098</v>
      </c>
      <c r="U203" s="7">
        <f t="shared" ca="1" si="339"/>
        <v>6083.6362537003388</v>
      </c>
      <c r="V203" s="7">
        <f t="shared" ca="1" si="339"/>
        <v>6266.1453413113486</v>
      </c>
      <c r="W203" s="7">
        <f t="shared" ca="1" si="339"/>
        <v>6454.1297015506889</v>
      </c>
      <c r="X203" s="7">
        <f t="shared" ca="1" si="339"/>
        <v>6647.7535925972097</v>
      </c>
      <c r="Y203" s="7">
        <f t="shared" ca="1" si="339"/>
        <v>6847.1862003751257</v>
      </c>
      <c r="Z203" s="7">
        <f t="shared" ca="1" si="339"/>
        <v>7052.601786386379</v>
      </c>
      <c r="AA203" s="7">
        <f t="shared" ca="1" si="339"/>
        <v>7264.17983997797</v>
      </c>
      <c r="AB203" s="7">
        <f t="shared" ca="1" si="339"/>
        <v>7482.1052351773096</v>
      </c>
      <c r="AC203" s="7">
        <f t="shared" ca="1" si="339"/>
        <v>7706.568392232628</v>
      </c>
      <c r="AD203" s="7">
        <f t="shared" ca="1" si="339"/>
        <v>7937.7654439996077</v>
      </c>
      <c r="AE203" s="7">
        <f t="shared" ca="1" si="339"/>
        <v>8175.8984073195961</v>
      </c>
      <c r="AF203" s="7">
        <f t="shared" ca="1" si="339"/>
        <v>8421.1753595391838</v>
      </c>
      <c r="AG203" s="7">
        <f t="shared" ca="1" si="339"/>
        <v>8673.8106203253592</v>
      </c>
      <c r="AH203" s="7">
        <f t="shared" ca="1" si="339"/>
        <v>8934.0249389351211</v>
      </c>
      <c r="AI203" s="7">
        <f t="shared" ca="1" si="339"/>
        <v>9202.0456871031747</v>
      </c>
      <c r="AJ203" s="7">
        <f t="shared" ca="1" si="339"/>
        <v>9478.10705771627</v>
      </c>
      <c r="AK203" s="7">
        <f t="shared" ca="1" si="339"/>
        <v>9762.4502694477578</v>
      </c>
      <c r="AL203" s="7">
        <f t="shared" ca="1" si="339"/>
        <v>10055.323777531192</v>
      </c>
      <c r="AM203" s="7">
        <f t="shared" ca="1" si="339"/>
        <v>10356.983490857128</v>
      </c>
    </row>
    <row r="204" spans="1:39" x14ac:dyDescent="0.2">
      <c r="A204" s="3" t="s">
        <v>24</v>
      </c>
      <c r="C204" s="7">
        <f ca="1">SUM(C201:C203)</f>
        <v>122689.99946753924</v>
      </c>
      <c r="D204" s="7">
        <f t="shared" ref="D204:AM204" ca="1" si="340">SUM(D201:D203)</f>
        <v>126370.69945156541</v>
      </c>
      <c r="E204" s="7">
        <f t="shared" ca="1" si="340"/>
        <v>130161.82043511237</v>
      </c>
      <c r="F204" s="7">
        <f t="shared" ca="1" si="340"/>
        <v>134066.67504816575</v>
      </c>
      <c r="G204" s="7">
        <f t="shared" ca="1" si="340"/>
        <v>138088.67529961071</v>
      </c>
      <c r="H204" s="7">
        <f t="shared" ca="1" si="340"/>
        <v>142231.33555859904</v>
      </c>
      <c r="I204" s="7">
        <f t="shared" ca="1" si="340"/>
        <v>146498.275625357</v>
      </c>
      <c r="J204" s="7">
        <f t="shared" ca="1" si="340"/>
        <v>150893.22389411772</v>
      </c>
      <c r="K204" s="7">
        <f t="shared" ca="1" si="340"/>
        <v>155420.02061094125</v>
      </c>
      <c r="L204" s="7">
        <f t="shared" ca="1" si="340"/>
        <v>160082.62122926948</v>
      </c>
      <c r="M204" s="7">
        <f t="shared" ca="1" si="340"/>
        <v>164885.09986614756</v>
      </c>
      <c r="N204" s="7">
        <f t="shared" ca="1" si="340"/>
        <v>169831.65286213197</v>
      </c>
      <c r="O204" s="7">
        <f t="shared" ca="1" si="340"/>
        <v>174926.60244799595</v>
      </c>
      <c r="P204" s="7">
        <f t="shared" ca="1" si="340"/>
        <v>180174.40052143583</v>
      </c>
      <c r="Q204" s="7">
        <f t="shared" ca="1" si="340"/>
        <v>185579.6325370789</v>
      </c>
      <c r="R204" s="7">
        <f t="shared" ca="1" si="340"/>
        <v>191147.02151319126</v>
      </c>
      <c r="S204" s="7">
        <f t="shared" ca="1" si="340"/>
        <v>196881.43215858701</v>
      </c>
      <c r="T204" s="7">
        <f t="shared" ca="1" si="340"/>
        <v>202787.87512334462</v>
      </c>
      <c r="U204" s="7">
        <f t="shared" ca="1" si="340"/>
        <v>208871.51137704495</v>
      </c>
      <c r="V204" s="7">
        <f t="shared" ca="1" si="340"/>
        <v>215137.6567183563</v>
      </c>
      <c r="W204" s="7">
        <f t="shared" ca="1" si="340"/>
        <v>221591.786419907</v>
      </c>
      <c r="X204" s="7">
        <f t="shared" ca="1" si="340"/>
        <v>228239.54001250421</v>
      </c>
      <c r="Y204" s="7">
        <f t="shared" ca="1" si="340"/>
        <v>235086.72621287932</v>
      </c>
      <c r="Z204" s="7">
        <f t="shared" ca="1" si="340"/>
        <v>242139.32799926569</v>
      </c>
      <c r="AA204" s="7">
        <f t="shared" ca="1" si="340"/>
        <v>249403.50783924366</v>
      </c>
      <c r="AB204" s="7">
        <f t="shared" ca="1" si="340"/>
        <v>256885.61307442095</v>
      </c>
      <c r="AC204" s="7">
        <f t="shared" ca="1" si="340"/>
        <v>264592.18146665359</v>
      </c>
      <c r="AD204" s="7">
        <f t="shared" ca="1" si="340"/>
        <v>272529.94691065321</v>
      </c>
      <c r="AE204" s="7">
        <f t="shared" ca="1" si="340"/>
        <v>280705.84531797282</v>
      </c>
      <c r="AF204" s="7">
        <f t="shared" ca="1" si="340"/>
        <v>289127.02067751199</v>
      </c>
      <c r="AG204" s="7">
        <f t="shared" ca="1" si="340"/>
        <v>297800.83129783737</v>
      </c>
      <c r="AH204" s="7">
        <f t="shared" ca="1" si="340"/>
        <v>306734.8562367725</v>
      </c>
      <c r="AI204" s="7">
        <f t="shared" ca="1" si="340"/>
        <v>315936.90192387567</v>
      </c>
      <c r="AJ204" s="7">
        <f t="shared" ca="1" si="340"/>
        <v>325415.00898159196</v>
      </c>
      <c r="AK204" s="7">
        <f t="shared" ca="1" si="340"/>
        <v>335177.45925103972</v>
      </c>
      <c r="AL204" s="7">
        <f t="shared" ca="1" si="340"/>
        <v>345232.78302857094</v>
      </c>
      <c r="AM204" s="7">
        <f t="shared" ca="1" si="340"/>
        <v>355589.76651942806</v>
      </c>
    </row>
    <row r="205" spans="1:39" x14ac:dyDescent="0.2">
      <c r="A205" s="3" t="s">
        <v>25</v>
      </c>
      <c r="C205" s="7">
        <f t="shared" ref="C205:AM205" ca="1" si="341">C202*VLOOKUP($A200,AssVar,3,FALSE)</f>
        <v>0</v>
      </c>
      <c r="D205" s="7">
        <f t="shared" ca="1" si="341"/>
        <v>0</v>
      </c>
      <c r="E205" s="7">
        <f t="shared" ca="1" si="341"/>
        <v>0</v>
      </c>
      <c r="F205" s="7">
        <f t="shared" ca="1" si="341"/>
        <v>0</v>
      </c>
      <c r="G205" s="7">
        <f t="shared" ca="1" si="341"/>
        <v>0</v>
      </c>
      <c r="H205" s="7">
        <f t="shared" ca="1" si="341"/>
        <v>0</v>
      </c>
      <c r="I205" s="7">
        <f t="shared" ca="1" si="341"/>
        <v>0</v>
      </c>
      <c r="J205" s="7">
        <f t="shared" ca="1" si="341"/>
        <v>0</v>
      </c>
      <c r="K205" s="7">
        <f t="shared" ca="1" si="341"/>
        <v>0</v>
      </c>
      <c r="L205" s="7">
        <f t="shared" ca="1" si="341"/>
        <v>0</v>
      </c>
      <c r="M205" s="7">
        <f t="shared" ca="1" si="341"/>
        <v>0</v>
      </c>
      <c r="N205" s="7">
        <f t="shared" ca="1" si="341"/>
        <v>0</v>
      </c>
      <c r="O205" s="7">
        <f t="shared" ca="1" si="341"/>
        <v>0</v>
      </c>
      <c r="P205" s="7">
        <f t="shared" ca="1" si="341"/>
        <v>0</v>
      </c>
      <c r="Q205" s="7">
        <f t="shared" ca="1" si="341"/>
        <v>0</v>
      </c>
      <c r="R205" s="7">
        <f t="shared" ca="1" si="341"/>
        <v>0</v>
      </c>
      <c r="S205" s="7">
        <f t="shared" ca="1" si="341"/>
        <v>0</v>
      </c>
      <c r="T205" s="7">
        <f t="shared" ca="1" si="341"/>
        <v>0</v>
      </c>
      <c r="U205" s="7">
        <f t="shared" ca="1" si="341"/>
        <v>0</v>
      </c>
      <c r="V205" s="7">
        <f t="shared" ca="1" si="341"/>
        <v>0</v>
      </c>
      <c r="W205" s="7">
        <f t="shared" ca="1" si="341"/>
        <v>0</v>
      </c>
      <c r="X205" s="7">
        <f t="shared" ca="1" si="341"/>
        <v>0</v>
      </c>
      <c r="Y205" s="7">
        <f t="shared" ca="1" si="341"/>
        <v>0</v>
      </c>
      <c r="Z205" s="7">
        <f t="shared" ca="1" si="341"/>
        <v>0</v>
      </c>
      <c r="AA205" s="7">
        <f t="shared" ca="1" si="341"/>
        <v>0</v>
      </c>
      <c r="AB205" s="7">
        <f t="shared" ca="1" si="341"/>
        <v>0</v>
      </c>
      <c r="AC205" s="7">
        <f t="shared" ca="1" si="341"/>
        <v>0</v>
      </c>
      <c r="AD205" s="7">
        <f t="shared" ca="1" si="341"/>
        <v>0</v>
      </c>
      <c r="AE205" s="7">
        <f t="shared" ca="1" si="341"/>
        <v>0</v>
      </c>
      <c r="AF205" s="7">
        <f t="shared" ca="1" si="341"/>
        <v>0</v>
      </c>
      <c r="AG205" s="7">
        <f t="shared" ca="1" si="341"/>
        <v>0</v>
      </c>
      <c r="AH205" s="7">
        <f t="shared" ca="1" si="341"/>
        <v>0</v>
      </c>
      <c r="AI205" s="7">
        <f t="shared" ca="1" si="341"/>
        <v>0</v>
      </c>
      <c r="AJ205" s="7">
        <f t="shared" ca="1" si="341"/>
        <v>0</v>
      </c>
      <c r="AK205" s="7">
        <f t="shared" ca="1" si="341"/>
        <v>0</v>
      </c>
      <c r="AL205" s="7">
        <f t="shared" ca="1" si="341"/>
        <v>0</v>
      </c>
      <c r="AM205" s="7">
        <f t="shared" si="341"/>
        <v>0</v>
      </c>
    </row>
    <row r="206" spans="1:39" x14ac:dyDescent="0.2">
      <c r="A206" s="3" t="s">
        <v>30</v>
      </c>
      <c r="C206" s="7">
        <f t="shared" ref="C206:AM206" ca="1" si="342">IFERROR(-IF(C201=0,VLOOKUP($A200,$8:$12,C$1+2,FALSE),0),0)</f>
        <v>0</v>
      </c>
      <c r="D206" s="7">
        <f t="shared" ca="1" si="342"/>
        <v>0</v>
      </c>
      <c r="E206" s="7">
        <f t="shared" ca="1" si="342"/>
        <v>0</v>
      </c>
      <c r="F206" s="7">
        <f t="shared" ca="1" si="342"/>
        <v>0</v>
      </c>
      <c r="G206" s="7">
        <f t="shared" ca="1" si="342"/>
        <v>0</v>
      </c>
      <c r="H206" s="7">
        <f t="shared" ca="1" si="342"/>
        <v>0</v>
      </c>
      <c r="I206" s="7">
        <f t="shared" ca="1" si="342"/>
        <v>0</v>
      </c>
      <c r="J206" s="7">
        <f t="shared" ca="1" si="342"/>
        <v>0</v>
      </c>
      <c r="K206" s="7">
        <f t="shared" ca="1" si="342"/>
        <v>0</v>
      </c>
      <c r="L206" s="7">
        <f t="shared" ca="1" si="342"/>
        <v>0</v>
      </c>
      <c r="M206" s="7">
        <f t="shared" ca="1" si="342"/>
        <v>0</v>
      </c>
      <c r="N206" s="7">
        <f t="shared" ca="1" si="342"/>
        <v>0</v>
      </c>
      <c r="O206" s="7">
        <f t="shared" ca="1" si="342"/>
        <v>0</v>
      </c>
      <c r="P206" s="7">
        <f t="shared" ca="1" si="342"/>
        <v>0</v>
      </c>
      <c r="Q206" s="7">
        <f t="shared" ca="1" si="342"/>
        <v>0</v>
      </c>
      <c r="R206" s="7">
        <f t="shared" ca="1" si="342"/>
        <v>0</v>
      </c>
      <c r="S206" s="7">
        <f t="shared" ca="1" si="342"/>
        <v>0</v>
      </c>
      <c r="T206" s="7">
        <f t="shared" ca="1" si="342"/>
        <v>0</v>
      </c>
      <c r="U206" s="7">
        <f t="shared" ca="1" si="342"/>
        <v>0</v>
      </c>
      <c r="V206" s="7">
        <f t="shared" ca="1" si="342"/>
        <v>0</v>
      </c>
      <c r="W206" s="7">
        <f t="shared" ca="1" si="342"/>
        <v>0</v>
      </c>
      <c r="X206" s="7">
        <f t="shared" ca="1" si="342"/>
        <v>0</v>
      </c>
      <c r="Y206" s="7">
        <f t="shared" ca="1" si="342"/>
        <v>0</v>
      </c>
      <c r="Z206" s="7">
        <f t="shared" ca="1" si="342"/>
        <v>0</v>
      </c>
      <c r="AA206" s="7">
        <f t="shared" ca="1" si="342"/>
        <v>0</v>
      </c>
      <c r="AB206" s="7">
        <f t="shared" ca="1" si="342"/>
        <v>0</v>
      </c>
      <c r="AC206" s="7">
        <f t="shared" ca="1" si="342"/>
        <v>0</v>
      </c>
      <c r="AD206" s="7">
        <f t="shared" ca="1" si="342"/>
        <v>0</v>
      </c>
      <c r="AE206" s="7">
        <f t="shared" ca="1" si="342"/>
        <v>0</v>
      </c>
      <c r="AF206" s="7">
        <f t="shared" ca="1" si="342"/>
        <v>0</v>
      </c>
      <c r="AG206" s="7">
        <f t="shared" ca="1" si="342"/>
        <v>0</v>
      </c>
      <c r="AH206" s="7">
        <f t="shared" ca="1" si="342"/>
        <v>0</v>
      </c>
      <c r="AI206" s="7">
        <f t="shared" ca="1" si="342"/>
        <v>0</v>
      </c>
      <c r="AJ206" s="7">
        <f t="shared" ca="1" si="342"/>
        <v>0</v>
      </c>
      <c r="AK206" s="7">
        <f t="shared" ca="1" si="342"/>
        <v>0</v>
      </c>
      <c r="AL206" s="7">
        <f t="shared" ca="1" si="342"/>
        <v>0</v>
      </c>
      <c r="AM206" s="7">
        <f t="shared" ca="1" si="342"/>
        <v>0</v>
      </c>
    </row>
    <row r="207" spans="1:39" x14ac:dyDescent="0.2">
      <c r="A207" s="3" t="s">
        <v>49</v>
      </c>
      <c r="C207" s="7">
        <f t="shared" ref="C207:AM207" ca="1" si="343">IFERROR(IF(C201=0,VLOOKUP($A200,$46:$50,C$1+2,FALSE),0),0)</f>
        <v>0</v>
      </c>
      <c r="D207" s="7">
        <f t="shared" ca="1" si="343"/>
        <v>0</v>
      </c>
      <c r="E207" s="7">
        <f t="shared" ca="1" si="343"/>
        <v>0</v>
      </c>
      <c r="F207" s="7">
        <f t="shared" ca="1" si="343"/>
        <v>0</v>
      </c>
      <c r="G207" s="7">
        <f t="shared" ca="1" si="343"/>
        <v>0</v>
      </c>
      <c r="H207" s="7">
        <f t="shared" ca="1" si="343"/>
        <v>0</v>
      </c>
      <c r="I207" s="7">
        <f t="shared" ca="1" si="343"/>
        <v>0</v>
      </c>
      <c r="J207" s="7">
        <f t="shared" ca="1" si="343"/>
        <v>0</v>
      </c>
      <c r="K207" s="7">
        <f t="shared" ca="1" si="343"/>
        <v>0</v>
      </c>
      <c r="L207" s="7">
        <f t="shared" ca="1" si="343"/>
        <v>0</v>
      </c>
      <c r="M207" s="7">
        <f t="shared" ca="1" si="343"/>
        <v>0</v>
      </c>
      <c r="N207" s="7">
        <f t="shared" ca="1" si="343"/>
        <v>0</v>
      </c>
      <c r="O207" s="7">
        <f t="shared" ca="1" si="343"/>
        <v>0</v>
      </c>
      <c r="P207" s="7">
        <f t="shared" ca="1" si="343"/>
        <v>0</v>
      </c>
      <c r="Q207" s="7">
        <f t="shared" ca="1" si="343"/>
        <v>0</v>
      </c>
      <c r="R207" s="7">
        <f t="shared" ca="1" si="343"/>
        <v>0</v>
      </c>
      <c r="S207" s="7">
        <f t="shared" ca="1" si="343"/>
        <v>0</v>
      </c>
      <c r="T207" s="7">
        <f t="shared" ca="1" si="343"/>
        <v>0</v>
      </c>
      <c r="U207" s="7">
        <f t="shared" ca="1" si="343"/>
        <v>0</v>
      </c>
      <c r="V207" s="7">
        <f t="shared" ca="1" si="343"/>
        <v>0</v>
      </c>
      <c r="W207" s="7">
        <f t="shared" ca="1" si="343"/>
        <v>0</v>
      </c>
      <c r="X207" s="7">
        <f t="shared" ca="1" si="343"/>
        <v>0</v>
      </c>
      <c r="Y207" s="7">
        <f t="shared" ca="1" si="343"/>
        <v>0</v>
      </c>
      <c r="Z207" s="7">
        <f t="shared" ca="1" si="343"/>
        <v>0</v>
      </c>
      <c r="AA207" s="7">
        <f t="shared" ca="1" si="343"/>
        <v>0</v>
      </c>
      <c r="AB207" s="7">
        <f t="shared" ca="1" si="343"/>
        <v>0</v>
      </c>
      <c r="AC207" s="7">
        <f t="shared" ca="1" si="343"/>
        <v>0</v>
      </c>
      <c r="AD207" s="7">
        <f t="shared" ca="1" si="343"/>
        <v>0</v>
      </c>
      <c r="AE207" s="7">
        <f t="shared" ca="1" si="343"/>
        <v>0</v>
      </c>
      <c r="AF207" s="7">
        <f t="shared" ca="1" si="343"/>
        <v>0</v>
      </c>
      <c r="AG207" s="7">
        <f t="shared" ca="1" si="343"/>
        <v>0</v>
      </c>
      <c r="AH207" s="7">
        <f t="shared" ca="1" si="343"/>
        <v>0</v>
      </c>
      <c r="AI207" s="7">
        <f t="shared" ca="1" si="343"/>
        <v>0</v>
      </c>
      <c r="AJ207" s="7">
        <f t="shared" ca="1" si="343"/>
        <v>0</v>
      </c>
      <c r="AK207" s="7">
        <f t="shared" ca="1" si="343"/>
        <v>0</v>
      </c>
      <c r="AL207" s="7">
        <f t="shared" ca="1" si="343"/>
        <v>0</v>
      </c>
      <c r="AM207" s="7">
        <f t="shared" ca="1" si="343"/>
        <v>0</v>
      </c>
    </row>
    <row r="208" spans="1:39" x14ac:dyDescent="0.2">
      <c r="A208" s="3" t="s">
        <v>35</v>
      </c>
      <c r="B208" s="14" t="str">
        <f>A200</f>
        <v>Marsa</v>
      </c>
      <c r="C208" s="7">
        <f t="shared" ref="C208:AM208" ca="1" si="344">IF(AND(C201&gt;0,C204=0),VLOOKUP($A200,$86:$95,C$1+2,FALSE),0)</f>
        <v>0</v>
      </c>
      <c r="D208" s="7">
        <f t="shared" ca="1" si="344"/>
        <v>0</v>
      </c>
      <c r="E208" s="7">
        <f t="shared" ca="1" si="344"/>
        <v>0</v>
      </c>
      <c r="F208" s="7">
        <f t="shared" ca="1" si="344"/>
        <v>0</v>
      </c>
      <c r="G208" s="7">
        <f t="shared" ca="1" si="344"/>
        <v>0</v>
      </c>
      <c r="H208" s="7">
        <f t="shared" ca="1" si="344"/>
        <v>0</v>
      </c>
      <c r="I208" s="7">
        <f t="shared" ca="1" si="344"/>
        <v>0</v>
      </c>
      <c r="J208" s="7">
        <f t="shared" ca="1" si="344"/>
        <v>0</v>
      </c>
      <c r="K208" s="7">
        <f t="shared" ca="1" si="344"/>
        <v>0</v>
      </c>
      <c r="L208" s="7">
        <f t="shared" ca="1" si="344"/>
        <v>0</v>
      </c>
      <c r="M208" s="7">
        <f t="shared" ca="1" si="344"/>
        <v>0</v>
      </c>
      <c r="N208" s="7">
        <f t="shared" ca="1" si="344"/>
        <v>0</v>
      </c>
      <c r="O208" s="7">
        <f t="shared" ca="1" si="344"/>
        <v>0</v>
      </c>
      <c r="P208" s="7">
        <f t="shared" ca="1" si="344"/>
        <v>0</v>
      </c>
      <c r="Q208" s="7">
        <f t="shared" ca="1" si="344"/>
        <v>0</v>
      </c>
      <c r="R208" s="7">
        <f t="shared" ca="1" si="344"/>
        <v>0</v>
      </c>
      <c r="S208" s="7">
        <f t="shared" ca="1" si="344"/>
        <v>0</v>
      </c>
      <c r="T208" s="7">
        <f t="shared" ca="1" si="344"/>
        <v>0</v>
      </c>
      <c r="U208" s="7">
        <f t="shared" ca="1" si="344"/>
        <v>0</v>
      </c>
      <c r="V208" s="7">
        <f t="shared" ca="1" si="344"/>
        <v>0</v>
      </c>
      <c r="W208" s="7">
        <f t="shared" ca="1" si="344"/>
        <v>0</v>
      </c>
      <c r="X208" s="7">
        <f t="shared" ca="1" si="344"/>
        <v>0</v>
      </c>
      <c r="Y208" s="7">
        <f t="shared" ca="1" si="344"/>
        <v>0</v>
      </c>
      <c r="Z208" s="7">
        <f t="shared" ca="1" si="344"/>
        <v>0</v>
      </c>
      <c r="AA208" s="7">
        <f t="shared" ca="1" si="344"/>
        <v>0</v>
      </c>
      <c r="AB208" s="7">
        <f t="shared" ca="1" si="344"/>
        <v>0</v>
      </c>
      <c r="AC208" s="7">
        <f t="shared" ca="1" si="344"/>
        <v>0</v>
      </c>
      <c r="AD208" s="7">
        <f t="shared" ca="1" si="344"/>
        <v>0</v>
      </c>
      <c r="AE208" s="7">
        <f t="shared" ca="1" si="344"/>
        <v>0</v>
      </c>
      <c r="AF208" s="7">
        <f t="shared" ca="1" si="344"/>
        <v>0</v>
      </c>
      <c r="AG208" s="7">
        <f t="shared" ca="1" si="344"/>
        <v>0</v>
      </c>
      <c r="AH208" s="7">
        <f t="shared" ca="1" si="344"/>
        <v>0</v>
      </c>
      <c r="AI208" s="7">
        <f t="shared" ca="1" si="344"/>
        <v>0</v>
      </c>
      <c r="AJ208" s="7">
        <f t="shared" ca="1" si="344"/>
        <v>0</v>
      </c>
      <c r="AK208" s="7">
        <f t="shared" ca="1" si="344"/>
        <v>0</v>
      </c>
      <c r="AL208" s="7">
        <f t="shared" ca="1" si="344"/>
        <v>0</v>
      </c>
      <c r="AM208" s="7">
        <f t="shared" ca="1" si="344"/>
        <v>0</v>
      </c>
    </row>
    <row r="209" spans="1:39" x14ac:dyDescent="0.2">
      <c r="A209" s="3" t="s">
        <v>36</v>
      </c>
      <c r="C209" s="7">
        <f ca="1">-C202+SUM(C205:C208)</f>
        <v>0</v>
      </c>
      <c r="D209" s="7">
        <f t="shared" ref="D209" ca="1" si="345">-D202+SUM(D205:D208)</f>
        <v>0</v>
      </c>
      <c r="E209" s="7">
        <f t="shared" ref="E209:AM209" ca="1" si="346">-E202+SUM(E205:E208)</f>
        <v>0</v>
      </c>
      <c r="F209" s="7">
        <f t="shared" ca="1" si="346"/>
        <v>0</v>
      </c>
      <c r="G209" s="7">
        <f t="shared" ca="1" si="346"/>
        <v>0</v>
      </c>
      <c r="H209" s="7">
        <f t="shared" ca="1" si="346"/>
        <v>0</v>
      </c>
      <c r="I209" s="7">
        <f t="shared" ca="1" si="346"/>
        <v>0</v>
      </c>
      <c r="J209" s="7">
        <f t="shared" ca="1" si="346"/>
        <v>0</v>
      </c>
      <c r="K209" s="7">
        <f t="shared" ca="1" si="346"/>
        <v>0</v>
      </c>
      <c r="L209" s="7">
        <f t="shared" ca="1" si="346"/>
        <v>0</v>
      </c>
      <c r="M209" s="7">
        <f t="shared" ca="1" si="346"/>
        <v>0</v>
      </c>
      <c r="N209" s="7">
        <f t="shared" ca="1" si="346"/>
        <v>0</v>
      </c>
      <c r="O209" s="7">
        <f t="shared" ca="1" si="346"/>
        <v>0</v>
      </c>
      <c r="P209" s="7">
        <f t="shared" ca="1" si="346"/>
        <v>0</v>
      </c>
      <c r="Q209" s="7">
        <f t="shared" ca="1" si="346"/>
        <v>0</v>
      </c>
      <c r="R209" s="7">
        <f t="shared" ca="1" si="346"/>
        <v>0</v>
      </c>
      <c r="S209" s="7">
        <f t="shared" ca="1" si="346"/>
        <v>0</v>
      </c>
      <c r="T209" s="7">
        <f t="shared" ca="1" si="346"/>
        <v>0</v>
      </c>
      <c r="U209" s="7">
        <f t="shared" ca="1" si="346"/>
        <v>0</v>
      </c>
      <c r="V209" s="7">
        <f t="shared" ca="1" si="346"/>
        <v>0</v>
      </c>
      <c r="W209" s="7">
        <f t="shared" ca="1" si="346"/>
        <v>0</v>
      </c>
      <c r="X209" s="7">
        <f t="shared" ca="1" si="346"/>
        <v>0</v>
      </c>
      <c r="Y209" s="7">
        <f t="shared" ca="1" si="346"/>
        <v>0</v>
      </c>
      <c r="Z209" s="7">
        <f t="shared" ca="1" si="346"/>
        <v>0</v>
      </c>
      <c r="AA209" s="7">
        <f t="shared" ca="1" si="346"/>
        <v>0</v>
      </c>
      <c r="AB209" s="7">
        <f t="shared" ca="1" si="346"/>
        <v>0</v>
      </c>
      <c r="AC209" s="7">
        <f t="shared" ca="1" si="346"/>
        <v>0</v>
      </c>
      <c r="AD209" s="7">
        <f t="shared" ca="1" si="346"/>
        <v>0</v>
      </c>
      <c r="AE209" s="7">
        <f t="shared" ca="1" si="346"/>
        <v>0</v>
      </c>
      <c r="AF209" s="7">
        <f t="shared" ca="1" si="346"/>
        <v>0</v>
      </c>
      <c r="AG209" s="7">
        <f t="shared" ca="1" si="346"/>
        <v>0</v>
      </c>
      <c r="AH209" s="7">
        <f t="shared" ca="1" si="346"/>
        <v>0</v>
      </c>
      <c r="AI209" s="7">
        <f t="shared" ca="1" si="346"/>
        <v>0</v>
      </c>
      <c r="AJ209" s="7">
        <f t="shared" ca="1" si="346"/>
        <v>0</v>
      </c>
      <c r="AK209" s="7">
        <f t="shared" ca="1" si="346"/>
        <v>0</v>
      </c>
      <c r="AL209" s="7">
        <f t="shared" ca="1" si="346"/>
        <v>0</v>
      </c>
      <c r="AM209" s="7">
        <f t="shared" ca="1" si="346"/>
        <v>0</v>
      </c>
    </row>
    <row r="210" spans="1:39" x14ac:dyDescent="0.2">
      <c r="A210" s="3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  <c r="AG210" s="7"/>
      <c r="AH210" s="7"/>
      <c r="AI210" s="7"/>
      <c r="AJ210" s="7"/>
      <c r="AK210" s="7"/>
      <c r="AL210" s="7"/>
      <c r="AM210" s="7"/>
    </row>
    <row r="211" spans="1:39" x14ac:dyDescent="0.2">
      <c r="A211" s="3" t="s">
        <v>70</v>
      </c>
      <c r="C211" s="7">
        <f ca="1">C197+SUM($C209:C209)</f>
        <v>12919.0625</v>
      </c>
      <c r="D211" s="7">
        <f ca="1">D197+SUM($C209:D209)</f>
        <v>22490.535937499997</v>
      </c>
      <c r="E211" s="7">
        <f ca="1">E197+SUM($C209:E209)</f>
        <v>38207.499804687497</v>
      </c>
      <c r="F211" s="7">
        <f ca="1">F197+SUM($C209:F209)</f>
        <v>35714.080452231734</v>
      </c>
      <c r="G211" s="7">
        <f ca="1">G197+SUM($C209:G209)</f>
        <v>229276.11396248138</v>
      </c>
      <c r="H211" s="7">
        <f ca="1">H197+SUM($C209:H209)</f>
        <v>271025.81800930644</v>
      </c>
      <c r="I211" s="7">
        <f ca="1">I197+SUM($C209:I209)</f>
        <v>332892.09672247234</v>
      </c>
      <c r="J211" s="7">
        <f ca="1">J197+SUM($C209:J209)</f>
        <v>399181.31879998074</v>
      </c>
      <c r="K211" s="7">
        <f ca="1">K197+SUM($C209:K209)</f>
        <v>452080.69175229734</v>
      </c>
      <c r="L211" s="7">
        <f ca="1">L197+SUM($C209:L209)</f>
        <v>591897.59165074176</v>
      </c>
      <c r="M211" s="7">
        <f ca="1">M197+SUM($C209:M209)</f>
        <v>643438.66125641076</v>
      </c>
      <c r="N211" s="7">
        <f ca="1">N197+SUM($C209:N209)</f>
        <v>748500.49246398674</v>
      </c>
      <c r="O211" s="7">
        <f ca="1">O197+SUM($C209:O209)</f>
        <v>859267.05744988273</v>
      </c>
      <c r="P211" s="7">
        <f ca="1">P197+SUM($C209:P209)</f>
        <v>975981.2911249469</v>
      </c>
      <c r="Q211" s="7">
        <f ca="1">Q197+SUM($C209:Q209)</f>
        <v>1098895.4105429514</v>
      </c>
      <c r="R211" s="7">
        <f ca="1">R197+SUM($C209:R209)</f>
        <v>1228271.248199099</v>
      </c>
      <c r="S211" s="7">
        <f ca="1">S197+SUM($C209:S209)</f>
        <v>1364380.5968228865</v>
      </c>
      <c r="T211" s="7">
        <f ca="1">T197+SUM($C209:T209)</f>
        <v>1402527.6236677105</v>
      </c>
      <c r="U211" s="7">
        <f ca="1">U197+SUM($C209:U209)</f>
        <v>1449854.2259580824</v>
      </c>
      <c r="V211" s="7">
        <f ca="1">V197+SUM($C209:V209)</f>
        <v>1498907.5815076504</v>
      </c>
      <c r="W211" s="7">
        <f ca="1">W197+SUM($C209:W209)</f>
        <v>1549752.4964402271</v>
      </c>
      <c r="X211" s="7">
        <f ca="1">X197+SUM($C209:X209)</f>
        <v>1602456.179392647</v>
      </c>
      <c r="Y211" s="7">
        <f ca="1">Y197+SUM($C209:Y209)</f>
        <v>1636171.2358988209</v>
      </c>
      <c r="Z211" s="7">
        <f ca="1">Z197+SUM($C209:Z209)</f>
        <v>1670841.1811310996</v>
      </c>
      <c r="AA211" s="7">
        <f ca="1">AA197+SUM($C209:AA209)</f>
        <v>1706501.7452458595</v>
      </c>
      <c r="AB211" s="7">
        <f ca="1">AB197+SUM($C209:AB209)</f>
        <v>1743190.1198307537</v>
      </c>
      <c r="AC211" s="7">
        <f ca="1">AC197+SUM($C209:AC209)</f>
        <v>1780945.016796795</v>
      </c>
      <c r="AD211" s="7">
        <f ca="1">AD197+SUM($C209:AD209)</f>
        <v>1819806.7295462058</v>
      </c>
      <c r="AE211" s="7">
        <f ca="1">AE197+SUM($C209:AE209)</f>
        <v>1869924.4525328081</v>
      </c>
      <c r="AF211" s="7">
        <f ca="1">AF197+SUM($C209:AF209)</f>
        <v>1921739.9419416173</v>
      </c>
      <c r="AG211" s="7">
        <f ca="1">AG197+SUM($C209:AG209)</f>
        <v>1975317.5778012427</v>
      </c>
      <c r="AH211" s="7">
        <f ca="1">AH197+SUM($C209:AH209)</f>
        <v>2030724.2224962406</v>
      </c>
      <c r="AI211" s="7">
        <f ca="1">AI197+SUM($C209:AI209)</f>
        <v>2088029.314381151</v>
      </c>
      <c r="AJ211" s="7">
        <f ca="1">AJ197+SUM($C209:AJ209)</f>
        <v>2147304.9648157731</v>
      </c>
      <c r="AK211" s="7">
        <f ca="1">AK197+SUM($C209:AK209)</f>
        <v>2208626.0587430005</v>
      </c>
      <c r="AL211" s="7">
        <f ca="1">AL197+SUM($C209:AL209)</f>
        <v>2272070.3589347131</v>
      </c>
      <c r="AM211" s="7">
        <f ca="1">AM197+SUM($C209:AM209)</f>
        <v>2337718.614035564</v>
      </c>
    </row>
    <row r="212" spans="1:39" x14ac:dyDescent="0.2">
      <c r="A212" s="3" t="s">
        <v>67</v>
      </c>
      <c r="C212" s="7">
        <f t="shared" ref="C212:AM212" ca="1" si="347">MAX(C211+buffer,0)-MAX(C197+buffer,0)</f>
        <v>0</v>
      </c>
      <c r="D212" s="7">
        <f t="shared" ca="1" si="347"/>
        <v>0</v>
      </c>
      <c r="E212" s="7">
        <f t="shared" ca="1" si="347"/>
        <v>0</v>
      </c>
      <c r="F212" s="7">
        <f t="shared" ca="1" si="347"/>
        <v>0</v>
      </c>
      <c r="G212" s="7">
        <f t="shared" ca="1" si="347"/>
        <v>0</v>
      </c>
      <c r="H212" s="7">
        <f t="shared" ca="1" si="347"/>
        <v>0</v>
      </c>
      <c r="I212" s="7">
        <f t="shared" ca="1" si="347"/>
        <v>0</v>
      </c>
      <c r="J212" s="7">
        <f t="shared" ca="1" si="347"/>
        <v>0</v>
      </c>
      <c r="K212" s="7">
        <f t="shared" ca="1" si="347"/>
        <v>0</v>
      </c>
      <c r="L212" s="7">
        <f t="shared" ca="1" si="347"/>
        <v>0</v>
      </c>
      <c r="M212" s="7">
        <f t="shared" ca="1" si="347"/>
        <v>0</v>
      </c>
      <c r="N212" s="7">
        <f t="shared" ca="1" si="347"/>
        <v>0</v>
      </c>
      <c r="O212" s="7">
        <f t="shared" ca="1" si="347"/>
        <v>0</v>
      </c>
      <c r="P212" s="7">
        <f t="shared" ca="1" si="347"/>
        <v>0</v>
      </c>
      <c r="Q212" s="7">
        <f t="shared" ca="1" si="347"/>
        <v>0</v>
      </c>
      <c r="R212" s="7">
        <f t="shared" ca="1" si="347"/>
        <v>0</v>
      </c>
      <c r="S212" s="7">
        <f t="shared" ca="1" si="347"/>
        <v>0</v>
      </c>
      <c r="T212" s="7">
        <f t="shared" ca="1" si="347"/>
        <v>0</v>
      </c>
      <c r="U212" s="7">
        <f t="shared" ca="1" si="347"/>
        <v>0</v>
      </c>
      <c r="V212" s="7">
        <f t="shared" ca="1" si="347"/>
        <v>0</v>
      </c>
      <c r="W212" s="7">
        <f t="shared" ca="1" si="347"/>
        <v>0</v>
      </c>
      <c r="X212" s="7">
        <f t="shared" ca="1" si="347"/>
        <v>0</v>
      </c>
      <c r="Y212" s="7">
        <f t="shared" ca="1" si="347"/>
        <v>0</v>
      </c>
      <c r="Z212" s="7">
        <f t="shared" ca="1" si="347"/>
        <v>0</v>
      </c>
      <c r="AA212" s="7">
        <f t="shared" ca="1" si="347"/>
        <v>0</v>
      </c>
      <c r="AB212" s="7">
        <f t="shared" ca="1" si="347"/>
        <v>0</v>
      </c>
      <c r="AC212" s="7">
        <f t="shared" ca="1" si="347"/>
        <v>0</v>
      </c>
      <c r="AD212" s="7">
        <f t="shared" ca="1" si="347"/>
        <v>0</v>
      </c>
      <c r="AE212" s="7">
        <f t="shared" ca="1" si="347"/>
        <v>0</v>
      </c>
      <c r="AF212" s="7">
        <f t="shared" ca="1" si="347"/>
        <v>0</v>
      </c>
      <c r="AG212" s="7">
        <f t="shared" ca="1" si="347"/>
        <v>0</v>
      </c>
      <c r="AH212" s="7">
        <f t="shared" ca="1" si="347"/>
        <v>0</v>
      </c>
      <c r="AI212" s="7">
        <f t="shared" ca="1" si="347"/>
        <v>0</v>
      </c>
      <c r="AJ212" s="7">
        <f t="shared" ca="1" si="347"/>
        <v>0</v>
      </c>
      <c r="AK212" s="7">
        <f t="shared" ca="1" si="347"/>
        <v>0</v>
      </c>
      <c r="AL212" s="7">
        <f t="shared" ca="1" si="347"/>
        <v>0</v>
      </c>
      <c r="AM212" s="7">
        <f t="shared" ca="1" si="347"/>
        <v>0</v>
      </c>
    </row>
    <row r="213" spans="1:39" x14ac:dyDescent="0.2">
      <c r="A213" s="3" t="s">
        <v>68</v>
      </c>
      <c r="C213" s="7">
        <f ca="1">C212*Inputs!$B$270</f>
        <v>0</v>
      </c>
      <c r="D213" s="7">
        <f ca="1">D212*Inputs!$B$270</f>
        <v>0</v>
      </c>
      <c r="E213" s="7">
        <f ca="1">E212*Inputs!$B$270</f>
        <v>0</v>
      </c>
      <c r="F213" s="7">
        <f ca="1">F212*Inputs!$B$270</f>
        <v>0</v>
      </c>
      <c r="G213" s="7">
        <f ca="1">G212*Inputs!$B$270</f>
        <v>0</v>
      </c>
      <c r="H213" s="7">
        <f ca="1">H212*Inputs!$B$270</f>
        <v>0</v>
      </c>
      <c r="I213" s="7">
        <f ca="1">I212*Inputs!$B$270</f>
        <v>0</v>
      </c>
      <c r="J213" s="7">
        <f ca="1">J212*Inputs!$B$270</f>
        <v>0</v>
      </c>
      <c r="K213" s="7">
        <f ca="1">K212*Inputs!$B$270</f>
        <v>0</v>
      </c>
      <c r="L213" s="7">
        <f ca="1">L212*Inputs!$B$270</f>
        <v>0</v>
      </c>
      <c r="M213" s="7">
        <f ca="1">M212*Inputs!$B$270</f>
        <v>0</v>
      </c>
      <c r="N213" s="7">
        <f ca="1">N212*Inputs!$B$270</f>
        <v>0</v>
      </c>
      <c r="O213" s="7">
        <f ca="1">O212*Inputs!$B$270</f>
        <v>0</v>
      </c>
      <c r="P213" s="7">
        <f ca="1">P212*Inputs!$B$270</f>
        <v>0</v>
      </c>
      <c r="Q213" s="7">
        <f ca="1">Q212*Inputs!$B$270</f>
        <v>0</v>
      </c>
      <c r="R213" s="7">
        <f ca="1">R212*Inputs!$B$270</f>
        <v>0</v>
      </c>
      <c r="S213" s="7">
        <f ca="1">S212*Inputs!$B$270</f>
        <v>0</v>
      </c>
      <c r="T213" s="7">
        <f ca="1">T212*Inputs!$B$270</f>
        <v>0</v>
      </c>
      <c r="U213" s="7">
        <f ca="1">U212*Inputs!$B$270</f>
        <v>0</v>
      </c>
      <c r="V213" s="7">
        <f ca="1">V212*Inputs!$B$270</f>
        <v>0</v>
      </c>
      <c r="W213" s="7">
        <f ca="1">W212*Inputs!$B$270</f>
        <v>0</v>
      </c>
      <c r="X213" s="7">
        <f ca="1">X212*Inputs!$B$270</f>
        <v>0</v>
      </c>
      <c r="Y213" s="7">
        <f ca="1">Y212*Inputs!$B$270</f>
        <v>0</v>
      </c>
      <c r="Z213" s="7">
        <f ca="1">Z212*Inputs!$B$270</f>
        <v>0</v>
      </c>
      <c r="AA213" s="7">
        <f ca="1">AA212*Inputs!$B$270</f>
        <v>0</v>
      </c>
      <c r="AB213" s="7">
        <f ca="1">AB212*Inputs!$B$270</f>
        <v>0</v>
      </c>
      <c r="AC213" s="7">
        <f ca="1">AC212*Inputs!$B$270</f>
        <v>0</v>
      </c>
      <c r="AD213" s="7">
        <f ca="1">AD212*Inputs!$B$270</f>
        <v>0</v>
      </c>
      <c r="AE213" s="7">
        <f ca="1">AE212*Inputs!$B$270</f>
        <v>0</v>
      </c>
      <c r="AF213" s="7">
        <f ca="1">AF212*Inputs!$B$270</f>
        <v>0</v>
      </c>
      <c r="AG213" s="7">
        <f ca="1">AG212*Inputs!$B$270</f>
        <v>0</v>
      </c>
      <c r="AH213" s="7">
        <f ca="1">AH212*Inputs!$B$270</f>
        <v>0</v>
      </c>
      <c r="AI213" s="7">
        <f ca="1">AI212*Inputs!$B$270</f>
        <v>0</v>
      </c>
      <c r="AJ213" s="7">
        <f ca="1">AJ212*Inputs!$B$270</f>
        <v>0</v>
      </c>
      <c r="AK213" s="7">
        <f ca="1">AK212*Inputs!$B$270</f>
        <v>0</v>
      </c>
      <c r="AL213" s="7">
        <f ca="1">AL212*Inputs!$B$270</f>
        <v>0</v>
      </c>
      <c r="AM213" s="7">
        <f ca="1">AM212*Inputs!$B$270</f>
        <v>0</v>
      </c>
    </row>
    <row r="214" spans="1:39" x14ac:dyDescent="0.2">
      <c r="A214" s="3" t="s">
        <v>149</v>
      </c>
      <c r="C214" s="7">
        <f ca="1">C211+SUM($C213:C213)</f>
        <v>12919.0625</v>
      </c>
      <c r="D214" s="7">
        <f ca="1">D211+SUM($C213:D213)</f>
        <v>22490.535937499997</v>
      </c>
      <c r="E214" s="7">
        <f ca="1">E211+SUM($C213:E213)</f>
        <v>38207.499804687497</v>
      </c>
      <c r="F214" s="7">
        <f ca="1">F211+SUM($C213:F213)</f>
        <v>35714.080452231734</v>
      </c>
      <c r="G214" s="7">
        <f ca="1">G211+SUM($C213:G213)</f>
        <v>229276.11396248138</v>
      </c>
      <c r="H214" s="7">
        <f ca="1">H211+SUM($C213:H213)</f>
        <v>271025.81800930644</v>
      </c>
      <c r="I214" s="7">
        <f ca="1">I211+SUM($C213:I213)</f>
        <v>332892.09672247234</v>
      </c>
      <c r="J214" s="7">
        <f ca="1">J211+SUM($C213:J213)</f>
        <v>399181.31879998074</v>
      </c>
      <c r="K214" s="7">
        <f ca="1">K211+SUM($C213:K213)</f>
        <v>452080.69175229734</v>
      </c>
      <c r="L214" s="7">
        <f ca="1">L211+SUM($C213:L213)</f>
        <v>591897.59165074176</v>
      </c>
      <c r="M214" s="7">
        <f ca="1">M211+SUM($C213:M213)</f>
        <v>643438.66125641076</v>
      </c>
      <c r="N214" s="7">
        <f ca="1">N211+SUM($C213:N213)</f>
        <v>748500.49246398674</v>
      </c>
      <c r="O214" s="7">
        <f ca="1">O211+SUM($C213:O213)</f>
        <v>859267.05744988273</v>
      </c>
      <c r="P214" s="7">
        <f ca="1">P211+SUM($C213:P213)</f>
        <v>975981.2911249469</v>
      </c>
      <c r="Q214" s="7">
        <f ca="1">Q211+SUM($C213:Q213)</f>
        <v>1098895.4105429514</v>
      </c>
      <c r="R214" s="7">
        <f ca="1">R211+SUM($C213:R213)</f>
        <v>1228271.248199099</v>
      </c>
      <c r="S214" s="7">
        <f ca="1">S211+SUM($C213:S213)</f>
        <v>1364380.5968228865</v>
      </c>
      <c r="T214" s="7">
        <f ca="1">T211+SUM($C213:T213)</f>
        <v>1402527.6236677105</v>
      </c>
      <c r="U214" s="7">
        <f ca="1">U211+SUM($C213:U213)</f>
        <v>1449854.2259580824</v>
      </c>
      <c r="V214" s="7">
        <f ca="1">V211+SUM($C213:V213)</f>
        <v>1498907.5815076504</v>
      </c>
      <c r="W214" s="7">
        <f ca="1">W211+SUM($C213:W213)</f>
        <v>1549752.4964402271</v>
      </c>
      <c r="X214" s="7">
        <f ca="1">X211+SUM($C213:X213)</f>
        <v>1602456.179392647</v>
      </c>
      <c r="Y214" s="7">
        <f ca="1">Y211+SUM($C213:Y213)</f>
        <v>1636171.2358988209</v>
      </c>
      <c r="Z214" s="7">
        <f ca="1">Z211+SUM($C213:Z213)</f>
        <v>1670841.1811310996</v>
      </c>
      <c r="AA214" s="7">
        <f ca="1">AA211+SUM($C213:AA213)</f>
        <v>1706501.7452458595</v>
      </c>
      <c r="AB214" s="7">
        <f ca="1">AB211+SUM($C213:AB213)</f>
        <v>1743190.1198307537</v>
      </c>
      <c r="AC214" s="7">
        <f ca="1">AC211+SUM($C213:AC213)</f>
        <v>1780945.016796795</v>
      </c>
      <c r="AD214" s="7">
        <f ca="1">AD211+SUM($C213:AD213)</f>
        <v>1819806.7295462058</v>
      </c>
      <c r="AE214" s="7">
        <f ca="1">AE211+SUM($C213:AE213)</f>
        <v>1869924.4525328081</v>
      </c>
      <c r="AF214" s="7">
        <f ca="1">AF211+SUM($C213:AF213)</f>
        <v>1921739.9419416173</v>
      </c>
      <c r="AG214" s="7">
        <f ca="1">AG211+SUM($C213:AG213)</f>
        <v>1975317.5778012427</v>
      </c>
      <c r="AH214" s="7">
        <f ca="1">AH211+SUM($C213:AH213)</f>
        <v>2030724.2224962406</v>
      </c>
      <c r="AI214" s="7">
        <f ca="1">AI211+SUM($C213:AI213)</f>
        <v>2088029.314381151</v>
      </c>
      <c r="AJ214" s="7">
        <f ca="1">AJ211+SUM($C213:AJ213)</f>
        <v>2147304.9648157731</v>
      </c>
      <c r="AK214" s="7">
        <f ca="1">AK211+SUM($C213:AK213)</f>
        <v>2208626.0587430005</v>
      </c>
      <c r="AL214" s="7">
        <f ca="1">AL211+SUM($C213:AL213)</f>
        <v>2272070.3589347131</v>
      </c>
      <c r="AM214" s="7">
        <f ca="1">AM211+SUM($C213:AM213)</f>
        <v>2337718.614035564</v>
      </c>
    </row>
    <row r="215" spans="1:39" x14ac:dyDescent="0.2">
      <c r="A215" s="3" t="s">
        <v>19</v>
      </c>
      <c r="C215" s="7">
        <f ca="1">IF(C214&lt;0,-C214,0)</f>
        <v>0</v>
      </c>
      <c r="D215" s="7">
        <f ca="1">IF(D214+SUM($C215:C215)&lt;0,-(D214+SUM($C215:C215)),0)</f>
        <v>0</v>
      </c>
      <c r="E215" s="7">
        <f ca="1">IF(E214+SUM($C215:D215)&lt;0,-(E214+SUM($C215:D215)),0)</f>
        <v>0</v>
      </c>
      <c r="F215" s="7">
        <f ca="1">IF(F214+SUM($C215:E215)&lt;0,-(F214+SUM($C215:E215)),0)</f>
        <v>0</v>
      </c>
      <c r="G215" s="7">
        <f ca="1">IF(G214+SUM($C215:F215)&lt;0,-(G214+SUM($C215:F215)),0)</f>
        <v>0</v>
      </c>
      <c r="H215" s="7">
        <f ca="1">IF(H214+SUM($C215:G215)&lt;0,-(H214+SUM($C215:G215)),0)</f>
        <v>0</v>
      </c>
      <c r="I215" s="7">
        <f ca="1">IF(I214+SUM($C215:H215)&lt;0,-(I214+SUM($C215:H215)),0)</f>
        <v>0</v>
      </c>
      <c r="J215" s="7">
        <f ca="1">IF(J214+SUM($C215:I215)&lt;0,-(J214+SUM($C215:I215)),0)</f>
        <v>0</v>
      </c>
      <c r="K215" s="7">
        <f ca="1">IF(K214+SUM($C215:J215)&lt;0,-(K214+SUM($C215:J215)),0)</f>
        <v>0</v>
      </c>
      <c r="L215" s="7">
        <f ca="1">IF(L214+SUM($C215:K215)&lt;0,-(L214+SUM($C215:K215)),0)</f>
        <v>0</v>
      </c>
      <c r="M215" s="7">
        <f ca="1">IF(M214+SUM($C215:L215)&lt;0,-(M214+SUM($C215:L215)),0)</f>
        <v>0</v>
      </c>
      <c r="N215" s="7">
        <f ca="1">IF(N214+SUM($C215:M215)&lt;0,-(N214+SUM($C215:M215)),0)</f>
        <v>0</v>
      </c>
      <c r="O215" s="7">
        <f ca="1">IF(O214+SUM($C215:N215)&lt;0,-(O214+SUM($C215:N215)),0)</f>
        <v>0</v>
      </c>
      <c r="P215" s="7">
        <f ca="1">IF(P214+SUM($C215:O215)&lt;0,-(P214+SUM($C215:O215)),0)</f>
        <v>0</v>
      </c>
      <c r="Q215" s="7">
        <f ca="1">IF(Q214+SUM($C215:P215)&lt;0,-(Q214+SUM($C215:P215)),0)</f>
        <v>0</v>
      </c>
      <c r="R215" s="7">
        <f ca="1">IF(R214+SUM($C215:Q215)&lt;0,-(R214+SUM($C215:Q215)),0)</f>
        <v>0</v>
      </c>
      <c r="S215" s="7">
        <f ca="1">IF(S214+SUM($C215:R215)&lt;0,-(S214+SUM($C215:R215)),0)</f>
        <v>0</v>
      </c>
      <c r="T215" s="7">
        <f ca="1">IF(T214+SUM($C215:S215)&lt;0,-(T214+SUM($C215:S215)),0)</f>
        <v>0</v>
      </c>
      <c r="U215" s="7">
        <f ca="1">IF(U214+SUM($C215:T215)&lt;0,-(U214+SUM($C215:T215)),0)</f>
        <v>0</v>
      </c>
      <c r="V215" s="7">
        <f ca="1">IF(V214+SUM($C215:U215)&lt;0,-(V214+SUM($C215:U215)),0)</f>
        <v>0</v>
      </c>
      <c r="W215" s="7">
        <f ca="1">IF(W214+SUM($C215:V215)&lt;0,-(W214+SUM($C215:V215)),0)</f>
        <v>0</v>
      </c>
      <c r="X215" s="7">
        <f ca="1">IF(X214+SUM($C215:W215)&lt;0,-(X214+SUM($C215:W215)),0)</f>
        <v>0</v>
      </c>
      <c r="Y215" s="7">
        <f ca="1">IF(Y214+SUM($C215:X215)&lt;0,-(Y214+SUM($C215:X215)),0)</f>
        <v>0</v>
      </c>
      <c r="Z215" s="7">
        <f ca="1">IF(Z214+SUM($C215:Y215)&lt;0,-(Z214+SUM($C215:Y215)),0)</f>
        <v>0</v>
      </c>
      <c r="AA215" s="7">
        <f ca="1">IF(AA214+SUM($C215:Z215)&lt;0,-(AA214+SUM($C215:Z215)),0)</f>
        <v>0</v>
      </c>
      <c r="AB215" s="7">
        <f ca="1">IF(AB214+SUM($C215:AA215)&lt;0,-(AB214+SUM($C215:AA215)),0)</f>
        <v>0</v>
      </c>
      <c r="AC215" s="7">
        <f ca="1">IF(AC214+SUM($C215:AB215)&lt;0,-(AC214+SUM($C215:AB215)),0)</f>
        <v>0</v>
      </c>
      <c r="AD215" s="7">
        <f ca="1">IF(AD214+SUM($C215:AC215)&lt;0,-(AD214+SUM($C215:AC215)),0)</f>
        <v>0</v>
      </c>
      <c r="AE215" s="7">
        <f ca="1">IF(AE214+SUM($C215:AD215)&lt;0,-(AE214+SUM($C215:AD215)),0)</f>
        <v>0</v>
      </c>
      <c r="AF215" s="7">
        <f ca="1">IF(AF214+SUM($C215:AE215)&lt;0,-(AF214+SUM($C215:AE215)),0)</f>
        <v>0</v>
      </c>
      <c r="AG215" s="7">
        <f ca="1">IF(AG214+SUM($C215:AF215)&lt;0,-(AG214+SUM($C215:AF215)),0)</f>
        <v>0</v>
      </c>
      <c r="AH215" s="7">
        <f ca="1">IF(AH214+SUM($C215:AG215)&lt;0,-(AH214+SUM($C215:AG215)),0)</f>
        <v>0</v>
      </c>
      <c r="AI215" s="7">
        <f ca="1">IF(AI214+SUM($C215:AH215)&lt;0,-(AI214+SUM($C215:AH215)),0)</f>
        <v>0</v>
      </c>
      <c r="AJ215" s="7">
        <f ca="1">IF(AJ214+SUM($C215:AI215)&lt;0,-(AJ214+SUM($C215:AI215)),0)</f>
        <v>0</v>
      </c>
      <c r="AK215" s="7">
        <f ca="1">IF(AK214+SUM($C215:AJ215)&lt;0,-(AK214+SUM($C215:AJ215)),0)</f>
        <v>0</v>
      </c>
      <c r="AL215" s="7">
        <f ca="1">IF(AL214+SUM($C215:AK215)&lt;0,-(AL214+SUM($C215:AK215)),0)</f>
        <v>0</v>
      </c>
      <c r="AM215" s="7">
        <f ca="1">IF(AM214+SUM($C215:AL215)&lt;0,-(AM214+SUM($C215:AL215)),0)</f>
        <v>0</v>
      </c>
    </row>
    <row r="216" spans="1:39" x14ac:dyDescent="0.2"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  <c r="AG216" s="7"/>
      <c r="AH216" s="7"/>
      <c r="AI216" s="7"/>
      <c r="AJ216" s="7"/>
      <c r="AK216" s="7"/>
      <c r="AL216" s="7"/>
      <c r="AM216" s="7"/>
    </row>
    <row r="217" spans="1:39" x14ac:dyDescent="0.2">
      <c r="A217" s="24" t="str">
        <f>IF(Inputs!$B$290=6,IFERROR(_xlfn.XLOOKUP($B217,Inputs!$B$291:$B$300,Inputs!$A$291:$A$300,,0,1),""),IFERROR(_xlfn.XLOOKUP($B217,Inputs!$C$291:$C$300,Inputs!$A$291:$A$300,,0,1),""))</f>
        <v>Gzira</v>
      </c>
      <c r="B217" s="26">
        <v>7</v>
      </c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  <c r="AD217" s="7"/>
      <c r="AE217" s="7"/>
      <c r="AF217" s="7"/>
      <c r="AG217" s="7"/>
      <c r="AH217" s="7"/>
      <c r="AI217" s="7"/>
      <c r="AJ217" s="7"/>
      <c r="AK217" s="7"/>
      <c r="AL217" s="7"/>
      <c r="AM217" s="7"/>
    </row>
    <row r="218" spans="1:39" x14ac:dyDescent="0.2">
      <c r="A218" s="3" t="s">
        <v>21</v>
      </c>
      <c r="C218" s="7">
        <f ca="1">IFERROR(VLOOKUP($A217,$A$68:$H$97,C$1+2,FALSE),0)</f>
        <v>153362.49933442406</v>
      </c>
      <c r="D218" s="7">
        <f ca="1">C221</f>
        <v>153362.49933442406</v>
      </c>
      <c r="E218" s="7">
        <f t="shared" ref="E218" ca="1" si="348">D221</f>
        <v>157963.3743144568</v>
      </c>
      <c r="F218" s="7">
        <f t="shared" ref="F218" ca="1" si="349">E221</f>
        <v>162702.27554389052</v>
      </c>
      <c r="G218" s="7">
        <f t="shared" ref="G218" ca="1" si="350">F221</f>
        <v>167583.34381020724</v>
      </c>
      <c r="H218" s="7">
        <f t="shared" ref="H218" ca="1" si="351">G221</f>
        <v>172610.84412451345</v>
      </c>
      <c r="I218" s="7">
        <f t="shared" ref="I218" ca="1" si="352">H221</f>
        <v>177789.16944824884</v>
      </c>
      <c r="J218" s="7">
        <f t="shared" ref="J218" ca="1" si="353">I221</f>
        <v>183122.84453169629</v>
      </c>
      <c r="K218" s="7">
        <f t="shared" ref="K218" ca="1" si="354">J221</f>
        <v>188616.52986764719</v>
      </c>
      <c r="L218" s="7">
        <f t="shared" ref="L218" ca="1" si="355">K221</f>
        <v>194275.02576367659</v>
      </c>
      <c r="M218" s="7">
        <f t="shared" ref="M218" ca="1" si="356">L221</f>
        <v>200103.2765365869</v>
      </c>
      <c r="N218" s="7">
        <f t="shared" ref="N218" ca="1" si="357">M221</f>
        <v>206106.37483268449</v>
      </c>
      <c r="O218" s="7">
        <f t="shared" ref="O218" ca="1" si="358">N221</f>
        <v>212289.56607766502</v>
      </c>
      <c r="P218" s="7">
        <f t="shared" ref="P218" ca="1" si="359">O221</f>
        <v>218658.25305999498</v>
      </c>
      <c r="Q218" s="7">
        <f t="shared" ref="Q218" ca="1" si="360">P221</f>
        <v>225218.00065179483</v>
      </c>
      <c r="R218" s="7">
        <f t="shared" ref="R218" ca="1" si="361">Q221</f>
        <v>231974.54067134869</v>
      </c>
      <c r="S218" s="7">
        <f t="shared" ref="S218" ca="1" si="362">R221</f>
        <v>238933.77689148913</v>
      </c>
      <c r="T218" s="7">
        <f t="shared" ref="T218" ca="1" si="363">S221</f>
        <v>246101.79019823382</v>
      </c>
      <c r="U218" s="7">
        <f t="shared" ref="U218" ca="1" si="364">T221</f>
        <v>253484.84390418083</v>
      </c>
      <c r="V218" s="7">
        <f t="shared" ref="V218" ca="1" si="365">U221</f>
        <v>261089.38922130625</v>
      </c>
      <c r="W218" s="7">
        <f t="shared" ref="W218" ca="1" si="366">V221</f>
        <v>268922.07089794544</v>
      </c>
      <c r="X218" s="7">
        <f t="shared" ref="X218" ca="1" si="367">W221</f>
        <v>276989.73302488378</v>
      </c>
      <c r="Y218" s="7">
        <f t="shared" ref="Y218" ca="1" si="368">X221</f>
        <v>285299.42501563032</v>
      </c>
      <c r="Z218" s="7">
        <f t="shared" ref="Z218" ca="1" si="369">Y221</f>
        <v>293858.4077660992</v>
      </c>
      <c r="AA218" s="7">
        <f t="shared" ref="AA218" ca="1" si="370">Z221</f>
        <v>302674.15999908216</v>
      </c>
      <c r="AB218" s="7">
        <f t="shared" ref="AB218" ca="1" si="371">AA221</f>
        <v>311754.38479905459</v>
      </c>
      <c r="AC218" s="7">
        <f t="shared" ref="AC218" ca="1" si="372">AB221</f>
        <v>321107.01634302625</v>
      </c>
      <c r="AD218" s="7">
        <f t="shared" ref="AD218" ca="1" si="373">AC221</f>
        <v>330740.22683331702</v>
      </c>
      <c r="AE218" s="7">
        <f t="shared" ref="AE218" ca="1" si="374">AD221</f>
        <v>340662.43363831652</v>
      </c>
      <c r="AF218" s="7">
        <f t="shared" ref="AF218" ca="1" si="375">AE221</f>
        <v>350882.30664746603</v>
      </c>
      <c r="AG218" s="7">
        <f t="shared" ref="AG218" ca="1" si="376">AF221</f>
        <v>361408.77584689</v>
      </c>
      <c r="AH218" s="7">
        <f t="shared" ref="AH218" ca="1" si="377">AG221</f>
        <v>372251.03912229667</v>
      </c>
      <c r="AI218" s="7">
        <f t="shared" ref="AI218" ca="1" si="378">AH221</f>
        <v>383418.57029596559</v>
      </c>
      <c r="AJ218" s="7">
        <f t="shared" ref="AJ218" ca="1" si="379">AI221</f>
        <v>394921.12740484456</v>
      </c>
      <c r="AK218" s="7">
        <f t="shared" ref="AK218" ca="1" si="380">AJ221</f>
        <v>406768.76122698991</v>
      </c>
      <c r="AL218" s="7">
        <f t="shared" ref="AL218" ca="1" si="381">AK221</f>
        <v>418971.82406379964</v>
      </c>
      <c r="AM218" s="7">
        <f t="shared" ref="AM218" ca="1" si="382">AL221</f>
        <v>431540.97878571361</v>
      </c>
    </row>
    <row r="219" spans="1:39" x14ac:dyDescent="0.2">
      <c r="A219" s="3" t="s">
        <v>22</v>
      </c>
      <c r="C219" s="7">
        <f ca="1">-IF(D215&gt;0,C218,0)</f>
        <v>0</v>
      </c>
      <c r="D219" s="7">
        <f ca="1">-IF(E215&gt;0,D218,0)</f>
        <v>0</v>
      </c>
      <c r="E219" s="7">
        <f ca="1">-IF(F215&gt;0,E218,0)</f>
        <v>0</v>
      </c>
      <c r="F219" s="7">
        <f ca="1">-IF(G215&gt;0,F218,0)</f>
        <v>0</v>
      </c>
      <c r="G219" s="7">
        <f t="shared" ref="G219" ca="1" si="383">-IF(H215&gt;0,G218,0)</f>
        <v>0</v>
      </c>
      <c r="H219" s="7">
        <f t="shared" ref="H219" ca="1" si="384">-IF(I215&gt;0,H218,0)</f>
        <v>0</v>
      </c>
      <c r="I219" s="7">
        <f t="shared" ref="I219" ca="1" si="385">-IF(J215&gt;0,I218,0)</f>
        <v>0</v>
      </c>
      <c r="J219" s="7">
        <f t="shared" ref="J219" ca="1" si="386">-IF(K215&gt;0,J218,0)</f>
        <v>0</v>
      </c>
      <c r="K219" s="7">
        <f t="shared" ref="K219" ca="1" si="387">-IF(L215&gt;0,K218,0)</f>
        <v>0</v>
      </c>
      <c r="L219" s="7">
        <f t="shared" ref="L219" ca="1" si="388">-IF(M215&gt;0,L218,0)</f>
        <v>0</v>
      </c>
      <c r="M219" s="7">
        <f t="shared" ref="M219" ca="1" si="389">-IF(N215&gt;0,M218,0)</f>
        <v>0</v>
      </c>
      <c r="N219" s="7">
        <f t="shared" ref="N219" ca="1" si="390">-IF(O215&gt;0,N218,0)</f>
        <v>0</v>
      </c>
      <c r="O219" s="7">
        <f t="shared" ref="O219" ca="1" si="391">-IF(P215&gt;0,O218,0)</f>
        <v>0</v>
      </c>
      <c r="P219" s="7">
        <f t="shared" ref="P219" ca="1" si="392">-IF(Q215&gt;0,P218,0)</f>
        <v>0</v>
      </c>
      <c r="Q219" s="7">
        <f t="shared" ref="Q219" ca="1" si="393">-IF(R215&gt;0,Q218,0)</f>
        <v>0</v>
      </c>
      <c r="R219" s="7">
        <f t="shared" ref="R219" ca="1" si="394">-IF(S215&gt;0,R218,0)</f>
        <v>0</v>
      </c>
      <c r="S219" s="7">
        <f t="shared" ref="S219" ca="1" si="395">-IF(T215&gt;0,S218,0)</f>
        <v>0</v>
      </c>
      <c r="T219" s="7">
        <f t="shared" ref="T219" ca="1" si="396">-IF(U215&gt;0,T218,0)</f>
        <v>0</v>
      </c>
      <c r="U219" s="7">
        <f t="shared" ref="U219" ca="1" si="397">-IF(V215&gt;0,U218,0)</f>
        <v>0</v>
      </c>
      <c r="V219" s="7">
        <f t="shared" ref="V219" ca="1" si="398">-IF(W215&gt;0,V218,0)</f>
        <v>0</v>
      </c>
      <c r="W219" s="7">
        <f t="shared" ref="W219" ca="1" si="399">-IF(X215&gt;0,W218,0)</f>
        <v>0</v>
      </c>
      <c r="X219" s="7">
        <f t="shared" ref="X219" ca="1" si="400">-IF(Y215&gt;0,X218,0)</f>
        <v>0</v>
      </c>
      <c r="Y219" s="7">
        <f t="shared" ref="Y219" ca="1" si="401">-IF(Z215&gt;0,Y218,0)</f>
        <v>0</v>
      </c>
      <c r="Z219" s="7">
        <f t="shared" ref="Z219" ca="1" si="402">-IF(AA215&gt;0,Z218,0)</f>
        <v>0</v>
      </c>
      <c r="AA219" s="7">
        <f t="shared" ref="AA219" ca="1" si="403">-IF(AB215&gt;0,AA218,0)</f>
        <v>0</v>
      </c>
      <c r="AB219" s="7">
        <f t="shared" ref="AB219" ca="1" si="404">-IF(AC215&gt;0,AB218,0)</f>
        <v>0</v>
      </c>
      <c r="AC219" s="7">
        <f t="shared" ref="AC219" ca="1" si="405">-IF(AD215&gt;0,AC218,0)</f>
        <v>0</v>
      </c>
      <c r="AD219" s="7">
        <f t="shared" ref="AD219" ca="1" si="406">-IF(AE215&gt;0,AD218,0)</f>
        <v>0</v>
      </c>
      <c r="AE219" s="7">
        <f t="shared" ref="AE219" ca="1" si="407">-IF(AF215&gt;0,AE218,0)</f>
        <v>0</v>
      </c>
      <c r="AF219" s="7">
        <f t="shared" ref="AF219" ca="1" si="408">-IF(AG215&gt;0,AF218,0)</f>
        <v>0</v>
      </c>
      <c r="AG219" s="7">
        <f t="shared" ref="AG219" ca="1" si="409">-IF(AH215&gt;0,AG218,0)</f>
        <v>0</v>
      </c>
      <c r="AH219" s="7">
        <f t="shared" ref="AH219" ca="1" si="410">-IF(AI215&gt;0,AH218,0)</f>
        <v>0</v>
      </c>
      <c r="AI219" s="7">
        <f t="shared" ref="AI219" ca="1" si="411">-IF(AJ215&gt;0,AI218,0)</f>
        <v>0</v>
      </c>
      <c r="AJ219" s="7">
        <f t="shared" ref="AJ219" ca="1" si="412">-IF(AK215&gt;0,AJ218,0)</f>
        <v>0</v>
      </c>
      <c r="AK219" s="7">
        <f t="shared" ref="AK219" ca="1" si="413">-IF(AL215&gt;0,AK218,0)</f>
        <v>0</v>
      </c>
      <c r="AL219" s="7">
        <f t="shared" ref="AL219" ca="1" si="414">-IF(AM215&gt;0,AL218,0)</f>
        <v>0</v>
      </c>
      <c r="AM219" s="7">
        <f t="shared" ref="AM219" si="415">-IF(AN215&gt;0,AM218,0)</f>
        <v>0</v>
      </c>
    </row>
    <row r="220" spans="1:39" x14ac:dyDescent="0.2">
      <c r="A220" s="3" t="s">
        <v>23</v>
      </c>
      <c r="C220" s="7">
        <v>0</v>
      </c>
      <c r="D220" s="7">
        <f t="shared" ref="D220:AM220" ca="1" si="416">SUM(D218:D219)*VLOOKUP($A217,AssVar,2,FALSE)</f>
        <v>4600.8749800327214</v>
      </c>
      <c r="E220" s="7">
        <f t="shared" ca="1" si="416"/>
        <v>4738.9012294337035</v>
      </c>
      <c r="F220" s="7">
        <f t="shared" ca="1" si="416"/>
        <v>4881.0682663167154</v>
      </c>
      <c r="G220" s="7">
        <f t="shared" ca="1" si="416"/>
        <v>5027.5003143062168</v>
      </c>
      <c r="H220" s="7">
        <f t="shared" ca="1" si="416"/>
        <v>5178.3253237354029</v>
      </c>
      <c r="I220" s="7">
        <f t="shared" ca="1" si="416"/>
        <v>5333.6750834474651</v>
      </c>
      <c r="J220" s="7">
        <f t="shared" ca="1" si="416"/>
        <v>5493.6853359508887</v>
      </c>
      <c r="K220" s="7">
        <f t="shared" ca="1" si="416"/>
        <v>5658.4958960294152</v>
      </c>
      <c r="L220" s="7">
        <f t="shared" ca="1" si="416"/>
        <v>5828.2507729102972</v>
      </c>
      <c r="M220" s="7">
        <f t="shared" ca="1" si="416"/>
        <v>6003.0982960976071</v>
      </c>
      <c r="N220" s="7">
        <f t="shared" ca="1" si="416"/>
        <v>6183.191244980535</v>
      </c>
      <c r="O220" s="7">
        <f t="shared" ca="1" si="416"/>
        <v>6368.6869823299503</v>
      </c>
      <c r="P220" s="7">
        <f t="shared" ca="1" si="416"/>
        <v>6559.747591799849</v>
      </c>
      <c r="Q220" s="7">
        <f t="shared" ca="1" si="416"/>
        <v>6756.540019553845</v>
      </c>
      <c r="R220" s="7">
        <f t="shared" ca="1" si="416"/>
        <v>6959.2362201404603</v>
      </c>
      <c r="S220" s="7">
        <f t="shared" ca="1" si="416"/>
        <v>7168.0133067446741</v>
      </c>
      <c r="T220" s="7">
        <f t="shared" ca="1" si="416"/>
        <v>7383.0537059470144</v>
      </c>
      <c r="U220" s="7">
        <f t="shared" ca="1" si="416"/>
        <v>7604.5453171254248</v>
      </c>
      <c r="V220" s="7">
        <f t="shared" ca="1" si="416"/>
        <v>7832.6816766391876</v>
      </c>
      <c r="W220" s="7">
        <f t="shared" ca="1" si="416"/>
        <v>8067.6621269383631</v>
      </c>
      <c r="X220" s="7">
        <f t="shared" ca="1" si="416"/>
        <v>8309.6919907465126</v>
      </c>
      <c r="Y220" s="7">
        <f t="shared" ca="1" si="416"/>
        <v>8558.9827504689092</v>
      </c>
      <c r="Z220" s="7">
        <f t="shared" ca="1" si="416"/>
        <v>8815.7522329829753</v>
      </c>
      <c r="AA220" s="7">
        <f t="shared" ca="1" si="416"/>
        <v>9080.2247999724641</v>
      </c>
      <c r="AB220" s="7">
        <f t="shared" ca="1" si="416"/>
        <v>9352.6315439716382</v>
      </c>
      <c r="AC220" s="7">
        <f t="shared" ca="1" si="416"/>
        <v>9633.2104902907868</v>
      </c>
      <c r="AD220" s="7">
        <f t="shared" ca="1" si="416"/>
        <v>9922.2068049995105</v>
      </c>
      <c r="AE220" s="7">
        <f t="shared" ca="1" si="416"/>
        <v>10219.873009149494</v>
      </c>
      <c r="AF220" s="7">
        <f t="shared" ca="1" si="416"/>
        <v>10526.46919942398</v>
      </c>
      <c r="AG220" s="7">
        <f t="shared" ca="1" si="416"/>
        <v>10842.2632754067</v>
      </c>
      <c r="AH220" s="7">
        <f t="shared" ca="1" si="416"/>
        <v>11167.5311736689</v>
      </c>
      <c r="AI220" s="7">
        <f t="shared" ca="1" si="416"/>
        <v>11502.557108878967</v>
      </c>
      <c r="AJ220" s="7">
        <f t="shared" ca="1" si="416"/>
        <v>11847.633822145337</v>
      </c>
      <c r="AK220" s="7">
        <f t="shared" ca="1" si="416"/>
        <v>12203.062836809697</v>
      </c>
      <c r="AL220" s="7">
        <f t="shared" ca="1" si="416"/>
        <v>12569.154721913988</v>
      </c>
      <c r="AM220" s="7">
        <f t="shared" ca="1" si="416"/>
        <v>12946.229363571409</v>
      </c>
    </row>
    <row r="221" spans="1:39" x14ac:dyDescent="0.2">
      <c r="A221" s="3" t="s">
        <v>24</v>
      </c>
      <c r="C221" s="7">
        <f ca="1">SUM(C218:C220)</f>
        <v>153362.49933442406</v>
      </c>
      <c r="D221" s="7">
        <f t="shared" ref="D221:AM221" ca="1" si="417">SUM(D218:D220)</f>
        <v>157963.3743144568</v>
      </c>
      <c r="E221" s="7">
        <f t="shared" ca="1" si="417"/>
        <v>162702.27554389052</v>
      </c>
      <c r="F221" s="7">
        <f t="shared" ca="1" si="417"/>
        <v>167583.34381020724</v>
      </c>
      <c r="G221" s="7">
        <f t="shared" ca="1" si="417"/>
        <v>172610.84412451345</v>
      </c>
      <c r="H221" s="7">
        <f t="shared" ca="1" si="417"/>
        <v>177789.16944824884</v>
      </c>
      <c r="I221" s="7">
        <f t="shared" ca="1" si="417"/>
        <v>183122.84453169629</v>
      </c>
      <c r="J221" s="7">
        <f t="shared" ca="1" si="417"/>
        <v>188616.52986764719</v>
      </c>
      <c r="K221" s="7">
        <f t="shared" ca="1" si="417"/>
        <v>194275.02576367659</v>
      </c>
      <c r="L221" s="7">
        <f t="shared" ca="1" si="417"/>
        <v>200103.2765365869</v>
      </c>
      <c r="M221" s="7">
        <f t="shared" ca="1" si="417"/>
        <v>206106.37483268449</v>
      </c>
      <c r="N221" s="7">
        <f t="shared" ca="1" si="417"/>
        <v>212289.56607766502</v>
      </c>
      <c r="O221" s="7">
        <f t="shared" ca="1" si="417"/>
        <v>218658.25305999498</v>
      </c>
      <c r="P221" s="7">
        <f t="shared" ca="1" si="417"/>
        <v>225218.00065179483</v>
      </c>
      <c r="Q221" s="7">
        <f t="shared" ca="1" si="417"/>
        <v>231974.54067134869</v>
      </c>
      <c r="R221" s="7">
        <f t="shared" ca="1" si="417"/>
        <v>238933.77689148913</v>
      </c>
      <c r="S221" s="7">
        <f t="shared" ca="1" si="417"/>
        <v>246101.79019823382</v>
      </c>
      <c r="T221" s="7">
        <f t="shared" ca="1" si="417"/>
        <v>253484.84390418083</v>
      </c>
      <c r="U221" s="7">
        <f t="shared" ca="1" si="417"/>
        <v>261089.38922130625</v>
      </c>
      <c r="V221" s="7">
        <f t="shared" ca="1" si="417"/>
        <v>268922.07089794544</v>
      </c>
      <c r="W221" s="7">
        <f t="shared" ca="1" si="417"/>
        <v>276989.73302488378</v>
      </c>
      <c r="X221" s="7">
        <f t="shared" ca="1" si="417"/>
        <v>285299.42501563032</v>
      </c>
      <c r="Y221" s="7">
        <f t="shared" ca="1" si="417"/>
        <v>293858.4077660992</v>
      </c>
      <c r="Z221" s="7">
        <f t="shared" ca="1" si="417"/>
        <v>302674.15999908216</v>
      </c>
      <c r="AA221" s="7">
        <f t="shared" ca="1" si="417"/>
        <v>311754.38479905459</v>
      </c>
      <c r="AB221" s="7">
        <f t="shared" ca="1" si="417"/>
        <v>321107.01634302625</v>
      </c>
      <c r="AC221" s="7">
        <f t="shared" ca="1" si="417"/>
        <v>330740.22683331702</v>
      </c>
      <c r="AD221" s="7">
        <f t="shared" ca="1" si="417"/>
        <v>340662.43363831652</v>
      </c>
      <c r="AE221" s="7">
        <f t="shared" ca="1" si="417"/>
        <v>350882.30664746603</v>
      </c>
      <c r="AF221" s="7">
        <f t="shared" ca="1" si="417"/>
        <v>361408.77584689</v>
      </c>
      <c r="AG221" s="7">
        <f t="shared" ca="1" si="417"/>
        <v>372251.03912229667</v>
      </c>
      <c r="AH221" s="7">
        <f t="shared" ca="1" si="417"/>
        <v>383418.57029596559</v>
      </c>
      <c r="AI221" s="7">
        <f t="shared" ca="1" si="417"/>
        <v>394921.12740484456</v>
      </c>
      <c r="AJ221" s="7">
        <f t="shared" ca="1" si="417"/>
        <v>406768.76122698991</v>
      </c>
      <c r="AK221" s="7">
        <f t="shared" ca="1" si="417"/>
        <v>418971.82406379964</v>
      </c>
      <c r="AL221" s="7">
        <f t="shared" ca="1" si="417"/>
        <v>431540.97878571361</v>
      </c>
      <c r="AM221" s="7">
        <f t="shared" ca="1" si="417"/>
        <v>444487.208149285</v>
      </c>
    </row>
    <row r="222" spans="1:39" x14ac:dyDescent="0.2">
      <c r="A222" s="3" t="s">
        <v>25</v>
      </c>
      <c r="C222" s="7">
        <f t="shared" ref="C222:AM222" ca="1" si="418">C219*VLOOKUP($A217,AssVar,3,FALSE)</f>
        <v>0</v>
      </c>
      <c r="D222" s="7">
        <f t="shared" ca="1" si="418"/>
        <v>0</v>
      </c>
      <c r="E222" s="7">
        <f t="shared" ca="1" si="418"/>
        <v>0</v>
      </c>
      <c r="F222" s="7">
        <f t="shared" ca="1" si="418"/>
        <v>0</v>
      </c>
      <c r="G222" s="7">
        <f t="shared" ca="1" si="418"/>
        <v>0</v>
      </c>
      <c r="H222" s="7">
        <f t="shared" ca="1" si="418"/>
        <v>0</v>
      </c>
      <c r="I222" s="7">
        <f t="shared" ca="1" si="418"/>
        <v>0</v>
      </c>
      <c r="J222" s="7">
        <f t="shared" ca="1" si="418"/>
        <v>0</v>
      </c>
      <c r="K222" s="7">
        <f t="shared" ca="1" si="418"/>
        <v>0</v>
      </c>
      <c r="L222" s="7">
        <f t="shared" ca="1" si="418"/>
        <v>0</v>
      </c>
      <c r="M222" s="7">
        <f t="shared" ca="1" si="418"/>
        <v>0</v>
      </c>
      <c r="N222" s="7">
        <f t="shared" ca="1" si="418"/>
        <v>0</v>
      </c>
      <c r="O222" s="7">
        <f t="shared" ca="1" si="418"/>
        <v>0</v>
      </c>
      <c r="P222" s="7">
        <f t="shared" ca="1" si="418"/>
        <v>0</v>
      </c>
      <c r="Q222" s="7">
        <f t="shared" ca="1" si="418"/>
        <v>0</v>
      </c>
      <c r="R222" s="7">
        <f t="shared" ca="1" si="418"/>
        <v>0</v>
      </c>
      <c r="S222" s="7">
        <f t="shared" ca="1" si="418"/>
        <v>0</v>
      </c>
      <c r="T222" s="7">
        <f t="shared" ca="1" si="418"/>
        <v>0</v>
      </c>
      <c r="U222" s="7">
        <f t="shared" ca="1" si="418"/>
        <v>0</v>
      </c>
      <c r="V222" s="7">
        <f t="shared" ca="1" si="418"/>
        <v>0</v>
      </c>
      <c r="W222" s="7">
        <f t="shared" ca="1" si="418"/>
        <v>0</v>
      </c>
      <c r="X222" s="7">
        <f t="shared" ca="1" si="418"/>
        <v>0</v>
      </c>
      <c r="Y222" s="7">
        <f t="shared" ca="1" si="418"/>
        <v>0</v>
      </c>
      <c r="Z222" s="7">
        <f t="shared" ca="1" si="418"/>
        <v>0</v>
      </c>
      <c r="AA222" s="7">
        <f t="shared" ca="1" si="418"/>
        <v>0</v>
      </c>
      <c r="AB222" s="7">
        <f t="shared" ca="1" si="418"/>
        <v>0</v>
      </c>
      <c r="AC222" s="7">
        <f t="shared" ca="1" si="418"/>
        <v>0</v>
      </c>
      <c r="AD222" s="7">
        <f t="shared" ca="1" si="418"/>
        <v>0</v>
      </c>
      <c r="AE222" s="7">
        <f t="shared" ca="1" si="418"/>
        <v>0</v>
      </c>
      <c r="AF222" s="7">
        <f t="shared" ca="1" si="418"/>
        <v>0</v>
      </c>
      <c r="AG222" s="7">
        <f t="shared" ca="1" si="418"/>
        <v>0</v>
      </c>
      <c r="AH222" s="7">
        <f t="shared" ca="1" si="418"/>
        <v>0</v>
      </c>
      <c r="AI222" s="7">
        <f t="shared" ca="1" si="418"/>
        <v>0</v>
      </c>
      <c r="AJ222" s="7">
        <f t="shared" ca="1" si="418"/>
        <v>0</v>
      </c>
      <c r="AK222" s="7">
        <f t="shared" ca="1" si="418"/>
        <v>0</v>
      </c>
      <c r="AL222" s="7">
        <f t="shared" ca="1" si="418"/>
        <v>0</v>
      </c>
      <c r="AM222" s="7">
        <f t="shared" si="418"/>
        <v>0</v>
      </c>
    </row>
    <row r="223" spans="1:39" x14ac:dyDescent="0.2">
      <c r="A223" s="3" t="s">
        <v>30</v>
      </c>
      <c r="C223" s="7">
        <f t="shared" ref="C223:AM223" ca="1" si="419">IFERROR(-IF(C218=0,VLOOKUP($A217,$8:$12,C$1+2,FALSE),0),0)</f>
        <v>0</v>
      </c>
      <c r="D223" s="7">
        <f t="shared" ca="1" si="419"/>
        <v>0</v>
      </c>
      <c r="E223" s="7">
        <f t="shared" ca="1" si="419"/>
        <v>0</v>
      </c>
      <c r="F223" s="7">
        <f t="shared" ca="1" si="419"/>
        <v>0</v>
      </c>
      <c r="G223" s="7">
        <f t="shared" ca="1" si="419"/>
        <v>0</v>
      </c>
      <c r="H223" s="7">
        <f t="shared" ca="1" si="419"/>
        <v>0</v>
      </c>
      <c r="I223" s="7">
        <f t="shared" ca="1" si="419"/>
        <v>0</v>
      </c>
      <c r="J223" s="7">
        <f t="shared" ca="1" si="419"/>
        <v>0</v>
      </c>
      <c r="K223" s="7">
        <f t="shared" ca="1" si="419"/>
        <v>0</v>
      </c>
      <c r="L223" s="7">
        <f t="shared" ca="1" si="419"/>
        <v>0</v>
      </c>
      <c r="M223" s="7">
        <f t="shared" ca="1" si="419"/>
        <v>0</v>
      </c>
      <c r="N223" s="7">
        <f t="shared" ca="1" si="419"/>
        <v>0</v>
      </c>
      <c r="O223" s="7">
        <f t="shared" ca="1" si="419"/>
        <v>0</v>
      </c>
      <c r="P223" s="7">
        <f t="shared" ca="1" si="419"/>
        <v>0</v>
      </c>
      <c r="Q223" s="7">
        <f t="shared" ca="1" si="419"/>
        <v>0</v>
      </c>
      <c r="R223" s="7">
        <f t="shared" ca="1" si="419"/>
        <v>0</v>
      </c>
      <c r="S223" s="7">
        <f t="shared" ca="1" si="419"/>
        <v>0</v>
      </c>
      <c r="T223" s="7">
        <f t="shared" ca="1" si="419"/>
        <v>0</v>
      </c>
      <c r="U223" s="7">
        <f t="shared" ca="1" si="419"/>
        <v>0</v>
      </c>
      <c r="V223" s="7">
        <f t="shared" ca="1" si="419"/>
        <v>0</v>
      </c>
      <c r="W223" s="7">
        <f t="shared" ca="1" si="419"/>
        <v>0</v>
      </c>
      <c r="X223" s="7">
        <f t="shared" ca="1" si="419"/>
        <v>0</v>
      </c>
      <c r="Y223" s="7">
        <f t="shared" ca="1" si="419"/>
        <v>0</v>
      </c>
      <c r="Z223" s="7">
        <f t="shared" ca="1" si="419"/>
        <v>0</v>
      </c>
      <c r="AA223" s="7">
        <f t="shared" ca="1" si="419"/>
        <v>0</v>
      </c>
      <c r="AB223" s="7">
        <f t="shared" ca="1" si="419"/>
        <v>0</v>
      </c>
      <c r="AC223" s="7">
        <f t="shared" ca="1" si="419"/>
        <v>0</v>
      </c>
      <c r="AD223" s="7">
        <f t="shared" ca="1" si="419"/>
        <v>0</v>
      </c>
      <c r="AE223" s="7">
        <f t="shared" ca="1" si="419"/>
        <v>0</v>
      </c>
      <c r="AF223" s="7">
        <f t="shared" ca="1" si="419"/>
        <v>0</v>
      </c>
      <c r="AG223" s="7">
        <f t="shared" ca="1" si="419"/>
        <v>0</v>
      </c>
      <c r="AH223" s="7">
        <f t="shared" ca="1" si="419"/>
        <v>0</v>
      </c>
      <c r="AI223" s="7">
        <f t="shared" ca="1" si="419"/>
        <v>0</v>
      </c>
      <c r="AJ223" s="7">
        <f t="shared" ca="1" si="419"/>
        <v>0</v>
      </c>
      <c r="AK223" s="7">
        <f t="shared" ca="1" si="419"/>
        <v>0</v>
      </c>
      <c r="AL223" s="7">
        <f t="shared" ca="1" si="419"/>
        <v>0</v>
      </c>
      <c r="AM223" s="7">
        <f t="shared" ca="1" si="419"/>
        <v>0</v>
      </c>
    </row>
    <row r="224" spans="1:39" x14ac:dyDescent="0.2">
      <c r="A224" s="3" t="s">
        <v>49</v>
      </c>
      <c r="C224" s="7">
        <f t="shared" ref="C224:AM224" ca="1" si="420">IFERROR(IF(C218=0,VLOOKUP($A217,$46:$50,C$1+2,FALSE),0),0)</f>
        <v>0</v>
      </c>
      <c r="D224" s="7">
        <f t="shared" ca="1" si="420"/>
        <v>0</v>
      </c>
      <c r="E224" s="7">
        <f t="shared" ca="1" si="420"/>
        <v>0</v>
      </c>
      <c r="F224" s="7">
        <f t="shared" ca="1" si="420"/>
        <v>0</v>
      </c>
      <c r="G224" s="7">
        <f t="shared" ca="1" si="420"/>
        <v>0</v>
      </c>
      <c r="H224" s="7">
        <f t="shared" ca="1" si="420"/>
        <v>0</v>
      </c>
      <c r="I224" s="7">
        <f t="shared" ca="1" si="420"/>
        <v>0</v>
      </c>
      <c r="J224" s="7">
        <f t="shared" ca="1" si="420"/>
        <v>0</v>
      </c>
      <c r="K224" s="7">
        <f t="shared" ca="1" si="420"/>
        <v>0</v>
      </c>
      <c r="L224" s="7">
        <f t="shared" ca="1" si="420"/>
        <v>0</v>
      </c>
      <c r="M224" s="7">
        <f t="shared" ca="1" si="420"/>
        <v>0</v>
      </c>
      <c r="N224" s="7">
        <f t="shared" ca="1" si="420"/>
        <v>0</v>
      </c>
      <c r="O224" s="7">
        <f t="shared" ca="1" si="420"/>
        <v>0</v>
      </c>
      <c r="P224" s="7">
        <f t="shared" ca="1" si="420"/>
        <v>0</v>
      </c>
      <c r="Q224" s="7">
        <f t="shared" ca="1" si="420"/>
        <v>0</v>
      </c>
      <c r="R224" s="7">
        <f t="shared" ca="1" si="420"/>
        <v>0</v>
      </c>
      <c r="S224" s="7">
        <f t="shared" ca="1" si="420"/>
        <v>0</v>
      </c>
      <c r="T224" s="7">
        <f t="shared" ca="1" si="420"/>
        <v>0</v>
      </c>
      <c r="U224" s="7">
        <f t="shared" ca="1" si="420"/>
        <v>0</v>
      </c>
      <c r="V224" s="7">
        <f t="shared" ca="1" si="420"/>
        <v>0</v>
      </c>
      <c r="W224" s="7">
        <f t="shared" ca="1" si="420"/>
        <v>0</v>
      </c>
      <c r="X224" s="7">
        <f t="shared" ca="1" si="420"/>
        <v>0</v>
      </c>
      <c r="Y224" s="7">
        <f t="shared" ca="1" si="420"/>
        <v>0</v>
      </c>
      <c r="Z224" s="7">
        <f t="shared" ca="1" si="420"/>
        <v>0</v>
      </c>
      <c r="AA224" s="7">
        <f t="shared" ca="1" si="420"/>
        <v>0</v>
      </c>
      <c r="AB224" s="7">
        <f t="shared" ca="1" si="420"/>
        <v>0</v>
      </c>
      <c r="AC224" s="7">
        <f t="shared" ca="1" si="420"/>
        <v>0</v>
      </c>
      <c r="AD224" s="7">
        <f t="shared" ca="1" si="420"/>
        <v>0</v>
      </c>
      <c r="AE224" s="7">
        <f t="shared" ca="1" si="420"/>
        <v>0</v>
      </c>
      <c r="AF224" s="7">
        <f t="shared" ca="1" si="420"/>
        <v>0</v>
      </c>
      <c r="AG224" s="7">
        <f t="shared" ca="1" si="420"/>
        <v>0</v>
      </c>
      <c r="AH224" s="7">
        <f t="shared" ca="1" si="420"/>
        <v>0</v>
      </c>
      <c r="AI224" s="7">
        <f t="shared" ca="1" si="420"/>
        <v>0</v>
      </c>
      <c r="AJ224" s="7">
        <f t="shared" ca="1" si="420"/>
        <v>0</v>
      </c>
      <c r="AK224" s="7">
        <f t="shared" ca="1" si="420"/>
        <v>0</v>
      </c>
      <c r="AL224" s="7">
        <f t="shared" ca="1" si="420"/>
        <v>0</v>
      </c>
      <c r="AM224" s="7">
        <f t="shared" ca="1" si="420"/>
        <v>0</v>
      </c>
    </row>
    <row r="225" spans="1:39" x14ac:dyDescent="0.2">
      <c r="A225" s="3" t="s">
        <v>35</v>
      </c>
      <c r="B225" s="14" t="str">
        <f>A217</f>
        <v>Gzira</v>
      </c>
      <c r="C225" s="7">
        <f t="shared" ref="C225:AM225" ca="1" si="421">IF(AND(C218&gt;0,C221=0),VLOOKUP($A217,$86:$95,C$1+2,FALSE),0)</f>
        <v>0</v>
      </c>
      <c r="D225" s="7">
        <f t="shared" ca="1" si="421"/>
        <v>0</v>
      </c>
      <c r="E225" s="7">
        <f t="shared" ca="1" si="421"/>
        <v>0</v>
      </c>
      <c r="F225" s="7">
        <f t="shared" ca="1" si="421"/>
        <v>0</v>
      </c>
      <c r="G225" s="7">
        <f t="shared" ca="1" si="421"/>
        <v>0</v>
      </c>
      <c r="H225" s="7">
        <f t="shared" ca="1" si="421"/>
        <v>0</v>
      </c>
      <c r="I225" s="7">
        <f t="shared" ca="1" si="421"/>
        <v>0</v>
      </c>
      <c r="J225" s="7">
        <f t="shared" ca="1" si="421"/>
        <v>0</v>
      </c>
      <c r="K225" s="7">
        <f t="shared" ca="1" si="421"/>
        <v>0</v>
      </c>
      <c r="L225" s="7">
        <f t="shared" ca="1" si="421"/>
        <v>0</v>
      </c>
      <c r="M225" s="7">
        <f t="shared" ca="1" si="421"/>
        <v>0</v>
      </c>
      <c r="N225" s="7">
        <f t="shared" ca="1" si="421"/>
        <v>0</v>
      </c>
      <c r="O225" s="7">
        <f t="shared" ca="1" si="421"/>
        <v>0</v>
      </c>
      <c r="P225" s="7">
        <f t="shared" ca="1" si="421"/>
        <v>0</v>
      </c>
      <c r="Q225" s="7">
        <f t="shared" ca="1" si="421"/>
        <v>0</v>
      </c>
      <c r="R225" s="7">
        <f t="shared" ca="1" si="421"/>
        <v>0</v>
      </c>
      <c r="S225" s="7">
        <f t="shared" ca="1" si="421"/>
        <v>0</v>
      </c>
      <c r="T225" s="7">
        <f t="shared" ca="1" si="421"/>
        <v>0</v>
      </c>
      <c r="U225" s="7">
        <f t="shared" ca="1" si="421"/>
        <v>0</v>
      </c>
      <c r="V225" s="7">
        <f t="shared" ca="1" si="421"/>
        <v>0</v>
      </c>
      <c r="W225" s="7">
        <f t="shared" ca="1" si="421"/>
        <v>0</v>
      </c>
      <c r="X225" s="7">
        <f t="shared" ca="1" si="421"/>
        <v>0</v>
      </c>
      <c r="Y225" s="7">
        <f t="shared" ca="1" si="421"/>
        <v>0</v>
      </c>
      <c r="Z225" s="7">
        <f t="shared" ca="1" si="421"/>
        <v>0</v>
      </c>
      <c r="AA225" s="7">
        <f t="shared" ca="1" si="421"/>
        <v>0</v>
      </c>
      <c r="AB225" s="7">
        <f t="shared" ca="1" si="421"/>
        <v>0</v>
      </c>
      <c r="AC225" s="7">
        <f t="shared" ca="1" si="421"/>
        <v>0</v>
      </c>
      <c r="AD225" s="7">
        <f t="shared" ca="1" si="421"/>
        <v>0</v>
      </c>
      <c r="AE225" s="7">
        <f t="shared" ca="1" si="421"/>
        <v>0</v>
      </c>
      <c r="AF225" s="7">
        <f t="shared" ca="1" si="421"/>
        <v>0</v>
      </c>
      <c r="AG225" s="7">
        <f t="shared" ca="1" si="421"/>
        <v>0</v>
      </c>
      <c r="AH225" s="7">
        <f t="shared" ca="1" si="421"/>
        <v>0</v>
      </c>
      <c r="AI225" s="7">
        <f t="shared" ca="1" si="421"/>
        <v>0</v>
      </c>
      <c r="AJ225" s="7">
        <f t="shared" ca="1" si="421"/>
        <v>0</v>
      </c>
      <c r="AK225" s="7">
        <f t="shared" ca="1" si="421"/>
        <v>0</v>
      </c>
      <c r="AL225" s="7">
        <f t="shared" ca="1" si="421"/>
        <v>0</v>
      </c>
      <c r="AM225" s="7">
        <f t="shared" ca="1" si="421"/>
        <v>0</v>
      </c>
    </row>
    <row r="226" spans="1:39" x14ac:dyDescent="0.2">
      <c r="A226" s="3" t="s">
        <v>36</v>
      </c>
      <c r="C226" s="7">
        <f ca="1">-C219+SUM(C222:C225)</f>
        <v>0</v>
      </c>
      <c r="D226" s="7">
        <f t="shared" ref="D226" ca="1" si="422">-D219+SUM(D222:D225)</f>
        <v>0</v>
      </c>
      <c r="E226" s="7">
        <f t="shared" ref="E226:AM226" ca="1" si="423">-E219+SUM(E222:E225)</f>
        <v>0</v>
      </c>
      <c r="F226" s="7">
        <f t="shared" ca="1" si="423"/>
        <v>0</v>
      </c>
      <c r="G226" s="7">
        <f t="shared" ca="1" si="423"/>
        <v>0</v>
      </c>
      <c r="H226" s="7">
        <f t="shared" ca="1" si="423"/>
        <v>0</v>
      </c>
      <c r="I226" s="7">
        <f t="shared" ca="1" si="423"/>
        <v>0</v>
      </c>
      <c r="J226" s="7">
        <f t="shared" ca="1" si="423"/>
        <v>0</v>
      </c>
      <c r="K226" s="7">
        <f t="shared" ca="1" si="423"/>
        <v>0</v>
      </c>
      <c r="L226" s="7">
        <f t="shared" ca="1" si="423"/>
        <v>0</v>
      </c>
      <c r="M226" s="7">
        <f t="shared" ca="1" si="423"/>
        <v>0</v>
      </c>
      <c r="N226" s="7">
        <f t="shared" ca="1" si="423"/>
        <v>0</v>
      </c>
      <c r="O226" s="7">
        <f t="shared" ca="1" si="423"/>
        <v>0</v>
      </c>
      <c r="P226" s="7">
        <f t="shared" ca="1" si="423"/>
        <v>0</v>
      </c>
      <c r="Q226" s="7">
        <f t="shared" ca="1" si="423"/>
        <v>0</v>
      </c>
      <c r="R226" s="7">
        <f t="shared" ca="1" si="423"/>
        <v>0</v>
      </c>
      <c r="S226" s="7">
        <f t="shared" ca="1" si="423"/>
        <v>0</v>
      </c>
      <c r="T226" s="7">
        <f t="shared" ca="1" si="423"/>
        <v>0</v>
      </c>
      <c r="U226" s="7">
        <f t="shared" ca="1" si="423"/>
        <v>0</v>
      </c>
      <c r="V226" s="7">
        <f t="shared" ca="1" si="423"/>
        <v>0</v>
      </c>
      <c r="W226" s="7">
        <f t="shared" ca="1" si="423"/>
        <v>0</v>
      </c>
      <c r="X226" s="7">
        <f t="shared" ca="1" si="423"/>
        <v>0</v>
      </c>
      <c r="Y226" s="7">
        <f t="shared" ca="1" si="423"/>
        <v>0</v>
      </c>
      <c r="Z226" s="7">
        <f t="shared" ca="1" si="423"/>
        <v>0</v>
      </c>
      <c r="AA226" s="7">
        <f t="shared" ca="1" si="423"/>
        <v>0</v>
      </c>
      <c r="AB226" s="7">
        <f t="shared" ca="1" si="423"/>
        <v>0</v>
      </c>
      <c r="AC226" s="7">
        <f t="shared" ca="1" si="423"/>
        <v>0</v>
      </c>
      <c r="AD226" s="7">
        <f t="shared" ca="1" si="423"/>
        <v>0</v>
      </c>
      <c r="AE226" s="7">
        <f t="shared" ca="1" si="423"/>
        <v>0</v>
      </c>
      <c r="AF226" s="7">
        <f t="shared" ca="1" si="423"/>
        <v>0</v>
      </c>
      <c r="AG226" s="7">
        <f t="shared" ca="1" si="423"/>
        <v>0</v>
      </c>
      <c r="AH226" s="7">
        <f t="shared" ca="1" si="423"/>
        <v>0</v>
      </c>
      <c r="AI226" s="7">
        <f t="shared" ca="1" si="423"/>
        <v>0</v>
      </c>
      <c r="AJ226" s="7">
        <f t="shared" ca="1" si="423"/>
        <v>0</v>
      </c>
      <c r="AK226" s="7">
        <f t="shared" ca="1" si="423"/>
        <v>0</v>
      </c>
      <c r="AL226" s="7">
        <f t="shared" ca="1" si="423"/>
        <v>0</v>
      </c>
      <c r="AM226" s="7">
        <f t="shared" ca="1" si="423"/>
        <v>0</v>
      </c>
    </row>
    <row r="227" spans="1:39" x14ac:dyDescent="0.2">
      <c r="A227" s="3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  <c r="AE227" s="7"/>
      <c r="AF227" s="7"/>
      <c r="AG227" s="7"/>
      <c r="AH227" s="7"/>
      <c r="AI227" s="7"/>
      <c r="AJ227" s="7"/>
      <c r="AK227" s="7"/>
      <c r="AL227" s="7"/>
      <c r="AM227" s="7"/>
    </row>
    <row r="228" spans="1:39" x14ac:dyDescent="0.2">
      <c r="A228" s="3" t="s">
        <v>70</v>
      </c>
      <c r="C228" s="7">
        <f ca="1">C214+SUM($C226:C226)</f>
        <v>12919.0625</v>
      </c>
      <c r="D228" s="7">
        <f ca="1">D214+SUM($C226:D226)</f>
        <v>22490.535937499997</v>
      </c>
      <c r="E228" s="7">
        <f ca="1">E214+SUM($C226:E226)</f>
        <v>38207.499804687497</v>
      </c>
      <c r="F228" s="7">
        <f ca="1">F214+SUM($C226:F226)</f>
        <v>35714.080452231734</v>
      </c>
      <c r="G228" s="7">
        <f ca="1">G214+SUM($C226:G226)</f>
        <v>229276.11396248138</v>
      </c>
      <c r="H228" s="7">
        <f ca="1">H214+SUM($C226:H226)</f>
        <v>271025.81800930644</v>
      </c>
      <c r="I228" s="7">
        <f ca="1">I214+SUM($C226:I226)</f>
        <v>332892.09672247234</v>
      </c>
      <c r="J228" s="7">
        <f ca="1">J214+SUM($C226:J226)</f>
        <v>399181.31879998074</v>
      </c>
      <c r="K228" s="7">
        <f ca="1">K214+SUM($C226:K226)</f>
        <v>452080.69175229734</v>
      </c>
      <c r="L228" s="7">
        <f ca="1">L214+SUM($C226:L226)</f>
        <v>591897.59165074176</v>
      </c>
      <c r="M228" s="7">
        <f ca="1">M214+SUM($C226:M226)</f>
        <v>643438.66125641076</v>
      </c>
      <c r="N228" s="7">
        <f ca="1">N214+SUM($C226:N226)</f>
        <v>748500.49246398674</v>
      </c>
      <c r="O228" s="7">
        <f ca="1">O214+SUM($C226:O226)</f>
        <v>859267.05744988273</v>
      </c>
      <c r="P228" s="7">
        <f ca="1">P214+SUM($C226:P226)</f>
        <v>975981.2911249469</v>
      </c>
      <c r="Q228" s="7">
        <f ca="1">Q214+SUM($C226:Q226)</f>
        <v>1098895.4105429514</v>
      </c>
      <c r="R228" s="7">
        <f ca="1">R214+SUM($C226:R226)</f>
        <v>1228271.248199099</v>
      </c>
      <c r="S228" s="7">
        <f ca="1">S214+SUM($C226:S226)</f>
        <v>1364380.5968228865</v>
      </c>
      <c r="T228" s="7">
        <f ca="1">T214+SUM($C226:T226)</f>
        <v>1402527.6236677105</v>
      </c>
      <c r="U228" s="7">
        <f ca="1">U214+SUM($C226:U226)</f>
        <v>1449854.2259580824</v>
      </c>
      <c r="V228" s="7">
        <f ca="1">V214+SUM($C226:V226)</f>
        <v>1498907.5815076504</v>
      </c>
      <c r="W228" s="7">
        <f ca="1">W214+SUM($C226:W226)</f>
        <v>1549752.4964402271</v>
      </c>
      <c r="X228" s="7">
        <f ca="1">X214+SUM($C226:X226)</f>
        <v>1602456.179392647</v>
      </c>
      <c r="Y228" s="7">
        <f ca="1">Y214+SUM($C226:Y226)</f>
        <v>1636171.2358988209</v>
      </c>
      <c r="Z228" s="7">
        <f ca="1">Z214+SUM($C226:Z226)</f>
        <v>1670841.1811310996</v>
      </c>
      <c r="AA228" s="7">
        <f ca="1">AA214+SUM($C226:AA226)</f>
        <v>1706501.7452458595</v>
      </c>
      <c r="AB228" s="7">
        <f ca="1">AB214+SUM($C226:AB226)</f>
        <v>1743190.1198307537</v>
      </c>
      <c r="AC228" s="7">
        <f ca="1">AC214+SUM($C226:AC226)</f>
        <v>1780945.016796795</v>
      </c>
      <c r="AD228" s="7">
        <f ca="1">AD214+SUM($C226:AD226)</f>
        <v>1819806.7295462058</v>
      </c>
      <c r="AE228" s="7">
        <f ca="1">AE214+SUM($C226:AE226)</f>
        <v>1869924.4525328081</v>
      </c>
      <c r="AF228" s="7">
        <f ca="1">AF214+SUM($C226:AF226)</f>
        <v>1921739.9419416173</v>
      </c>
      <c r="AG228" s="7">
        <f ca="1">AG214+SUM($C226:AG226)</f>
        <v>1975317.5778012427</v>
      </c>
      <c r="AH228" s="7">
        <f ca="1">AH214+SUM($C226:AH226)</f>
        <v>2030724.2224962406</v>
      </c>
      <c r="AI228" s="7">
        <f ca="1">AI214+SUM($C226:AI226)</f>
        <v>2088029.314381151</v>
      </c>
      <c r="AJ228" s="7">
        <f ca="1">AJ214+SUM($C226:AJ226)</f>
        <v>2147304.9648157731</v>
      </c>
      <c r="AK228" s="7">
        <f ca="1">AK214+SUM($C226:AK226)</f>
        <v>2208626.0587430005</v>
      </c>
      <c r="AL228" s="7">
        <f ca="1">AL214+SUM($C226:AL226)</f>
        <v>2272070.3589347131</v>
      </c>
      <c r="AM228" s="7">
        <f ca="1">AM214+SUM($C226:AM226)</f>
        <v>2337718.614035564</v>
      </c>
    </row>
    <row r="229" spans="1:39" x14ac:dyDescent="0.2">
      <c r="A229" s="3" t="s">
        <v>67</v>
      </c>
      <c r="C229" s="7">
        <f t="shared" ref="C229:AM229" ca="1" si="424">MAX(C228+buffer,0)-MAX(C214+buffer,0)</f>
        <v>0</v>
      </c>
      <c r="D229" s="7">
        <f t="shared" ca="1" si="424"/>
        <v>0</v>
      </c>
      <c r="E229" s="7">
        <f t="shared" ca="1" si="424"/>
        <v>0</v>
      </c>
      <c r="F229" s="7">
        <f t="shared" ca="1" si="424"/>
        <v>0</v>
      </c>
      <c r="G229" s="7">
        <f t="shared" ca="1" si="424"/>
        <v>0</v>
      </c>
      <c r="H229" s="7">
        <f t="shared" ca="1" si="424"/>
        <v>0</v>
      </c>
      <c r="I229" s="7">
        <f t="shared" ca="1" si="424"/>
        <v>0</v>
      </c>
      <c r="J229" s="7">
        <f t="shared" ca="1" si="424"/>
        <v>0</v>
      </c>
      <c r="K229" s="7">
        <f t="shared" ca="1" si="424"/>
        <v>0</v>
      </c>
      <c r="L229" s="7">
        <f t="shared" ca="1" si="424"/>
        <v>0</v>
      </c>
      <c r="M229" s="7">
        <f t="shared" ca="1" si="424"/>
        <v>0</v>
      </c>
      <c r="N229" s="7">
        <f t="shared" ca="1" si="424"/>
        <v>0</v>
      </c>
      <c r="O229" s="7">
        <f t="shared" ca="1" si="424"/>
        <v>0</v>
      </c>
      <c r="P229" s="7">
        <f t="shared" ca="1" si="424"/>
        <v>0</v>
      </c>
      <c r="Q229" s="7">
        <f t="shared" ca="1" si="424"/>
        <v>0</v>
      </c>
      <c r="R229" s="7">
        <f t="shared" ca="1" si="424"/>
        <v>0</v>
      </c>
      <c r="S229" s="7">
        <f t="shared" ca="1" si="424"/>
        <v>0</v>
      </c>
      <c r="T229" s="7">
        <f t="shared" ca="1" si="424"/>
        <v>0</v>
      </c>
      <c r="U229" s="7">
        <f t="shared" ca="1" si="424"/>
        <v>0</v>
      </c>
      <c r="V229" s="7">
        <f t="shared" ca="1" si="424"/>
        <v>0</v>
      </c>
      <c r="W229" s="7">
        <f t="shared" ca="1" si="424"/>
        <v>0</v>
      </c>
      <c r="X229" s="7">
        <f t="shared" ca="1" si="424"/>
        <v>0</v>
      </c>
      <c r="Y229" s="7">
        <f t="shared" ca="1" si="424"/>
        <v>0</v>
      </c>
      <c r="Z229" s="7">
        <f t="shared" ca="1" si="424"/>
        <v>0</v>
      </c>
      <c r="AA229" s="7">
        <f t="shared" ca="1" si="424"/>
        <v>0</v>
      </c>
      <c r="AB229" s="7">
        <f t="shared" ca="1" si="424"/>
        <v>0</v>
      </c>
      <c r="AC229" s="7">
        <f t="shared" ca="1" si="424"/>
        <v>0</v>
      </c>
      <c r="AD229" s="7">
        <f t="shared" ca="1" si="424"/>
        <v>0</v>
      </c>
      <c r="AE229" s="7">
        <f t="shared" ca="1" si="424"/>
        <v>0</v>
      </c>
      <c r="AF229" s="7">
        <f t="shared" ca="1" si="424"/>
        <v>0</v>
      </c>
      <c r="AG229" s="7">
        <f t="shared" ca="1" si="424"/>
        <v>0</v>
      </c>
      <c r="AH229" s="7">
        <f t="shared" ca="1" si="424"/>
        <v>0</v>
      </c>
      <c r="AI229" s="7">
        <f t="shared" ca="1" si="424"/>
        <v>0</v>
      </c>
      <c r="AJ229" s="7">
        <f t="shared" ca="1" si="424"/>
        <v>0</v>
      </c>
      <c r="AK229" s="7">
        <f t="shared" ca="1" si="424"/>
        <v>0</v>
      </c>
      <c r="AL229" s="7">
        <f t="shared" ca="1" si="424"/>
        <v>0</v>
      </c>
      <c r="AM229" s="7">
        <f t="shared" ca="1" si="424"/>
        <v>0</v>
      </c>
    </row>
    <row r="230" spans="1:39" x14ac:dyDescent="0.2">
      <c r="A230" s="3" t="s">
        <v>68</v>
      </c>
      <c r="C230" s="7">
        <f ca="1">C229*Inputs!$B$270</f>
        <v>0</v>
      </c>
      <c r="D230" s="7">
        <f ca="1">D229*Inputs!$B$270</f>
        <v>0</v>
      </c>
      <c r="E230" s="7">
        <f ca="1">E229*Inputs!$B$270</f>
        <v>0</v>
      </c>
      <c r="F230" s="7">
        <f ca="1">F229*Inputs!$B$270</f>
        <v>0</v>
      </c>
      <c r="G230" s="7">
        <f ca="1">G229*Inputs!$B$270</f>
        <v>0</v>
      </c>
      <c r="H230" s="7">
        <f ca="1">H229*Inputs!$B$270</f>
        <v>0</v>
      </c>
      <c r="I230" s="7">
        <f ca="1">I229*Inputs!$B$270</f>
        <v>0</v>
      </c>
      <c r="J230" s="7">
        <f ca="1">J229*Inputs!$B$270</f>
        <v>0</v>
      </c>
      <c r="K230" s="7">
        <f ca="1">K229*Inputs!$B$270</f>
        <v>0</v>
      </c>
      <c r="L230" s="7">
        <f ca="1">L229*Inputs!$B$270</f>
        <v>0</v>
      </c>
      <c r="M230" s="7">
        <f ca="1">M229*Inputs!$B$270</f>
        <v>0</v>
      </c>
      <c r="N230" s="7">
        <f ca="1">N229*Inputs!$B$270</f>
        <v>0</v>
      </c>
      <c r="O230" s="7">
        <f ca="1">O229*Inputs!$B$270</f>
        <v>0</v>
      </c>
      <c r="P230" s="7">
        <f ca="1">P229*Inputs!$B$270</f>
        <v>0</v>
      </c>
      <c r="Q230" s="7">
        <f ca="1">Q229*Inputs!$B$270</f>
        <v>0</v>
      </c>
      <c r="R230" s="7">
        <f ca="1">R229*Inputs!$B$270</f>
        <v>0</v>
      </c>
      <c r="S230" s="7">
        <f ca="1">S229*Inputs!$B$270</f>
        <v>0</v>
      </c>
      <c r="T230" s="7">
        <f ca="1">T229*Inputs!$B$270</f>
        <v>0</v>
      </c>
      <c r="U230" s="7">
        <f ca="1">U229*Inputs!$B$270</f>
        <v>0</v>
      </c>
      <c r="V230" s="7">
        <f ca="1">V229*Inputs!$B$270</f>
        <v>0</v>
      </c>
      <c r="W230" s="7">
        <f ca="1">W229*Inputs!$B$270</f>
        <v>0</v>
      </c>
      <c r="X230" s="7">
        <f ca="1">X229*Inputs!$B$270</f>
        <v>0</v>
      </c>
      <c r="Y230" s="7">
        <f ca="1">Y229*Inputs!$B$270</f>
        <v>0</v>
      </c>
      <c r="Z230" s="7">
        <f ca="1">Z229*Inputs!$B$270</f>
        <v>0</v>
      </c>
      <c r="AA230" s="7">
        <f ca="1">AA229*Inputs!$B$270</f>
        <v>0</v>
      </c>
      <c r="AB230" s="7">
        <f ca="1">AB229*Inputs!$B$270</f>
        <v>0</v>
      </c>
      <c r="AC230" s="7">
        <f ca="1">AC229*Inputs!$B$270</f>
        <v>0</v>
      </c>
      <c r="AD230" s="7">
        <f ca="1">AD229*Inputs!$B$270</f>
        <v>0</v>
      </c>
      <c r="AE230" s="7">
        <f ca="1">AE229*Inputs!$B$270</f>
        <v>0</v>
      </c>
      <c r="AF230" s="7">
        <f ca="1">AF229*Inputs!$B$270</f>
        <v>0</v>
      </c>
      <c r="AG230" s="7">
        <f ca="1">AG229*Inputs!$B$270</f>
        <v>0</v>
      </c>
      <c r="AH230" s="7">
        <f ca="1">AH229*Inputs!$B$270</f>
        <v>0</v>
      </c>
      <c r="AI230" s="7">
        <f ca="1">AI229*Inputs!$B$270</f>
        <v>0</v>
      </c>
      <c r="AJ230" s="7">
        <f ca="1">AJ229*Inputs!$B$270</f>
        <v>0</v>
      </c>
      <c r="AK230" s="7">
        <f ca="1">AK229*Inputs!$B$270</f>
        <v>0</v>
      </c>
      <c r="AL230" s="7">
        <f ca="1">AL229*Inputs!$B$270</f>
        <v>0</v>
      </c>
      <c r="AM230" s="7">
        <f ca="1">AM229*Inputs!$B$270</f>
        <v>0</v>
      </c>
    </row>
    <row r="231" spans="1:39" x14ac:dyDescent="0.2">
      <c r="A231" s="3" t="s">
        <v>149</v>
      </c>
      <c r="C231" s="7">
        <f ca="1">C228+SUM($C230:C230)</f>
        <v>12919.0625</v>
      </c>
      <c r="D231" s="7">
        <f ca="1">D228+SUM($C230:D230)</f>
        <v>22490.535937499997</v>
      </c>
      <c r="E231" s="7">
        <f ca="1">E228+SUM($C230:E230)</f>
        <v>38207.499804687497</v>
      </c>
      <c r="F231" s="7">
        <f ca="1">F228+SUM($C230:F230)</f>
        <v>35714.080452231734</v>
      </c>
      <c r="G231" s="7">
        <f ca="1">G228+SUM($C230:G230)</f>
        <v>229276.11396248138</v>
      </c>
      <c r="H231" s="7">
        <f ca="1">H228+SUM($C230:H230)</f>
        <v>271025.81800930644</v>
      </c>
      <c r="I231" s="7">
        <f ca="1">I228+SUM($C230:I230)</f>
        <v>332892.09672247234</v>
      </c>
      <c r="J231" s="7">
        <f ca="1">J228+SUM($C230:J230)</f>
        <v>399181.31879998074</v>
      </c>
      <c r="K231" s="7">
        <f ca="1">K228+SUM($C230:K230)</f>
        <v>452080.69175229734</v>
      </c>
      <c r="L231" s="7">
        <f ca="1">L228+SUM($C230:L230)</f>
        <v>591897.59165074176</v>
      </c>
      <c r="M231" s="7">
        <f ca="1">M228+SUM($C230:M230)</f>
        <v>643438.66125641076</v>
      </c>
      <c r="N231" s="7">
        <f ca="1">N228+SUM($C230:N230)</f>
        <v>748500.49246398674</v>
      </c>
      <c r="O231" s="7">
        <f ca="1">O228+SUM($C230:O230)</f>
        <v>859267.05744988273</v>
      </c>
      <c r="P231" s="7">
        <f ca="1">P228+SUM($C230:P230)</f>
        <v>975981.2911249469</v>
      </c>
      <c r="Q231" s="7">
        <f ca="1">Q228+SUM($C230:Q230)</f>
        <v>1098895.4105429514</v>
      </c>
      <c r="R231" s="7">
        <f ca="1">R228+SUM($C230:R230)</f>
        <v>1228271.248199099</v>
      </c>
      <c r="S231" s="7">
        <f ca="1">S228+SUM($C230:S230)</f>
        <v>1364380.5968228865</v>
      </c>
      <c r="T231" s="7">
        <f ca="1">T228+SUM($C230:T230)</f>
        <v>1402527.6236677105</v>
      </c>
      <c r="U231" s="7">
        <f ca="1">U228+SUM($C230:U230)</f>
        <v>1449854.2259580824</v>
      </c>
      <c r="V231" s="7">
        <f ca="1">V228+SUM($C230:V230)</f>
        <v>1498907.5815076504</v>
      </c>
      <c r="W231" s="7">
        <f ca="1">W228+SUM($C230:W230)</f>
        <v>1549752.4964402271</v>
      </c>
      <c r="X231" s="7">
        <f ca="1">X228+SUM($C230:X230)</f>
        <v>1602456.179392647</v>
      </c>
      <c r="Y231" s="7">
        <f ca="1">Y228+SUM($C230:Y230)</f>
        <v>1636171.2358988209</v>
      </c>
      <c r="Z231" s="7">
        <f ca="1">Z228+SUM($C230:Z230)</f>
        <v>1670841.1811310996</v>
      </c>
      <c r="AA231" s="7">
        <f ca="1">AA228+SUM($C230:AA230)</f>
        <v>1706501.7452458595</v>
      </c>
      <c r="AB231" s="7">
        <f ca="1">AB228+SUM($C230:AB230)</f>
        <v>1743190.1198307537</v>
      </c>
      <c r="AC231" s="7">
        <f ca="1">AC228+SUM($C230:AC230)</f>
        <v>1780945.016796795</v>
      </c>
      <c r="AD231" s="7">
        <f ca="1">AD228+SUM($C230:AD230)</f>
        <v>1819806.7295462058</v>
      </c>
      <c r="AE231" s="7">
        <f ca="1">AE228+SUM($C230:AE230)</f>
        <v>1869924.4525328081</v>
      </c>
      <c r="AF231" s="7">
        <f ca="1">AF228+SUM($C230:AF230)</f>
        <v>1921739.9419416173</v>
      </c>
      <c r="AG231" s="7">
        <f ca="1">AG228+SUM($C230:AG230)</f>
        <v>1975317.5778012427</v>
      </c>
      <c r="AH231" s="7">
        <f ca="1">AH228+SUM($C230:AH230)</f>
        <v>2030724.2224962406</v>
      </c>
      <c r="AI231" s="7">
        <f ca="1">AI228+SUM($C230:AI230)</f>
        <v>2088029.314381151</v>
      </c>
      <c r="AJ231" s="7">
        <f ca="1">AJ228+SUM($C230:AJ230)</f>
        <v>2147304.9648157731</v>
      </c>
      <c r="AK231" s="7">
        <f ca="1">AK228+SUM($C230:AK230)</f>
        <v>2208626.0587430005</v>
      </c>
      <c r="AL231" s="7">
        <f ca="1">AL228+SUM($C230:AL230)</f>
        <v>2272070.3589347131</v>
      </c>
      <c r="AM231" s="7">
        <f ca="1">AM228+SUM($C230:AM230)</f>
        <v>2337718.614035564</v>
      </c>
    </row>
    <row r="232" spans="1:39" x14ac:dyDescent="0.2">
      <c r="A232" s="3" t="s">
        <v>19</v>
      </c>
      <c r="C232" s="7">
        <f ca="1">IF(C231&lt;0,-C231,0)</f>
        <v>0</v>
      </c>
      <c r="D232" s="7">
        <f ca="1">IF(D231+SUM($C232:C232)&lt;0,-(D231+SUM($C232:C232)),0)</f>
        <v>0</v>
      </c>
      <c r="E232" s="7">
        <f ca="1">IF(E231+SUM($C232:D232)&lt;0,-(E231+SUM($C232:D232)),0)</f>
        <v>0</v>
      </c>
      <c r="F232" s="7">
        <f ca="1">IF(F231+SUM($C232:E232)&lt;0,-(F231+SUM($C232:E232)),0)</f>
        <v>0</v>
      </c>
      <c r="G232" s="7">
        <f ca="1">IF(G231+SUM($C232:F232)&lt;0,-(G231+SUM($C232:F232)),0)</f>
        <v>0</v>
      </c>
      <c r="H232" s="7">
        <f ca="1">IF(H231+SUM($C232:G232)&lt;0,-(H231+SUM($C232:G232)),0)</f>
        <v>0</v>
      </c>
      <c r="I232" s="7">
        <f ca="1">IF(I231+SUM($C232:H232)&lt;0,-(I231+SUM($C232:H232)),0)</f>
        <v>0</v>
      </c>
      <c r="J232" s="7">
        <f ca="1">IF(J231+SUM($C232:I232)&lt;0,-(J231+SUM($C232:I232)),0)</f>
        <v>0</v>
      </c>
      <c r="K232" s="7">
        <f ca="1">IF(K231+SUM($C232:J232)&lt;0,-(K231+SUM($C232:J232)),0)</f>
        <v>0</v>
      </c>
      <c r="L232" s="7">
        <f ca="1">IF(L231+SUM($C232:K232)&lt;0,-(L231+SUM($C232:K232)),0)</f>
        <v>0</v>
      </c>
      <c r="M232" s="7">
        <f ca="1">IF(M231+SUM($C232:L232)&lt;0,-(M231+SUM($C232:L232)),0)</f>
        <v>0</v>
      </c>
      <c r="N232" s="7">
        <f ca="1">IF(N231+SUM($C232:M232)&lt;0,-(N231+SUM($C232:M232)),0)</f>
        <v>0</v>
      </c>
      <c r="O232" s="7">
        <f ca="1">IF(O231+SUM($C232:N232)&lt;0,-(O231+SUM($C232:N232)),0)</f>
        <v>0</v>
      </c>
      <c r="P232" s="7">
        <f ca="1">IF(P231+SUM($C232:O232)&lt;0,-(P231+SUM($C232:O232)),0)</f>
        <v>0</v>
      </c>
      <c r="Q232" s="7">
        <f ca="1">IF(Q231+SUM($C232:P232)&lt;0,-(Q231+SUM($C232:P232)),0)</f>
        <v>0</v>
      </c>
      <c r="R232" s="7">
        <f ca="1">IF(R231+SUM($C232:Q232)&lt;0,-(R231+SUM($C232:Q232)),0)</f>
        <v>0</v>
      </c>
      <c r="S232" s="7">
        <f ca="1">IF(S231+SUM($C232:R232)&lt;0,-(S231+SUM($C232:R232)),0)</f>
        <v>0</v>
      </c>
      <c r="T232" s="7">
        <f ca="1">IF(T231+SUM($C232:S232)&lt;0,-(T231+SUM($C232:S232)),0)</f>
        <v>0</v>
      </c>
      <c r="U232" s="7">
        <f ca="1">IF(U231+SUM($C232:T232)&lt;0,-(U231+SUM($C232:T232)),0)</f>
        <v>0</v>
      </c>
      <c r="V232" s="7">
        <f ca="1">IF(V231+SUM($C232:U232)&lt;0,-(V231+SUM($C232:U232)),0)</f>
        <v>0</v>
      </c>
      <c r="W232" s="7">
        <f ca="1">IF(W231+SUM($C232:V232)&lt;0,-(W231+SUM($C232:V232)),0)</f>
        <v>0</v>
      </c>
      <c r="X232" s="7">
        <f ca="1">IF(X231+SUM($C232:W232)&lt;0,-(X231+SUM($C232:W232)),0)</f>
        <v>0</v>
      </c>
      <c r="Y232" s="7">
        <f ca="1">IF(Y231+SUM($C232:X232)&lt;0,-(Y231+SUM($C232:X232)),0)</f>
        <v>0</v>
      </c>
      <c r="Z232" s="7">
        <f ca="1">IF(Z231+SUM($C232:Y232)&lt;0,-(Z231+SUM($C232:Y232)),0)</f>
        <v>0</v>
      </c>
      <c r="AA232" s="7">
        <f ca="1">IF(AA231+SUM($C232:Z232)&lt;0,-(AA231+SUM($C232:Z232)),0)</f>
        <v>0</v>
      </c>
      <c r="AB232" s="7">
        <f ca="1">IF(AB231+SUM($C232:AA232)&lt;0,-(AB231+SUM($C232:AA232)),0)</f>
        <v>0</v>
      </c>
      <c r="AC232" s="7">
        <f ca="1">IF(AC231+SUM($C232:AB232)&lt;0,-(AC231+SUM($C232:AB232)),0)</f>
        <v>0</v>
      </c>
      <c r="AD232" s="7">
        <f ca="1">IF(AD231+SUM($C232:AC232)&lt;0,-(AD231+SUM($C232:AC232)),0)</f>
        <v>0</v>
      </c>
      <c r="AE232" s="7">
        <f ca="1">IF(AE231+SUM($C232:AD232)&lt;0,-(AE231+SUM($C232:AD232)),0)</f>
        <v>0</v>
      </c>
      <c r="AF232" s="7">
        <f ca="1">IF(AF231+SUM($C232:AE232)&lt;0,-(AF231+SUM($C232:AE232)),0)</f>
        <v>0</v>
      </c>
      <c r="AG232" s="7">
        <f ca="1">IF(AG231+SUM($C232:AF232)&lt;0,-(AG231+SUM($C232:AF232)),0)</f>
        <v>0</v>
      </c>
      <c r="AH232" s="7">
        <f ca="1">IF(AH231+SUM($C232:AG232)&lt;0,-(AH231+SUM($C232:AG232)),0)</f>
        <v>0</v>
      </c>
      <c r="AI232" s="7">
        <f ca="1">IF(AI231+SUM($C232:AH232)&lt;0,-(AI231+SUM($C232:AH232)),0)</f>
        <v>0</v>
      </c>
      <c r="AJ232" s="7">
        <f ca="1">IF(AJ231+SUM($C232:AI232)&lt;0,-(AJ231+SUM($C232:AI232)),0)</f>
        <v>0</v>
      </c>
      <c r="AK232" s="7">
        <f ca="1">IF(AK231+SUM($C232:AJ232)&lt;0,-(AK231+SUM($C232:AJ232)),0)</f>
        <v>0</v>
      </c>
      <c r="AL232" s="7">
        <f ca="1">IF(AL231+SUM($C232:AK232)&lt;0,-(AL231+SUM($C232:AK232)),0)</f>
        <v>0</v>
      </c>
      <c r="AM232" s="7">
        <f ca="1">IF(AM231+SUM($C232:AL232)&lt;0,-(AM231+SUM($C232:AL232)),0)</f>
        <v>0</v>
      </c>
    </row>
    <row r="233" spans="1:39" x14ac:dyDescent="0.2"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  <c r="AG233" s="7"/>
      <c r="AH233" s="7"/>
      <c r="AI233" s="7"/>
      <c r="AJ233" s="7"/>
      <c r="AK233" s="7"/>
      <c r="AL233" s="7"/>
      <c r="AM233" s="7"/>
    </row>
    <row r="234" spans="1:39" x14ac:dyDescent="0.2">
      <c r="A234" s="24" t="str">
        <f>IF(Inputs!$B$290=6,IFERROR(_xlfn.XLOOKUP($B234,Inputs!$B$291:$B$300,Inputs!$A$291:$A$300,,0,1),""),IFERROR(_xlfn.XLOOKUP($B234,Inputs!$C$291:$C$300,Inputs!$A$291:$A$300,,0,1),""))</f>
        <v>Boat</v>
      </c>
      <c r="B234" s="26">
        <v>8</v>
      </c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  <c r="AB234" s="7"/>
      <c r="AC234" s="7"/>
      <c r="AD234" s="7"/>
      <c r="AE234" s="7"/>
      <c r="AF234" s="7"/>
      <c r="AG234" s="7"/>
      <c r="AH234" s="7"/>
      <c r="AI234" s="7"/>
      <c r="AJ234" s="7"/>
      <c r="AK234" s="7"/>
      <c r="AL234" s="7"/>
      <c r="AM234" s="7"/>
    </row>
    <row r="235" spans="1:39" x14ac:dyDescent="0.2">
      <c r="A235" s="3" t="s">
        <v>21</v>
      </c>
      <c r="C235" s="7">
        <f ca="1">IFERROR(VLOOKUP($A234,$A$68:$H$97,C$1+2,FALSE),0)</f>
        <v>173206.90804157319</v>
      </c>
      <c r="D235" s="7">
        <f ca="1">C238</f>
        <v>173206.90804157319</v>
      </c>
      <c r="E235" s="7">
        <f t="shared" ref="E235" ca="1" si="425">D238</f>
        <v>164546.56263949454</v>
      </c>
      <c r="F235" s="7">
        <f t="shared" ref="F235" ca="1" si="426">E238</f>
        <v>156319.23450751981</v>
      </c>
      <c r="G235" s="7">
        <f t="shared" ref="G235" ca="1" si="427">F238</f>
        <v>148503.27278214382</v>
      </c>
      <c r="H235" s="7">
        <f t="shared" ref="H235" ca="1" si="428">G238</f>
        <v>141078.10914303662</v>
      </c>
      <c r="I235" s="7">
        <f t="shared" ref="I235" ca="1" si="429">H238</f>
        <v>134024.2036858848</v>
      </c>
      <c r="J235" s="7">
        <f t="shared" ref="J235" ca="1" si="430">I238</f>
        <v>127322.99350159056</v>
      </c>
      <c r="K235" s="7">
        <f t="shared" ref="K235" ca="1" si="431">J238</f>
        <v>120956.84382651103</v>
      </c>
      <c r="L235" s="7">
        <f t="shared" ref="L235" ca="1" si="432">K238</f>
        <v>114909.00163518547</v>
      </c>
      <c r="M235" s="7">
        <f t="shared" ref="M235" ca="1" si="433">L238</f>
        <v>109163.55155342619</v>
      </c>
      <c r="N235" s="7">
        <f t="shared" ref="N235" ca="1" si="434">M238</f>
        <v>103705.37397575489</v>
      </c>
      <c r="O235" s="7">
        <f t="shared" ref="O235" ca="1" si="435">N238</f>
        <v>98520.105276967151</v>
      </c>
      <c r="P235" s="7">
        <f t="shared" ref="P235" ca="1" si="436">O238</f>
        <v>93594.10001311879</v>
      </c>
      <c r="Q235" s="7">
        <f t="shared" ref="Q235" ca="1" si="437">P238</f>
        <v>88914.395012462846</v>
      </c>
      <c r="R235" s="7">
        <f t="shared" ref="R235" ca="1" si="438">Q238</f>
        <v>84468.6752618397</v>
      </c>
      <c r="S235" s="7">
        <f t="shared" ref="S235" ca="1" si="439">R238</f>
        <v>80245.24149874771</v>
      </c>
      <c r="T235" s="7">
        <f t="shared" ref="T235" ca="1" si="440">S238</f>
        <v>76232.97942381032</v>
      </c>
      <c r="U235" s="7">
        <f t="shared" ref="U235" ca="1" si="441">T238</f>
        <v>72421.330452619804</v>
      </c>
      <c r="V235" s="7">
        <f t="shared" ref="V235" ca="1" si="442">U238</f>
        <v>68800.263929988811</v>
      </c>
      <c r="W235" s="7">
        <f t="shared" ref="W235" ca="1" si="443">V238</f>
        <v>65360.250733489367</v>
      </c>
      <c r="X235" s="7">
        <f t="shared" ref="X235" ca="1" si="444">W238</f>
        <v>62092.238196814898</v>
      </c>
      <c r="Y235" s="7">
        <f t="shared" ref="Y235" ca="1" si="445">X238</f>
        <v>58987.626286974155</v>
      </c>
      <c r="Z235" s="7">
        <f t="shared" ref="Z235" ca="1" si="446">Y238</f>
        <v>56038.244972625449</v>
      </c>
      <c r="AA235" s="7">
        <f t="shared" ref="AA235" ca="1" si="447">Z238</f>
        <v>53236.332723994179</v>
      </c>
      <c r="AB235" s="7">
        <f t="shared" ref="AB235" ca="1" si="448">AA238</f>
        <v>50574.516087794473</v>
      </c>
      <c r="AC235" s="7">
        <f t="shared" ref="AC235" ca="1" si="449">AB238</f>
        <v>48045.790283404749</v>
      </c>
      <c r="AD235" s="7">
        <f t="shared" ref="AD235" ca="1" si="450">AC238</f>
        <v>45643.50076923451</v>
      </c>
      <c r="AE235" s="7">
        <f t="shared" ref="AE235" ca="1" si="451">AD238</f>
        <v>43361.325730772784</v>
      </c>
      <c r="AF235" s="7">
        <f t="shared" ref="AF235" ca="1" si="452">AE238</f>
        <v>41193.259444234143</v>
      </c>
      <c r="AG235" s="7">
        <f t="shared" ref="AG235" ca="1" si="453">AF238</f>
        <v>39133.596472022437</v>
      </c>
      <c r="AH235" s="7">
        <f t="shared" ref="AH235" ca="1" si="454">AG238</f>
        <v>37176.916648421313</v>
      </c>
      <c r="AI235" s="7">
        <f t="shared" ref="AI235" ca="1" si="455">AH238</f>
        <v>35318.070816000247</v>
      </c>
      <c r="AJ235" s="7">
        <f t="shared" ref="AJ235" ca="1" si="456">AI238</f>
        <v>33552.167275200234</v>
      </c>
      <c r="AK235" s="7">
        <f t="shared" ref="AK235" ca="1" si="457">AJ238</f>
        <v>31874.558911440221</v>
      </c>
      <c r="AL235" s="7">
        <f t="shared" ref="AL235" ca="1" si="458">AK238</f>
        <v>30280.830965868208</v>
      </c>
      <c r="AM235" s="7">
        <f t="shared" ref="AM235" ca="1" si="459">AL238</f>
        <v>28766.789417574797</v>
      </c>
    </row>
    <row r="236" spans="1:39" x14ac:dyDescent="0.2">
      <c r="A236" s="3" t="s">
        <v>22</v>
      </c>
      <c r="C236" s="7">
        <f ca="1">-IF(D232&gt;0,C235,0)</f>
        <v>0</v>
      </c>
      <c r="D236" s="7">
        <f ca="1">-IF(E232&gt;0,D235,0)</f>
        <v>0</v>
      </c>
      <c r="E236" s="7">
        <f ca="1">-IF(F232&gt;0,E235,0)</f>
        <v>0</v>
      </c>
      <c r="F236" s="7">
        <f ca="1">-IF(G232&gt;0,F235,0)</f>
        <v>0</v>
      </c>
      <c r="G236" s="7">
        <f t="shared" ref="G236" ca="1" si="460">-IF(H232&gt;0,G235,0)</f>
        <v>0</v>
      </c>
      <c r="H236" s="7">
        <f t="shared" ref="H236" ca="1" si="461">-IF(I232&gt;0,H235,0)</f>
        <v>0</v>
      </c>
      <c r="I236" s="7">
        <f t="shared" ref="I236" ca="1" si="462">-IF(J232&gt;0,I235,0)</f>
        <v>0</v>
      </c>
      <c r="J236" s="7">
        <f t="shared" ref="J236" ca="1" si="463">-IF(K232&gt;0,J235,0)</f>
        <v>0</v>
      </c>
      <c r="K236" s="7">
        <f t="shared" ref="K236" ca="1" si="464">-IF(L232&gt;0,K235,0)</f>
        <v>0</v>
      </c>
      <c r="L236" s="7">
        <f t="shared" ref="L236" ca="1" si="465">-IF(M232&gt;0,L235,0)</f>
        <v>0</v>
      </c>
      <c r="M236" s="7">
        <f t="shared" ref="M236" ca="1" si="466">-IF(N232&gt;0,M235,0)</f>
        <v>0</v>
      </c>
      <c r="N236" s="7">
        <f t="shared" ref="N236" ca="1" si="467">-IF(O232&gt;0,N235,0)</f>
        <v>0</v>
      </c>
      <c r="O236" s="7">
        <f t="shared" ref="O236" ca="1" si="468">-IF(P232&gt;0,O235,0)</f>
        <v>0</v>
      </c>
      <c r="P236" s="7">
        <f t="shared" ref="P236" ca="1" si="469">-IF(Q232&gt;0,P235,0)</f>
        <v>0</v>
      </c>
      <c r="Q236" s="7">
        <f t="shared" ref="Q236" ca="1" si="470">-IF(R232&gt;0,Q235,0)</f>
        <v>0</v>
      </c>
      <c r="R236" s="7">
        <f t="shared" ref="R236" ca="1" si="471">-IF(S232&gt;0,R235,0)</f>
        <v>0</v>
      </c>
      <c r="S236" s="7">
        <f t="shared" ref="S236" ca="1" si="472">-IF(T232&gt;0,S235,0)</f>
        <v>0</v>
      </c>
      <c r="T236" s="7">
        <f t="shared" ref="T236" ca="1" si="473">-IF(U232&gt;0,T235,0)</f>
        <v>0</v>
      </c>
      <c r="U236" s="7">
        <f t="shared" ref="U236" ca="1" si="474">-IF(V232&gt;0,U235,0)</f>
        <v>0</v>
      </c>
      <c r="V236" s="7">
        <f t="shared" ref="V236" ca="1" si="475">-IF(W232&gt;0,V235,0)</f>
        <v>0</v>
      </c>
      <c r="W236" s="7">
        <f t="shared" ref="W236" ca="1" si="476">-IF(X232&gt;0,W235,0)</f>
        <v>0</v>
      </c>
      <c r="X236" s="7">
        <f t="shared" ref="X236" ca="1" si="477">-IF(Y232&gt;0,X235,0)</f>
        <v>0</v>
      </c>
      <c r="Y236" s="7">
        <f t="shared" ref="Y236" ca="1" si="478">-IF(Z232&gt;0,Y235,0)</f>
        <v>0</v>
      </c>
      <c r="Z236" s="7">
        <f t="shared" ref="Z236" ca="1" si="479">-IF(AA232&gt;0,Z235,0)</f>
        <v>0</v>
      </c>
      <c r="AA236" s="7">
        <f t="shared" ref="AA236" ca="1" si="480">-IF(AB232&gt;0,AA235,0)</f>
        <v>0</v>
      </c>
      <c r="AB236" s="7">
        <f t="shared" ref="AB236" ca="1" si="481">-IF(AC232&gt;0,AB235,0)</f>
        <v>0</v>
      </c>
      <c r="AC236" s="7">
        <f t="shared" ref="AC236" ca="1" si="482">-IF(AD232&gt;0,AC235,0)</f>
        <v>0</v>
      </c>
      <c r="AD236" s="7">
        <f t="shared" ref="AD236" ca="1" si="483">-IF(AE232&gt;0,AD235,0)</f>
        <v>0</v>
      </c>
      <c r="AE236" s="7">
        <f t="shared" ref="AE236" ca="1" si="484">-IF(AF232&gt;0,AE235,0)</f>
        <v>0</v>
      </c>
      <c r="AF236" s="7">
        <f t="shared" ref="AF236" ca="1" si="485">-IF(AG232&gt;0,AF235,0)</f>
        <v>0</v>
      </c>
      <c r="AG236" s="7">
        <f t="shared" ref="AG236" ca="1" si="486">-IF(AH232&gt;0,AG235,0)</f>
        <v>0</v>
      </c>
      <c r="AH236" s="7">
        <f t="shared" ref="AH236" ca="1" si="487">-IF(AI232&gt;0,AH235,0)</f>
        <v>0</v>
      </c>
      <c r="AI236" s="7">
        <f t="shared" ref="AI236" ca="1" si="488">-IF(AJ232&gt;0,AI235,0)</f>
        <v>0</v>
      </c>
      <c r="AJ236" s="7">
        <f t="shared" ref="AJ236" ca="1" si="489">-IF(AK232&gt;0,AJ235,0)</f>
        <v>0</v>
      </c>
      <c r="AK236" s="7">
        <f t="shared" ref="AK236" ca="1" si="490">-IF(AL232&gt;0,AK235,0)</f>
        <v>0</v>
      </c>
      <c r="AL236" s="7">
        <f t="shared" ref="AL236" ca="1" si="491">-IF(AM232&gt;0,AL235,0)</f>
        <v>0</v>
      </c>
      <c r="AM236" s="7">
        <f t="shared" ref="AM236" si="492">-IF(AN232&gt;0,AM235,0)</f>
        <v>0</v>
      </c>
    </row>
    <row r="237" spans="1:39" x14ac:dyDescent="0.2">
      <c r="A237" s="3" t="s">
        <v>23</v>
      </c>
      <c r="C237" s="7">
        <v>0</v>
      </c>
      <c r="D237" s="7">
        <f t="shared" ref="D237:AM237" ca="1" si="493">SUM(D235:D236)*VLOOKUP($A234,AssVar,2,FALSE)</f>
        <v>-8660.3454020786594</v>
      </c>
      <c r="E237" s="7">
        <f t="shared" ca="1" si="493"/>
        <v>-8227.3281319747275</v>
      </c>
      <c r="F237" s="7">
        <f t="shared" ca="1" si="493"/>
        <v>-7815.9617253759907</v>
      </c>
      <c r="G237" s="7">
        <f t="shared" ca="1" si="493"/>
        <v>-7425.1636391071916</v>
      </c>
      <c r="H237" s="7">
        <f t="shared" ca="1" si="493"/>
        <v>-7053.9054571518318</v>
      </c>
      <c r="I237" s="7">
        <f t="shared" ca="1" si="493"/>
        <v>-6701.2101842942402</v>
      </c>
      <c r="J237" s="7">
        <f t="shared" ca="1" si="493"/>
        <v>-6366.1496750795286</v>
      </c>
      <c r="K237" s="7">
        <f t="shared" ca="1" si="493"/>
        <v>-6047.8421913255515</v>
      </c>
      <c r="L237" s="7">
        <f t="shared" ca="1" si="493"/>
        <v>-5745.4500817592743</v>
      </c>
      <c r="M237" s="7">
        <f t="shared" ca="1" si="493"/>
        <v>-5458.1775776713102</v>
      </c>
      <c r="N237" s="7">
        <f t="shared" ca="1" si="493"/>
        <v>-5185.2686987877451</v>
      </c>
      <c r="O237" s="7">
        <f t="shared" ca="1" si="493"/>
        <v>-4926.0052638483576</v>
      </c>
      <c r="P237" s="7">
        <f t="shared" ca="1" si="493"/>
        <v>-4679.7050006559393</v>
      </c>
      <c r="Q237" s="7">
        <f t="shared" ca="1" si="493"/>
        <v>-4445.7197506231423</v>
      </c>
      <c r="R237" s="7">
        <f t="shared" ca="1" si="493"/>
        <v>-4223.4337630919854</v>
      </c>
      <c r="S237" s="7">
        <f t="shared" ca="1" si="493"/>
        <v>-4012.2620749373855</v>
      </c>
      <c r="T237" s="7">
        <f t="shared" ca="1" si="493"/>
        <v>-3811.648971190516</v>
      </c>
      <c r="U237" s="7">
        <f t="shared" ca="1" si="493"/>
        <v>-3621.0665226309902</v>
      </c>
      <c r="V237" s="7">
        <f t="shared" ca="1" si="493"/>
        <v>-3440.0131964994407</v>
      </c>
      <c r="W237" s="7">
        <f t="shared" ca="1" si="493"/>
        <v>-3268.0125366744687</v>
      </c>
      <c r="X237" s="7">
        <f t="shared" ca="1" si="493"/>
        <v>-3104.6119098407453</v>
      </c>
      <c r="Y237" s="7">
        <f t="shared" ca="1" si="493"/>
        <v>-2949.3813143487077</v>
      </c>
      <c r="Z237" s="7">
        <f t="shared" ca="1" si="493"/>
        <v>-2801.9122486312726</v>
      </c>
      <c r="AA237" s="7">
        <f t="shared" ca="1" si="493"/>
        <v>-2661.8166361997091</v>
      </c>
      <c r="AB237" s="7">
        <f t="shared" ca="1" si="493"/>
        <v>-2528.7258043897236</v>
      </c>
      <c r="AC237" s="7">
        <f t="shared" ca="1" si="493"/>
        <v>-2402.2895141702375</v>
      </c>
      <c r="AD237" s="7">
        <f t="shared" ca="1" si="493"/>
        <v>-2282.1750384617258</v>
      </c>
      <c r="AE237" s="7">
        <f t="shared" ca="1" si="493"/>
        <v>-2168.0662865386394</v>
      </c>
      <c r="AF237" s="7">
        <f t="shared" ca="1" si="493"/>
        <v>-2059.6629722117073</v>
      </c>
      <c r="AG237" s="7">
        <f t="shared" ca="1" si="493"/>
        <v>-1956.6798236011218</v>
      </c>
      <c r="AH237" s="7">
        <f t="shared" ca="1" si="493"/>
        <v>-1858.8458324210658</v>
      </c>
      <c r="AI237" s="7">
        <f t="shared" ca="1" si="493"/>
        <v>-1765.9035408000125</v>
      </c>
      <c r="AJ237" s="7">
        <f t="shared" ca="1" si="493"/>
        <v>-1677.6083637600118</v>
      </c>
      <c r="AK237" s="7">
        <f t="shared" ca="1" si="493"/>
        <v>-1593.7279455720111</v>
      </c>
      <c r="AL237" s="7">
        <f t="shared" ca="1" si="493"/>
        <v>-1514.0415482934104</v>
      </c>
      <c r="AM237" s="7">
        <f t="shared" ca="1" si="493"/>
        <v>-1438.33947087874</v>
      </c>
    </row>
    <row r="238" spans="1:39" x14ac:dyDescent="0.2">
      <c r="A238" s="3" t="s">
        <v>24</v>
      </c>
      <c r="C238" s="7">
        <f ca="1">SUM(C235:C237)</f>
        <v>173206.90804157319</v>
      </c>
      <c r="D238" s="7">
        <f t="shared" ref="D238:AM238" ca="1" si="494">SUM(D235:D237)</f>
        <v>164546.56263949454</v>
      </c>
      <c r="E238" s="7">
        <f t="shared" ca="1" si="494"/>
        <v>156319.23450751981</v>
      </c>
      <c r="F238" s="7">
        <f t="shared" ca="1" si="494"/>
        <v>148503.27278214382</v>
      </c>
      <c r="G238" s="7">
        <f t="shared" ca="1" si="494"/>
        <v>141078.10914303662</v>
      </c>
      <c r="H238" s="7">
        <f t="shared" ca="1" si="494"/>
        <v>134024.2036858848</v>
      </c>
      <c r="I238" s="7">
        <f t="shared" ca="1" si="494"/>
        <v>127322.99350159056</v>
      </c>
      <c r="J238" s="7">
        <f t="shared" ca="1" si="494"/>
        <v>120956.84382651103</v>
      </c>
      <c r="K238" s="7">
        <f t="shared" ca="1" si="494"/>
        <v>114909.00163518547</v>
      </c>
      <c r="L238" s="7">
        <f t="shared" ca="1" si="494"/>
        <v>109163.55155342619</v>
      </c>
      <c r="M238" s="7">
        <f t="shared" ca="1" si="494"/>
        <v>103705.37397575489</v>
      </c>
      <c r="N238" s="7">
        <f t="shared" ca="1" si="494"/>
        <v>98520.105276967151</v>
      </c>
      <c r="O238" s="7">
        <f t="shared" ca="1" si="494"/>
        <v>93594.10001311879</v>
      </c>
      <c r="P238" s="7">
        <f t="shared" ca="1" si="494"/>
        <v>88914.395012462846</v>
      </c>
      <c r="Q238" s="7">
        <f t="shared" ca="1" si="494"/>
        <v>84468.6752618397</v>
      </c>
      <c r="R238" s="7">
        <f t="shared" ca="1" si="494"/>
        <v>80245.24149874771</v>
      </c>
      <c r="S238" s="7">
        <f t="shared" ca="1" si="494"/>
        <v>76232.97942381032</v>
      </c>
      <c r="T238" s="7">
        <f t="shared" ca="1" si="494"/>
        <v>72421.330452619804</v>
      </c>
      <c r="U238" s="7">
        <f t="shared" ca="1" si="494"/>
        <v>68800.263929988811</v>
      </c>
      <c r="V238" s="7">
        <f t="shared" ca="1" si="494"/>
        <v>65360.250733489367</v>
      </c>
      <c r="W238" s="7">
        <f t="shared" ca="1" si="494"/>
        <v>62092.238196814898</v>
      </c>
      <c r="X238" s="7">
        <f t="shared" ca="1" si="494"/>
        <v>58987.626286974155</v>
      </c>
      <c r="Y238" s="7">
        <f t="shared" ca="1" si="494"/>
        <v>56038.244972625449</v>
      </c>
      <c r="Z238" s="7">
        <f t="shared" ca="1" si="494"/>
        <v>53236.332723994179</v>
      </c>
      <c r="AA238" s="7">
        <f t="shared" ca="1" si="494"/>
        <v>50574.516087794473</v>
      </c>
      <c r="AB238" s="7">
        <f t="shared" ca="1" si="494"/>
        <v>48045.790283404749</v>
      </c>
      <c r="AC238" s="7">
        <f t="shared" ca="1" si="494"/>
        <v>45643.50076923451</v>
      </c>
      <c r="AD238" s="7">
        <f t="shared" ca="1" si="494"/>
        <v>43361.325730772784</v>
      </c>
      <c r="AE238" s="7">
        <f t="shared" ca="1" si="494"/>
        <v>41193.259444234143</v>
      </c>
      <c r="AF238" s="7">
        <f t="shared" ca="1" si="494"/>
        <v>39133.596472022437</v>
      </c>
      <c r="AG238" s="7">
        <f t="shared" ca="1" si="494"/>
        <v>37176.916648421313</v>
      </c>
      <c r="AH238" s="7">
        <f t="shared" ca="1" si="494"/>
        <v>35318.070816000247</v>
      </c>
      <c r="AI238" s="7">
        <f t="shared" ca="1" si="494"/>
        <v>33552.167275200234</v>
      </c>
      <c r="AJ238" s="7">
        <f t="shared" ca="1" si="494"/>
        <v>31874.558911440221</v>
      </c>
      <c r="AK238" s="7">
        <f t="shared" ca="1" si="494"/>
        <v>30280.830965868208</v>
      </c>
      <c r="AL238" s="7">
        <f t="shared" ca="1" si="494"/>
        <v>28766.789417574797</v>
      </c>
      <c r="AM238" s="7">
        <f t="shared" ca="1" si="494"/>
        <v>27328.449946696055</v>
      </c>
    </row>
    <row r="239" spans="1:39" x14ac:dyDescent="0.2">
      <c r="A239" s="3" t="s">
        <v>25</v>
      </c>
      <c r="C239" s="7">
        <f t="shared" ref="C239:AM239" ca="1" si="495">C236*VLOOKUP($A234,AssVar,3,FALSE)</f>
        <v>0</v>
      </c>
      <c r="D239" s="7">
        <f t="shared" ca="1" si="495"/>
        <v>0</v>
      </c>
      <c r="E239" s="7">
        <f t="shared" ca="1" si="495"/>
        <v>0</v>
      </c>
      <c r="F239" s="7">
        <f t="shared" ca="1" si="495"/>
        <v>0</v>
      </c>
      <c r="G239" s="7">
        <f t="shared" ca="1" si="495"/>
        <v>0</v>
      </c>
      <c r="H239" s="7">
        <f t="shared" ca="1" si="495"/>
        <v>0</v>
      </c>
      <c r="I239" s="7">
        <f t="shared" ca="1" si="495"/>
        <v>0</v>
      </c>
      <c r="J239" s="7">
        <f t="shared" ca="1" si="495"/>
        <v>0</v>
      </c>
      <c r="K239" s="7">
        <f t="shared" ca="1" si="495"/>
        <v>0</v>
      </c>
      <c r="L239" s="7">
        <f t="shared" ca="1" si="495"/>
        <v>0</v>
      </c>
      <c r="M239" s="7">
        <f t="shared" ca="1" si="495"/>
        <v>0</v>
      </c>
      <c r="N239" s="7">
        <f t="shared" ca="1" si="495"/>
        <v>0</v>
      </c>
      <c r="O239" s="7">
        <f t="shared" ca="1" si="495"/>
        <v>0</v>
      </c>
      <c r="P239" s="7">
        <f t="shared" ca="1" si="495"/>
        <v>0</v>
      </c>
      <c r="Q239" s="7">
        <f t="shared" ca="1" si="495"/>
        <v>0</v>
      </c>
      <c r="R239" s="7">
        <f t="shared" ca="1" si="495"/>
        <v>0</v>
      </c>
      <c r="S239" s="7">
        <f t="shared" ca="1" si="495"/>
        <v>0</v>
      </c>
      <c r="T239" s="7">
        <f t="shared" ca="1" si="495"/>
        <v>0</v>
      </c>
      <c r="U239" s="7">
        <f t="shared" ca="1" si="495"/>
        <v>0</v>
      </c>
      <c r="V239" s="7">
        <f t="shared" ca="1" si="495"/>
        <v>0</v>
      </c>
      <c r="W239" s="7">
        <f t="shared" ca="1" si="495"/>
        <v>0</v>
      </c>
      <c r="X239" s="7">
        <f t="shared" ca="1" si="495"/>
        <v>0</v>
      </c>
      <c r="Y239" s="7">
        <f t="shared" ca="1" si="495"/>
        <v>0</v>
      </c>
      <c r="Z239" s="7">
        <f t="shared" ca="1" si="495"/>
        <v>0</v>
      </c>
      <c r="AA239" s="7">
        <f t="shared" ca="1" si="495"/>
        <v>0</v>
      </c>
      <c r="AB239" s="7">
        <f t="shared" ca="1" si="495"/>
        <v>0</v>
      </c>
      <c r="AC239" s="7">
        <f t="shared" ca="1" si="495"/>
        <v>0</v>
      </c>
      <c r="AD239" s="7">
        <f t="shared" ca="1" si="495"/>
        <v>0</v>
      </c>
      <c r="AE239" s="7">
        <f t="shared" ca="1" si="495"/>
        <v>0</v>
      </c>
      <c r="AF239" s="7">
        <f t="shared" ca="1" si="495"/>
        <v>0</v>
      </c>
      <c r="AG239" s="7">
        <f t="shared" ca="1" si="495"/>
        <v>0</v>
      </c>
      <c r="AH239" s="7">
        <f t="shared" ca="1" si="495"/>
        <v>0</v>
      </c>
      <c r="AI239" s="7">
        <f t="shared" ca="1" si="495"/>
        <v>0</v>
      </c>
      <c r="AJ239" s="7">
        <f t="shared" ca="1" si="495"/>
        <v>0</v>
      </c>
      <c r="AK239" s="7">
        <f t="shared" ca="1" si="495"/>
        <v>0</v>
      </c>
      <c r="AL239" s="7">
        <f t="shared" ca="1" si="495"/>
        <v>0</v>
      </c>
      <c r="AM239" s="7">
        <f t="shared" si="495"/>
        <v>0</v>
      </c>
    </row>
    <row r="240" spans="1:39" x14ac:dyDescent="0.2">
      <c r="A240" s="3" t="s">
        <v>30</v>
      </c>
      <c r="C240" s="7">
        <f t="shared" ref="C240:AM240" ca="1" si="496">IFERROR(-IF(C235=0,VLOOKUP($A234,$8:$12,C$1+2,FALSE),0),0)</f>
        <v>0</v>
      </c>
      <c r="D240" s="7">
        <f t="shared" ca="1" si="496"/>
        <v>0</v>
      </c>
      <c r="E240" s="7">
        <f t="shared" ca="1" si="496"/>
        <v>0</v>
      </c>
      <c r="F240" s="7">
        <f t="shared" ca="1" si="496"/>
        <v>0</v>
      </c>
      <c r="G240" s="7">
        <f t="shared" ca="1" si="496"/>
        <v>0</v>
      </c>
      <c r="H240" s="7">
        <f t="shared" ca="1" si="496"/>
        <v>0</v>
      </c>
      <c r="I240" s="7">
        <f t="shared" ca="1" si="496"/>
        <v>0</v>
      </c>
      <c r="J240" s="7">
        <f t="shared" ca="1" si="496"/>
        <v>0</v>
      </c>
      <c r="K240" s="7">
        <f t="shared" ca="1" si="496"/>
        <v>0</v>
      </c>
      <c r="L240" s="7">
        <f t="shared" ca="1" si="496"/>
        <v>0</v>
      </c>
      <c r="M240" s="7">
        <f t="shared" ca="1" si="496"/>
        <v>0</v>
      </c>
      <c r="N240" s="7">
        <f t="shared" ca="1" si="496"/>
        <v>0</v>
      </c>
      <c r="O240" s="7">
        <f t="shared" ca="1" si="496"/>
        <v>0</v>
      </c>
      <c r="P240" s="7">
        <f t="shared" ca="1" si="496"/>
        <v>0</v>
      </c>
      <c r="Q240" s="7">
        <f t="shared" ca="1" si="496"/>
        <v>0</v>
      </c>
      <c r="R240" s="7">
        <f t="shared" ca="1" si="496"/>
        <v>0</v>
      </c>
      <c r="S240" s="7">
        <f t="shared" ca="1" si="496"/>
        <v>0</v>
      </c>
      <c r="T240" s="7">
        <f t="shared" ca="1" si="496"/>
        <v>0</v>
      </c>
      <c r="U240" s="7">
        <f t="shared" ca="1" si="496"/>
        <v>0</v>
      </c>
      <c r="V240" s="7">
        <f t="shared" ca="1" si="496"/>
        <v>0</v>
      </c>
      <c r="W240" s="7">
        <f t="shared" ca="1" si="496"/>
        <v>0</v>
      </c>
      <c r="X240" s="7">
        <f t="shared" ca="1" si="496"/>
        <v>0</v>
      </c>
      <c r="Y240" s="7">
        <f t="shared" ca="1" si="496"/>
        <v>0</v>
      </c>
      <c r="Z240" s="7">
        <f t="shared" ca="1" si="496"/>
        <v>0</v>
      </c>
      <c r="AA240" s="7">
        <f t="shared" ca="1" si="496"/>
        <v>0</v>
      </c>
      <c r="AB240" s="7">
        <f t="shared" ca="1" si="496"/>
        <v>0</v>
      </c>
      <c r="AC240" s="7">
        <f t="shared" ca="1" si="496"/>
        <v>0</v>
      </c>
      <c r="AD240" s="7">
        <f t="shared" ca="1" si="496"/>
        <v>0</v>
      </c>
      <c r="AE240" s="7">
        <f t="shared" ca="1" si="496"/>
        <v>0</v>
      </c>
      <c r="AF240" s="7">
        <f t="shared" ca="1" si="496"/>
        <v>0</v>
      </c>
      <c r="AG240" s="7">
        <f t="shared" ca="1" si="496"/>
        <v>0</v>
      </c>
      <c r="AH240" s="7">
        <f t="shared" ca="1" si="496"/>
        <v>0</v>
      </c>
      <c r="AI240" s="7">
        <f t="shared" ca="1" si="496"/>
        <v>0</v>
      </c>
      <c r="AJ240" s="7">
        <f t="shared" ca="1" si="496"/>
        <v>0</v>
      </c>
      <c r="AK240" s="7">
        <f t="shared" ca="1" si="496"/>
        <v>0</v>
      </c>
      <c r="AL240" s="7">
        <f t="shared" ca="1" si="496"/>
        <v>0</v>
      </c>
      <c r="AM240" s="7">
        <f t="shared" ca="1" si="496"/>
        <v>0</v>
      </c>
    </row>
    <row r="241" spans="1:39" x14ac:dyDescent="0.2">
      <c r="A241" s="3" t="s">
        <v>49</v>
      </c>
      <c r="C241" s="7">
        <f t="shared" ref="C241:AM241" ca="1" si="497">IFERROR(IF(C235=0,VLOOKUP($A234,$46:$50,C$1+2,FALSE),0),0)</f>
        <v>0</v>
      </c>
      <c r="D241" s="7">
        <f t="shared" ca="1" si="497"/>
        <v>0</v>
      </c>
      <c r="E241" s="7">
        <f t="shared" ca="1" si="497"/>
        <v>0</v>
      </c>
      <c r="F241" s="7">
        <f t="shared" ca="1" si="497"/>
        <v>0</v>
      </c>
      <c r="G241" s="7">
        <f t="shared" ca="1" si="497"/>
        <v>0</v>
      </c>
      <c r="H241" s="7">
        <f t="shared" ca="1" si="497"/>
        <v>0</v>
      </c>
      <c r="I241" s="7">
        <f t="shared" ca="1" si="497"/>
        <v>0</v>
      </c>
      <c r="J241" s="7">
        <f t="shared" ca="1" si="497"/>
        <v>0</v>
      </c>
      <c r="K241" s="7">
        <f t="shared" ca="1" si="497"/>
        <v>0</v>
      </c>
      <c r="L241" s="7">
        <f t="shared" ca="1" si="497"/>
        <v>0</v>
      </c>
      <c r="M241" s="7">
        <f t="shared" ca="1" si="497"/>
        <v>0</v>
      </c>
      <c r="N241" s="7">
        <f t="shared" ca="1" si="497"/>
        <v>0</v>
      </c>
      <c r="O241" s="7">
        <f t="shared" ca="1" si="497"/>
        <v>0</v>
      </c>
      <c r="P241" s="7">
        <f t="shared" ca="1" si="497"/>
        <v>0</v>
      </c>
      <c r="Q241" s="7">
        <f t="shared" ca="1" si="497"/>
        <v>0</v>
      </c>
      <c r="R241" s="7">
        <f t="shared" ca="1" si="497"/>
        <v>0</v>
      </c>
      <c r="S241" s="7">
        <f t="shared" ca="1" si="497"/>
        <v>0</v>
      </c>
      <c r="T241" s="7">
        <f t="shared" ca="1" si="497"/>
        <v>0</v>
      </c>
      <c r="U241" s="7">
        <f t="shared" ca="1" si="497"/>
        <v>0</v>
      </c>
      <c r="V241" s="7">
        <f t="shared" ca="1" si="497"/>
        <v>0</v>
      </c>
      <c r="W241" s="7">
        <f t="shared" ca="1" si="497"/>
        <v>0</v>
      </c>
      <c r="X241" s="7">
        <f t="shared" ca="1" si="497"/>
        <v>0</v>
      </c>
      <c r="Y241" s="7">
        <f t="shared" ca="1" si="497"/>
        <v>0</v>
      </c>
      <c r="Z241" s="7">
        <f t="shared" ca="1" si="497"/>
        <v>0</v>
      </c>
      <c r="AA241" s="7">
        <f t="shared" ca="1" si="497"/>
        <v>0</v>
      </c>
      <c r="AB241" s="7">
        <f t="shared" ca="1" si="497"/>
        <v>0</v>
      </c>
      <c r="AC241" s="7">
        <f t="shared" ca="1" si="497"/>
        <v>0</v>
      </c>
      <c r="AD241" s="7">
        <f t="shared" ca="1" si="497"/>
        <v>0</v>
      </c>
      <c r="AE241" s="7">
        <f t="shared" ca="1" si="497"/>
        <v>0</v>
      </c>
      <c r="AF241" s="7">
        <f t="shared" ca="1" si="497"/>
        <v>0</v>
      </c>
      <c r="AG241" s="7">
        <f t="shared" ca="1" si="497"/>
        <v>0</v>
      </c>
      <c r="AH241" s="7">
        <f t="shared" ca="1" si="497"/>
        <v>0</v>
      </c>
      <c r="AI241" s="7">
        <f t="shared" ca="1" si="497"/>
        <v>0</v>
      </c>
      <c r="AJ241" s="7">
        <f t="shared" ca="1" si="497"/>
        <v>0</v>
      </c>
      <c r="AK241" s="7">
        <f t="shared" ca="1" si="497"/>
        <v>0</v>
      </c>
      <c r="AL241" s="7">
        <f t="shared" ca="1" si="497"/>
        <v>0</v>
      </c>
      <c r="AM241" s="7">
        <f t="shared" ca="1" si="497"/>
        <v>0</v>
      </c>
    </row>
    <row r="242" spans="1:39" x14ac:dyDescent="0.2">
      <c r="A242" s="3" t="s">
        <v>35</v>
      </c>
      <c r="B242" s="14" t="str">
        <f>A234</f>
        <v>Boat</v>
      </c>
      <c r="C242" s="7">
        <f t="shared" ref="C242:AM242" ca="1" si="498">IF(AND(C235&gt;0,C238=0),VLOOKUP($A234,$86:$95,C$1+2,FALSE),0)</f>
        <v>0</v>
      </c>
      <c r="D242" s="7">
        <f t="shared" ca="1" si="498"/>
        <v>0</v>
      </c>
      <c r="E242" s="7">
        <f t="shared" ca="1" si="498"/>
        <v>0</v>
      </c>
      <c r="F242" s="7">
        <f t="shared" ca="1" si="498"/>
        <v>0</v>
      </c>
      <c r="G242" s="7">
        <f t="shared" ca="1" si="498"/>
        <v>0</v>
      </c>
      <c r="H242" s="7">
        <f t="shared" ca="1" si="498"/>
        <v>0</v>
      </c>
      <c r="I242" s="7">
        <f t="shared" ca="1" si="498"/>
        <v>0</v>
      </c>
      <c r="J242" s="7">
        <f t="shared" ca="1" si="498"/>
        <v>0</v>
      </c>
      <c r="K242" s="7">
        <f t="shared" ca="1" si="498"/>
        <v>0</v>
      </c>
      <c r="L242" s="7">
        <f t="shared" ca="1" si="498"/>
        <v>0</v>
      </c>
      <c r="M242" s="7">
        <f t="shared" ca="1" si="498"/>
        <v>0</v>
      </c>
      <c r="N242" s="7">
        <f t="shared" ca="1" si="498"/>
        <v>0</v>
      </c>
      <c r="O242" s="7">
        <f t="shared" ca="1" si="498"/>
        <v>0</v>
      </c>
      <c r="P242" s="7">
        <f t="shared" ca="1" si="498"/>
        <v>0</v>
      </c>
      <c r="Q242" s="7">
        <f t="shared" ca="1" si="498"/>
        <v>0</v>
      </c>
      <c r="R242" s="7">
        <f t="shared" ca="1" si="498"/>
        <v>0</v>
      </c>
      <c r="S242" s="7">
        <f t="shared" ca="1" si="498"/>
        <v>0</v>
      </c>
      <c r="T242" s="7">
        <f t="shared" ca="1" si="498"/>
        <v>0</v>
      </c>
      <c r="U242" s="7">
        <f t="shared" ca="1" si="498"/>
        <v>0</v>
      </c>
      <c r="V242" s="7">
        <f t="shared" ca="1" si="498"/>
        <v>0</v>
      </c>
      <c r="W242" s="7">
        <f t="shared" ca="1" si="498"/>
        <v>0</v>
      </c>
      <c r="X242" s="7">
        <f t="shared" ca="1" si="498"/>
        <v>0</v>
      </c>
      <c r="Y242" s="7">
        <f t="shared" ca="1" si="498"/>
        <v>0</v>
      </c>
      <c r="Z242" s="7">
        <f t="shared" ca="1" si="498"/>
        <v>0</v>
      </c>
      <c r="AA242" s="7">
        <f t="shared" ca="1" si="498"/>
        <v>0</v>
      </c>
      <c r="AB242" s="7">
        <f t="shared" ca="1" si="498"/>
        <v>0</v>
      </c>
      <c r="AC242" s="7">
        <f t="shared" ca="1" si="498"/>
        <v>0</v>
      </c>
      <c r="AD242" s="7">
        <f t="shared" ca="1" si="498"/>
        <v>0</v>
      </c>
      <c r="AE242" s="7">
        <f t="shared" ca="1" si="498"/>
        <v>0</v>
      </c>
      <c r="AF242" s="7">
        <f t="shared" ca="1" si="498"/>
        <v>0</v>
      </c>
      <c r="AG242" s="7">
        <f t="shared" ca="1" si="498"/>
        <v>0</v>
      </c>
      <c r="AH242" s="7">
        <f t="shared" ca="1" si="498"/>
        <v>0</v>
      </c>
      <c r="AI242" s="7">
        <f t="shared" ca="1" si="498"/>
        <v>0</v>
      </c>
      <c r="AJ242" s="7">
        <f t="shared" ca="1" si="498"/>
        <v>0</v>
      </c>
      <c r="AK242" s="7">
        <f t="shared" ca="1" si="498"/>
        <v>0</v>
      </c>
      <c r="AL242" s="7">
        <f t="shared" ca="1" si="498"/>
        <v>0</v>
      </c>
      <c r="AM242" s="7">
        <f t="shared" ca="1" si="498"/>
        <v>0</v>
      </c>
    </row>
    <row r="243" spans="1:39" x14ac:dyDescent="0.2">
      <c r="A243" s="3" t="s">
        <v>36</v>
      </c>
      <c r="C243" s="7">
        <f ca="1">-C236+SUM(C239:C242)</f>
        <v>0</v>
      </c>
      <c r="D243" s="7">
        <f t="shared" ref="D243" ca="1" si="499">-D236+SUM(D239:D242)</f>
        <v>0</v>
      </c>
      <c r="E243" s="7">
        <f t="shared" ref="E243:AM243" ca="1" si="500">-E236+SUM(E239:E242)</f>
        <v>0</v>
      </c>
      <c r="F243" s="7">
        <f t="shared" ca="1" si="500"/>
        <v>0</v>
      </c>
      <c r="G243" s="7">
        <f t="shared" ca="1" si="500"/>
        <v>0</v>
      </c>
      <c r="H243" s="7">
        <f t="shared" ca="1" si="500"/>
        <v>0</v>
      </c>
      <c r="I243" s="7">
        <f t="shared" ca="1" si="500"/>
        <v>0</v>
      </c>
      <c r="J243" s="7">
        <f t="shared" ca="1" si="500"/>
        <v>0</v>
      </c>
      <c r="K243" s="7">
        <f t="shared" ca="1" si="500"/>
        <v>0</v>
      </c>
      <c r="L243" s="7">
        <f t="shared" ca="1" si="500"/>
        <v>0</v>
      </c>
      <c r="M243" s="7">
        <f t="shared" ca="1" si="500"/>
        <v>0</v>
      </c>
      <c r="N243" s="7">
        <f t="shared" ca="1" si="500"/>
        <v>0</v>
      </c>
      <c r="O243" s="7">
        <f t="shared" ca="1" si="500"/>
        <v>0</v>
      </c>
      <c r="P243" s="7">
        <f t="shared" ca="1" si="500"/>
        <v>0</v>
      </c>
      <c r="Q243" s="7">
        <f t="shared" ca="1" si="500"/>
        <v>0</v>
      </c>
      <c r="R243" s="7">
        <f t="shared" ca="1" si="500"/>
        <v>0</v>
      </c>
      <c r="S243" s="7">
        <f t="shared" ca="1" si="500"/>
        <v>0</v>
      </c>
      <c r="T243" s="7">
        <f t="shared" ca="1" si="500"/>
        <v>0</v>
      </c>
      <c r="U243" s="7">
        <f t="shared" ca="1" si="500"/>
        <v>0</v>
      </c>
      <c r="V243" s="7">
        <f t="shared" ca="1" si="500"/>
        <v>0</v>
      </c>
      <c r="W243" s="7">
        <f t="shared" ca="1" si="500"/>
        <v>0</v>
      </c>
      <c r="X243" s="7">
        <f t="shared" ca="1" si="500"/>
        <v>0</v>
      </c>
      <c r="Y243" s="7">
        <f t="shared" ca="1" si="500"/>
        <v>0</v>
      </c>
      <c r="Z243" s="7">
        <f t="shared" ca="1" si="500"/>
        <v>0</v>
      </c>
      <c r="AA243" s="7">
        <f t="shared" ca="1" si="500"/>
        <v>0</v>
      </c>
      <c r="AB243" s="7">
        <f t="shared" ca="1" si="500"/>
        <v>0</v>
      </c>
      <c r="AC243" s="7">
        <f t="shared" ca="1" si="500"/>
        <v>0</v>
      </c>
      <c r="AD243" s="7">
        <f t="shared" ca="1" si="500"/>
        <v>0</v>
      </c>
      <c r="AE243" s="7">
        <f t="shared" ca="1" si="500"/>
        <v>0</v>
      </c>
      <c r="AF243" s="7">
        <f t="shared" ca="1" si="500"/>
        <v>0</v>
      </c>
      <c r="AG243" s="7">
        <f t="shared" ca="1" si="500"/>
        <v>0</v>
      </c>
      <c r="AH243" s="7">
        <f t="shared" ca="1" si="500"/>
        <v>0</v>
      </c>
      <c r="AI243" s="7">
        <f t="shared" ca="1" si="500"/>
        <v>0</v>
      </c>
      <c r="AJ243" s="7">
        <f t="shared" ca="1" si="500"/>
        <v>0</v>
      </c>
      <c r="AK243" s="7">
        <f t="shared" ca="1" si="500"/>
        <v>0</v>
      </c>
      <c r="AL243" s="7">
        <f t="shared" ca="1" si="500"/>
        <v>0</v>
      </c>
      <c r="AM243" s="7">
        <f t="shared" ca="1" si="500"/>
        <v>0</v>
      </c>
    </row>
    <row r="244" spans="1:39" x14ac:dyDescent="0.2">
      <c r="A244" s="3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  <c r="AB244" s="7"/>
      <c r="AC244" s="7"/>
      <c r="AD244" s="7"/>
      <c r="AE244" s="7"/>
      <c r="AF244" s="7"/>
      <c r="AG244" s="7"/>
      <c r="AH244" s="7"/>
      <c r="AI244" s="7"/>
      <c r="AJ244" s="7"/>
      <c r="AK244" s="7"/>
      <c r="AL244" s="7"/>
      <c r="AM244" s="7"/>
    </row>
    <row r="245" spans="1:39" x14ac:dyDescent="0.2">
      <c r="A245" s="3" t="s">
        <v>70</v>
      </c>
      <c r="C245" s="7">
        <f ca="1">C231+SUM($C243:C243)</f>
        <v>12919.0625</v>
      </c>
      <c r="D245" s="7">
        <f ca="1">D231+SUM($C243:D243)</f>
        <v>22490.535937499997</v>
      </c>
      <c r="E245" s="7">
        <f ca="1">E231+SUM($C243:E243)</f>
        <v>38207.499804687497</v>
      </c>
      <c r="F245" s="7">
        <f ca="1">F231+SUM($C243:F243)</f>
        <v>35714.080452231734</v>
      </c>
      <c r="G245" s="7">
        <f ca="1">G231+SUM($C243:G243)</f>
        <v>229276.11396248138</v>
      </c>
      <c r="H245" s="7">
        <f ca="1">H231+SUM($C243:H243)</f>
        <v>271025.81800930644</v>
      </c>
      <c r="I245" s="7">
        <f ca="1">I231+SUM($C243:I243)</f>
        <v>332892.09672247234</v>
      </c>
      <c r="J245" s="7">
        <f ca="1">J231+SUM($C243:J243)</f>
        <v>399181.31879998074</v>
      </c>
      <c r="K245" s="7">
        <f ca="1">K231+SUM($C243:K243)</f>
        <v>452080.69175229734</v>
      </c>
      <c r="L245" s="7">
        <f ca="1">L231+SUM($C243:L243)</f>
        <v>591897.59165074176</v>
      </c>
      <c r="M245" s="7">
        <f ca="1">M231+SUM($C243:M243)</f>
        <v>643438.66125641076</v>
      </c>
      <c r="N245" s="7">
        <f ca="1">N231+SUM($C243:N243)</f>
        <v>748500.49246398674</v>
      </c>
      <c r="O245" s="7">
        <f ca="1">O231+SUM($C243:O243)</f>
        <v>859267.05744988273</v>
      </c>
      <c r="P245" s="7">
        <f ca="1">P231+SUM($C243:P243)</f>
        <v>975981.2911249469</v>
      </c>
      <c r="Q245" s="7">
        <f ca="1">Q231+SUM($C243:Q243)</f>
        <v>1098895.4105429514</v>
      </c>
      <c r="R245" s="7">
        <f ca="1">R231+SUM($C243:R243)</f>
        <v>1228271.248199099</v>
      </c>
      <c r="S245" s="7">
        <f ca="1">S231+SUM($C243:S243)</f>
        <v>1364380.5968228865</v>
      </c>
      <c r="T245" s="7">
        <f ca="1">T231+SUM($C243:T243)</f>
        <v>1402527.6236677105</v>
      </c>
      <c r="U245" s="7">
        <f ca="1">U231+SUM($C243:U243)</f>
        <v>1449854.2259580824</v>
      </c>
      <c r="V245" s="7">
        <f ca="1">V231+SUM($C243:V243)</f>
        <v>1498907.5815076504</v>
      </c>
      <c r="W245" s="7">
        <f ca="1">W231+SUM($C243:W243)</f>
        <v>1549752.4964402271</v>
      </c>
      <c r="X245" s="7">
        <f ca="1">X231+SUM($C243:X243)</f>
        <v>1602456.179392647</v>
      </c>
      <c r="Y245" s="7">
        <f ca="1">Y231+SUM($C243:Y243)</f>
        <v>1636171.2358988209</v>
      </c>
      <c r="Z245" s="7">
        <f ca="1">Z231+SUM($C243:Z243)</f>
        <v>1670841.1811310996</v>
      </c>
      <c r="AA245" s="7">
        <f ca="1">AA231+SUM($C243:AA243)</f>
        <v>1706501.7452458595</v>
      </c>
      <c r="AB245" s="7">
        <f ca="1">AB231+SUM($C243:AB243)</f>
        <v>1743190.1198307537</v>
      </c>
      <c r="AC245" s="7">
        <f ca="1">AC231+SUM($C243:AC243)</f>
        <v>1780945.016796795</v>
      </c>
      <c r="AD245" s="7">
        <f ca="1">AD231+SUM($C243:AD243)</f>
        <v>1819806.7295462058</v>
      </c>
      <c r="AE245" s="7">
        <f ca="1">AE231+SUM($C243:AE243)</f>
        <v>1869924.4525328081</v>
      </c>
      <c r="AF245" s="7">
        <f ca="1">AF231+SUM($C243:AF243)</f>
        <v>1921739.9419416173</v>
      </c>
      <c r="AG245" s="7">
        <f ca="1">AG231+SUM($C243:AG243)</f>
        <v>1975317.5778012427</v>
      </c>
      <c r="AH245" s="7">
        <f ca="1">AH231+SUM($C243:AH243)</f>
        <v>2030724.2224962406</v>
      </c>
      <c r="AI245" s="7">
        <f ca="1">AI231+SUM($C243:AI243)</f>
        <v>2088029.314381151</v>
      </c>
      <c r="AJ245" s="7">
        <f ca="1">AJ231+SUM($C243:AJ243)</f>
        <v>2147304.9648157731</v>
      </c>
      <c r="AK245" s="7">
        <f ca="1">AK231+SUM($C243:AK243)</f>
        <v>2208626.0587430005</v>
      </c>
      <c r="AL245" s="7">
        <f ca="1">AL231+SUM($C243:AL243)</f>
        <v>2272070.3589347131</v>
      </c>
      <c r="AM245" s="7">
        <f ca="1">AM231+SUM($C243:AM243)</f>
        <v>2337718.614035564</v>
      </c>
    </row>
    <row r="246" spans="1:39" x14ac:dyDescent="0.2">
      <c r="A246" s="3" t="s">
        <v>67</v>
      </c>
      <c r="C246" s="7">
        <f t="shared" ref="C246:AM246" ca="1" si="501">MAX(C245+buffer,0)-MAX(C231+buffer,0)</f>
        <v>0</v>
      </c>
      <c r="D246" s="7">
        <f t="shared" ca="1" si="501"/>
        <v>0</v>
      </c>
      <c r="E246" s="7">
        <f t="shared" ca="1" si="501"/>
        <v>0</v>
      </c>
      <c r="F246" s="7">
        <f t="shared" ca="1" si="501"/>
        <v>0</v>
      </c>
      <c r="G246" s="7">
        <f t="shared" ca="1" si="501"/>
        <v>0</v>
      </c>
      <c r="H246" s="7">
        <f t="shared" ca="1" si="501"/>
        <v>0</v>
      </c>
      <c r="I246" s="7">
        <f t="shared" ca="1" si="501"/>
        <v>0</v>
      </c>
      <c r="J246" s="7">
        <f t="shared" ca="1" si="501"/>
        <v>0</v>
      </c>
      <c r="K246" s="7">
        <f t="shared" ca="1" si="501"/>
        <v>0</v>
      </c>
      <c r="L246" s="7">
        <f t="shared" ca="1" si="501"/>
        <v>0</v>
      </c>
      <c r="M246" s="7">
        <f t="shared" ca="1" si="501"/>
        <v>0</v>
      </c>
      <c r="N246" s="7">
        <f t="shared" ca="1" si="501"/>
        <v>0</v>
      </c>
      <c r="O246" s="7">
        <f t="shared" ca="1" si="501"/>
        <v>0</v>
      </c>
      <c r="P246" s="7">
        <f t="shared" ca="1" si="501"/>
        <v>0</v>
      </c>
      <c r="Q246" s="7">
        <f t="shared" ca="1" si="501"/>
        <v>0</v>
      </c>
      <c r="R246" s="7">
        <f t="shared" ca="1" si="501"/>
        <v>0</v>
      </c>
      <c r="S246" s="7">
        <f t="shared" ca="1" si="501"/>
        <v>0</v>
      </c>
      <c r="T246" s="7">
        <f t="shared" ca="1" si="501"/>
        <v>0</v>
      </c>
      <c r="U246" s="7">
        <f t="shared" ca="1" si="501"/>
        <v>0</v>
      </c>
      <c r="V246" s="7">
        <f t="shared" ca="1" si="501"/>
        <v>0</v>
      </c>
      <c r="W246" s="7">
        <f t="shared" ca="1" si="501"/>
        <v>0</v>
      </c>
      <c r="X246" s="7">
        <f t="shared" ca="1" si="501"/>
        <v>0</v>
      </c>
      <c r="Y246" s="7">
        <f t="shared" ca="1" si="501"/>
        <v>0</v>
      </c>
      <c r="Z246" s="7">
        <f t="shared" ca="1" si="501"/>
        <v>0</v>
      </c>
      <c r="AA246" s="7">
        <f t="shared" ca="1" si="501"/>
        <v>0</v>
      </c>
      <c r="AB246" s="7">
        <f t="shared" ca="1" si="501"/>
        <v>0</v>
      </c>
      <c r="AC246" s="7">
        <f t="shared" ca="1" si="501"/>
        <v>0</v>
      </c>
      <c r="AD246" s="7">
        <f t="shared" ca="1" si="501"/>
        <v>0</v>
      </c>
      <c r="AE246" s="7">
        <f t="shared" ca="1" si="501"/>
        <v>0</v>
      </c>
      <c r="AF246" s="7">
        <f t="shared" ca="1" si="501"/>
        <v>0</v>
      </c>
      <c r="AG246" s="7">
        <f t="shared" ca="1" si="501"/>
        <v>0</v>
      </c>
      <c r="AH246" s="7">
        <f t="shared" ca="1" si="501"/>
        <v>0</v>
      </c>
      <c r="AI246" s="7">
        <f t="shared" ca="1" si="501"/>
        <v>0</v>
      </c>
      <c r="AJ246" s="7">
        <f t="shared" ca="1" si="501"/>
        <v>0</v>
      </c>
      <c r="AK246" s="7">
        <f t="shared" ca="1" si="501"/>
        <v>0</v>
      </c>
      <c r="AL246" s="7">
        <f t="shared" ca="1" si="501"/>
        <v>0</v>
      </c>
      <c r="AM246" s="7">
        <f t="shared" ca="1" si="501"/>
        <v>0</v>
      </c>
    </row>
    <row r="247" spans="1:39" x14ac:dyDescent="0.2">
      <c r="A247" s="3" t="s">
        <v>68</v>
      </c>
      <c r="C247" s="7">
        <f ca="1">C246*Inputs!$B$270</f>
        <v>0</v>
      </c>
      <c r="D247" s="7">
        <f ca="1">D246*Inputs!$B$270</f>
        <v>0</v>
      </c>
      <c r="E247" s="7">
        <f ca="1">E246*Inputs!$B$270</f>
        <v>0</v>
      </c>
      <c r="F247" s="7">
        <f ca="1">F246*Inputs!$B$270</f>
        <v>0</v>
      </c>
      <c r="G247" s="7">
        <f ca="1">G246*Inputs!$B$270</f>
        <v>0</v>
      </c>
      <c r="H247" s="7">
        <f ca="1">H246*Inputs!$B$270</f>
        <v>0</v>
      </c>
      <c r="I247" s="7">
        <f ca="1">I246*Inputs!$B$270</f>
        <v>0</v>
      </c>
      <c r="J247" s="7">
        <f ca="1">J246*Inputs!$B$270</f>
        <v>0</v>
      </c>
      <c r="K247" s="7">
        <f ca="1">K246*Inputs!$B$270</f>
        <v>0</v>
      </c>
      <c r="L247" s="7">
        <f ca="1">L246*Inputs!$B$270</f>
        <v>0</v>
      </c>
      <c r="M247" s="7">
        <f ca="1">M246*Inputs!$B$270</f>
        <v>0</v>
      </c>
      <c r="N247" s="7">
        <f ca="1">N246*Inputs!$B$270</f>
        <v>0</v>
      </c>
      <c r="O247" s="7">
        <f ca="1">O246*Inputs!$B$270</f>
        <v>0</v>
      </c>
      <c r="P247" s="7">
        <f ca="1">P246*Inputs!$B$270</f>
        <v>0</v>
      </c>
      <c r="Q247" s="7">
        <f ca="1">Q246*Inputs!$B$270</f>
        <v>0</v>
      </c>
      <c r="R247" s="7">
        <f ca="1">R246*Inputs!$B$270</f>
        <v>0</v>
      </c>
      <c r="S247" s="7">
        <f ca="1">S246*Inputs!$B$270</f>
        <v>0</v>
      </c>
      <c r="T247" s="7">
        <f ca="1">T246*Inputs!$B$270</f>
        <v>0</v>
      </c>
      <c r="U247" s="7">
        <f ca="1">U246*Inputs!$B$270</f>
        <v>0</v>
      </c>
      <c r="V247" s="7">
        <f ca="1">V246*Inputs!$B$270</f>
        <v>0</v>
      </c>
      <c r="W247" s="7">
        <f ca="1">W246*Inputs!$B$270</f>
        <v>0</v>
      </c>
      <c r="X247" s="7">
        <f ca="1">X246*Inputs!$B$270</f>
        <v>0</v>
      </c>
      <c r="Y247" s="7">
        <f ca="1">Y246*Inputs!$B$270</f>
        <v>0</v>
      </c>
      <c r="Z247" s="7">
        <f ca="1">Z246*Inputs!$B$270</f>
        <v>0</v>
      </c>
      <c r="AA247" s="7">
        <f ca="1">AA246*Inputs!$B$270</f>
        <v>0</v>
      </c>
      <c r="AB247" s="7">
        <f ca="1">AB246*Inputs!$B$270</f>
        <v>0</v>
      </c>
      <c r="AC247" s="7">
        <f ca="1">AC246*Inputs!$B$270</f>
        <v>0</v>
      </c>
      <c r="AD247" s="7">
        <f ca="1">AD246*Inputs!$B$270</f>
        <v>0</v>
      </c>
      <c r="AE247" s="7">
        <f ca="1">AE246*Inputs!$B$270</f>
        <v>0</v>
      </c>
      <c r="AF247" s="7">
        <f ca="1">AF246*Inputs!$B$270</f>
        <v>0</v>
      </c>
      <c r="AG247" s="7">
        <f ca="1">AG246*Inputs!$B$270</f>
        <v>0</v>
      </c>
      <c r="AH247" s="7">
        <f ca="1">AH246*Inputs!$B$270</f>
        <v>0</v>
      </c>
      <c r="AI247" s="7">
        <f ca="1">AI246*Inputs!$B$270</f>
        <v>0</v>
      </c>
      <c r="AJ247" s="7">
        <f ca="1">AJ246*Inputs!$B$270</f>
        <v>0</v>
      </c>
      <c r="AK247" s="7">
        <f ca="1">AK246*Inputs!$B$270</f>
        <v>0</v>
      </c>
      <c r="AL247" s="7">
        <f ca="1">AL246*Inputs!$B$270</f>
        <v>0</v>
      </c>
      <c r="AM247" s="7">
        <f ca="1">AM246*Inputs!$B$270</f>
        <v>0</v>
      </c>
    </row>
    <row r="248" spans="1:39" x14ac:dyDescent="0.2">
      <c r="A248" s="3" t="s">
        <v>149</v>
      </c>
      <c r="C248" s="7">
        <f ca="1">C245+SUM($C247:C247)</f>
        <v>12919.0625</v>
      </c>
      <c r="D248" s="7">
        <f ca="1">D245+SUM($C247:D247)</f>
        <v>22490.535937499997</v>
      </c>
      <c r="E248" s="7">
        <f ca="1">E245+SUM($C247:E247)</f>
        <v>38207.499804687497</v>
      </c>
      <c r="F248" s="7">
        <f ca="1">F245+SUM($C247:F247)</f>
        <v>35714.080452231734</v>
      </c>
      <c r="G248" s="7">
        <f ca="1">G245+SUM($C247:G247)</f>
        <v>229276.11396248138</v>
      </c>
      <c r="H248" s="7">
        <f ca="1">H245+SUM($C247:H247)</f>
        <v>271025.81800930644</v>
      </c>
      <c r="I248" s="7">
        <f ca="1">I245+SUM($C247:I247)</f>
        <v>332892.09672247234</v>
      </c>
      <c r="J248" s="7">
        <f ca="1">J245+SUM($C247:J247)</f>
        <v>399181.31879998074</v>
      </c>
      <c r="K248" s="7">
        <f ca="1">K245+SUM($C247:K247)</f>
        <v>452080.69175229734</v>
      </c>
      <c r="L248" s="7">
        <f ca="1">L245+SUM($C247:L247)</f>
        <v>591897.59165074176</v>
      </c>
      <c r="M248" s="7">
        <f ca="1">M245+SUM($C247:M247)</f>
        <v>643438.66125641076</v>
      </c>
      <c r="N248" s="7">
        <f ca="1">N245+SUM($C247:N247)</f>
        <v>748500.49246398674</v>
      </c>
      <c r="O248" s="7">
        <f ca="1">O245+SUM($C247:O247)</f>
        <v>859267.05744988273</v>
      </c>
      <c r="P248" s="7">
        <f ca="1">P245+SUM($C247:P247)</f>
        <v>975981.2911249469</v>
      </c>
      <c r="Q248" s="7">
        <f ca="1">Q245+SUM($C247:Q247)</f>
        <v>1098895.4105429514</v>
      </c>
      <c r="R248" s="7">
        <f ca="1">R245+SUM($C247:R247)</f>
        <v>1228271.248199099</v>
      </c>
      <c r="S248" s="7">
        <f ca="1">S245+SUM($C247:S247)</f>
        <v>1364380.5968228865</v>
      </c>
      <c r="T248" s="7">
        <f ca="1">T245+SUM($C247:T247)</f>
        <v>1402527.6236677105</v>
      </c>
      <c r="U248" s="7">
        <f ca="1">U245+SUM($C247:U247)</f>
        <v>1449854.2259580824</v>
      </c>
      <c r="V248" s="7">
        <f ca="1">V245+SUM($C247:V247)</f>
        <v>1498907.5815076504</v>
      </c>
      <c r="W248" s="7">
        <f ca="1">W245+SUM($C247:W247)</f>
        <v>1549752.4964402271</v>
      </c>
      <c r="X248" s="7">
        <f ca="1">X245+SUM($C247:X247)</f>
        <v>1602456.179392647</v>
      </c>
      <c r="Y248" s="7">
        <f ca="1">Y245+SUM($C247:Y247)</f>
        <v>1636171.2358988209</v>
      </c>
      <c r="Z248" s="7">
        <f ca="1">Z245+SUM($C247:Z247)</f>
        <v>1670841.1811310996</v>
      </c>
      <c r="AA248" s="7">
        <f ca="1">AA245+SUM($C247:AA247)</f>
        <v>1706501.7452458595</v>
      </c>
      <c r="AB248" s="7">
        <f ca="1">AB245+SUM($C247:AB247)</f>
        <v>1743190.1198307537</v>
      </c>
      <c r="AC248" s="7">
        <f ca="1">AC245+SUM($C247:AC247)</f>
        <v>1780945.016796795</v>
      </c>
      <c r="AD248" s="7">
        <f ca="1">AD245+SUM($C247:AD247)</f>
        <v>1819806.7295462058</v>
      </c>
      <c r="AE248" s="7">
        <f ca="1">AE245+SUM($C247:AE247)</f>
        <v>1869924.4525328081</v>
      </c>
      <c r="AF248" s="7">
        <f ca="1">AF245+SUM($C247:AF247)</f>
        <v>1921739.9419416173</v>
      </c>
      <c r="AG248" s="7">
        <f ca="1">AG245+SUM($C247:AG247)</f>
        <v>1975317.5778012427</v>
      </c>
      <c r="AH248" s="7">
        <f ca="1">AH245+SUM($C247:AH247)</f>
        <v>2030724.2224962406</v>
      </c>
      <c r="AI248" s="7">
        <f ca="1">AI245+SUM($C247:AI247)</f>
        <v>2088029.314381151</v>
      </c>
      <c r="AJ248" s="7">
        <f ca="1">AJ245+SUM($C247:AJ247)</f>
        <v>2147304.9648157731</v>
      </c>
      <c r="AK248" s="7">
        <f ca="1">AK245+SUM($C247:AK247)</f>
        <v>2208626.0587430005</v>
      </c>
      <c r="AL248" s="7">
        <f ca="1">AL245+SUM($C247:AL247)</f>
        <v>2272070.3589347131</v>
      </c>
      <c r="AM248" s="7">
        <f ca="1">AM245+SUM($C247:AM247)</f>
        <v>2337718.614035564</v>
      </c>
    </row>
    <row r="249" spans="1:39" x14ac:dyDescent="0.2">
      <c r="A249" s="3" t="s">
        <v>19</v>
      </c>
      <c r="C249" s="7">
        <f ca="1">IF(C248&lt;0,-C248,0)</f>
        <v>0</v>
      </c>
      <c r="D249" s="7">
        <f ca="1">IF(D248+SUM($C249:C249)&lt;0,-(D248+SUM($C249:C249)),0)</f>
        <v>0</v>
      </c>
      <c r="E249" s="7">
        <f ca="1">IF(E248+SUM($C249:D249)&lt;0,-(E248+SUM($C249:D249)),0)</f>
        <v>0</v>
      </c>
      <c r="F249" s="7">
        <f ca="1">IF(F248+SUM($C249:E249)&lt;0,-(F248+SUM($C249:E249)),0)</f>
        <v>0</v>
      </c>
      <c r="G249" s="7">
        <f ca="1">IF(G248+SUM($C249:F249)&lt;0,-(G248+SUM($C249:F249)),0)</f>
        <v>0</v>
      </c>
      <c r="H249" s="7">
        <f ca="1">IF(H248+SUM($C249:G249)&lt;0,-(H248+SUM($C249:G249)),0)</f>
        <v>0</v>
      </c>
      <c r="I249" s="7">
        <f ca="1">IF(I248+SUM($C249:H249)&lt;0,-(I248+SUM($C249:H249)),0)</f>
        <v>0</v>
      </c>
      <c r="J249" s="7">
        <f ca="1">IF(J248+SUM($C249:I249)&lt;0,-(J248+SUM($C249:I249)),0)</f>
        <v>0</v>
      </c>
      <c r="K249" s="7">
        <f ca="1">IF(K248+SUM($C249:J249)&lt;0,-(K248+SUM($C249:J249)),0)</f>
        <v>0</v>
      </c>
      <c r="L249" s="7">
        <f ca="1">IF(L248+SUM($C249:K249)&lt;0,-(L248+SUM($C249:K249)),0)</f>
        <v>0</v>
      </c>
      <c r="M249" s="7">
        <f ca="1">IF(M248+SUM($C249:L249)&lt;0,-(M248+SUM($C249:L249)),0)</f>
        <v>0</v>
      </c>
      <c r="N249" s="7">
        <f ca="1">IF(N248+SUM($C249:M249)&lt;0,-(N248+SUM($C249:M249)),0)</f>
        <v>0</v>
      </c>
      <c r="O249" s="7">
        <f ca="1">IF(O248+SUM($C249:N249)&lt;0,-(O248+SUM($C249:N249)),0)</f>
        <v>0</v>
      </c>
      <c r="P249" s="7">
        <f ca="1">IF(P248+SUM($C249:O249)&lt;0,-(P248+SUM($C249:O249)),0)</f>
        <v>0</v>
      </c>
      <c r="Q249" s="7">
        <f ca="1">IF(Q248+SUM($C249:P249)&lt;0,-(Q248+SUM($C249:P249)),0)</f>
        <v>0</v>
      </c>
      <c r="R249" s="7">
        <f ca="1">IF(R248+SUM($C249:Q249)&lt;0,-(R248+SUM($C249:Q249)),0)</f>
        <v>0</v>
      </c>
      <c r="S249" s="7">
        <f ca="1">IF(S248+SUM($C249:R249)&lt;0,-(S248+SUM($C249:R249)),0)</f>
        <v>0</v>
      </c>
      <c r="T249" s="7">
        <f ca="1">IF(T248+SUM($C249:S249)&lt;0,-(T248+SUM($C249:S249)),0)</f>
        <v>0</v>
      </c>
      <c r="U249" s="7">
        <f ca="1">IF(U248+SUM($C249:T249)&lt;0,-(U248+SUM($C249:T249)),0)</f>
        <v>0</v>
      </c>
      <c r="V249" s="7">
        <f ca="1">IF(V248+SUM($C249:U249)&lt;0,-(V248+SUM($C249:U249)),0)</f>
        <v>0</v>
      </c>
      <c r="W249" s="7">
        <f ca="1">IF(W248+SUM($C249:V249)&lt;0,-(W248+SUM($C249:V249)),0)</f>
        <v>0</v>
      </c>
      <c r="X249" s="7">
        <f ca="1">IF(X248+SUM($C249:W249)&lt;0,-(X248+SUM($C249:W249)),0)</f>
        <v>0</v>
      </c>
      <c r="Y249" s="7">
        <f ca="1">IF(Y248+SUM($C249:X249)&lt;0,-(Y248+SUM($C249:X249)),0)</f>
        <v>0</v>
      </c>
      <c r="Z249" s="7">
        <f ca="1">IF(Z248+SUM($C249:Y249)&lt;0,-(Z248+SUM($C249:Y249)),0)</f>
        <v>0</v>
      </c>
      <c r="AA249" s="7">
        <f ca="1">IF(AA248+SUM($C249:Z249)&lt;0,-(AA248+SUM($C249:Z249)),0)</f>
        <v>0</v>
      </c>
      <c r="AB249" s="7">
        <f ca="1">IF(AB248+SUM($C249:AA249)&lt;0,-(AB248+SUM($C249:AA249)),0)</f>
        <v>0</v>
      </c>
      <c r="AC249" s="7">
        <f ca="1">IF(AC248+SUM($C249:AB249)&lt;0,-(AC248+SUM($C249:AB249)),0)</f>
        <v>0</v>
      </c>
      <c r="AD249" s="7">
        <f ca="1">IF(AD248+SUM($C249:AC249)&lt;0,-(AD248+SUM($C249:AC249)),0)</f>
        <v>0</v>
      </c>
      <c r="AE249" s="7">
        <f ca="1">IF(AE248+SUM($C249:AD249)&lt;0,-(AE248+SUM($C249:AD249)),0)</f>
        <v>0</v>
      </c>
      <c r="AF249" s="7">
        <f ca="1">IF(AF248+SUM($C249:AE249)&lt;0,-(AF248+SUM($C249:AE249)),0)</f>
        <v>0</v>
      </c>
      <c r="AG249" s="7">
        <f ca="1">IF(AG248+SUM($C249:AF249)&lt;0,-(AG248+SUM($C249:AF249)),0)</f>
        <v>0</v>
      </c>
      <c r="AH249" s="7">
        <f ca="1">IF(AH248+SUM($C249:AG249)&lt;0,-(AH248+SUM($C249:AG249)),0)</f>
        <v>0</v>
      </c>
      <c r="AI249" s="7">
        <f ca="1">IF(AI248+SUM($C249:AH249)&lt;0,-(AI248+SUM($C249:AH249)),0)</f>
        <v>0</v>
      </c>
      <c r="AJ249" s="7">
        <f ca="1">IF(AJ248+SUM($C249:AI249)&lt;0,-(AJ248+SUM($C249:AI249)),0)</f>
        <v>0</v>
      </c>
      <c r="AK249" s="7">
        <f ca="1">IF(AK248+SUM($C249:AJ249)&lt;0,-(AK248+SUM($C249:AJ249)),0)</f>
        <v>0</v>
      </c>
      <c r="AL249" s="7">
        <f ca="1">IF(AL248+SUM($C249:AK249)&lt;0,-(AL248+SUM($C249:AK249)),0)</f>
        <v>0</v>
      </c>
      <c r="AM249" s="7">
        <f ca="1">IF(AM248+SUM($C249:AL249)&lt;0,-(AM248+SUM($C249:AL249)),0)</f>
        <v>0</v>
      </c>
    </row>
    <row r="250" spans="1:39" x14ac:dyDescent="0.2"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7"/>
      <c r="AD250" s="7"/>
      <c r="AE250" s="7"/>
      <c r="AF250" s="7"/>
      <c r="AG250" s="7"/>
      <c r="AH250" s="7"/>
      <c r="AI250" s="7"/>
      <c r="AJ250" s="7"/>
      <c r="AK250" s="7"/>
      <c r="AL250" s="7"/>
      <c r="AM250" s="7"/>
    </row>
    <row r="251" spans="1:39" x14ac:dyDescent="0.2">
      <c r="A251" s="24" t="str">
        <f>IF(Inputs!$B$290=6,IFERROR(_xlfn.XLOOKUP($B251,Inputs!$B$291:$B$300,Inputs!$A$291:$A$300,,0,1),""),IFERROR(_xlfn.XLOOKUP($B251,Inputs!$C$291:$C$300,Inputs!$A$291:$A$300,,0,1),""))</f>
        <v>Qormi</v>
      </c>
      <c r="B251" s="26">
        <v>9</v>
      </c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  <c r="AB251" s="7"/>
      <c r="AC251" s="7"/>
      <c r="AD251" s="7"/>
      <c r="AE251" s="7"/>
      <c r="AF251" s="7"/>
      <c r="AG251" s="7"/>
      <c r="AH251" s="7"/>
      <c r="AI251" s="7"/>
      <c r="AJ251" s="7"/>
      <c r="AK251" s="7"/>
      <c r="AL251" s="7"/>
      <c r="AM251" s="7"/>
    </row>
    <row r="252" spans="1:39" x14ac:dyDescent="0.2">
      <c r="A252" s="3" t="s">
        <v>21</v>
      </c>
      <c r="C252" s="7">
        <f ca="1">IFERROR(VLOOKUP($A251,$A$68:$H$97,C$1+2,FALSE),0)</f>
        <v>224931.66569048862</v>
      </c>
      <c r="D252" s="7">
        <f ca="1">C255</f>
        <v>224931.66569048862</v>
      </c>
      <c r="E252" s="7">
        <f t="shared" ref="E252" ca="1" si="502">D255</f>
        <v>231679.61566120328</v>
      </c>
      <c r="F252" s="7">
        <f t="shared" ref="F252" ca="1" si="503">E255</f>
        <v>238630.00413103937</v>
      </c>
      <c r="G252" s="7">
        <f t="shared" ref="G252" ca="1" si="504">F255</f>
        <v>245788.90425497055</v>
      </c>
      <c r="H252" s="7">
        <f t="shared" ref="H252" ca="1" si="505">G255</f>
        <v>253162.57138261967</v>
      </c>
      <c r="I252" s="7">
        <f t="shared" ref="I252" ca="1" si="506">H255</f>
        <v>260757.44852409826</v>
      </c>
      <c r="J252" s="7">
        <f t="shared" ref="J252" ca="1" si="507">I255</f>
        <v>268580.17197982123</v>
      </c>
      <c r="K252" s="7">
        <f t="shared" ref="K252" ca="1" si="508">J255</f>
        <v>276637.57713921589</v>
      </c>
      <c r="L252" s="7">
        <f t="shared" ref="L252" ca="1" si="509">K255</f>
        <v>284936.70445339236</v>
      </c>
      <c r="M252" s="7">
        <f t="shared" ref="M252" ca="1" si="510">L255</f>
        <v>293484.80558699416</v>
      </c>
      <c r="N252" s="7">
        <f t="shared" ref="N252" ca="1" si="511">M255</f>
        <v>302289.34975460399</v>
      </c>
      <c r="O252" s="7">
        <f t="shared" ref="O252" ca="1" si="512">N255</f>
        <v>311358.03024724213</v>
      </c>
      <c r="P252" s="7">
        <f t="shared" ref="P252" ca="1" si="513">O255</f>
        <v>320698.77115465939</v>
      </c>
      <c r="Q252" s="7">
        <f t="shared" ref="Q252" ca="1" si="514">P255</f>
        <v>330319.73428929917</v>
      </c>
      <c r="R252" s="7">
        <f t="shared" ref="R252" ca="1" si="515">Q255</f>
        <v>340229.32631797815</v>
      </c>
      <c r="S252" s="7">
        <f t="shared" ref="S252" ca="1" si="516">R255</f>
        <v>350436.20610751747</v>
      </c>
      <c r="T252" s="7">
        <f t="shared" ref="T252" ca="1" si="517">S255</f>
        <v>360949.29229074297</v>
      </c>
      <c r="U252" s="7">
        <f t="shared" ref="U252" ca="1" si="518">T255</f>
        <v>371777.77105946525</v>
      </c>
      <c r="V252" s="7">
        <f t="shared" ref="V252" ca="1" si="519">U255</f>
        <v>382931.10419124918</v>
      </c>
      <c r="W252" s="7">
        <f t="shared" ref="W252" ca="1" si="520">V255</f>
        <v>394419.03731698665</v>
      </c>
      <c r="X252" s="7">
        <f t="shared" ref="X252" ca="1" si="521">W255</f>
        <v>406251.60843649623</v>
      </c>
      <c r="Y252" s="7">
        <f t="shared" ref="Y252" ca="1" si="522">X255</f>
        <v>418439.15668959112</v>
      </c>
      <c r="Z252" s="7">
        <f t="shared" ref="Z252" ca="1" si="523">Y255</f>
        <v>430992.33139027888</v>
      </c>
      <c r="AA252" s="7">
        <f t="shared" ref="AA252" ca="1" si="524">Z255</f>
        <v>443922.10133198724</v>
      </c>
      <c r="AB252" s="7">
        <f t="shared" ref="AB252" ca="1" si="525">AA255</f>
        <v>457239.76437194686</v>
      </c>
      <c r="AC252" s="7">
        <f t="shared" ref="AC252" ca="1" si="526">AB255</f>
        <v>470956.95730310527</v>
      </c>
      <c r="AD252" s="7">
        <f t="shared" ref="AD252" ca="1" si="527">AC255</f>
        <v>485085.66602219845</v>
      </c>
      <c r="AE252" s="7">
        <f t="shared" ref="AE252" ca="1" si="528">AD255</f>
        <v>499638.23600286437</v>
      </c>
      <c r="AF252" s="7">
        <f t="shared" ref="AF252" ca="1" si="529">AE255</f>
        <v>514627.38308295031</v>
      </c>
      <c r="AG252" s="7">
        <f t="shared" ref="AG252" ca="1" si="530">AF255</f>
        <v>530066.20457543887</v>
      </c>
      <c r="AH252" s="7">
        <f t="shared" ref="AH252" ca="1" si="531">AG255</f>
        <v>545968.19071270199</v>
      </c>
      <c r="AI252" s="7">
        <f t="shared" ref="AI252" ca="1" si="532">AH255</f>
        <v>562347.23643408308</v>
      </c>
      <c r="AJ252" s="7">
        <f t="shared" ref="AJ252" ca="1" si="533">AI255</f>
        <v>579217.65352710558</v>
      </c>
      <c r="AK252" s="7">
        <f t="shared" ref="AK252" ca="1" si="534">AJ255</f>
        <v>596594.18313291878</v>
      </c>
      <c r="AL252" s="7">
        <f t="shared" ref="AL252" ca="1" si="535">AK255</f>
        <v>614492.00862690632</v>
      </c>
      <c r="AM252" s="7">
        <f t="shared" ref="AM252" ca="1" si="536">AL255</f>
        <v>632926.76888571354</v>
      </c>
    </row>
    <row r="253" spans="1:39" x14ac:dyDescent="0.2">
      <c r="A253" s="3" t="s">
        <v>22</v>
      </c>
      <c r="C253" s="7">
        <f ca="1">-IF(D249&gt;0,C252,0)</f>
        <v>0</v>
      </c>
      <c r="D253" s="7">
        <f ca="1">-IF(E249&gt;0,D252,0)</f>
        <v>0</v>
      </c>
      <c r="E253" s="7">
        <f ca="1">-IF(F249&gt;0,E252,0)</f>
        <v>0</v>
      </c>
      <c r="F253" s="7">
        <f ca="1">-IF(G249&gt;0,F252,0)</f>
        <v>0</v>
      </c>
      <c r="G253" s="7">
        <f t="shared" ref="G253" ca="1" si="537">-IF(H249&gt;0,G252,0)</f>
        <v>0</v>
      </c>
      <c r="H253" s="7">
        <f t="shared" ref="H253" ca="1" si="538">-IF(I249&gt;0,H252,0)</f>
        <v>0</v>
      </c>
      <c r="I253" s="7">
        <f t="shared" ref="I253" ca="1" si="539">-IF(J249&gt;0,I252,0)</f>
        <v>0</v>
      </c>
      <c r="J253" s="7">
        <f t="shared" ref="J253" ca="1" si="540">-IF(K249&gt;0,J252,0)</f>
        <v>0</v>
      </c>
      <c r="K253" s="7">
        <f t="shared" ref="K253" ca="1" si="541">-IF(L249&gt;0,K252,0)</f>
        <v>0</v>
      </c>
      <c r="L253" s="7">
        <f t="shared" ref="L253" ca="1" si="542">-IF(M249&gt;0,L252,0)</f>
        <v>0</v>
      </c>
      <c r="M253" s="7">
        <f t="shared" ref="M253" ca="1" si="543">-IF(N249&gt;0,M252,0)</f>
        <v>0</v>
      </c>
      <c r="N253" s="7">
        <f t="shared" ref="N253" ca="1" si="544">-IF(O249&gt;0,N252,0)</f>
        <v>0</v>
      </c>
      <c r="O253" s="7">
        <f t="shared" ref="O253" ca="1" si="545">-IF(P249&gt;0,O252,0)</f>
        <v>0</v>
      </c>
      <c r="P253" s="7">
        <f t="shared" ref="P253" ca="1" si="546">-IF(Q249&gt;0,P252,0)</f>
        <v>0</v>
      </c>
      <c r="Q253" s="7">
        <f t="shared" ref="Q253" ca="1" si="547">-IF(R249&gt;0,Q252,0)</f>
        <v>0</v>
      </c>
      <c r="R253" s="7">
        <f t="shared" ref="R253" ca="1" si="548">-IF(S249&gt;0,R252,0)</f>
        <v>0</v>
      </c>
      <c r="S253" s="7">
        <f t="shared" ref="S253" ca="1" si="549">-IF(T249&gt;0,S252,0)</f>
        <v>0</v>
      </c>
      <c r="T253" s="7">
        <f t="shared" ref="T253" ca="1" si="550">-IF(U249&gt;0,T252,0)</f>
        <v>0</v>
      </c>
      <c r="U253" s="7">
        <f t="shared" ref="U253" ca="1" si="551">-IF(V249&gt;0,U252,0)</f>
        <v>0</v>
      </c>
      <c r="V253" s="7">
        <f t="shared" ref="V253" ca="1" si="552">-IF(W249&gt;0,V252,0)</f>
        <v>0</v>
      </c>
      <c r="W253" s="7">
        <f t="shared" ref="W253" ca="1" si="553">-IF(X249&gt;0,W252,0)</f>
        <v>0</v>
      </c>
      <c r="X253" s="7">
        <f t="shared" ref="X253" ca="1" si="554">-IF(Y249&gt;0,X252,0)</f>
        <v>0</v>
      </c>
      <c r="Y253" s="7">
        <f t="shared" ref="Y253" ca="1" si="555">-IF(Z249&gt;0,Y252,0)</f>
        <v>0</v>
      </c>
      <c r="Z253" s="7">
        <f t="shared" ref="Z253" ca="1" si="556">-IF(AA249&gt;0,Z252,0)</f>
        <v>0</v>
      </c>
      <c r="AA253" s="7">
        <f t="shared" ref="AA253" ca="1" si="557">-IF(AB249&gt;0,AA252,0)</f>
        <v>0</v>
      </c>
      <c r="AB253" s="7">
        <f t="shared" ref="AB253" ca="1" si="558">-IF(AC249&gt;0,AB252,0)</f>
        <v>0</v>
      </c>
      <c r="AC253" s="7">
        <f t="shared" ref="AC253" ca="1" si="559">-IF(AD249&gt;0,AC252,0)</f>
        <v>0</v>
      </c>
      <c r="AD253" s="7">
        <f t="shared" ref="AD253" ca="1" si="560">-IF(AE249&gt;0,AD252,0)</f>
        <v>0</v>
      </c>
      <c r="AE253" s="7">
        <f t="shared" ref="AE253" ca="1" si="561">-IF(AF249&gt;0,AE252,0)</f>
        <v>0</v>
      </c>
      <c r="AF253" s="7">
        <f t="shared" ref="AF253" ca="1" si="562">-IF(AG249&gt;0,AF252,0)</f>
        <v>0</v>
      </c>
      <c r="AG253" s="7">
        <f t="shared" ref="AG253" ca="1" si="563">-IF(AH249&gt;0,AG252,0)</f>
        <v>0</v>
      </c>
      <c r="AH253" s="7">
        <f t="shared" ref="AH253" ca="1" si="564">-IF(AI249&gt;0,AH252,0)</f>
        <v>0</v>
      </c>
      <c r="AI253" s="7">
        <f t="shared" ref="AI253" ca="1" si="565">-IF(AJ249&gt;0,AI252,0)</f>
        <v>0</v>
      </c>
      <c r="AJ253" s="7">
        <f t="shared" ref="AJ253" ca="1" si="566">-IF(AK249&gt;0,AJ252,0)</f>
        <v>0</v>
      </c>
      <c r="AK253" s="7">
        <f t="shared" ref="AK253" ca="1" si="567">-IF(AL249&gt;0,AK252,0)</f>
        <v>0</v>
      </c>
      <c r="AL253" s="7">
        <f t="shared" ref="AL253" ca="1" si="568">-IF(AM249&gt;0,AL252,0)</f>
        <v>0</v>
      </c>
      <c r="AM253" s="7">
        <f t="shared" ref="AM253" si="569">-IF(AN249&gt;0,AM252,0)</f>
        <v>0</v>
      </c>
    </row>
    <row r="254" spans="1:39" x14ac:dyDescent="0.2">
      <c r="A254" s="3" t="s">
        <v>23</v>
      </c>
      <c r="C254" s="7">
        <v>0</v>
      </c>
      <c r="D254" s="7">
        <f t="shared" ref="D254:AM254" ca="1" si="570">SUM(D252:D253)*VLOOKUP($A251,AssVar,2,FALSE)</f>
        <v>6747.9499707146579</v>
      </c>
      <c r="E254" s="7">
        <f t="shared" ca="1" si="570"/>
        <v>6950.388469836098</v>
      </c>
      <c r="F254" s="7">
        <f t="shared" ca="1" si="570"/>
        <v>7158.900123931181</v>
      </c>
      <c r="G254" s="7">
        <f t="shared" ca="1" si="570"/>
        <v>7373.6671276491161</v>
      </c>
      <c r="H254" s="7">
        <f t="shared" ca="1" si="570"/>
        <v>7594.8771414785897</v>
      </c>
      <c r="I254" s="7">
        <f t="shared" ca="1" si="570"/>
        <v>7822.7234557229476</v>
      </c>
      <c r="J254" s="7">
        <f t="shared" ca="1" si="570"/>
        <v>8057.4051593946369</v>
      </c>
      <c r="K254" s="7">
        <f t="shared" ca="1" si="570"/>
        <v>8299.1273141764759</v>
      </c>
      <c r="L254" s="7">
        <f t="shared" ca="1" si="570"/>
        <v>8548.1011336017709</v>
      </c>
      <c r="M254" s="7">
        <f t="shared" ca="1" si="570"/>
        <v>8804.5441676098253</v>
      </c>
      <c r="N254" s="7">
        <f t="shared" ca="1" si="570"/>
        <v>9068.6804926381192</v>
      </c>
      <c r="O254" s="7">
        <f t="shared" ca="1" si="570"/>
        <v>9340.7409074172629</v>
      </c>
      <c r="P254" s="7">
        <f t="shared" ca="1" si="570"/>
        <v>9620.9631346397819</v>
      </c>
      <c r="Q254" s="7">
        <f t="shared" ca="1" si="570"/>
        <v>9909.5920286789751</v>
      </c>
      <c r="R254" s="7">
        <f t="shared" ca="1" si="570"/>
        <v>10206.879789539344</v>
      </c>
      <c r="S254" s="7">
        <f t="shared" ca="1" si="570"/>
        <v>10513.086183225523</v>
      </c>
      <c r="T254" s="7">
        <f t="shared" ca="1" si="570"/>
        <v>10828.478768722289</v>
      </c>
      <c r="U254" s="7">
        <f t="shared" ca="1" si="570"/>
        <v>11153.333131783957</v>
      </c>
      <c r="V254" s="7">
        <f t="shared" ca="1" si="570"/>
        <v>11487.933125737474</v>
      </c>
      <c r="W254" s="7">
        <f t="shared" ca="1" si="570"/>
        <v>11832.571119509599</v>
      </c>
      <c r="X254" s="7">
        <f t="shared" ca="1" si="570"/>
        <v>12187.548253094887</v>
      </c>
      <c r="Y254" s="7">
        <f t="shared" ca="1" si="570"/>
        <v>12553.174700687734</v>
      </c>
      <c r="Z254" s="7">
        <f t="shared" ca="1" si="570"/>
        <v>12929.769941708366</v>
      </c>
      <c r="AA254" s="7">
        <f t="shared" ca="1" si="570"/>
        <v>13317.663039959616</v>
      </c>
      <c r="AB254" s="7">
        <f t="shared" ca="1" si="570"/>
        <v>13717.192931158404</v>
      </c>
      <c r="AC254" s="7">
        <f t="shared" ca="1" si="570"/>
        <v>14128.708719093158</v>
      </c>
      <c r="AD254" s="7">
        <f t="shared" ca="1" si="570"/>
        <v>14552.569980665952</v>
      </c>
      <c r="AE254" s="7">
        <f t="shared" ca="1" si="570"/>
        <v>14989.147080085932</v>
      </c>
      <c r="AF254" s="7">
        <f t="shared" ca="1" si="570"/>
        <v>15438.821492488509</v>
      </c>
      <c r="AG254" s="7">
        <f t="shared" ca="1" si="570"/>
        <v>15901.986137263166</v>
      </c>
      <c r="AH254" s="7">
        <f t="shared" ca="1" si="570"/>
        <v>16379.045721381059</v>
      </c>
      <c r="AI254" s="7">
        <f t="shared" ca="1" si="570"/>
        <v>16870.417093022494</v>
      </c>
      <c r="AJ254" s="7">
        <f t="shared" ca="1" si="570"/>
        <v>17376.529605813168</v>
      </c>
      <c r="AK254" s="7">
        <f t="shared" ca="1" si="570"/>
        <v>17897.825493987562</v>
      </c>
      <c r="AL254" s="7">
        <f t="shared" ca="1" si="570"/>
        <v>18434.76025880719</v>
      </c>
      <c r="AM254" s="7">
        <f t="shared" ca="1" si="570"/>
        <v>18987.803066571407</v>
      </c>
    </row>
    <row r="255" spans="1:39" x14ac:dyDescent="0.2">
      <c r="A255" s="3" t="s">
        <v>24</v>
      </c>
      <c r="C255" s="7">
        <f ca="1">SUM(C252:C254)</f>
        <v>224931.66569048862</v>
      </c>
      <c r="D255" s="7">
        <f t="shared" ref="D255:AM255" ca="1" si="571">SUM(D252:D254)</f>
        <v>231679.61566120328</v>
      </c>
      <c r="E255" s="7">
        <f t="shared" ca="1" si="571"/>
        <v>238630.00413103937</v>
      </c>
      <c r="F255" s="7">
        <f t="shared" ca="1" si="571"/>
        <v>245788.90425497055</v>
      </c>
      <c r="G255" s="7">
        <f t="shared" ca="1" si="571"/>
        <v>253162.57138261967</v>
      </c>
      <c r="H255" s="7">
        <f t="shared" ca="1" si="571"/>
        <v>260757.44852409826</v>
      </c>
      <c r="I255" s="7">
        <f t="shared" ca="1" si="571"/>
        <v>268580.17197982123</v>
      </c>
      <c r="J255" s="7">
        <f t="shared" ca="1" si="571"/>
        <v>276637.57713921589</v>
      </c>
      <c r="K255" s="7">
        <f t="shared" ca="1" si="571"/>
        <v>284936.70445339236</v>
      </c>
      <c r="L255" s="7">
        <f t="shared" ca="1" si="571"/>
        <v>293484.80558699416</v>
      </c>
      <c r="M255" s="7">
        <f t="shared" ca="1" si="571"/>
        <v>302289.34975460399</v>
      </c>
      <c r="N255" s="7">
        <f t="shared" ca="1" si="571"/>
        <v>311358.03024724213</v>
      </c>
      <c r="O255" s="7">
        <f t="shared" ca="1" si="571"/>
        <v>320698.77115465939</v>
      </c>
      <c r="P255" s="7">
        <f t="shared" ca="1" si="571"/>
        <v>330319.73428929917</v>
      </c>
      <c r="Q255" s="7">
        <f t="shared" ca="1" si="571"/>
        <v>340229.32631797815</v>
      </c>
      <c r="R255" s="7">
        <f t="shared" ca="1" si="571"/>
        <v>350436.20610751747</v>
      </c>
      <c r="S255" s="7">
        <f t="shared" ca="1" si="571"/>
        <v>360949.29229074297</v>
      </c>
      <c r="T255" s="7">
        <f t="shared" ca="1" si="571"/>
        <v>371777.77105946525</v>
      </c>
      <c r="U255" s="7">
        <f t="shared" ca="1" si="571"/>
        <v>382931.10419124918</v>
      </c>
      <c r="V255" s="7">
        <f t="shared" ca="1" si="571"/>
        <v>394419.03731698665</v>
      </c>
      <c r="W255" s="7">
        <f t="shared" ca="1" si="571"/>
        <v>406251.60843649623</v>
      </c>
      <c r="X255" s="7">
        <f t="shared" ca="1" si="571"/>
        <v>418439.15668959112</v>
      </c>
      <c r="Y255" s="7">
        <f t="shared" ca="1" si="571"/>
        <v>430992.33139027888</v>
      </c>
      <c r="Z255" s="7">
        <f t="shared" ca="1" si="571"/>
        <v>443922.10133198724</v>
      </c>
      <c r="AA255" s="7">
        <f t="shared" ca="1" si="571"/>
        <v>457239.76437194686</v>
      </c>
      <c r="AB255" s="7">
        <f t="shared" ca="1" si="571"/>
        <v>470956.95730310527</v>
      </c>
      <c r="AC255" s="7">
        <f t="shared" ca="1" si="571"/>
        <v>485085.66602219845</v>
      </c>
      <c r="AD255" s="7">
        <f t="shared" ca="1" si="571"/>
        <v>499638.23600286437</v>
      </c>
      <c r="AE255" s="7">
        <f t="shared" ca="1" si="571"/>
        <v>514627.38308295031</v>
      </c>
      <c r="AF255" s="7">
        <f t="shared" ca="1" si="571"/>
        <v>530066.20457543887</v>
      </c>
      <c r="AG255" s="7">
        <f t="shared" ca="1" si="571"/>
        <v>545968.19071270199</v>
      </c>
      <c r="AH255" s="7">
        <f t="shared" ca="1" si="571"/>
        <v>562347.23643408308</v>
      </c>
      <c r="AI255" s="7">
        <f t="shared" ca="1" si="571"/>
        <v>579217.65352710558</v>
      </c>
      <c r="AJ255" s="7">
        <f t="shared" ca="1" si="571"/>
        <v>596594.18313291878</v>
      </c>
      <c r="AK255" s="7">
        <f t="shared" ca="1" si="571"/>
        <v>614492.00862690632</v>
      </c>
      <c r="AL255" s="7">
        <f t="shared" ca="1" si="571"/>
        <v>632926.76888571354</v>
      </c>
      <c r="AM255" s="7">
        <f t="shared" ca="1" si="571"/>
        <v>651914.5719522849</v>
      </c>
    </row>
    <row r="256" spans="1:39" x14ac:dyDescent="0.2">
      <c r="A256" s="3" t="s">
        <v>25</v>
      </c>
      <c r="C256" s="7">
        <f t="shared" ref="C256:AM256" ca="1" si="572">C253*VLOOKUP($A251,AssVar,3,FALSE)</f>
        <v>0</v>
      </c>
      <c r="D256" s="7">
        <f t="shared" ca="1" si="572"/>
        <v>0</v>
      </c>
      <c r="E256" s="7">
        <f t="shared" ca="1" si="572"/>
        <v>0</v>
      </c>
      <c r="F256" s="7">
        <f t="shared" ca="1" si="572"/>
        <v>0</v>
      </c>
      <c r="G256" s="7">
        <f t="shared" ca="1" si="572"/>
        <v>0</v>
      </c>
      <c r="H256" s="7">
        <f t="shared" ca="1" si="572"/>
        <v>0</v>
      </c>
      <c r="I256" s="7">
        <f t="shared" ca="1" si="572"/>
        <v>0</v>
      </c>
      <c r="J256" s="7">
        <f t="shared" ca="1" si="572"/>
        <v>0</v>
      </c>
      <c r="K256" s="7">
        <f t="shared" ca="1" si="572"/>
        <v>0</v>
      </c>
      <c r="L256" s="7">
        <f t="shared" ca="1" si="572"/>
        <v>0</v>
      </c>
      <c r="M256" s="7">
        <f t="shared" ca="1" si="572"/>
        <v>0</v>
      </c>
      <c r="N256" s="7">
        <f t="shared" ca="1" si="572"/>
        <v>0</v>
      </c>
      <c r="O256" s="7">
        <f t="shared" ca="1" si="572"/>
        <v>0</v>
      </c>
      <c r="P256" s="7">
        <f t="shared" ca="1" si="572"/>
        <v>0</v>
      </c>
      <c r="Q256" s="7">
        <f t="shared" ca="1" si="572"/>
        <v>0</v>
      </c>
      <c r="R256" s="7">
        <f t="shared" ca="1" si="572"/>
        <v>0</v>
      </c>
      <c r="S256" s="7">
        <f t="shared" ca="1" si="572"/>
        <v>0</v>
      </c>
      <c r="T256" s="7">
        <f t="shared" ca="1" si="572"/>
        <v>0</v>
      </c>
      <c r="U256" s="7">
        <f t="shared" ca="1" si="572"/>
        <v>0</v>
      </c>
      <c r="V256" s="7">
        <f t="shared" ca="1" si="572"/>
        <v>0</v>
      </c>
      <c r="W256" s="7">
        <f t="shared" ca="1" si="572"/>
        <v>0</v>
      </c>
      <c r="X256" s="7">
        <f t="shared" ca="1" si="572"/>
        <v>0</v>
      </c>
      <c r="Y256" s="7">
        <f t="shared" ca="1" si="572"/>
        <v>0</v>
      </c>
      <c r="Z256" s="7">
        <f t="shared" ca="1" si="572"/>
        <v>0</v>
      </c>
      <c r="AA256" s="7">
        <f t="shared" ca="1" si="572"/>
        <v>0</v>
      </c>
      <c r="AB256" s="7">
        <f t="shared" ca="1" si="572"/>
        <v>0</v>
      </c>
      <c r="AC256" s="7">
        <f t="shared" ca="1" si="572"/>
        <v>0</v>
      </c>
      <c r="AD256" s="7">
        <f t="shared" ca="1" si="572"/>
        <v>0</v>
      </c>
      <c r="AE256" s="7">
        <f t="shared" ca="1" si="572"/>
        <v>0</v>
      </c>
      <c r="AF256" s="7">
        <f t="shared" ca="1" si="572"/>
        <v>0</v>
      </c>
      <c r="AG256" s="7">
        <f t="shared" ca="1" si="572"/>
        <v>0</v>
      </c>
      <c r="AH256" s="7">
        <f t="shared" ca="1" si="572"/>
        <v>0</v>
      </c>
      <c r="AI256" s="7">
        <f t="shared" ca="1" si="572"/>
        <v>0</v>
      </c>
      <c r="AJ256" s="7">
        <f t="shared" ca="1" si="572"/>
        <v>0</v>
      </c>
      <c r="AK256" s="7">
        <f t="shared" ca="1" si="572"/>
        <v>0</v>
      </c>
      <c r="AL256" s="7">
        <f t="shared" ca="1" si="572"/>
        <v>0</v>
      </c>
      <c r="AM256" s="7">
        <f t="shared" si="572"/>
        <v>0</v>
      </c>
    </row>
    <row r="257" spans="1:39" x14ac:dyDescent="0.2">
      <c r="A257" s="3" t="s">
        <v>30</v>
      </c>
      <c r="C257" s="7">
        <f t="shared" ref="C257:AM257" ca="1" si="573">IFERROR(-IF(C252=0,VLOOKUP($A251,$8:$12,C$1+2,FALSE),0),0)</f>
        <v>0</v>
      </c>
      <c r="D257" s="7">
        <f t="shared" ca="1" si="573"/>
        <v>0</v>
      </c>
      <c r="E257" s="7">
        <f t="shared" ca="1" si="573"/>
        <v>0</v>
      </c>
      <c r="F257" s="7">
        <f t="shared" ca="1" si="573"/>
        <v>0</v>
      </c>
      <c r="G257" s="7">
        <f t="shared" ca="1" si="573"/>
        <v>0</v>
      </c>
      <c r="H257" s="7">
        <f t="shared" ca="1" si="573"/>
        <v>0</v>
      </c>
      <c r="I257" s="7">
        <f t="shared" ca="1" si="573"/>
        <v>0</v>
      </c>
      <c r="J257" s="7">
        <f t="shared" ca="1" si="573"/>
        <v>0</v>
      </c>
      <c r="K257" s="7">
        <f t="shared" ca="1" si="573"/>
        <v>0</v>
      </c>
      <c r="L257" s="7">
        <f t="shared" ca="1" si="573"/>
        <v>0</v>
      </c>
      <c r="M257" s="7">
        <f t="shared" ca="1" si="573"/>
        <v>0</v>
      </c>
      <c r="N257" s="7">
        <f t="shared" ca="1" si="573"/>
        <v>0</v>
      </c>
      <c r="O257" s="7">
        <f t="shared" ca="1" si="573"/>
        <v>0</v>
      </c>
      <c r="P257" s="7">
        <f t="shared" ca="1" si="573"/>
        <v>0</v>
      </c>
      <c r="Q257" s="7">
        <f t="shared" ca="1" si="573"/>
        <v>0</v>
      </c>
      <c r="R257" s="7">
        <f t="shared" ca="1" si="573"/>
        <v>0</v>
      </c>
      <c r="S257" s="7">
        <f t="shared" ca="1" si="573"/>
        <v>0</v>
      </c>
      <c r="T257" s="7">
        <f t="shared" ca="1" si="573"/>
        <v>0</v>
      </c>
      <c r="U257" s="7">
        <f t="shared" ca="1" si="573"/>
        <v>0</v>
      </c>
      <c r="V257" s="7">
        <f t="shared" ca="1" si="573"/>
        <v>0</v>
      </c>
      <c r="W257" s="7">
        <f t="shared" ca="1" si="573"/>
        <v>0</v>
      </c>
      <c r="X257" s="7">
        <f t="shared" ca="1" si="573"/>
        <v>0</v>
      </c>
      <c r="Y257" s="7">
        <f t="shared" ca="1" si="573"/>
        <v>0</v>
      </c>
      <c r="Z257" s="7">
        <f t="shared" ca="1" si="573"/>
        <v>0</v>
      </c>
      <c r="AA257" s="7">
        <f t="shared" ca="1" si="573"/>
        <v>0</v>
      </c>
      <c r="AB257" s="7">
        <f t="shared" ca="1" si="573"/>
        <v>0</v>
      </c>
      <c r="AC257" s="7">
        <f t="shared" ca="1" si="573"/>
        <v>0</v>
      </c>
      <c r="AD257" s="7">
        <f t="shared" ca="1" si="573"/>
        <v>0</v>
      </c>
      <c r="AE257" s="7">
        <f t="shared" ca="1" si="573"/>
        <v>0</v>
      </c>
      <c r="AF257" s="7">
        <f t="shared" ca="1" si="573"/>
        <v>0</v>
      </c>
      <c r="AG257" s="7">
        <f t="shared" ca="1" si="573"/>
        <v>0</v>
      </c>
      <c r="AH257" s="7">
        <f t="shared" ca="1" si="573"/>
        <v>0</v>
      </c>
      <c r="AI257" s="7">
        <f t="shared" ca="1" si="573"/>
        <v>0</v>
      </c>
      <c r="AJ257" s="7">
        <f t="shared" ca="1" si="573"/>
        <v>0</v>
      </c>
      <c r="AK257" s="7">
        <f t="shared" ca="1" si="573"/>
        <v>0</v>
      </c>
      <c r="AL257" s="7">
        <f t="shared" ca="1" si="573"/>
        <v>0</v>
      </c>
      <c r="AM257" s="7">
        <f t="shared" ca="1" si="573"/>
        <v>0</v>
      </c>
    </row>
    <row r="258" spans="1:39" x14ac:dyDescent="0.2">
      <c r="A258" s="3" t="s">
        <v>49</v>
      </c>
      <c r="C258" s="7">
        <f t="shared" ref="C258:AM258" ca="1" si="574">IFERROR(IF(C252=0,VLOOKUP($A251,$46:$50,C$1+2,FALSE),0),0)</f>
        <v>0</v>
      </c>
      <c r="D258" s="7">
        <f t="shared" ca="1" si="574"/>
        <v>0</v>
      </c>
      <c r="E258" s="7">
        <f t="shared" ca="1" si="574"/>
        <v>0</v>
      </c>
      <c r="F258" s="7">
        <f t="shared" ca="1" si="574"/>
        <v>0</v>
      </c>
      <c r="G258" s="7">
        <f t="shared" ca="1" si="574"/>
        <v>0</v>
      </c>
      <c r="H258" s="7">
        <f t="shared" ca="1" si="574"/>
        <v>0</v>
      </c>
      <c r="I258" s="7">
        <f t="shared" ca="1" si="574"/>
        <v>0</v>
      </c>
      <c r="J258" s="7">
        <f t="shared" ca="1" si="574"/>
        <v>0</v>
      </c>
      <c r="K258" s="7">
        <f t="shared" ca="1" si="574"/>
        <v>0</v>
      </c>
      <c r="L258" s="7">
        <f t="shared" ca="1" si="574"/>
        <v>0</v>
      </c>
      <c r="M258" s="7">
        <f t="shared" ca="1" si="574"/>
        <v>0</v>
      </c>
      <c r="N258" s="7">
        <f t="shared" ca="1" si="574"/>
        <v>0</v>
      </c>
      <c r="O258" s="7">
        <f t="shared" ca="1" si="574"/>
        <v>0</v>
      </c>
      <c r="P258" s="7">
        <f t="shared" ca="1" si="574"/>
        <v>0</v>
      </c>
      <c r="Q258" s="7">
        <f t="shared" ca="1" si="574"/>
        <v>0</v>
      </c>
      <c r="R258" s="7">
        <f t="shared" ca="1" si="574"/>
        <v>0</v>
      </c>
      <c r="S258" s="7">
        <f t="shared" ca="1" si="574"/>
        <v>0</v>
      </c>
      <c r="T258" s="7">
        <f t="shared" ca="1" si="574"/>
        <v>0</v>
      </c>
      <c r="U258" s="7">
        <f t="shared" ca="1" si="574"/>
        <v>0</v>
      </c>
      <c r="V258" s="7">
        <f t="shared" ca="1" si="574"/>
        <v>0</v>
      </c>
      <c r="W258" s="7">
        <f t="shared" ca="1" si="574"/>
        <v>0</v>
      </c>
      <c r="X258" s="7">
        <f t="shared" ca="1" si="574"/>
        <v>0</v>
      </c>
      <c r="Y258" s="7">
        <f t="shared" ca="1" si="574"/>
        <v>0</v>
      </c>
      <c r="Z258" s="7">
        <f t="shared" ca="1" si="574"/>
        <v>0</v>
      </c>
      <c r="AA258" s="7">
        <f t="shared" ca="1" si="574"/>
        <v>0</v>
      </c>
      <c r="AB258" s="7">
        <f t="shared" ca="1" si="574"/>
        <v>0</v>
      </c>
      <c r="AC258" s="7">
        <f t="shared" ca="1" si="574"/>
        <v>0</v>
      </c>
      <c r="AD258" s="7">
        <f t="shared" ca="1" si="574"/>
        <v>0</v>
      </c>
      <c r="AE258" s="7">
        <f t="shared" ca="1" si="574"/>
        <v>0</v>
      </c>
      <c r="AF258" s="7">
        <f t="shared" ca="1" si="574"/>
        <v>0</v>
      </c>
      <c r="AG258" s="7">
        <f t="shared" ca="1" si="574"/>
        <v>0</v>
      </c>
      <c r="AH258" s="7">
        <f t="shared" ca="1" si="574"/>
        <v>0</v>
      </c>
      <c r="AI258" s="7">
        <f t="shared" ca="1" si="574"/>
        <v>0</v>
      </c>
      <c r="AJ258" s="7">
        <f t="shared" ca="1" si="574"/>
        <v>0</v>
      </c>
      <c r="AK258" s="7">
        <f t="shared" ca="1" si="574"/>
        <v>0</v>
      </c>
      <c r="AL258" s="7">
        <f t="shared" ca="1" si="574"/>
        <v>0</v>
      </c>
      <c r="AM258" s="7">
        <f t="shared" ca="1" si="574"/>
        <v>0</v>
      </c>
    </row>
    <row r="259" spans="1:39" x14ac:dyDescent="0.2">
      <c r="A259" s="3" t="s">
        <v>35</v>
      </c>
      <c r="B259" s="14" t="str">
        <f>A251</f>
        <v>Qormi</v>
      </c>
      <c r="C259" s="7">
        <f t="shared" ref="C259:AM259" ca="1" si="575">IF(AND(C252&gt;0,C255=0),VLOOKUP($A251,$86:$95,C$1+2,FALSE),0)</f>
        <v>0</v>
      </c>
      <c r="D259" s="7">
        <f t="shared" ca="1" si="575"/>
        <v>0</v>
      </c>
      <c r="E259" s="7">
        <f t="shared" ca="1" si="575"/>
        <v>0</v>
      </c>
      <c r="F259" s="7">
        <f t="shared" ca="1" si="575"/>
        <v>0</v>
      </c>
      <c r="G259" s="7">
        <f t="shared" ca="1" si="575"/>
        <v>0</v>
      </c>
      <c r="H259" s="7">
        <f t="shared" ca="1" si="575"/>
        <v>0</v>
      </c>
      <c r="I259" s="7">
        <f t="shared" ca="1" si="575"/>
        <v>0</v>
      </c>
      <c r="J259" s="7">
        <f t="shared" ca="1" si="575"/>
        <v>0</v>
      </c>
      <c r="K259" s="7">
        <f t="shared" ca="1" si="575"/>
        <v>0</v>
      </c>
      <c r="L259" s="7">
        <f t="shared" ca="1" si="575"/>
        <v>0</v>
      </c>
      <c r="M259" s="7">
        <f t="shared" ca="1" si="575"/>
        <v>0</v>
      </c>
      <c r="N259" s="7">
        <f t="shared" ca="1" si="575"/>
        <v>0</v>
      </c>
      <c r="O259" s="7">
        <f t="shared" ca="1" si="575"/>
        <v>0</v>
      </c>
      <c r="P259" s="7">
        <f t="shared" ca="1" si="575"/>
        <v>0</v>
      </c>
      <c r="Q259" s="7">
        <f t="shared" ca="1" si="575"/>
        <v>0</v>
      </c>
      <c r="R259" s="7">
        <f t="shared" ca="1" si="575"/>
        <v>0</v>
      </c>
      <c r="S259" s="7">
        <f t="shared" ca="1" si="575"/>
        <v>0</v>
      </c>
      <c r="T259" s="7">
        <f t="shared" ca="1" si="575"/>
        <v>0</v>
      </c>
      <c r="U259" s="7">
        <f t="shared" ca="1" si="575"/>
        <v>0</v>
      </c>
      <c r="V259" s="7">
        <f t="shared" ca="1" si="575"/>
        <v>0</v>
      </c>
      <c r="W259" s="7">
        <f t="shared" ca="1" si="575"/>
        <v>0</v>
      </c>
      <c r="X259" s="7">
        <f t="shared" ca="1" si="575"/>
        <v>0</v>
      </c>
      <c r="Y259" s="7">
        <f t="shared" ca="1" si="575"/>
        <v>0</v>
      </c>
      <c r="Z259" s="7">
        <f t="shared" ca="1" si="575"/>
        <v>0</v>
      </c>
      <c r="AA259" s="7">
        <f t="shared" ca="1" si="575"/>
        <v>0</v>
      </c>
      <c r="AB259" s="7">
        <f t="shared" ca="1" si="575"/>
        <v>0</v>
      </c>
      <c r="AC259" s="7">
        <f t="shared" ca="1" si="575"/>
        <v>0</v>
      </c>
      <c r="AD259" s="7">
        <f t="shared" ca="1" si="575"/>
        <v>0</v>
      </c>
      <c r="AE259" s="7">
        <f t="shared" ca="1" si="575"/>
        <v>0</v>
      </c>
      <c r="AF259" s="7">
        <f t="shared" ca="1" si="575"/>
        <v>0</v>
      </c>
      <c r="AG259" s="7">
        <f t="shared" ca="1" si="575"/>
        <v>0</v>
      </c>
      <c r="AH259" s="7">
        <f t="shared" ca="1" si="575"/>
        <v>0</v>
      </c>
      <c r="AI259" s="7">
        <f t="shared" ca="1" si="575"/>
        <v>0</v>
      </c>
      <c r="AJ259" s="7">
        <f t="shared" ca="1" si="575"/>
        <v>0</v>
      </c>
      <c r="AK259" s="7">
        <f t="shared" ca="1" si="575"/>
        <v>0</v>
      </c>
      <c r="AL259" s="7">
        <f t="shared" ca="1" si="575"/>
        <v>0</v>
      </c>
      <c r="AM259" s="7">
        <f t="shared" ca="1" si="575"/>
        <v>0</v>
      </c>
    </row>
    <row r="260" spans="1:39" x14ac:dyDescent="0.2">
      <c r="A260" s="3" t="s">
        <v>36</v>
      </c>
      <c r="C260" s="7">
        <f ca="1">-C253+SUM(C256:C259)</f>
        <v>0</v>
      </c>
      <c r="D260" s="7">
        <f t="shared" ref="D260" ca="1" si="576">-D253+SUM(D256:D259)</f>
        <v>0</v>
      </c>
      <c r="E260" s="7">
        <f t="shared" ref="E260:AM260" ca="1" si="577">-E253+SUM(E256:E259)</f>
        <v>0</v>
      </c>
      <c r="F260" s="7">
        <f t="shared" ca="1" si="577"/>
        <v>0</v>
      </c>
      <c r="G260" s="7">
        <f t="shared" ca="1" si="577"/>
        <v>0</v>
      </c>
      <c r="H260" s="7">
        <f t="shared" ca="1" si="577"/>
        <v>0</v>
      </c>
      <c r="I260" s="7">
        <f t="shared" ca="1" si="577"/>
        <v>0</v>
      </c>
      <c r="J260" s="7">
        <f t="shared" ca="1" si="577"/>
        <v>0</v>
      </c>
      <c r="K260" s="7">
        <f t="shared" ca="1" si="577"/>
        <v>0</v>
      </c>
      <c r="L260" s="7">
        <f t="shared" ca="1" si="577"/>
        <v>0</v>
      </c>
      <c r="M260" s="7">
        <f t="shared" ca="1" si="577"/>
        <v>0</v>
      </c>
      <c r="N260" s="7">
        <f t="shared" ca="1" si="577"/>
        <v>0</v>
      </c>
      <c r="O260" s="7">
        <f t="shared" ca="1" si="577"/>
        <v>0</v>
      </c>
      <c r="P260" s="7">
        <f t="shared" ca="1" si="577"/>
        <v>0</v>
      </c>
      <c r="Q260" s="7">
        <f t="shared" ca="1" si="577"/>
        <v>0</v>
      </c>
      <c r="R260" s="7">
        <f t="shared" ca="1" si="577"/>
        <v>0</v>
      </c>
      <c r="S260" s="7">
        <f t="shared" ca="1" si="577"/>
        <v>0</v>
      </c>
      <c r="T260" s="7">
        <f t="shared" ca="1" si="577"/>
        <v>0</v>
      </c>
      <c r="U260" s="7">
        <f t="shared" ca="1" si="577"/>
        <v>0</v>
      </c>
      <c r="V260" s="7">
        <f t="shared" ca="1" si="577"/>
        <v>0</v>
      </c>
      <c r="W260" s="7">
        <f t="shared" ca="1" si="577"/>
        <v>0</v>
      </c>
      <c r="X260" s="7">
        <f t="shared" ca="1" si="577"/>
        <v>0</v>
      </c>
      <c r="Y260" s="7">
        <f t="shared" ca="1" si="577"/>
        <v>0</v>
      </c>
      <c r="Z260" s="7">
        <f t="shared" ca="1" si="577"/>
        <v>0</v>
      </c>
      <c r="AA260" s="7">
        <f t="shared" ca="1" si="577"/>
        <v>0</v>
      </c>
      <c r="AB260" s="7">
        <f t="shared" ca="1" si="577"/>
        <v>0</v>
      </c>
      <c r="AC260" s="7">
        <f t="shared" ca="1" si="577"/>
        <v>0</v>
      </c>
      <c r="AD260" s="7">
        <f t="shared" ca="1" si="577"/>
        <v>0</v>
      </c>
      <c r="AE260" s="7">
        <f t="shared" ca="1" si="577"/>
        <v>0</v>
      </c>
      <c r="AF260" s="7">
        <f t="shared" ca="1" si="577"/>
        <v>0</v>
      </c>
      <c r="AG260" s="7">
        <f t="shared" ca="1" si="577"/>
        <v>0</v>
      </c>
      <c r="AH260" s="7">
        <f t="shared" ca="1" si="577"/>
        <v>0</v>
      </c>
      <c r="AI260" s="7">
        <f t="shared" ca="1" si="577"/>
        <v>0</v>
      </c>
      <c r="AJ260" s="7">
        <f t="shared" ca="1" si="577"/>
        <v>0</v>
      </c>
      <c r="AK260" s="7">
        <f t="shared" ca="1" si="577"/>
        <v>0</v>
      </c>
      <c r="AL260" s="7">
        <f t="shared" ca="1" si="577"/>
        <v>0</v>
      </c>
      <c r="AM260" s="7">
        <f t="shared" ca="1" si="577"/>
        <v>0</v>
      </c>
    </row>
    <row r="261" spans="1:39" x14ac:dyDescent="0.2">
      <c r="A261" s="3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  <c r="AB261" s="7"/>
      <c r="AC261" s="7"/>
      <c r="AD261" s="7"/>
      <c r="AE261" s="7"/>
      <c r="AF261" s="7"/>
      <c r="AG261" s="7"/>
      <c r="AH261" s="7"/>
      <c r="AI261" s="7"/>
      <c r="AJ261" s="7"/>
      <c r="AK261" s="7"/>
      <c r="AL261" s="7"/>
      <c r="AM261" s="7"/>
    </row>
    <row r="262" spans="1:39" x14ac:dyDescent="0.2">
      <c r="A262" s="3" t="s">
        <v>70</v>
      </c>
      <c r="C262" s="7">
        <f ca="1">C248+SUM($C260:C260)</f>
        <v>12919.0625</v>
      </c>
      <c r="D262" s="7">
        <f ca="1">D248+SUM($C260:D260)</f>
        <v>22490.535937499997</v>
      </c>
      <c r="E262" s="7">
        <f ca="1">E248+SUM($C260:E260)</f>
        <v>38207.499804687497</v>
      </c>
      <c r="F262" s="7">
        <f ca="1">F248+SUM($C260:F260)</f>
        <v>35714.080452231734</v>
      </c>
      <c r="G262" s="7">
        <f ca="1">G248+SUM($C260:G260)</f>
        <v>229276.11396248138</v>
      </c>
      <c r="H262" s="7">
        <f ca="1">H248+SUM($C260:H260)</f>
        <v>271025.81800930644</v>
      </c>
      <c r="I262" s="7">
        <f ca="1">I248+SUM($C260:I260)</f>
        <v>332892.09672247234</v>
      </c>
      <c r="J262" s="7">
        <f ca="1">J248+SUM($C260:J260)</f>
        <v>399181.31879998074</v>
      </c>
      <c r="K262" s="7">
        <f ca="1">K248+SUM($C260:K260)</f>
        <v>452080.69175229734</v>
      </c>
      <c r="L262" s="7">
        <f ca="1">L248+SUM($C260:L260)</f>
        <v>591897.59165074176</v>
      </c>
      <c r="M262" s="7">
        <f ca="1">M248+SUM($C260:M260)</f>
        <v>643438.66125641076</v>
      </c>
      <c r="N262" s="7">
        <f ca="1">N248+SUM($C260:N260)</f>
        <v>748500.49246398674</v>
      </c>
      <c r="O262" s="7">
        <f ca="1">O248+SUM($C260:O260)</f>
        <v>859267.05744988273</v>
      </c>
      <c r="P262" s="7">
        <f ca="1">P248+SUM($C260:P260)</f>
        <v>975981.2911249469</v>
      </c>
      <c r="Q262" s="7">
        <f ca="1">Q248+SUM($C260:Q260)</f>
        <v>1098895.4105429514</v>
      </c>
      <c r="R262" s="7">
        <f ca="1">R248+SUM($C260:R260)</f>
        <v>1228271.248199099</v>
      </c>
      <c r="S262" s="7">
        <f ca="1">S248+SUM($C260:S260)</f>
        <v>1364380.5968228865</v>
      </c>
      <c r="T262" s="7">
        <f ca="1">T248+SUM($C260:T260)</f>
        <v>1402527.6236677105</v>
      </c>
      <c r="U262" s="7">
        <f ca="1">U248+SUM($C260:U260)</f>
        <v>1449854.2259580824</v>
      </c>
      <c r="V262" s="7">
        <f ca="1">V248+SUM($C260:V260)</f>
        <v>1498907.5815076504</v>
      </c>
      <c r="W262" s="7">
        <f ca="1">W248+SUM($C260:W260)</f>
        <v>1549752.4964402271</v>
      </c>
      <c r="X262" s="7">
        <f ca="1">X248+SUM($C260:X260)</f>
        <v>1602456.179392647</v>
      </c>
      <c r="Y262" s="7">
        <f ca="1">Y248+SUM($C260:Y260)</f>
        <v>1636171.2358988209</v>
      </c>
      <c r="Z262" s="7">
        <f ca="1">Z248+SUM($C260:Z260)</f>
        <v>1670841.1811310996</v>
      </c>
      <c r="AA262" s="7">
        <f ca="1">AA248+SUM($C260:AA260)</f>
        <v>1706501.7452458595</v>
      </c>
      <c r="AB262" s="7">
        <f ca="1">AB248+SUM($C260:AB260)</f>
        <v>1743190.1198307537</v>
      </c>
      <c r="AC262" s="7">
        <f ca="1">AC248+SUM($C260:AC260)</f>
        <v>1780945.016796795</v>
      </c>
      <c r="AD262" s="7">
        <f ca="1">AD248+SUM($C260:AD260)</f>
        <v>1819806.7295462058</v>
      </c>
      <c r="AE262" s="7">
        <f ca="1">AE248+SUM($C260:AE260)</f>
        <v>1869924.4525328081</v>
      </c>
      <c r="AF262" s="7">
        <f ca="1">AF248+SUM($C260:AF260)</f>
        <v>1921739.9419416173</v>
      </c>
      <c r="AG262" s="7">
        <f ca="1">AG248+SUM($C260:AG260)</f>
        <v>1975317.5778012427</v>
      </c>
      <c r="AH262" s="7">
        <f ca="1">AH248+SUM($C260:AH260)</f>
        <v>2030724.2224962406</v>
      </c>
      <c r="AI262" s="7">
        <f ca="1">AI248+SUM($C260:AI260)</f>
        <v>2088029.314381151</v>
      </c>
      <c r="AJ262" s="7">
        <f ca="1">AJ248+SUM($C260:AJ260)</f>
        <v>2147304.9648157731</v>
      </c>
      <c r="AK262" s="7">
        <f ca="1">AK248+SUM($C260:AK260)</f>
        <v>2208626.0587430005</v>
      </c>
      <c r="AL262" s="7">
        <f ca="1">AL248+SUM($C260:AL260)</f>
        <v>2272070.3589347131</v>
      </c>
      <c r="AM262" s="7">
        <f ca="1">AM248+SUM($C260:AM260)</f>
        <v>2337718.614035564</v>
      </c>
    </row>
    <row r="263" spans="1:39" x14ac:dyDescent="0.2">
      <c r="A263" s="3" t="s">
        <v>67</v>
      </c>
      <c r="C263" s="7">
        <f t="shared" ref="C263:AM263" ca="1" si="578">MAX(C262+buffer,0)-MAX(C248+buffer,0)</f>
        <v>0</v>
      </c>
      <c r="D263" s="7">
        <f t="shared" ca="1" si="578"/>
        <v>0</v>
      </c>
      <c r="E263" s="7">
        <f t="shared" ca="1" si="578"/>
        <v>0</v>
      </c>
      <c r="F263" s="7">
        <f t="shared" ca="1" si="578"/>
        <v>0</v>
      </c>
      <c r="G263" s="7">
        <f t="shared" ca="1" si="578"/>
        <v>0</v>
      </c>
      <c r="H263" s="7">
        <f t="shared" ca="1" si="578"/>
        <v>0</v>
      </c>
      <c r="I263" s="7">
        <f t="shared" ca="1" si="578"/>
        <v>0</v>
      </c>
      <c r="J263" s="7">
        <f t="shared" ca="1" si="578"/>
        <v>0</v>
      </c>
      <c r="K263" s="7">
        <f t="shared" ca="1" si="578"/>
        <v>0</v>
      </c>
      <c r="L263" s="7">
        <f t="shared" ca="1" si="578"/>
        <v>0</v>
      </c>
      <c r="M263" s="7">
        <f t="shared" ca="1" si="578"/>
        <v>0</v>
      </c>
      <c r="N263" s="7">
        <f t="shared" ca="1" si="578"/>
        <v>0</v>
      </c>
      <c r="O263" s="7">
        <f t="shared" ca="1" si="578"/>
        <v>0</v>
      </c>
      <c r="P263" s="7">
        <f t="shared" ca="1" si="578"/>
        <v>0</v>
      </c>
      <c r="Q263" s="7">
        <f t="shared" ca="1" si="578"/>
        <v>0</v>
      </c>
      <c r="R263" s="7">
        <f t="shared" ca="1" si="578"/>
        <v>0</v>
      </c>
      <c r="S263" s="7">
        <f t="shared" ca="1" si="578"/>
        <v>0</v>
      </c>
      <c r="T263" s="7">
        <f t="shared" ca="1" si="578"/>
        <v>0</v>
      </c>
      <c r="U263" s="7">
        <f t="shared" ca="1" si="578"/>
        <v>0</v>
      </c>
      <c r="V263" s="7">
        <f t="shared" ca="1" si="578"/>
        <v>0</v>
      </c>
      <c r="W263" s="7">
        <f t="shared" ca="1" si="578"/>
        <v>0</v>
      </c>
      <c r="X263" s="7">
        <f t="shared" ca="1" si="578"/>
        <v>0</v>
      </c>
      <c r="Y263" s="7">
        <f t="shared" ca="1" si="578"/>
        <v>0</v>
      </c>
      <c r="Z263" s="7">
        <f t="shared" ca="1" si="578"/>
        <v>0</v>
      </c>
      <c r="AA263" s="7">
        <f t="shared" ca="1" si="578"/>
        <v>0</v>
      </c>
      <c r="AB263" s="7">
        <f t="shared" ca="1" si="578"/>
        <v>0</v>
      </c>
      <c r="AC263" s="7">
        <f t="shared" ca="1" si="578"/>
        <v>0</v>
      </c>
      <c r="AD263" s="7">
        <f t="shared" ca="1" si="578"/>
        <v>0</v>
      </c>
      <c r="AE263" s="7">
        <f t="shared" ca="1" si="578"/>
        <v>0</v>
      </c>
      <c r="AF263" s="7">
        <f t="shared" ca="1" si="578"/>
        <v>0</v>
      </c>
      <c r="AG263" s="7">
        <f t="shared" ca="1" si="578"/>
        <v>0</v>
      </c>
      <c r="AH263" s="7">
        <f t="shared" ca="1" si="578"/>
        <v>0</v>
      </c>
      <c r="AI263" s="7">
        <f t="shared" ca="1" si="578"/>
        <v>0</v>
      </c>
      <c r="AJ263" s="7">
        <f t="shared" ca="1" si="578"/>
        <v>0</v>
      </c>
      <c r="AK263" s="7">
        <f t="shared" ca="1" si="578"/>
        <v>0</v>
      </c>
      <c r="AL263" s="7">
        <f t="shared" ca="1" si="578"/>
        <v>0</v>
      </c>
      <c r="AM263" s="7">
        <f t="shared" ca="1" si="578"/>
        <v>0</v>
      </c>
    </row>
    <row r="264" spans="1:39" x14ac:dyDescent="0.2">
      <c r="A264" s="3" t="s">
        <v>68</v>
      </c>
      <c r="C264" s="7">
        <f ca="1">C263*Inputs!$B$270</f>
        <v>0</v>
      </c>
      <c r="D264" s="7">
        <f ca="1">D263*Inputs!$B$270</f>
        <v>0</v>
      </c>
      <c r="E264" s="7">
        <f ca="1">E263*Inputs!$B$270</f>
        <v>0</v>
      </c>
      <c r="F264" s="7">
        <f ca="1">F263*Inputs!$B$270</f>
        <v>0</v>
      </c>
      <c r="G264" s="7">
        <f ca="1">G263*Inputs!$B$270</f>
        <v>0</v>
      </c>
      <c r="H264" s="7">
        <f ca="1">H263*Inputs!$B$270</f>
        <v>0</v>
      </c>
      <c r="I264" s="7">
        <f ca="1">I263*Inputs!$B$270</f>
        <v>0</v>
      </c>
      <c r="J264" s="7">
        <f ca="1">J263*Inputs!$B$270</f>
        <v>0</v>
      </c>
      <c r="K264" s="7">
        <f ca="1">K263*Inputs!$B$270</f>
        <v>0</v>
      </c>
      <c r="L264" s="7">
        <f ca="1">L263*Inputs!$B$270</f>
        <v>0</v>
      </c>
      <c r="M264" s="7">
        <f ca="1">M263*Inputs!$B$270</f>
        <v>0</v>
      </c>
      <c r="N264" s="7">
        <f ca="1">N263*Inputs!$B$270</f>
        <v>0</v>
      </c>
      <c r="O264" s="7">
        <f ca="1">O263*Inputs!$B$270</f>
        <v>0</v>
      </c>
      <c r="P264" s="7">
        <f ca="1">P263*Inputs!$B$270</f>
        <v>0</v>
      </c>
      <c r="Q264" s="7">
        <f ca="1">Q263*Inputs!$B$270</f>
        <v>0</v>
      </c>
      <c r="R264" s="7">
        <f ca="1">R263*Inputs!$B$270</f>
        <v>0</v>
      </c>
      <c r="S264" s="7">
        <f ca="1">S263*Inputs!$B$270</f>
        <v>0</v>
      </c>
      <c r="T264" s="7">
        <f ca="1">T263*Inputs!$B$270</f>
        <v>0</v>
      </c>
      <c r="U264" s="7">
        <f ca="1">U263*Inputs!$B$270</f>
        <v>0</v>
      </c>
      <c r="V264" s="7">
        <f ca="1">V263*Inputs!$B$270</f>
        <v>0</v>
      </c>
      <c r="W264" s="7">
        <f ca="1">W263*Inputs!$B$270</f>
        <v>0</v>
      </c>
      <c r="X264" s="7">
        <f ca="1">X263*Inputs!$B$270</f>
        <v>0</v>
      </c>
      <c r="Y264" s="7">
        <f ca="1">Y263*Inputs!$B$270</f>
        <v>0</v>
      </c>
      <c r="Z264" s="7">
        <f ca="1">Z263*Inputs!$B$270</f>
        <v>0</v>
      </c>
      <c r="AA264" s="7">
        <f ca="1">AA263*Inputs!$B$270</f>
        <v>0</v>
      </c>
      <c r="AB264" s="7">
        <f ca="1">AB263*Inputs!$B$270</f>
        <v>0</v>
      </c>
      <c r="AC264" s="7">
        <f ca="1">AC263*Inputs!$B$270</f>
        <v>0</v>
      </c>
      <c r="AD264" s="7">
        <f ca="1">AD263*Inputs!$B$270</f>
        <v>0</v>
      </c>
      <c r="AE264" s="7">
        <f ca="1">AE263*Inputs!$B$270</f>
        <v>0</v>
      </c>
      <c r="AF264" s="7">
        <f ca="1">AF263*Inputs!$B$270</f>
        <v>0</v>
      </c>
      <c r="AG264" s="7">
        <f ca="1">AG263*Inputs!$B$270</f>
        <v>0</v>
      </c>
      <c r="AH264" s="7">
        <f ca="1">AH263*Inputs!$B$270</f>
        <v>0</v>
      </c>
      <c r="AI264" s="7">
        <f ca="1">AI263*Inputs!$B$270</f>
        <v>0</v>
      </c>
      <c r="AJ264" s="7">
        <f ca="1">AJ263*Inputs!$B$270</f>
        <v>0</v>
      </c>
      <c r="AK264" s="7">
        <f ca="1">AK263*Inputs!$B$270</f>
        <v>0</v>
      </c>
      <c r="AL264" s="7">
        <f ca="1">AL263*Inputs!$B$270</f>
        <v>0</v>
      </c>
      <c r="AM264" s="7">
        <f ca="1">AM263*Inputs!$B$270</f>
        <v>0</v>
      </c>
    </row>
    <row r="265" spans="1:39" x14ac:dyDescent="0.2">
      <c r="A265" s="3" t="s">
        <v>149</v>
      </c>
      <c r="C265" s="7">
        <f ca="1">C262+SUM($C264:C264)</f>
        <v>12919.0625</v>
      </c>
      <c r="D265" s="7">
        <f ca="1">D262+SUM($C264:D264)</f>
        <v>22490.535937499997</v>
      </c>
      <c r="E265" s="7">
        <f ca="1">E262+SUM($C264:E264)</f>
        <v>38207.499804687497</v>
      </c>
      <c r="F265" s="7">
        <f ca="1">F262+SUM($C264:F264)</f>
        <v>35714.080452231734</v>
      </c>
      <c r="G265" s="7">
        <f ca="1">G262+SUM($C264:G264)</f>
        <v>229276.11396248138</v>
      </c>
      <c r="H265" s="7">
        <f ca="1">H262+SUM($C264:H264)</f>
        <v>271025.81800930644</v>
      </c>
      <c r="I265" s="7">
        <f ca="1">I262+SUM($C264:I264)</f>
        <v>332892.09672247234</v>
      </c>
      <c r="J265" s="7">
        <f ca="1">J262+SUM($C264:J264)</f>
        <v>399181.31879998074</v>
      </c>
      <c r="K265" s="7">
        <f ca="1">K262+SUM($C264:K264)</f>
        <v>452080.69175229734</v>
      </c>
      <c r="L265" s="7">
        <f ca="1">L262+SUM($C264:L264)</f>
        <v>591897.59165074176</v>
      </c>
      <c r="M265" s="7">
        <f ca="1">M262+SUM($C264:M264)</f>
        <v>643438.66125641076</v>
      </c>
      <c r="N265" s="7">
        <f ca="1">N262+SUM($C264:N264)</f>
        <v>748500.49246398674</v>
      </c>
      <c r="O265" s="7">
        <f ca="1">O262+SUM($C264:O264)</f>
        <v>859267.05744988273</v>
      </c>
      <c r="P265" s="7">
        <f ca="1">P262+SUM($C264:P264)</f>
        <v>975981.2911249469</v>
      </c>
      <c r="Q265" s="7">
        <f ca="1">Q262+SUM($C264:Q264)</f>
        <v>1098895.4105429514</v>
      </c>
      <c r="R265" s="7">
        <f ca="1">R262+SUM($C264:R264)</f>
        <v>1228271.248199099</v>
      </c>
      <c r="S265" s="7">
        <f ca="1">S262+SUM($C264:S264)</f>
        <v>1364380.5968228865</v>
      </c>
      <c r="T265" s="7">
        <f ca="1">T262+SUM($C264:T264)</f>
        <v>1402527.6236677105</v>
      </c>
      <c r="U265" s="7">
        <f ca="1">U262+SUM($C264:U264)</f>
        <v>1449854.2259580824</v>
      </c>
      <c r="V265" s="7">
        <f ca="1">V262+SUM($C264:V264)</f>
        <v>1498907.5815076504</v>
      </c>
      <c r="W265" s="7">
        <f ca="1">W262+SUM($C264:W264)</f>
        <v>1549752.4964402271</v>
      </c>
      <c r="X265" s="7">
        <f ca="1">X262+SUM($C264:X264)</f>
        <v>1602456.179392647</v>
      </c>
      <c r="Y265" s="7">
        <f ca="1">Y262+SUM($C264:Y264)</f>
        <v>1636171.2358988209</v>
      </c>
      <c r="Z265" s="7">
        <f ca="1">Z262+SUM($C264:Z264)</f>
        <v>1670841.1811310996</v>
      </c>
      <c r="AA265" s="7">
        <f ca="1">AA262+SUM($C264:AA264)</f>
        <v>1706501.7452458595</v>
      </c>
      <c r="AB265" s="7">
        <f ca="1">AB262+SUM($C264:AB264)</f>
        <v>1743190.1198307537</v>
      </c>
      <c r="AC265" s="7">
        <f ca="1">AC262+SUM($C264:AC264)</f>
        <v>1780945.016796795</v>
      </c>
      <c r="AD265" s="7">
        <f ca="1">AD262+SUM($C264:AD264)</f>
        <v>1819806.7295462058</v>
      </c>
      <c r="AE265" s="7">
        <f ca="1">AE262+SUM($C264:AE264)</f>
        <v>1869924.4525328081</v>
      </c>
      <c r="AF265" s="7">
        <f ca="1">AF262+SUM($C264:AF264)</f>
        <v>1921739.9419416173</v>
      </c>
      <c r="AG265" s="7">
        <f ca="1">AG262+SUM($C264:AG264)</f>
        <v>1975317.5778012427</v>
      </c>
      <c r="AH265" s="7">
        <f ca="1">AH262+SUM($C264:AH264)</f>
        <v>2030724.2224962406</v>
      </c>
      <c r="AI265" s="7">
        <f ca="1">AI262+SUM($C264:AI264)</f>
        <v>2088029.314381151</v>
      </c>
      <c r="AJ265" s="7">
        <f ca="1">AJ262+SUM($C264:AJ264)</f>
        <v>2147304.9648157731</v>
      </c>
      <c r="AK265" s="7">
        <f ca="1">AK262+SUM($C264:AK264)</f>
        <v>2208626.0587430005</v>
      </c>
      <c r="AL265" s="7">
        <f ca="1">AL262+SUM($C264:AL264)</f>
        <v>2272070.3589347131</v>
      </c>
      <c r="AM265" s="7">
        <f ca="1">AM262+SUM($C264:AM264)</f>
        <v>2337718.614035564</v>
      </c>
    </row>
    <row r="266" spans="1:39" x14ac:dyDescent="0.2">
      <c r="A266" s="3" t="s">
        <v>19</v>
      </c>
      <c r="C266" s="7">
        <f ca="1">IF(C265&lt;0,-C265,0)</f>
        <v>0</v>
      </c>
      <c r="D266" s="7">
        <f ca="1">IF(D265+SUM($C266:C266)&lt;0,-(D265+SUM($C266:C266)),0)</f>
        <v>0</v>
      </c>
      <c r="E266" s="7">
        <f ca="1">IF(E265+SUM($C266:D266)&lt;0,-(E265+SUM($C266:D266)),0)</f>
        <v>0</v>
      </c>
      <c r="F266" s="7">
        <f ca="1">IF(F265+SUM($C266:E266)&lt;0,-(F265+SUM($C266:E266)),0)</f>
        <v>0</v>
      </c>
      <c r="G266" s="7">
        <f ca="1">IF(G265+SUM($C266:F266)&lt;0,-(G265+SUM($C266:F266)),0)</f>
        <v>0</v>
      </c>
      <c r="H266" s="7">
        <f ca="1">IF(H265+SUM($C266:G266)&lt;0,-(H265+SUM($C266:G266)),0)</f>
        <v>0</v>
      </c>
      <c r="I266" s="7">
        <f ca="1">IF(I265+SUM($C266:H266)&lt;0,-(I265+SUM($C266:H266)),0)</f>
        <v>0</v>
      </c>
      <c r="J266" s="7">
        <f ca="1">IF(J265+SUM($C266:I266)&lt;0,-(J265+SUM($C266:I266)),0)</f>
        <v>0</v>
      </c>
      <c r="K266" s="7">
        <f ca="1">IF(K265+SUM($C266:J266)&lt;0,-(K265+SUM($C266:J266)),0)</f>
        <v>0</v>
      </c>
      <c r="L266" s="7">
        <f ca="1">IF(L265+SUM($C266:K266)&lt;0,-(L265+SUM($C266:K266)),0)</f>
        <v>0</v>
      </c>
      <c r="M266" s="7">
        <f ca="1">IF(M265+SUM($C266:L266)&lt;0,-(M265+SUM($C266:L266)),0)</f>
        <v>0</v>
      </c>
      <c r="N266" s="7">
        <f ca="1">IF(N265+SUM($C266:M266)&lt;0,-(N265+SUM($C266:M266)),0)</f>
        <v>0</v>
      </c>
      <c r="O266" s="7">
        <f ca="1">IF(O265+SUM($C266:N266)&lt;0,-(O265+SUM($C266:N266)),0)</f>
        <v>0</v>
      </c>
      <c r="P266" s="7">
        <f ca="1">IF(P265+SUM($C266:O266)&lt;0,-(P265+SUM($C266:O266)),0)</f>
        <v>0</v>
      </c>
      <c r="Q266" s="7">
        <f ca="1">IF(Q265+SUM($C266:P266)&lt;0,-(Q265+SUM($C266:P266)),0)</f>
        <v>0</v>
      </c>
      <c r="R266" s="7">
        <f ca="1">IF(R265+SUM($C266:Q266)&lt;0,-(R265+SUM($C266:Q266)),0)</f>
        <v>0</v>
      </c>
      <c r="S266" s="7">
        <f ca="1">IF(S265+SUM($C266:R266)&lt;0,-(S265+SUM($C266:R266)),0)</f>
        <v>0</v>
      </c>
      <c r="T266" s="7">
        <f ca="1">IF(T265+SUM($C266:S266)&lt;0,-(T265+SUM($C266:S266)),0)</f>
        <v>0</v>
      </c>
      <c r="U266" s="7">
        <f ca="1">IF(U265+SUM($C266:T266)&lt;0,-(U265+SUM($C266:T266)),0)</f>
        <v>0</v>
      </c>
      <c r="V266" s="7">
        <f ca="1">IF(V265+SUM($C266:U266)&lt;0,-(V265+SUM($C266:U266)),0)</f>
        <v>0</v>
      </c>
      <c r="W266" s="7">
        <f ca="1">IF(W265+SUM($C266:V266)&lt;0,-(W265+SUM($C266:V266)),0)</f>
        <v>0</v>
      </c>
      <c r="X266" s="7">
        <f ca="1">IF(X265+SUM($C266:W266)&lt;0,-(X265+SUM($C266:W266)),0)</f>
        <v>0</v>
      </c>
      <c r="Y266" s="7">
        <f ca="1">IF(Y265+SUM($C266:X266)&lt;0,-(Y265+SUM($C266:X266)),0)</f>
        <v>0</v>
      </c>
      <c r="Z266" s="7">
        <f ca="1">IF(Z265+SUM($C266:Y266)&lt;0,-(Z265+SUM($C266:Y266)),0)</f>
        <v>0</v>
      </c>
      <c r="AA266" s="7">
        <f ca="1">IF(AA265+SUM($C266:Z266)&lt;0,-(AA265+SUM($C266:Z266)),0)</f>
        <v>0</v>
      </c>
      <c r="AB266" s="7">
        <f ca="1">IF(AB265+SUM($C266:AA266)&lt;0,-(AB265+SUM($C266:AA266)),0)</f>
        <v>0</v>
      </c>
      <c r="AC266" s="7">
        <f ca="1">IF(AC265+SUM($C266:AB266)&lt;0,-(AC265+SUM($C266:AB266)),0)</f>
        <v>0</v>
      </c>
      <c r="AD266" s="7">
        <f ca="1">IF(AD265+SUM($C266:AC266)&lt;0,-(AD265+SUM($C266:AC266)),0)</f>
        <v>0</v>
      </c>
      <c r="AE266" s="7">
        <f ca="1">IF(AE265+SUM($C266:AD266)&lt;0,-(AE265+SUM($C266:AD266)),0)</f>
        <v>0</v>
      </c>
      <c r="AF266" s="7">
        <f ca="1">IF(AF265+SUM($C266:AE266)&lt;0,-(AF265+SUM($C266:AE266)),0)</f>
        <v>0</v>
      </c>
      <c r="AG266" s="7">
        <f ca="1">IF(AG265+SUM($C266:AF266)&lt;0,-(AG265+SUM($C266:AF266)),0)</f>
        <v>0</v>
      </c>
      <c r="AH266" s="7">
        <f ca="1">IF(AH265+SUM($C266:AG266)&lt;0,-(AH265+SUM($C266:AG266)),0)</f>
        <v>0</v>
      </c>
      <c r="AI266" s="7">
        <f ca="1">IF(AI265+SUM($C266:AH266)&lt;0,-(AI265+SUM($C266:AH266)),0)</f>
        <v>0</v>
      </c>
      <c r="AJ266" s="7">
        <f ca="1">IF(AJ265+SUM($C266:AI266)&lt;0,-(AJ265+SUM($C266:AI266)),0)</f>
        <v>0</v>
      </c>
      <c r="AK266" s="7">
        <f ca="1">IF(AK265+SUM($C266:AJ266)&lt;0,-(AK265+SUM($C266:AJ266)),0)</f>
        <v>0</v>
      </c>
      <c r="AL266" s="7">
        <f ca="1">IF(AL265+SUM($C266:AK266)&lt;0,-(AL265+SUM($C266:AK266)),0)</f>
        <v>0</v>
      </c>
      <c r="AM266" s="7">
        <f ca="1">IF(AM265+SUM($C266:AL266)&lt;0,-(AM265+SUM($C266:AL266)),0)</f>
        <v>0</v>
      </c>
    </row>
    <row r="267" spans="1:39" x14ac:dyDescent="0.2"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  <c r="AB267" s="7"/>
      <c r="AC267" s="7"/>
      <c r="AD267" s="7"/>
      <c r="AE267" s="7"/>
      <c r="AF267" s="7"/>
      <c r="AG267" s="7"/>
      <c r="AH267" s="7"/>
      <c r="AI267" s="7"/>
      <c r="AJ267" s="7"/>
      <c r="AK267" s="7"/>
      <c r="AL267" s="7"/>
      <c r="AM267" s="7"/>
    </row>
    <row r="268" spans="1:39" x14ac:dyDescent="0.2">
      <c r="A268" s="24" t="str">
        <f>IF(Inputs!$B$290=6,IFERROR(_xlfn.XLOOKUP($B268,Inputs!$B$291:$B$300,Inputs!$A$291:$A$300,,0,1),""),IFERROR(_xlfn.XLOOKUP($B268,Inputs!$C$291:$C$300,Inputs!$A$291:$A$300,,0,1),""))</f>
        <v>Sliema</v>
      </c>
      <c r="B268" s="26">
        <v>10</v>
      </c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  <c r="AE268" s="7"/>
      <c r="AF268" s="7"/>
      <c r="AG268" s="7"/>
      <c r="AH268" s="7"/>
      <c r="AI268" s="7"/>
      <c r="AJ268" s="7"/>
      <c r="AK268" s="7"/>
      <c r="AL268" s="7"/>
      <c r="AM268" s="7"/>
    </row>
    <row r="269" spans="1:39" x14ac:dyDescent="0.2">
      <c r="A269" s="3" t="s">
        <v>21</v>
      </c>
      <c r="C269" s="7">
        <f ca="1">IFERROR(VLOOKUP($A268,$A$68:$H$97,C$1+2,FALSE),0)</f>
        <v>306724.99866884813</v>
      </c>
      <c r="D269" s="7">
        <f ca="1">C272</f>
        <v>306724.99866884813</v>
      </c>
      <c r="E269" s="7">
        <f t="shared" ref="E269:AM269" ca="1" si="579">D272</f>
        <v>315926.7486289136</v>
      </c>
      <c r="F269" s="7">
        <f t="shared" ca="1" si="579"/>
        <v>325404.55108778103</v>
      </c>
      <c r="G269" s="7">
        <f t="shared" ca="1" si="579"/>
        <v>335166.68762041448</v>
      </c>
      <c r="H269" s="7">
        <f t="shared" ca="1" si="579"/>
        <v>345221.68824902689</v>
      </c>
      <c r="I269" s="7">
        <f t="shared" ca="1" si="579"/>
        <v>355578.33889649768</v>
      </c>
      <c r="J269" s="7">
        <f t="shared" ca="1" si="579"/>
        <v>366245.68906339258</v>
      </c>
      <c r="K269" s="7">
        <f t="shared" ca="1" si="579"/>
        <v>377233.05973529437</v>
      </c>
      <c r="L269" s="7">
        <f t="shared" ca="1" si="579"/>
        <v>388550.05152735318</v>
      </c>
      <c r="M269" s="7">
        <f t="shared" ca="1" si="579"/>
        <v>400206.5530731738</v>
      </c>
      <c r="N269" s="7">
        <f t="shared" ca="1" si="579"/>
        <v>412212.74966536899</v>
      </c>
      <c r="O269" s="7">
        <f t="shared" ca="1" si="579"/>
        <v>424579.13215533004</v>
      </c>
      <c r="P269" s="7">
        <f t="shared" ca="1" si="579"/>
        <v>437316.50611998996</v>
      </c>
      <c r="Q269" s="7">
        <f t="shared" ca="1" si="579"/>
        <v>450436.00130358967</v>
      </c>
      <c r="R269" s="7">
        <f t="shared" ca="1" si="579"/>
        <v>463949.08134269738</v>
      </c>
      <c r="S269" s="7">
        <f t="shared" ca="1" si="579"/>
        <v>477867.55378297827</v>
      </c>
      <c r="T269" s="7">
        <f t="shared" ca="1" si="579"/>
        <v>492203.58039646765</v>
      </c>
      <c r="U269" s="7">
        <f t="shared" ca="1" si="579"/>
        <v>506969.68780836166</v>
      </c>
      <c r="V269" s="7">
        <f t="shared" ca="1" si="579"/>
        <v>522178.7784426125</v>
      </c>
      <c r="W269" s="7">
        <f t="shared" ca="1" si="579"/>
        <v>537844.14179589087</v>
      </c>
      <c r="X269" s="7">
        <f t="shared" ca="1" si="579"/>
        <v>553979.46604976756</v>
      </c>
      <c r="Y269" s="7">
        <f t="shared" ca="1" si="579"/>
        <v>570598.85003126063</v>
      </c>
      <c r="Z269" s="7">
        <f t="shared" ca="1" si="579"/>
        <v>587716.81553219841</v>
      </c>
      <c r="AA269" s="7">
        <f t="shared" ca="1" si="579"/>
        <v>605348.31999816431</v>
      </c>
      <c r="AB269" s="7">
        <f t="shared" ca="1" si="579"/>
        <v>623508.76959810918</v>
      </c>
      <c r="AC269" s="7">
        <f t="shared" ca="1" si="579"/>
        <v>642214.03268605249</v>
      </c>
      <c r="AD269" s="7">
        <f t="shared" ca="1" si="579"/>
        <v>661480.45366663404</v>
      </c>
      <c r="AE269" s="7">
        <f t="shared" ca="1" si="579"/>
        <v>681324.86727663304</v>
      </c>
      <c r="AF269" s="7">
        <f t="shared" ca="1" si="579"/>
        <v>701764.61329493206</v>
      </c>
      <c r="AG269" s="7">
        <f t="shared" ca="1" si="579"/>
        <v>722817.55169378</v>
      </c>
      <c r="AH269" s="7">
        <f t="shared" ca="1" si="579"/>
        <v>744502.07824459334</v>
      </c>
      <c r="AI269" s="7">
        <f t="shared" ca="1" si="579"/>
        <v>766837.14059193118</v>
      </c>
      <c r="AJ269" s="7">
        <f t="shared" ca="1" si="579"/>
        <v>789842.25480968913</v>
      </c>
      <c r="AK269" s="7">
        <f t="shared" ca="1" si="579"/>
        <v>813537.52245397982</v>
      </c>
      <c r="AL269" s="7">
        <f t="shared" ca="1" si="579"/>
        <v>837943.64812759927</v>
      </c>
      <c r="AM269" s="7">
        <f t="shared" ca="1" si="579"/>
        <v>863081.95757142722</v>
      </c>
    </row>
    <row r="270" spans="1:39" x14ac:dyDescent="0.2">
      <c r="A270" s="3" t="s">
        <v>22</v>
      </c>
      <c r="C270" s="7">
        <f ca="1">-IF(D266&gt;0,C269,0)</f>
        <v>0</v>
      </c>
      <c r="D270" s="7">
        <f ca="1">-IF(E266&gt;0,D269,0)</f>
        <v>0</v>
      </c>
      <c r="E270" s="7">
        <f ca="1">-IF(F266&gt;0,E269,0)</f>
        <v>0</v>
      </c>
      <c r="F270" s="7">
        <f ca="1">-IF(G266&gt;0,F269,0)</f>
        <v>0</v>
      </c>
      <c r="G270" s="7">
        <f t="shared" ref="G270" ca="1" si="580">-IF(H266&gt;0,G269,0)</f>
        <v>0</v>
      </c>
      <c r="H270" s="7">
        <f t="shared" ref="H270" ca="1" si="581">-IF(I266&gt;0,H269,0)</f>
        <v>0</v>
      </c>
      <c r="I270" s="7">
        <f t="shared" ref="I270" ca="1" si="582">-IF(J266&gt;0,I269,0)</f>
        <v>0</v>
      </c>
      <c r="J270" s="7">
        <f t="shared" ref="J270" ca="1" si="583">-IF(K266&gt;0,J269,0)</f>
        <v>0</v>
      </c>
      <c r="K270" s="7">
        <f t="shared" ref="K270" ca="1" si="584">-IF(L266&gt;0,K269,0)</f>
        <v>0</v>
      </c>
      <c r="L270" s="7">
        <f t="shared" ref="L270" ca="1" si="585">-IF(M266&gt;0,L269,0)</f>
        <v>0</v>
      </c>
      <c r="M270" s="7">
        <f t="shared" ref="M270" ca="1" si="586">-IF(N266&gt;0,M269,0)</f>
        <v>0</v>
      </c>
      <c r="N270" s="7">
        <f t="shared" ref="N270" ca="1" si="587">-IF(O266&gt;0,N269,0)</f>
        <v>0</v>
      </c>
      <c r="O270" s="7">
        <f t="shared" ref="O270" ca="1" si="588">-IF(P266&gt;0,O269,0)</f>
        <v>0</v>
      </c>
      <c r="P270" s="7">
        <f t="shared" ref="P270" ca="1" si="589">-IF(Q266&gt;0,P269,0)</f>
        <v>0</v>
      </c>
      <c r="Q270" s="7">
        <f t="shared" ref="Q270" ca="1" si="590">-IF(R266&gt;0,Q269,0)</f>
        <v>0</v>
      </c>
      <c r="R270" s="7">
        <f t="shared" ref="R270" ca="1" si="591">-IF(S266&gt;0,R269,0)</f>
        <v>0</v>
      </c>
      <c r="S270" s="7">
        <f t="shared" ref="S270" ca="1" si="592">-IF(T266&gt;0,S269,0)</f>
        <v>0</v>
      </c>
      <c r="T270" s="7">
        <f t="shared" ref="T270" ca="1" si="593">-IF(U266&gt;0,T269,0)</f>
        <v>0</v>
      </c>
      <c r="U270" s="7">
        <f t="shared" ref="U270" ca="1" si="594">-IF(V266&gt;0,U269,0)</f>
        <v>0</v>
      </c>
      <c r="V270" s="7">
        <f t="shared" ref="V270" ca="1" si="595">-IF(W266&gt;0,V269,0)</f>
        <v>0</v>
      </c>
      <c r="W270" s="7">
        <f t="shared" ref="W270" ca="1" si="596">-IF(X266&gt;0,W269,0)</f>
        <v>0</v>
      </c>
      <c r="X270" s="7">
        <f t="shared" ref="X270" ca="1" si="597">-IF(Y266&gt;0,X269,0)</f>
        <v>0</v>
      </c>
      <c r="Y270" s="7">
        <f t="shared" ref="Y270" ca="1" si="598">-IF(Z266&gt;0,Y269,0)</f>
        <v>0</v>
      </c>
      <c r="Z270" s="7">
        <f t="shared" ref="Z270" ca="1" si="599">-IF(AA266&gt;0,Z269,0)</f>
        <v>0</v>
      </c>
      <c r="AA270" s="7">
        <f t="shared" ref="AA270" ca="1" si="600">-IF(AB266&gt;0,AA269,0)</f>
        <v>0</v>
      </c>
      <c r="AB270" s="7">
        <f t="shared" ref="AB270" ca="1" si="601">-IF(AC266&gt;0,AB269,0)</f>
        <v>0</v>
      </c>
      <c r="AC270" s="7">
        <f t="shared" ref="AC270" ca="1" si="602">-IF(AD266&gt;0,AC269,0)</f>
        <v>0</v>
      </c>
      <c r="AD270" s="7">
        <f t="shared" ref="AD270" ca="1" si="603">-IF(AE266&gt;0,AD269,0)</f>
        <v>0</v>
      </c>
      <c r="AE270" s="7">
        <f t="shared" ref="AE270" ca="1" si="604">-IF(AF266&gt;0,AE269,0)</f>
        <v>0</v>
      </c>
      <c r="AF270" s="7">
        <f t="shared" ref="AF270" ca="1" si="605">-IF(AG266&gt;0,AF269,0)</f>
        <v>0</v>
      </c>
      <c r="AG270" s="7">
        <f t="shared" ref="AG270" ca="1" si="606">-IF(AH266&gt;0,AG269,0)</f>
        <v>0</v>
      </c>
      <c r="AH270" s="7">
        <f t="shared" ref="AH270" ca="1" si="607">-IF(AI266&gt;0,AH269,0)</f>
        <v>0</v>
      </c>
      <c r="AI270" s="7">
        <f t="shared" ref="AI270" ca="1" si="608">-IF(AJ266&gt;0,AI269,0)</f>
        <v>0</v>
      </c>
      <c r="AJ270" s="7">
        <f t="shared" ref="AJ270" ca="1" si="609">-IF(AK266&gt;0,AJ269,0)</f>
        <v>0</v>
      </c>
      <c r="AK270" s="7">
        <f t="shared" ref="AK270" ca="1" si="610">-IF(AL266&gt;0,AK269,0)</f>
        <v>0</v>
      </c>
      <c r="AL270" s="7">
        <f t="shared" ref="AL270" ca="1" si="611">-IF(AM266&gt;0,AL269,0)</f>
        <v>0</v>
      </c>
      <c r="AM270" s="7">
        <f t="shared" ref="AM270" si="612">-IF(AN266&gt;0,AM269,0)</f>
        <v>0</v>
      </c>
    </row>
    <row r="271" spans="1:39" x14ac:dyDescent="0.2">
      <c r="A271" s="3" t="s">
        <v>23</v>
      </c>
      <c r="C271" s="7">
        <v>0</v>
      </c>
      <c r="D271" s="7">
        <f t="shared" ref="D271:AM271" ca="1" si="613">SUM(D269:D270)*VLOOKUP($A268,AssVar,2,FALSE)</f>
        <v>9201.7499600654428</v>
      </c>
      <c r="E271" s="7">
        <f t="shared" ca="1" si="613"/>
        <v>9477.802458867407</v>
      </c>
      <c r="F271" s="7">
        <f t="shared" ca="1" si="613"/>
        <v>9762.1365326334308</v>
      </c>
      <c r="G271" s="7">
        <f t="shared" ca="1" si="613"/>
        <v>10055.000628612434</v>
      </c>
      <c r="H271" s="7">
        <f t="shared" ca="1" si="613"/>
        <v>10356.650647470806</v>
      </c>
      <c r="I271" s="7">
        <f t="shared" ca="1" si="613"/>
        <v>10667.35016689493</v>
      </c>
      <c r="J271" s="7">
        <f t="shared" ca="1" si="613"/>
        <v>10987.370671901777</v>
      </c>
      <c r="K271" s="7">
        <f t="shared" ca="1" si="613"/>
        <v>11316.99179205883</v>
      </c>
      <c r="L271" s="7">
        <f t="shared" ca="1" si="613"/>
        <v>11656.501545820594</v>
      </c>
      <c r="M271" s="7">
        <f t="shared" ca="1" si="613"/>
        <v>12006.196592195214</v>
      </c>
      <c r="N271" s="7">
        <f t="shared" ca="1" si="613"/>
        <v>12366.38248996107</v>
      </c>
      <c r="O271" s="7">
        <f t="shared" ca="1" si="613"/>
        <v>12737.373964659901</v>
      </c>
      <c r="P271" s="7">
        <f t="shared" ca="1" si="613"/>
        <v>13119.495183599698</v>
      </c>
      <c r="Q271" s="7">
        <f t="shared" ca="1" si="613"/>
        <v>13513.08003910769</v>
      </c>
      <c r="R271" s="7">
        <f t="shared" ca="1" si="613"/>
        <v>13918.472440280921</v>
      </c>
      <c r="S271" s="7">
        <f t="shared" ca="1" si="613"/>
        <v>14336.026613489348</v>
      </c>
      <c r="T271" s="7">
        <f t="shared" ca="1" si="613"/>
        <v>14766.107411894029</v>
      </c>
      <c r="U271" s="7">
        <f t="shared" ca="1" si="613"/>
        <v>15209.09063425085</v>
      </c>
      <c r="V271" s="7">
        <f t="shared" ca="1" si="613"/>
        <v>15665.363353278375</v>
      </c>
      <c r="W271" s="7">
        <f t="shared" ca="1" si="613"/>
        <v>16135.324253876726</v>
      </c>
      <c r="X271" s="7">
        <f t="shared" ca="1" si="613"/>
        <v>16619.383981493025</v>
      </c>
      <c r="Y271" s="7">
        <f t="shared" ca="1" si="613"/>
        <v>17117.965500937818</v>
      </c>
      <c r="Z271" s="7">
        <f t="shared" ca="1" si="613"/>
        <v>17631.504465965951</v>
      </c>
      <c r="AA271" s="7">
        <f t="shared" ca="1" si="613"/>
        <v>18160.449599944928</v>
      </c>
      <c r="AB271" s="7">
        <f t="shared" ca="1" si="613"/>
        <v>18705.263087943276</v>
      </c>
      <c r="AC271" s="7">
        <f t="shared" ca="1" si="613"/>
        <v>19266.420980581574</v>
      </c>
      <c r="AD271" s="7">
        <f t="shared" ca="1" si="613"/>
        <v>19844.413609999021</v>
      </c>
      <c r="AE271" s="7">
        <f t="shared" ca="1" si="613"/>
        <v>20439.746018298989</v>
      </c>
      <c r="AF271" s="7">
        <f t="shared" ca="1" si="613"/>
        <v>21052.93839884796</v>
      </c>
      <c r="AG271" s="7">
        <f t="shared" ca="1" si="613"/>
        <v>21684.5265508134</v>
      </c>
      <c r="AH271" s="7">
        <f t="shared" ca="1" si="613"/>
        <v>22335.0623473378</v>
      </c>
      <c r="AI271" s="7">
        <f t="shared" ca="1" si="613"/>
        <v>23005.114217757935</v>
      </c>
      <c r="AJ271" s="7">
        <f t="shared" ca="1" si="613"/>
        <v>23695.267644290674</v>
      </c>
      <c r="AK271" s="7">
        <f t="shared" ca="1" si="613"/>
        <v>24406.125673619394</v>
      </c>
      <c r="AL271" s="7">
        <f t="shared" ca="1" si="613"/>
        <v>25138.309443827977</v>
      </c>
      <c r="AM271" s="7">
        <f t="shared" ca="1" si="613"/>
        <v>25892.458727142817</v>
      </c>
    </row>
    <row r="272" spans="1:39" x14ac:dyDescent="0.2">
      <c r="A272" s="3" t="s">
        <v>24</v>
      </c>
      <c r="C272" s="7">
        <f ca="1">SUM(C269:C271)</f>
        <v>306724.99866884813</v>
      </c>
      <c r="D272" s="7">
        <f t="shared" ref="D272:AM272" ca="1" si="614">SUM(D269:D271)</f>
        <v>315926.7486289136</v>
      </c>
      <c r="E272" s="7">
        <f t="shared" ca="1" si="614"/>
        <v>325404.55108778103</v>
      </c>
      <c r="F272" s="7">
        <f t="shared" ca="1" si="614"/>
        <v>335166.68762041448</v>
      </c>
      <c r="G272" s="7">
        <f t="shared" ca="1" si="614"/>
        <v>345221.68824902689</v>
      </c>
      <c r="H272" s="7">
        <f t="shared" ca="1" si="614"/>
        <v>355578.33889649768</v>
      </c>
      <c r="I272" s="7">
        <f t="shared" ca="1" si="614"/>
        <v>366245.68906339258</v>
      </c>
      <c r="J272" s="7">
        <f t="shared" ca="1" si="614"/>
        <v>377233.05973529437</v>
      </c>
      <c r="K272" s="7">
        <f t="shared" ca="1" si="614"/>
        <v>388550.05152735318</v>
      </c>
      <c r="L272" s="7">
        <f t="shared" ca="1" si="614"/>
        <v>400206.5530731738</v>
      </c>
      <c r="M272" s="7">
        <f t="shared" ca="1" si="614"/>
        <v>412212.74966536899</v>
      </c>
      <c r="N272" s="7">
        <f t="shared" ca="1" si="614"/>
        <v>424579.13215533004</v>
      </c>
      <c r="O272" s="7">
        <f t="shared" ca="1" si="614"/>
        <v>437316.50611998996</v>
      </c>
      <c r="P272" s="7">
        <f t="shared" ca="1" si="614"/>
        <v>450436.00130358967</v>
      </c>
      <c r="Q272" s="7">
        <f t="shared" ca="1" si="614"/>
        <v>463949.08134269738</v>
      </c>
      <c r="R272" s="7">
        <f t="shared" ca="1" si="614"/>
        <v>477867.55378297827</v>
      </c>
      <c r="S272" s="7">
        <f t="shared" ca="1" si="614"/>
        <v>492203.58039646765</v>
      </c>
      <c r="T272" s="7">
        <f t="shared" ca="1" si="614"/>
        <v>506969.68780836166</v>
      </c>
      <c r="U272" s="7">
        <f t="shared" ca="1" si="614"/>
        <v>522178.7784426125</v>
      </c>
      <c r="V272" s="7">
        <f t="shared" ca="1" si="614"/>
        <v>537844.14179589087</v>
      </c>
      <c r="W272" s="7">
        <f t="shared" ca="1" si="614"/>
        <v>553979.46604976756</v>
      </c>
      <c r="X272" s="7">
        <f t="shared" ca="1" si="614"/>
        <v>570598.85003126063</v>
      </c>
      <c r="Y272" s="7">
        <f t="shared" ca="1" si="614"/>
        <v>587716.81553219841</v>
      </c>
      <c r="Z272" s="7">
        <f t="shared" ca="1" si="614"/>
        <v>605348.31999816431</v>
      </c>
      <c r="AA272" s="7">
        <f t="shared" ca="1" si="614"/>
        <v>623508.76959810918</v>
      </c>
      <c r="AB272" s="7">
        <f t="shared" ca="1" si="614"/>
        <v>642214.03268605249</v>
      </c>
      <c r="AC272" s="7">
        <f t="shared" ca="1" si="614"/>
        <v>661480.45366663404</v>
      </c>
      <c r="AD272" s="7">
        <f t="shared" ca="1" si="614"/>
        <v>681324.86727663304</v>
      </c>
      <c r="AE272" s="7">
        <f t="shared" ca="1" si="614"/>
        <v>701764.61329493206</v>
      </c>
      <c r="AF272" s="7">
        <f t="shared" ca="1" si="614"/>
        <v>722817.55169378</v>
      </c>
      <c r="AG272" s="7">
        <f t="shared" ca="1" si="614"/>
        <v>744502.07824459334</v>
      </c>
      <c r="AH272" s="7">
        <f t="shared" ca="1" si="614"/>
        <v>766837.14059193118</v>
      </c>
      <c r="AI272" s="7">
        <f t="shared" ca="1" si="614"/>
        <v>789842.25480968913</v>
      </c>
      <c r="AJ272" s="7">
        <f t="shared" ca="1" si="614"/>
        <v>813537.52245397982</v>
      </c>
      <c r="AK272" s="7">
        <f t="shared" ca="1" si="614"/>
        <v>837943.64812759927</v>
      </c>
      <c r="AL272" s="7">
        <f t="shared" ca="1" si="614"/>
        <v>863081.95757142722</v>
      </c>
      <c r="AM272" s="7">
        <f t="shared" ca="1" si="614"/>
        <v>888974.41629856999</v>
      </c>
    </row>
    <row r="273" spans="1:39" x14ac:dyDescent="0.2">
      <c r="A273" s="3" t="s">
        <v>25</v>
      </c>
      <c r="C273" s="7">
        <f t="shared" ref="C273:AM273" ca="1" si="615">C270*VLOOKUP($A268,AssVar,3,FALSE)</f>
        <v>0</v>
      </c>
      <c r="D273" s="7">
        <f t="shared" ca="1" si="615"/>
        <v>0</v>
      </c>
      <c r="E273" s="7">
        <f t="shared" ca="1" si="615"/>
        <v>0</v>
      </c>
      <c r="F273" s="7">
        <f t="shared" ca="1" si="615"/>
        <v>0</v>
      </c>
      <c r="G273" s="7">
        <f t="shared" ca="1" si="615"/>
        <v>0</v>
      </c>
      <c r="H273" s="7">
        <f t="shared" ca="1" si="615"/>
        <v>0</v>
      </c>
      <c r="I273" s="7">
        <f t="shared" ca="1" si="615"/>
        <v>0</v>
      </c>
      <c r="J273" s="7">
        <f t="shared" ca="1" si="615"/>
        <v>0</v>
      </c>
      <c r="K273" s="7">
        <f t="shared" ca="1" si="615"/>
        <v>0</v>
      </c>
      <c r="L273" s="7">
        <f t="shared" ca="1" si="615"/>
        <v>0</v>
      </c>
      <c r="M273" s="7">
        <f t="shared" ca="1" si="615"/>
        <v>0</v>
      </c>
      <c r="N273" s="7">
        <f t="shared" ca="1" si="615"/>
        <v>0</v>
      </c>
      <c r="O273" s="7">
        <f t="shared" ca="1" si="615"/>
        <v>0</v>
      </c>
      <c r="P273" s="7">
        <f t="shared" ca="1" si="615"/>
        <v>0</v>
      </c>
      <c r="Q273" s="7">
        <f t="shared" ca="1" si="615"/>
        <v>0</v>
      </c>
      <c r="R273" s="7">
        <f t="shared" ca="1" si="615"/>
        <v>0</v>
      </c>
      <c r="S273" s="7">
        <f t="shared" ca="1" si="615"/>
        <v>0</v>
      </c>
      <c r="T273" s="7">
        <f t="shared" ca="1" si="615"/>
        <v>0</v>
      </c>
      <c r="U273" s="7">
        <f t="shared" ca="1" si="615"/>
        <v>0</v>
      </c>
      <c r="V273" s="7">
        <f t="shared" ca="1" si="615"/>
        <v>0</v>
      </c>
      <c r="W273" s="7">
        <f t="shared" ca="1" si="615"/>
        <v>0</v>
      </c>
      <c r="X273" s="7">
        <f t="shared" ca="1" si="615"/>
        <v>0</v>
      </c>
      <c r="Y273" s="7">
        <f t="shared" ca="1" si="615"/>
        <v>0</v>
      </c>
      <c r="Z273" s="7">
        <f t="shared" ca="1" si="615"/>
        <v>0</v>
      </c>
      <c r="AA273" s="7">
        <f t="shared" ca="1" si="615"/>
        <v>0</v>
      </c>
      <c r="AB273" s="7">
        <f t="shared" ca="1" si="615"/>
        <v>0</v>
      </c>
      <c r="AC273" s="7">
        <f t="shared" ca="1" si="615"/>
        <v>0</v>
      </c>
      <c r="AD273" s="7">
        <f t="shared" ca="1" si="615"/>
        <v>0</v>
      </c>
      <c r="AE273" s="7">
        <f t="shared" ca="1" si="615"/>
        <v>0</v>
      </c>
      <c r="AF273" s="7">
        <f t="shared" ca="1" si="615"/>
        <v>0</v>
      </c>
      <c r="AG273" s="7">
        <f t="shared" ca="1" si="615"/>
        <v>0</v>
      </c>
      <c r="AH273" s="7">
        <f t="shared" ca="1" si="615"/>
        <v>0</v>
      </c>
      <c r="AI273" s="7">
        <f t="shared" ca="1" si="615"/>
        <v>0</v>
      </c>
      <c r="AJ273" s="7">
        <f t="shared" ca="1" si="615"/>
        <v>0</v>
      </c>
      <c r="AK273" s="7">
        <f t="shared" ca="1" si="615"/>
        <v>0</v>
      </c>
      <c r="AL273" s="7">
        <f t="shared" ca="1" si="615"/>
        <v>0</v>
      </c>
      <c r="AM273" s="7">
        <f t="shared" si="615"/>
        <v>0</v>
      </c>
    </row>
    <row r="274" spans="1:39" x14ac:dyDescent="0.2">
      <c r="A274" s="3" t="s">
        <v>30</v>
      </c>
      <c r="C274" s="7">
        <f t="shared" ref="C274:AM274" ca="1" si="616">IFERROR(-IF(C269=0,VLOOKUP($A268,$8:$12,C$1+2,FALSE),0),0)</f>
        <v>0</v>
      </c>
      <c r="D274" s="7">
        <f t="shared" ca="1" si="616"/>
        <v>0</v>
      </c>
      <c r="E274" s="7">
        <f t="shared" ca="1" si="616"/>
        <v>0</v>
      </c>
      <c r="F274" s="7">
        <f t="shared" ca="1" si="616"/>
        <v>0</v>
      </c>
      <c r="G274" s="7">
        <f t="shared" ca="1" si="616"/>
        <v>0</v>
      </c>
      <c r="H274" s="7">
        <f t="shared" ca="1" si="616"/>
        <v>0</v>
      </c>
      <c r="I274" s="7">
        <f t="shared" ca="1" si="616"/>
        <v>0</v>
      </c>
      <c r="J274" s="7">
        <f t="shared" ca="1" si="616"/>
        <v>0</v>
      </c>
      <c r="K274" s="7">
        <f t="shared" ca="1" si="616"/>
        <v>0</v>
      </c>
      <c r="L274" s="7">
        <f t="shared" ca="1" si="616"/>
        <v>0</v>
      </c>
      <c r="M274" s="7">
        <f t="shared" ca="1" si="616"/>
        <v>0</v>
      </c>
      <c r="N274" s="7">
        <f t="shared" ca="1" si="616"/>
        <v>0</v>
      </c>
      <c r="O274" s="7">
        <f t="shared" ca="1" si="616"/>
        <v>0</v>
      </c>
      <c r="P274" s="7">
        <f t="shared" ca="1" si="616"/>
        <v>0</v>
      </c>
      <c r="Q274" s="7">
        <f t="shared" ca="1" si="616"/>
        <v>0</v>
      </c>
      <c r="R274" s="7">
        <f t="shared" ca="1" si="616"/>
        <v>0</v>
      </c>
      <c r="S274" s="7">
        <f t="shared" ca="1" si="616"/>
        <v>0</v>
      </c>
      <c r="T274" s="7">
        <f t="shared" ca="1" si="616"/>
        <v>0</v>
      </c>
      <c r="U274" s="7">
        <f t="shared" ca="1" si="616"/>
        <v>0</v>
      </c>
      <c r="V274" s="7">
        <f t="shared" ca="1" si="616"/>
        <v>0</v>
      </c>
      <c r="W274" s="7">
        <f t="shared" ca="1" si="616"/>
        <v>0</v>
      </c>
      <c r="X274" s="7">
        <f t="shared" ca="1" si="616"/>
        <v>0</v>
      </c>
      <c r="Y274" s="7">
        <f t="shared" ca="1" si="616"/>
        <v>0</v>
      </c>
      <c r="Z274" s="7">
        <f t="shared" ca="1" si="616"/>
        <v>0</v>
      </c>
      <c r="AA274" s="7">
        <f t="shared" ca="1" si="616"/>
        <v>0</v>
      </c>
      <c r="AB274" s="7">
        <f t="shared" ca="1" si="616"/>
        <v>0</v>
      </c>
      <c r="AC274" s="7">
        <f t="shared" ca="1" si="616"/>
        <v>0</v>
      </c>
      <c r="AD274" s="7">
        <f t="shared" ca="1" si="616"/>
        <v>0</v>
      </c>
      <c r="AE274" s="7">
        <f t="shared" ca="1" si="616"/>
        <v>0</v>
      </c>
      <c r="AF274" s="7">
        <f t="shared" ca="1" si="616"/>
        <v>0</v>
      </c>
      <c r="AG274" s="7">
        <f t="shared" ca="1" si="616"/>
        <v>0</v>
      </c>
      <c r="AH274" s="7">
        <f t="shared" ca="1" si="616"/>
        <v>0</v>
      </c>
      <c r="AI274" s="7">
        <f t="shared" ca="1" si="616"/>
        <v>0</v>
      </c>
      <c r="AJ274" s="7">
        <f t="shared" ca="1" si="616"/>
        <v>0</v>
      </c>
      <c r="AK274" s="7">
        <f t="shared" ca="1" si="616"/>
        <v>0</v>
      </c>
      <c r="AL274" s="7">
        <f t="shared" ca="1" si="616"/>
        <v>0</v>
      </c>
      <c r="AM274" s="7">
        <f t="shared" ca="1" si="616"/>
        <v>0</v>
      </c>
    </row>
    <row r="275" spans="1:39" x14ac:dyDescent="0.2">
      <c r="A275" s="3" t="s">
        <v>49</v>
      </c>
      <c r="C275" s="7">
        <f t="shared" ref="C275:AM275" ca="1" si="617">IFERROR(IF(C269=0,VLOOKUP($A268,$46:$50,C$1+2,FALSE),0),0)</f>
        <v>0</v>
      </c>
      <c r="D275" s="7">
        <f t="shared" ca="1" si="617"/>
        <v>0</v>
      </c>
      <c r="E275" s="7">
        <f t="shared" ca="1" si="617"/>
        <v>0</v>
      </c>
      <c r="F275" s="7">
        <f t="shared" ca="1" si="617"/>
        <v>0</v>
      </c>
      <c r="G275" s="7">
        <f t="shared" ca="1" si="617"/>
        <v>0</v>
      </c>
      <c r="H275" s="7">
        <f t="shared" ca="1" si="617"/>
        <v>0</v>
      </c>
      <c r="I275" s="7">
        <f t="shared" ca="1" si="617"/>
        <v>0</v>
      </c>
      <c r="J275" s="7">
        <f t="shared" ca="1" si="617"/>
        <v>0</v>
      </c>
      <c r="K275" s="7">
        <f t="shared" ca="1" si="617"/>
        <v>0</v>
      </c>
      <c r="L275" s="7">
        <f t="shared" ca="1" si="617"/>
        <v>0</v>
      </c>
      <c r="M275" s="7">
        <f t="shared" ca="1" si="617"/>
        <v>0</v>
      </c>
      <c r="N275" s="7">
        <f t="shared" ca="1" si="617"/>
        <v>0</v>
      </c>
      <c r="O275" s="7">
        <f t="shared" ca="1" si="617"/>
        <v>0</v>
      </c>
      <c r="P275" s="7">
        <f t="shared" ca="1" si="617"/>
        <v>0</v>
      </c>
      <c r="Q275" s="7">
        <f t="shared" ca="1" si="617"/>
        <v>0</v>
      </c>
      <c r="R275" s="7">
        <f t="shared" ca="1" si="617"/>
        <v>0</v>
      </c>
      <c r="S275" s="7">
        <f t="shared" ca="1" si="617"/>
        <v>0</v>
      </c>
      <c r="T275" s="7">
        <f t="shared" ca="1" si="617"/>
        <v>0</v>
      </c>
      <c r="U275" s="7">
        <f t="shared" ca="1" si="617"/>
        <v>0</v>
      </c>
      <c r="V275" s="7">
        <f t="shared" ca="1" si="617"/>
        <v>0</v>
      </c>
      <c r="W275" s="7">
        <f t="shared" ca="1" si="617"/>
        <v>0</v>
      </c>
      <c r="X275" s="7">
        <f t="shared" ca="1" si="617"/>
        <v>0</v>
      </c>
      <c r="Y275" s="7">
        <f t="shared" ca="1" si="617"/>
        <v>0</v>
      </c>
      <c r="Z275" s="7">
        <f t="shared" ca="1" si="617"/>
        <v>0</v>
      </c>
      <c r="AA275" s="7">
        <f t="shared" ca="1" si="617"/>
        <v>0</v>
      </c>
      <c r="AB275" s="7">
        <f t="shared" ca="1" si="617"/>
        <v>0</v>
      </c>
      <c r="AC275" s="7">
        <f t="shared" ca="1" si="617"/>
        <v>0</v>
      </c>
      <c r="AD275" s="7">
        <f t="shared" ca="1" si="617"/>
        <v>0</v>
      </c>
      <c r="AE275" s="7">
        <f t="shared" ca="1" si="617"/>
        <v>0</v>
      </c>
      <c r="AF275" s="7">
        <f t="shared" ca="1" si="617"/>
        <v>0</v>
      </c>
      <c r="AG275" s="7">
        <f t="shared" ca="1" si="617"/>
        <v>0</v>
      </c>
      <c r="AH275" s="7">
        <f t="shared" ca="1" si="617"/>
        <v>0</v>
      </c>
      <c r="AI275" s="7">
        <f t="shared" ca="1" si="617"/>
        <v>0</v>
      </c>
      <c r="AJ275" s="7">
        <f t="shared" ca="1" si="617"/>
        <v>0</v>
      </c>
      <c r="AK275" s="7">
        <f t="shared" ca="1" si="617"/>
        <v>0</v>
      </c>
      <c r="AL275" s="7">
        <f t="shared" ca="1" si="617"/>
        <v>0</v>
      </c>
      <c r="AM275" s="7">
        <f t="shared" ca="1" si="617"/>
        <v>0</v>
      </c>
    </row>
    <row r="276" spans="1:39" x14ac:dyDescent="0.2">
      <c r="A276" s="3" t="s">
        <v>35</v>
      </c>
      <c r="B276" s="14" t="str">
        <f>A268</f>
        <v>Sliema</v>
      </c>
      <c r="C276" s="7">
        <f t="shared" ref="C276:AM276" ca="1" si="618">IF(AND(C269&gt;0,C272=0),VLOOKUP($A268,$86:$95,C$1+2,FALSE),0)</f>
        <v>0</v>
      </c>
      <c r="D276" s="7">
        <f t="shared" ca="1" si="618"/>
        <v>0</v>
      </c>
      <c r="E276" s="7">
        <f t="shared" ca="1" si="618"/>
        <v>0</v>
      </c>
      <c r="F276" s="7">
        <f t="shared" ca="1" si="618"/>
        <v>0</v>
      </c>
      <c r="G276" s="7">
        <f t="shared" ca="1" si="618"/>
        <v>0</v>
      </c>
      <c r="H276" s="7">
        <f t="shared" ca="1" si="618"/>
        <v>0</v>
      </c>
      <c r="I276" s="7">
        <f t="shared" ca="1" si="618"/>
        <v>0</v>
      </c>
      <c r="J276" s="7">
        <f t="shared" ca="1" si="618"/>
        <v>0</v>
      </c>
      <c r="K276" s="7">
        <f t="shared" ca="1" si="618"/>
        <v>0</v>
      </c>
      <c r="L276" s="7">
        <f t="shared" ca="1" si="618"/>
        <v>0</v>
      </c>
      <c r="M276" s="7">
        <f t="shared" ca="1" si="618"/>
        <v>0</v>
      </c>
      <c r="N276" s="7">
        <f t="shared" ca="1" si="618"/>
        <v>0</v>
      </c>
      <c r="O276" s="7">
        <f t="shared" ca="1" si="618"/>
        <v>0</v>
      </c>
      <c r="P276" s="7">
        <f t="shared" ca="1" si="618"/>
        <v>0</v>
      </c>
      <c r="Q276" s="7">
        <f t="shared" ca="1" si="618"/>
        <v>0</v>
      </c>
      <c r="R276" s="7">
        <f t="shared" ca="1" si="618"/>
        <v>0</v>
      </c>
      <c r="S276" s="7">
        <f t="shared" ca="1" si="618"/>
        <v>0</v>
      </c>
      <c r="T276" s="7">
        <f t="shared" ca="1" si="618"/>
        <v>0</v>
      </c>
      <c r="U276" s="7">
        <f t="shared" ca="1" si="618"/>
        <v>0</v>
      </c>
      <c r="V276" s="7">
        <f t="shared" ca="1" si="618"/>
        <v>0</v>
      </c>
      <c r="W276" s="7">
        <f t="shared" ca="1" si="618"/>
        <v>0</v>
      </c>
      <c r="X276" s="7">
        <f t="shared" ca="1" si="618"/>
        <v>0</v>
      </c>
      <c r="Y276" s="7">
        <f t="shared" ca="1" si="618"/>
        <v>0</v>
      </c>
      <c r="Z276" s="7">
        <f t="shared" ca="1" si="618"/>
        <v>0</v>
      </c>
      <c r="AA276" s="7">
        <f t="shared" ca="1" si="618"/>
        <v>0</v>
      </c>
      <c r="AB276" s="7">
        <f t="shared" ca="1" si="618"/>
        <v>0</v>
      </c>
      <c r="AC276" s="7">
        <f t="shared" ca="1" si="618"/>
        <v>0</v>
      </c>
      <c r="AD276" s="7">
        <f t="shared" ca="1" si="618"/>
        <v>0</v>
      </c>
      <c r="AE276" s="7">
        <f t="shared" ca="1" si="618"/>
        <v>0</v>
      </c>
      <c r="AF276" s="7">
        <f t="shared" ca="1" si="618"/>
        <v>0</v>
      </c>
      <c r="AG276" s="7">
        <f t="shared" ca="1" si="618"/>
        <v>0</v>
      </c>
      <c r="AH276" s="7">
        <f t="shared" ca="1" si="618"/>
        <v>0</v>
      </c>
      <c r="AI276" s="7">
        <f t="shared" ca="1" si="618"/>
        <v>0</v>
      </c>
      <c r="AJ276" s="7">
        <f t="shared" ca="1" si="618"/>
        <v>0</v>
      </c>
      <c r="AK276" s="7">
        <f t="shared" ca="1" si="618"/>
        <v>0</v>
      </c>
      <c r="AL276" s="7">
        <f t="shared" ca="1" si="618"/>
        <v>0</v>
      </c>
      <c r="AM276" s="7">
        <f t="shared" ca="1" si="618"/>
        <v>0</v>
      </c>
    </row>
    <row r="277" spans="1:39" x14ac:dyDescent="0.2">
      <c r="A277" s="3" t="s">
        <v>36</v>
      </c>
      <c r="C277" s="7">
        <f ca="1">-C270+SUM(C273:C276)</f>
        <v>0</v>
      </c>
      <c r="D277" s="7">
        <f t="shared" ref="D277" ca="1" si="619">-D270+SUM(D273:D276)</f>
        <v>0</v>
      </c>
      <c r="E277" s="7">
        <f t="shared" ref="E277:AM277" ca="1" si="620">-E270+SUM(E273:E276)</f>
        <v>0</v>
      </c>
      <c r="F277" s="7">
        <f t="shared" ca="1" si="620"/>
        <v>0</v>
      </c>
      <c r="G277" s="7">
        <f t="shared" ca="1" si="620"/>
        <v>0</v>
      </c>
      <c r="H277" s="7">
        <f t="shared" ca="1" si="620"/>
        <v>0</v>
      </c>
      <c r="I277" s="7">
        <f t="shared" ca="1" si="620"/>
        <v>0</v>
      </c>
      <c r="J277" s="7">
        <f t="shared" ca="1" si="620"/>
        <v>0</v>
      </c>
      <c r="K277" s="7">
        <f t="shared" ca="1" si="620"/>
        <v>0</v>
      </c>
      <c r="L277" s="7">
        <f t="shared" ca="1" si="620"/>
        <v>0</v>
      </c>
      <c r="M277" s="7">
        <f t="shared" ca="1" si="620"/>
        <v>0</v>
      </c>
      <c r="N277" s="7">
        <f t="shared" ca="1" si="620"/>
        <v>0</v>
      </c>
      <c r="O277" s="7">
        <f t="shared" ca="1" si="620"/>
        <v>0</v>
      </c>
      <c r="P277" s="7">
        <f t="shared" ca="1" si="620"/>
        <v>0</v>
      </c>
      <c r="Q277" s="7">
        <f t="shared" ca="1" si="620"/>
        <v>0</v>
      </c>
      <c r="R277" s="7">
        <f t="shared" ca="1" si="620"/>
        <v>0</v>
      </c>
      <c r="S277" s="7">
        <f t="shared" ca="1" si="620"/>
        <v>0</v>
      </c>
      <c r="T277" s="7">
        <f t="shared" ca="1" si="620"/>
        <v>0</v>
      </c>
      <c r="U277" s="7">
        <f t="shared" ca="1" si="620"/>
        <v>0</v>
      </c>
      <c r="V277" s="7">
        <f t="shared" ca="1" si="620"/>
        <v>0</v>
      </c>
      <c r="W277" s="7">
        <f t="shared" ca="1" si="620"/>
        <v>0</v>
      </c>
      <c r="X277" s="7">
        <f t="shared" ca="1" si="620"/>
        <v>0</v>
      </c>
      <c r="Y277" s="7">
        <f t="shared" ca="1" si="620"/>
        <v>0</v>
      </c>
      <c r="Z277" s="7">
        <f t="shared" ca="1" si="620"/>
        <v>0</v>
      </c>
      <c r="AA277" s="7">
        <f t="shared" ca="1" si="620"/>
        <v>0</v>
      </c>
      <c r="AB277" s="7">
        <f t="shared" ca="1" si="620"/>
        <v>0</v>
      </c>
      <c r="AC277" s="7">
        <f t="shared" ca="1" si="620"/>
        <v>0</v>
      </c>
      <c r="AD277" s="7">
        <f t="shared" ca="1" si="620"/>
        <v>0</v>
      </c>
      <c r="AE277" s="7">
        <f t="shared" ca="1" si="620"/>
        <v>0</v>
      </c>
      <c r="AF277" s="7">
        <f t="shared" ca="1" si="620"/>
        <v>0</v>
      </c>
      <c r="AG277" s="7">
        <f t="shared" ca="1" si="620"/>
        <v>0</v>
      </c>
      <c r="AH277" s="7">
        <f t="shared" ca="1" si="620"/>
        <v>0</v>
      </c>
      <c r="AI277" s="7">
        <f t="shared" ca="1" si="620"/>
        <v>0</v>
      </c>
      <c r="AJ277" s="7">
        <f t="shared" ca="1" si="620"/>
        <v>0</v>
      </c>
      <c r="AK277" s="7">
        <f t="shared" ca="1" si="620"/>
        <v>0</v>
      </c>
      <c r="AL277" s="7">
        <f t="shared" ca="1" si="620"/>
        <v>0</v>
      </c>
      <c r="AM277" s="7">
        <f t="shared" ca="1" si="620"/>
        <v>0</v>
      </c>
    </row>
    <row r="278" spans="1:39" x14ac:dyDescent="0.2">
      <c r="A278" s="3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  <c r="AB278" s="7"/>
      <c r="AC278" s="7"/>
      <c r="AD278" s="7"/>
      <c r="AE278" s="7"/>
      <c r="AF278" s="7"/>
      <c r="AG278" s="7"/>
      <c r="AH278" s="7"/>
      <c r="AI278" s="7"/>
      <c r="AJ278" s="7"/>
      <c r="AK278" s="7"/>
      <c r="AL278" s="7"/>
      <c r="AM278" s="7"/>
    </row>
    <row r="279" spans="1:39" x14ac:dyDescent="0.2">
      <c r="A279" s="3" t="s">
        <v>70</v>
      </c>
      <c r="C279" s="7">
        <f ca="1">C265+SUM($C277:C277)</f>
        <v>12919.0625</v>
      </c>
      <c r="D279" s="7">
        <f ca="1">D265+SUM($C277:D277)</f>
        <v>22490.535937499997</v>
      </c>
      <c r="E279" s="7">
        <f ca="1">E265+SUM($C277:E277)</f>
        <v>38207.499804687497</v>
      </c>
      <c r="F279" s="7">
        <f ca="1">F265+SUM($C277:F277)</f>
        <v>35714.080452231734</v>
      </c>
      <c r="G279" s="7">
        <f ca="1">G265+SUM($C277:G277)</f>
        <v>229276.11396248138</v>
      </c>
      <c r="H279" s="7">
        <f ca="1">H265+SUM($C277:H277)</f>
        <v>271025.81800930644</v>
      </c>
      <c r="I279" s="7">
        <f ca="1">I265+SUM($C277:I277)</f>
        <v>332892.09672247234</v>
      </c>
      <c r="J279" s="7">
        <f ca="1">J265+SUM($C277:J277)</f>
        <v>399181.31879998074</v>
      </c>
      <c r="K279" s="7">
        <f ca="1">K265+SUM($C277:K277)</f>
        <v>452080.69175229734</v>
      </c>
      <c r="L279" s="7">
        <f ca="1">L265+SUM($C277:L277)</f>
        <v>591897.59165074176</v>
      </c>
      <c r="M279" s="7">
        <f ca="1">M265+SUM($C277:M277)</f>
        <v>643438.66125641076</v>
      </c>
      <c r="N279" s="7">
        <f ca="1">N265+SUM($C277:N277)</f>
        <v>748500.49246398674</v>
      </c>
      <c r="O279" s="7">
        <f ca="1">O265+SUM($C277:O277)</f>
        <v>859267.05744988273</v>
      </c>
      <c r="P279" s="7">
        <f ca="1">P265+SUM($C277:P277)</f>
        <v>975981.2911249469</v>
      </c>
      <c r="Q279" s="7">
        <f ca="1">Q265+SUM($C277:Q277)</f>
        <v>1098895.4105429514</v>
      </c>
      <c r="R279" s="7">
        <f ca="1">R265+SUM($C277:R277)</f>
        <v>1228271.248199099</v>
      </c>
      <c r="S279" s="7">
        <f ca="1">S265+SUM($C277:S277)</f>
        <v>1364380.5968228865</v>
      </c>
      <c r="T279" s="7">
        <f ca="1">T265+SUM($C277:T277)</f>
        <v>1402527.6236677105</v>
      </c>
      <c r="U279" s="7">
        <f ca="1">U265+SUM($C277:U277)</f>
        <v>1449854.2259580824</v>
      </c>
      <c r="V279" s="7">
        <f ca="1">V265+SUM($C277:V277)</f>
        <v>1498907.5815076504</v>
      </c>
      <c r="W279" s="7">
        <f ca="1">W265+SUM($C277:W277)</f>
        <v>1549752.4964402271</v>
      </c>
      <c r="X279" s="7">
        <f ca="1">X265+SUM($C277:X277)</f>
        <v>1602456.179392647</v>
      </c>
      <c r="Y279" s="7">
        <f ca="1">Y265+SUM($C277:Y277)</f>
        <v>1636171.2358988209</v>
      </c>
      <c r="Z279" s="7">
        <f ca="1">Z265+SUM($C277:Z277)</f>
        <v>1670841.1811310996</v>
      </c>
      <c r="AA279" s="7">
        <f ca="1">AA265+SUM($C277:AA277)</f>
        <v>1706501.7452458595</v>
      </c>
      <c r="AB279" s="7">
        <f ca="1">AB265+SUM($C277:AB277)</f>
        <v>1743190.1198307537</v>
      </c>
      <c r="AC279" s="7">
        <f ca="1">AC265+SUM($C277:AC277)</f>
        <v>1780945.016796795</v>
      </c>
      <c r="AD279" s="7">
        <f ca="1">AD265+SUM($C277:AD277)</f>
        <v>1819806.7295462058</v>
      </c>
      <c r="AE279" s="7">
        <f ca="1">AE265+SUM($C277:AE277)</f>
        <v>1869924.4525328081</v>
      </c>
      <c r="AF279" s="7">
        <f ca="1">AF265+SUM($C277:AF277)</f>
        <v>1921739.9419416173</v>
      </c>
      <c r="AG279" s="7">
        <f ca="1">AG265+SUM($C277:AG277)</f>
        <v>1975317.5778012427</v>
      </c>
      <c r="AH279" s="7">
        <f ca="1">AH265+SUM($C277:AH277)</f>
        <v>2030724.2224962406</v>
      </c>
      <c r="AI279" s="7">
        <f ca="1">AI265+SUM($C277:AI277)</f>
        <v>2088029.314381151</v>
      </c>
      <c r="AJ279" s="7">
        <f ca="1">AJ265+SUM($C277:AJ277)</f>
        <v>2147304.9648157731</v>
      </c>
      <c r="AK279" s="7">
        <f ca="1">AK265+SUM($C277:AK277)</f>
        <v>2208626.0587430005</v>
      </c>
      <c r="AL279" s="7">
        <f ca="1">AL265+SUM($C277:AL277)</f>
        <v>2272070.3589347131</v>
      </c>
      <c r="AM279" s="7">
        <f ca="1">AM265+SUM($C277:AM277)</f>
        <v>2337718.614035564</v>
      </c>
    </row>
    <row r="280" spans="1:39" x14ac:dyDescent="0.2">
      <c r="A280" s="3" t="s">
        <v>67</v>
      </c>
      <c r="C280" s="7">
        <f t="shared" ref="C280:AM280" ca="1" si="621">MAX(C279+buffer,0)-MAX(C265+buffer,0)</f>
        <v>0</v>
      </c>
      <c r="D280" s="7">
        <f t="shared" ca="1" si="621"/>
        <v>0</v>
      </c>
      <c r="E280" s="7">
        <f t="shared" ca="1" si="621"/>
        <v>0</v>
      </c>
      <c r="F280" s="7">
        <f t="shared" ca="1" si="621"/>
        <v>0</v>
      </c>
      <c r="G280" s="7">
        <f t="shared" ca="1" si="621"/>
        <v>0</v>
      </c>
      <c r="H280" s="7">
        <f t="shared" ca="1" si="621"/>
        <v>0</v>
      </c>
      <c r="I280" s="7">
        <f t="shared" ca="1" si="621"/>
        <v>0</v>
      </c>
      <c r="J280" s="7">
        <f t="shared" ca="1" si="621"/>
        <v>0</v>
      </c>
      <c r="K280" s="7">
        <f t="shared" ca="1" si="621"/>
        <v>0</v>
      </c>
      <c r="L280" s="7">
        <f t="shared" ca="1" si="621"/>
        <v>0</v>
      </c>
      <c r="M280" s="7">
        <f t="shared" ca="1" si="621"/>
        <v>0</v>
      </c>
      <c r="N280" s="7">
        <f t="shared" ca="1" si="621"/>
        <v>0</v>
      </c>
      <c r="O280" s="7">
        <f t="shared" ca="1" si="621"/>
        <v>0</v>
      </c>
      <c r="P280" s="7">
        <f t="shared" ca="1" si="621"/>
        <v>0</v>
      </c>
      <c r="Q280" s="7">
        <f t="shared" ca="1" si="621"/>
        <v>0</v>
      </c>
      <c r="R280" s="7">
        <f t="shared" ca="1" si="621"/>
        <v>0</v>
      </c>
      <c r="S280" s="7">
        <f t="shared" ca="1" si="621"/>
        <v>0</v>
      </c>
      <c r="T280" s="7">
        <f t="shared" ca="1" si="621"/>
        <v>0</v>
      </c>
      <c r="U280" s="7">
        <f t="shared" ca="1" si="621"/>
        <v>0</v>
      </c>
      <c r="V280" s="7">
        <f t="shared" ca="1" si="621"/>
        <v>0</v>
      </c>
      <c r="W280" s="7">
        <f t="shared" ca="1" si="621"/>
        <v>0</v>
      </c>
      <c r="X280" s="7">
        <f t="shared" ca="1" si="621"/>
        <v>0</v>
      </c>
      <c r="Y280" s="7">
        <f t="shared" ca="1" si="621"/>
        <v>0</v>
      </c>
      <c r="Z280" s="7">
        <f t="shared" ca="1" si="621"/>
        <v>0</v>
      </c>
      <c r="AA280" s="7">
        <f t="shared" ca="1" si="621"/>
        <v>0</v>
      </c>
      <c r="AB280" s="7">
        <f t="shared" ca="1" si="621"/>
        <v>0</v>
      </c>
      <c r="AC280" s="7">
        <f t="shared" ca="1" si="621"/>
        <v>0</v>
      </c>
      <c r="AD280" s="7">
        <f t="shared" ca="1" si="621"/>
        <v>0</v>
      </c>
      <c r="AE280" s="7">
        <f t="shared" ca="1" si="621"/>
        <v>0</v>
      </c>
      <c r="AF280" s="7">
        <f t="shared" ca="1" si="621"/>
        <v>0</v>
      </c>
      <c r="AG280" s="7">
        <f t="shared" ca="1" si="621"/>
        <v>0</v>
      </c>
      <c r="AH280" s="7">
        <f t="shared" ca="1" si="621"/>
        <v>0</v>
      </c>
      <c r="AI280" s="7">
        <f t="shared" ca="1" si="621"/>
        <v>0</v>
      </c>
      <c r="AJ280" s="7">
        <f t="shared" ca="1" si="621"/>
        <v>0</v>
      </c>
      <c r="AK280" s="7">
        <f t="shared" ca="1" si="621"/>
        <v>0</v>
      </c>
      <c r="AL280" s="7">
        <f t="shared" ca="1" si="621"/>
        <v>0</v>
      </c>
      <c r="AM280" s="7">
        <f t="shared" ca="1" si="621"/>
        <v>0</v>
      </c>
    </row>
    <row r="281" spans="1:39" x14ac:dyDescent="0.2">
      <c r="A281" s="3" t="s">
        <v>68</v>
      </c>
      <c r="C281" s="7">
        <f ca="1">C280*Inputs!$B$270</f>
        <v>0</v>
      </c>
      <c r="D281" s="7">
        <f ca="1">D280*Inputs!$B$270</f>
        <v>0</v>
      </c>
      <c r="E281" s="7">
        <f ca="1">E280*Inputs!$B$270</f>
        <v>0</v>
      </c>
      <c r="F281" s="7">
        <f ca="1">F280*Inputs!$B$270</f>
        <v>0</v>
      </c>
      <c r="G281" s="7">
        <f ca="1">G280*Inputs!$B$270</f>
        <v>0</v>
      </c>
      <c r="H281" s="7">
        <f ca="1">H280*Inputs!$B$270</f>
        <v>0</v>
      </c>
      <c r="I281" s="7">
        <f ca="1">I280*Inputs!$B$270</f>
        <v>0</v>
      </c>
      <c r="J281" s="7">
        <f ca="1">J280*Inputs!$B$270</f>
        <v>0</v>
      </c>
      <c r="K281" s="7">
        <f ca="1">K280*Inputs!$B$270</f>
        <v>0</v>
      </c>
      <c r="L281" s="7">
        <f ca="1">L280*Inputs!$B$270</f>
        <v>0</v>
      </c>
      <c r="M281" s="7">
        <f ca="1">M280*Inputs!$B$270</f>
        <v>0</v>
      </c>
      <c r="N281" s="7">
        <f ca="1">N280*Inputs!$B$270</f>
        <v>0</v>
      </c>
      <c r="O281" s="7">
        <f ca="1">O280*Inputs!$B$270</f>
        <v>0</v>
      </c>
      <c r="P281" s="7">
        <f ca="1">P280*Inputs!$B$270</f>
        <v>0</v>
      </c>
      <c r="Q281" s="7">
        <f ca="1">Q280*Inputs!$B$270</f>
        <v>0</v>
      </c>
      <c r="R281" s="7">
        <f ca="1">R280*Inputs!$B$270</f>
        <v>0</v>
      </c>
      <c r="S281" s="7">
        <f ca="1">S280*Inputs!$B$270</f>
        <v>0</v>
      </c>
      <c r="T281" s="7">
        <f ca="1">T280*Inputs!$B$270</f>
        <v>0</v>
      </c>
      <c r="U281" s="7">
        <f ca="1">U280*Inputs!$B$270</f>
        <v>0</v>
      </c>
      <c r="V281" s="7">
        <f ca="1">V280*Inputs!$B$270</f>
        <v>0</v>
      </c>
      <c r="W281" s="7">
        <f ca="1">W280*Inputs!$B$270</f>
        <v>0</v>
      </c>
      <c r="X281" s="7">
        <f ca="1">X280*Inputs!$B$270</f>
        <v>0</v>
      </c>
      <c r="Y281" s="7">
        <f ca="1">Y280*Inputs!$B$270</f>
        <v>0</v>
      </c>
      <c r="Z281" s="7">
        <f ca="1">Z280*Inputs!$B$270</f>
        <v>0</v>
      </c>
      <c r="AA281" s="7">
        <f ca="1">AA280*Inputs!$B$270</f>
        <v>0</v>
      </c>
      <c r="AB281" s="7">
        <f ca="1">AB280*Inputs!$B$270</f>
        <v>0</v>
      </c>
      <c r="AC281" s="7">
        <f ca="1">AC280*Inputs!$B$270</f>
        <v>0</v>
      </c>
      <c r="AD281" s="7">
        <f ca="1">AD280*Inputs!$B$270</f>
        <v>0</v>
      </c>
      <c r="AE281" s="7">
        <f ca="1">AE280*Inputs!$B$270</f>
        <v>0</v>
      </c>
      <c r="AF281" s="7">
        <f ca="1">AF280*Inputs!$B$270</f>
        <v>0</v>
      </c>
      <c r="AG281" s="7">
        <f ca="1">AG280*Inputs!$B$270</f>
        <v>0</v>
      </c>
      <c r="AH281" s="7">
        <f ca="1">AH280*Inputs!$B$270</f>
        <v>0</v>
      </c>
      <c r="AI281" s="7">
        <f ca="1">AI280*Inputs!$B$270</f>
        <v>0</v>
      </c>
      <c r="AJ281" s="7">
        <f ca="1">AJ280*Inputs!$B$270</f>
        <v>0</v>
      </c>
      <c r="AK281" s="7">
        <f ca="1">AK280*Inputs!$B$270</f>
        <v>0</v>
      </c>
      <c r="AL281" s="7">
        <f ca="1">AL280*Inputs!$B$270</f>
        <v>0</v>
      </c>
      <c r="AM281" s="7">
        <f ca="1">AM280*Inputs!$B$270</f>
        <v>0</v>
      </c>
    </row>
    <row r="282" spans="1:39" x14ac:dyDescent="0.2">
      <c r="A282" s="3" t="s">
        <v>149</v>
      </c>
      <c r="C282" s="7">
        <f ca="1">C279+SUM($C281:C281)</f>
        <v>12919.0625</v>
      </c>
      <c r="D282" s="7">
        <f ca="1">D279+SUM($C281:D281)</f>
        <v>22490.535937499997</v>
      </c>
      <c r="E282" s="7">
        <f ca="1">E279+SUM($C281:E281)</f>
        <v>38207.499804687497</v>
      </c>
      <c r="F282" s="7">
        <f ca="1">F279+SUM($C281:F281)</f>
        <v>35714.080452231734</v>
      </c>
      <c r="G282" s="7">
        <f ca="1">G279+SUM($C281:G281)</f>
        <v>229276.11396248138</v>
      </c>
      <c r="H282" s="7">
        <f ca="1">H279+SUM($C281:H281)</f>
        <v>271025.81800930644</v>
      </c>
      <c r="I282" s="7">
        <f ca="1">I279+SUM($C281:I281)</f>
        <v>332892.09672247234</v>
      </c>
      <c r="J282" s="7">
        <f ca="1">J279+SUM($C281:J281)</f>
        <v>399181.31879998074</v>
      </c>
      <c r="K282" s="7">
        <f ca="1">K279+SUM($C281:K281)</f>
        <v>452080.69175229734</v>
      </c>
      <c r="L282" s="7">
        <f ca="1">L279+SUM($C281:L281)</f>
        <v>591897.59165074176</v>
      </c>
      <c r="M282" s="7">
        <f ca="1">M279+SUM($C281:M281)</f>
        <v>643438.66125641076</v>
      </c>
      <c r="N282" s="7">
        <f ca="1">N279+SUM($C281:N281)</f>
        <v>748500.49246398674</v>
      </c>
      <c r="O282" s="7">
        <f ca="1">O279+SUM($C281:O281)</f>
        <v>859267.05744988273</v>
      </c>
      <c r="P282" s="7">
        <f ca="1">P279+SUM($C281:P281)</f>
        <v>975981.2911249469</v>
      </c>
      <c r="Q282" s="7">
        <f ca="1">Q279+SUM($C281:Q281)</f>
        <v>1098895.4105429514</v>
      </c>
      <c r="R282" s="7">
        <f ca="1">R279+SUM($C281:R281)</f>
        <v>1228271.248199099</v>
      </c>
      <c r="S282" s="7">
        <f ca="1">S279+SUM($C281:S281)</f>
        <v>1364380.5968228865</v>
      </c>
      <c r="T282" s="7">
        <f ca="1">T279+SUM($C281:T281)</f>
        <v>1402527.6236677105</v>
      </c>
      <c r="U282" s="7">
        <f ca="1">U279+SUM($C281:U281)</f>
        <v>1449854.2259580824</v>
      </c>
      <c r="V282" s="7">
        <f ca="1">V279+SUM($C281:V281)</f>
        <v>1498907.5815076504</v>
      </c>
      <c r="W282" s="7">
        <f ca="1">W279+SUM($C281:W281)</f>
        <v>1549752.4964402271</v>
      </c>
      <c r="X282" s="7">
        <f ca="1">X279+SUM($C281:X281)</f>
        <v>1602456.179392647</v>
      </c>
      <c r="Y282" s="7">
        <f ca="1">Y279+SUM($C281:Y281)</f>
        <v>1636171.2358988209</v>
      </c>
      <c r="Z282" s="7">
        <f ca="1">Z279+SUM($C281:Z281)</f>
        <v>1670841.1811310996</v>
      </c>
      <c r="AA282" s="7">
        <f ca="1">AA279+SUM($C281:AA281)</f>
        <v>1706501.7452458595</v>
      </c>
      <c r="AB282" s="7">
        <f ca="1">AB279+SUM($C281:AB281)</f>
        <v>1743190.1198307537</v>
      </c>
      <c r="AC282" s="7">
        <f ca="1">AC279+SUM($C281:AC281)</f>
        <v>1780945.016796795</v>
      </c>
      <c r="AD282" s="7">
        <f ca="1">AD279+SUM($C281:AD281)</f>
        <v>1819806.7295462058</v>
      </c>
      <c r="AE282" s="7">
        <f ca="1">AE279+SUM($C281:AE281)</f>
        <v>1869924.4525328081</v>
      </c>
      <c r="AF282" s="7">
        <f ca="1">AF279+SUM($C281:AF281)</f>
        <v>1921739.9419416173</v>
      </c>
      <c r="AG282" s="7">
        <f ca="1">AG279+SUM($C281:AG281)</f>
        <v>1975317.5778012427</v>
      </c>
      <c r="AH282" s="7">
        <f ca="1">AH279+SUM($C281:AH281)</f>
        <v>2030724.2224962406</v>
      </c>
      <c r="AI282" s="7">
        <f ca="1">AI279+SUM($C281:AI281)</f>
        <v>2088029.314381151</v>
      </c>
      <c r="AJ282" s="7">
        <f ca="1">AJ279+SUM($C281:AJ281)</f>
        <v>2147304.9648157731</v>
      </c>
      <c r="AK282" s="7">
        <f ca="1">AK279+SUM($C281:AK281)</f>
        <v>2208626.0587430005</v>
      </c>
      <c r="AL282" s="7">
        <f ca="1">AL279+SUM($C281:AL281)</f>
        <v>2272070.3589347131</v>
      </c>
      <c r="AM282" s="7">
        <f ca="1">AM279+SUM($C281:AM281)</f>
        <v>2337718.614035564</v>
      </c>
    </row>
    <row r="283" spans="1:39" x14ac:dyDescent="0.2">
      <c r="A283" s="3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7"/>
      <c r="AD283" s="7"/>
      <c r="AE283" s="7"/>
      <c r="AF283" s="7"/>
      <c r="AG283" s="7"/>
      <c r="AH283" s="7"/>
      <c r="AI283" s="7"/>
      <c r="AJ283" s="7"/>
      <c r="AK283" s="7"/>
      <c r="AL283" s="7"/>
      <c r="AM283" s="7"/>
    </row>
    <row r="284" spans="1:39" x14ac:dyDescent="0.2">
      <c r="A284" s="3" t="s">
        <v>147</v>
      </c>
      <c r="C284" s="7">
        <f t="shared" ref="C284:AM284" ca="1" si="622">C282+buffer</f>
        <v>62919.0625</v>
      </c>
      <c r="D284" s="7">
        <f t="shared" ca="1" si="622"/>
        <v>72490.535937499997</v>
      </c>
      <c r="E284" s="7">
        <f t="shared" ca="1" si="622"/>
        <v>88207.499804687497</v>
      </c>
      <c r="F284" s="7">
        <f t="shared" ca="1" si="622"/>
        <v>85714.080452231734</v>
      </c>
      <c r="G284" s="7">
        <f t="shared" ca="1" si="622"/>
        <v>279276.11396248138</v>
      </c>
      <c r="H284" s="7">
        <f t="shared" ca="1" si="622"/>
        <v>321025.81800930644</v>
      </c>
      <c r="I284" s="7">
        <f t="shared" ca="1" si="622"/>
        <v>382892.09672247234</v>
      </c>
      <c r="J284" s="7">
        <f t="shared" ca="1" si="622"/>
        <v>449181.31879998074</v>
      </c>
      <c r="K284" s="7">
        <f t="shared" ca="1" si="622"/>
        <v>502080.69175229734</v>
      </c>
      <c r="L284" s="7">
        <f t="shared" ca="1" si="622"/>
        <v>641897.59165074176</v>
      </c>
      <c r="M284" s="7">
        <f t="shared" ca="1" si="622"/>
        <v>693438.66125641076</v>
      </c>
      <c r="N284" s="7">
        <f t="shared" ca="1" si="622"/>
        <v>798500.49246398674</v>
      </c>
      <c r="O284" s="7">
        <f t="shared" ca="1" si="622"/>
        <v>909267.05744988273</v>
      </c>
      <c r="P284" s="7">
        <f t="shared" ca="1" si="622"/>
        <v>1025981.2911249469</v>
      </c>
      <c r="Q284" s="7">
        <f t="shared" ca="1" si="622"/>
        <v>1148895.4105429514</v>
      </c>
      <c r="R284" s="7">
        <f t="shared" ca="1" si="622"/>
        <v>1278271.248199099</v>
      </c>
      <c r="S284" s="7">
        <f t="shared" ca="1" si="622"/>
        <v>1414380.5968228865</v>
      </c>
      <c r="T284" s="7">
        <f t="shared" ca="1" si="622"/>
        <v>1452527.6236677105</v>
      </c>
      <c r="U284" s="7">
        <f t="shared" ca="1" si="622"/>
        <v>1499854.2259580824</v>
      </c>
      <c r="V284" s="7">
        <f t="shared" ca="1" si="622"/>
        <v>1548907.5815076504</v>
      </c>
      <c r="W284" s="7">
        <f t="shared" ca="1" si="622"/>
        <v>1599752.4964402271</v>
      </c>
      <c r="X284" s="7">
        <f t="shared" ca="1" si="622"/>
        <v>1652456.179392647</v>
      </c>
      <c r="Y284" s="7">
        <f t="shared" ca="1" si="622"/>
        <v>1686171.2358988209</v>
      </c>
      <c r="Z284" s="7">
        <f t="shared" ca="1" si="622"/>
        <v>1720841.1811310996</v>
      </c>
      <c r="AA284" s="7">
        <f t="shared" ca="1" si="622"/>
        <v>1756501.7452458595</v>
      </c>
      <c r="AB284" s="7">
        <f t="shared" ca="1" si="622"/>
        <v>1793190.1198307537</v>
      </c>
      <c r="AC284" s="7">
        <f t="shared" ca="1" si="622"/>
        <v>1830945.016796795</v>
      </c>
      <c r="AD284" s="7">
        <f t="shared" ca="1" si="622"/>
        <v>1869806.7295462058</v>
      </c>
      <c r="AE284" s="7">
        <f t="shared" ca="1" si="622"/>
        <v>1919924.4525328081</v>
      </c>
      <c r="AF284" s="7">
        <f t="shared" ca="1" si="622"/>
        <v>1971739.9419416173</v>
      </c>
      <c r="AG284" s="7">
        <f t="shared" ca="1" si="622"/>
        <v>2025317.5778012427</v>
      </c>
      <c r="AH284" s="7">
        <f t="shared" ca="1" si="622"/>
        <v>2080724.2224962406</v>
      </c>
      <c r="AI284" s="7">
        <f t="shared" ca="1" si="622"/>
        <v>2138029.314381151</v>
      </c>
      <c r="AJ284" s="7">
        <f t="shared" ca="1" si="622"/>
        <v>2197304.9648157731</v>
      </c>
      <c r="AK284" s="7">
        <f t="shared" ca="1" si="622"/>
        <v>2258626.0587430005</v>
      </c>
      <c r="AL284" s="7">
        <f t="shared" ca="1" si="622"/>
        <v>2322070.3589347131</v>
      </c>
      <c r="AM284" s="7">
        <f t="shared" ca="1" si="622"/>
        <v>2387718.614035564</v>
      </c>
    </row>
    <row r="285" spans="1:39" x14ac:dyDescent="0.2">
      <c r="A285" s="4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  <c r="AB285" s="7"/>
      <c r="AC285" s="7"/>
      <c r="AD285" s="7"/>
      <c r="AE285" s="7"/>
      <c r="AF285" s="7"/>
      <c r="AG285" s="7"/>
      <c r="AH285" s="7"/>
      <c r="AI285" s="7"/>
      <c r="AJ285" s="7"/>
      <c r="AK285" s="7"/>
      <c r="AL285" s="7"/>
      <c r="AM285" s="7"/>
    </row>
    <row r="286" spans="1:39" x14ac:dyDescent="0.2">
      <c r="A286" s="29" t="s">
        <v>58</v>
      </c>
      <c r="B286" s="26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7"/>
      <c r="AD286" s="7"/>
      <c r="AE286" s="7"/>
      <c r="AF286" s="7"/>
      <c r="AG286" s="7"/>
      <c r="AH286" s="7"/>
      <c r="AI286" s="7"/>
      <c r="AJ286" s="7"/>
      <c r="AK286" s="7"/>
      <c r="AL286" s="7"/>
      <c r="AM286" s="7"/>
    </row>
    <row r="287" spans="1:39" x14ac:dyDescent="0.2">
      <c r="A287" s="3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  <c r="AB287" s="7"/>
      <c r="AC287" s="7"/>
      <c r="AD287" s="7"/>
      <c r="AE287" s="7"/>
      <c r="AF287" s="7"/>
      <c r="AG287" s="7"/>
      <c r="AH287" s="7"/>
      <c r="AI287" s="7"/>
      <c r="AJ287" s="7"/>
      <c r="AK287" s="7"/>
      <c r="AL287" s="7"/>
      <c r="AM287" s="7"/>
    </row>
    <row r="288" spans="1:39" x14ac:dyDescent="0.2">
      <c r="A288" s="18" t="s">
        <v>194</v>
      </c>
      <c r="B288" s="19"/>
      <c r="C288" s="20"/>
      <c r="D288" s="20"/>
      <c r="E288" s="20"/>
      <c r="F288" s="20"/>
      <c r="G288" s="20"/>
      <c r="H288" s="20"/>
      <c r="I288" s="20"/>
      <c r="J288" s="20"/>
      <c r="K288" s="20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  <c r="AE288" s="20"/>
      <c r="AF288" s="20"/>
      <c r="AG288" s="20"/>
      <c r="AH288" s="20"/>
      <c r="AI288" s="20"/>
      <c r="AJ288" s="20"/>
      <c r="AK288" s="20"/>
      <c r="AL288" s="20"/>
      <c r="AM288" s="20"/>
    </row>
    <row r="289" spans="1:39" x14ac:dyDescent="0.2">
      <c r="A289" s="22" t="str">
        <f>B$123</f>
        <v>Painting</v>
      </c>
      <c r="B289" s="19"/>
      <c r="C289" s="20">
        <f ca="1">SUM($C117:C117)</f>
        <v>0</v>
      </c>
      <c r="D289" s="20">
        <f ca="1">SUM($C117:D117)</f>
        <v>0</v>
      </c>
      <c r="E289" s="20">
        <f ca="1">SUM($C117:E117)</f>
        <v>0</v>
      </c>
      <c r="F289" s="20">
        <f ca="1">SUM($C117:F117)</f>
        <v>0</v>
      </c>
      <c r="G289" s="20">
        <f ca="1">SUM($C117:G117)</f>
        <v>0</v>
      </c>
      <c r="H289" s="20">
        <f ca="1">SUM($C117:H117)</f>
        <v>0</v>
      </c>
      <c r="I289" s="20">
        <f ca="1">SUM($C117:I117)</f>
        <v>0</v>
      </c>
      <c r="J289" s="20">
        <f ca="1">SUM($C117:J117)</f>
        <v>0</v>
      </c>
      <c r="K289" s="20">
        <f ca="1">SUM($C117:K117)</f>
        <v>0</v>
      </c>
      <c r="L289" s="20">
        <f ca="1">SUM($C117:L117)</f>
        <v>0</v>
      </c>
      <c r="M289" s="20">
        <f ca="1">SUM($C117:M117)</f>
        <v>0</v>
      </c>
      <c r="N289" s="20">
        <f ca="1">SUM($C117:N117)</f>
        <v>0</v>
      </c>
      <c r="O289" s="20">
        <f ca="1">SUM($C117:O117)</f>
        <v>0</v>
      </c>
      <c r="P289" s="20">
        <f ca="1">SUM($C117:P117)</f>
        <v>0</v>
      </c>
      <c r="Q289" s="20">
        <f ca="1">SUM($C117:Q117)</f>
        <v>0</v>
      </c>
      <c r="R289" s="20">
        <f ca="1">SUM($C117:R117)</f>
        <v>0</v>
      </c>
      <c r="S289" s="20">
        <f ca="1">SUM($C117:S117)</f>
        <v>0</v>
      </c>
      <c r="T289" s="20">
        <f ca="1">SUM($C117:T117)</f>
        <v>0</v>
      </c>
      <c r="U289" s="20">
        <f ca="1">SUM($C117:U117)</f>
        <v>0</v>
      </c>
      <c r="V289" s="20">
        <f ca="1">SUM($C117:V117)</f>
        <v>0</v>
      </c>
      <c r="W289" s="20">
        <f ca="1">SUM($C117:W117)</f>
        <v>0</v>
      </c>
      <c r="X289" s="20">
        <f ca="1">SUM($C117:X117)</f>
        <v>0</v>
      </c>
      <c r="Y289" s="20">
        <f ca="1">SUM($C117:Y117)</f>
        <v>0</v>
      </c>
      <c r="Z289" s="20">
        <f ca="1">SUM($C117:Z117)</f>
        <v>0</v>
      </c>
      <c r="AA289" s="20">
        <f ca="1">SUM($C117:AA117)</f>
        <v>0</v>
      </c>
      <c r="AB289" s="20">
        <f ca="1">SUM($C117:AB117)</f>
        <v>0</v>
      </c>
      <c r="AC289" s="20">
        <f ca="1">SUM($C117:AC117)</f>
        <v>0</v>
      </c>
      <c r="AD289" s="20">
        <f ca="1">SUM($C117:AD117)</f>
        <v>0</v>
      </c>
      <c r="AE289" s="20">
        <f ca="1">SUM($C117:AE117)</f>
        <v>0</v>
      </c>
      <c r="AF289" s="20">
        <f ca="1">SUM($C117:AF117)</f>
        <v>0</v>
      </c>
      <c r="AG289" s="20">
        <f ca="1">SUM($C117:AG117)</f>
        <v>0</v>
      </c>
      <c r="AH289" s="20">
        <f ca="1">SUM($C117:AH117)</f>
        <v>0</v>
      </c>
      <c r="AI289" s="20">
        <f ca="1">SUM($C117:AI117)</f>
        <v>0</v>
      </c>
      <c r="AJ289" s="20">
        <f ca="1">SUM($C117:AJ117)</f>
        <v>0</v>
      </c>
      <c r="AK289" s="20">
        <f ca="1">SUM($C117:AK117)</f>
        <v>0</v>
      </c>
      <c r="AL289" s="20">
        <f ca="1">SUM($C117:AL117)</f>
        <v>0</v>
      </c>
      <c r="AM289" s="20">
        <f ca="1">SUM($C117:AM117)</f>
        <v>0</v>
      </c>
    </row>
    <row r="290" spans="1:39" x14ac:dyDescent="0.2">
      <c r="A290" s="22" t="str">
        <f>B$140</f>
        <v>Car</v>
      </c>
      <c r="B290" s="19"/>
      <c r="C290" s="20">
        <f ca="1">SUM($C134:C134)</f>
        <v>0</v>
      </c>
      <c r="D290" s="20">
        <f ca="1">SUM($C134:D134)</f>
        <v>0</v>
      </c>
      <c r="E290" s="20">
        <f ca="1">SUM($C134:E134)</f>
        <v>0</v>
      </c>
      <c r="F290" s="20">
        <f ca="1">SUM($C134:F134)</f>
        <v>0</v>
      </c>
      <c r="G290" s="20">
        <f ca="1">SUM($C134:G134)</f>
        <v>0</v>
      </c>
      <c r="H290" s="20">
        <f ca="1">SUM($C134:H134)</f>
        <v>0</v>
      </c>
      <c r="I290" s="20">
        <f ca="1">SUM($C134:I134)</f>
        <v>0</v>
      </c>
      <c r="J290" s="20">
        <f ca="1">SUM($C134:J134)</f>
        <v>0</v>
      </c>
      <c r="K290" s="20">
        <f ca="1">SUM($C134:K134)</f>
        <v>0</v>
      </c>
      <c r="L290" s="20">
        <f ca="1">SUM($C134:L134)</f>
        <v>0</v>
      </c>
      <c r="M290" s="20">
        <f ca="1">SUM($C134:M134)</f>
        <v>0</v>
      </c>
      <c r="N290" s="20">
        <f ca="1">SUM($C134:N134)</f>
        <v>0</v>
      </c>
      <c r="O290" s="20">
        <f ca="1">SUM($C134:O134)</f>
        <v>0</v>
      </c>
      <c r="P290" s="20">
        <f ca="1">SUM($C134:P134)</f>
        <v>0</v>
      </c>
      <c r="Q290" s="20">
        <f ca="1">SUM($C134:Q134)</f>
        <v>0</v>
      </c>
      <c r="R290" s="20">
        <f ca="1">SUM($C134:R134)</f>
        <v>0</v>
      </c>
      <c r="S290" s="20">
        <f ca="1">SUM($C134:S134)</f>
        <v>0</v>
      </c>
      <c r="T290" s="20">
        <f ca="1">SUM($C134:T134)</f>
        <v>0</v>
      </c>
      <c r="U290" s="20">
        <f ca="1">SUM($C134:U134)</f>
        <v>0</v>
      </c>
      <c r="V290" s="20">
        <f ca="1">SUM($C134:V134)</f>
        <v>0</v>
      </c>
      <c r="W290" s="20">
        <f ca="1">SUM($C134:W134)</f>
        <v>0</v>
      </c>
      <c r="X290" s="20">
        <f ca="1">SUM($C134:X134)</f>
        <v>0</v>
      </c>
      <c r="Y290" s="20">
        <f ca="1">SUM($C134:Y134)</f>
        <v>0</v>
      </c>
      <c r="Z290" s="20">
        <f ca="1">SUM($C134:Z134)</f>
        <v>0</v>
      </c>
      <c r="AA290" s="20">
        <f ca="1">SUM($C134:AA134)</f>
        <v>0</v>
      </c>
      <c r="AB290" s="20">
        <f ca="1">SUM($C134:AB134)</f>
        <v>0</v>
      </c>
      <c r="AC290" s="20">
        <f ca="1">SUM($C134:AC134)</f>
        <v>0</v>
      </c>
      <c r="AD290" s="20">
        <f ca="1">SUM($C134:AD134)</f>
        <v>0</v>
      </c>
      <c r="AE290" s="20">
        <f ca="1">SUM($C134:AE134)</f>
        <v>0</v>
      </c>
      <c r="AF290" s="20">
        <f ca="1">SUM($C134:AF134)</f>
        <v>0</v>
      </c>
      <c r="AG290" s="20">
        <f ca="1">SUM($C134:AG134)</f>
        <v>0</v>
      </c>
      <c r="AH290" s="20">
        <f ca="1">SUM($C134:AH134)</f>
        <v>0</v>
      </c>
      <c r="AI290" s="20">
        <f ca="1">SUM($C134:AI134)</f>
        <v>0</v>
      </c>
      <c r="AJ290" s="20">
        <f ca="1">SUM($C134:AJ134)</f>
        <v>0</v>
      </c>
      <c r="AK290" s="20">
        <f ca="1">SUM($C134:AK134)</f>
        <v>0</v>
      </c>
      <c r="AL290" s="20">
        <f ca="1">SUM($C134:AL134)</f>
        <v>0</v>
      </c>
      <c r="AM290" s="20">
        <f ca="1">SUM($C134:AM134)</f>
        <v>0</v>
      </c>
    </row>
    <row r="291" spans="1:39" x14ac:dyDescent="0.2">
      <c r="A291" s="22" t="str">
        <f>B$157</f>
        <v>Jewelry</v>
      </c>
      <c r="B291" s="19"/>
      <c r="C291" s="20">
        <f ca="1">SUM($C151:C151)</f>
        <v>0</v>
      </c>
      <c r="D291" s="20">
        <f ca="1">SUM($C151:D151)</f>
        <v>0</v>
      </c>
      <c r="E291" s="20">
        <f ca="1">SUM($C151:E151)</f>
        <v>0</v>
      </c>
      <c r="F291" s="20">
        <f ca="1">SUM($C151:F151)</f>
        <v>0</v>
      </c>
      <c r="G291" s="20">
        <f ca="1">SUM($C151:G151)</f>
        <v>0</v>
      </c>
      <c r="H291" s="20">
        <f ca="1">SUM($C151:H151)</f>
        <v>0</v>
      </c>
      <c r="I291" s="20">
        <f ca="1">SUM($C151:I151)</f>
        <v>0</v>
      </c>
      <c r="J291" s="20">
        <f ca="1">SUM($C151:J151)</f>
        <v>0</v>
      </c>
      <c r="K291" s="20">
        <f ca="1">SUM($C151:K151)</f>
        <v>0</v>
      </c>
      <c r="L291" s="20">
        <f ca="1">SUM($C151:L151)</f>
        <v>0</v>
      </c>
      <c r="M291" s="20">
        <f ca="1">SUM($C151:M151)</f>
        <v>0</v>
      </c>
      <c r="N291" s="20">
        <f ca="1">SUM($C151:N151)</f>
        <v>0</v>
      </c>
      <c r="O291" s="20">
        <f ca="1">SUM($C151:O151)</f>
        <v>0</v>
      </c>
      <c r="P291" s="20">
        <f ca="1">SUM($C151:P151)</f>
        <v>0</v>
      </c>
      <c r="Q291" s="20">
        <f ca="1">SUM($C151:Q151)</f>
        <v>0</v>
      </c>
      <c r="R291" s="20">
        <f ca="1">SUM($C151:R151)</f>
        <v>0</v>
      </c>
      <c r="S291" s="20">
        <f ca="1">SUM($C151:S151)</f>
        <v>0</v>
      </c>
      <c r="T291" s="20">
        <f ca="1">SUM($C151:T151)</f>
        <v>0</v>
      </c>
      <c r="U291" s="20">
        <f ca="1">SUM($C151:U151)</f>
        <v>0</v>
      </c>
      <c r="V291" s="20">
        <f ca="1">SUM($C151:V151)</f>
        <v>0</v>
      </c>
      <c r="W291" s="20">
        <f ca="1">SUM($C151:W151)</f>
        <v>0</v>
      </c>
      <c r="X291" s="20">
        <f ca="1">SUM($C151:X151)</f>
        <v>0</v>
      </c>
      <c r="Y291" s="20">
        <f ca="1">SUM($C151:Y151)</f>
        <v>0</v>
      </c>
      <c r="Z291" s="20">
        <f ca="1">SUM($C151:Z151)</f>
        <v>0</v>
      </c>
      <c r="AA291" s="20">
        <f ca="1">SUM($C151:AA151)</f>
        <v>0</v>
      </c>
      <c r="AB291" s="20">
        <f ca="1">SUM($C151:AB151)</f>
        <v>0</v>
      </c>
      <c r="AC291" s="20">
        <f ca="1">SUM($C151:AC151)</f>
        <v>0</v>
      </c>
      <c r="AD291" s="20">
        <f ca="1">SUM($C151:AD151)</f>
        <v>0</v>
      </c>
      <c r="AE291" s="20">
        <f ca="1">SUM($C151:AE151)</f>
        <v>0</v>
      </c>
      <c r="AF291" s="20">
        <f ca="1">SUM($C151:AF151)</f>
        <v>0</v>
      </c>
      <c r="AG291" s="20">
        <f ca="1">SUM($C151:AG151)</f>
        <v>0</v>
      </c>
      <c r="AH291" s="20">
        <f ca="1">SUM($C151:AH151)</f>
        <v>0</v>
      </c>
      <c r="AI291" s="20">
        <f ca="1">SUM($C151:AI151)</f>
        <v>0</v>
      </c>
      <c r="AJ291" s="20">
        <f ca="1">SUM($C151:AJ151)</f>
        <v>0</v>
      </c>
      <c r="AK291" s="20">
        <f ca="1">SUM($C151:AK151)</f>
        <v>0</v>
      </c>
      <c r="AL291" s="20">
        <f ca="1">SUM($C151:AL151)</f>
        <v>0</v>
      </c>
      <c r="AM291" s="20">
        <f ca="1">SUM($C151:AM151)</f>
        <v>0</v>
      </c>
    </row>
    <row r="292" spans="1:39" x14ac:dyDescent="0.2">
      <c r="A292" s="22" t="str">
        <f>B$174</f>
        <v>Gudja</v>
      </c>
      <c r="B292" s="19"/>
      <c r="C292" s="20">
        <f ca="1">SUM($C168:C168)</f>
        <v>0</v>
      </c>
      <c r="D292" s="20">
        <f ca="1">SUM($C168:D168)</f>
        <v>0</v>
      </c>
      <c r="E292" s="20">
        <f ca="1">SUM($C168:E168)</f>
        <v>0</v>
      </c>
      <c r="F292" s="20">
        <f ca="1">SUM($C168:F168)</f>
        <v>0</v>
      </c>
      <c r="G292" s="20">
        <f ca="1">SUM($C168:G168)</f>
        <v>0</v>
      </c>
      <c r="H292" s="20">
        <f ca="1">SUM($C168:H168)</f>
        <v>0</v>
      </c>
      <c r="I292" s="20">
        <f ca="1">SUM($C168:I168)</f>
        <v>0</v>
      </c>
      <c r="J292" s="20">
        <f ca="1">SUM($C168:J168)</f>
        <v>0</v>
      </c>
      <c r="K292" s="20">
        <f ca="1">SUM($C168:K168)</f>
        <v>0</v>
      </c>
      <c r="L292" s="20">
        <f ca="1">SUM($C168:L168)</f>
        <v>0</v>
      </c>
      <c r="M292" s="20">
        <f ca="1">SUM($C168:M168)</f>
        <v>0</v>
      </c>
      <c r="N292" s="20">
        <f ca="1">SUM($C168:N168)</f>
        <v>0</v>
      </c>
      <c r="O292" s="20">
        <f ca="1">SUM($C168:O168)</f>
        <v>0</v>
      </c>
      <c r="P292" s="20">
        <f ca="1">SUM($C168:P168)</f>
        <v>0</v>
      </c>
      <c r="Q292" s="20">
        <f ca="1">SUM($C168:Q168)</f>
        <v>0</v>
      </c>
      <c r="R292" s="20">
        <f ca="1">SUM($C168:R168)</f>
        <v>0</v>
      </c>
      <c r="S292" s="20">
        <f ca="1">SUM($C168:S168)</f>
        <v>0</v>
      </c>
      <c r="T292" s="20">
        <f ca="1">SUM($C168:T168)</f>
        <v>0</v>
      </c>
      <c r="U292" s="20">
        <f ca="1">SUM($C168:U168)</f>
        <v>0</v>
      </c>
      <c r="V292" s="20">
        <f ca="1">SUM($C168:V168)</f>
        <v>0</v>
      </c>
      <c r="W292" s="20">
        <f ca="1">SUM($C168:W168)</f>
        <v>0</v>
      </c>
      <c r="X292" s="20">
        <f ca="1">SUM($C168:X168)</f>
        <v>0</v>
      </c>
      <c r="Y292" s="20">
        <f ca="1">SUM($C168:Y168)</f>
        <v>0</v>
      </c>
      <c r="Z292" s="20">
        <f ca="1">SUM($C168:Z168)</f>
        <v>0</v>
      </c>
      <c r="AA292" s="20">
        <f ca="1">SUM($C168:AA168)</f>
        <v>0</v>
      </c>
      <c r="AB292" s="20">
        <f ca="1">SUM($C168:AB168)</f>
        <v>0</v>
      </c>
      <c r="AC292" s="20">
        <f ca="1">SUM($C168:AC168)</f>
        <v>0</v>
      </c>
      <c r="AD292" s="20">
        <f ca="1">SUM($C168:AD168)</f>
        <v>0</v>
      </c>
      <c r="AE292" s="20">
        <f ca="1">SUM($C168:AE168)</f>
        <v>0</v>
      </c>
      <c r="AF292" s="20">
        <f ca="1">SUM($C168:AF168)</f>
        <v>0</v>
      </c>
      <c r="AG292" s="20">
        <f ca="1">SUM($C168:AG168)</f>
        <v>0</v>
      </c>
      <c r="AH292" s="20">
        <f ca="1">SUM($C168:AH168)</f>
        <v>0</v>
      </c>
      <c r="AI292" s="20">
        <f ca="1">SUM($C168:AI168)</f>
        <v>0</v>
      </c>
      <c r="AJ292" s="20">
        <f ca="1">SUM($C168:AJ168)</f>
        <v>0</v>
      </c>
      <c r="AK292" s="20">
        <f ca="1">SUM($C168:AK168)</f>
        <v>0</v>
      </c>
      <c r="AL292" s="20">
        <f ca="1">SUM($C168:AL168)</f>
        <v>0</v>
      </c>
      <c r="AM292" s="20">
        <f ca="1">SUM($C168:AM168)</f>
        <v>0</v>
      </c>
    </row>
    <row r="293" spans="1:39" x14ac:dyDescent="0.2">
      <c r="A293" s="22" t="str">
        <f>B$191</f>
        <v>Antiques</v>
      </c>
      <c r="B293" s="19"/>
      <c r="C293" s="20">
        <f ca="1">SUM($C185:C185)</f>
        <v>0</v>
      </c>
      <c r="D293" s="20">
        <f ca="1">SUM($C185:D185)</f>
        <v>0</v>
      </c>
      <c r="E293" s="20">
        <f ca="1">SUM($C185:E185)</f>
        <v>0</v>
      </c>
      <c r="F293" s="20">
        <f ca="1">SUM($C185:F185)</f>
        <v>0</v>
      </c>
      <c r="G293" s="20">
        <f ca="1">SUM($C185:G185)</f>
        <v>0</v>
      </c>
      <c r="H293" s="20">
        <f ca="1">SUM($C185:H185)</f>
        <v>0</v>
      </c>
      <c r="I293" s="20">
        <f ca="1">SUM($C185:I185)</f>
        <v>0</v>
      </c>
      <c r="J293" s="20">
        <f ca="1">SUM($C185:J185)</f>
        <v>0</v>
      </c>
      <c r="K293" s="20">
        <f ca="1">SUM($C185:K185)</f>
        <v>0</v>
      </c>
      <c r="L293" s="20">
        <f ca="1">SUM($C185:L185)</f>
        <v>0</v>
      </c>
      <c r="M293" s="20">
        <f ca="1">SUM($C185:M185)</f>
        <v>0</v>
      </c>
      <c r="N293" s="20">
        <f ca="1">SUM($C185:N185)</f>
        <v>0</v>
      </c>
      <c r="O293" s="20">
        <f ca="1">SUM($C185:O185)</f>
        <v>0</v>
      </c>
      <c r="P293" s="20">
        <f ca="1">SUM($C185:P185)</f>
        <v>0</v>
      </c>
      <c r="Q293" s="20">
        <f ca="1">SUM($C185:Q185)</f>
        <v>0</v>
      </c>
      <c r="R293" s="20">
        <f ca="1">SUM($C185:R185)</f>
        <v>0</v>
      </c>
      <c r="S293" s="20">
        <f ca="1">SUM($C185:S185)</f>
        <v>0</v>
      </c>
      <c r="T293" s="20">
        <f ca="1">SUM($C185:T185)</f>
        <v>0</v>
      </c>
      <c r="U293" s="20">
        <f ca="1">SUM($C185:U185)</f>
        <v>0</v>
      </c>
      <c r="V293" s="20">
        <f ca="1">SUM($C185:V185)</f>
        <v>0</v>
      </c>
      <c r="W293" s="20">
        <f ca="1">SUM($C185:W185)</f>
        <v>0</v>
      </c>
      <c r="X293" s="20">
        <f ca="1">SUM($C185:X185)</f>
        <v>0</v>
      </c>
      <c r="Y293" s="20">
        <f ca="1">SUM($C185:Y185)</f>
        <v>0</v>
      </c>
      <c r="Z293" s="20">
        <f ca="1">SUM($C185:Z185)</f>
        <v>0</v>
      </c>
      <c r="AA293" s="20">
        <f ca="1">SUM($C185:AA185)</f>
        <v>0</v>
      </c>
      <c r="AB293" s="20">
        <f ca="1">SUM($C185:AB185)</f>
        <v>0</v>
      </c>
      <c r="AC293" s="20">
        <f ca="1">SUM($C185:AC185)</f>
        <v>0</v>
      </c>
      <c r="AD293" s="20">
        <f ca="1">SUM($C185:AD185)</f>
        <v>0</v>
      </c>
      <c r="AE293" s="20">
        <f ca="1">SUM($C185:AE185)</f>
        <v>0</v>
      </c>
      <c r="AF293" s="20">
        <f ca="1">SUM($C185:AF185)</f>
        <v>0</v>
      </c>
      <c r="AG293" s="20">
        <f ca="1">SUM($C185:AG185)</f>
        <v>0</v>
      </c>
      <c r="AH293" s="20">
        <f ca="1">SUM($C185:AH185)</f>
        <v>0</v>
      </c>
      <c r="AI293" s="20">
        <f ca="1">SUM($C185:AI185)</f>
        <v>0</v>
      </c>
      <c r="AJ293" s="20">
        <f ca="1">SUM($C185:AJ185)</f>
        <v>0</v>
      </c>
      <c r="AK293" s="20">
        <f ca="1">SUM($C185:AK185)</f>
        <v>0</v>
      </c>
      <c r="AL293" s="20">
        <f ca="1">SUM($C185:AL185)</f>
        <v>0</v>
      </c>
      <c r="AM293" s="20">
        <f ca="1">SUM($C185:AM185)</f>
        <v>0</v>
      </c>
    </row>
    <row r="294" spans="1:39" x14ac:dyDescent="0.2">
      <c r="A294" s="22" t="str">
        <f>B$208</f>
        <v>Marsa</v>
      </c>
      <c r="B294" s="19"/>
      <c r="C294" s="20">
        <f ca="1">SUM($C202:C202)</f>
        <v>0</v>
      </c>
      <c r="D294" s="20">
        <f ca="1">SUM($C202:D202)</f>
        <v>0</v>
      </c>
      <c r="E294" s="20">
        <f ca="1">SUM($C202:E202)</f>
        <v>0</v>
      </c>
      <c r="F294" s="20">
        <f ca="1">SUM($C202:F202)</f>
        <v>0</v>
      </c>
      <c r="G294" s="20">
        <f ca="1">SUM($C202:G202)</f>
        <v>0</v>
      </c>
      <c r="H294" s="20">
        <f ca="1">SUM($C202:H202)</f>
        <v>0</v>
      </c>
      <c r="I294" s="20">
        <f ca="1">SUM($C202:I202)</f>
        <v>0</v>
      </c>
      <c r="J294" s="20">
        <f ca="1">SUM($C202:J202)</f>
        <v>0</v>
      </c>
      <c r="K294" s="20">
        <f ca="1">SUM($C202:K202)</f>
        <v>0</v>
      </c>
      <c r="L294" s="20">
        <f ca="1">SUM($C202:L202)</f>
        <v>0</v>
      </c>
      <c r="M294" s="20">
        <f ca="1">SUM($C202:M202)</f>
        <v>0</v>
      </c>
      <c r="N294" s="20">
        <f ca="1">SUM($C202:N202)</f>
        <v>0</v>
      </c>
      <c r="O294" s="20">
        <f ca="1">SUM($C202:O202)</f>
        <v>0</v>
      </c>
      <c r="P294" s="20">
        <f ca="1">SUM($C202:P202)</f>
        <v>0</v>
      </c>
      <c r="Q294" s="20">
        <f ca="1">SUM($C202:Q202)</f>
        <v>0</v>
      </c>
      <c r="R294" s="20">
        <f ca="1">SUM($C202:R202)</f>
        <v>0</v>
      </c>
      <c r="S294" s="20">
        <f ca="1">SUM($C202:S202)</f>
        <v>0</v>
      </c>
      <c r="T294" s="20">
        <f ca="1">SUM($C202:T202)</f>
        <v>0</v>
      </c>
      <c r="U294" s="20">
        <f ca="1">SUM($C202:U202)</f>
        <v>0</v>
      </c>
      <c r="V294" s="20">
        <f ca="1">SUM($C202:V202)</f>
        <v>0</v>
      </c>
      <c r="W294" s="20">
        <f ca="1">SUM($C202:W202)</f>
        <v>0</v>
      </c>
      <c r="X294" s="20">
        <f ca="1">SUM($C202:X202)</f>
        <v>0</v>
      </c>
      <c r="Y294" s="20">
        <f ca="1">SUM($C202:Y202)</f>
        <v>0</v>
      </c>
      <c r="Z294" s="20">
        <f ca="1">SUM($C202:Z202)</f>
        <v>0</v>
      </c>
      <c r="AA294" s="20">
        <f ca="1">SUM($C202:AA202)</f>
        <v>0</v>
      </c>
      <c r="AB294" s="20">
        <f ca="1">SUM($C202:AB202)</f>
        <v>0</v>
      </c>
      <c r="AC294" s="20">
        <f ca="1">SUM($C202:AC202)</f>
        <v>0</v>
      </c>
      <c r="AD294" s="20">
        <f ca="1">SUM($C202:AD202)</f>
        <v>0</v>
      </c>
      <c r="AE294" s="20">
        <f ca="1">SUM($C202:AE202)</f>
        <v>0</v>
      </c>
      <c r="AF294" s="20">
        <f ca="1">SUM($C202:AF202)</f>
        <v>0</v>
      </c>
      <c r="AG294" s="20">
        <f ca="1">SUM($C202:AG202)</f>
        <v>0</v>
      </c>
      <c r="AH294" s="20">
        <f ca="1">SUM($C202:AH202)</f>
        <v>0</v>
      </c>
      <c r="AI294" s="20">
        <f ca="1">SUM($C202:AI202)</f>
        <v>0</v>
      </c>
      <c r="AJ294" s="20">
        <f ca="1">SUM($C202:AJ202)</f>
        <v>0</v>
      </c>
      <c r="AK294" s="20">
        <f ca="1">SUM($C202:AK202)</f>
        <v>0</v>
      </c>
      <c r="AL294" s="20">
        <f ca="1">SUM($C202:AL202)</f>
        <v>0</v>
      </c>
      <c r="AM294" s="20">
        <f ca="1">SUM($C202:AM202)</f>
        <v>0</v>
      </c>
    </row>
    <row r="295" spans="1:39" x14ac:dyDescent="0.2">
      <c r="A295" s="22" t="str">
        <f>B$225</f>
        <v>Gzira</v>
      </c>
      <c r="B295" s="19"/>
      <c r="C295" s="20">
        <f ca="1">SUM($C219:C219)</f>
        <v>0</v>
      </c>
      <c r="D295" s="20">
        <f ca="1">SUM($C219:D219)</f>
        <v>0</v>
      </c>
      <c r="E295" s="20">
        <f ca="1">SUM($C219:E219)</f>
        <v>0</v>
      </c>
      <c r="F295" s="20">
        <f ca="1">SUM($C219:F219)</f>
        <v>0</v>
      </c>
      <c r="G295" s="20">
        <f ca="1">SUM($C219:G219)</f>
        <v>0</v>
      </c>
      <c r="H295" s="20">
        <f ca="1">SUM($C219:H219)</f>
        <v>0</v>
      </c>
      <c r="I295" s="20">
        <f ca="1">SUM($C219:I219)</f>
        <v>0</v>
      </c>
      <c r="J295" s="20">
        <f ca="1">SUM($C219:J219)</f>
        <v>0</v>
      </c>
      <c r="K295" s="20">
        <f ca="1">SUM($C219:K219)</f>
        <v>0</v>
      </c>
      <c r="L295" s="20">
        <f ca="1">SUM($C219:L219)</f>
        <v>0</v>
      </c>
      <c r="M295" s="20">
        <f ca="1">SUM($C219:M219)</f>
        <v>0</v>
      </c>
      <c r="N295" s="20">
        <f ca="1">SUM($C219:N219)</f>
        <v>0</v>
      </c>
      <c r="O295" s="20">
        <f ca="1">SUM($C219:O219)</f>
        <v>0</v>
      </c>
      <c r="P295" s="20">
        <f ca="1">SUM($C219:P219)</f>
        <v>0</v>
      </c>
      <c r="Q295" s="20">
        <f ca="1">SUM($C219:Q219)</f>
        <v>0</v>
      </c>
      <c r="R295" s="20">
        <f ca="1">SUM($C219:R219)</f>
        <v>0</v>
      </c>
      <c r="S295" s="20">
        <f ca="1">SUM($C219:S219)</f>
        <v>0</v>
      </c>
      <c r="T295" s="20">
        <f ca="1">SUM($C219:T219)</f>
        <v>0</v>
      </c>
      <c r="U295" s="20">
        <f ca="1">SUM($C219:U219)</f>
        <v>0</v>
      </c>
      <c r="V295" s="20">
        <f ca="1">SUM($C219:V219)</f>
        <v>0</v>
      </c>
      <c r="W295" s="20">
        <f ca="1">SUM($C219:W219)</f>
        <v>0</v>
      </c>
      <c r="X295" s="20">
        <f ca="1">SUM($C219:X219)</f>
        <v>0</v>
      </c>
      <c r="Y295" s="20">
        <f ca="1">SUM($C219:Y219)</f>
        <v>0</v>
      </c>
      <c r="Z295" s="20">
        <f ca="1">SUM($C219:Z219)</f>
        <v>0</v>
      </c>
      <c r="AA295" s="20">
        <f ca="1">SUM($C219:AA219)</f>
        <v>0</v>
      </c>
      <c r="AB295" s="20">
        <f ca="1">SUM($C219:AB219)</f>
        <v>0</v>
      </c>
      <c r="AC295" s="20">
        <f ca="1">SUM($C219:AC219)</f>
        <v>0</v>
      </c>
      <c r="AD295" s="20">
        <f ca="1">SUM($C219:AD219)</f>
        <v>0</v>
      </c>
      <c r="AE295" s="20">
        <f ca="1">SUM($C219:AE219)</f>
        <v>0</v>
      </c>
      <c r="AF295" s="20">
        <f ca="1">SUM($C219:AF219)</f>
        <v>0</v>
      </c>
      <c r="AG295" s="20">
        <f ca="1">SUM($C219:AG219)</f>
        <v>0</v>
      </c>
      <c r="AH295" s="20">
        <f ca="1">SUM($C219:AH219)</f>
        <v>0</v>
      </c>
      <c r="AI295" s="20">
        <f ca="1">SUM($C219:AI219)</f>
        <v>0</v>
      </c>
      <c r="AJ295" s="20">
        <f ca="1">SUM($C219:AJ219)</f>
        <v>0</v>
      </c>
      <c r="AK295" s="20">
        <f ca="1">SUM($C219:AK219)</f>
        <v>0</v>
      </c>
      <c r="AL295" s="20">
        <f ca="1">SUM($C219:AL219)</f>
        <v>0</v>
      </c>
      <c r="AM295" s="20">
        <f ca="1">SUM($C219:AM219)</f>
        <v>0</v>
      </c>
    </row>
    <row r="296" spans="1:39" x14ac:dyDescent="0.2">
      <c r="A296" s="22" t="str">
        <f>B$242</f>
        <v>Boat</v>
      </c>
      <c r="B296" s="19"/>
      <c r="C296" s="20">
        <f ca="1">SUM($C236:C236)</f>
        <v>0</v>
      </c>
      <c r="D296" s="20">
        <f ca="1">SUM($C236:D236)</f>
        <v>0</v>
      </c>
      <c r="E296" s="20">
        <f ca="1">SUM($C236:E236)</f>
        <v>0</v>
      </c>
      <c r="F296" s="20">
        <f ca="1">SUM($C236:F236)</f>
        <v>0</v>
      </c>
      <c r="G296" s="20">
        <f ca="1">SUM($C236:G236)</f>
        <v>0</v>
      </c>
      <c r="H296" s="20">
        <f ca="1">SUM($C236:H236)</f>
        <v>0</v>
      </c>
      <c r="I296" s="20">
        <f ca="1">SUM($C236:I236)</f>
        <v>0</v>
      </c>
      <c r="J296" s="20">
        <f ca="1">SUM($C236:J236)</f>
        <v>0</v>
      </c>
      <c r="K296" s="20">
        <f ca="1">SUM($C236:K236)</f>
        <v>0</v>
      </c>
      <c r="L296" s="20">
        <f ca="1">SUM($C236:L236)</f>
        <v>0</v>
      </c>
      <c r="M296" s="20">
        <f ca="1">SUM($C236:M236)</f>
        <v>0</v>
      </c>
      <c r="N296" s="20">
        <f ca="1">SUM($C236:N236)</f>
        <v>0</v>
      </c>
      <c r="O296" s="20">
        <f ca="1">SUM($C236:O236)</f>
        <v>0</v>
      </c>
      <c r="P296" s="20">
        <f ca="1">SUM($C236:P236)</f>
        <v>0</v>
      </c>
      <c r="Q296" s="20">
        <f ca="1">SUM($C236:Q236)</f>
        <v>0</v>
      </c>
      <c r="R296" s="20">
        <f ca="1">SUM($C236:R236)</f>
        <v>0</v>
      </c>
      <c r="S296" s="20">
        <f ca="1">SUM($C236:S236)</f>
        <v>0</v>
      </c>
      <c r="T296" s="20">
        <f ca="1">SUM($C236:T236)</f>
        <v>0</v>
      </c>
      <c r="U296" s="20">
        <f ca="1">SUM($C236:U236)</f>
        <v>0</v>
      </c>
      <c r="V296" s="20">
        <f ca="1">SUM($C236:V236)</f>
        <v>0</v>
      </c>
      <c r="W296" s="20">
        <f ca="1">SUM($C236:W236)</f>
        <v>0</v>
      </c>
      <c r="X296" s="20">
        <f ca="1">SUM($C236:X236)</f>
        <v>0</v>
      </c>
      <c r="Y296" s="20">
        <f ca="1">SUM($C236:Y236)</f>
        <v>0</v>
      </c>
      <c r="Z296" s="20">
        <f ca="1">SUM($C236:Z236)</f>
        <v>0</v>
      </c>
      <c r="AA296" s="20">
        <f ca="1">SUM($C236:AA236)</f>
        <v>0</v>
      </c>
      <c r="AB296" s="20">
        <f ca="1">SUM($C236:AB236)</f>
        <v>0</v>
      </c>
      <c r="AC296" s="20">
        <f ca="1">SUM($C236:AC236)</f>
        <v>0</v>
      </c>
      <c r="AD296" s="20">
        <f ca="1">SUM($C236:AD236)</f>
        <v>0</v>
      </c>
      <c r="AE296" s="20">
        <f ca="1">SUM($C236:AE236)</f>
        <v>0</v>
      </c>
      <c r="AF296" s="20">
        <f ca="1">SUM($C236:AF236)</f>
        <v>0</v>
      </c>
      <c r="AG296" s="20">
        <f ca="1">SUM($C236:AG236)</f>
        <v>0</v>
      </c>
      <c r="AH296" s="20">
        <f ca="1">SUM($C236:AH236)</f>
        <v>0</v>
      </c>
      <c r="AI296" s="20">
        <f ca="1">SUM($C236:AI236)</f>
        <v>0</v>
      </c>
      <c r="AJ296" s="20">
        <f ca="1">SUM($C236:AJ236)</f>
        <v>0</v>
      </c>
      <c r="AK296" s="20">
        <f ca="1">SUM($C236:AK236)</f>
        <v>0</v>
      </c>
      <c r="AL296" s="20">
        <f ca="1">SUM($C236:AL236)</f>
        <v>0</v>
      </c>
      <c r="AM296" s="20">
        <f ca="1">SUM($C236:AM236)</f>
        <v>0</v>
      </c>
    </row>
    <row r="297" spans="1:39" x14ac:dyDescent="0.2">
      <c r="A297" s="22" t="str">
        <f>B$259</f>
        <v>Qormi</v>
      </c>
      <c r="B297" s="19"/>
      <c r="C297" s="20">
        <f ca="1">SUM($C253:C253)</f>
        <v>0</v>
      </c>
      <c r="D297" s="20">
        <f ca="1">SUM($C253:D253)</f>
        <v>0</v>
      </c>
      <c r="E297" s="20">
        <f ca="1">SUM($C253:E253)</f>
        <v>0</v>
      </c>
      <c r="F297" s="20">
        <f ca="1">SUM($C253:F253)</f>
        <v>0</v>
      </c>
      <c r="G297" s="20">
        <f ca="1">SUM($C253:G253)</f>
        <v>0</v>
      </c>
      <c r="H297" s="20">
        <f ca="1">SUM($C253:H253)</f>
        <v>0</v>
      </c>
      <c r="I297" s="20">
        <f ca="1">SUM($C253:I253)</f>
        <v>0</v>
      </c>
      <c r="J297" s="20">
        <f ca="1">SUM($C253:J253)</f>
        <v>0</v>
      </c>
      <c r="K297" s="20">
        <f ca="1">SUM($C253:K253)</f>
        <v>0</v>
      </c>
      <c r="L297" s="20">
        <f ca="1">SUM($C253:L253)</f>
        <v>0</v>
      </c>
      <c r="M297" s="20">
        <f ca="1">SUM($C253:M253)</f>
        <v>0</v>
      </c>
      <c r="N297" s="20">
        <f ca="1">SUM($C253:N253)</f>
        <v>0</v>
      </c>
      <c r="O297" s="20">
        <f ca="1">SUM($C253:O253)</f>
        <v>0</v>
      </c>
      <c r="P297" s="20">
        <f ca="1">SUM($C253:P253)</f>
        <v>0</v>
      </c>
      <c r="Q297" s="20">
        <f ca="1">SUM($C253:Q253)</f>
        <v>0</v>
      </c>
      <c r="R297" s="20">
        <f ca="1">SUM($C253:R253)</f>
        <v>0</v>
      </c>
      <c r="S297" s="20">
        <f ca="1">SUM($C253:S253)</f>
        <v>0</v>
      </c>
      <c r="T297" s="20">
        <f ca="1">SUM($C253:T253)</f>
        <v>0</v>
      </c>
      <c r="U297" s="20">
        <f ca="1">SUM($C253:U253)</f>
        <v>0</v>
      </c>
      <c r="V297" s="20">
        <f ca="1">SUM($C253:V253)</f>
        <v>0</v>
      </c>
      <c r="W297" s="20">
        <f ca="1">SUM($C253:W253)</f>
        <v>0</v>
      </c>
      <c r="X297" s="20">
        <f ca="1">SUM($C253:X253)</f>
        <v>0</v>
      </c>
      <c r="Y297" s="20">
        <f ca="1">SUM($C253:Y253)</f>
        <v>0</v>
      </c>
      <c r="Z297" s="20">
        <f ca="1">SUM($C253:Z253)</f>
        <v>0</v>
      </c>
      <c r="AA297" s="20">
        <f ca="1">SUM($C253:AA253)</f>
        <v>0</v>
      </c>
      <c r="AB297" s="20">
        <f ca="1">SUM($C253:AB253)</f>
        <v>0</v>
      </c>
      <c r="AC297" s="20">
        <f ca="1">SUM($C253:AC253)</f>
        <v>0</v>
      </c>
      <c r="AD297" s="20">
        <f ca="1">SUM($C253:AD253)</f>
        <v>0</v>
      </c>
      <c r="AE297" s="20">
        <f ca="1">SUM($C253:AE253)</f>
        <v>0</v>
      </c>
      <c r="AF297" s="20">
        <f ca="1">SUM($C253:AF253)</f>
        <v>0</v>
      </c>
      <c r="AG297" s="20">
        <f ca="1">SUM($C253:AG253)</f>
        <v>0</v>
      </c>
      <c r="AH297" s="20">
        <f ca="1">SUM($C253:AH253)</f>
        <v>0</v>
      </c>
      <c r="AI297" s="20">
        <f ca="1">SUM($C253:AI253)</f>
        <v>0</v>
      </c>
      <c r="AJ297" s="20">
        <f ca="1">SUM($C253:AJ253)</f>
        <v>0</v>
      </c>
      <c r="AK297" s="20">
        <f ca="1">SUM($C253:AK253)</f>
        <v>0</v>
      </c>
      <c r="AL297" s="20">
        <f ca="1">SUM($C253:AL253)</f>
        <v>0</v>
      </c>
      <c r="AM297" s="20">
        <f ca="1">SUM($C253:AM253)</f>
        <v>0</v>
      </c>
    </row>
    <row r="298" spans="1:39" x14ac:dyDescent="0.2">
      <c r="A298" s="22" t="str">
        <f>B$276</f>
        <v>Sliema</v>
      </c>
      <c r="B298" s="19"/>
      <c r="C298" s="20">
        <f ca="1">SUM($C270:C270)</f>
        <v>0</v>
      </c>
      <c r="D298" s="20">
        <f ca="1">SUM($C270:D270)</f>
        <v>0</v>
      </c>
      <c r="E298" s="20">
        <f ca="1">SUM($C270:E270)</f>
        <v>0</v>
      </c>
      <c r="F298" s="20">
        <f ca="1">SUM($C270:F270)</f>
        <v>0</v>
      </c>
      <c r="G298" s="20">
        <f ca="1">SUM($C270:G270)</f>
        <v>0</v>
      </c>
      <c r="H298" s="20">
        <f ca="1">SUM($C270:H270)</f>
        <v>0</v>
      </c>
      <c r="I298" s="20">
        <f ca="1">SUM($C270:I270)</f>
        <v>0</v>
      </c>
      <c r="J298" s="20">
        <f ca="1">SUM($C270:J270)</f>
        <v>0</v>
      </c>
      <c r="K298" s="20">
        <f ca="1">SUM($C270:K270)</f>
        <v>0</v>
      </c>
      <c r="L298" s="20">
        <f ca="1">SUM($C270:L270)</f>
        <v>0</v>
      </c>
      <c r="M298" s="20">
        <f ca="1">SUM($C270:M270)</f>
        <v>0</v>
      </c>
      <c r="N298" s="20">
        <f ca="1">SUM($C270:N270)</f>
        <v>0</v>
      </c>
      <c r="O298" s="20">
        <f ca="1">SUM($C270:O270)</f>
        <v>0</v>
      </c>
      <c r="P298" s="20">
        <f ca="1">SUM($C270:P270)</f>
        <v>0</v>
      </c>
      <c r="Q298" s="20">
        <f ca="1">SUM($C270:Q270)</f>
        <v>0</v>
      </c>
      <c r="R298" s="20">
        <f ca="1">SUM($C270:R270)</f>
        <v>0</v>
      </c>
      <c r="S298" s="20">
        <f ca="1">SUM($C270:S270)</f>
        <v>0</v>
      </c>
      <c r="T298" s="20">
        <f ca="1">SUM($C270:T270)</f>
        <v>0</v>
      </c>
      <c r="U298" s="20">
        <f ca="1">SUM($C270:U270)</f>
        <v>0</v>
      </c>
      <c r="V298" s="20">
        <f ca="1">SUM($C270:V270)</f>
        <v>0</v>
      </c>
      <c r="W298" s="20">
        <f ca="1">SUM($C270:W270)</f>
        <v>0</v>
      </c>
      <c r="X298" s="20">
        <f ca="1">SUM($C270:X270)</f>
        <v>0</v>
      </c>
      <c r="Y298" s="20">
        <f ca="1">SUM($C270:Y270)</f>
        <v>0</v>
      </c>
      <c r="Z298" s="20">
        <f ca="1">SUM($C270:Z270)</f>
        <v>0</v>
      </c>
      <c r="AA298" s="20">
        <f ca="1">SUM($C270:AA270)</f>
        <v>0</v>
      </c>
      <c r="AB298" s="20">
        <f ca="1">SUM($C270:AB270)</f>
        <v>0</v>
      </c>
      <c r="AC298" s="20">
        <f ca="1">SUM($C270:AC270)</f>
        <v>0</v>
      </c>
      <c r="AD298" s="20">
        <f ca="1">SUM($C270:AD270)</f>
        <v>0</v>
      </c>
      <c r="AE298" s="20">
        <f ca="1">SUM($C270:AE270)</f>
        <v>0</v>
      </c>
      <c r="AF298" s="20">
        <f ca="1">SUM($C270:AF270)</f>
        <v>0</v>
      </c>
      <c r="AG298" s="20">
        <f ca="1">SUM($C270:AG270)</f>
        <v>0</v>
      </c>
      <c r="AH298" s="20">
        <f ca="1">SUM($C270:AH270)</f>
        <v>0</v>
      </c>
      <c r="AI298" s="20">
        <f ca="1">SUM($C270:AI270)</f>
        <v>0</v>
      </c>
      <c r="AJ298" s="20">
        <f ca="1">SUM($C270:AJ270)</f>
        <v>0</v>
      </c>
      <c r="AK298" s="20">
        <f ca="1">SUM($C270:AK270)</f>
        <v>0</v>
      </c>
      <c r="AL298" s="20">
        <f ca="1">SUM($C270:AL270)</f>
        <v>0</v>
      </c>
      <c r="AM298" s="20">
        <f ca="1">SUM($C270:AM270)</f>
        <v>0</v>
      </c>
    </row>
    <row r="299" spans="1:39" x14ac:dyDescent="0.2">
      <c r="A299" s="21"/>
      <c r="B299" s="19"/>
      <c r="C299" s="20"/>
      <c r="D299" s="20"/>
      <c r="E299" s="20"/>
      <c r="F299" s="20"/>
      <c r="G299" s="20"/>
      <c r="H299" s="20"/>
      <c r="I299" s="20"/>
      <c r="J299" s="20"/>
      <c r="K299" s="20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  <c r="AE299" s="20"/>
      <c r="AF299" s="20"/>
      <c r="AG299" s="20"/>
      <c r="AH299" s="20"/>
      <c r="AI299" s="20"/>
      <c r="AJ299" s="20"/>
      <c r="AK299" s="20"/>
      <c r="AL299" s="20"/>
      <c r="AM299" s="20"/>
    </row>
    <row r="300" spans="1:39" x14ac:dyDescent="0.2">
      <c r="A300" s="18" t="s">
        <v>195</v>
      </c>
      <c r="B300" s="19"/>
      <c r="C300" s="20"/>
      <c r="D300" s="83"/>
      <c r="E300" s="20"/>
      <c r="F300" s="20"/>
      <c r="G300" s="20"/>
      <c r="H300" s="20"/>
      <c r="I300" s="20"/>
      <c r="J300" s="20"/>
      <c r="K300" s="20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  <c r="AE300" s="20"/>
      <c r="AF300" s="20"/>
      <c r="AG300" s="20"/>
      <c r="AH300" s="20"/>
      <c r="AI300" s="20"/>
      <c r="AJ300" s="20"/>
      <c r="AK300" s="20"/>
      <c r="AL300" s="20"/>
      <c r="AM300" s="20"/>
    </row>
    <row r="301" spans="1:39" x14ac:dyDescent="0.2">
      <c r="A301" s="22" t="str">
        <f>$A72</f>
        <v>Sliema</v>
      </c>
      <c r="B301" s="19"/>
      <c r="C301" s="20">
        <f t="shared" ref="C301:AM301" ca="1" si="623">IFERROR(IF(VLOOKUP($A301,$288:$298,C$1+2,FALSE)=0,C72,0),C72)</f>
        <v>306724.99866884813</v>
      </c>
      <c r="D301" s="20">
        <f t="shared" ca="1" si="623"/>
        <v>315926.7486289136</v>
      </c>
      <c r="E301" s="20">
        <f t="shared" ca="1" si="623"/>
        <v>325404.55108778103</v>
      </c>
      <c r="F301" s="20">
        <f t="shared" ca="1" si="623"/>
        <v>335166.68762041448</v>
      </c>
      <c r="G301" s="20">
        <f t="shared" ca="1" si="623"/>
        <v>345221.68824902695</v>
      </c>
      <c r="H301" s="20">
        <f t="shared" ca="1" si="623"/>
        <v>355578.33889649779</v>
      </c>
      <c r="I301" s="20">
        <f t="shared" ca="1" si="623"/>
        <v>366245.68906339275</v>
      </c>
      <c r="J301" s="20">
        <f t="shared" ca="1" si="623"/>
        <v>377233.05973529455</v>
      </c>
      <c r="K301" s="20">
        <f t="shared" ca="1" si="623"/>
        <v>388550.05152735341</v>
      </c>
      <c r="L301" s="20">
        <f t="shared" ca="1" si="623"/>
        <v>400206.55307317403</v>
      </c>
      <c r="M301" s="20">
        <f t="shared" ca="1" si="623"/>
        <v>412212.74966536928</v>
      </c>
      <c r="N301" s="20">
        <f t="shared" ca="1" si="623"/>
        <v>424579.13215533039</v>
      </c>
      <c r="O301" s="20">
        <f t="shared" ca="1" si="623"/>
        <v>437316.50611999031</v>
      </c>
      <c r="P301" s="20">
        <f t="shared" ca="1" si="623"/>
        <v>450436.00130359002</v>
      </c>
      <c r="Q301" s="20">
        <f t="shared" ca="1" si="623"/>
        <v>463949.08134269773</v>
      </c>
      <c r="R301" s="20">
        <f t="shared" ca="1" si="623"/>
        <v>477867.55378297868</v>
      </c>
      <c r="S301" s="20">
        <f t="shared" ca="1" si="623"/>
        <v>492203.58039646805</v>
      </c>
      <c r="T301" s="20">
        <f t="shared" ca="1" si="623"/>
        <v>506969.68780836213</v>
      </c>
      <c r="U301" s="20">
        <f t="shared" ca="1" si="623"/>
        <v>522178.77844261302</v>
      </c>
      <c r="V301" s="20">
        <f t="shared" ca="1" si="623"/>
        <v>537844.14179589145</v>
      </c>
      <c r="W301" s="20">
        <f t="shared" ca="1" si="623"/>
        <v>553979.46604976826</v>
      </c>
      <c r="X301" s="20">
        <f t="shared" ca="1" si="623"/>
        <v>570598.85003126133</v>
      </c>
      <c r="Y301" s="20">
        <f t="shared" ca="1" si="623"/>
        <v>587716.81553219922</v>
      </c>
      <c r="Z301" s="20">
        <f t="shared" ca="1" si="623"/>
        <v>605348.31999816524</v>
      </c>
      <c r="AA301" s="20">
        <f t="shared" ca="1" si="623"/>
        <v>623508.76959811023</v>
      </c>
      <c r="AB301" s="20">
        <f t="shared" ca="1" si="623"/>
        <v>642214.03268605354</v>
      </c>
      <c r="AC301" s="20">
        <f t="shared" ca="1" si="623"/>
        <v>661480.45366663521</v>
      </c>
      <c r="AD301" s="20">
        <f t="shared" ca="1" si="623"/>
        <v>681324.86727663432</v>
      </c>
      <c r="AE301" s="20">
        <f t="shared" ca="1" si="623"/>
        <v>701764.61329493334</v>
      </c>
      <c r="AF301" s="20">
        <f t="shared" ca="1" si="623"/>
        <v>722817.5516937814</v>
      </c>
      <c r="AG301" s="20">
        <f t="shared" ca="1" si="623"/>
        <v>744502.07824459486</v>
      </c>
      <c r="AH301" s="20">
        <f t="shared" ca="1" si="623"/>
        <v>766837.14059193269</v>
      </c>
      <c r="AI301" s="20">
        <f t="shared" ca="1" si="623"/>
        <v>789842.25480969064</v>
      </c>
      <c r="AJ301" s="20">
        <f t="shared" ca="1" si="623"/>
        <v>813537.52245398134</v>
      </c>
      <c r="AK301" s="20">
        <f t="shared" ca="1" si="623"/>
        <v>837943.64812760078</v>
      </c>
      <c r="AL301" s="20">
        <f t="shared" ca="1" si="623"/>
        <v>863081.95757142885</v>
      </c>
      <c r="AM301" s="20">
        <f t="shared" ca="1" si="623"/>
        <v>888974.41629857174</v>
      </c>
    </row>
    <row r="302" spans="1:39" x14ac:dyDescent="0.2">
      <c r="A302" s="22" t="str">
        <f>$A73</f>
        <v>Gzira</v>
      </c>
      <c r="B302" s="19"/>
      <c r="C302" s="20">
        <f t="shared" ref="C302:AM302" ca="1" si="624">IFERROR(IF(VLOOKUP($A302,$288:$298,C$1+2,FALSE)=0,C73,0),C73)</f>
        <v>153362.49933442406</v>
      </c>
      <c r="D302" s="20">
        <f t="shared" ca="1" si="624"/>
        <v>157963.3743144568</v>
      </c>
      <c r="E302" s="20">
        <f t="shared" ca="1" si="624"/>
        <v>162702.27554389052</v>
      </c>
      <c r="F302" s="20">
        <f t="shared" ca="1" si="624"/>
        <v>167583.34381020724</v>
      </c>
      <c r="G302" s="20">
        <f t="shared" ca="1" si="624"/>
        <v>172610.84412451347</v>
      </c>
      <c r="H302" s="20">
        <f t="shared" ca="1" si="624"/>
        <v>177789.1694482489</v>
      </c>
      <c r="I302" s="20">
        <f t="shared" ca="1" si="624"/>
        <v>183122.84453169638</v>
      </c>
      <c r="J302" s="20">
        <f t="shared" ca="1" si="624"/>
        <v>188616.52986764727</v>
      </c>
      <c r="K302" s="20">
        <f t="shared" ca="1" si="624"/>
        <v>194275.02576367671</v>
      </c>
      <c r="L302" s="20">
        <f t="shared" ca="1" si="624"/>
        <v>200103.27653658701</v>
      </c>
      <c r="M302" s="20">
        <f t="shared" ca="1" si="624"/>
        <v>206106.37483268464</v>
      </c>
      <c r="N302" s="20">
        <f t="shared" ca="1" si="624"/>
        <v>212289.56607766519</v>
      </c>
      <c r="O302" s="20">
        <f t="shared" ca="1" si="624"/>
        <v>218658.25305999516</v>
      </c>
      <c r="P302" s="20">
        <f t="shared" ca="1" si="624"/>
        <v>225218.00065179501</v>
      </c>
      <c r="Q302" s="20">
        <f t="shared" ca="1" si="624"/>
        <v>231974.54067134886</v>
      </c>
      <c r="R302" s="20">
        <f t="shared" ca="1" si="624"/>
        <v>238933.77689148934</v>
      </c>
      <c r="S302" s="20">
        <f t="shared" ca="1" si="624"/>
        <v>246101.79019823403</v>
      </c>
      <c r="T302" s="20">
        <f t="shared" ca="1" si="624"/>
        <v>253484.84390418106</v>
      </c>
      <c r="U302" s="20">
        <f t="shared" ca="1" si="624"/>
        <v>261089.38922130651</v>
      </c>
      <c r="V302" s="20">
        <f t="shared" ca="1" si="624"/>
        <v>268922.07089794573</v>
      </c>
      <c r="W302" s="20">
        <f t="shared" ca="1" si="624"/>
        <v>276989.73302488413</v>
      </c>
      <c r="X302" s="20">
        <f t="shared" ca="1" si="624"/>
        <v>285299.42501563067</v>
      </c>
      <c r="Y302" s="20">
        <f t="shared" ca="1" si="624"/>
        <v>293858.40776609961</v>
      </c>
      <c r="Z302" s="20">
        <f t="shared" ca="1" si="624"/>
        <v>302674.15999908262</v>
      </c>
      <c r="AA302" s="20">
        <f t="shared" ca="1" si="624"/>
        <v>311754.38479905511</v>
      </c>
      <c r="AB302" s="20">
        <f t="shared" ca="1" si="624"/>
        <v>321107.01634302677</v>
      </c>
      <c r="AC302" s="20">
        <f t="shared" ca="1" si="624"/>
        <v>330740.2268333176</v>
      </c>
      <c r="AD302" s="20">
        <f t="shared" ca="1" si="624"/>
        <v>340662.43363831716</v>
      </c>
      <c r="AE302" s="20">
        <f t="shared" ca="1" si="624"/>
        <v>350882.30664746667</v>
      </c>
      <c r="AF302" s="20">
        <f t="shared" ca="1" si="624"/>
        <v>361408.7758468907</v>
      </c>
      <c r="AG302" s="20">
        <f t="shared" ca="1" si="624"/>
        <v>372251.03912229743</v>
      </c>
      <c r="AH302" s="20">
        <f t="shared" ca="1" si="624"/>
        <v>383418.57029596635</v>
      </c>
      <c r="AI302" s="20">
        <f t="shared" ca="1" si="624"/>
        <v>394921.12740484532</v>
      </c>
      <c r="AJ302" s="20">
        <f t="shared" ca="1" si="624"/>
        <v>406768.76122699067</v>
      </c>
      <c r="AK302" s="20">
        <f t="shared" ca="1" si="624"/>
        <v>418971.82406380039</v>
      </c>
      <c r="AL302" s="20">
        <f t="shared" ca="1" si="624"/>
        <v>431540.97878571443</v>
      </c>
      <c r="AM302" s="20">
        <f t="shared" ca="1" si="624"/>
        <v>444487.20814928587</v>
      </c>
    </row>
    <row r="303" spans="1:39" x14ac:dyDescent="0.2">
      <c r="A303" s="22" t="str">
        <f>$A74</f>
        <v>Qormi</v>
      </c>
      <c r="B303" s="19"/>
      <c r="C303" s="20">
        <f t="shared" ref="C303:AM303" ca="1" si="625">IFERROR(IF(VLOOKUP($A303,$288:$298,C$1+2,FALSE)=0,C74,0),C74)</f>
        <v>224931.66569048862</v>
      </c>
      <c r="D303" s="20">
        <f t="shared" ca="1" si="625"/>
        <v>231679.61566120328</v>
      </c>
      <c r="E303" s="20">
        <f t="shared" ca="1" si="625"/>
        <v>238630.00413103937</v>
      </c>
      <c r="F303" s="20">
        <f t="shared" ca="1" si="625"/>
        <v>245788.90425497055</v>
      </c>
      <c r="G303" s="20">
        <f t="shared" ca="1" si="625"/>
        <v>253162.57138261967</v>
      </c>
      <c r="H303" s="20">
        <f t="shared" ca="1" si="625"/>
        <v>260757.44852409826</v>
      </c>
      <c r="I303" s="20">
        <f t="shared" ca="1" si="625"/>
        <v>268580.17197982123</v>
      </c>
      <c r="J303" s="20">
        <f t="shared" ca="1" si="625"/>
        <v>276637.57713921589</v>
      </c>
      <c r="K303" s="20">
        <f t="shared" ca="1" si="625"/>
        <v>284936.70445339236</v>
      </c>
      <c r="L303" s="20">
        <f t="shared" ca="1" si="625"/>
        <v>293484.80558699416</v>
      </c>
      <c r="M303" s="20">
        <f t="shared" ca="1" si="625"/>
        <v>302289.34975460399</v>
      </c>
      <c r="N303" s="20">
        <f t="shared" ca="1" si="625"/>
        <v>311358.03024724213</v>
      </c>
      <c r="O303" s="20">
        <f t="shared" ca="1" si="625"/>
        <v>320698.77115465939</v>
      </c>
      <c r="P303" s="20">
        <f t="shared" ca="1" si="625"/>
        <v>330319.73428929917</v>
      </c>
      <c r="Q303" s="20">
        <f t="shared" ca="1" si="625"/>
        <v>340229.32631797815</v>
      </c>
      <c r="R303" s="20">
        <f t="shared" ca="1" si="625"/>
        <v>350436.20610751753</v>
      </c>
      <c r="S303" s="20">
        <f t="shared" ca="1" si="625"/>
        <v>360949.29229074309</v>
      </c>
      <c r="T303" s="20">
        <f t="shared" ca="1" si="625"/>
        <v>371777.77105946542</v>
      </c>
      <c r="U303" s="20">
        <f t="shared" ca="1" si="625"/>
        <v>382931.10419124941</v>
      </c>
      <c r="V303" s="20">
        <f t="shared" ca="1" si="625"/>
        <v>394419.03731698688</v>
      </c>
      <c r="W303" s="20">
        <f t="shared" ca="1" si="625"/>
        <v>406251.60843649652</v>
      </c>
      <c r="X303" s="20">
        <f t="shared" ca="1" si="625"/>
        <v>418439.15668959141</v>
      </c>
      <c r="Y303" s="20">
        <f t="shared" ca="1" si="625"/>
        <v>430992.33139027917</v>
      </c>
      <c r="Z303" s="20">
        <f t="shared" ca="1" si="625"/>
        <v>443922.10133198753</v>
      </c>
      <c r="AA303" s="20">
        <f t="shared" ca="1" si="625"/>
        <v>457239.76437194715</v>
      </c>
      <c r="AB303" s="20">
        <f t="shared" ca="1" si="625"/>
        <v>470956.95730310556</v>
      </c>
      <c r="AC303" s="20">
        <f t="shared" ca="1" si="625"/>
        <v>485085.66602219874</v>
      </c>
      <c r="AD303" s="20">
        <f t="shared" ca="1" si="625"/>
        <v>499638.23600286472</v>
      </c>
      <c r="AE303" s="20">
        <f t="shared" ca="1" si="625"/>
        <v>514627.38308295066</v>
      </c>
      <c r="AF303" s="20">
        <f t="shared" ca="1" si="625"/>
        <v>530066.20457543922</v>
      </c>
      <c r="AG303" s="20">
        <f t="shared" ca="1" si="625"/>
        <v>545968.19071270246</v>
      </c>
      <c r="AH303" s="20">
        <f t="shared" ca="1" si="625"/>
        <v>562347.23643408355</v>
      </c>
      <c r="AI303" s="20">
        <f t="shared" ca="1" si="625"/>
        <v>579217.65352710604</v>
      </c>
      <c r="AJ303" s="20">
        <f t="shared" ca="1" si="625"/>
        <v>596594.18313291925</v>
      </c>
      <c r="AK303" s="20">
        <f t="shared" ca="1" si="625"/>
        <v>614492.0086269069</v>
      </c>
      <c r="AL303" s="20">
        <f t="shared" ca="1" si="625"/>
        <v>632926.76888571412</v>
      </c>
      <c r="AM303" s="20">
        <f t="shared" ca="1" si="625"/>
        <v>651914.57195228559</v>
      </c>
    </row>
    <row r="304" spans="1:39" x14ac:dyDescent="0.2">
      <c r="A304" s="22" t="str">
        <f>$A75</f>
        <v>Gudja</v>
      </c>
      <c r="B304" s="19"/>
      <c r="C304" s="20">
        <f t="shared" ref="C304:AM304" ca="1" si="626">IFERROR(IF(VLOOKUP($A304,$288:$298,C$1+2,FALSE)=0,C75,0),C75)</f>
        <v>81793.332978359496</v>
      </c>
      <c r="D304" s="20">
        <f t="shared" ca="1" si="626"/>
        <v>84247.132967710277</v>
      </c>
      <c r="E304" s="20">
        <f t="shared" ca="1" si="626"/>
        <v>86774.546956741586</v>
      </c>
      <c r="F304" s="20">
        <f t="shared" ca="1" si="626"/>
        <v>89377.783365443829</v>
      </c>
      <c r="G304" s="20">
        <f t="shared" ca="1" si="626"/>
        <v>92059.116866407145</v>
      </c>
      <c r="H304" s="20">
        <f t="shared" ca="1" si="626"/>
        <v>94820.890372399357</v>
      </c>
      <c r="I304" s="20">
        <f t="shared" ca="1" si="626"/>
        <v>97665.517083571336</v>
      </c>
      <c r="J304" s="20">
        <f t="shared" ca="1" si="626"/>
        <v>100595.48259607848</v>
      </c>
      <c r="K304" s="20">
        <f t="shared" ca="1" si="626"/>
        <v>103613.34707396083</v>
      </c>
      <c r="L304" s="20">
        <f t="shared" ca="1" si="626"/>
        <v>106721.74748617967</v>
      </c>
      <c r="M304" s="20">
        <f t="shared" ca="1" si="626"/>
        <v>109923.39991076506</v>
      </c>
      <c r="N304" s="20">
        <f t="shared" ca="1" si="626"/>
        <v>113221.10190808802</v>
      </c>
      <c r="O304" s="20">
        <f t="shared" ca="1" si="626"/>
        <v>116617.73496533066</v>
      </c>
      <c r="P304" s="20">
        <f t="shared" ca="1" si="626"/>
        <v>120116.26701429058</v>
      </c>
      <c r="Q304" s="20">
        <f t="shared" ca="1" si="626"/>
        <v>123719.7550247193</v>
      </c>
      <c r="R304" s="20">
        <f t="shared" ca="1" si="626"/>
        <v>127431.34767546089</v>
      </c>
      <c r="S304" s="20">
        <f t="shared" ca="1" si="626"/>
        <v>131254.28810572473</v>
      </c>
      <c r="T304" s="20">
        <f t="shared" ca="1" si="626"/>
        <v>135191.91674889647</v>
      </c>
      <c r="U304" s="20">
        <f t="shared" ca="1" si="626"/>
        <v>139247.67425136338</v>
      </c>
      <c r="V304" s="20">
        <f t="shared" ca="1" si="626"/>
        <v>143425.10447890428</v>
      </c>
      <c r="W304" s="20">
        <f t="shared" ca="1" si="626"/>
        <v>147727.85761327142</v>
      </c>
      <c r="X304" s="20">
        <f t="shared" ca="1" si="626"/>
        <v>152159.69334166957</v>
      </c>
      <c r="Y304" s="20">
        <f t="shared" ca="1" si="626"/>
        <v>156724.48414191965</v>
      </c>
      <c r="Z304" s="20">
        <f t="shared" ca="1" si="626"/>
        <v>161426.21866617724</v>
      </c>
      <c r="AA304" s="20">
        <f t="shared" ca="1" si="626"/>
        <v>166269.00522616255</v>
      </c>
      <c r="AB304" s="20">
        <f t="shared" ca="1" si="626"/>
        <v>171257.07538294743</v>
      </c>
      <c r="AC304" s="20">
        <f t="shared" ca="1" si="626"/>
        <v>176394.78764443586</v>
      </c>
      <c r="AD304" s="20">
        <f t="shared" ca="1" si="626"/>
        <v>181686.63127376893</v>
      </c>
      <c r="AE304" s="20">
        <f t="shared" ca="1" si="626"/>
        <v>187137.23021198201</v>
      </c>
      <c r="AF304" s="20">
        <f t="shared" ca="1" si="626"/>
        <v>192751.34711834148</v>
      </c>
      <c r="AG304" s="20">
        <f t="shared" ca="1" si="626"/>
        <v>198533.88753189173</v>
      </c>
      <c r="AH304" s="20">
        <f t="shared" ca="1" si="626"/>
        <v>204489.90415784848</v>
      </c>
      <c r="AI304" s="20">
        <f t="shared" ca="1" si="626"/>
        <v>210624.60128258393</v>
      </c>
      <c r="AJ304" s="20">
        <f t="shared" ca="1" si="626"/>
        <v>216943.33932106144</v>
      </c>
      <c r="AK304" s="20">
        <f t="shared" ca="1" si="626"/>
        <v>223451.6395006933</v>
      </c>
      <c r="AL304" s="20">
        <f t="shared" ca="1" si="626"/>
        <v>230155.18868571409</v>
      </c>
      <c r="AM304" s="20">
        <f t="shared" ca="1" si="626"/>
        <v>237059.84434628554</v>
      </c>
    </row>
    <row r="305" spans="1:39" x14ac:dyDescent="0.2">
      <c r="A305" s="22" t="str">
        <f>$A76</f>
        <v>Marsa</v>
      </c>
      <c r="B305" s="19"/>
      <c r="C305" s="20">
        <f t="shared" ref="C305:AM305" ca="1" si="627">IFERROR(IF(VLOOKUP($A305,$288:$298,C$1+2,FALSE)=0,C76,0),C76)</f>
        <v>122689.99946753924</v>
      </c>
      <c r="D305" s="20">
        <f t="shared" ca="1" si="627"/>
        <v>126370.69945156542</v>
      </c>
      <c r="E305" s="20">
        <f t="shared" ca="1" si="627"/>
        <v>130161.82043511239</v>
      </c>
      <c r="F305" s="20">
        <f t="shared" ca="1" si="627"/>
        <v>134066.67504816575</v>
      </c>
      <c r="G305" s="20">
        <f t="shared" ca="1" si="627"/>
        <v>138088.67529961074</v>
      </c>
      <c r="H305" s="20">
        <f t="shared" ca="1" si="627"/>
        <v>142231.33555859906</v>
      </c>
      <c r="I305" s="20">
        <f t="shared" ca="1" si="627"/>
        <v>146498.27562535706</v>
      </c>
      <c r="J305" s="20">
        <f t="shared" ca="1" si="627"/>
        <v>150893.22389411778</v>
      </c>
      <c r="K305" s="20">
        <f t="shared" ca="1" si="627"/>
        <v>155420.02061094131</v>
      </c>
      <c r="L305" s="20">
        <f t="shared" ca="1" si="627"/>
        <v>160082.62122926954</v>
      </c>
      <c r="M305" s="20">
        <f t="shared" ca="1" si="627"/>
        <v>164885.09986614762</v>
      </c>
      <c r="N305" s="20">
        <f t="shared" ca="1" si="627"/>
        <v>169831.65286213206</v>
      </c>
      <c r="O305" s="20">
        <f t="shared" ca="1" si="627"/>
        <v>174926.60244799603</v>
      </c>
      <c r="P305" s="20">
        <f t="shared" ca="1" si="627"/>
        <v>180174.40052143592</v>
      </c>
      <c r="Q305" s="20">
        <f t="shared" ca="1" si="627"/>
        <v>185579.63253707901</v>
      </c>
      <c r="R305" s="20">
        <f t="shared" ca="1" si="627"/>
        <v>191147.0215131914</v>
      </c>
      <c r="S305" s="20">
        <f t="shared" ca="1" si="627"/>
        <v>196881.43215858715</v>
      </c>
      <c r="T305" s="20">
        <f t="shared" ca="1" si="627"/>
        <v>202787.87512334477</v>
      </c>
      <c r="U305" s="20">
        <f t="shared" ca="1" si="627"/>
        <v>208871.51137704513</v>
      </c>
      <c r="V305" s="20">
        <f t="shared" ca="1" si="627"/>
        <v>215137.65671835648</v>
      </c>
      <c r="W305" s="20">
        <f t="shared" ca="1" si="627"/>
        <v>221591.78641990718</v>
      </c>
      <c r="X305" s="20">
        <f t="shared" ca="1" si="627"/>
        <v>228239.54001250441</v>
      </c>
      <c r="Y305" s="20">
        <f t="shared" ca="1" si="627"/>
        <v>235086.72621287956</v>
      </c>
      <c r="Z305" s="20">
        <f t="shared" ca="1" si="627"/>
        <v>242139.32799926595</v>
      </c>
      <c r="AA305" s="20">
        <f t="shared" ca="1" si="627"/>
        <v>249403.50783924395</v>
      </c>
      <c r="AB305" s="20">
        <f t="shared" ca="1" si="627"/>
        <v>256885.61307442127</v>
      </c>
      <c r="AC305" s="20">
        <f t="shared" ca="1" si="627"/>
        <v>264592.18146665394</v>
      </c>
      <c r="AD305" s="20">
        <f t="shared" ca="1" si="627"/>
        <v>272529.94691065355</v>
      </c>
      <c r="AE305" s="20">
        <f t="shared" ca="1" si="627"/>
        <v>280705.84531797317</v>
      </c>
      <c r="AF305" s="20">
        <f t="shared" ca="1" si="627"/>
        <v>289127.0206775124</v>
      </c>
      <c r="AG305" s="20">
        <f t="shared" ca="1" si="627"/>
        <v>297800.83129783778</v>
      </c>
      <c r="AH305" s="20">
        <f t="shared" ca="1" si="627"/>
        <v>306734.8562367729</v>
      </c>
      <c r="AI305" s="20">
        <f t="shared" ca="1" si="627"/>
        <v>315936.90192387608</v>
      </c>
      <c r="AJ305" s="20">
        <f t="shared" ca="1" si="627"/>
        <v>325415.00898159237</v>
      </c>
      <c r="AK305" s="20">
        <f t="shared" ca="1" si="627"/>
        <v>335177.45925104013</v>
      </c>
      <c r="AL305" s="20">
        <f t="shared" ca="1" si="627"/>
        <v>345232.78302857134</v>
      </c>
      <c r="AM305" s="20">
        <f t="shared" ca="1" si="627"/>
        <v>355589.76651942846</v>
      </c>
    </row>
    <row r="306" spans="1:39" x14ac:dyDescent="0.2">
      <c r="A306" s="22" t="str">
        <f>A78</f>
        <v>Jewelry</v>
      </c>
      <c r="B306" s="19"/>
      <c r="C306" s="20">
        <f t="shared" ref="C306:AM306" ca="1" si="628">IFERROR(IF(VLOOKUP($A306,$288:$298,C$1+2,FALSE)=0,C78,0),C78)</f>
        <v>50748.140451472013</v>
      </c>
      <c r="D306" s="20">
        <f t="shared" ca="1" si="628"/>
        <v>51763.103260501455</v>
      </c>
      <c r="E306" s="20">
        <f t="shared" ca="1" si="628"/>
        <v>52798.365325711486</v>
      </c>
      <c r="F306" s="20">
        <f t="shared" ca="1" si="628"/>
        <v>53854.33263222572</v>
      </c>
      <c r="G306" s="20">
        <f t="shared" ca="1" si="628"/>
        <v>54931.419284870237</v>
      </c>
      <c r="H306" s="20">
        <f t="shared" ca="1" si="628"/>
        <v>56030.047670567641</v>
      </c>
      <c r="I306" s="20">
        <f t="shared" ca="1" si="628"/>
        <v>57150.648623978996</v>
      </c>
      <c r="J306" s="20">
        <f t="shared" ca="1" si="628"/>
        <v>58293.66159645858</v>
      </c>
      <c r="K306" s="20">
        <f t="shared" ca="1" si="628"/>
        <v>59459.534828387754</v>
      </c>
      <c r="L306" s="20">
        <f t="shared" ca="1" si="628"/>
        <v>60648.725524955509</v>
      </c>
      <c r="M306" s="20">
        <f t="shared" ca="1" si="628"/>
        <v>61861.700035454618</v>
      </c>
      <c r="N306" s="20">
        <f t="shared" ca="1" si="628"/>
        <v>63098.934036163715</v>
      </c>
      <c r="O306" s="20">
        <f t="shared" ca="1" si="628"/>
        <v>64360.912716886989</v>
      </c>
      <c r="P306" s="20">
        <f t="shared" ca="1" si="628"/>
        <v>65648.130971224731</v>
      </c>
      <c r="Q306" s="20">
        <f t="shared" ca="1" si="628"/>
        <v>66961.093590649223</v>
      </c>
      <c r="R306" s="20">
        <f t="shared" ca="1" si="628"/>
        <v>68300.315462462211</v>
      </c>
      <c r="S306" s="20">
        <f t="shared" ca="1" si="628"/>
        <v>69666.32177171146</v>
      </c>
      <c r="T306" s="20">
        <f t="shared" ca="1" si="628"/>
        <v>71059.648207145685</v>
      </c>
      <c r="U306" s="20">
        <f t="shared" ca="1" si="628"/>
        <v>72480.841171288601</v>
      </c>
      <c r="V306" s="20">
        <f t="shared" ca="1" si="628"/>
        <v>73930.457994714379</v>
      </c>
      <c r="W306" s="20">
        <f t="shared" ca="1" si="628"/>
        <v>75409.067154608667</v>
      </c>
      <c r="X306" s="20">
        <f t="shared" ca="1" si="628"/>
        <v>76917.248497700843</v>
      </c>
      <c r="Y306" s="20">
        <f t="shared" ca="1" si="628"/>
        <v>78455.593467654864</v>
      </c>
      <c r="Z306" s="20">
        <f t="shared" ca="1" si="628"/>
        <v>80024.705337007967</v>
      </c>
      <c r="AA306" s="20">
        <f t="shared" ca="1" si="628"/>
        <v>81625.199443748133</v>
      </c>
      <c r="AB306" s="20">
        <f t="shared" ca="1" si="628"/>
        <v>83257.703432623093</v>
      </c>
      <c r="AC306" s="20">
        <f t="shared" ca="1" si="628"/>
        <v>84922.857501275561</v>
      </c>
      <c r="AD306" s="20">
        <f t="shared" ca="1" si="628"/>
        <v>86621.314651301072</v>
      </c>
      <c r="AE306" s="20">
        <f t="shared" ca="1" si="628"/>
        <v>88353.740944327103</v>
      </c>
      <c r="AF306" s="20">
        <f t="shared" ca="1" si="628"/>
        <v>90120.815763213643</v>
      </c>
      <c r="AG306" s="20">
        <f t="shared" ca="1" si="628"/>
        <v>91923.232078477915</v>
      </c>
      <c r="AH306" s="20">
        <f t="shared" ca="1" si="628"/>
        <v>93761.696720047476</v>
      </c>
      <c r="AI306" s="20">
        <f t="shared" ca="1" si="628"/>
        <v>95636.930654448428</v>
      </c>
      <c r="AJ306" s="20">
        <f t="shared" ca="1" si="628"/>
        <v>97549.669267537392</v>
      </c>
      <c r="AK306" s="20">
        <f t="shared" ca="1" si="628"/>
        <v>99500.662652888146</v>
      </c>
      <c r="AL306" s="20">
        <f t="shared" ca="1" si="628"/>
        <v>101490.67590594591</v>
      </c>
      <c r="AM306" s="20">
        <f t="shared" ca="1" si="628"/>
        <v>103520.48942406483</v>
      </c>
    </row>
    <row r="307" spans="1:39" x14ac:dyDescent="0.2">
      <c r="A307" s="22" t="str">
        <f>A79</f>
        <v>Car</v>
      </c>
      <c r="B307" s="19"/>
      <c r="C307" s="20">
        <f t="shared" ref="C307:AM307" ca="1" si="629">IFERROR(IF(VLOOKUP($A307,$288:$298,C$1+2,FALSE)=0,C79,0),C79)</f>
        <v>38490.424009238486</v>
      </c>
      <c r="D307" s="20">
        <f t="shared" ca="1" si="629"/>
        <v>36565.902808776562</v>
      </c>
      <c r="E307" s="20">
        <f t="shared" ca="1" si="629"/>
        <v>34737.607668337732</v>
      </c>
      <c r="F307" s="20">
        <f t="shared" ca="1" si="629"/>
        <v>33000.727284920846</v>
      </c>
      <c r="G307" s="20">
        <f t="shared" ca="1" si="629"/>
        <v>31350.690920674802</v>
      </c>
      <c r="H307" s="20">
        <f t="shared" ca="1" si="629"/>
        <v>29783.156374641061</v>
      </c>
      <c r="I307" s="20">
        <f t="shared" ca="1" si="629"/>
        <v>28293.998555909006</v>
      </c>
      <c r="J307" s="20">
        <f t="shared" ca="1" si="629"/>
        <v>26879.298628113553</v>
      </c>
      <c r="K307" s="20">
        <f t="shared" ca="1" si="629"/>
        <v>25535.333696707872</v>
      </c>
      <c r="L307" s="20">
        <f t="shared" ca="1" si="629"/>
        <v>24258.567011872477</v>
      </c>
      <c r="M307" s="20">
        <f t="shared" ca="1" si="629"/>
        <v>23045.638661278852</v>
      </c>
      <c r="N307" s="20">
        <f t="shared" ca="1" si="629"/>
        <v>21893.356728214909</v>
      </c>
      <c r="O307" s="20">
        <f t="shared" ca="1" si="629"/>
        <v>20798.688891804162</v>
      </c>
      <c r="P307" s="20">
        <f t="shared" ca="1" si="629"/>
        <v>19758.754447213953</v>
      </c>
      <c r="Q307" s="20">
        <f t="shared" ca="1" si="629"/>
        <v>18770.816724853255</v>
      </c>
      <c r="R307" s="20">
        <f t="shared" ca="1" si="629"/>
        <v>17832.275888610591</v>
      </c>
      <c r="S307" s="20">
        <f t="shared" ca="1" si="629"/>
        <v>16940.662094180061</v>
      </c>
      <c r="T307" s="20">
        <f t="shared" ca="1" si="629"/>
        <v>16093.628989471057</v>
      </c>
      <c r="U307" s="20">
        <f t="shared" ca="1" si="629"/>
        <v>15288.947539997504</v>
      </c>
      <c r="V307" s="20">
        <f t="shared" ca="1" si="629"/>
        <v>14524.500162997627</v>
      </c>
      <c r="W307" s="20">
        <f t="shared" ca="1" si="629"/>
        <v>13798.275154847744</v>
      </c>
      <c r="X307" s="20">
        <f t="shared" ca="1" si="629"/>
        <v>13108.361397105356</v>
      </c>
      <c r="Y307" s="20">
        <f t="shared" ca="1" si="629"/>
        <v>12452.943327250088</v>
      </c>
      <c r="Z307" s="20">
        <f t="shared" ca="1" si="629"/>
        <v>11830.296160887583</v>
      </c>
      <c r="AA307" s="20">
        <f t="shared" ca="1" si="629"/>
        <v>11238.781352843203</v>
      </c>
      <c r="AB307" s="20">
        <f t="shared" ca="1" si="629"/>
        <v>10676.842285201043</v>
      </c>
      <c r="AC307" s="20">
        <f t="shared" ca="1" si="629"/>
        <v>10143.00017094099</v>
      </c>
      <c r="AD307" s="20">
        <f t="shared" ca="1" si="629"/>
        <v>9635.8501623939392</v>
      </c>
      <c r="AE307" s="20">
        <f t="shared" ca="1" si="629"/>
        <v>9154.0576542742419</v>
      </c>
      <c r="AF307" s="20">
        <f t="shared" ca="1" si="629"/>
        <v>8696.3547715605291</v>
      </c>
      <c r="AG307" s="20">
        <f t="shared" ca="1" si="629"/>
        <v>8261.5370329825018</v>
      </c>
      <c r="AH307" s="20">
        <f t="shared" ca="1" si="629"/>
        <v>7848.4601813333766</v>
      </c>
      <c r="AI307" s="20">
        <f t="shared" ca="1" si="629"/>
        <v>7456.0371722667078</v>
      </c>
      <c r="AJ307" s="20">
        <f t="shared" ca="1" si="629"/>
        <v>7083.235313653372</v>
      </c>
      <c r="AK307" s="20">
        <f t="shared" ca="1" si="629"/>
        <v>6729.0735479707027</v>
      </c>
      <c r="AL307" s="20">
        <f t="shared" ca="1" si="629"/>
        <v>6392.6198705721672</v>
      </c>
      <c r="AM307" s="20">
        <f t="shared" ca="1" si="629"/>
        <v>6072.9888770435582</v>
      </c>
    </row>
    <row r="308" spans="1:39" x14ac:dyDescent="0.2">
      <c r="A308" s="22" t="str">
        <f>A80</f>
        <v>Painting</v>
      </c>
      <c r="B308" s="19"/>
      <c r="C308" s="20">
        <f t="shared" ref="C308:AM308" ca="1" si="630">IFERROR(IF(VLOOKUP($A308,$288:$298,C$1+2,FALSE)=0,C80,0),C80)</f>
        <v>20448.333244589874</v>
      </c>
      <c r="D308" s="20">
        <f t="shared" ca="1" si="630"/>
        <v>21061.783241927569</v>
      </c>
      <c r="E308" s="20">
        <f t="shared" ca="1" si="630"/>
        <v>21693.636739185396</v>
      </c>
      <c r="F308" s="20">
        <f t="shared" ca="1" si="630"/>
        <v>22344.445841360957</v>
      </c>
      <c r="G308" s="20">
        <f t="shared" ca="1" si="630"/>
        <v>23014.779216601786</v>
      </c>
      <c r="H308" s="20">
        <f t="shared" ca="1" si="630"/>
        <v>23705.222593099839</v>
      </c>
      <c r="I308" s="20">
        <f t="shared" ca="1" si="630"/>
        <v>24416.379270892834</v>
      </c>
      <c r="J308" s="20">
        <f t="shared" ca="1" si="630"/>
        <v>25148.87064901962</v>
      </c>
      <c r="K308" s="20">
        <f t="shared" ca="1" si="630"/>
        <v>25903.336768490208</v>
      </c>
      <c r="L308" s="20">
        <f t="shared" ca="1" si="630"/>
        <v>26680.436871544916</v>
      </c>
      <c r="M308" s="20">
        <f t="shared" ca="1" si="630"/>
        <v>27480.849977691265</v>
      </c>
      <c r="N308" s="20">
        <f t="shared" ca="1" si="630"/>
        <v>28305.275477022005</v>
      </c>
      <c r="O308" s="20">
        <f t="shared" ca="1" si="630"/>
        <v>29154.433741332665</v>
      </c>
      <c r="P308" s="20">
        <f t="shared" ca="1" si="630"/>
        <v>30029.066753572646</v>
      </c>
      <c r="Q308" s="20">
        <f t="shared" ca="1" si="630"/>
        <v>30929.938756179825</v>
      </c>
      <c r="R308" s="20">
        <f t="shared" ca="1" si="630"/>
        <v>31857.836918865221</v>
      </c>
      <c r="S308" s="20">
        <f t="shared" ca="1" si="630"/>
        <v>32813.572026431182</v>
      </c>
      <c r="T308" s="20">
        <f t="shared" ca="1" si="630"/>
        <v>33797.979187224119</v>
      </c>
      <c r="U308" s="20">
        <f t="shared" ca="1" si="630"/>
        <v>34811.918562840845</v>
      </c>
      <c r="V308" s="20">
        <f t="shared" ca="1" si="630"/>
        <v>35856.27611972607</v>
      </c>
      <c r="W308" s="20">
        <f t="shared" ca="1" si="630"/>
        <v>36931.964403317856</v>
      </c>
      <c r="X308" s="20">
        <f t="shared" ca="1" si="630"/>
        <v>38039.923335417392</v>
      </c>
      <c r="Y308" s="20">
        <f t="shared" ca="1" si="630"/>
        <v>39181.121035479911</v>
      </c>
      <c r="Z308" s="20">
        <f t="shared" ca="1" si="630"/>
        <v>40356.554666544311</v>
      </c>
      <c r="AA308" s="20">
        <f t="shared" ca="1" si="630"/>
        <v>41567.251306540638</v>
      </c>
      <c r="AB308" s="20">
        <f t="shared" ca="1" si="630"/>
        <v>42814.268845736857</v>
      </c>
      <c r="AC308" s="20">
        <f t="shared" ca="1" si="630"/>
        <v>44098.696911108964</v>
      </c>
      <c r="AD308" s="20">
        <f t="shared" ca="1" si="630"/>
        <v>45421.657818442232</v>
      </c>
      <c r="AE308" s="20">
        <f t="shared" ca="1" si="630"/>
        <v>46784.307552995502</v>
      </c>
      <c r="AF308" s="20">
        <f t="shared" ca="1" si="630"/>
        <v>48187.83677958537</v>
      </c>
      <c r="AG308" s="20">
        <f t="shared" ca="1" si="630"/>
        <v>49633.471882972932</v>
      </c>
      <c r="AH308" s="20">
        <f t="shared" ca="1" si="630"/>
        <v>51122.476039462119</v>
      </c>
      <c r="AI308" s="20">
        <f t="shared" ca="1" si="630"/>
        <v>52656.150320645982</v>
      </c>
      <c r="AJ308" s="20">
        <f t="shared" ca="1" si="630"/>
        <v>54235.834830265361</v>
      </c>
      <c r="AK308" s="20">
        <f t="shared" ca="1" si="630"/>
        <v>55862.909875173325</v>
      </c>
      <c r="AL308" s="20">
        <f t="shared" ca="1" si="630"/>
        <v>57538.797171428523</v>
      </c>
      <c r="AM308" s="20">
        <f t="shared" ca="1" si="630"/>
        <v>59264.961086571384</v>
      </c>
    </row>
    <row r="309" spans="1:39" x14ac:dyDescent="0.2">
      <c r="A309" s="22" t="str">
        <f>A81</f>
        <v>Boat</v>
      </c>
      <c r="B309" s="19"/>
      <c r="C309" s="20">
        <f t="shared" ref="C309:AM309" ca="1" si="631">IFERROR(IF(VLOOKUP($A309,$288:$298,C$1+2,FALSE)=0,C81,0),C81)</f>
        <v>173206.90804157319</v>
      </c>
      <c r="D309" s="20">
        <f t="shared" ca="1" si="631"/>
        <v>164546.56263949451</v>
      </c>
      <c r="E309" s="20">
        <f t="shared" ca="1" si="631"/>
        <v>156319.23450751978</v>
      </c>
      <c r="F309" s="20">
        <f t="shared" ca="1" si="631"/>
        <v>148503.27278214379</v>
      </c>
      <c r="G309" s="20">
        <f t="shared" ca="1" si="631"/>
        <v>141078.10914303659</v>
      </c>
      <c r="H309" s="20">
        <f t="shared" ca="1" si="631"/>
        <v>134024.20368588474</v>
      </c>
      <c r="I309" s="20">
        <f t="shared" ca="1" si="631"/>
        <v>127322.99350159049</v>
      </c>
      <c r="J309" s="20">
        <f t="shared" ca="1" si="631"/>
        <v>120956.84382651096</v>
      </c>
      <c r="K309" s="20">
        <f t="shared" ca="1" si="631"/>
        <v>114909.0016351854</v>
      </c>
      <c r="L309" s="20">
        <f t="shared" ca="1" si="631"/>
        <v>109163.55155342612</v>
      </c>
      <c r="M309" s="20">
        <f t="shared" ca="1" si="631"/>
        <v>103705.37397575482</v>
      </c>
      <c r="N309" s="20">
        <f t="shared" ca="1" si="631"/>
        <v>98520.105276967079</v>
      </c>
      <c r="O309" s="20">
        <f t="shared" ca="1" si="631"/>
        <v>93594.100013118717</v>
      </c>
      <c r="P309" s="20">
        <f t="shared" ca="1" si="631"/>
        <v>88914.395012462774</v>
      </c>
      <c r="Q309" s="20">
        <f t="shared" ca="1" si="631"/>
        <v>84468.675261839628</v>
      </c>
      <c r="R309" s="20">
        <f t="shared" ca="1" si="631"/>
        <v>80245.241498747637</v>
      </c>
      <c r="S309" s="20">
        <f t="shared" ca="1" si="631"/>
        <v>76232.979423810248</v>
      </c>
      <c r="T309" s="20">
        <f t="shared" ca="1" si="631"/>
        <v>72421.330452619732</v>
      </c>
      <c r="U309" s="20">
        <f t="shared" ca="1" si="631"/>
        <v>68800.263929988738</v>
      </c>
      <c r="V309" s="20">
        <f t="shared" ca="1" si="631"/>
        <v>65360.250733489294</v>
      </c>
      <c r="W309" s="20">
        <f t="shared" ca="1" si="631"/>
        <v>62092.238196814826</v>
      </c>
      <c r="X309" s="20">
        <f t="shared" ca="1" si="631"/>
        <v>58987.626286974082</v>
      </c>
      <c r="Y309" s="20">
        <f t="shared" ca="1" si="631"/>
        <v>56038.244972625376</v>
      </c>
      <c r="Z309" s="20">
        <f t="shared" ca="1" si="631"/>
        <v>53236.332723994106</v>
      </c>
      <c r="AA309" s="20">
        <f t="shared" ca="1" si="631"/>
        <v>50574.5160877944</v>
      </c>
      <c r="AB309" s="20">
        <f t="shared" ca="1" si="631"/>
        <v>48045.790283404676</v>
      </c>
      <c r="AC309" s="20">
        <f t="shared" ca="1" si="631"/>
        <v>45643.500769234437</v>
      </c>
      <c r="AD309" s="20">
        <f t="shared" ca="1" si="631"/>
        <v>43361.325730772711</v>
      </c>
      <c r="AE309" s="20">
        <f t="shared" ca="1" si="631"/>
        <v>41193.259444234071</v>
      </c>
      <c r="AF309" s="20">
        <f t="shared" ca="1" si="631"/>
        <v>39133.596472022364</v>
      </c>
      <c r="AG309" s="20">
        <f t="shared" ca="1" si="631"/>
        <v>37176.916648421247</v>
      </c>
      <c r="AH309" s="20">
        <f t="shared" ca="1" si="631"/>
        <v>35318.070816000181</v>
      </c>
      <c r="AI309" s="20">
        <f t="shared" ca="1" si="631"/>
        <v>33552.167275200169</v>
      </c>
      <c r="AJ309" s="20">
        <f t="shared" ca="1" si="631"/>
        <v>31874.558911440159</v>
      </c>
      <c r="AK309" s="20">
        <f t="shared" ca="1" si="631"/>
        <v>30280.83096586815</v>
      </c>
      <c r="AL309" s="20">
        <f t="shared" ca="1" si="631"/>
        <v>28766.789417574742</v>
      </c>
      <c r="AM309" s="20">
        <f t="shared" ca="1" si="631"/>
        <v>27328.449946696004</v>
      </c>
    </row>
    <row r="310" spans="1:39" x14ac:dyDescent="0.2">
      <c r="A310" s="22" t="str">
        <f>A82</f>
        <v>Antiques</v>
      </c>
      <c r="B310" s="19"/>
      <c r="C310" s="20">
        <f t="shared" ref="C310:AM310" ca="1" si="632">IFERROR(IF(VLOOKUP($A310,$288:$298,C$1+2,FALSE)=0,C82,0),C82)</f>
        <v>83226.9503404141</v>
      </c>
      <c r="D310" s="20">
        <f t="shared" ca="1" si="632"/>
        <v>84891.489347222378</v>
      </c>
      <c r="E310" s="20">
        <f t="shared" ca="1" si="632"/>
        <v>86589.319134166828</v>
      </c>
      <c r="F310" s="20">
        <f t="shared" ca="1" si="632"/>
        <v>88321.105516850163</v>
      </c>
      <c r="G310" s="20">
        <f t="shared" ca="1" si="632"/>
        <v>90087.52762718717</v>
      </c>
      <c r="H310" s="20">
        <f t="shared" ca="1" si="632"/>
        <v>91889.278179730914</v>
      </c>
      <c r="I310" s="20">
        <f t="shared" ca="1" si="632"/>
        <v>93727.063743325532</v>
      </c>
      <c r="J310" s="20">
        <f t="shared" ca="1" si="632"/>
        <v>95601.605018192044</v>
      </c>
      <c r="K310" s="20">
        <f t="shared" ca="1" si="632"/>
        <v>97513.637118555882</v>
      </c>
      <c r="L310" s="20">
        <f t="shared" ca="1" si="632"/>
        <v>99463.909860927</v>
      </c>
      <c r="M310" s="20">
        <f t="shared" ca="1" si="632"/>
        <v>101453.18805814555</v>
      </c>
      <c r="N310" s="20">
        <f t="shared" ca="1" si="632"/>
        <v>103482.25181930845</v>
      </c>
      <c r="O310" s="20">
        <f t="shared" ca="1" si="632"/>
        <v>105551.89685569462</v>
      </c>
      <c r="P310" s="20">
        <f t="shared" ca="1" si="632"/>
        <v>107662.93479280852</v>
      </c>
      <c r="Q310" s="20">
        <f t="shared" ca="1" si="632"/>
        <v>109816.19348866469</v>
      </c>
      <c r="R310" s="20">
        <f t="shared" ca="1" si="632"/>
        <v>112012.51735843798</v>
      </c>
      <c r="S310" s="20">
        <f t="shared" ca="1" si="632"/>
        <v>114252.76770560675</v>
      </c>
      <c r="T310" s="20">
        <f t="shared" ca="1" si="632"/>
        <v>116537.82305971888</v>
      </c>
      <c r="U310" s="20">
        <f t="shared" ca="1" si="632"/>
        <v>118868.57952091326</v>
      </c>
      <c r="V310" s="20">
        <f t="shared" ca="1" si="632"/>
        <v>121245.95111133152</v>
      </c>
      <c r="W310" s="20">
        <f t="shared" ca="1" si="632"/>
        <v>123670.87013355816</v>
      </c>
      <c r="X310" s="20">
        <f t="shared" ca="1" si="632"/>
        <v>126144.28753622933</v>
      </c>
      <c r="Y310" s="20">
        <f t="shared" ca="1" si="632"/>
        <v>128667.17328695391</v>
      </c>
      <c r="Z310" s="20">
        <f t="shared" ca="1" si="632"/>
        <v>131240.51675269299</v>
      </c>
      <c r="AA310" s="20">
        <f t="shared" ca="1" si="632"/>
        <v>133865.32708774685</v>
      </c>
      <c r="AB310" s="20">
        <f t="shared" ca="1" si="632"/>
        <v>136542.6336295018</v>
      </c>
      <c r="AC310" s="20">
        <f t="shared" ca="1" si="632"/>
        <v>139273.48630209183</v>
      </c>
      <c r="AD310" s="20">
        <f t="shared" ca="1" si="632"/>
        <v>142058.95602813366</v>
      </c>
      <c r="AE310" s="20">
        <f t="shared" ca="1" si="632"/>
        <v>144900.13514869634</v>
      </c>
      <c r="AF310" s="20">
        <f t="shared" ca="1" si="632"/>
        <v>147798.13785167027</v>
      </c>
      <c r="AG310" s="20">
        <f t="shared" ca="1" si="632"/>
        <v>150754.10060870368</v>
      </c>
      <c r="AH310" s="20">
        <f t="shared" ca="1" si="632"/>
        <v>153769.18262087775</v>
      </c>
      <c r="AI310" s="20">
        <f t="shared" ca="1" si="632"/>
        <v>156844.56627329532</v>
      </c>
      <c r="AJ310" s="20">
        <f t="shared" ca="1" si="632"/>
        <v>159981.45759876122</v>
      </c>
      <c r="AK310" s="20">
        <f t="shared" ca="1" si="632"/>
        <v>163181.08675073646</v>
      </c>
      <c r="AL310" s="20">
        <f t="shared" ca="1" si="632"/>
        <v>166444.70848575118</v>
      </c>
      <c r="AM310" s="20">
        <f t="shared" ca="1" si="632"/>
        <v>169773.60265546621</v>
      </c>
    </row>
    <row r="311" spans="1:39" x14ac:dyDescent="0.2"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  <c r="AB311" s="7"/>
      <c r="AC311" s="7"/>
      <c r="AD311" s="7"/>
      <c r="AE311" s="7"/>
      <c r="AF311" s="7"/>
      <c r="AG311" s="7"/>
      <c r="AH311" s="7"/>
      <c r="AI311" s="7"/>
      <c r="AJ311" s="7"/>
      <c r="AK311" s="7"/>
      <c r="AL311" s="7"/>
      <c r="AM311" s="7"/>
    </row>
    <row r="312" spans="1:39" x14ac:dyDescent="0.2">
      <c r="A312" s="18" t="s">
        <v>196</v>
      </c>
      <c r="B312" s="19"/>
      <c r="C312" s="20"/>
      <c r="D312" s="20"/>
      <c r="E312" s="20"/>
      <c r="F312" s="20"/>
      <c r="G312" s="20"/>
      <c r="H312" s="20"/>
      <c r="I312" s="20"/>
      <c r="J312" s="20"/>
      <c r="K312" s="20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  <c r="AE312" s="20"/>
      <c r="AF312" s="20"/>
      <c r="AG312" s="20"/>
      <c r="AH312" s="20"/>
      <c r="AI312" s="20"/>
      <c r="AJ312" s="20"/>
      <c r="AK312" s="20"/>
      <c r="AL312" s="20"/>
      <c r="AM312" s="20"/>
    </row>
    <row r="313" spans="1:39" x14ac:dyDescent="0.2">
      <c r="A313" s="22" t="str">
        <f>B$123</f>
        <v>Painting</v>
      </c>
      <c r="B313" s="19"/>
      <c r="C313" s="20">
        <f ca="1">SUM($C123:C123)</f>
        <v>0</v>
      </c>
      <c r="D313" s="20">
        <f ca="1">SUM($C123:D123)</f>
        <v>0</v>
      </c>
      <c r="E313" s="20">
        <f ca="1">SUM($C123:E123)</f>
        <v>0</v>
      </c>
      <c r="F313" s="20">
        <f ca="1">SUM($C123:F123)</f>
        <v>0</v>
      </c>
      <c r="G313" s="20">
        <f ca="1">SUM($C123:G123)</f>
        <v>0</v>
      </c>
      <c r="H313" s="20">
        <f ca="1">SUM($C123:H123)</f>
        <v>0</v>
      </c>
      <c r="I313" s="20">
        <f ca="1">SUM($C123:I123)</f>
        <v>0</v>
      </c>
      <c r="J313" s="20">
        <f ca="1">SUM($C123:J123)</f>
        <v>0</v>
      </c>
      <c r="K313" s="20">
        <f ca="1">SUM($C123:K123)</f>
        <v>0</v>
      </c>
      <c r="L313" s="20">
        <f ca="1">SUM($C123:L123)</f>
        <v>0</v>
      </c>
      <c r="M313" s="20">
        <f ca="1">SUM($C123:M123)</f>
        <v>0</v>
      </c>
      <c r="N313" s="20">
        <f ca="1">SUM($C123:N123)</f>
        <v>0</v>
      </c>
      <c r="O313" s="20">
        <f ca="1">SUM($C123:O123)</f>
        <v>0</v>
      </c>
      <c r="P313" s="20">
        <f ca="1">SUM($C123:P123)</f>
        <v>0</v>
      </c>
      <c r="Q313" s="20">
        <f ca="1">SUM($C123:Q123)</f>
        <v>0</v>
      </c>
      <c r="R313" s="20">
        <f ca="1">SUM($C123:R123)</f>
        <v>0</v>
      </c>
      <c r="S313" s="20">
        <f ca="1">SUM($C123:S123)</f>
        <v>0</v>
      </c>
      <c r="T313" s="20">
        <f ca="1">SUM($C123:T123)</f>
        <v>0</v>
      </c>
      <c r="U313" s="20">
        <f ca="1">SUM($C123:U123)</f>
        <v>0</v>
      </c>
      <c r="V313" s="20">
        <f ca="1">SUM($C123:V123)</f>
        <v>0</v>
      </c>
      <c r="W313" s="20">
        <f ca="1">SUM($C123:W123)</f>
        <v>0</v>
      </c>
      <c r="X313" s="20">
        <f ca="1">SUM($C123:X123)</f>
        <v>0</v>
      </c>
      <c r="Y313" s="20">
        <f ca="1">SUM($C123:Y123)</f>
        <v>0</v>
      </c>
      <c r="Z313" s="20">
        <f ca="1">SUM($C123:Z123)</f>
        <v>0</v>
      </c>
      <c r="AA313" s="20">
        <f ca="1">SUM($C123:AA123)</f>
        <v>0</v>
      </c>
      <c r="AB313" s="20">
        <f ca="1">SUM($C123:AB123)</f>
        <v>0</v>
      </c>
      <c r="AC313" s="20">
        <f ca="1">SUM($C123:AC123)</f>
        <v>0</v>
      </c>
      <c r="AD313" s="20">
        <f ca="1">SUM($C123:AD123)</f>
        <v>0</v>
      </c>
      <c r="AE313" s="20">
        <f ca="1">SUM($C123:AE123)</f>
        <v>0</v>
      </c>
      <c r="AF313" s="20">
        <f ca="1">SUM($C123:AF123)</f>
        <v>0</v>
      </c>
      <c r="AG313" s="20">
        <f ca="1">SUM($C123:AG123)</f>
        <v>0</v>
      </c>
      <c r="AH313" s="20">
        <f ca="1">SUM($C123:AH123)</f>
        <v>0</v>
      </c>
      <c r="AI313" s="20">
        <f ca="1">SUM($C123:AI123)</f>
        <v>0</v>
      </c>
      <c r="AJ313" s="20">
        <f ca="1">SUM($C123:AJ123)</f>
        <v>0</v>
      </c>
      <c r="AK313" s="20">
        <f ca="1">SUM($C123:AK123)</f>
        <v>0</v>
      </c>
      <c r="AL313" s="20">
        <f ca="1">SUM($C123:AL123)</f>
        <v>0</v>
      </c>
      <c r="AM313" s="20">
        <f ca="1">SUM($C123:AM123)</f>
        <v>0</v>
      </c>
    </row>
    <row r="314" spans="1:39" x14ac:dyDescent="0.2">
      <c r="A314" s="22" t="str">
        <f>B$140</f>
        <v>Car</v>
      </c>
      <c r="B314" s="19"/>
      <c r="C314" s="20">
        <f ca="1">SUM($C140:C140)</f>
        <v>0</v>
      </c>
      <c r="D314" s="20">
        <f ca="1">SUM($C140:D140)</f>
        <v>0</v>
      </c>
      <c r="E314" s="20">
        <f ca="1">SUM($C140:E140)</f>
        <v>0</v>
      </c>
      <c r="F314" s="20">
        <f ca="1">SUM($C140:F140)</f>
        <v>0</v>
      </c>
      <c r="G314" s="20">
        <f ca="1">SUM($C140:G140)</f>
        <v>0</v>
      </c>
      <c r="H314" s="20">
        <f ca="1">SUM($C140:H140)</f>
        <v>0</v>
      </c>
      <c r="I314" s="20">
        <f ca="1">SUM($C140:I140)</f>
        <v>0</v>
      </c>
      <c r="J314" s="20">
        <f ca="1">SUM($C140:J140)</f>
        <v>0</v>
      </c>
      <c r="K314" s="20">
        <f ca="1">SUM($C140:K140)</f>
        <v>0</v>
      </c>
      <c r="L314" s="20">
        <f ca="1">SUM($C140:L140)</f>
        <v>0</v>
      </c>
      <c r="M314" s="20">
        <f ca="1">SUM($C140:M140)</f>
        <v>0</v>
      </c>
      <c r="N314" s="20">
        <f ca="1">SUM($C140:N140)</f>
        <v>0</v>
      </c>
      <c r="O314" s="20">
        <f ca="1">SUM($C140:O140)</f>
        <v>0</v>
      </c>
      <c r="P314" s="20">
        <f ca="1">SUM($C140:P140)</f>
        <v>0</v>
      </c>
      <c r="Q314" s="20">
        <f ca="1">SUM($C140:Q140)</f>
        <v>0</v>
      </c>
      <c r="R314" s="20">
        <f ca="1">SUM($C140:R140)</f>
        <v>0</v>
      </c>
      <c r="S314" s="20">
        <f ca="1">SUM($C140:S140)</f>
        <v>0</v>
      </c>
      <c r="T314" s="20">
        <f ca="1">SUM($C140:T140)</f>
        <v>0</v>
      </c>
      <c r="U314" s="20">
        <f ca="1">SUM($C140:U140)</f>
        <v>0</v>
      </c>
      <c r="V314" s="20">
        <f ca="1">SUM($C140:V140)</f>
        <v>0</v>
      </c>
      <c r="W314" s="20">
        <f ca="1">SUM($C140:W140)</f>
        <v>0</v>
      </c>
      <c r="X314" s="20">
        <f ca="1">SUM($C140:X140)</f>
        <v>0</v>
      </c>
      <c r="Y314" s="20">
        <f ca="1">SUM($C140:Y140)</f>
        <v>0</v>
      </c>
      <c r="Z314" s="20">
        <f ca="1">SUM($C140:Z140)</f>
        <v>0</v>
      </c>
      <c r="AA314" s="20">
        <f ca="1">SUM($C140:AA140)</f>
        <v>0</v>
      </c>
      <c r="AB314" s="20">
        <f ca="1">SUM($C140:AB140)</f>
        <v>0</v>
      </c>
      <c r="AC314" s="20">
        <f ca="1">SUM($C140:AC140)</f>
        <v>0</v>
      </c>
      <c r="AD314" s="20">
        <f ca="1">SUM($C140:AD140)</f>
        <v>0</v>
      </c>
      <c r="AE314" s="20">
        <f ca="1">SUM($C140:AE140)</f>
        <v>0</v>
      </c>
      <c r="AF314" s="20">
        <f ca="1">SUM($C140:AF140)</f>
        <v>0</v>
      </c>
      <c r="AG314" s="20">
        <f ca="1">SUM($C140:AG140)</f>
        <v>0</v>
      </c>
      <c r="AH314" s="20">
        <f ca="1">SUM($C140:AH140)</f>
        <v>0</v>
      </c>
      <c r="AI314" s="20">
        <f ca="1">SUM($C140:AI140)</f>
        <v>0</v>
      </c>
      <c r="AJ314" s="20">
        <f ca="1">SUM($C140:AJ140)</f>
        <v>0</v>
      </c>
      <c r="AK314" s="20">
        <f ca="1">SUM($C140:AK140)</f>
        <v>0</v>
      </c>
      <c r="AL314" s="20">
        <f ca="1">SUM($C140:AL140)</f>
        <v>0</v>
      </c>
      <c r="AM314" s="20">
        <f ca="1">SUM($C140:AM140)</f>
        <v>0</v>
      </c>
    </row>
    <row r="315" spans="1:39" x14ac:dyDescent="0.2">
      <c r="A315" s="22" t="str">
        <f>B$157</f>
        <v>Jewelry</v>
      </c>
      <c r="B315" s="19"/>
      <c r="C315" s="20">
        <f ca="1">SUM($C157:C157)</f>
        <v>0</v>
      </c>
      <c r="D315" s="20">
        <f ca="1">SUM($C157:D157)</f>
        <v>0</v>
      </c>
      <c r="E315" s="20">
        <f ca="1">SUM($C157:E157)</f>
        <v>0</v>
      </c>
      <c r="F315" s="20">
        <f ca="1">SUM($C157:F157)</f>
        <v>0</v>
      </c>
      <c r="G315" s="20">
        <f ca="1">SUM($C157:G157)</f>
        <v>0</v>
      </c>
      <c r="H315" s="20">
        <f ca="1">SUM($C157:H157)</f>
        <v>0</v>
      </c>
      <c r="I315" s="20">
        <f ca="1">SUM($C157:I157)</f>
        <v>0</v>
      </c>
      <c r="J315" s="20">
        <f ca="1">SUM($C157:J157)</f>
        <v>0</v>
      </c>
      <c r="K315" s="20">
        <f ca="1">SUM($C157:K157)</f>
        <v>0</v>
      </c>
      <c r="L315" s="20">
        <f ca="1">SUM($C157:L157)</f>
        <v>0</v>
      </c>
      <c r="M315" s="20">
        <f ca="1">SUM($C157:M157)</f>
        <v>0</v>
      </c>
      <c r="N315" s="20">
        <f ca="1">SUM($C157:N157)</f>
        <v>0</v>
      </c>
      <c r="O315" s="20">
        <f ca="1">SUM($C157:O157)</f>
        <v>0</v>
      </c>
      <c r="P315" s="20">
        <f ca="1">SUM($C157:P157)</f>
        <v>0</v>
      </c>
      <c r="Q315" s="20">
        <f ca="1">SUM($C157:Q157)</f>
        <v>0</v>
      </c>
      <c r="R315" s="20">
        <f ca="1">SUM($C157:R157)</f>
        <v>0</v>
      </c>
      <c r="S315" s="20">
        <f ca="1">SUM($C157:S157)</f>
        <v>0</v>
      </c>
      <c r="T315" s="20">
        <f ca="1">SUM($C157:T157)</f>
        <v>0</v>
      </c>
      <c r="U315" s="20">
        <f ca="1">SUM($C157:U157)</f>
        <v>0</v>
      </c>
      <c r="V315" s="20">
        <f ca="1">SUM($C157:V157)</f>
        <v>0</v>
      </c>
      <c r="W315" s="20">
        <f ca="1">SUM($C157:W157)</f>
        <v>0</v>
      </c>
      <c r="X315" s="20">
        <f ca="1">SUM($C157:X157)</f>
        <v>0</v>
      </c>
      <c r="Y315" s="20">
        <f ca="1">SUM($C157:Y157)</f>
        <v>0</v>
      </c>
      <c r="Z315" s="20">
        <f ca="1">SUM($C157:Z157)</f>
        <v>0</v>
      </c>
      <c r="AA315" s="20">
        <f ca="1">SUM($C157:AA157)</f>
        <v>0</v>
      </c>
      <c r="AB315" s="20">
        <f ca="1">SUM($C157:AB157)</f>
        <v>0</v>
      </c>
      <c r="AC315" s="20">
        <f ca="1">SUM($C157:AC157)</f>
        <v>0</v>
      </c>
      <c r="AD315" s="20">
        <f ca="1">SUM($C157:AD157)</f>
        <v>0</v>
      </c>
      <c r="AE315" s="20">
        <f ca="1">SUM($C157:AE157)</f>
        <v>0</v>
      </c>
      <c r="AF315" s="20">
        <f ca="1">SUM($C157:AF157)</f>
        <v>0</v>
      </c>
      <c r="AG315" s="20">
        <f ca="1">SUM($C157:AG157)</f>
        <v>0</v>
      </c>
      <c r="AH315" s="20">
        <f ca="1">SUM($C157:AH157)</f>
        <v>0</v>
      </c>
      <c r="AI315" s="20">
        <f ca="1">SUM($C157:AI157)</f>
        <v>0</v>
      </c>
      <c r="AJ315" s="20">
        <f ca="1">SUM($C157:AJ157)</f>
        <v>0</v>
      </c>
      <c r="AK315" s="20">
        <f ca="1">SUM($C157:AK157)</f>
        <v>0</v>
      </c>
      <c r="AL315" s="20">
        <f ca="1">SUM($C157:AL157)</f>
        <v>0</v>
      </c>
      <c r="AM315" s="20">
        <f ca="1">SUM($C157:AM157)</f>
        <v>0</v>
      </c>
    </row>
    <row r="316" spans="1:39" x14ac:dyDescent="0.2">
      <c r="A316" s="22" t="str">
        <f>B$174</f>
        <v>Gudja</v>
      </c>
      <c r="B316" s="19"/>
      <c r="C316" s="20">
        <f ca="1">SUM($C174:C174)</f>
        <v>0</v>
      </c>
      <c r="D316" s="20">
        <f ca="1">SUM($C174:D174)</f>
        <v>0</v>
      </c>
      <c r="E316" s="20">
        <f ca="1">SUM($C174:E174)</f>
        <v>0</v>
      </c>
      <c r="F316" s="20">
        <f ca="1">SUM($C174:F174)</f>
        <v>0</v>
      </c>
      <c r="G316" s="20">
        <f ca="1">SUM($C174:G174)</f>
        <v>0</v>
      </c>
      <c r="H316" s="20">
        <f ca="1">SUM($C174:H174)</f>
        <v>0</v>
      </c>
      <c r="I316" s="20">
        <f ca="1">SUM($C174:I174)</f>
        <v>0</v>
      </c>
      <c r="J316" s="20">
        <f ca="1">SUM($C174:J174)</f>
        <v>0</v>
      </c>
      <c r="K316" s="20">
        <f ca="1">SUM($C174:K174)</f>
        <v>0</v>
      </c>
      <c r="L316" s="20">
        <f ca="1">SUM($C174:L174)</f>
        <v>0</v>
      </c>
      <c r="M316" s="20">
        <f ca="1">SUM($C174:M174)</f>
        <v>0</v>
      </c>
      <c r="N316" s="20">
        <f ca="1">SUM($C174:N174)</f>
        <v>0</v>
      </c>
      <c r="O316" s="20">
        <f ca="1">SUM($C174:O174)</f>
        <v>0</v>
      </c>
      <c r="P316" s="20">
        <f ca="1">SUM($C174:P174)</f>
        <v>0</v>
      </c>
      <c r="Q316" s="20">
        <f ca="1">SUM($C174:Q174)</f>
        <v>0</v>
      </c>
      <c r="R316" s="20">
        <f ca="1">SUM($C174:R174)</f>
        <v>0</v>
      </c>
      <c r="S316" s="20">
        <f ca="1">SUM($C174:S174)</f>
        <v>0</v>
      </c>
      <c r="T316" s="20">
        <f ca="1">SUM($C174:T174)</f>
        <v>0</v>
      </c>
      <c r="U316" s="20">
        <f ca="1">SUM($C174:U174)</f>
        <v>0</v>
      </c>
      <c r="V316" s="20">
        <f ca="1">SUM($C174:V174)</f>
        <v>0</v>
      </c>
      <c r="W316" s="20">
        <f ca="1">SUM($C174:W174)</f>
        <v>0</v>
      </c>
      <c r="X316" s="20">
        <f ca="1">SUM($C174:X174)</f>
        <v>0</v>
      </c>
      <c r="Y316" s="20">
        <f ca="1">SUM($C174:Y174)</f>
        <v>0</v>
      </c>
      <c r="Z316" s="20">
        <f ca="1">SUM($C174:Z174)</f>
        <v>0</v>
      </c>
      <c r="AA316" s="20">
        <f ca="1">SUM($C174:AA174)</f>
        <v>0</v>
      </c>
      <c r="AB316" s="20">
        <f ca="1">SUM($C174:AB174)</f>
        <v>0</v>
      </c>
      <c r="AC316" s="20">
        <f ca="1">SUM($C174:AC174)</f>
        <v>0</v>
      </c>
      <c r="AD316" s="20">
        <f ca="1">SUM($C174:AD174)</f>
        <v>0</v>
      </c>
      <c r="AE316" s="20">
        <f ca="1">SUM($C174:AE174)</f>
        <v>0</v>
      </c>
      <c r="AF316" s="20">
        <f ca="1">SUM($C174:AF174)</f>
        <v>0</v>
      </c>
      <c r="AG316" s="20">
        <f ca="1">SUM($C174:AG174)</f>
        <v>0</v>
      </c>
      <c r="AH316" s="20">
        <f ca="1">SUM($C174:AH174)</f>
        <v>0</v>
      </c>
      <c r="AI316" s="20">
        <f ca="1">SUM($C174:AI174)</f>
        <v>0</v>
      </c>
      <c r="AJ316" s="20">
        <f ca="1">SUM($C174:AJ174)</f>
        <v>0</v>
      </c>
      <c r="AK316" s="20">
        <f ca="1">SUM($C174:AK174)</f>
        <v>0</v>
      </c>
      <c r="AL316" s="20">
        <f ca="1">SUM($C174:AL174)</f>
        <v>0</v>
      </c>
      <c r="AM316" s="20">
        <f ca="1">SUM($C174:AM174)</f>
        <v>0</v>
      </c>
    </row>
    <row r="317" spans="1:39" x14ac:dyDescent="0.2">
      <c r="A317" s="22" t="str">
        <f>B$191</f>
        <v>Antiques</v>
      </c>
      <c r="B317" s="19"/>
      <c r="C317" s="20">
        <f ca="1">SUM($C191:C191)</f>
        <v>0</v>
      </c>
      <c r="D317" s="20">
        <f ca="1">SUM($C191:D191)</f>
        <v>0</v>
      </c>
      <c r="E317" s="20">
        <f ca="1">SUM($C191:E191)</f>
        <v>0</v>
      </c>
      <c r="F317" s="20">
        <f ca="1">SUM($C191:F191)</f>
        <v>0</v>
      </c>
      <c r="G317" s="20">
        <f ca="1">SUM($C191:G191)</f>
        <v>0</v>
      </c>
      <c r="H317" s="20">
        <f ca="1">SUM($C191:H191)</f>
        <v>0</v>
      </c>
      <c r="I317" s="20">
        <f ca="1">SUM($C191:I191)</f>
        <v>0</v>
      </c>
      <c r="J317" s="20">
        <f ca="1">SUM($C191:J191)</f>
        <v>0</v>
      </c>
      <c r="K317" s="20">
        <f ca="1">SUM($C191:K191)</f>
        <v>0</v>
      </c>
      <c r="L317" s="20">
        <f ca="1">SUM($C191:L191)</f>
        <v>0</v>
      </c>
      <c r="M317" s="20">
        <f ca="1">SUM($C191:M191)</f>
        <v>0</v>
      </c>
      <c r="N317" s="20">
        <f ca="1">SUM($C191:N191)</f>
        <v>0</v>
      </c>
      <c r="O317" s="20">
        <f ca="1">SUM($C191:O191)</f>
        <v>0</v>
      </c>
      <c r="P317" s="20">
        <f ca="1">SUM($C191:P191)</f>
        <v>0</v>
      </c>
      <c r="Q317" s="20">
        <f ca="1">SUM($C191:Q191)</f>
        <v>0</v>
      </c>
      <c r="R317" s="20">
        <f ca="1">SUM($C191:R191)</f>
        <v>0</v>
      </c>
      <c r="S317" s="20">
        <f ca="1">SUM($C191:S191)</f>
        <v>0</v>
      </c>
      <c r="T317" s="20">
        <f ca="1">SUM($C191:T191)</f>
        <v>0</v>
      </c>
      <c r="U317" s="20">
        <f ca="1">SUM($C191:U191)</f>
        <v>0</v>
      </c>
      <c r="V317" s="20">
        <f ca="1">SUM($C191:V191)</f>
        <v>0</v>
      </c>
      <c r="W317" s="20">
        <f ca="1">SUM($C191:W191)</f>
        <v>0</v>
      </c>
      <c r="X317" s="20">
        <f ca="1">SUM($C191:X191)</f>
        <v>0</v>
      </c>
      <c r="Y317" s="20">
        <f ca="1">SUM($C191:Y191)</f>
        <v>0</v>
      </c>
      <c r="Z317" s="20">
        <f ca="1">SUM($C191:Z191)</f>
        <v>0</v>
      </c>
      <c r="AA317" s="20">
        <f ca="1">SUM($C191:AA191)</f>
        <v>0</v>
      </c>
      <c r="AB317" s="20">
        <f ca="1">SUM($C191:AB191)</f>
        <v>0</v>
      </c>
      <c r="AC317" s="20">
        <f ca="1">SUM($C191:AC191)</f>
        <v>0</v>
      </c>
      <c r="AD317" s="20">
        <f ca="1">SUM($C191:AD191)</f>
        <v>0</v>
      </c>
      <c r="AE317" s="20">
        <f ca="1">SUM($C191:AE191)</f>
        <v>0</v>
      </c>
      <c r="AF317" s="20">
        <f ca="1">SUM($C191:AF191)</f>
        <v>0</v>
      </c>
      <c r="AG317" s="20">
        <f ca="1">SUM($C191:AG191)</f>
        <v>0</v>
      </c>
      <c r="AH317" s="20">
        <f ca="1">SUM($C191:AH191)</f>
        <v>0</v>
      </c>
      <c r="AI317" s="20">
        <f ca="1">SUM($C191:AI191)</f>
        <v>0</v>
      </c>
      <c r="AJ317" s="20">
        <f ca="1">SUM($C191:AJ191)</f>
        <v>0</v>
      </c>
      <c r="AK317" s="20">
        <f ca="1">SUM($C191:AK191)</f>
        <v>0</v>
      </c>
      <c r="AL317" s="20">
        <f ca="1">SUM($C191:AL191)</f>
        <v>0</v>
      </c>
      <c r="AM317" s="20">
        <f ca="1">SUM($C191:AM191)</f>
        <v>0</v>
      </c>
    </row>
    <row r="318" spans="1:39" x14ac:dyDescent="0.2">
      <c r="A318" s="22" t="str">
        <f>B$208</f>
        <v>Marsa</v>
      </c>
      <c r="B318" s="19"/>
      <c r="C318" s="20">
        <f ca="1">SUM($C208:C208)</f>
        <v>0</v>
      </c>
      <c r="D318" s="20">
        <f ca="1">SUM($C208:D208)</f>
        <v>0</v>
      </c>
      <c r="E318" s="20">
        <f ca="1">SUM($C208:E208)</f>
        <v>0</v>
      </c>
      <c r="F318" s="20">
        <f ca="1">SUM($C208:F208)</f>
        <v>0</v>
      </c>
      <c r="G318" s="20">
        <f ca="1">SUM($C208:G208)</f>
        <v>0</v>
      </c>
      <c r="H318" s="20">
        <f ca="1">SUM($C208:H208)</f>
        <v>0</v>
      </c>
      <c r="I318" s="20">
        <f ca="1">SUM($C208:I208)</f>
        <v>0</v>
      </c>
      <c r="J318" s="20">
        <f ca="1">SUM($C208:J208)</f>
        <v>0</v>
      </c>
      <c r="K318" s="20">
        <f ca="1">SUM($C208:K208)</f>
        <v>0</v>
      </c>
      <c r="L318" s="20">
        <f ca="1">SUM($C208:L208)</f>
        <v>0</v>
      </c>
      <c r="M318" s="20">
        <f ca="1">SUM($C208:M208)</f>
        <v>0</v>
      </c>
      <c r="N318" s="20">
        <f ca="1">SUM($C208:N208)</f>
        <v>0</v>
      </c>
      <c r="O318" s="20">
        <f ca="1">SUM($C208:O208)</f>
        <v>0</v>
      </c>
      <c r="P318" s="20">
        <f ca="1">SUM($C208:P208)</f>
        <v>0</v>
      </c>
      <c r="Q318" s="20">
        <f ca="1">SUM($C208:Q208)</f>
        <v>0</v>
      </c>
      <c r="R318" s="20">
        <f ca="1">SUM($C208:R208)</f>
        <v>0</v>
      </c>
      <c r="S318" s="20">
        <f ca="1">SUM($C208:S208)</f>
        <v>0</v>
      </c>
      <c r="T318" s="20">
        <f ca="1">SUM($C208:T208)</f>
        <v>0</v>
      </c>
      <c r="U318" s="20">
        <f ca="1">SUM($C208:U208)</f>
        <v>0</v>
      </c>
      <c r="V318" s="20">
        <f ca="1">SUM($C208:V208)</f>
        <v>0</v>
      </c>
      <c r="W318" s="20">
        <f ca="1">SUM($C208:W208)</f>
        <v>0</v>
      </c>
      <c r="X318" s="20">
        <f ca="1">SUM($C208:X208)</f>
        <v>0</v>
      </c>
      <c r="Y318" s="20">
        <f ca="1">SUM($C208:Y208)</f>
        <v>0</v>
      </c>
      <c r="Z318" s="20">
        <f ca="1">SUM($C208:Z208)</f>
        <v>0</v>
      </c>
      <c r="AA318" s="20">
        <f ca="1">SUM($C208:AA208)</f>
        <v>0</v>
      </c>
      <c r="AB318" s="20">
        <f ca="1">SUM($C208:AB208)</f>
        <v>0</v>
      </c>
      <c r="AC318" s="20">
        <f ca="1">SUM($C208:AC208)</f>
        <v>0</v>
      </c>
      <c r="AD318" s="20">
        <f ca="1">SUM($C208:AD208)</f>
        <v>0</v>
      </c>
      <c r="AE318" s="20">
        <f ca="1">SUM($C208:AE208)</f>
        <v>0</v>
      </c>
      <c r="AF318" s="20">
        <f ca="1">SUM($C208:AF208)</f>
        <v>0</v>
      </c>
      <c r="AG318" s="20">
        <f ca="1">SUM($C208:AG208)</f>
        <v>0</v>
      </c>
      <c r="AH318" s="20">
        <f ca="1">SUM($C208:AH208)</f>
        <v>0</v>
      </c>
      <c r="AI318" s="20">
        <f ca="1">SUM($C208:AI208)</f>
        <v>0</v>
      </c>
      <c r="AJ318" s="20">
        <f ca="1">SUM($C208:AJ208)</f>
        <v>0</v>
      </c>
      <c r="AK318" s="20">
        <f ca="1">SUM($C208:AK208)</f>
        <v>0</v>
      </c>
      <c r="AL318" s="20">
        <f ca="1">SUM($C208:AL208)</f>
        <v>0</v>
      </c>
      <c r="AM318" s="20">
        <f ca="1">SUM($C208:AM208)</f>
        <v>0</v>
      </c>
    </row>
    <row r="319" spans="1:39" x14ac:dyDescent="0.2">
      <c r="A319" s="22" t="str">
        <f>B$225</f>
        <v>Gzira</v>
      </c>
      <c r="B319" s="19"/>
      <c r="C319" s="20">
        <f ca="1">SUM($C225:C225)</f>
        <v>0</v>
      </c>
      <c r="D319" s="20">
        <f ca="1">SUM($C225:D225)</f>
        <v>0</v>
      </c>
      <c r="E319" s="20">
        <f ca="1">SUM($C225:E225)</f>
        <v>0</v>
      </c>
      <c r="F319" s="20">
        <f ca="1">SUM($C225:F225)</f>
        <v>0</v>
      </c>
      <c r="G319" s="20">
        <f ca="1">SUM($C225:G225)</f>
        <v>0</v>
      </c>
      <c r="H319" s="20">
        <f ca="1">SUM($C225:H225)</f>
        <v>0</v>
      </c>
      <c r="I319" s="20">
        <f ca="1">SUM($C225:I225)</f>
        <v>0</v>
      </c>
      <c r="J319" s="20">
        <f ca="1">SUM($C225:J225)</f>
        <v>0</v>
      </c>
      <c r="K319" s="20">
        <f ca="1">SUM($C225:K225)</f>
        <v>0</v>
      </c>
      <c r="L319" s="20">
        <f ca="1">SUM($C225:L225)</f>
        <v>0</v>
      </c>
      <c r="M319" s="20">
        <f ca="1">SUM($C225:M225)</f>
        <v>0</v>
      </c>
      <c r="N319" s="20">
        <f ca="1">SUM($C225:N225)</f>
        <v>0</v>
      </c>
      <c r="O319" s="20">
        <f ca="1">SUM($C225:O225)</f>
        <v>0</v>
      </c>
      <c r="P319" s="20">
        <f ca="1">SUM($C225:P225)</f>
        <v>0</v>
      </c>
      <c r="Q319" s="20">
        <f ca="1">SUM($C225:Q225)</f>
        <v>0</v>
      </c>
      <c r="R319" s="20">
        <f ca="1">SUM($C225:R225)</f>
        <v>0</v>
      </c>
      <c r="S319" s="20">
        <f ca="1">SUM($C225:S225)</f>
        <v>0</v>
      </c>
      <c r="T319" s="20">
        <f ca="1">SUM($C225:T225)</f>
        <v>0</v>
      </c>
      <c r="U319" s="20">
        <f ca="1">SUM($C225:U225)</f>
        <v>0</v>
      </c>
      <c r="V319" s="20">
        <f ca="1">SUM($C225:V225)</f>
        <v>0</v>
      </c>
      <c r="W319" s="20">
        <f ca="1">SUM($C225:W225)</f>
        <v>0</v>
      </c>
      <c r="X319" s="20">
        <f ca="1">SUM($C225:X225)</f>
        <v>0</v>
      </c>
      <c r="Y319" s="20">
        <f ca="1">SUM($C225:Y225)</f>
        <v>0</v>
      </c>
      <c r="Z319" s="20">
        <f ca="1">SUM($C225:Z225)</f>
        <v>0</v>
      </c>
      <c r="AA319" s="20">
        <f ca="1">SUM($C225:AA225)</f>
        <v>0</v>
      </c>
      <c r="AB319" s="20">
        <f ca="1">SUM($C225:AB225)</f>
        <v>0</v>
      </c>
      <c r="AC319" s="20">
        <f ca="1">SUM($C225:AC225)</f>
        <v>0</v>
      </c>
      <c r="AD319" s="20">
        <f ca="1">SUM($C225:AD225)</f>
        <v>0</v>
      </c>
      <c r="AE319" s="20">
        <f ca="1">SUM($C225:AE225)</f>
        <v>0</v>
      </c>
      <c r="AF319" s="20">
        <f ca="1">SUM($C225:AF225)</f>
        <v>0</v>
      </c>
      <c r="AG319" s="20">
        <f ca="1">SUM($C225:AG225)</f>
        <v>0</v>
      </c>
      <c r="AH319" s="20">
        <f ca="1">SUM($C225:AH225)</f>
        <v>0</v>
      </c>
      <c r="AI319" s="20">
        <f ca="1">SUM($C225:AI225)</f>
        <v>0</v>
      </c>
      <c r="AJ319" s="20">
        <f ca="1">SUM($C225:AJ225)</f>
        <v>0</v>
      </c>
      <c r="AK319" s="20">
        <f ca="1">SUM($C225:AK225)</f>
        <v>0</v>
      </c>
      <c r="AL319" s="20">
        <f ca="1">SUM($C225:AL225)</f>
        <v>0</v>
      </c>
      <c r="AM319" s="20">
        <f ca="1">SUM($C225:AM225)</f>
        <v>0</v>
      </c>
    </row>
    <row r="320" spans="1:39" x14ac:dyDescent="0.2">
      <c r="A320" s="22" t="str">
        <f>B$242</f>
        <v>Boat</v>
      </c>
      <c r="B320" s="19"/>
      <c r="C320" s="20">
        <f ca="1">SUM($C242:C242)</f>
        <v>0</v>
      </c>
      <c r="D320" s="20">
        <f ca="1">SUM($C242:D242)</f>
        <v>0</v>
      </c>
      <c r="E320" s="20">
        <f ca="1">SUM($C242:E242)</f>
        <v>0</v>
      </c>
      <c r="F320" s="20">
        <f ca="1">SUM($C242:F242)</f>
        <v>0</v>
      </c>
      <c r="G320" s="20">
        <f ca="1">SUM($C242:G242)</f>
        <v>0</v>
      </c>
      <c r="H320" s="20">
        <f ca="1">SUM($C242:H242)</f>
        <v>0</v>
      </c>
      <c r="I320" s="20">
        <f ca="1">SUM($C242:I242)</f>
        <v>0</v>
      </c>
      <c r="J320" s="20">
        <f ca="1">SUM($C242:J242)</f>
        <v>0</v>
      </c>
      <c r="K320" s="20">
        <f ca="1">SUM($C242:K242)</f>
        <v>0</v>
      </c>
      <c r="L320" s="20">
        <f ca="1">SUM($C242:L242)</f>
        <v>0</v>
      </c>
      <c r="M320" s="20">
        <f ca="1">SUM($C242:M242)</f>
        <v>0</v>
      </c>
      <c r="N320" s="20">
        <f ca="1">SUM($C242:N242)</f>
        <v>0</v>
      </c>
      <c r="O320" s="20">
        <f ca="1">SUM($C242:O242)</f>
        <v>0</v>
      </c>
      <c r="P320" s="20">
        <f ca="1">SUM($C242:P242)</f>
        <v>0</v>
      </c>
      <c r="Q320" s="20">
        <f ca="1">SUM($C242:Q242)</f>
        <v>0</v>
      </c>
      <c r="R320" s="20">
        <f ca="1">SUM($C242:R242)</f>
        <v>0</v>
      </c>
      <c r="S320" s="20">
        <f ca="1">SUM($C242:S242)</f>
        <v>0</v>
      </c>
      <c r="T320" s="20">
        <f ca="1">SUM($C242:T242)</f>
        <v>0</v>
      </c>
      <c r="U320" s="20">
        <f ca="1">SUM($C242:U242)</f>
        <v>0</v>
      </c>
      <c r="V320" s="20">
        <f ca="1">SUM($C242:V242)</f>
        <v>0</v>
      </c>
      <c r="W320" s="20">
        <f ca="1">SUM($C242:W242)</f>
        <v>0</v>
      </c>
      <c r="X320" s="20">
        <f ca="1">SUM($C242:X242)</f>
        <v>0</v>
      </c>
      <c r="Y320" s="20">
        <f ca="1">SUM($C242:Y242)</f>
        <v>0</v>
      </c>
      <c r="Z320" s="20">
        <f ca="1">SUM($C242:Z242)</f>
        <v>0</v>
      </c>
      <c r="AA320" s="20">
        <f ca="1">SUM($C242:AA242)</f>
        <v>0</v>
      </c>
      <c r="AB320" s="20">
        <f ca="1">SUM($C242:AB242)</f>
        <v>0</v>
      </c>
      <c r="AC320" s="20">
        <f ca="1">SUM($C242:AC242)</f>
        <v>0</v>
      </c>
      <c r="AD320" s="20">
        <f ca="1">SUM($C242:AD242)</f>
        <v>0</v>
      </c>
      <c r="AE320" s="20">
        <f ca="1">SUM($C242:AE242)</f>
        <v>0</v>
      </c>
      <c r="AF320" s="20">
        <f ca="1">SUM($C242:AF242)</f>
        <v>0</v>
      </c>
      <c r="AG320" s="20">
        <f ca="1">SUM($C242:AG242)</f>
        <v>0</v>
      </c>
      <c r="AH320" s="20">
        <f ca="1">SUM($C242:AH242)</f>
        <v>0</v>
      </c>
      <c r="AI320" s="20">
        <f ca="1">SUM($C242:AI242)</f>
        <v>0</v>
      </c>
      <c r="AJ320" s="20">
        <f ca="1">SUM($C242:AJ242)</f>
        <v>0</v>
      </c>
      <c r="AK320" s="20">
        <f ca="1">SUM($C242:AK242)</f>
        <v>0</v>
      </c>
      <c r="AL320" s="20">
        <f ca="1">SUM($C242:AL242)</f>
        <v>0</v>
      </c>
      <c r="AM320" s="20">
        <f ca="1">SUM($C242:AM242)</f>
        <v>0</v>
      </c>
    </row>
    <row r="321" spans="1:39" x14ac:dyDescent="0.2">
      <c r="A321" s="22" t="str">
        <f>B$259</f>
        <v>Qormi</v>
      </c>
      <c r="B321" s="19"/>
      <c r="C321" s="20">
        <f ca="1">SUM($C259:C259)</f>
        <v>0</v>
      </c>
      <c r="D321" s="20">
        <f ca="1">SUM($C259:D259)</f>
        <v>0</v>
      </c>
      <c r="E321" s="20">
        <f ca="1">SUM($C259:E259)</f>
        <v>0</v>
      </c>
      <c r="F321" s="20">
        <f ca="1">SUM($C259:F259)</f>
        <v>0</v>
      </c>
      <c r="G321" s="20">
        <f ca="1">SUM($C259:G259)</f>
        <v>0</v>
      </c>
      <c r="H321" s="20">
        <f ca="1">SUM($C259:H259)</f>
        <v>0</v>
      </c>
      <c r="I321" s="20">
        <f ca="1">SUM($C259:I259)</f>
        <v>0</v>
      </c>
      <c r="J321" s="20">
        <f ca="1">SUM($C259:J259)</f>
        <v>0</v>
      </c>
      <c r="K321" s="20">
        <f ca="1">SUM($C259:K259)</f>
        <v>0</v>
      </c>
      <c r="L321" s="20">
        <f ca="1">SUM($C259:L259)</f>
        <v>0</v>
      </c>
      <c r="M321" s="20">
        <f ca="1">SUM($C259:M259)</f>
        <v>0</v>
      </c>
      <c r="N321" s="20">
        <f ca="1">SUM($C259:N259)</f>
        <v>0</v>
      </c>
      <c r="O321" s="20">
        <f ca="1">SUM($C259:O259)</f>
        <v>0</v>
      </c>
      <c r="P321" s="20">
        <f ca="1">SUM($C259:P259)</f>
        <v>0</v>
      </c>
      <c r="Q321" s="20">
        <f ca="1">SUM($C259:Q259)</f>
        <v>0</v>
      </c>
      <c r="R321" s="20">
        <f ca="1">SUM($C259:R259)</f>
        <v>0</v>
      </c>
      <c r="S321" s="20">
        <f ca="1">SUM($C259:S259)</f>
        <v>0</v>
      </c>
      <c r="T321" s="20">
        <f ca="1">SUM($C259:T259)</f>
        <v>0</v>
      </c>
      <c r="U321" s="20">
        <f ca="1">SUM($C259:U259)</f>
        <v>0</v>
      </c>
      <c r="V321" s="20">
        <f ca="1">SUM($C259:V259)</f>
        <v>0</v>
      </c>
      <c r="W321" s="20">
        <f ca="1">SUM($C259:W259)</f>
        <v>0</v>
      </c>
      <c r="X321" s="20">
        <f ca="1">SUM($C259:X259)</f>
        <v>0</v>
      </c>
      <c r="Y321" s="20">
        <f ca="1">SUM($C259:Y259)</f>
        <v>0</v>
      </c>
      <c r="Z321" s="20">
        <f ca="1">SUM($C259:Z259)</f>
        <v>0</v>
      </c>
      <c r="AA321" s="20">
        <f ca="1">SUM($C259:AA259)</f>
        <v>0</v>
      </c>
      <c r="AB321" s="20">
        <f ca="1">SUM($C259:AB259)</f>
        <v>0</v>
      </c>
      <c r="AC321" s="20">
        <f ca="1">SUM($C259:AC259)</f>
        <v>0</v>
      </c>
      <c r="AD321" s="20">
        <f ca="1">SUM($C259:AD259)</f>
        <v>0</v>
      </c>
      <c r="AE321" s="20">
        <f ca="1">SUM($C259:AE259)</f>
        <v>0</v>
      </c>
      <c r="AF321" s="20">
        <f ca="1">SUM($C259:AF259)</f>
        <v>0</v>
      </c>
      <c r="AG321" s="20">
        <f ca="1">SUM($C259:AG259)</f>
        <v>0</v>
      </c>
      <c r="AH321" s="20">
        <f ca="1">SUM($C259:AH259)</f>
        <v>0</v>
      </c>
      <c r="AI321" s="20">
        <f ca="1">SUM($C259:AI259)</f>
        <v>0</v>
      </c>
      <c r="AJ321" s="20">
        <f ca="1">SUM($C259:AJ259)</f>
        <v>0</v>
      </c>
      <c r="AK321" s="20">
        <f ca="1">SUM($C259:AK259)</f>
        <v>0</v>
      </c>
      <c r="AL321" s="20">
        <f ca="1">SUM($C259:AL259)</f>
        <v>0</v>
      </c>
      <c r="AM321" s="20">
        <f ca="1">SUM($C259:AM259)</f>
        <v>0</v>
      </c>
    </row>
    <row r="322" spans="1:39" x14ac:dyDescent="0.2">
      <c r="A322" s="22" t="str">
        <f>B$276</f>
        <v>Sliema</v>
      </c>
      <c r="B322" s="19"/>
      <c r="C322" s="20">
        <f ca="1">SUM($C276:C276)</f>
        <v>0</v>
      </c>
      <c r="D322" s="20">
        <f ca="1">SUM($C276:D276)</f>
        <v>0</v>
      </c>
      <c r="E322" s="20">
        <f ca="1">SUM($C276:E276)</f>
        <v>0</v>
      </c>
      <c r="F322" s="20">
        <f ca="1">SUM($C276:F276)</f>
        <v>0</v>
      </c>
      <c r="G322" s="20">
        <f ca="1">SUM($C276:G276)</f>
        <v>0</v>
      </c>
      <c r="H322" s="20">
        <f ca="1">SUM($C276:H276)</f>
        <v>0</v>
      </c>
      <c r="I322" s="20">
        <f ca="1">SUM($C276:I276)</f>
        <v>0</v>
      </c>
      <c r="J322" s="20">
        <f ca="1">SUM($C276:J276)</f>
        <v>0</v>
      </c>
      <c r="K322" s="20">
        <f ca="1">SUM($C276:K276)</f>
        <v>0</v>
      </c>
      <c r="L322" s="20">
        <f ca="1">SUM($C276:L276)</f>
        <v>0</v>
      </c>
      <c r="M322" s="20">
        <f ca="1">SUM($C276:M276)</f>
        <v>0</v>
      </c>
      <c r="N322" s="20">
        <f ca="1">SUM($C276:N276)</f>
        <v>0</v>
      </c>
      <c r="O322" s="20">
        <f ca="1">SUM($C276:O276)</f>
        <v>0</v>
      </c>
      <c r="P322" s="20">
        <f ca="1">SUM($C276:P276)</f>
        <v>0</v>
      </c>
      <c r="Q322" s="20">
        <f ca="1">SUM($C276:Q276)</f>
        <v>0</v>
      </c>
      <c r="R322" s="20">
        <f ca="1">SUM($C276:R276)</f>
        <v>0</v>
      </c>
      <c r="S322" s="20">
        <f ca="1">SUM($C276:S276)</f>
        <v>0</v>
      </c>
      <c r="T322" s="20">
        <f ca="1">SUM($C276:T276)</f>
        <v>0</v>
      </c>
      <c r="U322" s="20">
        <f ca="1">SUM($C276:U276)</f>
        <v>0</v>
      </c>
      <c r="V322" s="20">
        <f ca="1">SUM($C276:V276)</f>
        <v>0</v>
      </c>
      <c r="W322" s="20">
        <f ca="1">SUM($C276:W276)</f>
        <v>0</v>
      </c>
      <c r="X322" s="20">
        <f ca="1">SUM($C276:X276)</f>
        <v>0</v>
      </c>
      <c r="Y322" s="20">
        <f ca="1">SUM($C276:Y276)</f>
        <v>0</v>
      </c>
      <c r="Z322" s="20">
        <f ca="1">SUM($C276:Z276)</f>
        <v>0</v>
      </c>
      <c r="AA322" s="20">
        <f ca="1">SUM($C276:AA276)</f>
        <v>0</v>
      </c>
      <c r="AB322" s="20">
        <f ca="1">SUM($C276:AB276)</f>
        <v>0</v>
      </c>
      <c r="AC322" s="20">
        <f ca="1">SUM($C276:AC276)</f>
        <v>0</v>
      </c>
      <c r="AD322" s="20">
        <f ca="1">SUM($C276:AD276)</f>
        <v>0</v>
      </c>
      <c r="AE322" s="20">
        <f ca="1">SUM($C276:AE276)</f>
        <v>0</v>
      </c>
      <c r="AF322" s="20">
        <f ca="1">SUM($C276:AF276)</f>
        <v>0</v>
      </c>
      <c r="AG322" s="20">
        <f ca="1">SUM($C276:AG276)</f>
        <v>0</v>
      </c>
      <c r="AH322" s="20">
        <f ca="1">SUM($C276:AH276)</f>
        <v>0</v>
      </c>
      <c r="AI322" s="20">
        <f ca="1">SUM($C276:AI276)</f>
        <v>0</v>
      </c>
      <c r="AJ322" s="20">
        <f ca="1">SUM($C276:AJ276)</f>
        <v>0</v>
      </c>
      <c r="AK322" s="20">
        <f ca="1">SUM($C276:AK276)</f>
        <v>0</v>
      </c>
      <c r="AL322" s="20">
        <f ca="1">SUM($C276:AL276)</f>
        <v>0</v>
      </c>
      <c r="AM322" s="20">
        <f ca="1">SUM($C276:AM276)</f>
        <v>0</v>
      </c>
    </row>
    <row r="323" spans="1:39" x14ac:dyDescent="0.2">
      <c r="A323" s="21"/>
      <c r="B323" s="19"/>
      <c r="C323" s="20"/>
      <c r="D323" s="20"/>
      <c r="E323" s="20"/>
      <c r="F323" s="20"/>
      <c r="G323" s="20"/>
      <c r="H323" s="20"/>
      <c r="I323" s="20"/>
      <c r="J323" s="20"/>
      <c r="K323" s="20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  <c r="AE323" s="20"/>
      <c r="AF323" s="20"/>
      <c r="AG323" s="20"/>
      <c r="AH323" s="20"/>
      <c r="AI323" s="20"/>
      <c r="AJ323" s="20"/>
      <c r="AK323" s="20"/>
      <c r="AL323" s="20"/>
      <c r="AM323" s="20"/>
    </row>
    <row r="324" spans="1:39" x14ac:dyDescent="0.2">
      <c r="A324" s="3" t="s">
        <v>204</v>
      </c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  <c r="AE324" s="7"/>
      <c r="AF324" s="7"/>
      <c r="AG324" s="7"/>
      <c r="AH324" s="7"/>
      <c r="AI324" s="7"/>
      <c r="AJ324" s="7"/>
      <c r="AK324" s="7"/>
      <c r="AL324" s="7"/>
      <c r="AM324" s="7"/>
    </row>
    <row r="325" spans="1:39" x14ac:dyDescent="0.2">
      <c r="A325" s="16" t="str">
        <f>A301</f>
        <v>Sliema</v>
      </c>
      <c r="C325" s="7">
        <f t="shared" ref="C325:AM325" ca="1" si="633">IFERROR(IF(VLOOKUP($A325,$312:$322,C$1+2,FALSE)=0,C86,0),C86)</f>
        <v>-46591.052384870025</v>
      </c>
      <c r="D325" s="7">
        <f t="shared" ca="1" si="633"/>
        <v>-41924.97244406183</v>
      </c>
      <c r="E325" s="7">
        <f t="shared" ca="1" si="633"/>
        <v>-37116.969216818994</v>
      </c>
      <c r="F325" s="7">
        <f t="shared" ca="1" si="633"/>
        <v>-32162.725970576364</v>
      </c>
      <c r="G325" s="7">
        <f t="shared" ca="1" si="633"/>
        <v>-27057.79467521701</v>
      </c>
      <c r="H325" s="7">
        <f t="shared" ca="1" si="633"/>
        <v>-21797.592009531552</v>
      </c>
      <c r="I325" s="7">
        <f t="shared" ca="1" si="633"/>
        <v>-16377.395246210348</v>
      </c>
      <c r="J325" s="7">
        <f t="shared" ca="1" si="633"/>
        <v>-10792.33801167312</v>
      </c>
      <c r="K325" s="7">
        <f t="shared" ca="1" si="633"/>
        <v>-5037.4059169308748</v>
      </c>
      <c r="L325" s="7">
        <f t="shared" ca="1" si="633"/>
        <v>0</v>
      </c>
      <c r="M325" s="7">
        <f t="shared" ca="1" si="633"/>
        <v>0</v>
      </c>
      <c r="N325" s="7">
        <f t="shared" ca="1" si="633"/>
        <v>0</v>
      </c>
      <c r="O325" s="7">
        <f t="shared" ca="1" si="633"/>
        <v>0</v>
      </c>
      <c r="P325" s="7">
        <f t="shared" ca="1" si="633"/>
        <v>0</v>
      </c>
      <c r="Q325" s="7">
        <f t="shared" ca="1" si="633"/>
        <v>0</v>
      </c>
      <c r="R325" s="7">
        <f t="shared" ca="1" si="633"/>
        <v>0</v>
      </c>
      <c r="S325" s="7">
        <f t="shared" ca="1" si="633"/>
        <v>0</v>
      </c>
      <c r="T325" s="7">
        <f t="shared" ca="1" si="633"/>
        <v>0</v>
      </c>
      <c r="U325" s="7">
        <f t="shared" ca="1" si="633"/>
        <v>0</v>
      </c>
      <c r="V325" s="7">
        <f t="shared" ca="1" si="633"/>
        <v>0</v>
      </c>
      <c r="W325" s="7">
        <f t="shared" ca="1" si="633"/>
        <v>0</v>
      </c>
      <c r="X325" s="7">
        <f t="shared" ca="1" si="633"/>
        <v>0</v>
      </c>
      <c r="Y325" s="7">
        <f t="shared" ca="1" si="633"/>
        <v>0</v>
      </c>
      <c r="Z325" s="7">
        <f t="shared" ca="1" si="633"/>
        <v>0</v>
      </c>
      <c r="AA325" s="7">
        <f t="shared" ca="1" si="633"/>
        <v>0</v>
      </c>
      <c r="AB325" s="7">
        <f t="shared" ca="1" si="633"/>
        <v>0</v>
      </c>
      <c r="AC325" s="7">
        <f t="shared" ca="1" si="633"/>
        <v>0</v>
      </c>
      <c r="AD325" s="7">
        <f t="shared" ca="1" si="633"/>
        <v>0</v>
      </c>
      <c r="AE325" s="7">
        <f t="shared" ca="1" si="633"/>
        <v>0</v>
      </c>
      <c r="AF325" s="7">
        <f t="shared" ca="1" si="633"/>
        <v>0</v>
      </c>
      <c r="AG325" s="7">
        <f t="shared" ca="1" si="633"/>
        <v>0</v>
      </c>
      <c r="AH325" s="7">
        <f t="shared" ca="1" si="633"/>
        <v>0</v>
      </c>
      <c r="AI325" s="7">
        <f t="shared" ca="1" si="633"/>
        <v>0</v>
      </c>
      <c r="AJ325" s="7">
        <f t="shared" ca="1" si="633"/>
        <v>0</v>
      </c>
      <c r="AK325" s="7">
        <f t="shared" ca="1" si="633"/>
        <v>0</v>
      </c>
      <c r="AL325" s="7">
        <f t="shared" ca="1" si="633"/>
        <v>0</v>
      </c>
      <c r="AM325" s="7">
        <f t="shared" ca="1" si="633"/>
        <v>0</v>
      </c>
    </row>
    <row r="326" spans="1:39" x14ac:dyDescent="0.2">
      <c r="A326" s="16" t="str">
        <f t="shared" ref="A326:A334" si="634">A302</f>
        <v>Gzira</v>
      </c>
      <c r="C326" s="7">
        <f t="shared" ref="C326:AM326" ca="1" si="635">IFERROR(IF(VLOOKUP($A326,$312:$322,C$1+2,FALSE)=0,C87,0),C87)</f>
        <v>-6816.3065303051853</v>
      </c>
      <c r="D326" s="7">
        <f t="shared" ca="1" si="635"/>
        <v>-4531.7666039667383</v>
      </c>
      <c r="E326" s="7">
        <f t="shared" ca="1" si="635"/>
        <v>-2201.1147111864902</v>
      </c>
      <c r="F326" s="7">
        <f t="shared" ca="1" si="635"/>
        <v>0</v>
      </c>
      <c r="G326" s="7">
        <f t="shared" ca="1" si="635"/>
        <v>0</v>
      </c>
      <c r="H326" s="7">
        <f t="shared" ca="1" si="635"/>
        <v>0</v>
      </c>
      <c r="I326" s="7">
        <f t="shared" ca="1" si="635"/>
        <v>0</v>
      </c>
      <c r="J326" s="7">
        <f t="shared" ca="1" si="635"/>
        <v>0</v>
      </c>
      <c r="K326" s="7">
        <f t="shared" ca="1" si="635"/>
        <v>0</v>
      </c>
      <c r="L326" s="7">
        <f t="shared" ca="1" si="635"/>
        <v>0</v>
      </c>
      <c r="M326" s="7">
        <f t="shared" ca="1" si="635"/>
        <v>0</v>
      </c>
      <c r="N326" s="7">
        <f t="shared" ca="1" si="635"/>
        <v>0</v>
      </c>
      <c r="O326" s="7">
        <f t="shared" ca="1" si="635"/>
        <v>0</v>
      </c>
      <c r="P326" s="7">
        <f t="shared" ca="1" si="635"/>
        <v>0</v>
      </c>
      <c r="Q326" s="7">
        <f t="shared" ca="1" si="635"/>
        <v>0</v>
      </c>
      <c r="R326" s="7">
        <f t="shared" ca="1" si="635"/>
        <v>0</v>
      </c>
      <c r="S326" s="7">
        <f t="shared" ca="1" si="635"/>
        <v>0</v>
      </c>
      <c r="T326" s="7">
        <f t="shared" ca="1" si="635"/>
        <v>0</v>
      </c>
      <c r="U326" s="7">
        <f t="shared" ca="1" si="635"/>
        <v>0</v>
      </c>
      <c r="V326" s="7">
        <f t="shared" ca="1" si="635"/>
        <v>0</v>
      </c>
      <c r="W326" s="7">
        <f t="shared" ca="1" si="635"/>
        <v>0</v>
      </c>
      <c r="X326" s="7">
        <f t="shared" ca="1" si="635"/>
        <v>0</v>
      </c>
      <c r="Y326" s="7">
        <f t="shared" ca="1" si="635"/>
        <v>0</v>
      </c>
      <c r="Z326" s="7">
        <f t="shared" ca="1" si="635"/>
        <v>0</v>
      </c>
      <c r="AA326" s="7">
        <f t="shared" ca="1" si="635"/>
        <v>0</v>
      </c>
      <c r="AB326" s="7">
        <f t="shared" ca="1" si="635"/>
        <v>0</v>
      </c>
      <c r="AC326" s="7">
        <f t="shared" ca="1" si="635"/>
        <v>0</v>
      </c>
      <c r="AD326" s="7">
        <f t="shared" ca="1" si="635"/>
        <v>0</v>
      </c>
      <c r="AE326" s="7">
        <f t="shared" ca="1" si="635"/>
        <v>0</v>
      </c>
      <c r="AF326" s="7">
        <f t="shared" ca="1" si="635"/>
        <v>0</v>
      </c>
      <c r="AG326" s="7">
        <f t="shared" ca="1" si="635"/>
        <v>0</v>
      </c>
      <c r="AH326" s="7">
        <f t="shared" ca="1" si="635"/>
        <v>0</v>
      </c>
      <c r="AI326" s="7">
        <f t="shared" ca="1" si="635"/>
        <v>0</v>
      </c>
      <c r="AJ326" s="7">
        <f t="shared" ca="1" si="635"/>
        <v>0</v>
      </c>
      <c r="AK326" s="7">
        <f t="shared" ca="1" si="635"/>
        <v>0</v>
      </c>
      <c r="AL326" s="7">
        <f t="shared" ca="1" si="635"/>
        <v>0</v>
      </c>
      <c r="AM326" s="7">
        <f t="shared" ca="1" si="635"/>
        <v>0</v>
      </c>
    </row>
    <row r="327" spans="1:39" x14ac:dyDescent="0.2">
      <c r="A327" s="16" t="str">
        <f t="shared" si="634"/>
        <v>Qormi</v>
      </c>
      <c r="C327" s="7">
        <f t="shared" ref="C327:AM327" ca="1" si="636">IFERROR(IF(VLOOKUP($A327,$312:$322,C$1+2,FALSE)=0,C88,0),C88)</f>
        <v>-13284.099846375037</v>
      </c>
      <c r="D327" s="7">
        <f t="shared" ca="1" si="636"/>
        <v>-10894.02573326202</v>
      </c>
      <c r="E327" s="7">
        <f t="shared" ca="1" si="636"/>
        <v>-8381.6708924441427</v>
      </c>
      <c r="F327" s="7">
        <f t="shared" ca="1" si="636"/>
        <v>-5740.779209817676</v>
      </c>
      <c r="G327" s="7">
        <f t="shared" ca="1" si="636"/>
        <v>-2964.7744966079426</v>
      </c>
      <c r="H327" s="7">
        <f t="shared" ca="1" si="636"/>
        <v>-46.744113741759065</v>
      </c>
      <c r="I327" s="7">
        <f t="shared" ca="1" si="636"/>
        <v>0</v>
      </c>
      <c r="J327" s="7">
        <f t="shared" ca="1" si="636"/>
        <v>0</v>
      </c>
      <c r="K327" s="7">
        <f t="shared" ca="1" si="636"/>
        <v>0</v>
      </c>
      <c r="L327" s="7">
        <f t="shared" ca="1" si="636"/>
        <v>0</v>
      </c>
      <c r="M327" s="7">
        <f t="shared" ca="1" si="636"/>
        <v>0</v>
      </c>
      <c r="N327" s="7">
        <f t="shared" ca="1" si="636"/>
        <v>0</v>
      </c>
      <c r="O327" s="7">
        <f t="shared" ca="1" si="636"/>
        <v>0</v>
      </c>
      <c r="P327" s="7">
        <f t="shared" ca="1" si="636"/>
        <v>0</v>
      </c>
      <c r="Q327" s="7">
        <f t="shared" ca="1" si="636"/>
        <v>0</v>
      </c>
      <c r="R327" s="7">
        <f t="shared" ca="1" si="636"/>
        <v>0</v>
      </c>
      <c r="S327" s="7">
        <f t="shared" ca="1" si="636"/>
        <v>0</v>
      </c>
      <c r="T327" s="7">
        <f t="shared" ca="1" si="636"/>
        <v>0</v>
      </c>
      <c r="U327" s="7">
        <f t="shared" ca="1" si="636"/>
        <v>0</v>
      </c>
      <c r="V327" s="7">
        <f t="shared" ca="1" si="636"/>
        <v>0</v>
      </c>
      <c r="W327" s="7">
        <f t="shared" ca="1" si="636"/>
        <v>0</v>
      </c>
      <c r="X327" s="7">
        <f t="shared" ca="1" si="636"/>
        <v>0</v>
      </c>
      <c r="Y327" s="7">
        <f t="shared" ca="1" si="636"/>
        <v>0</v>
      </c>
      <c r="Z327" s="7">
        <f t="shared" ca="1" si="636"/>
        <v>0</v>
      </c>
      <c r="AA327" s="7">
        <f t="shared" ca="1" si="636"/>
        <v>0</v>
      </c>
      <c r="AB327" s="7">
        <f t="shared" ca="1" si="636"/>
        <v>0</v>
      </c>
      <c r="AC327" s="7">
        <f t="shared" ca="1" si="636"/>
        <v>0</v>
      </c>
      <c r="AD327" s="7">
        <f t="shared" ca="1" si="636"/>
        <v>0</v>
      </c>
      <c r="AE327" s="7">
        <f t="shared" ca="1" si="636"/>
        <v>0</v>
      </c>
      <c r="AF327" s="7">
        <f t="shared" ca="1" si="636"/>
        <v>0</v>
      </c>
      <c r="AG327" s="7">
        <f t="shared" ca="1" si="636"/>
        <v>0</v>
      </c>
      <c r="AH327" s="7">
        <f t="shared" ca="1" si="636"/>
        <v>0</v>
      </c>
      <c r="AI327" s="7">
        <f t="shared" ca="1" si="636"/>
        <v>0</v>
      </c>
      <c r="AJ327" s="7">
        <f t="shared" ca="1" si="636"/>
        <v>0</v>
      </c>
      <c r="AK327" s="7">
        <f t="shared" ca="1" si="636"/>
        <v>0</v>
      </c>
      <c r="AL327" s="7">
        <f t="shared" ca="1" si="636"/>
        <v>0</v>
      </c>
      <c r="AM327" s="7">
        <f t="shared" ca="1" si="636"/>
        <v>0</v>
      </c>
    </row>
    <row r="328" spans="1:39" x14ac:dyDescent="0.2">
      <c r="A328" s="16" t="str">
        <f t="shared" si="634"/>
        <v>Gudja</v>
      </c>
      <c r="C328" s="7">
        <f t="shared" ref="C328:AM328" ca="1" si="637">IFERROR(IF(VLOOKUP($A328,$312:$322,C$1+2,FALSE)=0,C89,0),C89)</f>
        <v>-4025.8511111463736</v>
      </c>
      <c r="D328" s="7">
        <f t="shared" ca="1" si="637"/>
        <v>-3138.2612491824134</v>
      </c>
      <c r="E328" s="7">
        <f t="shared" ca="1" si="637"/>
        <v>-2232.7559577452803</v>
      </c>
      <c r="F328" s="7">
        <f t="shared" ca="1" si="637"/>
        <v>-1308.9736254343047</v>
      </c>
      <c r="G328" s="7">
        <f t="shared" ca="1" si="637"/>
        <v>-366.5453419556743</v>
      </c>
      <c r="H328" s="7">
        <f t="shared" ca="1" si="637"/>
        <v>0</v>
      </c>
      <c r="I328" s="7">
        <f t="shared" ca="1" si="637"/>
        <v>0</v>
      </c>
      <c r="J328" s="7">
        <f t="shared" ca="1" si="637"/>
        <v>0</v>
      </c>
      <c r="K328" s="7">
        <f t="shared" ca="1" si="637"/>
        <v>0</v>
      </c>
      <c r="L328" s="7">
        <f t="shared" ca="1" si="637"/>
        <v>0</v>
      </c>
      <c r="M328" s="7">
        <f t="shared" ca="1" si="637"/>
        <v>0</v>
      </c>
      <c r="N328" s="7">
        <f t="shared" ca="1" si="637"/>
        <v>0</v>
      </c>
      <c r="O328" s="7">
        <f t="shared" ca="1" si="637"/>
        <v>0</v>
      </c>
      <c r="P328" s="7">
        <f t="shared" ca="1" si="637"/>
        <v>0</v>
      </c>
      <c r="Q328" s="7">
        <f t="shared" ca="1" si="637"/>
        <v>0</v>
      </c>
      <c r="R328" s="7">
        <f t="shared" ca="1" si="637"/>
        <v>0</v>
      </c>
      <c r="S328" s="7">
        <f t="shared" ca="1" si="637"/>
        <v>0</v>
      </c>
      <c r="T328" s="7">
        <f t="shared" ca="1" si="637"/>
        <v>0</v>
      </c>
      <c r="U328" s="7">
        <f t="shared" ca="1" si="637"/>
        <v>0</v>
      </c>
      <c r="V328" s="7">
        <f t="shared" ca="1" si="637"/>
        <v>0</v>
      </c>
      <c r="W328" s="7">
        <f t="shared" ca="1" si="637"/>
        <v>0</v>
      </c>
      <c r="X328" s="7">
        <f t="shared" ca="1" si="637"/>
        <v>0</v>
      </c>
      <c r="Y328" s="7">
        <f t="shared" ca="1" si="637"/>
        <v>0</v>
      </c>
      <c r="Z328" s="7">
        <f t="shared" ca="1" si="637"/>
        <v>0</v>
      </c>
      <c r="AA328" s="7">
        <f t="shared" ca="1" si="637"/>
        <v>0</v>
      </c>
      <c r="AB328" s="7">
        <f t="shared" ca="1" si="637"/>
        <v>0</v>
      </c>
      <c r="AC328" s="7">
        <f t="shared" ca="1" si="637"/>
        <v>0</v>
      </c>
      <c r="AD328" s="7">
        <f t="shared" ca="1" si="637"/>
        <v>0</v>
      </c>
      <c r="AE328" s="7">
        <f t="shared" ca="1" si="637"/>
        <v>0</v>
      </c>
      <c r="AF328" s="7">
        <f t="shared" ca="1" si="637"/>
        <v>0</v>
      </c>
      <c r="AG328" s="7">
        <f t="shared" ca="1" si="637"/>
        <v>0</v>
      </c>
      <c r="AH328" s="7">
        <f t="shared" ca="1" si="637"/>
        <v>0</v>
      </c>
      <c r="AI328" s="7">
        <f t="shared" ca="1" si="637"/>
        <v>0</v>
      </c>
      <c r="AJ328" s="7">
        <f t="shared" ca="1" si="637"/>
        <v>0</v>
      </c>
      <c r="AK328" s="7">
        <f t="shared" ca="1" si="637"/>
        <v>0</v>
      </c>
      <c r="AL328" s="7">
        <f t="shared" ca="1" si="637"/>
        <v>0</v>
      </c>
      <c r="AM328" s="7">
        <f t="shared" ca="1" si="637"/>
        <v>0</v>
      </c>
    </row>
    <row r="329" spans="1:39" x14ac:dyDescent="0.2">
      <c r="A329" s="16" t="str">
        <f t="shared" si="634"/>
        <v>Marsa</v>
      </c>
      <c r="C329" s="7">
        <f t="shared" ref="C329:AM329" ca="1" si="638">IFERROR(IF(VLOOKUP($A329,$312:$322,C$1+2,FALSE)=0,C90,0),C90)</f>
        <v>-8649.5822104017261</v>
      </c>
      <c r="D329" s="7">
        <f t="shared" ca="1" si="638"/>
        <v>-7452.7015983848178</v>
      </c>
      <c r="E329" s="7">
        <f t="shared" ca="1" si="638"/>
        <v>-6219.4167172421839</v>
      </c>
      <c r="F329" s="7">
        <f t="shared" ca="1" si="638"/>
        <v>-4948.6202962926418</v>
      </c>
      <c r="G329" s="7">
        <f t="shared" ca="1" si="638"/>
        <v>-3639.1713861576636</v>
      </c>
      <c r="H329" s="7">
        <f t="shared" ca="1" si="638"/>
        <v>-2289.8943343915744</v>
      </c>
      <c r="I329" s="7">
        <f t="shared" ca="1" si="638"/>
        <v>-899.57772995459527</v>
      </c>
      <c r="J329" s="7">
        <f t="shared" ca="1" si="638"/>
        <v>0</v>
      </c>
      <c r="K329" s="7">
        <f t="shared" ca="1" si="638"/>
        <v>0</v>
      </c>
      <c r="L329" s="7">
        <f t="shared" ca="1" si="638"/>
        <v>0</v>
      </c>
      <c r="M329" s="7">
        <f t="shared" ca="1" si="638"/>
        <v>0</v>
      </c>
      <c r="N329" s="7">
        <f t="shared" ca="1" si="638"/>
        <v>0</v>
      </c>
      <c r="O329" s="7">
        <f t="shared" ca="1" si="638"/>
        <v>0</v>
      </c>
      <c r="P329" s="7">
        <f t="shared" ca="1" si="638"/>
        <v>0</v>
      </c>
      <c r="Q329" s="7">
        <f t="shared" ca="1" si="638"/>
        <v>0</v>
      </c>
      <c r="R329" s="7">
        <f t="shared" ca="1" si="638"/>
        <v>0</v>
      </c>
      <c r="S329" s="7">
        <f t="shared" ca="1" si="638"/>
        <v>0</v>
      </c>
      <c r="T329" s="7">
        <f t="shared" ca="1" si="638"/>
        <v>0</v>
      </c>
      <c r="U329" s="7">
        <f t="shared" ca="1" si="638"/>
        <v>0</v>
      </c>
      <c r="V329" s="7">
        <f t="shared" ca="1" si="638"/>
        <v>0</v>
      </c>
      <c r="W329" s="7">
        <f t="shared" ca="1" si="638"/>
        <v>0</v>
      </c>
      <c r="X329" s="7">
        <f t="shared" ca="1" si="638"/>
        <v>0</v>
      </c>
      <c r="Y329" s="7">
        <f t="shared" ca="1" si="638"/>
        <v>0</v>
      </c>
      <c r="Z329" s="7">
        <f t="shared" ca="1" si="638"/>
        <v>0</v>
      </c>
      <c r="AA329" s="7">
        <f t="shared" ca="1" si="638"/>
        <v>0</v>
      </c>
      <c r="AB329" s="7">
        <f t="shared" ca="1" si="638"/>
        <v>0</v>
      </c>
      <c r="AC329" s="7">
        <f t="shared" ca="1" si="638"/>
        <v>0</v>
      </c>
      <c r="AD329" s="7">
        <f t="shared" ca="1" si="638"/>
        <v>0</v>
      </c>
      <c r="AE329" s="7">
        <f t="shared" ca="1" si="638"/>
        <v>0</v>
      </c>
      <c r="AF329" s="7">
        <f t="shared" ca="1" si="638"/>
        <v>0</v>
      </c>
      <c r="AG329" s="7">
        <f t="shared" ca="1" si="638"/>
        <v>0</v>
      </c>
      <c r="AH329" s="7">
        <f t="shared" ca="1" si="638"/>
        <v>0</v>
      </c>
      <c r="AI329" s="7">
        <f t="shared" ca="1" si="638"/>
        <v>0</v>
      </c>
      <c r="AJ329" s="7">
        <f t="shared" ca="1" si="638"/>
        <v>0</v>
      </c>
      <c r="AK329" s="7">
        <f t="shared" ca="1" si="638"/>
        <v>0</v>
      </c>
      <c r="AL329" s="7">
        <f t="shared" ca="1" si="638"/>
        <v>0</v>
      </c>
      <c r="AM329" s="7">
        <f t="shared" ca="1" si="638"/>
        <v>0</v>
      </c>
    </row>
    <row r="330" spans="1:39" x14ac:dyDescent="0.2">
      <c r="A330" s="16" t="str">
        <f t="shared" si="634"/>
        <v>Jewelry</v>
      </c>
      <c r="C330" s="7">
        <f t="shared" ref="C330:AM330" ca="1" si="639">IFERROR(IF(VLOOKUP($A330,$312:$322,C$1+2,FALSE)=0,C91,0),C91)</f>
        <v>-1875.0262705595046</v>
      </c>
      <c r="D330" s="7">
        <f t="shared" ca="1" si="639"/>
        <v>-1019.5782814113345</v>
      </c>
      <c r="E330" s="7">
        <f t="shared" ca="1" si="639"/>
        <v>-138.11102308348245</v>
      </c>
      <c r="F330" s="7">
        <f t="shared" ca="1" si="639"/>
        <v>0</v>
      </c>
      <c r="G330" s="7">
        <f t="shared" ca="1" si="639"/>
        <v>0</v>
      </c>
      <c r="H330" s="7">
        <f t="shared" ca="1" si="639"/>
        <v>0</v>
      </c>
      <c r="I330" s="7">
        <f t="shared" ca="1" si="639"/>
        <v>0</v>
      </c>
      <c r="J330" s="7">
        <f t="shared" ca="1" si="639"/>
        <v>0</v>
      </c>
      <c r="K330" s="7">
        <f t="shared" ca="1" si="639"/>
        <v>0</v>
      </c>
      <c r="L330" s="7">
        <f t="shared" ca="1" si="639"/>
        <v>0</v>
      </c>
      <c r="M330" s="7">
        <f t="shared" ca="1" si="639"/>
        <v>0</v>
      </c>
      <c r="N330" s="7">
        <f t="shared" ca="1" si="639"/>
        <v>0</v>
      </c>
      <c r="O330" s="7">
        <f t="shared" ca="1" si="639"/>
        <v>0</v>
      </c>
      <c r="P330" s="7">
        <f t="shared" ca="1" si="639"/>
        <v>0</v>
      </c>
      <c r="Q330" s="7">
        <f t="shared" ca="1" si="639"/>
        <v>0</v>
      </c>
      <c r="R330" s="7">
        <f t="shared" ca="1" si="639"/>
        <v>0</v>
      </c>
      <c r="S330" s="7">
        <f t="shared" ca="1" si="639"/>
        <v>0</v>
      </c>
      <c r="T330" s="7">
        <f t="shared" ca="1" si="639"/>
        <v>0</v>
      </c>
      <c r="U330" s="7">
        <f t="shared" ca="1" si="639"/>
        <v>0</v>
      </c>
      <c r="V330" s="7">
        <f t="shared" ca="1" si="639"/>
        <v>0</v>
      </c>
      <c r="W330" s="7">
        <f t="shared" ca="1" si="639"/>
        <v>0</v>
      </c>
      <c r="X330" s="7">
        <f t="shared" ca="1" si="639"/>
        <v>0</v>
      </c>
      <c r="Y330" s="7">
        <f t="shared" ca="1" si="639"/>
        <v>0</v>
      </c>
      <c r="Z330" s="7">
        <f t="shared" ca="1" si="639"/>
        <v>0</v>
      </c>
      <c r="AA330" s="7">
        <f t="shared" ca="1" si="639"/>
        <v>0</v>
      </c>
      <c r="AB330" s="7">
        <f t="shared" ca="1" si="639"/>
        <v>0</v>
      </c>
      <c r="AC330" s="7">
        <f t="shared" ca="1" si="639"/>
        <v>0</v>
      </c>
      <c r="AD330" s="7">
        <f t="shared" ca="1" si="639"/>
        <v>0</v>
      </c>
      <c r="AE330" s="7">
        <f t="shared" ca="1" si="639"/>
        <v>0</v>
      </c>
      <c r="AF330" s="7">
        <f t="shared" ca="1" si="639"/>
        <v>0</v>
      </c>
      <c r="AG330" s="7">
        <f t="shared" ca="1" si="639"/>
        <v>0</v>
      </c>
      <c r="AH330" s="7">
        <f t="shared" ca="1" si="639"/>
        <v>0</v>
      </c>
      <c r="AI330" s="7">
        <f t="shared" ca="1" si="639"/>
        <v>0</v>
      </c>
      <c r="AJ330" s="7">
        <f t="shared" ca="1" si="639"/>
        <v>0</v>
      </c>
      <c r="AK330" s="7">
        <f t="shared" ca="1" si="639"/>
        <v>0</v>
      </c>
      <c r="AL330" s="7">
        <f t="shared" ca="1" si="639"/>
        <v>0</v>
      </c>
      <c r="AM330" s="7">
        <f t="shared" ca="1" si="639"/>
        <v>0</v>
      </c>
    </row>
    <row r="331" spans="1:39" x14ac:dyDescent="0.2">
      <c r="A331" s="16" t="str">
        <f t="shared" si="634"/>
        <v>Car</v>
      </c>
      <c r="C331" s="7">
        <f t="shared" ref="C331:AM331" ca="1" si="640">IFERROR(IF(VLOOKUP($A331,$312:$322,C$1+2,FALSE)=0,C92,0),C92)</f>
        <v>-5311.4222222593407</v>
      </c>
      <c r="D331" s="7">
        <f t="shared" ca="1" si="640"/>
        <v>-4377.1171044025405</v>
      </c>
      <c r="E331" s="7">
        <f t="shared" ca="1" si="640"/>
        <v>-3423.9536397318734</v>
      </c>
      <c r="F331" s="7">
        <f t="shared" ca="1" si="640"/>
        <v>-2451.5511846676886</v>
      </c>
      <c r="G331" s="7">
        <f t="shared" ca="1" si="640"/>
        <v>-1459.5214125849197</v>
      </c>
      <c r="H331" s="7">
        <f t="shared" ca="1" si="640"/>
        <v>-447.46815873579635</v>
      </c>
      <c r="I331" s="7">
        <f t="shared" ca="1" si="640"/>
        <v>0</v>
      </c>
      <c r="J331" s="7">
        <f t="shared" ca="1" si="640"/>
        <v>0</v>
      </c>
      <c r="K331" s="7">
        <f t="shared" ca="1" si="640"/>
        <v>0</v>
      </c>
      <c r="L331" s="7">
        <f t="shared" ca="1" si="640"/>
        <v>0</v>
      </c>
      <c r="M331" s="7">
        <f t="shared" ca="1" si="640"/>
        <v>0</v>
      </c>
      <c r="N331" s="7">
        <f t="shared" ca="1" si="640"/>
        <v>0</v>
      </c>
      <c r="O331" s="7">
        <f t="shared" ca="1" si="640"/>
        <v>0</v>
      </c>
      <c r="P331" s="7">
        <f t="shared" ca="1" si="640"/>
        <v>0</v>
      </c>
      <c r="Q331" s="7">
        <f t="shared" ca="1" si="640"/>
        <v>0</v>
      </c>
      <c r="R331" s="7">
        <f t="shared" ca="1" si="640"/>
        <v>0</v>
      </c>
      <c r="S331" s="7">
        <f t="shared" ca="1" si="640"/>
        <v>0</v>
      </c>
      <c r="T331" s="7">
        <f t="shared" ca="1" si="640"/>
        <v>0</v>
      </c>
      <c r="U331" s="7">
        <f t="shared" ca="1" si="640"/>
        <v>0</v>
      </c>
      <c r="V331" s="7">
        <f t="shared" ca="1" si="640"/>
        <v>0</v>
      </c>
      <c r="W331" s="7">
        <f t="shared" ca="1" si="640"/>
        <v>0</v>
      </c>
      <c r="X331" s="7">
        <f t="shared" ca="1" si="640"/>
        <v>0</v>
      </c>
      <c r="Y331" s="7">
        <f t="shared" ca="1" si="640"/>
        <v>0</v>
      </c>
      <c r="Z331" s="7">
        <f t="shared" ca="1" si="640"/>
        <v>0</v>
      </c>
      <c r="AA331" s="7">
        <f t="shared" ca="1" si="640"/>
        <v>0</v>
      </c>
      <c r="AB331" s="7">
        <f t="shared" ca="1" si="640"/>
        <v>0</v>
      </c>
      <c r="AC331" s="7">
        <f t="shared" ca="1" si="640"/>
        <v>0</v>
      </c>
      <c r="AD331" s="7">
        <f t="shared" ca="1" si="640"/>
        <v>0</v>
      </c>
      <c r="AE331" s="7">
        <f t="shared" ca="1" si="640"/>
        <v>0</v>
      </c>
      <c r="AF331" s="7">
        <f t="shared" ca="1" si="640"/>
        <v>0</v>
      </c>
      <c r="AG331" s="7">
        <f t="shared" ca="1" si="640"/>
        <v>0</v>
      </c>
      <c r="AH331" s="7">
        <f t="shared" ca="1" si="640"/>
        <v>0</v>
      </c>
      <c r="AI331" s="7">
        <f t="shared" ca="1" si="640"/>
        <v>0</v>
      </c>
      <c r="AJ331" s="7">
        <f t="shared" ca="1" si="640"/>
        <v>0</v>
      </c>
      <c r="AK331" s="7">
        <f t="shared" ca="1" si="640"/>
        <v>0</v>
      </c>
      <c r="AL331" s="7">
        <f t="shared" ca="1" si="640"/>
        <v>0</v>
      </c>
      <c r="AM331" s="7">
        <f t="shared" ca="1" si="640"/>
        <v>0</v>
      </c>
    </row>
    <row r="332" spans="1:39" x14ac:dyDescent="0.2">
      <c r="A332" s="16" t="str">
        <f t="shared" si="634"/>
        <v>Painting</v>
      </c>
      <c r="C332" s="7">
        <f t="shared" ref="C332:AM332" ca="1" si="641">IFERROR(IF(VLOOKUP($A332,$312:$322,C$1+2,FALSE)=0,C93,0),C93)</f>
        <v>-6642.0499231875183</v>
      </c>
      <c r="D332" s="7">
        <f t="shared" ca="1" si="641"/>
        <v>-5447.0128666310102</v>
      </c>
      <c r="E332" s="7">
        <f t="shared" ca="1" si="641"/>
        <v>-4190.8354462220714</v>
      </c>
      <c r="F332" s="7">
        <f t="shared" ca="1" si="641"/>
        <v>-2870.389604908838</v>
      </c>
      <c r="G332" s="7">
        <f t="shared" ca="1" si="641"/>
        <v>-1482.3872483039713</v>
      </c>
      <c r="H332" s="7">
        <f t="shared" ca="1" si="641"/>
        <v>-23.372056870879533</v>
      </c>
      <c r="I332" s="7">
        <f t="shared" ca="1" si="641"/>
        <v>0</v>
      </c>
      <c r="J332" s="7">
        <f t="shared" ca="1" si="641"/>
        <v>0</v>
      </c>
      <c r="K332" s="7">
        <f t="shared" ca="1" si="641"/>
        <v>0</v>
      </c>
      <c r="L332" s="7">
        <f t="shared" ca="1" si="641"/>
        <v>0</v>
      </c>
      <c r="M332" s="7">
        <f t="shared" ca="1" si="641"/>
        <v>0</v>
      </c>
      <c r="N332" s="7">
        <f t="shared" ca="1" si="641"/>
        <v>0</v>
      </c>
      <c r="O332" s="7">
        <f t="shared" ca="1" si="641"/>
        <v>0</v>
      </c>
      <c r="P332" s="7">
        <f t="shared" ca="1" si="641"/>
        <v>0</v>
      </c>
      <c r="Q332" s="7">
        <f t="shared" ca="1" si="641"/>
        <v>0</v>
      </c>
      <c r="R332" s="7">
        <f t="shared" ca="1" si="641"/>
        <v>0</v>
      </c>
      <c r="S332" s="7">
        <f t="shared" ca="1" si="641"/>
        <v>0</v>
      </c>
      <c r="T332" s="7">
        <f t="shared" ca="1" si="641"/>
        <v>0</v>
      </c>
      <c r="U332" s="7">
        <f t="shared" ca="1" si="641"/>
        <v>0</v>
      </c>
      <c r="V332" s="7">
        <f t="shared" ca="1" si="641"/>
        <v>0</v>
      </c>
      <c r="W332" s="7">
        <f t="shared" ca="1" si="641"/>
        <v>0</v>
      </c>
      <c r="X332" s="7">
        <f t="shared" ca="1" si="641"/>
        <v>0</v>
      </c>
      <c r="Y332" s="7">
        <f t="shared" ca="1" si="641"/>
        <v>0</v>
      </c>
      <c r="Z332" s="7">
        <f t="shared" ca="1" si="641"/>
        <v>0</v>
      </c>
      <c r="AA332" s="7">
        <f t="shared" ca="1" si="641"/>
        <v>0</v>
      </c>
      <c r="AB332" s="7">
        <f t="shared" ca="1" si="641"/>
        <v>0</v>
      </c>
      <c r="AC332" s="7">
        <f t="shared" ca="1" si="641"/>
        <v>0</v>
      </c>
      <c r="AD332" s="7">
        <f t="shared" ca="1" si="641"/>
        <v>0</v>
      </c>
      <c r="AE332" s="7">
        <f t="shared" ca="1" si="641"/>
        <v>0</v>
      </c>
      <c r="AF332" s="7">
        <f t="shared" ca="1" si="641"/>
        <v>0</v>
      </c>
      <c r="AG332" s="7">
        <f t="shared" ca="1" si="641"/>
        <v>0</v>
      </c>
      <c r="AH332" s="7">
        <f t="shared" ca="1" si="641"/>
        <v>0</v>
      </c>
      <c r="AI332" s="7">
        <f t="shared" ca="1" si="641"/>
        <v>0</v>
      </c>
      <c r="AJ332" s="7">
        <f t="shared" ca="1" si="641"/>
        <v>0</v>
      </c>
      <c r="AK332" s="7">
        <f t="shared" ca="1" si="641"/>
        <v>0</v>
      </c>
      <c r="AL332" s="7">
        <f t="shared" ca="1" si="641"/>
        <v>0</v>
      </c>
      <c r="AM332" s="7">
        <f t="shared" ca="1" si="641"/>
        <v>0</v>
      </c>
    </row>
    <row r="333" spans="1:39" x14ac:dyDescent="0.2">
      <c r="A333" s="16" t="str">
        <f t="shared" si="634"/>
        <v>Boat</v>
      </c>
      <c r="C333" s="7">
        <f t="shared" ref="C333:AM333" ca="1" si="642">IFERROR(IF(VLOOKUP($A333,$312:$322,C$1+2,FALSE)=0,C94,0),C94)</f>
        <v>-36106.782888498572</v>
      </c>
      <c r="D333" s="7">
        <f t="shared" ca="1" si="642"/>
        <v>-30636.379329838361</v>
      </c>
      <c r="E333" s="7">
        <f t="shared" ca="1" si="642"/>
        <v>-24828.573249664209</v>
      </c>
      <c r="F333" s="7">
        <f t="shared" ca="1" si="642"/>
        <v>-18662.55439873159</v>
      </c>
      <c r="G333" s="7">
        <f t="shared" ca="1" si="642"/>
        <v>-12116.228997158192</v>
      </c>
      <c r="H333" s="7">
        <f t="shared" ca="1" si="642"/>
        <v>-5166.1405690627944</v>
      </c>
      <c r="I333" s="7">
        <f t="shared" ca="1" si="642"/>
        <v>0</v>
      </c>
      <c r="J333" s="7">
        <f t="shared" ca="1" si="642"/>
        <v>0</v>
      </c>
      <c r="K333" s="7">
        <f t="shared" ca="1" si="642"/>
        <v>0</v>
      </c>
      <c r="L333" s="7">
        <f t="shared" ca="1" si="642"/>
        <v>0</v>
      </c>
      <c r="M333" s="7">
        <f t="shared" ca="1" si="642"/>
        <v>0</v>
      </c>
      <c r="N333" s="7">
        <f t="shared" ca="1" si="642"/>
        <v>0</v>
      </c>
      <c r="O333" s="7">
        <f t="shared" ca="1" si="642"/>
        <v>0</v>
      </c>
      <c r="P333" s="7">
        <f t="shared" ca="1" si="642"/>
        <v>0</v>
      </c>
      <c r="Q333" s="7">
        <f t="shared" ca="1" si="642"/>
        <v>0</v>
      </c>
      <c r="R333" s="7">
        <f t="shared" ca="1" si="642"/>
        <v>0</v>
      </c>
      <c r="S333" s="7">
        <f t="shared" ca="1" si="642"/>
        <v>0</v>
      </c>
      <c r="T333" s="7">
        <f t="shared" ca="1" si="642"/>
        <v>0</v>
      </c>
      <c r="U333" s="7">
        <f t="shared" ca="1" si="642"/>
        <v>0</v>
      </c>
      <c r="V333" s="7">
        <f t="shared" ca="1" si="642"/>
        <v>0</v>
      </c>
      <c r="W333" s="7">
        <f t="shared" ca="1" si="642"/>
        <v>0</v>
      </c>
      <c r="X333" s="7">
        <f t="shared" ca="1" si="642"/>
        <v>0</v>
      </c>
      <c r="Y333" s="7">
        <f t="shared" ca="1" si="642"/>
        <v>0</v>
      </c>
      <c r="Z333" s="7">
        <f t="shared" ca="1" si="642"/>
        <v>0</v>
      </c>
      <c r="AA333" s="7">
        <f t="shared" ca="1" si="642"/>
        <v>0</v>
      </c>
      <c r="AB333" s="7">
        <f t="shared" ca="1" si="642"/>
        <v>0</v>
      </c>
      <c r="AC333" s="7">
        <f t="shared" ca="1" si="642"/>
        <v>0</v>
      </c>
      <c r="AD333" s="7">
        <f t="shared" ca="1" si="642"/>
        <v>0</v>
      </c>
      <c r="AE333" s="7">
        <f t="shared" ca="1" si="642"/>
        <v>0</v>
      </c>
      <c r="AF333" s="7">
        <f t="shared" ca="1" si="642"/>
        <v>0</v>
      </c>
      <c r="AG333" s="7">
        <f t="shared" ca="1" si="642"/>
        <v>0</v>
      </c>
      <c r="AH333" s="7">
        <f t="shared" ca="1" si="642"/>
        <v>0</v>
      </c>
      <c r="AI333" s="7">
        <f t="shared" ca="1" si="642"/>
        <v>0</v>
      </c>
      <c r="AJ333" s="7">
        <f t="shared" ca="1" si="642"/>
        <v>0</v>
      </c>
      <c r="AK333" s="7">
        <f t="shared" ca="1" si="642"/>
        <v>0</v>
      </c>
      <c r="AL333" s="7">
        <f t="shared" ca="1" si="642"/>
        <v>0</v>
      </c>
      <c r="AM333" s="7">
        <f t="shared" ca="1" si="642"/>
        <v>0</v>
      </c>
    </row>
    <row r="334" spans="1:39" x14ac:dyDescent="0.2">
      <c r="A334" s="16" t="str">
        <f t="shared" si="634"/>
        <v>Antiques</v>
      </c>
      <c r="C334" s="7">
        <f t="shared" ref="C334:AM334" ca="1" si="643">IFERROR(IF(VLOOKUP($A334,$312:$322,C$1+2,FALSE)=0,C95,0),C95)</f>
        <v>-2886.4020391451668</v>
      </c>
      <c r="D334" s="7">
        <f t="shared" ca="1" si="643"/>
        <v>-1635.892615008569</v>
      </c>
      <c r="E334" s="7">
        <f t="shared" ca="1" si="643"/>
        <v>-347.34775010749127</v>
      </c>
      <c r="F334" s="7">
        <f t="shared" ca="1" si="643"/>
        <v>0</v>
      </c>
      <c r="G334" s="7">
        <f t="shared" ca="1" si="643"/>
        <v>0</v>
      </c>
      <c r="H334" s="7">
        <f t="shared" ca="1" si="643"/>
        <v>0</v>
      </c>
      <c r="I334" s="7">
        <f t="shared" ca="1" si="643"/>
        <v>0</v>
      </c>
      <c r="J334" s="7">
        <f t="shared" ca="1" si="643"/>
        <v>0</v>
      </c>
      <c r="K334" s="7">
        <f t="shared" ca="1" si="643"/>
        <v>0</v>
      </c>
      <c r="L334" s="7">
        <f t="shared" ca="1" si="643"/>
        <v>0</v>
      </c>
      <c r="M334" s="7">
        <f t="shared" ca="1" si="643"/>
        <v>0</v>
      </c>
      <c r="N334" s="7">
        <f t="shared" ca="1" si="643"/>
        <v>0</v>
      </c>
      <c r="O334" s="7">
        <f t="shared" ca="1" si="643"/>
        <v>0</v>
      </c>
      <c r="P334" s="7">
        <f t="shared" ca="1" si="643"/>
        <v>0</v>
      </c>
      <c r="Q334" s="7">
        <f t="shared" ca="1" si="643"/>
        <v>0</v>
      </c>
      <c r="R334" s="7">
        <f t="shared" ca="1" si="643"/>
        <v>0</v>
      </c>
      <c r="S334" s="7">
        <f t="shared" ca="1" si="643"/>
        <v>0</v>
      </c>
      <c r="T334" s="7">
        <f t="shared" ca="1" si="643"/>
        <v>0</v>
      </c>
      <c r="U334" s="7">
        <f t="shared" ca="1" si="643"/>
        <v>0</v>
      </c>
      <c r="V334" s="7">
        <f t="shared" ca="1" si="643"/>
        <v>0</v>
      </c>
      <c r="W334" s="7">
        <f t="shared" ca="1" si="643"/>
        <v>0</v>
      </c>
      <c r="X334" s="7">
        <f t="shared" ca="1" si="643"/>
        <v>0</v>
      </c>
      <c r="Y334" s="7">
        <f t="shared" ca="1" si="643"/>
        <v>0</v>
      </c>
      <c r="Z334" s="7">
        <f t="shared" ca="1" si="643"/>
        <v>0</v>
      </c>
      <c r="AA334" s="7">
        <f t="shared" ca="1" si="643"/>
        <v>0</v>
      </c>
      <c r="AB334" s="7">
        <f t="shared" ca="1" si="643"/>
        <v>0</v>
      </c>
      <c r="AC334" s="7">
        <f t="shared" ca="1" si="643"/>
        <v>0</v>
      </c>
      <c r="AD334" s="7">
        <f t="shared" ca="1" si="643"/>
        <v>0</v>
      </c>
      <c r="AE334" s="7">
        <f t="shared" ca="1" si="643"/>
        <v>0</v>
      </c>
      <c r="AF334" s="7">
        <f t="shared" ca="1" si="643"/>
        <v>0</v>
      </c>
      <c r="AG334" s="7">
        <f t="shared" ca="1" si="643"/>
        <v>0</v>
      </c>
      <c r="AH334" s="7">
        <f t="shared" ca="1" si="643"/>
        <v>0</v>
      </c>
      <c r="AI334" s="7">
        <f t="shared" ca="1" si="643"/>
        <v>0</v>
      </c>
      <c r="AJ334" s="7">
        <f t="shared" ca="1" si="643"/>
        <v>0</v>
      </c>
      <c r="AK334" s="7">
        <f t="shared" ca="1" si="643"/>
        <v>0</v>
      </c>
      <c r="AL334" s="7">
        <f t="shared" ca="1" si="643"/>
        <v>0</v>
      </c>
      <c r="AM334" s="7">
        <f t="shared" ca="1" si="643"/>
        <v>0</v>
      </c>
    </row>
    <row r="335" spans="1:39" x14ac:dyDescent="0.2"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  <c r="AE335" s="7"/>
      <c r="AF335" s="7"/>
      <c r="AG335" s="7"/>
      <c r="AH335" s="7"/>
      <c r="AI335" s="7"/>
      <c r="AJ335" s="7"/>
      <c r="AK335" s="7"/>
      <c r="AL335" s="7"/>
      <c r="AM335" s="7"/>
    </row>
    <row r="336" spans="1:39" x14ac:dyDescent="0.2">
      <c r="A336" s="3" t="s">
        <v>59</v>
      </c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  <c r="AE336" s="7"/>
      <c r="AF336" s="7"/>
      <c r="AG336" s="7"/>
      <c r="AH336" s="7"/>
      <c r="AI336" s="7"/>
      <c r="AJ336" s="7"/>
      <c r="AK336" s="7"/>
      <c r="AL336" s="7"/>
      <c r="AM336" s="7"/>
    </row>
    <row r="337" spans="1:39" x14ac:dyDescent="0.2">
      <c r="A337" s="16" t="str">
        <f t="shared" ref="A337:A344" si="644">A69</f>
        <v>Cash</v>
      </c>
      <c r="C337" s="7">
        <f ca="1">C284</f>
        <v>62919.0625</v>
      </c>
      <c r="D337" s="7">
        <f t="shared" ref="D337:AM337" ca="1" si="645">D284</f>
        <v>72490.535937499997</v>
      </c>
      <c r="E337" s="7">
        <f t="shared" ca="1" si="645"/>
        <v>88207.499804687497</v>
      </c>
      <c r="F337" s="7">
        <f t="shared" ca="1" si="645"/>
        <v>85714.080452231734</v>
      </c>
      <c r="G337" s="7">
        <f t="shared" ca="1" si="645"/>
        <v>279276.11396248138</v>
      </c>
      <c r="H337" s="7">
        <f t="shared" ca="1" si="645"/>
        <v>321025.81800930644</v>
      </c>
      <c r="I337" s="7">
        <f t="shared" ca="1" si="645"/>
        <v>382892.09672247234</v>
      </c>
      <c r="J337" s="7">
        <f t="shared" ca="1" si="645"/>
        <v>449181.31879998074</v>
      </c>
      <c r="K337" s="7">
        <f t="shared" ca="1" si="645"/>
        <v>502080.69175229734</v>
      </c>
      <c r="L337" s="7">
        <f t="shared" ca="1" si="645"/>
        <v>641897.59165074176</v>
      </c>
      <c r="M337" s="7">
        <f t="shared" ca="1" si="645"/>
        <v>693438.66125641076</v>
      </c>
      <c r="N337" s="7">
        <f t="shared" ca="1" si="645"/>
        <v>798500.49246398674</v>
      </c>
      <c r="O337" s="7">
        <f t="shared" ca="1" si="645"/>
        <v>909267.05744988273</v>
      </c>
      <c r="P337" s="7">
        <f t="shared" ca="1" si="645"/>
        <v>1025981.2911249469</v>
      </c>
      <c r="Q337" s="7">
        <f t="shared" ca="1" si="645"/>
        <v>1148895.4105429514</v>
      </c>
      <c r="R337" s="7">
        <f t="shared" ca="1" si="645"/>
        <v>1278271.248199099</v>
      </c>
      <c r="S337" s="7">
        <f t="shared" ca="1" si="645"/>
        <v>1414380.5968228865</v>
      </c>
      <c r="T337" s="7">
        <f t="shared" ca="1" si="645"/>
        <v>1452527.6236677105</v>
      </c>
      <c r="U337" s="7">
        <f t="shared" ca="1" si="645"/>
        <v>1499854.2259580824</v>
      </c>
      <c r="V337" s="7">
        <f t="shared" ca="1" si="645"/>
        <v>1548907.5815076504</v>
      </c>
      <c r="W337" s="7">
        <f t="shared" ca="1" si="645"/>
        <v>1599752.4964402271</v>
      </c>
      <c r="X337" s="7">
        <f t="shared" ca="1" si="645"/>
        <v>1652456.179392647</v>
      </c>
      <c r="Y337" s="7">
        <f t="shared" ca="1" si="645"/>
        <v>1686171.2358988209</v>
      </c>
      <c r="Z337" s="7">
        <f t="shared" ca="1" si="645"/>
        <v>1720841.1811310996</v>
      </c>
      <c r="AA337" s="7">
        <f t="shared" ca="1" si="645"/>
        <v>1756501.7452458595</v>
      </c>
      <c r="AB337" s="7">
        <f t="shared" ca="1" si="645"/>
        <v>1793190.1198307537</v>
      </c>
      <c r="AC337" s="7">
        <f t="shared" ca="1" si="645"/>
        <v>1830945.016796795</v>
      </c>
      <c r="AD337" s="7">
        <f t="shared" ca="1" si="645"/>
        <v>1869806.7295462058</v>
      </c>
      <c r="AE337" s="7">
        <f t="shared" ca="1" si="645"/>
        <v>1919924.4525328081</v>
      </c>
      <c r="AF337" s="7">
        <f t="shared" ca="1" si="645"/>
        <v>1971739.9419416173</v>
      </c>
      <c r="AG337" s="7">
        <f t="shared" ca="1" si="645"/>
        <v>2025317.5778012427</v>
      </c>
      <c r="AH337" s="7">
        <f t="shared" ca="1" si="645"/>
        <v>2080724.2224962406</v>
      </c>
      <c r="AI337" s="7">
        <f t="shared" ca="1" si="645"/>
        <v>2138029.314381151</v>
      </c>
      <c r="AJ337" s="7">
        <f t="shared" ca="1" si="645"/>
        <v>2197304.9648157731</v>
      </c>
      <c r="AK337" s="7">
        <f t="shared" ca="1" si="645"/>
        <v>2258626.0587430005</v>
      </c>
      <c r="AL337" s="7">
        <f t="shared" ca="1" si="645"/>
        <v>2322070.3589347131</v>
      </c>
      <c r="AM337" s="7">
        <f t="shared" ca="1" si="645"/>
        <v>2387718.614035564</v>
      </c>
    </row>
    <row r="338" spans="1:39" x14ac:dyDescent="0.2">
      <c r="A338" s="16" t="str">
        <f t="shared" si="644"/>
        <v>Home</v>
      </c>
      <c r="C338" s="7">
        <f t="shared" ref="C338:AM338" ca="1" si="646">C70</f>
        <v>511208.33111474686</v>
      </c>
      <c r="D338" s="7">
        <f t="shared" ca="1" si="646"/>
        <v>526544.58104818931</v>
      </c>
      <c r="E338" s="7">
        <f t="shared" ca="1" si="646"/>
        <v>542340.91847963503</v>
      </c>
      <c r="F338" s="7">
        <f t="shared" ca="1" si="646"/>
        <v>558611.14603402407</v>
      </c>
      <c r="G338" s="7">
        <f t="shared" ca="1" si="646"/>
        <v>287684.74020752241</v>
      </c>
      <c r="H338" s="7">
        <f t="shared" ca="1" si="646"/>
        <v>296315.28241374809</v>
      </c>
      <c r="I338" s="7">
        <f t="shared" ca="1" si="646"/>
        <v>305204.74088616052</v>
      </c>
      <c r="J338" s="7">
        <f t="shared" ca="1" si="646"/>
        <v>314360.88311274536</v>
      </c>
      <c r="K338" s="7">
        <f t="shared" ca="1" si="646"/>
        <v>323791.70960612776</v>
      </c>
      <c r="L338" s="7">
        <f t="shared" ca="1" si="646"/>
        <v>333505.4608943116</v>
      </c>
      <c r="M338" s="7">
        <f t="shared" ca="1" si="646"/>
        <v>343510.62472114095</v>
      </c>
      <c r="N338" s="7">
        <f t="shared" ca="1" si="646"/>
        <v>353815.94346277521</v>
      </c>
      <c r="O338" s="7">
        <f t="shared" ca="1" si="646"/>
        <v>364430.42176665849</v>
      </c>
      <c r="P338" s="7">
        <f t="shared" ca="1" si="646"/>
        <v>375363.33441965823</v>
      </c>
      <c r="Q338" s="7">
        <f t="shared" ca="1" si="646"/>
        <v>386624.23445224797</v>
      </c>
      <c r="R338" s="7">
        <f t="shared" ca="1" si="646"/>
        <v>398222.96148581541</v>
      </c>
      <c r="S338" s="7">
        <f t="shared" ca="1" si="646"/>
        <v>410169.65033038991</v>
      </c>
      <c r="T338" s="7">
        <f t="shared" ca="1" si="646"/>
        <v>422474.73984030163</v>
      </c>
      <c r="U338" s="7">
        <f t="shared" ca="1" si="646"/>
        <v>435148.98203551071</v>
      </c>
      <c r="V338" s="7">
        <f t="shared" ca="1" si="646"/>
        <v>448203.45149657602</v>
      </c>
      <c r="W338" s="7">
        <f t="shared" ca="1" si="646"/>
        <v>461649.5550414733</v>
      </c>
      <c r="X338" s="7">
        <f t="shared" ca="1" si="646"/>
        <v>475499.04169271752</v>
      </c>
      <c r="Y338" s="7">
        <f t="shared" ca="1" si="646"/>
        <v>489764.01294349908</v>
      </c>
      <c r="Z338" s="7">
        <f t="shared" ca="1" si="646"/>
        <v>504456.93333180406</v>
      </c>
      <c r="AA338" s="7">
        <f t="shared" ca="1" si="646"/>
        <v>519590.64133175818</v>
      </c>
      <c r="AB338" s="7">
        <f t="shared" ca="1" si="646"/>
        <v>535178.36057171097</v>
      </c>
      <c r="AC338" s="7">
        <f t="shared" ca="1" si="646"/>
        <v>551233.71138886234</v>
      </c>
      <c r="AD338" s="7">
        <f t="shared" ca="1" si="646"/>
        <v>567770.72273052821</v>
      </c>
      <c r="AE338" s="7">
        <f t="shared" ca="1" si="646"/>
        <v>584803.84441244404</v>
      </c>
      <c r="AF338" s="7">
        <f t="shared" ca="1" si="646"/>
        <v>602347.95974481734</v>
      </c>
      <c r="AG338" s="7">
        <f t="shared" ca="1" si="646"/>
        <v>620418.39853716188</v>
      </c>
      <c r="AH338" s="7">
        <f t="shared" ca="1" si="646"/>
        <v>639030.9504932767</v>
      </c>
      <c r="AI338" s="7">
        <f t="shared" ca="1" si="646"/>
        <v>658201.87900807499</v>
      </c>
      <c r="AJ338" s="7">
        <f t="shared" ca="1" si="646"/>
        <v>677947.93537831726</v>
      </c>
      <c r="AK338" s="7">
        <f t="shared" ca="1" si="646"/>
        <v>698286.37343966682</v>
      </c>
      <c r="AL338" s="7">
        <f t="shared" ca="1" si="646"/>
        <v>719234.96464285685</v>
      </c>
      <c r="AM338" s="7">
        <f t="shared" ca="1" si="646"/>
        <v>740812.01358214254</v>
      </c>
    </row>
    <row r="339" spans="1:39" x14ac:dyDescent="0.2">
      <c r="A339" s="16" t="s">
        <v>50</v>
      </c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  <c r="AE339" s="7"/>
      <c r="AF339" s="7"/>
      <c r="AG339" s="7"/>
      <c r="AH339" s="7"/>
      <c r="AI339" s="7"/>
      <c r="AJ339" s="7"/>
      <c r="AK339" s="7"/>
      <c r="AL339" s="7"/>
      <c r="AM339" s="7"/>
    </row>
    <row r="340" spans="1:39" x14ac:dyDescent="0.2">
      <c r="A340" s="17" t="str">
        <f t="shared" si="644"/>
        <v>Sliema</v>
      </c>
      <c r="C340" s="7">
        <f t="shared" ref="C340:AM340" ca="1" si="647">C301</f>
        <v>306724.99866884813</v>
      </c>
      <c r="D340" s="7">
        <f t="shared" ca="1" si="647"/>
        <v>315926.7486289136</v>
      </c>
      <c r="E340" s="7">
        <f t="shared" ca="1" si="647"/>
        <v>325404.55108778103</v>
      </c>
      <c r="F340" s="7">
        <f t="shared" ca="1" si="647"/>
        <v>335166.68762041448</v>
      </c>
      <c r="G340" s="7">
        <f t="shared" ca="1" si="647"/>
        <v>345221.68824902695</v>
      </c>
      <c r="H340" s="7">
        <f t="shared" ca="1" si="647"/>
        <v>355578.33889649779</v>
      </c>
      <c r="I340" s="7">
        <f t="shared" ca="1" si="647"/>
        <v>366245.68906339275</v>
      </c>
      <c r="J340" s="7">
        <f t="shared" ca="1" si="647"/>
        <v>377233.05973529455</v>
      </c>
      <c r="K340" s="7">
        <f t="shared" ca="1" si="647"/>
        <v>388550.05152735341</v>
      </c>
      <c r="L340" s="7">
        <f t="shared" ca="1" si="647"/>
        <v>400206.55307317403</v>
      </c>
      <c r="M340" s="7">
        <f t="shared" ca="1" si="647"/>
        <v>412212.74966536928</v>
      </c>
      <c r="N340" s="7">
        <f t="shared" ca="1" si="647"/>
        <v>424579.13215533039</v>
      </c>
      <c r="O340" s="7">
        <f t="shared" ca="1" si="647"/>
        <v>437316.50611999031</v>
      </c>
      <c r="P340" s="7">
        <f t="shared" ca="1" si="647"/>
        <v>450436.00130359002</v>
      </c>
      <c r="Q340" s="7">
        <f t="shared" ca="1" si="647"/>
        <v>463949.08134269773</v>
      </c>
      <c r="R340" s="7">
        <f t="shared" ca="1" si="647"/>
        <v>477867.55378297868</v>
      </c>
      <c r="S340" s="7">
        <f t="shared" ca="1" si="647"/>
        <v>492203.58039646805</v>
      </c>
      <c r="T340" s="7">
        <f t="shared" ca="1" si="647"/>
        <v>506969.68780836213</v>
      </c>
      <c r="U340" s="7">
        <f t="shared" ca="1" si="647"/>
        <v>522178.77844261302</v>
      </c>
      <c r="V340" s="7">
        <f t="shared" ca="1" si="647"/>
        <v>537844.14179589145</v>
      </c>
      <c r="W340" s="7">
        <f t="shared" ca="1" si="647"/>
        <v>553979.46604976826</v>
      </c>
      <c r="X340" s="7">
        <f t="shared" ca="1" si="647"/>
        <v>570598.85003126133</v>
      </c>
      <c r="Y340" s="7">
        <f t="shared" ca="1" si="647"/>
        <v>587716.81553219922</v>
      </c>
      <c r="Z340" s="7">
        <f t="shared" ca="1" si="647"/>
        <v>605348.31999816524</v>
      </c>
      <c r="AA340" s="7">
        <f t="shared" ca="1" si="647"/>
        <v>623508.76959811023</v>
      </c>
      <c r="AB340" s="7">
        <f t="shared" ca="1" si="647"/>
        <v>642214.03268605354</v>
      </c>
      <c r="AC340" s="7">
        <f t="shared" ca="1" si="647"/>
        <v>661480.45366663521</v>
      </c>
      <c r="AD340" s="7">
        <f t="shared" ca="1" si="647"/>
        <v>681324.86727663432</v>
      </c>
      <c r="AE340" s="7">
        <f t="shared" ca="1" si="647"/>
        <v>701764.61329493334</v>
      </c>
      <c r="AF340" s="7">
        <f t="shared" ca="1" si="647"/>
        <v>722817.5516937814</v>
      </c>
      <c r="AG340" s="7">
        <f t="shared" ca="1" si="647"/>
        <v>744502.07824459486</v>
      </c>
      <c r="AH340" s="7">
        <f t="shared" ca="1" si="647"/>
        <v>766837.14059193269</v>
      </c>
      <c r="AI340" s="7">
        <f t="shared" ca="1" si="647"/>
        <v>789842.25480969064</v>
      </c>
      <c r="AJ340" s="7">
        <f t="shared" ca="1" si="647"/>
        <v>813537.52245398134</v>
      </c>
      <c r="AK340" s="7">
        <f t="shared" ca="1" si="647"/>
        <v>837943.64812760078</v>
      </c>
      <c r="AL340" s="7">
        <f t="shared" ca="1" si="647"/>
        <v>863081.95757142885</v>
      </c>
      <c r="AM340" s="7">
        <f t="shared" ca="1" si="647"/>
        <v>888974.41629857174</v>
      </c>
    </row>
    <row r="341" spans="1:39" x14ac:dyDescent="0.2">
      <c r="A341" s="17" t="str">
        <f t="shared" si="644"/>
        <v>Gzira</v>
      </c>
      <c r="C341" s="7">
        <f t="shared" ref="C341:AM341" ca="1" si="648">C302</f>
        <v>153362.49933442406</v>
      </c>
      <c r="D341" s="7">
        <f t="shared" ca="1" si="648"/>
        <v>157963.3743144568</v>
      </c>
      <c r="E341" s="7">
        <f t="shared" ca="1" si="648"/>
        <v>162702.27554389052</v>
      </c>
      <c r="F341" s="7">
        <f t="shared" ca="1" si="648"/>
        <v>167583.34381020724</v>
      </c>
      <c r="G341" s="7">
        <f t="shared" ca="1" si="648"/>
        <v>172610.84412451347</v>
      </c>
      <c r="H341" s="7">
        <f t="shared" ca="1" si="648"/>
        <v>177789.1694482489</v>
      </c>
      <c r="I341" s="7">
        <f t="shared" ca="1" si="648"/>
        <v>183122.84453169638</v>
      </c>
      <c r="J341" s="7">
        <f t="shared" ca="1" si="648"/>
        <v>188616.52986764727</v>
      </c>
      <c r="K341" s="7">
        <f t="shared" ca="1" si="648"/>
        <v>194275.02576367671</v>
      </c>
      <c r="L341" s="7">
        <f t="shared" ca="1" si="648"/>
        <v>200103.27653658701</v>
      </c>
      <c r="M341" s="7">
        <f t="shared" ca="1" si="648"/>
        <v>206106.37483268464</v>
      </c>
      <c r="N341" s="7">
        <f t="shared" ca="1" si="648"/>
        <v>212289.56607766519</v>
      </c>
      <c r="O341" s="7">
        <f t="shared" ca="1" si="648"/>
        <v>218658.25305999516</v>
      </c>
      <c r="P341" s="7">
        <f t="shared" ca="1" si="648"/>
        <v>225218.00065179501</v>
      </c>
      <c r="Q341" s="7">
        <f t="shared" ca="1" si="648"/>
        <v>231974.54067134886</v>
      </c>
      <c r="R341" s="7">
        <f t="shared" ca="1" si="648"/>
        <v>238933.77689148934</v>
      </c>
      <c r="S341" s="7">
        <f t="shared" ca="1" si="648"/>
        <v>246101.79019823403</v>
      </c>
      <c r="T341" s="7">
        <f t="shared" ca="1" si="648"/>
        <v>253484.84390418106</v>
      </c>
      <c r="U341" s="7">
        <f t="shared" ca="1" si="648"/>
        <v>261089.38922130651</v>
      </c>
      <c r="V341" s="7">
        <f t="shared" ca="1" si="648"/>
        <v>268922.07089794573</v>
      </c>
      <c r="W341" s="7">
        <f t="shared" ca="1" si="648"/>
        <v>276989.73302488413</v>
      </c>
      <c r="X341" s="7">
        <f t="shared" ca="1" si="648"/>
        <v>285299.42501563067</v>
      </c>
      <c r="Y341" s="7">
        <f t="shared" ca="1" si="648"/>
        <v>293858.40776609961</v>
      </c>
      <c r="Z341" s="7">
        <f t="shared" ca="1" si="648"/>
        <v>302674.15999908262</v>
      </c>
      <c r="AA341" s="7">
        <f t="shared" ca="1" si="648"/>
        <v>311754.38479905511</v>
      </c>
      <c r="AB341" s="7">
        <f t="shared" ca="1" si="648"/>
        <v>321107.01634302677</v>
      </c>
      <c r="AC341" s="7">
        <f t="shared" ca="1" si="648"/>
        <v>330740.2268333176</v>
      </c>
      <c r="AD341" s="7">
        <f t="shared" ca="1" si="648"/>
        <v>340662.43363831716</v>
      </c>
      <c r="AE341" s="7">
        <f t="shared" ca="1" si="648"/>
        <v>350882.30664746667</v>
      </c>
      <c r="AF341" s="7">
        <f t="shared" ca="1" si="648"/>
        <v>361408.7758468907</v>
      </c>
      <c r="AG341" s="7">
        <f t="shared" ca="1" si="648"/>
        <v>372251.03912229743</v>
      </c>
      <c r="AH341" s="7">
        <f t="shared" ca="1" si="648"/>
        <v>383418.57029596635</v>
      </c>
      <c r="AI341" s="7">
        <f t="shared" ca="1" si="648"/>
        <v>394921.12740484532</v>
      </c>
      <c r="AJ341" s="7">
        <f t="shared" ca="1" si="648"/>
        <v>406768.76122699067</v>
      </c>
      <c r="AK341" s="7">
        <f t="shared" ca="1" si="648"/>
        <v>418971.82406380039</v>
      </c>
      <c r="AL341" s="7">
        <f t="shared" ca="1" si="648"/>
        <v>431540.97878571443</v>
      </c>
      <c r="AM341" s="7">
        <f t="shared" ca="1" si="648"/>
        <v>444487.20814928587</v>
      </c>
    </row>
    <row r="342" spans="1:39" x14ac:dyDescent="0.2">
      <c r="A342" s="17" t="str">
        <f t="shared" si="644"/>
        <v>Qormi</v>
      </c>
      <c r="C342" s="7">
        <f t="shared" ref="C342:AM342" ca="1" si="649">C303</f>
        <v>224931.66569048862</v>
      </c>
      <c r="D342" s="7">
        <f t="shared" ca="1" si="649"/>
        <v>231679.61566120328</v>
      </c>
      <c r="E342" s="7">
        <f t="shared" ca="1" si="649"/>
        <v>238630.00413103937</v>
      </c>
      <c r="F342" s="7">
        <f t="shared" ca="1" si="649"/>
        <v>245788.90425497055</v>
      </c>
      <c r="G342" s="7">
        <f t="shared" ca="1" si="649"/>
        <v>253162.57138261967</v>
      </c>
      <c r="H342" s="7">
        <f t="shared" ca="1" si="649"/>
        <v>260757.44852409826</v>
      </c>
      <c r="I342" s="7">
        <f t="shared" ca="1" si="649"/>
        <v>268580.17197982123</v>
      </c>
      <c r="J342" s="7">
        <f t="shared" ca="1" si="649"/>
        <v>276637.57713921589</v>
      </c>
      <c r="K342" s="7">
        <f t="shared" ca="1" si="649"/>
        <v>284936.70445339236</v>
      </c>
      <c r="L342" s="7">
        <f t="shared" ca="1" si="649"/>
        <v>293484.80558699416</v>
      </c>
      <c r="M342" s="7">
        <f t="shared" ca="1" si="649"/>
        <v>302289.34975460399</v>
      </c>
      <c r="N342" s="7">
        <f t="shared" ca="1" si="649"/>
        <v>311358.03024724213</v>
      </c>
      <c r="O342" s="7">
        <f t="shared" ca="1" si="649"/>
        <v>320698.77115465939</v>
      </c>
      <c r="P342" s="7">
        <f t="shared" ca="1" si="649"/>
        <v>330319.73428929917</v>
      </c>
      <c r="Q342" s="7">
        <f t="shared" ca="1" si="649"/>
        <v>340229.32631797815</v>
      </c>
      <c r="R342" s="7">
        <f t="shared" ca="1" si="649"/>
        <v>350436.20610751753</v>
      </c>
      <c r="S342" s="7">
        <f t="shared" ca="1" si="649"/>
        <v>360949.29229074309</v>
      </c>
      <c r="T342" s="7">
        <f t="shared" ca="1" si="649"/>
        <v>371777.77105946542</v>
      </c>
      <c r="U342" s="7">
        <f t="shared" ca="1" si="649"/>
        <v>382931.10419124941</v>
      </c>
      <c r="V342" s="7">
        <f t="shared" ca="1" si="649"/>
        <v>394419.03731698688</v>
      </c>
      <c r="W342" s="7">
        <f t="shared" ca="1" si="649"/>
        <v>406251.60843649652</v>
      </c>
      <c r="X342" s="7">
        <f t="shared" ca="1" si="649"/>
        <v>418439.15668959141</v>
      </c>
      <c r="Y342" s="7">
        <f t="shared" ca="1" si="649"/>
        <v>430992.33139027917</v>
      </c>
      <c r="Z342" s="7">
        <f t="shared" ca="1" si="649"/>
        <v>443922.10133198753</v>
      </c>
      <c r="AA342" s="7">
        <f t="shared" ca="1" si="649"/>
        <v>457239.76437194715</v>
      </c>
      <c r="AB342" s="7">
        <f t="shared" ca="1" si="649"/>
        <v>470956.95730310556</v>
      </c>
      <c r="AC342" s="7">
        <f t="shared" ca="1" si="649"/>
        <v>485085.66602219874</v>
      </c>
      <c r="AD342" s="7">
        <f t="shared" ca="1" si="649"/>
        <v>499638.23600286472</v>
      </c>
      <c r="AE342" s="7">
        <f t="shared" ca="1" si="649"/>
        <v>514627.38308295066</v>
      </c>
      <c r="AF342" s="7">
        <f t="shared" ca="1" si="649"/>
        <v>530066.20457543922</v>
      </c>
      <c r="AG342" s="7">
        <f t="shared" ca="1" si="649"/>
        <v>545968.19071270246</v>
      </c>
      <c r="AH342" s="7">
        <f t="shared" ca="1" si="649"/>
        <v>562347.23643408355</v>
      </c>
      <c r="AI342" s="7">
        <f t="shared" ca="1" si="649"/>
        <v>579217.65352710604</v>
      </c>
      <c r="AJ342" s="7">
        <f t="shared" ca="1" si="649"/>
        <v>596594.18313291925</v>
      </c>
      <c r="AK342" s="7">
        <f t="shared" ca="1" si="649"/>
        <v>614492.0086269069</v>
      </c>
      <c r="AL342" s="7">
        <f t="shared" ca="1" si="649"/>
        <v>632926.76888571412</v>
      </c>
      <c r="AM342" s="7">
        <f t="shared" ca="1" si="649"/>
        <v>651914.57195228559</v>
      </c>
    </row>
    <row r="343" spans="1:39" x14ac:dyDescent="0.2">
      <c r="A343" s="17" t="str">
        <f t="shared" si="644"/>
        <v>Gudja</v>
      </c>
      <c r="C343" s="7">
        <f t="shared" ref="C343:AM343" ca="1" si="650">C304</f>
        <v>81793.332978359496</v>
      </c>
      <c r="D343" s="7">
        <f t="shared" ca="1" si="650"/>
        <v>84247.132967710277</v>
      </c>
      <c r="E343" s="7">
        <f t="shared" ca="1" si="650"/>
        <v>86774.546956741586</v>
      </c>
      <c r="F343" s="7">
        <f t="shared" ca="1" si="650"/>
        <v>89377.783365443829</v>
      </c>
      <c r="G343" s="7">
        <f t="shared" ca="1" si="650"/>
        <v>92059.116866407145</v>
      </c>
      <c r="H343" s="7">
        <f t="shared" ca="1" si="650"/>
        <v>94820.890372399357</v>
      </c>
      <c r="I343" s="7">
        <f t="shared" ca="1" si="650"/>
        <v>97665.517083571336</v>
      </c>
      <c r="J343" s="7">
        <f t="shared" ca="1" si="650"/>
        <v>100595.48259607848</v>
      </c>
      <c r="K343" s="7">
        <f t="shared" ca="1" si="650"/>
        <v>103613.34707396083</v>
      </c>
      <c r="L343" s="7">
        <f t="shared" ca="1" si="650"/>
        <v>106721.74748617967</v>
      </c>
      <c r="M343" s="7">
        <f t="shared" ca="1" si="650"/>
        <v>109923.39991076506</v>
      </c>
      <c r="N343" s="7">
        <f t="shared" ca="1" si="650"/>
        <v>113221.10190808802</v>
      </c>
      <c r="O343" s="7">
        <f t="shared" ca="1" si="650"/>
        <v>116617.73496533066</v>
      </c>
      <c r="P343" s="7">
        <f t="shared" ca="1" si="650"/>
        <v>120116.26701429058</v>
      </c>
      <c r="Q343" s="7">
        <f t="shared" ca="1" si="650"/>
        <v>123719.7550247193</v>
      </c>
      <c r="R343" s="7">
        <f t="shared" ca="1" si="650"/>
        <v>127431.34767546089</v>
      </c>
      <c r="S343" s="7">
        <f t="shared" ca="1" si="650"/>
        <v>131254.28810572473</v>
      </c>
      <c r="T343" s="7">
        <f t="shared" ca="1" si="650"/>
        <v>135191.91674889647</v>
      </c>
      <c r="U343" s="7">
        <f t="shared" ca="1" si="650"/>
        <v>139247.67425136338</v>
      </c>
      <c r="V343" s="7">
        <f t="shared" ca="1" si="650"/>
        <v>143425.10447890428</v>
      </c>
      <c r="W343" s="7">
        <f t="shared" ca="1" si="650"/>
        <v>147727.85761327142</v>
      </c>
      <c r="X343" s="7">
        <f t="shared" ca="1" si="650"/>
        <v>152159.69334166957</v>
      </c>
      <c r="Y343" s="7">
        <f t="shared" ca="1" si="650"/>
        <v>156724.48414191965</v>
      </c>
      <c r="Z343" s="7">
        <f t="shared" ca="1" si="650"/>
        <v>161426.21866617724</v>
      </c>
      <c r="AA343" s="7">
        <f t="shared" ca="1" si="650"/>
        <v>166269.00522616255</v>
      </c>
      <c r="AB343" s="7">
        <f t="shared" ca="1" si="650"/>
        <v>171257.07538294743</v>
      </c>
      <c r="AC343" s="7">
        <f t="shared" ca="1" si="650"/>
        <v>176394.78764443586</v>
      </c>
      <c r="AD343" s="7">
        <f t="shared" ca="1" si="650"/>
        <v>181686.63127376893</v>
      </c>
      <c r="AE343" s="7">
        <f t="shared" ca="1" si="650"/>
        <v>187137.23021198201</v>
      </c>
      <c r="AF343" s="7">
        <f t="shared" ca="1" si="650"/>
        <v>192751.34711834148</v>
      </c>
      <c r="AG343" s="7">
        <f t="shared" ca="1" si="650"/>
        <v>198533.88753189173</v>
      </c>
      <c r="AH343" s="7">
        <f t="shared" ca="1" si="650"/>
        <v>204489.90415784848</v>
      </c>
      <c r="AI343" s="7">
        <f t="shared" ca="1" si="650"/>
        <v>210624.60128258393</v>
      </c>
      <c r="AJ343" s="7">
        <f t="shared" ca="1" si="650"/>
        <v>216943.33932106144</v>
      </c>
      <c r="AK343" s="7">
        <f t="shared" ca="1" si="650"/>
        <v>223451.6395006933</v>
      </c>
      <c r="AL343" s="7">
        <f t="shared" ca="1" si="650"/>
        <v>230155.18868571409</v>
      </c>
      <c r="AM343" s="7">
        <f t="shared" ca="1" si="650"/>
        <v>237059.84434628554</v>
      </c>
    </row>
    <row r="344" spans="1:39" x14ac:dyDescent="0.2">
      <c r="A344" s="17" t="str">
        <f t="shared" si="644"/>
        <v>Marsa</v>
      </c>
      <c r="C344" s="7">
        <f t="shared" ref="C344:AM344" ca="1" si="651">C305</f>
        <v>122689.99946753924</v>
      </c>
      <c r="D344" s="7">
        <f t="shared" ca="1" si="651"/>
        <v>126370.69945156542</v>
      </c>
      <c r="E344" s="7">
        <f t="shared" ca="1" si="651"/>
        <v>130161.82043511239</v>
      </c>
      <c r="F344" s="7">
        <f t="shared" ca="1" si="651"/>
        <v>134066.67504816575</v>
      </c>
      <c r="G344" s="7">
        <f t="shared" ca="1" si="651"/>
        <v>138088.67529961074</v>
      </c>
      <c r="H344" s="7">
        <f t="shared" ca="1" si="651"/>
        <v>142231.33555859906</v>
      </c>
      <c r="I344" s="7">
        <f t="shared" ca="1" si="651"/>
        <v>146498.27562535706</v>
      </c>
      <c r="J344" s="7">
        <f t="shared" ca="1" si="651"/>
        <v>150893.22389411778</v>
      </c>
      <c r="K344" s="7">
        <f t="shared" ca="1" si="651"/>
        <v>155420.02061094131</v>
      </c>
      <c r="L344" s="7">
        <f t="shared" ca="1" si="651"/>
        <v>160082.62122926954</v>
      </c>
      <c r="M344" s="7">
        <f t="shared" ca="1" si="651"/>
        <v>164885.09986614762</v>
      </c>
      <c r="N344" s="7">
        <f t="shared" ca="1" si="651"/>
        <v>169831.65286213206</v>
      </c>
      <c r="O344" s="7">
        <f t="shared" ca="1" si="651"/>
        <v>174926.60244799603</v>
      </c>
      <c r="P344" s="7">
        <f t="shared" ca="1" si="651"/>
        <v>180174.40052143592</v>
      </c>
      <c r="Q344" s="7">
        <f t="shared" ca="1" si="651"/>
        <v>185579.63253707901</v>
      </c>
      <c r="R344" s="7">
        <f t="shared" ca="1" si="651"/>
        <v>191147.0215131914</v>
      </c>
      <c r="S344" s="7">
        <f t="shared" ca="1" si="651"/>
        <v>196881.43215858715</v>
      </c>
      <c r="T344" s="7">
        <f t="shared" ca="1" si="651"/>
        <v>202787.87512334477</v>
      </c>
      <c r="U344" s="7">
        <f t="shared" ca="1" si="651"/>
        <v>208871.51137704513</v>
      </c>
      <c r="V344" s="7">
        <f t="shared" ca="1" si="651"/>
        <v>215137.65671835648</v>
      </c>
      <c r="W344" s="7">
        <f t="shared" ca="1" si="651"/>
        <v>221591.78641990718</v>
      </c>
      <c r="X344" s="7">
        <f t="shared" ca="1" si="651"/>
        <v>228239.54001250441</v>
      </c>
      <c r="Y344" s="7">
        <f t="shared" ca="1" si="651"/>
        <v>235086.72621287956</v>
      </c>
      <c r="Z344" s="7">
        <f t="shared" ca="1" si="651"/>
        <v>242139.32799926595</v>
      </c>
      <c r="AA344" s="7">
        <f t="shared" ca="1" si="651"/>
        <v>249403.50783924395</v>
      </c>
      <c r="AB344" s="7">
        <f t="shared" ca="1" si="651"/>
        <v>256885.61307442127</v>
      </c>
      <c r="AC344" s="7">
        <f t="shared" ca="1" si="651"/>
        <v>264592.18146665394</v>
      </c>
      <c r="AD344" s="7">
        <f t="shared" ca="1" si="651"/>
        <v>272529.94691065355</v>
      </c>
      <c r="AE344" s="7">
        <f t="shared" ca="1" si="651"/>
        <v>280705.84531797317</v>
      </c>
      <c r="AF344" s="7">
        <f t="shared" ca="1" si="651"/>
        <v>289127.0206775124</v>
      </c>
      <c r="AG344" s="7">
        <f t="shared" ca="1" si="651"/>
        <v>297800.83129783778</v>
      </c>
      <c r="AH344" s="7">
        <f t="shared" ca="1" si="651"/>
        <v>306734.8562367729</v>
      </c>
      <c r="AI344" s="7">
        <f t="shared" ca="1" si="651"/>
        <v>315936.90192387608</v>
      </c>
      <c r="AJ344" s="7">
        <f t="shared" ca="1" si="651"/>
        <v>325415.00898159237</v>
      </c>
      <c r="AK344" s="7">
        <f t="shared" ca="1" si="651"/>
        <v>335177.45925104013</v>
      </c>
      <c r="AL344" s="7">
        <f t="shared" ca="1" si="651"/>
        <v>345232.78302857134</v>
      </c>
      <c r="AM344" s="7">
        <f t="shared" ca="1" si="651"/>
        <v>355589.76651942846</v>
      </c>
    </row>
    <row r="345" spans="1:39" x14ac:dyDescent="0.2">
      <c r="A345" s="16" t="s">
        <v>193</v>
      </c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  <c r="AE345" s="7"/>
      <c r="AF345" s="7"/>
      <c r="AG345" s="7"/>
      <c r="AH345" s="7"/>
      <c r="AI345" s="7"/>
      <c r="AJ345" s="7"/>
      <c r="AK345" s="7"/>
      <c r="AL345" s="7"/>
      <c r="AM345" s="7"/>
    </row>
    <row r="346" spans="1:39" x14ac:dyDescent="0.2">
      <c r="A346" s="17" t="str">
        <f>TEXT(Inputs!$B$88,"")</f>
        <v>Jewelry</v>
      </c>
      <c r="C346" s="7">
        <f ca="1">C306</f>
        <v>50748.140451472013</v>
      </c>
      <c r="D346" s="7">
        <f t="shared" ref="D346:AM350" ca="1" si="652">D306</f>
        <v>51763.103260501455</v>
      </c>
      <c r="E346" s="7">
        <f t="shared" ca="1" si="652"/>
        <v>52798.365325711486</v>
      </c>
      <c r="F346" s="7">
        <f t="shared" ca="1" si="652"/>
        <v>53854.33263222572</v>
      </c>
      <c r="G346" s="7">
        <f t="shared" ca="1" si="652"/>
        <v>54931.419284870237</v>
      </c>
      <c r="H346" s="7">
        <f t="shared" ca="1" si="652"/>
        <v>56030.047670567641</v>
      </c>
      <c r="I346" s="7">
        <f t="shared" ca="1" si="652"/>
        <v>57150.648623978996</v>
      </c>
      <c r="J346" s="7">
        <f t="shared" ca="1" si="652"/>
        <v>58293.66159645858</v>
      </c>
      <c r="K346" s="7">
        <f t="shared" ca="1" si="652"/>
        <v>59459.534828387754</v>
      </c>
      <c r="L346" s="7">
        <f t="shared" ca="1" si="652"/>
        <v>60648.725524955509</v>
      </c>
      <c r="M346" s="7">
        <f t="shared" ca="1" si="652"/>
        <v>61861.700035454618</v>
      </c>
      <c r="N346" s="7">
        <f t="shared" ca="1" si="652"/>
        <v>63098.934036163715</v>
      </c>
      <c r="O346" s="7">
        <f t="shared" ca="1" si="652"/>
        <v>64360.912716886989</v>
      </c>
      <c r="P346" s="7">
        <f t="shared" ca="1" si="652"/>
        <v>65648.130971224731</v>
      </c>
      <c r="Q346" s="7">
        <f t="shared" ca="1" si="652"/>
        <v>66961.093590649223</v>
      </c>
      <c r="R346" s="7">
        <f t="shared" ca="1" si="652"/>
        <v>68300.315462462211</v>
      </c>
      <c r="S346" s="7">
        <f t="shared" ca="1" si="652"/>
        <v>69666.32177171146</v>
      </c>
      <c r="T346" s="7">
        <f t="shared" ca="1" si="652"/>
        <v>71059.648207145685</v>
      </c>
      <c r="U346" s="7">
        <f t="shared" ca="1" si="652"/>
        <v>72480.841171288601</v>
      </c>
      <c r="V346" s="7">
        <f t="shared" ca="1" si="652"/>
        <v>73930.457994714379</v>
      </c>
      <c r="W346" s="7">
        <f t="shared" ca="1" si="652"/>
        <v>75409.067154608667</v>
      </c>
      <c r="X346" s="7">
        <f t="shared" ca="1" si="652"/>
        <v>76917.248497700843</v>
      </c>
      <c r="Y346" s="7">
        <f t="shared" ca="1" si="652"/>
        <v>78455.593467654864</v>
      </c>
      <c r="Z346" s="7">
        <f t="shared" ca="1" si="652"/>
        <v>80024.705337007967</v>
      </c>
      <c r="AA346" s="7">
        <f t="shared" ca="1" si="652"/>
        <v>81625.199443748133</v>
      </c>
      <c r="AB346" s="7">
        <f t="shared" ca="1" si="652"/>
        <v>83257.703432623093</v>
      </c>
      <c r="AC346" s="7">
        <f t="shared" ca="1" si="652"/>
        <v>84922.857501275561</v>
      </c>
      <c r="AD346" s="7">
        <f t="shared" ca="1" si="652"/>
        <v>86621.314651301072</v>
      </c>
      <c r="AE346" s="7">
        <f t="shared" ca="1" si="652"/>
        <v>88353.740944327103</v>
      </c>
      <c r="AF346" s="7">
        <f t="shared" ca="1" si="652"/>
        <v>90120.815763213643</v>
      </c>
      <c r="AG346" s="7">
        <f t="shared" ca="1" si="652"/>
        <v>91923.232078477915</v>
      </c>
      <c r="AH346" s="7">
        <f t="shared" ca="1" si="652"/>
        <v>93761.696720047476</v>
      </c>
      <c r="AI346" s="7">
        <f t="shared" ca="1" si="652"/>
        <v>95636.930654448428</v>
      </c>
      <c r="AJ346" s="7">
        <f t="shared" ca="1" si="652"/>
        <v>97549.669267537392</v>
      </c>
      <c r="AK346" s="7">
        <f t="shared" ca="1" si="652"/>
        <v>99500.662652888146</v>
      </c>
      <c r="AL346" s="7">
        <f t="shared" ca="1" si="652"/>
        <v>101490.67590594591</v>
      </c>
      <c r="AM346" s="7">
        <f t="shared" ca="1" si="652"/>
        <v>103520.48942406483</v>
      </c>
    </row>
    <row r="347" spans="1:39" x14ac:dyDescent="0.2">
      <c r="A347" s="17" t="str">
        <f>TEXT(Inputs!$B$93,"")</f>
        <v>Car</v>
      </c>
      <c r="C347" s="7">
        <f t="shared" ref="C347:R350" ca="1" si="653">C307</f>
        <v>38490.424009238486</v>
      </c>
      <c r="D347" s="7">
        <f t="shared" ca="1" si="653"/>
        <v>36565.902808776562</v>
      </c>
      <c r="E347" s="7">
        <f t="shared" ca="1" si="653"/>
        <v>34737.607668337732</v>
      </c>
      <c r="F347" s="7">
        <f t="shared" ca="1" si="653"/>
        <v>33000.727284920846</v>
      </c>
      <c r="G347" s="7">
        <f t="shared" ca="1" si="653"/>
        <v>31350.690920674802</v>
      </c>
      <c r="H347" s="7">
        <f t="shared" ca="1" si="653"/>
        <v>29783.156374641061</v>
      </c>
      <c r="I347" s="7">
        <f t="shared" ca="1" si="653"/>
        <v>28293.998555909006</v>
      </c>
      <c r="J347" s="7">
        <f t="shared" ca="1" si="653"/>
        <v>26879.298628113553</v>
      </c>
      <c r="K347" s="7">
        <f t="shared" ca="1" si="653"/>
        <v>25535.333696707872</v>
      </c>
      <c r="L347" s="7">
        <f t="shared" ca="1" si="653"/>
        <v>24258.567011872477</v>
      </c>
      <c r="M347" s="7">
        <f t="shared" ca="1" si="653"/>
        <v>23045.638661278852</v>
      </c>
      <c r="N347" s="7">
        <f t="shared" ca="1" si="653"/>
        <v>21893.356728214909</v>
      </c>
      <c r="O347" s="7">
        <f t="shared" ca="1" si="653"/>
        <v>20798.688891804162</v>
      </c>
      <c r="P347" s="7">
        <f t="shared" ca="1" si="653"/>
        <v>19758.754447213953</v>
      </c>
      <c r="Q347" s="7">
        <f t="shared" ca="1" si="653"/>
        <v>18770.816724853255</v>
      </c>
      <c r="R347" s="7">
        <f t="shared" ca="1" si="653"/>
        <v>17832.275888610591</v>
      </c>
      <c r="S347" s="7">
        <f t="shared" ca="1" si="652"/>
        <v>16940.662094180061</v>
      </c>
      <c r="T347" s="7">
        <f t="shared" ca="1" si="652"/>
        <v>16093.628989471057</v>
      </c>
      <c r="U347" s="7">
        <f t="shared" ca="1" si="652"/>
        <v>15288.947539997504</v>
      </c>
      <c r="V347" s="7">
        <f t="shared" ca="1" si="652"/>
        <v>14524.500162997627</v>
      </c>
      <c r="W347" s="7">
        <f t="shared" ca="1" si="652"/>
        <v>13798.275154847744</v>
      </c>
      <c r="X347" s="7">
        <f t="shared" ca="1" si="652"/>
        <v>13108.361397105356</v>
      </c>
      <c r="Y347" s="7">
        <f t="shared" ca="1" si="652"/>
        <v>12452.943327250088</v>
      </c>
      <c r="Z347" s="7">
        <f t="shared" ca="1" si="652"/>
        <v>11830.296160887583</v>
      </c>
      <c r="AA347" s="7">
        <f t="shared" ca="1" si="652"/>
        <v>11238.781352843203</v>
      </c>
      <c r="AB347" s="7">
        <f t="shared" ca="1" si="652"/>
        <v>10676.842285201043</v>
      </c>
      <c r="AC347" s="7">
        <f t="shared" ca="1" si="652"/>
        <v>10143.00017094099</v>
      </c>
      <c r="AD347" s="7">
        <f t="shared" ca="1" si="652"/>
        <v>9635.8501623939392</v>
      </c>
      <c r="AE347" s="7">
        <f t="shared" ca="1" si="652"/>
        <v>9154.0576542742419</v>
      </c>
      <c r="AF347" s="7">
        <f t="shared" ca="1" si="652"/>
        <v>8696.3547715605291</v>
      </c>
      <c r="AG347" s="7">
        <f t="shared" ca="1" si="652"/>
        <v>8261.5370329825018</v>
      </c>
      <c r="AH347" s="7">
        <f t="shared" ca="1" si="652"/>
        <v>7848.4601813333766</v>
      </c>
      <c r="AI347" s="7">
        <f t="shared" ca="1" si="652"/>
        <v>7456.0371722667078</v>
      </c>
      <c r="AJ347" s="7">
        <f t="shared" ca="1" si="652"/>
        <v>7083.235313653372</v>
      </c>
      <c r="AK347" s="7">
        <f t="shared" ca="1" si="652"/>
        <v>6729.0735479707027</v>
      </c>
      <c r="AL347" s="7">
        <f t="shared" ca="1" si="652"/>
        <v>6392.6198705721672</v>
      </c>
      <c r="AM347" s="7">
        <f t="shared" ca="1" si="652"/>
        <v>6072.9888770435582</v>
      </c>
    </row>
    <row r="348" spans="1:39" x14ac:dyDescent="0.2">
      <c r="A348" s="17" t="str">
        <f>TEXT(Inputs!$B$98,"")</f>
        <v>Painting</v>
      </c>
      <c r="C348" s="7">
        <f t="shared" ca="1" si="653"/>
        <v>20448.333244589874</v>
      </c>
      <c r="D348" s="7">
        <f t="shared" ca="1" si="652"/>
        <v>21061.783241927569</v>
      </c>
      <c r="E348" s="7">
        <f t="shared" ca="1" si="652"/>
        <v>21693.636739185396</v>
      </c>
      <c r="F348" s="7">
        <f t="shared" ca="1" si="652"/>
        <v>22344.445841360957</v>
      </c>
      <c r="G348" s="7">
        <f t="shared" ca="1" si="652"/>
        <v>23014.779216601786</v>
      </c>
      <c r="H348" s="7">
        <f t="shared" ca="1" si="652"/>
        <v>23705.222593099839</v>
      </c>
      <c r="I348" s="7">
        <f t="shared" ca="1" si="652"/>
        <v>24416.379270892834</v>
      </c>
      <c r="J348" s="7">
        <f t="shared" ca="1" si="652"/>
        <v>25148.87064901962</v>
      </c>
      <c r="K348" s="7">
        <f t="shared" ca="1" si="652"/>
        <v>25903.336768490208</v>
      </c>
      <c r="L348" s="7">
        <f t="shared" ca="1" si="652"/>
        <v>26680.436871544916</v>
      </c>
      <c r="M348" s="7">
        <f t="shared" ca="1" si="652"/>
        <v>27480.849977691265</v>
      </c>
      <c r="N348" s="7">
        <f t="shared" ca="1" si="652"/>
        <v>28305.275477022005</v>
      </c>
      <c r="O348" s="7">
        <f t="shared" ca="1" si="652"/>
        <v>29154.433741332665</v>
      </c>
      <c r="P348" s="7">
        <f t="shared" ca="1" si="652"/>
        <v>30029.066753572646</v>
      </c>
      <c r="Q348" s="7">
        <f t="shared" ca="1" si="652"/>
        <v>30929.938756179825</v>
      </c>
      <c r="R348" s="7">
        <f t="shared" ca="1" si="652"/>
        <v>31857.836918865221</v>
      </c>
      <c r="S348" s="7">
        <f t="shared" ca="1" si="652"/>
        <v>32813.572026431182</v>
      </c>
      <c r="T348" s="7">
        <f t="shared" ca="1" si="652"/>
        <v>33797.979187224119</v>
      </c>
      <c r="U348" s="7">
        <f t="shared" ca="1" si="652"/>
        <v>34811.918562840845</v>
      </c>
      <c r="V348" s="7">
        <f t="shared" ca="1" si="652"/>
        <v>35856.27611972607</v>
      </c>
      <c r="W348" s="7">
        <f t="shared" ca="1" si="652"/>
        <v>36931.964403317856</v>
      </c>
      <c r="X348" s="7">
        <f t="shared" ca="1" si="652"/>
        <v>38039.923335417392</v>
      </c>
      <c r="Y348" s="7">
        <f t="shared" ca="1" si="652"/>
        <v>39181.121035479911</v>
      </c>
      <c r="Z348" s="7">
        <f t="shared" ca="1" si="652"/>
        <v>40356.554666544311</v>
      </c>
      <c r="AA348" s="7">
        <f t="shared" ca="1" si="652"/>
        <v>41567.251306540638</v>
      </c>
      <c r="AB348" s="7">
        <f t="shared" ca="1" si="652"/>
        <v>42814.268845736857</v>
      </c>
      <c r="AC348" s="7">
        <f t="shared" ca="1" si="652"/>
        <v>44098.696911108964</v>
      </c>
      <c r="AD348" s="7">
        <f t="shared" ca="1" si="652"/>
        <v>45421.657818442232</v>
      </c>
      <c r="AE348" s="7">
        <f t="shared" ca="1" si="652"/>
        <v>46784.307552995502</v>
      </c>
      <c r="AF348" s="7">
        <f t="shared" ca="1" si="652"/>
        <v>48187.83677958537</v>
      </c>
      <c r="AG348" s="7">
        <f t="shared" ca="1" si="652"/>
        <v>49633.471882972932</v>
      </c>
      <c r="AH348" s="7">
        <f t="shared" ca="1" si="652"/>
        <v>51122.476039462119</v>
      </c>
      <c r="AI348" s="7">
        <f t="shared" ca="1" si="652"/>
        <v>52656.150320645982</v>
      </c>
      <c r="AJ348" s="7">
        <f t="shared" ca="1" si="652"/>
        <v>54235.834830265361</v>
      </c>
      <c r="AK348" s="7">
        <f t="shared" ca="1" si="652"/>
        <v>55862.909875173325</v>
      </c>
      <c r="AL348" s="7">
        <f t="shared" ca="1" si="652"/>
        <v>57538.797171428523</v>
      </c>
      <c r="AM348" s="7">
        <f t="shared" ca="1" si="652"/>
        <v>59264.961086571384</v>
      </c>
    </row>
    <row r="349" spans="1:39" x14ac:dyDescent="0.2">
      <c r="A349" s="17" t="str">
        <f>TEXT(Inputs!$B$103,"")</f>
        <v>Boat</v>
      </c>
      <c r="C349" s="7">
        <f t="shared" ca="1" si="653"/>
        <v>173206.90804157319</v>
      </c>
      <c r="D349" s="7">
        <f t="shared" ca="1" si="652"/>
        <v>164546.56263949451</v>
      </c>
      <c r="E349" s="7">
        <f t="shared" ca="1" si="652"/>
        <v>156319.23450751978</v>
      </c>
      <c r="F349" s="7">
        <f t="shared" ca="1" si="652"/>
        <v>148503.27278214379</v>
      </c>
      <c r="G349" s="7">
        <f t="shared" ca="1" si="652"/>
        <v>141078.10914303659</v>
      </c>
      <c r="H349" s="7">
        <f t="shared" ca="1" si="652"/>
        <v>134024.20368588474</v>
      </c>
      <c r="I349" s="7">
        <f t="shared" ca="1" si="652"/>
        <v>127322.99350159049</v>
      </c>
      <c r="J349" s="7">
        <f t="shared" ca="1" si="652"/>
        <v>120956.84382651096</v>
      </c>
      <c r="K349" s="7">
        <f t="shared" ca="1" si="652"/>
        <v>114909.0016351854</v>
      </c>
      <c r="L349" s="7">
        <f t="shared" ca="1" si="652"/>
        <v>109163.55155342612</v>
      </c>
      <c r="M349" s="7">
        <f t="shared" ca="1" si="652"/>
        <v>103705.37397575482</v>
      </c>
      <c r="N349" s="7">
        <f t="shared" ca="1" si="652"/>
        <v>98520.105276967079</v>
      </c>
      <c r="O349" s="7">
        <f t="shared" ca="1" si="652"/>
        <v>93594.100013118717</v>
      </c>
      <c r="P349" s="7">
        <f t="shared" ca="1" si="652"/>
        <v>88914.395012462774</v>
      </c>
      <c r="Q349" s="7">
        <f t="shared" ca="1" si="652"/>
        <v>84468.675261839628</v>
      </c>
      <c r="R349" s="7">
        <f t="shared" ca="1" si="652"/>
        <v>80245.241498747637</v>
      </c>
      <c r="S349" s="7">
        <f t="shared" ca="1" si="652"/>
        <v>76232.979423810248</v>
      </c>
      <c r="T349" s="7">
        <f t="shared" ca="1" si="652"/>
        <v>72421.330452619732</v>
      </c>
      <c r="U349" s="7">
        <f t="shared" ca="1" si="652"/>
        <v>68800.263929988738</v>
      </c>
      <c r="V349" s="7">
        <f t="shared" ca="1" si="652"/>
        <v>65360.250733489294</v>
      </c>
      <c r="W349" s="7">
        <f t="shared" ca="1" si="652"/>
        <v>62092.238196814826</v>
      </c>
      <c r="X349" s="7">
        <f t="shared" ca="1" si="652"/>
        <v>58987.626286974082</v>
      </c>
      <c r="Y349" s="7">
        <f t="shared" ca="1" si="652"/>
        <v>56038.244972625376</v>
      </c>
      <c r="Z349" s="7">
        <f t="shared" ca="1" si="652"/>
        <v>53236.332723994106</v>
      </c>
      <c r="AA349" s="7">
        <f t="shared" ca="1" si="652"/>
        <v>50574.5160877944</v>
      </c>
      <c r="AB349" s="7">
        <f t="shared" ca="1" si="652"/>
        <v>48045.790283404676</v>
      </c>
      <c r="AC349" s="7">
        <f t="shared" ca="1" si="652"/>
        <v>45643.500769234437</v>
      </c>
      <c r="AD349" s="7">
        <f t="shared" ca="1" si="652"/>
        <v>43361.325730772711</v>
      </c>
      <c r="AE349" s="7">
        <f t="shared" ca="1" si="652"/>
        <v>41193.259444234071</v>
      </c>
      <c r="AF349" s="7">
        <f t="shared" ca="1" si="652"/>
        <v>39133.596472022364</v>
      </c>
      <c r="AG349" s="7">
        <f t="shared" ca="1" si="652"/>
        <v>37176.916648421247</v>
      </c>
      <c r="AH349" s="7">
        <f t="shared" ca="1" si="652"/>
        <v>35318.070816000181</v>
      </c>
      <c r="AI349" s="7">
        <f t="shared" ca="1" si="652"/>
        <v>33552.167275200169</v>
      </c>
      <c r="AJ349" s="7">
        <f t="shared" ca="1" si="652"/>
        <v>31874.558911440159</v>
      </c>
      <c r="AK349" s="7">
        <f t="shared" ca="1" si="652"/>
        <v>30280.83096586815</v>
      </c>
      <c r="AL349" s="7">
        <f t="shared" ca="1" si="652"/>
        <v>28766.789417574742</v>
      </c>
      <c r="AM349" s="7">
        <f t="shared" ca="1" si="652"/>
        <v>27328.449946696004</v>
      </c>
    </row>
    <row r="350" spans="1:39" x14ac:dyDescent="0.2">
      <c r="A350" s="17" t="str">
        <f>TEXT(Inputs!$B$108,"")</f>
        <v>Antiques</v>
      </c>
      <c r="C350" s="7">
        <f t="shared" ca="1" si="653"/>
        <v>83226.9503404141</v>
      </c>
      <c r="D350" s="7">
        <f t="shared" ca="1" si="652"/>
        <v>84891.489347222378</v>
      </c>
      <c r="E350" s="7">
        <f t="shared" ca="1" si="652"/>
        <v>86589.319134166828</v>
      </c>
      <c r="F350" s="7">
        <f t="shared" ca="1" si="652"/>
        <v>88321.105516850163</v>
      </c>
      <c r="G350" s="7">
        <f t="shared" ca="1" si="652"/>
        <v>90087.52762718717</v>
      </c>
      <c r="H350" s="7">
        <f t="shared" ca="1" si="652"/>
        <v>91889.278179730914</v>
      </c>
      <c r="I350" s="7">
        <f t="shared" ca="1" si="652"/>
        <v>93727.063743325532</v>
      </c>
      <c r="J350" s="7">
        <f t="shared" ca="1" si="652"/>
        <v>95601.605018192044</v>
      </c>
      <c r="K350" s="7">
        <f t="shared" ca="1" si="652"/>
        <v>97513.637118555882</v>
      </c>
      <c r="L350" s="7">
        <f t="shared" ca="1" si="652"/>
        <v>99463.909860927</v>
      </c>
      <c r="M350" s="7">
        <f t="shared" ca="1" si="652"/>
        <v>101453.18805814555</v>
      </c>
      <c r="N350" s="7">
        <f t="shared" ca="1" si="652"/>
        <v>103482.25181930845</v>
      </c>
      <c r="O350" s="7">
        <f t="shared" ca="1" si="652"/>
        <v>105551.89685569462</v>
      </c>
      <c r="P350" s="7">
        <f t="shared" ca="1" si="652"/>
        <v>107662.93479280852</v>
      </c>
      <c r="Q350" s="7">
        <f t="shared" ca="1" si="652"/>
        <v>109816.19348866469</v>
      </c>
      <c r="R350" s="7">
        <f t="shared" ca="1" si="652"/>
        <v>112012.51735843798</v>
      </c>
      <c r="S350" s="7">
        <f t="shared" ca="1" si="652"/>
        <v>114252.76770560675</v>
      </c>
      <c r="T350" s="7">
        <f t="shared" ca="1" si="652"/>
        <v>116537.82305971888</v>
      </c>
      <c r="U350" s="7">
        <f t="shared" ca="1" si="652"/>
        <v>118868.57952091326</v>
      </c>
      <c r="V350" s="7">
        <f t="shared" ca="1" si="652"/>
        <v>121245.95111133152</v>
      </c>
      <c r="W350" s="7">
        <f t="shared" ca="1" si="652"/>
        <v>123670.87013355816</v>
      </c>
      <c r="X350" s="7">
        <f t="shared" ca="1" si="652"/>
        <v>126144.28753622933</v>
      </c>
      <c r="Y350" s="7">
        <f t="shared" ca="1" si="652"/>
        <v>128667.17328695391</v>
      </c>
      <c r="Z350" s="7">
        <f t="shared" ca="1" si="652"/>
        <v>131240.51675269299</v>
      </c>
      <c r="AA350" s="7">
        <f t="shared" ca="1" si="652"/>
        <v>133865.32708774685</v>
      </c>
      <c r="AB350" s="7">
        <f t="shared" ca="1" si="652"/>
        <v>136542.6336295018</v>
      </c>
      <c r="AC350" s="7">
        <f t="shared" ca="1" si="652"/>
        <v>139273.48630209183</v>
      </c>
      <c r="AD350" s="7">
        <f t="shared" ca="1" si="652"/>
        <v>142058.95602813366</v>
      </c>
      <c r="AE350" s="7">
        <f t="shared" ca="1" si="652"/>
        <v>144900.13514869634</v>
      </c>
      <c r="AF350" s="7">
        <f t="shared" ca="1" si="652"/>
        <v>147798.13785167027</v>
      </c>
      <c r="AG350" s="7">
        <f t="shared" ca="1" si="652"/>
        <v>150754.10060870368</v>
      </c>
      <c r="AH350" s="7">
        <f t="shared" ca="1" si="652"/>
        <v>153769.18262087775</v>
      </c>
      <c r="AI350" s="7">
        <f t="shared" ca="1" si="652"/>
        <v>156844.56627329532</v>
      </c>
      <c r="AJ350" s="7">
        <f t="shared" ca="1" si="652"/>
        <v>159981.45759876122</v>
      </c>
      <c r="AK350" s="7">
        <f t="shared" ca="1" si="652"/>
        <v>163181.08675073646</v>
      </c>
      <c r="AL350" s="7">
        <f t="shared" ca="1" si="652"/>
        <v>166444.70848575118</v>
      </c>
      <c r="AM350" s="7">
        <f t="shared" ca="1" si="652"/>
        <v>169773.60265546621</v>
      </c>
    </row>
    <row r="351" spans="1:39" x14ac:dyDescent="0.2">
      <c r="A351" s="16" t="str">
        <f t="shared" ref="A351:A358" si="654">A83</f>
        <v>Stock market equity investments</v>
      </c>
      <c r="C351" s="7">
        <f t="shared" ref="C351:AM351" ca="1" si="655">C108</f>
        <v>35024.809122913313</v>
      </c>
      <c r="D351" s="7">
        <f t="shared" ca="1" si="655"/>
        <v>33643.296426539331</v>
      </c>
      <c r="E351" s="7">
        <f t="shared" ca="1" si="655"/>
        <v>44135.888351296875</v>
      </c>
      <c r="F351" s="7">
        <f t="shared" ca="1" si="655"/>
        <v>52031.527454474199</v>
      </c>
      <c r="G351" s="7">
        <f t="shared" ca="1" si="655"/>
        <v>60558.817685905706</v>
      </c>
      <c r="H351" s="7">
        <f t="shared" ca="1" si="655"/>
        <v>69768.29113585173</v>
      </c>
      <c r="I351" s="7">
        <f t="shared" ca="1" si="655"/>
        <v>59571.227110881031</v>
      </c>
      <c r="J351" s="7">
        <f t="shared" ca="1" si="655"/>
        <v>68530.300533061061</v>
      </c>
      <c r="K351" s="7">
        <f t="shared" ca="1" si="655"/>
        <v>78181.169818704715</v>
      </c>
      <c r="L351" s="7">
        <f t="shared" ca="1" si="655"/>
        <v>88577.253607681676</v>
      </c>
      <c r="M351" s="7">
        <f t="shared" ca="1" si="655"/>
        <v>100028.20193136978</v>
      </c>
      <c r="N351" s="7">
        <f t="shared" ca="1" si="655"/>
        <v>96054.44425644289</v>
      </c>
      <c r="O351" s="7">
        <f t="shared" ca="1" si="655"/>
        <v>103020.39065122124</v>
      </c>
      <c r="P351" s="7">
        <f t="shared" ca="1" si="655"/>
        <v>110182.66334754651</v>
      </c>
      <c r="Q351" s="7">
        <f t="shared" ca="1" si="655"/>
        <v>117546.79555146059</v>
      </c>
      <c r="R351" s="7">
        <f t="shared" ca="1" si="655"/>
        <v>131315.307230651</v>
      </c>
      <c r="S351" s="7">
        <f t="shared" ca="1" si="655"/>
        <v>146185.29984417665</v>
      </c>
      <c r="T351" s="7">
        <f t="shared" ca="1" si="655"/>
        <v>157880.12383171078</v>
      </c>
      <c r="U351" s="7">
        <f t="shared" ca="1" si="655"/>
        <v>170510.53373824764</v>
      </c>
      <c r="V351" s="7">
        <f t="shared" ca="1" si="655"/>
        <v>139818.63766536306</v>
      </c>
      <c r="W351" s="7">
        <f t="shared" ca="1" si="655"/>
        <v>154403.85531092063</v>
      </c>
      <c r="X351" s="7">
        <f t="shared" ca="1" si="655"/>
        <v>170510.53373824764</v>
      </c>
      <c r="Y351" s="7">
        <f t="shared" ca="1" si="655"/>
        <v>184151.37643730745</v>
      </c>
      <c r="Z351" s="7">
        <f t="shared" ca="1" si="655"/>
        <v>198883.48655229204</v>
      </c>
      <c r="AA351" s="7">
        <f t="shared" ca="1" si="655"/>
        <v>143196.11031765025</v>
      </c>
      <c r="AB351" s="7">
        <f t="shared" ca="1" si="655"/>
        <v>151254.79053984256</v>
      </c>
      <c r="AC351" s="7">
        <f t="shared" ca="1" si="655"/>
        <v>159766.99095039401</v>
      </c>
      <c r="AD351" s="7">
        <f t="shared" ca="1" si="655"/>
        <v>168758.2344085791</v>
      </c>
      <c r="AE351" s="7">
        <f t="shared" ca="1" si="655"/>
        <v>178255.48012945594</v>
      </c>
      <c r="AF351" s="7">
        <f t="shared" ca="1" si="655"/>
        <v>188287.20451798901</v>
      </c>
      <c r="AG351" s="7">
        <f t="shared" ca="1" si="655"/>
        <v>198883.4865522921</v>
      </c>
      <c r="AH351" s="7">
        <f t="shared" ca="1" si="655"/>
        <v>214794.16547647546</v>
      </c>
      <c r="AI351" s="7">
        <f t="shared" ca="1" si="655"/>
        <v>231977.69871459351</v>
      </c>
      <c r="AJ351" s="7">
        <f t="shared" ca="1" si="655"/>
        <v>250535.91461176099</v>
      </c>
      <c r="AK351" s="7">
        <f t="shared" ca="1" si="655"/>
        <v>270578.78778070188</v>
      </c>
      <c r="AL351" s="7">
        <f t="shared" ca="1" si="655"/>
        <v>292225.090803158</v>
      </c>
      <c r="AM351" s="7">
        <f t="shared" ca="1" si="655"/>
        <v>315603.09806741064</v>
      </c>
    </row>
    <row r="352" spans="1:39" x14ac:dyDescent="0.2">
      <c r="A352" s="16" t="str">
        <f t="shared" si="654"/>
        <v>Home loan</v>
      </c>
      <c r="C352" s="7">
        <f t="shared" ref="C352:AM352" ca="1" si="656">C84</f>
        <v>-48409.157779606016</v>
      </c>
      <c r="D352" s="7">
        <f t="shared" ca="1" si="656"/>
        <v>-46231.653807228853</v>
      </c>
      <c r="E352" s="7">
        <f t="shared" ca="1" si="656"/>
        <v>-43987.918967848869</v>
      </c>
      <c r="F352" s="7">
        <f t="shared" ca="1" si="656"/>
        <v>-41675.938786268969</v>
      </c>
      <c r="G352" s="7">
        <f t="shared" ca="1" si="656"/>
        <v>0</v>
      </c>
      <c r="H352" s="7">
        <f t="shared" ca="1" si="656"/>
        <v>0</v>
      </c>
      <c r="I352" s="7">
        <f t="shared" ca="1" si="656"/>
        <v>0</v>
      </c>
      <c r="J352" s="7">
        <f t="shared" ca="1" si="656"/>
        <v>0</v>
      </c>
      <c r="K352" s="7">
        <f t="shared" ca="1" si="656"/>
        <v>0</v>
      </c>
      <c r="L352" s="7">
        <f t="shared" ca="1" si="656"/>
        <v>0</v>
      </c>
      <c r="M352" s="7">
        <f t="shared" ca="1" si="656"/>
        <v>0</v>
      </c>
      <c r="N352" s="7">
        <f t="shared" ca="1" si="656"/>
        <v>0</v>
      </c>
      <c r="O352" s="7">
        <f t="shared" ca="1" si="656"/>
        <v>0</v>
      </c>
      <c r="P352" s="7">
        <f t="shared" ca="1" si="656"/>
        <v>0</v>
      </c>
      <c r="Q352" s="7">
        <f t="shared" ca="1" si="656"/>
        <v>0</v>
      </c>
      <c r="R352" s="7">
        <f t="shared" ca="1" si="656"/>
        <v>0</v>
      </c>
      <c r="S352" s="7">
        <f t="shared" ca="1" si="656"/>
        <v>0</v>
      </c>
      <c r="T352" s="7">
        <f t="shared" ca="1" si="656"/>
        <v>0</v>
      </c>
      <c r="U352" s="7">
        <f t="shared" ca="1" si="656"/>
        <v>0</v>
      </c>
      <c r="V352" s="7">
        <f t="shared" ca="1" si="656"/>
        <v>0</v>
      </c>
      <c r="W352" s="7">
        <f t="shared" ca="1" si="656"/>
        <v>0</v>
      </c>
      <c r="X352" s="7">
        <f t="shared" ca="1" si="656"/>
        <v>0</v>
      </c>
      <c r="Y352" s="7">
        <f t="shared" ca="1" si="656"/>
        <v>0</v>
      </c>
      <c r="Z352" s="7">
        <f t="shared" ca="1" si="656"/>
        <v>0</v>
      </c>
      <c r="AA352" s="7">
        <f t="shared" ca="1" si="656"/>
        <v>0</v>
      </c>
      <c r="AB352" s="7">
        <f t="shared" ca="1" si="656"/>
        <v>0</v>
      </c>
      <c r="AC352" s="7">
        <f t="shared" ca="1" si="656"/>
        <v>0</v>
      </c>
      <c r="AD352" s="7">
        <f t="shared" ca="1" si="656"/>
        <v>0</v>
      </c>
      <c r="AE352" s="7">
        <f t="shared" ca="1" si="656"/>
        <v>0</v>
      </c>
      <c r="AF352" s="7">
        <f t="shared" ca="1" si="656"/>
        <v>0</v>
      </c>
      <c r="AG352" s="7">
        <f t="shared" ca="1" si="656"/>
        <v>0</v>
      </c>
      <c r="AH352" s="7">
        <f t="shared" ca="1" si="656"/>
        <v>0</v>
      </c>
      <c r="AI352" s="7">
        <f t="shared" ca="1" si="656"/>
        <v>0</v>
      </c>
      <c r="AJ352" s="7">
        <f t="shared" ca="1" si="656"/>
        <v>0</v>
      </c>
      <c r="AK352" s="7">
        <f t="shared" ca="1" si="656"/>
        <v>0</v>
      </c>
      <c r="AL352" s="7">
        <f t="shared" ca="1" si="656"/>
        <v>0</v>
      </c>
      <c r="AM352" s="7">
        <f t="shared" ca="1" si="656"/>
        <v>0</v>
      </c>
    </row>
    <row r="353" spans="1:39" x14ac:dyDescent="0.2">
      <c r="A353" s="16" t="str">
        <f t="shared" si="654"/>
        <v>Other asset loans</v>
      </c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  <c r="AE353" s="7"/>
      <c r="AF353" s="7"/>
      <c r="AG353" s="7"/>
      <c r="AH353" s="7"/>
      <c r="AI353" s="7"/>
      <c r="AJ353" s="7"/>
      <c r="AK353" s="7"/>
      <c r="AL353" s="7"/>
      <c r="AM353" s="7"/>
    </row>
    <row r="354" spans="1:39" x14ac:dyDescent="0.2">
      <c r="A354" s="17" t="str">
        <f t="shared" si="654"/>
        <v>Sliema</v>
      </c>
      <c r="C354" s="7">
        <f t="shared" ref="C354:AM354" ca="1" si="657">C325</f>
        <v>-46591.052384870025</v>
      </c>
      <c r="D354" s="7">
        <f t="shared" ca="1" si="657"/>
        <v>-41924.97244406183</v>
      </c>
      <c r="E354" s="7">
        <f t="shared" ca="1" si="657"/>
        <v>-37116.969216818994</v>
      </c>
      <c r="F354" s="7">
        <f t="shared" ca="1" si="657"/>
        <v>-32162.725970576364</v>
      </c>
      <c r="G354" s="7">
        <f t="shared" ca="1" si="657"/>
        <v>-27057.79467521701</v>
      </c>
      <c r="H354" s="7">
        <f t="shared" ca="1" si="657"/>
        <v>-21797.592009531552</v>
      </c>
      <c r="I354" s="7">
        <f t="shared" ca="1" si="657"/>
        <v>-16377.395246210348</v>
      </c>
      <c r="J354" s="7">
        <f t="shared" ca="1" si="657"/>
        <v>-10792.33801167312</v>
      </c>
      <c r="K354" s="7">
        <f t="shared" ca="1" si="657"/>
        <v>-5037.4059169308748</v>
      </c>
      <c r="L354" s="7">
        <f t="shared" ca="1" si="657"/>
        <v>0</v>
      </c>
      <c r="M354" s="7">
        <f t="shared" ca="1" si="657"/>
        <v>0</v>
      </c>
      <c r="N354" s="7">
        <f t="shared" ca="1" si="657"/>
        <v>0</v>
      </c>
      <c r="O354" s="7">
        <f t="shared" ca="1" si="657"/>
        <v>0</v>
      </c>
      <c r="P354" s="7">
        <f t="shared" ca="1" si="657"/>
        <v>0</v>
      </c>
      <c r="Q354" s="7">
        <f t="shared" ca="1" si="657"/>
        <v>0</v>
      </c>
      <c r="R354" s="7">
        <f t="shared" ca="1" si="657"/>
        <v>0</v>
      </c>
      <c r="S354" s="7">
        <f t="shared" ca="1" si="657"/>
        <v>0</v>
      </c>
      <c r="T354" s="7">
        <f t="shared" ca="1" si="657"/>
        <v>0</v>
      </c>
      <c r="U354" s="7">
        <f t="shared" ca="1" si="657"/>
        <v>0</v>
      </c>
      <c r="V354" s="7">
        <f t="shared" ca="1" si="657"/>
        <v>0</v>
      </c>
      <c r="W354" s="7">
        <f t="shared" ca="1" si="657"/>
        <v>0</v>
      </c>
      <c r="X354" s="7">
        <f t="shared" ca="1" si="657"/>
        <v>0</v>
      </c>
      <c r="Y354" s="7">
        <f t="shared" ca="1" si="657"/>
        <v>0</v>
      </c>
      <c r="Z354" s="7">
        <f t="shared" ca="1" si="657"/>
        <v>0</v>
      </c>
      <c r="AA354" s="7">
        <f t="shared" ca="1" si="657"/>
        <v>0</v>
      </c>
      <c r="AB354" s="7">
        <f t="shared" ca="1" si="657"/>
        <v>0</v>
      </c>
      <c r="AC354" s="7">
        <f t="shared" ca="1" si="657"/>
        <v>0</v>
      </c>
      <c r="AD354" s="7">
        <f t="shared" ca="1" si="657"/>
        <v>0</v>
      </c>
      <c r="AE354" s="7">
        <f t="shared" ca="1" si="657"/>
        <v>0</v>
      </c>
      <c r="AF354" s="7">
        <f t="shared" ca="1" si="657"/>
        <v>0</v>
      </c>
      <c r="AG354" s="7">
        <f t="shared" ca="1" si="657"/>
        <v>0</v>
      </c>
      <c r="AH354" s="7">
        <f t="shared" ca="1" si="657"/>
        <v>0</v>
      </c>
      <c r="AI354" s="7">
        <f t="shared" ca="1" si="657"/>
        <v>0</v>
      </c>
      <c r="AJ354" s="7">
        <f t="shared" ca="1" si="657"/>
        <v>0</v>
      </c>
      <c r="AK354" s="7">
        <f t="shared" ca="1" si="657"/>
        <v>0</v>
      </c>
      <c r="AL354" s="7">
        <f t="shared" ca="1" si="657"/>
        <v>0</v>
      </c>
      <c r="AM354" s="7">
        <f t="shared" ca="1" si="657"/>
        <v>0</v>
      </c>
    </row>
    <row r="355" spans="1:39" x14ac:dyDescent="0.2">
      <c r="A355" s="17" t="str">
        <f t="shared" si="654"/>
        <v>Gzira</v>
      </c>
      <c r="C355" s="7">
        <f t="shared" ref="C355:AM355" ca="1" si="658">C326</f>
        <v>-6816.3065303051853</v>
      </c>
      <c r="D355" s="7">
        <f t="shared" ca="1" si="658"/>
        <v>-4531.7666039667383</v>
      </c>
      <c r="E355" s="7">
        <f t="shared" ca="1" si="658"/>
        <v>-2201.1147111864902</v>
      </c>
      <c r="F355" s="7">
        <f t="shared" ca="1" si="658"/>
        <v>0</v>
      </c>
      <c r="G355" s="7">
        <f t="shared" ca="1" si="658"/>
        <v>0</v>
      </c>
      <c r="H355" s="7">
        <f t="shared" ca="1" si="658"/>
        <v>0</v>
      </c>
      <c r="I355" s="7">
        <f t="shared" ca="1" si="658"/>
        <v>0</v>
      </c>
      <c r="J355" s="7">
        <f t="shared" ca="1" si="658"/>
        <v>0</v>
      </c>
      <c r="K355" s="7">
        <f t="shared" ca="1" si="658"/>
        <v>0</v>
      </c>
      <c r="L355" s="7">
        <f t="shared" ca="1" si="658"/>
        <v>0</v>
      </c>
      <c r="M355" s="7">
        <f t="shared" ca="1" si="658"/>
        <v>0</v>
      </c>
      <c r="N355" s="7">
        <f t="shared" ca="1" si="658"/>
        <v>0</v>
      </c>
      <c r="O355" s="7">
        <f t="shared" ca="1" si="658"/>
        <v>0</v>
      </c>
      <c r="P355" s="7">
        <f t="shared" ca="1" si="658"/>
        <v>0</v>
      </c>
      <c r="Q355" s="7">
        <f t="shared" ca="1" si="658"/>
        <v>0</v>
      </c>
      <c r="R355" s="7">
        <f t="shared" ca="1" si="658"/>
        <v>0</v>
      </c>
      <c r="S355" s="7">
        <f t="shared" ca="1" si="658"/>
        <v>0</v>
      </c>
      <c r="T355" s="7">
        <f t="shared" ca="1" si="658"/>
        <v>0</v>
      </c>
      <c r="U355" s="7">
        <f t="shared" ca="1" si="658"/>
        <v>0</v>
      </c>
      <c r="V355" s="7">
        <f t="shared" ca="1" si="658"/>
        <v>0</v>
      </c>
      <c r="W355" s="7">
        <f t="shared" ca="1" si="658"/>
        <v>0</v>
      </c>
      <c r="X355" s="7">
        <f t="shared" ca="1" si="658"/>
        <v>0</v>
      </c>
      <c r="Y355" s="7">
        <f t="shared" ca="1" si="658"/>
        <v>0</v>
      </c>
      <c r="Z355" s="7">
        <f t="shared" ca="1" si="658"/>
        <v>0</v>
      </c>
      <c r="AA355" s="7">
        <f t="shared" ca="1" si="658"/>
        <v>0</v>
      </c>
      <c r="AB355" s="7">
        <f t="shared" ca="1" si="658"/>
        <v>0</v>
      </c>
      <c r="AC355" s="7">
        <f t="shared" ca="1" si="658"/>
        <v>0</v>
      </c>
      <c r="AD355" s="7">
        <f t="shared" ca="1" si="658"/>
        <v>0</v>
      </c>
      <c r="AE355" s="7">
        <f t="shared" ca="1" si="658"/>
        <v>0</v>
      </c>
      <c r="AF355" s="7">
        <f t="shared" ca="1" si="658"/>
        <v>0</v>
      </c>
      <c r="AG355" s="7">
        <f t="shared" ca="1" si="658"/>
        <v>0</v>
      </c>
      <c r="AH355" s="7">
        <f t="shared" ca="1" si="658"/>
        <v>0</v>
      </c>
      <c r="AI355" s="7">
        <f t="shared" ca="1" si="658"/>
        <v>0</v>
      </c>
      <c r="AJ355" s="7">
        <f t="shared" ca="1" si="658"/>
        <v>0</v>
      </c>
      <c r="AK355" s="7">
        <f t="shared" ca="1" si="658"/>
        <v>0</v>
      </c>
      <c r="AL355" s="7">
        <f t="shared" ca="1" si="658"/>
        <v>0</v>
      </c>
      <c r="AM355" s="7">
        <f t="shared" ca="1" si="658"/>
        <v>0</v>
      </c>
    </row>
    <row r="356" spans="1:39" x14ac:dyDescent="0.2">
      <c r="A356" s="17" t="str">
        <f t="shared" si="654"/>
        <v>Qormi</v>
      </c>
      <c r="C356" s="7">
        <f t="shared" ref="C356:AM356" ca="1" si="659">C327</f>
        <v>-13284.099846375037</v>
      </c>
      <c r="D356" s="7">
        <f t="shared" ca="1" si="659"/>
        <v>-10894.02573326202</v>
      </c>
      <c r="E356" s="7">
        <f t="shared" ca="1" si="659"/>
        <v>-8381.6708924441427</v>
      </c>
      <c r="F356" s="7">
        <f t="shared" ca="1" si="659"/>
        <v>-5740.779209817676</v>
      </c>
      <c r="G356" s="7">
        <f t="shared" ca="1" si="659"/>
        <v>-2964.7744966079426</v>
      </c>
      <c r="H356" s="7">
        <f t="shared" ca="1" si="659"/>
        <v>-46.744113741759065</v>
      </c>
      <c r="I356" s="7">
        <f t="shared" ca="1" si="659"/>
        <v>0</v>
      </c>
      <c r="J356" s="7">
        <f t="shared" ca="1" si="659"/>
        <v>0</v>
      </c>
      <c r="K356" s="7">
        <f t="shared" ca="1" si="659"/>
        <v>0</v>
      </c>
      <c r="L356" s="7">
        <f t="shared" ca="1" si="659"/>
        <v>0</v>
      </c>
      <c r="M356" s="7">
        <f t="shared" ca="1" si="659"/>
        <v>0</v>
      </c>
      <c r="N356" s="7">
        <f t="shared" ca="1" si="659"/>
        <v>0</v>
      </c>
      <c r="O356" s="7">
        <f t="shared" ca="1" si="659"/>
        <v>0</v>
      </c>
      <c r="P356" s="7">
        <f t="shared" ca="1" si="659"/>
        <v>0</v>
      </c>
      <c r="Q356" s="7">
        <f t="shared" ca="1" si="659"/>
        <v>0</v>
      </c>
      <c r="R356" s="7">
        <f t="shared" ca="1" si="659"/>
        <v>0</v>
      </c>
      <c r="S356" s="7">
        <f t="shared" ca="1" si="659"/>
        <v>0</v>
      </c>
      <c r="T356" s="7">
        <f t="shared" ca="1" si="659"/>
        <v>0</v>
      </c>
      <c r="U356" s="7">
        <f t="shared" ca="1" si="659"/>
        <v>0</v>
      </c>
      <c r="V356" s="7">
        <f t="shared" ca="1" si="659"/>
        <v>0</v>
      </c>
      <c r="W356" s="7">
        <f t="shared" ca="1" si="659"/>
        <v>0</v>
      </c>
      <c r="X356" s="7">
        <f t="shared" ca="1" si="659"/>
        <v>0</v>
      </c>
      <c r="Y356" s="7">
        <f t="shared" ca="1" si="659"/>
        <v>0</v>
      </c>
      <c r="Z356" s="7">
        <f t="shared" ca="1" si="659"/>
        <v>0</v>
      </c>
      <c r="AA356" s="7">
        <f t="shared" ca="1" si="659"/>
        <v>0</v>
      </c>
      <c r="AB356" s="7">
        <f t="shared" ca="1" si="659"/>
        <v>0</v>
      </c>
      <c r="AC356" s="7">
        <f t="shared" ca="1" si="659"/>
        <v>0</v>
      </c>
      <c r="AD356" s="7">
        <f t="shared" ca="1" si="659"/>
        <v>0</v>
      </c>
      <c r="AE356" s="7">
        <f t="shared" ca="1" si="659"/>
        <v>0</v>
      </c>
      <c r="AF356" s="7">
        <f t="shared" ca="1" si="659"/>
        <v>0</v>
      </c>
      <c r="AG356" s="7">
        <f t="shared" ca="1" si="659"/>
        <v>0</v>
      </c>
      <c r="AH356" s="7">
        <f t="shared" ca="1" si="659"/>
        <v>0</v>
      </c>
      <c r="AI356" s="7">
        <f t="shared" ca="1" si="659"/>
        <v>0</v>
      </c>
      <c r="AJ356" s="7">
        <f t="shared" ca="1" si="659"/>
        <v>0</v>
      </c>
      <c r="AK356" s="7">
        <f t="shared" ca="1" si="659"/>
        <v>0</v>
      </c>
      <c r="AL356" s="7">
        <f t="shared" ca="1" si="659"/>
        <v>0</v>
      </c>
      <c r="AM356" s="7">
        <f t="shared" ca="1" si="659"/>
        <v>0</v>
      </c>
    </row>
    <row r="357" spans="1:39" x14ac:dyDescent="0.2">
      <c r="A357" s="17" t="str">
        <f t="shared" si="654"/>
        <v>Gudja</v>
      </c>
      <c r="C357" s="7">
        <f t="shared" ref="C357:AM357" ca="1" si="660">C328</f>
        <v>-4025.8511111463736</v>
      </c>
      <c r="D357" s="7">
        <f t="shared" ca="1" si="660"/>
        <v>-3138.2612491824134</v>
      </c>
      <c r="E357" s="7">
        <f t="shared" ca="1" si="660"/>
        <v>-2232.7559577452803</v>
      </c>
      <c r="F357" s="7">
        <f t="shared" ca="1" si="660"/>
        <v>-1308.9736254343047</v>
      </c>
      <c r="G357" s="7">
        <f t="shared" ca="1" si="660"/>
        <v>-366.5453419556743</v>
      </c>
      <c r="H357" s="7">
        <f t="shared" ca="1" si="660"/>
        <v>0</v>
      </c>
      <c r="I357" s="7">
        <f t="shared" ca="1" si="660"/>
        <v>0</v>
      </c>
      <c r="J357" s="7">
        <f t="shared" ca="1" si="660"/>
        <v>0</v>
      </c>
      <c r="K357" s="7">
        <f t="shared" ca="1" si="660"/>
        <v>0</v>
      </c>
      <c r="L357" s="7">
        <f t="shared" ca="1" si="660"/>
        <v>0</v>
      </c>
      <c r="M357" s="7">
        <f t="shared" ca="1" si="660"/>
        <v>0</v>
      </c>
      <c r="N357" s="7">
        <f t="shared" ca="1" si="660"/>
        <v>0</v>
      </c>
      <c r="O357" s="7">
        <f t="shared" ca="1" si="660"/>
        <v>0</v>
      </c>
      <c r="P357" s="7">
        <f t="shared" ca="1" si="660"/>
        <v>0</v>
      </c>
      <c r="Q357" s="7">
        <f t="shared" ca="1" si="660"/>
        <v>0</v>
      </c>
      <c r="R357" s="7">
        <f t="shared" ca="1" si="660"/>
        <v>0</v>
      </c>
      <c r="S357" s="7">
        <f t="shared" ca="1" si="660"/>
        <v>0</v>
      </c>
      <c r="T357" s="7">
        <f t="shared" ca="1" si="660"/>
        <v>0</v>
      </c>
      <c r="U357" s="7">
        <f t="shared" ca="1" si="660"/>
        <v>0</v>
      </c>
      <c r="V357" s="7">
        <f t="shared" ca="1" si="660"/>
        <v>0</v>
      </c>
      <c r="W357" s="7">
        <f t="shared" ca="1" si="660"/>
        <v>0</v>
      </c>
      <c r="X357" s="7">
        <f t="shared" ca="1" si="660"/>
        <v>0</v>
      </c>
      <c r="Y357" s="7">
        <f t="shared" ca="1" si="660"/>
        <v>0</v>
      </c>
      <c r="Z357" s="7">
        <f t="shared" ca="1" si="660"/>
        <v>0</v>
      </c>
      <c r="AA357" s="7">
        <f t="shared" ca="1" si="660"/>
        <v>0</v>
      </c>
      <c r="AB357" s="7">
        <f t="shared" ca="1" si="660"/>
        <v>0</v>
      </c>
      <c r="AC357" s="7">
        <f t="shared" ca="1" si="660"/>
        <v>0</v>
      </c>
      <c r="AD357" s="7">
        <f t="shared" ca="1" si="660"/>
        <v>0</v>
      </c>
      <c r="AE357" s="7">
        <f t="shared" ca="1" si="660"/>
        <v>0</v>
      </c>
      <c r="AF357" s="7">
        <f t="shared" ca="1" si="660"/>
        <v>0</v>
      </c>
      <c r="AG357" s="7">
        <f t="shared" ca="1" si="660"/>
        <v>0</v>
      </c>
      <c r="AH357" s="7">
        <f t="shared" ca="1" si="660"/>
        <v>0</v>
      </c>
      <c r="AI357" s="7">
        <f t="shared" ca="1" si="660"/>
        <v>0</v>
      </c>
      <c r="AJ357" s="7">
        <f t="shared" ca="1" si="660"/>
        <v>0</v>
      </c>
      <c r="AK357" s="7">
        <f t="shared" ca="1" si="660"/>
        <v>0</v>
      </c>
      <c r="AL357" s="7">
        <f t="shared" ca="1" si="660"/>
        <v>0</v>
      </c>
      <c r="AM357" s="7">
        <f t="shared" ca="1" si="660"/>
        <v>0</v>
      </c>
    </row>
    <row r="358" spans="1:39" x14ac:dyDescent="0.2">
      <c r="A358" s="17" t="str">
        <f t="shared" si="654"/>
        <v>Marsa</v>
      </c>
      <c r="C358" s="7">
        <f t="shared" ref="C358:AM358" ca="1" si="661">C329</f>
        <v>-8649.5822104017261</v>
      </c>
      <c r="D358" s="7">
        <f t="shared" ca="1" si="661"/>
        <v>-7452.7015983848178</v>
      </c>
      <c r="E358" s="7">
        <f t="shared" ca="1" si="661"/>
        <v>-6219.4167172421839</v>
      </c>
      <c r="F358" s="7">
        <f t="shared" ca="1" si="661"/>
        <v>-4948.6202962926418</v>
      </c>
      <c r="G358" s="7">
        <f t="shared" ca="1" si="661"/>
        <v>-3639.1713861576636</v>
      </c>
      <c r="H358" s="7">
        <f t="shared" ca="1" si="661"/>
        <v>-2289.8943343915744</v>
      </c>
      <c r="I358" s="7">
        <f t="shared" ca="1" si="661"/>
        <v>-899.57772995459527</v>
      </c>
      <c r="J358" s="7">
        <f t="shared" ca="1" si="661"/>
        <v>0</v>
      </c>
      <c r="K358" s="7">
        <f t="shared" ca="1" si="661"/>
        <v>0</v>
      </c>
      <c r="L358" s="7">
        <f t="shared" ca="1" si="661"/>
        <v>0</v>
      </c>
      <c r="M358" s="7">
        <f t="shared" ca="1" si="661"/>
        <v>0</v>
      </c>
      <c r="N358" s="7">
        <f t="shared" ca="1" si="661"/>
        <v>0</v>
      </c>
      <c r="O358" s="7">
        <f t="shared" ca="1" si="661"/>
        <v>0</v>
      </c>
      <c r="P358" s="7">
        <f t="shared" ca="1" si="661"/>
        <v>0</v>
      </c>
      <c r="Q358" s="7">
        <f t="shared" ca="1" si="661"/>
        <v>0</v>
      </c>
      <c r="R358" s="7">
        <f t="shared" ca="1" si="661"/>
        <v>0</v>
      </c>
      <c r="S358" s="7">
        <f t="shared" ca="1" si="661"/>
        <v>0</v>
      </c>
      <c r="T358" s="7">
        <f t="shared" ca="1" si="661"/>
        <v>0</v>
      </c>
      <c r="U358" s="7">
        <f t="shared" ca="1" si="661"/>
        <v>0</v>
      </c>
      <c r="V358" s="7">
        <f t="shared" ca="1" si="661"/>
        <v>0</v>
      </c>
      <c r="W358" s="7">
        <f t="shared" ca="1" si="661"/>
        <v>0</v>
      </c>
      <c r="X358" s="7">
        <f t="shared" ca="1" si="661"/>
        <v>0</v>
      </c>
      <c r="Y358" s="7">
        <f t="shared" ca="1" si="661"/>
        <v>0</v>
      </c>
      <c r="Z358" s="7">
        <f t="shared" ca="1" si="661"/>
        <v>0</v>
      </c>
      <c r="AA358" s="7">
        <f t="shared" ca="1" si="661"/>
        <v>0</v>
      </c>
      <c r="AB358" s="7">
        <f t="shared" ca="1" si="661"/>
        <v>0</v>
      </c>
      <c r="AC358" s="7">
        <f t="shared" ca="1" si="661"/>
        <v>0</v>
      </c>
      <c r="AD358" s="7">
        <f t="shared" ca="1" si="661"/>
        <v>0</v>
      </c>
      <c r="AE358" s="7">
        <f t="shared" ca="1" si="661"/>
        <v>0</v>
      </c>
      <c r="AF358" s="7">
        <f t="shared" ca="1" si="661"/>
        <v>0</v>
      </c>
      <c r="AG358" s="7">
        <f t="shared" ca="1" si="661"/>
        <v>0</v>
      </c>
      <c r="AH358" s="7">
        <f t="shared" ca="1" si="661"/>
        <v>0</v>
      </c>
      <c r="AI358" s="7">
        <f t="shared" ca="1" si="661"/>
        <v>0</v>
      </c>
      <c r="AJ358" s="7">
        <f t="shared" ca="1" si="661"/>
        <v>0</v>
      </c>
      <c r="AK358" s="7">
        <f t="shared" ca="1" si="661"/>
        <v>0</v>
      </c>
      <c r="AL358" s="7">
        <f t="shared" ca="1" si="661"/>
        <v>0</v>
      </c>
      <c r="AM358" s="7">
        <f t="shared" ca="1" si="661"/>
        <v>0</v>
      </c>
    </row>
    <row r="359" spans="1:39" x14ac:dyDescent="0.2">
      <c r="A359" s="17" t="str">
        <f>TEXT(Inputs!$B$88,"")</f>
        <v>Jewelry</v>
      </c>
      <c r="C359" s="7">
        <f t="shared" ref="C359:AM359" ca="1" si="662">C330</f>
        <v>-1875.0262705595046</v>
      </c>
      <c r="D359" s="7">
        <f t="shared" ca="1" si="662"/>
        <v>-1019.5782814113345</v>
      </c>
      <c r="E359" s="7">
        <f t="shared" ca="1" si="662"/>
        <v>-138.11102308348245</v>
      </c>
      <c r="F359" s="7">
        <f t="shared" ca="1" si="662"/>
        <v>0</v>
      </c>
      <c r="G359" s="7">
        <f t="shared" ca="1" si="662"/>
        <v>0</v>
      </c>
      <c r="H359" s="7">
        <f t="shared" ca="1" si="662"/>
        <v>0</v>
      </c>
      <c r="I359" s="7">
        <f t="shared" ca="1" si="662"/>
        <v>0</v>
      </c>
      <c r="J359" s="7">
        <f t="shared" ca="1" si="662"/>
        <v>0</v>
      </c>
      <c r="K359" s="7">
        <f t="shared" ca="1" si="662"/>
        <v>0</v>
      </c>
      <c r="L359" s="7">
        <f t="shared" ca="1" si="662"/>
        <v>0</v>
      </c>
      <c r="M359" s="7">
        <f t="shared" ca="1" si="662"/>
        <v>0</v>
      </c>
      <c r="N359" s="7">
        <f t="shared" ca="1" si="662"/>
        <v>0</v>
      </c>
      <c r="O359" s="7">
        <f t="shared" ca="1" si="662"/>
        <v>0</v>
      </c>
      <c r="P359" s="7">
        <f t="shared" ca="1" si="662"/>
        <v>0</v>
      </c>
      <c r="Q359" s="7">
        <f t="shared" ca="1" si="662"/>
        <v>0</v>
      </c>
      <c r="R359" s="7">
        <f t="shared" ca="1" si="662"/>
        <v>0</v>
      </c>
      <c r="S359" s="7">
        <f t="shared" ca="1" si="662"/>
        <v>0</v>
      </c>
      <c r="T359" s="7">
        <f t="shared" ca="1" si="662"/>
        <v>0</v>
      </c>
      <c r="U359" s="7">
        <f t="shared" ca="1" si="662"/>
        <v>0</v>
      </c>
      <c r="V359" s="7">
        <f t="shared" ca="1" si="662"/>
        <v>0</v>
      </c>
      <c r="W359" s="7">
        <f t="shared" ca="1" si="662"/>
        <v>0</v>
      </c>
      <c r="X359" s="7">
        <f t="shared" ca="1" si="662"/>
        <v>0</v>
      </c>
      <c r="Y359" s="7">
        <f t="shared" ca="1" si="662"/>
        <v>0</v>
      </c>
      <c r="Z359" s="7">
        <f t="shared" ca="1" si="662"/>
        <v>0</v>
      </c>
      <c r="AA359" s="7">
        <f t="shared" ca="1" si="662"/>
        <v>0</v>
      </c>
      <c r="AB359" s="7">
        <f t="shared" ca="1" si="662"/>
        <v>0</v>
      </c>
      <c r="AC359" s="7">
        <f t="shared" ca="1" si="662"/>
        <v>0</v>
      </c>
      <c r="AD359" s="7">
        <f t="shared" ca="1" si="662"/>
        <v>0</v>
      </c>
      <c r="AE359" s="7">
        <f t="shared" ca="1" si="662"/>
        <v>0</v>
      </c>
      <c r="AF359" s="7">
        <f t="shared" ca="1" si="662"/>
        <v>0</v>
      </c>
      <c r="AG359" s="7">
        <f t="shared" ca="1" si="662"/>
        <v>0</v>
      </c>
      <c r="AH359" s="7">
        <f t="shared" ca="1" si="662"/>
        <v>0</v>
      </c>
      <c r="AI359" s="7">
        <f t="shared" ca="1" si="662"/>
        <v>0</v>
      </c>
      <c r="AJ359" s="7">
        <f t="shared" ca="1" si="662"/>
        <v>0</v>
      </c>
      <c r="AK359" s="7">
        <f t="shared" ca="1" si="662"/>
        <v>0</v>
      </c>
      <c r="AL359" s="7">
        <f t="shared" ca="1" si="662"/>
        <v>0</v>
      </c>
      <c r="AM359" s="7">
        <f t="shared" ca="1" si="662"/>
        <v>0</v>
      </c>
    </row>
    <row r="360" spans="1:39" x14ac:dyDescent="0.2">
      <c r="A360" s="17" t="str">
        <f>TEXT(Inputs!$B$93,"")</f>
        <v>Car</v>
      </c>
      <c r="C360" s="7">
        <f t="shared" ref="C360:AM360" ca="1" si="663">C331</f>
        <v>-5311.4222222593407</v>
      </c>
      <c r="D360" s="7">
        <f t="shared" ca="1" si="663"/>
        <v>-4377.1171044025405</v>
      </c>
      <c r="E360" s="7">
        <f t="shared" ca="1" si="663"/>
        <v>-3423.9536397318734</v>
      </c>
      <c r="F360" s="7">
        <f t="shared" ca="1" si="663"/>
        <v>-2451.5511846676886</v>
      </c>
      <c r="G360" s="7">
        <f t="shared" ca="1" si="663"/>
        <v>-1459.5214125849197</v>
      </c>
      <c r="H360" s="7">
        <f t="shared" ca="1" si="663"/>
        <v>-447.46815873579635</v>
      </c>
      <c r="I360" s="7">
        <f t="shared" ca="1" si="663"/>
        <v>0</v>
      </c>
      <c r="J360" s="7">
        <f t="shared" ca="1" si="663"/>
        <v>0</v>
      </c>
      <c r="K360" s="7">
        <f t="shared" ca="1" si="663"/>
        <v>0</v>
      </c>
      <c r="L360" s="7">
        <f t="shared" ca="1" si="663"/>
        <v>0</v>
      </c>
      <c r="M360" s="7">
        <f t="shared" ca="1" si="663"/>
        <v>0</v>
      </c>
      <c r="N360" s="7">
        <f t="shared" ca="1" si="663"/>
        <v>0</v>
      </c>
      <c r="O360" s="7">
        <f t="shared" ca="1" si="663"/>
        <v>0</v>
      </c>
      <c r="P360" s="7">
        <f t="shared" ca="1" si="663"/>
        <v>0</v>
      </c>
      <c r="Q360" s="7">
        <f t="shared" ca="1" si="663"/>
        <v>0</v>
      </c>
      <c r="R360" s="7">
        <f t="shared" ca="1" si="663"/>
        <v>0</v>
      </c>
      <c r="S360" s="7">
        <f t="shared" ca="1" si="663"/>
        <v>0</v>
      </c>
      <c r="T360" s="7">
        <f t="shared" ca="1" si="663"/>
        <v>0</v>
      </c>
      <c r="U360" s="7">
        <f t="shared" ca="1" si="663"/>
        <v>0</v>
      </c>
      <c r="V360" s="7">
        <f t="shared" ca="1" si="663"/>
        <v>0</v>
      </c>
      <c r="W360" s="7">
        <f t="shared" ca="1" si="663"/>
        <v>0</v>
      </c>
      <c r="X360" s="7">
        <f t="shared" ca="1" si="663"/>
        <v>0</v>
      </c>
      <c r="Y360" s="7">
        <f t="shared" ca="1" si="663"/>
        <v>0</v>
      </c>
      <c r="Z360" s="7">
        <f t="shared" ca="1" si="663"/>
        <v>0</v>
      </c>
      <c r="AA360" s="7">
        <f t="shared" ca="1" si="663"/>
        <v>0</v>
      </c>
      <c r="AB360" s="7">
        <f t="shared" ca="1" si="663"/>
        <v>0</v>
      </c>
      <c r="AC360" s="7">
        <f t="shared" ca="1" si="663"/>
        <v>0</v>
      </c>
      <c r="AD360" s="7">
        <f t="shared" ca="1" si="663"/>
        <v>0</v>
      </c>
      <c r="AE360" s="7">
        <f t="shared" ca="1" si="663"/>
        <v>0</v>
      </c>
      <c r="AF360" s="7">
        <f t="shared" ca="1" si="663"/>
        <v>0</v>
      </c>
      <c r="AG360" s="7">
        <f t="shared" ca="1" si="663"/>
        <v>0</v>
      </c>
      <c r="AH360" s="7">
        <f t="shared" ca="1" si="663"/>
        <v>0</v>
      </c>
      <c r="AI360" s="7">
        <f t="shared" ca="1" si="663"/>
        <v>0</v>
      </c>
      <c r="AJ360" s="7">
        <f t="shared" ca="1" si="663"/>
        <v>0</v>
      </c>
      <c r="AK360" s="7">
        <f t="shared" ca="1" si="663"/>
        <v>0</v>
      </c>
      <c r="AL360" s="7">
        <f t="shared" ca="1" si="663"/>
        <v>0</v>
      </c>
      <c r="AM360" s="7">
        <f t="shared" ca="1" si="663"/>
        <v>0</v>
      </c>
    </row>
    <row r="361" spans="1:39" x14ac:dyDescent="0.2">
      <c r="A361" s="17" t="str">
        <f>TEXT(Inputs!$B$98,"")</f>
        <v>Painting</v>
      </c>
      <c r="C361" s="7">
        <f t="shared" ref="C361:AM361" ca="1" si="664">C332</f>
        <v>-6642.0499231875183</v>
      </c>
      <c r="D361" s="7">
        <f t="shared" ca="1" si="664"/>
        <v>-5447.0128666310102</v>
      </c>
      <c r="E361" s="7">
        <f t="shared" ca="1" si="664"/>
        <v>-4190.8354462220714</v>
      </c>
      <c r="F361" s="7">
        <f t="shared" ca="1" si="664"/>
        <v>-2870.389604908838</v>
      </c>
      <c r="G361" s="7">
        <f t="shared" ca="1" si="664"/>
        <v>-1482.3872483039713</v>
      </c>
      <c r="H361" s="7">
        <f t="shared" ca="1" si="664"/>
        <v>-23.372056870879533</v>
      </c>
      <c r="I361" s="7">
        <f t="shared" ca="1" si="664"/>
        <v>0</v>
      </c>
      <c r="J361" s="7">
        <f t="shared" ca="1" si="664"/>
        <v>0</v>
      </c>
      <c r="K361" s="7">
        <f t="shared" ca="1" si="664"/>
        <v>0</v>
      </c>
      <c r="L361" s="7">
        <f t="shared" ca="1" si="664"/>
        <v>0</v>
      </c>
      <c r="M361" s="7">
        <f t="shared" ca="1" si="664"/>
        <v>0</v>
      </c>
      <c r="N361" s="7">
        <f t="shared" ca="1" si="664"/>
        <v>0</v>
      </c>
      <c r="O361" s="7">
        <f t="shared" ca="1" si="664"/>
        <v>0</v>
      </c>
      <c r="P361" s="7">
        <f t="shared" ca="1" si="664"/>
        <v>0</v>
      </c>
      <c r="Q361" s="7">
        <f t="shared" ca="1" si="664"/>
        <v>0</v>
      </c>
      <c r="R361" s="7">
        <f t="shared" ca="1" si="664"/>
        <v>0</v>
      </c>
      <c r="S361" s="7">
        <f t="shared" ca="1" si="664"/>
        <v>0</v>
      </c>
      <c r="T361" s="7">
        <f t="shared" ca="1" si="664"/>
        <v>0</v>
      </c>
      <c r="U361" s="7">
        <f t="shared" ca="1" si="664"/>
        <v>0</v>
      </c>
      <c r="V361" s="7">
        <f t="shared" ca="1" si="664"/>
        <v>0</v>
      </c>
      <c r="W361" s="7">
        <f t="shared" ca="1" si="664"/>
        <v>0</v>
      </c>
      <c r="X361" s="7">
        <f t="shared" ca="1" si="664"/>
        <v>0</v>
      </c>
      <c r="Y361" s="7">
        <f t="shared" ca="1" si="664"/>
        <v>0</v>
      </c>
      <c r="Z361" s="7">
        <f t="shared" ca="1" si="664"/>
        <v>0</v>
      </c>
      <c r="AA361" s="7">
        <f t="shared" ca="1" si="664"/>
        <v>0</v>
      </c>
      <c r="AB361" s="7">
        <f t="shared" ca="1" si="664"/>
        <v>0</v>
      </c>
      <c r="AC361" s="7">
        <f t="shared" ca="1" si="664"/>
        <v>0</v>
      </c>
      <c r="AD361" s="7">
        <f t="shared" ca="1" si="664"/>
        <v>0</v>
      </c>
      <c r="AE361" s="7">
        <f t="shared" ca="1" si="664"/>
        <v>0</v>
      </c>
      <c r="AF361" s="7">
        <f t="shared" ca="1" si="664"/>
        <v>0</v>
      </c>
      <c r="AG361" s="7">
        <f t="shared" ca="1" si="664"/>
        <v>0</v>
      </c>
      <c r="AH361" s="7">
        <f t="shared" ca="1" si="664"/>
        <v>0</v>
      </c>
      <c r="AI361" s="7">
        <f t="shared" ca="1" si="664"/>
        <v>0</v>
      </c>
      <c r="AJ361" s="7">
        <f t="shared" ca="1" si="664"/>
        <v>0</v>
      </c>
      <c r="AK361" s="7">
        <f t="shared" ca="1" si="664"/>
        <v>0</v>
      </c>
      <c r="AL361" s="7">
        <f t="shared" ca="1" si="664"/>
        <v>0</v>
      </c>
      <c r="AM361" s="7">
        <f t="shared" ca="1" si="664"/>
        <v>0</v>
      </c>
    </row>
    <row r="362" spans="1:39" x14ac:dyDescent="0.2">
      <c r="A362" s="17" t="str">
        <f>TEXT(Inputs!$B$103,"")</f>
        <v>Boat</v>
      </c>
      <c r="C362" s="7">
        <f t="shared" ref="C362:AM362" ca="1" si="665">C333</f>
        <v>-36106.782888498572</v>
      </c>
      <c r="D362" s="7">
        <f t="shared" ca="1" si="665"/>
        <v>-30636.379329838361</v>
      </c>
      <c r="E362" s="7">
        <f t="shared" ca="1" si="665"/>
        <v>-24828.573249664209</v>
      </c>
      <c r="F362" s="7">
        <f t="shared" ca="1" si="665"/>
        <v>-18662.55439873159</v>
      </c>
      <c r="G362" s="7">
        <f t="shared" ca="1" si="665"/>
        <v>-12116.228997158192</v>
      </c>
      <c r="H362" s="7">
        <f t="shared" ca="1" si="665"/>
        <v>-5166.1405690627944</v>
      </c>
      <c r="I362" s="7">
        <f t="shared" ca="1" si="665"/>
        <v>0</v>
      </c>
      <c r="J362" s="7">
        <f t="shared" ca="1" si="665"/>
        <v>0</v>
      </c>
      <c r="K362" s="7">
        <f t="shared" ca="1" si="665"/>
        <v>0</v>
      </c>
      <c r="L362" s="7">
        <f t="shared" ca="1" si="665"/>
        <v>0</v>
      </c>
      <c r="M362" s="7">
        <f t="shared" ca="1" si="665"/>
        <v>0</v>
      </c>
      <c r="N362" s="7">
        <f t="shared" ca="1" si="665"/>
        <v>0</v>
      </c>
      <c r="O362" s="7">
        <f t="shared" ca="1" si="665"/>
        <v>0</v>
      </c>
      <c r="P362" s="7">
        <f t="shared" ca="1" si="665"/>
        <v>0</v>
      </c>
      <c r="Q362" s="7">
        <f t="shared" ca="1" si="665"/>
        <v>0</v>
      </c>
      <c r="R362" s="7">
        <f t="shared" ca="1" si="665"/>
        <v>0</v>
      </c>
      <c r="S362" s="7">
        <f t="shared" ca="1" si="665"/>
        <v>0</v>
      </c>
      <c r="T362" s="7">
        <f t="shared" ca="1" si="665"/>
        <v>0</v>
      </c>
      <c r="U362" s="7">
        <f t="shared" ca="1" si="665"/>
        <v>0</v>
      </c>
      <c r="V362" s="7">
        <f t="shared" ca="1" si="665"/>
        <v>0</v>
      </c>
      <c r="W362" s="7">
        <f t="shared" ca="1" si="665"/>
        <v>0</v>
      </c>
      <c r="X362" s="7">
        <f t="shared" ca="1" si="665"/>
        <v>0</v>
      </c>
      <c r="Y362" s="7">
        <f t="shared" ca="1" si="665"/>
        <v>0</v>
      </c>
      <c r="Z362" s="7">
        <f t="shared" ca="1" si="665"/>
        <v>0</v>
      </c>
      <c r="AA362" s="7">
        <f t="shared" ca="1" si="665"/>
        <v>0</v>
      </c>
      <c r="AB362" s="7">
        <f t="shared" ca="1" si="665"/>
        <v>0</v>
      </c>
      <c r="AC362" s="7">
        <f t="shared" ca="1" si="665"/>
        <v>0</v>
      </c>
      <c r="AD362" s="7">
        <f t="shared" ca="1" si="665"/>
        <v>0</v>
      </c>
      <c r="AE362" s="7">
        <f t="shared" ca="1" si="665"/>
        <v>0</v>
      </c>
      <c r="AF362" s="7">
        <f t="shared" ca="1" si="665"/>
        <v>0</v>
      </c>
      <c r="AG362" s="7">
        <f t="shared" ca="1" si="665"/>
        <v>0</v>
      </c>
      <c r="AH362" s="7">
        <f t="shared" ca="1" si="665"/>
        <v>0</v>
      </c>
      <c r="AI362" s="7">
        <f t="shared" ca="1" si="665"/>
        <v>0</v>
      </c>
      <c r="AJ362" s="7">
        <f t="shared" ca="1" si="665"/>
        <v>0</v>
      </c>
      <c r="AK362" s="7">
        <f t="shared" ca="1" si="665"/>
        <v>0</v>
      </c>
      <c r="AL362" s="7">
        <f t="shared" ca="1" si="665"/>
        <v>0</v>
      </c>
      <c r="AM362" s="7">
        <f t="shared" ca="1" si="665"/>
        <v>0</v>
      </c>
    </row>
    <row r="363" spans="1:39" x14ac:dyDescent="0.2">
      <c r="A363" s="17" t="str">
        <f>TEXT(Inputs!$B$108,"")</f>
        <v>Antiques</v>
      </c>
      <c r="C363" s="7">
        <f t="shared" ref="C363:AM363" ca="1" si="666">C334</f>
        <v>-2886.4020391451668</v>
      </c>
      <c r="D363" s="7">
        <f t="shared" ca="1" si="666"/>
        <v>-1635.892615008569</v>
      </c>
      <c r="E363" s="7">
        <f t="shared" ca="1" si="666"/>
        <v>-347.34775010749127</v>
      </c>
      <c r="F363" s="7">
        <f t="shared" ca="1" si="666"/>
        <v>0</v>
      </c>
      <c r="G363" s="7">
        <f t="shared" ca="1" si="666"/>
        <v>0</v>
      </c>
      <c r="H363" s="7">
        <f t="shared" ca="1" si="666"/>
        <v>0</v>
      </c>
      <c r="I363" s="7">
        <f t="shared" ca="1" si="666"/>
        <v>0</v>
      </c>
      <c r="J363" s="7">
        <f t="shared" ca="1" si="666"/>
        <v>0</v>
      </c>
      <c r="K363" s="7">
        <f t="shared" ca="1" si="666"/>
        <v>0</v>
      </c>
      <c r="L363" s="7">
        <f t="shared" ca="1" si="666"/>
        <v>0</v>
      </c>
      <c r="M363" s="7">
        <f t="shared" ca="1" si="666"/>
        <v>0</v>
      </c>
      <c r="N363" s="7">
        <f t="shared" ca="1" si="666"/>
        <v>0</v>
      </c>
      <c r="O363" s="7">
        <f t="shared" ca="1" si="666"/>
        <v>0</v>
      </c>
      <c r="P363" s="7">
        <f t="shared" ca="1" si="666"/>
        <v>0</v>
      </c>
      <c r="Q363" s="7">
        <f t="shared" ca="1" si="666"/>
        <v>0</v>
      </c>
      <c r="R363" s="7">
        <f t="shared" ca="1" si="666"/>
        <v>0</v>
      </c>
      <c r="S363" s="7">
        <f t="shared" ca="1" si="666"/>
        <v>0</v>
      </c>
      <c r="T363" s="7">
        <f t="shared" ca="1" si="666"/>
        <v>0</v>
      </c>
      <c r="U363" s="7">
        <f t="shared" ca="1" si="666"/>
        <v>0</v>
      </c>
      <c r="V363" s="7">
        <f t="shared" ca="1" si="666"/>
        <v>0</v>
      </c>
      <c r="W363" s="7">
        <f t="shared" ca="1" si="666"/>
        <v>0</v>
      </c>
      <c r="X363" s="7">
        <f t="shared" ca="1" si="666"/>
        <v>0</v>
      </c>
      <c r="Y363" s="7">
        <f t="shared" ca="1" si="666"/>
        <v>0</v>
      </c>
      <c r="Z363" s="7">
        <f t="shared" ca="1" si="666"/>
        <v>0</v>
      </c>
      <c r="AA363" s="7">
        <f t="shared" ca="1" si="666"/>
        <v>0</v>
      </c>
      <c r="AB363" s="7">
        <f t="shared" ca="1" si="666"/>
        <v>0</v>
      </c>
      <c r="AC363" s="7">
        <f t="shared" ca="1" si="666"/>
        <v>0</v>
      </c>
      <c r="AD363" s="7">
        <f t="shared" ca="1" si="666"/>
        <v>0</v>
      </c>
      <c r="AE363" s="7">
        <f t="shared" ca="1" si="666"/>
        <v>0</v>
      </c>
      <c r="AF363" s="7">
        <f t="shared" ca="1" si="666"/>
        <v>0</v>
      </c>
      <c r="AG363" s="7">
        <f t="shared" ca="1" si="666"/>
        <v>0</v>
      </c>
      <c r="AH363" s="7">
        <f t="shared" ca="1" si="666"/>
        <v>0</v>
      </c>
      <c r="AI363" s="7">
        <f t="shared" ca="1" si="666"/>
        <v>0</v>
      </c>
      <c r="AJ363" s="7">
        <f t="shared" ca="1" si="666"/>
        <v>0</v>
      </c>
      <c r="AK363" s="7">
        <f t="shared" ca="1" si="666"/>
        <v>0</v>
      </c>
      <c r="AL363" s="7">
        <f t="shared" ca="1" si="666"/>
        <v>0</v>
      </c>
      <c r="AM363" s="7">
        <f t="shared" ca="1" si="666"/>
        <v>0</v>
      </c>
    </row>
    <row r="364" spans="1:39" x14ac:dyDescent="0.2">
      <c r="A364" s="16" t="str">
        <f>A96</f>
        <v>Other loan</v>
      </c>
      <c r="C364" s="7">
        <f t="shared" ref="C364:AM364" ca="1" si="667">C96</f>
        <v>-3724.5365251296162</v>
      </c>
      <c r="D364" s="7">
        <f t="shared" ca="1" si="667"/>
        <v>-3337.4796695640352</v>
      </c>
      <c r="E364" s="7">
        <f t="shared" ca="1" si="667"/>
        <v>-2926.5499940800146</v>
      </c>
      <c r="F364" s="7">
        <f t="shared" ca="1" si="667"/>
        <v>-2490.2750753819519</v>
      </c>
      <c r="G364" s="7">
        <f t="shared" ca="1" si="667"/>
        <v>-2027.0916743272305</v>
      </c>
      <c r="H364" s="7">
        <f t="shared" ca="1" si="667"/>
        <v>-1535.3401346034998</v>
      </c>
      <c r="I364" s="7">
        <f t="shared" ca="1" si="667"/>
        <v>-1013.2584359286093</v>
      </c>
      <c r="J364" s="7">
        <f t="shared" ca="1" si="667"/>
        <v>-458.97588046495366</v>
      </c>
      <c r="K364" s="7">
        <f t="shared" ca="1" si="667"/>
        <v>0</v>
      </c>
      <c r="L364" s="7">
        <f t="shared" ca="1" si="667"/>
        <v>0</v>
      </c>
      <c r="M364" s="7">
        <f t="shared" ca="1" si="667"/>
        <v>0</v>
      </c>
      <c r="N364" s="7">
        <f t="shared" ca="1" si="667"/>
        <v>0</v>
      </c>
      <c r="O364" s="7">
        <f t="shared" ca="1" si="667"/>
        <v>0</v>
      </c>
      <c r="P364" s="7">
        <f t="shared" ca="1" si="667"/>
        <v>0</v>
      </c>
      <c r="Q364" s="7">
        <f t="shared" ca="1" si="667"/>
        <v>0</v>
      </c>
      <c r="R364" s="7">
        <f t="shared" ca="1" si="667"/>
        <v>0</v>
      </c>
      <c r="S364" s="7">
        <f t="shared" ca="1" si="667"/>
        <v>0</v>
      </c>
      <c r="T364" s="7">
        <f t="shared" ca="1" si="667"/>
        <v>0</v>
      </c>
      <c r="U364" s="7">
        <f t="shared" ca="1" si="667"/>
        <v>0</v>
      </c>
      <c r="V364" s="7">
        <f t="shared" ca="1" si="667"/>
        <v>0</v>
      </c>
      <c r="W364" s="7">
        <f t="shared" ca="1" si="667"/>
        <v>0</v>
      </c>
      <c r="X364" s="7">
        <f t="shared" ca="1" si="667"/>
        <v>0</v>
      </c>
      <c r="Y364" s="7">
        <f t="shared" ca="1" si="667"/>
        <v>0</v>
      </c>
      <c r="Z364" s="7">
        <f t="shared" ca="1" si="667"/>
        <v>0</v>
      </c>
      <c r="AA364" s="7">
        <f t="shared" ca="1" si="667"/>
        <v>0</v>
      </c>
      <c r="AB364" s="7">
        <f t="shared" ca="1" si="667"/>
        <v>0</v>
      </c>
      <c r="AC364" s="7">
        <f t="shared" ca="1" si="667"/>
        <v>0</v>
      </c>
      <c r="AD364" s="7">
        <f t="shared" ca="1" si="667"/>
        <v>0</v>
      </c>
      <c r="AE364" s="7">
        <f t="shared" ca="1" si="667"/>
        <v>0</v>
      </c>
      <c r="AF364" s="7">
        <f t="shared" ca="1" si="667"/>
        <v>0</v>
      </c>
      <c r="AG364" s="7">
        <f t="shared" ca="1" si="667"/>
        <v>0</v>
      </c>
      <c r="AH364" s="7">
        <f t="shared" ca="1" si="667"/>
        <v>0</v>
      </c>
      <c r="AI364" s="7">
        <f t="shared" ca="1" si="667"/>
        <v>0</v>
      </c>
      <c r="AJ364" s="7">
        <f t="shared" ca="1" si="667"/>
        <v>0</v>
      </c>
      <c r="AK364" s="7">
        <f t="shared" ca="1" si="667"/>
        <v>0</v>
      </c>
      <c r="AL364" s="7">
        <f t="shared" ca="1" si="667"/>
        <v>0</v>
      </c>
      <c r="AM364" s="7">
        <f t="shared" ca="1" si="667"/>
        <v>0</v>
      </c>
    </row>
    <row r="365" spans="1:39" x14ac:dyDescent="0.2">
      <c r="A365" s="4"/>
      <c r="C365" s="9">
        <f t="shared" ref="C365:AM365" ca="1" si="668">SUM(C336:C364)</f>
        <v>1680453.1852331229</v>
      </c>
      <c r="D365" s="9">
        <f t="shared" ca="1" si="668"/>
        <v>1747067.9844310579</v>
      </c>
      <c r="E365" s="9">
        <f t="shared" ca="1" si="668"/>
        <v>1834500.4505989298</v>
      </c>
      <c r="F365" s="9">
        <f t="shared" ca="1" si="668"/>
        <v>1902052.2239453536</v>
      </c>
      <c r="G365" s="9">
        <f t="shared" ca="1" si="668"/>
        <v>1918011.5787381453</v>
      </c>
      <c r="H365" s="9">
        <f t="shared" ca="1" si="668"/>
        <v>2022411.9314857356</v>
      </c>
      <c r="I365" s="9">
        <f t="shared" ca="1" si="668"/>
        <v>2122401.4152869554</v>
      </c>
      <c r="J365" s="9">
        <f t="shared" ca="1" si="668"/>
        <v>2241677.3415042977</v>
      </c>
      <c r="K365" s="9">
        <f t="shared" ca="1" si="668"/>
        <v>2349132.1587368511</v>
      </c>
      <c r="L365" s="9">
        <f t="shared" ca="1" si="668"/>
        <v>2544794.5008876654</v>
      </c>
      <c r="M365" s="9">
        <f t="shared" ca="1" si="668"/>
        <v>2649941.2126468173</v>
      </c>
      <c r="N365" s="9">
        <f t="shared" ca="1" si="668"/>
        <v>2794950.2867713384</v>
      </c>
      <c r="O365" s="9">
        <f t="shared" ca="1" si="668"/>
        <v>2958395.7698345711</v>
      </c>
      <c r="P365" s="9">
        <f t="shared" ca="1" si="668"/>
        <v>3129804.9746498452</v>
      </c>
      <c r="Q365" s="9">
        <f t="shared" ca="1" si="668"/>
        <v>3309465.4942626706</v>
      </c>
      <c r="R365" s="9">
        <f t="shared" ca="1" si="668"/>
        <v>3503873.6100133276</v>
      </c>
      <c r="S365" s="9">
        <f t="shared" ca="1" si="668"/>
        <v>3708032.2331689494</v>
      </c>
      <c r="T365" s="9">
        <f t="shared" ca="1" si="668"/>
        <v>3813004.9918801524</v>
      </c>
      <c r="U365" s="9">
        <f t="shared" ca="1" si="668"/>
        <v>3930082.7499404456</v>
      </c>
      <c r="V365" s="9">
        <f t="shared" ca="1" si="668"/>
        <v>4007595.1179999337</v>
      </c>
      <c r="W365" s="9">
        <f t="shared" ca="1" si="668"/>
        <v>4134248.7733800956</v>
      </c>
      <c r="X365" s="9">
        <f t="shared" ca="1" si="668"/>
        <v>4266399.8669676967</v>
      </c>
      <c r="Y365" s="9">
        <f t="shared" ca="1" si="668"/>
        <v>4379260.466412968</v>
      </c>
      <c r="Z365" s="9">
        <f t="shared" ca="1" si="668"/>
        <v>4496380.1346510015</v>
      </c>
      <c r="AA365" s="9">
        <f t="shared" ca="1" si="668"/>
        <v>4546335.0040084608</v>
      </c>
      <c r="AB365" s="9">
        <f t="shared" ca="1" si="668"/>
        <v>4663381.2042083293</v>
      </c>
      <c r="AC365" s="9">
        <f t="shared" ca="1" si="668"/>
        <v>4784320.576423944</v>
      </c>
      <c r="AD365" s="9">
        <f t="shared" ca="1" si="668"/>
        <v>4909276.9061785955</v>
      </c>
      <c r="AE365" s="9">
        <f t="shared" ca="1" si="668"/>
        <v>5048486.6563745402</v>
      </c>
      <c r="AF365" s="9">
        <f t="shared" ca="1" si="668"/>
        <v>5192482.7477544416</v>
      </c>
      <c r="AG365" s="9">
        <f t="shared" ca="1" si="668"/>
        <v>5341424.74805158</v>
      </c>
      <c r="AH365" s="9">
        <f t="shared" ca="1" si="668"/>
        <v>5500196.9325603163</v>
      </c>
      <c r="AI365" s="9">
        <f t="shared" ca="1" si="668"/>
        <v>5664897.2827477781</v>
      </c>
      <c r="AJ365" s="9">
        <f t="shared" ca="1" si="668"/>
        <v>5835772.3858440537</v>
      </c>
      <c r="AK365" s="9">
        <f t="shared" ca="1" si="668"/>
        <v>6013082.3633260485</v>
      </c>
      <c r="AL365" s="9">
        <f t="shared" ca="1" si="668"/>
        <v>6197101.6821891442</v>
      </c>
      <c r="AM365" s="9">
        <f t="shared" ca="1" si="668"/>
        <v>6388120.0249408158</v>
      </c>
    </row>
    <row r="366" spans="1:39" x14ac:dyDescent="0.2"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  <c r="AE366" s="7"/>
      <c r="AF366" s="7"/>
      <c r="AG366" s="7"/>
      <c r="AH366" s="7"/>
      <c r="AI366" s="7"/>
      <c r="AJ366" s="7"/>
      <c r="AK366" s="7"/>
      <c r="AL366" s="7"/>
      <c r="AM366" s="7"/>
    </row>
    <row r="367" spans="1:39" ht="19" x14ac:dyDescent="0.25">
      <c r="A367" s="25" t="s">
        <v>71</v>
      </c>
      <c r="B367" s="26"/>
      <c r="C367" s="27"/>
      <c r="D367" s="27"/>
      <c r="E367" s="27"/>
      <c r="F367" s="27"/>
      <c r="G367" s="27"/>
      <c r="H367" s="27"/>
      <c r="I367" s="27"/>
      <c r="J367" s="27"/>
      <c r="K367" s="27"/>
      <c r="L367" s="27"/>
      <c r="M367" s="27"/>
      <c r="N367" s="27"/>
      <c r="O367" s="27"/>
      <c r="P367" s="27"/>
      <c r="Q367" s="27"/>
      <c r="R367" s="27"/>
      <c r="S367" s="27"/>
      <c r="T367" s="27"/>
      <c r="U367" s="27"/>
      <c r="V367" s="27"/>
      <c r="W367" s="27"/>
      <c r="X367" s="27"/>
      <c r="Y367" s="27"/>
      <c r="Z367" s="27"/>
      <c r="AA367" s="27"/>
      <c r="AB367" s="27"/>
      <c r="AC367" s="27"/>
      <c r="AD367" s="27"/>
      <c r="AE367" s="27"/>
      <c r="AF367" s="27"/>
      <c r="AG367" s="27"/>
      <c r="AH367" s="27"/>
      <c r="AI367" s="27"/>
      <c r="AJ367" s="27"/>
      <c r="AK367" s="27"/>
      <c r="AL367" s="27"/>
      <c r="AM367" s="27"/>
    </row>
    <row r="368" spans="1:39" x14ac:dyDescent="0.2"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  <c r="AE368" s="7"/>
      <c r="AF368" s="7"/>
      <c r="AG368" s="7"/>
      <c r="AH368" s="7"/>
      <c r="AI368" s="7"/>
      <c r="AJ368" s="7"/>
      <c r="AK368" s="7"/>
      <c r="AL368" s="7"/>
      <c r="AM368" s="7"/>
    </row>
    <row r="369" spans="1:39" x14ac:dyDescent="0.2">
      <c r="A369" s="15" t="s">
        <v>60</v>
      </c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  <c r="AE369" s="7"/>
      <c r="AF369" s="7"/>
      <c r="AG369" s="7"/>
      <c r="AH369" s="7"/>
      <c r="AI369" s="7"/>
      <c r="AJ369" s="7"/>
      <c r="AK369" s="7"/>
      <c r="AL369" s="7"/>
      <c r="AM369" s="7"/>
    </row>
    <row r="370" spans="1:39" x14ac:dyDescent="0.2">
      <c r="A370" s="3" t="s">
        <v>8</v>
      </c>
      <c r="C370" s="7">
        <f t="shared" ref="C370:AM370" ca="1" si="669">C69</f>
        <v>62919.0625</v>
      </c>
      <c r="D370" s="7">
        <f t="shared" ca="1" si="669"/>
        <v>72490.535937499997</v>
      </c>
      <c r="E370" s="7">
        <f t="shared" ca="1" si="669"/>
        <v>88207.499804687497</v>
      </c>
      <c r="F370" s="7">
        <f t="shared" ca="1" si="669"/>
        <v>85714.080452231734</v>
      </c>
      <c r="G370" s="7">
        <f t="shared" ca="1" si="669"/>
        <v>279276.11396248138</v>
      </c>
      <c r="H370" s="7">
        <f t="shared" ca="1" si="669"/>
        <v>321025.81800930644</v>
      </c>
      <c r="I370" s="7">
        <f t="shared" ca="1" si="669"/>
        <v>382892.09672247234</v>
      </c>
      <c r="J370" s="7">
        <f t="shared" ca="1" si="669"/>
        <v>449181.31879998074</v>
      </c>
      <c r="K370" s="7">
        <f t="shared" ca="1" si="669"/>
        <v>502080.69175229734</v>
      </c>
      <c r="L370" s="7">
        <f t="shared" ca="1" si="669"/>
        <v>641897.59165074176</v>
      </c>
      <c r="M370" s="7">
        <f t="shared" ca="1" si="669"/>
        <v>693438.66125641076</v>
      </c>
      <c r="N370" s="7">
        <f t="shared" ca="1" si="669"/>
        <v>798500.49246398674</v>
      </c>
      <c r="O370" s="7">
        <f t="shared" ca="1" si="669"/>
        <v>909267.05744988273</v>
      </c>
      <c r="P370" s="7">
        <f t="shared" ca="1" si="669"/>
        <v>1025981.2911249469</v>
      </c>
      <c r="Q370" s="7">
        <f t="shared" ca="1" si="669"/>
        <v>1148895.4105429514</v>
      </c>
      <c r="R370" s="7">
        <f t="shared" ca="1" si="669"/>
        <v>1278271.248199099</v>
      </c>
      <c r="S370" s="7">
        <f t="shared" ca="1" si="669"/>
        <v>1414380.5968228865</v>
      </c>
      <c r="T370" s="7">
        <f t="shared" ca="1" si="669"/>
        <v>1452527.6236677105</v>
      </c>
      <c r="U370" s="7">
        <f t="shared" ca="1" si="669"/>
        <v>1499854.2259580824</v>
      </c>
      <c r="V370" s="7">
        <f t="shared" ca="1" si="669"/>
        <v>1548907.5815076504</v>
      </c>
      <c r="W370" s="7">
        <f t="shared" ca="1" si="669"/>
        <v>1599752.4964402271</v>
      </c>
      <c r="X370" s="7">
        <f t="shared" ca="1" si="669"/>
        <v>1652456.179392647</v>
      </c>
      <c r="Y370" s="7">
        <f t="shared" ca="1" si="669"/>
        <v>1686171.2358988209</v>
      </c>
      <c r="Z370" s="7">
        <f t="shared" ca="1" si="669"/>
        <v>1720841.1811310996</v>
      </c>
      <c r="AA370" s="7">
        <f t="shared" ca="1" si="669"/>
        <v>1756501.7452458595</v>
      </c>
      <c r="AB370" s="7">
        <f t="shared" ca="1" si="669"/>
        <v>1793190.1198307537</v>
      </c>
      <c r="AC370" s="7">
        <f t="shared" ca="1" si="669"/>
        <v>1830945.016796795</v>
      </c>
      <c r="AD370" s="7">
        <f t="shared" ca="1" si="669"/>
        <v>1869806.7295462058</v>
      </c>
      <c r="AE370" s="7">
        <f t="shared" ca="1" si="669"/>
        <v>1919924.4525328081</v>
      </c>
      <c r="AF370" s="7">
        <f t="shared" ca="1" si="669"/>
        <v>1971739.9419416173</v>
      </c>
      <c r="AG370" s="7">
        <f t="shared" ca="1" si="669"/>
        <v>2025317.5778012427</v>
      </c>
      <c r="AH370" s="7">
        <f t="shared" ca="1" si="669"/>
        <v>2080724.2224962406</v>
      </c>
      <c r="AI370" s="7">
        <f t="shared" ca="1" si="669"/>
        <v>2138029.314381151</v>
      </c>
      <c r="AJ370" s="7">
        <f t="shared" ca="1" si="669"/>
        <v>2197304.9648157731</v>
      </c>
      <c r="AK370" s="7">
        <f t="shared" ca="1" si="669"/>
        <v>2258626.0587430005</v>
      </c>
      <c r="AL370" s="7">
        <f t="shared" ca="1" si="669"/>
        <v>2322070.3589347131</v>
      </c>
      <c r="AM370" s="7">
        <f t="shared" ca="1" si="669"/>
        <v>2387718.614035564</v>
      </c>
    </row>
    <row r="371" spans="1:39" x14ac:dyDescent="0.2">
      <c r="A371" s="3" t="s">
        <v>27</v>
      </c>
      <c r="C371" s="7">
        <f t="shared" ref="C371:AM371" ca="1" si="670">C97</f>
        <v>1680453.1852331229</v>
      </c>
      <c r="D371" s="7">
        <f t="shared" ca="1" si="670"/>
        <v>1747067.9844310579</v>
      </c>
      <c r="E371" s="7">
        <f t="shared" ca="1" si="670"/>
        <v>1834500.4505989298</v>
      </c>
      <c r="F371" s="7">
        <f t="shared" ca="1" si="670"/>
        <v>1902052.2239453536</v>
      </c>
      <c r="G371" s="7">
        <f t="shared" ca="1" si="670"/>
        <v>1918011.5787381453</v>
      </c>
      <c r="H371" s="7">
        <f t="shared" ca="1" si="670"/>
        <v>2022411.9314857356</v>
      </c>
      <c r="I371" s="7">
        <f t="shared" ca="1" si="670"/>
        <v>2122401.4152869554</v>
      </c>
      <c r="J371" s="7">
        <f t="shared" ca="1" si="670"/>
        <v>2241677.3415042977</v>
      </c>
      <c r="K371" s="7">
        <f t="shared" ca="1" si="670"/>
        <v>2349132.1587368511</v>
      </c>
      <c r="L371" s="7">
        <f t="shared" ca="1" si="670"/>
        <v>2544794.5008876659</v>
      </c>
      <c r="M371" s="7">
        <f t="shared" ca="1" si="670"/>
        <v>2649941.2126468173</v>
      </c>
      <c r="N371" s="7">
        <f t="shared" ca="1" si="670"/>
        <v>2794950.2867713384</v>
      </c>
      <c r="O371" s="7">
        <f t="shared" ca="1" si="670"/>
        <v>2958395.7698345711</v>
      </c>
      <c r="P371" s="7">
        <f t="shared" ca="1" si="670"/>
        <v>3129804.9746498452</v>
      </c>
      <c r="Q371" s="7">
        <f t="shared" ca="1" si="670"/>
        <v>3309465.4942626706</v>
      </c>
      <c r="R371" s="7">
        <f t="shared" ca="1" si="670"/>
        <v>3503873.6100133276</v>
      </c>
      <c r="S371" s="7">
        <f t="shared" ca="1" si="670"/>
        <v>3708032.2331689494</v>
      </c>
      <c r="T371" s="7">
        <f t="shared" ca="1" si="670"/>
        <v>3813004.9918801524</v>
      </c>
      <c r="U371" s="7">
        <f t="shared" ca="1" si="670"/>
        <v>3930082.7499404456</v>
      </c>
      <c r="V371" s="7">
        <f t="shared" ca="1" si="670"/>
        <v>4007595.1179999337</v>
      </c>
      <c r="W371" s="7">
        <f t="shared" ca="1" si="670"/>
        <v>4134248.7733800956</v>
      </c>
      <c r="X371" s="7">
        <f t="shared" ca="1" si="670"/>
        <v>4266399.8669676967</v>
      </c>
      <c r="Y371" s="7">
        <f t="shared" ca="1" si="670"/>
        <v>4379260.466412968</v>
      </c>
      <c r="Z371" s="7">
        <f t="shared" ca="1" si="670"/>
        <v>4496380.1346510015</v>
      </c>
      <c r="AA371" s="7">
        <f t="shared" ca="1" si="670"/>
        <v>4546335.0040084608</v>
      </c>
      <c r="AB371" s="7">
        <f t="shared" ca="1" si="670"/>
        <v>4663381.2042083293</v>
      </c>
      <c r="AC371" s="7">
        <f t="shared" ca="1" si="670"/>
        <v>4784320.576423944</v>
      </c>
      <c r="AD371" s="7">
        <f t="shared" ca="1" si="670"/>
        <v>4909276.9061785955</v>
      </c>
      <c r="AE371" s="7">
        <f t="shared" ca="1" si="670"/>
        <v>5048486.6563745402</v>
      </c>
      <c r="AF371" s="7">
        <f t="shared" ca="1" si="670"/>
        <v>5192482.7477544416</v>
      </c>
      <c r="AG371" s="7">
        <f t="shared" ca="1" si="670"/>
        <v>5341424.74805158</v>
      </c>
      <c r="AH371" s="7">
        <f t="shared" ca="1" si="670"/>
        <v>5500196.9325603163</v>
      </c>
      <c r="AI371" s="7">
        <f t="shared" ca="1" si="670"/>
        <v>5664897.2827477781</v>
      </c>
      <c r="AJ371" s="7">
        <f t="shared" ca="1" si="670"/>
        <v>5835772.3858440537</v>
      </c>
      <c r="AK371" s="7">
        <f t="shared" ca="1" si="670"/>
        <v>6013082.3633260485</v>
      </c>
      <c r="AL371" s="7">
        <f t="shared" ca="1" si="670"/>
        <v>6197101.6821891442</v>
      </c>
      <c r="AM371" s="7">
        <f t="shared" ca="1" si="670"/>
        <v>6388120.0249408167</v>
      </c>
    </row>
    <row r="372" spans="1:39" x14ac:dyDescent="0.2">
      <c r="A372" s="3"/>
      <c r="C372" s="10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  <c r="AE372" s="7"/>
      <c r="AF372" s="7"/>
      <c r="AG372" s="7"/>
      <c r="AH372" s="7"/>
      <c r="AI372" s="7"/>
      <c r="AJ372" s="7"/>
      <c r="AK372" s="7"/>
      <c r="AL372" s="7"/>
      <c r="AM372" s="7"/>
    </row>
    <row r="373" spans="1:39" x14ac:dyDescent="0.2">
      <c r="A373" s="15" t="s">
        <v>61</v>
      </c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  <c r="AE373" s="7"/>
      <c r="AF373" s="7"/>
      <c r="AG373" s="7"/>
      <c r="AH373" s="7"/>
      <c r="AI373" s="7"/>
      <c r="AJ373" s="7"/>
      <c r="AK373" s="7"/>
      <c r="AL373" s="7"/>
      <c r="AM373" s="7"/>
    </row>
    <row r="374" spans="1:39" x14ac:dyDescent="0.2">
      <c r="A374" s="3" t="s">
        <v>8</v>
      </c>
      <c r="C374" s="7">
        <f t="shared" ref="C374:AM374" ca="1" si="671">C337</f>
        <v>62919.0625</v>
      </c>
      <c r="D374" s="7">
        <f t="shared" ca="1" si="671"/>
        <v>72490.535937499997</v>
      </c>
      <c r="E374" s="7">
        <f t="shared" ca="1" si="671"/>
        <v>88207.499804687497</v>
      </c>
      <c r="F374" s="7">
        <f t="shared" ca="1" si="671"/>
        <v>85714.080452231734</v>
      </c>
      <c r="G374" s="7">
        <f t="shared" ca="1" si="671"/>
        <v>279276.11396248138</v>
      </c>
      <c r="H374" s="7">
        <f t="shared" ca="1" si="671"/>
        <v>321025.81800930644</v>
      </c>
      <c r="I374" s="7">
        <f t="shared" ca="1" si="671"/>
        <v>382892.09672247234</v>
      </c>
      <c r="J374" s="7">
        <f t="shared" ca="1" si="671"/>
        <v>449181.31879998074</v>
      </c>
      <c r="K374" s="7">
        <f t="shared" ca="1" si="671"/>
        <v>502080.69175229734</v>
      </c>
      <c r="L374" s="7">
        <f t="shared" ca="1" si="671"/>
        <v>641897.59165074176</v>
      </c>
      <c r="M374" s="7">
        <f t="shared" ca="1" si="671"/>
        <v>693438.66125641076</v>
      </c>
      <c r="N374" s="7">
        <f t="shared" ca="1" si="671"/>
        <v>798500.49246398674</v>
      </c>
      <c r="O374" s="7">
        <f t="shared" ca="1" si="671"/>
        <v>909267.05744988273</v>
      </c>
      <c r="P374" s="7">
        <f t="shared" ca="1" si="671"/>
        <v>1025981.2911249469</v>
      </c>
      <c r="Q374" s="7">
        <f t="shared" ca="1" si="671"/>
        <v>1148895.4105429514</v>
      </c>
      <c r="R374" s="7">
        <f t="shared" ca="1" si="671"/>
        <v>1278271.248199099</v>
      </c>
      <c r="S374" s="7">
        <f t="shared" ca="1" si="671"/>
        <v>1414380.5968228865</v>
      </c>
      <c r="T374" s="7">
        <f t="shared" ca="1" si="671"/>
        <v>1452527.6236677105</v>
      </c>
      <c r="U374" s="7">
        <f t="shared" ca="1" si="671"/>
        <v>1499854.2259580824</v>
      </c>
      <c r="V374" s="7">
        <f t="shared" ca="1" si="671"/>
        <v>1548907.5815076504</v>
      </c>
      <c r="W374" s="7">
        <f t="shared" ca="1" si="671"/>
        <v>1599752.4964402271</v>
      </c>
      <c r="X374" s="7">
        <f t="shared" ca="1" si="671"/>
        <v>1652456.179392647</v>
      </c>
      <c r="Y374" s="7">
        <f t="shared" ca="1" si="671"/>
        <v>1686171.2358988209</v>
      </c>
      <c r="Z374" s="7">
        <f t="shared" ca="1" si="671"/>
        <v>1720841.1811310996</v>
      </c>
      <c r="AA374" s="7">
        <f t="shared" ca="1" si="671"/>
        <v>1756501.7452458595</v>
      </c>
      <c r="AB374" s="7">
        <f t="shared" ca="1" si="671"/>
        <v>1793190.1198307537</v>
      </c>
      <c r="AC374" s="7">
        <f t="shared" ca="1" si="671"/>
        <v>1830945.016796795</v>
      </c>
      <c r="AD374" s="7">
        <f t="shared" ca="1" si="671"/>
        <v>1869806.7295462058</v>
      </c>
      <c r="AE374" s="7">
        <f t="shared" ca="1" si="671"/>
        <v>1919924.4525328081</v>
      </c>
      <c r="AF374" s="7">
        <f t="shared" ca="1" si="671"/>
        <v>1971739.9419416173</v>
      </c>
      <c r="AG374" s="7">
        <f t="shared" ca="1" si="671"/>
        <v>2025317.5778012427</v>
      </c>
      <c r="AH374" s="7">
        <f t="shared" ca="1" si="671"/>
        <v>2080724.2224962406</v>
      </c>
      <c r="AI374" s="7">
        <f t="shared" ca="1" si="671"/>
        <v>2138029.314381151</v>
      </c>
      <c r="AJ374" s="7">
        <f t="shared" ca="1" si="671"/>
        <v>2197304.9648157731</v>
      </c>
      <c r="AK374" s="7">
        <f t="shared" ca="1" si="671"/>
        <v>2258626.0587430005</v>
      </c>
      <c r="AL374" s="7">
        <f t="shared" ca="1" si="671"/>
        <v>2322070.3589347131</v>
      </c>
      <c r="AM374" s="7">
        <f t="shared" ca="1" si="671"/>
        <v>2387718.614035564</v>
      </c>
    </row>
    <row r="375" spans="1:39" x14ac:dyDescent="0.2">
      <c r="A375" s="3" t="s">
        <v>27</v>
      </c>
      <c r="C375" s="7">
        <f t="shared" ref="C375:AM375" ca="1" si="672">C365</f>
        <v>1680453.1852331229</v>
      </c>
      <c r="D375" s="7">
        <f t="shared" ca="1" si="672"/>
        <v>1747067.9844310579</v>
      </c>
      <c r="E375" s="7">
        <f t="shared" ca="1" si="672"/>
        <v>1834500.4505989298</v>
      </c>
      <c r="F375" s="7">
        <f t="shared" ca="1" si="672"/>
        <v>1902052.2239453536</v>
      </c>
      <c r="G375" s="7">
        <f t="shared" ca="1" si="672"/>
        <v>1918011.5787381453</v>
      </c>
      <c r="H375" s="7">
        <f t="shared" ca="1" si="672"/>
        <v>2022411.9314857356</v>
      </c>
      <c r="I375" s="7">
        <f t="shared" ca="1" si="672"/>
        <v>2122401.4152869554</v>
      </c>
      <c r="J375" s="7">
        <f t="shared" ca="1" si="672"/>
        <v>2241677.3415042977</v>
      </c>
      <c r="K375" s="7">
        <f t="shared" ca="1" si="672"/>
        <v>2349132.1587368511</v>
      </c>
      <c r="L375" s="7">
        <f t="shared" ca="1" si="672"/>
        <v>2544794.5008876654</v>
      </c>
      <c r="M375" s="7">
        <f t="shared" ca="1" si="672"/>
        <v>2649941.2126468173</v>
      </c>
      <c r="N375" s="7">
        <f t="shared" ca="1" si="672"/>
        <v>2794950.2867713384</v>
      </c>
      <c r="O375" s="7">
        <f t="shared" ca="1" si="672"/>
        <v>2958395.7698345711</v>
      </c>
      <c r="P375" s="7">
        <f t="shared" ca="1" si="672"/>
        <v>3129804.9746498452</v>
      </c>
      <c r="Q375" s="7">
        <f t="shared" ca="1" si="672"/>
        <v>3309465.4942626706</v>
      </c>
      <c r="R375" s="7">
        <f t="shared" ca="1" si="672"/>
        <v>3503873.6100133276</v>
      </c>
      <c r="S375" s="7">
        <f t="shared" ca="1" si="672"/>
        <v>3708032.2331689494</v>
      </c>
      <c r="T375" s="7">
        <f t="shared" ca="1" si="672"/>
        <v>3813004.9918801524</v>
      </c>
      <c r="U375" s="7">
        <f t="shared" ca="1" si="672"/>
        <v>3930082.7499404456</v>
      </c>
      <c r="V375" s="7">
        <f t="shared" ca="1" si="672"/>
        <v>4007595.1179999337</v>
      </c>
      <c r="W375" s="7">
        <f t="shared" ca="1" si="672"/>
        <v>4134248.7733800956</v>
      </c>
      <c r="X375" s="7">
        <f t="shared" ca="1" si="672"/>
        <v>4266399.8669676967</v>
      </c>
      <c r="Y375" s="7">
        <f t="shared" ca="1" si="672"/>
        <v>4379260.466412968</v>
      </c>
      <c r="Z375" s="7">
        <f t="shared" ca="1" si="672"/>
        <v>4496380.1346510015</v>
      </c>
      <c r="AA375" s="7">
        <f t="shared" ca="1" si="672"/>
        <v>4546335.0040084608</v>
      </c>
      <c r="AB375" s="7">
        <f t="shared" ca="1" si="672"/>
        <v>4663381.2042083293</v>
      </c>
      <c r="AC375" s="7">
        <f t="shared" ca="1" si="672"/>
        <v>4784320.576423944</v>
      </c>
      <c r="AD375" s="7">
        <f t="shared" ca="1" si="672"/>
        <v>4909276.9061785955</v>
      </c>
      <c r="AE375" s="7">
        <f t="shared" ca="1" si="672"/>
        <v>5048486.6563745402</v>
      </c>
      <c r="AF375" s="7">
        <f t="shared" ca="1" si="672"/>
        <v>5192482.7477544416</v>
      </c>
      <c r="AG375" s="7">
        <f t="shared" ca="1" si="672"/>
        <v>5341424.74805158</v>
      </c>
      <c r="AH375" s="7">
        <f t="shared" ca="1" si="672"/>
        <v>5500196.9325603163</v>
      </c>
      <c r="AI375" s="7">
        <f t="shared" ca="1" si="672"/>
        <v>5664897.2827477781</v>
      </c>
      <c r="AJ375" s="7">
        <f t="shared" ca="1" si="672"/>
        <v>5835772.3858440537</v>
      </c>
      <c r="AK375" s="7">
        <f t="shared" ca="1" si="672"/>
        <v>6013082.3633260485</v>
      </c>
      <c r="AL375" s="7">
        <f t="shared" ca="1" si="672"/>
        <v>6197101.6821891442</v>
      </c>
      <c r="AM375" s="7">
        <f t="shared" ca="1" si="672"/>
        <v>6388120.0249408158</v>
      </c>
    </row>
    <row r="376" spans="1:39" x14ac:dyDescent="0.2">
      <c r="A376" s="3"/>
      <c r="C376" s="7"/>
      <c r="D376" s="7"/>
      <c r="E376" s="23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  <c r="AE376" s="7"/>
      <c r="AF376" s="7"/>
      <c r="AG376" s="7"/>
      <c r="AH376" s="7"/>
      <c r="AI376" s="7"/>
      <c r="AJ376" s="7"/>
      <c r="AK376" s="7"/>
      <c r="AL376" s="7"/>
      <c r="AM376" s="7"/>
    </row>
    <row r="377" spans="1:39" x14ac:dyDescent="0.2">
      <c r="A377" s="15" t="s">
        <v>62</v>
      </c>
      <c r="B377" s="2" t="s">
        <v>1</v>
      </c>
      <c r="C377" s="7">
        <f t="shared" ref="C377:AM377" si="673">C3</f>
        <v>48</v>
      </c>
      <c r="D377" s="7">
        <f t="shared" si="673"/>
        <v>49</v>
      </c>
      <c r="E377" s="7">
        <f t="shared" si="673"/>
        <v>50</v>
      </c>
      <c r="F377" s="7">
        <f t="shared" si="673"/>
        <v>51</v>
      </c>
      <c r="G377" s="7">
        <f t="shared" si="673"/>
        <v>52</v>
      </c>
      <c r="H377" s="7">
        <f t="shared" si="673"/>
        <v>53</v>
      </c>
      <c r="I377" s="7">
        <f t="shared" si="673"/>
        <v>54</v>
      </c>
      <c r="J377" s="7">
        <f t="shared" si="673"/>
        <v>55</v>
      </c>
      <c r="K377" s="7">
        <f t="shared" si="673"/>
        <v>56</v>
      </c>
      <c r="L377" s="7">
        <f t="shared" si="673"/>
        <v>57</v>
      </c>
      <c r="M377" s="7">
        <f t="shared" si="673"/>
        <v>58</v>
      </c>
      <c r="N377" s="7">
        <f t="shared" si="673"/>
        <v>59</v>
      </c>
      <c r="O377" s="7">
        <f t="shared" si="673"/>
        <v>60</v>
      </c>
      <c r="P377" s="7">
        <f t="shared" si="673"/>
        <v>61</v>
      </c>
      <c r="Q377" s="7">
        <f t="shared" si="673"/>
        <v>62</v>
      </c>
      <c r="R377" s="7">
        <f t="shared" si="673"/>
        <v>63</v>
      </c>
      <c r="S377" s="7">
        <f t="shared" si="673"/>
        <v>64</v>
      </c>
      <c r="T377" s="7">
        <f t="shared" si="673"/>
        <v>65</v>
      </c>
      <c r="U377" s="7">
        <f t="shared" si="673"/>
        <v>66</v>
      </c>
      <c r="V377" s="7">
        <f t="shared" si="673"/>
        <v>67</v>
      </c>
      <c r="W377" s="7">
        <f t="shared" si="673"/>
        <v>68</v>
      </c>
      <c r="X377" s="7">
        <f t="shared" si="673"/>
        <v>69</v>
      </c>
      <c r="Y377" s="7">
        <f t="shared" si="673"/>
        <v>70</v>
      </c>
      <c r="Z377" s="7">
        <f t="shared" si="673"/>
        <v>71</v>
      </c>
      <c r="AA377" s="7">
        <f t="shared" si="673"/>
        <v>72</v>
      </c>
      <c r="AB377" s="7">
        <f t="shared" si="673"/>
        <v>73</v>
      </c>
      <c r="AC377" s="7">
        <f t="shared" si="673"/>
        <v>74</v>
      </c>
      <c r="AD377" s="7">
        <f t="shared" si="673"/>
        <v>75</v>
      </c>
      <c r="AE377" s="7">
        <f t="shared" si="673"/>
        <v>76</v>
      </c>
      <c r="AF377" s="7">
        <f t="shared" si="673"/>
        <v>77</v>
      </c>
      <c r="AG377" s="7">
        <f t="shared" si="673"/>
        <v>78</v>
      </c>
      <c r="AH377" s="7">
        <f t="shared" si="673"/>
        <v>79</v>
      </c>
      <c r="AI377" s="7">
        <f t="shared" si="673"/>
        <v>80</v>
      </c>
      <c r="AJ377" s="7">
        <f t="shared" si="673"/>
        <v>81</v>
      </c>
      <c r="AK377" s="7">
        <f t="shared" si="673"/>
        <v>82</v>
      </c>
      <c r="AL377" s="7">
        <f t="shared" si="673"/>
        <v>83</v>
      </c>
      <c r="AM377" s="7">
        <f t="shared" si="673"/>
        <v>84</v>
      </c>
    </row>
    <row r="378" spans="1:39" x14ac:dyDescent="0.2">
      <c r="A378" s="3" t="s">
        <v>60</v>
      </c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  <c r="AE378" s="7"/>
      <c r="AF378" s="7"/>
      <c r="AG378" s="7"/>
      <c r="AH378" s="7"/>
      <c r="AI378" s="7"/>
      <c r="AJ378" s="7"/>
      <c r="AK378" s="7"/>
      <c r="AL378" s="7"/>
      <c r="AM378" s="7"/>
    </row>
    <row r="379" spans="1:39" x14ac:dyDescent="0.2">
      <c r="A379" s="3" t="s">
        <v>8</v>
      </c>
      <c r="C379" s="7">
        <f t="shared" ref="C379:AM379" ca="1" si="674">C370</f>
        <v>62919.0625</v>
      </c>
      <c r="D379" s="7">
        <f t="shared" ca="1" si="674"/>
        <v>72490.535937499997</v>
      </c>
      <c r="E379" s="7">
        <f t="shared" ca="1" si="674"/>
        <v>88207.499804687497</v>
      </c>
      <c r="F379" s="7">
        <f t="shared" ca="1" si="674"/>
        <v>85714.080452231734</v>
      </c>
      <c r="G379" s="7">
        <f t="shared" ca="1" si="674"/>
        <v>279276.11396248138</v>
      </c>
      <c r="H379" s="7">
        <f t="shared" ca="1" si="674"/>
        <v>321025.81800930644</v>
      </c>
      <c r="I379" s="7">
        <f t="shared" ca="1" si="674"/>
        <v>382892.09672247234</v>
      </c>
      <c r="J379" s="7">
        <f t="shared" ca="1" si="674"/>
        <v>449181.31879998074</v>
      </c>
      <c r="K379" s="7">
        <f t="shared" ca="1" si="674"/>
        <v>502080.69175229734</v>
      </c>
      <c r="L379" s="7">
        <f t="shared" ca="1" si="674"/>
        <v>641897.59165074176</v>
      </c>
      <c r="M379" s="7">
        <f t="shared" ca="1" si="674"/>
        <v>693438.66125641076</v>
      </c>
      <c r="N379" s="7">
        <f t="shared" ca="1" si="674"/>
        <v>798500.49246398674</v>
      </c>
      <c r="O379" s="7">
        <f t="shared" ca="1" si="674"/>
        <v>909267.05744988273</v>
      </c>
      <c r="P379" s="7">
        <f t="shared" ca="1" si="674"/>
        <v>1025981.2911249469</v>
      </c>
      <c r="Q379" s="7">
        <f t="shared" ca="1" si="674"/>
        <v>1148895.4105429514</v>
      </c>
      <c r="R379" s="7">
        <f t="shared" ca="1" si="674"/>
        <v>1278271.248199099</v>
      </c>
      <c r="S379" s="7">
        <f t="shared" ca="1" si="674"/>
        <v>1414380.5968228865</v>
      </c>
      <c r="T379" s="7">
        <f t="shared" ca="1" si="674"/>
        <v>1452527.6236677105</v>
      </c>
      <c r="U379" s="7">
        <f t="shared" ca="1" si="674"/>
        <v>1499854.2259580824</v>
      </c>
      <c r="V379" s="7">
        <f t="shared" ca="1" si="674"/>
        <v>1548907.5815076504</v>
      </c>
      <c r="W379" s="7">
        <f t="shared" ca="1" si="674"/>
        <v>1599752.4964402271</v>
      </c>
      <c r="X379" s="7">
        <f t="shared" ca="1" si="674"/>
        <v>1652456.179392647</v>
      </c>
      <c r="Y379" s="7">
        <f t="shared" ca="1" si="674"/>
        <v>1686171.2358988209</v>
      </c>
      <c r="Z379" s="7">
        <f t="shared" ca="1" si="674"/>
        <v>1720841.1811310996</v>
      </c>
      <c r="AA379" s="7">
        <f t="shared" ca="1" si="674"/>
        <v>1756501.7452458595</v>
      </c>
      <c r="AB379" s="7">
        <f t="shared" ca="1" si="674"/>
        <v>1793190.1198307537</v>
      </c>
      <c r="AC379" s="7">
        <f t="shared" ca="1" si="674"/>
        <v>1830945.016796795</v>
      </c>
      <c r="AD379" s="7">
        <f t="shared" ca="1" si="674"/>
        <v>1869806.7295462058</v>
      </c>
      <c r="AE379" s="7">
        <f t="shared" ca="1" si="674"/>
        <v>1919924.4525328081</v>
      </c>
      <c r="AF379" s="7">
        <f t="shared" ca="1" si="674"/>
        <v>1971739.9419416173</v>
      </c>
      <c r="AG379" s="7">
        <f t="shared" ca="1" si="674"/>
        <v>2025317.5778012427</v>
      </c>
      <c r="AH379" s="7">
        <f t="shared" ca="1" si="674"/>
        <v>2080724.2224962406</v>
      </c>
      <c r="AI379" s="7">
        <f t="shared" ca="1" si="674"/>
        <v>2138029.314381151</v>
      </c>
      <c r="AJ379" s="7">
        <f t="shared" ca="1" si="674"/>
        <v>2197304.9648157731</v>
      </c>
      <c r="AK379" s="7">
        <f t="shared" ca="1" si="674"/>
        <v>2258626.0587430005</v>
      </c>
      <c r="AL379" s="7">
        <f t="shared" ca="1" si="674"/>
        <v>2322070.3589347131</v>
      </c>
      <c r="AM379" s="7">
        <f t="shared" ca="1" si="674"/>
        <v>2387718.614035564</v>
      </c>
    </row>
    <row r="380" spans="1:39" x14ac:dyDescent="0.2">
      <c r="A380" s="3" t="s">
        <v>27</v>
      </c>
      <c r="C380" s="7">
        <f t="shared" ref="C380:AM380" ca="1" si="675">C371</f>
        <v>1680453.1852331229</v>
      </c>
      <c r="D380" s="7">
        <f t="shared" ca="1" si="675"/>
        <v>1747067.9844310579</v>
      </c>
      <c r="E380" s="7">
        <f t="shared" ca="1" si="675"/>
        <v>1834500.4505989298</v>
      </c>
      <c r="F380" s="7">
        <f t="shared" ca="1" si="675"/>
        <v>1902052.2239453536</v>
      </c>
      <c r="G380" s="7">
        <f t="shared" ca="1" si="675"/>
        <v>1918011.5787381453</v>
      </c>
      <c r="H380" s="7">
        <f t="shared" ca="1" si="675"/>
        <v>2022411.9314857356</v>
      </c>
      <c r="I380" s="7">
        <f t="shared" ca="1" si="675"/>
        <v>2122401.4152869554</v>
      </c>
      <c r="J380" s="7">
        <f t="shared" ca="1" si="675"/>
        <v>2241677.3415042977</v>
      </c>
      <c r="K380" s="7">
        <f t="shared" ca="1" si="675"/>
        <v>2349132.1587368511</v>
      </c>
      <c r="L380" s="7">
        <f t="shared" ca="1" si="675"/>
        <v>2544794.5008876659</v>
      </c>
      <c r="M380" s="7">
        <f t="shared" ca="1" si="675"/>
        <v>2649941.2126468173</v>
      </c>
      <c r="N380" s="7">
        <f t="shared" ca="1" si="675"/>
        <v>2794950.2867713384</v>
      </c>
      <c r="O380" s="7">
        <f t="shared" ca="1" si="675"/>
        <v>2958395.7698345711</v>
      </c>
      <c r="P380" s="7">
        <f t="shared" ca="1" si="675"/>
        <v>3129804.9746498452</v>
      </c>
      <c r="Q380" s="7">
        <f t="shared" ca="1" si="675"/>
        <v>3309465.4942626706</v>
      </c>
      <c r="R380" s="7">
        <f t="shared" ca="1" si="675"/>
        <v>3503873.6100133276</v>
      </c>
      <c r="S380" s="7">
        <f t="shared" ca="1" si="675"/>
        <v>3708032.2331689494</v>
      </c>
      <c r="T380" s="7">
        <f t="shared" ca="1" si="675"/>
        <v>3813004.9918801524</v>
      </c>
      <c r="U380" s="7">
        <f t="shared" ca="1" si="675"/>
        <v>3930082.7499404456</v>
      </c>
      <c r="V380" s="7">
        <f t="shared" ca="1" si="675"/>
        <v>4007595.1179999337</v>
      </c>
      <c r="W380" s="7">
        <f t="shared" ca="1" si="675"/>
        <v>4134248.7733800956</v>
      </c>
      <c r="X380" s="7">
        <f t="shared" ca="1" si="675"/>
        <v>4266399.8669676967</v>
      </c>
      <c r="Y380" s="7">
        <f t="shared" ca="1" si="675"/>
        <v>4379260.466412968</v>
      </c>
      <c r="Z380" s="7">
        <f t="shared" ca="1" si="675"/>
        <v>4496380.1346510015</v>
      </c>
      <c r="AA380" s="7">
        <f t="shared" ca="1" si="675"/>
        <v>4546335.0040084608</v>
      </c>
      <c r="AB380" s="7">
        <f t="shared" ca="1" si="675"/>
        <v>4663381.2042083293</v>
      </c>
      <c r="AC380" s="7">
        <f t="shared" ca="1" si="675"/>
        <v>4784320.576423944</v>
      </c>
      <c r="AD380" s="7">
        <f t="shared" ca="1" si="675"/>
        <v>4909276.9061785955</v>
      </c>
      <c r="AE380" s="7">
        <f t="shared" ca="1" si="675"/>
        <v>5048486.6563745402</v>
      </c>
      <c r="AF380" s="7">
        <f t="shared" ca="1" si="675"/>
        <v>5192482.7477544416</v>
      </c>
      <c r="AG380" s="7">
        <f t="shared" ca="1" si="675"/>
        <v>5341424.74805158</v>
      </c>
      <c r="AH380" s="7">
        <f t="shared" ca="1" si="675"/>
        <v>5500196.9325603163</v>
      </c>
      <c r="AI380" s="7">
        <f t="shared" ca="1" si="675"/>
        <v>5664897.2827477781</v>
      </c>
      <c r="AJ380" s="7">
        <f t="shared" ca="1" si="675"/>
        <v>5835772.3858440537</v>
      </c>
      <c r="AK380" s="7">
        <f t="shared" ca="1" si="675"/>
        <v>6013082.3633260485</v>
      </c>
      <c r="AL380" s="7">
        <f t="shared" ca="1" si="675"/>
        <v>6197101.6821891442</v>
      </c>
      <c r="AM380" s="7">
        <f t="shared" ca="1" si="675"/>
        <v>6388120.0249408167</v>
      </c>
    </row>
    <row r="381" spans="1:39" x14ac:dyDescent="0.2">
      <c r="A381" s="3" t="s">
        <v>61</v>
      </c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  <c r="AE381" s="7"/>
      <c r="AF381" s="7"/>
      <c r="AG381" s="7"/>
      <c r="AH381" s="7"/>
      <c r="AI381" s="7"/>
      <c r="AJ381" s="7"/>
      <c r="AK381" s="7"/>
      <c r="AL381" s="7"/>
      <c r="AM381" s="7"/>
    </row>
    <row r="382" spans="1:39" x14ac:dyDescent="0.2">
      <c r="A382" s="16" t="s">
        <v>8</v>
      </c>
      <c r="C382" s="7">
        <f ca="1">C374</f>
        <v>62919.0625</v>
      </c>
      <c r="D382" s="7">
        <f t="shared" ref="D382:G382" ca="1" si="676">D374</f>
        <v>72490.535937499997</v>
      </c>
      <c r="E382" s="7">
        <f t="shared" ca="1" si="676"/>
        <v>88207.499804687497</v>
      </c>
      <c r="F382" s="7">
        <f t="shared" ca="1" si="676"/>
        <v>85714.080452231734</v>
      </c>
      <c r="G382" s="7">
        <f t="shared" ca="1" si="676"/>
        <v>279276.11396248138</v>
      </c>
      <c r="H382" s="7">
        <f t="shared" ref="H382:I382" ca="1" si="677">H374</f>
        <v>321025.81800930644</v>
      </c>
      <c r="I382" s="7">
        <f t="shared" ca="1" si="677"/>
        <v>382892.09672247234</v>
      </c>
      <c r="J382" s="7">
        <f t="shared" ref="J382:AM382" ca="1" si="678">J374</f>
        <v>449181.31879998074</v>
      </c>
      <c r="K382" s="7">
        <f t="shared" ca="1" si="678"/>
        <v>502080.69175229734</v>
      </c>
      <c r="L382" s="7">
        <f t="shared" ca="1" si="678"/>
        <v>641897.59165074176</v>
      </c>
      <c r="M382" s="7">
        <f t="shared" ca="1" si="678"/>
        <v>693438.66125641076</v>
      </c>
      <c r="N382" s="7">
        <f t="shared" ca="1" si="678"/>
        <v>798500.49246398674</v>
      </c>
      <c r="O382" s="7">
        <f t="shared" ca="1" si="678"/>
        <v>909267.05744988273</v>
      </c>
      <c r="P382" s="7">
        <f t="shared" ca="1" si="678"/>
        <v>1025981.2911249469</v>
      </c>
      <c r="Q382" s="7">
        <f t="shared" ca="1" si="678"/>
        <v>1148895.4105429514</v>
      </c>
      <c r="R382" s="7">
        <f t="shared" ca="1" si="678"/>
        <v>1278271.248199099</v>
      </c>
      <c r="S382" s="7">
        <f t="shared" ca="1" si="678"/>
        <v>1414380.5968228865</v>
      </c>
      <c r="T382" s="7">
        <f t="shared" ca="1" si="678"/>
        <v>1452527.6236677105</v>
      </c>
      <c r="U382" s="7">
        <f t="shared" ca="1" si="678"/>
        <v>1499854.2259580824</v>
      </c>
      <c r="V382" s="7">
        <f t="shared" ca="1" si="678"/>
        <v>1548907.5815076504</v>
      </c>
      <c r="W382" s="7">
        <f t="shared" ca="1" si="678"/>
        <v>1599752.4964402271</v>
      </c>
      <c r="X382" s="7">
        <f t="shared" ca="1" si="678"/>
        <v>1652456.179392647</v>
      </c>
      <c r="Y382" s="7">
        <f t="shared" ca="1" si="678"/>
        <v>1686171.2358988209</v>
      </c>
      <c r="Z382" s="7">
        <f t="shared" ca="1" si="678"/>
        <v>1720841.1811310996</v>
      </c>
      <c r="AA382" s="7">
        <f t="shared" ca="1" si="678"/>
        <v>1756501.7452458595</v>
      </c>
      <c r="AB382" s="7">
        <f t="shared" ca="1" si="678"/>
        <v>1793190.1198307537</v>
      </c>
      <c r="AC382" s="7">
        <f t="shared" ca="1" si="678"/>
        <v>1830945.016796795</v>
      </c>
      <c r="AD382" s="7">
        <f t="shared" ca="1" si="678"/>
        <v>1869806.7295462058</v>
      </c>
      <c r="AE382" s="7">
        <f t="shared" ca="1" si="678"/>
        <v>1919924.4525328081</v>
      </c>
      <c r="AF382" s="7">
        <f t="shared" ca="1" si="678"/>
        <v>1971739.9419416173</v>
      </c>
      <c r="AG382" s="7">
        <f t="shared" ca="1" si="678"/>
        <v>2025317.5778012427</v>
      </c>
      <c r="AH382" s="7">
        <f t="shared" ca="1" si="678"/>
        <v>2080724.2224962406</v>
      </c>
      <c r="AI382" s="7">
        <f t="shared" ca="1" si="678"/>
        <v>2138029.314381151</v>
      </c>
      <c r="AJ382" s="7">
        <f t="shared" ca="1" si="678"/>
        <v>2197304.9648157731</v>
      </c>
      <c r="AK382" s="7">
        <f t="shared" ca="1" si="678"/>
        <v>2258626.0587430005</v>
      </c>
      <c r="AL382" s="7">
        <f t="shared" ca="1" si="678"/>
        <v>2322070.3589347131</v>
      </c>
      <c r="AM382" s="86">
        <f t="shared" ca="1" si="678"/>
        <v>2387718.614035564</v>
      </c>
    </row>
    <row r="383" spans="1:39" x14ac:dyDescent="0.2">
      <c r="A383" s="16" t="s">
        <v>27</v>
      </c>
      <c r="C383" s="7">
        <f ca="1">C375</f>
        <v>1680453.1852331229</v>
      </c>
      <c r="D383" s="7">
        <f t="shared" ref="D383:G383" ca="1" si="679">D375</f>
        <v>1747067.9844310579</v>
      </c>
      <c r="E383" s="7">
        <f t="shared" ca="1" si="679"/>
        <v>1834500.4505989298</v>
      </c>
      <c r="F383" s="7">
        <f t="shared" ca="1" si="679"/>
        <v>1902052.2239453536</v>
      </c>
      <c r="G383" s="7">
        <f t="shared" ca="1" si="679"/>
        <v>1918011.5787381453</v>
      </c>
      <c r="H383" s="7">
        <f t="shared" ref="H383:I383" ca="1" si="680">H375</f>
        <v>2022411.9314857356</v>
      </c>
      <c r="I383" s="7">
        <f t="shared" ca="1" si="680"/>
        <v>2122401.4152869554</v>
      </c>
      <c r="J383" s="7">
        <f t="shared" ref="J383:AM383" ca="1" si="681">J375</f>
        <v>2241677.3415042977</v>
      </c>
      <c r="K383" s="7">
        <f t="shared" ca="1" si="681"/>
        <v>2349132.1587368511</v>
      </c>
      <c r="L383" s="7">
        <f t="shared" ca="1" si="681"/>
        <v>2544794.5008876654</v>
      </c>
      <c r="M383" s="7">
        <f t="shared" ca="1" si="681"/>
        <v>2649941.2126468173</v>
      </c>
      <c r="N383" s="7">
        <f t="shared" ca="1" si="681"/>
        <v>2794950.2867713384</v>
      </c>
      <c r="O383" s="7">
        <f t="shared" ca="1" si="681"/>
        <v>2958395.7698345711</v>
      </c>
      <c r="P383" s="7">
        <f t="shared" ca="1" si="681"/>
        <v>3129804.9746498452</v>
      </c>
      <c r="Q383" s="7">
        <f t="shared" ca="1" si="681"/>
        <v>3309465.4942626706</v>
      </c>
      <c r="R383" s="7">
        <f t="shared" ca="1" si="681"/>
        <v>3503873.6100133276</v>
      </c>
      <c r="S383" s="7">
        <f t="shared" ca="1" si="681"/>
        <v>3708032.2331689494</v>
      </c>
      <c r="T383" s="7">
        <f t="shared" ca="1" si="681"/>
        <v>3813004.9918801524</v>
      </c>
      <c r="U383" s="7">
        <f t="shared" ca="1" si="681"/>
        <v>3930082.7499404456</v>
      </c>
      <c r="V383" s="7">
        <f t="shared" ca="1" si="681"/>
        <v>4007595.1179999337</v>
      </c>
      <c r="W383" s="7">
        <f t="shared" ca="1" si="681"/>
        <v>4134248.7733800956</v>
      </c>
      <c r="X383" s="7">
        <f t="shared" ca="1" si="681"/>
        <v>4266399.8669676967</v>
      </c>
      <c r="Y383" s="7">
        <f t="shared" ca="1" si="681"/>
        <v>4379260.466412968</v>
      </c>
      <c r="Z383" s="7">
        <f t="shared" ca="1" si="681"/>
        <v>4496380.1346510015</v>
      </c>
      <c r="AA383" s="7">
        <f t="shared" ca="1" si="681"/>
        <v>4546335.0040084608</v>
      </c>
      <c r="AB383" s="7">
        <f t="shared" ca="1" si="681"/>
        <v>4663381.2042083293</v>
      </c>
      <c r="AC383" s="7">
        <f t="shared" ca="1" si="681"/>
        <v>4784320.576423944</v>
      </c>
      <c r="AD383" s="7">
        <f t="shared" ca="1" si="681"/>
        <v>4909276.9061785955</v>
      </c>
      <c r="AE383" s="7">
        <f t="shared" ca="1" si="681"/>
        <v>5048486.6563745402</v>
      </c>
      <c r="AF383" s="7">
        <f t="shared" ca="1" si="681"/>
        <v>5192482.7477544416</v>
      </c>
      <c r="AG383" s="7">
        <f t="shared" ca="1" si="681"/>
        <v>5341424.74805158</v>
      </c>
      <c r="AH383" s="7">
        <f t="shared" ca="1" si="681"/>
        <v>5500196.9325603163</v>
      </c>
      <c r="AI383" s="7">
        <f t="shared" ca="1" si="681"/>
        <v>5664897.2827477781</v>
      </c>
      <c r="AJ383" s="7">
        <f t="shared" ca="1" si="681"/>
        <v>5835772.3858440537</v>
      </c>
      <c r="AK383" s="7">
        <f t="shared" ca="1" si="681"/>
        <v>6013082.3633260485</v>
      </c>
      <c r="AL383" s="7">
        <f t="shared" ca="1" si="681"/>
        <v>6197101.6821891442</v>
      </c>
      <c r="AM383" s="87">
        <f t="shared" ca="1" si="681"/>
        <v>6388120.0249408158</v>
      </c>
    </row>
    <row r="384" spans="1:39" x14ac:dyDescent="0.2"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  <c r="AE384" s="7"/>
      <c r="AF384" s="7"/>
      <c r="AG384" s="7"/>
      <c r="AH384" s="7"/>
      <c r="AI384" s="7"/>
      <c r="AJ384" s="7"/>
      <c r="AK384" s="7"/>
      <c r="AL384" s="7"/>
      <c r="AM384" s="7"/>
    </row>
    <row r="385" spans="1:39" x14ac:dyDescent="0.2">
      <c r="A385" s="16" t="s">
        <v>177</v>
      </c>
      <c r="C385" s="7">
        <f t="shared" ref="C385:AM385" si="682">buffer</f>
        <v>50000</v>
      </c>
      <c r="D385" s="7">
        <f t="shared" si="682"/>
        <v>50000</v>
      </c>
      <c r="E385" s="7">
        <f t="shared" si="682"/>
        <v>50000</v>
      </c>
      <c r="F385" s="7">
        <f t="shared" si="682"/>
        <v>50000</v>
      </c>
      <c r="G385" s="7">
        <f t="shared" si="682"/>
        <v>50000</v>
      </c>
      <c r="H385" s="7">
        <f t="shared" si="682"/>
        <v>50000</v>
      </c>
      <c r="I385" s="7">
        <f t="shared" si="682"/>
        <v>50000</v>
      </c>
      <c r="J385" s="7">
        <f t="shared" si="682"/>
        <v>50000</v>
      </c>
      <c r="K385" s="7">
        <f t="shared" si="682"/>
        <v>50000</v>
      </c>
      <c r="L385" s="7">
        <f t="shared" si="682"/>
        <v>50000</v>
      </c>
      <c r="M385" s="7">
        <f t="shared" si="682"/>
        <v>50000</v>
      </c>
      <c r="N385" s="7">
        <f t="shared" si="682"/>
        <v>50000</v>
      </c>
      <c r="O385" s="7">
        <f t="shared" si="682"/>
        <v>50000</v>
      </c>
      <c r="P385" s="7">
        <f t="shared" si="682"/>
        <v>50000</v>
      </c>
      <c r="Q385" s="7">
        <f t="shared" si="682"/>
        <v>50000</v>
      </c>
      <c r="R385" s="7">
        <f t="shared" si="682"/>
        <v>50000</v>
      </c>
      <c r="S385" s="7">
        <f t="shared" si="682"/>
        <v>50000</v>
      </c>
      <c r="T385" s="7">
        <f t="shared" si="682"/>
        <v>50000</v>
      </c>
      <c r="U385" s="7">
        <f t="shared" si="682"/>
        <v>50000</v>
      </c>
      <c r="V385" s="7">
        <f t="shared" si="682"/>
        <v>50000</v>
      </c>
      <c r="W385" s="7">
        <f t="shared" si="682"/>
        <v>50000</v>
      </c>
      <c r="X385" s="7">
        <f t="shared" si="682"/>
        <v>50000</v>
      </c>
      <c r="Y385" s="7">
        <f t="shared" si="682"/>
        <v>50000</v>
      </c>
      <c r="Z385" s="7">
        <f t="shared" si="682"/>
        <v>50000</v>
      </c>
      <c r="AA385" s="7">
        <f t="shared" si="682"/>
        <v>50000</v>
      </c>
      <c r="AB385" s="7">
        <f t="shared" si="682"/>
        <v>50000</v>
      </c>
      <c r="AC385" s="7">
        <f t="shared" si="682"/>
        <v>50000</v>
      </c>
      <c r="AD385" s="7">
        <f t="shared" si="682"/>
        <v>50000</v>
      </c>
      <c r="AE385" s="7">
        <f t="shared" si="682"/>
        <v>50000</v>
      </c>
      <c r="AF385" s="7">
        <f t="shared" si="682"/>
        <v>50000</v>
      </c>
      <c r="AG385" s="7">
        <f t="shared" si="682"/>
        <v>50000</v>
      </c>
      <c r="AH385" s="7">
        <f t="shared" si="682"/>
        <v>50000</v>
      </c>
      <c r="AI385" s="7">
        <f t="shared" si="682"/>
        <v>50000</v>
      </c>
      <c r="AJ385" s="7">
        <f t="shared" si="682"/>
        <v>50000</v>
      </c>
      <c r="AK385" s="7">
        <f t="shared" si="682"/>
        <v>50000</v>
      </c>
      <c r="AL385" s="7">
        <f t="shared" si="682"/>
        <v>50000</v>
      </c>
      <c r="AM385" s="7">
        <f t="shared" si="682"/>
        <v>50000</v>
      </c>
    </row>
    <row r="386" spans="1:39" x14ac:dyDescent="0.2">
      <c r="A386" s="16" t="s">
        <v>175</v>
      </c>
      <c r="C386" s="7">
        <f t="shared" ref="C386:AM386" si="683">legacy</f>
        <v>1000000</v>
      </c>
      <c r="D386" s="7">
        <f t="shared" si="683"/>
        <v>1000000</v>
      </c>
      <c r="E386" s="7">
        <f t="shared" si="683"/>
        <v>1000000</v>
      </c>
      <c r="F386" s="7">
        <f t="shared" si="683"/>
        <v>1000000</v>
      </c>
      <c r="G386" s="7">
        <f t="shared" si="683"/>
        <v>1000000</v>
      </c>
      <c r="H386" s="7">
        <f t="shared" si="683"/>
        <v>1000000</v>
      </c>
      <c r="I386" s="7">
        <f t="shared" si="683"/>
        <v>1000000</v>
      </c>
      <c r="J386" s="7">
        <f t="shared" si="683"/>
        <v>1000000</v>
      </c>
      <c r="K386" s="7">
        <f t="shared" si="683"/>
        <v>1000000</v>
      </c>
      <c r="L386" s="7">
        <f t="shared" si="683"/>
        <v>1000000</v>
      </c>
      <c r="M386" s="7">
        <f t="shared" si="683"/>
        <v>1000000</v>
      </c>
      <c r="N386" s="7">
        <f t="shared" si="683"/>
        <v>1000000</v>
      </c>
      <c r="O386" s="7">
        <f t="shared" si="683"/>
        <v>1000000</v>
      </c>
      <c r="P386" s="7">
        <f t="shared" si="683"/>
        <v>1000000</v>
      </c>
      <c r="Q386" s="7">
        <f t="shared" si="683"/>
        <v>1000000</v>
      </c>
      <c r="R386" s="7">
        <f t="shared" si="683"/>
        <v>1000000</v>
      </c>
      <c r="S386" s="7">
        <f t="shared" si="683"/>
        <v>1000000</v>
      </c>
      <c r="T386" s="7">
        <f t="shared" si="683"/>
        <v>1000000</v>
      </c>
      <c r="U386" s="7">
        <f t="shared" si="683"/>
        <v>1000000</v>
      </c>
      <c r="V386" s="7">
        <f t="shared" si="683"/>
        <v>1000000</v>
      </c>
      <c r="W386" s="7">
        <f t="shared" si="683"/>
        <v>1000000</v>
      </c>
      <c r="X386" s="7">
        <f t="shared" si="683"/>
        <v>1000000</v>
      </c>
      <c r="Y386" s="7">
        <f t="shared" si="683"/>
        <v>1000000</v>
      </c>
      <c r="Z386" s="7">
        <f t="shared" si="683"/>
        <v>1000000</v>
      </c>
      <c r="AA386" s="7">
        <f t="shared" si="683"/>
        <v>1000000</v>
      </c>
      <c r="AB386" s="7">
        <f t="shared" si="683"/>
        <v>1000000</v>
      </c>
      <c r="AC386" s="7">
        <f t="shared" si="683"/>
        <v>1000000</v>
      </c>
      <c r="AD386" s="7">
        <f t="shared" si="683"/>
        <v>1000000</v>
      </c>
      <c r="AE386" s="7">
        <f t="shared" si="683"/>
        <v>1000000</v>
      </c>
      <c r="AF386" s="7">
        <f t="shared" si="683"/>
        <v>1000000</v>
      </c>
      <c r="AG386" s="7">
        <f t="shared" si="683"/>
        <v>1000000</v>
      </c>
      <c r="AH386" s="7">
        <f t="shared" si="683"/>
        <v>1000000</v>
      </c>
      <c r="AI386" s="7">
        <f t="shared" si="683"/>
        <v>1000000</v>
      </c>
      <c r="AJ386" s="7">
        <f t="shared" si="683"/>
        <v>1000000</v>
      </c>
      <c r="AK386" s="7">
        <f t="shared" si="683"/>
        <v>1000000</v>
      </c>
      <c r="AL386" s="7">
        <f t="shared" si="683"/>
        <v>1000000</v>
      </c>
      <c r="AM386" s="7">
        <f t="shared" si="683"/>
        <v>1000000</v>
      </c>
    </row>
    <row r="387" spans="1:39" x14ac:dyDescent="0.2"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  <c r="AE387" s="7"/>
      <c r="AF387" s="7"/>
      <c r="AG387" s="7"/>
      <c r="AH387" s="7"/>
      <c r="AI387" s="7"/>
      <c r="AJ387" s="7"/>
      <c r="AK387" s="7"/>
      <c r="AL387" s="7"/>
      <c r="AM387" s="7"/>
    </row>
    <row r="388" spans="1:39" x14ac:dyDescent="0.2"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  <c r="AE388" s="7"/>
      <c r="AF388" s="7"/>
      <c r="AG388" s="7"/>
      <c r="AH388" s="7"/>
      <c r="AI388" s="7"/>
      <c r="AJ388" s="7"/>
      <c r="AK388" s="7"/>
      <c r="AL388" s="7"/>
      <c r="AM388" s="7"/>
    </row>
    <row r="389" spans="1:39" x14ac:dyDescent="0.2"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  <c r="AE389" s="7"/>
      <c r="AF389" s="7"/>
      <c r="AG389" s="7"/>
      <c r="AH389" s="7"/>
      <c r="AI389" s="7"/>
      <c r="AJ389" s="7"/>
      <c r="AK389" s="7"/>
      <c r="AL389" s="7"/>
      <c r="AM389" s="7"/>
    </row>
    <row r="390" spans="1:39" x14ac:dyDescent="0.2"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  <c r="AE390" s="7"/>
      <c r="AF390" s="7"/>
      <c r="AG390" s="7"/>
      <c r="AH390" s="7"/>
      <c r="AI390" s="7"/>
      <c r="AJ390" s="7"/>
      <c r="AK390" s="7"/>
      <c r="AL390" s="7"/>
      <c r="AM390" s="7"/>
    </row>
    <row r="391" spans="1:39" x14ac:dyDescent="0.2"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  <c r="AE391" s="7"/>
      <c r="AF391" s="7"/>
      <c r="AG391" s="7"/>
      <c r="AH391" s="7"/>
      <c r="AI391" s="7"/>
      <c r="AJ391" s="7"/>
      <c r="AK391" s="7"/>
      <c r="AL391" s="7"/>
      <c r="AM391" s="7"/>
    </row>
    <row r="392" spans="1:39" x14ac:dyDescent="0.2"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  <c r="AE392" s="7"/>
      <c r="AF392" s="7"/>
      <c r="AG392" s="7"/>
      <c r="AH392" s="7"/>
      <c r="AI392" s="7"/>
      <c r="AJ392" s="7"/>
      <c r="AK392" s="7"/>
      <c r="AL392" s="7"/>
      <c r="AM392" s="7"/>
    </row>
    <row r="393" spans="1:39" x14ac:dyDescent="0.2"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  <c r="AE393" s="7"/>
      <c r="AF393" s="7"/>
      <c r="AG393" s="7"/>
      <c r="AH393" s="7"/>
      <c r="AI393" s="7"/>
      <c r="AJ393" s="7"/>
      <c r="AK393" s="7"/>
      <c r="AL393" s="7"/>
      <c r="AM393" s="7"/>
    </row>
    <row r="394" spans="1:39" x14ac:dyDescent="0.2"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  <c r="AE394" s="7"/>
      <c r="AF394" s="7"/>
      <c r="AG394" s="7"/>
      <c r="AH394" s="7"/>
      <c r="AI394" s="7"/>
      <c r="AJ394" s="7"/>
      <c r="AK394" s="7"/>
      <c r="AL394" s="7"/>
      <c r="AM394" s="7"/>
    </row>
    <row r="395" spans="1:39" x14ac:dyDescent="0.2"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  <c r="AE395" s="7"/>
      <c r="AF395" s="7"/>
      <c r="AG395" s="7"/>
      <c r="AH395" s="7"/>
      <c r="AI395" s="7"/>
      <c r="AJ395" s="7"/>
      <c r="AK395" s="7"/>
      <c r="AL395" s="7"/>
      <c r="AM395" s="7"/>
    </row>
    <row r="396" spans="1:39" x14ac:dyDescent="0.2"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  <c r="AE396" s="7"/>
      <c r="AF396" s="7"/>
      <c r="AG396" s="7"/>
      <c r="AH396" s="7"/>
      <c r="AI396" s="7"/>
      <c r="AJ396" s="7"/>
      <c r="AK396" s="7"/>
      <c r="AL396" s="7"/>
      <c r="AM396" s="7"/>
    </row>
    <row r="397" spans="1:39" x14ac:dyDescent="0.2"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  <c r="AE397" s="7"/>
      <c r="AF397" s="7"/>
      <c r="AG397" s="7"/>
      <c r="AH397" s="7"/>
      <c r="AI397" s="7"/>
      <c r="AJ397" s="7"/>
      <c r="AK397" s="7"/>
      <c r="AL397" s="7"/>
      <c r="AM397" s="7"/>
    </row>
    <row r="398" spans="1:39" x14ac:dyDescent="0.2"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  <c r="AE398" s="7"/>
      <c r="AF398" s="7"/>
      <c r="AG398" s="7"/>
      <c r="AH398" s="7"/>
      <c r="AI398" s="7"/>
      <c r="AJ398" s="7"/>
      <c r="AK398" s="7"/>
      <c r="AL398" s="7"/>
      <c r="AM398" s="7"/>
    </row>
    <row r="399" spans="1:39" x14ac:dyDescent="0.2"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  <c r="AE399" s="7"/>
      <c r="AF399" s="7"/>
      <c r="AG399" s="7"/>
      <c r="AH399" s="7"/>
      <c r="AI399" s="7"/>
      <c r="AJ399" s="7"/>
      <c r="AK399" s="7"/>
      <c r="AL399" s="7"/>
      <c r="AM399" s="7"/>
    </row>
    <row r="400" spans="1:39" x14ac:dyDescent="0.2"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  <c r="AE400" s="7"/>
      <c r="AF400" s="7"/>
      <c r="AG400" s="7"/>
      <c r="AH400" s="7"/>
      <c r="AI400" s="7"/>
      <c r="AJ400" s="7"/>
      <c r="AK400" s="7"/>
      <c r="AL400" s="7"/>
      <c r="AM400" s="7"/>
    </row>
    <row r="401" spans="3:39" x14ac:dyDescent="0.2"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  <c r="AE401" s="7"/>
      <c r="AF401" s="7"/>
      <c r="AG401" s="7"/>
      <c r="AH401" s="7"/>
      <c r="AI401" s="7"/>
      <c r="AJ401" s="7"/>
      <c r="AK401" s="7"/>
      <c r="AL401" s="7"/>
      <c r="AM401" s="7"/>
    </row>
    <row r="402" spans="3:39" x14ac:dyDescent="0.2"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  <c r="AE402" s="7"/>
      <c r="AF402" s="7"/>
      <c r="AG402" s="7"/>
      <c r="AH402" s="7"/>
      <c r="AI402" s="7"/>
      <c r="AJ402" s="7"/>
      <c r="AK402" s="7"/>
      <c r="AL402" s="7"/>
      <c r="AM402" s="7"/>
    </row>
    <row r="403" spans="3:39" x14ac:dyDescent="0.2"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  <c r="AE403" s="7"/>
      <c r="AF403" s="7"/>
      <c r="AG403" s="7"/>
      <c r="AH403" s="7"/>
      <c r="AI403" s="7"/>
      <c r="AJ403" s="7"/>
      <c r="AK403" s="7"/>
      <c r="AL403" s="7"/>
      <c r="AM403" s="7"/>
    </row>
    <row r="404" spans="3:39" x14ac:dyDescent="0.2"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  <c r="AE404" s="7"/>
      <c r="AF404" s="7"/>
      <c r="AG404" s="7"/>
      <c r="AH404" s="7"/>
      <c r="AI404" s="7"/>
      <c r="AJ404" s="7"/>
      <c r="AK404" s="7"/>
      <c r="AL404" s="7"/>
      <c r="AM404" s="7"/>
    </row>
    <row r="405" spans="3:39" x14ac:dyDescent="0.2"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  <c r="AE405" s="7"/>
      <c r="AF405" s="7"/>
      <c r="AG405" s="7"/>
      <c r="AH405" s="7"/>
      <c r="AI405" s="7"/>
      <c r="AJ405" s="7"/>
      <c r="AK405" s="7"/>
      <c r="AL405" s="7"/>
      <c r="AM405" s="7"/>
    </row>
    <row r="406" spans="3:39" x14ac:dyDescent="0.2"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  <c r="AE406" s="7"/>
      <c r="AF406" s="7"/>
      <c r="AG406" s="7"/>
      <c r="AH406" s="7"/>
      <c r="AI406" s="7"/>
      <c r="AJ406" s="7"/>
      <c r="AK406" s="7"/>
      <c r="AL406" s="7"/>
      <c r="AM406" s="7"/>
    </row>
    <row r="407" spans="3:39" x14ac:dyDescent="0.2"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  <c r="AE407" s="7"/>
      <c r="AF407" s="7"/>
      <c r="AG407" s="7"/>
      <c r="AH407" s="7"/>
      <c r="AI407" s="7"/>
      <c r="AJ407" s="7"/>
      <c r="AK407" s="7"/>
      <c r="AL407" s="7"/>
      <c r="AM407" s="7"/>
    </row>
    <row r="408" spans="3:39" x14ac:dyDescent="0.2"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  <c r="AE408" s="7"/>
      <c r="AF408" s="7"/>
      <c r="AG408" s="7"/>
      <c r="AH408" s="7"/>
      <c r="AI408" s="7"/>
      <c r="AJ408" s="7"/>
      <c r="AK408" s="7"/>
      <c r="AL408" s="7"/>
      <c r="AM408" s="7"/>
    </row>
    <row r="409" spans="3:39" x14ac:dyDescent="0.2"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  <c r="AE409" s="7"/>
      <c r="AF409" s="7"/>
      <c r="AG409" s="7"/>
      <c r="AH409" s="7"/>
      <c r="AI409" s="7"/>
      <c r="AJ409" s="7"/>
      <c r="AK409" s="7"/>
      <c r="AL409" s="7"/>
      <c r="AM409" s="7"/>
    </row>
    <row r="410" spans="3:39" x14ac:dyDescent="0.2"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  <c r="AE410" s="7"/>
      <c r="AF410" s="7"/>
      <c r="AG410" s="7"/>
      <c r="AH410" s="7"/>
      <c r="AI410" s="7"/>
      <c r="AJ410" s="7"/>
      <c r="AK410" s="7"/>
      <c r="AL410" s="7"/>
      <c r="AM410" s="7"/>
    </row>
    <row r="411" spans="3:39" x14ac:dyDescent="0.2"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  <c r="AE411" s="7"/>
      <c r="AF411" s="7"/>
      <c r="AG411" s="7"/>
      <c r="AH411" s="7"/>
      <c r="AI411" s="7"/>
      <c r="AJ411" s="7"/>
      <c r="AK411" s="7"/>
      <c r="AL411" s="7"/>
      <c r="AM411" s="7"/>
    </row>
    <row r="412" spans="3:39" x14ac:dyDescent="0.2"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  <c r="AE412" s="7"/>
      <c r="AF412" s="7"/>
      <c r="AG412" s="7"/>
      <c r="AH412" s="7"/>
      <c r="AI412" s="7"/>
      <c r="AJ412" s="7"/>
      <c r="AK412" s="7"/>
      <c r="AL412" s="7"/>
      <c r="AM412" s="7"/>
    </row>
    <row r="413" spans="3:39" x14ac:dyDescent="0.2"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  <c r="AE413" s="7"/>
      <c r="AF413" s="7"/>
      <c r="AG413" s="7"/>
      <c r="AH413" s="7"/>
      <c r="AI413" s="7"/>
      <c r="AJ413" s="7"/>
      <c r="AK413" s="7"/>
      <c r="AL413" s="7"/>
      <c r="AM413" s="7"/>
    </row>
    <row r="414" spans="3:39" x14ac:dyDescent="0.2"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  <c r="AE414" s="7"/>
      <c r="AF414" s="7"/>
      <c r="AG414" s="7"/>
      <c r="AH414" s="7"/>
      <c r="AI414" s="7"/>
      <c r="AJ414" s="7"/>
      <c r="AK414" s="7"/>
      <c r="AL414" s="7"/>
      <c r="AM414" s="7"/>
    </row>
    <row r="415" spans="3:39" x14ac:dyDescent="0.2"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  <c r="AE415" s="7"/>
      <c r="AF415" s="7"/>
      <c r="AG415" s="7"/>
      <c r="AH415" s="7"/>
      <c r="AI415" s="7"/>
      <c r="AJ415" s="7"/>
      <c r="AK415" s="7"/>
      <c r="AL415" s="7"/>
      <c r="AM415" s="7"/>
    </row>
    <row r="416" spans="3:39" x14ac:dyDescent="0.2"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  <c r="AE416" s="7"/>
      <c r="AF416" s="7"/>
      <c r="AG416" s="7"/>
      <c r="AH416" s="7"/>
      <c r="AI416" s="7"/>
      <c r="AJ416" s="7"/>
      <c r="AK416" s="7"/>
      <c r="AL416" s="7"/>
      <c r="AM416" s="7"/>
    </row>
    <row r="417" spans="3:39" x14ac:dyDescent="0.2"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  <c r="AE417" s="7"/>
      <c r="AF417" s="7"/>
      <c r="AG417" s="7"/>
      <c r="AH417" s="7"/>
      <c r="AI417" s="7"/>
      <c r="AJ417" s="7"/>
      <c r="AK417" s="7"/>
      <c r="AL417" s="7"/>
      <c r="AM417" s="7"/>
    </row>
    <row r="418" spans="3:39" x14ac:dyDescent="0.2"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  <c r="AE418" s="7"/>
      <c r="AF418" s="7"/>
      <c r="AG418" s="7"/>
      <c r="AH418" s="7"/>
      <c r="AI418" s="7"/>
      <c r="AJ418" s="7"/>
      <c r="AK418" s="7"/>
      <c r="AL418" s="7"/>
      <c r="AM418" s="7"/>
    </row>
    <row r="419" spans="3:39" x14ac:dyDescent="0.2"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  <c r="AE419" s="7"/>
      <c r="AF419" s="7"/>
      <c r="AG419" s="7"/>
      <c r="AH419" s="7"/>
      <c r="AI419" s="7"/>
      <c r="AJ419" s="7"/>
      <c r="AK419" s="7"/>
      <c r="AL419" s="7"/>
      <c r="AM419" s="7"/>
    </row>
    <row r="420" spans="3:39" x14ac:dyDescent="0.2"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  <c r="AE420" s="7"/>
      <c r="AF420" s="7"/>
      <c r="AG420" s="7"/>
      <c r="AH420" s="7"/>
      <c r="AI420" s="7"/>
      <c r="AJ420" s="7"/>
      <c r="AK420" s="7"/>
      <c r="AL420" s="7"/>
      <c r="AM420" s="7"/>
    </row>
    <row r="421" spans="3:39" x14ac:dyDescent="0.2"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  <c r="AE421" s="7"/>
      <c r="AF421" s="7"/>
      <c r="AG421" s="7"/>
      <c r="AH421" s="7"/>
      <c r="AI421" s="7"/>
      <c r="AJ421" s="7"/>
      <c r="AK421" s="7"/>
      <c r="AL421" s="7"/>
      <c r="AM421" s="7"/>
    </row>
    <row r="422" spans="3:39" x14ac:dyDescent="0.2"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  <c r="AE422" s="7"/>
      <c r="AF422" s="7"/>
      <c r="AG422" s="7"/>
      <c r="AH422" s="7"/>
      <c r="AI422" s="7"/>
      <c r="AJ422" s="7"/>
      <c r="AK422" s="7"/>
      <c r="AL422" s="7"/>
      <c r="AM422" s="7"/>
    </row>
    <row r="423" spans="3:39" x14ac:dyDescent="0.2"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  <c r="AE423" s="7"/>
      <c r="AF423" s="7"/>
      <c r="AG423" s="7"/>
      <c r="AH423" s="7"/>
      <c r="AI423" s="7"/>
      <c r="AJ423" s="7"/>
      <c r="AK423" s="7"/>
      <c r="AL423" s="7"/>
      <c r="AM423" s="7"/>
    </row>
    <row r="424" spans="3:39" x14ac:dyDescent="0.2"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  <c r="AE424" s="7"/>
      <c r="AF424" s="7"/>
      <c r="AG424" s="7"/>
      <c r="AH424" s="7"/>
      <c r="AI424" s="7"/>
      <c r="AJ424" s="7"/>
      <c r="AK424" s="7"/>
      <c r="AL424" s="7"/>
      <c r="AM424" s="7"/>
    </row>
    <row r="425" spans="3:39" x14ac:dyDescent="0.2"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  <c r="AE425" s="7"/>
      <c r="AF425" s="7"/>
      <c r="AG425" s="7"/>
      <c r="AH425" s="7"/>
      <c r="AI425" s="7"/>
      <c r="AJ425" s="7"/>
      <c r="AK425" s="7"/>
      <c r="AL425" s="7"/>
      <c r="AM425" s="7"/>
    </row>
    <row r="426" spans="3:39" x14ac:dyDescent="0.2"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  <c r="AE426" s="7"/>
      <c r="AF426" s="7"/>
      <c r="AG426" s="7"/>
      <c r="AH426" s="7"/>
      <c r="AI426" s="7"/>
      <c r="AJ426" s="7"/>
      <c r="AK426" s="7"/>
      <c r="AL426" s="7"/>
      <c r="AM426" s="7"/>
    </row>
    <row r="427" spans="3:39" x14ac:dyDescent="0.2"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  <c r="AE427" s="7"/>
      <c r="AF427" s="7"/>
      <c r="AG427" s="7"/>
      <c r="AH427" s="7"/>
      <c r="AI427" s="7"/>
      <c r="AJ427" s="7"/>
      <c r="AK427" s="7"/>
      <c r="AL427" s="7"/>
      <c r="AM427" s="7"/>
    </row>
    <row r="428" spans="3:39" x14ac:dyDescent="0.2"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  <c r="AE428" s="7"/>
      <c r="AF428" s="7"/>
      <c r="AG428" s="7"/>
      <c r="AH428" s="7"/>
      <c r="AI428" s="7"/>
      <c r="AJ428" s="7"/>
      <c r="AK428" s="7"/>
      <c r="AL428" s="7"/>
      <c r="AM428" s="7"/>
    </row>
    <row r="429" spans="3:39" x14ac:dyDescent="0.2"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  <c r="AE429" s="7"/>
      <c r="AF429" s="7"/>
      <c r="AG429" s="7"/>
      <c r="AH429" s="7"/>
      <c r="AI429" s="7"/>
      <c r="AJ429" s="7"/>
      <c r="AK429" s="7"/>
      <c r="AL429" s="7"/>
      <c r="AM429" s="7"/>
    </row>
    <row r="430" spans="3:39" x14ac:dyDescent="0.2"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  <c r="AE430" s="7"/>
      <c r="AF430" s="7"/>
      <c r="AG430" s="7"/>
      <c r="AH430" s="7"/>
      <c r="AI430" s="7"/>
      <c r="AJ430" s="7"/>
      <c r="AK430" s="7"/>
      <c r="AL430" s="7"/>
      <c r="AM430" s="7"/>
    </row>
    <row r="431" spans="3:39" x14ac:dyDescent="0.2"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  <c r="AE431" s="7"/>
      <c r="AF431" s="7"/>
      <c r="AG431" s="7"/>
      <c r="AH431" s="7"/>
      <c r="AI431" s="7"/>
      <c r="AJ431" s="7"/>
      <c r="AK431" s="7"/>
      <c r="AL431" s="7"/>
      <c r="AM431" s="7"/>
    </row>
    <row r="432" spans="3:39" x14ac:dyDescent="0.2"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  <c r="AE432" s="7"/>
      <c r="AF432" s="7"/>
      <c r="AG432" s="7"/>
      <c r="AH432" s="7"/>
      <c r="AI432" s="7"/>
      <c r="AJ432" s="7"/>
      <c r="AK432" s="7"/>
      <c r="AL432" s="7"/>
      <c r="AM432" s="7"/>
    </row>
    <row r="433" spans="3:39" x14ac:dyDescent="0.2"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  <c r="AE433" s="7"/>
      <c r="AF433" s="7"/>
      <c r="AG433" s="7"/>
      <c r="AH433" s="7"/>
      <c r="AI433" s="7"/>
      <c r="AJ433" s="7"/>
      <c r="AK433" s="7"/>
      <c r="AL433" s="7"/>
      <c r="AM433" s="7"/>
    </row>
    <row r="434" spans="3:39" x14ac:dyDescent="0.2"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  <c r="AE434" s="7"/>
      <c r="AF434" s="7"/>
      <c r="AG434" s="7"/>
      <c r="AH434" s="7"/>
      <c r="AI434" s="7"/>
      <c r="AJ434" s="7"/>
      <c r="AK434" s="7"/>
      <c r="AL434" s="7"/>
      <c r="AM434" s="7"/>
    </row>
    <row r="435" spans="3:39" x14ac:dyDescent="0.2"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  <c r="AE435" s="7"/>
      <c r="AF435" s="7"/>
      <c r="AG435" s="7"/>
      <c r="AH435" s="7"/>
      <c r="AI435" s="7"/>
      <c r="AJ435" s="7"/>
      <c r="AK435" s="7"/>
      <c r="AL435" s="7"/>
      <c r="AM435" s="7"/>
    </row>
    <row r="436" spans="3:39" x14ac:dyDescent="0.2"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  <c r="AE436" s="7"/>
      <c r="AF436" s="7"/>
      <c r="AG436" s="7"/>
      <c r="AH436" s="7"/>
      <c r="AI436" s="7"/>
      <c r="AJ436" s="7"/>
      <c r="AK436" s="7"/>
      <c r="AL436" s="7"/>
      <c r="AM436" s="7"/>
    </row>
    <row r="437" spans="3:39" x14ac:dyDescent="0.2"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  <c r="AE437" s="7"/>
      <c r="AF437" s="7"/>
      <c r="AG437" s="7"/>
      <c r="AH437" s="7"/>
      <c r="AI437" s="7"/>
      <c r="AJ437" s="7"/>
      <c r="AK437" s="7"/>
      <c r="AL437" s="7"/>
      <c r="AM437" s="7"/>
    </row>
    <row r="438" spans="3:39" x14ac:dyDescent="0.2"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  <c r="AE438" s="7"/>
      <c r="AF438" s="7"/>
      <c r="AG438" s="7"/>
      <c r="AH438" s="7"/>
      <c r="AI438" s="7"/>
      <c r="AJ438" s="7"/>
      <c r="AK438" s="7"/>
      <c r="AL438" s="7"/>
      <c r="AM438" s="7"/>
    </row>
    <row r="439" spans="3:39" x14ac:dyDescent="0.2"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  <c r="AE439" s="7"/>
      <c r="AF439" s="7"/>
      <c r="AG439" s="7"/>
      <c r="AH439" s="7"/>
      <c r="AI439" s="7"/>
      <c r="AJ439" s="7"/>
      <c r="AK439" s="7"/>
      <c r="AL439" s="7"/>
      <c r="AM439" s="7"/>
    </row>
    <row r="440" spans="3:39" x14ac:dyDescent="0.2"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  <c r="AE440" s="7"/>
      <c r="AF440" s="7"/>
      <c r="AG440" s="7"/>
      <c r="AH440" s="7"/>
      <c r="AI440" s="7"/>
      <c r="AJ440" s="7"/>
      <c r="AK440" s="7"/>
      <c r="AL440" s="7"/>
      <c r="AM440" s="7"/>
    </row>
    <row r="441" spans="3:39" x14ac:dyDescent="0.2"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  <c r="AE441" s="7"/>
      <c r="AF441" s="7"/>
      <c r="AG441" s="7"/>
      <c r="AH441" s="7"/>
      <c r="AI441" s="7"/>
      <c r="AJ441" s="7"/>
      <c r="AK441" s="7"/>
      <c r="AL441" s="7"/>
      <c r="AM441" s="7"/>
    </row>
    <row r="442" spans="3:39" x14ac:dyDescent="0.2"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  <c r="AE442" s="7"/>
      <c r="AF442" s="7"/>
      <c r="AG442" s="7"/>
      <c r="AH442" s="7"/>
      <c r="AI442" s="7"/>
      <c r="AJ442" s="7"/>
      <c r="AK442" s="7"/>
      <c r="AL442" s="7"/>
      <c r="AM442" s="7"/>
    </row>
    <row r="443" spans="3:39" x14ac:dyDescent="0.2"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  <c r="AE443" s="7"/>
      <c r="AF443" s="7"/>
      <c r="AG443" s="7"/>
      <c r="AH443" s="7"/>
      <c r="AI443" s="7"/>
      <c r="AJ443" s="7"/>
      <c r="AK443" s="7"/>
      <c r="AL443" s="7"/>
      <c r="AM443" s="7"/>
    </row>
    <row r="444" spans="3:39" x14ac:dyDescent="0.2"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  <c r="AE444" s="7"/>
      <c r="AF444" s="7"/>
      <c r="AG444" s="7"/>
      <c r="AH444" s="7"/>
      <c r="AI444" s="7"/>
      <c r="AJ444" s="7"/>
      <c r="AK444" s="7"/>
      <c r="AL444" s="7"/>
      <c r="AM444" s="7"/>
    </row>
    <row r="445" spans="3:39" x14ac:dyDescent="0.2"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  <c r="AE445" s="7"/>
      <c r="AF445" s="7"/>
      <c r="AG445" s="7"/>
      <c r="AH445" s="7"/>
      <c r="AI445" s="7"/>
      <c r="AJ445" s="7"/>
      <c r="AK445" s="7"/>
      <c r="AL445" s="7"/>
      <c r="AM445" s="7"/>
    </row>
    <row r="446" spans="3:39" x14ac:dyDescent="0.2"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  <c r="AE446" s="7"/>
      <c r="AF446" s="7"/>
      <c r="AG446" s="7"/>
      <c r="AH446" s="7"/>
      <c r="AI446" s="7"/>
      <c r="AJ446" s="7"/>
      <c r="AK446" s="7"/>
      <c r="AL446" s="7"/>
      <c r="AM446" s="7"/>
    </row>
    <row r="447" spans="3:39" x14ac:dyDescent="0.2"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  <c r="AE447" s="7"/>
      <c r="AF447" s="7"/>
      <c r="AG447" s="7"/>
      <c r="AH447" s="7"/>
      <c r="AI447" s="7"/>
      <c r="AJ447" s="7"/>
      <c r="AK447" s="7"/>
      <c r="AL447" s="7"/>
      <c r="AM447" s="7"/>
    </row>
    <row r="448" spans="3:39" x14ac:dyDescent="0.2"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  <c r="AE448" s="7"/>
      <c r="AF448" s="7"/>
      <c r="AG448" s="7"/>
      <c r="AH448" s="7"/>
      <c r="AI448" s="7"/>
      <c r="AJ448" s="7"/>
      <c r="AK448" s="7"/>
      <c r="AL448" s="7"/>
      <c r="AM448" s="7"/>
    </row>
    <row r="449" spans="3:39" x14ac:dyDescent="0.2"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  <c r="AE449" s="7"/>
      <c r="AF449" s="7"/>
      <c r="AG449" s="7"/>
      <c r="AH449" s="7"/>
      <c r="AI449" s="7"/>
      <c r="AJ449" s="7"/>
      <c r="AK449" s="7"/>
      <c r="AL449" s="7"/>
      <c r="AM449" s="7"/>
    </row>
    <row r="450" spans="3:39" x14ac:dyDescent="0.2"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  <c r="AE450" s="7"/>
      <c r="AF450" s="7"/>
      <c r="AG450" s="7"/>
      <c r="AH450" s="7"/>
      <c r="AI450" s="7"/>
      <c r="AJ450" s="7"/>
      <c r="AK450" s="7"/>
      <c r="AL450" s="7"/>
      <c r="AM450" s="7"/>
    </row>
    <row r="451" spans="3:39" x14ac:dyDescent="0.2"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  <c r="AE451" s="7"/>
      <c r="AF451" s="7"/>
      <c r="AG451" s="7"/>
      <c r="AH451" s="7"/>
      <c r="AI451" s="7"/>
      <c r="AJ451" s="7"/>
      <c r="AK451" s="7"/>
      <c r="AL451" s="7"/>
      <c r="AM451" s="7"/>
    </row>
    <row r="452" spans="3:39" x14ac:dyDescent="0.2"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  <c r="AE452" s="7"/>
      <c r="AF452" s="7"/>
      <c r="AG452" s="7"/>
      <c r="AH452" s="7"/>
      <c r="AI452" s="7"/>
      <c r="AJ452" s="7"/>
      <c r="AK452" s="7"/>
      <c r="AL452" s="7"/>
      <c r="AM452" s="7"/>
    </row>
    <row r="453" spans="3:39" x14ac:dyDescent="0.2"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  <c r="AE453" s="7"/>
      <c r="AF453" s="7"/>
      <c r="AG453" s="7"/>
      <c r="AH453" s="7"/>
      <c r="AI453" s="7"/>
      <c r="AJ453" s="7"/>
      <c r="AK453" s="7"/>
      <c r="AL453" s="7"/>
      <c r="AM453" s="7"/>
    </row>
    <row r="454" spans="3:39" x14ac:dyDescent="0.2"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  <c r="AE454" s="7"/>
      <c r="AF454" s="7"/>
      <c r="AG454" s="7"/>
      <c r="AH454" s="7"/>
      <c r="AI454" s="7"/>
      <c r="AJ454" s="7"/>
      <c r="AK454" s="7"/>
      <c r="AL454" s="7"/>
      <c r="AM454" s="7"/>
    </row>
    <row r="455" spans="3:39" x14ac:dyDescent="0.2"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  <c r="AE455" s="7"/>
      <c r="AF455" s="7"/>
      <c r="AG455" s="7"/>
      <c r="AH455" s="7"/>
      <c r="AI455" s="7"/>
      <c r="AJ455" s="7"/>
      <c r="AK455" s="7"/>
      <c r="AL455" s="7"/>
      <c r="AM455" s="7"/>
    </row>
    <row r="456" spans="3:39" x14ac:dyDescent="0.2"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  <c r="AE456" s="7"/>
      <c r="AF456" s="7"/>
      <c r="AG456" s="7"/>
      <c r="AH456" s="7"/>
      <c r="AI456" s="7"/>
      <c r="AJ456" s="7"/>
      <c r="AK456" s="7"/>
      <c r="AL456" s="7"/>
      <c r="AM456" s="7"/>
    </row>
    <row r="457" spans="3:39" x14ac:dyDescent="0.2"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  <c r="AE457" s="7"/>
      <c r="AF457" s="7"/>
      <c r="AG457" s="7"/>
      <c r="AH457" s="7"/>
      <c r="AI457" s="7"/>
      <c r="AJ457" s="7"/>
      <c r="AK457" s="7"/>
      <c r="AL457" s="7"/>
      <c r="AM457" s="7"/>
    </row>
    <row r="458" spans="3:39" x14ac:dyDescent="0.2"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  <c r="AE458" s="7"/>
      <c r="AF458" s="7"/>
      <c r="AG458" s="7"/>
      <c r="AH458" s="7"/>
      <c r="AI458" s="7"/>
      <c r="AJ458" s="7"/>
      <c r="AK458" s="7"/>
      <c r="AL458" s="7"/>
      <c r="AM458" s="7"/>
    </row>
    <row r="459" spans="3:39" x14ac:dyDescent="0.2"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  <c r="AE459" s="7"/>
      <c r="AF459" s="7"/>
      <c r="AG459" s="7"/>
      <c r="AH459" s="7"/>
      <c r="AI459" s="7"/>
      <c r="AJ459" s="7"/>
      <c r="AK459" s="7"/>
      <c r="AL459" s="7"/>
      <c r="AM459" s="7"/>
    </row>
    <row r="460" spans="3:39" x14ac:dyDescent="0.2"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  <c r="AE460" s="7"/>
      <c r="AF460" s="7"/>
      <c r="AG460" s="7"/>
      <c r="AH460" s="7"/>
      <c r="AI460" s="7"/>
      <c r="AJ460" s="7"/>
      <c r="AK460" s="7"/>
      <c r="AL460" s="7"/>
      <c r="AM460" s="7"/>
    </row>
    <row r="461" spans="3:39" x14ac:dyDescent="0.2"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  <c r="AE461" s="7"/>
      <c r="AF461" s="7"/>
      <c r="AG461" s="7"/>
      <c r="AH461" s="7"/>
      <c r="AI461" s="7"/>
      <c r="AJ461" s="7"/>
      <c r="AK461" s="7"/>
      <c r="AL461" s="7"/>
      <c r="AM461" s="7"/>
    </row>
    <row r="462" spans="3:39" x14ac:dyDescent="0.2"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  <c r="AE462" s="7"/>
      <c r="AF462" s="7"/>
      <c r="AG462" s="7"/>
      <c r="AH462" s="7"/>
      <c r="AI462" s="7"/>
      <c r="AJ462" s="7"/>
      <c r="AK462" s="7"/>
      <c r="AL462" s="7"/>
      <c r="AM462" s="7"/>
    </row>
    <row r="463" spans="3:39" x14ac:dyDescent="0.2"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  <c r="AE463" s="7"/>
      <c r="AF463" s="7"/>
      <c r="AG463" s="7"/>
      <c r="AH463" s="7"/>
      <c r="AI463" s="7"/>
      <c r="AJ463" s="7"/>
      <c r="AK463" s="7"/>
      <c r="AL463" s="7"/>
      <c r="AM463" s="7"/>
    </row>
    <row r="464" spans="3:39" x14ac:dyDescent="0.2"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  <c r="AE464" s="7"/>
      <c r="AF464" s="7"/>
      <c r="AG464" s="7"/>
      <c r="AH464" s="7"/>
      <c r="AI464" s="7"/>
      <c r="AJ464" s="7"/>
      <c r="AK464" s="7"/>
      <c r="AL464" s="7"/>
      <c r="AM464" s="7"/>
    </row>
    <row r="465" spans="3:39" x14ac:dyDescent="0.2"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  <c r="AE465" s="7"/>
      <c r="AF465" s="7"/>
      <c r="AG465" s="7"/>
      <c r="AH465" s="7"/>
      <c r="AI465" s="7"/>
      <c r="AJ465" s="7"/>
      <c r="AK465" s="7"/>
      <c r="AL465" s="7"/>
      <c r="AM465" s="7"/>
    </row>
    <row r="466" spans="3:39" x14ac:dyDescent="0.2"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  <c r="AE466" s="7"/>
      <c r="AF466" s="7"/>
      <c r="AG466" s="7"/>
      <c r="AH466" s="7"/>
      <c r="AI466" s="7"/>
      <c r="AJ466" s="7"/>
      <c r="AK466" s="7"/>
      <c r="AL466" s="7"/>
      <c r="AM466" s="7"/>
    </row>
    <row r="467" spans="3:39" x14ac:dyDescent="0.2"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  <c r="AE467" s="7"/>
      <c r="AF467" s="7"/>
      <c r="AG467" s="7"/>
      <c r="AH467" s="7"/>
      <c r="AI467" s="7"/>
      <c r="AJ467" s="7"/>
      <c r="AK467" s="7"/>
      <c r="AL467" s="7"/>
      <c r="AM467" s="7"/>
    </row>
    <row r="468" spans="3:39" x14ac:dyDescent="0.2"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  <c r="AE468" s="7"/>
      <c r="AF468" s="7"/>
      <c r="AG468" s="7"/>
      <c r="AH468" s="7"/>
      <c r="AI468" s="7"/>
      <c r="AJ468" s="7"/>
      <c r="AK468" s="7"/>
      <c r="AL468" s="7"/>
      <c r="AM468" s="7"/>
    </row>
    <row r="469" spans="3:39" x14ac:dyDescent="0.2"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  <c r="AE469" s="7"/>
      <c r="AF469" s="7"/>
      <c r="AG469" s="7"/>
      <c r="AH469" s="7"/>
      <c r="AI469" s="7"/>
      <c r="AJ469" s="7"/>
      <c r="AK469" s="7"/>
      <c r="AL469" s="7"/>
      <c r="AM469" s="7"/>
    </row>
    <row r="470" spans="3:39" x14ac:dyDescent="0.2"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  <c r="AE470" s="7"/>
      <c r="AF470" s="7"/>
      <c r="AG470" s="7"/>
      <c r="AH470" s="7"/>
      <c r="AI470" s="7"/>
      <c r="AJ470" s="7"/>
      <c r="AK470" s="7"/>
      <c r="AL470" s="7"/>
      <c r="AM470" s="7"/>
    </row>
    <row r="471" spans="3:39" x14ac:dyDescent="0.2"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  <c r="AE471" s="7"/>
      <c r="AF471" s="7"/>
      <c r="AG471" s="7"/>
      <c r="AH471" s="7"/>
      <c r="AI471" s="7"/>
      <c r="AJ471" s="7"/>
      <c r="AK471" s="7"/>
      <c r="AL471" s="7"/>
      <c r="AM471" s="7"/>
    </row>
    <row r="472" spans="3:39" x14ac:dyDescent="0.2"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  <c r="AE472" s="7"/>
      <c r="AF472" s="7"/>
      <c r="AG472" s="7"/>
      <c r="AH472" s="7"/>
      <c r="AI472" s="7"/>
      <c r="AJ472" s="7"/>
      <c r="AK472" s="7"/>
      <c r="AL472" s="7"/>
      <c r="AM472" s="7"/>
    </row>
    <row r="473" spans="3:39" x14ac:dyDescent="0.2"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  <c r="AE473" s="7"/>
      <c r="AF473" s="7"/>
      <c r="AG473" s="7"/>
      <c r="AH473" s="7"/>
      <c r="AI473" s="7"/>
      <c r="AJ473" s="7"/>
      <c r="AK473" s="7"/>
      <c r="AL473" s="7"/>
      <c r="AM473" s="7"/>
    </row>
    <row r="474" spans="3:39" x14ac:dyDescent="0.2"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  <c r="AE474" s="7"/>
      <c r="AF474" s="7"/>
      <c r="AG474" s="7"/>
      <c r="AH474" s="7"/>
      <c r="AI474" s="7"/>
      <c r="AJ474" s="7"/>
      <c r="AK474" s="7"/>
      <c r="AL474" s="7"/>
      <c r="AM474" s="7"/>
    </row>
    <row r="475" spans="3:39" x14ac:dyDescent="0.2"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  <c r="AE475" s="7"/>
      <c r="AF475" s="7"/>
      <c r="AG475" s="7"/>
      <c r="AH475" s="7"/>
      <c r="AI475" s="7"/>
      <c r="AJ475" s="7"/>
      <c r="AK475" s="7"/>
      <c r="AL475" s="7"/>
      <c r="AM475" s="7"/>
    </row>
    <row r="476" spans="3:39" x14ac:dyDescent="0.2"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  <c r="AE476" s="7"/>
      <c r="AF476" s="7"/>
      <c r="AG476" s="7"/>
      <c r="AH476" s="7"/>
      <c r="AI476" s="7"/>
      <c r="AJ476" s="7"/>
      <c r="AK476" s="7"/>
      <c r="AL476" s="7"/>
      <c r="AM476" s="7"/>
    </row>
    <row r="477" spans="3:39" x14ac:dyDescent="0.2"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  <c r="AE477" s="7"/>
      <c r="AF477" s="7"/>
      <c r="AG477" s="7"/>
      <c r="AH477" s="7"/>
      <c r="AI477" s="7"/>
      <c r="AJ477" s="7"/>
      <c r="AK477" s="7"/>
      <c r="AL477" s="7"/>
      <c r="AM477" s="7"/>
    </row>
    <row r="478" spans="3:39" x14ac:dyDescent="0.2"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  <c r="AE478" s="7"/>
      <c r="AF478" s="7"/>
      <c r="AG478" s="7"/>
      <c r="AH478" s="7"/>
      <c r="AI478" s="7"/>
      <c r="AJ478" s="7"/>
      <c r="AK478" s="7"/>
      <c r="AL478" s="7"/>
      <c r="AM478" s="7"/>
    </row>
    <row r="479" spans="3:39" x14ac:dyDescent="0.2"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  <c r="AE479" s="7"/>
      <c r="AF479" s="7"/>
      <c r="AG479" s="7"/>
      <c r="AH479" s="7"/>
      <c r="AI479" s="7"/>
      <c r="AJ479" s="7"/>
      <c r="AK479" s="7"/>
      <c r="AL479" s="7"/>
      <c r="AM479" s="7"/>
    </row>
    <row r="480" spans="3:39" x14ac:dyDescent="0.2"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  <c r="AE480" s="7"/>
      <c r="AF480" s="7"/>
      <c r="AG480" s="7"/>
      <c r="AH480" s="7"/>
      <c r="AI480" s="7"/>
      <c r="AJ480" s="7"/>
      <c r="AK480" s="7"/>
      <c r="AL480" s="7"/>
      <c r="AM480" s="7"/>
    </row>
    <row r="481" spans="3:39" x14ac:dyDescent="0.2"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  <c r="AE481" s="7"/>
      <c r="AF481" s="7"/>
      <c r="AG481" s="7"/>
      <c r="AH481" s="7"/>
      <c r="AI481" s="7"/>
      <c r="AJ481" s="7"/>
      <c r="AK481" s="7"/>
      <c r="AL481" s="7"/>
      <c r="AM481" s="7"/>
    </row>
    <row r="482" spans="3:39" x14ac:dyDescent="0.2"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  <c r="AE482" s="7"/>
      <c r="AF482" s="7"/>
      <c r="AG482" s="7"/>
      <c r="AH482" s="7"/>
      <c r="AI482" s="7"/>
      <c r="AJ482" s="7"/>
      <c r="AK482" s="7"/>
      <c r="AL482" s="7"/>
      <c r="AM482" s="7"/>
    </row>
    <row r="483" spans="3:39" x14ac:dyDescent="0.2"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  <c r="AE483" s="7"/>
      <c r="AF483" s="7"/>
      <c r="AG483" s="7"/>
      <c r="AH483" s="7"/>
      <c r="AI483" s="7"/>
      <c r="AJ483" s="7"/>
      <c r="AK483" s="7"/>
      <c r="AL483" s="7"/>
      <c r="AM483" s="7"/>
    </row>
    <row r="484" spans="3:39" x14ac:dyDescent="0.2"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  <c r="AE484" s="7"/>
      <c r="AF484" s="7"/>
      <c r="AG484" s="7"/>
      <c r="AH484" s="7"/>
      <c r="AI484" s="7"/>
      <c r="AJ484" s="7"/>
      <c r="AK484" s="7"/>
      <c r="AL484" s="7"/>
      <c r="AM484" s="7"/>
    </row>
    <row r="485" spans="3:39" x14ac:dyDescent="0.2"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  <c r="AE485" s="7"/>
      <c r="AF485" s="7"/>
      <c r="AG485" s="7"/>
      <c r="AH485" s="7"/>
      <c r="AI485" s="7"/>
      <c r="AJ485" s="7"/>
      <c r="AK485" s="7"/>
      <c r="AL485" s="7"/>
      <c r="AM485" s="7"/>
    </row>
    <row r="486" spans="3:39" x14ac:dyDescent="0.2"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  <c r="AE486" s="7"/>
      <c r="AF486" s="7"/>
      <c r="AG486" s="7"/>
      <c r="AH486" s="7"/>
      <c r="AI486" s="7"/>
      <c r="AJ486" s="7"/>
      <c r="AK486" s="7"/>
      <c r="AL486" s="7"/>
      <c r="AM486" s="7"/>
    </row>
    <row r="487" spans="3:39" x14ac:dyDescent="0.2"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  <c r="AE487" s="7"/>
      <c r="AF487" s="7"/>
      <c r="AG487" s="7"/>
      <c r="AH487" s="7"/>
      <c r="AI487" s="7"/>
      <c r="AJ487" s="7"/>
      <c r="AK487" s="7"/>
      <c r="AL487" s="7"/>
      <c r="AM487" s="7"/>
    </row>
    <row r="488" spans="3:39" x14ac:dyDescent="0.2"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  <c r="AE488" s="7"/>
      <c r="AF488" s="7"/>
      <c r="AG488" s="7"/>
      <c r="AH488" s="7"/>
      <c r="AI488" s="7"/>
      <c r="AJ488" s="7"/>
      <c r="AK488" s="7"/>
      <c r="AL488" s="7"/>
      <c r="AM488" s="7"/>
    </row>
    <row r="489" spans="3:39" x14ac:dyDescent="0.2"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  <c r="AE489" s="7"/>
      <c r="AF489" s="7"/>
      <c r="AG489" s="7"/>
      <c r="AH489" s="7"/>
      <c r="AI489" s="7"/>
      <c r="AJ489" s="7"/>
      <c r="AK489" s="7"/>
      <c r="AL489" s="7"/>
      <c r="AM489" s="7"/>
    </row>
    <row r="490" spans="3:39" x14ac:dyDescent="0.2"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  <c r="AE490" s="7"/>
      <c r="AF490" s="7"/>
      <c r="AG490" s="7"/>
      <c r="AH490" s="7"/>
      <c r="AI490" s="7"/>
      <c r="AJ490" s="7"/>
      <c r="AK490" s="7"/>
      <c r="AL490" s="7"/>
      <c r="AM490" s="7"/>
    </row>
    <row r="491" spans="3:39" x14ac:dyDescent="0.2"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  <c r="AE491" s="7"/>
      <c r="AF491" s="7"/>
      <c r="AG491" s="7"/>
      <c r="AH491" s="7"/>
      <c r="AI491" s="7"/>
      <c r="AJ491" s="7"/>
      <c r="AK491" s="7"/>
      <c r="AL491" s="7"/>
      <c r="AM491" s="7"/>
    </row>
    <row r="492" spans="3:39" x14ac:dyDescent="0.2"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  <c r="AE492" s="7"/>
      <c r="AF492" s="7"/>
      <c r="AG492" s="7"/>
      <c r="AH492" s="7"/>
      <c r="AI492" s="7"/>
      <c r="AJ492" s="7"/>
      <c r="AK492" s="7"/>
      <c r="AL492" s="7"/>
      <c r="AM492" s="7"/>
    </row>
    <row r="493" spans="3:39" x14ac:dyDescent="0.2"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  <c r="AE493" s="7"/>
      <c r="AF493" s="7"/>
      <c r="AG493" s="7"/>
      <c r="AH493" s="7"/>
      <c r="AI493" s="7"/>
      <c r="AJ493" s="7"/>
      <c r="AK493" s="7"/>
      <c r="AL493" s="7"/>
      <c r="AM493" s="7"/>
    </row>
    <row r="494" spans="3:39" x14ac:dyDescent="0.2"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  <c r="AE494" s="7"/>
      <c r="AF494" s="7"/>
      <c r="AG494" s="7"/>
      <c r="AH494" s="7"/>
      <c r="AI494" s="7"/>
      <c r="AJ494" s="7"/>
      <c r="AK494" s="7"/>
      <c r="AL494" s="7"/>
      <c r="AM494" s="7"/>
    </row>
    <row r="495" spans="3:39" x14ac:dyDescent="0.2"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  <c r="AE495" s="7"/>
      <c r="AF495" s="7"/>
      <c r="AG495" s="7"/>
      <c r="AH495" s="7"/>
      <c r="AI495" s="7"/>
      <c r="AJ495" s="7"/>
      <c r="AK495" s="7"/>
      <c r="AL495" s="7"/>
      <c r="AM495" s="7"/>
    </row>
    <row r="496" spans="3:39" x14ac:dyDescent="0.2"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  <c r="AE496" s="7"/>
      <c r="AF496" s="7"/>
      <c r="AG496" s="7"/>
      <c r="AH496" s="7"/>
      <c r="AI496" s="7"/>
      <c r="AJ496" s="7"/>
      <c r="AK496" s="7"/>
      <c r="AL496" s="7"/>
      <c r="AM496" s="7"/>
    </row>
    <row r="497" spans="3:39" x14ac:dyDescent="0.2"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  <c r="AE497" s="7"/>
      <c r="AF497" s="7"/>
      <c r="AG497" s="7"/>
      <c r="AH497" s="7"/>
      <c r="AI497" s="7"/>
      <c r="AJ497" s="7"/>
      <c r="AK497" s="7"/>
      <c r="AL497" s="7"/>
      <c r="AM497" s="7"/>
    </row>
    <row r="498" spans="3:39" x14ac:dyDescent="0.2"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  <c r="AE498" s="7"/>
      <c r="AF498" s="7"/>
      <c r="AG498" s="7"/>
      <c r="AH498" s="7"/>
      <c r="AI498" s="7"/>
      <c r="AJ498" s="7"/>
      <c r="AK498" s="7"/>
      <c r="AL498" s="7"/>
      <c r="AM498" s="7"/>
    </row>
    <row r="499" spans="3:39" x14ac:dyDescent="0.2"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  <c r="AE499" s="7"/>
      <c r="AF499" s="7"/>
      <c r="AG499" s="7"/>
      <c r="AH499" s="7"/>
      <c r="AI499" s="7"/>
      <c r="AJ499" s="7"/>
      <c r="AK499" s="7"/>
      <c r="AL499" s="7"/>
      <c r="AM499" s="7"/>
    </row>
    <row r="500" spans="3:39" x14ac:dyDescent="0.2"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  <c r="AE500" s="7"/>
      <c r="AF500" s="7"/>
      <c r="AG500" s="7"/>
      <c r="AH500" s="7"/>
      <c r="AI500" s="7"/>
      <c r="AJ500" s="7"/>
      <c r="AK500" s="7"/>
      <c r="AL500" s="7"/>
      <c r="AM500" s="7"/>
    </row>
    <row r="501" spans="3:39" x14ac:dyDescent="0.2"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  <c r="AE501" s="7"/>
      <c r="AF501" s="7"/>
      <c r="AG501" s="7"/>
      <c r="AH501" s="7"/>
      <c r="AI501" s="7"/>
      <c r="AJ501" s="7"/>
      <c r="AK501" s="7"/>
      <c r="AL501" s="7"/>
      <c r="AM501" s="7"/>
    </row>
    <row r="502" spans="3:39" x14ac:dyDescent="0.2"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  <c r="AE502" s="7"/>
      <c r="AF502" s="7"/>
      <c r="AG502" s="7"/>
      <c r="AH502" s="7"/>
      <c r="AI502" s="7"/>
      <c r="AJ502" s="7"/>
      <c r="AK502" s="7"/>
      <c r="AL502" s="7"/>
      <c r="AM502" s="7"/>
    </row>
    <row r="503" spans="3:39" x14ac:dyDescent="0.2"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  <c r="AE503" s="7"/>
      <c r="AF503" s="7"/>
      <c r="AG503" s="7"/>
      <c r="AH503" s="7"/>
      <c r="AI503" s="7"/>
      <c r="AJ503" s="7"/>
      <c r="AK503" s="7"/>
      <c r="AL503" s="7"/>
      <c r="AM503" s="7"/>
    </row>
    <row r="504" spans="3:39" x14ac:dyDescent="0.2"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  <c r="AE504" s="7"/>
      <c r="AF504" s="7"/>
      <c r="AG504" s="7"/>
      <c r="AH504" s="7"/>
      <c r="AI504" s="7"/>
      <c r="AJ504" s="7"/>
      <c r="AK504" s="7"/>
      <c r="AL504" s="7"/>
      <c r="AM504" s="7"/>
    </row>
    <row r="505" spans="3:39" x14ac:dyDescent="0.2"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  <c r="AE505" s="7"/>
      <c r="AF505" s="7"/>
      <c r="AG505" s="7"/>
      <c r="AH505" s="7"/>
      <c r="AI505" s="7"/>
      <c r="AJ505" s="7"/>
      <c r="AK505" s="7"/>
      <c r="AL505" s="7"/>
      <c r="AM505" s="7"/>
    </row>
    <row r="506" spans="3:39" x14ac:dyDescent="0.2"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  <c r="AE506" s="7"/>
      <c r="AF506" s="7"/>
      <c r="AG506" s="7"/>
      <c r="AH506" s="7"/>
      <c r="AI506" s="7"/>
      <c r="AJ506" s="7"/>
      <c r="AK506" s="7"/>
      <c r="AL506" s="7"/>
      <c r="AM506" s="7"/>
    </row>
    <row r="507" spans="3:39" x14ac:dyDescent="0.2"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  <c r="AE507" s="7"/>
      <c r="AF507" s="7"/>
      <c r="AG507" s="7"/>
      <c r="AH507" s="7"/>
      <c r="AI507" s="7"/>
      <c r="AJ507" s="7"/>
      <c r="AK507" s="7"/>
      <c r="AL507" s="7"/>
      <c r="AM507" s="7"/>
    </row>
    <row r="508" spans="3:39" x14ac:dyDescent="0.2"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  <c r="AE508" s="7"/>
      <c r="AF508" s="7"/>
      <c r="AG508" s="7"/>
      <c r="AH508" s="7"/>
      <c r="AI508" s="7"/>
      <c r="AJ508" s="7"/>
      <c r="AK508" s="7"/>
      <c r="AL508" s="7"/>
      <c r="AM508" s="7"/>
    </row>
    <row r="509" spans="3:39" x14ac:dyDescent="0.2"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  <c r="AE509" s="7"/>
      <c r="AF509" s="7"/>
      <c r="AG509" s="7"/>
      <c r="AH509" s="7"/>
      <c r="AI509" s="7"/>
      <c r="AJ509" s="7"/>
      <c r="AK509" s="7"/>
      <c r="AL509" s="7"/>
      <c r="AM509" s="7"/>
    </row>
    <row r="510" spans="3:39" x14ac:dyDescent="0.2"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  <c r="AE510" s="7"/>
      <c r="AF510" s="7"/>
      <c r="AG510" s="7"/>
      <c r="AH510" s="7"/>
      <c r="AI510" s="7"/>
      <c r="AJ510" s="7"/>
      <c r="AK510" s="7"/>
      <c r="AL510" s="7"/>
      <c r="AM510" s="7"/>
    </row>
    <row r="511" spans="3:39" x14ac:dyDescent="0.2"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  <c r="AE511" s="7"/>
      <c r="AF511" s="7"/>
      <c r="AG511" s="7"/>
      <c r="AH511" s="7"/>
      <c r="AI511" s="7"/>
      <c r="AJ511" s="7"/>
      <c r="AK511" s="7"/>
      <c r="AL511" s="7"/>
      <c r="AM511" s="7"/>
    </row>
    <row r="512" spans="3:39" x14ac:dyDescent="0.2"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  <c r="AE512" s="7"/>
      <c r="AF512" s="7"/>
      <c r="AG512" s="7"/>
      <c r="AH512" s="7"/>
      <c r="AI512" s="7"/>
      <c r="AJ512" s="7"/>
      <c r="AK512" s="7"/>
      <c r="AL512" s="7"/>
      <c r="AM512" s="7"/>
    </row>
    <row r="513" spans="3:39" x14ac:dyDescent="0.2"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  <c r="AE513" s="7"/>
      <c r="AF513" s="7"/>
      <c r="AG513" s="7"/>
      <c r="AH513" s="7"/>
      <c r="AI513" s="7"/>
      <c r="AJ513" s="7"/>
      <c r="AK513" s="7"/>
      <c r="AL513" s="7"/>
      <c r="AM513" s="7"/>
    </row>
    <row r="514" spans="3:39" x14ac:dyDescent="0.2"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  <c r="AE514" s="7"/>
      <c r="AF514" s="7"/>
      <c r="AG514" s="7"/>
      <c r="AH514" s="7"/>
      <c r="AI514" s="7"/>
      <c r="AJ514" s="7"/>
      <c r="AK514" s="7"/>
      <c r="AL514" s="7"/>
      <c r="AM514" s="7"/>
    </row>
    <row r="515" spans="3:39" x14ac:dyDescent="0.2"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  <c r="AE515" s="7"/>
      <c r="AF515" s="7"/>
      <c r="AG515" s="7"/>
      <c r="AH515" s="7"/>
      <c r="AI515" s="7"/>
      <c r="AJ515" s="7"/>
      <c r="AK515" s="7"/>
      <c r="AL515" s="7"/>
      <c r="AM515" s="7"/>
    </row>
    <row r="516" spans="3:39" x14ac:dyDescent="0.2"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  <c r="AE516" s="7"/>
      <c r="AF516" s="7"/>
      <c r="AG516" s="7"/>
      <c r="AH516" s="7"/>
      <c r="AI516" s="7"/>
      <c r="AJ516" s="7"/>
      <c r="AK516" s="7"/>
      <c r="AL516" s="7"/>
      <c r="AM516" s="7"/>
    </row>
    <row r="517" spans="3:39" x14ac:dyDescent="0.2"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  <c r="AE517" s="7"/>
      <c r="AF517" s="7"/>
      <c r="AG517" s="7"/>
      <c r="AH517" s="7"/>
      <c r="AI517" s="7"/>
      <c r="AJ517" s="7"/>
      <c r="AK517" s="7"/>
      <c r="AL517" s="7"/>
      <c r="AM517" s="7"/>
    </row>
    <row r="518" spans="3:39" x14ac:dyDescent="0.2"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  <c r="AE518" s="7"/>
      <c r="AF518" s="7"/>
      <c r="AG518" s="7"/>
      <c r="AH518" s="7"/>
      <c r="AI518" s="7"/>
      <c r="AJ518" s="7"/>
      <c r="AK518" s="7"/>
      <c r="AL518" s="7"/>
      <c r="AM518" s="7"/>
    </row>
    <row r="519" spans="3:39" x14ac:dyDescent="0.2"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  <c r="AE519" s="7"/>
      <c r="AF519" s="7"/>
      <c r="AG519" s="7"/>
      <c r="AH519" s="7"/>
      <c r="AI519" s="7"/>
      <c r="AJ519" s="7"/>
      <c r="AK519" s="7"/>
      <c r="AL519" s="7"/>
      <c r="AM519" s="7"/>
    </row>
    <row r="520" spans="3:39" x14ac:dyDescent="0.2"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  <c r="AE520" s="7"/>
      <c r="AF520" s="7"/>
      <c r="AG520" s="7"/>
      <c r="AH520" s="7"/>
      <c r="AI520" s="7"/>
      <c r="AJ520" s="7"/>
      <c r="AK520" s="7"/>
      <c r="AL520" s="7"/>
      <c r="AM520" s="7"/>
    </row>
    <row r="521" spans="3:39" x14ac:dyDescent="0.2"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  <c r="AE521" s="7"/>
      <c r="AF521" s="7"/>
      <c r="AG521" s="7"/>
      <c r="AH521" s="7"/>
      <c r="AI521" s="7"/>
      <c r="AJ521" s="7"/>
      <c r="AK521" s="7"/>
      <c r="AL521" s="7"/>
      <c r="AM521" s="7"/>
    </row>
    <row r="522" spans="3:39" x14ac:dyDescent="0.2"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  <c r="AE522" s="7"/>
      <c r="AF522" s="7"/>
      <c r="AG522" s="7"/>
      <c r="AH522" s="7"/>
      <c r="AI522" s="7"/>
      <c r="AJ522" s="7"/>
      <c r="AK522" s="7"/>
      <c r="AL522" s="7"/>
      <c r="AM522" s="7"/>
    </row>
    <row r="523" spans="3:39" x14ac:dyDescent="0.2"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  <c r="AE523" s="7"/>
      <c r="AF523" s="7"/>
      <c r="AG523" s="7"/>
      <c r="AH523" s="7"/>
      <c r="AI523" s="7"/>
      <c r="AJ523" s="7"/>
      <c r="AK523" s="7"/>
      <c r="AL523" s="7"/>
      <c r="AM523" s="7"/>
    </row>
    <row r="524" spans="3:39" x14ac:dyDescent="0.2"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  <c r="AE524" s="7"/>
      <c r="AF524" s="7"/>
      <c r="AG524" s="7"/>
      <c r="AH524" s="7"/>
      <c r="AI524" s="7"/>
      <c r="AJ524" s="7"/>
      <c r="AK524" s="7"/>
      <c r="AL524" s="7"/>
      <c r="AM524" s="7"/>
    </row>
    <row r="525" spans="3:39" x14ac:dyDescent="0.2"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  <c r="AE525" s="7"/>
      <c r="AF525" s="7"/>
      <c r="AG525" s="7"/>
      <c r="AH525" s="7"/>
      <c r="AI525" s="7"/>
      <c r="AJ525" s="7"/>
      <c r="AK525" s="7"/>
      <c r="AL525" s="7"/>
      <c r="AM525" s="7"/>
    </row>
    <row r="526" spans="3:39" x14ac:dyDescent="0.2"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  <c r="AE526" s="7"/>
      <c r="AF526" s="7"/>
      <c r="AG526" s="7"/>
      <c r="AH526" s="7"/>
      <c r="AI526" s="7"/>
      <c r="AJ526" s="7"/>
      <c r="AK526" s="7"/>
      <c r="AL526" s="7"/>
      <c r="AM526" s="7"/>
    </row>
    <row r="527" spans="3:39" x14ac:dyDescent="0.2"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  <c r="AE527" s="7"/>
      <c r="AF527" s="7"/>
      <c r="AG527" s="7"/>
      <c r="AH527" s="7"/>
      <c r="AI527" s="7"/>
      <c r="AJ527" s="7"/>
      <c r="AK527" s="7"/>
      <c r="AL527" s="7"/>
      <c r="AM527" s="7"/>
    </row>
    <row r="528" spans="3:39" x14ac:dyDescent="0.2"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  <c r="AE528" s="7"/>
      <c r="AF528" s="7"/>
      <c r="AG528" s="7"/>
      <c r="AH528" s="7"/>
      <c r="AI528" s="7"/>
      <c r="AJ528" s="7"/>
      <c r="AK528" s="7"/>
      <c r="AL528" s="7"/>
      <c r="AM528" s="7"/>
    </row>
  </sheetData>
  <phoneticPr fontId="4" type="noConversion"/>
  <pageMargins left="0.7" right="0.7" top="0.75" bottom="0.75" header="0.3" footer="0.3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414D0C-8E54-FD49-9F91-8069ED82671C}">
  <sheetPr codeName="Sheet5"/>
  <dimension ref="A1:AR528"/>
  <sheetViews>
    <sheetView tabSelected="1" zoomScale="120" zoomScaleNormal="120" workbookViewId="0">
      <pane xSplit="1" ySplit="3" topLeftCell="Y374" activePane="bottomRight" state="frozen"/>
      <selection activeCell="E61" sqref="E61"/>
      <selection pane="topRight" activeCell="E61" sqref="E61"/>
      <selection pane="bottomLeft" activeCell="E61" sqref="E61"/>
      <selection pane="bottomRight" activeCell="E185" sqref="E185"/>
    </sheetView>
  </sheetViews>
  <sheetFormatPr baseColWidth="10" defaultRowHeight="16" x14ac:dyDescent="0.2"/>
  <cols>
    <col min="1" max="1" width="39.33203125" style="2" customWidth="1"/>
    <col min="2" max="2" width="4.33203125" style="6" customWidth="1"/>
    <col min="3" max="3" width="11.83203125" style="2" customWidth="1"/>
    <col min="4" max="4" width="11.83203125" style="100" customWidth="1"/>
    <col min="5" max="5" width="11.83203125" style="109" customWidth="1"/>
    <col min="6" max="39" width="11.83203125" style="2" customWidth="1"/>
    <col min="40" max="78" width="11.83203125" customWidth="1"/>
  </cols>
  <sheetData>
    <row r="1" spans="1:39" x14ac:dyDescent="0.2">
      <c r="B1" s="5">
        <v>0</v>
      </c>
      <c r="C1" s="2">
        <v>1</v>
      </c>
      <c r="D1" s="100">
        <f>C1+1</f>
        <v>2</v>
      </c>
      <c r="E1" s="109">
        <f t="shared" ref="E1:H3" si="0">D1+1</f>
        <v>3</v>
      </c>
      <c r="F1" s="2">
        <f t="shared" si="0"/>
        <v>4</v>
      </c>
      <c r="G1" s="2">
        <f t="shared" si="0"/>
        <v>5</v>
      </c>
      <c r="H1" s="2">
        <f t="shared" si="0"/>
        <v>6</v>
      </c>
      <c r="I1" s="2">
        <f t="shared" ref="I1:I3" si="1">H1+1</f>
        <v>7</v>
      </c>
      <c r="J1" s="2">
        <f t="shared" ref="J1:J3" si="2">I1+1</f>
        <v>8</v>
      </c>
      <c r="K1" s="2">
        <f t="shared" ref="K1:K3" si="3">J1+1</f>
        <v>9</v>
      </c>
      <c r="L1" s="2">
        <f t="shared" ref="L1:L3" si="4">K1+1</f>
        <v>10</v>
      </c>
      <c r="M1" s="2">
        <f t="shared" ref="M1:M3" si="5">L1+1</f>
        <v>11</v>
      </c>
      <c r="N1" s="2">
        <f t="shared" ref="N1:N3" si="6">M1+1</f>
        <v>12</v>
      </c>
      <c r="O1" s="2">
        <f t="shared" ref="O1:O3" si="7">N1+1</f>
        <v>13</v>
      </c>
      <c r="P1" s="2">
        <f t="shared" ref="P1:P3" si="8">O1+1</f>
        <v>14</v>
      </c>
      <c r="Q1" s="2">
        <f t="shared" ref="Q1:Q3" si="9">P1+1</f>
        <v>15</v>
      </c>
      <c r="R1" s="2">
        <f t="shared" ref="R1:R3" si="10">Q1+1</f>
        <v>16</v>
      </c>
      <c r="S1" s="2">
        <f t="shared" ref="S1:S3" si="11">R1+1</f>
        <v>17</v>
      </c>
      <c r="T1" s="2">
        <f t="shared" ref="T1:T3" si="12">S1+1</f>
        <v>18</v>
      </c>
      <c r="U1" s="2">
        <f t="shared" ref="U1:U3" si="13">T1+1</f>
        <v>19</v>
      </c>
      <c r="V1" s="2">
        <f t="shared" ref="V1:V3" si="14">U1+1</f>
        <v>20</v>
      </c>
      <c r="W1" s="2">
        <f t="shared" ref="W1:W3" si="15">V1+1</f>
        <v>21</v>
      </c>
      <c r="X1" s="2">
        <f t="shared" ref="X1:X3" si="16">W1+1</f>
        <v>22</v>
      </c>
      <c r="Y1" s="2">
        <f t="shared" ref="Y1:Y3" si="17">X1+1</f>
        <v>23</v>
      </c>
      <c r="Z1" s="2">
        <f t="shared" ref="Z1:Z3" si="18">Y1+1</f>
        <v>24</v>
      </c>
      <c r="AA1" s="2">
        <f t="shared" ref="AA1:AA3" si="19">Z1+1</f>
        <v>25</v>
      </c>
      <c r="AB1" s="2">
        <f t="shared" ref="AB1:AB3" si="20">AA1+1</f>
        <v>26</v>
      </c>
      <c r="AC1" s="2">
        <f t="shared" ref="AC1:AC3" si="21">AB1+1</f>
        <v>27</v>
      </c>
      <c r="AD1" s="2">
        <f t="shared" ref="AD1:AD3" si="22">AC1+1</f>
        <v>28</v>
      </c>
      <c r="AE1" s="2">
        <f t="shared" ref="AE1:AE3" si="23">AD1+1</f>
        <v>29</v>
      </c>
      <c r="AF1" s="2">
        <f t="shared" ref="AF1:AF3" si="24">AE1+1</f>
        <v>30</v>
      </c>
      <c r="AG1" s="2">
        <f t="shared" ref="AG1:AG3" si="25">AF1+1</f>
        <v>31</v>
      </c>
      <c r="AH1" s="2">
        <f t="shared" ref="AH1:AH3" si="26">AG1+1</f>
        <v>32</v>
      </c>
      <c r="AI1" s="2">
        <f t="shared" ref="AI1:AI3" si="27">AH1+1</f>
        <v>33</v>
      </c>
      <c r="AJ1" s="2">
        <f t="shared" ref="AJ1:AJ3" si="28">AI1+1</f>
        <v>34</v>
      </c>
      <c r="AK1" s="2">
        <f t="shared" ref="AK1:AK3" si="29">AJ1+1</f>
        <v>35</v>
      </c>
      <c r="AL1" s="2">
        <f t="shared" ref="AL1:AL3" si="30">AK1+1</f>
        <v>36</v>
      </c>
      <c r="AM1" s="2">
        <f t="shared" ref="AM1:AM3" si="31">AL1+1</f>
        <v>37</v>
      </c>
    </row>
    <row r="2" spans="1:39" x14ac:dyDescent="0.2">
      <c r="A2" s="10"/>
      <c r="B2" s="5" t="s">
        <v>5</v>
      </c>
      <c r="C2" s="2">
        <f ca="1">YEAR(TODAY())</f>
        <v>2026</v>
      </c>
      <c r="D2" s="100">
        <f ca="1">C2+1</f>
        <v>2027</v>
      </c>
      <c r="E2" s="109">
        <f t="shared" ca="1" si="0"/>
        <v>2028</v>
      </c>
      <c r="F2" s="2">
        <f t="shared" ca="1" si="0"/>
        <v>2029</v>
      </c>
      <c r="G2" s="2">
        <f t="shared" ca="1" si="0"/>
        <v>2030</v>
      </c>
      <c r="H2" s="2">
        <f t="shared" ca="1" si="0"/>
        <v>2031</v>
      </c>
      <c r="I2" s="2">
        <f t="shared" ca="1" si="1"/>
        <v>2032</v>
      </c>
      <c r="J2" s="2">
        <f t="shared" ca="1" si="2"/>
        <v>2033</v>
      </c>
      <c r="K2" s="2">
        <f t="shared" ca="1" si="3"/>
        <v>2034</v>
      </c>
      <c r="L2" s="2">
        <f t="shared" ca="1" si="4"/>
        <v>2035</v>
      </c>
      <c r="M2" s="2">
        <f t="shared" ca="1" si="5"/>
        <v>2036</v>
      </c>
      <c r="N2" s="2">
        <f t="shared" ca="1" si="6"/>
        <v>2037</v>
      </c>
      <c r="O2" s="2">
        <f t="shared" ca="1" si="7"/>
        <v>2038</v>
      </c>
      <c r="P2" s="2">
        <f t="shared" ca="1" si="8"/>
        <v>2039</v>
      </c>
      <c r="Q2" s="2">
        <f t="shared" ca="1" si="9"/>
        <v>2040</v>
      </c>
      <c r="R2" s="2">
        <f t="shared" ca="1" si="10"/>
        <v>2041</v>
      </c>
      <c r="S2" s="2">
        <f t="shared" ca="1" si="11"/>
        <v>2042</v>
      </c>
      <c r="T2" s="2">
        <f t="shared" ca="1" si="12"/>
        <v>2043</v>
      </c>
      <c r="U2" s="2">
        <f t="shared" ca="1" si="13"/>
        <v>2044</v>
      </c>
      <c r="V2" s="2">
        <f t="shared" ca="1" si="14"/>
        <v>2045</v>
      </c>
      <c r="W2" s="2">
        <f t="shared" ca="1" si="15"/>
        <v>2046</v>
      </c>
      <c r="X2" s="2">
        <f t="shared" ca="1" si="16"/>
        <v>2047</v>
      </c>
      <c r="Y2" s="2">
        <f t="shared" ca="1" si="17"/>
        <v>2048</v>
      </c>
      <c r="Z2" s="2">
        <f t="shared" ca="1" si="18"/>
        <v>2049</v>
      </c>
      <c r="AA2" s="2">
        <f t="shared" ca="1" si="19"/>
        <v>2050</v>
      </c>
      <c r="AB2" s="2">
        <f t="shared" ca="1" si="20"/>
        <v>2051</v>
      </c>
      <c r="AC2" s="2">
        <f t="shared" ca="1" si="21"/>
        <v>2052</v>
      </c>
      <c r="AD2" s="2">
        <f t="shared" ca="1" si="22"/>
        <v>2053</v>
      </c>
      <c r="AE2" s="2">
        <f t="shared" ca="1" si="23"/>
        <v>2054</v>
      </c>
      <c r="AF2" s="2">
        <f t="shared" ca="1" si="24"/>
        <v>2055</v>
      </c>
      <c r="AG2" s="2">
        <f t="shared" ca="1" si="25"/>
        <v>2056</v>
      </c>
      <c r="AH2" s="2">
        <f t="shared" ca="1" si="26"/>
        <v>2057</v>
      </c>
      <c r="AI2" s="2">
        <f t="shared" ca="1" si="27"/>
        <v>2058</v>
      </c>
      <c r="AJ2" s="2">
        <f t="shared" ca="1" si="28"/>
        <v>2059</v>
      </c>
      <c r="AK2" s="2">
        <f t="shared" ca="1" si="29"/>
        <v>2060</v>
      </c>
      <c r="AL2" s="2">
        <f t="shared" ca="1" si="30"/>
        <v>2061</v>
      </c>
      <c r="AM2" s="2">
        <f t="shared" ca="1" si="31"/>
        <v>2062</v>
      </c>
    </row>
    <row r="3" spans="1:39" x14ac:dyDescent="0.2">
      <c r="A3" s="31"/>
      <c r="B3" s="32">
        <v>49</v>
      </c>
      <c r="C3" s="2">
        <f>Inputs!B4</f>
        <v>48</v>
      </c>
      <c r="D3" s="100">
        <f>C3+1</f>
        <v>49</v>
      </c>
      <c r="E3" s="109">
        <f t="shared" si="0"/>
        <v>50</v>
      </c>
      <c r="F3" s="2">
        <f t="shared" si="0"/>
        <v>51</v>
      </c>
      <c r="G3" s="2">
        <f t="shared" si="0"/>
        <v>52</v>
      </c>
      <c r="H3" s="2">
        <f t="shared" si="0"/>
        <v>53</v>
      </c>
      <c r="I3" s="2">
        <f t="shared" si="1"/>
        <v>54</v>
      </c>
      <c r="J3" s="2">
        <f t="shared" si="2"/>
        <v>55</v>
      </c>
      <c r="K3" s="2">
        <f t="shared" si="3"/>
        <v>56</v>
      </c>
      <c r="L3" s="2">
        <f t="shared" si="4"/>
        <v>57</v>
      </c>
      <c r="M3" s="2">
        <f t="shared" si="5"/>
        <v>58</v>
      </c>
      <c r="N3" s="2">
        <f t="shared" si="6"/>
        <v>59</v>
      </c>
      <c r="O3" s="2">
        <f t="shared" si="7"/>
        <v>60</v>
      </c>
      <c r="P3" s="2">
        <f t="shared" si="8"/>
        <v>61</v>
      </c>
      <c r="Q3" s="2">
        <f t="shared" si="9"/>
        <v>62</v>
      </c>
      <c r="R3" s="2">
        <f t="shared" si="10"/>
        <v>63</v>
      </c>
      <c r="S3" s="2">
        <f t="shared" si="11"/>
        <v>64</v>
      </c>
      <c r="T3" s="2">
        <f t="shared" si="12"/>
        <v>65</v>
      </c>
      <c r="U3" s="2">
        <f t="shared" si="13"/>
        <v>66</v>
      </c>
      <c r="V3" s="2">
        <f t="shared" si="14"/>
        <v>67</v>
      </c>
      <c r="W3" s="2">
        <f t="shared" si="15"/>
        <v>68</v>
      </c>
      <c r="X3" s="2">
        <f t="shared" si="16"/>
        <v>69</v>
      </c>
      <c r="Y3" s="2">
        <f t="shared" si="17"/>
        <v>70</v>
      </c>
      <c r="Z3" s="2">
        <f t="shared" si="18"/>
        <v>71</v>
      </c>
      <c r="AA3" s="2">
        <f t="shared" si="19"/>
        <v>72</v>
      </c>
      <c r="AB3" s="2">
        <f t="shared" si="20"/>
        <v>73</v>
      </c>
      <c r="AC3" s="2">
        <f t="shared" si="21"/>
        <v>74</v>
      </c>
      <c r="AD3" s="2">
        <f t="shared" si="22"/>
        <v>75</v>
      </c>
      <c r="AE3" s="2">
        <f t="shared" si="23"/>
        <v>76</v>
      </c>
      <c r="AF3" s="2">
        <f t="shared" si="24"/>
        <v>77</v>
      </c>
      <c r="AG3" s="2">
        <f t="shared" si="25"/>
        <v>78</v>
      </c>
      <c r="AH3" s="2">
        <f t="shared" si="26"/>
        <v>79</v>
      </c>
      <c r="AI3" s="2">
        <f t="shared" si="27"/>
        <v>80</v>
      </c>
      <c r="AJ3" s="2">
        <f t="shared" si="28"/>
        <v>81</v>
      </c>
      <c r="AK3" s="2">
        <f t="shared" si="29"/>
        <v>82</v>
      </c>
      <c r="AL3" s="2">
        <f t="shared" si="30"/>
        <v>83</v>
      </c>
      <c r="AM3" s="2">
        <f t="shared" si="31"/>
        <v>84</v>
      </c>
    </row>
    <row r="4" spans="1:39" ht="19" x14ac:dyDescent="0.25">
      <c r="A4" s="12" t="s">
        <v>16</v>
      </c>
      <c r="B4" s="7"/>
      <c r="C4" s="7"/>
      <c r="D4" s="101"/>
      <c r="E4" s="110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</row>
    <row r="5" spans="1:39" x14ac:dyDescent="0.2">
      <c r="A5" s="4" t="s">
        <v>46</v>
      </c>
      <c r="B5" s="8"/>
      <c r="C5" s="7">
        <f ca="1">IF(AND(Inputs!$B$20&gt;C3,$B$3&gt;C3),Inputs!$B$6*(1+sincr)^B1,0)*ProRate</f>
        <v>60000</v>
      </c>
      <c r="D5" s="101">
        <f>IF(AND(Inputs!$B$20&gt;D3,$B$3&gt;D3),Inputs!$B$6*(1+sincr)^C1,0)</f>
        <v>0</v>
      </c>
      <c r="E5" s="110">
        <f>IF(AND(Inputs!$B$20&gt;E3,$B$3&gt;E3),Inputs!$B$6*(1+sincr)^D1,0)</f>
        <v>0</v>
      </c>
      <c r="F5" s="7">
        <f>IF(AND(Inputs!$B$20&gt;F3,$B$3&gt;F3),Inputs!$B$6*(1+sincr)^E1,0)</f>
        <v>0</v>
      </c>
      <c r="G5" s="7">
        <f>IF(AND(Inputs!$B$20&gt;G3,$B$3&gt;G3),Inputs!$B$6*(1+sincr)^F1,0)</f>
        <v>0</v>
      </c>
      <c r="H5" s="7">
        <f>IF(AND(Inputs!$B$20&gt;H3,$B$3&gt;H3),Inputs!$B$6*(1+sincr)^G1,0)</f>
        <v>0</v>
      </c>
      <c r="I5" s="7">
        <f>IF(AND(Inputs!$B$20&gt;I3,$B$3&gt;I3),Inputs!$B$6*(1+sincr)^H1,0)</f>
        <v>0</v>
      </c>
      <c r="J5" s="7">
        <f>IF(AND(Inputs!$B$20&gt;J3,$B$3&gt;J3),Inputs!$B$6*(1+sincr)^I1,0)</f>
        <v>0</v>
      </c>
      <c r="K5" s="7">
        <f>IF(AND(Inputs!$B$20&gt;K3,$B$3&gt;K3),Inputs!$B$6*(1+sincr)^J1,0)</f>
        <v>0</v>
      </c>
      <c r="L5" s="7">
        <f>IF(AND(Inputs!$B$20&gt;L3,$B$3&gt;L3),Inputs!$B$6*(1+sincr)^K1,0)</f>
        <v>0</v>
      </c>
      <c r="M5" s="7">
        <f>IF(AND(Inputs!$B$20&gt;M3,$B$3&gt;M3),Inputs!$B$6*(1+sincr)^L1,0)</f>
        <v>0</v>
      </c>
      <c r="N5" s="7">
        <f>IF(AND(Inputs!$B$20&gt;N3,$B$3&gt;N3),Inputs!$B$6*(1+sincr)^M1,0)</f>
        <v>0</v>
      </c>
      <c r="O5" s="7">
        <f>IF(AND(Inputs!$B$20&gt;O3,$B$3&gt;O3),Inputs!$B$6*(1+sincr)^N1,0)</f>
        <v>0</v>
      </c>
      <c r="P5" s="7">
        <f>IF(AND(Inputs!$B$20&gt;P3,$B$3&gt;P3),Inputs!$B$6*(1+sincr)^O1,0)</f>
        <v>0</v>
      </c>
      <c r="Q5" s="7">
        <f>IF(AND(Inputs!$B$20&gt;Q3,$B$3&gt;Q3),Inputs!$B$6*(1+sincr)^P1,0)</f>
        <v>0</v>
      </c>
      <c r="R5" s="7">
        <f>IF(AND(Inputs!$B$20&gt;R3,$B$3&gt;R3),Inputs!$B$6*(1+sincr)^Q1,0)</f>
        <v>0</v>
      </c>
      <c r="S5" s="7">
        <f>IF(AND(Inputs!$B$20&gt;S3,$B$3&gt;S3),Inputs!$B$6*(1+sincr)^R1,0)</f>
        <v>0</v>
      </c>
      <c r="T5" s="7">
        <f>IF(AND(Inputs!$B$20&gt;T3,$B$3&gt;T3),Inputs!$B$6*(1+sincr)^S1,0)</f>
        <v>0</v>
      </c>
      <c r="U5" s="7">
        <f>IF(AND(Inputs!$B$20&gt;U3,$B$3&gt;U3),Inputs!$B$6*(1+sincr)^T1,0)</f>
        <v>0</v>
      </c>
      <c r="V5" s="7">
        <f>IF(AND(Inputs!$B$20&gt;V3,$B$3&gt;V3),Inputs!$B$6*(1+sincr)^U1,0)</f>
        <v>0</v>
      </c>
      <c r="W5" s="7">
        <f>IF(AND(Inputs!$B$20&gt;W3,$B$3&gt;W3),Inputs!$B$6*(1+sincr)^V1,0)</f>
        <v>0</v>
      </c>
      <c r="X5" s="7">
        <f>IF(AND(Inputs!$B$20&gt;X3,$B$3&gt;X3),Inputs!$B$6*(1+sincr)^W1,0)</f>
        <v>0</v>
      </c>
      <c r="Y5" s="7">
        <f>IF(AND(Inputs!$B$20&gt;Y3,$B$3&gt;Y3),Inputs!$B$6*(1+sincr)^X1,0)</f>
        <v>0</v>
      </c>
      <c r="Z5" s="7">
        <f>IF(AND(Inputs!$B$20&gt;Z3,$B$3&gt;Z3),Inputs!$B$6*(1+sincr)^Y1,0)</f>
        <v>0</v>
      </c>
      <c r="AA5" s="7">
        <f>IF(AND(Inputs!$B$20&gt;AA3,$B$3&gt;AA3),Inputs!$B$6*(1+sincr)^Z1,0)</f>
        <v>0</v>
      </c>
      <c r="AB5" s="7">
        <f>IF(AND(Inputs!$B$20&gt;AB3,$B$3&gt;AB3),Inputs!$B$6*(1+sincr)^AA1,0)</f>
        <v>0</v>
      </c>
      <c r="AC5" s="7">
        <f>IF(AND(Inputs!$B$20&gt;AC3,$B$3&gt;AC3),Inputs!$B$6*(1+sincr)^AB1,0)</f>
        <v>0</v>
      </c>
      <c r="AD5" s="7">
        <f>IF(AND(Inputs!$B$20&gt;AD3,$B$3&gt;AD3),Inputs!$B$6*(1+sincr)^AC1,0)</f>
        <v>0</v>
      </c>
      <c r="AE5" s="7">
        <f>IF(AND(Inputs!$B$20&gt;AE3,$B$3&gt;AE3),Inputs!$B$6*(1+sincr)^AD1,0)</f>
        <v>0</v>
      </c>
      <c r="AF5" s="7">
        <f>IF(AND(Inputs!$B$20&gt;AF3,$B$3&gt;AF3),Inputs!$B$6*(1+sincr)^AE1,0)</f>
        <v>0</v>
      </c>
      <c r="AG5" s="7">
        <f>IF(AND(Inputs!$B$20&gt;AG3,$B$3&gt;AG3),Inputs!$B$6*(1+sincr)^AF1,0)</f>
        <v>0</v>
      </c>
      <c r="AH5" s="7">
        <f>IF(AND(Inputs!$B$20&gt;AH3,$B$3&gt;AH3),Inputs!$B$6*(1+sincr)^AG1,0)</f>
        <v>0</v>
      </c>
      <c r="AI5" s="7">
        <f>IF(AND(Inputs!$B$20&gt;AI3,$B$3&gt;AI3),Inputs!$B$6*(1+sincr)^AH1,0)</f>
        <v>0</v>
      </c>
      <c r="AJ5" s="7">
        <f>IF(AND(Inputs!$B$20&gt;AJ3,$B$3&gt;AJ3),Inputs!$B$6*(1+sincr)^AI1,0)</f>
        <v>0</v>
      </c>
      <c r="AK5" s="7">
        <f>IF(AND(Inputs!$B$20&gt;AK3,$B$3&gt;AK3),Inputs!$B$6*(1+sincr)^AJ1,0)</f>
        <v>0</v>
      </c>
      <c r="AL5" s="7">
        <f>IF(AND(Inputs!$B$20&gt;AL3,$B$3&gt;AL3),Inputs!$B$6*(1+sincr)^AK1,0)</f>
        <v>0</v>
      </c>
      <c r="AM5" s="7">
        <f>IF(AND(Inputs!$B$20&gt;AM3,$B$3&gt;AM3),Inputs!$B$6*(1+sincr)^AL1,0)</f>
        <v>0</v>
      </c>
    </row>
    <row r="6" spans="1:39" x14ac:dyDescent="0.2">
      <c r="A6" s="4" t="s">
        <v>13</v>
      </c>
      <c r="B6" s="8"/>
      <c r="C6" s="7">
        <f ca="1">IF(C$3&lt;=Inputs!$B$121,Inputs!$B$120,0)*(1+inf)^B$1*ProRate</f>
        <v>1500</v>
      </c>
      <c r="D6" s="101">
        <f>IF(D$3&lt;=Inputs!$B$121,Inputs!$B$120,0)*(1+inf)^C$1</f>
        <v>2050</v>
      </c>
      <c r="E6" s="110">
        <f>IF(E$3&lt;=Inputs!$B$121,Inputs!$B$120,0)*(1+inf)^D$1</f>
        <v>2101.25</v>
      </c>
      <c r="F6" s="7">
        <f>IF(F$3&lt;=Inputs!$B$121,Inputs!$B$120,0)*(1+inf)^E$1</f>
        <v>2153.7812499999995</v>
      </c>
      <c r="G6" s="7">
        <f>IF(G$3&lt;=Inputs!$B$121,Inputs!$B$120,0)*(1+inf)^F$1</f>
        <v>2207.6257812499994</v>
      </c>
      <c r="H6" s="7">
        <f>IF(H$3&lt;=Inputs!$B$121,Inputs!$B$120,0)*(1+inf)^G$1</f>
        <v>2262.8164257812491</v>
      </c>
      <c r="I6" s="7">
        <f>IF(I$3&lt;=Inputs!$B$121,Inputs!$B$120,0)*(1+inf)^H$1</f>
        <v>2319.3868364257805</v>
      </c>
      <c r="J6" s="7">
        <f>IF(J$3&lt;=Inputs!$B$121,Inputs!$B$120,0)*(1+inf)^I$1</f>
        <v>2377.3715073364251</v>
      </c>
      <c r="K6" s="7">
        <f>IF(K$3&lt;=Inputs!$B$121,Inputs!$B$120,0)*(1+inf)^J$1</f>
        <v>2436.8057950198354</v>
      </c>
      <c r="L6" s="7">
        <f>IF(L$3&lt;=Inputs!$B$121,Inputs!$B$120,0)*(1+inf)^K$1</f>
        <v>2497.7259398953311</v>
      </c>
      <c r="M6" s="7">
        <f>IF(M$3&lt;=Inputs!$B$121,Inputs!$B$120,0)*(1+inf)^L$1</f>
        <v>2560.169088392714</v>
      </c>
      <c r="N6" s="7">
        <f>IF(N$3&lt;=Inputs!$B$121,Inputs!$B$120,0)*(1+inf)^M$1</f>
        <v>0</v>
      </c>
      <c r="O6" s="7">
        <f>IF(O$3&lt;=Inputs!$B$121,Inputs!$B$120,0)*(1+inf)^N$1</f>
        <v>0</v>
      </c>
      <c r="P6" s="7">
        <f>IF(P$3&lt;=Inputs!$B$121,Inputs!$B$120,0)*(1+inf)^O$1</f>
        <v>0</v>
      </c>
      <c r="Q6" s="7">
        <f>IF(Q$3&lt;=Inputs!$B$121,Inputs!$B$120,0)*(1+inf)^P$1</f>
        <v>0</v>
      </c>
      <c r="R6" s="7">
        <f>IF(R$3&lt;=Inputs!$B$121,Inputs!$B$120,0)*(1+inf)^Q$1</f>
        <v>0</v>
      </c>
      <c r="S6" s="7">
        <f>IF(S$3&lt;=Inputs!$B$121,Inputs!$B$120,0)*(1+inf)^R$1</f>
        <v>0</v>
      </c>
      <c r="T6" s="7">
        <f>IF(T$3&lt;=Inputs!$B$121,Inputs!$B$120,0)*(1+inf)^S$1</f>
        <v>0</v>
      </c>
      <c r="U6" s="7">
        <f>IF(U$3&lt;=Inputs!$B$121,Inputs!$B$120,0)*(1+inf)^T$1</f>
        <v>0</v>
      </c>
      <c r="V6" s="7">
        <f>IF(V$3&lt;=Inputs!$B$121,Inputs!$B$120,0)*(1+inf)^U$1</f>
        <v>0</v>
      </c>
      <c r="W6" s="7">
        <f>IF(W$3&lt;=Inputs!$B$121,Inputs!$B$120,0)*(1+inf)^V$1</f>
        <v>0</v>
      </c>
      <c r="X6" s="7">
        <f>IF(X$3&lt;=Inputs!$B$121,Inputs!$B$120,0)*(1+inf)^W$1</f>
        <v>0</v>
      </c>
      <c r="Y6" s="7">
        <f>IF(Y$3&lt;=Inputs!$B$121,Inputs!$B$120,0)*(1+inf)^X$1</f>
        <v>0</v>
      </c>
      <c r="Z6" s="7">
        <f>IF(Z$3&lt;=Inputs!$B$121,Inputs!$B$120,0)*(1+inf)^Y$1</f>
        <v>0</v>
      </c>
      <c r="AA6" s="7">
        <f>IF(AA$3&lt;=Inputs!$B$121,Inputs!$B$120,0)*(1+inf)^Z$1</f>
        <v>0</v>
      </c>
      <c r="AB6" s="7">
        <f>IF(AB$3&lt;=Inputs!$B$121,Inputs!$B$120,0)*(1+inf)^AA$1</f>
        <v>0</v>
      </c>
      <c r="AC6" s="7">
        <f>IF(AC$3&lt;=Inputs!$B$121,Inputs!$B$120,0)*(1+inf)^AB$1</f>
        <v>0</v>
      </c>
      <c r="AD6" s="7">
        <f>IF(AD$3&lt;=Inputs!$B$121,Inputs!$B$120,0)*(1+inf)^AC$1</f>
        <v>0</v>
      </c>
      <c r="AE6" s="7">
        <f>IF(AE$3&lt;=Inputs!$B$121,Inputs!$B$120,0)*(1+inf)^AD$1</f>
        <v>0</v>
      </c>
      <c r="AF6" s="7">
        <f>IF(AF$3&lt;=Inputs!$B$121,Inputs!$B$120,0)*(1+inf)^AE$1</f>
        <v>0</v>
      </c>
      <c r="AG6" s="7">
        <f>IF(AG$3&lt;=Inputs!$B$121,Inputs!$B$120,0)*(1+inf)^AF$1</f>
        <v>0</v>
      </c>
      <c r="AH6" s="7">
        <f>IF(AH$3&lt;=Inputs!$B$121,Inputs!$B$120,0)*(1+inf)^AG$1</f>
        <v>0</v>
      </c>
      <c r="AI6" s="7">
        <f>IF(AI$3&lt;=Inputs!$B$121,Inputs!$B$120,0)*(1+inf)^AH$1</f>
        <v>0</v>
      </c>
      <c r="AJ6" s="7">
        <f>IF(AJ$3&lt;=Inputs!$B$121,Inputs!$B$120,0)*(1+inf)^AI$1</f>
        <v>0</v>
      </c>
      <c r="AK6" s="7">
        <f>IF(AK$3&lt;=Inputs!$B$121,Inputs!$B$120,0)*(1+inf)^AJ$1</f>
        <v>0</v>
      </c>
      <c r="AL6" s="7">
        <f>IF(AL$3&lt;=Inputs!$B$121,Inputs!$B$120,0)*(1+inf)^AK$1</f>
        <v>0</v>
      </c>
      <c r="AM6" s="7">
        <f>IF(AM$3&lt;=Inputs!$B$121,Inputs!$B$120,0)*(1+inf)^AL$1</f>
        <v>0</v>
      </c>
    </row>
    <row r="7" spans="1:39" x14ac:dyDescent="0.2">
      <c r="A7" s="4" t="s">
        <v>63</v>
      </c>
      <c r="B7" s="8"/>
      <c r="C7" s="7"/>
      <c r="D7" s="101"/>
      <c r="E7" s="110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  <c r="AG7" s="7"/>
      <c r="AH7" s="7"/>
      <c r="AI7" s="7"/>
      <c r="AJ7" s="7"/>
      <c r="AK7" s="7"/>
      <c r="AL7" s="7"/>
      <c r="AM7" s="7"/>
    </row>
    <row r="8" spans="1:39" x14ac:dyDescent="0.2">
      <c r="A8" s="3" t="str">
        <f>TEXT(Inputs!$B$61,"")</f>
        <v>Sliema</v>
      </c>
      <c r="C8" s="7">
        <f ca="1">Inputs!B114*ProRate</f>
        <v>9000</v>
      </c>
      <c r="D8" s="101">
        <f t="shared" ref="D8:S12" ca="1" si="32">C8*(1+rinc)</f>
        <v>9270</v>
      </c>
      <c r="E8" s="110">
        <f t="shared" ca="1" si="32"/>
        <v>9548.1</v>
      </c>
      <c r="F8" s="7">
        <f t="shared" ca="1" si="32"/>
        <v>9834.5430000000015</v>
      </c>
      <c r="G8" s="7">
        <f t="shared" ca="1" si="32"/>
        <v>10129.579290000001</v>
      </c>
      <c r="H8" s="7">
        <f t="shared" ca="1" si="32"/>
        <v>10433.466668700003</v>
      </c>
      <c r="I8" s="7">
        <f t="shared" ca="1" si="32"/>
        <v>10746.470668761003</v>
      </c>
      <c r="J8" s="7">
        <f t="shared" ca="1" si="32"/>
        <v>11068.864788823834</v>
      </c>
      <c r="K8" s="7">
        <f t="shared" ca="1" si="32"/>
        <v>11400.930732488549</v>
      </c>
      <c r="L8" s="7">
        <f t="shared" ca="1" si="32"/>
        <v>11742.958654463206</v>
      </c>
      <c r="M8" s="7">
        <f t="shared" ca="1" si="32"/>
        <v>12095.247414097103</v>
      </c>
      <c r="N8" s="7">
        <f t="shared" ca="1" si="32"/>
        <v>12458.104836520017</v>
      </c>
      <c r="O8" s="7">
        <f t="shared" ca="1" si="32"/>
        <v>12831.847981615618</v>
      </c>
      <c r="P8" s="7">
        <f t="shared" ca="1" si="32"/>
        <v>13216.803421064087</v>
      </c>
      <c r="Q8" s="7">
        <f t="shared" ca="1" si="32"/>
        <v>13613.30752369601</v>
      </c>
      <c r="R8" s="7">
        <f t="shared" ca="1" si="32"/>
        <v>14021.706749406891</v>
      </c>
      <c r="S8" s="7">
        <f t="shared" ca="1" si="32"/>
        <v>14442.357951889098</v>
      </c>
      <c r="T8" s="7">
        <f t="shared" ref="T8:AI12" ca="1" si="33">S8*(1+rinc)</f>
        <v>14875.628690445772</v>
      </c>
      <c r="U8" s="7">
        <f t="shared" ca="1" si="33"/>
        <v>15321.897551159145</v>
      </c>
      <c r="V8" s="7">
        <f t="shared" ca="1" si="33"/>
        <v>15781.55447769392</v>
      </c>
      <c r="W8" s="7">
        <f t="shared" ca="1" si="33"/>
        <v>16255.001112024738</v>
      </c>
      <c r="X8" s="7">
        <f t="shared" ca="1" si="33"/>
        <v>16742.65114538548</v>
      </c>
      <c r="Y8" s="7">
        <f t="shared" ca="1" si="33"/>
        <v>17244.930679747045</v>
      </c>
      <c r="Z8" s="7">
        <f t="shared" ca="1" si="33"/>
        <v>17762.278600139456</v>
      </c>
      <c r="AA8" s="7">
        <f t="shared" ca="1" si="33"/>
        <v>18295.146958143639</v>
      </c>
      <c r="AB8" s="7">
        <f t="shared" ca="1" si="33"/>
        <v>18844.001366887947</v>
      </c>
      <c r="AC8" s="7">
        <f t="shared" ca="1" si="33"/>
        <v>19409.321407894586</v>
      </c>
      <c r="AD8" s="7">
        <f t="shared" ca="1" si="33"/>
        <v>19991.601050131423</v>
      </c>
      <c r="AE8" s="7">
        <f t="shared" ca="1" si="33"/>
        <v>20591.349081635366</v>
      </c>
      <c r="AF8" s="7">
        <f t="shared" ca="1" si="33"/>
        <v>21209.089554084429</v>
      </c>
      <c r="AG8" s="7">
        <f t="shared" ca="1" si="33"/>
        <v>21845.362240706963</v>
      </c>
      <c r="AH8" s="7">
        <f t="shared" ca="1" si="33"/>
        <v>22500.723107928174</v>
      </c>
      <c r="AI8" s="7">
        <f t="shared" ca="1" si="33"/>
        <v>23175.74480116602</v>
      </c>
      <c r="AJ8" s="7">
        <f t="shared" ref="AJ8:AM12" ca="1" si="34">AI8*(1+rinc)</f>
        <v>23871.017145201</v>
      </c>
      <c r="AK8" s="7">
        <f t="shared" ca="1" si="34"/>
        <v>24587.147659557031</v>
      </c>
      <c r="AL8" s="7">
        <f t="shared" ca="1" si="34"/>
        <v>25324.762089343742</v>
      </c>
      <c r="AM8" s="7">
        <f t="shared" ca="1" si="34"/>
        <v>26084.504952024054</v>
      </c>
    </row>
    <row r="9" spans="1:39" x14ac:dyDescent="0.2">
      <c r="A9" s="3" t="str">
        <f>TEXT(Inputs!$B$66,"")</f>
        <v>Gzira</v>
      </c>
      <c r="C9" s="7">
        <f ca="1">Inputs!B115*ProRate</f>
        <v>7500</v>
      </c>
      <c r="D9" s="101">
        <f t="shared" ca="1" si="32"/>
        <v>7725</v>
      </c>
      <c r="E9" s="110">
        <f t="shared" ca="1" si="32"/>
        <v>7956.75</v>
      </c>
      <c r="F9" s="7">
        <f t="shared" ca="1" si="32"/>
        <v>8195.4524999999994</v>
      </c>
      <c r="G9" s="7">
        <f t="shared" ca="1" si="32"/>
        <v>8441.3160749999988</v>
      </c>
      <c r="H9" s="7">
        <f t="shared" ca="1" si="32"/>
        <v>8694.5555572499998</v>
      </c>
      <c r="I9" s="7">
        <f t="shared" ca="1" si="32"/>
        <v>8955.3922239674994</v>
      </c>
      <c r="J9" s="7">
        <f t="shared" ca="1" si="32"/>
        <v>9224.0539906865251</v>
      </c>
      <c r="K9" s="7">
        <f t="shared" ca="1" si="32"/>
        <v>9500.7756104071213</v>
      </c>
      <c r="L9" s="7">
        <f t="shared" ca="1" si="32"/>
        <v>9785.7988787193353</v>
      </c>
      <c r="M9" s="7">
        <f t="shared" ca="1" si="32"/>
        <v>10079.372845080916</v>
      </c>
      <c r="N9" s="7">
        <f t="shared" ca="1" si="32"/>
        <v>10381.754030433343</v>
      </c>
      <c r="O9" s="7">
        <f t="shared" ca="1" si="32"/>
        <v>10693.206651346343</v>
      </c>
      <c r="P9" s="7">
        <f t="shared" ca="1" si="32"/>
        <v>11014.002850886734</v>
      </c>
      <c r="Q9" s="7">
        <f t="shared" ca="1" si="32"/>
        <v>11344.422936413337</v>
      </c>
      <c r="R9" s="7">
        <f t="shared" ca="1" si="32"/>
        <v>11684.755624505737</v>
      </c>
      <c r="S9" s="7">
        <f t="shared" ca="1" si="32"/>
        <v>12035.298293240909</v>
      </c>
      <c r="T9" s="7">
        <f t="shared" ca="1" si="33"/>
        <v>12396.357242038137</v>
      </c>
      <c r="U9" s="7">
        <f t="shared" ca="1" si="33"/>
        <v>12768.247959299282</v>
      </c>
      <c r="V9" s="7">
        <f t="shared" ca="1" si="33"/>
        <v>13151.29539807826</v>
      </c>
      <c r="W9" s="7">
        <f t="shared" ca="1" si="33"/>
        <v>13545.834260020609</v>
      </c>
      <c r="X9" s="7">
        <f t="shared" ca="1" si="33"/>
        <v>13952.209287821228</v>
      </c>
      <c r="Y9" s="7">
        <f t="shared" ca="1" si="33"/>
        <v>14370.775566455864</v>
      </c>
      <c r="Z9" s="7">
        <f t="shared" ca="1" si="33"/>
        <v>14801.898833449541</v>
      </c>
      <c r="AA9" s="7">
        <f t="shared" ca="1" si="33"/>
        <v>15245.955798453027</v>
      </c>
      <c r="AB9" s="7">
        <f t="shared" ca="1" si="33"/>
        <v>15703.334472406619</v>
      </c>
      <c r="AC9" s="7">
        <f t="shared" ca="1" si="33"/>
        <v>16174.434506578818</v>
      </c>
      <c r="AD9" s="7">
        <f t="shared" ca="1" si="33"/>
        <v>16659.667541776183</v>
      </c>
      <c r="AE9" s="7">
        <f t="shared" ca="1" si="33"/>
        <v>17159.457568029469</v>
      </c>
      <c r="AF9" s="7">
        <f t="shared" ca="1" si="33"/>
        <v>17674.241295070355</v>
      </c>
      <c r="AG9" s="7">
        <f t="shared" ca="1" si="33"/>
        <v>18204.468533922467</v>
      </c>
      <c r="AH9" s="7">
        <f t="shared" ca="1" si="33"/>
        <v>18750.602589940143</v>
      </c>
      <c r="AI9" s="7">
        <f t="shared" ca="1" si="33"/>
        <v>19313.120667638348</v>
      </c>
      <c r="AJ9" s="7">
        <f t="shared" ca="1" si="34"/>
        <v>19892.514287667498</v>
      </c>
      <c r="AK9" s="7">
        <f t="shared" ca="1" si="34"/>
        <v>20489.289716297524</v>
      </c>
      <c r="AL9" s="7">
        <f t="shared" ca="1" si="34"/>
        <v>21103.968407786451</v>
      </c>
      <c r="AM9" s="7">
        <f t="shared" ca="1" si="34"/>
        <v>21737.087460020044</v>
      </c>
    </row>
    <row r="10" spans="1:39" x14ac:dyDescent="0.2">
      <c r="A10" s="3" t="str">
        <f>TEXT(Inputs!$B$71,"")</f>
        <v>Qormi</v>
      </c>
      <c r="C10" s="7">
        <f ca="1">Inputs!B116*ProRate</f>
        <v>6000</v>
      </c>
      <c r="D10" s="101">
        <f t="shared" ca="1" si="32"/>
        <v>6180</v>
      </c>
      <c r="E10" s="110">
        <f t="shared" ca="1" si="32"/>
        <v>6365.4000000000005</v>
      </c>
      <c r="F10" s="7">
        <f t="shared" ca="1" si="32"/>
        <v>6556.362000000001</v>
      </c>
      <c r="G10" s="7">
        <f t="shared" ca="1" si="32"/>
        <v>6753.0528600000016</v>
      </c>
      <c r="H10" s="7">
        <f t="shared" ca="1" si="32"/>
        <v>6955.6444458000014</v>
      </c>
      <c r="I10" s="7">
        <f t="shared" ca="1" si="32"/>
        <v>7164.3137791740019</v>
      </c>
      <c r="J10" s="7">
        <f t="shared" ca="1" si="32"/>
        <v>7379.2431925492219</v>
      </c>
      <c r="K10" s="7">
        <f t="shared" ca="1" si="32"/>
        <v>7600.6204883256987</v>
      </c>
      <c r="L10" s="7">
        <f t="shared" ca="1" si="32"/>
        <v>7828.6391029754695</v>
      </c>
      <c r="M10" s="7">
        <f t="shared" ca="1" si="32"/>
        <v>8063.4982760647335</v>
      </c>
      <c r="N10" s="7">
        <f t="shared" ca="1" si="32"/>
        <v>8305.4032243466754</v>
      </c>
      <c r="O10" s="7">
        <f t="shared" ca="1" si="32"/>
        <v>8554.5653210770761</v>
      </c>
      <c r="P10" s="7">
        <f t="shared" ca="1" si="32"/>
        <v>8811.202280709389</v>
      </c>
      <c r="Q10" s="7">
        <f t="shared" ca="1" si="32"/>
        <v>9075.5383491306711</v>
      </c>
      <c r="R10" s="7">
        <f t="shared" ca="1" si="32"/>
        <v>9347.8044996045919</v>
      </c>
      <c r="S10" s="7">
        <f t="shared" ca="1" si="32"/>
        <v>9628.2386345927298</v>
      </c>
      <c r="T10" s="7">
        <f t="shared" ca="1" si="33"/>
        <v>9917.0857936305129</v>
      </c>
      <c r="U10" s="7">
        <f t="shared" ca="1" si="33"/>
        <v>10214.598367439428</v>
      </c>
      <c r="V10" s="7">
        <f t="shared" ca="1" si="33"/>
        <v>10521.036318462611</v>
      </c>
      <c r="W10" s="7">
        <f t="shared" ca="1" si="33"/>
        <v>10836.66740801649</v>
      </c>
      <c r="X10" s="7">
        <f t="shared" ca="1" si="33"/>
        <v>11161.767430256985</v>
      </c>
      <c r="Y10" s="7">
        <f t="shared" ca="1" si="33"/>
        <v>11496.620453164694</v>
      </c>
      <c r="Z10" s="7">
        <f t="shared" ca="1" si="33"/>
        <v>11841.519066759636</v>
      </c>
      <c r="AA10" s="7">
        <f t="shared" ca="1" si="33"/>
        <v>12196.764638762426</v>
      </c>
      <c r="AB10" s="7">
        <f t="shared" ca="1" si="33"/>
        <v>12562.6675779253</v>
      </c>
      <c r="AC10" s="7">
        <f t="shared" ca="1" si="33"/>
        <v>12939.54760526306</v>
      </c>
      <c r="AD10" s="7">
        <f t="shared" ca="1" si="33"/>
        <v>13327.734033420953</v>
      </c>
      <c r="AE10" s="7">
        <f t="shared" ca="1" si="33"/>
        <v>13727.566054423582</v>
      </c>
      <c r="AF10" s="7">
        <f t="shared" ca="1" si="33"/>
        <v>14139.39303605629</v>
      </c>
      <c r="AG10" s="7">
        <f t="shared" ca="1" si="33"/>
        <v>14563.57482713798</v>
      </c>
      <c r="AH10" s="7">
        <f t="shared" ca="1" si="33"/>
        <v>15000.482071952119</v>
      </c>
      <c r="AI10" s="7">
        <f t="shared" ca="1" si="33"/>
        <v>15450.496534110684</v>
      </c>
      <c r="AJ10" s="7">
        <f t="shared" ca="1" si="34"/>
        <v>15914.011430134004</v>
      </c>
      <c r="AK10" s="7">
        <f t="shared" ca="1" si="34"/>
        <v>16391.431773038024</v>
      </c>
      <c r="AL10" s="7">
        <f t="shared" ca="1" si="34"/>
        <v>16883.174726229165</v>
      </c>
      <c r="AM10" s="7">
        <f t="shared" ca="1" si="34"/>
        <v>17389.669968016042</v>
      </c>
    </row>
    <row r="11" spans="1:39" x14ac:dyDescent="0.2">
      <c r="A11" s="3" t="str">
        <f>TEXT(Inputs!$B$76,"")</f>
        <v>Gudja</v>
      </c>
      <c r="C11" s="7">
        <f ca="1">Inputs!B117*ProRate</f>
        <v>3750</v>
      </c>
      <c r="D11" s="101">
        <f t="shared" ca="1" si="32"/>
        <v>3862.5</v>
      </c>
      <c r="E11" s="110">
        <f t="shared" ca="1" si="32"/>
        <v>3978.375</v>
      </c>
      <c r="F11" s="7">
        <f t="shared" ca="1" si="32"/>
        <v>4097.7262499999997</v>
      </c>
      <c r="G11" s="7">
        <f t="shared" ca="1" si="32"/>
        <v>4220.6580374999994</v>
      </c>
      <c r="H11" s="7">
        <f t="shared" ca="1" si="32"/>
        <v>4347.2777786249999</v>
      </c>
      <c r="I11" s="7">
        <f t="shared" ca="1" si="32"/>
        <v>4477.6961119837497</v>
      </c>
      <c r="J11" s="7">
        <f t="shared" ca="1" si="32"/>
        <v>4612.0269953432626</v>
      </c>
      <c r="K11" s="7">
        <f t="shared" ca="1" si="32"/>
        <v>4750.3878052035607</v>
      </c>
      <c r="L11" s="7">
        <f t="shared" ca="1" si="32"/>
        <v>4892.8994393596677</v>
      </c>
      <c r="M11" s="7">
        <f t="shared" ca="1" si="32"/>
        <v>5039.6864225404579</v>
      </c>
      <c r="N11" s="7">
        <f t="shared" ca="1" si="32"/>
        <v>5190.8770152166717</v>
      </c>
      <c r="O11" s="7">
        <f t="shared" ca="1" si="32"/>
        <v>5346.6033256731716</v>
      </c>
      <c r="P11" s="7">
        <f t="shared" ca="1" si="32"/>
        <v>5507.0014254433672</v>
      </c>
      <c r="Q11" s="7">
        <f t="shared" ca="1" si="32"/>
        <v>5672.2114682066685</v>
      </c>
      <c r="R11" s="7">
        <f t="shared" ca="1" si="32"/>
        <v>5842.3778122528684</v>
      </c>
      <c r="S11" s="7">
        <f t="shared" ca="1" si="32"/>
        <v>6017.6491466204543</v>
      </c>
      <c r="T11" s="7">
        <f t="shared" ca="1" si="33"/>
        <v>6198.1786210190685</v>
      </c>
      <c r="U11" s="7">
        <f t="shared" ca="1" si="33"/>
        <v>6384.1239796496411</v>
      </c>
      <c r="V11" s="7">
        <f t="shared" ca="1" si="33"/>
        <v>6575.6476990391302</v>
      </c>
      <c r="W11" s="7">
        <f t="shared" ca="1" si="33"/>
        <v>6772.9171300103044</v>
      </c>
      <c r="X11" s="7">
        <f t="shared" ca="1" si="33"/>
        <v>6976.104643910614</v>
      </c>
      <c r="Y11" s="7">
        <f t="shared" ca="1" si="33"/>
        <v>7185.3877832279322</v>
      </c>
      <c r="Z11" s="7">
        <f t="shared" ca="1" si="33"/>
        <v>7400.9494167247703</v>
      </c>
      <c r="AA11" s="7">
        <f t="shared" ca="1" si="33"/>
        <v>7622.9778992265137</v>
      </c>
      <c r="AB11" s="7">
        <f t="shared" ca="1" si="33"/>
        <v>7851.6672362033096</v>
      </c>
      <c r="AC11" s="7">
        <f t="shared" ca="1" si="33"/>
        <v>8087.2172532894092</v>
      </c>
      <c r="AD11" s="7">
        <f t="shared" ca="1" si="33"/>
        <v>8329.8337708880917</v>
      </c>
      <c r="AE11" s="7">
        <f t="shared" ca="1" si="33"/>
        <v>8579.7287840147346</v>
      </c>
      <c r="AF11" s="7">
        <f t="shared" ca="1" si="33"/>
        <v>8837.1206475351773</v>
      </c>
      <c r="AG11" s="7">
        <f t="shared" ca="1" si="33"/>
        <v>9102.2342669612335</v>
      </c>
      <c r="AH11" s="7">
        <f t="shared" ca="1" si="33"/>
        <v>9375.3012949700715</v>
      </c>
      <c r="AI11" s="7">
        <f t="shared" ca="1" si="33"/>
        <v>9656.560333819174</v>
      </c>
      <c r="AJ11" s="7">
        <f t="shared" ca="1" si="34"/>
        <v>9946.2571438337491</v>
      </c>
      <c r="AK11" s="7">
        <f t="shared" ca="1" si="34"/>
        <v>10244.644858148762</v>
      </c>
      <c r="AL11" s="7">
        <f t="shared" ca="1" si="34"/>
        <v>10551.984203893226</v>
      </c>
      <c r="AM11" s="7">
        <f t="shared" ca="1" si="34"/>
        <v>10868.543730010022</v>
      </c>
    </row>
    <row r="12" spans="1:39" x14ac:dyDescent="0.2">
      <c r="A12" s="3" t="str">
        <f>TEXT(Inputs!$B$81,"")</f>
        <v>Marsa</v>
      </c>
      <c r="C12" s="7">
        <f ca="1">Inputs!B118*ProRate</f>
        <v>4875</v>
      </c>
      <c r="D12" s="101">
        <f t="shared" ca="1" si="32"/>
        <v>5021.25</v>
      </c>
      <c r="E12" s="110">
        <f t="shared" ca="1" si="32"/>
        <v>5171.8874999999998</v>
      </c>
      <c r="F12" s="7">
        <f t="shared" ca="1" si="32"/>
        <v>5327.0441250000003</v>
      </c>
      <c r="G12" s="7">
        <f t="shared" ca="1" si="32"/>
        <v>5486.8554487500005</v>
      </c>
      <c r="H12" s="7">
        <f t="shared" ca="1" si="32"/>
        <v>5651.4611122125007</v>
      </c>
      <c r="I12" s="7">
        <f t="shared" ca="1" si="32"/>
        <v>5821.0049455788758</v>
      </c>
      <c r="J12" s="7">
        <f t="shared" ca="1" si="32"/>
        <v>5995.6350939462418</v>
      </c>
      <c r="K12" s="7">
        <f t="shared" ca="1" si="32"/>
        <v>6175.5041467646288</v>
      </c>
      <c r="L12" s="7">
        <f t="shared" ca="1" si="32"/>
        <v>6360.7692711675681</v>
      </c>
      <c r="M12" s="7">
        <f t="shared" ca="1" si="32"/>
        <v>6551.5923493025957</v>
      </c>
      <c r="N12" s="7">
        <f t="shared" ca="1" si="32"/>
        <v>6748.140119781674</v>
      </c>
      <c r="O12" s="7">
        <f t="shared" ca="1" si="32"/>
        <v>6950.5843233751248</v>
      </c>
      <c r="P12" s="7">
        <f t="shared" ca="1" si="32"/>
        <v>7159.1018530763786</v>
      </c>
      <c r="Q12" s="7">
        <f t="shared" ca="1" si="32"/>
        <v>7373.8749086686703</v>
      </c>
      <c r="R12" s="7">
        <f t="shared" ca="1" si="32"/>
        <v>7595.0911559287306</v>
      </c>
      <c r="S12" s="7">
        <f t="shared" ca="1" si="32"/>
        <v>7822.9438906065925</v>
      </c>
      <c r="T12" s="7">
        <f t="shared" ca="1" si="33"/>
        <v>8057.6322073247902</v>
      </c>
      <c r="U12" s="7">
        <f t="shared" ca="1" si="33"/>
        <v>8299.3611735445338</v>
      </c>
      <c r="V12" s="7">
        <f t="shared" ca="1" si="33"/>
        <v>8548.3420087508694</v>
      </c>
      <c r="W12" s="7">
        <f t="shared" ca="1" si="33"/>
        <v>8804.7922690133964</v>
      </c>
      <c r="X12" s="7">
        <f t="shared" ca="1" si="33"/>
        <v>9068.9360370837985</v>
      </c>
      <c r="Y12" s="7">
        <f t="shared" ca="1" si="33"/>
        <v>9341.0041181963134</v>
      </c>
      <c r="Z12" s="7">
        <f t="shared" ca="1" si="33"/>
        <v>9621.2342417422024</v>
      </c>
      <c r="AA12" s="7">
        <f t="shared" ca="1" si="33"/>
        <v>9909.8712689944696</v>
      </c>
      <c r="AB12" s="7">
        <f t="shared" ca="1" si="33"/>
        <v>10207.167407064304</v>
      </c>
      <c r="AC12" s="7">
        <f t="shared" ca="1" si="33"/>
        <v>10513.382429276233</v>
      </c>
      <c r="AD12" s="7">
        <f t="shared" ca="1" si="33"/>
        <v>10828.783902154521</v>
      </c>
      <c r="AE12" s="7">
        <f t="shared" ca="1" si="33"/>
        <v>11153.647419219156</v>
      </c>
      <c r="AF12" s="7">
        <f t="shared" ca="1" si="33"/>
        <v>11488.256841795732</v>
      </c>
      <c r="AG12" s="7">
        <f t="shared" ca="1" si="33"/>
        <v>11832.904547049604</v>
      </c>
      <c r="AH12" s="7">
        <f t="shared" ca="1" si="33"/>
        <v>12187.891683461092</v>
      </c>
      <c r="AI12" s="7">
        <f t="shared" ca="1" si="33"/>
        <v>12553.528433964924</v>
      </c>
      <c r="AJ12" s="7">
        <f t="shared" ca="1" si="34"/>
        <v>12930.134286983872</v>
      </c>
      <c r="AK12" s="7">
        <f t="shared" ca="1" si="34"/>
        <v>13318.038315593389</v>
      </c>
      <c r="AL12" s="7">
        <f t="shared" ca="1" si="34"/>
        <v>13717.579465061192</v>
      </c>
      <c r="AM12" s="7">
        <f t="shared" ca="1" si="34"/>
        <v>14129.106849013027</v>
      </c>
    </row>
    <row r="13" spans="1:39" x14ac:dyDescent="0.2">
      <c r="A13" s="4" t="s">
        <v>72</v>
      </c>
      <c r="B13" s="8"/>
      <c r="C13" s="7">
        <f ca="1">IF(C$3&lt;Inputs!$B$20,0,Inputs!$B$22)*(1+inf)^B$1*ProRate</f>
        <v>0</v>
      </c>
      <c r="D13" s="101">
        <f>IF(D$3&lt;Inputs!$B$20,0,Inputs!$B$22)*(1+inf)^C$1</f>
        <v>0</v>
      </c>
      <c r="E13" s="110">
        <f>IF(E$3&lt;Inputs!$B$20,0,Inputs!$B$22)*(1+inf)^D$1</f>
        <v>0</v>
      </c>
      <c r="F13" s="7">
        <f>IF(F$3&lt;Inputs!$B$20,0,Inputs!$B$22)*(1+inf)^E$1</f>
        <v>0</v>
      </c>
      <c r="G13" s="7">
        <f>IF(G$3&lt;Inputs!$B$20,0,Inputs!$B$22)*(1+inf)^F$1</f>
        <v>0</v>
      </c>
      <c r="H13" s="7">
        <f>IF(H$3&lt;Inputs!$B$20,0,Inputs!$B$22)*(1+inf)^G$1</f>
        <v>0</v>
      </c>
      <c r="I13" s="7">
        <f>IF(I$3&lt;Inputs!$B$20,0,Inputs!$B$22)*(1+inf)^H$1</f>
        <v>0</v>
      </c>
      <c r="J13" s="7">
        <f>IF(J$3&lt;Inputs!$B$20,0,Inputs!$B$22)*(1+inf)^I$1</f>
        <v>0</v>
      </c>
      <c r="K13" s="7">
        <f>IF(K$3&lt;Inputs!$B$20,0,Inputs!$B$22)*(1+inf)^J$1</f>
        <v>0</v>
      </c>
      <c r="L13" s="7">
        <f>IF(L$3&lt;Inputs!$B$20,0,Inputs!$B$22)*(1+inf)^K$1</f>
        <v>0</v>
      </c>
      <c r="M13" s="7">
        <f>IF(M$3&lt;Inputs!$B$20,0,Inputs!$B$22)*(1+inf)^L$1</f>
        <v>0</v>
      </c>
      <c r="N13" s="7">
        <f>IF(N$3&lt;Inputs!$B$20,0,Inputs!$B$22)*(1+inf)^M$1</f>
        <v>0</v>
      </c>
      <c r="O13" s="7">
        <f>IF(O$3&lt;Inputs!$B$20,0,Inputs!$B$22)*(1+inf)^N$1</f>
        <v>0</v>
      </c>
      <c r="P13" s="7">
        <f>IF(P$3&lt;Inputs!$B$20,0,Inputs!$B$22)*(1+inf)^O$1</f>
        <v>0</v>
      </c>
      <c r="Q13" s="7">
        <f>IF(Q$3&lt;Inputs!$B$20,0,Inputs!$B$22)*(1+inf)^P$1</f>
        <v>0</v>
      </c>
      <c r="R13" s="7">
        <f>IF(R$3&lt;Inputs!$B$20,0,Inputs!$B$22)*(1+inf)^Q$1</f>
        <v>0</v>
      </c>
      <c r="S13" s="7">
        <f>IF(S$3&lt;Inputs!$B$20,0,Inputs!$B$22)*(1+inf)^R$1</f>
        <v>0</v>
      </c>
      <c r="T13" s="7">
        <f>IF(T$3&lt;Inputs!$B$20,0,Inputs!$B$22)*(1+inf)^S$1</f>
        <v>24345.892178833234</v>
      </c>
      <c r="U13" s="7">
        <f>IF(U$3&lt;Inputs!$B$20,0,Inputs!$B$22)*(1+inf)^T$1</f>
        <v>24954.539483304063</v>
      </c>
      <c r="V13" s="7">
        <f>IF(V$3&lt;Inputs!$B$20,0,Inputs!$B$22)*(1+inf)^U$1</f>
        <v>25578.402970386665</v>
      </c>
      <c r="W13" s="7">
        <f>IF(W$3&lt;Inputs!$B$20,0,Inputs!$B$22)*(1+inf)^V$1</f>
        <v>26217.863044646328</v>
      </c>
      <c r="X13" s="7">
        <f>IF(X$3&lt;Inputs!$B$20,0,Inputs!$B$22)*(1+inf)^W$1</f>
        <v>26873.309620762484</v>
      </c>
      <c r="Y13" s="7">
        <f>IF(Y$3&lt;Inputs!$B$20,0,Inputs!$B$22)*(1+inf)^X$1</f>
        <v>27545.142361281545</v>
      </c>
      <c r="Z13" s="7">
        <f>IF(Z$3&lt;Inputs!$B$20,0,Inputs!$B$22)*(1+inf)^Y$1</f>
        <v>28233.770920313586</v>
      </c>
      <c r="AA13" s="7">
        <f>IF(AA$3&lt;Inputs!$B$20,0,Inputs!$B$22)*(1+inf)^Z$1</f>
        <v>28939.615193321424</v>
      </c>
      <c r="AB13" s="7">
        <f>IF(AB$3&lt;Inputs!$B$20,0,Inputs!$B$22)*(1+inf)^AA$1</f>
        <v>29663.105573154455</v>
      </c>
      <c r="AC13" s="7">
        <f>IF(AC$3&lt;Inputs!$B$20,0,Inputs!$B$22)*(1+inf)^AB$1</f>
        <v>30404.683212483313</v>
      </c>
      <c r="AD13" s="7">
        <f>IF(AD$3&lt;Inputs!$B$20,0,Inputs!$B$22)*(1+inf)^AC$1</f>
        <v>31164.800292795393</v>
      </c>
      <c r="AE13" s="7">
        <f>IF(AE$3&lt;Inputs!$B$20,0,Inputs!$B$22)*(1+inf)^AD$1</f>
        <v>31943.920300115278</v>
      </c>
      <c r="AF13" s="7">
        <f>IF(AF$3&lt;Inputs!$B$20,0,Inputs!$B$22)*(1+inf)^AE$1</f>
        <v>32742.518307618164</v>
      </c>
      <c r="AG13" s="7">
        <f>IF(AG$3&lt;Inputs!$B$20,0,Inputs!$B$22)*(1+inf)^AF$1</f>
        <v>33561.08126530861</v>
      </c>
      <c r="AH13" s="7">
        <f>IF(AH$3&lt;Inputs!$B$20,0,Inputs!$B$22)*(1+inf)^AG$1</f>
        <v>34400.108296941333</v>
      </c>
      <c r="AI13" s="7">
        <f>IF(AI$3&lt;Inputs!$B$20,0,Inputs!$B$22)*(1+inf)^AH$1</f>
        <v>35260.111004364859</v>
      </c>
      <c r="AJ13" s="7">
        <f>IF(AJ$3&lt;Inputs!$B$20,0,Inputs!$B$22)*(1+inf)^AI$1</f>
        <v>36141.613779473977</v>
      </c>
      <c r="AK13" s="7">
        <f>IF(AK$3&lt;Inputs!$B$20,0,Inputs!$B$22)*(1+inf)^AJ$1</f>
        <v>37045.154123960827</v>
      </c>
      <c r="AL13" s="7">
        <f>IF(AL$3&lt;Inputs!$B$20,0,Inputs!$B$22)*(1+inf)^AK$1</f>
        <v>37971.28297705984</v>
      </c>
      <c r="AM13" s="7">
        <f>IF(AM$3&lt;Inputs!$B$20,0,Inputs!$B$22)*(1+inf)^AL$1</f>
        <v>38920.565051486345</v>
      </c>
    </row>
    <row r="14" spans="1:39" x14ac:dyDescent="0.2">
      <c r="A14" s="4" t="s">
        <v>73</v>
      </c>
      <c r="B14" s="8"/>
      <c r="C14" s="7">
        <f ca="1">MIN(0,MAX(-IF(C13=0,0,(Inputs!$B$20-INDEX(3:3,MATCH(0,5:5,0))))*Inputs!$B$278*(1+inf)^B$1*ProRate,-C13))</f>
        <v>0</v>
      </c>
      <c r="D14" s="101">
        <f>MIN(0,MAX(-IF(D13=0,0,(Inputs!$B$20-INDEX(3:3,MATCH(0,5:5,0))))*Inputs!$B$278*(1+inf)^C$1,-D13))</f>
        <v>0</v>
      </c>
      <c r="E14" s="110">
        <f>MIN(0,MAX(-IF(E13=0,0,(Inputs!$B$20-INDEX(3:3,MATCH(0,5:5,0))))*Inputs!$B$278*(1+inf)^D$1,-E13))</f>
        <v>0</v>
      </c>
      <c r="F14" s="7">
        <f>MIN(0,MAX(-IF(F13=0,0,(Inputs!$B$20-INDEX(3:3,MATCH(0,5:5,0))))*Inputs!$B$278*(1+inf)^E$1,-F13))</f>
        <v>0</v>
      </c>
      <c r="G14" s="7">
        <f>MIN(0,MAX(-IF(G13=0,0,(Inputs!$B$20-INDEX(3:3,MATCH(0,5:5,0))))*Inputs!$B$278*(1+inf)^F$1,-G13))</f>
        <v>0</v>
      </c>
      <c r="H14" s="7">
        <f>MIN(0,MAX(-IF(H13=0,0,(Inputs!$B$20-INDEX(3:3,MATCH(0,5:5,0))))*Inputs!$B$278*(1+inf)^G$1,-H13))</f>
        <v>0</v>
      </c>
      <c r="I14" s="7">
        <f>MIN(0,MAX(-IF(I13=0,0,(Inputs!$B$20-INDEX(3:3,MATCH(0,5:5,0))))*Inputs!$B$278*(1+inf)^H$1,-I13))</f>
        <v>0</v>
      </c>
      <c r="J14" s="7">
        <f>MIN(0,MAX(-IF(J13=0,0,(Inputs!$B$20-INDEX(3:3,MATCH(0,5:5,0))))*Inputs!$B$278*(1+inf)^I$1,-J13))</f>
        <v>0</v>
      </c>
      <c r="K14" s="7">
        <f>MIN(0,MAX(-IF(K13=0,0,(Inputs!$B$20-INDEX(3:3,MATCH(0,5:5,0))))*Inputs!$B$278*(1+inf)^J$1,-K13))</f>
        <v>0</v>
      </c>
      <c r="L14" s="7">
        <f>MIN(0,MAX(-IF(L13=0,0,(Inputs!$B$20-INDEX(3:3,MATCH(0,5:5,0))))*Inputs!$B$278*(1+inf)^K$1,-L13))</f>
        <v>0</v>
      </c>
      <c r="M14" s="7">
        <f>MIN(0,MAX(-IF(M13=0,0,(Inputs!$B$20-INDEX(3:3,MATCH(0,5:5,0))))*Inputs!$B$278*(1+inf)^L$1,-M13))</f>
        <v>0</v>
      </c>
      <c r="N14" s="7">
        <f>MIN(0,MAX(-IF(N13=0,0,(Inputs!$B$20-INDEX(3:3,MATCH(0,5:5,0))))*Inputs!$B$278*(1+inf)^M$1,-N13))</f>
        <v>0</v>
      </c>
      <c r="O14" s="7">
        <f>MIN(0,MAX(-IF(O13=0,0,(Inputs!$B$20-INDEX(3:3,MATCH(0,5:5,0))))*Inputs!$B$278*(1+inf)^N$1,-O13))</f>
        <v>0</v>
      </c>
      <c r="P14" s="7">
        <f>MIN(0,MAX(-IF(P13=0,0,(Inputs!$B$20-INDEX(3:3,MATCH(0,5:5,0))))*Inputs!$B$278*(1+inf)^O$1,-P13))</f>
        <v>0</v>
      </c>
      <c r="Q14" s="7">
        <f>MIN(0,MAX(-IF(Q13=0,0,(Inputs!$B$20-INDEX(3:3,MATCH(0,5:5,0))))*Inputs!$B$278*(1+inf)^P$1,-Q13))</f>
        <v>0</v>
      </c>
      <c r="R14" s="7">
        <f>MIN(0,MAX(-IF(R13=0,0,(Inputs!$B$20-INDEX(3:3,MATCH(0,5:5,0))))*Inputs!$B$278*(1+inf)^Q$1,-R13))</f>
        <v>0</v>
      </c>
      <c r="S14" s="7">
        <f>MIN(0,MAX(-IF(S13=0,0,(Inputs!$B$20-INDEX(3:3,MATCH(0,5:5,0))))*Inputs!$B$278*(1+inf)^R$1,-S13))</f>
        <v>0</v>
      </c>
      <c r="T14" s="7">
        <f ca="1">MIN(0,MAX(-IF(T13=0,0,(Inputs!$B$20-INDEX(3:3,MATCH(0,5:5,0))))*Inputs!$B$278*(1+inf)^S$1,-T13))</f>
        <v>-7303.7676536499694</v>
      </c>
      <c r="U14" s="7">
        <f ca="1">MIN(0,MAX(-IF(U13=0,0,(Inputs!$B$20-INDEX(3:3,MATCH(0,5:5,0))))*Inputs!$B$278*(1+inf)^T$1,-U13))</f>
        <v>-7486.3618449912192</v>
      </c>
      <c r="V14" s="7">
        <f ca="1">MIN(0,MAX(-IF(V13=0,0,(Inputs!$B$20-INDEX(3:3,MATCH(0,5:5,0))))*Inputs!$B$278*(1+inf)^U$1,-V13))</f>
        <v>-7673.5208911159998</v>
      </c>
      <c r="W14" s="7">
        <f ca="1">MIN(0,MAX(-IF(W13=0,0,(Inputs!$B$20-INDEX(3:3,MATCH(0,5:5,0))))*Inputs!$B$278*(1+inf)^V$1,-W13))</f>
        <v>-7865.3589133938985</v>
      </c>
      <c r="X14" s="7">
        <f ca="1">MIN(0,MAX(-IF(X13=0,0,(Inputs!$B$20-INDEX(3:3,MATCH(0,5:5,0))))*Inputs!$B$278*(1+inf)^W$1,-X13))</f>
        <v>-8061.9928862287452</v>
      </c>
      <c r="Y14" s="7">
        <f ca="1">MIN(0,MAX(-IF(Y13=0,0,(Inputs!$B$20-INDEX(3:3,MATCH(0,5:5,0))))*Inputs!$B$278*(1+inf)^X$1,-Y13))</f>
        <v>-8263.5427083844643</v>
      </c>
      <c r="Z14" s="7">
        <f ca="1">MIN(0,MAX(-IF(Z13=0,0,(Inputs!$B$20-INDEX(3:3,MATCH(0,5:5,0))))*Inputs!$B$278*(1+inf)^Y$1,-Z13))</f>
        <v>-8470.1312760940764</v>
      </c>
      <c r="AA14" s="7">
        <f ca="1">MIN(0,MAX(-IF(AA13=0,0,(Inputs!$B$20-INDEX(3:3,MATCH(0,5:5,0))))*Inputs!$B$278*(1+inf)^Z$1,-AA13))</f>
        <v>-8681.8845579964272</v>
      </c>
      <c r="AB14" s="7">
        <f ca="1">MIN(0,MAX(-IF(AB13=0,0,(Inputs!$B$20-INDEX(3:3,MATCH(0,5:5,0))))*Inputs!$B$278*(1+inf)^AA$1,-AB13))</f>
        <v>-8898.9316719463368</v>
      </c>
      <c r="AC14" s="7">
        <f ca="1">MIN(0,MAX(-IF(AC13=0,0,(Inputs!$B$20-INDEX(3:3,MATCH(0,5:5,0))))*Inputs!$B$278*(1+inf)^AB$1,-AC13))</f>
        <v>-9121.4049637449934</v>
      </c>
      <c r="AD14" s="7">
        <f ca="1">MIN(0,MAX(-IF(AD13=0,0,(Inputs!$B$20-INDEX(3:3,MATCH(0,5:5,0))))*Inputs!$B$278*(1+inf)^AC$1,-AD13))</f>
        <v>-9349.4400878386186</v>
      </c>
      <c r="AE14" s="7">
        <f ca="1">MIN(0,MAX(-IF(AE13=0,0,(Inputs!$B$20-INDEX(3:3,MATCH(0,5:5,0))))*Inputs!$B$278*(1+inf)^AD$1,-AE13))</f>
        <v>-9583.1760900345835</v>
      </c>
      <c r="AF14" s="7">
        <f ca="1">MIN(0,MAX(-IF(AF13=0,0,(Inputs!$B$20-INDEX(3:3,MATCH(0,5:5,0))))*Inputs!$B$278*(1+inf)^AE$1,-AF13))</f>
        <v>-9822.7554922854488</v>
      </c>
      <c r="AG14" s="7">
        <f ca="1">MIN(0,MAX(-IF(AG13=0,0,(Inputs!$B$20-INDEX(3:3,MATCH(0,5:5,0))))*Inputs!$B$278*(1+inf)^AF$1,-AG13))</f>
        <v>-10068.324379592583</v>
      </c>
      <c r="AH14" s="7">
        <f ca="1">MIN(0,MAX(-IF(AH13=0,0,(Inputs!$B$20-INDEX(3:3,MATCH(0,5:5,0))))*Inputs!$B$278*(1+inf)^AG$1,-AH13))</f>
        <v>-10320.032489082399</v>
      </c>
      <c r="AI14" s="7">
        <f ca="1">MIN(0,MAX(-IF(AI13=0,0,(Inputs!$B$20-INDEX(3:3,MATCH(0,5:5,0))))*Inputs!$B$278*(1+inf)^AH$1,-AI13))</f>
        <v>-10578.033301309457</v>
      </c>
      <c r="AJ14" s="7">
        <f ca="1">MIN(0,MAX(-IF(AJ13=0,0,(Inputs!$B$20-INDEX(3:3,MATCH(0,5:5,0))))*Inputs!$B$278*(1+inf)^AI$1,-AJ13))</f>
        <v>-10842.484133842194</v>
      </c>
      <c r="AK14" s="7">
        <f ca="1">MIN(0,MAX(-IF(AK13=0,0,(Inputs!$B$20-INDEX(3:3,MATCH(0,5:5,0))))*Inputs!$B$278*(1+inf)^AJ$1,-AK13))</f>
        <v>-11113.546237188248</v>
      </c>
      <c r="AL14" s="7">
        <f ca="1">MIN(0,MAX(-IF(AL13=0,0,(Inputs!$B$20-INDEX(3:3,MATCH(0,5:5,0))))*Inputs!$B$278*(1+inf)^AK$1,-AL13))</f>
        <v>-11391.384893117953</v>
      </c>
      <c r="AM14" s="7">
        <f ca="1">MIN(0,MAX(-IF(AM13=0,0,(Inputs!$B$20-INDEX(3:3,MATCH(0,5:5,0))))*Inputs!$B$278*(1+inf)^AL$1,-AM13))</f>
        <v>-11676.169515445903</v>
      </c>
    </row>
    <row r="15" spans="1:39" x14ac:dyDescent="0.2">
      <c r="A15" s="4" t="s">
        <v>47</v>
      </c>
      <c r="B15" s="8"/>
      <c r="C15" s="7">
        <f ca="1">IF(AND(C$3&gt;=Inputs!$B$263,C$3&lt;=Inputs!$B$264),Inputs!$B$262*(1+inf)^B$1,0)*ProRate</f>
        <v>0</v>
      </c>
      <c r="D15" s="101">
        <f>IF(AND(D$3&gt;=Inputs!$B$263,D$3&lt;=Inputs!$B$264),Inputs!$B$262*(1+inf)^C$1,0)</f>
        <v>0</v>
      </c>
      <c r="E15" s="110">
        <f>IF(AND(E$3&gt;=Inputs!$B$263,E$3&lt;=Inputs!$B$264),Inputs!$B$262*(1+inf)^D$1,0)</f>
        <v>0</v>
      </c>
      <c r="F15" s="7">
        <f>IF(AND(F$3&gt;=Inputs!$B$263,F$3&lt;=Inputs!$B$264),Inputs!$B$262*(1+inf)^E$1,0)</f>
        <v>0</v>
      </c>
      <c r="G15" s="7">
        <f>IF(AND(G$3&gt;=Inputs!$B$263,G$3&lt;=Inputs!$B$264),Inputs!$B$262*(1+inf)^F$1,0)</f>
        <v>0</v>
      </c>
      <c r="H15" s="7">
        <f>IF(AND(H$3&gt;=Inputs!$B$263,H$3&lt;=Inputs!$B$264),Inputs!$B$262*(1+inf)^G$1,0)</f>
        <v>0</v>
      </c>
      <c r="I15" s="7">
        <f>IF(AND(I$3&gt;=Inputs!$B$263,I$3&lt;=Inputs!$B$264),Inputs!$B$262*(1+inf)^H$1,0)</f>
        <v>0</v>
      </c>
      <c r="J15" s="7">
        <f>IF(AND(J$3&gt;=Inputs!$B$263,J$3&lt;=Inputs!$B$264),Inputs!$B$262*(1+inf)^I$1,0)</f>
        <v>0</v>
      </c>
      <c r="K15" s="7">
        <f>IF(AND(K$3&gt;=Inputs!$B$263,K$3&lt;=Inputs!$B$264),Inputs!$B$262*(1+inf)^J$1,0)</f>
        <v>0</v>
      </c>
      <c r="L15" s="7">
        <f>IF(AND(L$3&gt;=Inputs!$B$263,L$3&lt;=Inputs!$B$264),Inputs!$B$262*(1+inf)^K$1,0)</f>
        <v>0</v>
      </c>
      <c r="M15" s="7">
        <f>IF(AND(M$3&gt;=Inputs!$B$263,M$3&lt;=Inputs!$B$264),Inputs!$B$262*(1+inf)^L$1,0)</f>
        <v>15361.014530356286</v>
      </c>
      <c r="N15" s="7">
        <f>IF(AND(N$3&gt;=Inputs!$B$263,N$3&lt;=Inputs!$B$264),Inputs!$B$262*(1+inf)^M$1,0)</f>
        <v>15745.039893615192</v>
      </c>
      <c r="O15" s="7">
        <f>IF(AND(O$3&gt;=Inputs!$B$263,O$3&lt;=Inputs!$B$264),Inputs!$B$262*(1+inf)^N$1,0)</f>
        <v>16138.66589095557</v>
      </c>
      <c r="P15" s="7">
        <f>IF(AND(P$3&gt;=Inputs!$B$263,P$3&lt;=Inputs!$B$264),Inputs!$B$262*(1+inf)^O$1,0)</f>
        <v>16542.13253822946</v>
      </c>
      <c r="Q15" s="7">
        <f>IF(AND(Q$3&gt;=Inputs!$B$263,Q$3&lt;=Inputs!$B$264),Inputs!$B$262*(1+inf)^P$1,0)</f>
        <v>16955.685851685193</v>
      </c>
      <c r="R15" s="7">
        <f>IF(AND(R$3&gt;=Inputs!$B$263,R$3&lt;=Inputs!$B$264),Inputs!$B$262*(1+inf)^Q$1,0)</f>
        <v>17379.577997977325</v>
      </c>
      <c r="S15" s="7">
        <f>IF(AND(S$3&gt;=Inputs!$B$263,S$3&lt;=Inputs!$B$264),Inputs!$B$262*(1+inf)^R$1,0)</f>
        <v>17814.067447926758</v>
      </c>
      <c r="T15" s="7">
        <f>IF(AND(T$3&gt;=Inputs!$B$263,T$3&lt;=Inputs!$B$264),Inputs!$B$262*(1+inf)^S$1,0)</f>
        <v>18259.419134124924</v>
      </c>
      <c r="U15" s="7">
        <f>IF(AND(U$3&gt;=Inputs!$B$263,U$3&lt;=Inputs!$B$264),Inputs!$B$262*(1+inf)^T$1,0)</f>
        <v>18715.904612478047</v>
      </c>
      <c r="V15" s="7">
        <f>IF(AND(V$3&gt;=Inputs!$B$263,V$3&lt;=Inputs!$B$264),Inputs!$B$262*(1+inf)^U$1,0)</f>
        <v>19183.802227789998</v>
      </c>
      <c r="W15" s="7">
        <f>IF(AND(W$3&gt;=Inputs!$B$263,W$3&lt;=Inputs!$B$264),Inputs!$B$262*(1+inf)^V$1,0)</f>
        <v>19663.397283484748</v>
      </c>
      <c r="X15" s="7">
        <f>IF(AND(X$3&gt;=Inputs!$B$263,X$3&lt;=Inputs!$B$264),Inputs!$B$262*(1+inf)^W$1,0)</f>
        <v>20154.982215571865</v>
      </c>
      <c r="Y15" s="7">
        <f>IF(AND(Y$3&gt;=Inputs!$B$263,Y$3&lt;=Inputs!$B$264),Inputs!$B$262*(1+inf)^X$1,0)</f>
        <v>0</v>
      </c>
      <c r="Z15" s="7">
        <f>IF(AND(Z$3&gt;=Inputs!$B$263,Z$3&lt;=Inputs!$B$264),Inputs!$B$262*(1+inf)^Y$1,0)</f>
        <v>0</v>
      </c>
      <c r="AA15" s="7">
        <f>IF(AND(AA$3&gt;=Inputs!$B$263,AA$3&lt;=Inputs!$B$264),Inputs!$B$262*(1+inf)^Z$1,0)</f>
        <v>0</v>
      </c>
      <c r="AB15" s="7">
        <f>IF(AND(AB$3&gt;=Inputs!$B$263,AB$3&lt;=Inputs!$B$264),Inputs!$B$262*(1+inf)^AA$1,0)</f>
        <v>0</v>
      </c>
      <c r="AC15" s="7">
        <f>IF(AND(AC$3&gt;=Inputs!$B$263,AC$3&lt;=Inputs!$B$264),Inputs!$B$262*(1+inf)^AB$1,0)</f>
        <v>0</v>
      </c>
      <c r="AD15" s="7">
        <f>IF(AND(AD$3&gt;=Inputs!$B$263,AD$3&lt;=Inputs!$B$264),Inputs!$B$262*(1+inf)^AC$1,0)</f>
        <v>0</v>
      </c>
      <c r="AE15" s="7">
        <f>IF(AND(AE$3&gt;=Inputs!$B$263,AE$3&lt;=Inputs!$B$264),Inputs!$B$262*(1+inf)^AD$1,0)</f>
        <v>0</v>
      </c>
      <c r="AF15" s="7">
        <f>IF(AND(AF$3&gt;=Inputs!$B$263,AF$3&lt;=Inputs!$B$264),Inputs!$B$262*(1+inf)^AE$1,0)</f>
        <v>0</v>
      </c>
      <c r="AG15" s="7">
        <f>IF(AND(AG$3&gt;=Inputs!$B$263,AG$3&lt;=Inputs!$B$264),Inputs!$B$262*(1+inf)^AF$1,0)</f>
        <v>0</v>
      </c>
      <c r="AH15" s="7">
        <f>IF(AND(AH$3&gt;=Inputs!$B$263,AH$3&lt;=Inputs!$B$264),Inputs!$B$262*(1+inf)^AG$1,0)</f>
        <v>0</v>
      </c>
      <c r="AI15" s="7">
        <f>IF(AND(AI$3&gt;=Inputs!$B$263,AI$3&lt;=Inputs!$B$264),Inputs!$B$262*(1+inf)^AH$1,0)</f>
        <v>0</v>
      </c>
      <c r="AJ15" s="7">
        <f>IF(AND(AJ$3&gt;=Inputs!$B$263,AJ$3&lt;=Inputs!$B$264),Inputs!$B$262*(1+inf)^AI$1,0)</f>
        <v>0</v>
      </c>
      <c r="AK15" s="7">
        <f>IF(AND(AK$3&gt;=Inputs!$B$263,AK$3&lt;=Inputs!$B$264),Inputs!$B$262*(1+inf)^AJ$1,0)</f>
        <v>0</v>
      </c>
      <c r="AL15" s="7">
        <f>IF(AND(AL$3&gt;=Inputs!$B$263,AL$3&lt;=Inputs!$B$264),Inputs!$B$262*(1+inf)^AK$1,0)</f>
        <v>0</v>
      </c>
      <c r="AM15" s="7">
        <f>IF(AND(AM$3&gt;=Inputs!$B$263,AM$3&lt;=Inputs!$B$264),Inputs!$B$262*(1+inf)^AL$1,0)</f>
        <v>0</v>
      </c>
    </row>
    <row r="16" spans="1:39" x14ac:dyDescent="0.2">
      <c r="A16" s="4" t="s">
        <v>130</v>
      </c>
      <c r="B16" s="8"/>
      <c r="C16" s="7"/>
      <c r="D16" s="101"/>
      <c r="E16" s="110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</row>
    <row r="17" spans="1:39" x14ac:dyDescent="0.2">
      <c r="A17" s="3" t="str">
        <f>TEXT(Inputs!B185,"")</f>
        <v>Inheritance</v>
      </c>
      <c r="B17" s="8"/>
      <c r="C17" s="7">
        <f ca="1">IF(C$2=Inputs!$B187,Inputs!$B186,0)*(1+inf)^B$1</f>
        <v>0</v>
      </c>
      <c r="D17" s="101">
        <f ca="1">IF(D$2=Inputs!$B187,Inputs!$B186,0)*(1+inf)^C$1</f>
        <v>0</v>
      </c>
      <c r="E17" s="110">
        <f ca="1">IF(E$2=Inputs!$B187,Inputs!$B186,0)*(1+inf)^D$1</f>
        <v>0</v>
      </c>
      <c r="F17" s="7">
        <f ca="1">IF(F$2=Inputs!$B187,Inputs!$B186,0)*(1+inf)^E$1</f>
        <v>0</v>
      </c>
      <c r="G17" s="7">
        <f ca="1">IF(G$2=Inputs!$B187,Inputs!$B186,0)*(1+inf)^F$1</f>
        <v>0</v>
      </c>
      <c r="H17" s="7">
        <f ca="1">IF(H$2=Inputs!$B187,Inputs!$B186,0)*(1+inf)^G$1</f>
        <v>0</v>
      </c>
      <c r="I17" s="7">
        <f ca="1">IF(I$2=Inputs!$B187,Inputs!$B186,0)*(1+inf)^H$1</f>
        <v>0</v>
      </c>
      <c r="J17" s="7">
        <f ca="1">IF(J$2=Inputs!$B187,Inputs!$B186,0)*(1+inf)^I$1</f>
        <v>0</v>
      </c>
      <c r="K17" s="7">
        <f ca="1">IF(K$2=Inputs!$B187,Inputs!$B186,0)*(1+inf)^J$1</f>
        <v>0</v>
      </c>
      <c r="L17" s="7">
        <f ca="1">IF(L$2=Inputs!$B187,Inputs!$B186,0)*(1+inf)^K$1</f>
        <v>62443.14849738327</v>
      </c>
      <c r="M17" s="7">
        <f ca="1">IF(M$2=Inputs!$B187,Inputs!$B186,0)*(1+inf)^L$1</f>
        <v>0</v>
      </c>
      <c r="N17" s="7">
        <f ca="1">IF(N$2=Inputs!$B187,Inputs!$B186,0)*(1+inf)^M$1</f>
        <v>0</v>
      </c>
      <c r="O17" s="7">
        <f ca="1">IF(O$2=Inputs!$B187,Inputs!$B186,0)*(1+inf)^N$1</f>
        <v>0</v>
      </c>
      <c r="P17" s="7">
        <f ca="1">IF(P$2=Inputs!$B187,Inputs!$B186,0)*(1+inf)^O$1</f>
        <v>0</v>
      </c>
      <c r="Q17" s="7">
        <f ca="1">IF(Q$2=Inputs!$B187,Inputs!$B186,0)*(1+inf)^P$1</f>
        <v>0</v>
      </c>
      <c r="R17" s="7">
        <f ca="1">IF(R$2=Inputs!$B187,Inputs!$B186,0)*(1+inf)^Q$1</f>
        <v>0</v>
      </c>
      <c r="S17" s="7">
        <f ca="1">IF(S$2=Inputs!$B187,Inputs!$B186,0)*(1+inf)^R$1</f>
        <v>0</v>
      </c>
      <c r="T17" s="7">
        <f ca="1">IF(T$2=Inputs!$B187,Inputs!$B186,0)*(1+inf)^S$1</f>
        <v>0</v>
      </c>
      <c r="U17" s="7">
        <f ca="1">IF(U$2=Inputs!$B187,Inputs!$B186,0)*(1+inf)^T$1</f>
        <v>0</v>
      </c>
      <c r="V17" s="7">
        <f ca="1">IF(V$2=Inputs!$B187,Inputs!$B186,0)*(1+inf)^U$1</f>
        <v>0</v>
      </c>
      <c r="W17" s="7">
        <f ca="1">IF(W$2=Inputs!$B187,Inputs!$B186,0)*(1+inf)^V$1</f>
        <v>0</v>
      </c>
      <c r="X17" s="7">
        <f ca="1">IF(X$2=Inputs!$B187,Inputs!$B186,0)*(1+inf)^W$1</f>
        <v>0</v>
      </c>
      <c r="Y17" s="7">
        <f ca="1">IF(Y$2=Inputs!$B187,Inputs!$B186,0)*(1+inf)^X$1</f>
        <v>0</v>
      </c>
      <c r="Z17" s="7">
        <f ca="1">IF(Z$2=Inputs!$B187,Inputs!$B186,0)*(1+inf)^Y$1</f>
        <v>0</v>
      </c>
      <c r="AA17" s="7">
        <f ca="1">IF(AA$2=Inputs!$B187,Inputs!$B186,0)*(1+inf)^Z$1</f>
        <v>0</v>
      </c>
      <c r="AB17" s="7">
        <f ca="1">IF(AB$2=Inputs!$B187,Inputs!$B186,0)*(1+inf)^AA$1</f>
        <v>0</v>
      </c>
      <c r="AC17" s="7">
        <f ca="1">IF(AC$2=Inputs!$B187,Inputs!$B186,0)*(1+inf)^AB$1</f>
        <v>0</v>
      </c>
      <c r="AD17" s="7">
        <f ca="1">IF(AD$2=Inputs!$B187,Inputs!$B186,0)*(1+inf)^AC$1</f>
        <v>0</v>
      </c>
      <c r="AE17" s="7">
        <f ca="1">IF(AE$2=Inputs!$B187,Inputs!$B186,0)*(1+inf)^AD$1</f>
        <v>0</v>
      </c>
      <c r="AF17" s="7">
        <f ca="1">IF(AF$2=Inputs!$B187,Inputs!$B186,0)*(1+inf)^AE$1</f>
        <v>0</v>
      </c>
      <c r="AG17" s="7">
        <f ca="1">IF(AG$2=Inputs!$B187,Inputs!$B186,0)*(1+inf)^AF$1</f>
        <v>0</v>
      </c>
      <c r="AH17" s="7">
        <f ca="1">IF(AH$2=Inputs!$B187,Inputs!$B186,0)*(1+inf)^AG$1</f>
        <v>0</v>
      </c>
      <c r="AI17" s="7">
        <f ca="1">IF(AI$2=Inputs!$B187,Inputs!$B186,0)*(1+inf)^AH$1</f>
        <v>0</v>
      </c>
      <c r="AJ17" s="7">
        <f ca="1">IF(AJ$2=Inputs!$B187,Inputs!$B186,0)*(1+inf)^AI$1</f>
        <v>0</v>
      </c>
      <c r="AK17" s="7">
        <f ca="1">IF(AK$2=Inputs!$B187,Inputs!$B186,0)*(1+inf)^AJ$1</f>
        <v>0</v>
      </c>
      <c r="AL17" s="7">
        <f ca="1">IF(AL$2=Inputs!$B187,Inputs!$B186,0)*(1+inf)^AK$1</f>
        <v>0</v>
      </c>
      <c r="AM17" s="7">
        <f ca="1">IF(AM$2=Inputs!$B187,Inputs!$B186,0)*(1+inf)^AL$1</f>
        <v>0</v>
      </c>
    </row>
    <row r="18" spans="1:39" x14ac:dyDescent="0.2">
      <c r="A18" s="3" t="str">
        <f>TEXT(Inputs!B190,"")</f>
        <v>Sell Painting</v>
      </c>
      <c r="B18" s="8"/>
      <c r="C18" s="7">
        <f ca="1">IF(C$2=Inputs!$B192,Inputs!$B191,0)*(1+inf)^B$1</f>
        <v>0</v>
      </c>
      <c r="D18" s="101">
        <f ca="1">IF(D$2=Inputs!$B192,Inputs!$B191,0)*(1+inf)^C$1</f>
        <v>0</v>
      </c>
      <c r="E18" s="110">
        <f ca="1">IF(E$2=Inputs!$B192,Inputs!$B191,0)*(1+inf)^D$1</f>
        <v>0</v>
      </c>
      <c r="F18" s="7">
        <f ca="1">IF(F$2=Inputs!$B192,Inputs!$B191,0)*(1+inf)^E$1</f>
        <v>10768.906249999998</v>
      </c>
      <c r="G18" s="7">
        <f ca="1">IF(G$2=Inputs!$B192,Inputs!$B191,0)*(1+inf)^F$1</f>
        <v>0</v>
      </c>
      <c r="H18" s="7">
        <f ca="1">IF(H$2=Inputs!$B192,Inputs!$B191,0)*(1+inf)^G$1</f>
        <v>0</v>
      </c>
      <c r="I18" s="7">
        <f ca="1">IF(I$2=Inputs!$B192,Inputs!$B191,0)*(1+inf)^H$1</f>
        <v>0</v>
      </c>
      <c r="J18" s="7">
        <f ca="1">IF(J$2=Inputs!$B192,Inputs!$B191,0)*(1+inf)^I$1</f>
        <v>0</v>
      </c>
      <c r="K18" s="7">
        <f ca="1">IF(K$2=Inputs!$B192,Inputs!$B191,0)*(1+inf)^J$1</f>
        <v>0</v>
      </c>
      <c r="L18" s="7">
        <f ca="1">IF(L$2=Inputs!$B192,Inputs!$B191,0)*(1+inf)^K$1</f>
        <v>0</v>
      </c>
      <c r="M18" s="7">
        <f ca="1">IF(M$2=Inputs!$B192,Inputs!$B191,0)*(1+inf)^L$1</f>
        <v>0</v>
      </c>
      <c r="N18" s="7">
        <f ca="1">IF(N$2=Inputs!$B192,Inputs!$B191,0)*(1+inf)^M$1</f>
        <v>0</v>
      </c>
      <c r="O18" s="7">
        <f ca="1">IF(O$2=Inputs!$B192,Inputs!$B191,0)*(1+inf)^N$1</f>
        <v>0</v>
      </c>
      <c r="P18" s="7">
        <f ca="1">IF(P$2=Inputs!$B192,Inputs!$B191,0)*(1+inf)^O$1</f>
        <v>0</v>
      </c>
      <c r="Q18" s="7">
        <f ca="1">IF(Q$2=Inputs!$B192,Inputs!$B191,0)*(1+inf)^P$1</f>
        <v>0</v>
      </c>
      <c r="R18" s="7">
        <f ca="1">IF(R$2=Inputs!$B192,Inputs!$B191,0)*(1+inf)^Q$1</f>
        <v>0</v>
      </c>
      <c r="S18" s="7">
        <f ca="1">IF(S$2=Inputs!$B192,Inputs!$B191,0)*(1+inf)^R$1</f>
        <v>0</v>
      </c>
      <c r="T18" s="7">
        <f ca="1">IF(T$2=Inputs!$B192,Inputs!$B191,0)*(1+inf)^S$1</f>
        <v>0</v>
      </c>
      <c r="U18" s="7">
        <f ca="1">IF(U$2=Inputs!$B192,Inputs!$B191,0)*(1+inf)^T$1</f>
        <v>0</v>
      </c>
      <c r="V18" s="7">
        <f ca="1">IF(V$2=Inputs!$B192,Inputs!$B191,0)*(1+inf)^U$1</f>
        <v>0</v>
      </c>
      <c r="W18" s="7">
        <f ca="1">IF(W$2=Inputs!$B192,Inputs!$B191,0)*(1+inf)^V$1</f>
        <v>0</v>
      </c>
      <c r="X18" s="7">
        <f ca="1">IF(X$2=Inputs!$B192,Inputs!$B191,0)*(1+inf)^W$1</f>
        <v>0</v>
      </c>
      <c r="Y18" s="7">
        <f ca="1">IF(Y$2=Inputs!$B192,Inputs!$B191,0)*(1+inf)^X$1</f>
        <v>0</v>
      </c>
      <c r="Z18" s="7">
        <f ca="1">IF(Z$2=Inputs!$B192,Inputs!$B191,0)*(1+inf)^Y$1</f>
        <v>0</v>
      </c>
      <c r="AA18" s="7">
        <f ca="1">IF(AA$2=Inputs!$B192,Inputs!$B191,0)*(1+inf)^Z$1</f>
        <v>0</v>
      </c>
      <c r="AB18" s="7">
        <f ca="1">IF(AB$2=Inputs!$B192,Inputs!$B191,0)*(1+inf)^AA$1</f>
        <v>0</v>
      </c>
      <c r="AC18" s="7">
        <f ca="1">IF(AC$2=Inputs!$B192,Inputs!$B191,0)*(1+inf)^AB$1</f>
        <v>0</v>
      </c>
      <c r="AD18" s="7">
        <f ca="1">IF(AD$2=Inputs!$B192,Inputs!$B191,0)*(1+inf)^AC$1</f>
        <v>0</v>
      </c>
      <c r="AE18" s="7">
        <f ca="1">IF(AE$2=Inputs!$B192,Inputs!$B191,0)*(1+inf)^AD$1</f>
        <v>0</v>
      </c>
      <c r="AF18" s="7">
        <f ca="1">IF(AF$2=Inputs!$B192,Inputs!$B191,0)*(1+inf)^AE$1</f>
        <v>0</v>
      </c>
      <c r="AG18" s="7">
        <f ca="1">IF(AG$2=Inputs!$B192,Inputs!$B191,0)*(1+inf)^AF$1</f>
        <v>0</v>
      </c>
      <c r="AH18" s="7">
        <f ca="1">IF(AH$2=Inputs!$B192,Inputs!$B191,0)*(1+inf)^AG$1</f>
        <v>0</v>
      </c>
      <c r="AI18" s="7">
        <f ca="1">IF(AI$2=Inputs!$B192,Inputs!$B191,0)*(1+inf)^AH$1</f>
        <v>0</v>
      </c>
      <c r="AJ18" s="7">
        <f ca="1">IF(AJ$2=Inputs!$B192,Inputs!$B191,0)*(1+inf)^AI$1</f>
        <v>0</v>
      </c>
      <c r="AK18" s="7">
        <f ca="1">IF(AK$2=Inputs!$B192,Inputs!$B191,0)*(1+inf)^AJ$1</f>
        <v>0</v>
      </c>
      <c r="AL18" s="7">
        <f ca="1">IF(AL$2=Inputs!$B192,Inputs!$B191,0)*(1+inf)^AK$1</f>
        <v>0</v>
      </c>
      <c r="AM18" s="7">
        <f ca="1">IF(AM$2=Inputs!$B192,Inputs!$B191,0)*(1+inf)^AL$1</f>
        <v>0</v>
      </c>
    </row>
    <row r="19" spans="1:39" x14ac:dyDescent="0.2">
      <c r="A19" s="3" t="str">
        <f>TEXT(Inputs!B195,"")</f>
        <v>Sell Jewels</v>
      </c>
      <c r="B19" s="8"/>
      <c r="C19" s="7">
        <f ca="1">IF(C$2=Inputs!$B197,Inputs!$B196,0)*(1+inf)^B$1</f>
        <v>0</v>
      </c>
      <c r="D19" s="101">
        <f ca="1">IF(D$2=Inputs!$B197,Inputs!$B196,0)*(1+inf)^C$1</f>
        <v>0</v>
      </c>
      <c r="E19" s="110">
        <f ca="1">IF(E$2=Inputs!$B197,Inputs!$B196,0)*(1+inf)^D$1</f>
        <v>0</v>
      </c>
      <c r="F19" s="7">
        <f ca="1">IF(F$2=Inputs!$B197,Inputs!$B196,0)*(1+inf)^E$1</f>
        <v>0</v>
      </c>
      <c r="G19" s="7">
        <f ca="1">IF(G$2=Inputs!$B197,Inputs!$B196,0)*(1+inf)^F$1</f>
        <v>0</v>
      </c>
      <c r="H19" s="7">
        <f ca="1">IF(H$2=Inputs!$B197,Inputs!$B196,0)*(1+inf)^G$1</f>
        <v>0</v>
      </c>
      <c r="I19" s="7">
        <f ca="1">IF(I$2=Inputs!$B197,Inputs!$B196,0)*(1+inf)^H$1</f>
        <v>5798.4670910644509</v>
      </c>
      <c r="J19" s="7">
        <f ca="1">IF(J$2=Inputs!$B197,Inputs!$B196,0)*(1+inf)^I$1</f>
        <v>0</v>
      </c>
      <c r="K19" s="7">
        <f ca="1">IF(K$2=Inputs!$B197,Inputs!$B196,0)*(1+inf)^J$1</f>
        <v>0</v>
      </c>
      <c r="L19" s="7">
        <f ca="1">IF(L$2=Inputs!$B197,Inputs!$B196,0)*(1+inf)^K$1</f>
        <v>0</v>
      </c>
      <c r="M19" s="7">
        <f ca="1">IF(M$2=Inputs!$B197,Inputs!$B196,0)*(1+inf)^L$1</f>
        <v>0</v>
      </c>
      <c r="N19" s="7">
        <f ca="1">IF(N$2=Inputs!$B197,Inputs!$B196,0)*(1+inf)^M$1</f>
        <v>0</v>
      </c>
      <c r="O19" s="7">
        <f ca="1">IF(O$2=Inputs!$B197,Inputs!$B196,0)*(1+inf)^N$1</f>
        <v>0</v>
      </c>
      <c r="P19" s="7">
        <f ca="1">IF(P$2=Inputs!$B197,Inputs!$B196,0)*(1+inf)^O$1</f>
        <v>0</v>
      </c>
      <c r="Q19" s="7">
        <f ca="1">IF(Q$2=Inputs!$B197,Inputs!$B196,0)*(1+inf)^P$1</f>
        <v>0</v>
      </c>
      <c r="R19" s="7">
        <f ca="1">IF(R$2=Inputs!$B197,Inputs!$B196,0)*(1+inf)^Q$1</f>
        <v>0</v>
      </c>
      <c r="S19" s="7">
        <f ca="1">IF(S$2=Inputs!$B197,Inputs!$B196,0)*(1+inf)^R$1</f>
        <v>0</v>
      </c>
      <c r="T19" s="7">
        <f ca="1">IF(T$2=Inputs!$B197,Inputs!$B196,0)*(1+inf)^S$1</f>
        <v>0</v>
      </c>
      <c r="U19" s="7">
        <f ca="1">IF(U$2=Inputs!$B197,Inputs!$B196,0)*(1+inf)^T$1</f>
        <v>0</v>
      </c>
      <c r="V19" s="7">
        <f ca="1">IF(V$2=Inputs!$B197,Inputs!$B196,0)*(1+inf)^U$1</f>
        <v>0</v>
      </c>
      <c r="W19" s="7">
        <f ca="1">IF(W$2=Inputs!$B197,Inputs!$B196,0)*(1+inf)^V$1</f>
        <v>0</v>
      </c>
      <c r="X19" s="7">
        <f ca="1">IF(X$2=Inputs!$B197,Inputs!$B196,0)*(1+inf)^W$1</f>
        <v>0</v>
      </c>
      <c r="Y19" s="7">
        <f ca="1">IF(Y$2=Inputs!$B197,Inputs!$B196,0)*(1+inf)^X$1</f>
        <v>0</v>
      </c>
      <c r="Z19" s="7">
        <f ca="1">IF(Z$2=Inputs!$B197,Inputs!$B196,0)*(1+inf)^Y$1</f>
        <v>0</v>
      </c>
      <c r="AA19" s="7">
        <f ca="1">IF(AA$2=Inputs!$B197,Inputs!$B196,0)*(1+inf)^Z$1</f>
        <v>0</v>
      </c>
      <c r="AB19" s="7">
        <f ca="1">IF(AB$2=Inputs!$B197,Inputs!$B196,0)*(1+inf)^AA$1</f>
        <v>0</v>
      </c>
      <c r="AC19" s="7">
        <f ca="1">IF(AC$2=Inputs!$B197,Inputs!$B196,0)*(1+inf)^AB$1</f>
        <v>0</v>
      </c>
      <c r="AD19" s="7">
        <f ca="1">IF(AD$2=Inputs!$B197,Inputs!$B196,0)*(1+inf)^AC$1</f>
        <v>0</v>
      </c>
      <c r="AE19" s="7">
        <f ca="1">IF(AE$2=Inputs!$B197,Inputs!$B196,0)*(1+inf)^AD$1</f>
        <v>0</v>
      </c>
      <c r="AF19" s="7">
        <f ca="1">IF(AF$2=Inputs!$B197,Inputs!$B196,0)*(1+inf)^AE$1</f>
        <v>0</v>
      </c>
      <c r="AG19" s="7">
        <f ca="1">IF(AG$2=Inputs!$B197,Inputs!$B196,0)*(1+inf)^AF$1</f>
        <v>0</v>
      </c>
      <c r="AH19" s="7">
        <f ca="1">IF(AH$2=Inputs!$B197,Inputs!$B196,0)*(1+inf)^AG$1</f>
        <v>0</v>
      </c>
      <c r="AI19" s="7">
        <f ca="1">IF(AI$2=Inputs!$B197,Inputs!$B196,0)*(1+inf)^AH$1</f>
        <v>0</v>
      </c>
      <c r="AJ19" s="7">
        <f ca="1">IF(AJ$2=Inputs!$B197,Inputs!$B196,0)*(1+inf)^AI$1</f>
        <v>0</v>
      </c>
      <c r="AK19" s="7">
        <f ca="1">IF(AK$2=Inputs!$B197,Inputs!$B196,0)*(1+inf)^AJ$1</f>
        <v>0</v>
      </c>
      <c r="AL19" s="7">
        <f ca="1">IF(AL$2=Inputs!$B197,Inputs!$B196,0)*(1+inf)^AK$1</f>
        <v>0</v>
      </c>
      <c r="AM19" s="7">
        <f ca="1">IF(AM$2=Inputs!$B197,Inputs!$B196,0)*(1+inf)^AL$1</f>
        <v>0</v>
      </c>
    </row>
    <row r="20" spans="1:39" x14ac:dyDescent="0.2">
      <c r="A20" s="4" t="s">
        <v>222</v>
      </c>
      <c r="B20" s="8"/>
      <c r="C20" s="7">
        <f ca="1">IF(AND(Inputs!$B$218&lt;&gt;"",C$2=Inputs!$B$218,Inputs!$B$13&gt;0),(IF(B$1=0,Inputs!$B$13*(1+princ)^ProRate,B70*(1+princ)))*(1-DCprop),0)</f>
        <v>0</v>
      </c>
      <c r="D20" s="101">
        <f ca="1">IF(AND(Inputs!$B$218&lt;&gt;"",D$2=Inputs!$B$218,Inputs!$B$13&gt;0),(IF(C$1=0,Inputs!$B$13*(1+princ)^ProRate,C70*(1+princ)))*(1-DCprop),0)</f>
        <v>0</v>
      </c>
      <c r="E20" s="110">
        <f ca="1">IF(AND(Inputs!$B$218&lt;&gt;"",E$2=Inputs!$B$218,Inputs!$B$13&gt;0),(IF(D$1=0,Inputs!$B$13*(1+princ)^ProRate,D70*(1+princ)))*(1-DCprop),0)</f>
        <v>0</v>
      </c>
      <c r="F20" s="7">
        <f ca="1">IF(AND(Inputs!$B$218&lt;&gt;"",F$2=Inputs!$B$218,Inputs!$B$13&gt;0),(IF(E$1=0,Inputs!$B$13*(1+princ)^ProRate,E70*(1+princ)))*(1-DCprop),0)</f>
        <v>0</v>
      </c>
      <c r="G20" s="7">
        <f ca="1">IF(AND(Inputs!$B$218&lt;&gt;"",G$2=Inputs!$B$218,Inputs!$B$13&gt;0),(IF(F$1=0,Inputs!$B$13*(1+princ)^ProRate,F70*(1+princ)))*(1-DCprop),0)</f>
        <v>489064.0583527881</v>
      </c>
      <c r="H20" s="7">
        <f ca="1">IF(AND(Inputs!$B$218&lt;&gt;"",H$2=Inputs!$B$218,Inputs!$B$13&gt;0),(IF(G$1=0,Inputs!$B$13*(1+princ)^ProRate,G70*(1+princ)))*(1-DCprop),0)</f>
        <v>0</v>
      </c>
      <c r="I20" s="7">
        <f ca="1">IF(AND(Inputs!$B$218&lt;&gt;"",I$2=Inputs!$B$218,Inputs!$B$13&gt;0),(IF(H$1=0,Inputs!$B$13*(1+princ)^ProRate,H70*(1+princ)))*(1-DCprop),0)</f>
        <v>0</v>
      </c>
      <c r="J20" s="7">
        <f ca="1">IF(AND(Inputs!$B$218&lt;&gt;"",J$2=Inputs!$B$218,Inputs!$B$13&gt;0),(IF(I$1=0,Inputs!$B$13*(1+princ)^ProRate,I70*(1+princ)))*(1-DCprop),0)</f>
        <v>0</v>
      </c>
      <c r="K20" s="7">
        <f ca="1">IF(AND(Inputs!$B$218&lt;&gt;"",K$2=Inputs!$B$218,Inputs!$B$13&gt;0),(IF(J$1=0,Inputs!$B$13*(1+princ)^ProRate,J70*(1+princ)))*(1-DCprop),0)</f>
        <v>0</v>
      </c>
      <c r="L20" s="7">
        <f ca="1">IF(AND(Inputs!$B$218&lt;&gt;"",L$2=Inputs!$B$218,Inputs!$B$13&gt;0),(IF(K$1=0,Inputs!$B$13*(1+princ)^ProRate,K70*(1+princ)))*(1-DCprop),0)</f>
        <v>0</v>
      </c>
      <c r="M20" s="7">
        <f ca="1">IF(AND(Inputs!$B$218&lt;&gt;"",M$2=Inputs!$B$218,Inputs!$B$13&gt;0),(IF(L$1=0,Inputs!$B$13*(1+princ)^ProRate,L70*(1+princ)))*(1-DCprop),0)</f>
        <v>0</v>
      </c>
      <c r="N20" s="7">
        <f ca="1">IF(AND(Inputs!$B$218&lt;&gt;"",N$2=Inputs!$B$218,Inputs!$B$13&gt;0),(IF(M$1=0,Inputs!$B$13*(1+princ)^ProRate,M70*(1+princ)))*(1-DCprop),0)</f>
        <v>0</v>
      </c>
      <c r="O20" s="7">
        <f ca="1">IF(AND(Inputs!$B$218&lt;&gt;"",O$2=Inputs!$B$218,Inputs!$B$13&gt;0),(IF(N$1=0,Inputs!$B$13*(1+princ)^ProRate,N70*(1+princ)))*(1-DCprop),0)</f>
        <v>0</v>
      </c>
      <c r="P20" s="7">
        <f ca="1">IF(AND(Inputs!$B$218&lt;&gt;"",P$2=Inputs!$B$218,Inputs!$B$13&gt;0),(IF(O$1=0,Inputs!$B$13*(1+princ)^ProRate,O70*(1+princ)))*(1-DCprop),0)</f>
        <v>0</v>
      </c>
      <c r="Q20" s="7">
        <f ca="1">IF(AND(Inputs!$B$218&lt;&gt;"",Q$2=Inputs!$B$218,Inputs!$B$13&gt;0),(IF(P$1=0,Inputs!$B$13*(1+princ)^ProRate,P70*(1+princ)))*(1-DCprop),0)</f>
        <v>0</v>
      </c>
      <c r="R20" s="7">
        <f ca="1">IF(AND(Inputs!$B$218&lt;&gt;"",R$2=Inputs!$B$218,Inputs!$B$13&gt;0),(IF(Q$1=0,Inputs!$B$13*(1+princ)^ProRate,Q70*(1+princ)))*(1-DCprop),0)</f>
        <v>0</v>
      </c>
      <c r="S20" s="7">
        <f ca="1">IF(AND(Inputs!$B$218&lt;&gt;"",S$2=Inputs!$B$218,Inputs!$B$13&gt;0),(IF(R$1=0,Inputs!$B$13*(1+princ)^ProRate,R70*(1+princ)))*(1-DCprop),0)</f>
        <v>0</v>
      </c>
      <c r="T20" s="7">
        <f ca="1">IF(AND(Inputs!$B$218&lt;&gt;"",T$2=Inputs!$B$218,Inputs!$B$13&gt;0),(IF(S$1=0,Inputs!$B$13*(1+princ)^ProRate,S70*(1+princ)))*(1-DCprop),0)</f>
        <v>0</v>
      </c>
      <c r="U20" s="7">
        <f ca="1">IF(AND(Inputs!$B$218&lt;&gt;"",U$2=Inputs!$B$218,Inputs!$B$13&gt;0),(IF(T$1=0,Inputs!$B$13*(1+princ)^ProRate,T70*(1+princ)))*(1-DCprop),0)</f>
        <v>0</v>
      </c>
      <c r="V20" s="7">
        <f ca="1">IF(AND(Inputs!$B$218&lt;&gt;"",V$2=Inputs!$B$218,Inputs!$B$13&gt;0),(IF(U$1=0,Inputs!$B$13*(1+princ)^ProRate,U70*(1+princ)))*(1-DCprop),0)</f>
        <v>0</v>
      </c>
      <c r="W20" s="7">
        <f ca="1">IF(AND(Inputs!$B$218&lt;&gt;"",W$2=Inputs!$B$218,Inputs!$B$13&gt;0),(IF(V$1=0,Inputs!$B$13*(1+princ)^ProRate,V70*(1+princ)))*(1-DCprop),0)</f>
        <v>0</v>
      </c>
      <c r="X20" s="7">
        <f ca="1">IF(AND(Inputs!$B$218&lt;&gt;"",X$2=Inputs!$B$218,Inputs!$B$13&gt;0),(IF(W$1=0,Inputs!$B$13*(1+princ)^ProRate,W70*(1+princ)))*(1-DCprop),0)</f>
        <v>0</v>
      </c>
      <c r="Y20" s="7">
        <f ca="1">IF(AND(Inputs!$B$218&lt;&gt;"",Y$2=Inputs!$B$218,Inputs!$B$13&gt;0),(IF(X$1=0,Inputs!$B$13*(1+princ)^ProRate,X70*(1+princ)))*(1-DCprop),0)</f>
        <v>0</v>
      </c>
      <c r="Z20" s="7">
        <f ca="1">IF(AND(Inputs!$B$218&lt;&gt;"",Z$2=Inputs!$B$218,Inputs!$B$13&gt;0),(IF(Y$1=0,Inputs!$B$13*(1+princ)^ProRate,Y70*(1+princ)))*(1-DCprop),0)</f>
        <v>0</v>
      </c>
      <c r="AA20" s="7">
        <f ca="1">IF(AND(Inputs!$B$218&lt;&gt;"",AA$2=Inputs!$B$218,Inputs!$B$13&gt;0),(IF(Z$1=0,Inputs!$B$13*(1+princ)^ProRate,Z70*(1+princ)))*(1-DCprop),0)</f>
        <v>0</v>
      </c>
      <c r="AB20" s="7">
        <f ca="1">IF(AND(Inputs!$B$218&lt;&gt;"",AB$2=Inputs!$B$218,Inputs!$B$13&gt;0),(IF(AA$1=0,Inputs!$B$13*(1+princ)^ProRate,AA70*(1+princ)))*(1-DCprop),0)</f>
        <v>0</v>
      </c>
      <c r="AC20" s="7">
        <f ca="1">IF(AND(Inputs!$B$218&lt;&gt;"",AC$2=Inputs!$B$218,Inputs!$B$13&gt;0),(IF(AB$1=0,Inputs!$B$13*(1+princ)^ProRate,AB70*(1+princ)))*(1-DCprop),0)</f>
        <v>0</v>
      </c>
      <c r="AD20" s="7">
        <f ca="1">IF(AND(Inputs!$B$218&lt;&gt;"",AD$2=Inputs!$B$218,Inputs!$B$13&gt;0),(IF(AC$1=0,Inputs!$B$13*(1+princ)^ProRate,AC70*(1+princ)))*(1-DCprop),0)</f>
        <v>0</v>
      </c>
      <c r="AE20" s="7">
        <f ca="1">IF(AND(Inputs!$B$218&lt;&gt;"",AE$2=Inputs!$B$218,Inputs!$B$13&gt;0),(IF(AD$1=0,Inputs!$B$13*(1+princ)^ProRate,AD70*(1+princ)))*(1-DCprop),0)</f>
        <v>0</v>
      </c>
      <c r="AF20" s="7">
        <f ca="1">IF(AND(Inputs!$B$218&lt;&gt;"",AF$2=Inputs!$B$218,Inputs!$B$13&gt;0),(IF(AE$1=0,Inputs!$B$13*(1+princ)^ProRate,AE70*(1+princ)))*(1-DCprop),0)</f>
        <v>0</v>
      </c>
      <c r="AG20" s="7">
        <f ca="1">IF(AND(Inputs!$B$218&lt;&gt;"",AG$2=Inputs!$B$218,Inputs!$B$13&gt;0),(IF(AF$1=0,Inputs!$B$13*(1+princ)^ProRate,AF70*(1+princ)))*(1-DCprop),0)</f>
        <v>0</v>
      </c>
      <c r="AH20" s="7">
        <f ca="1">IF(AND(Inputs!$B$218&lt;&gt;"",AH$2=Inputs!$B$218,Inputs!$B$13&gt;0),(IF(AG$1=0,Inputs!$B$13*(1+princ)^ProRate,AG70*(1+princ)))*(1-DCprop),0)</f>
        <v>0</v>
      </c>
      <c r="AI20" s="7">
        <f ca="1">IF(AND(Inputs!$B$218&lt;&gt;"",AI$2=Inputs!$B$218,Inputs!$B$13&gt;0),(IF(AH$1=0,Inputs!$B$13*(1+princ)^ProRate,AH70*(1+princ)))*(1-DCprop),0)</f>
        <v>0</v>
      </c>
      <c r="AJ20" s="7">
        <f ca="1">IF(AND(Inputs!$B$218&lt;&gt;"",AJ$2=Inputs!$B$218,Inputs!$B$13&gt;0),(IF(AI$1=0,Inputs!$B$13*(1+princ)^ProRate,AI70*(1+princ)))*(1-DCprop),0)</f>
        <v>0</v>
      </c>
      <c r="AK20" s="7">
        <f ca="1">IF(AND(Inputs!$B$218&lt;&gt;"",AK$2=Inputs!$B$218,Inputs!$B$13&gt;0),(IF(AJ$1=0,Inputs!$B$13*(1+princ)^ProRate,AJ70*(1+princ)))*(1-DCprop),0)</f>
        <v>0</v>
      </c>
      <c r="AL20" s="7">
        <f ca="1">IF(AND(Inputs!$B$218&lt;&gt;"",AL$2=Inputs!$B$218,Inputs!$B$13&gt;0),(IF(AK$1=0,Inputs!$B$13*(1+princ)^ProRate,AK70*(1+princ)))*(1-DCprop),0)</f>
        <v>0</v>
      </c>
      <c r="AM20" s="7">
        <f ca="1">IF(AND(Inputs!$B$218&lt;&gt;"",AM$2=Inputs!$B$218,Inputs!$B$13&gt;0),(IF(AL$1=0,Inputs!$B$13*(1+princ)^ProRate,AL70*(1+princ)))*(1-DCprop),0)</f>
        <v>0</v>
      </c>
    </row>
    <row r="21" spans="1:39" x14ac:dyDescent="0.2">
      <c r="A21" s="4" t="s">
        <v>7</v>
      </c>
      <c r="C21" s="7">
        <f ca="1">MAX(AVERAGE(C65,C65+SUM(C5:C20)-C62)*Inputs!$B$270,0)</f>
        <v>1394.0625</v>
      </c>
      <c r="D21" s="101">
        <f ca="1">MAX(AVERAGE(D65,D65+SUM(D5:D20)-D62)*Inputs!$B$270,0)</f>
        <v>694.22343750000005</v>
      </c>
      <c r="E21" s="110">
        <f ca="1">MAX(AVERAGE(E65,E65+SUM(E5:E20)-E62)*Inputs!$B$270,0)</f>
        <v>0</v>
      </c>
      <c r="F21" s="7">
        <f ca="1">MAX(AVERAGE(F65,F65+SUM(F5:F20)-F62)*Inputs!$B$270,0)</f>
        <v>0</v>
      </c>
      <c r="G21" s="7">
        <f ca="1">MAX(AVERAGE(G65,G65+SUM(G5:G20)-G62)*Inputs!$B$270,0)</f>
        <v>0</v>
      </c>
      <c r="H21" s="7">
        <f ca="1">MAX(AVERAGE(H65,H65+SUM(H5:H20)-H62)*Inputs!$B$270,0)</f>
        <v>0</v>
      </c>
      <c r="I21" s="7">
        <f ca="1">MAX(AVERAGE(I65,I65+SUM(I5:I20)-I62)*Inputs!$B$270,0)</f>
        <v>0</v>
      </c>
      <c r="J21" s="7">
        <f ca="1">MAX(AVERAGE(J65,J65+SUM(J5:J20)-J62)*Inputs!$B$270,0)</f>
        <v>0</v>
      </c>
      <c r="K21" s="7">
        <f ca="1">MAX(AVERAGE(K65,K65+SUM(K5:K20)-K62)*Inputs!$B$270,0)</f>
        <v>0</v>
      </c>
      <c r="L21" s="7">
        <f ca="1">MAX(AVERAGE(L65,L65+SUM(L5:L20)-L62)*Inputs!$B$270,0)</f>
        <v>0</v>
      </c>
      <c r="M21" s="7">
        <f ca="1">MAX(AVERAGE(M65,M65+SUM(M5:M20)-M62)*Inputs!$B$270,0)</f>
        <v>0</v>
      </c>
      <c r="N21" s="7">
        <f ca="1">MAX(AVERAGE(N65,N65+SUM(N5:N20)-N62)*Inputs!$B$270,0)</f>
        <v>0</v>
      </c>
      <c r="O21" s="7">
        <f ca="1">MAX(AVERAGE(O65,O65+SUM(O5:O20)-O62)*Inputs!$B$270,0)</f>
        <v>0</v>
      </c>
      <c r="P21" s="7">
        <f ca="1">MAX(AVERAGE(P65,P65+SUM(P5:P20)-P62)*Inputs!$B$270,0)</f>
        <v>0</v>
      </c>
      <c r="Q21" s="7">
        <f ca="1">MAX(AVERAGE(Q65,Q65+SUM(Q5:Q20)-Q62)*Inputs!$B$270,0)</f>
        <v>0</v>
      </c>
      <c r="R21" s="7">
        <f ca="1">MAX(AVERAGE(R65,R65+SUM(R5:R20)-R62)*Inputs!$B$270,0)</f>
        <v>0</v>
      </c>
      <c r="S21" s="7">
        <f ca="1">MAX(AVERAGE(S65,S65+SUM(S5:S20)-S62)*Inputs!$B$270,0)</f>
        <v>0</v>
      </c>
      <c r="T21" s="7">
        <f ca="1">MAX(AVERAGE(T65,T65+SUM(T5:T20)-T62)*Inputs!$B$270,0)</f>
        <v>0</v>
      </c>
      <c r="U21" s="7">
        <f ca="1">MAX(AVERAGE(U65,U65+SUM(U5:U20)-U62)*Inputs!$B$270,0)</f>
        <v>0</v>
      </c>
      <c r="V21" s="7">
        <f ca="1">MAX(AVERAGE(V65,V65+SUM(V5:V20)-V62)*Inputs!$B$270,0)</f>
        <v>0</v>
      </c>
      <c r="W21" s="7">
        <f ca="1">MAX(AVERAGE(W65,W65+SUM(W5:W20)-W62)*Inputs!$B$270,0)</f>
        <v>0</v>
      </c>
      <c r="X21" s="7">
        <f ca="1">MAX(AVERAGE(X65,X65+SUM(X5:X20)-X62)*Inputs!$B$270,0)</f>
        <v>0</v>
      </c>
      <c r="Y21" s="7">
        <f ca="1">MAX(AVERAGE(Y65,Y65+SUM(Y5:Y20)-Y62)*Inputs!$B$270,0)</f>
        <v>0</v>
      </c>
      <c r="Z21" s="7">
        <f ca="1">MAX(AVERAGE(Z65,Z65+SUM(Z5:Z20)-Z62)*Inputs!$B$270,0)</f>
        <v>0</v>
      </c>
      <c r="AA21" s="7">
        <f ca="1">MAX(AVERAGE(AA65,AA65+SUM(AA5:AA20)-AA62)*Inputs!$B$270,0)</f>
        <v>0</v>
      </c>
      <c r="AB21" s="7">
        <f ca="1">MAX(AVERAGE(AB65,AB65+SUM(AB5:AB20)-AB62)*Inputs!$B$270,0)</f>
        <v>0</v>
      </c>
      <c r="AC21" s="7">
        <f ca="1">MAX(AVERAGE(AC65,AC65+SUM(AC5:AC20)-AC62)*Inputs!$B$270,0)</f>
        <v>0</v>
      </c>
      <c r="AD21" s="7">
        <f ca="1">MAX(AVERAGE(AD65,AD65+SUM(AD5:AD20)-AD62)*Inputs!$B$270,0)</f>
        <v>0</v>
      </c>
      <c r="AE21" s="7">
        <f ca="1">MAX(AVERAGE(AE65,AE65+SUM(AE5:AE20)-AE62)*Inputs!$B$270,0)</f>
        <v>0</v>
      </c>
      <c r="AF21" s="7">
        <f ca="1">MAX(AVERAGE(AF65,AF65+SUM(AF5:AF20)-AF62)*Inputs!$B$270,0)</f>
        <v>0</v>
      </c>
      <c r="AG21" s="7">
        <f ca="1">MAX(AVERAGE(AG65,AG65+SUM(AG5:AG20)-AG62)*Inputs!$B$270,0)</f>
        <v>0</v>
      </c>
      <c r="AH21" s="7">
        <f ca="1">MAX(AVERAGE(AH65,AH65+SUM(AH5:AH20)-AH62)*Inputs!$B$270,0)</f>
        <v>0</v>
      </c>
      <c r="AI21" s="7">
        <f ca="1">MAX(AVERAGE(AI65,AI65+SUM(AI5:AI20)-AI62)*Inputs!$B$270,0)</f>
        <v>0</v>
      </c>
      <c r="AJ21" s="7">
        <f ca="1">MAX(AVERAGE(AJ65,AJ65+SUM(AJ5:AJ20)-AJ62)*Inputs!$B$270,0)</f>
        <v>0</v>
      </c>
      <c r="AK21" s="7">
        <f ca="1">MAX(AVERAGE(AK65,AK65+SUM(AK5:AK20)-AK62)*Inputs!$B$270,0)</f>
        <v>0</v>
      </c>
      <c r="AL21" s="7">
        <f ca="1">MAX(AVERAGE(AL65,AL65+SUM(AL5:AL20)-AL62)*Inputs!$B$270,0)</f>
        <v>0</v>
      </c>
      <c r="AM21" s="7">
        <f ca="1">MAX(AVERAGE(AM65,AM65+SUM(AM5:AM20)-AM62)*Inputs!$B$270,0)</f>
        <v>0</v>
      </c>
    </row>
    <row r="22" spans="1:39" x14ac:dyDescent="0.2">
      <c r="C22" s="9">
        <f t="shared" ref="C22:AM22" ca="1" si="35">SUM(C4:C21)</f>
        <v>94019.0625</v>
      </c>
      <c r="D22" s="102">
        <f t="shared" ca="1" si="35"/>
        <v>34802.973437499997</v>
      </c>
      <c r="E22" s="111">
        <f t="shared" ca="1" si="35"/>
        <v>35121.762499999997</v>
      </c>
      <c r="F22" s="9">
        <f t="shared" ca="1" si="35"/>
        <v>46933.815375000006</v>
      </c>
      <c r="G22" s="9">
        <f t="shared" ca="1" si="35"/>
        <v>526303.14584528806</v>
      </c>
      <c r="H22" s="9">
        <f t="shared" ca="1" si="35"/>
        <v>38345.221988368758</v>
      </c>
      <c r="I22" s="9">
        <f t="shared" ca="1" si="35"/>
        <v>45282.731656955359</v>
      </c>
      <c r="J22" s="9">
        <f t="shared" ca="1" si="35"/>
        <v>40657.195568685514</v>
      </c>
      <c r="K22" s="9">
        <f t="shared" ca="1" si="35"/>
        <v>41865.024578209392</v>
      </c>
      <c r="L22" s="9">
        <f t="shared" ca="1" si="35"/>
        <v>105551.93978396384</v>
      </c>
      <c r="M22" s="9">
        <f t="shared" ca="1" si="35"/>
        <v>59750.580925834802</v>
      </c>
      <c r="N22" s="9">
        <f t="shared" ca="1" si="35"/>
        <v>58829.319119913569</v>
      </c>
      <c r="O22" s="9">
        <f t="shared" ca="1" si="35"/>
        <v>60515.473494042904</v>
      </c>
      <c r="P22" s="9">
        <f t="shared" ca="1" si="35"/>
        <v>62250.244369409418</v>
      </c>
      <c r="Q22" s="9">
        <f t="shared" ca="1" si="35"/>
        <v>64035.041037800554</v>
      </c>
      <c r="R22" s="9">
        <f t="shared" ca="1" si="35"/>
        <v>65871.313839676135</v>
      </c>
      <c r="S22" s="9">
        <f t="shared" ca="1" si="35"/>
        <v>67760.555364876534</v>
      </c>
      <c r="T22" s="9">
        <f t="shared" ca="1" si="35"/>
        <v>86746.426213766477</v>
      </c>
      <c r="U22" s="9">
        <f t="shared" ca="1" si="35"/>
        <v>89172.31128188291</v>
      </c>
      <c r="V22" s="9">
        <f t="shared" ca="1" si="35"/>
        <v>91666.560209085466</v>
      </c>
      <c r="W22" s="9">
        <f t="shared" ca="1" si="35"/>
        <v>94231.113593822723</v>
      </c>
      <c r="X22" s="9">
        <f t="shared" ca="1" si="35"/>
        <v>96867.967494563694</v>
      </c>
      <c r="Y22" s="9">
        <f t="shared" ca="1" si="35"/>
        <v>78920.318253688922</v>
      </c>
      <c r="Z22" s="9">
        <f t="shared" ca="1" si="35"/>
        <v>81191.519803035117</v>
      </c>
      <c r="AA22" s="9">
        <f t="shared" ca="1" si="35"/>
        <v>83528.44719890508</v>
      </c>
      <c r="AB22" s="9">
        <f t="shared" ca="1" si="35"/>
        <v>85933.011961695593</v>
      </c>
      <c r="AC22" s="9">
        <f t="shared" ca="1" si="35"/>
        <v>88407.181451040437</v>
      </c>
      <c r="AD22" s="9">
        <f t="shared" ca="1" si="35"/>
        <v>90952.980503327941</v>
      </c>
      <c r="AE22" s="9">
        <f t="shared" ca="1" si="35"/>
        <v>93572.493117403006</v>
      </c>
      <c r="AF22" s="9">
        <f t="shared" ca="1" si="35"/>
        <v>96267.864189874701</v>
      </c>
      <c r="AG22" s="9">
        <f t="shared" ca="1" si="35"/>
        <v>99041.30130149427</v>
      </c>
      <c r="AH22" s="9">
        <f t="shared" ca="1" si="35"/>
        <v>101895.07655611052</v>
      </c>
      <c r="AI22" s="9">
        <f t="shared" ca="1" si="35"/>
        <v>104831.52847375456</v>
      </c>
      <c r="AJ22" s="9">
        <f t="shared" ca="1" si="35"/>
        <v>107853.06393945189</v>
      </c>
      <c r="AK22" s="9">
        <f t="shared" ca="1" si="35"/>
        <v>110962.1602094073</v>
      </c>
      <c r="AL22" s="9">
        <f t="shared" ca="1" si="35"/>
        <v>114161.36697625565</v>
      </c>
      <c r="AM22" s="9">
        <f t="shared" ca="1" si="35"/>
        <v>117453.30849512362</v>
      </c>
    </row>
    <row r="23" spans="1:39" ht="19" x14ac:dyDescent="0.25">
      <c r="A23" s="12" t="s">
        <v>17</v>
      </c>
      <c r="C23" s="7"/>
      <c r="D23" s="101"/>
      <c r="E23" s="110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  <c r="AG23" s="7"/>
      <c r="AH23" s="7"/>
      <c r="AI23" s="7"/>
      <c r="AJ23" s="7"/>
      <c r="AK23" s="7"/>
      <c r="AL23" s="7"/>
      <c r="AM23" s="7"/>
    </row>
    <row r="24" spans="1:39" x14ac:dyDescent="0.2">
      <c r="A24" s="4" t="s">
        <v>64</v>
      </c>
      <c r="C24" s="7">
        <f>Inputs!B125</f>
        <v>1000</v>
      </c>
      <c r="D24" s="101">
        <v>0</v>
      </c>
      <c r="E24" s="110">
        <v>0</v>
      </c>
      <c r="F24" s="7">
        <v>0</v>
      </c>
      <c r="G24" s="7">
        <v>0</v>
      </c>
      <c r="H24" s="7">
        <v>0</v>
      </c>
      <c r="I24" s="7">
        <v>0</v>
      </c>
      <c r="J24" s="7">
        <v>0</v>
      </c>
      <c r="K24" s="7">
        <v>0</v>
      </c>
      <c r="L24" s="7">
        <v>0</v>
      </c>
      <c r="M24" s="7">
        <v>0</v>
      </c>
      <c r="N24" s="7">
        <v>0</v>
      </c>
      <c r="O24" s="7">
        <v>0</v>
      </c>
      <c r="P24" s="7">
        <v>0</v>
      </c>
      <c r="Q24" s="7">
        <v>0</v>
      </c>
      <c r="R24" s="7">
        <v>0</v>
      </c>
      <c r="S24" s="7">
        <v>0</v>
      </c>
      <c r="T24" s="7">
        <v>0</v>
      </c>
      <c r="U24" s="7">
        <v>0</v>
      </c>
      <c r="V24" s="7">
        <v>0</v>
      </c>
      <c r="W24" s="7">
        <v>0</v>
      </c>
      <c r="X24" s="7">
        <v>0</v>
      </c>
      <c r="Y24" s="7">
        <v>0</v>
      </c>
      <c r="Z24" s="7">
        <v>0</v>
      </c>
      <c r="AA24" s="7">
        <v>0</v>
      </c>
      <c r="AB24" s="7">
        <v>0</v>
      </c>
      <c r="AC24" s="7">
        <v>0</v>
      </c>
      <c r="AD24" s="7">
        <v>0</v>
      </c>
      <c r="AE24" s="7">
        <v>0</v>
      </c>
      <c r="AF24" s="7">
        <v>0</v>
      </c>
      <c r="AG24" s="7">
        <v>0</v>
      </c>
      <c r="AH24" s="7">
        <v>0</v>
      </c>
      <c r="AI24" s="7">
        <v>0</v>
      </c>
      <c r="AJ24" s="7">
        <v>0</v>
      </c>
      <c r="AK24" s="7">
        <v>0</v>
      </c>
      <c r="AL24" s="7">
        <v>0</v>
      </c>
      <c r="AM24" s="7">
        <v>0</v>
      </c>
    </row>
    <row r="25" spans="1:39" x14ac:dyDescent="0.2">
      <c r="A25" s="4" t="s">
        <v>12</v>
      </c>
      <c r="C25" s="7">
        <f ca="1">IF(AND(Inputs!$B$218&lt;&gt;"",C$2=Inputs!$B$218,Inputs!$B$13&gt;0,Inputs!$B$16&gt;0),MIN(IF(B$1=0,MthRem,12),MAX(Inputs!$G$16-IF(B$1=0,0,B$1*12+MthOff),0))*Inputs!$B$18+MAX(FV(Inputs!$B$17/12,C$1*12+MthOff,Inputs!$B$18,-Inputs!$B$16),0),IF(AND(Inputs!$B$218&lt;&gt;"",C$2&gt;Inputs!$B$218,Inputs!$B$13&gt;0),0,MIN(IF(B$1=0,MthRem,12),MAX(Inputs!$G$16-IF(B$1=0,0,B$1*12+MthOff),0))*Inputs!$B$18))</f>
        <v>2700</v>
      </c>
      <c r="D25" s="101">
        <f ca="1">IF(AND(Inputs!$B$218&lt;&gt;"",D$2=Inputs!$B$218,Inputs!$B$13&gt;0,Inputs!$B$16&gt;0),MIN(IF(C$1=0,MthRem,12),MAX(Inputs!$G$16-IF(C$1=0,0,C$1*12+MthOff),0))*Inputs!$B$18+MAX(FV(Inputs!$B$17/12,D$1*12+MthOff,Inputs!$B$18,-Inputs!$B$16),0),IF(AND(Inputs!$B$218&lt;&gt;"",D$2&gt;Inputs!$B$218,Inputs!$B$13&gt;0),0,MIN(IF(C$1=0,MthRem,12),MAX(Inputs!$G$16-IF(C$1=0,0,C$1*12+MthOff),0))*Inputs!$B$18))</f>
        <v>3600</v>
      </c>
      <c r="E25" s="110">
        <f ca="1">IF(AND(Inputs!$B$218&lt;&gt;"",E$2=Inputs!$B$218,Inputs!$B$13&gt;0,Inputs!$B$16&gt;0),MIN(IF(D$1=0,MthRem,12),MAX(Inputs!$G$16-IF(D$1=0,0,D$1*12+MthOff),0))*Inputs!$B$18+MAX(FV(Inputs!$B$17/12,E$1*12+MthOff,Inputs!$B$18,-Inputs!$B$16),0),IF(AND(Inputs!$B$218&lt;&gt;"",E$2&gt;Inputs!$B$218,Inputs!$B$13&gt;0),0,MIN(IF(D$1=0,MthRem,12),MAX(Inputs!$G$16-IF(D$1=0,0,D$1*12+MthOff),0))*Inputs!$B$18))</f>
        <v>3600</v>
      </c>
      <c r="F25" s="7">
        <f ca="1">IF(AND(Inputs!$B$218&lt;&gt;"",F$2=Inputs!$B$218,Inputs!$B$13&gt;0,Inputs!$B$16&gt;0),MIN(IF(E$1=0,MthRem,12),MAX(Inputs!$G$16-IF(E$1=0,0,E$1*12+MthOff),0))*Inputs!$B$18+MAX(FV(Inputs!$B$17/12,F$1*12+MthOff,Inputs!$B$18,-Inputs!$B$16),0),IF(AND(Inputs!$B$218&lt;&gt;"",F$2&gt;Inputs!$B$218,Inputs!$B$13&gt;0),0,MIN(IF(E$1=0,MthRem,12),MAX(Inputs!$G$16-IF(E$1=0,0,E$1*12+MthOff),0))*Inputs!$B$18))</f>
        <v>3600</v>
      </c>
      <c r="G25" s="7">
        <f ca="1">IF(AND(Inputs!$B$218&lt;&gt;"",G$2=Inputs!$B$218,Inputs!$B$13&gt;0,Inputs!$B$16&gt;0),MIN(IF(F$1=0,MthRem,12),MAX(Inputs!$G$16-IF(F$1=0,0,F$1*12+MthOff),0))*Inputs!$B$18+MAX(FV(Inputs!$B$17/12,G$1*12+MthOff,Inputs!$B$18,-Inputs!$B$16),0),IF(AND(Inputs!$B$218&lt;&gt;"",G$2&gt;Inputs!$B$218,Inputs!$B$13&gt;0),0,MIN(IF(F$1=0,MthRem,12),MAX(Inputs!$G$16-IF(F$1=0,0,F$1*12+MthOff),0))*Inputs!$B$18))</f>
        <v>42893.637515101276</v>
      </c>
      <c r="H25" s="7">
        <f ca="1">IF(AND(Inputs!$B$218&lt;&gt;"",H$2=Inputs!$B$218,Inputs!$B$13&gt;0,Inputs!$B$16&gt;0),MIN(IF(G$1=0,MthRem,12),MAX(Inputs!$G$16-IF(G$1=0,0,G$1*12+MthOff),0))*Inputs!$B$18+MAX(FV(Inputs!$B$17/12,H$1*12+MthOff,Inputs!$B$18,-Inputs!$B$16),0),IF(AND(Inputs!$B$218&lt;&gt;"",H$2&gt;Inputs!$B$218,Inputs!$B$13&gt;0),0,MIN(IF(G$1=0,MthRem,12),MAX(Inputs!$G$16-IF(G$1=0,0,G$1*12+MthOff),0))*Inputs!$B$18))</f>
        <v>0</v>
      </c>
      <c r="I25" s="7">
        <f ca="1">IF(AND(Inputs!$B$218&lt;&gt;"",I$2=Inputs!$B$218,Inputs!$B$13&gt;0,Inputs!$B$16&gt;0),MIN(IF(H$1=0,MthRem,12),MAX(Inputs!$G$16-IF(H$1=0,0,H$1*12+MthOff),0))*Inputs!$B$18+MAX(FV(Inputs!$B$17/12,I$1*12+MthOff,Inputs!$B$18,-Inputs!$B$16),0),IF(AND(Inputs!$B$218&lt;&gt;"",I$2&gt;Inputs!$B$218,Inputs!$B$13&gt;0),0,MIN(IF(H$1=0,MthRem,12),MAX(Inputs!$G$16-IF(H$1=0,0,H$1*12+MthOff),0))*Inputs!$B$18))</f>
        <v>0</v>
      </c>
      <c r="J25" s="7">
        <f ca="1">IF(AND(Inputs!$B$218&lt;&gt;"",J$2=Inputs!$B$218,Inputs!$B$13&gt;0,Inputs!$B$16&gt;0),MIN(IF(I$1=0,MthRem,12),MAX(Inputs!$G$16-IF(I$1=0,0,I$1*12+MthOff),0))*Inputs!$B$18+MAX(FV(Inputs!$B$17/12,J$1*12+MthOff,Inputs!$B$18,-Inputs!$B$16),0),IF(AND(Inputs!$B$218&lt;&gt;"",J$2&gt;Inputs!$B$218,Inputs!$B$13&gt;0),0,MIN(IF(I$1=0,MthRem,12),MAX(Inputs!$G$16-IF(I$1=0,0,I$1*12+MthOff),0))*Inputs!$B$18))</f>
        <v>0</v>
      </c>
      <c r="K25" s="7">
        <f ca="1">IF(AND(Inputs!$B$218&lt;&gt;"",K$2=Inputs!$B$218,Inputs!$B$13&gt;0,Inputs!$B$16&gt;0),MIN(IF(J$1=0,MthRem,12),MAX(Inputs!$G$16-IF(J$1=0,0,J$1*12+MthOff),0))*Inputs!$B$18+MAX(FV(Inputs!$B$17/12,K$1*12+MthOff,Inputs!$B$18,-Inputs!$B$16),0),IF(AND(Inputs!$B$218&lt;&gt;"",K$2&gt;Inputs!$B$218,Inputs!$B$13&gt;0),0,MIN(IF(J$1=0,MthRem,12),MAX(Inputs!$G$16-IF(J$1=0,0,J$1*12+MthOff),0))*Inputs!$B$18))</f>
        <v>0</v>
      </c>
      <c r="L25" s="7">
        <f ca="1">IF(AND(Inputs!$B$218&lt;&gt;"",L$2=Inputs!$B$218,Inputs!$B$13&gt;0,Inputs!$B$16&gt;0),MIN(IF(K$1=0,MthRem,12),MAX(Inputs!$G$16-IF(K$1=0,0,K$1*12+MthOff),0))*Inputs!$B$18+MAX(FV(Inputs!$B$17/12,L$1*12+MthOff,Inputs!$B$18,-Inputs!$B$16),0),IF(AND(Inputs!$B$218&lt;&gt;"",L$2&gt;Inputs!$B$218,Inputs!$B$13&gt;0),0,MIN(IF(K$1=0,MthRem,12),MAX(Inputs!$G$16-IF(K$1=0,0,K$1*12+MthOff),0))*Inputs!$B$18))</f>
        <v>0</v>
      </c>
      <c r="M25" s="7">
        <f ca="1">IF(AND(Inputs!$B$218&lt;&gt;"",M$2=Inputs!$B$218,Inputs!$B$13&gt;0,Inputs!$B$16&gt;0),MIN(IF(L$1=0,MthRem,12),MAX(Inputs!$G$16-IF(L$1=0,0,L$1*12+MthOff),0))*Inputs!$B$18+MAX(FV(Inputs!$B$17/12,M$1*12+MthOff,Inputs!$B$18,-Inputs!$B$16),0),IF(AND(Inputs!$B$218&lt;&gt;"",M$2&gt;Inputs!$B$218,Inputs!$B$13&gt;0),0,MIN(IF(L$1=0,MthRem,12),MAX(Inputs!$G$16-IF(L$1=0,0,L$1*12+MthOff),0))*Inputs!$B$18))</f>
        <v>0</v>
      </c>
      <c r="N25" s="7">
        <f ca="1">IF(AND(Inputs!$B$218&lt;&gt;"",N$2=Inputs!$B$218,Inputs!$B$13&gt;0,Inputs!$B$16&gt;0),MIN(IF(M$1=0,MthRem,12),MAX(Inputs!$G$16-IF(M$1=0,0,M$1*12+MthOff),0))*Inputs!$B$18+MAX(FV(Inputs!$B$17/12,N$1*12+MthOff,Inputs!$B$18,-Inputs!$B$16),0),IF(AND(Inputs!$B$218&lt;&gt;"",N$2&gt;Inputs!$B$218,Inputs!$B$13&gt;0),0,MIN(IF(M$1=0,MthRem,12),MAX(Inputs!$G$16-IF(M$1=0,0,M$1*12+MthOff),0))*Inputs!$B$18))</f>
        <v>0</v>
      </c>
      <c r="O25" s="7">
        <f ca="1">IF(AND(Inputs!$B$218&lt;&gt;"",O$2=Inputs!$B$218,Inputs!$B$13&gt;0,Inputs!$B$16&gt;0),MIN(IF(N$1=0,MthRem,12),MAX(Inputs!$G$16-IF(N$1=0,0,N$1*12+MthOff),0))*Inputs!$B$18+MAX(FV(Inputs!$B$17/12,O$1*12+MthOff,Inputs!$B$18,-Inputs!$B$16),0),IF(AND(Inputs!$B$218&lt;&gt;"",O$2&gt;Inputs!$B$218,Inputs!$B$13&gt;0),0,MIN(IF(N$1=0,MthRem,12),MAX(Inputs!$G$16-IF(N$1=0,0,N$1*12+MthOff),0))*Inputs!$B$18))</f>
        <v>0</v>
      </c>
      <c r="P25" s="7">
        <f ca="1">IF(AND(Inputs!$B$218&lt;&gt;"",P$2=Inputs!$B$218,Inputs!$B$13&gt;0,Inputs!$B$16&gt;0),MIN(IF(O$1=0,MthRem,12),MAX(Inputs!$G$16-IF(O$1=0,0,O$1*12+MthOff),0))*Inputs!$B$18+MAX(FV(Inputs!$B$17/12,P$1*12+MthOff,Inputs!$B$18,-Inputs!$B$16),0),IF(AND(Inputs!$B$218&lt;&gt;"",P$2&gt;Inputs!$B$218,Inputs!$B$13&gt;0),0,MIN(IF(O$1=0,MthRem,12),MAX(Inputs!$G$16-IF(O$1=0,0,O$1*12+MthOff),0))*Inputs!$B$18))</f>
        <v>0</v>
      </c>
      <c r="Q25" s="7">
        <f ca="1">IF(AND(Inputs!$B$218&lt;&gt;"",Q$2=Inputs!$B$218,Inputs!$B$13&gt;0,Inputs!$B$16&gt;0),MIN(IF(P$1=0,MthRem,12),MAX(Inputs!$G$16-IF(P$1=0,0,P$1*12+MthOff),0))*Inputs!$B$18+MAX(FV(Inputs!$B$17/12,Q$1*12+MthOff,Inputs!$B$18,-Inputs!$B$16),0),IF(AND(Inputs!$B$218&lt;&gt;"",Q$2&gt;Inputs!$B$218,Inputs!$B$13&gt;0),0,MIN(IF(P$1=0,MthRem,12),MAX(Inputs!$G$16-IF(P$1=0,0,P$1*12+MthOff),0))*Inputs!$B$18))</f>
        <v>0</v>
      </c>
      <c r="R25" s="7">
        <f ca="1">IF(AND(Inputs!$B$218&lt;&gt;"",R$2=Inputs!$B$218,Inputs!$B$13&gt;0,Inputs!$B$16&gt;0),MIN(IF(Q$1=0,MthRem,12),MAX(Inputs!$G$16-IF(Q$1=0,0,Q$1*12+MthOff),0))*Inputs!$B$18+MAX(FV(Inputs!$B$17/12,R$1*12+MthOff,Inputs!$B$18,-Inputs!$B$16),0),IF(AND(Inputs!$B$218&lt;&gt;"",R$2&gt;Inputs!$B$218,Inputs!$B$13&gt;0),0,MIN(IF(Q$1=0,MthRem,12),MAX(Inputs!$G$16-IF(Q$1=0,0,Q$1*12+MthOff),0))*Inputs!$B$18))</f>
        <v>0</v>
      </c>
      <c r="S25" s="7">
        <f ca="1">IF(AND(Inputs!$B$218&lt;&gt;"",S$2=Inputs!$B$218,Inputs!$B$13&gt;0,Inputs!$B$16&gt;0),MIN(IF(R$1=0,MthRem,12),MAX(Inputs!$G$16-IF(R$1=0,0,R$1*12+MthOff),0))*Inputs!$B$18+MAX(FV(Inputs!$B$17/12,S$1*12+MthOff,Inputs!$B$18,-Inputs!$B$16),0),IF(AND(Inputs!$B$218&lt;&gt;"",S$2&gt;Inputs!$B$218,Inputs!$B$13&gt;0),0,MIN(IF(R$1=0,MthRem,12),MAX(Inputs!$G$16-IF(R$1=0,0,R$1*12+MthOff),0))*Inputs!$B$18))</f>
        <v>0</v>
      </c>
      <c r="T25" s="7">
        <f ca="1">IF(AND(Inputs!$B$218&lt;&gt;"",T$2=Inputs!$B$218,Inputs!$B$13&gt;0,Inputs!$B$16&gt;0),MIN(IF(S$1=0,MthRem,12),MAX(Inputs!$G$16-IF(S$1=0,0,S$1*12+MthOff),0))*Inputs!$B$18+MAX(FV(Inputs!$B$17/12,T$1*12+MthOff,Inputs!$B$18,-Inputs!$B$16),0),IF(AND(Inputs!$B$218&lt;&gt;"",T$2&gt;Inputs!$B$218,Inputs!$B$13&gt;0),0,MIN(IF(S$1=0,MthRem,12),MAX(Inputs!$G$16-IF(S$1=0,0,S$1*12+MthOff),0))*Inputs!$B$18))</f>
        <v>0</v>
      </c>
      <c r="U25" s="7">
        <f ca="1">IF(AND(Inputs!$B$218&lt;&gt;"",U$2=Inputs!$B$218,Inputs!$B$13&gt;0,Inputs!$B$16&gt;0),MIN(IF(T$1=0,MthRem,12),MAX(Inputs!$G$16-IF(T$1=0,0,T$1*12+MthOff),0))*Inputs!$B$18+MAX(FV(Inputs!$B$17/12,U$1*12+MthOff,Inputs!$B$18,-Inputs!$B$16),0),IF(AND(Inputs!$B$218&lt;&gt;"",U$2&gt;Inputs!$B$218,Inputs!$B$13&gt;0),0,MIN(IF(T$1=0,MthRem,12),MAX(Inputs!$G$16-IF(T$1=0,0,T$1*12+MthOff),0))*Inputs!$B$18))</f>
        <v>0</v>
      </c>
      <c r="V25" s="7">
        <f ca="1">IF(AND(Inputs!$B$218&lt;&gt;"",V$2=Inputs!$B$218,Inputs!$B$13&gt;0,Inputs!$B$16&gt;0),MIN(IF(U$1=0,MthRem,12),MAX(Inputs!$G$16-IF(U$1=0,0,U$1*12+MthOff),0))*Inputs!$B$18+MAX(FV(Inputs!$B$17/12,V$1*12+MthOff,Inputs!$B$18,-Inputs!$B$16),0),IF(AND(Inputs!$B$218&lt;&gt;"",V$2&gt;Inputs!$B$218,Inputs!$B$13&gt;0),0,MIN(IF(U$1=0,MthRem,12),MAX(Inputs!$G$16-IF(U$1=0,0,U$1*12+MthOff),0))*Inputs!$B$18))</f>
        <v>0</v>
      </c>
      <c r="W25" s="7">
        <f ca="1">IF(AND(Inputs!$B$218&lt;&gt;"",W$2=Inputs!$B$218,Inputs!$B$13&gt;0,Inputs!$B$16&gt;0),MIN(IF(V$1=0,MthRem,12),MAX(Inputs!$G$16-IF(V$1=0,0,V$1*12+MthOff),0))*Inputs!$B$18+MAX(FV(Inputs!$B$17/12,W$1*12+MthOff,Inputs!$B$18,-Inputs!$B$16),0),IF(AND(Inputs!$B$218&lt;&gt;"",W$2&gt;Inputs!$B$218,Inputs!$B$13&gt;0),0,MIN(IF(V$1=0,MthRem,12),MAX(Inputs!$G$16-IF(V$1=0,0,V$1*12+MthOff),0))*Inputs!$B$18))</f>
        <v>0</v>
      </c>
      <c r="X25" s="7">
        <f ca="1">IF(AND(Inputs!$B$218&lt;&gt;"",X$2=Inputs!$B$218,Inputs!$B$13&gt;0,Inputs!$B$16&gt;0),MIN(IF(W$1=0,MthRem,12),MAX(Inputs!$G$16-IF(W$1=0,0,W$1*12+MthOff),0))*Inputs!$B$18+MAX(FV(Inputs!$B$17/12,X$1*12+MthOff,Inputs!$B$18,-Inputs!$B$16),0),IF(AND(Inputs!$B$218&lt;&gt;"",X$2&gt;Inputs!$B$218,Inputs!$B$13&gt;0),0,MIN(IF(W$1=0,MthRem,12),MAX(Inputs!$G$16-IF(W$1=0,0,W$1*12+MthOff),0))*Inputs!$B$18))</f>
        <v>0</v>
      </c>
      <c r="Y25" s="7">
        <f ca="1">IF(AND(Inputs!$B$218&lt;&gt;"",Y$2=Inputs!$B$218,Inputs!$B$13&gt;0,Inputs!$B$16&gt;0),MIN(IF(X$1=0,MthRem,12),MAX(Inputs!$G$16-IF(X$1=0,0,X$1*12+MthOff),0))*Inputs!$B$18+MAX(FV(Inputs!$B$17/12,Y$1*12+MthOff,Inputs!$B$18,-Inputs!$B$16),0),IF(AND(Inputs!$B$218&lt;&gt;"",Y$2&gt;Inputs!$B$218,Inputs!$B$13&gt;0),0,MIN(IF(X$1=0,MthRem,12),MAX(Inputs!$G$16-IF(X$1=0,0,X$1*12+MthOff),0))*Inputs!$B$18))</f>
        <v>0</v>
      </c>
      <c r="Z25" s="7">
        <f ca="1">IF(AND(Inputs!$B$218&lt;&gt;"",Z$2=Inputs!$B$218,Inputs!$B$13&gt;0,Inputs!$B$16&gt;0),MIN(IF(Y$1=0,MthRem,12),MAX(Inputs!$G$16-IF(Y$1=0,0,Y$1*12+MthOff),0))*Inputs!$B$18+MAX(FV(Inputs!$B$17/12,Z$1*12+MthOff,Inputs!$B$18,-Inputs!$B$16),0),IF(AND(Inputs!$B$218&lt;&gt;"",Z$2&gt;Inputs!$B$218,Inputs!$B$13&gt;0),0,MIN(IF(Y$1=0,MthRem,12),MAX(Inputs!$G$16-IF(Y$1=0,0,Y$1*12+MthOff),0))*Inputs!$B$18))</f>
        <v>0</v>
      </c>
      <c r="AA25" s="7">
        <f ca="1">IF(AND(Inputs!$B$218&lt;&gt;"",AA$2=Inputs!$B$218,Inputs!$B$13&gt;0,Inputs!$B$16&gt;0),MIN(IF(Z$1=0,MthRem,12),MAX(Inputs!$G$16-IF(Z$1=0,0,Z$1*12+MthOff),0))*Inputs!$B$18+MAX(FV(Inputs!$B$17/12,AA$1*12+MthOff,Inputs!$B$18,-Inputs!$B$16),0),IF(AND(Inputs!$B$218&lt;&gt;"",AA$2&gt;Inputs!$B$218,Inputs!$B$13&gt;0),0,MIN(IF(Z$1=0,MthRem,12),MAX(Inputs!$G$16-IF(Z$1=0,0,Z$1*12+MthOff),0))*Inputs!$B$18))</f>
        <v>0</v>
      </c>
      <c r="AB25" s="7">
        <f ca="1">IF(AND(Inputs!$B$218&lt;&gt;"",AB$2=Inputs!$B$218,Inputs!$B$13&gt;0,Inputs!$B$16&gt;0),MIN(IF(AA$1=0,MthRem,12),MAX(Inputs!$G$16-IF(AA$1=0,0,AA$1*12+MthOff),0))*Inputs!$B$18+MAX(FV(Inputs!$B$17/12,AB$1*12+MthOff,Inputs!$B$18,-Inputs!$B$16),0),IF(AND(Inputs!$B$218&lt;&gt;"",AB$2&gt;Inputs!$B$218,Inputs!$B$13&gt;0),0,MIN(IF(AA$1=0,MthRem,12),MAX(Inputs!$G$16-IF(AA$1=0,0,AA$1*12+MthOff),0))*Inputs!$B$18))</f>
        <v>0</v>
      </c>
      <c r="AC25" s="7">
        <f ca="1">IF(AND(Inputs!$B$218&lt;&gt;"",AC$2=Inputs!$B$218,Inputs!$B$13&gt;0,Inputs!$B$16&gt;0),MIN(IF(AB$1=0,MthRem,12),MAX(Inputs!$G$16-IF(AB$1=0,0,AB$1*12+MthOff),0))*Inputs!$B$18+MAX(FV(Inputs!$B$17/12,AC$1*12+MthOff,Inputs!$B$18,-Inputs!$B$16),0),IF(AND(Inputs!$B$218&lt;&gt;"",AC$2&gt;Inputs!$B$218,Inputs!$B$13&gt;0),0,MIN(IF(AB$1=0,MthRem,12),MAX(Inputs!$G$16-IF(AB$1=0,0,AB$1*12+MthOff),0))*Inputs!$B$18))</f>
        <v>0</v>
      </c>
      <c r="AD25" s="7">
        <f ca="1">IF(AND(Inputs!$B$218&lt;&gt;"",AD$2=Inputs!$B$218,Inputs!$B$13&gt;0,Inputs!$B$16&gt;0),MIN(IF(AC$1=0,MthRem,12),MAX(Inputs!$G$16-IF(AC$1=0,0,AC$1*12+MthOff),0))*Inputs!$B$18+MAX(FV(Inputs!$B$17/12,AD$1*12+MthOff,Inputs!$B$18,-Inputs!$B$16),0),IF(AND(Inputs!$B$218&lt;&gt;"",AD$2&gt;Inputs!$B$218,Inputs!$B$13&gt;0),0,MIN(IF(AC$1=0,MthRem,12),MAX(Inputs!$G$16-IF(AC$1=0,0,AC$1*12+MthOff),0))*Inputs!$B$18))</f>
        <v>0</v>
      </c>
      <c r="AE25" s="7">
        <f ca="1">IF(AND(Inputs!$B$218&lt;&gt;"",AE$2=Inputs!$B$218,Inputs!$B$13&gt;0,Inputs!$B$16&gt;0),MIN(IF(AD$1=0,MthRem,12),MAX(Inputs!$G$16-IF(AD$1=0,0,AD$1*12+MthOff),0))*Inputs!$B$18+MAX(FV(Inputs!$B$17/12,AE$1*12+MthOff,Inputs!$B$18,-Inputs!$B$16),0),IF(AND(Inputs!$B$218&lt;&gt;"",AE$2&gt;Inputs!$B$218,Inputs!$B$13&gt;0),0,MIN(IF(AD$1=0,MthRem,12),MAX(Inputs!$G$16-IF(AD$1=0,0,AD$1*12+MthOff),0))*Inputs!$B$18))</f>
        <v>0</v>
      </c>
      <c r="AF25" s="7">
        <f ca="1">IF(AND(Inputs!$B$218&lt;&gt;"",AF$2=Inputs!$B$218,Inputs!$B$13&gt;0,Inputs!$B$16&gt;0),MIN(IF(AE$1=0,MthRem,12),MAX(Inputs!$G$16-IF(AE$1=0,0,AE$1*12+MthOff),0))*Inputs!$B$18+MAX(FV(Inputs!$B$17/12,AF$1*12+MthOff,Inputs!$B$18,-Inputs!$B$16),0),IF(AND(Inputs!$B$218&lt;&gt;"",AF$2&gt;Inputs!$B$218,Inputs!$B$13&gt;0),0,MIN(IF(AE$1=0,MthRem,12),MAX(Inputs!$G$16-IF(AE$1=0,0,AE$1*12+MthOff),0))*Inputs!$B$18))</f>
        <v>0</v>
      </c>
      <c r="AG25" s="7">
        <f ca="1">IF(AND(Inputs!$B$218&lt;&gt;"",AG$2=Inputs!$B$218,Inputs!$B$13&gt;0,Inputs!$B$16&gt;0),MIN(IF(AF$1=0,MthRem,12),MAX(Inputs!$G$16-IF(AF$1=0,0,AF$1*12+MthOff),0))*Inputs!$B$18+MAX(FV(Inputs!$B$17/12,AG$1*12+MthOff,Inputs!$B$18,-Inputs!$B$16),0),IF(AND(Inputs!$B$218&lt;&gt;"",AG$2&gt;Inputs!$B$218,Inputs!$B$13&gt;0),0,MIN(IF(AF$1=0,MthRem,12),MAX(Inputs!$G$16-IF(AF$1=0,0,AF$1*12+MthOff),0))*Inputs!$B$18))</f>
        <v>0</v>
      </c>
      <c r="AH25" s="7">
        <f ca="1">IF(AND(Inputs!$B$218&lt;&gt;"",AH$2=Inputs!$B$218,Inputs!$B$13&gt;0,Inputs!$B$16&gt;0),MIN(IF(AG$1=0,MthRem,12),MAX(Inputs!$G$16-IF(AG$1=0,0,AG$1*12+MthOff),0))*Inputs!$B$18+MAX(FV(Inputs!$B$17/12,AH$1*12+MthOff,Inputs!$B$18,-Inputs!$B$16),0),IF(AND(Inputs!$B$218&lt;&gt;"",AH$2&gt;Inputs!$B$218,Inputs!$B$13&gt;0),0,MIN(IF(AG$1=0,MthRem,12),MAX(Inputs!$G$16-IF(AG$1=0,0,AG$1*12+MthOff),0))*Inputs!$B$18))</f>
        <v>0</v>
      </c>
      <c r="AI25" s="7">
        <f ca="1">IF(AND(Inputs!$B$218&lt;&gt;"",AI$2=Inputs!$B$218,Inputs!$B$13&gt;0,Inputs!$B$16&gt;0),MIN(IF(AH$1=0,MthRem,12),MAX(Inputs!$G$16-IF(AH$1=0,0,AH$1*12+MthOff),0))*Inputs!$B$18+MAX(FV(Inputs!$B$17/12,AI$1*12+MthOff,Inputs!$B$18,-Inputs!$B$16),0),IF(AND(Inputs!$B$218&lt;&gt;"",AI$2&gt;Inputs!$B$218,Inputs!$B$13&gt;0),0,MIN(IF(AH$1=0,MthRem,12),MAX(Inputs!$G$16-IF(AH$1=0,0,AH$1*12+MthOff),0))*Inputs!$B$18))</f>
        <v>0</v>
      </c>
      <c r="AJ25" s="7">
        <f ca="1">IF(AND(Inputs!$B$218&lt;&gt;"",AJ$2=Inputs!$B$218,Inputs!$B$13&gt;0,Inputs!$B$16&gt;0),MIN(IF(AI$1=0,MthRem,12),MAX(Inputs!$G$16-IF(AI$1=0,0,AI$1*12+MthOff),0))*Inputs!$B$18+MAX(FV(Inputs!$B$17/12,AJ$1*12+MthOff,Inputs!$B$18,-Inputs!$B$16),0),IF(AND(Inputs!$B$218&lt;&gt;"",AJ$2&gt;Inputs!$B$218,Inputs!$B$13&gt;0),0,MIN(IF(AI$1=0,MthRem,12),MAX(Inputs!$G$16-IF(AI$1=0,0,AI$1*12+MthOff),0))*Inputs!$B$18))</f>
        <v>0</v>
      </c>
      <c r="AK25" s="7">
        <f ca="1">IF(AND(Inputs!$B$218&lt;&gt;"",AK$2=Inputs!$B$218,Inputs!$B$13&gt;0,Inputs!$B$16&gt;0),MIN(IF(AJ$1=0,MthRem,12),MAX(Inputs!$G$16-IF(AJ$1=0,0,AJ$1*12+MthOff),0))*Inputs!$B$18+MAX(FV(Inputs!$B$17/12,AK$1*12+MthOff,Inputs!$B$18,-Inputs!$B$16),0),IF(AND(Inputs!$B$218&lt;&gt;"",AK$2&gt;Inputs!$B$218,Inputs!$B$13&gt;0),0,MIN(IF(AJ$1=0,MthRem,12),MAX(Inputs!$G$16-IF(AJ$1=0,0,AJ$1*12+MthOff),0))*Inputs!$B$18))</f>
        <v>0</v>
      </c>
      <c r="AL25" s="7">
        <f ca="1">IF(AND(Inputs!$B$218&lt;&gt;"",AL$2=Inputs!$B$218,Inputs!$B$13&gt;0,Inputs!$B$16&gt;0),MIN(IF(AK$1=0,MthRem,12),MAX(Inputs!$G$16-IF(AK$1=0,0,AK$1*12+MthOff),0))*Inputs!$B$18+MAX(FV(Inputs!$B$17/12,AL$1*12+MthOff,Inputs!$B$18,-Inputs!$B$16),0),IF(AND(Inputs!$B$218&lt;&gt;"",AL$2&gt;Inputs!$B$218,Inputs!$B$13&gt;0),0,MIN(IF(AK$1=0,MthRem,12),MAX(Inputs!$G$16-IF(AK$1=0,0,AK$1*12+MthOff),0))*Inputs!$B$18))</f>
        <v>0</v>
      </c>
      <c r="AM25" s="7">
        <f ca="1">IF(AND(Inputs!$B$218&lt;&gt;"",AM$2=Inputs!$B$218,Inputs!$B$13&gt;0,Inputs!$B$16&gt;0),MIN(IF(AL$1=0,MthRem,12),MAX(Inputs!$G$16-IF(AL$1=0,0,AL$1*12+MthOff),0))*Inputs!$B$18+MAX(FV(Inputs!$B$17/12,AM$1*12+MthOff,Inputs!$B$18,-Inputs!$B$16),0),IF(AND(Inputs!$B$218&lt;&gt;"",AM$2&gt;Inputs!$B$218,Inputs!$B$13&gt;0),0,MIN(IF(AL$1=0,MthRem,12),MAX(Inputs!$G$16-IF(AL$1=0,0,AL$1*12+MthOff),0))*Inputs!$B$18))</f>
        <v>0</v>
      </c>
    </row>
    <row r="26" spans="1:39" x14ac:dyDescent="0.2">
      <c r="A26" s="4" t="s">
        <v>199</v>
      </c>
      <c r="C26" s="7"/>
      <c r="D26" s="101"/>
      <c r="E26" s="110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  <c r="AG26" s="7"/>
      <c r="AH26" s="7"/>
      <c r="AI26" s="7"/>
      <c r="AJ26" s="7"/>
      <c r="AK26" s="7"/>
      <c r="AL26" s="7"/>
      <c r="AM26" s="7"/>
    </row>
    <row r="27" spans="1:39" x14ac:dyDescent="0.2">
      <c r="A27" s="3" t="str">
        <f>TEXT(Inputs!$B$61,"")</f>
        <v>Sliema</v>
      </c>
      <c r="C27" s="7">
        <f ca="1">MIN(IF(B$1=0,MthRem,12), MAX(Inputs!$G$128-IF(B$1=0,0,B$1*12+MthOff), 0))*Inputs!$B$130</f>
        <v>4500</v>
      </c>
      <c r="D27" s="101">
        <f ca="1">MIN(IF(C$1=0,MthRem,12), MAX(Inputs!$G$128-IF(C$1=0,0,C$1*12+MthOff), 0))*Inputs!$B$130</f>
        <v>6000</v>
      </c>
      <c r="E27" s="110">
        <f ca="1">MIN(IF(D$1=0,MthRem,12), MAX(Inputs!$G$128-IF(D$1=0,0,D$1*12+MthOff), 0))*Inputs!$B$130</f>
        <v>6000</v>
      </c>
      <c r="F27" s="7">
        <f ca="1">MIN(IF(E$1=0,MthRem,12), MAX(Inputs!$G$128-IF(E$1=0,0,E$1*12+MthOff), 0))*Inputs!$B$130</f>
        <v>6000</v>
      </c>
      <c r="G27" s="7">
        <f ca="1">MIN(IF(F$1=0,MthRem,12), MAX(Inputs!$G$128-IF(F$1=0,0,F$1*12+MthOff), 0))*Inputs!$B$130</f>
        <v>6000</v>
      </c>
      <c r="H27" s="7">
        <f ca="1">MIN(IF(G$1=0,MthRem,12), MAX(Inputs!$G$128-IF(G$1=0,0,G$1*12+MthOff), 0))*Inputs!$B$130</f>
        <v>6000</v>
      </c>
      <c r="I27" s="7">
        <f ca="1">MIN(IF(H$1=0,MthRem,12), MAX(Inputs!$G$128-IF(H$1=0,0,H$1*12+MthOff), 0))*Inputs!$B$130</f>
        <v>6000</v>
      </c>
      <c r="J27" s="7">
        <f ca="1">MIN(IF(I$1=0,MthRem,12), MAX(Inputs!$G$128-IF(I$1=0,0,I$1*12+MthOff), 0))*Inputs!$B$130</f>
        <v>6000</v>
      </c>
      <c r="K27" s="7">
        <f ca="1">MIN(IF(J$1=0,MthRem,12), MAX(Inputs!$G$128-IF(J$1=0,0,J$1*12+MthOff), 0))*Inputs!$B$130</f>
        <v>6000</v>
      </c>
      <c r="L27" s="7">
        <f ca="1">MIN(IF(K$1=0,MthRem,12), MAX(Inputs!$G$128-IF(K$1=0,0,K$1*12+MthOff), 0))*Inputs!$B$130</f>
        <v>5108.3050789871932</v>
      </c>
      <c r="M27" s="7">
        <f ca="1">MIN(IF(L$1=0,MthRem,12), MAX(Inputs!$G$128-IF(L$1=0,0,L$1*12+MthOff), 0))*Inputs!$B$130</f>
        <v>0</v>
      </c>
      <c r="N27" s="7">
        <f ca="1">MIN(IF(M$1=0,MthRem,12), MAX(Inputs!$G$128-IF(M$1=0,0,M$1*12+MthOff), 0))*Inputs!$B$130</f>
        <v>0</v>
      </c>
      <c r="O27" s="7">
        <f ca="1">MIN(IF(N$1=0,MthRem,12), MAX(Inputs!$G$128-IF(N$1=0,0,N$1*12+MthOff), 0))*Inputs!$B$130</f>
        <v>0</v>
      </c>
      <c r="P27" s="7">
        <f ca="1">MIN(IF(O$1=0,MthRem,12), MAX(Inputs!$G$128-IF(O$1=0,0,O$1*12+MthOff), 0))*Inputs!$B$130</f>
        <v>0</v>
      </c>
      <c r="Q27" s="7">
        <f ca="1">MIN(IF(P$1=0,MthRem,12), MAX(Inputs!$G$128-IF(P$1=0,0,P$1*12+MthOff), 0))*Inputs!$B$130</f>
        <v>0</v>
      </c>
      <c r="R27" s="7">
        <f ca="1">MIN(IF(Q$1=0,MthRem,12), MAX(Inputs!$G$128-IF(Q$1=0,0,Q$1*12+MthOff), 0))*Inputs!$B$130</f>
        <v>0</v>
      </c>
      <c r="S27" s="7">
        <f ca="1">MIN(IF(R$1=0,MthRem,12), MAX(Inputs!$G$128-IF(R$1=0,0,R$1*12+MthOff), 0))*Inputs!$B$130</f>
        <v>0</v>
      </c>
      <c r="T27" s="7">
        <f ca="1">MIN(IF(S$1=0,MthRem,12), MAX(Inputs!$G$128-IF(S$1=0,0,S$1*12+MthOff), 0))*Inputs!$B$130</f>
        <v>0</v>
      </c>
      <c r="U27" s="7">
        <f ca="1">MIN(IF(T$1=0,MthRem,12), MAX(Inputs!$G$128-IF(T$1=0,0,T$1*12+MthOff), 0))*Inputs!$B$130</f>
        <v>0</v>
      </c>
      <c r="V27" s="7">
        <f ca="1">MIN(IF(U$1=0,MthRem,12), MAX(Inputs!$G$128-IF(U$1=0,0,U$1*12+MthOff), 0))*Inputs!$B$130</f>
        <v>0</v>
      </c>
      <c r="W27" s="7">
        <f ca="1">MIN(IF(V$1=0,MthRem,12), MAX(Inputs!$G$128-IF(V$1=0,0,V$1*12+MthOff), 0))*Inputs!$B$130</f>
        <v>0</v>
      </c>
      <c r="X27" s="7">
        <f ca="1">MIN(IF(W$1=0,MthRem,12), MAX(Inputs!$G$128-IF(W$1=0,0,W$1*12+MthOff), 0))*Inputs!$B$130</f>
        <v>0</v>
      </c>
      <c r="Y27" s="7">
        <f ca="1">MIN(IF(X$1=0,MthRem,12), MAX(Inputs!$G$128-IF(X$1=0,0,X$1*12+MthOff), 0))*Inputs!$B$130</f>
        <v>0</v>
      </c>
      <c r="Z27" s="7">
        <f ca="1">MIN(IF(Y$1=0,MthRem,12), MAX(Inputs!$G$128-IF(Y$1=0,0,Y$1*12+MthOff), 0))*Inputs!$B$130</f>
        <v>0</v>
      </c>
      <c r="AA27" s="7">
        <f ca="1">MIN(IF(Z$1=0,MthRem,12), MAX(Inputs!$G$128-IF(Z$1=0,0,Z$1*12+MthOff), 0))*Inputs!$B$130</f>
        <v>0</v>
      </c>
      <c r="AB27" s="7">
        <f ca="1">MIN(IF(AA$1=0,MthRem,12), MAX(Inputs!$G$128-IF(AA$1=0,0,AA$1*12+MthOff), 0))*Inputs!$B$130</f>
        <v>0</v>
      </c>
      <c r="AC27" s="7">
        <f ca="1">MIN(IF(AB$1=0,MthRem,12), MAX(Inputs!$G$128-IF(AB$1=0,0,AB$1*12+MthOff), 0))*Inputs!$B$130</f>
        <v>0</v>
      </c>
      <c r="AD27" s="7">
        <f ca="1">MIN(IF(AC$1=0,MthRem,12), MAX(Inputs!$G$128-IF(AC$1=0,0,AC$1*12+MthOff), 0))*Inputs!$B$130</f>
        <v>0</v>
      </c>
      <c r="AE27" s="7">
        <f ca="1">MIN(IF(AD$1=0,MthRem,12), MAX(Inputs!$G$128-IF(AD$1=0,0,AD$1*12+MthOff), 0))*Inputs!$B$130</f>
        <v>0</v>
      </c>
      <c r="AF27" s="7">
        <f ca="1">MIN(IF(AE$1=0,MthRem,12), MAX(Inputs!$G$128-IF(AE$1=0,0,AE$1*12+MthOff), 0))*Inputs!$B$130</f>
        <v>0</v>
      </c>
      <c r="AG27" s="7">
        <f ca="1">MIN(IF(AF$1=0,MthRem,12), MAX(Inputs!$G$128-IF(AF$1=0,0,AF$1*12+MthOff), 0))*Inputs!$B$130</f>
        <v>0</v>
      </c>
      <c r="AH27" s="7">
        <f ca="1">MIN(IF(AG$1=0,MthRem,12), MAX(Inputs!$G$128-IF(AG$1=0,0,AG$1*12+MthOff), 0))*Inputs!$B$130</f>
        <v>0</v>
      </c>
      <c r="AI27" s="7">
        <f ca="1">MIN(IF(AH$1=0,MthRem,12), MAX(Inputs!$G$128-IF(AH$1=0,0,AH$1*12+MthOff), 0))*Inputs!$B$130</f>
        <v>0</v>
      </c>
      <c r="AJ27" s="7">
        <f ca="1">MIN(IF(AI$1=0,MthRem,12), MAX(Inputs!$G$128-IF(AI$1=0,0,AI$1*12+MthOff), 0))*Inputs!$B$130</f>
        <v>0</v>
      </c>
      <c r="AK27" s="7">
        <f ca="1">MIN(IF(AJ$1=0,MthRem,12), MAX(Inputs!$G$128-IF(AJ$1=0,0,AJ$1*12+MthOff), 0))*Inputs!$B$130</f>
        <v>0</v>
      </c>
      <c r="AL27" s="7">
        <f ca="1">MIN(IF(AK$1=0,MthRem,12), MAX(Inputs!$G$128-IF(AK$1=0,0,AK$1*12+MthOff), 0))*Inputs!$B$130</f>
        <v>0</v>
      </c>
      <c r="AM27" s="7">
        <f ca="1">MIN(IF(AL$1=0,MthRem,12), MAX(Inputs!$G$128-IF(AL$1=0,0,AL$1*12+MthOff), 0))*Inputs!$B$130</f>
        <v>0</v>
      </c>
    </row>
    <row r="28" spans="1:39" x14ac:dyDescent="0.2">
      <c r="A28" s="3" t="str">
        <f>TEXT(Inputs!$B$66,"")</f>
        <v>Gzira</v>
      </c>
      <c r="C28" s="7">
        <f ca="1">MIN(IF(B$1=0,MthRem,12), MAX(Inputs!$G$133-IF(B$1=0,0,B$1*12+MthOff), 0))*Inputs!$B$135</f>
        <v>1800</v>
      </c>
      <c r="D28" s="101">
        <f ca="1">MIN(IF(C$1=0,MthRem,12), MAX(Inputs!$G$133-IF(C$1=0,0,C$1*12+MthOff), 0))*Inputs!$B$135</f>
        <v>2400</v>
      </c>
      <c r="E28" s="110">
        <f ca="1">MIN(IF(D$1=0,MthRem,12), MAX(Inputs!$G$133-IF(D$1=0,0,D$1*12+MthOff), 0))*Inputs!$B$135</f>
        <v>2400</v>
      </c>
      <c r="F28" s="7">
        <f ca="1">MIN(IF(E$1=0,MthRem,12), MAX(Inputs!$G$133-IF(E$1=0,0,E$1*12+MthOff), 0))*Inputs!$B$135</f>
        <v>2223.4029019573059</v>
      </c>
      <c r="G28" s="7">
        <f ca="1">MIN(IF(F$1=0,MthRem,12), MAX(Inputs!$G$133-IF(F$1=0,0,F$1*12+MthOff), 0))*Inputs!$B$135</f>
        <v>0</v>
      </c>
      <c r="H28" s="7">
        <f ca="1">MIN(IF(G$1=0,MthRem,12), MAX(Inputs!$G$133-IF(G$1=0,0,G$1*12+MthOff), 0))*Inputs!$B$135</f>
        <v>0</v>
      </c>
      <c r="I28" s="7">
        <f ca="1">MIN(IF(H$1=0,MthRem,12), MAX(Inputs!$G$133-IF(H$1=0,0,H$1*12+MthOff), 0))*Inputs!$B$135</f>
        <v>0</v>
      </c>
      <c r="J28" s="7">
        <f ca="1">MIN(IF(I$1=0,MthRem,12), MAX(Inputs!$G$133-IF(I$1=0,0,I$1*12+MthOff), 0))*Inputs!$B$135</f>
        <v>0</v>
      </c>
      <c r="K28" s="7">
        <f ca="1">MIN(IF(J$1=0,MthRem,12), MAX(Inputs!$G$133-IF(J$1=0,0,J$1*12+MthOff), 0))*Inputs!$B$135</f>
        <v>0</v>
      </c>
      <c r="L28" s="7">
        <f ca="1">MIN(IF(K$1=0,MthRem,12), MAX(Inputs!$G$133-IF(K$1=0,0,K$1*12+MthOff), 0))*Inputs!$B$135</f>
        <v>0</v>
      </c>
      <c r="M28" s="7">
        <f ca="1">MIN(IF(L$1=0,MthRem,12), MAX(Inputs!$G$133-IF(L$1=0,0,L$1*12+MthOff), 0))*Inputs!$B$135</f>
        <v>0</v>
      </c>
      <c r="N28" s="7">
        <f ca="1">MIN(IF(M$1=0,MthRem,12), MAX(Inputs!$G$133-IF(M$1=0,0,M$1*12+MthOff), 0))*Inputs!$B$135</f>
        <v>0</v>
      </c>
      <c r="O28" s="7">
        <f ca="1">MIN(IF(N$1=0,MthRem,12), MAX(Inputs!$G$133-IF(N$1=0,0,N$1*12+MthOff), 0))*Inputs!$B$135</f>
        <v>0</v>
      </c>
      <c r="P28" s="7">
        <f ca="1">MIN(IF(O$1=0,MthRem,12), MAX(Inputs!$G$133-IF(O$1=0,0,O$1*12+MthOff), 0))*Inputs!$B$135</f>
        <v>0</v>
      </c>
      <c r="Q28" s="7">
        <f ca="1">MIN(IF(P$1=0,MthRem,12), MAX(Inputs!$G$133-IF(P$1=0,0,P$1*12+MthOff), 0))*Inputs!$B$135</f>
        <v>0</v>
      </c>
      <c r="R28" s="7">
        <f ca="1">MIN(IF(Q$1=0,MthRem,12), MAX(Inputs!$G$133-IF(Q$1=0,0,Q$1*12+MthOff), 0))*Inputs!$B$135</f>
        <v>0</v>
      </c>
      <c r="S28" s="7">
        <f ca="1">MIN(IF(R$1=0,MthRem,12), MAX(Inputs!$G$133-IF(R$1=0,0,R$1*12+MthOff), 0))*Inputs!$B$135</f>
        <v>0</v>
      </c>
      <c r="T28" s="7">
        <f ca="1">MIN(IF(S$1=0,MthRem,12), MAX(Inputs!$G$133-IF(S$1=0,0,S$1*12+MthOff), 0))*Inputs!$B$135</f>
        <v>0</v>
      </c>
      <c r="U28" s="7">
        <f ca="1">MIN(IF(T$1=0,MthRem,12), MAX(Inputs!$G$133-IF(T$1=0,0,T$1*12+MthOff), 0))*Inputs!$B$135</f>
        <v>0</v>
      </c>
      <c r="V28" s="7">
        <f ca="1">MIN(IF(U$1=0,MthRem,12), MAX(Inputs!$G$133-IF(U$1=0,0,U$1*12+MthOff), 0))*Inputs!$B$135</f>
        <v>0</v>
      </c>
      <c r="W28" s="7">
        <f ca="1">MIN(IF(V$1=0,MthRem,12), MAX(Inputs!$G$133-IF(V$1=0,0,V$1*12+MthOff), 0))*Inputs!$B$135</f>
        <v>0</v>
      </c>
      <c r="X28" s="7">
        <f ca="1">MIN(IF(W$1=0,MthRem,12), MAX(Inputs!$G$133-IF(W$1=0,0,W$1*12+MthOff), 0))*Inputs!$B$135</f>
        <v>0</v>
      </c>
      <c r="Y28" s="7">
        <f ca="1">MIN(IF(X$1=0,MthRem,12), MAX(Inputs!$G$133-IF(X$1=0,0,X$1*12+MthOff), 0))*Inputs!$B$135</f>
        <v>0</v>
      </c>
      <c r="Z28" s="7">
        <f ca="1">MIN(IF(Y$1=0,MthRem,12), MAX(Inputs!$G$133-IF(Y$1=0,0,Y$1*12+MthOff), 0))*Inputs!$B$135</f>
        <v>0</v>
      </c>
      <c r="AA28" s="7">
        <f ca="1">MIN(IF(Z$1=0,MthRem,12), MAX(Inputs!$G$133-IF(Z$1=0,0,Z$1*12+MthOff), 0))*Inputs!$B$135</f>
        <v>0</v>
      </c>
      <c r="AB28" s="7">
        <f ca="1">MIN(IF(AA$1=0,MthRem,12), MAX(Inputs!$G$133-IF(AA$1=0,0,AA$1*12+MthOff), 0))*Inputs!$B$135</f>
        <v>0</v>
      </c>
      <c r="AC28" s="7">
        <f ca="1">MIN(IF(AB$1=0,MthRem,12), MAX(Inputs!$G$133-IF(AB$1=0,0,AB$1*12+MthOff), 0))*Inputs!$B$135</f>
        <v>0</v>
      </c>
      <c r="AD28" s="7">
        <f ca="1">MIN(IF(AC$1=0,MthRem,12), MAX(Inputs!$G$133-IF(AC$1=0,0,AC$1*12+MthOff), 0))*Inputs!$B$135</f>
        <v>0</v>
      </c>
      <c r="AE28" s="7">
        <f ca="1">MIN(IF(AD$1=0,MthRem,12), MAX(Inputs!$G$133-IF(AD$1=0,0,AD$1*12+MthOff), 0))*Inputs!$B$135</f>
        <v>0</v>
      </c>
      <c r="AF28" s="7">
        <f ca="1">MIN(IF(AE$1=0,MthRem,12), MAX(Inputs!$G$133-IF(AE$1=0,0,AE$1*12+MthOff), 0))*Inputs!$B$135</f>
        <v>0</v>
      </c>
      <c r="AG28" s="7">
        <f ca="1">MIN(IF(AF$1=0,MthRem,12), MAX(Inputs!$G$133-IF(AF$1=0,0,AF$1*12+MthOff), 0))*Inputs!$B$135</f>
        <v>0</v>
      </c>
      <c r="AH28" s="7">
        <f ca="1">MIN(IF(AG$1=0,MthRem,12), MAX(Inputs!$G$133-IF(AG$1=0,0,AG$1*12+MthOff), 0))*Inputs!$B$135</f>
        <v>0</v>
      </c>
      <c r="AI28" s="7">
        <f ca="1">MIN(IF(AH$1=0,MthRem,12), MAX(Inputs!$G$133-IF(AH$1=0,0,AH$1*12+MthOff), 0))*Inputs!$B$135</f>
        <v>0</v>
      </c>
      <c r="AJ28" s="7">
        <f ca="1">MIN(IF(AI$1=0,MthRem,12), MAX(Inputs!$G$133-IF(AI$1=0,0,AI$1*12+MthOff), 0))*Inputs!$B$135</f>
        <v>0</v>
      </c>
      <c r="AK28" s="7">
        <f ca="1">MIN(IF(AJ$1=0,MthRem,12), MAX(Inputs!$G$133-IF(AJ$1=0,0,AJ$1*12+MthOff), 0))*Inputs!$B$135</f>
        <v>0</v>
      </c>
      <c r="AL28" s="7">
        <f ca="1">MIN(IF(AK$1=0,MthRem,12), MAX(Inputs!$G$133-IF(AK$1=0,0,AK$1*12+MthOff), 0))*Inputs!$B$135</f>
        <v>0</v>
      </c>
      <c r="AM28" s="7">
        <f ca="1">MIN(IF(AL$1=0,MthRem,12), MAX(Inputs!$G$133-IF(AL$1=0,0,AL$1*12+MthOff), 0))*Inputs!$B$135</f>
        <v>0</v>
      </c>
    </row>
    <row r="29" spans="1:39" x14ac:dyDescent="0.2">
      <c r="A29" s="3" t="str">
        <f>TEXT(Inputs!$B$71,"")</f>
        <v>Qormi</v>
      </c>
      <c r="C29" s="7">
        <f ca="1">MIN(IF(B$1=0,MthRem,12), MAX(Inputs!$G$138-IF(B$1=0,0,B$1*12+MthOff), 0))*Inputs!$B$140</f>
        <v>2250</v>
      </c>
      <c r="D29" s="101">
        <f ca="1">MIN(IF(C$1=0,MthRem,12), MAX(Inputs!$G$138-IF(C$1=0,0,C$1*12+MthOff), 0))*Inputs!$B$140</f>
        <v>3000</v>
      </c>
      <c r="E29" s="110">
        <f ca="1">MIN(IF(D$1=0,MthRem,12), MAX(Inputs!$G$138-IF(D$1=0,0,D$1*12+MthOff), 0))*Inputs!$B$140</f>
        <v>3000</v>
      </c>
      <c r="F29" s="7">
        <f ca="1">MIN(IF(E$1=0,MthRem,12), MAX(Inputs!$G$138-IF(E$1=0,0,E$1*12+MthOff), 0))*Inputs!$B$140</f>
        <v>3000</v>
      </c>
      <c r="G29" s="7">
        <f ca="1">MIN(IF(F$1=0,MthRem,12), MAX(Inputs!$G$138-IF(F$1=0,0,F$1*12+MthOff), 0))*Inputs!$B$140</f>
        <v>3000</v>
      </c>
      <c r="H29" s="7">
        <f ca="1">MIN(IF(G$1=0,MthRem,12), MAX(Inputs!$G$138-IF(G$1=0,0,G$1*12+MthOff), 0))*Inputs!$B$140</f>
        <v>3000</v>
      </c>
      <c r="I29" s="7">
        <f ca="1">MIN(IF(H$1=0,MthRem,12), MAX(Inputs!$G$138-IF(H$1=0,0,H$1*12+MthOff), 0))*Inputs!$B$140</f>
        <v>46.859685650215255</v>
      </c>
      <c r="J29" s="7">
        <f ca="1">MIN(IF(I$1=0,MthRem,12), MAX(Inputs!$G$138-IF(I$1=0,0,I$1*12+MthOff), 0))*Inputs!$B$140</f>
        <v>0</v>
      </c>
      <c r="K29" s="7">
        <f ca="1">MIN(IF(J$1=0,MthRem,12), MAX(Inputs!$G$138-IF(J$1=0,0,J$1*12+MthOff), 0))*Inputs!$B$140</f>
        <v>0</v>
      </c>
      <c r="L29" s="7">
        <f ca="1">MIN(IF(K$1=0,MthRem,12), MAX(Inputs!$G$138-IF(K$1=0,0,K$1*12+MthOff), 0))*Inputs!$B$140</f>
        <v>0</v>
      </c>
      <c r="M29" s="7">
        <f ca="1">MIN(IF(L$1=0,MthRem,12), MAX(Inputs!$G$138-IF(L$1=0,0,L$1*12+MthOff), 0))*Inputs!$B$140</f>
        <v>0</v>
      </c>
      <c r="N29" s="7">
        <f ca="1">MIN(IF(M$1=0,MthRem,12), MAX(Inputs!$G$138-IF(M$1=0,0,M$1*12+MthOff), 0))*Inputs!$B$140</f>
        <v>0</v>
      </c>
      <c r="O29" s="7">
        <f ca="1">MIN(IF(N$1=0,MthRem,12), MAX(Inputs!$G$138-IF(N$1=0,0,N$1*12+MthOff), 0))*Inputs!$B$140</f>
        <v>0</v>
      </c>
      <c r="P29" s="7">
        <f ca="1">MIN(IF(O$1=0,MthRem,12), MAX(Inputs!$G$138-IF(O$1=0,0,O$1*12+MthOff), 0))*Inputs!$B$140</f>
        <v>0</v>
      </c>
      <c r="Q29" s="7">
        <f ca="1">MIN(IF(P$1=0,MthRem,12), MAX(Inputs!$G$138-IF(P$1=0,0,P$1*12+MthOff), 0))*Inputs!$B$140</f>
        <v>0</v>
      </c>
      <c r="R29" s="7">
        <f ca="1">MIN(IF(Q$1=0,MthRem,12), MAX(Inputs!$G$138-IF(Q$1=0,0,Q$1*12+MthOff), 0))*Inputs!$B$140</f>
        <v>0</v>
      </c>
      <c r="S29" s="7">
        <f ca="1">MIN(IF(R$1=0,MthRem,12), MAX(Inputs!$G$138-IF(R$1=0,0,R$1*12+MthOff), 0))*Inputs!$B$140</f>
        <v>0</v>
      </c>
      <c r="T29" s="7">
        <f ca="1">MIN(IF(S$1=0,MthRem,12), MAX(Inputs!$G$138-IF(S$1=0,0,S$1*12+MthOff), 0))*Inputs!$B$140</f>
        <v>0</v>
      </c>
      <c r="U29" s="7">
        <f ca="1">MIN(IF(T$1=0,MthRem,12), MAX(Inputs!$G$138-IF(T$1=0,0,T$1*12+MthOff), 0))*Inputs!$B$140</f>
        <v>0</v>
      </c>
      <c r="V29" s="7">
        <f ca="1">MIN(IF(U$1=0,MthRem,12), MAX(Inputs!$G$138-IF(U$1=0,0,U$1*12+MthOff), 0))*Inputs!$B$140</f>
        <v>0</v>
      </c>
      <c r="W29" s="7">
        <f ca="1">MIN(IF(V$1=0,MthRem,12), MAX(Inputs!$G$138-IF(V$1=0,0,V$1*12+MthOff), 0))*Inputs!$B$140</f>
        <v>0</v>
      </c>
      <c r="X29" s="7">
        <f ca="1">MIN(IF(W$1=0,MthRem,12), MAX(Inputs!$G$138-IF(W$1=0,0,W$1*12+MthOff), 0))*Inputs!$B$140</f>
        <v>0</v>
      </c>
      <c r="Y29" s="7">
        <f ca="1">MIN(IF(X$1=0,MthRem,12), MAX(Inputs!$G$138-IF(X$1=0,0,X$1*12+MthOff), 0))*Inputs!$B$140</f>
        <v>0</v>
      </c>
      <c r="Z29" s="7">
        <f ca="1">MIN(IF(Y$1=0,MthRem,12), MAX(Inputs!$G$138-IF(Y$1=0,0,Y$1*12+MthOff), 0))*Inputs!$B$140</f>
        <v>0</v>
      </c>
      <c r="AA29" s="7">
        <f ca="1">MIN(IF(Z$1=0,MthRem,12), MAX(Inputs!$G$138-IF(Z$1=0,0,Z$1*12+MthOff), 0))*Inputs!$B$140</f>
        <v>0</v>
      </c>
      <c r="AB29" s="7">
        <f ca="1">MIN(IF(AA$1=0,MthRem,12), MAX(Inputs!$G$138-IF(AA$1=0,0,AA$1*12+MthOff), 0))*Inputs!$B$140</f>
        <v>0</v>
      </c>
      <c r="AC29" s="7">
        <f ca="1">MIN(IF(AB$1=0,MthRem,12), MAX(Inputs!$G$138-IF(AB$1=0,0,AB$1*12+MthOff), 0))*Inputs!$B$140</f>
        <v>0</v>
      </c>
      <c r="AD29" s="7">
        <f ca="1">MIN(IF(AC$1=0,MthRem,12), MAX(Inputs!$G$138-IF(AC$1=0,0,AC$1*12+MthOff), 0))*Inputs!$B$140</f>
        <v>0</v>
      </c>
      <c r="AE29" s="7">
        <f ca="1">MIN(IF(AD$1=0,MthRem,12), MAX(Inputs!$G$138-IF(AD$1=0,0,AD$1*12+MthOff), 0))*Inputs!$B$140</f>
        <v>0</v>
      </c>
      <c r="AF29" s="7">
        <f ca="1">MIN(IF(AE$1=0,MthRem,12), MAX(Inputs!$G$138-IF(AE$1=0,0,AE$1*12+MthOff), 0))*Inputs!$B$140</f>
        <v>0</v>
      </c>
      <c r="AG29" s="7">
        <f ca="1">MIN(IF(AF$1=0,MthRem,12), MAX(Inputs!$G$138-IF(AF$1=0,0,AF$1*12+MthOff), 0))*Inputs!$B$140</f>
        <v>0</v>
      </c>
      <c r="AH29" s="7">
        <f ca="1">MIN(IF(AG$1=0,MthRem,12), MAX(Inputs!$G$138-IF(AG$1=0,0,AG$1*12+MthOff), 0))*Inputs!$B$140</f>
        <v>0</v>
      </c>
      <c r="AI29" s="7">
        <f ca="1">MIN(IF(AH$1=0,MthRem,12), MAX(Inputs!$G$138-IF(AH$1=0,0,AH$1*12+MthOff), 0))*Inputs!$B$140</f>
        <v>0</v>
      </c>
      <c r="AJ29" s="7">
        <f ca="1">MIN(IF(AI$1=0,MthRem,12), MAX(Inputs!$G$138-IF(AI$1=0,0,AI$1*12+MthOff), 0))*Inputs!$B$140</f>
        <v>0</v>
      </c>
      <c r="AK29" s="7">
        <f ca="1">MIN(IF(AJ$1=0,MthRem,12), MAX(Inputs!$G$138-IF(AJ$1=0,0,AJ$1*12+MthOff), 0))*Inputs!$B$140</f>
        <v>0</v>
      </c>
      <c r="AL29" s="7">
        <f ca="1">MIN(IF(AK$1=0,MthRem,12), MAX(Inputs!$G$138-IF(AK$1=0,0,AK$1*12+MthOff), 0))*Inputs!$B$140</f>
        <v>0</v>
      </c>
      <c r="AM29" s="7">
        <f ca="1">MIN(IF(AL$1=0,MthRem,12), MAX(Inputs!$G$138-IF(AL$1=0,0,AL$1*12+MthOff), 0))*Inputs!$B$140</f>
        <v>0</v>
      </c>
    </row>
    <row r="30" spans="1:39" x14ac:dyDescent="0.2">
      <c r="A30" s="3" t="str">
        <f>TEXT(Inputs!$B$76,"")</f>
        <v>Gudja</v>
      </c>
      <c r="C30" s="7">
        <f ca="1">MIN(IF(B$1=0,MthRem,12), MAX(Inputs!$G$143-IF(B$1=0,0,B$1*12+MthOff), 0))*Inputs!$B$145</f>
        <v>720</v>
      </c>
      <c r="D30" s="101">
        <f ca="1">MIN(IF(C$1=0,MthRem,12), MAX(Inputs!$G$143-IF(C$1=0,0,C$1*12+MthOff), 0))*Inputs!$B$145</f>
        <v>960</v>
      </c>
      <c r="E30" s="110">
        <f ca="1">MIN(IF(D$1=0,MthRem,12), MAX(Inputs!$G$143-IF(D$1=0,0,D$1*12+MthOff), 0))*Inputs!$B$145</f>
        <v>960</v>
      </c>
      <c r="F30" s="7">
        <f ca="1">MIN(IF(E$1=0,MthRem,12), MAX(Inputs!$G$143-IF(E$1=0,0,E$1*12+MthOff), 0))*Inputs!$B$145</f>
        <v>960</v>
      </c>
      <c r="G30" s="7">
        <f ca="1">MIN(IF(F$1=0,MthRem,12), MAX(Inputs!$G$143-IF(F$1=0,0,F$1*12+MthOff), 0))*Inputs!$B$145</f>
        <v>960</v>
      </c>
      <c r="H30" s="7">
        <f ca="1">MIN(IF(G$1=0,MthRem,12), MAX(Inputs!$G$143-IF(G$1=0,0,G$1*12+MthOff), 0))*Inputs!$B$145</f>
        <v>368.25858585362369</v>
      </c>
      <c r="I30" s="7">
        <f ca="1">MIN(IF(H$1=0,MthRem,12), MAX(Inputs!$G$143-IF(H$1=0,0,H$1*12+MthOff), 0))*Inputs!$B$145</f>
        <v>0</v>
      </c>
      <c r="J30" s="7">
        <f ca="1">MIN(IF(I$1=0,MthRem,12), MAX(Inputs!$G$143-IF(I$1=0,0,I$1*12+MthOff), 0))*Inputs!$B$145</f>
        <v>0</v>
      </c>
      <c r="K30" s="7">
        <f ca="1">MIN(IF(J$1=0,MthRem,12), MAX(Inputs!$G$143-IF(J$1=0,0,J$1*12+MthOff), 0))*Inputs!$B$145</f>
        <v>0</v>
      </c>
      <c r="L30" s="7">
        <f ca="1">MIN(IF(K$1=0,MthRem,12), MAX(Inputs!$G$143-IF(K$1=0,0,K$1*12+MthOff), 0))*Inputs!$B$145</f>
        <v>0</v>
      </c>
      <c r="M30" s="7">
        <f ca="1">MIN(IF(L$1=0,MthRem,12), MAX(Inputs!$G$143-IF(L$1=0,0,L$1*12+MthOff), 0))*Inputs!$B$145</f>
        <v>0</v>
      </c>
      <c r="N30" s="7">
        <f ca="1">MIN(IF(M$1=0,MthRem,12), MAX(Inputs!$G$143-IF(M$1=0,0,M$1*12+MthOff), 0))*Inputs!$B$145</f>
        <v>0</v>
      </c>
      <c r="O30" s="7">
        <f ca="1">MIN(IF(N$1=0,MthRem,12), MAX(Inputs!$G$143-IF(N$1=0,0,N$1*12+MthOff), 0))*Inputs!$B$145</f>
        <v>0</v>
      </c>
      <c r="P30" s="7">
        <f ca="1">MIN(IF(O$1=0,MthRem,12), MAX(Inputs!$G$143-IF(O$1=0,0,O$1*12+MthOff), 0))*Inputs!$B$145</f>
        <v>0</v>
      </c>
      <c r="Q30" s="7">
        <f ca="1">MIN(IF(P$1=0,MthRem,12), MAX(Inputs!$G$143-IF(P$1=0,0,P$1*12+MthOff), 0))*Inputs!$B$145</f>
        <v>0</v>
      </c>
      <c r="R30" s="7">
        <f ca="1">MIN(IF(Q$1=0,MthRem,12), MAX(Inputs!$G$143-IF(Q$1=0,0,Q$1*12+MthOff), 0))*Inputs!$B$145</f>
        <v>0</v>
      </c>
      <c r="S30" s="7">
        <f ca="1">MIN(IF(R$1=0,MthRem,12), MAX(Inputs!$G$143-IF(R$1=0,0,R$1*12+MthOff), 0))*Inputs!$B$145</f>
        <v>0</v>
      </c>
      <c r="T30" s="7">
        <f ca="1">MIN(IF(S$1=0,MthRem,12), MAX(Inputs!$G$143-IF(S$1=0,0,S$1*12+MthOff), 0))*Inputs!$B$145</f>
        <v>0</v>
      </c>
      <c r="U30" s="7">
        <f ca="1">MIN(IF(T$1=0,MthRem,12), MAX(Inputs!$G$143-IF(T$1=0,0,T$1*12+MthOff), 0))*Inputs!$B$145</f>
        <v>0</v>
      </c>
      <c r="V30" s="7">
        <f ca="1">MIN(IF(U$1=0,MthRem,12), MAX(Inputs!$G$143-IF(U$1=0,0,U$1*12+MthOff), 0))*Inputs!$B$145</f>
        <v>0</v>
      </c>
      <c r="W30" s="7">
        <f ca="1">MIN(IF(V$1=0,MthRem,12), MAX(Inputs!$G$143-IF(V$1=0,0,V$1*12+MthOff), 0))*Inputs!$B$145</f>
        <v>0</v>
      </c>
      <c r="X30" s="7">
        <f ca="1">MIN(IF(W$1=0,MthRem,12), MAX(Inputs!$G$143-IF(W$1=0,0,W$1*12+MthOff), 0))*Inputs!$B$145</f>
        <v>0</v>
      </c>
      <c r="Y30" s="7">
        <f ca="1">MIN(IF(X$1=0,MthRem,12), MAX(Inputs!$G$143-IF(X$1=0,0,X$1*12+MthOff), 0))*Inputs!$B$145</f>
        <v>0</v>
      </c>
      <c r="Z30" s="7">
        <f ca="1">MIN(IF(Y$1=0,MthRem,12), MAX(Inputs!$G$143-IF(Y$1=0,0,Y$1*12+MthOff), 0))*Inputs!$B$145</f>
        <v>0</v>
      </c>
      <c r="AA30" s="7">
        <f ca="1">MIN(IF(Z$1=0,MthRem,12), MAX(Inputs!$G$143-IF(Z$1=0,0,Z$1*12+MthOff), 0))*Inputs!$B$145</f>
        <v>0</v>
      </c>
      <c r="AB30" s="7">
        <f ca="1">MIN(IF(AA$1=0,MthRem,12), MAX(Inputs!$G$143-IF(AA$1=0,0,AA$1*12+MthOff), 0))*Inputs!$B$145</f>
        <v>0</v>
      </c>
      <c r="AC30" s="7">
        <f ca="1">MIN(IF(AB$1=0,MthRem,12), MAX(Inputs!$G$143-IF(AB$1=0,0,AB$1*12+MthOff), 0))*Inputs!$B$145</f>
        <v>0</v>
      </c>
      <c r="AD30" s="7">
        <f ca="1">MIN(IF(AC$1=0,MthRem,12), MAX(Inputs!$G$143-IF(AC$1=0,0,AC$1*12+MthOff), 0))*Inputs!$B$145</f>
        <v>0</v>
      </c>
      <c r="AE30" s="7">
        <f ca="1">MIN(IF(AD$1=0,MthRem,12), MAX(Inputs!$G$143-IF(AD$1=0,0,AD$1*12+MthOff), 0))*Inputs!$B$145</f>
        <v>0</v>
      </c>
      <c r="AF30" s="7">
        <f ca="1">MIN(IF(AE$1=0,MthRem,12), MAX(Inputs!$G$143-IF(AE$1=0,0,AE$1*12+MthOff), 0))*Inputs!$B$145</f>
        <v>0</v>
      </c>
      <c r="AG30" s="7">
        <f ca="1">MIN(IF(AF$1=0,MthRem,12), MAX(Inputs!$G$143-IF(AF$1=0,0,AF$1*12+MthOff), 0))*Inputs!$B$145</f>
        <v>0</v>
      </c>
      <c r="AH30" s="7">
        <f ca="1">MIN(IF(AG$1=0,MthRem,12), MAX(Inputs!$G$143-IF(AG$1=0,0,AG$1*12+MthOff), 0))*Inputs!$B$145</f>
        <v>0</v>
      </c>
      <c r="AI30" s="7">
        <f ca="1">MIN(IF(AH$1=0,MthRem,12), MAX(Inputs!$G$143-IF(AH$1=0,0,AH$1*12+MthOff), 0))*Inputs!$B$145</f>
        <v>0</v>
      </c>
      <c r="AJ30" s="7">
        <f ca="1">MIN(IF(AI$1=0,MthRem,12), MAX(Inputs!$G$143-IF(AI$1=0,0,AI$1*12+MthOff), 0))*Inputs!$B$145</f>
        <v>0</v>
      </c>
      <c r="AK30" s="7">
        <f ca="1">MIN(IF(AJ$1=0,MthRem,12), MAX(Inputs!$G$143-IF(AJ$1=0,0,AJ$1*12+MthOff), 0))*Inputs!$B$145</f>
        <v>0</v>
      </c>
      <c r="AL30" s="7">
        <f ca="1">MIN(IF(AK$1=0,MthRem,12), MAX(Inputs!$G$143-IF(AK$1=0,0,AK$1*12+MthOff), 0))*Inputs!$B$145</f>
        <v>0</v>
      </c>
      <c r="AM30" s="7">
        <f ca="1">MIN(IF(AL$1=0,MthRem,12), MAX(Inputs!$G$143-IF(AL$1=0,0,AL$1*12+MthOff), 0))*Inputs!$B$145</f>
        <v>0</v>
      </c>
    </row>
    <row r="31" spans="1:39" x14ac:dyDescent="0.2">
      <c r="A31" s="3" t="str">
        <f>TEXT(Inputs!$B$81,"")</f>
        <v>Marsa</v>
      </c>
      <c r="C31" s="7">
        <f ca="1">MIN(IF(B$1=0,MthRem,12), MAX(Inputs!$G$148-IF(B$1=0,0,B$1*12+MthOff), 0))*Inputs!$B$150</f>
        <v>1080</v>
      </c>
      <c r="D31" s="101">
        <f ca="1">MIN(IF(C$1=0,MthRem,12), MAX(Inputs!$G$148-IF(C$1=0,0,C$1*12+MthOff), 0))*Inputs!$B$150</f>
        <v>1440</v>
      </c>
      <c r="E31" s="110">
        <f ca="1">MIN(IF(D$1=0,MthRem,12), MAX(Inputs!$G$148-IF(D$1=0,0,D$1*12+MthOff), 0))*Inputs!$B$150</f>
        <v>1440</v>
      </c>
      <c r="F31" s="7">
        <f ca="1">MIN(IF(E$1=0,MthRem,12), MAX(Inputs!$G$148-IF(E$1=0,0,E$1*12+MthOff), 0))*Inputs!$B$150</f>
        <v>1440</v>
      </c>
      <c r="G31" s="7">
        <f ca="1">MIN(IF(F$1=0,MthRem,12), MAX(Inputs!$G$148-IF(F$1=0,0,F$1*12+MthOff), 0))*Inputs!$B$150</f>
        <v>1440</v>
      </c>
      <c r="H31" s="7">
        <f ca="1">MIN(IF(G$1=0,MthRem,12), MAX(Inputs!$G$148-IF(G$1=0,0,G$1*12+MthOff), 0))*Inputs!$B$150</f>
        <v>1440</v>
      </c>
      <c r="I31" s="7">
        <f ca="1">MIN(IF(H$1=0,MthRem,12), MAX(Inputs!$G$148-IF(H$1=0,0,H$1*12+MthOff), 0))*Inputs!$B$150</f>
        <v>1440</v>
      </c>
      <c r="J31" s="7">
        <f ca="1">MIN(IF(I$1=0,MthRem,12), MAX(Inputs!$G$148-IF(I$1=0,0,I$1*12+MthOff), 0))*Inputs!$B$150</f>
        <v>909.24880782033654</v>
      </c>
      <c r="K31" s="7">
        <f ca="1">MIN(IF(J$1=0,MthRem,12), MAX(Inputs!$G$148-IF(J$1=0,0,J$1*12+MthOff), 0))*Inputs!$B$150</f>
        <v>0</v>
      </c>
      <c r="L31" s="7">
        <f ca="1">MIN(IF(K$1=0,MthRem,12), MAX(Inputs!$G$148-IF(K$1=0,0,K$1*12+MthOff), 0))*Inputs!$B$150</f>
        <v>0</v>
      </c>
      <c r="M31" s="7">
        <f ca="1">MIN(IF(L$1=0,MthRem,12), MAX(Inputs!$G$148-IF(L$1=0,0,L$1*12+MthOff), 0))*Inputs!$B$150</f>
        <v>0</v>
      </c>
      <c r="N31" s="7">
        <f ca="1">MIN(IF(M$1=0,MthRem,12), MAX(Inputs!$G$148-IF(M$1=0,0,M$1*12+MthOff), 0))*Inputs!$B$150</f>
        <v>0</v>
      </c>
      <c r="O31" s="7">
        <f ca="1">MIN(IF(N$1=0,MthRem,12), MAX(Inputs!$G$148-IF(N$1=0,0,N$1*12+MthOff), 0))*Inputs!$B$150</f>
        <v>0</v>
      </c>
      <c r="P31" s="7">
        <f ca="1">MIN(IF(O$1=0,MthRem,12), MAX(Inputs!$G$148-IF(O$1=0,0,O$1*12+MthOff), 0))*Inputs!$B$150</f>
        <v>0</v>
      </c>
      <c r="Q31" s="7">
        <f ca="1">MIN(IF(P$1=0,MthRem,12), MAX(Inputs!$G$148-IF(P$1=0,0,P$1*12+MthOff), 0))*Inputs!$B$150</f>
        <v>0</v>
      </c>
      <c r="R31" s="7">
        <f ca="1">MIN(IF(Q$1=0,MthRem,12), MAX(Inputs!$G$148-IF(Q$1=0,0,Q$1*12+MthOff), 0))*Inputs!$B$150</f>
        <v>0</v>
      </c>
      <c r="S31" s="7">
        <f ca="1">MIN(IF(R$1=0,MthRem,12), MAX(Inputs!$G$148-IF(R$1=0,0,R$1*12+MthOff), 0))*Inputs!$B$150</f>
        <v>0</v>
      </c>
      <c r="T31" s="7">
        <f ca="1">MIN(IF(S$1=0,MthRem,12), MAX(Inputs!$G$148-IF(S$1=0,0,S$1*12+MthOff), 0))*Inputs!$B$150</f>
        <v>0</v>
      </c>
      <c r="U31" s="7">
        <f ca="1">MIN(IF(T$1=0,MthRem,12), MAX(Inputs!$G$148-IF(T$1=0,0,T$1*12+MthOff), 0))*Inputs!$B$150</f>
        <v>0</v>
      </c>
      <c r="V31" s="7">
        <f ca="1">MIN(IF(U$1=0,MthRem,12), MAX(Inputs!$G$148-IF(U$1=0,0,U$1*12+MthOff), 0))*Inputs!$B$150</f>
        <v>0</v>
      </c>
      <c r="W31" s="7">
        <f ca="1">MIN(IF(V$1=0,MthRem,12), MAX(Inputs!$G$148-IF(V$1=0,0,V$1*12+MthOff), 0))*Inputs!$B$150</f>
        <v>0</v>
      </c>
      <c r="X31" s="7">
        <f ca="1">MIN(IF(W$1=0,MthRem,12), MAX(Inputs!$G$148-IF(W$1=0,0,W$1*12+MthOff), 0))*Inputs!$B$150</f>
        <v>0</v>
      </c>
      <c r="Y31" s="7">
        <f ca="1">MIN(IF(X$1=0,MthRem,12), MAX(Inputs!$G$148-IF(X$1=0,0,X$1*12+MthOff), 0))*Inputs!$B$150</f>
        <v>0</v>
      </c>
      <c r="Z31" s="7">
        <f ca="1">MIN(IF(Y$1=0,MthRem,12), MAX(Inputs!$G$148-IF(Y$1=0,0,Y$1*12+MthOff), 0))*Inputs!$B$150</f>
        <v>0</v>
      </c>
      <c r="AA31" s="7">
        <f ca="1">MIN(IF(Z$1=0,MthRem,12), MAX(Inputs!$G$148-IF(Z$1=0,0,Z$1*12+MthOff), 0))*Inputs!$B$150</f>
        <v>0</v>
      </c>
      <c r="AB31" s="7">
        <f ca="1">MIN(IF(AA$1=0,MthRem,12), MAX(Inputs!$G$148-IF(AA$1=0,0,AA$1*12+MthOff), 0))*Inputs!$B$150</f>
        <v>0</v>
      </c>
      <c r="AC31" s="7">
        <f ca="1">MIN(IF(AB$1=0,MthRem,12), MAX(Inputs!$G$148-IF(AB$1=0,0,AB$1*12+MthOff), 0))*Inputs!$B$150</f>
        <v>0</v>
      </c>
      <c r="AD31" s="7">
        <f ca="1">MIN(IF(AC$1=0,MthRem,12), MAX(Inputs!$G$148-IF(AC$1=0,0,AC$1*12+MthOff), 0))*Inputs!$B$150</f>
        <v>0</v>
      </c>
      <c r="AE31" s="7">
        <f ca="1">MIN(IF(AD$1=0,MthRem,12), MAX(Inputs!$G$148-IF(AD$1=0,0,AD$1*12+MthOff), 0))*Inputs!$B$150</f>
        <v>0</v>
      </c>
      <c r="AF31" s="7">
        <f ca="1">MIN(IF(AE$1=0,MthRem,12), MAX(Inputs!$G$148-IF(AE$1=0,0,AE$1*12+MthOff), 0))*Inputs!$B$150</f>
        <v>0</v>
      </c>
      <c r="AG31" s="7">
        <f ca="1">MIN(IF(AF$1=0,MthRem,12), MAX(Inputs!$G$148-IF(AF$1=0,0,AF$1*12+MthOff), 0))*Inputs!$B$150</f>
        <v>0</v>
      </c>
      <c r="AH31" s="7">
        <f ca="1">MIN(IF(AG$1=0,MthRem,12), MAX(Inputs!$G$148-IF(AG$1=0,0,AG$1*12+MthOff), 0))*Inputs!$B$150</f>
        <v>0</v>
      </c>
      <c r="AI31" s="7">
        <f ca="1">MIN(IF(AH$1=0,MthRem,12), MAX(Inputs!$G$148-IF(AH$1=0,0,AH$1*12+MthOff), 0))*Inputs!$B$150</f>
        <v>0</v>
      </c>
      <c r="AJ31" s="7">
        <f ca="1">MIN(IF(AI$1=0,MthRem,12), MAX(Inputs!$G$148-IF(AI$1=0,0,AI$1*12+MthOff), 0))*Inputs!$B$150</f>
        <v>0</v>
      </c>
      <c r="AK31" s="7">
        <f ca="1">MIN(IF(AJ$1=0,MthRem,12), MAX(Inputs!$G$148-IF(AJ$1=0,0,AJ$1*12+MthOff), 0))*Inputs!$B$150</f>
        <v>0</v>
      </c>
      <c r="AL31" s="7">
        <f ca="1">MIN(IF(AK$1=0,MthRem,12), MAX(Inputs!$G$148-IF(AK$1=0,0,AK$1*12+MthOff), 0))*Inputs!$B$150</f>
        <v>0</v>
      </c>
      <c r="AM31" s="7">
        <f ca="1">MIN(IF(AL$1=0,MthRem,12), MAX(Inputs!$G$148-IF(AL$1=0,0,AL$1*12+MthOff), 0))*Inputs!$B$150</f>
        <v>0</v>
      </c>
    </row>
    <row r="32" spans="1:39" x14ac:dyDescent="0.2">
      <c r="A32" s="3" t="str">
        <f>TEXT(Inputs!$B$88,"")</f>
        <v>Jewelry</v>
      </c>
      <c r="C32" s="7">
        <f ca="1">MIN(IF(B$1=0,MthRem,12), MAX(Inputs!$G$153-IF(B$1=0,0,B$1*12+MthOff), 0))*Inputs!$B$155</f>
        <v>675</v>
      </c>
      <c r="D32" s="101">
        <f ca="1">MIN(IF(C$1=0,MthRem,12), MAX(Inputs!$G$153-IF(C$1=0,0,C$1*12+MthOff), 0))*Inputs!$B$155</f>
        <v>900</v>
      </c>
      <c r="E32" s="110">
        <f ca="1">MIN(IF(D$1=0,MthRem,12), MAX(Inputs!$G$153-IF(D$1=0,0,D$1*12+MthOff), 0))*Inputs!$B$155</f>
        <v>900</v>
      </c>
      <c r="F32" s="7">
        <f ca="1">MIN(IF(E$1=0,MthRem,12), MAX(Inputs!$G$153-IF(E$1=0,0,E$1*12+MthOff), 0))*Inputs!$B$155</f>
        <v>138.6028784700473</v>
      </c>
      <c r="G32" s="7">
        <f ca="1">MIN(IF(F$1=0,MthRem,12), MAX(Inputs!$G$153-IF(F$1=0,0,F$1*12+MthOff), 0))*Inputs!$B$155</f>
        <v>0</v>
      </c>
      <c r="H32" s="7">
        <f ca="1">MIN(IF(G$1=0,MthRem,12), MAX(Inputs!$G$153-IF(G$1=0,0,G$1*12+MthOff), 0))*Inputs!$B$155</f>
        <v>0</v>
      </c>
      <c r="I32" s="7">
        <f ca="1">MIN(IF(H$1=0,MthRem,12), MAX(Inputs!$G$153-IF(H$1=0,0,H$1*12+MthOff), 0))*Inputs!$B$155</f>
        <v>0</v>
      </c>
      <c r="J32" s="7">
        <f ca="1">MIN(IF(I$1=0,MthRem,12), MAX(Inputs!$G$153-IF(I$1=0,0,I$1*12+MthOff), 0))*Inputs!$B$155</f>
        <v>0</v>
      </c>
      <c r="K32" s="7">
        <f ca="1">MIN(IF(J$1=0,MthRem,12), MAX(Inputs!$G$153-IF(J$1=0,0,J$1*12+MthOff), 0))*Inputs!$B$155</f>
        <v>0</v>
      </c>
      <c r="L32" s="7">
        <f ca="1">MIN(IF(K$1=0,MthRem,12), MAX(Inputs!$G$153-IF(K$1=0,0,K$1*12+MthOff), 0))*Inputs!$B$155</f>
        <v>0</v>
      </c>
      <c r="M32" s="7">
        <f ca="1">MIN(IF(L$1=0,MthRem,12), MAX(Inputs!$G$153-IF(L$1=0,0,L$1*12+MthOff), 0))*Inputs!$B$155</f>
        <v>0</v>
      </c>
      <c r="N32" s="7">
        <f ca="1">MIN(IF(M$1=0,MthRem,12), MAX(Inputs!$G$153-IF(M$1=0,0,M$1*12+MthOff), 0))*Inputs!$B$155</f>
        <v>0</v>
      </c>
      <c r="O32" s="7">
        <f ca="1">MIN(IF(N$1=0,MthRem,12), MAX(Inputs!$G$153-IF(N$1=0,0,N$1*12+MthOff), 0))*Inputs!$B$155</f>
        <v>0</v>
      </c>
      <c r="P32" s="7">
        <f ca="1">MIN(IF(O$1=0,MthRem,12), MAX(Inputs!$G$153-IF(O$1=0,0,O$1*12+MthOff), 0))*Inputs!$B$155</f>
        <v>0</v>
      </c>
      <c r="Q32" s="7">
        <f ca="1">MIN(IF(P$1=0,MthRem,12), MAX(Inputs!$G$153-IF(P$1=0,0,P$1*12+MthOff), 0))*Inputs!$B$155</f>
        <v>0</v>
      </c>
      <c r="R32" s="7">
        <f ca="1">MIN(IF(Q$1=0,MthRem,12), MAX(Inputs!$G$153-IF(Q$1=0,0,Q$1*12+MthOff), 0))*Inputs!$B$155</f>
        <v>0</v>
      </c>
      <c r="S32" s="7">
        <f ca="1">MIN(IF(R$1=0,MthRem,12), MAX(Inputs!$G$153-IF(R$1=0,0,R$1*12+MthOff), 0))*Inputs!$B$155</f>
        <v>0</v>
      </c>
      <c r="T32" s="7">
        <f ca="1">MIN(IF(S$1=0,MthRem,12), MAX(Inputs!$G$153-IF(S$1=0,0,S$1*12+MthOff), 0))*Inputs!$B$155</f>
        <v>0</v>
      </c>
      <c r="U32" s="7">
        <f ca="1">MIN(IF(T$1=0,MthRem,12), MAX(Inputs!$G$153-IF(T$1=0,0,T$1*12+MthOff), 0))*Inputs!$B$155</f>
        <v>0</v>
      </c>
      <c r="V32" s="7">
        <f ca="1">MIN(IF(U$1=0,MthRem,12), MAX(Inputs!$G$153-IF(U$1=0,0,U$1*12+MthOff), 0))*Inputs!$B$155</f>
        <v>0</v>
      </c>
      <c r="W32" s="7">
        <f ca="1">MIN(IF(V$1=0,MthRem,12), MAX(Inputs!$G$153-IF(V$1=0,0,V$1*12+MthOff), 0))*Inputs!$B$155</f>
        <v>0</v>
      </c>
      <c r="X32" s="7">
        <f ca="1">MIN(IF(W$1=0,MthRem,12), MAX(Inputs!$G$153-IF(W$1=0,0,W$1*12+MthOff), 0))*Inputs!$B$155</f>
        <v>0</v>
      </c>
      <c r="Y32" s="7">
        <f ca="1">MIN(IF(X$1=0,MthRem,12), MAX(Inputs!$G$153-IF(X$1=0,0,X$1*12+MthOff), 0))*Inputs!$B$155</f>
        <v>0</v>
      </c>
      <c r="Z32" s="7">
        <f ca="1">MIN(IF(Y$1=0,MthRem,12), MAX(Inputs!$G$153-IF(Y$1=0,0,Y$1*12+MthOff), 0))*Inputs!$B$155</f>
        <v>0</v>
      </c>
      <c r="AA32" s="7">
        <f ca="1">MIN(IF(Z$1=0,MthRem,12), MAX(Inputs!$G$153-IF(Z$1=0,0,Z$1*12+MthOff), 0))*Inputs!$B$155</f>
        <v>0</v>
      </c>
      <c r="AB32" s="7">
        <f ca="1">MIN(IF(AA$1=0,MthRem,12), MAX(Inputs!$G$153-IF(AA$1=0,0,AA$1*12+MthOff), 0))*Inputs!$B$155</f>
        <v>0</v>
      </c>
      <c r="AC32" s="7">
        <f ca="1">MIN(IF(AB$1=0,MthRem,12), MAX(Inputs!$G$153-IF(AB$1=0,0,AB$1*12+MthOff), 0))*Inputs!$B$155</f>
        <v>0</v>
      </c>
      <c r="AD32" s="7">
        <f ca="1">MIN(IF(AC$1=0,MthRem,12), MAX(Inputs!$G$153-IF(AC$1=0,0,AC$1*12+MthOff), 0))*Inputs!$B$155</f>
        <v>0</v>
      </c>
      <c r="AE32" s="7">
        <f ca="1">MIN(IF(AD$1=0,MthRem,12), MAX(Inputs!$G$153-IF(AD$1=0,0,AD$1*12+MthOff), 0))*Inputs!$B$155</f>
        <v>0</v>
      </c>
      <c r="AF32" s="7">
        <f ca="1">MIN(IF(AE$1=0,MthRem,12), MAX(Inputs!$G$153-IF(AE$1=0,0,AE$1*12+MthOff), 0))*Inputs!$B$155</f>
        <v>0</v>
      </c>
      <c r="AG32" s="7">
        <f ca="1">MIN(IF(AF$1=0,MthRem,12), MAX(Inputs!$G$153-IF(AF$1=0,0,AF$1*12+MthOff), 0))*Inputs!$B$155</f>
        <v>0</v>
      </c>
      <c r="AH32" s="7">
        <f ca="1">MIN(IF(AG$1=0,MthRem,12), MAX(Inputs!$G$153-IF(AG$1=0,0,AG$1*12+MthOff), 0))*Inputs!$B$155</f>
        <v>0</v>
      </c>
      <c r="AI32" s="7">
        <f ca="1">MIN(IF(AH$1=0,MthRem,12), MAX(Inputs!$G$153-IF(AH$1=0,0,AH$1*12+MthOff), 0))*Inputs!$B$155</f>
        <v>0</v>
      </c>
      <c r="AJ32" s="7">
        <f ca="1">MIN(IF(AI$1=0,MthRem,12), MAX(Inputs!$G$153-IF(AI$1=0,0,AI$1*12+MthOff), 0))*Inputs!$B$155</f>
        <v>0</v>
      </c>
      <c r="AK32" s="7">
        <f ca="1">MIN(IF(AJ$1=0,MthRem,12), MAX(Inputs!$G$153-IF(AJ$1=0,0,AJ$1*12+MthOff), 0))*Inputs!$B$155</f>
        <v>0</v>
      </c>
      <c r="AL32" s="7">
        <f ca="1">MIN(IF(AK$1=0,MthRem,12), MAX(Inputs!$G$153-IF(AK$1=0,0,AK$1*12+MthOff), 0))*Inputs!$B$155</f>
        <v>0</v>
      </c>
      <c r="AM32" s="7">
        <f ca="1">MIN(IF(AL$1=0,MthRem,12), MAX(Inputs!$G$153-IF(AL$1=0,0,AL$1*12+MthOff), 0))*Inputs!$B$155</f>
        <v>0</v>
      </c>
    </row>
    <row r="33" spans="1:39" x14ac:dyDescent="0.2">
      <c r="A33" s="3" t="str">
        <f>TEXT(Inputs!$B$93,"")</f>
        <v>Car</v>
      </c>
      <c r="C33" s="7">
        <f ca="1">MIN(IF(B$1=0,MthRem,12), MAX(Inputs!$G$158-IF(B$1=0,0,B$1*12+MthOff), 0))*Inputs!$B$160</f>
        <v>774</v>
      </c>
      <c r="D33" s="101">
        <f ca="1">MIN(IF(C$1=0,MthRem,12), MAX(Inputs!$G$158-IF(C$1=0,0,C$1*12+MthOff), 0))*Inputs!$B$160</f>
        <v>1032</v>
      </c>
      <c r="E33" s="110">
        <f ca="1">MIN(IF(D$1=0,MthRem,12), MAX(Inputs!$G$158-IF(D$1=0,0,D$1*12+MthOff), 0))*Inputs!$B$160</f>
        <v>1032</v>
      </c>
      <c r="F33" s="7">
        <f ca="1">MIN(IF(E$1=0,MthRem,12), MAX(Inputs!$G$158-IF(E$1=0,0,E$1*12+MthOff), 0))*Inputs!$B$160</f>
        <v>1032</v>
      </c>
      <c r="G33" s="7">
        <f ca="1">MIN(IF(F$1=0,MthRem,12), MAX(Inputs!$G$158-IF(F$1=0,0,F$1*12+MthOff), 0))*Inputs!$B$160</f>
        <v>1032</v>
      </c>
      <c r="H33" s="7">
        <f ca="1">MIN(IF(G$1=0,MthRem,12), MAX(Inputs!$G$158-IF(G$1=0,0,G$1*12+MthOff), 0))*Inputs!$B$160</f>
        <v>1032</v>
      </c>
      <c r="I33" s="7">
        <f ca="1">MIN(IF(H$1=0,MthRem,12), MAX(Inputs!$G$158-IF(H$1=0,0,H$1*12+MthOff), 0))*Inputs!$B$160</f>
        <v>449.79405274184501</v>
      </c>
      <c r="J33" s="7">
        <f ca="1">MIN(IF(I$1=0,MthRem,12), MAX(Inputs!$G$158-IF(I$1=0,0,I$1*12+MthOff), 0))*Inputs!$B$160</f>
        <v>0</v>
      </c>
      <c r="K33" s="7">
        <f ca="1">MIN(IF(J$1=0,MthRem,12), MAX(Inputs!$G$158-IF(J$1=0,0,J$1*12+MthOff), 0))*Inputs!$B$160</f>
        <v>0</v>
      </c>
      <c r="L33" s="7">
        <f ca="1">MIN(IF(K$1=0,MthRem,12), MAX(Inputs!$G$158-IF(K$1=0,0,K$1*12+MthOff), 0))*Inputs!$B$160</f>
        <v>0</v>
      </c>
      <c r="M33" s="7">
        <f ca="1">MIN(IF(L$1=0,MthRem,12), MAX(Inputs!$G$158-IF(L$1=0,0,L$1*12+MthOff), 0))*Inputs!$B$160</f>
        <v>0</v>
      </c>
      <c r="N33" s="7">
        <f ca="1">MIN(IF(M$1=0,MthRem,12), MAX(Inputs!$G$158-IF(M$1=0,0,M$1*12+MthOff), 0))*Inputs!$B$160</f>
        <v>0</v>
      </c>
      <c r="O33" s="7">
        <f ca="1">MIN(IF(N$1=0,MthRem,12), MAX(Inputs!$G$158-IF(N$1=0,0,N$1*12+MthOff), 0))*Inputs!$B$160</f>
        <v>0</v>
      </c>
      <c r="P33" s="7">
        <f ca="1">MIN(IF(O$1=0,MthRem,12), MAX(Inputs!$G$158-IF(O$1=0,0,O$1*12+MthOff), 0))*Inputs!$B$160</f>
        <v>0</v>
      </c>
      <c r="Q33" s="7">
        <f ca="1">MIN(IF(P$1=0,MthRem,12), MAX(Inputs!$G$158-IF(P$1=0,0,P$1*12+MthOff), 0))*Inputs!$B$160</f>
        <v>0</v>
      </c>
      <c r="R33" s="7">
        <f ca="1">MIN(IF(Q$1=0,MthRem,12), MAX(Inputs!$G$158-IF(Q$1=0,0,Q$1*12+MthOff), 0))*Inputs!$B$160</f>
        <v>0</v>
      </c>
      <c r="S33" s="7">
        <f ca="1">MIN(IF(R$1=0,MthRem,12), MAX(Inputs!$G$158-IF(R$1=0,0,R$1*12+MthOff), 0))*Inputs!$B$160</f>
        <v>0</v>
      </c>
      <c r="T33" s="7">
        <f ca="1">MIN(IF(S$1=0,MthRem,12), MAX(Inputs!$G$158-IF(S$1=0,0,S$1*12+MthOff), 0))*Inputs!$B$160</f>
        <v>0</v>
      </c>
      <c r="U33" s="7">
        <f ca="1">MIN(IF(T$1=0,MthRem,12), MAX(Inputs!$G$158-IF(T$1=0,0,T$1*12+MthOff), 0))*Inputs!$B$160</f>
        <v>0</v>
      </c>
      <c r="V33" s="7">
        <f ca="1">MIN(IF(U$1=0,MthRem,12), MAX(Inputs!$G$158-IF(U$1=0,0,U$1*12+MthOff), 0))*Inputs!$B$160</f>
        <v>0</v>
      </c>
      <c r="W33" s="7">
        <f ca="1">MIN(IF(V$1=0,MthRem,12), MAX(Inputs!$G$158-IF(V$1=0,0,V$1*12+MthOff), 0))*Inputs!$B$160</f>
        <v>0</v>
      </c>
      <c r="X33" s="7">
        <f ca="1">MIN(IF(W$1=0,MthRem,12), MAX(Inputs!$G$158-IF(W$1=0,0,W$1*12+MthOff), 0))*Inputs!$B$160</f>
        <v>0</v>
      </c>
      <c r="Y33" s="7">
        <f ca="1">MIN(IF(X$1=0,MthRem,12), MAX(Inputs!$G$158-IF(X$1=0,0,X$1*12+MthOff), 0))*Inputs!$B$160</f>
        <v>0</v>
      </c>
      <c r="Z33" s="7">
        <f ca="1">MIN(IF(Y$1=0,MthRem,12), MAX(Inputs!$G$158-IF(Y$1=0,0,Y$1*12+MthOff), 0))*Inputs!$B$160</f>
        <v>0</v>
      </c>
      <c r="AA33" s="7">
        <f ca="1">MIN(IF(Z$1=0,MthRem,12), MAX(Inputs!$G$158-IF(Z$1=0,0,Z$1*12+MthOff), 0))*Inputs!$B$160</f>
        <v>0</v>
      </c>
      <c r="AB33" s="7">
        <f ca="1">MIN(IF(AA$1=0,MthRem,12), MAX(Inputs!$G$158-IF(AA$1=0,0,AA$1*12+MthOff), 0))*Inputs!$B$160</f>
        <v>0</v>
      </c>
      <c r="AC33" s="7">
        <f ca="1">MIN(IF(AB$1=0,MthRem,12), MAX(Inputs!$G$158-IF(AB$1=0,0,AB$1*12+MthOff), 0))*Inputs!$B$160</f>
        <v>0</v>
      </c>
      <c r="AD33" s="7">
        <f ca="1">MIN(IF(AC$1=0,MthRem,12), MAX(Inputs!$G$158-IF(AC$1=0,0,AC$1*12+MthOff), 0))*Inputs!$B$160</f>
        <v>0</v>
      </c>
      <c r="AE33" s="7">
        <f ca="1">MIN(IF(AD$1=0,MthRem,12), MAX(Inputs!$G$158-IF(AD$1=0,0,AD$1*12+MthOff), 0))*Inputs!$B$160</f>
        <v>0</v>
      </c>
      <c r="AF33" s="7">
        <f ca="1">MIN(IF(AE$1=0,MthRem,12), MAX(Inputs!$G$158-IF(AE$1=0,0,AE$1*12+MthOff), 0))*Inputs!$B$160</f>
        <v>0</v>
      </c>
      <c r="AG33" s="7">
        <f ca="1">MIN(IF(AF$1=0,MthRem,12), MAX(Inputs!$G$158-IF(AF$1=0,0,AF$1*12+MthOff), 0))*Inputs!$B$160</f>
        <v>0</v>
      </c>
      <c r="AH33" s="7">
        <f ca="1">MIN(IF(AG$1=0,MthRem,12), MAX(Inputs!$G$158-IF(AG$1=0,0,AG$1*12+MthOff), 0))*Inputs!$B$160</f>
        <v>0</v>
      </c>
      <c r="AI33" s="7">
        <f ca="1">MIN(IF(AH$1=0,MthRem,12), MAX(Inputs!$G$158-IF(AH$1=0,0,AH$1*12+MthOff), 0))*Inputs!$B$160</f>
        <v>0</v>
      </c>
      <c r="AJ33" s="7">
        <f ca="1">MIN(IF(AI$1=0,MthRem,12), MAX(Inputs!$G$158-IF(AI$1=0,0,AI$1*12+MthOff), 0))*Inputs!$B$160</f>
        <v>0</v>
      </c>
      <c r="AK33" s="7">
        <f ca="1">MIN(IF(AJ$1=0,MthRem,12), MAX(Inputs!$G$158-IF(AJ$1=0,0,AJ$1*12+MthOff), 0))*Inputs!$B$160</f>
        <v>0</v>
      </c>
      <c r="AL33" s="7">
        <f ca="1">MIN(IF(AK$1=0,MthRem,12), MAX(Inputs!$G$158-IF(AK$1=0,0,AK$1*12+MthOff), 0))*Inputs!$B$160</f>
        <v>0</v>
      </c>
      <c r="AM33" s="7">
        <f ca="1">MIN(IF(AL$1=0,MthRem,12), MAX(Inputs!$G$158-IF(AL$1=0,0,AL$1*12+MthOff), 0))*Inputs!$B$160</f>
        <v>0</v>
      </c>
    </row>
    <row r="34" spans="1:39" x14ac:dyDescent="0.2">
      <c r="A34" s="3" t="str">
        <f>TEXT(Inputs!$B$98,"")</f>
        <v>Painting</v>
      </c>
      <c r="C34" s="7">
        <f ca="1">MIN(IF(B$1=0,MthRem,12), MAX(Inputs!$G$163-IF(B$1=0,0,B$1*12+MthOff), 0))*Inputs!$B$165</f>
        <v>1125</v>
      </c>
      <c r="D34" s="101">
        <f ca="1">MIN(IF(C$1=0,MthRem,12), MAX(Inputs!$G$163-IF(C$1=0,0,C$1*12+MthOff), 0))*Inputs!$B$165</f>
        <v>1500</v>
      </c>
      <c r="E34" s="110">
        <f ca="1">MIN(IF(D$1=0,MthRem,12), MAX(Inputs!$G$163-IF(D$1=0,0,D$1*12+MthOff), 0))*Inputs!$B$165</f>
        <v>1500</v>
      </c>
      <c r="F34" s="7">
        <f ca="1">MIN(IF(E$1=0,MthRem,12), MAX(Inputs!$G$163-IF(E$1=0,0,E$1*12+MthOff), 0))*Inputs!$B$165</f>
        <v>1500</v>
      </c>
      <c r="G34" s="7">
        <f ca="1">MIN(IF(F$1=0,MthRem,12), MAX(Inputs!$G$163-IF(F$1=0,0,F$1*12+MthOff), 0))*Inputs!$B$165</f>
        <v>1500</v>
      </c>
      <c r="H34" s="7">
        <f ca="1">MIN(IF(G$1=0,MthRem,12), MAX(Inputs!$G$163-IF(G$1=0,0,G$1*12+MthOff), 0))*Inputs!$B$165</f>
        <v>1500</v>
      </c>
      <c r="I34" s="7">
        <f ca="1">MIN(IF(H$1=0,MthRem,12), MAX(Inputs!$G$163-IF(H$1=0,0,H$1*12+MthOff), 0))*Inputs!$B$165</f>
        <v>23.429842825107627</v>
      </c>
      <c r="J34" s="7">
        <f ca="1">MIN(IF(I$1=0,MthRem,12), MAX(Inputs!$G$163-IF(I$1=0,0,I$1*12+MthOff), 0))*Inputs!$B$165</f>
        <v>0</v>
      </c>
      <c r="K34" s="7">
        <f ca="1">MIN(IF(J$1=0,MthRem,12), MAX(Inputs!$G$163-IF(J$1=0,0,J$1*12+MthOff), 0))*Inputs!$B$165</f>
        <v>0</v>
      </c>
      <c r="L34" s="7">
        <f ca="1">MIN(IF(K$1=0,MthRem,12), MAX(Inputs!$G$163-IF(K$1=0,0,K$1*12+MthOff), 0))*Inputs!$B$165</f>
        <v>0</v>
      </c>
      <c r="M34" s="7">
        <f ca="1">MIN(IF(L$1=0,MthRem,12), MAX(Inputs!$G$163-IF(L$1=0,0,L$1*12+MthOff), 0))*Inputs!$B$165</f>
        <v>0</v>
      </c>
      <c r="N34" s="7">
        <f ca="1">MIN(IF(M$1=0,MthRem,12), MAX(Inputs!$G$163-IF(M$1=0,0,M$1*12+MthOff), 0))*Inputs!$B$165</f>
        <v>0</v>
      </c>
      <c r="O34" s="7">
        <f ca="1">MIN(IF(N$1=0,MthRem,12), MAX(Inputs!$G$163-IF(N$1=0,0,N$1*12+MthOff), 0))*Inputs!$B$165</f>
        <v>0</v>
      </c>
      <c r="P34" s="7">
        <f ca="1">MIN(IF(O$1=0,MthRem,12), MAX(Inputs!$G$163-IF(O$1=0,0,O$1*12+MthOff), 0))*Inputs!$B$165</f>
        <v>0</v>
      </c>
      <c r="Q34" s="7">
        <f ca="1">MIN(IF(P$1=0,MthRem,12), MAX(Inputs!$G$163-IF(P$1=0,0,P$1*12+MthOff), 0))*Inputs!$B$165</f>
        <v>0</v>
      </c>
      <c r="R34" s="7">
        <f ca="1">MIN(IF(Q$1=0,MthRem,12), MAX(Inputs!$G$163-IF(Q$1=0,0,Q$1*12+MthOff), 0))*Inputs!$B$165</f>
        <v>0</v>
      </c>
      <c r="S34" s="7">
        <f ca="1">MIN(IF(R$1=0,MthRem,12), MAX(Inputs!$G$163-IF(R$1=0,0,R$1*12+MthOff), 0))*Inputs!$B$165</f>
        <v>0</v>
      </c>
      <c r="T34" s="7">
        <f ca="1">MIN(IF(S$1=0,MthRem,12), MAX(Inputs!$G$163-IF(S$1=0,0,S$1*12+MthOff), 0))*Inputs!$B$165</f>
        <v>0</v>
      </c>
      <c r="U34" s="7">
        <f ca="1">MIN(IF(T$1=0,MthRem,12), MAX(Inputs!$G$163-IF(T$1=0,0,T$1*12+MthOff), 0))*Inputs!$B$165</f>
        <v>0</v>
      </c>
      <c r="V34" s="7">
        <f ca="1">MIN(IF(U$1=0,MthRem,12), MAX(Inputs!$G$163-IF(U$1=0,0,U$1*12+MthOff), 0))*Inputs!$B$165</f>
        <v>0</v>
      </c>
      <c r="W34" s="7">
        <f ca="1">MIN(IF(V$1=0,MthRem,12), MAX(Inputs!$G$163-IF(V$1=0,0,V$1*12+MthOff), 0))*Inputs!$B$165</f>
        <v>0</v>
      </c>
      <c r="X34" s="7">
        <f ca="1">MIN(IF(W$1=0,MthRem,12), MAX(Inputs!$G$163-IF(W$1=0,0,W$1*12+MthOff), 0))*Inputs!$B$165</f>
        <v>0</v>
      </c>
      <c r="Y34" s="7">
        <f ca="1">MIN(IF(X$1=0,MthRem,12), MAX(Inputs!$G$163-IF(X$1=0,0,X$1*12+MthOff), 0))*Inputs!$B$165</f>
        <v>0</v>
      </c>
      <c r="Z34" s="7">
        <f ca="1">MIN(IF(Y$1=0,MthRem,12), MAX(Inputs!$G$163-IF(Y$1=0,0,Y$1*12+MthOff), 0))*Inputs!$B$165</f>
        <v>0</v>
      </c>
      <c r="AA34" s="7">
        <f ca="1">MIN(IF(Z$1=0,MthRem,12), MAX(Inputs!$G$163-IF(Z$1=0,0,Z$1*12+MthOff), 0))*Inputs!$B$165</f>
        <v>0</v>
      </c>
      <c r="AB34" s="7">
        <f ca="1">MIN(IF(AA$1=0,MthRem,12), MAX(Inputs!$G$163-IF(AA$1=0,0,AA$1*12+MthOff), 0))*Inputs!$B$165</f>
        <v>0</v>
      </c>
      <c r="AC34" s="7">
        <f ca="1">MIN(IF(AB$1=0,MthRem,12), MAX(Inputs!$G$163-IF(AB$1=0,0,AB$1*12+MthOff), 0))*Inputs!$B$165</f>
        <v>0</v>
      </c>
      <c r="AD34" s="7">
        <f ca="1">MIN(IF(AC$1=0,MthRem,12), MAX(Inputs!$G$163-IF(AC$1=0,0,AC$1*12+MthOff), 0))*Inputs!$B$165</f>
        <v>0</v>
      </c>
      <c r="AE34" s="7">
        <f ca="1">MIN(IF(AD$1=0,MthRem,12), MAX(Inputs!$G$163-IF(AD$1=0,0,AD$1*12+MthOff), 0))*Inputs!$B$165</f>
        <v>0</v>
      </c>
      <c r="AF34" s="7">
        <f ca="1">MIN(IF(AE$1=0,MthRem,12), MAX(Inputs!$G$163-IF(AE$1=0,0,AE$1*12+MthOff), 0))*Inputs!$B$165</f>
        <v>0</v>
      </c>
      <c r="AG34" s="7">
        <f ca="1">MIN(IF(AF$1=0,MthRem,12), MAX(Inputs!$G$163-IF(AF$1=0,0,AF$1*12+MthOff), 0))*Inputs!$B$165</f>
        <v>0</v>
      </c>
      <c r="AH34" s="7">
        <f ca="1">MIN(IF(AG$1=0,MthRem,12), MAX(Inputs!$G$163-IF(AG$1=0,0,AG$1*12+MthOff), 0))*Inputs!$B$165</f>
        <v>0</v>
      </c>
      <c r="AI34" s="7">
        <f ca="1">MIN(IF(AH$1=0,MthRem,12), MAX(Inputs!$G$163-IF(AH$1=0,0,AH$1*12+MthOff), 0))*Inputs!$B$165</f>
        <v>0</v>
      </c>
      <c r="AJ34" s="7">
        <f ca="1">MIN(IF(AI$1=0,MthRem,12), MAX(Inputs!$G$163-IF(AI$1=0,0,AI$1*12+MthOff), 0))*Inputs!$B$165</f>
        <v>0</v>
      </c>
      <c r="AK34" s="7">
        <f ca="1">MIN(IF(AJ$1=0,MthRem,12), MAX(Inputs!$G$163-IF(AJ$1=0,0,AJ$1*12+MthOff), 0))*Inputs!$B$165</f>
        <v>0</v>
      </c>
      <c r="AL34" s="7">
        <f ca="1">MIN(IF(AK$1=0,MthRem,12), MAX(Inputs!$G$163-IF(AK$1=0,0,AK$1*12+MthOff), 0))*Inputs!$B$165</f>
        <v>0</v>
      </c>
      <c r="AM34" s="7">
        <f ca="1">MIN(IF(AL$1=0,MthRem,12), MAX(Inputs!$G$163-IF(AL$1=0,0,AL$1*12+MthOff), 0))*Inputs!$B$165</f>
        <v>0</v>
      </c>
    </row>
    <row r="35" spans="1:39" x14ac:dyDescent="0.2">
      <c r="A35" s="3" t="str">
        <f>TEXT(Inputs!$B$103,"")</f>
        <v>Boat</v>
      </c>
      <c r="C35" s="7">
        <f ca="1">MIN(IF(B$1=0,MthRem,12), MAX(Inputs!$G$168-IF(B$1=0,0,B$1*12+MthOff), 0))*Inputs!$B$170</f>
        <v>5616</v>
      </c>
      <c r="D35" s="101">
        <f ca="1">MIN(IF(C$1=0,MthRem,12), MAX(Inputs!$G$168-IF(C$1=0,0,C$1*12+MthOff), 0))*Inputs!$B$170</f>
        <v>7488</v>
      </c>
      <c r="E35" s="110">
        <f ca="1">MIN(IF(D$1=0,MthRem,12), MAX(Inputs!$G$168-IF(D$1=0,0,D$1*12+MthOff), 0))*Inputs!$B$170</f>
        <v>7488</v>
      </c>
      <c r="F35" s="7">
        <f ca="1">MIN(IF(E$1=0,MthRem,12), MAX(Inputs!$G$168-IF(E$1=0,0,E$1*12+MthOff), 0))*Inputs!$B$170</f>
        <v>7488</v>
      </c>
      <c r="G35" s="7">
        <f ca="1">MIN(IF(F$1=0,MthRem,12), MAX(Inputs!$G$168-IF(F$1=0,0,F$1*12+MthOff), 0))*Inputs!$B$170</f>
        <v>7488</v>
      </c>
      <c r="H35" s="7">
        <f ca="1">MIN(IF(G$1=0,MthRem,12), MAX(Inputs!$G$168-IF(G$1=0,0,G$1*12+MthOff), 0))*Inputs!$B$170</f>
        <v>7488</v>
      </c>
      <c r="I35" s="7">
        <f ca="1">MIN(IF(H$1=0,MthRem,12), MAX(Inputs!$G$168-IF(H$1=0,0,H$1*12+MthOff), 0))*Inputs!$B$170</f>
        <v>5289.2926184371663</v>
      </c>
      <c r="J35" s="7">
        <f ca="1">MIN(IF(I$1=0,MthRem,12), MAX(Inputs!$G$168-IF(I$1=0,0,I$1*12+MthOff), 0))*Inputs!$B$170</f>
        <v>0</v>
      </c>
      <c r="K35" s="7">
        <f ca="1">MIN(IF(J$1=0,MthRem,12), MAX(Inputs!$G$168-IF(J$1=0,0,J$1*12+MthOff), 0))*Inputs!$B$170</f>
        <v>0</v>
      </c>
      <c r="L35" s="7">
        <f ca="1">MIN(IF(K$1=0,MthRem,12), MAX(Inputs!$G$168-IF(K$1=0,0,K$1*12+MthOff), 0))*Inputs!$B$170</f>
        <v>0</v>
      </c>
      <c r="M35" s="7">
        <f ca="1">MIN(IF(L$1=0,MthRem,12), MAX(Inputs!$G$168-IF(L$1=0,0,L$1*12+MthOff), 0))*Inputs!$B$170</f>
        <v>0</v>
      </c>
      <c r="N35" s="7">
        <f ca="1">MIN(IF(M$1=0,MthRem,12), MAX(Inputs!$G$168-IF(M$1=0,0,M$1*12+MthOff), 0))*Inputs!$B$170</f>
        <v>0</v>
      </c>
      <c r="O35" s="7">
        <f ca="1">MIN(IF(N$1=0,MthRem,12), MAX(Inputs!$G$168-IF(N$1=0,0,N$1*12+MthOff), 0))*Inputs!$B$170</f>
        <v>0</v>
      </c>
      <c r="P35" s="7">
        <f ca="1">MIN(IF(O$1=0,MthRem,12), MAX(Inputs!$G$168-IF(O$1=0,0,O$1*12+MthOff), 0))*Inputs!$B$170</f>
        <v>0</v>
      </c>
      <c r="Q35" s="7">
        <f ca="1">MIN(IF(P$1=0,MthRem,12), MAX(Inputs!$G$168-IF(P$1=0,0,P$1*12+MthOff), 0))*Inputs!$B$170</f>
        <v>0</v>
      </c>
      <c r="R35" s="7">
        <f ca="1">MIN(IF(Q$1=0,MthRem,12), MAX(Inputs!$G$168-IF(Q$1=0,0,Q$1*12+MthOff), 0))*Inputs!$B$170</f>
        <v>0</v>
      </c>
      <c r="S35" s="7">
        <f ca="1">MIN(IF(R$1=0,MthRem,12), MAX(Inputs!$G$168-IF(R$1=0,0,R$1*12+MthOff), 0))*Inputs!$B$170</f>
        <v>0</v>
      </c>
      <c r="T35" s="7">
        <f ca="1">MIN(IF(S$1=0,MthRem,12), MAX(Inputs!$G$168-IF(S$1=0,0,S$1*12+MthOff), 0))*Inputs!$B$170</f>
        <v>0</v>
      </c>
      <c r="U35" s="7">
        <f ca="1">MIN(IF(T$1=0,MthRem,12), MAX(Inputs!$G$168-IF(T$1=0,0,T$1*12+MthOff), 0))*Inputs!$B$170</f>
        <v>0</v>
      </c>
      <c r="V35" s="7">
        <f ca="1">MIN(IF(U$1=0,MthRem,12), MAX(Inputs!$G$168-IF(U$1=0,0,U$1*12+MthOff), 0))*Inputs!$B$170</f>
        <v>0</v>
      </c>
      <c r="W35" s="7">
        <f ca="1">MIN(IF(V$1=0,MthRem,12), MAX(Inputs!$G$168-IF(V$1=0,0,V$1*12+MthOff), 0))*Inputs!$B$170</f>
        <v>0</v>
      </c>
      <c r="X35" s="7">
        <f ca="1">MIN(IF(W$1=0,MthRem,12), MAX(Inputs!$G$168-IF(W$1=0,0,W$1*12+MthOff), 0))*Inputs!$B$170</f>
        <v>0</v>
      </c>
      <c r="Y35" s="7">
        <f ca="1">MIN(IF(X$1=0,MthRem,12), MAX(Inputs!$G$168-IF(X$1=0,0,X$1*12+MthOff), 0))*Inputs!$B$170</f>
        <v>0</v>
      </c>
      <c r="Z35" s="7">
        <f ca="1">MIN(IF(Y$1=0,MthRem,12), MAX(Inputs!$G$168-IF(Y$1=0,0,Y$1*12+MthOff), 0))*Inputs!$B$170</f>
        <v>0</v>
      </c>
      <c r="AA35" s="7">
        <f ca="1">MIN(IF(Z$1=0,MthRem,12), MAX(Inputs!$G$168-IF(Z$1=0,0,Z$1*12+MthOff), 0))*Inputs!$B$170</f>
        <v>0</v>
      </c>
      <c r="AB35" s="7">
        <f ca="1">MIN(IF(AA$1=0,MthRem,12), MAX(Inputs!$G$168-IF(AA$1=0,0,AA$1*12+MthOff), 0))*Inputs!$B$170</f>
        <v>0</v>
      </c>
      <c r="AC35" s="7">
        <f ca="1">MIN(IF(AB$1=0,MthRem,12), MAX(Inputs!$G$168-IF(AB$1=0,0,AB$1*12+MthOff), 0))*Inputs!$B$170</f>
        <v>0</v>
      </c>
      <c r="AD35" s="7">
        <f ca="1">MIN(IF(AC$1=0,MthRem,12), MAX(Inputs!$G$168-IF(AC$1=0,0,AC$1*12+MthOff), 0))*Inputs!$B$170</f>
        <v>0</v>
      </c>
      <c r="AE35" s="7">
        <f ca="1">MIN(IF(AD$1=0,MthRem,12), MAX(Inputs!$G$168-IF(AD$1=0,0,AD$1*12+MthOff), 0))*Inputs!$B$170</f>
        <v>0</v>
      </c>
      <c r="AF35" s="7">
        <f ca="1">MIN(IF(AE$1=0,MthRem,12), MAX(Inputs!$G$168-IF(AE$1=0,0,AE$1*12+MthOff), 0))*Inputs!$B$170</f>
        <v>0</v>
      </c>
      <c r="AG35" s="7">
        <f ca="1">MIN(IF(AF$1=0,MthRem,12), MAX(Inputs!$G$168-IF(AF$1=0,0,AF$1*12+MthOff), 0))*Inputs!$B$170</f>
        <v>0</v>
      </c>
      <c r="AH35" s="7">
        <f ca="1">MIN(IF(AG$1=0,MthRem,12), MAX(Inputs!$G$168-IF(AG$1=0,0,AG$1*12+MthOff), 0))*Inputs!$B$170</f>
        <v>0</v>
      </c>
      <c r="AI35" s="7">
        <f ca="1">MIN(IF(AH$1=0,MthRem,12), MAX(Inputs!$G$168-IF(AH$1=0,0,AH$1*12+MthOff), 0))*Inputs!$B$170</f>
        <v>0</v>
      </c>
      <c r="AJ35" s="7">
        <f ca="1">MIN(IF(AI$1=0,MthRem,12), MAX(Inputs!$G$168-IF(AI$1=0,0,AI$1*12+MthOff), 0))*Inputs!$B$170</f>
        <v>0</v>
      </c>
      <c r="AK35" s="7">
        <f ca="1">MIN(IF(AJ$1=0,MthRem,12), MAX(Inputs!$G$168-IF(AJ$1=0,0,AJ$1*12+MthOff), 0))*Inputs!$B$170</f>
        <v>0</v>
      </c>
      <c r="AL35" s="7">
        <f ca="1">MIN(IF(AK$1=0,MthRem,12), MAX(Inputs!$G$168-IF(AK$1=0,0,AK$1*12+MthOff), 0))*Inputs!$B$170</f>
        <v>0</v>
      </c>
      <c r="AM35" s="7">
        <f ca="1">MIN(IF(AL$1=0,MthRem,12), MAX(Inputs!$G$168-IF(AL$1=0,0,AL$1*12+MthOff), 0))*Inputs!$B$170</f>
        <v>0</v>
      </c>
    </row>
    <row r="36" spans="1:39" x14ac:dyDescent="0.2">
      <c r="A36" s="3" t="str">
        <f>TEXT(Inputs!$B$108,"")</f>
        <v>Antiques</v>
      </c>
      <c r="C36" s="7">
        <f ca="1">MIN(IF(B$1=0,MthRem,12), MAX(Inputs!$G$173-IF(B$1=0,0,B$1*12+MthOff), 0))*Inputs!$B$175</f>
        <v>990</v>
      </c>
      <c r="D36" s="101">
        <f ca="1">MIN(IF(C$1=0,MthRem,12), MAX(Inputs!$G$173-IF(C$1=0,0,C$1*12+MthOff), 0))*Inputs!$B$175</f>
        <v>1320</v>
      </c>
      <c r="E36" s="110">
        <f ca="1">MIN(IF(D$1=0,MthRem,12), MAX(Inputs!$G$173-IF(D$1=0,0,D$1*12+MthOff), 0))*Inputs!$B$175</f>
        <v>1320</v>
      </c>
      <c r="F36" s="7">
        <f ca="1">MIN(IF(E$1=0,MthRem,12), MAX(Inputs!$G$173-IF(E$1=0,0,E$1*12+MthOff), 0))*Inputs!$B$175</f>
        <v>349.16176270026983</v>
      </c>
      <c r="G36" s="7">
        <f ca="1">MIN(IF(F$1=0,MthRem,12), MAX(Inputs!$G$173-IF(F$1=0,0,F$1*12+MthOff), 0))*Inputs!$B$175</f>
        <v>0</v>
      </c>
      <c r="H36" s="7">
        <f ca="1">MIN(IF(G$1=0,MthRem,12), MAX(Inputs!$G$173-IF(G$1=0,0,G$1*12+MthOff), 0))*Inputs!$B$175</f>
        <v>0</v>
      </c>
      <c r="I36" s="7">
        <f ca="1">MIN(IF(H$1=0,MthRem,12), MAX(Inputs!$G$173-IF(H$1=0,0,H$1*12+MthOff), 0))*Inputs!$B$175</f>
        <v>0</v>
      </c>
      <c r="J36" s="7">
        <f ca="1">MIN(IF(I$1=0,MthRem,12), MAX(Inputs!$G$173-IF(I$1=0,0,I$1*12+MthOff), 0))*Inputs!$B$175</f>
        <v>0</v>
      </c>
      <c r="K36" s="7">
        <f ca="1">MIN(IF(J$1=0,MthRem,12), MAX(Inputs!$G$173-IF(J$1=0,0,J$1*12+MthOff), 0))*Inputs!$B$175</f>
        <v>0</v>
      </c>
      <c r="L36" s="7">
        <f ca="1">MIN(IF(K$1=0,MthRem,12), MAX(Inputs!$G$173-IF(K$1=0,0,K$1*12+MthOff), 0))*Inputs!$B$175</f>
        <v>0</v>
      </c>
      <c r="M36" s="7">
        <f ca="1">MIN(IF(L$1=0,MthRem,12), MAX(Inputs!$G$173-IF(L$1=0,0,L$1*12+MthOff), 0))*Inputs!$B$175</f>
        <v>0</v>
      </c>
      <c r="N36" s="7">
        <f ca="1">MIN(IF(M$1=0,MthRem,12), MAX(Inputs!$G$173-IF(M$1=0,0,M$1*12+MthOff), 0))*Inputs!$B$175</f>
        <v>0</v>
      </c>
      <c r="O36" s="7">
        <f ca="1">MIN(IF(N$1=0,MthRem,12), MAX(Inputs!$G$173-IF(N$1=0,0,N$1*12+MthOff), 0))*Inputs!$B$175</f>
        <v>0</v>
      </c>
      <c r="P36" s="7">
        <f ca="1">MIN(IF(O$1=0,MthRem,12), MAX(Inputs!$G$173-IF(O$1=0,0,O$1*12+MthOff), 0))*Inputs!$B$175</f>
        <v>0</v>
      </c>
      <c r="Q36" s="7">
        <f ca="1">MIN(IF(P$1=0,MthRem,12), MAX(Inputs!$G$173-IF(P$1=0,0,P$1*12+MthOff), 0))*Inputs!$B$175</f>
        <v>0</v>
      </c>
      <c r="R36" s="7">
        <f ca="1">MIN(IF(Q$1=0,MthRem,12), MAX(Inputs!$G$173-IF(Q$1=0,0,Q$1*12+MthOff), 0))*Inputs!$B$175</f>
        <v>0</v>
      </c>
      <c r="S36" s="7">
        <f ca="1">MIN(IF(R$1=0,MthRem,12), MAX(Inputs!$G$173-IF(R$1=0,0,R$1*12+MthOff), 0))*Inputs!$B$175</f>
        <v>0</v>
      </c>
      <c r="T36" s="7">
        <f ca="1">MIN(IF(S$1=0,MthRem,12), MAX(Inputs!$G$173-IF(S$1=0,0,S$1*12+MthOff), 0))*Inputs!$B$175</f>
        <v>0</v>
      </c>
      <c r="U36" s="7">
        <f ca="1">MIN(IF(T$1=0,MthRem,12), MAX(Inputs!$G$173-IF(T$1=0,0,T$1*12+MthOff), 0))*Inputs!$B$175</f>
        <v>0</v>
      </c>
      <c r="V36" s="7">
        <f ca="1">MIN(IF(U$1=0,MthRem,12), MAX(Inputs!$G$173-IF(U$1=0,0,U$1*12+MthOff), 0))*Inputs!$B$175</f>
        <v>0</v>
      </c>
      <c r="W36" s="7">
        <f ca="1">MIN(IF(V$1=0,MthRem,12), MAX(Inputs!$G$173-IF(V$1=0,0,V$1*12+MthOff), 0))*Inputs!$B$175</f>
        <v>0</v>
      </c>
      <c r="X36" s="7">
        <f ca="1">MIN(IF(W$1=0,MthRem,12), MAX(Inputs!$G$173-IF(W$1=0,0,W$1*12+MthOff), 0))*Inputs!$B$175</f>
        <v>0</v>
      </c>
      <c r="Y36" s="7">
        <f ca="1">MIN(IF(X$1=0,MthRem,12), MAX(Inputs!$G$173-IF(X$1=0,0,X$1*12+MthOff), 0))*Inputs!$B$175</f>
        <v>0</v>
      </c>
      <c r="Z36" s="7">
        <f ca="1">MIN(IF(Y$1=0,MthRem,12), MAX(Inputs!$G$173-IF(Y$1=0,0,Y$1*12+MthOff), 0))*Inputs!$B$175</f>
        <v>0</v>
      </c>
      <c r="AA36" s="7">
        <f ca="1">MIN(IF(Z$1=0,MthRem,12), MAX(Inputs!$G$173-IF(Z$1=0,0,Z$1*12+MthOff), 0))*Inputs!$B$175</f>
        <v>0</v>
      </c>
      <c r="AB36" s="7">
        <f ca="1">MIN(IF(AA$1=0,MthRem,12), MAX(Inputs!$G$173-IF(AA$1=0,0,AA$1*12+MthOff), 0))*Inputs!$B$175</f>
        <v>0</v>
      </c>
      <c r="AC36" s="7">
        <f ca="1">MIN(IF(AB$1=0,MthRem,12), MAX(Inputs!$G$173-IF(AB$1=0,0,AB$1*12+MthOff), 0))*Inputs!$B$175</f>
        <v>0</v>
      </c>
      <c r="AD36" s="7">
        <f ca="1">MIN(IF(AC$1=0,MthRem,12), MAX(Inputs!$G$173-IF(AC$1=0,0,AC$1*12+MthOff), 0))*Inputs!$B$175</f>
        <v>0</v>
      </c>
      <c r="AE36" s="7">
        <f ca="1">MIN(IF(AD$1=0,MthRem,12), MAX(Inputs!$G$173-IF(AD$1=0,0,AD$1*12+MthOff), 0))*Inputs!$B$175</f>
        <v>0</v>
      </c>
      <c r="AF36" s="7">
        <f ca="1">MIN(IF(AE$1=0,MthRem,12), MAX(Inputs!$G$173-IF(AE$1=0,0,AE$1*12+MthOff), 0))*Inputs!$B$175</f>
        <v>0</v>
      </c>
      <c r="AG36" s="7">
        <f ca="1">MIN(IF(AF$1=0,MthRem,12), MAX(Inputs!$G$173-IF(AF$1=0,0,AF$1*12+MthOff), 0))*Inputs!$B$175</f>
        <v>0</v>
      </c>
      <c r="AH36" s="7">
        <f ca="1">MIN(IF(AG$1=0,MthRem,12), MAX(Inputs!$G$173-IF(AG$1=0,0,AG$1*12+MthOff), 0))*Inputs!$B$175</f>
        <v>0</v>
      </c>
      <c r="AI36" s="7">
        <f ca="1">MIN(IF(AH$1=0,MthRem,12), MAX(Inputs!$G$173-IF(AH$1=0,0,AH$1*12+MthOff), 0))*Inputs!$B$175</f>
        <v>0</v>
      </c>
      <c r="AJ36" s="7">
        <f ca="1">MIN(IF(AI$1=0,MthRem,12), MAX(Inputs!$G$173-IF(AI$1=0,0,AI$1*12+MthOff), 0))*Inputs!$B$175</f>
        <v>0</v>
      </c>
      <c r="AK36" s="7">
        <f ca="1">MIN(IF(AJ$1=0,MthRem,12), MAX(Inputs!$G$173-IF(AJ$1=0,0,AJ$1*12+MthOff), 0))*Inputs!$B$175</f>
        <v>0</v>
      </c>
      <c r="AL36" s="7">
        <f ca="1">MIN(IF(AK$1=0,MthRem,12), MAX(Inputs!$G$173-IF(AK$1=0,0,AK$1*12+MthOff), 0))*Inputs!$B$175</f>
        <v>0</v>
      </c>
      <c r="AM36" s="7">
        <f ca="1">MIN(IF(AL$1=0,MthRem,12), MAX(Inputs!$G$173-IF(AL$1=0,0,AL$1*12+MthOff), 0))*Inputs!$B$175</f>
        <v>0</v>
      </c>
    </row>
    <row r="37" spans="1:39" x14ac:dyDescent="0.2">
      <c r="A37" s="4" t="s">
        <v>34</v>
      </c>
      <c r="C37" s="7">
        <f ca="1">MIN(IF(B$1=0,MthRem,12), MAX(Inputs!$G$178-IF(B$1=0,0,B$1*12+MthOff), 0))*Inputs!$B$180</f>
        <v>450</v>
      </c>
      <c r="D37" s="101">
        <f ca="1">MIN(IF(C$1=0,MthRem,12), MAX(Inputs!$G$178-IF(C$1=0,0,C$1*12+MthOff), 0))*Inputs!$B$180</f>
        <v>600</v>
      </c>
      <c r="E37" s="110">
        <f ca="1">MIN(IF(D$1=0,MthRem,12), MAX(Inputs!$G$178-IF(D$1=0,0,D$1*12+MthOff), 0))*Inputs!$B$180</f>
        <v>600</v>
      </c>
      <c r="F37" s="7">
        <f ca="1">MIN(IF(E$1=0,MthRem,12), MAX(Inputs!$G$178-IF(E$1=0,0,E$1*12+MthOff), 0))*Inputs!$B$180</f>
        <v>600</v>
      </c>
      <c r="G37" s="7">
        <f ca="1">MIN(IF(F$1=0,MthRem,12), MAX(Inputs!$G$178-IF(F$1=0,0,F$1*12+MthOff), 0))*Inputs!$B$180</f>
        <v>600</v>
      </c>
      <c r="H37" s="7">
        <f ca="1">MIN(IF(G$1=0,MthRem,12), MAX(Inputs!$G$178-IF(G$1=0,0,G$1*12+MthOff), 0))*Inputs!$B$180</f>
        <v>600</v>
      </c>
      <c r="I37" s="7">
        <f ca="1">MIN(IF(H$1=0,MthRem,12), MAX(Inputs!$G$178-IF(H$1=0,0,H$1*12+MthOff), 0))*Inputs!$B$180</f>
        <v>600</v>
      </c>
      <c r="J37" s="7">
        <f ca="1">MIN(IF(I$1=0,MthRem,12), MAX(Inputs!$G$178-IF(I$1=0,0,I$1*12+MthOff), 0))*Inputs!$B$180</f>
        <v>600</v>
      </c>
      <c r="K37" s="7">
        <f ca="1">MIN(IF(J$1=0,MthRem,12), MAX(Inputs!$G$178-IF(J$1=0,0,J$1*12+MthOff), 0))*Inputs!$B$180</f>
        <v>471.016262575219</v>
      </c>
      <c r="L37" s="7">
        <f ca="1">MIN(IF(K$1=0,MthRem,12), MAX(Inputs!$G$178-IF(K$1=0,0,K$1*12+MthOff), 0))*Inputs!$B$180</f>
        <v>0</v>
      </c>
      <c r="M37" s="7">
        <f ca="1">MIN(IF(L$1=0,MthRem,12), MAX(Inputs!$G$178-IF(L$1=0,0,L$1*12+MthOff), 0))*Inputs!$B$180</f>
        <v>0</v>
      </c>
      <c r="N37" s="7">
        <f ca="1">MIN(IF(M$1=0,MthRem,12), MAX(Inputs!$G$178-IF(M$1=0,0,M$1*12+MthOff), 0))*Inputs!$B$180</f>
        <v>0</v>
      </c>
      <c r="O37" s="7">
        <f ca="1">MIN(IF(N$1=0,MthRem,12), MAX(Inputs!$G$178-IF(N$1=0,0,N$1*12+MthOff), 0))*Inputs!$B$180</f>
        <v>0</v>
      </c>
      <c r="P37" s="7">
        <f ca="1">MIN(IF(O$1=0,MthRem,12), MAX(Inputs!$G$178-IF(O$1=0,0,O$1*12+MthOff), 0))*Inputs!$B$180</f>
        <v>0</v>
      </c>
      <c r="Q37" s="7">
        <f ca="1">MIN(IF(P$1=0,MthRem,12), MAX(Inputs!$G$178-IF(P$1=0,0,P$1*12+MthOff), 0))*Inputs!$B$180</f>
        <v>0</v>
      </c>
      <c r="R37" s="7">
        <f ca="1">MIN(IF(Q$1=0,MthRem,12), MAX(Inputs!$G$178-IF(Q$1=0,0,Q$1*12+MthOff), 0))*Inputs!$B$180</f>
        <v>0</v>
      </c>
      <c r="S37" s="7">
        <f ca="1">MIN(IF(R$1=0,MthRem,12), MAX(Inputs!$G$178-IF(R$1=0,0,R$1*12+MthOff), 0))*Inputs!$B$180</f>
        <v>0</v>
      </c>
      <c r="T37" s="7">
        <f ca="1">MIN(IF(S$1=0,MthRem,12), MAX(Inputs!$G$178-IF(S$1=0,0,S$1*12+MthOff), 0))*Inputs!$B$180</f>
        <v>0</v>
      </c>
      <c r="U37" s="7">
        <f ca="1">MIN(IF(T$1=0,MthRem,12), MAX(Inputs!$G$178-IF(T$1=0,0,T$1*12+MthOff), 0))*Inputs!$B$180</f>
        <v>0</v>
      </c>
      <c r="V37" s="7">
        <f ca="1">MIN(IF(U$1=0,MthRem,12), MAX(Inputs!$G$178-IF(U$1=0,0,U$1*12+MthOff), 0))*Inputs!$B$180</f>
        <v>0</v>
      </c>
      <c r="W37" s="7">
        <f ca="1">MIN(IF(V$1=0,MthRem,12), MAX(Inputs!$G$178-IF(V$1=0,0,V$1*12+MthOff), 0))*Inputs!$B$180</f>
        <v>0</v>
      </c>
      <c r="X37" s="7">
        <f ca="1">MIN(IF(W$1=0,MthRem,12), MAX(Inputs!$G$178-IF(W$1=0,0,W$1*12+MthOff), 0))*Inputs!$B$180</f>
        <v>0</v>
      </c>
      <c r="Y37" s="7">
        <f ca="1">MIN(IF(X$1=0,MthRem,12), MAX(Inputs!$G$178-IF(X$1=0,0,X$1*12+MthOff), 0))*Inputs!$B$180</f>
        <v>0</v>
      </c>
      <c r="Z37" s="7">
        <f ca="1">MIN(IF(Y$1=0,MthRem,12), MAX(Inputs!$G$178-IF(Y$1=0,0,Y$1*12+MthOff), 0))*Inputs!$B$180</f>
        <v>0</v>
      </c>
      <c r="AA37" s="7">
        <f ca="1">MIN(IF(Z$1=0,MthRem,12), MAX(Inputs!$G$178-IF(Z$1=0,0,Z$1*12+MthOff), 0))*Inputs!$B$180</f>
        <v>0</v>
      </c>
      <c r="AB37" s="7">
        <f ca="1">MIN(IF(AA$1=0,MthRem,12), MAX(Inputs!$G$178-IF(AA$1=0,0,AA$1*12+MthOff), 0))*Inputs!$B$180</f>
        <v>0</v>
      </c>
      <c r="AC37" s="7">
        <f ca="1">MIN(IF(AB$1=0,MthRem,12), MAX(Inputs!$G$178-IF(AB$1=0,0,AB$1*12+MthOff), 0))*Inputs!$B$180</f>
        <v>0</v>
      </c>
      <c r="AD37" s="7">
        <f ca="1">MIN(IF(AC$1=0,MthRem,12), MAX(Inputs!$G$178-IF(AC$1=0,0,AC$1*12+MthOff), 0))*Inputs!$B$180</f>
        <v>0</v>
      </c>
      <c r="AE37" s="7">
        <f ca="1">MIN(IF(AD$1=0,MthRem,12), MAX(Inputs!$G$178-IF(AD$1=0,0,AD$1*12+MthOff), 0))*Inputs!$B$180</f>
        <v>0</v>
      </c>
      <c r="AF37" s="7">
        <f ca="1">MIN(IF(AE$1=0,MthRem,12), MAX(Inputs!$G$178-IF(AE$1=0,0,AE$1*12+MthOff), 0))*Inputs!$B$180</f>
        <v>0</v>
      </c>
      <c r="AG37" s="7">
        <f ca="1">MIN(IF(AF$1=0,MthRem,12), MAX(Inputs!$G$178-IF(AF$1=0,0,AF$1*12+MthOff), 0))*Inputs!$B$180</f>
        <v>0</v>
      </c>
      <c r="AH37" s="7">
        <f ca="1">MIN(IF(AG$1=0,MthRem,12), MAX(Inputs!$G$178-IF(AG$1=0,0,AG$1*12+MthOff), 0))*Inputs!$B$180</f>
        <v>0</v>
      </c>
      <c r="AI37" s="7">
        <f ca="1">MIN(IF(AH$1=0,MthRem,12), MAX(Inputs!$G$178-IF(AH$1=0,0,AH$1*12+MthOff), 0))*Inputs!$B$180</f>
        <v>0</v>
      </c>
      <c r="AJ37" s="7">
        <f ca="1">MIN(IF(AI$1=0,MthRem,12), MAX(Inputs!$G$178-IF(AI$1=0,0,AI$1*12+MthOff), 0))*Inputs!$B$180</f>
        <v>0</v>
      </c>
      <c r="AK37" s="7">
        <f ca="1">MIN(IF(AJ$1=0,MthRem,12), MAX(Inputs!$G$178-IF(AJ$1=0,0,AJ$1*12+MthOff), 0))*Inputs!$B$180</f>
        <v>0</v>
      </c>
      <c r="AL37" s="7">
        <f ca="1">MIN(IF(AK$1=0,MthRem,12), MAX(Inputs!$G$178-IF(AK$1=0,0,AK$1*12+MthOff), 0))*Inputs!$B$180</f>
        <v>0</v>
      </c>
      <c r="AM37" s="7">
        <f ca="1">MIN(IF(AL$1=0,MthRem,12), MAX(Inputs!$G$178-IF(AL$1=0,0,AL$1*12+MthOff), 0))*Inputs!$B$180</f>
        <v>0</v>
      </c>
    </row>
    <row r="38" spans="1:39" x14ac:dyDescent="0.2">
      <c r="A38" s="4" t="s">
        <v>51</v>
      </c>
      <c r="C38" s="7"/>
      <c r="D38" s="101"/>
      <c r="E38" s="110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  <c r="AA38" s="7"/>
      <c r="AB38" s="7"/>
      <c r="AC38" s="7"/>
      <c r="AD38" s="7"/>
      <c r="AE38" s="7"/>
      <c r="AF38" s="7"/>
      <c r="AG38" s="7"/>
      <c r="AH38" s="7"/>
      <c r="AI38" s="7"/>
      <c r="AJ38" s="7"/>
      <c r="AK38" s="7"/>
      <c r="AL38" s="7"/>
      <c r="AM38" s="7"/>
    </row>
    <row r="39" spans="1:39" x14ac:dyDescent="0.2">
      <c r="A39" s="3" t="str">
        <f>TEXT(Inputs!B34,"")</f>
        <v>John</v>
      </c>
      <c r="B39" s="8"/>
      <c r="C39" s="7">
        <f ca="1">IF(Inputs!$B$36&gt;=C$1,Inputs!$B$35,0)*(1+inf)^B$1*ProRate</f>
        <v>1500</v>
      </c>
      <c r="D39" s="101">
        <f>IF(Inputs!$B$36&gt;=D$1,Inputs!$B$35,0)*(1+inf)^C$1</f>
        <v>2050</v>
      </c>
      <c r="E39" s="110">
        <f>IF(Inputs!$B$36&gt;=E$1,Inputs!$B$35,0)*(1+inf)^D$1</f>
        <v>2101.25</v>
      </c>
      <c r="F39" s="7">
        <f>IF(Inputs!$B$36&gt;=F$1,Inputs!$B$35,0)*(1+inf)^E$1</f>
        <v>0</v>
      </c>
      <c r="G39" s="7">
        <f>IF(Inputs!$B$36&gt;=G$1,Inputs!$B$35,0)*(1+inf)^F$1</f>
        <v>0</v>
      </c>
      <c r="H39" s="7">
        <f>IF(Inputs!$B$36&gt;=H$1,Inputs!$B$35,0)*(1+inf)^G$1</f>
        <v>0</v>
      </c>
      <c r="I39" s="7">
        <f>IF(Inputs!$B$36&gt;=I$1,Inputs!$B$35,0)*(1+inf)^H$1</f>
        <v>0</v>
      </c>
      <c r="J39" s="7">
        <f>IF(Inputs!$B$36&gt;=J$1,Inputs!$B$35,0)*(1+inf)^I$1</f>
        <v>0</v>
      </c>
      <c r="K39" s="7">
        <f>IF(Inputs!$B$36&gt;=K$1,Inputs!$B$35,0)*(1+inf)^J$1</f>
        <v>0</v>
      </c>
      <c r="L39" s="7">
        <f>IF(Inputs!$B$36&gt;=L$1,Inputs!$B$35,0)*(1+inf)^K$1</f>
        <v>0</v>
      </c>
      <c r="M39" s="7">
        <f>IF(Inputs!$B$36&gt;=M$1,Inputs!$B$35,0)*(1+inf)^L$1</f>
        <v>0</v>
      </c>
      <c r="N39" s="7">
        <f>IF(Inputs!$B$36&gt;=N$1,Inputs!$B$35,0)*(1+inf)^M$1</f>
        <v>0</v>
      </c>
      <c r="O39" s="7">
        <f>IF(Inputs!$B$36&gt;=O$1,Inputs!$B$35,0)*(1+inf)^N$1</f>
        <v>0</v>
      </c>
      <c r="P39" s="7">
        <f>IF(Inputs!$B$36&gt;=P$1,Inputs!$B$35,0)*(1+inf)^O$1</f>
        <v>0</v>
      </c>
      <c r="Q39" s="7">
        <f>IF(Inputs!$B$36&gt;=Q$1,Inputs!$B$35,0)*(1+inf)^P$1</f>
        <v>0</v>
      </c>
      <c r="R39" s="7">
        <f>IF(Inputs!$B$36&gt;=R$1,Inputs!$B$35,0)*(1+inf)^Q$1</f>
        <v>0</v>
      </c>
      <c r="S39" s="7">
        <f>IF(Inputs!$B$36&gt;=S$1,Inputs!$B$35,0)*(1+inf)^R$1</f>
        <v>0</v>
      </c>
      <c r="T39" s="7">
        <f>IF(Inputs!$B$36&gt;=T$1,Inputs!$B$35,0)*(1+inf)^S$1</f>
        <v>0</v>
      </c>
      <c r="U39" s="7">
        <f>IF(Inputs!$B$36&gt;=U$1,Inputs!$B$35,0)*(1+inf)^T$1</f>
        <v>0</v>
      </c>
      <c r="V39" s="7">
        <f>IF(Inputs!$B$36&gt;=V$1,Inputs!$B$35,0)*(1+inf)^U$1</f>
        <v>0</v>
      </c>
      <c r="W39" s="7">
        <f>IF(Inputs!$B$36&gt;=W$1,Inputs!$B$35,0)*(1+inf)^V$1</f>
        <v>0</v>
      </c>
      <c r="X39" s="7">
        <f>IF(Inputs!$B$36&gt;=X$1,Inputs!$B$35,0)*(1+inf)^W$1</f>
        <v>0</v>
      </c>
      <c r="Y39" s="7">
        <f>IF(Inputs!$B$36&gt;=Y$1,Inputs!$B$35,0)*(1+inf)^X$1</f>
        <v>0</v>
      </c>
      <c r="Z39" s="7">
        <f>IF(Inputs!$B$36&gt;=Z$1,Inputs!$B$35,0)*(1+inf)^Y$1</f>
        <v>0</v>
      </c>
      <c r="AA39" s="7">
        <f>IF(Inputs!$B$36&gt;=AA$1,Inputs!$B$35,0)*(1+inf)^Z$1</f>
        <v>0</v>
      </c>
      <c r="AB39" s="7">
        <f>IF(Inputs!$B$36&gt;=AB$1,Inputs!$B$35,0)*(1+inf)^AA$1</f>
        <v>0</v>
      </c>
      <c r="AC39" s="7">
        <f>IF(Inputs!$B$36&gt;=AC$1,Inputs!$B$35,0)*(1+inf)^AB$1</f>
        <v>0</v>
      </c>
      <c r="AD39" s="7">
        <f>IF(Inputs!$B$36&gt;=AD$1,Inputs!$B$35,0)*(1+inf)^AC$1</f>
        <v>0</v>
      </c>
      <c r="AE39" s="7">
        <f>IF(Inputs!$B$36&gt;=AE$1,Inputs!$B$35,0)*(1+inf)^AD$1</f>
        <v>0</v>
      </c>
      <c r="AF39" s="7">
        <f>IF(Inputs!$B$36&gt;=AF$1,Inputs!$B$35,0)*(1+inf)^AE$1</f>
        <v>0</v>
      </c>
      <c r="AG39" s="7">
        <f>IF(Inputs!$B$36&gt;=AG$1,Inputs!$B$35,0)*(1+inf)^AF$1</f>
        <v>0</v>
      </c>
      <c r="AH39" s="7">
        <f>IF(Inputs!$B$36&gt;=AH$1,Inputs!$B$35,0)*(1+inf)^AG$1</f>
        <v>0</v>
      </c>
      <c r="AI39" s="7">
        <f>IF(Inputs!$B$36&gt;=AI$1,Inputs!$B$35,0)*(1+inf)^AH$1</f>
        <v>0</v>
      </c>
      <c r="AJ39" s="7">
        <f>IF(Inputs!$B$36&gt;=AJ$1,Inputs!$B$35,0)*(1+inf)^AI$1</f>
        <v>0</v>
      </c>
      <c r="AK39" s="7">
        <f>IF(Inputs!$B$36&gt;=AK$1,Inputs!$B$35,0)*(1+inf)^AJ$1</f>
        <v>0</v>
      </c>
      <c r="AL39" s="7">
        <f>IF(Inputs!$B$36&gt;=AL$1,Inputs!$B$35,0)*(1+inf)^AK$1</f>
        <v>0</v>
      </c>
      <c r="AM39" s="7">
        <f>IF(Inputs!$B$36&gt;=AM$1,Inputs!$B$35,0)*(1+inf)^AL$1</f>
        <v>0</v>
      </c>
    </row>
    <row r="40" spans="1:39" x14ac:dyDescent="0.2">
      <c r="A40" s="3" t="str">
        <f>TEXT(Inputs!B39,"")</f>
        <v>Jack</v>
      </c>
      <c r="B40" s="8"/>
      <c r="C40" s="7">
        <f ca="1">IF(Inputs!$B$41&gt;=C$1,Inputs!$B$40,0)*(1+inf)^B$1*ProRate</f>
        <v>750</v>
      </c>
      <c r="D40" s="101">
        <f>IF(Inputs!$B$41&gt;=D$1,Inputs!$B$40,0)*(1+inf)^C$1</f>
        <v>1025</v>
      </c>
      <c r="E40" s="110">
        <f>IF(Inputs!$B$41&gt;=E$1,Inputs!$B$40,0)*(1+inf)^D$1</f>
        <v>1050.625</v>
      </c>
      <c r="F40" s="7">
        <f>IF(Inputs!$B$41&gt;=F$1,Inputs!$B$40,0)*(1+inf)^E$1</f>
        <v>1076.8906249999998</v>
      </c>
      <c r="G40" s="7">
        <f>IF(Inputs!$B$41&gt;=G$1,Inputs!$B$40,0)*(1+inf)^F$1</f>
        <v>1103.8128906249997</v>
      </c>
      <c r="H40" s="7">
        <f>IF(Inputs!$B$41&gt;=H$1,Inputs!$B$40,0)*(1+inf)^G$1</f>
        <v>0</v>
      </c>
      <c r="I40" s="7">
        <f>IF(Inputs!$B$41&gt;=I$1,Inputs!$B$40,0)*(1+inf)^H$1</f>
        <v>0</v>
      </c>
      <c r="J40" s="7">
        <f>IF(Inputs!$B$41&gt;=J$1,Inputs!$B$40,0)*(1+inf)^I$1</f>
        <v>0</v>
      </c>
      <c r="K40" s="7">
        <f>IF(Inputs!$B$41&gt;=K$1,Inputs!$B$40,0)*(1+inf)^J$1</f>
        <v>0</v>
      </c>
      <c r="L40" s="7">
        <f>IF(Inputs!$B$41&gt;=L$1,Inputs!$B$40,0)*(1+inf)^K$1</f>
        <v>0</v>
      </c>
      <c r="M40" s="7">
        <f>IF(Inputs!$B$41&gt;=M$1,Inputs!$B$40,0)*(1+inf)^L$1</f>
        <v>0</v>
      </c>
      <c r="N40" s="7">
        <f>IF(Inputs!$B$41&gt;=N$1,Inputs!$B$40,0)*(1+inf)^M$1</f>
        <v>0</v>
      </c>
      <c r="O40" s="7">
        <f>IF(Inputs!$B$41&gt;=O$1,Inputs!$B$40,0)*(1+inf)^N$1</f>
        <v>0</v>
      </c>
      <c r="P40" s="7">
        <f>IF(Inputs!$B$41&gt;=P$1,Inputs!$B$40,0)*(1+inf)^O$1</f>
        <v>0</v>
      </c>
      <c r="Q40" s="7">
        <f>IF(Inputs!$B$41&gt;=Q$1,Inputs!$B$40,0)*(1+inf)^P$1</f>
        <v>0</v>
      </c>
      <c r="R40" s="7">
        <f>IF(Inputs!$B$41&gt;=R$1,Inputs!$B$40,0)*(1+inf)^Q$1</f>
        <v>0</v>
      </c>
      <c r="S40" s="7">
        <f>IF(Inputs!$B$41&gt;=S$1,Inputs!$B$40,0)*(1+inf)^R$1</f>
        <v>0</v>
      </c>
      <c r="T40" s="7">
        <f>IF(Inputs!$B$41&gt;=T$1,Inputs!$B$40,0)*(1+inf)^S$1</f>
        <v>0</v>
      </c>
      <c r="U40" s="7">
        <f>IF(Inputs!$B$41&gt;=U$1,Inputs!$B$40,0)*(1+inf)^T$1</f>
        <v>0</v>
      </c>
      <c r="V40" s="7">
        <f>IF(Inputs!$B$41&gt;=V$1,Inputs!$B$40,0)*(1+inf)^U$1</f>
        <v>0</v>
      </c>
      <c r="W40" s="7">
        <f>IF(Inputs!$B$41&gt;=W$1,Inputs!$B$40,0)*(1+inf)^V$1</f>
        <v>0</v>
      </c>
      <c r="X40" s="7">
        <f>IF(Inputs!$B$41&gt;=X$1,Inputs!$B$40,0)*(1+inf)^W$1</f>
        <v>0</v>
      </c>
      <c r="Y40" s="7">
        <f>IF(Inputs!$B$41&gt;=Y$1,Inputs!$B$40,0)*(1+inf)^X$1</f>
        <v>0</v>
      </c>
      <c r="Z40" s="7">
        <f>IF(Inputs!$B$41&gt;=Z$1,Inputs!$B$40,0)*(1+inf)^Y$1</f>
        <v>0</v>
      </c>
      <c r="AA40" s="7">
        <f>IF(Inputs!$B$41&gt;=AA$1,Inputs!$B$40,0)*(1+inf)^Z$1</f>
        <v>0</v>
      </c>
      <c r="AB40" s="7">
        <f>IF(Inputs!$B$41&gt;=AB$1,Inputs!$B$40,0)*(1+inf)^AA$1</f>
        <v>0</v>
      </c>
      <c r="AC40" s="7">
        <f>IF(Inputs!$B$41&gt;=AC$1,Inputs!$B$40,0)*(1+inf)^AB$1</f>
        <v>0</v>
      </c>
      <c r="AD40" s="7">
        <f>IF(Inputs!$B$41&gt;=AD$1,Inputs!$B$40,0)*(1+inf)^AC$1</f>
        <v>0</v>
      </c>
      <c r="AE40" s="7">
        <f>IF(Inputs!$B$41&gt;=AE$1,Inputs!$B$40,0)*(1+inf)^AD$1</f>
        <v>0</v>
      </c>
      <c r="AF40" s="7">
        <f>IF(Inputs!$B$41&gt;=AF$1,Inputs!$B$40,0)*(1+inf)^AE$1</f>
        <v>0</v>
      </c>
      <c r="AG40" s="7">
        <f>IF(Inputs!$B$41&gt;=AG$1,Inputs!$B$40,0)*(1+inf)^AF$1</f>
        <v>0</v>
      </c>
      <c r="AH40" s="7">
        <f>IF(Inputs!$B$41&gt;=AH$1,Inputs!$B$40,0)*(1+inf)^AG$1</f>
        <v>0</v>
      </c>
      <c r="AI40" s="7">
        <f>IF(Inputs!$B$41&gt;=AI$1,Inputs!$B$40,0)*(1+inf)^AH$1</f>
        <v>0</v>
      </c>
      <c r="AJ40" s="7">
        <f>IF(Inputs!$B$41&gt;=AJ$1,Inputs!$B$40,0)*(1+inf)^AI$1</f>
        <v>0</v>
      </c>
      <c r="AK40" s="7">
        <f>IF(Inputs!$B$41&gt;=AK$1,Inputs!$B$40,0)*(1+inf)^AJ$1</f>
        <v>0</v>
      </c>
      <c r="AL40" s="7">
        <f>IF(Inputs!$B$41&gt;=AL$1,Inputs!$B$40,0)*(1+inf)^AK$1</f>
        <v>0</v>
      </c>
      <c r="AM40" s="7">
        <f>IF(Inputs!$B$41&gt;=AM$1,Inputs!$B$40,0)*(1+inf)^AL$1</f>
        <v>0</v>
      </c>
    </row>
    <row r="41" spans="1:39" x14ac:dyDescent="0.2">
      <c r="A41" s="3" t="str">
        <f>TEXT(Inputs!B44,"")</f>
        <v>Bill</v>
      </c>
      <c r="B41" s="8"/>
      <c r="C41" s="7">
        <f ca="1">IF(Inputs!$B$46&gt;=C$1,Inputs!$B$45,0)*(1+inf)^B$1*ProRate</f>
        <v>3000</v>
      </c>
      <c r="D41" s="101">
        <f>IF(Inputs!$B$46&gt;=D$1,Inputs!$B$45,0)*(1+inf)^C$1</f>
        <v>4100</v>
      </c>
      <c r="E41" s="110">
        <f>IF(Inputs!$B$46&gt;=E$1,Inputs!$B$45,0)*(1+inf)^D$1</f>
        <v>0</v>
      </c>
      <c r="F41" s="7">
        <f>IF(Inputs!$B$46&gt;=F$1,Inputs!$B$45,0)*(1+inf)^E$1</f>
        <v>0</v>
      </c>
      <c r="G41" s="7">
        <f>IF(Inputs!$B$46&gt;=G$1,Inputs!$B$45,0)*(1+inf)^F$1</f>
        <v>0</v>
      </c>
      <c r="H41" s="7">
        <f>IF(Inputs!$B$46&gt;=H$1,Inputs!$B$45,0)*(1+inf)^G$1</f>
        <v>0</v>
      </c>
      <c r="I41" s="7">
        <f>IF(Inputs!$B$46&gt;=I$1,Inputs!$B$45,0)*(1+inf)^H$1</f>
        <v>0</v>
      </c>
      <c r="J41" s="7">
        <f>IF(Inputs!$B$46&gt;=J$1,Inputs!$B$45,0)*(1+inf)^I$1</f>
        <v>0</v>
      </c>
      <c r="K41" s="7">
        <f>IF(Inputs!$B$46&gt;=K$1,Inputs!$B$45,0)*(1+inf)^J$1</f>
        <v>0</v>
      </c>
      <c r="L41" s="7">
        <f>IF(Inputs!$B$46&gt;=L$1,Inputs!$B$45,0)*(1+inf)^K$1</f>
        <v>0</v>
      </c>
      <c r="M41" s="7">
        <f>IF(Inputs!$B$46&gt;=M$1,Inputs!$B$45,0)*(1+inf)^L$1</f>
        <v>0</v>
      </c>
      <c r="N41" s="7">
        <f>IF(Inputs!$B$46&gt;=N$1,Inputs!$B$45,0)*(1+inf)^M$1</f>
        <v>0</v>
      </c>
      <c r="O41" s="7">
        <f>IF(Inputs!$B$46&gt;=O$1,Inputs!$B$45,0)*(1+inf)^N$1</f>
        <v>0</v>
      </c>
      <c r="P41" s="7">
        <f>IF(Inputs!$B$46&gt;=P$1,Inputs!$B$45,0)*(1+inf)^O$1</f>
        <v>0</v>
      </c>
      <c r="Q41" s="7">
        <f>IF(Inputs!$B$46&gt;=Q$1,Inputs!$B$45,0)*(1+inf)^P$1</f>
        <v>0</v>
      </c>
      <c r="R41" s="7">
        <f>IF(Inputs!$B$46&gt;=R$1,Inputs!$B$45,0)*(1+inf)^Q$1</f>
        <v>0</v>
      </c>
      <c r="S41" s="7">
        <f>IF(Inputs!$B$46&gt;=S$1,Inputs!$B$45,0)*(1+inf)^R$1</f>
        <v>0</v>
      </c>
      <c r="T41" s="7">
        <f>IF(Inputs!$B$46&gt;=T$1,Inputs!$B$45,0)*(1+inf)^S$1</f>
        <v>0</v>
      </c>
      <c r="U41" s="7">
        <f>IF(Inputs!$B$46&gt;=U$1,Inputs!$B$45,0)*(1+inf)^T$1</f>
        <v>0</v>
      </c>
      <c r="V41" s="7">
        <f>IF(Inputs!$B$46&gt;=V$1,Inputs!$B$45,0)*(1+inf)^U$1</f>
        <v>0</v>
      </c>
      <c r="W41" s="7">
        <f>IF(Inputs!$B$46&gt;=W$1,Inputs!$B$45,0)*(1+inf)^V$1</f>
        <v>0</v>
      </c>
      <c r="X41" s="7">
        <f>IF(Inputs!$B$46&gt;=X$1,Inputs!$B$45,0)*(1+inf)^W$1</f>
        <v>0</v>
      </c>
      <c r="Y41" s="7">
        <f>IF(Inputs!$B$46&gt;=Y$1,Inputs!$B$45,0)*(1+inf)^X$1</f>
        <v>0</v>
      </c>
      <c r="Z41" s="7">
        <f>IF(Inputs!$B$46&gt;=Z$1,Inputs!$B$45,0)*(1+inf)^Y$1</f>
        <v>0</v>
      </c>
      <c r="AA41" s="7">
        <f>IF(Inputs!$B$46&gt;=AA$1,Inputs!$B$45,0)*(1+inf)^Z$1</f>
        <v>0</v>
      </c>
      <c r="AB41" s="7">
        <f>IF(Inputs!$B$46&gt;=AB$1,Inputs!$B$45,0)*(1+inf)^AA$1</f>
        <v>0</v>
      </c>
      <c r="AC41" s="7">
        <f>IF(Inputs!$B$46&gt;=AC$1,Inputs!$B$45,0)*(1+inf)^AB$1</f>
        <v>0</v>
      </c>
      <c r="AD41" s="7">
        <f>IF(Inputs!$B$46&gt;=AD$1,Inputs!$B$45,0)*(1+inf)^AC$1</f>
        <v>0</v>
      </c>
      <c r="AE41" s="7">
        <f>IF(Inputs!$B$46&gt;=AE$1,Inputs!$B$45,0)*(1+inf)^AD$1</f>
        <v>0</v>
      </c>
      <c r="AF41" s="7">
        <f>IF(Inputs!$B$46&gt;=AF$1,Inputs!$B$45,0)*(1+inf)^AE$1</f>
        <v>0</v>
      </c>
      <c r="AG41" s="7">
        <f>IF(Inputs!$B$46&gt;=AG$1,Inputs!$B$45,0)*(1+inf)^AF$1</f>
        <v>0</v>
      </c>
      <c r="AH41" s="7">
        <f>IF(Inputs!$B$46&gt;=AH$1,Inputs!$B$45,0)*(1+inf)^AG$1</f>
        <v>0</v>
      </c>
      <c r="AI41" s="7">
        <f>IF(Inputs!$B$46&gt;=AI$1,Inputs!$B$45,0)*(1+inf)^AH$1</f>
        <v>0</v>
      </c>
      <c r="AJ41" s="7">
        <f>IF(Inputs!$B$46&gt;=AJ$1,Inputs!$B$45,0)*(1+inf)^AI$1</f>
        <v>0</v>
      </c>
      <c r="AK41" s="7">
        <f>IF(Inputs!$B$46&gt;=AK$1,Inputs!$B$45,0)*(1+inf)^AJ$1</f>
        <v>0</v>
      </c>
      <c r="AL41" s="7">
        <f>IF(Inputs!$B$46&gt;=AL$1,Inputs!$B$45,0)*(1+inf)^AK$1</f>
        <v>0</v>
      </c>
      <c r="AM41" s="7">
        <f>IF(Inputs!$B$46&gt;=AM$1,Inputs!$B$45,0)*(1+inf)^AL$1</f>
        <v>0</v>
      </c>
    </row>
    <row r="42" spans="1:39" x14ac:dyDescent="0.2">
      <c r="A42" s="3" t="str">
        <f>TEXT(Inputs!B49,"")</f>
        <v>Stephen</v>
      </c>
      <c r="B42" s="8"/>
      <c r="C42" s="7">
        <f ca="1">IF(Inputs!$B$51&gt;=C$1,Inputs!$B$50,0)*(1+inf)^B$1*ProRate</f>
        <v>1875</v>
      </c>
      <c r="D42" s="101">
        <f>IF(Inputs!$B$51&gt;=D$1,Inputs!$B$50,0)*(1+inf)^C$1</f>
        <v>2562.5</v>
      </c>
      <c r="E42" s="110">
        <f>IF(Inputs!$B$51&gt;=E$1,Inputs!$B$50,0)*(1+inf)^D$1</f>
        <v>2626.5625</v>
      </c>
      <c r="F42" s="7">
        <f>IF(Inputs!$B$51&gt;=F$1,Inputs!$B$50,0)*(1+inf)^E$1</f>
        <v>0</v>
      </c>
      <c r="G42" s="7">
        <f>IF(Inputs!$B$51&gt;=G$1,Inputs!$B$50,0)*(1+inf)^F$1</f>
        <v>0</v>
      </c>
      <c r="H42" s="7">
        <f>IF(Inputs!$B$51&gt;=H$1,Inputs!$B$50,0)*(1+inf)^G$1</f>
        <v>0</v>
      </c>
      <c r="I42" s="7">
        <f>IF(Inputs!$B$51&gt;=I$1,Inputs!$B$50,0)*(1+inf)^H$1</f>
        <v>0</v>
      </c>
      <c r="J42" s="7">
        <f>IF(Inputs!$B$51&gt;=J$1,Inputs!$B$50,0)*(1+inf)^I$1</f>
        <v>0</v>
      </c>
      <c r="K42" s="7">
        <f>IF(Inputs!$B$51&gt;=K$1,Inputs!$B$50,0)*(1+inf)^J$1</f>
        <v>0</v>
      </c>
      <c r="L42" s="7">
        <f>IF(Inputs!$B$51&gt;=L$1,Inputs!$B$50,0)*(1+inf)^K$1</f>
        <v>0</v>
      </c>
      <c r="M42" s="7">
        <f>IF(Inputs!$B$51&gt;=M$1,Inputs!$B$50,0)*(1+inf)^L$1</f>
        <v>0</v>
      </c>
      <c r="N42" s="7">
        <f>IF(Inputs!$B$51&gt;=N$1,Inputs!$B$50,0)*(1+inf)^M$1</f>
        <v>0</v>
      </c>
      <c r="O42" s="7">
        <f>IF(Inputs!$B$51&gt;=O$1,Inputs!$B$50,0)*(1+inf)^N$1</f>
        <v>0</v>
      </c>
      <c r="P42" s="7">
        <f>IF(Inputs!$B$51&gt;=P$1,Inputs!$B$50,0)*(1+inf)^O$1</f>
        <v>0</v>
      </c>
      <c r="Q42" s="7">
        <f>IF(Inputs!$B$51&gt;=Q$1,Inputs!$B$50,0)*(1+inf)^P$1</f>
        <v>0</v>
      </c>
      <c r="R42" s="7">
        <f>IF(Inputs!$B$51&gt;=R$1,Inputs!$B$50,0)*(1+inf)^Q$1</f>
        <v>0</v>
      </c>
      <c r="S42" s="7">
        <f>IF(Inputs!$B$51&gt;=S$1,Inputs!$B$50,0)*(1+inf)^R$1</f>
        <v>0</v>
      </c>
      <c r="T42" s="7">
        <f>IF(Inputs!$B$51&gt;=T$1,Inputs!$B$50,0)*(1+inf)^S$1</f>
        <v>0</v>
      </c>
      <c r="U42" s="7">
        <f>IF(Inputs!$B$51&gt;=U$1,Inputs!$B$50,0)*(1+inf)^T$1</f>
        <v>0</v>
      </c>
      <c r="V42" s="7">
        <f>IF(Inputs!$B$51&gt;=V$1,Inputs!$B$50,0)*(1+inf)^U$1</f>
        <v>0</v>
      </c>
      <c r="W42" s="7">
        <f>IF(Inputs!$B$51&gt;=W$1,Inputs!$B$50,0)*(1+inf)^V$1</f>
        <v>0</v>
      </c>
      <c r="X42" s="7">
        <f>IF(Inputs!$B$51&gt;=X$1,Inputs!$B$50,0)*(1+inf)^W$1</f>
        <v>0</v>
      </c>
      <c r="Y42" s="7">
        <f>IF(Inputs!$B$51&gt;=Y$1,Inputs!$B$50,0)*(1+inf)^X$1</f>
        <v>0</v>
      </c>
      <c r="Z42" s="7">
        <f>IF(Inputs!$B$51&gt;=Z$1,Inputs!$B$50,0)*(1+inf)^Y$1</f>
        <v>0</v>
      </c>
      <c r="AA42" s="7">
        <f>IF(Inputs!$B$51&gt;=AA$1,Inputs!$B$50,0)*(1+inf)^Z$1</f>
        <v>0</v>
      </c>
      <c r="AB42" s="7">
        <f>IF(Inputs!$B$51&gt;=AB$1,Inputs!$B$50,0)*(1+inf)^AA$1</f>
        <v>0</v>
      </c>
      <c r="AC42" s="7">
        <f>IF(Inputs!$B$51&gt;=AC$1,Inputs!$B$50,0)*(1+inf)^AB$1</f>
        <v>0</v>
      </c>
      <c r="AD42" s="7">
        <f>IF(Inputs!$B$51&gt;=AD$1,Inputs!$B$50,0)*(1+inf)^AC$1</f>
        <v>0</v>
      </c>
      <c r="AE42" s="7">
        <f>IF(Inputs!$B$51&gt;=AE$1,Inputs!$B$50,0)*(1+inf)^AD$1</f>
        <v>0</v>
      </c>
      <c r="AF42" s="7">
        <f>IF(Inputs!$B$51&gt;=AF$1,Inputs!$B$50,0)*(1+inf)^AE$1</f>
        <v>0</v>
      </c>
      <c r="AG42" s="7">
        <f>IF(Inputs!$B$51&gt;=AG$1,Inputs!$B$50,0)*(1+inf)^AF$1</f>
        <v>0</v>
      </c>
      <c r="AH42" s="7">
        <f>IF(Inputs!$B$51&gt;=AH$1,Inputs!$B$50,0)*(1+inf)^AG$1</f>
        <v>0</v>
      </c>
      <c r="AI42" s="7">
        <f>IF(Inputs!$B$51&gt;=AI$1,Inputs!$B$50,0)*(1+inf)^AH$1</f>
        <v>0</v>
      </c>
      <c r="AJ42" s="7">
        <f>IF(Inputs!$B$51&gt;=AJ$1,Inputs!$B$50,0)*(1+inf)^AI$1</f>
        <v>0</v>
      </c>
      <c r="AK42" s="7">
        <f>IF(Inputs!$B$51&gt;=AK$1,Inputs!$B$50,0)*(1+inf)^AJ$1</f>
        <v>0</v>
      </c>
      <c r="AL42" s="7">
        <f>IF(Inputs!$B$51&gt;=AL$1,Inputs!$B$50,0)*(1+inf)^AK$1</f>
        <v>0</v>
      </c>
      <c r="AM42" s="7">
        <f>IF(Inputs!$B$51&gt;=AM$1,Inputs!$B$50,0)*(1+inf)^AL$1</f>
        <v>0</v>
      </c>
    </row>
    <row r="43" spans="1:39" x14ac:dyDescent="0.2">
      <c r="A43" s="3" t="str">
        <f>TEXT(Inputs!B54,"")</f>
        <v>Jane</v>
      </c>
      <c r="B43" s="8"/>
      <c r="C43" s="7">
        <f ca="1">IF(Inputs!$B$56&gt;=C$1,Inputs!$B$55,0)*(1+inf)^B$1*ProRate</f>
        <v>2145</v>
      </c>
      <c r="D43" s="101">
        <f>IF(Inputs!$B$56&gt;=D$1,Inputs!$B$55,0)*(1+inf)^C$1</f>
        <v>2931.4999999999995</v>
      </c>
      <c r="E43" s="110">
        <f>IF(Inputs!$B$56&gt;=E$1,Inputs!$B$55,0)*(1+inf)^D$1</f>
        <v>3004.7874999999999</v>
      </c>
      <c r="F43" s="7">
        <f>IF(Inputs!$B$56&gt;=F$1,Inputs!$B$55,0)*(1+inf)^E$1</f>
        <v>3079.9071874999995</v>
      </c>
      <c r="G43" s="7">
        <f>IF(Inputs!$B$56&gt;=G$1,Inputs!$B$55,0)*(1+inf)^F$1</f>
        <v>3156.9048671874993</v>
      </c>
      <c r="H43" s="7">
        <f>IF(Inputs!$B$56&gt;=H$1,Inputs!$B$55,0)*(1+inf)^G$1</f>
        <v>3235.8274888671867</v>
      </c>
      <c r="I43" s="7">
        <f>IF(Inputs!$B$56&gt;=I$1,Inputs!$B$55,0)*(1+inf)^H$1</f>
        <v>0</v>
      </c>
      <c r="J43" s="7">
        <f>IF(Inputs!$B$56&gt;=J$1,Inputs!$B$55,0)*(1+inf)^I$1</f>
        <v>0</v>
      </c>
      <c r="K43" s="7">
        <f>IF(Inputs!$B$56&gt;=K$1,Inputs!$B$55,0)*(1+inf)^J$1</f>
        <v>0</v>
      </c>
      <c r="L43" s="7">
        <f>IF(Inputs!$B$56&gt;=L$1,Inputs!$B$55,0)*(1+inf)^K$1</f>
        <v>0</v>
      </c>
      <c r="M43" s="7">
        <f>IF(Inputs!$B$56&gt;=M$1,Inputs!$B$55,0)*(1+inf)^L$1</f>
        <v>0</v>
      </c>
      <c r="N43" s="7">
        <f>IF(Inputs!$B$56&gt;=N$1,Inputs!$B$55,0)*(1+inf)^M$1</f>
        <v>0</v>
      </c>
      <c r="O43" s="7">
        <f>IF(Inputs!$B$56&gt;=O$1,Inputs!$B$55,0)*(1+inf)^N$1</f>
        <v>0</v>
      </c>
      <c r="P43" s="7">
        <f>IF(Inputs!$B$56&gt;=P$1,Inputs!$B$55,0)*(1+inf)^O$1</f>
        <v>0</v>
      </c>
      <c r="Q43" s="7">
        <f>IF(Inputs!$B$56&gt;=Q$1,Inputs!$B$55,0)*(1+inf)^P$1</f>
        <v>0</v>
      </c>
      <c r="R43" s="7">
        <f>IF(Inputs!$B$56&gt;=R$1,Inputs!$B$55,0)*(1+inf)^Q$1</f>
        <v>0</v>
      </c>
      <c r="S43" s="7">
        <f>IF(Inputs!$B$56&gt;=S$1,Inputs!$B$55,0)*(1+inf)^R$1</f>
        <v>0</v>
      </c>
      <c r="T43" s="7">
        <f>IF(Inputs!$B$56&gt;=T$1,Inputs!$B$55,0)*(1+inf)^S$1</f>
        <v>0</v>
      </c>
      <c r="U43" s="7">
        <f>IF(Inputs!$B$56&gt;=U$1,Inputs!$B$55,0)*(1+inf)^T$1</f>
        <v>0</v>
      </c>
      <c r="V43" s="7">
        <f>IF(Inputs!$B$56&gt;=V$1,Inputs!$B$55,0)*(1+inf)^U$1</f>
        <v>0</v>
      </c>
      <c r="W43" s="7">
        <f>IF(Inputs!$B$56&gt;=W$1,Inputs!$B$55,0)*(1+inf)^V$1</f>
        <v>0</v>
      </c>
      <c r="X43" s="7">
        <f>IF(Inputs!$B$56&gt;=X$1,Inputs!$B$55,0)*(1+inf)^W$1</f>
        <v>0</v>
      </c>
      <c r="Y43" s="7">
        <f>IF(Inputs!$B$56&gt;=Y$1,Inputs!$B$55,0)*(1+inf)^X$1</f>
        <v>0</v>
      </c>
      <c r="Z43" s="7">
        <f>IF(Inputs!$B$56&gt;=Z$1,Inputs!$B$55,0)*(1+inf)^Y$1</f>
        <v>0</v>
      </c>
      <c r="AA43" s="7">
        <f>IF(Inputs!$B$56&gt;=AA$1,Inputs!$B$55,0)*(1+inf)^Z$1</f>
        <v>0</v>
      </c>
      <c r="AB43" s="7">
        <f>IF(Inputs!$B$56&gt;=AB$1,Inputs!$B$55,0)*(1+inf)^AA$1</f>
        <v>0</v>
      </c>
      <c r="AC43" s="7">
        <f>IF(Inputs!$B$56&gt;=AC$1,Inputs!$B$55,0)*(1+inf)^AB$1</f>
        <v>0</v>
      </c>
      <c r="AD43" s="7">
        <f>IF(Inputs!$B$56&gt;=AD$1,Inputs!$B$55,0)*(1+inf)^AC$1</f>
        <v>0</v>
      </c>
      <c r="AE43" s="7">
        <f>IF(Inputs!$B$56&gt;=AE$1,Inputs!$B$55,0)*(1+inf)^AD$1</f>
        <v>0</v>
      </c>
      <c r="AF43" s="7">
        <f>IF(Inputs!$B$56&gt;=AF$1,Inputs!$B$55,0)*(1+inf)^AE$1</f>
        <v>0</v>
      </c>
      <c r="AG43" s="7">
        <f>IF(Inputs!$B$56&gt;=AG$1,Inputs!$B$55,0)*(1+inf)^AF$1</f>
        <v>0</v>
      </c>
      <c r="AH43" s="7">
        <f>IF(Inputs!$B$56&gt;=AH$1,Inputs!$B$55,0)*(1+inf)^AG$1</f>
        <v>0</v>
      </c>
      <c r="AI43" s="7">
        <f>IF(Inputs!$B$56&gt;=AI$1,Inputs!$B$55,0)*(1+inf)^AH$1</f>
        <v>0</v>
      </c>
      <c r="AJ43" s="7">
        <f>IF(Inputs!$B$56&gt;=AJ$1,Inputs!$B$55,0)*(1+inf)^AI$1</f>
        <v>0</v>
      </c>
      <c r="AK43" s="7">
        <f>IF(Inputs!$B$56&gt;=AK$1,Inputs!$B$55,0)*(1+inf)^AJ$1</f>
        <v>0</v>
      </c>
      <c r="AL43" s="7">
        <f>IF(Inputs!$B$56&gt;=AL$1,Inputs!$B$55,0)*(1+inf)^AK$1</f>
        <v>0</v>
      </c>
      <c r="AM43" s="7">
        <f>IF(Inputs!$B$56&gt;=AM$1,Inputs!$B$55,0)*(1+inf)^AL$1</f>
        <v>0</v>
      </c>
    </row>
    <row r="44" spans="1:39" x14ac:dyDescent="0.2">
      <c r="A44" s="4" t="s">
        <v>221</v>
      </c>
      <c r="B44" s="8"/>
      <c r="C44" s="7">
        <f ca="1">IF(AND(Inputs!$B$218&lt;&gt;"",C$2&gt;=Inputs!$B$218),IF(OR(Inputs!$B$13&lt;=0,UPPER(Inputs!$B$220)="RENT"),Inputs!$B$224*12*(1+inf)^B$1*IF(B$1=0,ProRate,1),0),Inputs!$B$24*12*(1+inf)^B$1*IF(B$1=0,ProRate,1))</f>
        <v>0</v>
      </c>
      <c r="D44" s="101">
        <f ca="1">IF(AND(Inputs!$B$218&lt;&gt;"",D$2&gt;=Inputs!$B$218),IF(OR(Inputs!$B$13&lt;=0,UPPER(Inputs!$B$220)="RENT"),Inputs!$B$224*12*(1+inf)^C$1*IF(C$1=0,ProRate,1),0),Inputs!$B$24*12*(1+inf)^C$1*IF(C$1=0,ProRate,1))</f>
        <v>0</v>
      </c>
      <c r="E44" s="110">
        <f ca="1">IF(AND(Inputs!$B$218&lt;&gt;"",E$2&gt;=Inputs!$B$218),IF(OR(Inputs!$B$13&lt;=0,UPPER(Inputs!$B$220)="RENT"),Inputs!$B$224*12*(1+inf)^D$1*IF(D$1=0,ProRate,1),0),Inputs!$B$24*12*(1+inf)^D$1*IF(D$1=0,ProRate,1))</f>
        <v>0</v>
      </c>
      <c r="F44" s="7">
        <f ca="1">IF(AND(Inputs!$B$218&lt;&gt;"",F$2&gt;=Inputs!$B$218),IF(OR(Inputs!$B$13&lt;=0,UPPER(Inputs!$B$220)="RENT"),Inputs!$B$224*12*(1+inf)^E$1*IF(E$1=0,ProRate,1),0),Inputs!$B$24*12*(1+inf)^E$1*IF(E$1=0,ProRate,1))</f>
        <v>0</v>
      </c>
      <c r="G44" s="7">
        <f ca="1">IF(AND(Inputs!$B$218&lt;&gt;"",G$2&gt;=Inputs!$B$218),IF(OR(Inputs!$B$13&lt;=0,UPPER(Inputs!$B$220)="RENT"),Inputs!$B$224*12*(1+inf)^F$1*IF(F$1=0,ProRate,1),0),Inputs!$B$24*12*(1+inf)^F$1*IF(F$1=0,ProRate,1))</f>
        <v>0</v>
      </c>
      <c r="H44" s="7">
        <f ca="1">IF(AND(Inputs!$B$218&lt;&gt;"",H$2&gt;=Inputs!$B$218),IF(OR(Inputs!$B$13&lt;=0,UPPER(Inputs!$B$220)="RENT"),Inputs!$B$224*12*(1+inf)^G$1*IF(G$1=0,ProRate,1),0),Inputs!$B$24*12*(1+inf)^G$1*IF(G$1=0,ProRate,1))</f>
        <v>0</v>
      </c>
      <c r="I44" s="7">
        <f ca="1">IF(AND(Inputs!$B$218&lt;&gt;"",I$2&gt;=Inputs!$B$218),IF(OR(Inputs!$B$13&lt;=0,UPPER(Inputs!$B$220)="RENT"),Inputs!$B$224*12*(1+inf)^H$1*IF(H$1=0,ProRate,1),0),Inputs!$B$24*12*(1+inf)^H$1*IF(H$1=0,ProRate,1))</f>
        <v>0</v>
      </c>
      <c r="J44" s="7">
        <f ca="1">IF(AND(Inputs!$B$218&lt;&gt;"",J$2&gt;=Inputs!$B$218),IF(OR(Inputs!$B$13&lt;=0,UPPER(Inputs!$B$220)="RENT"),Inputs!$B$224*12*(1+inf)^I$1*IF(I$1=0,ProRate,1),0),Inputs!$B$24*12*(1+inf)^I$1*IF(I$1=0,ProRate,1))</f>
        <v>0</v>
      </c>
      <c r="K44" s="7">
        <f ca="1">IF(AND(Inputs!$B$218&lt;&gt;"",K$2&gt;=Inputs!$B$218),IF(OR(Inputs!$B$13&lt;=0,UPPER(Inputs!$B$220)="RENT"),Inputs!$B$224*12*(1+inf)^J$1*IF(J$1=0,ProRate,1),0),Inputs!$B$24*12*(1+inf)^J$1*IF(J$1=0,ProRate,1))</f>
        <v>0</v>
      </c>
      <c r="L44" s="7">
        <f ca="1">IF(AND(Inputs!$B$218&lt;&gt;"",L$2&gt;=Inputs!$B$218),IF(OR(Inputs!$B$13&lt;=0,UPPER(Inputs!$B$220)="RENT"),Inputs!$B$224*12*(1+inf)^K$1*IF(K$1=0,ProRate,1),0),Inputs!$B$24*12*(1+inf)^K$1*IF(K$1=0,ProRate,1))</f>
        <v>0</v>
      </c>
      <c r="M44" s="7">
        <f ca="1">IF(AND(Inputs!$B$218&lt;&gt;"",M$2&gt;=Inputs!$B$218),IF(OR(Inputs!$B$13&lt;=0,UPPER(Inputs!$B$220)="RENT"),Inputs!$B$224*12*(1+inf)^L$1*IF(L$1=0,ProRate,1),0),Inputs!$B$24*12*(1+inf)^L$1*IF(L$1=0,ProRate,1))</f>
        <v>0</v>
      </c>
      <c r="N44" s="7">
        <f ca="1">IF(AND(Inputs!$B$218&lt;&gt;"",N$2&gt;=Inputs!$B$218),IF(OR(Inputs!$B$13&lt;=0,UPPER(Inputs!$B$220)="RENT"),Inputs!$B$224*12*(1+inf)^M$1*IF(M$1=0,ProRate,1),0),Inputs!$B$24*12*(1+inf)^M$1*IF(M$1=0,ProRate,1))</f>
        <v>0</v>
      </c>
      <c r="O44" s="7">
        <f ca="1">IF(AND(Inputs!$B$218&lt;&gt;"",O$2&gt;=Inputs!$B$218),IF(OR(Inputs!$B$13&lt;=0,UPPER(Inputs!$B$220)="RENT"),Inputs!$B$224*12*(1+inf)^N$1*IF(N$1=0,ProRate,1),0),Inputs!$B$24*12*(1+inf)^N$1*IF(N$1=0,ProRate,1))</f>
        <v>0</v>
      </c>
      <c r="P44" s="7">
        <f ca="1">IF(AND(Inputs!$B$218&lt;&gt;"",P$2&gt;=Inputs!$B$218),IF(OR(Inputs!$B$13&lt;=0,UPPER(Inputs!$B$220)="RENT"),Inputs!$B$224*12*(1+inf)^O$1*IF(O$1=0,ProRate,1),0),Inputs!$B$24*12*(1+inf)^O$1*IF(O$1=0,ProRate,1))</f>
        <v>0</v>
      </c>
      <c r="Q44" s="7">
        <f ca="1">IF(AND(Inputs!$B$218&lt;&gt;"",Q$2&gt;=Inputs!$B$218),IF(OR(Inputs!$B$13&lt;=0,UPPER(Inputs!$B$220)="RENT"),Inputs!$B$224*12*(1+inf)^P$1*IF(P$1=0,ProRate,1),0),Inputs!$B$24*12*(1+inf)^P$1*IF(P$1=0,ProRate,1))</f>
        <v>0</v>
      </c>
      <c r="R44" s="7">
        <f ca="1">IF(AND(Inputs!$B$218&lt;&gt;"",R$2&gt;=Inputs!$B$218),IF(OR(Inputs!$B$13&lt;=0,UPPER(Inputs!$B$220)="RENT"),Inputs!$B$224*12*(1+inf)^Q$1*IF(Q$1=0,ProRate,1),0),Inputs!$B$24*12*(1+inf)^Q$1*IF(Q$1=0,ProRate,1))</f>
        <v>0</v>
      </c>
      <c r="S44" s="7">
        <f ca="1">IF(AND(Inputs!$B$218&lt;&gt;"",S$2&gt;=Inputs!$B$218),IF(OR(Inputs!$B$13&lt;=0,UPPER(Inputs!$B$220)="RENT"),Inputs!$B$224*12*(1+inf)^R$1*IF(R$1=0,ProRate,1),0),Inputs!$B$24*12*(1+inf)^R$1*IF(R$1=0,ProRate,1))</f>
        <v>0</v>
      </c>
      <c r="T44" s="7">
        <f ca="1">IF(AND(Inputs!$B$218&lt;&gt;"",T$2&gt;=Inputs!$B$218),IF(OR(Inputs!$B$13&lt;=0,UPPER(Inputs!$B$220)="RENT"),Inputs!$B$224*12*(1+inf)^S$1*IF(S$1=0,ProRate,1),0),Inputs!$B$24*12*(1+inf)^S$1*IF(S$1=0,ProRate,1))</f>
        <v>0</v>
      </c>
      <c r="U44" s="7">
        <f ca="1">IF(AND(Inputs!$B$218&lt;&gt;"",U$2&gt;=Inputs!$B$218),IF(OR(Inputs!$B$13&lt;=0,UPPER(Inputs!$B$220)="RENT"),Inputs!$B$224*12*(1+inf)^T$1*IF(T$1=0,ProRate,1),0),Inputs!$B$24*12*(1+inf)^T$1*IF(T$1=0,ProRate,1))</f>
        <v>0</v>
      </c>
      <c r="V44" s="7">
        <f ca="1">IF(AND(Inputs!$B$218&lt;&gt;"",V$2&gt;=Inputs!$B$218),IF(OR(Inputs!$B$13&lt;=0,UPPER(Inputs!$B$220)="RENT"),Inputs!$B$224*12*(1+inf)^U$1*IF(U$1=0,ProRate,1),0),Inputs!$B$24*12*(1+inf)^U$1*IF(U$1=0,ProRate,1))</f>
        <v>0</v>
      </c>
      <c r="W44" s="7">
        <f ca="1">IF(AND(Inputs!$B$218&lt;&gt;"",W$2&gt;=Inputs!$B$218),IF(OR(Inputs!$B$13&lt;=0,UPPER(Inputs!$B$220)="RENT"),Inputs!$B$224*12*(1+inf)^V$1*IF(V$1=0,ProRate,1),0),Inputs!$B$24*12*(1+inf)^V$1*IF(V$1=0,ProRate,1))</f>
        <v>0</v>
      </c>
      <c r="X44" s="7">
        <f ca="1">IF(AND(Inputs!$B$218&lt;&gt;"",X$2&gt;=Inputs!$B$218),IF(OR(Inputs!$B$13&lt;=0,UPPER(Inputs!$B$220)="RENT"),Inputs!$B$224*12*(1+inf)^W$1*IF(W$1=0,ProRate,1),0),Inputs!$B$24*12*(1+inf)^W$1*IF(W$1=0,ProRate,1))</f>
        <v>0</v>
      </c>
      <c r="Y44" s="7">
        <f ca="1">IF(AND(Inputs!$B$218&lt;&gt;"",Y$2&gt;=Inputs!$B$218),IF(OR(Inputs!$B$13&lt;=0,UPPER(Inputs!$B$220)="RENT"),Inputs!$B$224*12*(1+inf)^X$1*IF(X$1=0,ProRate,1),0),Inputs!$B$24*12*(1+inf)^X$1*IF(X$1=0,ProRate,1))</f>
        <v>0</v>
      </c>
      <c r="Z44" s="7">
        <f ca="1">IF(AND(Inputs!$B$218&lt;&gt;"",Z$2&gt;=Inputs!$B$218),IF(OR(Inputs!$B$13&lt;=0,UPPER(Inputs!$B$220)="RENT"),Inputs!$B$224*12*(1+inf)^Y$1*IF(Y$1=0,ProRate,1),0),Inputs!$B$24*12*(1+inf)^Y$1*IF(Y$1=0,ProRate,1))</f>
        <v>0</v>
      </c>
      <c r="AA44" s="7">
        <f ca="1">IF(AND(Inputs!$B$218&lt;&gt;"",AA$2&gt;=Inputs!$B$218),IF(OR(Inputs!$B$13&lt;=0,UPPER(Inputs!$B$220)="RENT"),Inputs!$B$224*12*(1+inf)^Z$1*IF(Z$1=0,ProRate,1),0),Inputs!$B$24*12*(1+inf)^Z$1*IF(Z$1=0,ProRate,1))</f>
        <v>0</v>
      </c>
      <c r="AB44" s="7">
        <f ca="1">IF(AND(Inputs!$B$218&lt;&gt;"",AB$2&gt;=Inputs!$B$218),IF(OR(Inputs!$B$13&lt;=0,UPPER(Inputs!$B$220)="RENT"),Inputs!$B$224*12*(1+inf)^AA$1*IF(AA$1=0,ProRate,1),0),Inputs!$B$24*12*(1+inf)^AA$1*IF(AA$1=0,ProRate,1))</f>
        <v>0</v>
      </c>
      <c r="AC44" s="7">
        <f ca="1">IF(AND(Inputs!$B$218&lt;&gt;"",AC$2&gt;=Inputs!$B$218),IF(OR(Inputs!$B$13&lt;=0,UPPER(Inputs!$B$220)="RENT"),Inputs!$B$224*12*(1+inf)^AB$1*IF(AB$1=0,ProRate,1),0),Inputs!$B$24*12*(1+inf)^AB$1*IF(AB$1=0,ProRate,1))</f>
        <v>0</v>
      </c>
      <c r="AD44" s="7">
        <f ca="1">IF(AND(Inputs!$B$218&lt;&gt;"",AD$2&gt;=Inputs!$B$218),IF(OR(Inputs!$B$13&lt;=0,UPPER(Inputs!$B$220)="RENT"),Inputs!$B$224*12*(1+inf)^AC$1*IF(AC$1=0,ProRate,1),0),Inputs!$B$24*12*(1+inf)^AC$1*IF(AC$1=0,ProRate,1))</f>
        <v>0</v>
      </c>
      <c r="AE44" s="7">
        <f ca="1">IF(AND(Inputs!$B$218&lt;&gt;"",AE$2&gt;=Inputs!$B$218),IF(OR(Inputs!$B$13&lt;=0,UPPER(Inputs!$B$220)="RENT"),Inputs!$B$224*12*(1+inf)^AD$1*IF(AD$1=0,ProRate,1),0),Inputs!$B$24*12*(1+inf)^AD$1*IF(AD$1=0,ProRate,1))</f>
        <v>0</v>
      </c>
      <c r="AF44" s="7">
        <f ca="1">IF(AND(Inputs!$B$218&lt;&gt;"",AF$2&gt;=Inputs!$B$218),IF(OR(Inputs!$B$13&lt;=0,UPPER(Inputs!$B$220)="RENT"),Inputs!$B$224*12*(1+inf)^AE$1*IF(AE$1=0,ProRate,1),0),Inputs!$B$24*12*(1+inf)^AE$1*IF(AE$1=0,ProRate,1))</f>
        <v>0</v>
      </c>
      <c r="AG44" s="7">
        <f ca="1">IF(AND(Inputs!$B$218&lt;&gt;"",AG$2&gt;=Inputs!$B$218),IF(OR(Inputs!$B$13&lt;=0,UPPER(Inputs!$B$220)="RENT"),Inputs!$B$224*12*(1+inf)^AF$1*IF(AF$1=0,ProRate,1),0),Inputs!$B$24*12*(1+inf)^AF$1*IF(AF$1=0,ProRate,1))</f>
        <v>0</v>
      </c>
      <c r="AH44" s="7">
        <f ca="1">IF(AND(Inputs!$B$218&lt;&gt;"",AH$2&gt;=Inputs!$B$218),IF(OR(Inputs!$B$13&lt;=0,UPPER(Inputs!$B$220)="RENT"),Inputs!$B$224*12*(1+inf)^AG$1*IF(AG$1=0,ProRate,1),0),Inputs!$B$24*12*(1+inf)^AG$1*IF(AG$1=0,ProRate,1))</f>
        <v>0</v>
      </c>
      <c r="AI44" s="7">
        <f ca="1">IF(AND(Inputs!$B$218&lt;&gt;"",AI$2&gt;=Inputs!$B$218),IF(OR(Inputs!$B$13&lt;=0,UPPER(Inputs!$B$220)="RENT"),Inputs!$B$224*12*(1+inf)^AH$1*IF(AH$1=0,ProRate,1),0),Inputs!$B$24*12*(1+inf)^AH$1*IF(AH$1=0,ProRate,1))</f>
        <v>0</v>
      </c>
      <c r="AJ44" s="7">
        <f ca="1">IF(AND(Inputs!$B$218&lt;&gt;"",AJ$2&gt;=Inputs!$B$218),IF(OR(Inputs!$B$13&lt;=0,UPPER(Inputs!$B$220)="RENT"),Inputs!$B$224*12*(1+inf)^AI$1*IF(AI$1=0,ProRate,1),0),Inputs!$B$24*12*(1+inf)^AI$1*IF(AI$1=0,ProRate,1))</f>
        <v>0</v>
      </c>
      <c r="AK44" s="7">
        <f ca="1">IF(AND(Inputs!$B$218&lt;&gt;"",AK$2&gt;=Inputs!$B$218),IF(OR(Inputs!$B$13&lt;=0,UPPER(Inputs!$B$220)="RENT"),Inputs!$B$224*12*(1+inf)^AJ$1*IF(AJ$1=0,ProRate,1),0),Inputs!$B$24*12*(1+inf)^AJ$1*IF(AJ$1=0,ProRate,1))</f>
        <v>0</v>
      </c>
      <c r="AL44" s="7">
        <f ca="1">IF(AND(Inputs!$B$218&lt;&gt;"",AL$2&gt;=Inputs!$B$218),IF(OR(Inputs!$B$13&lt;=0,UPPER(Inputs!$B$220)="RENT"),Inputs!$B$224*12*(1+inf)^AK$1*IF(AK$1=0,ProRate,1),0),Inputs!$B$24*12*(1+inf)^AK$1*IF(AK$1=0,ProRate,1))</f>
        <v>0</v>
      </c>
      <c r="AM44" s="7">
        <f ca="1">IF(AND(Inputs!$B$218&lt;&gt;"",AM$2&gt;=Inputs!$B$218),IF(OR(Inputs!$B$13&lt;=0,UPPER(Inputs!$B$220)="RENT"),Inputs!$B$224*12*(1+inf)^AL$1*IF(AL$1=0,ProRate,1),0),Inputs!$B$24*12*(1+inf)^AL$1*IF(AL$1=0,ProRate,1))</f>
        <v>0</v>
      </c>
    </row>
    <row r="45" spans="1:39" x14ac:dyDescent="0.2">
      <c r="A45" s="4" t="s">
        <v>52</v>
      </c>
      <c r="B45" s="8"/>
      <c r="C45" s="7"/>
      <c r="D45" s="101"/>
      <c r="E45" s="110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  <c r="AD45" s="7"/>
      <c r="AE45" s="7"/>
      <c r="AF45" s="7"/>
      <c r="AG45" s="7"/>
      <c r="AH45" s="7"/>
      <c r="AI45" s="7"/>
      <c r="AJ45" s="7"/>
      <c r="AK45" s="7"/>
      <c r="AL45" s="7"/>
      <c r="AM45" s="7"/>
    </row>
    <row r="46" spans="1:39" x14ac:dyDescent="0.2">
      <c r="A46" s="3" t="str">
        <f>TEXT(Inputs!$B$61,"")</f>
        <v>Sliema</v>
      </c>
      <c r="B46" s="8"/>
      <c r="C46" s="7">
        <f ca="1">Inputs!$B63*(1+inf)^B$1*ProRate</f>
        <v>3750</v>
      </c>
      <c r="D46" s="101">
        <f>Inputs!$B63*(1+inf)^C$1</f>
        <v>5125</v>
      </c>
      <c r="E46" s="110">
        <f>Inputs!$B63*(1+inf)^D$1</f>
        <v>5253.125</v>
      </c>
      <c r="F46" s="7">
        <f>Inputs!$B63*(1+inf)^E$1</f>
        <v>5384.4531249999991</v>
      </c>
      <c r="G46" s="7">
        <f>Inputs!$B63*(1+inf)^F$1</f>
        <v>5519.0644531249991</v>
      </c>
      <c r="H46" s="7">
        <f>Inputs!$B63*(1+inf)^G$1</f>
        <v>5657.041064453123</v>
      </c>
      <c r="I46" s="7">
        <f>Inputs!$B63*(1+inf)^H$1</f>
        <v>5798.4670910644509</v>
      </c>
      <c r="J46" s="7">
        <f>Inputs!$B63*(1+inf)^I$1</f>
        <v>5943.4287683410621</v>
      </c>
      <c r="K46" s="7">
        <f>Inputs!$B63*(1+inf)^J$1</f>
        <v>6092.0144875495889</v>
      </c>
      <c r="L46" s="7">
        <f>Inputs!$B63*(1+inf)^K$1</f>
        <v>6244.3148497383272</v>
      </c>
      <c r="M46" s="7">
        <f>Inputs!$B63*(1+inf)^L$1</f>
        <v>6400.4227209817855</v>
      </c>
      <c r="N46" s="7">
        <f>Inputs!$B63*(1+inf)^M$1</f>
        <v>6560.4332890063297</v>
      </c>
      <c r="O46" s="7">
        <f>Inputs!$B63*(1+inf)^N$1</f>
        <v>6724.4441212314878</v>
      </c>
      <c r="P46" s="7">
        <f>Inputs!$B63*(1+inf)^O$1</f>
        <v>6892.5552242622744</v>
      </c>
      <c r="Q46" s="7">
        <f>Inputs!$B63*(1+inf)^P$1</f>
        <v>7064.8691048688306</v>
      </c>
      <c r="R46" s="7">
        <f>Inputs!$B63*(1+inf)^Q$1</f>
        <v>7241.4908324905527</v>
      </c>
      <c r="S46" s="7">
        <f>Inputs!$B63*(1+inf)^R$1</f>
        <v>7422.5281033028159</v>
      </c>
      <c r="T46" s="7">
        <f>Inputs!$B63*(1+inf)^S$1</f>
        <v>7608.0913058853848</v>
      </c>
      <c r="U46" s="7">
        <f>Inputs!$B63*(1+inf)^T$1</f>
        <v>7798.2935885325196</v>
      </c>
      <c r="V46" s="7">
        <f>Inputs!$B63*(1+inf)^U$1</f>
        <v>7993.2509282458332</v>
      </c>
      <c r="W46" s="7">
        <f>Inputs!$B63*(1+inf)^V$1</f>
        <v>8193.0822014519781</v>
      </c>
      <c r="X46" s="7">
        <f>Inputs!$B63*(1+inf)^W$1</f>
        <v>8397.9092564882758</v>
      </c>
      <c r="Y46" s="7">
        <f>Inputs!$B63*(1+inf)^X$1</f>
        <v>8607.8569879004826</v>
      </c>
      <c r="Z46" s="7">
        <f>Inputs!$B63*(1+inf)^Y$1</f>
        <v>8823.0534125979957</v>
      </c>
      <c r="AA46" s="7">
        <f>Inputs!$B63*(1+inf)^Z$1</f>
        <v>9043.6297479129444</v>
      </c>
      <c r="AB46" s="7">
        <f>Inputs!$B63*(1+inf)^AA$1</f>
        <v>9269.7204916107676</v>
      </c>
      <c r="AC46" s="7">
        <f>Inputs!$B63*(1+inf)^AB$1</f>
        <v>9501.4635039010354</v>
      </c>
      <c r="AD46" s="7">
        <f>Inputs!$B63*(1+inf)^AC$1</f>
        <v>9739.0000914985612</v>
      </c>
      <c r="AE46" s="7">
        <f>Inputs!$B63*(1+inf)^AD$1</f>
        <v>9982.4750937860244</v>
      </c>
      <c r="AF46" s="7">
        <f>Inputs!$B63*(1+inf)^AE$1</f>
        <v>10232.036971130676</v>
      </c>
      <c r="AG46" s="7">
        <f>Inputs!$B63*(1+inf)^AF$1</f>
        <v>10487.83789540894</v>
      </c>
      <c r="AH46" s="7">
        <f>Inputs!$B63*(1+inf)^AG$1</f>
        <v>10750.033842794166</v>
      </c>
      <c r="AI46" s="7">
        <f>Inputs!$B63*(1+inf)^AH$1</f>
        <v>11018.784688864018</v>
      </c>
      <c r="AJ46" s="7">
        <f>Inputs!$B63*(1+inf)^AI$1</f>
        <v>11294.254306085619</v>
      </c>
      <c r="AK46" s="7">
        <f>Inputs!$B63*(1+inf)^AJ$1</f>
        <v>11576.610663737758</v>
      </c>
      <c r="AL46" s="7">
        <f>Inputs!$B63*(1+inf)^AK$1</f>
        <v>11866.025930331201</v>
      </c>
      <c r="AM46" s="7">
        <f>Inputs!$B63*(1+inf)^AL$1</f>
        <v>12162.676578589482</v>
      </c>
    </row>
    <row r="47" spans="1:39" x14ac:dyDescent="0.2">
      <c r="A47" s="3" t="str">
        <f>TEXT(Inputs!$B$66,"")</f>
        <v>Gzira</v>
      </c>
      <c r="B47" s="8"/>
      <c r="C47" s="7">
        <f ca="1">Inputs!$B68*(1+inf)^B$1*ProRate</f>
        <v>1500</v>
      </c>
      <c r="D47" s="101">
        <f>Inputs!$B68*(1+inf)^C$1</f>
        <v>2050</v>
      </c>
      <c r="E47" s="110">
        <f>Inputs!$B68*(1+inf)^D$1</f>
        <v>2101.25</v>
      </c>
      <c r="F47" s="7">
        <f>Inputs!$B68*(1+inf)^E$1</f>
        <v>2153.7812499999995</v>
      </c>
      <c r="G47" s="7">
        <f>Inputs!$B68*(1+inf)^F$1</f>
        <v>2207.6257812499994</v>
      </c>
      <c r="H47" s="7">
        <f>Inputs!$B68*(1+inf)^G$1</f>
        <v>2262.8164257812491</v>
      </c>
      <c r="I47" s="7">
        <f>Inputs!$B68*(1+inf)^H$1</f>
        <v>2319.3868364257805</v>
      </c>
      <c r="J47" s="7">
        <f>Inputs!$B68*(1+inf)^I$1</f>
        <v>2377.3715073364251</v>
      </c>
      <c r="K47" s="7">
        <f>Inputs!$B68*(1+inf)^J$1</f>
        <v>2436.8057950198354</v>
      </c>
      <c r="L47" s="7">
        <f>Inputs!$B68*(1+inf)^K$1</f>
        <v>2497.7259398953311</v>
      </c>
      <c r="M47" s="7">
        <f>Inputs!$B68*(1+inf)^L$1</f>
        <v>2560.169088392714</v>
      </c>
      <c r="N47" s="7">
        <f>Inputs!$B68*(1+inf)^M$1</f>
        <v>2624.1733156025321</v>
      </c>
      <c r="O47" s="7">
        <f>Inputs!$B68*(1+inf)^N$1</f>
        <v>2689.7776484925948</v>
      </c>
      <c r="P47" s="7">
        <f>Inputs!$B68*(1+inf)^O$1</f>
        <v>2757.0220897049098</v>
      </c>
      <c r="Q47" s="7">
        <f>Inputs!$B68*(1+inf)^P$1</f>
        <v>2825.9476419475322</v>
      </c>
      <c r="R47" s="7">
        <f>Inputs!$B68*(1+inf)^Q$1</f>
        <v>2896.596332996221</v>
      </c>
      <c r="S47" s="7">
        <f>Inputs!$B68*(1+inf)^R$1</f>
        <v>2969.0112413211264</v>
      </c>
      <c r="T47" s="7">
        <f>Inputs!$B68*(1+inf)^S$1</f>
        <v>3043.2365223541542</v>
      </c>
      <c r="U47" s="7">
        <f>Inputs!$B68*(1+inf)^T$1</f>
        <v>3119.3174354130078</v>
      </c>
      <c r="V47" s="7">
        <f>Inputs!$B68*(1+inf)^U$1</f>
        <v>3197.3003712983332</v>
      </c>
      <c r="W47" s="7">
        <f>Inputs!$B68*(1+inf)^V$1</f>
        <v>3277.2328805807911</v>
      </c>
      <c r="X47" s="7">
        <f>Inputs!$B68*(1+inf)^W$1</f>
        <v>3359.1637025953105</v>
      </c>
      <c r="Y47" s="7">
        <f>Inputs!$B68*(1+inf)^X$1</f>
        <v>3443.1427951601931</v>
      </c>
      <c r="Z47" s="7">
        <f>Inputs!$B68*(1+inf)^Y$1</f>
        <v>3529.2213650391982</v>
      </c>
      <c r="AA47" s="7">
        <f>Inputs!$B68*(1+inf)^Z$1</f>
        <v>3617.451899165178</v>
      </c>
      <c r="AB47" s="7">
        <f>Inputs!$B68*(1+inf)^AA$1</f>
        <v>3707.8881966443068</v>
      </c>
      <c r="AC47" s="7">
        <f>Inputs!$B68*(1+inf)^AB$1</f>
        <v>3800.5854015604141</v>
      </c>
      <c r="AD47" s="7">
        <f>Inputs!$B68*(1+inf)^AC$1</f>
        <v>3895.6000365994241</v>
      </c>
      <c r="AE47" s="7">
        <f>Inputs!$B68*(1+inf)^AD$1</f>
        <v>3992.9900375144098</v>
      </c>
      <c r="AF47" s="7">
        <f>Inputs!$B68*(1+inf)^AE$1</f>
        <v>4092.8147884522705</v>
      </c>
      <c r="AG47" s="7">
        <f>Inputs!$B68*(1+inf)^AF$1</f>
        <v>4195.1351581635763</v>
      </c>
      <c r="AH47" s="7">
        <f>Inputs!$B68*(1+inf)^AG$1</f>
        <v>4300.0135371176666</v>
      </c>
      <c r="AI47" s="7">
        <f>Inputs!$B68*(1+inf)^AH$1</f>
        <v>4407.5138755456073</v>
      </c>
      <c r="AJ47" s="7">
        <f>Inputs!$B68*(1+inf)^AI$1</f>
        <v>4517.7017224342471</v>
      </c>
      <c r="AK47" s="7">
        <f>Inputs!$B68*(1+inf)^AJ$1</f>
        <v>4630.6442654951034</v>
      </c>
      <c r="AL47" s="7">
        <f>Inputs!$B68*(1+inf)^AK$1</f>
        <v>4746.41037213248</v>
      </c>
      <c r="AM47" s="7">
        <f>Inputs!$B68*(1+inf)^AL$1</f>
        <v>4865.0706314357931</v>
      </c>
    </row>
    <row r="48" spans="1:39" x14ac:dyDescent="0.2">
      <c r="A48" s="3" t="str">
        <f>TEXT(Inputs!$B$71,"")</f>
        <v>Qormi</v>
      </c>
      <c r="B48" s="8"/>
      <c r="C48" s="7">
        <f ca="1">Inputs!$B73*(1+inf)^B$1*ProRate</f>
        <v>900</v>
      </c>
      <c r="D48" s="101">
        <f>Inputs!$B73*(1+inf)^C$1</f>
        <v>1230</v>
      </c>
      <c r="E48" s="110">
        <f>Inputs!$B73*(1+inf)^D$1</f>
        <v>1260.75</v>
      </c>
      <c r="F48" s="7">
        <f>Inputs!$B73*(1+inf)^E$1</f>
        <v>1292.26875</v>
      </c>
      <c r="G48" s="7">
        <f>Inputs!$B73*(1+inf)^F$1</f>
        <v>1324.5754687499998</v>
      </c>
      <c r="H48" s="7">
        <f>Inputs!$B73*(1+inf)^G$1</f>
        <v>1357.6898554687496</v>
      </c>
      <c r="I48" s="7">
        <f>Inputs!$B73*(1+inf)^H$1</f>
        <v>1391.6321018554681</v>
      </c>
      <c r="J48" s="7">
        <f>Inputs!$B73*(1+inf)^I$1</f>
        <v>1426.422904401855</v>
      </c>
      <c r="K48" s="7">
        <f>Inputs!$B73*(1+inf)^J$1</f>
        <v>1462.0834770119013</v>
      </c>
      <c r="L48" s="7">
        <f>Inputs!$B73*(1+inf)^K$1</f>
        <v>1498.6355639371984</v>
      </c>
      <c r="M48" s="7">
        <f>Inputs!$B73*(1+inf)^L$1</f>
        <v>1536.1014530356285</v>
      </c>
      <c r="N48" s="7">
        <f>Inputs!$B73*(1+inf)^M$1</f>
        <v>1574.5039893615192</v>
      </c>
      <c r="O48" s="7">
        <f>Inputs!$B73*(1+inf)^N$1</f>
        <v>1613.8665890955569</v>
      </c>
      <c r="P48" s="7">
        <f>Inputs!$B73*(1+inf)^O$1</f>
        <v>1654.2132538229459</v>
      </c>
      <c r="Q48" s="7">
        <f>Inputs!$B73*(1+inf)^P$1</f>
        <v>1695.5685851685193</v>
      </c>
      <c r="R48" s="7">
        <f>Inputs!$B73*(1+inf)^Q$1</f>
        <v>1737.9577997977326</v>
      </c>
      <c r="S48" s="7">
        <f>Inputs!$B73*(1+inf)^R$1</f>
        <v>1781.4067447926757</v>
      </c>
      <c r="T48" s="7">
        <f>Inputs!$B73*(1+inf)^S$1</f>
        <v>1825.9419134124923</v>
      </c>
      <c r="U48" s="7">
        <f>Inputs!$B73*(1+inf)^T$1</f>
        <v>1871.5904612478048</v>
      </c>
      <c r="V48" s="7">
        <f>Inputs!$B73*(1+inf)^U$1</f>
        <v>1918.380222779</v>
      </c>
      <c r="W48" s="7">
        <f>Inputs!$B73*(1+inf)^V$1</f>
        <v>1966.3397283484746</v>
      </c>
      <c r="X48" s="7">
        <f>Inputs!$B73*(1+inf)^W$1</f>
        <v>2015.4982215571863</v>
      </c>
      <c r="Y48" s="7">
        <f>Inputs!$B73*(1+inf)^X$1</f>
        <v>2065.8856770961161</v>
      </c>
      <c r="Z48" s="7">
        <f>Inputs!$B73*(1+inf)^Y$1</f>
        <v>2117.5328190235191</v>
      </c>
      <c r="AA48" s="7">
        <f>Inputs!$B73*(1+inf)^Z$1</f>
        <v>2170.4711394991068</v>
      </c>
      <c r="AB48" s="7">
        <f>Inputs!$B73*(1+inf)^AA$1</f>
        <v>2224.7329179865842</v>
      </c>
      <c r="AC48" s="7">
        <f>Inputs!$B73*(1+inf)^AB$1</f>
        <v>2280.3512409362484</v>
      </c>
      <c r="AD48" s="7">
        <f>Inputs!$B73*(1+inf)^AC$1</f>
        <v>2337.3600219596547</v>
      </c>
      <c r="AE48" s="7">
        <f>Inputs!$B73*(1+inf)^AD$1</f>
        <v>2395.7940225086459</v>
      </c>
      <c r="AF48" s="7">
        <f>Inputs!$B73*(1+inf)^AE$1</f>
        <v>2455.6888730713622</v>
      </c>
      <c r="AG48" s="7">
        <f>Inputs!$B73*(1+inf)^AF$1</f>
        <v>2517.0810948981457</v>
      </c>
      <c r="AH48" s="7">
        <f>Inputs!$B73*(1+inf)^AG$1</f>
        <v>2580.0081222705999</v>
      </c>
      <c r="AI48" s="7">
        <f>Inputs!$B73*(1+inf)^AH$1</f>
        <v>2644.5083253273642</v>
      </c>
      <c r="AJ48" s="7">
        <f>Inputs!$B73*(1+inf)^AI$1</f>
        <v>2710.6210334605485</v>
      </c>
      <c r="AK48" s="7">
        <f>Inputs!$B73*(1+inf)^AJ$1</f>
        <v>2778.3865592970619</v>
      </c>
      <c r="AL48" s="7">
        <f>Inputs!$B73*(1+inf)^AK$1</f>
        <v>2847.8462232794882</v>
      </c>
      <c r="AM48" s="7">
        <f>Inputs!$B73*(1+inf)^AL$1</f>
        <v>2919.0423788614758</v>
      </c>
    </row>
    <row r="49" spans="1:39" x14ac:dyDescent="0.2">
      <c r="A49" s="3" t="str">
        <f>TEXT(Inputs!$B$76,"")</f>
        <v>Gudja</v>
      </c>
      <c r="B49" s="8"/>
      <c r="C49" s="7">
        <f ca="1">Inputs!$B78*(1+inf)^B$1*ProRate</f>
        <v>750</v>
      </c>
      <c r="D49" s="101">
        <f>Inputs!$B78*(1+inf)^C$1</f>
        <v>1025</v>
      </c>
      <c r="E49" s="110">
        <f>Inputs!$B78*(1+inf)^D$1</f>
        <v>1050.625</v>
      </c>
      <c r="F49" s="7">
        <f>Inputs!$B78*(1+inf)^E$1</f>
        <v>1076.8906249999998</v>
      </c>
      <c r="G49" s="7">
        <f>Inputs!$B78*(1+inf)^F$1</f>
        <v>1103.8128906249997</v>
      </c>
      <c r="H49" s="7">
        <f>Inputs!$B78*(1+inf)^G$1</f>
        <v>1131.4082128906246</v>
      </c>
      <c r="I49" s="7">
        <f>Inputs!$B78*(1+inf)^H$1</f>
        <v>1159.6934182128903</v>
      </c>
      <c r="J49" s="7">
        <f>Inputs!$B78*(1+inf)^I$1</f>
        <v>1188.6857536682126</v>
      </c>
      <c r="K49" s="7">
        <f>Inputs!$B78*(1+inf)^J$1</f>
        <v>1218.4028975099177</v>
      </c>
      <c r="L49" s="7">
        <f>Inputs!$B78*(1+inf)^K$1</f>
        <v>1248.8629699476655</v>
      </c>
      <c r="M49" s="7">
        <f>Inputs!$B78*(1+inf)^L$1</f>
        <v>1280.084544196357</v>
      </c>
      <c r="N49" s="7">
        <f>Inputs!$B78*(1+inf)^M$1</f>
        <v>1312.086657801266</v>
      </c>
      <c r="O49" s="7">
        <f>Inputs!$B78*(1+inf)^N$1</f>
        <v>1344.8888242462974</v>
      </c>
      <c r="P49" s="7">
        <f>Inputs!$B78*(1+inf)^O$1</f>
        <v>1378.5110448524549</v>
      </c>
      <c r="Q49" s="7">
        <f>Inputs!$B78*(1+inf)^P$1</f>
        <v>1412.9738209737661</v>
      </c>
      <c r="R49" s="7">
        <f>Inputs!$B78*(1+inf)^Q$1</f>
        <v>1448.2981664981105</v>
      </c>
      <c r="S49" s="7">
        <f>Inputs!$B78*(1+inf)^R$1</f>
        <v>1484.5056206605632</v>
      </c>
      <c r="T49" s="7">
        <f>Inputs!$B78*(1+inf)^S$1</f>
        <v>1521.6182611770771</v>
      </c>
      <c r="U49" s="7">
        <f>Inputs!$B78*(1+inf)^T$1</f>
        <v>1559.6587177065039</v>
      </c>
      <c r="V49" s="7">
        <f>Inputs!$B78*(1+inf)^U$1</f>
        <v>1598.6501856491666</v>
      </c>
      <c r="W49" s="7">
        <f>Inputs!$B78*(1+inf)^V$1</f>
        <v>1638.6164402903955</v>
      </c>
      <c r="X49" s="7">
        <f>Inputs!$B78*(1+inf)^W$1</f>
        <v>1679.5818512976552</v>
      </c>
      <c r="Y49" s="7">
        <f>Inputs!$B78*(1+inf)^X$1</f>
        <v>1721.5713975800966</v>
      </c>
      <c r="Z49" s="7">
        <f>Inputs!$B78*(1+inf)^Y$1</f>
        <v>1764.6106825195991</v>
      </c>
      <c r="AA49" s="7">
        <f>Inputs!$B78*(1+inf)^Z$1</f>
        <v>1808.725949582589</v>
      </c>
      <c r="AB49" s="7">
        <f>Inputs!$B78*(1+inf)^AA$1</f>
        <v>1853.9440983221534</v>
      </c>
      <c r="AC49" s="7">
        <f>Inputs!$B78*(1+inf)^AB$1</f>
        <v>1900.292700780207</v>
      </c>
      <c r="AD49" s="7">
        <f>Inputs!$B78*(1+inf)^AC$1</f>
        <v>1947.8000182997121</v>
      </c>
      <c r="AE49" s="7">
        <f>Inputs!$B78*(1+inf)^AD$1</f>
        <v>1996.4950187572049</v>
      </c>
      <c r="AF49" s="7">
        <f>Inputs!$B78*(1+inf)^AE$1</f>
        <v>2046.4073942261352</v>
      </c>
      <c r="AG49" s="7">
        <f>Inputs!$B78*(1+inf)^AF$1</f>
        <v>2097.5675790817882</v>
      </c>
      <c r="AH49" s="7">
        <f>Inputs!$B78*(1+inf)^AG$1</f>
        <v>2150.0067685588333</v>
      </c>
      <c r="AI49" s="7">
        <f>Inputs!$B78*(1+inf)^AH$1</f>
        <v>2203.7569377728037</v>
      </c>
      <c r="AJ49" s="7">
        <f>Inputs!$B78*(1+inf)^AI$1</f>
        <v>2258.8508612171236</v>
      </c>
      <c r="AK49" s="7">
        <f>Inputs!$B78*(1+inf)^AJ$1</f>
        <v>2315.3221327475517</v>
      </c>
      <c r="AL49" s="7">
        <f>Inputs!$B78*(1+inf)^AK$1</f>
        <v>2373.20518606624</v>
      </c>
      <c r="AM49" s="7">
        <f>Inputs!$B78*(1+inf)^AL$1</f>
        <v>2432.5353157178965</v>
      </c>
    </row>
    <row r="50" spans="1:39" x14ac:dyDescent="0.2">
      <c r="A50" s="3" t="str">
        <f>TEXT(Inputs!$B$81,"")</f>
        <v>Marsa</v>
      </c>
      <c r="B50" s="8"/>
      <c r="C50" s="7">
        <f ca="1">Inputs!$B83*(1+inf)^B$1*ProRate</f>
        <v>600</v>
      </c>
      <c r="D50" s="101">
        <f>Inputs!$B83*(1+inf)^C$1</f>
        <v>819.99999999999989</v>
      </c>
      <c r="E50" s="110">
        <f>Inputs!$B83*(1+inf)^D$1</f>
        <v>840.49999999999989</v>
      </c>
      <c r="F50" s="7">
        <f>Inputs!$B83*(1+inf)^E$1</f>
        <v>861.51249999999993</v>
      </c>
      <c r="G50" s="7">
        <f>Inputs!$B83*(1+inf)^F$1</f>
        <v>883.05031249999979</v>
      </c>
      <c r="H50" s="7">
        <f>Inputs!$B83*(1+inf)^G$1</f>
        <v>905.12657031249978</v>
      </c>
      <c r="I50" s="7">
        <f>Inputs!$B83*(1+inf)^H$1</f>
        <v>927.75473457031217</v>
      </c>
      <c r="J50" s="7">
        <f>Inputs!$B83*(1+inf)^I$1</f>
        <v>950.94860293456998</v>
      </c>
      <c r="K50" s="7">
        <f>Inputs!$B83*(1+inf)^J$1</f>
        <v>974.72231800793418</v>
      </c>
      <c r="L50" s="7">
        <f>Inputs!$B83*(1+inf)^K$1</f>
        <v>999.09037595813231</v>
      </c>
      <c r="M50" s="7">
        <f>Inputs!$B83*(1+inf)^L$1</f>
        <v>1024.0676353570857</v>
      </c>
      <c r="N50" s="7">
        <f>Inputs!$B83*(1+inf)^M$1</f>
        <v>1049.6693262410129</v>
      </c>
      <c r="O50" s="7">
        <f>Inputs!$B83*(1+inf)^N$1</f>
        <v>1075.9110593970381</v>
      </c>
      <c r="P50" s="7">
        <f>Inputs!$B83*(1+inf)^O$1</f>
        <v>1102.8088358819639</v>
      </c>
      <c r="Q50" s="7">
        <f>Inputs!$B83*(1+inf)^P$1</f>
        <v>1130.3790567790129</v>
      </c>
      <c r="R50" s="7">
        <f>Inputs!$B83*(1+inf)^Q$1</f>
        <v>1158.6385331984884</v>
      </c>
      <c r="S50" s="7">
        <f>Inputs!$B83*(1+inf)^R$1</f>
        <v>1187.6044965284505</v>
      </c>
      <c r="T50" s="7">
        <f>Inputs!$B83*(1+inf)^S$1</f>
        <v>1217.2946089416616</v>
      </c>
      <c r="U50" s="7">
        <f>Inputs!$B83*(1+inf)^T$1</f>
        <v>1247.7269741652033</v>
      </c>
      <c r="V50" s="7">
        <f>Inputs!$B83*(1+inf)^U$1</f>
        <v>1278.9201485193332</v>
      </c>
      <c r="W50" s="7">
        <f>Inputs!$B83*(1+inf)^V$1</f>
        <v>1310.8931522323164</v>
      </c>
      <c r="X50" s="7">
        <f>Inputs!$B83*(1+inf)^W$1</f>
        <v>1343.6654810381242</v>
      </c>
      <c r="Y50" s="7">
        <f>Inputs!$B83*(1+inf)^X$1</f>
        <v>1377.2571180640773</v>
      </c>
      <c r="Z50" s="7">
        <f>Inputs!$B83*(1+inf)^Y$1</f>
        <v>1411.6885460156793</v>
      </c>
      <c r="AA50" s="7">
        <f>Inputs!$B83*(1+inf)^Z$1</f>
        <v>1446.9807596660712</v>
      </c>
      <c r="AB50" s="7">
        <f>Inputs!$B83*(1+inf)^AA$1</f>
        <v>1483.1552786577226</v>
      </c>
      <c r="AC50" s="7">
        <f>Inputs!$B83*(1+inf)^AB$1</f>
        <v>1520.2341606241657</v>
      </c>
      <c r="AD50" s="7">
        <f>Inputs!$B83*(1+inf)^AC$1</f>
        <v>1558.2400146397697</v>
      </c>
      <c r="AE50" s="7">
        <f>Inputs!$B83*(1+inf)^AD$1</f>
        <v>1597.1960150057639</v>
      </c>
      <c r="AF50" s="7">
        <f>Inputs!$B83*(1+inf)^AE$1</f>
        <v>1637.1259153809081</v>
      </c>
      <c r="AG50" s="7">
        <f>Inputs!$B83*(1+inf)^AF$1</f>
        <v>1678.0540632654304</v>
      </c>
      <c r="AH50" s="7">
        <f>Inputs!$B83*(1+inf)^AG$1</f>
        <v>1720.0054148470667</v>
      </c>
      <c r="AI50" s="7">
        <f>Inputs!$B83*(1+inf)^AH$1</f>
        <v>1763.0055502182429</v>
      </c>
      <c r="AJ50" s="7">
        <f>Inputs!$B83*(1+inf)^AI$1</f>
        <v>1807.0806889736989</v>
      </c>
      <c r="AK50" s="7">
        <f>Inputs!$B83*(1+inf)^AJ$1</f>
        <v>1852.2577061980414</v>
      </c>
      <c r="AL50" s="7">
        <f>Inputs!$B83*(1+inf)^AK$1</f>
        <v>1898.5641488529923</v>
      </c>
      <c r="AM50" s="7">
        <f>Inputs!$B83*(1+inf)^AL$1</f>
        <v>1946.0282525743171</v>
      </c>
    </row>
    <row r="51" spans="1:39" x14ac:dyDescent="0.2">
      <c r="A51" s="4" t="s">
        <v>15</v>
      </c>
      <c r="B51" s="8"/>
      <c r="C51" s="7"/>
      <c r="D51" s="101"/>
      <c r="E51" s="110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  <c r="AD51" s="7"/>
      <c r="AE51" s="7"/>
      <c r="AF51" s="7"/>
      <c r="AG51" s="7"/>
      <c r="AH51" s="7"/>
      <c r="AI51" s="7"/>
      <c r="AJ51" s="7"/>
      <c r="AK51" s="7"/>
      <c r="AL51" s="7"/>
      <c r="AM51" s="7"/>
    </row>
    <row r="52" spans="1:39" x14ac:dyDescent="0.2">
      <c r="A52" s="3" t="s">
        <v>53</v>
      </c>
      <c r="B52" s="8"/>
      <c r="C52" s="7">
        <f ca="1">Inputs!$B$26*(1+inf)^B$1*ProRate</f>
        <v>37500</v>
      </c>
      <c r="D52" s="101">
        <f>Inputs!$B$26*(1+inf)^C$1</f>
        <v>51249.999999999993</v>
      </c>
      <c r="E52" s="110">
        <f>Inputs!$B$26*(1+inf)^D$1</f>
        <v>52531.249999999993</v>
      </c>
      <c r="F52" s="7">
        <f>Inputs!$B$26*(1+inf)^E$1</f>
        <v>53844.531249999993</v>
      </c>
      <c r="G52" s="7">
        <f>Inputs!$B$26*(1+inf)^F$1</f>
        <v>55190.644531249985</v>
      </c>
      <c r="H52" s="7">
        <f>Inputs!$B$26*(1+inf)^G$1</f>
        <v>56570.410644531235</v>
      </c>
      <c r="I52" s="7">
        <f>Inputs!$B$26*(1+inf)^H$1</f>
        <v>57984.670910644512</v>
      </c>
      <c r="J52" s="7">
        <f>Inputs!$B$26*(1+inf)^I$1</f>
        <v>59434.287683410628</v>
      </c>
      <c r="K52" s="7">
        <f>Inputs!$B$26*(1+inf)^J$1</f>
        <v>60920.144875495884</v>
      </c>
      <c r="L52" s="7">
        <f>Inputs!$B$26*(1+inf)^K$1</f>
        <v>62443.14849738327</v>
      </c>
      <c r="M52" s="7">
        <f>Inputs!$B$26*(1+inf)^L$1</f>
        <v>64004.227209817851</v>
      </c>
      <c r="N52" s="7">
        <f>Inputs!$B$26*(1+inf)^M$1</f>
        <v>65604.332890063306</v>
      </c>
      <c r="O52" s="7">
        <f>Inputs!$B$26*(1+inf)^N$1</f>
        <v>67244.44121231488</v>
      </c>
      <c r="P52" s="7">
        <f>Inputs!$B$26*(1+inf)^O$1</f>
        <v>68925.55224262274</v>
      </c>
      <c r="Q52" s="7">
        <f>Inputs!$B$26*(1+inf)^P$1</f>
        <v>70648.691048688299</v>
      </c>
      <c r="R52" s="7">
        <f>Inputs!$B$26*(1+inf)^Q$1</f>
        <v>72414.908324905526</v>
      </c>
      <c r="S52" s="7">
        <f>Inputs!$B$26*(1+inf)^R$1</f>
        <v>74225.28103302815</v>
      </c>
      <c r="T52" s="7">
        <f>Inputs!$B$26*(1+inf)^S$1</f>
        <v>76080.913058853854</v>
      </c>
      <c r="U52" s="7">
        <f>Inputs!$B$26*(1+inf)^T$1</f>
        <v>77982.935885325205</v>
      </c>
      <c r="V52" s="7">
        <f>Inputs!$B$26*(1+inf)^U$1</f>
        <v>79932.509282458326</v>
      </c>
      <c r="W52" s="7">
        <f>Inputs!$B$26*(1+inf)^V$1</f>
        <v>81930.82201451977</v>
      </c>
      <c r="X52" s="7">
        <f>Inputs!$B$26*(1+inf)^W$1</f>
        <v>83979.092564882769</v>
      </c>
      <c r="Y52" s="7">
        <f>Inputs!$B$26*(1+inf)^X$1</f>
        <v>86078.569879004834</v>
      </c>
      <c r="Z52" s="7">
        <f>Inputs!$B$26*(1+inf)^Y$1</f>
        <v>88230.534125979961</v>
      </c>
      <c r="AA52" s="7">
        <f>Inputs!$B$26*(1+inf)^Z$1</f>
        <v>90436.29747912944</v>
      </c>
      <c r="AB52" s="7">
        <f>Inputs!$B$26*(1+inf)^AA$1</f>
        <v>92697.204916107672</v>
      </c>
      <c r="AC52" s="7">
        <f>Inputs!$B$26*(1+inf)^AB$1</f>
        <v>95014.635039010347</v>
      </c>
      <c r="AD52" s="7">
        <f>Inputs!$B$26*(1+inf)^AC$1</f>
        <v>97390.000914985605</v>
      </c>
      <c r="AE52" s="7">
        <f>Inputs!$B$26*(1+inf)^AD$1</f>
        <v>99824.750937860241</v>
      </c>
      <c r="AF52" s="7">
        <f>Inputs!$B$26*(1+inf)^AE$1</f>
        <v>102320.36971130676</v>
      </c>
      <c r="AG52" s="7">
        <f>Inputs!$B$26*(1+inf)^AF$1</f>
        <v>104878.37895408941</v>
      </c>
      <c r="AH52" s="7">
        <f>Inputs!$B$26*(1+inf)^AG$1</f>
        <v>107500.33842794166</v>
      </c>
      <c r="AI52" s="7">
        <f>Inputs!$B$26*(1+inf)^AH$1</f>
        <v>110187.84688864018</v>
      </c>
      <c r="AJ52" s="7">
        <f>Inputs!$B$26*(1+inf)^AI$1</f>
        <v>112942.54306085619</v>
      </c>
      <c r="AK52" s="7">
        <f>Inputs!$B$26*(1+inf)^AJ$1</f>
        <v>115766.10663737758</v>
      </c>
      <c r="AL52" s="7">
        <f>Inputs!$B$26*(1+inf)^AK$1</f>
        <v>118660.25930331201</v>
      </c>
      <c r="AM52" s="7">
        <f>Inputs!$B$26*(1+inf)^AL$1</f>
        <v>121626.76578589482</v>
      </c>
    </row>
    <row r="53" spans="1:39" x14ac:dyDescent="0.2">
      <c r="A53" s="3" t="str">
        <f>"Adjustment "&amp;Inputs!A258</f>
        <v>Adjustment from now to 65</v>
      </c>
      <c r="B53" s="8"/>
      <c r="C53" s="7">
        <f ca="1">IF(C$3&lt;=65,Inputs!$B$258*C$52,0)</f>
        <v>0</v>
      </c>
      <c r="D53" s="101">
        <f>IF(D$3&lt;=65,Inputs!$B$258*D$52,0)</f>
        <v>0</v>
      </c>
      <c r="E53" s="110">
        <f>IF(E$3&lt;=65,Inputs!$B$258*E$52,0)</f>
        <v>0</v>
      </c>
      <c r="F53" s="7">
        <f>IF(F$3&lt;=65,Inputs!$B$258*F$52,0)</f>
        <v>0</v>
      </c>
      <c r="G53" s="7">
        <f>IF(G$3&lt;=65,Inputs!$B$258*G$52,0)</f>
        <v>0</v>
      </c>
      <c r="H53" s="7">
        <f>IF(H$3&lt;=65,Inputs!$B$258*H$52,0)</f>
        <v>0</v>
      </c>
      <c r="I53" s="7">
        <f>IF(I$3&lt;=65,Inputs!$B$258*I$52,0)</f>
        <v>0</v>
      </c>
      <c r="J53" s="7">
        <f>IF(J$3&lt;=65,Inputs!$B$258*J$52,0)</f>
        <v>0</v>
      </c>
      <c r="K53" s="7">
        <f>IF(K$3&lt;=65,Inputs!$B$258*K$52,0)</f>
        <v>0</v>
      </c>
      <c r="L53" s="7">
        <f>IF(L$3&lt;=65,Inputs!$B$258*L$52,0)</f>
        <v>0</v>
      </c>
      <c r="M53" s="7">
        <f>IF(M$3&lt;=65,Inputs!$B$258*M$52,0)</f>
        <v>0</v>
      </c>
      <c r="N53" s="7">
        <f>IF(N$3&lt;=65,Inputs!$B$258*N$52,0)</f>
        <v>0</v>
      </c>
      <c r="O53" s="7">
        <f>IF(O$3&lt;=65,Inputs!$B$258*O$52,0)</f>
        <v>0</v>
      </c>
      <c r="P53" s="7">
        <f>IF(P$3&lt;=65,Inputs!$B$258*P$52,0)</f>
        <v>0</v>
      </c>
      <c r="Q53" s="7">
        <f>IF(Q$3&lt;=65,Inputs!$B$258*Q$52,0)</f>
        <v>0</v>
      </c>
      <c r="R53" s="7">
        <f>IF(R$3&lt;=65,Inputs!$B$258*R$52,0)</f>
        <v>0</v>
      </c>
      <c r="S53" s="7">
        <f>IF(S$3&lt;=65,Inputs!$B$258*S$52,0)</f>
        <v>0</v>
      </c>
      <c r="T53" s="7">
        <f>IF(T$3&lt;=65,Inputs!$B$258*T$52,0)</f>
        <v>0</v>
      </c>
      <c r="U53" s="7">
        <f>IF(U$3&lt;=65,Inputs!$B$258*U$52,0)</f>
        <v>0</v>
      </c>
      <c r="V53" s="7">
        <f>IF(V$3&lt;=65,Inputs!$B$258*V$52,0)</f>
        <v>0</v>
      </c>
      <c r="W53" s="7">
        <f>IF(W$3&lt;=65,Inputs!$B$258*W$52,0)</f>
        <v>0</v>
      </c>
      <c r="X53" s="7">
        <f>IF(X$3&lt;=65,Inputs!$B$258*X$52,0)</f>
        <v>0</v>
      </c>
      <c r="Y53" s="7">
        <f>IF(Y$3&lt;=65,Inputs!$B$258*Y$52,0)</f>
        <v>0</v>
      </c>
      <c r="Z53" s="7">
        <f>IF(Z$3&lt;=65,Inputs!$B$258*Z$52,0)</f>
        <v>0</v>
      </c>
      <c r="AA53" s="7">
        <f>IF(AA$3&lt;=65,Inputs!$B$258*AA$52,0)</f>
        <v>0</v>
      </c>
      <c r="AB53" s="7">
        <f>IF(AB$3&lt;=65,Inputs!$B$258*AB$52,0)</f>
        <v>0</v>
      </c>
      <c r="AC53" s="7">
        <f>IF(AC$3&lt;=65,Inputs!$B$258*AC$52,0)</f>
        <v>0</v>
      </c>
      <c r="AD53" s="7">
        <f>IF(AD$3&lt;=65,Inputs!$B$258*AD$52,0)</f>
        <v>0</v>
      </c>
      <c r="AE53" s="7">
        <f>IF(AE$3&lt;=65,Inputs!$B$258*AE$52,0)</f>
        <v>0</v>
      </c>
      <c r="AF53" s="7">
        <f>IF(AF$3&lt;=65,Inputs!$B$258*AF$52,0)</f>
        <v>0</v>
      </c>
      <c r="AG53" s="7">
        <f>IF(AG$3&lt;=65,Inputs!$B$258*AG$52,0)</f>
        <v>0</v>
      </c>
      <c r="AH53" s="7">
        <f>IF(AH$3&lt;=65,Inputs!$B$258*AH$52,0)</f>
        <v>0</v>
      </c>
      <c r="AI53" s="7">
        <f>IF(AI$3&lt;=65,Inputs!$B$258*AI$52,0)</f>
        <v>0</v>
      </c>
      <c r="AJ53" s="7">
        <f>IF(AJ$3&lt;=65,Inputs!$B$258*AJ$52,0)</f>
        <v>0</v>
      </c>
      <c r="AK53" s="7">
        <f>IF(AK$3&lt;=65,Inputs!$B$258*AK$52,0)</f>
        <v>0</v>
      </c>
      <c r="AL53" s="7">
        <f>IF(AL$3&lt;=65,Inputs!$B$258*AL$52,0)</f>
        <v>0</v>
      </c>
      <c r="AM53" s="7">
        <f>IF(AM$3&lt;=65,Inputs!$B$258*AM$52,0)</f>
        <v>0</v>
      </c>
    </row>
    <row r="54" spans="1:39" x14ac:dyDescent="0.2">
      <c r="A54" s="3" t="str">
        <f>"Adjustment "&amp;Inputs!A259</f>
        <v>Adjustment from 66-75</v>
      </c>
      <c r="B54" s="8"/>
      <c r="C54" s="7">
        <f>IF(AND(C$3&gt;65,C$3&lt;=75),Inputs!$B$259*C52,0)</f>
        <v>0</v>
      </c>
      <c r="D54" s="101">
        <f>IF(AND(D$3&gt;65,D$3&lt;=75),Inputs!$B$259*D52,0)</f>
        <v>0</v>
      </c>
      <c r="E54" s="110">
        <f>IF(AND(E$3&gt;65,E$3&lt;=75),Inputs!$B$259*E52,0)</f>
        <v>0</v>
      </c>
      <c r="F54" s="7">
        <f>IF(AND(F$3&gt;65,F$3&lt;=75),Inputs!$B$259*F52,0)</f>
        <v>0</v>
      </c>
      <c r="G54" s="7">
        <f>IF(AND(G$3&gt;65,G$3&lt;=75),Inputs!$B$259*G52,0)</f>
        <v>0</v>
      </c>
      <c r="H54" s="7">
        <f>IF(AND(H$3&gt;65,H$3&lt;=75),Inputs!$B$259*H52,0)</f>
        <v>0</v>
      </c>
      <c r="I54" s="7">
        <f>IF(AND(I$3&gt;65,I$3&lt;=75),Inputs!$B$259*I52,0)</f>
        <v>0</v>
      </c>
      <c r="J54" s="7">
        <f>IF(AND(J$3&gt;65,J$3&lt;=75),Inputs!$B$259*J52,0)</f>
        <v>0</v>
      </c>
      <c r="K54" s="7">
        <f>IF(AND(K$3&gt;65,K$3&lt;=75),Inputs!$B$259*K52,0)</f>
        <v>0</v>
      </c>
      <c r="L54" s="7">
        <f>IF(AND(L$3&gt;65,L$3&lt;=75),Inputs!$B$259*L52,0)</f>
        <v>0</v>
      </c>
      <c r="M54" s="7">
        <f>IF(AND(M$3&gt;65,M$3&lt;=75),Inputs!$B$259*M52,0)</f>
        <v>0</v>
      </c>
      <c r="N54" s="7">
        <f>IF(AND(N$3&gt;65,N$3&lt;=75),Inputs!$B$259*N52,0)</f>
        <v>0</v>
      </c>
      <c r="O54" s="7">
        <f>IF(AND(O$3&gt;65,O$3&lt;=75),Inputs!$B$259*O52,0)</f>
        <v>0</v>
      </c>
      <c r="P54" s="7">
        <f>IF(AND(P$3&gt;65,P$3&lt;=75),Inputs!$B$259*P52,0)</f>
        <v>0</v>
      </c>
      <c r="Q54" s="7">
        <f>IF(AND(Q$3&gt;65,Q$3&lt;=75),Inputs!$B$259*Q52,0)</f>
        <v>0</v>
      </c>
      <c r="R54" s="7">
        <f>IF(AND(R$3&gt;65,R$3&lt;=75),Inputs!$B$259*R52,0)</f>
        <v>0</v>
      </c>
      <c r="S54" s="7">
        <f>IF(AND(S$3&gt;65,S$3&lt;=75),Inputs!$B$259*S52,0)</f>
        <v>0</v>
      </c>
      <c r="T54" s="7">
        <f>IF(AND(T$3&gt;65,T$3&lt;=75),Inputs!$B$259*T52,0)</f>
        <v>0</v>
      </c>
      <c r="U54" s="7">
        <f>IF(AND(U$3&gt;65,U$3&lt;=75),Inputs!$B$259*U52,0)</f>
        <v>-7798.2935885325205</v>
      </c>
      <c r="V54" s="7">
        <f>IF(AND(V$3&gt;65,V$3&lt;=75),Inputs!$B$259*V52,0)</f>
        <v>-7993.2509282458332</v>
      </c>
      <c r="W54" s="7">
        <f>IF(AND(W$3&gt;65,W$3&lt;=75),Inputs!$B$259*W52,0)</f>
        <v>-8193.0822014519781</v>
      </c>
      <c r="X54" s="7">
        <f>IF(AND(X$3&gt;65,X$3&lt;=75),Inputs!$B$259*X52,0)</f>
        <v>-8397.9092564882776</v>
      </c>
      <c r="Y54" s="7">
        <f>IF(AND(Y$3&gt;65,Y$3&lt;=75),Inputs!$B$259*Y52,0)</f>
        <v>-8607.8569879004845</v>
      </c>
      <c r="Z54" s="7">
        <f>IF(AND(Z$3&gt;65,Z$3&lt;=75),Inputs!$B$259*Z52,0)</f>
        <v>-8823.0534125979957</v>
      </c>
      <c r="AA54" s="7">
        <f>IF(AND(AA$3&gt;65,AA$3&lt;=75),Inputs!$B$259*AA52,0)</f>
        <v>-9043.6297479129444</v>
      </c>
      <c r="AB54" s="7">
        <f>IF(AND(AB$3&gt;65,AB$3&lt;=75),Inputs!$B$259*AB52,0)</f>
        <v>-9269.7204916107676</v>
      </c>
      <c r="AC54" s="7">
        <f>IF(AND(AC$3&gt;65,AC$3&lt;=75),Inputs!$B$259*AC52,0)</f>
        <v>-9501.4635039010354</v>
      </c>
      <c r="AD54" s="7">
        <f>IF(AND(AD$3&gt;65,AD$3&lt;=75),Inputs!$B$259*AD52,0)</f>
        <v>-9739.0000914985612</v>
      </c>
      <c r="AE54" s="7">
        <f>IF(AND(AE$3&gt;65,AE$3&lt;=75),Inputs!$B$259*AE52,0)</f>
        <v>0</v>
      </c>
      <c r="AF54" s="7">
        <f>IF(AND(AF$3&gt;65,AF$3&lt;=75),Inputs!$B$259*AF52,0)</f>
        <v>0</v>
      </c>
      <c r="AG54" s="7">
        <f>IF(AND(AG$3&gt;65,AG$3&lt;=75),Inputs!$B$259*AG52,0)</f>
        <v>0</v>
      </c>
      <c r="AH54" s="7">
        <f>IF(AND(AH$3&gt;65,AH$3&lt;=75),Inputs!$B$259*AH52,0)</f>
        <v>0</v>
      </c>
      <c r="AI54" s="7">
        <f>IF(AND(AI$3&gt;65,AI$3&lt;=75),Inputs!$B$259*AI52,0)</f>
        <v>0</v>
      </c>
      <c r="AJ54" s="7">
        <f>IF(AND(AJ$3&gt;65,AJ$3&lt;=75),Inputs!$B$259*AJ52,0)</f>
        <v>0</v>
      </c>
      <c r="AK54" s="7">
        <f>IF(AND(AK$3&gt;65,AK$3&lt;=75),Inputs!$B$259*AK52,0)</f>
        <v>0</v>
      </c>
      <c r="AL54" s="7">
        <f>IF(AND(AL$3&gt;65,AL$3&lt;=75),Inputs!$B$259*AL52,0)</f>
        <v>0</v>
      </c>
      <c r="AM54" s="7">
        <f>IF(AND(AM$3&gt;65,AM$3&lt;=75),Inputs!$B$259*AM52,0)</f>
        <v>0</v>
      </c>
    </row>
    <row r="55" spans="1:39" x14ac:dyDescent="0.2">
      <c r="A55" s="3" t="str">
        <f>"Adjustment "&amp;Inputs!A260</f>
        <v>Adjustment from age 76</v>
      </c>
      <c r="B55" s="8"/>
      <c r="C55" s="7">
        <f>IF(C$3&gt;75,Inputs!$B$260*C$52,0)</f>
        <v>0</v>
      </c>
      <c r="D55" s="101">
        <f>IF(D$3&gt;75,Inputs!$B$260*D$52,0)</f>
        <v>0</v>
      </c>
      <c r="E55" s="110">
        <f>IF(E$3&gt;75,Inputs!$B$260*E$52,0)</f>
        <v>0</v>
      </c>
      <c r="F55" s="7">
        <f>IF(F$3&gt;75,Inputs!$B$260*F$52,0)</f>
        <v>0</v>
      </c>
      <c r="G55" s="7">
        <f>IF(G$3&gt;75,Inputs!$B$260*G$52,0)</f>
        <v>0</v>
      </c>
      <c r="H55" s="7">
        <f>IF(H$3&gt;75,Inputs!$B$260*H$52,0)</f>
        <v>0</v>
      </c>
      <c r="I55" s="7">
        <f>IF(I$3&gt;75,Inputs!$B$260*I$52,0)</f>
        <v>0</v>
      </c>
      <c r="J55" s="7">
        <f>IF(J$3&gt;75,Inputs!$B$260*J$52,0)</f>
        <v>0</v>
      </c>
      <c r="K55" s="7">
        <f>IF(K$3&gt;75,Inputs!$B$260*K$52,0)</f>
        <v>0</v>
      </c>
      <c r="L55" s="7">
        <f>IF(L$3&gt;75,Inputs!$B$260*L$52,0)</f>
        <v>0</v>
      </c>
      <c r="M55" s="7">
        <f>IF(M$3&gt;75,Inputs!$B$260*M$52,0)</f>
        <v>0</v>
      </c>
      <c r="N55" s="7">
        <f>IF(N$3&gt;75,Inputs!$B$260*N$52,0)</f>
        <v>0</v>
      </c>
      <c r="O55" s="7">
        <f>IF(O$3&gt;75,Inputs!$B$260*O$52,0)</f>
        <v>0</v>
      </c>
      <c r="P55" s="7">
        <f>IF(P$3&gt;75,Inputs!$B$260*P$52,0)</f>
        <v>0</v>
      </c>
      <c r="Q55" s="7">
        <f>IF(Q$3&gt;75,Inputs!$B$260*Q$52,0)</f>
        <v>0</v>
      </c>
      <c r="R55" s="7">
        <f>IF(R$3&gt;75,Inputs!$B$260*R$52,0)</f>
        <v>0</v>
      </c>
      <c r="S55" s="7">
        <f>IF(S$3&gt;75,Inputs!$B$260*S$52,0)</f>
        <v>0</v>
      </c>
      <c r="T55" s="7">
        <f>IF(T$3&gt;75,Inputs!$B$260*T$52,0)</f>
        <v>0</v>
      </c>
      <c r="U55" s="7">
        <f>IF(U$3&gt;75,Inputs!$B$260*U$52,0)</f>
        <v>0</v>
      </c>
      <c r="V55" s="7">
        <f>IF(V$3&gt;75,Inputs!$B$260*V$52,0)</f>
        <v>0</v>
      </c>
      <c r="W55" s="7">
        <f>IF(W$3&gt;75,Inputs!$B$260*W$52,0)</f>
        <v>0</v>
      </c>
      <c r="X55" s="7">
        <f>IF(X$3&gt;75,Inputs!$B$260*X$52,0)</f>
        <v>0</v>
      </c>
      <c r="Y55" s="7">
        <f>IF(Y$3&gt;75,Inputs!$B$260*Y$52,0)</f>
        <v>0</v>
      </c>
      <c r="Z55" s="7">
        <f>IF(Z$3&gt;75,Inputs!$B$260*Z$52,0)</f>
        <v>0</v>
      </c>
      <c r="AA55" s="7">
        <f>IF(AA$3&gt;75,Inputs!$B$260*AA$52,0)</f>
        <v>0</v>
      </c>
      <c r="AB55" s="7">
        <f>IF(AB$3&gt;75,Inputs!$B$260*AB$52,0)</f>
        <v>0</v>
      </c>
      <c r="AC55" s="7">
        <f>IF(AC$3&gt;75,Inputs!$B$260*AC$52,0)</f>
        <v>0</v>
      </c>
      <c r="AD55" s="7">
        <f>IF(AD$3&gt;75,Inputs!$B$260*AD$52,0)</f>
        <v>0</v>
      </c>
      <c r="AE55" s="7">
        <f>IF(AE$3&gt;75,Inputs!$B$260*AE$52,0)</f>
        <v>-19964.950187572049</v>
      </c>
      <c r="AF55" s="7">
        <f>IF(AF$3&gt;75,Inputs!$B$260*AF$52,0)</f>
        <v>-20464.073942261355</v>
      </c>
      <c r="AG55" s="7">
        <f>IF(AG$3&gt;75,Inputs!$B$260*AG$52,0)</f>
        <v>-20975.675790817884</v>
      </c>
      <c r="AH55" s="7">
        <f>IF(AH$3&gt;75,Inputs!$B$260*AH$52,0)</f>
        <v>-21500.067685588336</v>
      </c>
      <c r="AI55" s="7">
        <f>IF(AI$3&gt;75,Inputs!$B$260*AI$52,0)</f>
        <v>-22037.569377728039</v>
      </c>
      <c r="AJ55" s="7">
        <f>IF(AJ$3&gt;75,Inputs!$B$260*AJ$52,0)</f>
        <v>-22588.508612171237</v>
      </c>
      <c r="AK55" s="7">
        <f>IF(AK$3&gt;75,Inputs!$B$260*AK$52,0)</f>
        <v>-23153.22132747552</v>
      </c>
      <c r="AL55" s="7">
        <f>IF(AL$3&gt;75,Inputs!$B$260*AL$52,0)</f>
        <v>-23732.051860662403</v>
      </c>
      <c r="AM55" s="7">
        <f>IF(AM$3&gt;75,Inputs!$B$260*AM$52,0)</f>
        <v>-24325.353157178964</v>
      </c>
    </row>
    <row r="56" spans="1:39" x14ac:dyDescent="0.2">
      <c r="A56" s="4" t="s">
        <v>57</v>
      </c>
      <c r="B56" s="8"/>
      <c r="C56" s="7"/>
      <c r="D56" s="101"/>
      <c r="E56" s="110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  <c r="AG56" s="7"/>
      <c r="AH56" s="7"/>
      <c r="AI56" s="7"/>
      <c r="AJ56" s="7"/>
      <c r="AK56" s="7"/>
      <c r="AL56" s="7"/>
      <c r="AM56" s="7"/>
    </row>
    <row r="57" spans="1:39" x14ac:dyDescent="0.2">
      <c r="A57" s="3" t="str">
        <f>TEXT(Inputs!$B$202,"")</f>
        <v>Wedding</v>
      </c>
      <c r="B57" s="8"/>
      <c r="C57" s="7">
        <f ca="1">IF(C$2=Inputs!$B204,Inputs!$B203,0)*(1+inf)^B$1</f>
        <v>0</v>
      </c>
      <c r="D57" s="101">
        <f ca="1">IF(D$2=Inputs!$B204,Inputs!$B203,0)*(1+inf)^C$1</f>
        <v>0</v>
      </c>
      <c r="E57" s="110">
        <f ca="1">IF(E$2=Inputs!$B204,Inputs!$B203,0)*(1+inf)^D$1</f>
        <v>0</v>
      </c>
      <c r="F57" s="7">
        <f ca="1">IF(F$2=Inputs!$B204,Inputs!$B203,0)*(1+inf)^E$1</f>
        <v>0</v>
      </c>
      <c r="G57" s="7">
        <f ca="1">IF(G$2=Inputs!$B204,Inputs!$B203,0)*(1+inf)^F$1</f>
        <v>0</v>
      </c>
      <c r="H57" s="7">
        <f ca="1">IF(H$2=Inputs!$B204,Inputs!$B203,0)*(1+inf)^G$1</f>
        <v>0</v>
      </c>
      <c r="I57" s="7">
        <f ca="1">IF(I$2=Inputs!$B204,Inputs!$B203,0)*(1+inf)^H$1</f>
        <v>0</v>
      </c>
      <c r="J57" s="7">
        <f ca="1">IF(J$2=Inputs!$B204,Inputs!$B203,0)*(1+inf)^I$1</f>
        <v>0</v>
      </c>
      <c r="K57" s="7">
        <f ca="1">IF(K$2=Inputs!$B204,Inputs!$B203,0)*(1+inf)^J$1</f>
        <v>0</v>
      </c>
      <c r="L57" s="7">
        <f ca="1">IF(L$2=Inputs!$B204,Inputs!$B203,0)*(1+inf)^K$1</f>
        <v>0</v>
      </c>
      <c r="M57" s="7">
        <f ca="1">IF(M$2=Inputs!$B204,Inputs!$B203,0)*(1+inf)^L$1</f>
        <v>51203.381767854284</v>
      </c>
      <c r="N57" s="7">
        <f ca="1">IF(N$2=Inputs!$B204,Inputs!$B203,0)*(1+inf)^M$1</f>
        <v>0</v>
      </c>
      <c r="O57" s="7">
        <f ca="1">IF(O$2=Inputs!$B204,Inputs!$B203,0)*(1+inf)^N$1</f>
        <v>0</v>
      </c>
      <c r="P57" s="7">
        <f ca="1">IF(P$2=Inputs!$B204,Inputs!$B203,0)*(1+inf)^O$1</f>
        <v>0</v>
      </c>
      <c r="Q57" s="7">
        <f ca="1">IF(Q$2=Inputs!$B204,Inputs!$B203,0)*(1+inf)^P$1</f>
        <v>0</v>
      </c>
      <c r="R57" s="7">
        <f ca="1">IF(R$2=Inputs!$B204,Inputs!$B203,0)*(1+inf)^Q$1</f>
        <v>0</v>
      </c>
      <c r="S57" s="7">
        <f ca="1">IF(S$2=Inputs!$B204,Inputs!$B203,0)*(1+inf)^R$1</f>
        <v>0</v>
      </c>
      <c r="T57" s="7">
        <f ca="1">IF(T$2=Inputs!$B204,Inputs!$B203,0)*(1+inf)^S$1</f>
        <v>0</v>
      </c>
      <c r="U57" s="7">
        <f ca="1">IF(U$2=Inputs!$B204,Inputs!$B203,0)*(1+inf)^T$1</f>
        <v>0</v>
      </c>
      <c r="V57" s="7">
        <f ca="1">IF(V$2=Inputs!$B204,Inputs!$B203,0)*(1+inf)^U$1</f>
        <v>0</v>
      </c>
      <c r="W57" s="7">
        <f ca="1">IF(W$2=Inputs!$B204,Inputs!$B203,0)*(1+inf)^V$1</f>
        <v>0</v>
      </c>
      <c r="X57" s="7">
        <f ca="1">IF(X$2=Inputs!$B204,Inputs!$B203,0)*(1+inf)^W$1</f>
        <v>0</v>
      </c>
      <c r="Y57" s="7">
        <f ca="1">IF(Y$2=Inputs!$B204,Inputs!$B203,0)*(1+inf)^X$1</f>
        <v>0</v>
      </c>
      <c r="Z57" s="7">
        <f ca="1">IF(Z$2=Inputs!$B204,Inputs!$B203,0)*(1+inf)^Y$1</f>
        <v>0</v>
      </c>
      <c r="AA57" s="7">
        <f ca="1">IF(AA$2=Inputs!$B204,Inputs!$B203,0)*(1+inf)^Z$1</f>
        <v>0</v>
      </c>
      <c r="AB57" s="7">
        <f ca="1">IF(AB$2=Inputs!$B204,Inputs!$B203,0)*(1+inf)^AA$1</f>
        <v>0</v>
      </c>
      <c r="AC57" s="7">
        <f ca="1">IF(AC$2=Inputs!$B204,Inputs!$B203,0)*(1+inf)^AB$1</f>
        <v>0</v>
      </c>
      <c r="AD57" s="7">
        <f ca="1">IF(AD$2=Inputs!$B204,Inputs!$B203,0)*(1+inf)^AC$1</f>
        <v>0</v>
      </c>
      <c r="AE57" s="7">
        <f ca="1">IF(AE$2=Inputs!$B204,Inputs!$B203,0)*(1+inf)^AD$1</f>
        <v>0</v>
      </c>
      <c r="AF57" s="7">
        <f ca="1">IF(AF$2=Inputs!$B204,Inputs!$B203,0)*(1+inf)^AE$1</f>
        <v>0</v>
      </c>
      <c r="AG57" s="7">
        <f ca="1">IF(AG$2=Inputs!$B204,Inputs!$B203,0)*(1+inf)^AF$1</f>
        <v>0</v>
      </c>
      <c r="AH57" s="7">
        <f ca="1">IF(AH$2=Inputs!$B204,Inputs!$B203,0)*(1+inf)^AG$1</f>
        <v>0</v>
      </c>
      <c r="AI57" s="7">
        <f ca="1">IF(AI$2=Inputs!$B204,Inputs!$B203,0)*(1+inf)^AH$1</f>
        <v>0</v>
      </c>
      <c r="AJ57" s="7">
        <f ca="1">IF(AJ$2=Inputs!$B204,Inputs!$B203,0)*(1+inf)^AI$1</f>
        <v>0</v>
      </c>
      <c r="AK57" s="7">
        <f ca="1">IF(AK$2=Inputs!$B204,Inputs!$B203,0)*(1+inf)^AJ$1</f>
        <v>0</v>
      </c>
      <c r="AL57" s="7">
        <f ca="1">IF(AL$2=Inputs!$B204,Inputs!$B203,0)*(1+inf)^AK$1</f>
        <v>0</v>
      </c>
      <c r="AM57" s="7">
        <f ca="1">IF(AM$2=Inputs!$B204,Inputs!$B203,0)*(1+inf)^AL$1</f>
        <v>0</v>
      </c>
    </row>
    <row r="58" spans="1:39" x14ac:dyDescent="0.2">
      <c r="A58" s="3" t="str">
        <f>TEXT(Inputs!$B$207,"")</f>
        <v>New Car</v>
      </c>
      <c r="B58" s="8"/>
      <c r="C58" s="7">
        <f ca="1">IF(C$2=Inputs!$B209,Inputs!$B208,0)*(1+inf)^B$1</f>
        <v>0</v>
      </c>
      <c r="D58" s="101">
        <f ca="1">IF(D$2=Inputs!$B209,Inputs!$B208,0)*(1+inf)^C$1</f>
        <v>0</v>
      </c>
      <c r="E58" s="110">
        <f ca="1">IF(E$2=Inputs!$B209,Inputs!$B208,0)*(1+inf)^D$1</f>
        <v>0</v>
      </c>
      <c r="F58" s="7">
        <f ca="1">IF(F$2=Inputs!$B209,Inputs!$B208,0)*(1+inf)^E$1</f>
        <v>37691.171874999993</v>
      </c>
      <c r="G58" s="7">
        <f ca="1">IF(G$2=Inputs!$B209,Inputs!$B208,0)*(1+inf)^F$1</f>
        <v>0</v>
      </c>
      <c r="H58" s="7">
        <f ca="1">IF(H$2=Inputs!$B209,Inputs!$B208,0)*(1+inf)^G$1</f>
        <v>0</v>
      </c>
      <c r="I58" s="7">
        <f ca="1">IF(I$2=Inputs!$B209,Inputs!$B208,0)*(1+inf)^H$1</f>
        <v>0</v>
      </c>
      <c r="J58" s="7">
        <f ca="1">IF(J$2=Inputs!$B209,Inputs!$B208,0)*(1+inf)^I$1</f>
        <v>0</v>
      </c>
      <c r="K58" s="7">
        <f ca="1">IF(K$2=Inputs!$B209,Inputs!$B208,0)*(1+inf)^J$1</f>
        <v>0</v>
      </c>
      <c r="L58" s="7">
        <f ca="1">IF(L$2=Inputs!$B209,Inputs!$B208,0)*(1+inf)^K$1</f>
        <v>0</v>
      </c>
      <c r="M58" s="7">
        <f ca="1">IF(M$2=Inputs!$B209,Inputs!$B208,0)*(1+inf)^L$1</f>
        <v>0</v>
      </c>
      <c r="N58" s="7">
        <f ca="1">IF(N$2=Inputs!$B209,Inputs!$B208,0)*(1+inf)^M$1</f>
        <v>0</v>
      </c>
      <c r="O58" s="7">
        <f ca="1">IF(O$2=Inputs!$B209,Inputs!$B208,0)*(1+inf)^N$1</f>
        <v>0</v>
      </c>
      <c r="P58" s="7">
        <f ca="1">IF(P$2=Inputs!$B209,Inputs!$B208,0)*(1+inf)^O$1</f>
        <v>0</v>
      </c>
      <c r="Q58" s="7">
        <f ca="1">IF(Q$2=Inputs!$B209,Inputs!$B208,0)*(1+inf)^P$1</f>
        <v>0</v>
      </c>
      <c r="R58" s="7">
        <f ca="1">IF(R$2=Inputs!$B209,Inputs!$B208,0)*(1+inf)^Q$1</f>
        <v>0</v>
      </c>
      <c r="S58" s="7">
        <f ca="1">IF(S$2=Inputs!$B209,Inputs!$B208,0)*(1+inf)^R$1</f>
        <v>0</v>
      </c>
      <c r="T58" s="7">
        <f ca="1">IF(T$2=Inputs!$B209,Inputs!$B208,0)*(1+inf)^S$1</f>
        <v>0</v>
      </c>
      <c r="U58" s="7">
        <f ca="1">IF(U$2=Inputs!$B209,Inputs!$B208,0)*(1+inf)^T$1</f>
        <v>0</v>
      </c>
      <c r="V58" s="7">
        <f ca="1">IF(V$2=Inputs!$B209,Inputs!$B208,0)*(1+inf)^U$1</f>
        <v>0</v>
      </c>
      <c r="W58" s="7">
        <f ca="1">IF(W$2=Inputs!$B209,Inputs!$B208,0)*(1+inf)^V$1</f>
        <v>0</v>
      </c>
      <c r="X58" s="7">
        <f ca="1">IF(X$2=Inputs!$B209,Inputs!$B208,0)*(1+inf)^W$1</f>
        <v>0</v>
      </c>
      <c r="Y58" s="7">
        <f ca="1">IF(Y$2=Inputs!$B209,Inputs!$B208,0)*(1+inf)^X$1</f>
        <v>0</v>
      </c>
      <c r="Z58" s="7">
        <f ca="1">IF(Z$2=Inputs!$B209,Inputs!$B208,0)*(1+inf)^Y$1</f>
        <v>0</v>
      </c>
      <c r="AA58" s="7">
        <f ca="1">IF(AA$2=Inputs!$B209,Inputs!$B208,0)*(1+inf)^Z$1</f>
        <v>0</v>
      </c>
      <c r="AB58" s="7">
        <f ca="1">IF(AB$2=Inputs!$B209,Inputs!$B208,0)*(1+inf)^AA$1</f>
        <v>0</v>
      </c>
      <c r="AC58" s="7">
        <f ca="1">IF(AC$2=Inputs!$B209,Inputs!$B208,0)*(1+inf)^AB$1</f>
        <v>0</v>
      </c>
      <c r="AD58" s="7">
        <f ca="1">IF(AD$2=Inputs!$B209,Inputs!$B208,0)*(1+inf)^AC$1</f>
        <v>0</v>
      </c>
      <c r="AE58" s="7">
        <f ca="1">IF(AE$2=Inputs!$B209,Inputs!$B208,0)*(1+inf)^AD$1</f>
        <v>0</v>
      </c>
      <c r="AF58" s="7">
        <f ca="1">IF(AF$2=Inputs!$B209,Inputs!$B208,0)*(1+inf)^AE$1</f>
        <v>0</v>
      </c>
      <c r="AG58" s="7">
        <f ca="1">IF(AG$2=Inputs!$B209,Inputs!$B208,0)*(1+inf)^AF$1</f>
        <v>0</v>
      </c>
      <c r="AH58" s="7">
        <f ca="1">IF(AH$2=Inputs!$B209,Inputs!$B208,0)*(1+inf)^AG$1</f>
        <v>0</v>
      </c>
      <c r="AI58" s="7">
        <f ca="1">IF(AI$2=Inputs!$B209,Inputs!$B208,0)*(1+inf)^AH$1</f>
        <v>0</v>
      </c>
      <c r="AJ58" s="7">
        <f ca="1">IF(AJ$2=Inputs!$B209,Inputs!$B208,0)*(1+inf)^AI$1</f>
        <v>0</v>
      </c>
      <c r="AK58" s="7">
        <f ca="1">IF(AK$2=Inputs!$B209,Inputs!$B208,0)*(1+inf)^AJ$1</f>
        <v>0</v>
      </c>
      <c r="AL58" s="7">
        <f ca="1">IF(AL$2=Inputs!$B209,Inputs!$B208,0)*(1+inf)^AK$1</f>
        <v>0</v>
      </c>
      <c r="AM58" s="7">
        <f ca="1">IF(AM$2=Inputs!$B209,Inputs!$B208,0)*(1+inf)^AL$1</f>
        <v>0</v>
      </c>
    </row>
    <row r="59" spans="1:39" x14ac:dyDescent="0.2">
      <c r="A59" s="3" t="str">
        <f>TEXT(Inputs!$B$212,"")</f>
        <v>New AC</v>
      </c>
      <c r="B59" s="8"/>
      <c r="C59" s="7">
        <f ca="1">IF(C$2=Inputs!$B214,Inputs!$B213,0)*(1+inf)^B$1</f>
        <v>0</v>
      </c>
      <c r="D59" s="101">
        <f ca="1">IF(D$2=Inputs!$B214,Inputs!$B213,0)*(1+inf)^C$1</f>
        <v>0</v>
      </c>
      <c r="E59" s="110">
        <f ca="1">IF(E$2=Inputs!$B214,Inputs!$B213,0)*(1+inf)^D$1</f>
        <v>0</v>
      </c>
      <c r="F59" s="7">
        <f ca="1">IF(F$2=Inputs!$B214,Inputs!$B213,0)*(1+inf)^E$1</f>
        <v>0</v>
      </c>
      <c r="G59" s="7">
        <f ca="1">IF(G$2=Inputs!$B214,Inputs!$B213,0)*(1+inf)^F$1</f>
        <v>0</v>
      </c>
      <c r="H59" s="7">
        <f ca="1">IF(H$2=Inputs!$B214,Inputs!$B213,0)*(1+inf)^G$1</f>
        <v>0</v>
      </c>
      <c r="I59" s="7">
        <f ca="1">IF(I$2=Inputs!$B214,Inputs!$B213,0)*(1+inf)^H$1</f>
        <v>0</v>
      </c>
      <c r="J59" s="7">
        <f ca="1">IF(J$2=Inputs!$B214,Inputs!$B213,0)*(1+inf)^I$1</f>
        <v>0</v>
      </c>
      <c r="K59" s="7">
        <f ca="1">IF(K$2=Inputs!$B214,Inputs!$B213,0)*(1+inf)^J$1</f>
        <v>18276.043462648766</v>
      </c>
      <c r="L59" s="7">
        <f ca="1">IF(L$2=Inputs!$B214,Inputs!$B213,0)*(1+inf)^K$1</f>
        <v>0</v>
      </c>
      <c r="M59" s="7">
        <f ca="1">IF(M$2=Inputs!$B214,Inputs!$B213,0)*(1+inf)^L$1</f>
        <v>0</v>
      </c>
      <c r="N59" s="7">
        <f ca="1">IF(N$2=Inputs!$B214,Inputs!$B213,0)*(1+inf)^M$1</f>
        <v>0</v>
      </c>
      <c r="O59" s="7">
        <f ca="1">IF(O$2=Inputs!$B214,Inputs!$B213,0)*(1+inf)^N$1</f>
        <v>0</v>
      </c>
      <c r="P59" s="7">
        <f ca="1">IF(P$2=Inputs!$B214,Inputs!$B213,0)*(1+inf)^O$1</f>
        <v>0</v>
      </c>
      <c r="Q59" s="7">
        <f ca="1">IF(Q$2=Inputs!$B214,Inputs!$B213,0)*(1+inf)^P$1</f>
        <v>0</v>
      </c>
      <c r="R59" s="7">
        <f ca="1">IF(R$2=Inputs!$B214,Inputs!$B213,0)*(1+inf)^Q$1</f>
        <v>0</v>
      </c>
      <c r="S59" s="7">
        <f ca="1">IF(S$2=Inputs!$B214,Inputs!$B213,0)*(1+inf)^R$1</f>
        <v>0</v>
      </c>
      <c r="T59" s="7">
        <f ca="1">IF(T$2=Inputs!$B214,Inputs!$B213,0)*(1+inf)^S$1</f>
        <v>0</v>
      </c>
      <c r="U59" s="7">
        <f ca="1">IF(U$2=Inputs!$B214,Inputs!$B213,0)*(1+inf)^T$1</f>
        <v>0</v>
      </c>
      <c r="V59" s="7">
        <f ca="1">IF(V$2=Inputs!$B214,Inputs!$B213,0)*(1+inf)^U$1</f>
        <v>0</v>
      </c>
      <c r="W59" s="7">
        <f ca="1">IF(W$2=Inputs!$B214,Inputs!$B213,0)*(1+inf)^V$1</f>
        <v>0</v>
      </c>
      <c r="X59" s="7">
        <f ca="1">IF(X$2=Inputs!$B214,Inputs!$B213,0)*(1+inf)^W$1</f>
        <v>0</v>
      </c>
      <c r="Y59" s="7">
        <f ca="1">IF(Y$2=Inputs!$B214,Inputs!$B213,0)*(1+inf)^X$1</f>
        <v>0</v>
      </c>
      <c r="Z59" s="7">
        <f ca="1">IF(Z$2=Inputs!$B214,Inputs!$B213,0)*(1+inf)^Y$1</f>
        <v>0</v>
      </c>
      <c r="AA59" s="7">
        <f ca="1">IF(AA$2=Inputs!$B214,Inputs!$B213,0)*(1+inf)^Z$1</f>
        <v>0</v>
      </c>
      <c r="AB59" s="7">
        <f ca="1">IF(AB$2=Inputs!$B214,Inputs!$B213,0)*(1+inf)^AA$1</f>
        <v>0</v>
      </c>
      <c r="AC59" s="7">
        <f ca="1">IF(AC$2=Inputs!$B214,Inputs!$B213,0)*(1+inf)^AB$1</f>
        <v>0</v>
      </c>
      <c r="AD59" s="7">
        <f ca="1">IF(AD$2=Inputs!$B214,Inputs!$B213,0)*(1+inf)^AC$1</f>
        <v>0</v>
      </c>
      <c r="AE59" s="7">
        <f ca="1">IF(AE$2=Inputs!$B214,Inputs!$B213,0)*(1+inf)^AD$1</f>
        <v>0</v>
      </c>
      <c r="AF59" s="7">
        <f ca="1">IF(AF$2=Inputs!$B214,Inputs!$B213,0)*(1+inf)^AE$1</f>
        <v>0</v>
      </c>
      <c r="AG59" s="7">
        <f ca="1">IF(AG$2=Inputs!$B214,Inputs!$B213,0)*(1+inf)^AF$1</f>
        <v>0</v>
      </c>
      <c r="AH59" s="7">
        <f ca="1">IF(AH$2=Inputs!$B214,Inputs!$B213,0)*(1+inf)^AG$1</f>
        <v>0</v>
      </c>
      <c r="AI59" s="7">
        <f ca="1">IF(AI$2=Inputs!$B214,Inputs!$B213,0)*(1+inf)^AH$1</f>
        <v>0</v>
      </c>
      <c r="AJ59" s="7">
        <f ca="1">IF(AJ$2=Inputs!$B214,Inputs!$B213,0)*(1+inf)^AI$1</f>
        <v>0</v>
      </c>
      <c r="AK59" s="7">
        <f ca="1">IF(AK$2=Inputs!$B214,Inputs!$B213,0)*(1+inf)^AJ$1</f>
        <v>0</v>
      </c>
      <c r="AL59" s="7">
        <f ca="1">IF(AL$2=Inputs!$B214,Inputs!$B213,0)*(1+inf)^AK$1</f>
        <v>0</v>
      </c>
      <c r="AM59" s="7">
        <f ca="1">IF(AM$2=Inputs!$B214,Inputs!$B213,0)*(1+inf)^AL$1</f>
        <v>0</v>
      </c>
    </row>
    <row r="60" spans="1:39" x14ac:dyDescent="0.2">
      <c r="A60" s="4" t="s">
        <v>228</v>
      </c>
      <c r="B60" s="8"/>
      <c r="C60" s="7">
        <f ca="1">IF(C$3&lt;$B$3,Inputs!$B$11*IF(B$1=0,MthRem,12),0)</f>
        <v>3150</v>
      </c>
      <c r="D60" s="101">
        <f>IF(D$3&lt;$B$3,Inputs!$B$11*IF(C$1=0,MthRem,12),0)</f>
        <v>0</v>
      </c>
      <c r="E60" s="110">
        <f>IF(E$3&lt;$B$3,Inputs!$B$11*IF(D$1=0,MthRem,12),0)</f>
        <v>0</v>
      </c>
      <c r="F60" s="7">
        <f>IF(F$3&lt;$B$3,Inputs!$B$11*IF(E$1=0,MthRem,12),0)</f>
        <v>0</v>
      </c>
      <c r="G60" s="7">
        <f>IF(G$3&lt;$B$3,Inputs!$B$11*IF(F$1=0,MthRem,12),0)</f>
        <v>0</v>
      </c>
      <c r="H60" s="7">
        <f>IF(H$3&lt;$B$3,Inputs!$B$11*IF(G$1=0,MthRem,12),0)</f>
        <v>0</v>
      </c>
      <c r="I60" s="7">
        <f>IF(I$3&lt;$B$3,Inputs!$B$11*IF(H$1=0,MthRem,12),0)</f>
        <v>0</v>
      </c>
      <c r="J60" s="7">
        <f>IF(J$3&lt;$B$3,Inputs!$B$11*IF(I$1=0,MthRem,12),0)</f>
        <v>0</v>
      </c>
      <c r="K60" s="7">
        <f>IF(K$3&lt;$B$3,Inputs!$B$11*IF(J$1=0,MthRem,12),0)</f>
        <v>0</v>
      </c>
      <c r="L60" s="7">
        <f>IF(L$3&lt;$B$3,Inputs!$B$11*IF(K$1=0,MthRem,12),0)</f>
        <v>0</v>
      </c>
      <c r="M60" s="7">
        <f>IF(M$3&lt;$B$3,Inputs!$B$11*IF(L$1=0,MthRem,12),0)</f>
        <v>0</v>
      </c>
      <c r="N60" s="7">
        <f>IF(N$3&lt;$B$3,Inputs!$B$11*IF(M$1=0,MthRem,12),0)</f>
        <v>0</v>
      </c>
      <c r="O60" s="7">
        <f>IF(O$3&lt;$B$3,Inputs!$B$11*IF(N$1=0,MthRem,12),0)</f>
        <v>0</v>
      </c>
      <c r="P60" s="7">
        <f>IF(P$3&lt;$B$3,Inputs!$B$11*IF(O$1=0,MthRem,12),0)</f>
        <v>0</v>
      </c>
      <c r="Q60" s="7">
        <f>IF(Q$3&lt;$B$3,Inputs!$B$11*IF(P$1=0,MthRem,12),0)</f>
        <v>0</v>
      </c>
      <c r="R60" s="7">
        <f>IF(R$3&lt;$B$3,Inputs!$B$11*IF(Q$1=0,MthRem,12),0)</f>
        <v>0</v>
      </c>
      <c r="S60" s="7">
        <f>IF(S$3&lt;$B$3,Inputs!$B$11*IF(R$1=0,MthRem,12),0)</f>
        <v>0</v>
      </c>
      <c r="T60" s="7">
        <f>IF(T$3&lt;$B$3,Inputs!$B$11*IF(S$1=0,MthRem,12),0)</f>
        <v>0</v>
      </c>
      <c r="U60" s="7">
        <f>IF(U$3&lt;$B$3,Inputs!$B$11*IF(T$1=0,MthRem,12),0)</f>
        <v>0</v>
      </c>
      <c r="V60" s="7">
        <f>IF(V$3&lt;$B$3,Inputs!$B$11*IF(U$1=0,MthRem,12),0)</f>
        <v>0</v>
      </c>
      <c r="W60" s="7">
        <f>IF(W$3&lt;$B$3,Inputs!$B$11*IF(V$1=0,MthRem,12),0)</f>
        <v>0</v>
      </c>
      <c r="X60" s="7">
        <f>IF(X$3&lt;$B$3,Inputs!$B$11*IF(W$1=0,MthRem,12),0)</f>
        <v>0</v>
      </c>
      <c r="Y60" s="7">
        <f>IF(Y$3&lt;$B$3,Inputs!$B$11*IF(X$1=0,MthRem,12),0)</f>
        <v>0</v>
      </c>
      <c r="Z60" s="7">
        <f>IF(Z$3&lt;$B$3,Inputs!$B$11*IF(Y$1=0,MthRem,12),0)</f>
        <v>0</v>
      </c>
      <c r="AA60" s="7">
        <f>IF(AA$3&lt;$B$3,Inputs!$B$11*IF(Z$1=0,MthRem,12),0)</f>
        <v>0</v>
      </c>
      <c r="AB60" s="7">
        <f>IF(AB$3&lt;$B$3,Inputs!$B$11*IF(AA$1=0,MthRem,12),0)</f>
        <v>0</v>
      </c>
      <c r="AC60" s="7">
        <f>IF(AC$3&lt;$B$3,Inputs!$B$11*IF(AB$1=0,MthRem,12),0)</f>
        <v>0</v>
      </c>
      <c r="AD60" s="7">
        <f>IF(AD$3&lt;$B$3,Inputs!$B$11*IF(AC$1=0,MthRem,12),0)</f>
        <v>0</v>
      </c>
      <c r="AE60" s="7">
        <f>IF(AE$3&lt;$B$3,Inputs!$B$11*IF(AD$1=0,MthRem,12),0)</f>
        <v>0</v>
      </c>
      <c r="AF60" s="7">
        <f>IF(AF$3&lt;$B$3,Inputs!$B$11*IF(AE$1=0,MthRem,12),0)</f>
        <v>0</v>
      </c>
      <c r="AG60" s="7">
        <f>IF(AG$3&lt;$B$3,Inputs!$B$11*IF(AF$1=0,MthRem,12),0)</f>
        <v>0</v>
      </c>
      <c r="AH60" s="7">
        <f>IF(AH$3&lt;$B$3,Inputs!$B$11*IF(AG$1=0,MthRem,12),0)</f>
        <v>0</v>
      </c>
      <c r="AI60" s="7">
        <f>IF(AI$3&lt;$B$3,Inputs!$B$11*IF(AH$1=0,MthRem,12),0)</f>
        <v>0</v>
      </c>
      <c r="AJ60" s="7">
        <f>IF(AJ$3&lt;$B$3,Inputs!$B$11*IF(AI$1=0,MthRem,12),0)</f>
        <v>0</v>
      </c>
      <c r="AK60" s="7">
        <f>IF(AK$3&lt;$B$3,Inputs!$B$11*IF(AJ$1=0,MthRem,12),0)</f>
        <v>0</v>
      </c>
      <c r="AL60" s="7">
        <f>IF(AL$3&lt;$B$3,Inputs!$B$11*IF(AK$1=0,MthRem,12),0)</f>
        <v>0</v>
      </c>
      <c r="AM60" s="7">
        <f>IF(AM$3&lt;$B$3,Inputs!$B$11*IF(AL$1=0,MthRem,12),0)</f>
        <v>0</v>
      </c>
    </row>
    <row r="61" spans="1:39" x14ac:dyDescent="0.2">
      <c r="A61" s="4" t="s">
        <v>223</v>
      </c>
      <c r="B61" s="8"/>
      <c r="C61" s="7">
        <f ca="1">IF(AND(Inputs!$B$218&lt;&gt;"",C$2=Inputs!$B$218,Inputs!$B$13&gt;0,UPPER(Inputs!$B$220)="BUY"),Inputs!$B$222*(1+princ)^(ProRate+C$1-1),0)</f>
        <v>0</v>
      </c>
      <c r="D61" s="101">
        <f ca="1">IF(AND(Inputs!$B$218&lt;&gt;"",D$2=Inputs!$B$218,Inputs!$B$13&gt;0,UPPER(Inputs!$B$220)="BUY"),Inputs!$B$222*(1+princ)^(ProRate+D$1-1),0)</f>
        <v>0</v>
      </c>
      <c r="E61" s="110">
        <f ca="1">IF(AND(Inputs!$B$218&lt;&gt;"",E$2=Inputs!$B$218,Inputs!$B$13&gt;0,UPPER(Inputs!$B$220)="BUY"),Inputs!$B$222*(1+princ)^(ProRate+E$1-1),0)</f>
        <v>0</v>
      </c>
      <c r="F61" s="7">
        <f ca="1">IF(AND(Inputs!$B$218&lt;&gt;"",F$2=Inputs!$B$218,Inputs!$B$13&gt;0,UPPER(Inputs!$B$220)="BUY"),Inputs!$B$222*(1+princ)^(ProRate+F$1-1),0)</f>
        <v>0</v>
      </c>
      <c r="G61" s="7">
        <f ca="1">IF(AND(Inputs!$B$218&lt;&gt;"",G$2=Inputs!$B$218,Inputs!$B$13&gt;0,UPPER(Inputs!$B$220)="BUY"),Inputs!$B$222*(1+princ)^(ProRate+G$1-1),0)</f>
        <v>287684.74020752241</v>
      </c>
      <c r="H61" s="7">
        <f ca="1">IF(AND(Inputs!$B$218&lt;&gt;"",H$2=Inputs!$B$218,Inputs!$B$13&gt;0,UPPER(Inputs!$B$220)="BUY"),Inputs!$B$222*(1+princ)^(ProRate+H$1-1),0)</f>
        <v>0</v>
      </c>
      <c r="I61" s="7">
        <f ca="1">IF(AND(Inputs!$B$218&lt;&gt;"",I$2=Inputs!$B$218,Inputs!$B$13&gt;0,UPPER(Inputs!$B$220)="BUY"),Inputs!$B$222*(1+princ)^(ProRate+I$1-1),0)</f>
        <v>0</v>
      </c>
      <c r="J61" s="7">
        <f ca="1">IF(AND(Inputs!$B$218&lt;&gt;"",J$2=Inputs!$B$218,Inputs!$B$13&gt;0,UPPER(Inputs!$B$220)="BUY"),Inputs!$B$222*(1+princ)^(ProRate+J$1-1),0)</f>
        <v>0</v>
      </c>
      <c r="K61" s="7">
        <f ca="1">IF(AND(Inputs!$B$218&lt;&gt;"",K$2=Inputs!$B$218,Inputs!$B$13&gt;0,UPPER(Inputs!$B$220)="BUY"),Inputs!$B$222*(1+princ)^(ProRate+K$1-1),0)</f>
        <v>0</v>
      </c>
      <c r="L61" s="7">
        <f ca="1">IF(AND(Inputs!$B$218&lt;&gt;"",L$2=Inputs!$B$218,Inputs!$B$13&gt;0,UPPER(Inputs!$B$220)="BUY"),Inputs!$B$222*(1+princ)^(ProRate+L$1-1),0)</f>
        <v>0</v>
      </c>
      <c r="M61" s="7">
        <f ca="1">IF(AND(Inputs!$B$218&lt;&gt;"",M$2=Inputs!$B$218,Inputs!$B$13&gt;0,UPPER(Inputs!$B$220)="BUY"),Inputs!$B$222*(1+princ)^(ProRate+M$1-1),0)</f>
        <v>0</v>
      </c>
      <c r="N61" s="7">
        <f ca="1">IF(AND(Inputs!$B$218&lt;&gt;"",N$2=Inputs!$B$218,Inputs!$B$13&gt;0,UPPER(Inputs!$B$220)="BUY"),Inputs!$B$222*(1+princ)^(ProRate+N$1-1),0)</f>
        <v>0</v>
      </c>
      <c r="O61" s="7">
        <f ca="1">IF(AND(Inputs!$B$218&lt;&gt;"",O$2=Inputs!$B$218,Inputs!$B$13&gt;0,UPPER(Inputs!$B$220)="BUY"),Inputs!$B$222*(1+princ)^(ProRate+O$1-1),0)</f>
        <v>0</v>
      </c>
      <c r="P61" s="7">
        <f ca="1">IF(AND(Inputs!$B$218&lt;&gt;"",P$2=Inputs!$B$218,Inputs!$B$13&gt;0,UPPER(Inputs!$B$220)="BUY"),Inputs!$B$222*(1+princ)^(ProRate+P$1-1),0)</f>
        <v>0</v>
      </c>
      <c r="Q61" s="7">
        <f ca="1">IF(AND(Inputs!$B$218&lt;&gt;"",Q$2=Inputs!$B$218,Inputs!$B$13&gt;0,UPPER(Inputs!$B$220)="BUY"),Inputs!$B$222*(1+princ)^(ProRate+Q$1-1),0)</f>
        <v>0</v>
      </c>
      <c r="R61" s="7">
        <f ca="1">IF(AND(Inputs!$B$218&lt;&gt;"",R$2=Inputs!$B$218,Inputs!$B$13&gt;0,UPPER(Inputs!$B$220)="BUY"),Inputs!$B$222*(1+princ)^(ProRate+R$1-1),0)</f>
        <v>0</v>
      </c>
      <c r="S61" s="7">
        <f ca="1">IF(AND(Inputs!$B$218&lt;&gt;"",S$2=Inputs!$B$218,Inputs!$B$13&gt;0,UPPER(Inputs!$B$220)="BUY"),Inputs!$B$222*(1+princ)^(ProRate+S$1-1),0)</f>
        <v>0</v>
      </c>
      <c r="T61" s="7">
        <f ca="1">IF(AND(Inputs!$B$218&lt;&gt;"",T$2=Inputs!$B$218,Inputs!$B$13&gt;0,UPPER(Inputs!$B$220)="BUY"),Inputs!$B$222*(1+princ)^(ProRate+T$1-1),0)</f>
        <v>0</v>
      </c>
      <c r="U61" s="7">
        <f ca="1">IF(AND(Inputs!$B$218&lt;&gt;"",U$2=Inputs!$B$218,Inputs!$B$13&gt;0,UPPER(Inputs!$B$220)="BUY"),Inputs!$B$222*(1+princ)^(ProRate+U$1-1),0)</f>
        <v>0</v>
      </c>
      <c r="V61" s="7">
        <f ca="1">IF(AND(Inputs!$B$218&lt;&gt;"",V$2=Inputs!$B$218,Inputs!$B$13&gt;0,UPPER(Inputs!$B$220)="BUY"),Inputs!$B$222*(1+princ)^(ProRate+V$1-1),0)</f>
        <v>0</v>
      </c>
      <c r="W61" s="7">
        <f ca="1">IF(AND(Inputs!$B$218&lt;&gt;"",W$2=Inputs!$B$218,Inputs!$B$13&gt;0,UPPER(Inputs!$B$220)="BUY"),Inputs!$B$222*(1+princ)^(ProRate+W$1-1),0)</f>
        <v>0</v>
      </c>
      <c r="X61" s="7">
        <f ca="1">IF(AND(Inputs!$B$218&lt;&gt;"",X$2=Inputs!$B$218,Inputs!$B$13&gt;0,UPPER(Inputs!$B$220)="BUY"),Inputs!$B$222*(1+princ)^(ProRate+X$1-1),0)</f>
        <v>0</v>
      </c>
      <c r="Y61" s="7">
        <f ca="1">IF(AND(Inputs!$B$218&lt;&gt;"",Y$2=Inputs!$B$218,Inputs!$B$13&gt;0,UPPER(Inputs!$B$220)="BUY"),Inputs!$B$222*(1+princ)^(ProRate+Y$1-1),0)</f>
        <v>0</v>
      </c>
      <c r="Z61" s="7">
        <f ca="1">IF(AND(Inputs!$B$218&lt;&gt;"",Z$2=Inputs!$B$218,Inputs!$B$13&gt;0,UPPER(Inputs!$B$220)="BUY"),Inputs!$B$222*(1+princ)^(ProRate+Z$1-1),0)</f>
        <v>0</v>
      </c>
      <c r="AA61" s="7">
        <f ca="1">IF(AND(Inputs!$B$218&lt;&gt;"",AA$2=Inputs!$B$218,Inputs!$B$13&gt;0,UPPER(Inputs!$B$220)="BUY"),Inputs!$B$222*(1+princ)^(ProRate+AA$1-1),0)</f>
        <v>0</v>
      </c>
      <c r="AB61" s="7">
        <f ca="1">IF(AND(Inputs!$B$218&lt;&gt;"",AB$2=Inputs!$B$218,Inputs!$B$13&gt;0,UPPER(Inputs!$B$220)="BUY"),Inputs!$B$222*(1+princ)^(ProRate+AB$1-1),0)</f>
        <v>0</v>
      </c>
      <c r="AC61" s="7">
        <f ca="1">IF(AND(Inputs!$B$218&lt;&gt;"",AC$2=Inputs!$B$218,Inputs!$B$13&gt;0,UPPER(Inputs!$B$220)="BUY"),Inputs!$B$222*(1+princ)^(ProRate+AC$1-1),0)</f>
        <v>0</v>
      </c>
      <c r="AD61" s="7">
        <f ca="1">IF(AND(Inputs!$B$218&lt;&gt;"",AD$2=Inputs!$B$218,Inputs!$B$13&gt;0,UPPER(Inputs!$B$220)="BUY"),Inputs!$B$222*(1+princ)^(ProRate+AD$1-1),0)</f>
        <v>0</v>
      </c>
      <c r="AE61" s="7">
        <f ca="1">IF(AND(Inputs!$B$218&lt;&gt;"",AE$2=Inputs!$B$218,Inputs!$B$13&gt;0,UPPER(Inputs!$B$220)="BUY"),Inputs!$B$222*(1+princ)^(ProRate+AE$1-1),0)</f>
        <v>0</v>
      </c>
      <c r="AF61" s="7">
        <f ca="1">IF(AND(Inputs!$B$218&lt;&gt;"",AF$2=Inputs!$B$218,Inputs!$B$13&gt;0,UPPER(Inputs!$B$220)="BUY"),Inputs!$B$222*(1+princ)^(ProRate+AF$1-1),0)</f>
        <v>0</v>
      </c>
      <c r="AG61" s="7">
        <f ca="1">IF(AND(Inputs!$B$218&lt;&gt;"",AG$2=Inputs!$B$218,Inputs!$B$13&gt;0,UPPER(Inputs!$B$220)="BUY"),Inputs!$B$222*(1+princ)^(ProRate+AG$1-1),0)</f>
        <v>0</v>
      </c>
      <c r="AH61" s="7">
        <f ca="1">IF(AND(Inputs!$B$218&lt;&gt;"",AH$2=Inputs!$B$218,Inputs!$B$13&gt;0,UPPER(Inputs!$B$220)="BUY"),Inputs!$B$222*(1+princ)^(ProRate+AH$1-1),0)</f>
        <v>0</v>
      </c>
      <c r="AI61" s="7">
        <f ca="1">IF(AND(Inputs!$B$218&lt;&gt;"",AI$2=Inputs!$B$218,Inputs!$B$13&gt;0,UPPER(Inputs!$B$220)="BUY"),Inputs!$B$222*(1+princ)^(ProRate+AI$1-1),0)</f>
        <v>0</v>
      </c>
      <c r="AJ61" s="7">
        <f ca="1">IF(AND(Inputs!$B$218&lt;&gt;"",AJ$2=Inputs!$B$218,Inputs!$B$13&gt;0,UPPER(Inputs!$B$220)="BUY"),Inputs!$B$222*(1+princ)^(ProRate+AJ$1-1),0)</f>
        <v>0</v>
      </c>
      <c r="AK61" s="7">
        <f ca="1">IF(AND(Inputs!$B$218&lt;&gt;"",AK$2=Inputs!$B$218,Inputs!$B$13&gt;0,UPPER(Inputs!$B$220)="BUY"),Inputs!$B$222*(1+princ)^(ProRate+AK$1-1),0)</f>
        <v>0</v>
      </c>
      <c r="AL61" s="7">
        <f ca="1">IF(AND(Inputs!$B$218&lt;&gt;"",AL$2=Inputs!$B$218,Inputs!$B$13&gt;0,UPPER(Inputs!$B$220)="BUY"),Inputs!$B$222*(1+princ)^(ProRate+AL$1-1),0)</f>
        <v>0</v>
      </c>
      <c r="AM61" s="7">
        <f ca="1">IF(AND(Inputs!$B$218&lt;&gt;"",AM$2=Inputs!$B$218,Inputs!$B$13&gt;0,UPPER(Inputs!$B$220)="BUY"),Inputs!$B$222*(1+princ)^(ProRate+AM$1-1),0)</f>
        <v>0</v>
      </c>
    </row>
    <row r="62" spans="1:39" x14ac:dyDescent="0.2">
      <c r="A62" s="4"/>
      <c r="C62" s="9">
        <f ca="1">SUM(C23:C61)</f>
        <v>81100</v>
      </c>
      <c r="D62" s="102">
        <f t="shared" ref="D62:AM62" ca="1" si="36">SUM(D23:D61)</f>
        <v>104409</v>
      </c>
      <c r="E62" s="111">
        <f t="shared" ca="1" si="36"/>
        <v>102060.72499999999</v>
      </c>
      <c r="F62" s="9">
        <f t="shared" ca="1" si="36"/>
        <v>134792.57473062762</v>
      </c>
      <c r="G62" s="9">
        <f t="shared" ca="1" si="36"/>
        <v>423087.86891793617</v>
      </c>
      <c r="H62" s="9">
        <f t="shared" ca="1" si="36"/>
        <v>92548.5788481583</v>
      </c>
      <c r="I62" s="9">
        <f t="shared" ca="1" si="36"/>
        <v>83430.98129242775</v>
      </c>
      <c r="J62" s="9">
        <f t="shared" ca="1" si="36"/>
        <v>78830.394027913091</v>
      </c>
      <c r="K62" s="9">
        <f t="shared" ca="1" si="36"/>
        <v>97851.233575819046</v>
      </c>
      <c r="L62" s="9">
        <f t="shared" ca="1" si="36"/>
        <v>80040.083275847108</v>
      </c>
      <c r="M62" s="9">
        <f t="shared" ca="1" si="36"/>
        <v>128008.4544196357</v>
      </c>
      <c r="N62" s="9">
        <f t="shared" ca="1" si="36"/>
        <v>78725.199468075967</v>
      </c>
      <c r="O62" s="9">
        <f t="shared" ca="1" si="36"/>
        <v>80693.32945477785</v>
      </c>
      <c r="P62" s="9">
        <f t="shared" ca="1" si="36"/>
        <v>82710.662691147285</v>
      </c>
      <c r="Q62" s="9">
        <f t="shared" ca="1" si="36"/>
        <v>84778.429258425953</v>
      </c>
      <c r="R62" s="9">
        <f t="shared" ca="1" si="36"/>
        <v>86897.889989886637</v>
      </c>
      <c r="S62" s="9">
        <f t="shared" ca="1" si="36"/>
        <v>89070.33723963378</v>
      </c>
      <c r="T62" s="9">
        <f t="shared" ca="1" si="36"/>
        <v>91297.095670624622</v>
      </c>
      <c r="U62" s="9">
        <f t="shared" ca="1" si="36"/>
        <v>85781.229473857733</v>
      </c>
      <c r="V62" s="9">
        <f t="shared" ca="1" si="36"/>
        <v>87925.76021070416</v>
      </c>
      <c r="W62" s="9">
        <f t="shared" ca="1" si="36"/>
        <v>90123.90421597175</v>
      </c>
      <c r="X62" s="9">
        <f t="shared" ca="1" si="36"/>
        <v>92377.001821371043</v>
      </c>
      <c r="Y62" s="9">
        <f t="shared" ca="1" si="36"/>
        <v>94686.426866905327</v>
      </c>
      <c r="Z62" s="9">
        <f t="shared" ca="1" si="36"/>
        <v>97053.587538577965</v>
      </c>
      <c r="AA62" s="9">
        <f t="shared" ca="1" si="36"/>
        <v>99479.927227042383</v>
      </c>
      <c r="AB62" s="9">
        <f t="shared" ca="1" si="36"/>
        <v>101966.92540771843</v>
      </c>
      <c r="AC62" s="9">
        <f t="shared" ca="1" si="36"/>
        <v>104516.09854291138</v>
      </c>
      <c r="AD62" s="9">
        <f t="shared" ca="1" si="36"/>
        <v>107129.00100648416</v>
      </c>
      <c r="AE62" s="9">
        <f t="shared" ca="1" si="36"/>
        <v>99824.750937860241</v>
      </c>
      <c r="AF62" s="9">
        <f t="shared" ca="1" si="36"/>
        <v>102320.36971130676</v>
      </c>
      <c r="AG62" s="9">
        <f t="shared" ca="1" si="36"/>
        <v>104878.37895408941</v>
      </c>
      <c r="AH62" s="9">
        <f t="shared" ca="1" si="36"/>
        <v>107500.33842794166</v>
      </c>
      <c r="AI62" s="9">
        <f t="shared" ca="1" si="36"/>
        <v>110187.84688864017</v>
      </c>
      <c r="AJ62" s="9">
        <f t="shared" ca="1" si="36"/>
        <v>112942.54306085619</v>
      </c>
      <c r="AK62" s="9">
        <f t="shared" ca="1" si="36"/>
        <v>115766.10663737757</v>
      </c>
      <c r="AL62" s="9">
        <f t="shared" ca="1" si="36"/>
        <v>118660.25930331199</v>
      </c>
      <c r="AM62" s="9">
        <f t="shared" ca="1" si="36"/>
        <v>121626.76578589482</v>
      </c>
    </row>
    <row r="63" spans="1:39" x14ac:dyDescent="0.2">
      <c r="A63" s="4"/>
      <c r="C63" s="7"/>
      <c r="D63" s="101"/>
      <c r="E63" s="110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  <c r="AB63" s="7"/>
      <c r="AC63" s="7"/>
      <c r="AD63" s="7"/>
      <c r="AE63" s="7"/>
      <c r="AF63" s="7"/>
      <c r="AG63" s="7"/>
      <c r="AH63" s="7"/>
      <c r="AI63" s="7"/>
      <c r="AJ63" s="7"/>
      <c r="AK63" s="7"/>
      <c r="AL63" s="7"/>
      <c r="AM63" s="7"/>
    </row>
    <row r="64" spans="1:39" ht="19" x14ac:dyDescent="0.25">
      <c r="A64" s="12" t="s">
        <v>18</v>
      </c>
      <c r="C64" s="7">
        <f t="shared" ref="C64:AM64" ca="1" si="37">C22-C62</f>
        <v>12919.0625</v>
      </c>
      <c r="D64" s="101">
        <f t="shared" ca="1" si="37"/>
        <v>-69606.026562500003</v>
      </c>
      <c r="E64" s="110">
        <f t="shared" ca="1" si="37"/>
        <v>-66938.962499999994</v>
      </c>
      <c r="F64" s="7">
        <f t="shared" ca="1" si="37"/>
        <v>-87858.759355627612</v>
      </c>
      <c r="G64" s="7">
        <f t="shared" ca="1" si="37"/>
        <v>103215.27692735189</v>
      </c>
      <c r="H64" s="7">
        <f t="shared" ca="1" si="37"/>
        <v>-54203.356859789543</v>
      </c>
      <c r="I64" s="7">
        <f t="shared" ca="1" si="37"/>
        <v>-38148.249635472392</v>
      </c>
      <c r="J64" s="7">
        <f t="shared" ca="1" si="37"/>
        <v>-38173.198459227577</v>
      </c>
      <c r="K64" s="7">
        <f t="shared" ca="1" si="37"/>
        <v>-55986.208997609654</v>
      </c>
      <c r="L64" s="7">
        <f t="shared" ca="1" si="37"/>
        <v>25511.856508116733</v>
      </c>
      <c r="M64" s="7">
        <f t="shared" ca="1" si="37"/>
        <v>-68257.8734938009</v>
      </c>
      <c r="N64" s="7">
        <f t="shared" ca="1" si="37"/>
        <v>-19895.880348162398</v>
      </c>
      <c r="O64" s="7">
        <f t="shared" ca="1" si="37"/>
        <v>-20177.855960734945</v>
      </c>
      <c r="P64" s="7">
        <f t="shared" ca="1" si="37"/>
        <v>-20460.418321737867</v>
      </c>
      <c r="Q64" s="7">
        <f t="shared" ca="1" si="37"/>
        <v>-20743.388220625398</v>
      </c>
      <c r="R64" s="7">
        <f t="shared" ca="1" si="37"/>
        <v>-21026.576150210502</v>
      </c>
      <c r="S64" s="7">
        <f t="shared" ca="1" si="37"/>
        <v>-21309.781874757246</v>
      </c>
      <c r="T64" s="7">
        <f t="shared" ca="1" si="37"/>
        <v>-4550.6694568581443</v>
      </c>
      <c r="U64" s="7">
        <f t="shared" ca="1" si="37"/>
        <v>3391.0818080251775</v>
      </c>
      <c r="V64" s="7">
        <f t="shared" ca="1" si="37"/>
        <v>3740.7999983813061</v>
      </c>
      <c r="W64" s="7">
        <f t="shared" ca="1" si="37"/>
        <v>4107.2093778509734</v>
      </c>
      <c r="X64" s="7">
        <f t="shared" ca="1" si="37"/>
        <v>4490.9656731926516</v>
      </c>
      <c r="Y64" s="7">
        <f t="shared" ca="1" si="37"/>
        <v>-15766.108613216406</v>
      </c>
      <c r="Z64" s="7">
        <f t="shared" ca="1" si="37"/>
        <v>-15862.067735542849</v>
      </c>
      <c r="AA64" s="7">
        <f t="shared" ca="1" si="37"/>
        <v>-15951.480028137303</v>
      </c>
      <c r="AB64" s="7">
        <f t="shared" ca="1" si="37"/>
        <v>-16033.913446022838</v>
      </c>
      <c r="AC64" s="7">
        <f t="shared" ca="1" si="37"/>
        <v>-16108.917091870942</v>
      </c>
      <c r="AD64" s="7">
        <f t="shared" ca="1" si="37"/>
        <v>-16176.020503156222</v>
      </c>
      <c r="AE64" s="7">
        <f t="shared" ca="1" si="37"/>
        <v>-6252.2578204572346</v>
      </c>
      <c r="AF64" s="7">
        <f t="shared" ca="1" si="37"/>
        <v>-6052.50552143206</v>
      </c>
      <c r="AG64" s="7">
        <f t="shared" ca="1" si="37"/>
        <v>-5837.0776525951369</v>
      </c>
      <c r="AH64" s="7">
        <f t="shared" ca="1" si="37"/>
        <v>-5605.2618718311423</v>
      </c>
      <c r="AI64" s="7">
        <f t="shared" ca="1" si="37"/>
        <v>-5356.3184148856089</v>
      </c>
      <c r="AJ64" s="7">
        <f t="shared" ca="1" si="37"/>
        <v>-5089.4791214042925</v>
      </c>
      <c r="AK64" s="7">
        <f t="shared" ca="1" si="37"/>
        <v>-4803.9464279702661</v>
      </c>
      <c r="AL64" s="7">
        <f t="shared" ca="1" si="37"/>
        <v>-4498.8923270563391</v>
      </c>
      <c r="AM64" s="7">
        <f t="shared" ca="1" si="37"/>
        <v>-4173.457290771199</v>
      </c>
    </row>
    <row r="65" spans="1:39" x14ac:dyDescent="0.2">
      <c r="A65" s="4" t="s">
        <v>9</v>
      </c>
      <c r="C65" s="7">
        <f>Inputs!B8</f>
        <v>50000</v>
      </c>
      <c r="D65" s="101">
        <f ca="1">C66</f>
        <v>62919.0625</v>
      </c>
      <c r="E65" s="110">
        <f t="shared" ref="E65:AM65" ca="1" si="38">D66</f>
        <v>-6686.9640625000029</v>
      </c>
      <c r="F65" s="7">
        <f t="shared" ca="1" si="38"/>
        <v>-73625.926562499997</v>
      </c>
      <c r="G65" s="7">
        <f t="shared" ca="1" si="38"/>
        <v>-161484.68591812759</v>
      </c>
      <c r="H65" s="7">
        <f t="shared" ca="1" si="38"/>
        <v>-58269.408990775701</v>
      </c>
      <c r="I65" s="7">
        <f t="shared" ca="1" si="38"/>
        <v>-112472.76585056525</v>
      </c>
      <c r="J65" s="7">
        <f t="shared" ca="1" si="38"/>
        <v>-150621.01548603765</v>
      </c>
      <c r="K65" s="7">
        <f t="shared" ca="1" si="38"/>
        <v>-188794.21394526522</v>
      </c>
      <c r="L65" s="7">
        <f t="shared" ca="1" si="38"/>
        <v>-244780.42294287487</v>
      </c>
      <c r="M65" s="7">
        <f t="shared" ca="1" si="38"/>
        <v>-219268.56643475813</v>
      </c>
      <c r="N65" s="7">
        <f t="shared" ca="1" si="38"/>
        <v>-287526.439928559</v>
      </c>
      <c r="O65" s="7">
        <f t="shared" ca="1" si="38"/>
        <v>-307422.32027672138</v>
      </c>
      <c r="P65" s="7">
        <f t="shared" ca="1" si="38"/>
        <v>-327600.17623745633</v>
      </c>
      <c r="Q65" s="7">
        <f t="shared" ca="1" si="38"/>
        <v>-348060.59455919417</v>
      </c>
      <c r="R65" s="7">
        <f t="shared" ca="1" si="38"/>
        <v>-368803.98277981958</v>
      </c>
      <c r="S65" s="7">
        <f t="shared" ca="1" si="38"/>
        <v>-389830.55893003009</v>
      </c>
      <c r="T65" s="7">
        <f t="shared" ca="1" si="38"/>
        <v>-411140.34080478735</v>
      </c>
      <c r="U65" s="7">
        <f t="shared" ca="1" si="38"/>
        <v>-415691.01026164548</v>
      </c>
      <c r="V65" s="7">
        <f t="shared" ca="1" si="38"/>
        <v>-412299.92845362029</v>
      </c>
      <c r="W65" s="7">
        <f t="shared" ca="1" si="38"/>
        <v>-408559.128455239</v>
      </c>
      <c r="X65" s="7">
        <f t="shared" ca="1" si="38"/>
        <v>-404451.91907738801</v>
      </c>
      <c r="Y65" s="7">
        <f t="shared" ca="1" si="38"/>
        <v>-399960.95340419537</v>
      </c>
      <c r="Z65" s="7">
        <f t="shared" ca="1" si="38"/>
        <v>-415727.06201741181</v>
      </c>
      <c r="AA65" s="7">
        <f t="shared" ca="1" si="38"/>
        <v>-431589.12975295464</v>
      </c>
      <c r="AB65" s="7">
        <f t="shared" ca="1" si="38"/>
        <v>-447540.60978109192</v>
      </c>
      <c r="AC65" s="7">
        <f t="shared" ca="1" si="38"/>
        <v>-463574.52322711475</v>
      </c>
      <c r="AD65" s="7">
        <f t="shared" ca="1" si="38"/>
        <v>-479683.44031898573</v>
      </c>
      <c r="AE65" s="7">
        <f t="shared" ca="1" si="38"/>
        <v>-495859.46082214196</v>
      </c>
      <c r="AF65" s="7">
        <f t="shared" ca="1" si="38"/>
        <v>-502111.71864259918</v>
      </c>
      <c r="AG65" s="7">
        <f t="shared" ca="1" si="38"/>
        <v>-508164.22416403121</v>
      </c>
      <c r="AH65" s="7">
        <f t="shared" ca="1" si="38"/>
        <v>-514001.30181662634</v>
      </c>
      <c r="AI65" s="7">
        <f t="shared" ca="1" si="38"/>
        <v>-519606.56368845748</v>
      </c>
      <c r="AJ65" s="7">
        <f t="shared" ca="1" si="38"/>
        <v>-524962.88210334303</v>
      </c>
      <c r="AK65" s="7">
        <f t="shared" ca="1" si="38"/>
        <v>-530052.36122474726</v>
      </c>
      <c r="AL65" s="7">
        <f t="shared" ca="1" si="38"/>
        <v>-534856.30765271757</v>
      </c>
      <c r="AM65" s="7">
        <f t="shared" ca="1" si="38"/>
        <v>-539355.19997977396</v>
      </c>
    </row>
    <row r="66" spans="1:39" x14ac:dyDescent="0.2">
      <c r="A66" s="4" t="s">
        <v>10</v>
      </c>
      <c r="C66" s="9">
        <f ca="1">SUM(C64:C65)</f>
        <v>62919.0625</v>
      </c>
      <c r="D66" s="102">
        <f t="shared" ref="D66:AM66" ca="1" si="39">SUM(D64:D65)</f>
        <v>-6686.9640625000029</v>
      </c>
      <c r="E66" s="111">
        <f t="shared" ca="1" si="39"/>
        <v>-73625.926562499997</v>
      </c>
      <c r="F66" s="9">
        <f t="shared" ca="1" si="39"/>
        <v>-161484.68591812759</v>
      </c>
      <c r="G66" s="9">
        <f t="shared" ca="1" si="39"/>
        <v>-58269.408990775701</v>
      </c>
      <c r="H66" s="9">
        <f t="shared" ca="1" si="39"/>
        <v>-112472.76585056525</v>
      </c>
      <c r="I66" s="9">
        <f t="shared" ca="1" si="39"/>
        <v>-150621.01548603765</v>
      </c>
      <c r="J66" s="9">
        <f t="shared" ca="1" si="39"/>
        <v>-188794.21394526522</v>
      </c>
      <c r="K66" s="9">
        <f t="shared" ca="1" si="39"/>
        <v>-244780.42294287487</v>
      </c>
      <c r="L66" s="9">
        <f t="shared" ca="1" si="39"/>
        <v>-219268.56643475813</v>
      </c>
      <c r="M66" s="9">
        <f t="shared" ca="1" si="39"/>
        <v>-287526.439928559</v>
      </c>
      <c r="N66" s="9">
        <f t="shared" ca="1" si="39"/>
        <v>-307422.32027672138</v>
      </c>
      <c r="O66" s="9">
        <f t="shared" ca="1" si="39"/>
        <v>-327600.17623745633</v>
      </c>
      <c r="P66" s="9">
        <f t="shared" ca="1" si="39"/>
        <v>-348060.59455919417</v>
      </c>
      <c r="Q66" s="9">
        <f t="shared" ca="1" si="39"/>
        <v>-368803.98277981958</v>
      </c>
      <c r="R66" s="9">
        <f t="shared" ca="1" si="39"/>
        <v>-389830.55893003009</v>
      </c>
      <c r="S66" s="9">
        <f t="shared" ca="1" si="39"/>
        <v>-411140.34080478735</v>
      </c>
      <c r="T66" s="9">
        <f t="shared" ca="1" si="39"/>
        <v>-415691.01026164548</v>
      </c>
      <c r="U66" s="9">
        <f t="shared" ca="1" si="39"/>
        <v>-412299.92845362029</v>
      </c>
      <c r="V66" s="9">
        <f t="shared" ca="1" si="39"/>
        <v>-408559.128455239</v>
      </c>
      <c r="W66" s="9">
        <f t="shared" ca="1" si="39"/>
        <v>-404451.91907738801</v>
      </c>
      <c r="X66" s="9">
        <f t="shared" ca="1" si="39"/>
        <v>-399960.95340419537</v>
      </c>
      <c r="Y66" s="9">
        <f t="shared" ca="1" si="39"/>
        <v>-415727.06201741181</v>
      </c>
      <c r="Z66" s="9">
        <f t="shared" ca="1" si="39"/>
        <v>-431589.12975295464</v>
      </c>
      <c r="AA66" s="9">
        <f t="shared" ca="1" si="39"/>
        <v>-447540.60978109192</v>
      </c>
      <c r="AB66" s="9">
        <f t="shared" ca="1" si="39"/>
        <v>-463574.52322711475</v>
      </c>
      <c r="AC66" s="9">
        <f t="shared" ca="1" si="39"/>
        <v>-479683.44031898573</v>
      </c>
      <c r="AD66" s="9">
        <f t="shared" ca="1" si="39"/>
        <v>-495859.46082214196</v>
      </c>
      <c r="AE66" s="9">
        <f t="shared" ca="1" si="39"/>
        <v>-502111.71864259918</v>
      </c>
      <c r="AF66" s="9">
        <f t="shared" ca="1" si="39"/>
        <v>-508164.22416403121</v>
      </c>
      <c r="AG66" s="9">
        <f t="shared" ca="1" si="39"/>
        <v>-514001.30181662634</v>
      </c>
      <c r="AH66" s="9">
        <f t="shared" ca="1" si="39"/>
        <v>-519606.56368845748</v>
      </c>
      <c r="AI66" s="9">
        <f t="shared" ca="1" si="39"/>
        <v>-524962.88210334303</v>
      </c>
      <c r="AJ66" s="9">
        <f t="shared" ca="1" si="39"/>
        <v>-530052.36122474726</v>
      </c>
      <c r="AK66" s="9">
        <f t="shared" ca="1" si="39"/>
        <v>-534856.30765271757</v>
      </c>
      <c r="AL66" s="9">
        <f t="shared" ca="1" si="39"/>
        <v>-539355.19997977396</v>
      </c>
      <c r="AM66" s="9">
        <f t="shared" ca="1" si="39"/>
        <v>-543528.65727054514</v>
      </c>
    </row>
    <row r="67" spans="1:39" x14ac:dyDescent="0.2">
      <c r="C67" s="7"/>
      <c r="D67" s="101"/>
      <c r="E67" s="110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  <c r="AB67" s="7"/>
      <c r="AC67" s="7"/>
      <c r="AD67" s="7"/>
      <c r="AE67" s="7"/>
      <c r="AF67" s="7"/>
      <c r="AG67" s="7"/>
      <c r="AH67" s="7"/>
      <c r="AI67" s="7"/>
      <c r="AJ67" s="7"/>
      <c r="AK67" s="7"/>
      <c r="AL67" s="7"/>
      <c r="AM67" s="7"/>
    </row>
    <row r="68" spans="1:39" ht="19" x14ac:dyDescent="0.25">
      <c r="A68" s="25" t="s">
        <v>65</v>
      </c>
      <c r="B68" s="26"/>
      <c r="C68" s="27"/>
      <c r="D68" s="103"/>
      <c r="E68" s="112"/>
      <c r="F68" s="27"/>
      <c r="G68" s="27"/>
      <c r="H68" s="27"/>
      <c r="I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</row>
    <row r="69" spans="1:39" x14ac:dyDescent="0.2">
      <c r="A69" s="4" t="s">
        <v>8</v>
      </c>
      <c r="C69" s="7">
        <f t="shared" ref="C69:AM69" ca="1" si="40">C66</f>
        <v>62919.0625</v>
      </c>
      <c r="D69" s="101">
        <f t="shared" ca="1" si="40"/>
        <v>-6686.9640625000029</v>
      </c>
      <c r="E69" s="110">
        <f t="shared" ca="1" si="40"/>
        <v>-73625.926562499997</v>
      </c>
      <c r="F69" s="7">
        <f t="shared" ca="1" si="40"/>
        <v>-161484.68591812759</v>
      </c>
      <c r="G69" s="7">
        <f t="shared" ca="1" si="40"/>
        <v>-58269.408990775701</v>
      </c>
      <c r="H69" s="7">
        <f t="shared" ca="1" si="40"/>
        <v>-112472.76585056525</v>
      </c>
      <c r="I69" s="7">
        <f t="shared" ca="1" si="40"/>
        <v>-150621.01548603765</v>
      </c>
      <c r="J69" s="7">
        <f t="shared" ca="1" si="40"/>
        <v>-188794.21394526522</v>
      </c>
      <c r="K69" s="7">
        <f t="shared" ca="1" si="40"/>
        <v>-244780.42294287487</v>
      </c>
      <c r="L69" s="7">
        <f t="shared" ca="1" si="40"/>
        <v>-219268.56643475813</v>
      </c>
      <c r="M69" s="7">
        <f t="shared" ca="1" si="40"/>
        <v>-287526.439928559</v>
      </c>
      <c r="N69" s="7">
        <f t="shared" ca="1" si="40"/>
        <v>-307422.32027672138</v>
      </c>
      <c r="O69" s="7">
        <f t="shared" ca="1" si="40"/>
        <v>-327600.17623745633</v>
      </c>
      <c r="P69" s="7">
        <f t="shared" ca="1" si="40"/>
        <v>-348060.59455919417</v>
      </c>
      <c r="Q69" s="7">
        <f t="shared" ca="1" si="40"/>
        <v>-368803.98277981958</v>
      </c>
      <c r="R69" s="7">
        <f t="shared" ca="1" si="40"/>
        <v>-389830.55893003009</v>
      </c>
      <c r="S69" s="7">
        <f t="shared" ca="1" si="40"/>
        <v>-411140.34080478735</v>
      </c>
      <c r="T69" s="7">
        <f t="shared" ca="1" si="40"/>
        <v>-415691.01026164548</v>
      </c>
      <c r="U69" s="7">
        <f t="shared" ca="1" si="40"/>
        <v>-412299.92845362029</v>
      </c>
      <c r="V69" s="7">
        <f t="shared" ca="1" si="40"/>
        <v>-408559.128455239</v>
      </c>
      <c r="W69" s="7">
        <f t="shared" ca="1" si="40"/>
        <v>-404451.91907738801</v>
      </c>
      <c r="X69" s="7">
        <f t="shared" ca="1" si="40"/>
        <v>-399960.95340419537</v>
      </c>
      <c r="Y69" s="7">
        <f t="shared" ca="1" si="40"/>
        <v>-415727.06201741181</v>
      </c>
      <c r="Z69" s="7">
        <f t="shared" ca="1" si="40"/>
        <v>-431589.12975295464</v>
      </c>
      <c r="AA69" s="7">
        <f t="shared" ca="1" si="40"/>
        <v>-447540.60978109192</v>
      </c>
      <c r="AB69" s="7">
        <f t="shared" ca="1" si="40"/>
        <v>-463574.52322711475</v>
      </c>
      <c r="AC69" s="7">
        <f t="shared" ca="1" si="40"/>
        <v>-479683.44031898573</v>
      </c>
      <c r="AD69" s="7">
        <f t="shared" ca="1" si="40"/>
        <v>-495859.46082214196</v>
      </c>
      <c r="AE69" s="7">
        <f t="shared" ca="1" si="40"/>
        <v>-502111.71864259918</v>
      </c>
      <c r="AF69" s="7">
        <f t="shared" ca="1" si="40"/>
        <v>-508164.22416403121</v>
      </c>
      <c r="AG69" s="7">
        <f t="shared" ca="1" si="40"/>
        <v>-514001.30181662634</v>
      </c>
      <c r="AH69" s="7">
        <f t="shared" ca="1" si="40"/>
        <v>-519606.56368845748</v>
      </c>
      <c r="AI69" s="7">
        <f t="shared" ca="1" si="40"/>
        <v>-524962.88210334303</v>
      </c>
      <c r="AJ69" s="7">
        <f t="shared" ca="1" si="40"/>
        <v>-530052.36122474726</v>
      </c>
      <c r="AK69" s="7">
        <f t="shared" ca="1" si="40"/>
        <v>-534856.30765271757</v>
      </c>
      <c r="AL69" s="7">
        <f t="shared" ca="1" si="40"/>
        <v>-539355.19997977396</v>
      </c>
      <c r="AM69" s="7">
        <f t="shared" ca="1" si="40"/>
        <v>-543528.65727054514</v>
      </c>
    </row>
    <row r="70" spans="1:39" x14ac:dyDescent="0.2">
      <c r="A70" s="4" t="s">
        <v>6</v>
      </c>
      <c r="C70" s="7">
        <f ca="1">IF(AND(Inputs!$B$218&lt;&gt;"",C$2&gt;=Inputs!$B$218),IF(AND(Inputs!$B$13&gt;0,UPPER(Inputs!$B$220)="BUY"),IF(C$2=Inputs!$B$218,Inputs!$B$222*(1+princ)^(ProRate+C$1-1),B70*(1+princ)),0),IF(Inputs!$B$13&gt;0,IF(B$1=0,Inputs!$B$13*(1+princ)^ProRate,B70*(1+princ)),0))</f>
        <v>511208.33111474686</v>
      </c>
      <c r="D70" s="101">
        <f ca="1">IF(AND(Inputs!$B$218&lt;&gt;"",D$2&gt;=Inputs!$B$218),IF(AND(Inputs!$B$13&gt;0,UPPER(Inputs!$B$220)="BUY"),IF(D$2=Inputs!$B$218,Inputs!$B$222*(1+princ)^(ProRate+D$1-1),C70*(1+princ)),0),IF(Inputs!$B$13&gt;0,IF(C$1=0,Inputs!$B$13*(1+princ)^ProRate,C70*(1+princ)),0))</f>
        <v>526544.58104818931</v>
      </c>
      <c r="E70" s="110">
        <f ca="1">IF(AND(Inputs!$B$218&lt;&gt;"",E$2&gt;=Inputs!$B$218),IF(AND(Inputs!$B$13&gt;0,UPPER(Inputs!$B$220)="BUY"),IF(E$2=Inputs!$B$218,Inputs!$B$222*(1+princ)^(ProRate+E$1-1),D70*(1+princ)),0),IF(Inputs!$B$13&gt;0,IF(D$1=0,Inputs!$B$13*(1+princ)^ProRate,D70*(1+princ)),0))</f>
        <v>542340.91847963503</v>
      </c>
      <c r="F70" s="7">
        <f ca="1">IF(AND(Inputs!$B$218&lt;&gt;"",F$2&gt;=Inputs!$B$218),IF(AND(Inputs!$B$13&gt;0,UPPER(Inputs!$B$220)="BUY"),IF(F$2=Inputs!$B$218,Inputs!$B$222*(1+princ)^(ProRate+F$1-1),E70*(1+princ)),0),IF(Inputs!$B$13&gt;0,IF(E$1=0,Inputs!$B$13*(1+princ)^ProRate,E70*(1+princ)),0))</f>
        <v>558611.14603402407</v>
      </c>
      <c r="G70" s="7">
        <f ca="1">IF(AND(Inputs!$B$218&lt;&gt;"",G$2&gt;=Inputs!$B$218),IF(AND(Inputs!$B$13&gt;0,UPPER(Inputs!$B$220)="BUY"),IF(G$2=Inputs!$B$218,Inputs!$B$222*(1+princ)^(ProRate+G$1-1),F70*(1+princ)),0),IF(Inputs!$B$13&gt;0,IF(F$1=0,Inputs!$B$13*(1+princ)^ProRate,F70*(1+princ)),0))</f>
        <v>287684.74020752241</v>
      </c>
      <c r="H70" s="7">
        <f ca="1">IF(AND(Inputs!$B$218&lt;&gt;"",H$2&gt;=Inputs!$B$218),IF(AND(Inputs!$B$13&gt;0,UPPER(Inputs!$B$220)="BUY"),IF(H$2=Inputs!$B$218,Inputs!$B$222*(1+princ)^(ProRate+H$1-1),G70*(1+princ)),0),IF(Inputs!$B$13&gt;0,IF(G$1=0,Inputs!$B$13*(1+princ)^ProRate,G70*(1+princ)),0))</f>
        <v>296315.28241374809</v>
      </c>
      <c r="I70" s="7">
        <f ca="1">IF(AND(Inputs!$B$218&lt;&gt;"",I$2&gt;=Inputs!$B$218),IF(AND(Inputs!$B$13&gt;0,UPPER(Inputs!$B$220)="BUY"),IF(I$2=Inputs!$B$218,Inputs!$B$222*(1+princ)^(ProRate+I$1-1),H70*(1+princ)),0),IF(Inputs!$B$13&gt;0,IF(H$1=0,Inputs!$B$13*(1+princ)^ProRate,H70*(1+princ)),0))</f>
        <v>305204.74088616052</v>
      </c>
      <c r="J70" s="7">
        <f ca="1">IF(AND(Inputs!$B$218&lt;&gt;"",J$2&gt;=Inputs!$B$218),IF(AND(Inputs!$B$13&gt;0,UPPER(Inputs!$B$220)="BUY"),IF(J$2=Inputs!$B$218,Inputs!$B$222*(1+princ)^(ProRate+J$1-1),I70*(1+princ)),0),IF(Inputs!$B$13&gt;0,IF(I$1=0,Inputs!$B$13*(1+princ)^ProRate,I70*(1+princ)),0))</f>
        <v>314360.88311274536</v>
      </c>
      <c r="K70" s="7">
        <f ca="1">IF(AND(Inputs!$B$218&lt;&gt;"",K$2&gt;=Inputs!$B$218),IF(AND(Inputs!$B$13&gt;0,UPPER(Inputs!$B$220)="BUY"),IF(K$2=Inputs!$B$218,Inputs!$B$222*(1+princ)^(ProRate+K$1-1),J70*(1+princ)),0),IF(Inputs!$B$13&gt;0,IF(J$1=0,Inputs!$B$13*(1+princ)^ProRate,J70*(1+princ)),0))</f>
        <v>323791.70960612776</v>
      </c>
      <c r="L70" s="7">
        <f ca="1">IF(AND(Inputs!$B$218&lt;&gt;"",L$2&gt;=Inputs!$B$218),IF(AND(Inputs!$B$13&gt;0,UPPER(Inputs!$B$220)="BUY"),IF(L$2=Inputs!$B$218,Inputs!$B$222*(1+princ)^(ProRate+L$1-1),K70*(1+princ)),0),IF(Inputs!$B$13&gt;0,IF(K$1=0,Inputs!$B$13*(1+princ)^ProRate,K70*(1+princ)),0))</f>
        <v>333505.4608943116</v>
      </c>
      <c r="M70" s="7">
        <f ca="1">IF(AND(Inputs!$B$218&lt;&gt;"",M$2&gt;=Inputs!$B$218),IF(AND(Inputs!$B$13&gt;0,UPPER(Inputs!$B$220)="BUY"),IF(M$2=Inputs!$B$218,Inputs!$B$222*(1+princ)^(ProRate+M$1-1),L70*(1+princ)),0),IF(Inputs!$B$13&gt;0,IF(L$1=0,Inputs!$B$13*(1+princ)^ProRate,L70*(1+princ)),0))</f>
        <v>343510.62472114095</v>
      </c>
      <c r="N70" s="7">
        <f ca="1">IF(AND(Inputs!$B$218&lt;&gt;"",N$2&gt;=Inputs!$B$218),IF(AND(Inputs!$B$13&gt;0,UPPER(Inputs!$B$220)="BUY"),IF(N$2=Inputs!$B$218,Inputs!$B$222*(1+princ)^(ProRate+N$1-1),M70*(1+princ)),0),IF(Inputs!$B$13&gt;0,IF(M$1=0,Inputs!$B$13*(1+princ)^ProRate,M70*(1+princ)),0))</f>
        <v>353815.94346277521</v>
      </c>
      <c r="O70" s="7">
        <f ca="1">IF(AND(Inputs!$B$218&lt;&gt;"",O$2&gt;=Inputs!$B$218),IF(AND(Inputs!$B$13&gt;0,UPPER(Inputs!$B$220)="BUY"),IF(O$2=Inputs!$B$218,Inputs!$B$222*(1+princ)^(ProRate+O$1-1),N70*(1+princ)),0),IF(Inputs!$B$13&gt;0,IF(N$1=0,Inputs!$B$13*(1+princ)^ProRate,N70*(1+princ)),0))</f>
        <v>364430.42176665849</v>
      </c>
      <c r="P70" s="7">
        <f ca="1">IF(AND(Inputs!$B$218&lt;&gt;"",P$2&gt;=Inputs!$B$218),IF(AND(Inputs!$B$13&gt;0,UPPER(Inputs!$B$220)="BUY"),IF(P$2=Inputs!$B$218,Inputs!$B$222*(1+princ)^(ProRate+P$1-1),O70*(1+princ)),0),IF(Inputs!$B$13&gt;0,IF(O$1=0,Inputs!$B$13*(1+princ)^ProRate,O70*(1+princ)),0))</f>
        <v>375363.33441965823</v>
      </c>
      <c r="Q70" s="7">
        <f ca="1">IF(AND(Inputs!$B$218&lt;&gt;"",Q$2&gt;=Inputs!$B$218),IF(AND(Inputs!$B$13&gt;0,UPPER(Inputs!$B$220)="BUY"),IF(Q$2=Inputs!$B$218,Inputs!$B$222*(1+princ)^(ProRate+Q$1-1),P70*(1+princ)),0),IF(Inputs!$B$13&gt;0,IF(P$1=0,Inputs!$B$13*(1+princ)^ProRate,P70*(1+princ)),0))</f>
        <v>386624.23445224797</v>
      </c>
      <c r="R70" s="7">
        <f ca="1">IF(AND(Inputs!$B$218&lt;&gt;"",R$2&gt;=Inputs!$B$218),IF(AND(Inputs!$B$13&gt;0,UPPER(Inputs!$B$220)="BUY"),IF(R$2=Inputs!$B$218,Inputs!$B$222*(1+princ)^(ProRate+R$1-1),Q70*(1+princ)),0),IF(Inputs!$B$13&gt;0,IF(Q$1=0,Inputs!$B$13*(1+princ)^ProRate,Q70*(1+princ)),0))</f>
        <v>398222.96148581541</v>
      </c>
      <c r="S70" s="7">
        <f ca="1">IF(AND(Inputs!$B$218&lt;&gt;"",S$2&gt;=Inputs!$B$218),IF(AND(Inputs!$B$13&gt;0,UPPER(Inputs!$B$220)="BUY"),IF(S$2=Inputs!$B$218,Inputs!$B$222*(1+princ)^(ProRate+S$1-1),R70*(1+princ)),0),IF(Inputs!$B$13&gt;0,IF(R$1=0,Inputs!$B$13*(1+princ)^ProRate,R70*(1+princ)),0))</f>
        <v>410169.65033038991</v>
      </c>
      <c r="T70" s="7">
        <f ca="1">IF(AND(Inputs!$B$218&lt;&gt;"",T$2&gt;=Inputs!$B$218),IF(AND(Inputs!$B$13&gt;0,UPPER(Inputs!$B$220)="BUY"),IF(T$2=Inputs!$B$218,Inputs!$B$222*(1+princ)^(ProRate+T$1-1),S70*(1+princ)),0),IF(Inputs!$B$13&gt;0,IF(S$1=0,Inputs!$B$13*(1+princ)^ProRate,S70*(1+princ)),0))</f>
        <v>422474.73984030163</v>
      </c>
      <c r="U70" s="7">
        <f ca="1">IF(AND(Inputs!$B$218&lt;&gt;"",U$2&gt;=Inputs!$B$218),IF(AND(Inputs!$B$13&gt;0,UPPER(Inputs!$B$220)="BUY"),IF(U$2=Inputs!$B$218,Inputs!$B$222*(1+princ)^(ProRate+U$1-1),T70*(1+princ)),0),IF(Inputs!$B$13&gt;0,IF(T$1=0,Inputs!$B$13*(1+princ)^ProRate,T70*(1+princ)),0))</f>
        <v>435148.98203551071</v>
      </c>
      <c r="V70" s="7">
        <f ca="1">IF(AND(Inputs!$B$218&lt;&gt;"",V$2&gt;=Inputs!$B$218),IF(AND(Inputs!$B$13&gt;0,UPPER(Inputs!$B$220)="BUY"),IF(V$2=Inputs!$B$218,Inputs!$B$222*(1+princ)^(ProRate+V$1-1),U70*(1+princ)),0),IF(Inputs!$B$13&gt;0,IF(U$1=0,Inputs!$B$13*(1+princ)^ProRate,U70*(1+princ)),0))</f>
        <v>448203.45149657602</v>
      </c>
      <c r="W70" s="7">
        <f ca="1">IF(AND(Inputs!$B$218&lt;&gt;"",W$2&gt;=Inputs!$B$218),IF(AND(Inputs!$B$13&gt;0,UPPER(Inputs!$B$220)="BUY"),IF(W$2=Inputs!$B$218,Inputs!$B$222*(1+princ)^(ProRate+W$1-1),V70*(1+princ)),0),IF(Inputs!$B$13&gt;0,IF(V$1=0,Inputs!$B$13*(1+princ)^ProRate,V70*(1+princ)),0))</f>
        <v>461649.5550414733</v>
      </c>
      <c r="X70" s="7">
        <f ca="1">IF(AND(Inputs!$B$218&lt;&gt;"",X$2&gt;=Inputs!$B$218),IF(AND(Inputs!$B$13&gt;0,UPPER(Inputs!$B$220)="BUY"),IF(X$2=Inputs!$B$218,Inputs!$B$222*(1+princ)^(ProRate+X$1-1),W70*(1+princ)),0),IF(Inputs!$B$13&gt;0,IF(W$1=0,Inputs!$B$13*(1+princ)^ProRate,W70*(1+princ)),0))</f>
        <v>475499.04169271752</v>
      </c>
      <c r="Y70" s="7">
        <f ca="1">IF(AND(Inputs!$B$218&lt;&gt;"",Y$2&gt;=Inputs!$B$218),IF(AND(Inputs!$B$13&gt;0,UPPER(Inputs!$B$220)="BUY"),IF(Y$2=Inputs!$B$218,Inputs!$B$222*(1+princ)^(ProRate+Y$1-1),X70*(1+princ)),0),IF(Inputs!$B$13&gt;0,IF(X$1=0,Inputs!$B$13*(1+princ)^ProRate,X70*(1+princ)),0))</f>
        <v>489764.01294349908</v>
      </c>
      <c r="Z70" s="7">
        <f ca="1">IF(AND(Inputs!$B$218&lt;&gt;"",Z$2&gt;=Inputs!$B$218),IF(AND(Inputs!$B$13&gt;0,UPPER(Inputs!$B$220)="BUY"),IF(Z$2=Inputs!$B$218,Inputs!$B$222*(1+princ)^(ProRate+Z$1-1),Y70*(1+princ)),0),IF(Inputs!$B$13&gt;0,IF(Y$1=0,Inputs!$B$13*(1+princ)^ProRate,Y70*(1+princ)),0))</f>
        <v>504456.93333180406</v>
      </c>
      <c r="AA70" s="7">
        <f ca="1">IF(AND(Inputs!$B$218&lt;&gt;"",AA$2&gt;=Inputs!$B$218),IF(AND(Inputs!$B$13&gt;0,UPPER(Inputs!$B$220)="BUY"),IF(AA$2=Inputs!$B$218,Inputs!$B$222*(1+princ)^(ProRate+AA$1-1),Z70*(1+princ)),0),IF(Inputs!$B$13&gt;0,IF(Z$1=0,Inputs!$B$13*(1+princ)^ProRate,Z70*(1+princ)),0))</f>
        <v>519590.64133175818</v>
      </c>
      <c r="AB70" s="7">
        <f ca="1">IF(AND(Inputs!$B$218&lt;&gt;"",AB$2&gt;=Inputs!$B$218),IF(AND(Inputs!$B$13&gt;0,UPPER(Inputs!$B$220)="BUY"),IF(AB$2=Inputs!$B$218,Inputs!$B$222*(1+princ)^(ProRate+AB$1-1),AA70*(1+princ)),0),IF(Inputs!$B$13&gt;0,IF(AA$1=0,Inputs!$B$13*(1+princ)^ProRate,AA70*(1+princ)),0))</f>
        <v>535178.36057171097</v>
      </c>
      <c r="AC70" s="7">
        <f ca="1">IF(AND(Inputs!$B$218&lt;&gt;"",AC$2&gt;=Inputs!$B$218),IF(AND(Inputs!$B$13&gt;0,UPPER(Inputs!$B$220)="BUY"),IF(AC$2=Inputs!$B$218,Inputs!$B$222*(1+princ)^(ProRate+AC$1-1),AB70*(1+princ)),0),IF(Inputs!$B$13&gt;0,IF(AB$1=0,Inputs!$B$13*(1+princ)^ProRate,AB70*(1+princ)),0))</f>
        <v>551233.71138886234</v>
      </c>
      <c r="AD70" s="7">
        <f ca="1">IF(AND(Inputs!$B$218&lt;&gt;"",AD$2&gt;=Inputs!$B$218),IF(AND(Inputs!$B$13&gt;0,UPPER(Inputs!$B$220)="BUY"),IF(AD$2=Inputs!$B$218,Inputs!$B$222*(1+princ)^(ProRate+AD$1-1),AC70*(1+princ)),0),IF(Inputs!$B$13&gt;0,IF(AC$1=0,Inputs!$B$13*(1+princ)^ProRate,AC70*(1+princ)),0))</f>
        <v>567770.72273052821</v>
      </c>
      <c r="AE70" s="7">
        <f ca="1">IF(AND(Inputs!$B$218&lt;&gt;"",AE$2&gt;=Inputs!$B$218),IF(AND(Inputs!$B$13&gt;0,UPPER(Inputs!$B$220)="BUY"),IF(AE$2=Inputs!$B$218,Inputs!$B$222*(1+princ)^(ProRate+AE$1-1),AD70*(1+princ)),0),IF(Inputs!$B$13&gt;0,IF(AD$1=0,Inputs!$B$13*(1+princ)^ProRate,AD70*(1+princ)),0))</f>
        <v>584803.84441244404</v>
      </c>
      <c r="AF70" s="7">
        <f ca="1">IF(AND(Inputs!$B$218&lt;&gt;"",AF$2&gt;=Inputs!$B$218),IF(AND(Inputs!$B$13&gt;0,UPPER(Inputs!$B$220)="BUY"),IF(AF$2=Inputs!$B$218,Inputs!$B$222*(1+princ)^(ProRate+AF$1-1),AE70*(1+princ)),0),IF(Inputs!$B$13&gt;0,IF(AE$1=0,Inputs!$B$13*(1+princ)^ProRate,AE70*(1+princ)),0))</f>
        <v>602347.95974481734</v>
      </c>
      <c r="AG70" s="7">
        <f ca="1">IF(AND(Inputs!$B$218&lt;&gt;"",AG$2&gt;=Inputs!$B$218),IF(AND(Inputs!$B$13&gt;0,UPPER(Inputs!$B$220)="BUY"),IF(AG$2=Inputs!$B$218,Inputs!$B$222*(1+princ)^(ProRate+AG$1-1),AF70*(1+princ)),0),IF(Inputs!$B$13&gt;0,IF(AF$1=0,Inputs!$B$13*(1+princ)^ProRate,AF70*(1+princ)),0))</f>
        <v>620418.39853716188</v>
      </c>
      <c r="AH70" s="7">
        <f ca="1">IF(AND(Inputs!$B$218&lt;&gt;"",AH$2&gt;=Inputs!$B$218),IF(AND(Inputs!$B$13&gt;0,UPPER(Inputs!$B$220)="BUY"),IF(AH$2=Inputs!$B$218,Inputs!$B$222*(1+princ)^(ProRate+AH$1-1),AG70*(1+princ)),0),IF(Inputs!$B$13&gt;0,IF(AG$1=0,Inputs!$B$13*(1+princ)^ProRate,AG70*(1+princ)),0))</f>
        <v>639030.9504932767</v>
      </c>
      <c r="AI70" s="7">
        <f ca="1">IF(AND(Inputs!$B$218&lt;&gt;"",AI$2&gt;=Inputs!$B$218),IF(AND(Inputs!$B$13&gt;0,UPPER(Inputs!$B$220)="BUY"),IF(AI$2=Inputs!$B$218,Inputs!$B$222*(1+princ)^(ProRate+AI$1-1),AH70*(1+princ)),0),IF(Inputs!$B$13&gt;0,IF(AH$1=0,Inputs!$B$13*(1+princ)^ProRate,AH70*(1+princ)),0))</f>
        <v>658201.87900807499</v>
      </c>
      <c r="AJ70" s="7">
        <f ca="1">IF(AND(Inputs!$B$218&lt;&gt;"",AJ$2&gt;=Inputs!$B$218),IF(AND(Inputs!$B$13&gt;0,UPPER(Inputs!$B$220)="BUY"),IF(AJ$2=Inputs!$B$218,Inputs!$B$222*(1+princ)^(ProRate+AJ$1-1),AI70*(1+princ)),0),IF(Inputs!$B$13&gt;0,IF(AI$1=0,Inputs!$B$13*(1+princ)^ProRate,AI70*(1+princ)),0))</f>
        <v>677947.93537831726</v>
      </c>
      <c r="AK70" s="7">
        <f ca="1">IF(AND(Inputs!$B$218&lt;&gt;"",AK$2&gt;=Inputs!$B$218),IF(AND(Inputs!$B$13&gt;0,UPPER(Inputs!$B$220)="BUY"),IF(AK$2=Inputs!$B$218,Inputs!$B$222*(1+princ)^(ProRate+AK$1-1),AJ70*(1+princ)),0),IF(Inputs!$B$13&gt;0,IF(AJ$1=0,Inputs!$B$13*(1+princ)^ProRate,AJ70*(1+princ)),0))</f>
        <v>698286.37343966682</v>
      </c>
      <c r="AL70" s="7">
        <f ca="1">IF(AND(Inputs!$B$218&lt;&gt;"",AL$2&gt;=Inputs!$B$218),IF(AND(Inputs!$B$13&gt;0,UPPER(Inputs!$B$220)="BUY"),IF(AL$2=Inputs!$B$218,Inputs!$B$222*(1+princ)^(ProRate+AL$1-1),AK70*(1+princ)),0),IF(Inputs!$B$13&gt;0,IF(AK$1=0,Inputs!$B$13*(1+princ)^ProRate,AK70*(1+princ)),0))</f>
        <v>719234.96464285685</v>
      </c>
      <c r="AM70" s="7">
        <f ca="1">IF(AND(Inputs!$B$218&lt;&gt;"",AM$2&gt;=Inputs!$B$218),IF(AND(Inputs!$B$13&gt;0,UPPER(Inputs!$B$220)="BUY"),IF(AM$2=Inputs!$B$218,Inputs!$B$222*(1+princ)^(ProRate+AM$1-1),AL70*(1+princ)),0),IF(Inputs!$B$13&gt;0,IF(AL$1=0,Inputs!$B$13*(1+princ)^ProRate,AL70*(1+princ)),0))</f>
        <v>740812.01358214254</v>
      </c>
    </row>
    <row r="71" spans="1:39" x14ac:dyDescent="0.2">
      <c r="A71" s="4" t="s">
        <v>50</v>
      </c>
      <c r="C71" s="7"/>
      <c r="D71" s="101"/>
      <c r="E71" s="110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  <c r="AB71" s="7"/>
      <c r="AC71" s="7"/>
      <c r="AD71" s="7"/>
      <c r="AE71" s="7"/>
      <c r="AF71" s="7"/>
      <c r="AG71" s="7"/>
      <c r="AH71" s="7"/>
      <c r="AI71" s="7"/>
      <c r="AJ71" s="7"/>
      <c r="AK71" s="7"/>
      <c r="AL71" s="7"/>
      <c r="AM71" s="7"/>
    </row>
    <row r="72" spans="1:39" x14ac:dyDescent="0.2">
      <c r="A72" s="3" t="str">
        <f>TEXT(Inputs!$B$61,"")</f>
        <v>Sliema</v>
      </c>
      <c r="C72" s="7">
        <f ca="1">Inputs!B62*(1+princ)^ProRate</f>
        <v>306724.99866884813</v>
      </c>
      <c r="D72" s="101">
        <f t="shared" ref="D72:S76" ca="1" si="41">C72*(1+princ)</f>
        <v>315926.7486289136</v>
      </c>
      <c r="E72" s="110">
        <f t="shared" ca="1" si="41"/>
        <v>325404.55108778103</v>
      </c>
      <c r="F72" s="7">
        <f t="shared" ca="1" si="41"/>
        <v>335166.68762041448</v>
      </c>
      <c r="G72" s="7">
        <f t="shared" ca="1" si="41"/>
        <v>345221.68824902695</v>
      </c>
      <c r="H72" s="7">
        <f t="shared" ca="1" si="41"/>
        <v>355578.33889649779</v>
      </c>
      <c r="I72" s="7">
        <f t="shared" ca="1" si="41"/>
        <v>366245.68906339275</v>
      </c>
      <c r="J72" s="7">
        <f t="shared" ca="1" si="41"/>
        <v>377233.05973529455</v>
      </c>
      <c r="K72" s="7">
        <f t="shared" ca="1" si="41"/>
        <v>388550.05152735341</v>
      </c>
      <c r="L72" s="7">
        <f t="shared" ca="1" si="41"/>
        <v>400206.55307317403</v>
      </c>
      <c r="M72" s="7">
        <f t="shared" ca="1" si="41"/>
        <v>412212.74966536928</v>
      </c>
      <c r="N72" s="7">
        <f t="shared" ca="1" si="41"/>
        <v>424579.13215533039</v>
      </c>
      <c r="O72" s="7">
        <f t="shared" ca="1" si="41"/>
        <v>437316.50611999031</v>
      </c>
      <c r="P72" s="7">
        <f t="shared" ca="1" si="41"/>
        <v>450436.00130359002</v>
      </c>
      <c r="Q72" s="7">
        <f t="shared" ca="1" si="41"/>
        <v>463949.08134269773</v>
      </c>
      <c r="R72" s="7">
        <f t="shared" ca="1" si="41"/>
        <v>477867.55378297868</v>
      </c>
      <c r="S72" s="7">
        <f t="shared" ca="1" si="41"/>
        <v>492203.58039646805</v>
      </c>
      <c r="T72" s="7">
        <f t="shared" ref="T72:AI76" ca="1" si="42">S72*(1+princ)</f>
        <v>506969.68780836213</v>
      </c>
      <c r="U72" s="7">
        <f t="shared" ca="1" si="42"/>
        <v>522178.77844261302</v>
      </c>
      <c r="V72" s="7">
        <f t="shared" ca="1" si="42"/>
        <v>537844.14179589145</v>
      </c>
      <c r="W72" s="7">
        <f t="shared" ca="1" si="42"/>
        <v>553979.46604976826</v>
      </c>
      <c r="X72" s="7">
        <f t="shared" ca="1" si="42"/>
        <v>570598.85003126133</v>
      </c>
      <c r="Y72" s="7">
        <f t="shared" ca="1" si="42"/>
        <v>587716.81553219922</v>
      </c>
      <c r="Z72" s="7">
        <f t="shared" ca="1" si="42"/>
        <v>605348.31999816524</v>
      </c>
      <c r="AA72" s="7">
        <f t="shared" ca="1" si="42"/>
        <v>623508.76959811023</v>
      </c>
      <c r="AB72" s="7">
        <f t="shared" ca="1" si="42"/>
        <v>642214.03268605354</v>
      </c>
      <c r="AC72" s="7">
        <f t="shared" ca="1" si="42"/>
        <v>661480.45366663521</v>
      </c>
      <c r="AD72" s="7">
        <f t="shared" ca="1" si="42"/>
        <v>681324.86727663432</v>
      </c>
      <c r="AE72" s="7">
        <f t="shared" ca="1" si="42"/>
        <v>701764.61329493334</v>
      </c>
      <c r="AF72" s="7">
        <f t="shared" ca="1" si="42"/>
        <v>722817.5516937814</v>
      </c>
      <c r="AG72" s="7">
        <f t="shared" ca="1" si="42"/>
        <v>744502.07824459486</v>
      </c>
      <c r="AH72" s="7">
        <f t="shared" ca="1" si="42"/>
        <v>766837.14059193269</v>
      </c>
      <c r="AI72" s="7">
        <f t="shared" ca="1" si="42"/>
        <v>789842.25480969064</v>
      </c>
      <c r="AJ72" s="7">
        <f t="shared" ref="AJ72:AM76" ca="1" si="43">AI72*(1+princ)</f>
        <v>813537.52245398134</v>
      </c>
      <c r="AK72" s="7">
        <f t="shared" ca="1" si="43"/>
        <v>837943.64812760078</v>
      </c>
      <c r="AL72" s="7">
        <f t="shared" ca="1" si="43"/>
        <v>863081.95757142885</v>
      </c>
      <c r="AM72" s="7">
        <f t="shared" ca="1" si="43"/>
        <v>888974.41629857174</v>
      </c>
    </row>
    <row r="73" spans="1:39" x14ac:dyDescent="0.2">
      <c r="A73" s="3" t="str">
        <f>TEXT(Inputs!$B$66,"")</f>
        <v>Gzira</v>
      </c>
      <c r="C73" s="7">
        <f ca="1">Inputs!B67*(1+princ)^ProRate</f>
        <v>153362.49933442406</v>
      </c>
      <c r="D73" s="101">
        <f t="shared" ca="1" si="41"/>
        <v>157963.3743144568</v>
      </c>
      <c r="E73" s="110">
        <f t="shared" ca="1" si="41"/>
        <v>162702.27554389052</v>
      </c>
      <c r="F73" s="7">
        <f t="shared" ca="1" si="41"/>
        <v>167583.34381020724</v>
      </c>
      <c r="G73" s="7">
        <f t="shared" ca="1" si="41"/>
        <v>172610.84412451347</v>
      </c>
      <c r="H73" s="7">
        <f t="shared" ca="1" si="41"/>
        <v>177789.1694482489</v>
      </c>
      <c r="I73" s="7">
        <f t="shared" ca="1" si="41"/>
        <v>183122.84453169638</v>
      </c>
      <c r="J73" s="7">
        <f t="shared" ca="1" si="41"/>
        <v>188616.52986764727</v>
      </c>
      <c r="K73" s="7">
        <f t="shared" ca="1" si="41"/>
        <v>194275.02576367671</v>
      </c>
      <c r="L73" s="7">
        <f t="shared" ca="1" si="41"/>
        <v>200103.27653658701</v>
      </c>
      <c r="M73" s="7">
        <f t="shared" ca="1" si="41"/>
        <v>206106.37483268464</v>
      </c>
      <c r="N73" s="7">
        <f t="shared" ca="1" si="41"/>
        <v>212289.56607766519</v>
      </c>
      <c r="O73" s="7">
        <f t="shared" ca="1" si="41"/>
        <v>218658.25305999516</v>
      </c>
      <c r="P73" s="7">
        <f t="shared" ca="1" si="41"/>
        <v>225218.00065179501</v>
      </c>
      <c r="Q73" s="7">
        <f t="shared" ca="1" si="41"/>
        <v>231974.54067134886</v>
      </c>
      <c r="R73" s="7">
        <f t="shared" ca="1" si="41"/>
        <v>238933.77689148934</v>
      </c>
      <c r="S73" s="7">
        <f t="shared" ca="1" si="41"/>
        <v>246101.79019823403</v>
      </c>
      <c r="T73" s="7">
        <f t="shared" ca="1" si="42"/>
        <v>253484.84390418106</v>
      </c>
      <c r="U73" s="7">
        <f t="shared" ca="1" si="42"/>
        <v>261089.38922130651</v>
      </c>
      <c r="V73" s="7">
        <f t="shared" ca="1" si="42"/>
        <v>268922.07089794573</v>
      </c>
      <c r="W73" s="7">
        <f t="shared" ca="1" si="42"/>
        <v>276989.73302488413</v>
      </c>
      <c r="X73" s="7">
        <f t="shared" ca="1" si="42"/>
        <v>285299.42501563067</v>
      </c>
      <c r="Y73" s="7">
        <f t="shared" ca="1" si="42"/>
        <v>293858.40776609961</v>
      </c>
      <c r="Z73" s="7">
        <f t="shared" ca="1" si="42"/>
        <v>302674.15999908262</v>
      </c>
      <c r="AA73" s="7">
        <f t="shared" ca="1" si="42"/>
        <v>311754.38479905511</v>
      </c>
      <c r="AB73" s="7">
        <f t="shared" ca="1" si="42"/>
        <v>321107.01634302677</v>
      </c>
      <c r="AC73" s="7">
        <f t="shared" ca="1" si="42"/>
        <v>330740.2268333176</v>
      </c>
      <c r="AD73" s="7">
        <f t="shared" ca="1" si="42"/>
        <v>340662.43363831716</v>
      </c>
      <c r="AE73" s="7">
        <f t="shared" ca="1" si="42"/>
        <v>350882.30664746667</v>
      </c>
      <c r="AF73" s="7">
        <f t="shared" ca="1" si="42"/>
        <v>361408.7758468907</v>
      </c>
      <c r="AG73" s="7">
        <f t="shared" ca="1" si="42"/>
        <v>372251.03912229743</v>
      </c>
      <c r="AH73" s="7">
        <f t="shared" ca="1" si="42"/>
        <v>383418.57029596635</v>
      </c>
      <c r="AI73" s="7">
        <f t="shared" ca="1" si="42"/>
        <v>394921.12740484532</v>
      </c>
      <c r="AJ73" s="7">
        <f t="shared" ca="1" si="43"/>
        <v>406768.76122699067</v>
      </c>
      <c r="AK73" s="7">
        <f t="shared" ca="1" si="43"/>
        <v>418971.82406380039</v>
      </c>
      <c r="AL73" s="7">
        <f t="shared" ca="1" si="43"/>
        <v>431540.97878571443</v>
      </c>
      <c r="AM73" s="7">
        <f t="shared" ca="1" si="43"/>
        <v>444487.20814928587</v>
      </c>
    </row>
    <row r="74" spans="1:39" x14ac:dyDescent="0.2">
      <c r="A74" s="3" t="str">
        <f>TEXT(Inputs!$B$71,"")</f>
        <v>Qormi</v>
      </c>
      <c r="C74" s="7">
        <f ca="1">Inputs!B72*(1+princ)^ProRate</f>
        <v>224931.66569048862</v>
      </c>
      <c r="D74" s="101">
        <f t="shared" ca="1" si="41"/>
        <v>231679.61566120328</v>
      </c>
      <c r="E74" s="110">
        <f t="shared" ca="1" si="41"/>
        <v>238630.00413103937</v>
      </c>
      <c r="F74" s="7">
        <f t="shared" ca="1" si="41"/>
        <v>245788.90425497055</v>
      </c>
      <c r="G74" s="7">
        <f t="shared" ca="1" si="41"/>
        <v>253162.57138261967</v>
      </c>
      <c r="H74" s="7">
        <f t="shared" ca="1" si="41"/>
        <v>260757.44852409826</v>
      </c>
      <c r="I74" s="7">
        <f t="shared" ca="1" si="41"/>
        <v>268580.17197982123</v>
      </c>
      <c r="J74" s="7">
        <f t="shared" ca="1" si="41"/>
        <v>276637.57713921589</v>
      </c>
      <c r="K74" s="7">
        <f t="shared" ca="1" si="41"/>
        <v>284936.70445339236</v>
      </c>
      <c r="L74" s="7">
        <f t="shared" ca="1" si="41"/>
        <v>293484.80558699416</v>
      </c>
      <c r="M74" s="7">
        <f t="shared" ca="1" si="41"/>
        <v>302289.34975460399</v>
      </c>
      <c r="N74" s="7">
        <f t="shared" ca="1" si="41"/>
        <v>311358.03024724213</v>
      </c>
      <c r="O74" s="7">
        <f t="shared" ca="1" si="41"/>
        <v>320698.77115465939</v>
      </c>
      <c r="P74" s="7">
        <f t="shared" ca="1" si="41"/>
        <v>330319.73428929917</v>
      </c>
      <c r="Q74" s="7">
        <f t="shared" ca="1" si="41"/>
        <v>340229.32631797815</v>
      </c>
      <c r="R74" s="7">
        <f t="shared" ca="1" si="41"/>
        <v>350436.20610751753</v>
      </c>
      <c r="S74" s="7">
        <f t="shared" ca="1" si="41"/>
        <v>360949.29229074309</v>
      </c>
      <c r="T74" s="7">
        <f t="shared" ca="1" si="42"/>
        <v>371777.77105946542</v>
      </c>
      <c r="U74" s="7">
        <f t="shared" ca="1" si="42"/>
        <v>382931.10419124941</v>
      </c>
      <c r="V74" s="7">
        <f t="shared" ca="1" si="42"/>
        <v>394419.03731698688</v>
      </c>
      <c r="W74" s="7">
        <f t="shared" ca="1" si="42"/>
        <v>406251.60843649652</v>
      </c>
      <c r="X74" s="7">
        <f t="shared" ca="1" si="42"/>
        <v>418439.15668959141</v>
      </c>
      <c r="Y74" s="7">
        <f t="shared" ca="1" si="42"/>
        <v>430992.33139027917</v>
      </c>
      <c r="Z74" s="7">
        <f t="shared" ca="1" si="42"/>
        <v>443922.10133198753</v>
      </c>
      <c r="AA74" s="7">
        <f t="shared" ca="1" si="42"/>
        <v>457239.76437194715</v>
      </c>
      <c r="AB74" s="7">
        <f t="shared" ca="1" si="42"/>
        <v>470956.95730310556</v>
      </c>
      <c r="AC74" s="7">
        <f t="shared" ca="1" si="42"/>
        <v>485085.66602219874</v>
      </c>
      <c r="AD74" s="7">
        <f t="shared" ca="1" si="42"/>
        <v>499638.23600286472</v>
      </c>
      <c r="AE74" s="7">
        <f t="shared" ca="1" si="42"/>
        <v>514627.38308295066</v>
      </c>
      <c r="AF74" s="7">
        <f t="shared" ca="1" si="42"/>
        <v>530066.20457543922</v>
      </c>
      <c r="AG74" s="7">
        <f t="shared" ca="1" si="42"/>
        <v>545968.19071270246</v>
      </c>
      <c r="AH74" s="7">
        <f t="shared" ca="1" si="42"/>
        <v>562347.23643408355</v>
      </c>
      <c r="AI74" s="7">
        <f t="shared" ca="1" si="42"/>
        <v>579217.65352710604</v>
      </c>
      <c r="AJ74" s="7">
        <f t="shared" ca="1" si="43"/>
        <v>596594.18313291925</v>
      </c>
      <c r="AK74" s="7">
        <f t="shared" ca="1" si="43"/>
        <v>614492.0086269069</v>
      </c>
      <c r="AL74" s="7">
        <f t="shared" ca="1" si="43"/>
        <v>632926.76888571412</v>
      </c>
      <c r="AM74" s="7">
        <f t="shared" ca="1" si="43"/>
        <v>651914.57195228559</v>
      </c>
    </row>
    <row r="75" spans="1:39" x14ac:dyDescent="0.2">
      <c r="A75" s="3" t="str">
        <f>TEXT(Inputs!$B$76,"")</f>
        <v>Gudja</v>
      </c>
      <c r="C75" s="7">
        <f ca="1">Inputs!B77*(1+princ)^ProRate</f>
        <v>81793.332978359496</v>
      </c>
      <c r="D75" s="101">
        <f t="shared" ca="1" si="41"/>
        <v>84247.132967710277</v>
      </c>
      <c r="E75" s="110">
        <f t="shared" ca="1" si="41"/>
        <v>86774.546956741586</v>
      </c>
      <c r="F75" s="7">
        <f t="shared" ca="1" si="41"/>
        <v>89377.783365443829</v>
      </c>
      <c r="G75" s="7">
        <f t="shared" ca="1" si="41"/>
        <v>92059.116866407145</v>
      </c>
      <c r="H75" s="7">
        <f t="shared" ca="1" si="41"/>
        <v>94820.890372399357</v>
      </c>
      <c r="I75" s="7">
        <f t="shared" ca="1" si="41"/>
        <v>97665.517083571336</v>
      </c>
      <c r="J75" s="7">
        <f t="shared" ca="1" si="41"/>
        <v>100595.48259607848</v>
      </c>
      <c r="K75" s="7">
        <f t="shared" ca="1" si="41"/>
        <v>103613.34707396083</v>
      </c>
      <c r="L75" s="7">
        <f t="shared" ca="1" si="41"/>
        <v>106721.74748617967</v>
      </c>
      <c r="M75" s="7">
        <f t="shared" ca="1" si="41"/>
        <v>109923.39991076506</v>
      </c>
      <c r="N75" s="7">
        <f t="shared" ca="1" si="41"/>
        <v>113221.10190808802</v>
      </c>
      <c r="O75" s="7">
        <f t="shared" ca="1" si="41"/>
        <v>116617.73496533066</v>
      </c>
      <c r="P75" s="7">
        <f t="shared" ca="1" si="41"/>
        <v>120116.26701429058</v>
      </c>
      <c r="Q75" s="7">
        <f t="shared" ca="1" si="41"/>
        <v>123719.7550247193</v>
      </c>
      <c r="R75" s="7">
        <f t="shared" ca="1" si="41"/>
        <v>127431.34767546089</v>
      </c>
      <c r="S75" s="7">
        <f t="shared" ca="1" si="41"/>
        <v>131254.28810572473</v>
      </c>
      <c r="T75" s="7">
        <f t="shared" ca="1" si="42"/>
        <v>135191.91674889647</v>
      </c>
      <c r="U75" s="7">
        <f t="shared" ca="1" si="42"/>
        <v>139247.67425136338</v>
      </c>
      <c r="V75" s="7">
        <f t="shared" ca="1" si="42"/>
        <v>143425.10447890428</v>
      </c>
      <c r="W75" s="7">
        <f t="shared" ca="1" si="42"/>
        <v>147727.85761327142</v>
      </c>
      <c r="X75" s="7">
        <f t="shared" ca="1" si="42"/>
        <v>152159.69334166957</v>
      </c>
      <c r="Y75" s="7">
        <f t="shared" ca="1" si="42"/>
        <v>156724.48414191965</v>
      </c>
      <c r="Z75" s="7">
        <f t="shared" ca="1" si="42"/>
        <v>161426.21866617724</v>
      </c>
      <c r="AA75" s="7">
        <f t="shared" ca="1" si="42"/>
        <v>166269.00522616255</v>
      </c>
      <c r="AB75" s="7">
        <f t="shared" ca="1" si="42"/>
        <v>171257.07538294743</v>
      </c>
      <c r="AC75" s="7">
        <f t="shared" ca="1" si="42"/>
        <v>176394.78764443586</v>
      </c>
      <c r="AD75" s="7">
        <f t="shared" ca="1" si="42"/>
        <v>181686.63127376893</v>
      </c>
      <c r="AE75" s="7">
        <f t="shared" ca="1" si="42"/>
        <v>187137.23021198201</v>
      </c>
      <c r="AF75" s="7">
        <f t="shared" ca="1" si="42"/>
        <v>192751.34711834148</v>
      </c>
      <c r="AG75" s="7">
        <f t="shared" ca="1" si="42"/>
        <v>198533.88753189173</v>
      </c>
      <c r="AH75" s="7">
        <f t="shared" ca="1" si="42"/>
        <v>204489.90415784848</v>
      </c>
      <c r="AI75" s="7">
        <f t="shared" ca="1" si="42"/>
        <v>210624.60128258393</v>
      </c>
      <c r="AJ75" s="7">
        <f t="shared" ca="1" si="43"/>
        <v>216943.33932106144</v>
      </c>
      <c r="AK75" s="7">
        <f t="shared" ca="1" si="43"/>
        <v>223451.6395006933</v>
      </c>
      <c r="AL75" s="7">
        <f t="shared" ca="1" si="43"/>
        <v>230155.18868571409</v>
      </c>
      <c r="AM75" s="7">
        <f t="shared" ca="1" si="43"/>
        <v>237059.84434628554</v>
      </c>
    </row>
    <row r="76" spans="1:39" x14ac:dyDescent="0.2">
      <c r="A76" s="3" t="str">
        <f>TEXT(Inputs!$B$81,"")</f>
        <v>Marsa</v>
      </c>
      <c r="C76" s="7">
        <f ca="1">Inputs!B82*(1+princ)^ProRate</f>
        <v>122689.99946753924</v>
      </c>
      <c r="D76" s="101">
        <f t="shared" ca="1" si="41"/>
        <v>126370.69945156542</v>
      </c>
      <c r="E76" s="110">
        <f t="shared" ca="1" si="41"/>
        <v>130161.82043511239</v>
      </c>
      <c r="F76" s="7">
        <f t="shared" ca="1" si="41"/>
        <v>134066.67504816575</v>
      </c>
      <c r="G76" s="7">
        <f t="shared" ca="1" si="41"/>
        <v>138088.67529961074</v>
      </c>
      <c r="H76" s="7">
        <f t="shared" ca="1" si="41"/>
        <v>142231.33555859906</v>
      </c>
      <c r="I76" s="7">
        <f t="shared" ca="1" si="41"/>
        <v>146498.27562535706</v>
      </c>
      <c r="J76" s="7">
        <f t="shared" ca="1" si="41"/>
        <v>150893.22389411778</v>
      </c>
      <c r="K76" s="7">
        <f t="shared" ca="1" si="41"/>
        <v>155420.02061094131</v>
      </c>
      <c r="L76" s="7">
        <f t="shared" ca="1" si="41"/>
        <v>160082.62122926954</v>
      </c>
      <c r="M76" s="7">
        <f t="shared" ca="1" si="41"/>
        <v>164885.09986614762</v>
      </c>
      <c r="N76" s="7">
        <f t="shared" ca="1" si="41"/>
        <v>169831.65286213206</v>
      </c>
      <c r="O76" s="7">
        <f t="shared" ca="1" si="41"/>
        <v>174926.60244799603</v>
      </c>
      <c r="P76" s="7">
        <f t="shared" ca="1" si="41"/>
        <v>180174.40052143592</v>
      </c>
      <c r="Q76" s="7">
        <f t="shared" ca="1" si="41"/>
        <v>185579.63253707901</v>
      </c>
      <c r="R76" s="7">
        <f t="shared" ca="1" si="41"/>
        <v>191147.0215131914</v>
      </c>
      <c r="S76" s="7">
        <f t="shared" ca="1" si="41"/>
        <v>196881.43215858715</v>
      </c>
      <c r="T76" s="7">
        <f t="shared" ca="1" si="42"/>
        <v>202787.87512334477</v>
      </c>
      <c r="U76" s="7">
        <f t="shared" ca="1" si="42"/>
        <v>208871.51137704513</v>
      </c>
      <c r="V76" s="7">
        <f t="shared" ca="1" si="42"/>
        <v>215137.65671835648</v>
      </c>
      <c r="W76" s="7">
        <f t="shared" ca="1" si="42"/>
        <v>221591.78641990718</v>
      </c>
      <c r="X76" s="7">
        <f t="shared" ca="1" si="42"/>
        <v>228239.54001250441</v>
      </c>
      <c r="Y76" s="7">
        <f t="shared" ca="1" si="42"/>
        <v>235086.72621287956</v>
      </c>
      <c r="Z76" s="7">
        <f t="shared" ca="1" si="42"/>
        <v>242139.32799926595</v>
      </c>
      <c r="AA76" s="7">
        <f t="shared" ca="1" si="42"/>
        <v>249403.50783924395</v>
      </c>
      <c r="AB76" s="7">
        <f t="shared" ca="1" si="42"/>
        <v>256885.61307442127</v>
      </c>
      <c r="AC76" s="7">
        <f t="shared" ca="1" si="42"/>
        <v>264592.18146665394</v>
      </c>
      <c r="AD76" s="7">
        <f t="shared" ca="1" si="42"/>
        <v>272529.94691065355</v>
      </c>
      <c r="AE76" s="7">
        <f t="shared" ca="1" si="42"/>
        <v>280705.84531797317</v>
      </c>
      <c r="AF76" s="7">
        <f t="shared" ca="1" si="42"/>
        <v>289127.0206775124</v>
      </c>
      <c r="AG76" s="7">
        <f t="shared" ca="1" si="42"/>
        <v>297800.83129783778</v>
      </c>
      <c r="AH76" s="7">
        <f t="shared" ca="1" si="42"/>
        <v>306734.8562367729</v>
      </c>
      <c r="AI76" s="7">
        <f t="shared" ca="1" si="42"/>
        <v>315936.90192387608</v>
      </c>
      <c r="AJ76" s="7">
        <f t="shared" ca="1" si="43"/>
        <v>325415.00898159237</v>
      </c>
      <c r="AK76" s="7">
        <f t="shared" ca="1" si="43"/>
        <v>335177.45925104013</v>
      </c>
      <c r="AL76" s="7">
        <f t="shared" ca="1" si="43"/>
        <v>345232.78302857134</v>
      </c>
      <c r="AM76" s="7">
        <f t="shared" ca="1" si="43"/>
        <v>355589.76651942846</v>
      </c>
    </row>
    <row r="77" spans="1:39" x14ac:dyDescent="0.2">
      <c r="A77" s="4" t="s">
        <v>193</v>
      </c>
      <c r="C77" s="7"/>
      <c r="D77" s="101"/>
      <c r="E77" s="110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  <c r="AC77" s="7"/>
      <c r="AD77" s="7"/>
      <c r="AE77" s="7"/>
      <c r="AF77" s="7"/>
      <c r="AG77" s="7"/>
      <c r="AH77" s="7"/>
      <c r="AI77" s="7"/>
      <c r="AJ77" s="7"/>
      <c r="AK77" s="7"/>
      <c r="AL77" s="7"/>
      <c r="AM77" s="7"/>
    </row>
    <row r="78" spans="1:39" x14ac:dyDescent="0.2">
      <c r="A78" s="3" t="str">
        <f>TEXT(Inputs!$B$88,"")</f>
        <v>Jewelry</v>
      </c>
      <c r="C78" s="7">
        <f ca="1">Inputs!B89*(1+A1inc)^ProRate</f>
        <v>50748.140451472013</v>
      </c>
      <c r="D78" s="101">
        <f t="shared" ref="D78:AM78" ca="1" si="44">C78*(1+A1inc)</f>
        <v>51763.103260501455</v>
      </c>
      <c r="E78" s="110">
        <f t="shared" ca="1" si="44"/>
        <v>52798.365325711486</v>
      </c>
      <c r="F78" s="7">
        <f t="shared" ca="1" si="44"/>
        <v>53854.33263222572</v>
      </c>
      <c r="G78" s="7">
        <f t="shared" ca="1" si="44"/>
        <v>54931.419284870237</v>
      </c>
      <c r="H78" s="7">
        <f t="shared" ca="1" si="44"/>
        <v>56030.047670567641</v>
      </c>
      <c r="I78" s="7">
        <f t="shared" ca="1" si="44"/>
        <v>57150.648623978996</v>
      </c>
      <c r="J78" s="7">
        <f t="shared" ca="1" si="44"/>
        <v>58293.66159645858</v>
      </c>
      <c r="K78" s="7">
        <f t="shared" ca="1" si="44"/>
        <v>59459.534828387754</v>
      </c>
      <c r="L78" s="7">
        <f t="shared" ca="1" si="44"/>
        <v>60648.725524955509</v>
      </c>
      <c r="M78" s="7">
        <f t="shared" ca="1" si="44"/>
        <v>61861.700035454618</v>
      </c>
      <c r="N78" s="7">
        <f t="shared" ca="1" si="44"/>
        <v>63098.934036163715</v>
      </c>
      <c r="O78" s="7">
        <f t="shared" ca="1" si="44"/>
        <v>64360.912716886989</v>
      </c>
      <c r="P78" s="7">
        <f t="shared" ca="1" si="44"/>
        <v>65648.130971224731</v>
      </c>
      <c r="Q78" s="7">
        <f t="shared" ca="1" si="44"/>
        <v>66961.093590649223</v>
      </c>
      <c r="R78" s="7">
        <f t="shared" ca="1" si="44"/>
        <v>68300.315462462211</v>
      </c>
      <c r="S78" s="7">
        <f t="shared" ca="1" si="44"/>
        <v>69666.32177171146</v>
      </c>
      <c r="T78" s="7">
        <f t="shared" ca="1" si="44"/>
        <v>71059.648207145685</v>
      </c>
      <c r="U78" s="7">
        <f t="shared" ca="1" si="44"/>
        <v>72480.841171288601</v>
      </c>
      <c r="V78" s="7">
        <f t="shared" ca="1" si="44"/>
        <v>73930.457994714379</v>
      </c>
      <c r="W78" s="7">
        <f t="shared" ca="1" si="44"/>
        <v>75409.067154608667</v>
      </c>
      <c r="X78" s="7">
        <f t="shared" ca="1" si="44"/>
        <v>76917.248497700843</v>
      </c>
      <c r="Y78" s="7">
        <f t="shared" ca="1" si="44"/>
        <v>78455.593467654864</v>
      </c>
      <c r="Z78" s="7">
        <f t="shared" ca="1" si="44"/>
        <v>80024.705337007967</v>
      </c>
      <c r="AA78" s="7">
        <f t="shared" ca="1" si="44"/>
        <v>81625.199443748133</v>
      </c>
      <c r="AB78" s="7">
        <f t="shared" ca="1" si="44"/>
        <v>83257.703432623093</v>
      </c>
      <c r="AC78" s="7">
        <f t="shared" ca="1" si="44"/>
        <v>84922.857501275561</v>
      </c>
      <c r="AD78" s="7">
        <f t="shared" ca="1" si="44"/>
        <v>86621.314651301072</v>
      </c>
      <c r="AE78" s="7">
        <f t="shared" ca="1" si="44"/>
        <v>88353.740944327103</v>
      </c>
      <c r="AF78" s="7">
        <f t="shared" ca="1" si="44"/>
        <v>90120.815763213643</v>
      </c>
      <c r="AG78" s="7">
        <f t="shared" ca="1" si="44"/>
        <v>91923.232078477915</v>
      </c>
      <c r="AH78" s="7">
        <f t="shared" ca="1" si="44"/>
        <v>93761.696720047476</v>
      </c>
      <c r="AI78" s="7">
        <f t="shared" ca="1" si="44"/>
        <v>95636.930654448428</v>
      </c>
      <c r="AJ78" s="7">
        <f t="shared" ca="1" si="44"/>
        <v>97549.669267537392</v>
      </c>
      <c r="AK78" s="7">
        <f t="shared" ca="1" si="44"/>
        <v>99500.662652888146</v>
      </c>
      <c r="AL78" s="7">
        <f t="shared" ca="1" si="44"/>
        <v>101490.67590594591</v>
      </c>
      <c r="AM78" s="7">
        <f t="shared" ca="1" si="44"/>
        <v>103520.48942406483</v>
      </c>
    </row>
    <row r="79" spans="1:39" x14ac:dyDescent="0.2">
      <c r="A79" s="3" t="str">
        <f>TEXT(Inputs!$B$93,"")</f>
        <v>Car</v>
      </c>
      <c r="C79" s="7">
        <f ca="1">Inputs!B94*(1+A2inc)^ProRate</f>
        <v>38490.424009238486</v>
      </c>
      <c r="D79" s="101">
        <f t="shared" ref="D79:AM79" ca="1" si="45">C79*(1+A2inc)</f>
        <v>36565.902808776562</v>
      </c>
      <c r="E79" s="110">
        <f t="shared" ca="1" si="45"/>
        <v>34737.607668337732</v>
      </c>
      <c r="F79" s="7">
        <f t="shared" ca="1" si="45"/>
        <v>33000.727284920846</v>
      </c>
      <c r="G79" s="7">
        <f t="shared" ca="1" si="45"/>
        <v>31350.690920674802</v>
      </c>
      <c r="H79" s="7">
        <f t="shared" ca="1" si="45"/>
        <v>29783.156374641061</v>
      </c>
      <c r="I79" s="7">
        <f t="shared" ca="1" si="45"/>
        <v>28293.998555909006</v>
      </c>
      <c r="J79" s="7">
        <f t="shared" ca="1" si="45"/>
        <v>26879.298628113553</v>
      </c>
      <c r="K79" s="7">
        <f t="shared" ca="1" si="45"/>
        <v>25535.333696707872</v>
      </c>
      <c r="L79" s="7">
        <f t="shared" ca="1" si="45"/>
        <v>24258.567011872477</v>
      </c>
      <c r="M79" s="7">
        <f t="shared" ca="1" si="45"/>
        <v>23045.638661278852</v>
      </c>
      <c r="N79" s="7">
        <f t="shared" ca="1" si="45"/>
        <v>21893.356728214909</v>
      </c>
      <c r="O79" s="7">
        <f t="shared" ca="1" si="45"/>
        <v>20798.688891804162</v>
      </c>
      <c r="P79" s="7">
        <f t="shared" ca="1" si="45"/>
        <v>19758.754447213953</v>
      </c>
      <c r="Q79" s="7">
        <f t="shared" ca="1" si="45"/>
        <v>18770.816724853255</v>
      </c>
      <c r="R79" s="7">
        <f t="shared" ca="1" si="45"/>
        <v>17832.275888610591</v>
      </c>
      <c r="S79" s="7">
        <f t="shared" ca="1" si="45"/>
        <v>16940.662094180061</v>
      </c>
      <c r="T79" s="7">
        <f t="shared" ca="1" si="45"/>
        <v>16093.628989471057</v>
      </c>
      <c r="U79" s="7">
        <f t="shared" ca="1" si="45"/>
        <v>15288.947539997504</v>
      </c>
      <c r="V79" s="7">
        <f t="shared" ca="1" si="45"/>
        <v>14524.500162997627</v>
      </c>
      <c r="W79" s="7">
        <f t="shared" ca="1" si="45"/>
        <v>13798.275154847744</v>
      </c>
      <c r="X79" s="7">
        <f t="shared" ca="1" si="45"/>
        <v>13108.361397105356</v>
      </c>
      <c r="Y79" s="7">
        <f t="shared" ca="1" si="45"/>
        <v>12452.943327250088</v>
      </c>
      <c r="Z79" s="7">
        <f t="shared" ca="1" si="45"/>
        <v>11830.296160887583</v>
      </c>
      <c r="AA79" s="7">
        <f t="shared" ca="1" si="45"/>
        <v>11238.781352843203</v>
      </c>
      <c r="AB79" s="7">
        <f t="shared" ca="1" si="45"/>
        <v>10676.842285201043</v>
      </c>
      <c r="AC79" s="7">
        <f t="shared" ca="1" si="45"/>
        <v>10143.00017094099</v>
      </c>
      <c r="AD79" s="7">
        <f t="shared" ca="1" si="45"/>
        <v>9635.8501623939392</v>
      </c>
      <c r="AE79" s="7">
        <f t="shared" ca="1" si="45"/>
        <v>9154.0576542742419</v>
      </c>
      <c r="AF79" s="7">
        <f t="shared" ca="1" si="45"/>
        <v>8696.3547715605291</v>
      </c>
      <c r="AG79" s="7">
        <f t="shared" ca="1" si="45"/>
        <v>8261.5370329825018</v>
      </c>
      <c r="AH79" s="7">
        <f t="shared" ca="1" si="45"/>
        <v>7848.4601813333766</v>
      </c>
      <c r="AI79" s="7">
        <f t="shared" ca="1" si="45"/>
        <v>7456.0371722667078</v>
      </c>
      <c r="AJ79" s="7">
        <f t="shared" ca="1" si="45"/>
        <v>7083.235313653372</v>
      </c>
      <c r="AK79" s="7">
        <f t="shared" ca="1" si="45"/>
        <v>6729.0735479707027</v>
      </c>
      <c r="AL79" s="7">
        <f t="shared" ca="1" si="45"/>
        <v>6392.6198705721672</v>
      </c>
      <c r="AM79" s="7">
        <f t="shared" ca="1" si="45"/>
        <v>6072.9888770435582</v>
      </c>
    </row>
    <row r="80" spans="1:39" x14ac:dyDescent="0.2">
      <c r="A80" s="3" t="str">
        <f>TEXT(Inputs!$B$98,"")</f>
        <v>Painting</v>
      </c>
      <c r="C80" s="7">
        <f ca="1">Inputs!B99*(1+A3inc)^ProRate</f>
        <v>20448.333244589874</v>
      </c>
      <c r="D80" s="101">
        <f t="shared" ref="D80:AM80" ca="1" si="46">C80*(1+A3inc)</f>
        <v>21061.783241927569</v>
      </c>
      <c r="E80" s="110">
        <f t="shared" ca="1" si="46"/>
        <v>21693.636739185396</v>
      </c>
      <c r="F80" s="7">
        <f t="shared" ca="1" si="46"/>
        <v>22344.445841360957</v>
      </c>
      <c r="G80" s="7">
        <f t="shared" ca="1" si="46"/>
        <v>23014.779216601786</v>
      </c>
      <c r="H80" s="7">
        <f t="shared" ca="1" si="46"/>
        <v>23705.222593099839</v>
      </c>
      <c r="I80" s="7">
        <f t="shared" ca="1" si="46"/>
        <v>24416.379270892834</v>
      </c>
      <c r="J80" s="7">
        <f t="shared" ca="1" si="46"/>
        <v>25148.87064901962</v>
      </c>
      <c r="K80" s="7">
        <f t="shared" ca="1" si="46"/>
        <v>25903.336768490208</v>
      </c>
      <c r="L80" s="7">
        <f t="shared" ca="1" si="46"/>
        <v>26680.436871544916</v>
      </c>
      <c r="M80" s="7">
        <f t="shared" ca="1" si="46"/>
        <v>27480.849977691265</v>
      </c>
      <c r="N80" s="7">
        <f t="shared" ca="1" si="46"/>
        <v>28305.275477022005</v>
      </c>
      <c r="O80" s="7">
        <f t="shared" ca="1" si="46"/>
        <v>29154.433741332665</v>
      </c>
      <c r="P80" s="7">
        <f t="shared" ca="1" si="46"/>
        <v>30029.066753572646</v>
      </c>
      <c r="Q80" s="7">
        <f t="shared" ca="1" si="46"/>
        <v>30929.938756179825</v>
      </c>
      <c r="R80" s="7">
        <f t="shared" ca="1" si="46"/>
        <v>31857.836918865221</v>
      </c>
      <c r="S80" s="7">
        <f t="shared" ca="1" si="46"/>
        <v>32813.572026431182</v>
      </c>
      <c r="T80" s="7">
        <f t="shared" ca="1" si="46"/>
        <v>33797.979187224119</v>
      </c>
      <c r="U80" s="7">
        <f t="shared" ca="1" si="46"/>
        <v>34811.918562840845</v>
      </c>
      <c r="V80" s="7">
        <f t="shared" ca="1" si="46"/>
        <v>35856.27611972607</v>
      </c>
      <c r="W80" s="7">
        <f t="shared" ca="1" si="46"/>
        <v>36931.964403317856</v>
      </c>
      <c r="X80" s="7">
        <f t="shared" ca="1" si="46"/>
        <v>38039.923335417392</v>
      </c>
      <c r="Y80" s="7">
        <f t="shared" ca="1" si="46"/>
        <v>39181.121035479911</v>
      </c>
      <c r="Z80" s="7">
        <f t="shared" ca="1" si="46"/>
        <v>40356.554666544311</v>
      </c>
      <c r="AA80" s="7">
        <f t="shared" ca="1" si="46"/>
        <v>41567.251306540638</v>
      </c>
      <c r="AB80" s="7">
        <f t="shared" ca="1" si="46"/>
        <v>42814.268845736857</v>
      </c>
      <c r="AC80" s="7">
        <f t="shared" ca="1" si="46"/>
        <v>44098.696911108964</v>
      </c>
      <c r="AD80" s="7">
        <f t="shared" ca="1" si="46"/>
        <v>45421.657818442232</v>
      </c>
      <c r="AE80" s="7">
        <f t="shared" ca="1" si="46"/>
        <v>46784.307552995502</v>
      </c>
      <c r="AF80" s="7">
        <f t="shared" ca="1" si="46"/>
        <v>48187.83677958537</v>
      </c>
      <c r="AG80" s="7">
        <f t="shared" ca="1" si="46"/>
        <v>49633.471882972932</v>
      </c>
      <c r="AH80" s="7">
        <f t="shared" ca="1" si="46"/>
        <v>51122.476039462119</v>
      </c>
      <c r="AI80" s="7">
        <f t="shared" ca="1" si="46"/>
        <v>52656.150320645982</v>
      </c>
      <c r="AJ80" s="7">
        <f t="shared" ca="1" si="46"/>
        <v>54235.834830265361</v>
      </c>
      <c r="AK80" s="7">
        <f t="shared" ca="1" si="46"/>
        <v>55862.909875173325</v>
      </c>
      <c r="AL80" s="7">
        <f t="shared" ca="1" si="46"/>
        <v>57538.797171428523</v>
      </c>
      <c r="AM80" s="7">
        <f t="shared" ca="1" si="46"/>
        <v>59264.961086571384</v>
      </c>
    </row>
    <row r="81" spans="1:39" x14ac:dyDescent="0.2">
      <c r="A81" s="3" t="str">
        <f>TEXT(Inputs!$B$103,"")</f>
        <v>Boat</v>
      </c>
      <c r="C81" s="7">
        <f ca="1">Inputs!B104*(1+A4inc)^ProRate</f>
        <v>173206.90804157319</v>
      </c>
      <c r="D81" s="101">
        <f t="shared" ref="D81:AM81" ca="1" si="47">C81*(1+A4inc)</f>
        <v>164546.56263949451</v>
      </c>
      <c r="E81" s="110">
        <f t="shared" ca="1" si="47"/>
        <v>156319.23450751978</v>
      </c>
      <c r="F81" s="7">
        <f t="shared" ca="1" si="47"/>
        <v>148503.27278214379</v>
      </c>
      <c r="G81" s="7">
        <f t="shared" ca="1" si="47"/>
        <v>141078.10914303659</v>
      </c>
      <c r="H81" s="7">
        <f t="shared" ca="1" si="47"/>
        <v>134024.20368588474</v>
      </c>
      <c r="I81" s="7">
        <f t="shared" ca="1" si="47"/>
        <v>127322.99350159049</v>
      </c>
      <c r="J81" s="7">
        <f t="shared" ca="1" si="47"/>
        <v>120956.84382651096</v>
      </c>
      <c r="K81" s="7">
        <f t="shared" ca="1" si="47"/>
        <v>114909.0016351854</v>
      </c>
      <c r="L81" s="7">
        <f t="shared" ca="1" si="47"/>
        <v>109163.55155342612</v>
      </c>
      <c r="M81" s="7">
        <f t="shared" ca="1" si="47"/>
        <v>103705.37397575482</v>
      </c>
      <c r="N81" s="7">
        <f t="shared" ca="1" si="47"/>
        <v>98520.105276967079</v>
      </c>
      <c r="O81" s="7">
        <f t="shared" ca="1" si="47"/>
        <v>93594.100013118717</v>
      </c>
      <c r="P81" s="7">
        <f t="shared" ca="1" si="47"/>
        <v>88914.395012462774</v>
      </c>
      <c r="Q81" s="7">
        <f t="shared" ca="1" si="47"/>
        <v>84468.675261839628</v>
      </c>
      <c r="R81" s="7">
        <f t="shared" ca="1" si="47"/>
        <v>80245.241498747637</v>
      </c>
      <c r="S81" s="7">
        <f t="shared" ca="1" si="47"/>
        <v>76232.979423810248</v>
      </c>
      <c r="T81" s="7">
        <f t="shared" ca="1" si="47"/>
        <v>72421.330452619732</v>
      </c>
      <c r="U81" s="7">
        <f t="shared" ca="1" si="47"/>
        <v>68800.263929988738</v>
      </c>
      <c r="V81" s="7">
        <f t="shared" ca="1" si="47"/>
        <v>65360.250733489294</v>
      </c>
      <c r="W81" s="7">
        <f t="shared" ca="1" si="47"/>
        <v>62092.238196814826</v>
      </c>
      <c r="X81" s="7">
        <f t="shared" ca="1" si="47"/>
        <v>58987.626286974082</v>
      </c>
      <c r="Y81" s="7">
        <f t="shared" ca="1" si="47"/>
        <v>56038.244972625376</v>
      </c>
      <c r="Z81" s="7">
        <f t="shared" ca="1" si="47"/>
        <v>53236.332723994106</v>
      </c>
      <c r="AA81" s="7">
        <f t="shared" ca="1" si="47"/>
        <v>50574.5160877944</v>
      </c>
      <c r="AB81" s="7">
        <f t="shared" ca="1" si="47"/>
        <v>48045.790283404676</v>
      </c>
      <c r="AC81" s="7">
        <f t="shared" ca="1" si="47"/>
        <v>45643.500769234437</v>
      </c>
      <c r="AD81" s="7">
        <f t="shared" ca="1" si="47"/>
        <v>43361.325730772711</v>
      </c>
      <c r="AE81" s="7">
        <f t="shared" ca="1" si="47"/>
        <v>41193.259444234071</v>
      </c>
      <c r="AF81" s="7">
        <f t="shared" ca="1" si="47"/>
        <v>39133.596472022364</v>
      </c>
      <c r="AG81" s="7">
        <f t="shared" ca="1" si="47"/>
        <v>37176.916648421247</v>
      </c>
      <c r="AH81" s="7">
        <f t="shared" ca="1" si="47"/>
        <v>35318.070816000181</v>
      </c>
      <c r="AI81" s="7">
        <f t="shared" ca="1" si="47"/>
        <v>33552.167275200169</v>
      </c>
      <c r="AJ81" s="7">
        <f t="shared" ca="1" si="47"/>
        <v>31874.558911440159</v>
      </c>
      <c r="AK81" s="7">
        <f t="shared" ca="1" si="47"/>
        <v>30280.83096586815</v>
      </c>
      <c r="AL81" s="7">
        <f t="shared" ca="1" si="47"/>
        <v>28766.789417574742</v>
      </c>
      <c r="AM81" s="7">
        <f t="shared" ca="1" si="47"/>
        <v>27328.449946696004</v>
      </c>
    </row>
    <row r="82" spans="1:39" x14ac:dyDescent="0.2">
      <c r="A82" s="3" t="str">
        <f>TEXT(Inputs!$B$108,"")</f>
        <v>Antiques</v>
      </c>
      <c r="C82" s="7">
        <f ca="1">Inputs!B109*(1+A5inc)^ProRate</f>
        <v>83226.9503404141</v>
      </c>
      <c r="D82" s="101">
        <f t="shared" ref="D82:AM82" ca="1" si="48">C82*(1+A5inc)</f>
        <v>84891.489347222378</v>
      </c>
      <c r="E82" s="110">
        <f t="shared" ca="1" si="48"/>
        <v>86589.319134166828</v>
      </c>
      <c r="F82" s="7">
        <f t="shared" ca="1" si="48"/>
        <v>88321.105516850163</v>
      </c>
      <c r="G82" s="7">
        <f t="shared" ca="1" si="48"/>
        <v>90087.52762718717</v>
      </c>
      <c r="H82" s="7">
        <f t="shared" ca="1" si="48"/>
        <v>91889.278179730914</v>
      </c>
      <c r="I82" s="7">
        <f t="shared" ca="1" si="48"/>
        <v>93727.063743325532</v>
      </c>
      <c r="J82" s="7">
        <f t="shared" ca="1" si="48"/>
        <v>95601.605018192044</v>
      </c>
      <c r="K82" s="7">
        <f t="shared" ca="1" si="48"/>
        <v>97513.637118555882</v>
      </c>
      <c r="L82" s="7">
        <f t="shared" ca="1" si="48"/>
        <v>99463.909860927</v>
      </c>
      <c r="M82" s="7">
        <f t="shared" ca="1" si="48"/>
        <v>101453.18805814555</v>
      </c>
      <c r="N82" s="7">
        <f t="shared" ca="1" si="48"/>
        <v>103482.25181930845</v>
      </c>
      <c r="O82" s="7">
        <f t="shared" ca="1" si="48"/>
        <v>105551.89685569462</v>
      </c>
      <c r="P82" s="7">
        <f t="shared" ca="1" si="48"/>
        <v>107662.93479280852</v>
      </c>
      <c r="Q82" s="7">
        <f t="shared" ca="1" si="48"/>
        <v>109816.19348866469</v>
      </c>
      <c r="R82" s="7">
        <f t="shared" ca="1" si="48"/>
        <v>112012.51735843798</v>
      </c>
      <c r="S82" s="7">
        <f t="shared" ca="1" si="48"/>
        <v>114252.76770560675</v>
      </c>
      <c r="T82" s="7">
        <f t="shared" ca="1" si="48"/>
        <v>116537.82305971888</v>
      </c>
      <c r="U82" s="7">
        <f t="shared" ca="1" si="48"/>
        <v>118868.57952091326</v>
      </c>
      <c r="V82" s="7">
        <f t="shared" ca="1" si="48"/>
        <v>121245.95111133152</v>
      </c>
      <c r="W82" s="7">
        <f t="shared" ca="1" si="48"/>
        <v>123670.87013355816</v>
      </c>
      <c r="X82" s="7">
        <f t="shared" ca="1" si="48"/>
        <v>126144.28753622933</v>
      </c>
      <c r="Y82" s="7">
        <f t="shared" ca="1" si="48"/>
        <v>128667.17328695391</v>
      </c>
      <c r="Z82" s="7">
        <f t="shared" ca="1" si="48"/>
        <v>131240.51675269299</v>
      </c>
      <c r="AA82" s="7">
        <f t="shared" ca="1" si="48"/>
        <v>133865.32708774685</v>
      </c>
      <c r="AB82" s="7">
        <f t="shared" ca="1" si="48"/>
        <v>136542.6336295018</v>
      </c>
      <c r="AC82" s="7">
        <f t="shared" ca="1" si="48"/>
        <v>139273.48630209183</v>
      </c>
      <c r="AD82" s="7">
        <f t="shared" ca="1" si="48"/>
        <v>142058.95602813366</v>
      </c>
      <c r="AE82" s="7">
        <f t="shared" ca="1" si="48"/>
        <v>144900.13514869634</v>
      </c>
      <c r="AF82" s="7">
        <f t="shared" ca="1" si="48"/>
        <v>147798.13785167027</v>
      </c>
      <c r="AG82" s="7">
        <f t="shared" ca="1" si="48"/>
        <v>150754.10060870368</v>
      </c>
      <c r="AH82" s="7">
        <f t="shared" ca="1" si="48"/>
        <v>153769.18262087775</v>
      </c>
      <c r="AI82" s="7">
        <f t="shared" ca="1" si="48"/>
        <v>156844.56627329532</v>
      </c>
      <c r="AJ82" s="7">
        <f t="shared" ca="1" si="48"/>
        <v>159981.45759876122</v>
      </c>
      <c r="AK82" s="7">
        <f t="shared" ca="1" si="48"/>
        <v>163181.08675073646</v>
      </c>
      <c r="AL82" s="7">
        <f t="shared" ca="1" si="48"/>
        <v>166444.70848575118</v>
      </c>
      <c r="AM82" s="7">
        <f t="shared" ca="1" si="48"/>
        <v>169773.60265546621</v>
      </c>
    </row>
    <row r="83" spans="1:39" x14ac:dyDescent="0.2">
      <c r="A83" s="4" t="s">
        <v>11</v>
      </c>
      <c r="C83" s="7">
        <f ca="1">Inputs!B10*(1+stinc)^ProRate+C60*(1+stinc)^(ProRate/2)</f>
        <v>35024.809122913313</v>
      </c>
      <c r="D83" s="101">
        <f ca="1">C83*(1+IF(AND(Inputs!$B$229&lt;&gt;"",D$2=Inputs!$B$229),-Inputs!$B$230,IF(AND(Inputs!$B$229&lt;&gt;"",D$2&gt;Inputs!$B$229,D$2&lt;=Inputs!$B$229+Inputs!$B$231),(1/(1-Inputs!$B$230))^(1/Inputs!$B$231)-1,IF(AND(Inputs!$B$234&lt;&gt;"",D$2=Inputs!$B$234),-Inputs!$B$235,IF(AND(Inputs!$B$234&lt;&gt;"",D$2&gt;Inputs!$B$234,D$2&lt;=Inputs!$B$234+Inputs!$B$236),(1/(1-Inputs!$B$235))^(1/Inputs!$B$236)-1,IF(AND(Inputs!$B$239&lt;&gt;"",D$2=Inputs!$B$239),-Inputs!$B$240,IF(AND(Inputs!$B$239&lt;&gt;"",D$2&gt;Inputs!$B$239,D$2&lt;=Inputs!$B$239+Inputs!$B$241),(1/(1-Inputs!$B$240))^(1/Inputs!$B$241)-1,IF(AND(Inputs!$B$244&lt;&gt;"",D$2=Inputs!$B$244),-Inputs!$B$245,IF(AND(Inputs!$B$244&lt;&gt;"",D$2&gt;Inputs!$B$244,D$2&lt;=Inputs!$B$244+Inputs!$B$246),(1/(1-Inputs!$B$245))^(1/Inputs!$B$246)-1,IF(AND(Inputs!$B$249&lt;&gt;"",D$2=Inputs!$B$249),-Inputs!$B$250,IF(AND(Inputs!$B$249&lt;&gt;"",D$2&gt;Inputs!$B$249,D$2&lt;=Inputs!$B$249+Inputs!$B$251),(1/(1-Inputs!$B$250))^(1/Inputs!$B$251)-1,stinc)))))))))))+D60*SQRT(MAX(1+IF(AND(Inputs!$B$229&lt;&gt;"",D$2=Inputs!$B$229),-Inputs!$B$230,IF(AND(Inputs!$B$229&lt;&gt;"",D$2&gt;Inputs!$B$229,D$2&lt;=Inputs!$B$229+Inputs!$B$231),(1/(1-Inputs!$B$230))^(1/Inputs!$B$231)-1,IF(AND(Inputs!$B$234&lt;&gt;"",D$2=Inputs!$B$234),-Inputs!$B$235,IF(AND(Inputs!$B$234&lt;&gt;"",D$2&gt;Inputs!$B$234,D$2&lt;=Inputs!$B$234+Inputs!$B$236),(1/(1-Inputs!$B$235))^(1/Inputs!$B$236)-1,IF(AND(Inputs!$B$239&lt;&gt;"",D$2=Inputs!$B$239),-Inputs!$B$240,IF(AND(Inputs!$B$239&lt;&gt;"",D$2&gt;Inputs!$B$239,D$2&lt;=Inputs!$B$239+Inputs!$B$241),(1/(1-Inputs!$B$240))^(1/Inputs!$B$241)-1,IF(AND(Inputs!$B$244&lt;&gt;"",D$2=Inputs!$B$244),-Inputs!$B$245,IF(AND(Inputs!$B$244&lt;&gt;"",D$2&gt;Inputs!$B$244,D$2&lt;=Inputs!$B$244+Inputs!$B$246),(1/(1-Inputs!$B$245))^(1/Inputs!$B$246)-1,IF(AND(Inputs!$B$249&lt;&gt;"",D$2=Inputs!$B$249),-Inputs!$B$250,IF(AND(Inputs!$B$249&lt;&gt;"",D$2&gt;Inputs!$B$249,D$2&lt;=Inputs!$B$249+Inputs!$B$251),(1/(1-Inputs!$B$250))^(1/Inputs!$B$251)-1,stinc)))))))))),0))</f>
        <v>29771.087754476317</v>
      </c>
      <c r="E83" s="110">
        <f ca="1">D83*(1+IF(AND(Inputs!$B$229&lt;&gt;"",E$2=Inputs!$B$229),-Inputs!$B$230,IF(AND(Inputs!$B$229&lt;&gt;"",E$2&gt;Inputs!$B$229,E$2&lt;=Inputs!$B$229+Inputs!$B$231),(1/(1-Inputs!$B$230))^(1/Inputs!$B$231)-1,IF(AND(Inputs!$B$234&lt;&gt;"",E$2=Inputs!$B$234),-Inputs!$B$235,IF(AND(Inputs!$B$234&lt;&gt;"",E$2&gt;Inputs!$B$234,E$2&lt;=Inputs!$B$234+Inputs!$B$236),(1/(1-Inputs!$B$235))^(1/Inputs!$B$236)-1,IF(AND(Inputs!$B$239&lt;&gt;"",E$2=Inputs!$B$239),-Inputs!$B$240,IF(AND(Inputs!$B$239&lt;&gt;"",E$2&gt;Inputs!$B$239,E$2&lt;=Inputs!$B$239+Inputs!$B$241),(1/(1-Inputs!$B$240))^(1/Inputs!$B$241)-1,IF(AND(Inputs!$B$244&lt;&gt;"",E$2=Inputs!$B$244),-Inputs!$B$245,IF(AND(Inputs!$B$244&lt;&gt;"",E$2&gt;Inputs!$B$244,E$2&lt;=Inputs!$B$244+Inputs!$B$246),(1/(1-Inputs!$B$245))^(1/Inputs!$B$246)-1,IF(AND(Inputs!$B$249&lt;&gt;"",E$2=Inputs!$B$249),-Inputs!$B$250,IF(AND(Inputs!$B$249&lt;&gt;"",E$2&gt;Inputs!$B$249,E$2&lt;=Inputs!$B$249+Inputs!$B$251),(1/(1-Inputs!$B$250))^(1/Inputs!$B$251)-1,stinc)))))))))))+E60*SQRT(MAX(1+IF(AND(Inputs!$B$229&lt;&gt;"",E$2=Inputs!$B$229),-Inputs!$B$230,IF(AND(Inputs!$B$229&lt;&gt;"",E$2&gt;Inputs!$B$229,E$2&lt;=Inputs!$B$229+Inputs!$B$231),(1/(1-Inputs!$B$230))^(1/Inputs!$B$231)-1,IF(AND(Inputs!$B$234&lt;&gt;"",E$2=Inputs!$B$234),-Inputs!$B$235,IF(AND(Inputs!$B$234&lt;&gt;"",E$2&gt;Inputs!$B$234,E$2&lt;=Inputs!$B$234+Inputs!$B$236),(1/(1-Inputs!$B$235))^(1/Inputs!$B$236)-1,IF(AND(Inputs!$B$239&lt;&gt;"",E$2=Inputs!$B$239),-Inputs!$B$240,IF(AND(Inputs!$B$239&lt;&gt;"",E$2&gt;Inputs!$B$239,E$2&lt;=Inputs!$B$239+Inputs!$B$241),(1/(1-Inputs!$B$240))^(1/Inputs!$B$241)-1,IF(AND(Inputs!$B$244&lt;&gt;"",E$2=Inputs!$B$244),-Inputs!$B$245,IF(AND(Inputs!$B$244&lt;&gt;"",E$2&gt;Inputs!$B$244,E$2&lt;=Inputs!$B$244+Inputs!$B$246),(1/(1-Inputs!$B$245))^(1/Inputs!$B$246)-1,IF(AND(Inputs!$B$249&lt;&gt;"",E$2=Inputs!$B$249),-Inputs!$B$250,IF(AND(Inputs!$B$249&lt;&gt;"",E$2&gt;Inputs!$B$249,E$2&lt;=Inputs!$B$249+Inputs!$B$251),(1/(1-Inputs!$B$250))^(1/Inputs!$B$251)-1,stinc)))))))))),0))</f>
        <v>35024.809122913313</v>
      </c>
      <c r="F83" s="7">
        <f ca="1">E83*(1+IF(AND(Inputs!$B$229&lt;&gt;"",F$2=Inputs!$B$229),-Inputs!$B$230,IF(AND(Inputs!$B$229&lt;&gt;"",F$2&gt;Inputs!$B$229,F$2&lt;=Inputs!$B$229+Inputs!$B$231),(1/(1-Inputs!$B$230))^(1/Inputs!$B$231)-1,IF(AND(Inputs!$B$234&lt;&gt;"",F$2=Inputs!$B$234),-Inputs!$B$235,IF(AND(Inputs!$B$234&lt;&gt;"",F$2&gt;Inputs!$B$234,F$2&lt;=Inputs!$B$234+Inputs!$B$236),(1/(1-Inputs!$B$235))^(1/Inputs!$B$236)-1,IF(AND(Inputs!$B$239&lt;&gt;"",F$2=Inputs!$B$239),-Inputs!$B$240,IF(AND(Inputs!$B$239&lt;&gt;"",F$2&gt;Inputs!$B$239,F$2&lt;=Inputs!$B$239+Inputs!$B$241),(1/(1-Inputs!$B$240))^(1/Inputs!$B$241)-1,IF(AND(Inputs!$B$244&lt;&gt;"",F$2=Inputs!$B$244),-Inputs!$B$245,IF(AND(Inputs!$B$244&lt;&gt;"",F$2&gt;Inputs!$B$244,F$2&lt;=Inputs!$B$244+Inputs!$B$246),(1/(1-Inputs!$B$245))^(1/Inputs!$B$246)-1,IF(AND(Inputs!$B$249&lt;&gt;"",F$2=Inputs!$B$249),-Inputs!$B$250,IF(AND(Inputs!$B$249&lt;&gt;"",F$2&gt;Inputs!$B$249,F$2&lt;=Inputs!$B$249+Inputs!$B$251),(1/(1-Inputs!$B$250))^(1/Inputs!$B$251)-1,stinc)))))))))))+F60*SQRT(MAX(1+IF(AND(Inputs!$B$229&lt;&gt;"",F$2=Inputs!$B$229),-Inputs!$B$230,IF(AND(Inputs!$B$229&lt;&gt;"",F$2&gt;Inputs!$B$229,F$2&lt;=Inputs!$B$229+Inputs!$B$231),(1/(1-Inputs!$B$230))^(1/Inputs!$B$231)-1,IF(AND(Inputs!$B$234&lt;&gt;"",F$2=Inputs!$B$234),-Inputs!$B$235,IF(AND(Inputs!$B$234&lt;&gt;"",F$2&gt;Inputs!$B$234,F$2&lt;=Inputs!$B$234+Inputs!$B$236),(1/(1-Inputs!$B$235))^(1/Inputs!$B$236)-1,IF(AND(Inputs!$B$239&lt;&gt;"",F$2=Inputs!$B$239),-Inputs!$B$240,IF(AND(Inputs!$B$239&lt;&gt;"",F$2&gt;Inputs!$B$239,F$2&lt;=Inputs!$B$239+Inputs!$B$241),(1/(1-Inputs!$B$240))^(1/Inputs!$B$241)-1,IF(AND(Inputs!$B$244&lt;&gt;"",F$2=Inputs!$B$244),-Inputs!$B$245,IF(AND(Inputs!$B$244&lt;&gt;"",F$2&gt;Inputs!$B$244,F$2&lt;=Inputs!$B$244+Inputs!$B$246),(1/(1-Inputs!$B$245))^(1/Inputs!$B$246)-1,IF(AND(Inputs!$B$249&lt;&gt;"",F$2=Inputs!$B$249),-Inputs!$B$250,IF(AND(Inputs!$B$249&lt;&gt;"",F$2&gt;Inputs!$B$249,F$2&lt;=Inputs!$B$249+Inputs!$B$251),(1/(1-Inputs!$B$250))^(1/Inputs!$B$251)-1,stinc)))))))))),0))</f>
        <v>37826.793852746378</v>
      </c>
      <c r="G83" s="7">
        <f ca="1">F83*(1+IF(AND(Inputs!$B$229&lt;&gt;"",G$2=Inputs!$B$229),-Inputs!$B$230,IF(AND(Inputs!$B$229&lt;&gt;"",G$2&gt;Inputs!$B$229,G$2&lt;=Inputs!$B$229+Inputs!$B$231),(1/(1-Inputs!$B$230))^(1/Inputs!$B$231)-1,IF(AND(Inputs!$B$234&lt;&gt;"",G$2=Inputs!$B$234),-Inputs!$B$235,IF(AND(Inputs!$B$234&lt;&gt;"",G$2&gt;Inputs!$B$234,G$2&lt;=Inputs!$B$234+Inputs!$B$236),(1/(1-Inputs!$B$235))^(1/Inputs!$B$236)-1,IF(AND(Inputs!$B$239&lt;&gt;"",G$2=Inputs!$B$239),-Inputs!$B$240,IF(AND(Inputs!$B$239&lt;&gt;"",G$2&gt;Inputs!$B$239,G$2&lt;=Inputs!$B$239+Inputs!$B$241),(1/(1-Inputs!$B$240))^(1/Inputs!$B$241)-1,IF(AND(Inputs!$B$244&lt;&gt;"",G$2=Inputs!$B$244),-Inputs!$B$245,IF(AND(Inputs!$B$244&lt;&gt;"",G$2&gt;Inputs!$B$244,G$2&lt;=Inputs!$B$244+Inputs!$B$246),(1/(1-Inputs!$B$245))^(1/Inputs!$B$246)-1,IF(AND(Inputs!$B$249&lt;&gt;"",G$2=Inputs!$B$249),-Inputs!$B$250,IF(AND(Inputs!$B$249&lt;&gt;"",G$2&gt;Inputs!$B$249,G$2&lt;=Inputs!$B$249+Inputs!$B$251),(1/(1-Inputs!$B$250))^(1/Inputs!$B$251)-1,stinc)))))))))))+G60*SQRT(MAX(1+IF(AND(Inputs!$B$229&lt;&gt;"",G$2=Inputs!$B$229),-Inputs!$B$230,IF(AND(Inputs!$B$229&lt;&gt;"",G$2&gt;Inputs!$B$229,G$2&lt;=Inputs!$B$229+Inputs!$B$231),(1/(1-Inputs!$B$230))^(1/Inputs!$B$231)-1,IF(AND(Inputs!$B$234&lt;&gt;"",G$2=Inputs!$B$234),-Inputs!$B$235,IF(AND(Inputs!$B$234&lt;&gt;"",G$2&gt;Inputs!$B$234,G$2&lt;=Inputs!$B$234+Inputs!$B$236),(1/(1-Inputs!$B$235))^(1/Inputs!$B$236)-1,IF(AND(Inputs!$B$239&lt;&gt;"",G$2=Inputs!$B$239),-Inputs!$B$240,IF(AND(Inputs!$B$239&lt;&gt;"",G$2&gt;Inputs!$B$239,G$2&lt;=Inputs!$B$239+Inputs!$B$241),(1/(1-Inputs!$B$240))^(1/Inputs!$B$241)-1,IF(AND(Inputs!$B$244&lt;&gt;"",G$2=Inputs!$B$244),-Inputs!$B$245,IF(AND(Inputs!$B$244&lt;&gt;"",G$2&gt;Inputs!$B$244,G$2&lt;=Inputs!$B$244+Inputs!$B$246),(1/(1-Inputs!$B$245))^(1/Inputs!$B$246)-1,IF(AND(Inputs!$B$249&lt;&gt;"",G$2=Inputs!$B$249),-Inputs!$B$250,IF(AND(Inputs!$B$249&lt;&gt;"",G$2&gt;Inputs!$B$249,G$2&lt;=Inputs!$B$249+Inputs!$B$251),(1/(1-Inputs!$B$250))^(1/Inputs!$B$251)-1,stinc)))))))))),0))</f>
        <v>40852.937360966091</v>
      </c>
      <c r="H83" s="7">
        <f ca="1">G83*(1+IF(AND(Inputs!$B$229&lt;&gt;"",H$2=Inputs!$B$229),-Inputs!$B$230,IF(AND(Inputs!$B$229&lt;&gt;"",H$2&gt;Inputs!$B$229,H$2&lt;=Inputs!$B$229+Inputs!$B$231),(1/(1-Inputs!$B$230))^(1/Inputs!$B$231)-1,IF(AND(Inputs!$B$234&lt;&gt;"",H$2=Inputs!$B$234),-Inputs!$B$235,IF(AND(Inputs!$B$234&lt;&gt;"",H$2&gt;Inputs!$B$234,H$2&lt;=Inputs!$B$234+Inputs!$B$236),(1/(1-Inputs!$B$235))^(1/Inputs!$B$236)-1,IF(AND(Inputs!$B$239&lt;&gt;"",H$2=Inputs!$B$239),-Inputs!$B$240,IF(AND(Inputs!$B$239&lt;&gt;"",H$2&gt;Inputs!$B$239,H$2&lt;=Inputs!$B$239+Inputs!$B$241),(1/(1-Inputs!$B$240))^(1/Inputs!$B$241)-1,IF(AND(Inputs!$B$244&lt;&gt;"",H$2=Inputs!$B$244),-Inputs!$B$245,IF(AND(Inputs!$B$244&lt;&gt;"",H$2&gt;Inputs!$B$244,H$2&lt;=Inputs!$B$244+Inputs!$B$246),(1/(1-Inputs!$B$245))^(1/Inputs!$B$246)-1,IF(AND(Inputs!$B$249&lt;&gt;"",H$2=Inputs!$B$249),-Inputs!$B$250,IF(AND(Inputs!$B$249&lt;&gt;"",H$2&gt;Inputs!$B$249,H$2&lt;=Inputs!$B$249+Inputs!$B$251),(1/(1-Inputs!$B$250))^(1/Inputs!$B$251)-1,stinc)))))))))))+H60*SQRT(MAX(1+IF(AND(Inputs!$B$229&lt;&gt;"",H$2=Inputs!$B$229),-Inputs!$B$230,IF(AND(Inputs!$B$229&lt;&gt;"",H$2&gt;Inputs!$B$229,H$2&lt;=Inputs!$B$229+Inputs!$B$231),(1/(1-Inputs!$B$230))^(1/Inputs!$B$231)-1,IF(AND(Inputs!$B$234&lt;&gt;"",H$2=Inputs!$B$234),-Inputs!$B$235,IF(AND(Inputs!$B$234&lt;&gt;"",H$2&gt;Inputs!$B$234,H$2&lt;=Inputs!$B$234+Inputs!$B$236),(1/(1-Inputs!$B$235))^(1/Inputs!$B$236)-1,IF(AND(Inputs!$B$239&lt;&gt;"",H$2=Inputs!$B$239),-Inputs!$B$240,IF(AND(Inputs!$B$239&lt;&gt;"",H$2&gt;Inputs!$B$239,H$2&lt;=Inputs!$B$239+Inputs!$B$241),(1/(1-Inputs!$B$240))^(1/Inputs!$B$241)-1,IF(AND(Inputs!$B$244&lt;&gt;"",H$2=Inputs!$B$244),-Inputs!$B$245,IF(AND(Inputs!$B$244&lt;&gt;"",H$2&gt;Inputs!$B$244,H$2&lt;=Inputs!$B$244+Inputs!$B$246),(1/(1-Inputs!$B$245))^(1/Inputs!$B$246)-1,IF(AND(Inputs!$B$249&lt;&gt;"",H$2=Inputs!$B$249),-Inputs!$B$250,IF(AND(Inputs!$B$249&lt;&gt;"",H$2&gt;Inputs!$B$249,H$2&lt;=Inputs!$B$249+Inputs!$B$251),(1/(1-Inputs!$B$250))^(1/Inputs!$B$251)-1,stinc)))))))))),0))</f>
        <v>44121.172349843378</v>
      </c>
      <c r="I83" s="7">
        <f ca="1">H83*(1+IF(AND(Inputs!$B$229&lt;&gt;"",I$2=Inputs!$B$229),-Inputs!$B$230,IF(AND(Inputs!$B$229&lt;&gt;"",I$2&gt;Inputs!$B$229,I$2&lt;=Inputs!$B$229+Inputs!$B$231),(1/(1-Inputs!$B$230))^(1/Inputs!$B$231)-1,IF(AND(Inputs!$B$234&lt;&gt;"",I$2=Inputs!$B$234),-Inputs!$B$235,IF(AND(Inputs!$B$234&lt;&gt;"",I$2&gt;Inputs!$B$234,I$2&lt;=Inputs!$B$234+Inputs!$B$236),(1/(1-Inputs!$B$235))^(1/Inputs!$B$236)-1,IF(AND(Inputs!$B$239&lt;&gt;"",I$2=Inputs!$B$239),-Inputs!$B$240,IF(AND(Inputs!$B$239&lt;&gt;"",I$2&gt;Inputs!$B$239,I$2&lt;=Inputs!$B$239+Inputs!$B$241),(1/(1-Inputs!$B$240))^(1/Inputs!$B$241)-1,IF(AND(Inputs!$B$244&lt;&gt;"",I$2=Inputs!$B$244),-Inputs!$B$245,IF(AND(Inputs!$B$244&lt;&gt;"",I$2&gt;Inputs!$B$244,I$2&lt;=Inputs!$B$244+Inputs!$B$246),(1/(1-Inputs!$B$245))^(1/Inputs!$B$246)-1,IF(AND(Inputs!$B$249&lt;&gt;"",I$2=Inputs!$B$249),-Inputs!$B$250,IF(AND(Inputs!$B$249&lt;&gt;"",I$2&gt;Inputs!$B$249,I$2&lt;=Inputs!$B$249+Inputs!$B$251),(1/(1-Inputs!$B$250))^(1/Inputs!$B$251)-1,stinc)))))))))))+I60*SQRT(MAX(1+IF(AND(Inputs!$B$229&lt;&gt;"",I$2=Inputs!$B$229),-Inputs!$B$230,IF(AND(Inputs!$B$229&lt;&gt;"",I$2&gt;Inputs!$B$229,I$2&lt;=Inputs!$B$229+Inputs!$B$231),(1/(1-Inputs!$B$230))^(1/Inputs!$B$231)-1,IF(AND(Inputs!$B$234&lt;&gt;"",I$2=Inputs!$B$234),-Inputs!$B$235,IF(AND(Inputs!$B$234&lt;&gt;"",I$2&gt;Inputs!$B$234,I$2&lt;=Inputs!$B$234+Inputs!$B$236),(1/(1-Inputs!$B$235))^(1/Inputs!$B$236)-1,IF(AND(Inputs!$B$239&lt;&gt;"",I$2=Inputs!$B$239),-Inputs!$B$240,IF(AND(Inputs!$B$239&lt;&gt;"",I$2&gt;Inputs!$B$239,I$2&lt;=Inputs!$B$239+Inputs!$B$241),(1/(1-Inputs!$B$240))^(1/Inputs!$B$241)-1,IF(AND(Inputs!$B$244&lt;&gt;"",I$2=Inputs!$B$244),-Inputs!$B$245,IF(AND(Inputs!$B$244&lt;&gt;"",I$2&gt;Inputs!$B$244,I$2&lt;=Inputs!$B$244+Inputs!$B$246),(1/(1-Inputs!$B$245))^(1/Inputs!$B$246)-1,IF(AND(Inputs!$B$249&lt;&gt;"",I$2=Inputs!$B$249),-Inputs!$B$250,IF(AND(Inputs!$B$249&lt;&gt;"",I$2&gt;Inputs!$B$249,I$2&lt;=Inputs!$B$249+Inputs!$B$251),(1/(1-Inputs!$B$250))^(1/Inputs!$B$251)-1,stinc)))))))))),0))</f>
        <v>35296.937879874706</v>
      </c>
      <c r="J83" s="7">
        <f ca="1">I83*(1+IF(AND(Inputs!$B$229&lt;&gt;"",J$2=Inputs!$B$229),-Inputs!$B$230,IF(AND(Inputs!$B$229&lt;&gt;"",J$2&gt;Inputs!$B$229,J$2&lt;=Inputs!$B$229+Inputs!$B$231),(1/(1-Inputs!$B$230))^(1/Inputs!$B$231)-1,IF(AND(Inputs!$B$234&lt;&gt;"",J$2=Inputs!$B$234),-Inputs!$B$235,IF(AND(Inputs!$B$234&lt;&gt;"",J$2&gt;Inputs!$B$234,J$2&lt;=Inputs!$B$234+Inputs!$B$236),(1/(1-Inputs!$B$235))^(1/Inputs!$B$236)-1,IF(AND(Inputs!$B$239&lt;&gt;"",J$2=Inputs!$B$239),-Inputs!$B$240,IF(AND(Inputs!$B$239&lt;&gt;"",J$2&gt;Inputs!$B$239,J$2&lt;=Inputs!$B$239+Inputs!$B$241),(1/(1-Inputs!$B$240))^(1/Inputs!$B$241)-1,IF(AND(Inputs!$B$244&lt;&gt;"",J$2=Inputs!$B$244),-Inputs!$B$245,IF(AND(Inputs!$B$244&lt;&gt;"",J$2&gt;Inputs!$B$244,J$2&lt;=Inputs!$B$244+Inputs!$B$246),(1/(1-Inputs!$B$245))^(1/Inputs!$B$246)-1,IF(AND(Inputs!$B$249&lt;&gt;"",J$2=Inputs!$B$249),-Inputs!$B$250,IF(AND(Inputs!$B$249&lt;&gt;"",J$2&gt;Inputs!$B$249,J$2&lt;=Inputs!$B$249+Inputs!$B$251),(1/(1-Inputs!$B$250))^(1/Inputs!$B$251)-1,stinc)))))))))))+J60*SQRT(MAX(1+IF(AND(Inputs!$B$229&lt;&gt;"",J$2=Inputs!$B$229),-Inputs!$B$230,IF(AND(Inputs!$B$229&lt;&gt;"",J$2&gt;Inputs!$B$229,J$2&lt;=Inputs!$B$229+Inputs!$B$231),(1/(1-Inputs!$B$230))^(1/Inputs!$B$231)-1,IF(AND(Inputs!$B$234&lt;&gt;"",J$2=Inputs!$B$234),-Inputs!$B$235,IF(AND(Inputs!$B$234&lt;&gt;"",J$2&gt;Inputs!$B$234,J$2&lt;=Inputs!$B$234+Inputs!$B$236),(1/(1-Inputs!$B$235))^(1/Inputs!$B$236)-1,IF(AND(Inputs!$B$239&lt;&gt;"",J$2=Inputs!$B$239),-Inputs!$B$240,IF(AND(Inputs!$B$239&lt;&gt;"",J$2&gt;Inputs!$B$239,J$2&lt;=Inputs!$B$239+Inputs!$B$241),(1/(1-Inputs!$B$240))^(1/Inputs!$B$241)-1,IF(AND(Inputs!$B$244&lt;&gt;"",J$2=Inputs!$B$244),-Inputs!$B$245,IF(AND(Inputs!$B$244&lt;&gt;"",J$2&gt;Inputs!$B$244,J$2&lt;=Inputs!$B$244+Inputs!$B$246),(1/(1-Inputs!$B$245))^(1/Inputs!$B$246)-1,IF(AND(Inputs!$B$249&lt;&gt;"",J$2=Inputs!$B$249),-Inputs!$B$250,IF(AND(Inputs!$B$249&lt;&gt;"",J$2&gt;Inputs!$B$249,J$2&lt;=Inputs!$B$249+Inputs!$B$251),(1/(1-Inputs!$B$250))^(1/Inputs!$B$251)-1,stinc)))))))))),0))</f>
        <v>38022.473710151258</v>
      </c>
      <c r="K83" s="7">
        <f ca="1">J83*(1+IF(AND(Inputs!$B$229&lt;&gt;"",K$2=Inputs!$B$229),-Inputs!$B$230,IF(AND(Inputs!$B$229&lt;&gt;"",K$2&gt;Inputs!$B$229,K$2&lt;=Inputs!$B$229+Inputs!$B$231),(1/(1-Inputs!$B$230))^(1/Inputs!$B$231)-1,IF(AND(Inputs!$B$234&lt;&gt;"",K$2=Inputs!$B$234),-Inputs!$B$235,IF(AND(Inputs!$B$234&lt;&gt;"",K$2&gt;Inputs!$B$234,K$2&lt;=Inputs!$B$234+Inputs!$B$236),(1/(1-Inputs!$B$235))^(1/Inputs!$B$236)-1,IF(AND(Inputs!$B$239&lt;&gt;"",K$2=Inputs!$B$239),-Inputs!$B$240,IF(AND(Inputs!$B$239&lt;&gt;"",K$2&gt;Inputs!$B$239,K$2&lt;=Inputs!$B$239+Inputs!$B$241),(1/(1-Inputs!$B$240))^(1/Inputs!$B$241)-1,IF(AND(Inputs!$B$244&lt;&gt;"",K$2=Inputs!$B$244),-Inputs!$B$245,IF(AND(Inputs!$B$244&lt;&gt;"",K$2&gt;Inputs!$B$244,K$2&lt;=Inputs!$B$244+Inputs!$B$246),(1/(1-Inputs!$B$245))^(1/Inputs!$B$246)-1,IF(AND(Inputs!$B$249&lt;&gt;"",K$2=Inputs!$B$249),-Inputs!$B$250,IF(AND(Inputs!$B$249&lt;&gt;"",K$2&gt;Inputs!$B$249,K$2&lt;=Inputs!$B$249+Inputs!$B$251),(1/(1-Inputs!$B$250))^(1/Inputs!$B$251)-1,stinc)))))))))))+K60*SQRT(MAX(1+IF(AND(Inputs!$B$229&lt;&gt;"",K$2=Inputs!$B$229),-Inputs!$B$230,IF(AND(Inputs!$B$229&lt;&gt;"",K$2&gt;Inputs!$B$229,K$2&lt;=Inputs!$B$229+Inputs!$B$231),(1/(1-Inputs!$B$230))^(1/Inputs!$B$231)-1,IF(AND(Inputs!$B$234&lt;&gt;"",K$2=Inputs!$B$234),-Inputs!$B$235,IF(AND(Inputs!$B$234&lt;&gt;"",K$2&gt;Inputs!$B$234,K$2&lt;=Inputs!$B$234+Inputs!$B$236),(1/(1-Inputs!$B$235))^(1/Inputs!$B$236)-1,IF(AND(Inputs!$B$239&lt;&gt;"",K$2=Inputs!$B$239),-Inputs!$B$240,IF(AND(Inputs!$B$239&lt;&gt;"",K$2&gt;Inputs!$B$239,K$2&lt;=Inputs!$B$239+Inputs!$B$241),(1/(1-Inputs!$B$240))^(1/Inputs!$B$241)-1,IF(AND(Inputs!$B$244&lt;&gt;"",K$2=Inputs!$B$244),-Inputs!$B$245,IF(AND(Inputs!$B$244&lt;&gt;"",K$2&gt;Inputs!$B$244,K$2&lt;=Inputs!$B$244+Inputs!$B$246),(1/(1-Inputs!$B$245))^(1/Inputs!$B$246)-1,IF(AND(Inputs!$B$249&lt;&gt;"",K$2=Inputs!$B$249),-Inputs!$B$250,IF(AND(Inputs!$B$249&lt;&gt;"",K$2&gt;Inputs!$B$249,K$2&lt;=Inputs!$B$249+Inputs!$B$251),(1/(1-Inputs!$B$250))^(1/Inputs!$B$251)-1,stinc)))))))))),0))</f>
        <v>40958.468180987591</v>
      </c>
      <c r="L83" s="7">
        <f ca="1">K83*(1+IF(AND(Inputs!$B$229&lt;&gt;"",L$2=Inputs!$B$229),-Inputs!$B$230,IF(AND(Inputs!$B$229&lt;&gt;"",L$2&gt;Inputs!$B$229,L$2&lt;=Inputs!$B$229+Inputs!$B$231),(1/(1-Inputs!$B$230))^(1/Inputs!$B$231)-1,IF(AND(Inputs!$B$234&lt;&gt;"",L$2=Inputs!$B$234),-Inputs!$B$235,IF(AND(Inputs!$B$234&lt;&gt;"",L$2&gt;Inputs!$B$234,L$2&lt;=Inputs!$B$234+Inputs!$B$236),(1/(1-Inputs!$B$235))^(1/Inputs!$B$236)-1,IF(AND(Inputs!$B$239&lt;&gt;"",L$2=Inputs!$B$239),-Inputs!$B$240,IF(AND(Inputs!$B$239&lt;&gt;"",L$2&gt;Inputs!$B$239,L$2&lt;=Inputs!$B$239+Inputs!$B$241),(1/(1-Inputs!$B$240))^(1/Inputs!$B$241)-1,IF(AND(Inputs!$B$244&lt;&gt;"",L$2=Inputs!$B$244),-Inputs!$B$245,IF(AND(Inputs!$B$244&lt;&gt;"",L$2&gt;Inputs!$B$244,L$2&lt;=Inputs!$B$244+Inputs!$B$246),(1/(1-Inputs!$B$245))^(1/Inputs!$B$246)-1,IF(AND(Inputs!$B$249&lt;&gt;"",L$2=Inputs!$B$249),-Inputs!$B$250,IF(AND(Inputs!$B$249&lt;&gt;"",L$2&gt;Inputs!$B$249,L$2&lt;=Inputs!$B$249+Inputs!$B$251),(1/(1-Inputs!$B$250))^(1/Inputs!$B$251)-1,stinc)))))))))))+L60*SQRT(MAX(1+IF(AND(Inputs!$B$229&lt;&gt;"",L$2=Inputs!$B$229),-Inputs!$B$230,IF(AND(Inputs!$B$229&lt;&gt;"",L$2&gt;Inputs!$B$229,L$2&lt;=Inputs!$B$229+Inputs!$B$231),(1/(1-Inputs!$B$230))^(1/Inputs!$B$231)-1,IF(AND(Inputs!$B$234&lt;&gt;"",L$2=Inputs!$B$234),-Inputs!$B$235,IF(AND(Inputs!$B$234&lt;&gt;"",L$2&gt;Inputs!$B$234,L$2&lt;=Inputs!$B$234+Inputs!$B$236),(1/(1-Inputs!$B$235))^(1/Inputs!$B$236)-1,IF(AND(Inputs!$B$239&lt;&gt;"",L$2=Inputs!$B$239),-Inputs!$B$240,IF(AND(Inputs!$B$239&lt;&gt;"",L$2&gt;Inputs!$B$239,L$2&lt;=Inputs!$B$239+Inputs!$B$241),(1/(1-Inputs!$B$240))^(1/Inputs!$B$241)-1,IF(AND(Inputs!$B$244&lt;&gt;"",L$2=Inputs!$B$244),-Inputs!$B$245,IF(AND(Inputs!$B$244&lt;&gt;"",L$2&gt;Inputs!$B$244,L$2&lt;=Inputs!$B$244+Inputs!$B$246),(1/(1-Inputs!$B$245))^(1/Inputs!$B$246)-1,IF(AND(Inputs!$B$249&lt;&gt;"",L$2=Inputs!$B$249),-Inputs!$B$250,IF(AND(Inputs!$B$249&lt;&gt;"",L$2&gt;Inputs!$B$249,L$2&lt;=Inputs!$B$249+Inputs!$B$251),(1/(1-Inputs!$B$250))^(1/Inputs!$B$251)-1,stinc)))))))))),0))</f>
        <v>44121.172349843386</v>
      </c>
      <c r="M83" s="7">
        <f ca="1">L83*(1+IF(AND(Inputs!$B$229&lt;&gt;"",M$2=Inputs!$B$229),-Inputs!$B$230,IF(AND(Inputs!$B$229&lt;&gt;"",M$2&gt;Inputs!$B$229,M$2&lt;=Inputs!$B$229+Inputs!$B$231),(1/(1-Inputs!$B$230))^(1/Inputs!$B$231)-1,IF(AND(Inputs!$B$234&lt;&gt;"",M$2=Inputs!$B$234),-Inputs!$B$235,IF(AND(Inputs!$B$234&lt;&gt;"",M$2&gt;Inputs!$B$234,M$2&lt;=Inputs!$B$234+Inputs!$B$236),(1/(1-Inputs!$B$235))^(1/Inputs!$B$236)-1,IF(AND(Inputs!$B$239&lt;&gt;"",M$2=Inputs!$B$239),-Inputs!$B$240,IF(AND(Inputs!$B$239&lt;&gt;"",M$2&gt;Inputs!$B$239,M$2&lt;=Inputs!$B$239+Inputs!$B$241),(1/(1-Inputs!$B$240))^(1/Inputs!$B$241)-1,IF(AND(Inputs!$B$244&lt;&gt;"",M$2=Inputs!$B$244),-Inputs!$B$245,IF(AND(Inputs!$B$244&lt;&gt;"",M$2&gt;Inputs!$B$244,M$2&lt;=Inputs!$B$244+Inputs!$B$246),(1/(1-Inputs!$B$245))^(1/Inputs!$B$246)-1,IF(AND(Inputs!$B$249&lt;&gt;"",M$2=Inputs!$B$249),-Inputs!$B$250,IF(AND(Inputs!$B$249&lt;&gt;"",M$2&gt;Inputs!$B$249,M$2&lt;=Inputs!$B$249+Inputs!$B$251),(1/(1-Inputs!$B$250))^(1/Inputs!$B$251)-1,stinc)))))))))))+M60*SQRT(MAX(1+IF(AND(Inputs!$B$229&lt;&gt;"",M$2=Inputs!$B$229),-Inputs!$B$230,IF(AND(Inputs!$B$229&lt;&gt;"",M$2&gt;Inputs!$B$229,M$2&lt;=Inputs!$B$229+Inputs!$B$231),(1/(1-Inputs!$B$230))^(1/Inputs!$B$231)-1,IF(AND(Inputs!$B$234&lt;&gt;"",M$2=Inputs!$B$234),-Inputs!$B$235,IF(AND(Inputs!$B$234&lt;&gt;"",M$2&gt;Inputs!$B$234,M$2&lt;=Inputs!$B$234+Inputs!$B$236),(1/(1-Inputs!$B$235))^(1/Inputs!$B$236)-1,IF(AND(Inputs!$B$239&lt;&gt;"",M$2=Inputs!$B$239),-Inputs!$B$240,IF(AND(Inputs!$B$239&lt;&gt;"",M$2&gt;Inputs!$B$239,M$2&lt;=Inputs!$B$239+Inputs!$B$241),(1/(1-Inputs!$B$240))^(1/Inputs!$B$241)-1,IF(AND(Inputs!$B$244&lt;&gt;"",M$2=Inputs!$B$244),-Inputs!$B$245,IF(AND(Inputs!$B$244&lt;&gt;"",M$2&gt;Inputs!$B$244,M$2&lt;=Inputs!$B$244+Inputs!$B$246),(1/(1-Inputs!$B$245))^(1/Inputs!$B$246)-1,IF(AND(Inputs!$B$249&lt;&gt;"",M$2=Inputs!$B$249),-Inputs!$B$250,IF(AND(Inputs!$B$249&lt;&gt;"",M$2&gt;Inputs!$B$249,M$2&lt;=Inputs!$B$249+Inputs!$B$251),(1/(1-Inputs!$B$250))^(1/Inputs!$B$251)-1,stinc)))))))))),0))</f>
        <v>47650.866137830861</v>
      </c>
      <c r="N83" s="7">
        <f ca="1">M83*(1+IF(AND(Inputs!$B$229&lt;&gt;"",N$2=Inputs!$B$229),-Inputs!$B$230,IF(AND(Inputs!$B$229&lt;&gt;"",N$2&gt;Inputs!$B$229,N$2&lt;=Inputs!$B$229+Inputs!$B$231),(1/(1-Inputs!$B$230))^(1/Inputs!$B$231)-1,IF(AND(Inputs!$B$234&lt;&gt;"",N$2=Inputs!$B$234),-Inputs!$B$235,IF(AND(Inputs!$B$234&lt;&gt;"",N$2&gt;Inputs!$B$234,N$2&lt;=Inputs!$B$234+Inputs!$B$236),(1/(1-Inputs!$B$235))^(1/Inputs!$B$236)-1,IF(AND(Inputs!$B$239&lt;&gt;"",N$2=Inputs!$B$239),-Inputs!$B$240,IF(AND(Inputs!$B$239&lt;&gt;"",N$2&gt;Inputs!$B$239,N$2&lt;=Inputs!$B$239+Inputs!$B$241),(1/(1-Inputs!$B$240))^(1/Inputs!$B$241)-1,IF(AND(Inputs!$B$244&lt;&gt;"",N$2=Inputs!$B$244),-Inputs!$B$245,IF(AND(Inputs!$B$244&lt;&gt;"",N$2&gt;Inputs!$B$244,N$2&lt;=Inputs!$B$244+Inputs!$B$246),(1/(1-Inputs!$B$245))^(1/Inputs!$B$246)-1,IF(AND(Inputs!$B$249&lt;&gt;"",N$2=Inputs!$B$249),-Inputs!$B$250,IF(AND(Inputs!$B$249&lt;&gt;"",N$2&gt;Inputs!$B$249,N$2&lt;=Inputs!$B$249+Inputs!$B$251),(1/(1-Inputs!$B$250))^(1/Inputs!$B$251)-1,stinc)))))))))))+N60*SQRT(MAX(1+IF(AND(Inputs!$B$229&lt;&gt;"",N$2=Inputs!$B$229),-Inputs!$B$230,IF(AND(Inputs!$B$229&lt;&gt;"",N$2&gt;Inputs!$B$229,N$2&lt;=Inputs!$B$229+Inputs!$B$231),(1/(1-Inputs!$B$230))^(1/Inputs!$B$231)-1,IF(AND(Inputs!$B$234&lt;&gt;"",N$2=Inputs!$B$234),-Inputs!$B$235,IF(AND(Inputs!$B$234&lt;&gt;"",N$2&gt;Inputs!$B$234,N$2&lt;=Inputs!$B$234+Inputs!$B$236),(1/(1-Inputs!$B$235))^(1/Inputs!$B$236)-1,IF(AND(Inputs!$B$239&lt;&gt;"",N$2=Inputs!$B$239),-Inputs!$B$240,IF(AND(Inputs!$B$239&lt;&gt;"",N$2&gt;Inputs!$B$239,N$2&lt;=Inputs!$B$239+Inputs!$B$241),(1/(1-Inputs!$B$240))^(1/Inputs!$B$241)-1,IF(AND(Inputs!$B$244&lt;&gt;"",N$2=Inputs!$B$244),-Inputs!$B$245,IF(AND(Inputs!$B$244&lt;&gt;"",N$2&gt;Inputs!$B$244,N$2&lt;=Inputs!$B$244+Inputs!$B$246),(1/(1-Inputs!$B$245))^(1/Inputs!$B$246)-1,IF(AND(Inputs!$B$249&lt;&gt;"",N$2=Inputs!$B$249),-Inputs!$B$250,IF(AND(Inputs!$B$249&lt;&gt;"",N$2&gt;Inputs!$B$249,N$2&lt;=Inputs!$B$249+Inputs!$B$251),(1/(1-Inputs!$B$250))^(1/Inputs!$B$251)-1,stinc)))))))))),0))</f>
        <v>43838.796846804391</v>
      </c>
      <c r="O83" s="7">
        <f ca="1">N83*(1+IF(AND(Inputs!$B$229&lt;&gt;"",O$2=Inputs!$B$229),-Inputs!$B$230,IF(AND(Inputs!$B$229&lt;&gt;"",O$2&gt;Inputs!$B$229,O$2&lt;=Inputs!$B$229+Inputs!$B$231),(1/(1-Inputs!$B$230))^(1/Inputs!$B$231)-1,IF(AND(Inputs!$B$234&lt;&gt;"",O$2=Inputs!$B$234),-Inputs!$B$235,IF(AND(Inputs!$B$234&lt;&gt;"",O$2&gt;Inputs!$B$234,O$2&lt;=Inputs!$B$234+Inputs!$B$236),(1/(1-Inputs!$B$235))^(1/Inputs!$B$236)-1,IF(AND(Inputs!$B$239&lt;&gt;"",O$2=Inputs!$B$239),-Inputs!$B$240,IF(AND(Inputs!$B$239&lt;&gt;"",O$2&gt;Inputs!$B$239,O$2&lt;=Inputs!$B$239+Inputs!$B$241),(1/(1-Inputs!$B$240))^(1/Inputs!$B$241)-1,IF(AND(Inputs!$B$244&lt;&gt;"",O$2=Inputs!$B$244),-Inputs!$B$245,IF(AND(Inputs!$B$244&lt;&gt;"",O$2&gt;Inputs!$B$244,O$2&lt;=Inputs!$B$244+Inputs!$B$246),(1/(1-Inputs!$B$245))^(1/Inputs!$B$246)-1,IF(AND(Inputs!$B$249&lt;&gt;"",O$2=Inputs!$B$249),-Inputs!$B$250,IF(AND(Inputs!$B$249&lt;&gt;"",O$2&gt;Inputs!$B$249,O$2&lt;=Inputs!$B$249+Inputs!$B$251),(1/(1-Inputs!$B$250))^(1/Inputs!$B$251)-1,stinc)))))))))))+O60*SQRT(MAX(1+IF(AND(Inputs!$B$229&lt;&gt;"",O$2=Inputs!$B$229),-Inputs!$B$230,IF(AND(Inputs!$B$229&lt;&gt;"",O$2&gt;Inputs!$B$229,O$2&lt;=Inputs!$B$229+Inputs!$B$231),(1/(1-Inputs!$B$230))^(1/Inputs!$B$231)-1,IF(AND(Inputs!$B$234&lt;&gt;"",O$2=Inputs!$B$234),-Inputs!$B$235,IF(AND(Inputs!$B$234&lt;&gt;"",O$2&gt;Inputs!$B$234,O$2&lt;=Inputs!$B$234+Inputs!$B$236),(1/(1-Inputs!$B$235))^(1/Inputs!$B$236)-1,IF(AND(Inputs!$B$239&lt;&gt;"",O$2=Inputs!$B$239),-Inputs!$B$240,IF(AND(Inputs!$B$239&lt;&gt;"",O$2&gt;Inputs!$B$239,O$2&lt;=Inputs!$B$239+Inputs!$B$241),(1/(1-Inputs!$B$240))^(1/Inputs!$B$241)-1,IF(AND(Inputs!$B$244&lt;&gt;"",O$2=Inputs!$B$244),-Inputs!$B$245,IF(AND(Inputs!$B$244&lt;&gt;"",O$2&gt;Inputs!$B$244,O$2&lt;=Inputs!$B$244+Inputs!$B$246),(1/(1-Inputs!$B$245))^(1/Inputs!$B$246)-1,IF(AND(Inputs!$B$249&lt;&gt;"",O$2=Inputs!$B$249),-Inputs!$B$250,IF(AND(Inputs!$B$249&lt;&gt;"",O$2&gt;Inputs!$B$249,O$2&lt;=Inputs!$B$249+Inputs!$B$251),(1/(1-Inputs!$B$250))^(1/Inputs!$B$251)-1,stinc)))))))))),0))</f>
        <v>45074.337340720798</v>
      </c>
      <c r="P83" s="7">
        <f ca="1">O83*(1+IF(AND(Inputs!$B$229&lt;&gt;"",P$2=Inputs!$B$229),-Inputs!$B$230,IF(AND(Inputs!$B$229&lt;&gt;"",P$2&gt;Inputs!$B$229,P$2&lt;=Inputs!$B$229+Inputs!$B$231),(1/(1-Inputs!$B$230))^(1/Inputs!$B$231)-1,IF(AND(Inputs!$B$234&lt;&gt;"",P$2=Inputs!$B$234),-Inputs!$B$235,IF(AND(Inputs!$B$234&lt;&gt;"",P$2&gt;Inputs!$B$234,P$2&lt;=Inputs!$B$234+Inputs!$B$236),(1/(1-Inputs!$B$235))^(1/Inputs!$B$236)-1,IF(AND(Inputs!$B$239&lt;&gt;"",P$2=Inputs!$B$239),-Inputs!$B$240,IF(AND(Inputs!$B$239&lt;&gt;"",P$2&gt;Inputs!$B$239,P$2&lt;=Inputs!$B$239+Inputs!$B$241),(1/(1-Inputs!$B$240))^(1/Inputs!$B$241)-1,IF(AND(Inputs!$B$244&lt;&gt;"",P$2=Inputs!$B$244),-Inputs!$B$245,IF(AND(Inputs!$B$244&lt;&gt;"",P$2&gt;Inputs!$B$244,P$2&lt;=Inputs!$B$244+Inputs!$B$246),(1/(1-Inputs!$B$245))^(1/Inputs!$B$246)-1,IF(AND(Inputs!$B$249&lt;&gt;"",P$2=Inputs!$B$249),-Inputs!$B$250,IF(AND(Inputs!$B$249&lt;&gt;"",P$2&gt;Inputs!$B$249,P$2&lt;=Inputs!$B$249+Inputs!$B$251),(1/(1-Inputs!$B$250))^(1/Inputs!$B$251)-1,stinc)))))))))))+P60*SQRT(MAX(1+IF(AND(Inputs!$B$229&lt;&gt;"",P$2=Inputs!$B$229),-Inputs!$B$230,IF(AND(Inputs!$B$229&lt;&gt;"",P$2&gt;Inputs!$B$229,P$2&lt;=Inputs!$B$229+Inputs!$B$231),(1/(1-Inputs!$B$230))^(1/Inputs!$B$231)-1,IF(AND(Inputs!$B$234&lt;&gt;"",P$2=Inputs!$B$234),-Inputs!$B$235,IF(AND(Inputs!$B$234&lt;&gt;"",P$2&gt;Inputs!$B$234,P$2&lt;=Inputs!$B$234+Inputs!$B$236),(1/(1-Inputs!$B$235))^(1/Inputs!$B$236)-1,IF(AND(Inputs!$B$239&lt;&gt;"",P$2=Inputs!$B$239),-Inputs!$B$240,IF(AND(Inputs!$B$239&lt;&gt;"",P$2&gt;Inputs!$B$239,P$2&lt;=Inputs!$B$239+Inputs!$B$241),(1/(1-Inputs!$B$240))^(1/Inputs!$B$241)-1,IF(AND(Inputs!$B$244&lt;&gt;"",P$2=Inputs!$B$244),-Inputs!$B$245,IF(AND(Inputs!$B$244&lt;&gt;"",P$2&gt;Inputs!$B$244,P$2&lt;=Inputs!$B$244+Inputs!$B$246),(1/(1-Inputs!$B$245))^(1/Inputs!$B$246)-1,IF(AND(Inputs!$B$249&lt;&gt;"",P$2=Inputs!$B$249),-Inputs!$B$250,IF(AND(Inputs!$B$249&lt;&gt;"",P$2&gt;Inputs!$B$249,P$2&lt;=Inputs!$B$249+Inputs!$B$251),(1/(1-Inputs!$B$250))^(1/Inputs!$B$251)-1,stinc)))))))))),0))</f>
        <v>46344.699965304746</v>
      </c>
      <c r="Q83" s="7">
        <f ca="1">P83*(1+IF(AND(Inputs!$B$229&lt;&gt;"",Q$2=Inputs!$B$229),-Inputs!$B$230,IF(AND(Inputs!$B$229&lt;&gt;"",Q$2&gt;Inputs!$B$229,Q$2&lt;=Inputs!$B$229+Inputs!$B$231),(1/(1-Inputs!$B$230))^(1/Inputs!$B$231)-1,IF(AND(Inputs!$B$234&lt;&gt;"",Q$2=Inputs!$B$234),-Inputs!$B$235,IF(AND(Inputs!$B$234&lt;&gt;"",Q$2&gt;Inputs!$B$234,Q$2&lt;=Inputs!$B$234+Inputs!$B$236),(1/(1-Inputs!$B$235))^(1/Inputs!$B$236)-1,IF(AND(Inputs!$B$239&lt;&gt;"",Q$2=Inputs!$B$239),-Inputs!$B$240,IF(AND(Inputs!$B$239&lt;&gt;"",Q$2&gt;Inputs!$B$239,Q$2&lt;=Inputs!$B$239+Inputs!$B$241),(1/(1-Inputs!$B$240))^(1/Inputs!$B$241)-1,IF(AND(Inputs!$B$244&lt;&gt;"",Q$2=Inputs!$B$244),-Inputs!$B$245,IF(AND(Inputs!$B$244&lt;&gt;"",Q$2&gt;Inputs!$B$244,Q$2&lt;=Inputs!$B$244+Inputs!$B$246),(1/(1-Inputs!$B$245))^(1/Inputs!$B$246)-1,IF(AND(Inputs!$B$249&lt;&gt;"",Q$2=Inputs!$B$249),-Inputs!$B$250,IF(AND(Inputs!$B$249&lt;&gt;"",Q$2&gt;Inputs!$B$249,Q$2&lt;=Inputs!$B$249+Inputs!$B$251),(1/(1-Inputs!$B$250))^(1/Inputs!$B$251)-1,stinc)))))))))))+Q60*SQRT(MAX(1+IF(AND(Inputs!$B$229&lt;&gt;"",Q$2=Inputs!$B$229),-Inputs!$B$230,IF(AND(Inputs!$B$229&lt;&gt;"",Q$2&gt;Inputs!$B$229,Q$2&lt;=Inputs!$B$229+Inputs!$B$231),(1/(1-Inputs!$B$230))^(1/Inputs!$B$231)-1,IF(AND(Inputs!$B$234&lt;&gt;"",Q$2=Inputs!$B$234),-Inputs!$B$235,IF(AND(Inputs!$B$234&lt;&gt;"",Q$2&gt;Inputs!$B$234,Q$2&lt;=Inputs!$B$234+Inputs!$B$236),(1/(1-Inputs!$B$235))^(1/Inputs!$B$236)-1,IF(AND(Inputs!$B$239&lt;&gt;"",Q$2=Inputs!$B$239),-Inputs!$B$240,IF(AND(Inputs!$B$239&lt;&gt;"",Q$2&gt;Inputs!$B$239,Q$2&lt;=Inputs!$B$239+Inputs!$B$241),(1/(1-Inputs!$B$240))^(1/Inputs!$B$241)-1,IF(AND(Inputs!$B$244&lt;&gt;"",Q$2=Inputs!$B$244),-Inputs!$B$245,IF(AND(Inputs!$B$244&lt;&gt;"",Q$2&gt;Inputs!$B$244,Q$2&lt;=Inputs!$B$244+Inputs!$B$246),(1/(1-Inputs!$B$245))^(1/Inputs!$B$246)-1,IF(AND(Inputs!$B$249&lt;&gt;"",Q$2=Inputs!$B$249),-Inputs!$B$250,IF(AND(Inputs!$B$249&lt;&gt;"",Q$2&gt;Inputs!$B$249,Q$2&lt;=Inputs!$B$249+Inputs!$B$251),(1/(1-Inputs!$B$250))^(1/Inputs!$B$251)-1,stinc)))))))))),0))</f>
        <v>47650.866137830861</v>
      </c>
      <c r="R83" s="7">
        <f ca="1">Q83*(1+IF(AND(Inputs!$B$229&lt;&gt;"",R$2=Inputs!$B$229),-Inputs!$B$230,IF(AND(Inputs!$B$229&lt;&gt;"",R$2&gt;Inputs!$B$229,R$2&lt;=Inputs!$B$229+Inputs!$B$231),(1/(1-Inputs!$B$230))^(1/Inputs!$B$231)-1,IF(AND(Inputs!$B$234&lt;&gt;"",R$2=Inputs!$B$234),-Inputs!$B$235,IF(AND(Inputs!$B$234&lt;&gt;"",R$2&gt;Inputs!$B$234,R$2&lt;=Inputs!$B$234+Inputs!$B$236),(1/(1-Inputs!$B$235))^(1/Inputs!$B$236)-1,IF(AND(Inputs!$B$239&lt;&gt;"",R$2=Inputs!$B$239),-Inputs!$B$240,IF(AND(Inputs!$B$239&lt;&gt;"",R$2&gt;Inputs!$B$239,R$2&lt;=Inputs!$B$239+Inputs!$B$241),(1/(1-Inputs!$B$240))^(1/Inputs!$B$241)-1,IF(AND(Inputs!$B$244&lt;&gt;"",R$2=Inputs!$B$244),-Inputs!$B$245,IF(AND(Inputs!$B$244&lt;&gt;"",R$2&gt;Inputs!$B$244,R$2&lt;=Inputs!$B$244+Inputs!$B$246),(1/(1-Inputs!$B$245))^(1/Inputs!$B$246)-1,IF(AND(Inputs!$B$249&lt;&gt;"",R$2=Inputs!$B$249),-Inputs!$B$250,IF(AND(Inputs!$B$249&lt;&gt;"",R$2&gt;Inputs!$B$249,R$2&lt;=Inputs!$B$249+Inputs!$B$251),(1/(1-Inputs!$B$250))^(1/Inputs!$B$251)-1,stinc)))))))))))+R60*SQRT(MAX(1+IF(AND(Inputs!$B$229&lt;&gt;"",R$2=Inputs!$B$229),-Inputs!$B$230,IF(AND(Inputs!$B$229&lt;&gt;"",R$2&gt;Inputs!$B$229,R$2&lt;=Inputs!$B$229+Inputs!$B$231),(1/(1-Inputs!$B$230))^(1/Inputs!$B$231)-1,IF(AND(Inputs!$B$234&lt;&gt;"",R$2=Inputs!$B$234),-Inputs!$B$235,IF(AND(Inputs!$B$234&lt;&gt;"",R$2&gt;Inputs!$B$234,R$2&lt;=Inputs!$B$234+Inputs!$B$236),(1/(1-Inputs!$B$235))^(1/Inputs!$B$236)-1,IF(AND(Inputs!$B$239&lt;&gt;"",R$2=Inputs!$B$239),-Inputs!$B$240,IF(AND(Inputs!$B$239&lt;&gt;"",R$2&gt;Inputs!$B$239,R$2&lt;=Inputs!$B$239+Inputs!$B$241),(1/(1-Inputs!$B$240))^(1/Inputs!$B$241)-1,IF(AND(Inputs!$B$244&lt;&gt;"",R$2=Inputs!$B$244),-Inputs!$B$245,IF(AND(Inputs!$B$244&lt;&gt;"",R$2&gt;Inputs!$B$244,R$2&lt;=Inputs!$B$244+Inputs!$B$246),(1/(1-Inputs!$B$245))^(1/Inputs!$B$246)-1,IF(AND(Inputs!$B$249&lt;&gt;"",R$2=Inputs!$B$249),-Inputs!$B$250,IF(AND(Inputs!$B$249&lt;&gt;"",R$2&gt;Inputs!$B$249,R$2&lt;=Inputs!$B$249+Inputs!$B$251),(1/(1-Inputs!$B$250))^(1/Inputs!$B$251)-1,stinc)))))))))),0))</f>
        <v>51462.93542885733</v>
      </c>
      <c r="S83" s="7">
        <f ca="1">R83*(1+IF(AND(Inputs!$B$229&lt;&gt;"",S$2=Inputs!$B$229),-Inputs!$B$230,IF(AND(Inputs!$B$229&lt;&gt;"",S$2&gt;Inputs!$B$229,S$2&lt;=Inputs!$B$229+Inputs!$B$231),(1/(1-Inputs!$B$230))^(1/Inputs!$B$231)-1,IF(AND(Inputs!$B$234&lt;&gt;"",S$2=Inputs!$B$234),-Inputs!$B$235,IF(AND(Inputs!$B$234&lt;&gt;"",S$2&gt;Inputs!$B$234,S$2&lt;=Inputs!$B$234+Inputs!$B$236),(1/(1-Inputs!$B$235))^(1/Inputs!$B$236)-1,IF(AND(Inputs!$B$239&lt;&gt;"",S$2=Inputs!$B$239),-Inputs!$B$240,IF(AND(Inputs!$B$239&lt;&gt;"",S$2&gt;Inputs!$B$239,S$2&lt;=Inputs!$B$239+Inputs!$B$241),(1/(1-Inputs!$B$240))^(1/Inputs!$B$241)-1,IF(AND(Inputs!$B$244&lt;&gt;"",S$2=Inputs!$B$244),-Inputs!$B$245,IF(AND(Inputs!$B$244&lt;&gt;"",S$2&gt;Inputs!$B$244,S$2&lt;=Inputs!$B$244+Inputs!$B$246),(1/(1-Inputs!$B$245))^(1/Inputs!$B$246)-1,IF(AND(Inputs!$B$249&lt;&gt;"",S$2=Inputs!$B$249),-Inputs!$B$250,IF(AND(Inputs!$B$249&lt;&gt;"",S$2&gt;Inputs!$B$249,S$2&lt;=Inputs!$B$249+Inputs!$B$251),(1/(1-Inputs!$B$250))^(1/Inputs!$B$251)-1,stinc)))))))))))+S60*SQRT(MAX(1+IF(AND(Inputs!$B$229&lt;&gt;"",S$2=Inputs!$B$229),-Inputs!$B$230,IF(AND(Inputs!$B$229&lt;&gt;"",S$2&gt;Inputs!$B$229,S$2&lt;=Inputs!$B$229+Inputs!$B$231),(1/(1-Inputs!$B$230))^(1/Inputs!$B$231)-1,IF(AND(Inputs!$B$234&lt;&gt;"",S$2=Inputs!$B$234),-Inputs!$B$235,IF(AND(Inputs!$B$234&lt;&gt;"",S$2&gt;Inputs!$B$234,S$2&lt;=Inputs!$B$234+Inputs!$B$236),(1/(1-Inputs!$B$235))^(1/Inputs!$B$236)-1,IF(AND(Inputs!$B$239&lt;&gt;"",S$2=Inputs!$B$239),-Inputs!$B$240,IF(AND(Inputs!$B$239&lt;&gt;"",S$2&gt;Inputs!$B$239,S$2&lt;=Inputs!$B$239+Inputs!$B$241),(1/(1-Inputs!$B$240))^(1/Inputs!$B$241)-1,IF(AND(Inputs!$B$244&lt;&gt;"",S$2=Inputs!$B$244),-Inputs!$B$245,IF(AND(Inputs!$B$244&lt;&gt;"",S$2&gt;Inputs!$B$244,S$2&lt;=Inputs!$B$244+Inputs!$B$246),(1/(1-Inputs!$B$245))^(1/Inputs!$B$246)-1,IF(AND(Inputs!$B$249&lt;&gt;"",S$2=Inputs!$B$249),-Inputs!$B$250,IF(AND(Inputs!$B$249&lt;&gt;"",S$2&gt;Inputs!$B$249,S$2&lt;=Inputs!$B$249+Inputs!$B$251),(1/(1-Inputs!$B$250))^(1/Inputs!$B$251)-1,stinc)))))))))),0))</f>
        <v>55579.970263165924</v>
      </c>
      <c r="T83" s="7">
        <f ca="1">S83*(1+IF(AND(Inputs!$B$229&lt;&gt;"",T$2=Inputs!$B$229),-Inputs!$B$230,IF(AND(Inputs!$B$229&lt;&gt;"",T$2&gt;Inputs!$B$229,T$2&lt;=Inputs!$B$229+Inputs!$B$231),(1/(1-Inputs!$B$230))^(1/Inputs!$B$231)-1,IF(AND(Inputs!$B$234&lt;&gt;"",T$2=Inputs!$B$234),-Inputs!$B$235,IF(AND(Inputs!$B$234&lt;&gt;"",T$2&gt;Inputs!$B$234,T$2&lt;=Inputs!$B$234+Inputs!$B$236),(1/(1-Inputs!$B$235))^(1/Inputs!$B$236)-1,IF(AND(Inputs!$B$239&lt;&gt;"",T$2=Inputs!$B$239),-Inputs!$B$240,IF(AND(Inputs!$B$239&lt;&gt;"",T$2&gt;Inputs!$B$239,T$2&lt;=Inputs!$B$239+Inputs!$B$241),(1/(1-Inputs!$B$240))^(1/Inputs!$B$241)-1,IF(AND(Inputs!$B$244&lt;&gt;"",T$2=Inputs!$B$244),-Inputs!$B$245,IF(AND(Inputs!$B$244&lt;&gt;"",T$2&gt;Inputs!$B$244,T$2&lt;=Inputs!$B$244+Inputs!$B$246),(1/(1-Inputs!$B$245))^(1/Inputs!$B$246)-1,IF(AND(Inputs!$B$249&lt;&gt;"",T$2=Inputs!$B$249),-Inputs!$B$250,IF(AND(Inputs!$B$249&lt;&gt;"",T$2&gt;Inputs!$B$249,T$2&lt;=Inputs!$B$249+Inputs!$B$251),(1/(1-Inputs!$B$250))^(1/Inputs!$B$251)-1,stinc)))))))))))+T60*SQRT(MAX(1+IF(AND(Inputs!$B$229&lt;&gt;"",T$2=Inputs!$B$229),-Inputs!$B$230,IF(AND(Inputs!$B$229&lt;&gt;"",T$2&gt;Inputs!$B$229,T$2&lt;=Inputs!$B$229+Inputs!$B$231),(1/(1-Inputs!$B$230))^(1/Inputs!$B$231)-1,IF(AND(Inputs!$B$234&lt;&gt;"",T$2=Inputs!$B$234),-Inputs!$B$235,IF(AND(Inputs!$B$234&lt;&gt;"",T$2&gt;Inputs!$B$234,T$2&lt;=Inputs!$B$234+Inputs!$B$236),(1/(1-Inputs!$B$235))^(1/Inputs!$B$236)-1,IF(AND(Inputs!$B$239&lt;&gt;"",T$2=Inputs!$B$239),-Inputs!$B$240,IF(AND(Inputs!$B$239&lt;&gt;"",T$2&gt;Inputs!$B$239,T$2&lt;=Inputs!$B$239+Inputs!$B$241),(1/(1-Inputs!$B$240))^(1/Inputs!$B$241)-1,IF(AND(Inputs!$B$244&lt;&gt;"",T$2=Inputs!$B$244),-Inputs!$B$245,IF(AND(Inputs!$B$244&lt;&gt;"",T$2&gt;Inputs!$B$244,T$2&lt;=Inputs!$B$244+Inputs!$B$246),(1/(1-Inputs!$B$245))^(1/Inputs!$B$246)-1,IF(AND(Inputs!$B$249&lt;&gt;"",T$2=Inputs!$B$249),-Inputs!$B$250,IF(AND(Inputs!$B$249&lt;&gt;"",T$2&gt;Inputs!$B$249,T$2&lt;=Inputs!$B$249+Inputs!$B$251),(1/(1-Inputs!$B$250))^(1/Inputs!$B$251)-1,stinc)))))))))),0))</f>
        <v>60026.367884219202</v>
      </c>
      <c r="U83" s="7">
        <f ca="1">T83*(1+IF(AND(Inputs!$B$229&lt;&gt;"",U$2=Inputs!$B$229),-Inputs!$B$230,IF(AND(Inputs!$B$229&lt;&gt;"",U$2&gt;Inputs!$B$229,U$2&lt;=Inputs!$B$229+Inputs!$B$231),(1/(1-Inputs!$B$230))^(1/Inputs!$B$231)-1,IF(AND(Inputs!$B$234&lt;&gt;"",U$2=Inputs!$B$234),-Inputs!$B$235,IF(AND(Inputs!$B$234&lt;&gt;"",U$2&gt;Inputs!$B$234,U$2&lt;=Inputs!$B$234+Inputs!$B$236),(1/(1-Inputs!$B$235))^(1/Inputs!$B$236)-1,IF(AND(Inputs!$B$239&lt;&gt;"",U$2=Inputs!$B$239),-Inputs!$B$240,IF(AND(Inputs!$B$239&lt;&gt;"",U$2&gt;Inputs!$B$239,U$2&lt;=Inputs!$B$239+Inputs!$B$241),(1/(1-Inputs!$B$240))^(1/Inputs!$B$241)-1,IF(AND(Inputs!$B$244&lt;&gt;"",U$2=Inputs!$B$244),-Inputs!$B$245,IF(AND(Inputs!$B$244&lt;&gt;"",U$2&gt;Inputs!$B$244,U$2&lt;=Inputs!$B$244+Inputs!$B$246),(1/(1-Inputs!$B$245))^(1/Inputs!$B$246)-1,IF(AND(Inputs!$B$249&lt;&gt;"",U$2=Inputs!$B$249),-Inputs!$B$250,IF(AND(Inputs!$B$249&lt;&gt;"",U$2&gt;Inputs!$B$249,U$2&lt;=Inputs!$B$249+Inputs!$B$251),(1/(1-Inputs!$B$250))^(1/Inputs!$B$251)-1,stinc)))))))))))+U60*SQRT(MAX(1+IF(AND(Inputs!$B$229&lt;&gt;"",U$2=Inputs!$B$229),-Inputs!$B$230,IF(AND(Inputs!$B$229&lt;&gt;"",U$2&gt;Inputs!$B$229,U$2&lt;=Inputs!$B$229+Inputs!$B$231),(1/(1-Inputs!$B$230))^(1/Inputs!$B$231)-1,IF(AND(Inputs!$B$234&lt;&gt;"",U$2=Inputs!$B$234),-Inputs!$B$235,IF(AND(Inputs!$B$234&lt;&gt;"",U$2&gt;Inputs!$B$234,U$2&lt;=Inputs!$B$234+Inputs!$B$236),(1/(1-Inputs!$B$235))^(1/Inputs!$B$236)-1,IF(AND(Inputs!$B$239&lt;&gt;"",U$2=Inputs!$B$239),-Inputs!$B$240,IF(AND(Inputs!$B$239&lt;&gt;"",U$2&gt;Inputs!$B$239,U$2&lt;=Inputs!$B$239+Inputs!$B$241),(1/(1-Inputs!$B$240))^(1/Inputs!$B$241)-1,IF(AND(Inputs!$B$244&lt;&gt;"",U$2=Inputs!$B$244),-Inputs!$B$245,IF(AND(Inputs!$B$244&lt;&gt;"",U$2&gt;Inputs!$B$244,U$2&lt;=Inputs!$B$244+Inputs!$B$246),(1/(1-Inputs!$B$245))^(1/Inputs!$B$246)-1,IF(AND(Inputs!$B$249&lt;&gt;"",U$2=Inputs!$B$249),-Inputs!$B$250,IF(AND(Inputs!$B$249&lt;&gt;"",U$2&gt;Inputs!$B$249,U$2&lt;=Inputs!$B$249+Inputs!$B$251),(1/(1-Inputs!$B$250))^(1/Inputs!$B$251)-1,stinc)))))))))),0))</f>
        <v>64828.477314956741</v>
      </c>
      <c r="V83" s="7">
        <f ca="1">U83*(1+IF(AND(Inputs!$B$229&lt;&gt;"",V$2=Inputs!$B$229),-Inputs!$B$230,IF(AND(Inputs!$B$229&lt;&gt;"",V$2&gt;Inputs!$B$229,V$2&lt;=Inputs!$B$229+Inputs!$B$231),(1/(1-Inputs!$B$230))^(1/Inputs!$B$231)-1,IF(AND(Inputs!$B$234&lt;&gt;"",V$2=Inputs!$B$234),-Inputs!$B$235,IF(AND(Inputs!$B$234&lt;&gt;"",V$2&gt;Inputs!$B$234,V$2&lt;=Inputs!$B$234+Inputs!$B$236),(1/(1-Inputs!$B$235))^(1/Inputs!$B$236)-1,IF(AND(Inputs!$B$239&lt;&gt;"",V$2=Inputs!$B$239),-Inputs!$B$240,IF(AND(Inputs!$B$239&lt;&gt;"",V$2&gt;Inputs!$B$239,V$2&lt;=Inputs!$B$239+Inputs!$B$241),(1/(1-Inputs!$B$240))^(1/Inputs!$B$241)-1,IF(AND(Inputs!$B$244&lt;&gt;"",V$2=Inputs!$B$244),-Inputs!$B$245,IF(AND(Inputs!$B$244&lt;&gt;"",V$2&gt;Inputs!$B$244,V$2&lt;=Inputs!$B$244+Inputs!$B$246),(1/(1-Inputs!$B$245))^(1/Inputs!$B$246)-1,IF(AND(Inputs!$B$249&lt;&gt;"",V$2=Inputs!$B$249),-Inputs!$B$250,IF(AND(Inputs!$B$249&lt;&gt;"",V$2&gt;Inputs!$B$249,V$2&lt;=Inputs!$B$249+Inputs!$B$251),(1/(1-Inputs!$B$250))^(1/Inputs!$B$251)-1,stinc)))))))))))+V60*SQRT(MAX(1+IF(AND(Inputs!$B$229&lt;&gt;"",V$2=Inputs!$B$229),-Inputs!$B$230,IF(AND(Inputs!$B$229&lt;&gt;"",V$2&gt;Inputs!$B$229,V$2&lt;=Inputs!$B$229+Inputs!$B$231),(1/(1-Inputs!$B$230))^(1/Inputs!$B$231)-1,IF(AND(Inputs!$B$234&lt;&gt;"",V$2=Inputs!$B$234),-Inputs!$B$235,IF(AND(Inputs!$B$234&lt;&gt;"",V$2&gt;Inputs!$B$234,V$2&lt;=Inputs!$B$234+Inputs!$B$236),(1/(1-Inputs!$B$235))^(1/Inputs!$B$236)-1,IF(AND(Inputs!$B$239&lt;&gt;"",V$2=Inputs!$B$239),-Inputs!$B$240,IF(AND(Inputs!$B$239&lt;&gt;"",V$2&gt;Inputs!$B$239,V$2&lt;=Inputs!$B$239+Inputs!$B$241),(1/(1-Inputs!$B$240))^(1/Inputs!$B$241)-1,IF(AND(Inputs!$B$244&lt;&gt;"",V$2=Inputs!$B$244),-Inputs!$B$245,IF(AND(Inputs!$B$244&lt;&gt;"",V$2&gt;Inputs!$B$244,V$2&lt;=Inputs!$B$244+Inputs!$B$246),(1/(1-Inputs!$B$245))^(1/Inputs!$B$246)-1,IF(AND(Inputs!$B$249&lt;&gt;"",V$2=Inputs!$B$249),-Inputs!$B$250,IF(AND(Inputs!$B$249&lt;&gt;"",V$2&gt;Inputs!$B$249,V$2&lt;=Inputs!$B$249+Inputs!$B$251),(1/(1-Inputs!$B$250))^(1/Inputs!$B$251)-1,stinc)))))))))),0))</f>
        <v>53159.351398264531</v>
      </c>
      <c r="W83" s="7">
        <f ca="1">V83*(1+IF(AND(Inputs!$B$229&lt;&gt;"",W$2=Inputs!$B$229),-Inputs!$B$230,IF(AND(Inputs!$B$229&lt;&gt;"",W$2&gt;Inputs!$B$229,W$2&lt;=Inputs!$B$229+Inputs!$B$231),(1/(1-Inputs!$B$230))^(1/Inputs!$B$231)-1,IF(AND(Inputs!$B$234&lt;&gt;"",W$2=Inputs!$B$234),-Inputs!$B$235,IF(AND(Inputs!$B$234&lt;&gt;"",W$2&gt;Inputs!$B$234,W$2&lt;=Inputs!$B$234+Inputs!$B$236),(1/(1-Inputs!$B$235))^(1/Inputs!$B$236)-1,IF(AND(Inputs!$B$239&lt;&gt;"",W$2=Inputs!$B$239),-Inputs!$B$240,IF(AND(Inputs!$B$239&lt;&gt;"",W$2&gt;Inputs!$B$239,W$2&lt;=Inputs!$B$239+Inputs!$B$241),(1/(1-Inputs!$B$240))^(1/Inputs!$B$241)-1,IF(AND(Inputs!$B$244&lt;&gt;"",W$2=Inputs!$B$244),-Inputs!$B$245,IF(AND(Inputs!$B$244&lt;&gt;"",W$2&gt;Inputs!$B$244,W$2&lt;=Inputs!$B$244+Inputs!$B$246),(1/(1-Inputs!$B$245))^(1/Inputs!$B$246)-1,IF(AND(Inputs!$B$249&lt;&gt;"",W$2=Inputs!$B$249),-Inputs!$B$250,IF(AND(Inputs!$B$249&lt;&gt;"",W$2&gt;Inputs!$B$249,W$2&lt;=Inputs!$B$249+Inputs!$B$251),(1/(1-Inputs!$B$250))^(1/Inputs!$B$251)-1,stinc)))))))))))+W60*SQRT(MAX(1+IF(AND(Inputs!$B$229&lt;&gt;"",W$2=Inputs!$B$229),-Inputs!$B$230,IF(AND(Inputs!$B$229&lt;&gt;"",W$2&gt;Inputs!$B$229,W$2&lt;=Inputs!$B$229+Inputs!$B$231),(1/(1-Inputs!$B$230))^(1/Inputs!$B$231)-1,IF(AND(Inputs!$B$234&lt;&gt;"",W$2=Inputs!$B$234),-Inputs!$B$235,IF(AND(Inputs!$B$234&lt;&gt;"",W$2&gt;Inputs!$B$234,W$2&lt;=Inputs!$B$234+Inputs!$B$236),(1/(1-Inputs!$B$235))^(1/Inputs!$B$236)-1,IF(AND(Inputs!$B$239&lt;&gt;"",W$2=Inputs!$B$239),-Inputs!$B$240,IF(AND(Inputs!$B$239&lt;&gt;"",W$2&gt;Inputs!$B$239,W$2&lt;=Inputs!$B$239+Inputs!$B$241),(1/(1-Inputs!$B$240))^(1/Inputs!$B$241)-1,IF(AND(Inputs!$B$244&lt;&gt;"",W$2=Inputs!$B$244),-Inputs!$B$245,IF(AND(Inputs!$B$244&lt;&gt;"",W$2&gt;Inputs!$B$244,W$2&lt;=Inputs!$B$244+Inputs!$B$246),(1/(1-Inputs!$B$245))^(1/Inputs!$B$246)-1,IF(AND(Inputs!$B$249&lt;&gt;"",W$2=Inputs!$B$249),-Inputs!$B$250,IF(AND(Inputs!$B$249&lt;&gt;"",W$2&gt;Inputs!$B$249,W$2&lt;=Inputs!$B$249+Inputs!$B$251),(1/(1-Inputs!$B$250))^(1/Inputs!$B$251)-1,stinc)))))))))),0))</f>
        <v>58704.683000593795</v>
      </c>
      <c r="X83" s="7">
        <f ca="1">W83*(1+IF(AND(Inputs!$B$229&lt;&gt;"",X$2=Inputs!$B$229),-Inputs!$B$230,IF(AND(Inputs!$B$229&lt;&gt;"",X$2&gt;Inputs!$B$229,X$2&lt;=Inputs!$B$229+Inputs!$B$231),(1/(1-Inputs!$B$230))^(1/Inputs!$B$231)-1,IF(AND(Inputs!$B$234&lt;&gt;"",X$2=Inputs!$B$234),-Inputs!$B$235,IF(AND(Inputs!$B$234&lt;&gt;"",X$2&gt;Inputs!$B$234,X$2&lt;=Inputs!$B$234+Inputs!$B$236),(1/(1-Inputs!$B$235))^(1/Inputs!$B$236)-1,IF(AND(Inputs!$B$239&lt;&gt;"",X$2=Inputs!$B$239),-Inputs!$B$240,IF(AND(Inputs!$B$239&lt;&gt;"",X$2&gt;Inputs!$B$239,X$2&lt;=Inputs!$B$239+Inputs!$B$241),(1/(1-Inputs!$B$240))^(1/Inputs!$B$241)-1,IF(AND(Inputs!$B$244&lt;&gt;"",X$2=Inputs!$B$244),-Inputs!$B$245,IF(AND(Inputs!$B$244&lt;&gt;"",X$2&gt;Inputs!$B$244,X$2&lt;=Inputs!$B$244+Inputs!$B$246),(1/(1-Inputs!$B$245))^(1/Inputs!$B$246)-1,IF(AND(Inputs!$B$249&lt;&gt;"",X$2=Inputs!$B$249),-Inputs!$B$250,IF(AND(Inputs!$B$249&lt;&gt;"",X$2&gt;Inputs!$B$249,X$2&lt;=Inputs!$B$249+Inputs!$B$251),(1/(1-Inputs!$B$250))^(1/Inputs!$B$251)-1,stinc)))))))))))+X60*SQRT(MAX(1+IF(AND(Inputs!$B$229&lt;&gt;"",X$2=Inputs!$B$229),-Inputs!$B$230,IF(AND(Inputs!$B$229&lt;&gt;"",X$2&gt;Inputs!$B$229,X$2&lt;=Inputs!$B$229+Inputs!$B$231),(1/(1-Inputs!$B$230))^(1/Inputs!$B$231)-1,IF(AND(Inputs!$B$234&lt;&gt;"",X$2=Inputs!$B$234),-Inputs!$B$235,IF(AND(Inputs!$B$234&lt;&gt;"",X$2&gt;Inputs!$B$234,X$2&lt;=Inputs!$B$234+Inputs!$B$236),(1/(1-Inputs!$B$235))^(1/Inputs!$B$236)-1,IF(AND(Inputs!$B$239&lt;&gt;"",X$2=Inputs!$B$239),-Inputs!$B$240,IF(AND(Inputs!$B$239&lt;&gt;"",X$2&gt;Inputs!$B$239,X$2&lt;=Inputs!$B$239+Inputs!$B$241),(1/(1-Inputs!$B$240))^(1/Inputs!$B$241)-1,IF(AND(Inputs!$B$244&lt;&gt;"",X$2=Inputs!$B$244),-Inputs!$B$245,IF(AND(Inputs!$B$244&lt;&gt;"",X$2&gt;Inputs!$B$244,X$2&lt;=Inputs!$B$244+Inputs!$B$246),(1/(1-Inputs!$B$245))^(1/Inputs!$B$246)-1,IF(AND(Inputs!$B$249&lt;&gt;"",X$2=Inputs!$B$249),-Inputs!$B$250,IF(AND(Inputs!$B$249&lt;&gt;"",X$2&gt;Inputs!$B$249,X$2&lt;=Inputs!$B$249+Inputs!$B$251),(1/(1-Inputs!$B$250))^(1/Inputs!$B$251)-1,stinc)))))))))),0))</f>
        <v>64828.477314956741</v>
      </c>
      <c r="Y83" s="7">
        <f ca="1">X83*(1+IF(AND(Inputs!$B$229&lt;&gt;"",Y$2=Inputs!$B$229),-Inputs!$B$230,IF(AND(Inputs!$B$229&lt;&gt;"",Y$2&gt;Inputs!$B$229,Y$2&lt;=Inputs!$B$229+Inputs!$B$231),(1/(1-Inputs!$B$230))^(1/Inputs!$B$231)-1,IF(AND(Inputs!$B$234&lt;&gt;"",Y$2=Inputs!$B$234),-Inputs!$B$235,IF(AND(Inputs!$B$234&lt;&gt;"",Y$2&gt;Inputs!$B$234,Y$2&lt;=Inputs!$B$234+Inputs!$B$236),(1/(1-Inputs!$B$235))^(1/Inputs!$B$236)-1,IF(AND(Inputs!$B$239&lt;&gt;"",Y$2=Inputs!$B$239),-Inputs!$B$240,IF(AND(Inputs!$B$239&lt;&gt;"",Y$2&gt;Inputs!$B$239,Y$2&lt;=Inputs!$B$239+Inputs!$B$241),(1/(1-Inputs!$B$240))^(1/Inputs!$B$241)-1,IF(AND(Inputs!$B$244&lt;&gt;"",Y$2=Inputs!$B$244),-Inputs!$B$245,IF(AND(Inputs!$B$244&lt;&gt;"",Y$2&gt;Inputs!$B$244,Y$2&lt;=Inputs!$B$244+Inputs!$B$246),(1/(1-Inputs!$B$245))^(1/Inputs!$B$246)-1,IF(AND(Inputs!$B$249&lt;&gt;"",Y$2=Inputs!$B$249),-Inputs!$B$250,IF(AND(Inputs!$B$249&lt;&gt;"",Y$2&gt;Inputs!$B$249,Y$2&lt;=Inputs!$B$249+Inputs!$B$251),(1/(1-Inputs!$B$250))^(1/Inputs!$B$251)-1,stinc)))))))))))+Y60*SQRT(MAX(1+IF(AND(Inputs!$B$229&lt;&gt;"",Y$2=Inputs!$B$229),-Inputs!$B$230,IF(AND(Inputs!$B$229&lt;&gt;"",Y$2&gt;Inputs!$B$229,Y$2&lt;=Inputs!$B$229+Inputs!$B$231),(1/(1-Inputs!$B$230))^(1/Inputs!$B$231)-1,IF(AND(Inputs!$B$234&lt;&gt;"",Y$2=Inputs!$B$234),-Inputs!$B$235,IF(AND(Inputs!$B$234&lt;&gt;"",Y$2&gt;Inputs!$B$234,Y$2&lt;=Inputs!$B$234+Inputs!$B$236),(1/(1-Inputs!$B$235))^(1/Inputs!$B$236)-1,IF(AND(Inputs!$B$239&lt;&gt;"",Y$2=Inputs!$B$239),-Inputs!$B$240,IF(AND(Inputs!$B$239&lt;&gt;"",Y$2&gt;Inputs!$B$239,Y$2&lt;=Inputs!$B$239+Inputs!$B$241),(1/(1-Inputs!$B$240))^(1/Inputs!$B$241)-1,IF(AND(Inputs!$B$244&lt;&gt;"",Y$2=Inputs!$B$244),-Inputs!$B$245,IF(AND(Inputs!$B$244&lt;&gt;"",Y$2&gt;Inputs!$B$244,Y$2&lt;=Inputs!$B$244+Inputs!$B$246),(1/(1-Inputs!$B$245))^(1/Inputs!$B$246)-1,IF(AND(Inputs!$B$249&lt;&gt;"",Y$2=Inputs!$B$249),-Inputs!$B$250,IF(AND(Inputs!$B$249&lt;&gt;"",Y$2&gt;Inputs!$B$249,Y$2&lt;=Inputs!$B$249+Inputs!$B$251),(1/(1-Inputs!$B$250))^(1/Inputs!$B$251)-1,stinc)))))))))),0))</f>
        <v>70014.755500153289</v>
      </c>
      <c r="Z83" s="7">
        <f ca="1">Y83*(1+IF(AND(Inputs!$B$229&lt;&gt;"",Z$2=Inputs!$B$229),-Inputs!$B$230,IF(AND(Inputs!$B$229&lt;&gt;"",Z$2&gt;Inputs!$B$229,Z$2&lt;=Inputs!$B$229+Inputs!$B$231),(1/(1-Inputs!$B$230))^(1/Inputs!$B$231)-1,IF(AND(Inputs!$B$234&lt;&gt;"",Z$2=Inputs!$B$234),-Inputs!$B$235,IF(AND(Inputs!$B$234&lt;&gt;"",Z$2&gt;Inputs!$B$234,Z$2&lt;=Inputs!$B$234+Inputs!$B$236),(1/(1-Inputs!$B$235))^(1/Inputs!$B$236)-1,IF(AND(Inputs!$B$239&lt;&gt;"",Z$2=Inputs!$B$239),-Inputs!$B$240,IF(AND(Inputs!$B$239&lt;&gt;"",Z$2&gt;Inputs!$B$239,Z$2&lt;=Inputs!$B$239+Inputs!$B$241),(1/(1-Inputs!$B$240))^(1/Inputs!$B$241)-1,IF(AND(Inputs!$B$244&lt;&gt;"",Z$2=Inputs!$B$244),-Inputs!$B$245,IF(AND(Inputs!$B$244&lt;&gt;"",Z$2&gt;Inputs!$B$244,Z$2&lt;=Inputs!$B$244+Inputs!$B$246),(1/(1-Inputs!$B$245))^(1/Inputs!$B$246)-1,IF(AND(Inputs!$B$249&lt;&gt;"",Z$2=Inputs!$B$249),-Inputs!$B$250,IF(AND(Inputs!$B$249&lt;&gt;"",Z$2&gt;Inputs!$B$249,Z$2&lt;=Inputs!$B$249+Inputs!$B$251),(1/(1-Inputs!$B$250))^(1/Inputs!$B$251)-1,stinc)))))))))))+Z60*SQRT(MAX(1+IF(AND(Inputs!$B$229&lt;&gt;"",Z$2=Inputs!$B$229),-Inputs!$B$230,IF(AND(Inputs!$B$229&lt;&gt;"",Z$2&gt;Inputs!$B$229,Z$2&lt;=Inputs!$B$229+Inputs!$B$231),(1/(1-Inputs!$B$230))^(1/Inputs!$B$231)-1,IF(AND(Inputs!$B$234&lt;&gt;"",Z$2=Inputs!$B$234),-Inputs!$B$235,IF(AND(Inputs!$B$234&lt;&gt;"",Z$2&gt;Inputs!$B$234,Z$2&lt;=Inputs!$B$234+Inputs!$B$236),(1/(1-Inputs!$B$235))^(1/Inputs!$B$236)-1,IF(AND(Inputs!$B$239&lt;&gt;"",Z$2=Inputs!$B$239),-Inputs!$B$240,IF(AND(Inputs!$B$239&lt;&gt;"",Z$2&gt;Inputs!$B$239,Z$2&lt;=Inputs!$B$239+Inputs!$B$241),(1/(1-Inputs!$B$240))^(1/Inputs!$B$241)-1,IF(AND(Inputs!$B$244&lt;&gt;"",Z$2=Inputs!$B$244),-Inputs!$B$245,IF(AND(Inputs!$B$244&lt;&gt;"",Z$2&gt;Inputs!$B$244,Z$2&lt;=Inputs!$B$244+Inputs!$B$246),(1/(1-Inputs!$B$245))^(1/Inputs!$B$246)-1,IF(AND(Inputs!$B$249&lt;&gt;"",Z$2=Inputs!$B$249),-Inputs!$B$250,IF(AND(Inputs!$B$249&lt;&gt;"",Z$2&gt;Inputs!$B$249,Z$2&lt;=Inputs!$B$249+Inputs!$B$251),(1/(1-Inputs!$B$250))^(1/Inputs!$B$251)-1,stinc)))))))))),0))</f>
        <v>75615.935940165553</v>
      </c>
      <c r="AA83" s="7">
        <f ca="1">Z83*(1+IF(AND(Inputs!$B$229&lt;&gt;"",AA$2=Inputs!$B$229),-Inputs!$B$230,IF(AND(Inputs!$B$229&lt;&gt;"",AA$2&gt;Inputs!$B$229,AA$2&lt;=Inputs!$B$229+Inputs!$B$231),(1/(1-Inputs!$B$230))^(1/Inputs!$B$231)-1,IF(AND(Inputs!$B$234&lt;&gt;"",AA$2=Inputs!$B$234),-Inputs!$B$235,IF(AND(Inputs!$B$234&lt;&gt;"",AA$2&gt;Inputs!$B$234,AA$2&lt;=Inputs!$B$234+Inputs!$B$236),(1/(1-Inputs!$B$235))^(1/Inputs!$B$236)-1,IF(AND(Inputs!$B$239&lt;&gt;"",AA$2=Inputs!$B$239),-Inputs!$B$240,IF(AND(Inputs!$B$239&lt;&gt;"",AA$2&gt;Inputs!$B$239,AA$2&lt;=Inputs!$B$239+Inputs!$B$241),(1/(1-Inputs!$B$240))^(1/Inputs!$B$241)-1,IF(AND(Inputs!$B$244&lt;&gt;"",AA$2=Inputs!$B$244),-Inputs!$B$245,IF(AND(Inputs!$B$244&lt;&gt;"",AA$2&gt;Inputs!$B$244,AA$2&lt;=Inputs!$B$244+Inputs!$B$246),(1/(1-Inputs!$B$245))^(1/Inputs!$B$246)-1,IF(AND(Inputs!$B$249&lt;&gt;"",AA$2=Inputs!$B$249),-Inputs!$B$250,IF(AND(Inputs!$B$249&lt;&gt;"",AA$2&gt;Inputs!$B$249,AA$2&lt;=Inputs!$B$249+Inputs!$B$251),(1/(1-Inputs!$B$250))^(1/Inputs!$B$251)-1,stinc)))))))))))+AA60*SQRT(MAX(1+IF(AND(Inputs!$B$229&lt;&gt;"",AA$2=Inputs!$B$229),-Inputs!$B$230,IF(AND(Inputs!$B$229&lt;&gt;"",AA$2&gt;Inputs!$B$229,AA$2&lt;=Inputs!$B$229+Inputs!$B$231),(1/(1-Inputs!$B$230))^(1/Inputs!$B$231)-1,IF(AND(Inputs!$B$234&lt;&gt;"",AA$2=Inputs!$B$234),-Inputs!$B$235,IF(AND(Inputs!$B$234&lt;&gt;"",AA$2&gt;Inputs!$B$234,AA$2&lt;=Inputs!$B$234+Inputs!$B$236),(1/(1-Inputs!$B$235))^(1/Inputs!$B$236)-1,IF(AND(Inputs!$B$239&lt;&gt;"",AA$2=Inputs!$B$239),-Inputs!$B$240,IF(AND(Inputs!$B$239&lt;&gt;"",AA$2&gt;Inputs!$B$239,AA$2&lt;=Inputs!$B$239+Inputs!$B$241),(1/(1-Inputs!$B$240))^(1/Inputs!$B$241)-1,IF(AND(Inputs!$B$244&lt;&gt;"",AA$2=Inputs!$B$244),-Inputs!$B$245,IF(AND(Inputs!$B$244&lt;&gt;"",AA$2&gt;Inputs!$B$244,AA$2&lt;=Inputs!$B$244+Inputs!$B$246),(1/(1-Inputs!$B$245))^(1/Inputs!$B$246)-1,IF(AND(Inputs!$B$249&lt;&gt;"",AA$2=Inputs!$B$249),-Inputs!$B$250,IF(AND(Inputs!$B$249&lt;&gt;"",AA$2&gt;Inputs!$B$249,AA$2&lt;=Inputs!$B$249+Inputs!$B$251),(1/(1-Inputs!$B$250))^(1/Inputs!$B$251)-1,stinc)))))))))),0))</f>
        <v>54443.473876919197</v>
      </c>
      <c r="AB83" s="7">
        <f ca="1">AA83*(1+IF(AND(Inputs!$B$229&lt;&gt;"",AB$2=Inputs!$B$229),-Inputs!$B$230,IF(AND(Inputs!$B$229&lt;&gt;"",AB$2&gt;Inputs!$B$229,AB$2&lt;=Inputs!$B$229+Inputs!$B$231),(1/(1-Inputs!$B$230))^(1/Inputs!$B$231)-1,IF(AND(Inputs!$B$234&lt;&gt;"",AB$2=Inputs!$B$234),-Inputs!$B$235,IF(AND(Inputs!$B$234&lt;&gt;"",AB$2&gt;Inputs!$B$234,AB$2&lt;=Inputs!$B$234+Inputs!$B$236),(1/(1-Inputs!$B$235))^(1/Inputs!$B$236)-1,IF(AND(Inputs!$B$239&lt;&gt;"",AB$2=Inputs!$B$239),-Inputs!$B$240,IF(AND(Inputs!$B$239&lt;&gt;"",AB$2&gt;Inputs!$B$239,AB$2&lt;=Inputs!$B$239+Inputs!$B$241),(1/(1-Inputs!$B$240))^(1/Inputs!$B$241)-1,IF(AND(Inputs!$B$244&lt;&gt;"",AB$2=Inputs!$B$244),-Inputs!$B$245,IF(AND(Inputs!$B$244&lt;&gt;"",AB$2&gt;Inputs!$B$244,AB$2&lt;=Inputs!$B$244+Inputs!$B$246),(1/(1-Inputs!$B$245))^(1/Inputs!$B$246)-1,IF(AND(Inputs!$B$249&lt;&gt;"",AB$2=Inputs!$B$249),-Inputs!$B$250,IF(AND(Inputs!$B$249&lt;&gt;"",AB$2&gt;Inputs!$B$249,AB$2&lt;=Inputs!$B$249+Inputs!$B$251),(1/(1-Inputs!$B$250))^(1/Inputs!$B$251)-1,stinc)))))))))))+AB60*SQRT(MAX(1+IF(AND(Inputs!$B$229&lt;&gt;"",AB$2=Inputs!$B$229),-Inputs!$B$230,IF(AND(Inputs!$B$229&lt;&gt;"",AB$2&gt;Inputs!$B$229,AB$2&lt;=Inputs!$B$229+Inputs!$B$231),(1/(1-Inputs!$B$230))^(1/Inputs!$B$231)-1,IF(AND(Inputs!$B$234&lt;&gt;"",AB$2=Inputs!$B$234),-Inputs!$B$235,IF(AND(Inputs!$B$234&lt;&gt;"",AB$2&gt;Inputs!$B$234,AB$2&lt;=Inputs!$B$234+Inputs!$B$236),(1/(1-Inputs!$B$235))^(1/Inputs!$B$236)-1,IF(AND(Inputs!$B$239&lt;&gt;"",AB$2=Inputs!$B$239),-Inputs!$B$240,IF(AND(Inputs!$B$239&lt;&gt;"",AB$2&gt;Inputs!$B$239,AB$2&lt;=Inputs!$B$239+Inputs!$B$241),(1/(1-Inputs!$B$240))^(1/Inputs!$B$241)-1,IF(AND(Inputs!$B$244&lt;&gt;"",AB$2=Inputs!$B$244),-Inputs!$B$245,IF(AND(Inputs!$B$244&lt;&gt;"",AB$2&gt;Inputs!$B$244,AB$2&lt;=Inputs!$B$244+Inputs!$B$246),(1/(1-Inputs!$B$245))^(1/Inputs!$B$246)-1,IF(AND(Inputs!$B$249&lt;&gt;"",AB$2=Inputs!$B$249),-Inputs!$B$250,IF(AND(Inputs!$B$249&lt;&gt;"",AB$2&gt;Inputs!$B$249,AB$2&lt;=Inputs!$B$249+Inputs!$B$251),(1/(1-Inputs!$B$250))^(1/Inputs!$B$251)-1,stinc)))))))))),0))</f>
        <v>57507.401697207861</v>
      </c>
      <c r="AC83" s="7">
        <f ca="1">AB83*(1+IF(AND(Inputs!$B$229&lt;&gt;"",AC$2=Inputs!$B$229),-Inputs!$B$230,IF(AND(Inputs!$B$229&lt;&gt;"",AC$2&gt;Inputs!$B$229,AC$2&lt;=Inputs!$B$229+Inputs!$B$231),(1/(1-Inputs!$B$230))^(1/Inputs!$B$231)-1,IF(AND(Inputs!$B$234&lt;&gt;"",AC$2=Inputs!$B$234),-Inputs!$B$235,IF(AND(Inputs!$B$234&lt;&gt;"",AC$2&gt;Inputs!$B$234,AC$2&lt;=Inputs!$B$234+Inputs!$B$236),(1/(1-Inputs!$B$235))^(1/Inputs!$B$236)-1,IF(AND(Inputs!$B$239&lt;&gt;"",AC$2=Inputs!$B$239),-Inputs!$B$240,IF(AND(Inputs!$B$239&lt;&gt;"",AC$2&gt;Inputs!$B$239,AC$2&lt;=Inputs!$B$239+Inputs!$B$241),(1/(1-Inputs!$B$240))^(1/Inputs!$B$241)-1,IF(AND(Inputs!$B$244&lt;&gt;"",AC$2=Inputs!$B$244),-Inputs!$B$245,IF(AND(Inputs!$B$244&lt;&gt;"",AC$2&gt;Inputs!$B$244,AC$2&lt;=Inputs!$B$244+Inputs!$B$246),(1/(1-Inputs!$B$245))^(1/Inputs!$B$246)-1,IF(AND(Inputs!$B$249&lt;&gt;"",AC$2=Inputs!$B$249),-Inputs!$B$250,IF(AND(Inputs!$B$249&lt;&gt;"",AC$2&gt;Inputs!$B$249,AC$2&lt;=Inputs!$B$249+Inputs!$B$251),(1/(1-Inputs!$B$250))^(1/Inputs!$B$251)-1,stinc)))))))))))+AC60*SQRT(MAX(1+IF(AND(Inputs!$B$229&lt;&gt;"",AC$2=Inputs!$B$229),-Inputs!$B$230,IF(AND(Inputs!$B$229&lt;&gt;"",AC$2&gt;Inputs!$B$229,AC$2&lt;=Inputs!$B$229+Inputs!$B$231),(1/(1-Inputs!$B$230))^(1/Inputs!$B$231)-1,IF(AND(Inputs!$B$234&lt;&gt;"",AC$2=Inputs!$B$234),-Inputs!$B$235,IF(AND(Inputs!$B$234&lt;&gt;"",AC$2&gt;Inputs!$B$234,AC$2&lt;=Inputs!$B$234+Inputs!$B$236),(1/(1-Inputs!$B$235))^(1/Inputs!$B$236)-1,IF(AND(Inputs!$B$239&lt;&gt;"",AC$2=Inputs!$B$239),-Inputs!$B$240,IF(AND(Inputs!$B$239&lt;&gt;"",AC$2&gt;Inputs!$B$239,AC$2&lt;=Inputs!$B$239+Inputs!$B$241),(1/(1-Inputs!$B$240))^(1/Inputs!$B$241)-1,IF(AND(Inputs!$B$244&lt;&gt;"",AC$2=Inputs!$B$244),-Inputs!$B$245,IF(AND(Inputs!$B$244&lt;&gt;"",AC$2&gt;Inputs!$B$244,AC$2&lt;=Inputs!$B$244+Inputs!$B$246),(1/(1-Inputs!$B$245))^(1/Inputs!$B$246)-1,IF(AND(Inputs!$B$249&lt;&gt;"",AC$2=Inputs!$B$249),-Inputs!$B$250,IF(AND(Inputs!$B$249&lt;&gt;"",AC$2&gt;Inputs!$B$249,AC$2&lt;=Inputs!$B$249+Inputs!$B$251),(1/(1-Inputs!$B$250))^(1/Inputs!$B$251)-1,stinc)))))))))),0))</f>
        <v>60743.758883579256</v>
      </c>
      <c r="AD83" s="7">
        <f ca="1">AC83*(1+IF(AND(Inputs!$B$229&lt;&gt;"",AD$2=Inputs!$B$229),-Inputs!$B$230,IF(AND(Inputs!$B$229&lt;&gt;"",AD$2&gt;Inputs!$B$229,AD$2&lt;=Inputs!$B$229+Inputs!$B$231),(1/(1-Inputs!$B$230))^(1/Inputs!$B$231)-1,IF(AND(Inputs!$B$234&lt;&gt;"",AD$2=Inputs!$B$234),-Inputs!$B$235,IF(AND(Inputs!$B$234&lt;&gt;"",AD$2&gt;Inputs!$B$234,AD$2&lt;=Inputs!$B$234+Inputs!$B$236),(1/(1-Inputs!$B$235))^(1/Inputs!$B$236)-1,IF(AND(Inputs!$B$239&lt;&gt;"",AD$2=Inputs!$B$239),-Inputs!$B$240,IF(AND(Inputs!$B$239&lt;&gt;"",AD$2&gt;Inputs!$B$239,AD$2&lt;=Inputs!$B$239+Inputs!$B$241),(1/(1-Inputs!$B$240))^(1/Inputs!$B$241)-1,IF(AND(Inputs!$B$244&lt;&gt;"",AD$2=Inputs!$B$244),-Inputs!$B$245,IF(AND(Inputs!$B$244&lt;&gt;"",AD$2&gt;Inputs!$B$244,AD$2&lt;=Inputs!$B$244+Inputs!$B$246),(1/(1-Inputs!$B$245))^(1/Inputs!$B$246)-1,IF(AND(Inputs!$B$249&lt;&gt;"",AD$2=Inputs!$B$249),-Inputs!$B$250,IF(AND(Inputs!$B$249&lt;&gt;"",AD$2&gt;Inputs!$B$249,AD$2&lt;=Inputs!$B$249+Inputs!$B$251),(1/(1-Inputs!$B$250))^(1/Inputs!$B$251)-1,stinc)))))))))))+AD60*SQRT(MAX(1+IF(AND(Inputs!$B$229&lt;&gt;"",AD$2=Inputs!$B$229),-Inputs!$B$230,IF(AND(Inputs!$B$229&lt;&gt;"",AD$2&gt;Inputs!$B$229,AD$2&lt;=Inputs!$B$229+Inputs!$B$231),(1/(1-Inputs!$B$230))^(1/Inputs!$B$231)-1,IF(AND(Inputs!$B$234&lt;&gt;"",AD$2=Inputs!$B$234),-Inputs!$B$235,IF(AND(Inputs!$B$234&lt;&gt;"",AD$2&gt;Inputs!$B$234,AD$2&lt;=Inputs!$B$234+Inputs!$B$236),(1/(1-Inputs!$B$235))^(1/Inputs!$B$236)-1,IF(AND(Inputs!$B$239&lt;&gt;"",AD$2=Inputs!$B$239),-Inputs!$B$240,IF(AND(Inputs!$B$239&lt;&gt;"",AD$2&gt;Inputs!$B$239,AD$2&lt;=Inputs!$B$239+Inputs!$B$241),(1/(1-Inputs!$B$240))^(1/Inputs!$B$241)-1,IF(AND(Inputs!$B$244&lt;&gt;"",AD$2=Inputs!$B$244),-Inputs!$B$245,IF(AND(Inputs!$B$244&lt;&gt;"",AD$2&gt;Inputs!$B$244,AD$2&lt;=Inputs!$B$244+Inputs!$B$246),(1/(1-Inputs!$B$245))^(1/Inputs!$B$246)-1,IF(AND(Inputs!$B$249&lt;&gt;"",AD$2=Inputs!$B$249),-Inputs!$B$250,IF(AND(Inputs!$B$249&lt;&gt;"",AD$2&gt;Inputs!$B$249,AD$2&lt;=Inputs!$B$249+Inputs!$B$251),(1/(1-Inputs!$B$250))^(1/Inputs!$B$251)-1,stinc)))))))))),0))</f>
        <v>64162.249282870376</v>
      </c>
      <c r="AE83" s="7">
        <f ca="1">AD83*(1+IF(AND(Inputs!$B$229&lt;&gt;"",AE$2=Inputs!$B$229),-Inputs!$B$230,IF(AND(Inputs!$B$229&lt;&gt;"",AE$2&gt;Inputs!$B$229,AE$2&lt;=Inputs!$B$229+Inputs!$B$231),(1/(1-Inputs!$B$230))^(1/Inputs!$B$231)-1,IF(AND(Inputs!$B$234&lt;&gt;"",AE$2=Inputs!$B$234),-Inputs!$B$235,IF(AND(Inputs!$B$234&lt;&gt;"",AE$2&gt;Inputs!$B$234,AE$2&lt;=Inputs!$B$234+Inputs!$B$236),(1/(1-Inputs!$B$235))^(1/Inputs!$B$236)-1,IF(AND(Inputs!$B$239&lt;&gt;"",AE$2=Inputs!$B$239),-Inputs!$B$240,IF(AND(Inputs!$B$239&lt;&gt;"",AE$2&gt;Inputs!$B$239,AE$2&lt;=Inputs!$B$239+Inputs!$B$241),(1/(1-Inputs!$B$240))^(1/Inputs!$B$241)-1,IF(AND(Inputs!$B$244&lt;&gt;"",AE$2=Inputs!$B$244),-Inputs!$B$245,IF(AND(Inputs!$B$244&lt;&gt;"",AE$2&gt;Inputs!$B$244,AE$2&lt;=Inputs!$B$244+Inputs!$B$246),(1/(1-Inputs!$B$245))^(1/Inputs!$B$246)-1,IF(AND(Inputs!$B$249&lt;&gt;"",AE$2=Inputs!$B$249),-Inputs!$B$250,IF(AND(Inputs!$B$249&lt;&gt;"",AE$2&gt;Inputs!$B$249,AE$2&lt;=Inputs!$B$249+Inputs!$B$251),(1/(1-Inputs!$B$250))^(1/Inputs!$B$251)-1,stinc)))))))))))+AE60*SQRT(MAX(1+IF(AND(Inputs!$B$229&lt;&gt;"",AE$2=Inputs!$B$229),-Inputs!$B$230,IF(AND(Inputs!$B$229&lt;&gt;"",AE$2&gt;Inputs!$B$229,AE$2&lt;=Inputs!$B$229+Inputs!$B$231),(1/(1-Inputs!$B$230))^(1/Inputs!$B$231)-1,IF(AND(Inputs!$B$234&lt;&gt;"",AE$2=Inputs!$B$234),-Inputs!$B$235,IF(AND(Inputs!$B$234&lt;&gt;"",AE$2&gt;Inputs!$B$234,AE$2&lt;=Inputs!$B$234+Inputs!$B$236),(1/(1-Inputs!$B$235))^(1/Inputs!$B$236)-1,IF(AND(Inputs!$B$239&lt;&gt;"",AE$2=Inputs!$B$239),-Inputs!$B$240,IF(AND(Inputs!$B$239&lt;&gt;"",AE$2&gt;Inputs!$B$239,AE$2&lt;=Inputs!$B$239+Inputs!$B$241),(1/(1-Inputs!$B$240))^(1/Inputs!$B$241)-1,IF(AND(Inputs!$B$244&lt;&gt;"",AE$2=Inputs!$B$244),-Inputs!$B$245,IF(AND(Inputs!$B$244&lt;&gt;"",AE$2&gt;Inputs!$B$244,AE$2&lt;=Inputs!$B$244+Inputs!$B$246),(1/(1-Inputs!$B$245))^(1/Inputs!$B$246)-1,IF(AND(Inputs!$B$249&lt;&gt;"",AE$2=Inputs!$B$249),-Inputs!$B$250,IF(AND(Inputs!$B$249&lt;&gt;"",AE$2&gt;Inputs!$B$249,AE$2&lt;=Inputs!$B$249+Inputs!$B$251),(1/(1-Inputs!$B$250))^(1/Inputs!$B$251)-1,stinc)))))))))),0))</f>
        <v>67773.122847524093</v>
      </c>
      <c r="AF83" s="7">
        <f ca="1">AE83*(1+IF(AND(Inputs!$B$229&lt;&gt;"",AF$2=Inputs!$B$229),-Inputs!$B$230,IF(AND(Inputs!$B$229&lt;&gt;"",AF$2&gt;Inputs!$B$229,AF$2&lt;=Inputs!$B$229+Inputs!$B$231),(1/(1-Inputs!$B$230))^(1/Inputs!$B$231)-1,IF(AND(Inputs!$B$234&lt;&gt;"",AF$2=Inputs!$B$234),-Inputs!$B$235,IF(AND(Inputs!$B$234&lt;&gt;"",AF$2&gt;Inputs!$B$234,AF$2&lt;=Inputs!$B$234+Inputs!$B$236),(1/(1-Inputs!$B$235))^(1/Inputs!$B$236)-1,IF(AND(Inputs!$B$239&lt;&gt;"",AF$2=Inputs!$B$239),-Inputs!$B$240,IF(AND(Inputs!$B$239&lt;&gt;"",AF$2&gt;Inputs!$B$239,AF$2&lt;=Inputs!$B$239+Inputs!$B$241),(1/(1-Inputs!$B$240))^(1/Inputs!$B$241)-1,IF(AND(Inputs!$B$244&lt;&gt;"",AF$2=Inputs!$B$244),-Inputs!$B$245,IF(AND(Inputs!$B$244&lt;&gt;"",AF$2&gt;Inputs!$B$244,AF$2&lt;=Inputs!$B$244+Inputs!$B$246),(1/(1-Inputs!$B$245))^(1/Inputs!$B$246)-1,IF(AND(Inputs!$B$249&lt;&gt;"",AF$2=Inputs!$B$249),-Inputs!$B$250,IF(AND(Inputs!$B$249&lt;&gt;"",AF$2&gt;Inputs!$B$249,AF$2&lt;=Inputs!$B$249+Inputs!$B$251),(1/(1-Inputs!$B$250))^(1/Inputs!$B$251)-1,stinc)))))))))))+AF60*SQRT(MAX(1+IF(AND(Inputs!$B$229&lt;&gt;"",AF$2=Inputs!$B$229),-Inputs!$B$230,IF(AND(Inputs!$B$229&lt;&gt;"",AF$2&gt;Inputs!$B$229,AF$2&lt;=Inputs!$B$229+Inputs!$B$231),(1/(1-Inputs!$B$230))^(1/Inputs!$B$231)-1,IF(AND(Inputs!$B$234&lt;&gt;"",AF$2=Inputs!$B$234),-Inputs!$B$235,IF(AND(Inputs!$B$234&lt;&gt;"",AF$2&gt;Inputs!$B$234,AF$2&lt;=Inputs!$B$234+Inputs!$B$236),(1/(1-Inputs!$B$235))^(1/Inputs!$B$236)-1,IF(AND(Inputs!$B$239&lt;&gt;"",AF$2=Inputs!$B$239),-Inputs!$B$240,IF(AND(Inputs!$B$239&lt;&gt;"",AF$2&gt;Inputs!$B$239,AF$2&lt;=Inputs!$B$239+Inputs!$B$241),(1/(1-Inputs!$B$240))^(1/Inputs!$B$241)-1,IF(AND(Inputs!$B$244&lt;&gt;"",AF$2=Inputs!$B$244),-Inputs!$B$245,IF(AND(Inputs!$B$244&lt;&gt;"",AF$2&gt;Inputs!$B$244,AF$2&lt;=Inputs!$B$244+Inputs!$B$246),(1/(1-Inputs!$B$245))^(1/Inputs!$B$246)-1,IF(AND(Inputs!$B$249&lt;&gt;"",AF$2=Inputs!$B$249),-Inputs!$B$250,IF(AND(Inputs!$B$249&lt;&gt;"",AF$2&gt;Inputs!$B$249,AF$2&lt;=Inputs!$B$249+Inputs!$B$251),(1/(1-Inputs!$B$250))^(1/Inputs!$B$251)-1,stinc)))))))))),0))</f>
        <v>71587.206368899147</v>
      </c>
      <c r="AG83" s="7">
        <f ca="1">AF83*(1+IF(AND(Inputs!$B$229&lt;&gt;"",AG$2=Inputs!$B$229),-Inputs!$B$230,IF(AND(Inputs!$B$229&lt;&gt;"",AG$2&gt;Inputs!$B$229,AG$2&lt;=Inputs!$B$229+Inputs!$B$231),(1/(1-Inputs!$B$230))^(1/Inputs!$B$231)-1,IF(AND(Inputs!$B$234&lt;&gt;"",AG$2=Inputs!$B$234),-Inputs!$B$235,IF(AND(Inputs!$B$234&lt;&gt;"",AG$2&gt;Inputs!$B$234,AG$2&lt;=Inputs!$B$234+Inputs!$B$236),(1/(1-Inputs!$B$235))^(1/Inputs!$B$236)-1,IF(AND(Inputs!$B$239&lt;&gt;"",AG$2=Inputs!$B$239),-Inputs!$B$240,IF(AND(Inputs!$B$239&lt;&gt;"",AG$2&gt;Inputs!$B$239,AG$2&lt;=Inputs!$B$239+Inputs!$B$241),(1/(1-Inputs!$B$240))^(1/Inputs!$B$241)-1,IF(AND(Inputs!$B$244&lt;&gt;"",AG$2=Inputs!$B$244),-Inputs!$B$245,IF(AND(Inputs!$B$244&lt;&gt;"",AG$2&gt;Inputs!$B$244,AG$2&lt;=Inputs!$B$244+Inputs!$B$246),(1/(1-Inputs!$B$245))^(1/Inputs!$B$246)-1,IF(AND(Inputs!$B$249&lt;&gt;"",AG$2=Inputs!$B$249),-Inputs!$B$250,IF(AND(Inputs!$B$249&lt;&gt;"",AG$2&gt;Inputs!$B$249,AG$2&lt;=Inputs!$B$249+Inputs!$B$251),(1/(1-Inputs!$B$250))^(1/Inputs!$B$251)-1,stinc)))))))))))+AG60*SQRT(MAX(1+IF(AND(Inputs!$B$229&lt;&gt;"",AG$2=Inputs!$B$229),-Inputs!$B$230,IF(AND(Inputs!$B$229&lt;&gt;"",AG$2&gt;Inputs!$B$229,AG$2&lt;=Inputs!$B$229+Inputs!$B$231),(1/(1-Inputs!$B$230))^(1/Inputs!$B$231)-1,IF(AND(Inputs!$B$234&lt;&gt;"",AG$2=Inputs!$B$234),-Inputs!$B$235,IF(AND(Inputs!$B$234&lt;&gt;"",AG$2&gt;Inputs!$B$234,AG$2&lt;=Inputs!$B$234+Inputs!$B$236),(1/(1-Inputs!$B$235))^(1/Inputs!$B$236)-1,IF(AND(Inputs!$B$239&lt;&gt;"",AG$2=Inputs!$B$239),-Inputs!$B$240,IF(AND(Inputs!$B$239&lt;&gt;"",AG$2&gt;Inputs!$B$239,AG$2&lt;=Inputs!$B$239+Inputs!$B$241),(1/(1-Inputs!$B$240))^(1/Inputs!$B$241)-1,IF(AND(Inputs!$B$244&lt;&gt;"",AG$2=Inputs!$B$244),-Inputs!$B$245,IF(AND(Inputs!$B$244&lt;&gt;"",AG$2&gt;Inputs!$B$244,AG$2&lt;=Inputs!$B$244+Inputs!$B$246),(1/(1-Inputs!$B$245))^(1/Inputs!$B$246)-1,IF(AND(Inputs!$B$249&lt;&gt;"",AG$2=Inputs!$B$249),-Inputs!$B$250,IF(AND(Inputs!$B$249&lt;&gt;"",AG$2&gt;Inputs!$B$249,AG$2&lt;=Inputs!$B$249+Inputs!$B$251),(1/(1-Inputs!$B$250))^(1/Inputs!$B$251)-1,stinc)))))))))),0))</f>
        <v>75615.935940165582</v>
      </c>
      <c r="AH83" s="7">
        <f ca="1">AG83*(1+IF(AND(Inputs!$B$229&lt;&gt;"",AH$2=Inputs!$B$229),-Inputs!$B$230,IF(AND(Inputs!$B$229&lt;&gt;"",AH$2&gt;Inputs!$B$229,AH$2&lt;=Inputs!$B$229+Inputs!$B$231),(1/(1-Inputs!$B$230))^(1/Inputs!$B$231)-1,IF(AND(Inputs!$B$234&lt;&gt;"",AH$2=Inputs!$B$234),-Inputs!$B$235,IF(AND(Inputs!$B$234&lt;&gt;"",AH$2&gt;Inputs!$B$234,AH$2&lt;=Inputs!$B$234+Inputs!$B$236),(1/(1-Inputs!$B$235))^(1/Inputs!$B$236)-1,IF(AND(Inputs!$B$239&lt;&gt;"",AH$2=Inputs!$B$239),-Inputs!$B$240,IF(AND(Inputs!$B$239&lt;&gt;"",AH$2&gt;Inputs!$B$239,AH$2&lt;=Inputs!$B$239+Inputs!$B$241),(1/(1-Inputs!$B$240))^(1/Inputs!$B$241)-1,IF(AND(Inputs!$B$244&lt;&gt;"",AH$2=Inputs!$B$244),-Inputs!$B$245,IF(AND(Inputs!$B$244&lt;&gt;"",AH$2&gt;Inputs!$B$244,AH$2&lt;=Inputs!$B$244+Inputs!$B$246),(1/(1-Inputs!$B$245))^(1/Inputs!$B$246)-1,IF(AND(Inputs!$B$249&lt;&gt;"",AH$2=Inputs!$B$249),-Inputs!$B$250,IF(AND(Inputs!$B$249&lt;&gt;"",AH$2&gt;Inputs!$B$249,AH$2&lt;=Inputs!$B$249+Inputs!$B$251),(1/(1-Inputs!$B$250))^(1/Inputs!$B$251)-1,stinc)))))))))))+AH60*SQRT(MAX(1+IF(AND(Inputs!$B$229&lt;&gt;"",AH$2=Inputs!$B$229),-Inputs!$B$230,IF(AND(Inputs!$B$229&lt;&gt;"",AH$2&gt;Inputs!$B$229,AH$2&lt;=Inputs!$B$229+Inputs!$B$231),(1/(1-Inputs!$B$230))^(1/Inputs!$B$231)-1,IF(AND(Inputs!$B$234&lt;&gt;"",AH$2=Inputs!$B$234),-Inputs!$B$235,IF(AND(Inputs!$B$234&lt;&gt;"",AH$2&gt;Inputs!$B$234,AH$2&lt;=Inputs!$B$234+Inputs!$B$236),(1/(1-Inputs!$B$235))^(1/Inputs!$B$236)-1,IF(AND(Inputs!$B$239&lt;&gt;"",AH$2=Inputs!$B$239),-Inputs!$B$240,IF(AND(Inputs!$B$239&lt;&gt;"",AH$2&gt;Inputs!$B$239,AH$2&lt;=Inputs!$B$239+Inputs!$B$241),(1/(1-Inputs!$B$240))^(1/Inputs!$B$241)-1,IF(AND(Inputs!$B$244&lt;&gt;"",AH$2=Inputs!$B$244),-Inputs!$B$245,IF(AND(Inputs!$B$244&lt;&gt;"",AH$2&gt;Inputs!$B$244,AH$2&lt;=Inputs!$B$244+Inputs!$B$246),(1/(1-Inputs!$B$245))^(1/Inputs!$B$246)-1,IF(AND(Inputs!$B$249&lt;&gt;"",AH$2=Inputs!$B$249),-Inputs!$B$250,IF(AND(Inputs!$B$249&lt;&gt;"",AH$2&gt;Inputs!$B$249,AH$2&lt;=Inputs!$B$249+Inputs!$B$251),(1/(1-Inputs!$B$250))^(1/Inputs!$B$251)-1,stinc)))))))))),0))</f>
        <v>81665.210815378829</v>
      </c>
      <c r="AI83" s="7">
        <f ca="1">AH83*(1+IF(AND(Inputs!$B$229&lt;&gt;"",AI$2=Inputs!$B$229),-Inputs!$B$230,IF(AND(Inputs!$B$229&lt;&gt;"",AI$2&gt;Inputs!$B$229,AI$2&lt;=Inputs!$B$229+Inputs!$B$231),(1/(1-Inputs!$B$230))^(1/Inputs!$B$231)-1,IF(AND(Inputs!$B$234&lt;&gt;"",AI$2=Inputs!$B$234),-Inputs!$B$235,IF(AND(Inputs!$B$234&lt;&gt;"",AI$2&gt;Inputs!$B$234,AI$2&lt;=Inputs!$B$234+Inputs!$B$236),(1/(1-Inputs!$B$235))^(1/Inputs!$B$236)-1,IF(AND(Inputs!$B$239&lt;&gt;"",AI$2=Inputs!$B$239),-Inputs!$B$240,IF(AND(Inputs!$B$239&lt;&gt;"",AI$2&gt;Inputs!$B$239,AI$2&lt;=Inputs!$B$239+Inputs!$B$241),(1/(1-Inputs!$B$240))^(1/Inputs!$B$241)-1,IF(AND(Inputs!$B$244&lt;&gt;"",AI$2=Inputs!$B$244),-Inputs!$B$245,IF(AND(Inputs!$B$244&lt;&gt;"",AI$2&gt;Inputs!$B$244,AI$2&lt;=Inputs!$B$244+Inputs!$B$246),(1/(1-Inputs!$B$245))^(1/Inputs!$B$246)-1,IF(AND(Inputs!$B$249&lt;&gt;"",AI$2=Inputs!$B$249),-Inputs!$B$250,IF(AND(Inputs!$B$249&lt;&gt;"",AI$2&gt;Inputs!$B$249,AI$2&lt;=Inputs!$B$249+Inputs!$B$251),(1/(1-Inputs!$B$250))^(1/Inputs!$B$251)-1,stinc)))))))))))+AI60*SQRT(MAX(1+IF(AND(Inputs!$B$229&lt;&gt;"",AI$2=Inputs!$B$229),-Inputs!$B$230,IF(AND(Inputs!$B$229&lt;&gt;"",AI$2&gt;Inputs!$B$229,AI$2&lt;=Inputs!$B$229+Inputs!$B$231),(1/(1-Inputs!$B$230))^(1/Inputs!$B$231)-1,IF(AND(Inputs!$B$234&lt;&gt;"",AI$2=Inputs!$B$234),-Inputs!$B$235,IF(AND(Inputs!$B$234&lt;&gt;"",AI$2&gt;Inputs!$B$234,AI$2&lt;=Inputs!$B$234+Inputs!$B$236),(1/(1-Inputs!$B$235))^(1/Inputs!$B$236)-1,IF(AND(Inputs!$B$239&lt;&gt;"",AI$2=Inputs!$B$239),-Inputs!$B$240,IF(AND(Inputs!$B$239&lt;&gt;"",AI$2&gt;Inputs!$B$239,AI$2&lt;=Inputs!$B$239+Inputs!$B$241),(1/(1-Inputs!$B$240))^(1/Inputs!$B$241)-1,IF(AND(Inputs!$B$244&lt;&gt;"",AI$2=Inputs!$B$244),-Inputs!$B$245,IF(AND(Inputs!$B$244&lt;&gt;"",AI$2&gt;Inputs!$B$244,AI$2&lt;=Inputs!$B$244+Inputs!$B$246),(1/(1-Inputs!$B$245))^(1/Inputs!$B$246)-1,IF(AND(Inputs!$B$249&lt;&gt;"",AI$2=Inputs!$B$249),-Inputs!$B$250,IF(AND(Inputs!$B$249&lt;&gt;"",AI$2&gt;Inputs!$B$249,AI$2&lt;=Inputs!$B$249+Inputs!$B$251),(1/(1-Inputs!$B$250))^(1/Inputs!$B$251)-1,stinc)))))))))),0))</f>
        <v>88198.427680609137</v>
      </c>
      <c r="AJ83" s="7">
        <f ca="1">AI83*(1+IF(AND(Inputs!$B$229&lt;&gt;"",AJ$2=Inputs!$B$229),-Inputs!$B$230,IF(AND(Inputs!$B$229&lt;&gt;"",AJ$2&gt;Inputs!$B$229,AJ$2&lt;=Inputs!$B$229+Inputs!$B$231),(1/(1-Inputs!$B$230))^(1/Inputs!$B$231)-1,IF(AND(Inputs!$B$234&lt;&gt;"",AJ$2=Inputs!$B$234),-Inputs!$B$235,IF(AND(Inputs!$B$234&lt;&gt;"",AJ$2&gt;Inputs!$B$234,AJ$2&lt;=Inputs!$B$234+Inputs!$B$236),(1/(1-Inputs!$B$235))^(1/Inputs!$B$236)-1,IF(AND(Inputs!$B$239&lt;&gt;"",AJ$2=Inputs!$B$239),-Inputs!$B$240,IF(AND(Inputs!$B$239&lt;&gt;"",AJ$2&gt;Inputs!$B$239,AJ$2&lt;=Inputs!$B$239+Inputs!$B$241),(1/(1-Inputs!$B$240))^(1/Inputs!$B$241)-1,IF(AND(Inputs!$B$244&lt;&gt;"",AJ$2=Inputs!$B$244),-Inputs!$B$245,IF(AND(Inputs!$B$244&lt;&gt;"",AJ$2&gt;Inputs!$B$244,AJ$2&lt;=Inputs!$B$244+Inputs!$B$246),(1/(1-Inputs!$B$245))^(1/Inputs!$B$246)-1,IF(AND(Inputs!$B$249&lt;&gt;"",AJ$2=Inputs!$B$249),-Inputs!$B$250,IF(AND(Inputs!$B$249&lt;&gt;"",AJ$2&gt;Inputs!$B$249,AJ$2&lt;=Inputs!$B$249+Inputs!$B$251),(1/(1-Inputs!$B$250))^(1/Inputs!$B$251)-1,stinc)))))))))))+AJ60*SQRT(MAX(1+IF(AND(Inputs!$B$229&lt;&gt;"",AJ$2=Inputs!$B$229),-Inputs!$B$230,IF(AND(Inputs!$B$229&lt;&gt;"",AJ$2&gt;Inputs!$B$229,AJ$2&lt;=Inputs!$B$229+Inputs!$B$231),(1/(1-Inputs!$B$230))^(1/Inputs!$B$231)-1,IF(AND(Inputs!$B$234&lt;&gt;"",AJ$2=Inputs!$B$234),-Inputs!$B$235,IF(AND(Inputs!$B$234&lt;&gt;"",AJ$2&gt;Inputs!$B$234,AJ$2&lt;=Inputs!$B$234+Inputs!$B$236),(1/(1-Inputs!$B$235))^(1/Inputs!$B$236)-1,IF(AND(Inputs!$B$239&lt;&gt;"",AJ$2=Inputs!$B$239),-Inputs!$B$240,IF(AND(Inputs!$B$239&lt;&gt;"",AJ$2&gt;Inputs!$B$239,AJ$2&lt;=Inputs!$B$239+Inputs!$B$241),(1/(1-Inputs!$B$240))^(1/Inputs!$B$241)-1,IF(AND(Inputs!$B$244&lt;&gt;"",AJ$2=Inputs!$B$244),-Inputs!$B$245,IF(AND(Inputs!$B$244&lt;&gt;"",AJ$2&gt;Inputs!$B$244,AJ$2&lt;=Inputs!$B$244+Inputs!$B$246),(1/(1-Inputs!$B$245))^(1/Inputs!$B$246)-1,IF(AND(Inputs!$B$249&lt;&gt;"",AJ$2=Inputs!$B$249),-Inputs!$B$250,IF(AND(Inputs!$B$249&lt;&gt;"",AJ$2&gt;Inputs!$B$249,AJ$2&lt;=Inputs!$B$249+Inputs!$B$251),(1/(1-Inputs!$B$250))^(1/Inputs!$B$251)-1,stinc)))))))))),0))</f>
        <v>95254.30189505787</v>
      </c>
      <c r="AK83" s="7">
        <f ca="1">AJ83*(1+IF(AND(Inputs!$B$229&lt;&gt;"",AK$2=Inputs!$B$229),-Inputs!$B$230,IF(AND(Inputs!$B$229&lt;&gt;"",AK$2&gt;Inputs!$B$229,AK$2&lt;=Inputs!$B$229+Inputs!$B$231),(1/(1-Inputs!$B$230))^(1/Inputs!$B$231)-1,IF(AND(Inputs!$B$234&lt;&gt;"",AK$2=Inputs!$B$234),-Inputs!$B$235,IF(AND(Inputs!$B$234&lt;&gt;"",AK$2&gt;Inputs!$B$234,AK$2&lt;=Inputs!$B$234+Inputs!$B$236),(1/(1-Inputs!$B$235))^(1/Inputs!$B$236)-1,IF(AND(Inputs!$B$239&lt;&gt;"",AK$2=Inputs!$B$239),-Inputs!$B$240,IF(AND(Inputs!$B$239&lt;&gt;"",AK$2&gt;Inputs!$B$239,AK$2&lt;=Inputs!$B$239+Inputs!$B$241),(1/(1-Inputs!$B$240))^(1/Inputs!$B$241)-1,IF(AND(Inputs!$B$244&lt;&gt;"",AK$2=Inputs!$B$244),-Inputs!$B$245,IF(AND(Inputs!$B$244&lt;&gt;"",AK$2&gt;Inputs!$B$244,AK$2&lt;=Inputs!$B$244+Inputs!$B$246),(1/(1-Inputs!$B$245))^(1/Inputs!$B$246)-1,IF(AND(Inputs!$B$249&lt;&gt;"",AK$2=Inputs!$B$249),-Inputs!$B$250,IF(AND(Inputs!$B$249&lt;&gt;"",AK$2&gt;Inputs!$B$249,AK$2&lt;=Inputs!$B$249+Inputs!$B$251),(1/(1-Inputs!$B$250))^(1/Inputs!$B$251)-1,stinc)))))))))))+AK60*SQRT(MAX(1+IF(AND(Inputs!$B$229&lt;&gt;"",AK$2=Inputs!$B$229),-Inputs!$B$230,IF(AND(Inputs!$B$229&lt;&gt;"",AK$2&gt;Inputs!$B$229,AK$2&lt;=Inputs!$B$229+Inputs!$B$231),(1/(1-Inputs!$B$230))^(1/Inputs!$B$231)-1,IF(AND(Inputs!$B$234&lt;&gt;"",AK$2=Inputs!$B$234),-Inputs!$B$235,IF(AND(Inputs!$B$234&lt;&gt;"",AK$2&gt;Inputs!$B$234,AK$2&lt;=Inputs!$B$234+Inputs!$B$236),(1/(1-Inputs!$B$235))^(1/Inputs!$B$236)-1,IF(AND(Inputs!$B$239&lt;&gt;"",AK$2=Inputs!$B$239),-Inputs!$B$240,IF(AND(Inputs!$B$239&lt;&gt;"",AK$2&gt;Inputs!$B$239,AK$2&lt;=Inputs!$B$239+Inputs!$B$241),(1/(1-Inputs!$B$240))^(1/Inputs!$B$241)-1,IF(AND(Inputs!$B$244&lt;&gt;"",AK$2=Inputs!$B$244),-Inputs!$B$245,IF(AND(Inputs!$B$244&lt;&gt;"",AK$2&gt;Inputs!$B$244,AK$2&lt;=Inputs!$B$244+Inputs!$B$246),(1/(1-Inputs!$B$245))^(1/Inputs!$B$246)-1,IF(AND(Inputs!$B$249&lt;&gt;"",AK$2=Inputs!$B$249),-Inputs!$B$250,IF(AND(Inputs!$B$249&lt;&gt;"",AK$2&gt;Inputs!$B$249,AK$2&lt;=Inputs!$B$249+Inputs!$B$251),(1/(1-Inputs!$B$250))^(1/Inputs!$B$251)-1,stinc)))))))))),0))</f>
        <v>102874.6460466625</v>
      </c>
      <c r="AL83" s="7">
        <f ca="1">AK83*(1+IF(AND(Inputs!$B$229&lt;&gt;"",AL$2=Inputs!$B$229),-Inputs!$B$230,IF(AND(Inputs!$B$229&lt;&gt;"",AL$2&gt;Inputs!$B$229,AL$2&lt;=Inputs!$B$229+Inputs!$B$231),(1/(1-Inputs!$B$230))^(1/Inputs!$B$231)-1,IF(AND(Inputs!$B$234&lt;&gt;"",AL$2=Inputs!$B$234),-Inputs!$B$235,IF(AND(Inputs!$B$234&lt;&gt;"",AL$2&gt;Inputs!$B$234,AL$2&lt;=Inputs!$B$234+Inputs!$B$236),(1/(1-Inputs!$B$235))^(1/Inputs!$B$236)-1,IF(AND(Inputs!$B$239&lt;&gt;"",AL$2=Inputs!$B$239),-Inputs!$B$240,IF(AND(Inputs!$B$239&lt;&gt;"",AL$2&gt;Inputs!$B$239,AL$2&lt;=Inputs!$B$239+Inputs!$B$241),(1/(1-Inputs!$B$240))^(1/Inputs!$B$241)-1,IF(AND(Inputs!$B$244&lt;&gt;"",AL$2=Inputs!$B$244),-Inputs!$B$245,IF(AND(Inputs!$B$244&lt;&gt;"",AL$2&gt;Inputs!$B$244,AL$2&lt;=Inputs!$B$244+Inputs!$B$246),(1/(1-Inputs!$B$245))^(1/Inputs!$B$246)-1,IF(AND(Inputs!$B$249&lt;&gt;"",AL$2=Inputs!$B$249),-Inputs!$B$250,IF(AND(Inputs!$B$249&lt;&gt;"",AL$2&gt;Inputs!$B$249,AL$2&lt;=Inputs!$B$249+Inputs!$B$251),(1/(1-Inputs!$B$250))^(1/Inputs!$B$251)-1,stinc)))))))))))+AL60*SQRT(MAX(1+IF(AND(Inputs!$B$229&lt;&gt;"",AL$2=Inputs!$B$229),-Inputs!$B$230,IF(AND(Inputs!$B$229&lt;&gt;"",AL$2&gt;Inputs!$B$229,AL$2&lt;=Inputs!$B$229+Inputs!$B$231),(1/(1-Inputs!$B$230))^(1/Inputs!$B$231)-1,IF(AND(Inputs!$B$234&lt;&gt;"",AL$2=Inputs!$B$234),-Inputs!$B$235,IF(AND(Inputs!$B$234&lt;&gt;"",AL$2&gt;Inputs!$B$234,AL$2&lt;=Inputs!$B$234+Inputs!$B$236),(1/(1-Inputs!$B$235))^(1/Inputs!$B$236)-1,IF(AND(Inputs!$B$239&lt;&gt;"",AL$2=Inputs!$B$239),-Inputs!$B$240,IF(AND(Inputs!$B$239&lt;&gt;"",AL$2&gt;Inputs!$B$239,AL$2&lt;=Inputs!$B$239+Inputs!$B$241),(1/(1-Inputs!$B$240))^(1/Inputs!$B$241)-1,IF(AND(Inputs!$B$244&lt;&gt;"",AL$2=Inputs!$B$244),-Inputs!$B$245,IF(AND(Inputs!$B$244&lt;&gt;"",AL$2&gt;Inputs!$B$244,AL$2&lt;=Inputs!$B$244+Inputs!$B$246),(1/(1-Inputs!$B$245))^(1/Inputs!$B$246)-1,IF(AND(Inputs!$B$249&lt;&gt;"",AL$2=Inputs!$B$249),-Inputs!$B$250,IF(AND(Inputs!$B$249&lt;&gt;"",AL$2&gt;Inputs!$B$249,AL$2&lt;=Inputs!$B$249+Inputs!$B$251),(1/(1-Inputs!$B$250))^(1/Inputs!$B$251)-1,stinc)))))))))),0))</f>
        <v>111104.6177303955</v>
      </c>
      <c r="AM83" s="7">
        <f ca="1">AL83*(1+IF(AND(Inputs!$B$229&lt;&gt;"",AM$2=Inputs!$B$229),-Inputs!$B$230,IF(AND(Inputs!$B$229&lt;&gt;"",AM$2&gt;Inputs!$B$229,AM$2&lt;=Inputs!$B$229+Inputs!$B$231),(1/(1-Inputs!$B$230))^(1/Inputs!$B$231)-1,IF(AND(Inputs!$B$234&lt;&gt;"",AM$2=Inputs!$B$234),-Inputs!$B$235,IF(AND(Inputs!$B$234&lt;&gt;"",AM$2&gt;Inputs!$B$234,AM$2&lt;=Inputs!$B$234+Inputs!$B$236),(1/(1-Inputs!$B$235))^(1/Inputs!$B$236)-1,IF(AND(Inputs!$B$239&lt;&gt;"",AM$2=Inputs!$B$239),-Inputs!$B$240,IF(AND(Inputs!$B$239&lt;&gt;"",AM$2&gt;Inputs!$B$239,AM$2&lt;=Inputs!$B$239+Inputs!$B$241),(1/(1-Inputs!$B$240))^(1/Inputs!$B$241)-1,IF(AND(Inputs!$B$244&lt;&gt;"",AM$2=Inputs!$B$244),-Inputs!$B$245,IF(AND(Inputs!$B$244&lt;&gt;"",AM$2&gt;Inputs!$B$244,AM$2&lt;=Inputs!$B$244+Inputs!$B$246),(1/(1-Inputs!$B$245))^(1/Inputs!$B$246)-1,IF(AND(Inputs!$B$249&lt;&gt;"",AM$2=Inputs!$B$249),-Inputs!$B$250,IF(AND(Inputs!$B$249&lt;&gt;"",AM$2&gt;Inputs!$B$249,AM$2&lt;=Inputs!$B$249+Inputs!$B$251),(1/(1-Inputs!$B$250))^(1/Inputs!$B$251)-1,stinc)))))))))))+AM60*SQRT(MAX(1+IF(AND(Inputs!$B$229&lt;&gt;"",AM$2=Inputs!$B$229),-Inputs!$B$230,IF(AND(Inputs!$B$229&lt;&gt;"",AM$2&gt;Inputs!$B$229,AM$2&lt;=Inputs!$B$229+Inputs!$B$231),(1/(1-Inputs!$B$230))^(1/Inputs!$B$231)-1,IF(AND(Inputs!$B$234&lt;&gt;"",AM$2=Inputs!$B$234),-Inputs!$B$235,IF(AND(Inputs!$B$234&lt;&gt;"",AM$2&gt;Inputs!$B$234,AM$2&lt;=Inputs!$B$234+Inputs!$B$236),(1/(1-Inputs!$B$235))^(1/Inputs!$B$236)-1,IF(AND(Inputs!$B$239&lt;&gt;"",AM$2=Inputs!$B$239),-Inputs!$B$240,IF(AND(Inputs!$B$239&lt;&gt;"",AM$2&gt;Inputs!$B$239,AM$2&lt;=Inputs!$B$239+Inputs!$B$241),(1/(1-Inputs!$B$240))^(1/Inputs!$B$241)-1,IF(AND(Inputs!$B$244&lt;&gt;"",AM$2=Inputs!$B$244),-Inputs!$B$245,IF(AND(Inputs!$B$244&lt;&gt;"",AM$2&gt;Inputs!$B$244,AM$2&lt;=Inputs!$B$244+Inputs!$B$246),(1/(1-Inputs!$B$245))^(1/Inputs!$B$246)-1,IF(AND(Inputs!$B$249&lt;&gt;"",AM$2=Inputs!$B$249),-Inputs!$B$250,IF(AND(Inputs!$B$249&lt;&gt;"",AM$2&gt;Inputs!$B$249,AM$2&lt;=Inputs!$B$249+Inputs!$B$251),(1/(1-Inputs!$B$250))^(1/Inputs!$B$251)-1,stinc)))))))))),0))</f>
        <v>119992.98714882716</v>
      </c>
    </row>
    <row r="84" spans="1:39" x14ac:dyDescent="0.2">
      <c r="A84" s="4" t="s">
        <v>2</v>
      </c>
      <c r="C84" s="7">
        <f ca="1">IF(AND(Inputs!$B$218&lt;&gt;"",C$2&gt;=Inputs!$B$218,Inputs!$B$13&gt;0),0,-MAX(FV(Inputs!$B$17/12,C$1*12+MthOff,Inputs!$B$18,-Inputs!$B$16),0))</f>
        <v>-48409.157779606016</v>
      </c>
      <c r="D84" s="101">
        <f ca="1">IF(AND(Inputs!$B$218&lt;&gt;"",D$2&gt;=Inputs!$B$218,Inputs!$B$13&gt;0),0,-MAX(FV(Inputs!$B$17/12,D$1*12+MthOff,Inputs!$B$18,-Inputs!$B$16),0))</f>
        <v>-46231.653807228853</v>
      </c>
      <c r="E84" s="110">
        <f ca="1">IF(AND(Inputs!$B$218&lt;&gt;"",E$2&gt;=Inputs!$B$218,Inputs!$B$13&gt;0),0,-MAX(FV(Inputs!$B$17/12,E$1*12+MthOff,Inputs!$B$18,-Inputs!$B$16),0))</f>
        <v>-43987.918967848869</v>
      </c>
      <c r="F84" s="7">
        <f ca="1">IF(AND(Inputs!$B$218&lt;&gt;"",F$2&gt;=Inputs!$B$218,Inputs!$B$13&gt;0),0,-MAX(FV(Inputs!$B$17/12,F$1*12+MthOff,Inputs!$B$18,-Inputs!$B$16),0))</f>
        <v>-41675.938786268969</v>
      </c>
      <c r="G84" s="7">
        <f ca="1">IF(AND(Inputs!$B$218&lt;&gt;"",G$2&gt;=Inputs!$B$218,Inputs!$B$13&gt;0),0,-MAX(FV(Inputs!$B$17/12,G$1*12+MthOff,Inputs!$B$18,-Inputs!$B$16),0))</f>
        <v>0</v>
      </c>
      <c r="H84" s="7">
        <f ca="1">IF(AND(Inputs!$B$218&lt;&gt;"",H$2&gt;=Inputs!$B$218,Inputs!$B$13&gt;0),0,-MAX(FV(Inputs!$B$17/12,H$1*12+MthOff,Inputs!$B$18,-Inputs!$B$16),0))</f>
        <v>0</v>
      </c>
      <c r="I84" s="7">
        <f ca="1">IF(AND(Inputs!$B$218&lt;&gt;"",I$2&gt;=Inputs!$B$218,Inputs!$B$13&gt;0),0,-MAX(FV(Inputs!$B$17/12,I$1*12+MthOff,Inputs!$B$18,-Inputs!$B$16),0))</f>
        <v>0</v>
      </c>
      <c r="J84" s="7">
        <f ca="1">IF(AND(Inputs!$B$218&lt;&gt;"",J$2&gt;=Inputs!$B$218,Inputs!$B$13&gt;0),0,-MAX(FV(Inputs!$B$17/12,J$1*12+MthOff,Inputs!$B$18,-Inputs!$B$16),0))</f>
        <v>0</v>
      </c>
      <c r="K84" s="7">
        <f ca="1">IF(AND(Inputs!$B$218&lt;&gt;"",K$2&gt;=Inputs!$B$218,Inputs!$B$13&gt;0),0,-MAX(FV(Inputs!$B$17/12,K$1*12+MthOff,Inputs!$B$18,-Inputs!$B$16),0))</f>
        <v>0</v>
      </c>
      <c r="L84" s="7">
        <f ca="1">IF(AND(Inputs!$B$218&lt;&gt;"",L$2&gt;=Inputs!$B$218,Inputs!$B$13&gt;0),0,-MAX(FV(Inputs!$B$17/12,L$1*12+MthOff,Inputs!$B$18,-Inputs!$B$16),0))</f>
        <v>0</v>
      </c>
      <c r="M84" s="7">
        <f ca="1">IF(AND(Inputs!$B$218&lt;&gt;"",M$2&gt;=Inputs!$B$218,Inputs!$B$13&gt;0),0,-MAX(FV(Inputs!$B$17/12,M$1*12+MthOff,Inputs!$B$18,-Inputs!$B$16),0))</f>
        <v>0</v>
      </c>
      <c r="N84" s="7">
        <f ca="1">IF(AND(Inputs!$B$218&lt;&gt;"",N$2&gt;=Inputs!$B$218,Inputs!$B$13&gt;0),0,-MAX(FV(Inputs!$B$17/12,N$1*12+MthOff,Inputs!$B$18,-Inputs!$B$16),0))</f>
        <v>0</v>
      </c>
      <c r="O84" s="7">
        <f ca="1">IF(AND(Inputs!$B$218&lt;&gt;"",O$2&gt;=Inputs!$B$218,Inputs!$B$13&gt;0),0,-MAX(FV(Inputs!$B$17/12,O$1*12+MthOff,Inputs!$B$18,-Inputs!$B$16),0))</f>
        <v>0</v>
      </c>
      <c r="P84" s="7">
        <f ca="1">IF(AND(Inputs!$B$218&lt;&gt;"",P$2&gt;=Inputs!$B$218,Inputs!$B$13&gt;0),0,-MAX(FV(Inputs!$B$17/12,P$1*12+MthOff,Inputs!$B$18,-Inputs!$B$16),0))</f>
        <v>0</v>
      </c>
      <c r="Q84" s="7">
        <f ca="1">IF(AND(Inputs!$B$218&lt;&gt;"",Q$2&gt;=Inputs!$B$218,Inputs!$B$13&gt;0),0,-MAX(FV(Inputs!$B$17/12,Q$1*12+MthOff,Inputs!$B$18,-Inputs!$B$16),0))</f>
        <v>0</v>
      </c>
      <c r="R84" s="7">
        <f ca="1">IF(AND(Inputs!$B$218&lt;&gt;"",R$2&gt;=Inputs!$B$218,Inputs!$B$13&gt;0),0,-MAX(FV(Inputs!$B$17/12,R$1*12+MthOff,Inputs!$B$18,-Inputs!$B$16),0))</f>
        <v>0</v>
      </c>
      <c r="S84" s="7">
        <f ca="1">IF(AND(Inputs!$B$218&lt;&gt;"",S$2&gt;=Inputs!$B$218,Inputs!$B$13&gt;0),0,-MAX(FV(Inputs!$B$17/12,S$1*12+MthOff,Inputs!$B$18,-Inputs!$B$16),0))</f>
        <v>0</v>
      </c>
      <c r="T84" s="7">
        <f ca="1">IF(AND(Inputs!$B$218&lt;&gt;"",T$2&gt;=Inputs!$B$218,Inputs!$B$13&gt;0),0,-MAX(FV(Inputs!$B$17/12,T$1*12+MthOff,Inputs!$B$18,-Inputs!$B$16),0))</f>
        <v>0</v>
      </c>
      <c r="U84" s="7">
        <f ca="1">IF(AND(Inputs!$B$218&lt;&gt;"",U$2&gt;=Inputs!$B$218,Inputs!$B$13&gt;0),0,-MAX(FV(Inputs!$B$17/12,U$1*12+MthOff,Inputs!$B$18,-Inputs!$B$16),0))</f>
        <v>0</v>
      </c>
      <c r="V84" s="7">
        <f ca="1">IF(AND(Inputs!$B$218&lt;&gt;"",V$2&gt;=Inputs!$B$218,Inputs!$B$13&gt;0),0,-MAX(FV(Inputs!$B$17/12,V$1*12+MthOff,Inputs!$B$18,-Inputs!$B$16),0))</f>
        <v>0</v>
      </c>
      <c r="W84" s="7">
        <f ca="1">IF(AND(Inputs!$B$218&lt;&gt;"",W$2&gt;=Inputs!$B$218,Inputs!$B$13&gt;0),0,-MAX(FV(Inputs!$B$17/12,W$1*12+MthOff,Inputs!$B$18,-Inputs!$B$16),0))</f>
        <v>0</v>
      </c>
      <c r="X84" s="7">
        <f ca="1">IF(AND(Inputs!$B$218&lt;&gt;"",X$2&gt;=Inputs!$B$218,Inputs!$B$13&gt;0),0,-MAX(FV(Inputs!$B$17/12,X$1*12+MthOff,Inputs!$B$18,-Inputs!$B$16),0))</f>
        <v>0</v>
      </c>
      <c r="Y84" s="7">
        <f ca="1">IF(AND(Inputs!$B$218&lt;&gt;"",Y$2&gt;=Inputs!$B$218,Inputs!$B$13&gt;0),0,-MAX(FV(Inputs!$B$17/12,Y$1*12+MthOff,Inputs!$B$18,-Inputs!$B$16),0))</f>
        <v>0</v>
      </c>
      <c r="Z84" s="7">
        <f ca="1">IF(AND(Inputs!$B$218&lt;&gt;"",Z$2&gt;=Inputs!$B$218,Inputs!$B$13&gt;0),0,-MAX(FV(Inputs!$B$17/12,Z$1*12+MthOff,Inputs!$B$18,-Inputs!$B$16),0))</f>
        <v>0</v>
      </c>
      <c r="AA84" s="7">
        <f ca="1">IF(AND(Inputs!$B$218&lt;&gt;"",AA$2&gt;=Inputs!$B$218,Inputs!$B$13&gt;0),0,-MAX(FV(Inputs!$B$17/12,AA$1*12+MthOff,Inputs!$B$18,-Inputs!$B$16),0))</f>
        <v>0</v>
      </c>
      <c r="AB84" s="7">
        <f ca="1">IF(AND(Inputs!$B$218&lt;&gt;"",AB$2&gt;=Inputs!$B$218,Inputs!$B$13&gt;0),0,-MAX(FV(Inputs!$B$17/12,AB$1*12+MthOff,Inputs!$B$18,-Inputs!$B$16),0))</f>
        <v>0</v>
      </c>
      <c r="AC84" s="7">
        <f ca="1">IF(AND(Inputs!$B$218&lt;&gt;"",AC$2&gt;=Inputs!$B$218,Inputs!$B$13&gt;0),0,-MAX(FV(Inputs!$B$17/12,AC$1*12+MthOff,Inputs!$B$18,-Inputs!$B$16),0))</f>
        <v>0</v>
      </c>
      <c r="AD84" s="7">
        <f ca="1">IF(AND(Inputs!$B$218&lt;&gt;"",AD$2&gt;=Inputs!$B$218,Inputs!$B$13&gt;0),0,-MAX(FV(Inputs!$B$17/12,AD$1*12+MthOff,Inputs!$B$18,-Inputs!$B$16),0))</f>
        <v>0</v>
      </c>
      <c r="AE84" s="7">
        <f ca="1">IF(AND(Inputs!$B$218&lt;&gt;"",AE$2&gt;=Inputs!$B$218,Inputs!$B$13&gt;0),0,-MAX(FV(Inputs!$B$17/12,AE$1*12+MthOff,Inputs!$B$18,-Inputs!$B$16),0))</f>
        <v>0</v>
      </c>
      <c r="AF84" s="7">
        <f ca="1">IF(AND(Inputs!$B$218&lt;&gt;"",AF$2&gt;=Inputs!$B$218,Inputs!$B$13&gt;0),0,-MAX(FV(Inputs!$B$17/12,AF$1*12+MthOff,Inputs!$B$18,-Inputs!$B$16),0))</f>
        <v>0</v>
      </c>
      <c r="AG84" s="7">
        <f ca="1">IF(AND(Inputs!$B$218&lt;&gt;"",AG$2&gt;=Inputs!$B$218,Inputs!$B$13&gt;0),0,-MAX(FV(Inputs!$B$17/12,AG$1*12+MthOff,Inputs!$B$18,-Inputs!$B$16),0))</f>
        <v>0</v>
      </c>
      <c r="AH84" s="7">
        <f ca="1">IF(AND(Inputs!$B$218&lt;&gt;"",AH$2&gt;=Inputs!$B$218,Inputs!$B$13&gt;0),0,-MAX(FV(Inputs!$B$17/12,AH$1*12+MthOff,Inputs!$B$18,-Inputs!$B$16),0))</f>
        <v>0</v>
      </c>
      <c r="AI84" s="7">
        <f ca="1">IF(AND(Inputs!$B$218&lt;&gt;"",AI$2&gt;=Inputs!$B$218,Inputs!$B$13&gt;0),0,-MAX(FV(Inputs!$B$17/12,AI$1*12+MthOff,Inputs!$B$18,-Inputs!$B$16),0))</f>
        <v>0</v>
      </c>
      <c r="AJ84" s="7">
        <f ca="1">IF(AND(Inputs!$B$218&lt;&gt;"",AJ$2&gt;=Inputs!$B$218,Inputs!$B$13&gt;0),0,-MAX(FV(Inputs!$B$17/12,AJ$1*12+MthOff,Inputs!$B$18,-Inputs!$B$16),0))</f>
        <v>0</v>
      </c>
      <c r="AK84" s="7">
        <f ca="1">IF(AND(Inputs!$B$218&lt;&gt;"",AK$2&gt;=Inputs!$B$218,Inputs!$B$13&gt;0),0,-MAX(FV(Inputs!$B$17/12,AK$1*12+MthOff,Inputs!$B$18,-Inputs!$B$16),0))</f>
        <v>0</v>
      </c>
      <c r="AL84" s="7">
        <f ca="1">IF(AND(Inputs!$B$218&lt;&gt;"",AL$2&gt;=Inputs!$B$218,Inputs!$B$13&gt;0),0,-MAX(FV(Inputs!$B$17/12,AL$1*12+MthOff,Inputs!$B$18,-Inputs!$B$16),0))</f>
        <v>0</v>
      </c>
      <c r="AM84" s="7">
        <f ca="1">IF(AND(Inputs!$B$218&lt;&gt;"",AM$2&gt;=Inputs!$B$218,Inputs!$B$13&gt;0),0,-MAX(FV(Inputs!$B$17/12,AM$1*12+MthOff,Inputs!$B$18,-Inputs!$B$16),0))</f>
        <v>0</v>
      </c>
    </row>
    <row r="85" spans="1:39" x14ac:dyDescent="0.2">
      <c r="A85" s="4" t="s">
        <v>197</v>
      </c>
      <c r="C85" s="7"/>
      <c r="D85" s="104"/>
      <c r="E85" s="113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  <c r="AD85" s="85"/>
      <c r="AE85" s="85"/>
      <c r="AF85" s="85"/>
      <c r="AG85" s="85"/>
      <c r="AH85" s="85"/>
      <c r="AI85" s="85"/>
      <c r="AJ85" s="85"/>
      <c r="AK85" s="85"/>
      <c r="AL85" s="85"/>
      <c r="AM85" s="85"/>
    </row>
    <row r="86" spans="1:39" x14ac:dyDescent="0.2">
      <c r="A86" s="3" t="str">
        <f>TEXT(Inputs!$B$61,"")</f>
        <v>Sliema</v>
      </c>
      <c r="C86" s="7">
        <f ca="1">-MAX(FV(Inputs!$B129/12,C$1*12+MthOff,Inputs!$B130,-Inputs!$B128),0)</f>
        <v>-46591.052384870025</v>
      </c>
      <c r="D86" s="101">
        <f ca="1">-MAX(FV(Inputs!$B129/12,D$1*12+MthOff,Inputs!$B130,-Inputs!$B128),0)</f>
        <v>-41924.97244406183</v>
      </c>
      <c r="E86" s="110">
        <f ca="1">-MAX(FV(Inputs!$B129/12,E$1*12+MthOff,Inputs!$B130,-Inputs!$B128),0)</f>
        <v>-37116.969216818994</v>
      </c>
      <c r="F86" s="7">
        <f ca="1">-MAX(FV(Inputs!$B129/12,F$1*12+MthOff,Inputs!$B130,-Inputs!$B128),0)</f>
        <v>-32162.725970576364</v>
      </c>
      <c r="G86" s="7">
        <f ca="1">-MAX(FV(Inputs!$B129/12,G$1*12+MthOff,Inputs!$B130,-Inputs!$B128),0)</f>
        <v>-27057.79467521701</v>
      </c>
      <c r="H86" s="7">
        <f ca="1">-MAX(FV(Inputs!$B129/12,H$1*12+MthOff,Inputs!$B130,-Inputs!$B128),0)</f>
        <v>-21797.592009531552</v>
      </c>
      <c r="I86" s="7">
        <f ca="1">-MAX(FV(Inputs!$B129/12,I$1*12+MthOff,Inputs!$B130,-Inputs!$B128),0)</f>
        <v>-16377.395246210348</v>
      </c>
      <c r="J86" s="7">
        <f ca="1">-MAX(FV(Inputs!$B129/12,J$1*12+MthOff,Inputs!$B130,-Inputs!$B128),0)</f>
        <v>-10792.33801167312</v>
      </c>
      <c r="K86" s="7">
        <f ca="1">-MAX(FV(Inputs!$B129/12,K$1*12+MthOff,Inputs!$B130,-Inputs!$B128),0)</f>
        <v>-5037.4059169308748</v>
      </c>
      <c r="L86" s="7">
        <f ca="1">-MAX(FV(Inputs!$B129/12,L$1*12+MthOff,Inputs!$B130,-Inputs!$B128),0)</f>
        <v>0</v>
      </c>
      <c r="M86" s="7">
        <f ca="1">-MAX(FV(Inputs!$B129/12,M$1*12+MthOff,Inputs!$B130,-Inputs!$B128),0)</f>
        <v>0</v>
      </c>
      <c r="N86" s="7">
        <f ca="1">-MAX(FV(Inputs!$B129/12,N$1*12+MthOff,Inputs!$B130,-Inputs!$B128),0)</f>
        <v>0</v>
      </c>
      <c r="O86" s="7">
        <f ca="1">-MAX(FV(Inputs!$B129/12,O$1*12+MthOff,Inputs!$B130,-Inputs!$B128),0)</f>
        <v>0</v>
      </c>
      <c r="P86" s="7">
        <f ca="1">-MAX(FV(Inputs!$B129/12,P$1*12+MthOff,Inputs!$B130,-Inputs!$B128),0)</f>
        <v>0</v>
      </c>
      <c r="Q86" s="7">
        <f ca="1">-MAX(FV(Inputs!$B129/12,Q$1*12+MthOff,Inputs!$B130,-Inputs!$B128),0)</f>
        <v>0</v>
      </c>
      <c r="R86" s="7">
        <f ca="1">-MAX(FV(Inputs!$B129/12,R$1*12+MthOff,Inputs!$B130,-Inputs!$B128),0)</f>
        <v>0</v>
      </c>
      <c r="S86" s="7">
        <f ca="1">-MAX(FV(Inputs!$B129/12,S$1*12+MthOff,Inputs!$B130,-Inputs!$B128),0)</f>
        <v>0</v>
      </c>
      <c r="T86" s="7">
        <f ca="1">-MAX(FV(Inputs!$B129/12,T$1*12+MthOff,Inputs!$B130,-Inputs!$B128),0)</f>
        <v>0</v>
      </c>
      <c r="U86" s="7">
        <f ca="1">-MAX(FV(Inputs!$B129/12,U$1*12+MthOff,Inputs!$B130,-Inputs!$B128),0)</f>
        <v>0</v>
      </c>
      <c r="V86" s="7">
        <f ca="1">-MAX(FV(Inputs!$B129/12,V$1*12+MthOff,Inputs!$B130,-Inputs!$B128),0)</f>
        <v>0</v>
      </c>
      <c r="W86" s="7">
        <f ca="1">-MAX(FV(Inputs!$B129/12,W$1*12+MthOff,Inputs!$B130,-Inputs!$B128),0)</f>
        <v>0</v>
      </c>
      <c r="X86" s="7">
        <f ca="1">-MAX(FV(Inputs!$B129/12,X$1*12+MthOff,Inputs!$B130,-Inputs!$B128),0)</f>
        <v>0</v>
      </c>
      <c r="Y86" s="7">
        <f ca="1">-MAX(FV(Inputs!$B129/12,Y$1*12+MthOff,Inputs!$B130,-Inputs!$B128),0)</f>
        <v>0</v>
      </c>
      <c r="Z86" s="7">
        <f ca="1">-MAX(FV(Inputs!$B129/12,Z$1*12+MthOff,Inputs!$B130,-Inputs!$B128),0)</f>
        <v>0</v>
      </c>
      <c r="AA86" s="7">
        <f ca="1">-MAX(FV(Inputs!$B129/12,AA$1*12+MthOff,Inputs!$B130,-Inputs!$B128),0)</f>
        <v>0</v>
      </c>
      <c r="AB86" s="7">
        <f ca="1">-MAX(FV(Inputs!$B129/12,AB$1*12+MthOff,Inputs!$B130,-Inputs!$B128),0)</f>
        <v>0</v>
      </c>
      <c r="AC86" s="7">
        <f ca="1">-MAX(FV(Inputs!$B129/12,AC$1*12+MthOff,Inputs!$B130,-Inputs!$B128),0)</f>
        <v>0</v>
      </c>
      <c r="AD86" s="7">
        <f ca="1">-MAX(FV(Inputs!$B129/12,AD$1*12+MthOff,Inputs!$B130,-Inputs!$B128),0)</f>
        <v>0</v>
      </c>
      <c r="AE86" s="7">
        <f ca="1">-MAX(FV(Inputs!$B129/12,AE$1*12+MthOff,Inputs!$B130,-Inputs!$B128),0)</f>
        <v>0</v>
      </c>
      <c r="AF86" s="7">
        <f ca="1">-MAX(FV(Inputs!$B129/12,AF$1*12+MthOff,Inputs!$B130,-Inputs!$B128),0)</f>
        <v>0</v>
      </c>
      <c r="AG86" s="7">
        <f ca="1">-MAX(FV(Inputs!$B129/12,AG$1*12+MthOff,Inputs!$B130,-Inputs!$B128),0)</f>
        <v>0</v>
      </c>
      <c r="AH86" s="7">
        <f ca="1">-MAX(FV(Inputs!$B129/12,AH$1*12+MthOff,Inputs!$B130,-Inputs!$B128),0)</f>
        <v>0</v>
      </c>
      <c r="AI86" s="7">
        <f ca="1">-MAX(FV(Inputs!$B129/12,AI$1*12+MthOff,Inputs!$B130,-Inputs!$B128),0)</f>
        <v>0</v>
      </c>
      <c r="AJ86" s="7">
        <f ca="1">-MAX(FV(Inputs!$B129/12,AJ$1*12+MthOff,Inputs!$B130,-Inputs!$B128),0)</f>
        <v>0</v>
      </c>
      <c r="AK86" s="7">
        <f ca="1">-MAX(FV(Inputs!$B129/12,AK$1*12+MthOff,Inputs!$B130,-Inputs!$B128),0)</f>
        <v>0</v>
      </c>
      <c r="AL86" s="7">
        <f ca="1">-MAX(FV(Inputs!$B129/12,AL$1*12+MthOff,Inputs!$B130,-Inputs!$B128),0)</f>
        <v>0</v>
      </c>
      <c r="AM86" s="7">
        <f ca="1">-MAX(FV(Inputs!$B129/12,AM$1*12+MthOff,Inputs!$B130,-Inputs!$B128),0)</f>
        <v>0</v>
      </c>
    </row>
    <row r="87" spans="1:39" x14ac:dyDescent="0.2">
      <c r="A87" s="3" t="str">
        <f>TEXT(Inputs!$B$66,"")</f>
        <v>Gzira</v>
      </c>
      <c r="C87" s="7">
        <f ca="1">-MAX(FV(Inputs!$B134/12,C$1*12+MthOff,Inputs!$B135,-Inputs!$B133),0)</f>
        <v>-6816.3065303051853</v>
      </c>
      <c r="D87" s="101">
        <f ca="1">-MAX(FV(Inputs!$B134/12,D$1*12+MthOff,Inputs!$B135,-Inputs!$B133),0)</f>
        <v>-4531.7666039667383</v>
      </c>
      <c r="E87" s="110">
        <f ca="1">-MAX(FV(Inputs!$B134/12,E$1*12+MthOff,Inputs!$B135,-Inputs!$B133),0)</f>
        <v>-2201.1147111864902</v>
      </c>
      <c r="F87" s="7">
        <f ca="1">-MAX(FV(Inputs!$B134/12,F$1*12+MthOff,Inputs!$B135,-Inputs!$B133),0)</f>
        <v>0</v>
      </c>
      <c r="G87" s="7">
        <f ca="1">-MAX(FV(Inputs!$B134/12,G$1*12+MthOff,Inputs!$B135,-Inputs!$B133),0)</f>
        <v>0</v>
      </c>
      <c r="H87" s="7">
        <f ca="1">-MAX(FV(Inputs!$B134/12,H$1*12+MthOff,Inputs!$B135,-Inputs!$B133),0)</f>
        <v>0</v>
      </c>
      <c r="I87" s="7">
        <f ca="1">-MAX(FV(Inputs!$B134/12,I$1*12+MthOff,Inputs!$B135,-Inputs!$B133),0)</f>
        <v>0</v>
      </c>
      <c r="J87" s="7">
        <f ca="1">-MAX(FV(Inputs!$B134/12,J$1*12+MthOff,Inputs!$B135,-Inputs!$B133),0)</f>
        <v>0</v>
      </c>
      <c r="K87" s="7">
        <f ca="1">-MAX(FV(Inputs!$B134/12,K$1*12+MthOff,Inputs!$B135,-Inputs!$B133),0)</f>
        <v>0</v>
      </c>
      <c r="L87" s="7">
        <f ca="1">-MAX(FV(Inputs!$B134/12,L$1*12+MthOff,Inputs!$B135,-Inputs!$B133),0)</f>
        <v>0</v>
      </c>
      <c r="M87" s="7">
        <f ca="1">-MAX(FV(Inputs!$B134/12,M$1*12+MthOff,Inputs!$B135,-Inputs!$B133),0)</f>
        <v>0</v>
      </c>
      <c r="N87" s="7">
        <f ca="1">-MAX(FV(Inputs!$B134/12,N$1*12+MthOff,Inputs!$B135,-Inputs!$B133),0)</f>
        <v>0</v>
      </c>
      <c r="O87" s="7">
        <f ca="1">-MAX(FV(Inputs!$B134/12,O$1*12+MthOff,Inputs!$B135,-Inputs!$B133),0)</f>
        <v>0</v>
      </c>
      <c r="P87" s="7">
        <f ca="1">-MAX(FV(Inputs!$B134/12,P$1*12+MthOff,Inputs!$B135,-Inputs!$B133),0)</f>
        <v>0</v>
      </c>
      <c r="Q87" s="7">
        <f ca="1">-MAX(FV(Inputs!$B134/12,Q$1*12+MthOff,Inputs!$B135,-Inputs!$B133),0)</f>
        <v>0</v>
      </c>
      <c r="R87" s="7">
        <f ca="1">-MAX(FV(Inputs!$B134/12,R$1*12+MthOff,Inputs!$B135,-Inputs!$B133),0)</f>
        <v>0</v>
      </c>
      <c r="S87" s="7">
        <f ca="1">-MAX(FV(Inputs!$B134/12,S$1*12+MthOff,Inputs!$B135,-Inputs!$B133),0)</f>
        <v>0</v>
      </c>
      <c r="T87" s="7">
        <f ca="1">-MAX(FV(Inputs!$B134/12,T$1*12+MthOff,Inputs!$B135,-Inputs!$B133),0)</f>
        <v>0</v>
      </c>
      <c r="U87" s="7">
        <f ca="1">-MAX(FV(Inputs!$B134/12,U$1*12+MthOff,Inputs!$B135,-Inputs!$B133),0)</f>
        <v>0</v>
      </c>
      <c r="V87" s="7">
        <f ca="1">-MAX(FV(Inputs!$B134/12,V$1*12+MthOff,Inputs!$B135,-Inputs!$B133),0)</f>
        <v>0</v>
      </c>
      <c r="W87" s="7">
        <f ca="1">-MAX(FV(Inputs!$B134/12,W$1*12+MthOff,Inputs!$B135,-Inputs!$B133),0)</f>
        <v>0</v>
      </c>
      <c r="X87" s="7">
        <f ca="1">-MAX(FV(Inputs!$B134/12,X$1*12+MthOff,Inputs!$B135,-Inputs!$B133),0)</f>
        <v>0</v>
      </c>
      <c r="Y87" s="7">
        <f ca="1">-MAX(FV(Inputs!$B134/12,Y$1*12+MthOff,Inputs!$B135,-Inputs!$B133),0)</f>
        <v>0</v>
      </c>
      <c r="Z87" s="7">
        <f ca="1">-MAX(FV(Inputs!$B134/12,Z$1*12+MthOff,Inputs!$B135,-Inputs!$B133),0)</f>
        <v>0</v>
      </c>
      <c r="AA87" s="7">
        <f ca="1">-MAX(FV(Inputs!$B134/12,AA$1*12+MthOff,Inputs!$B135,-Inputs!$B133),0)</f>
        <v>0</v>
      </c>
      <c r="AB87" s="7">
        <f ca="1">-MAX(FV(Inputs!$B134/12,AB$1*12+MthOff,Inputs!$B135,-Inputs!$B133),0)</f>
        <v>0</v>
      </c>
      <c r="AC87" s="7">
        <f ca="1">-MAX(FV(Inputs!$B134/12,AC$1*12+MthOff,Inputs!$B135,-Inputs!$B133),0)</f>
        <v>0</v>
      </c>
      <c r="AD87" s="7">
        <f ca="1">-MAX(FV(Inputs!$B134/12,AD$1*12+MthOff,Inputs!$B135,-Inputs!$B133),0)</f>
        <v>0</v>
      </c>
      <c r="AE87" s="7">
        <f ca="1">-MAX(FV(Inputs!$B134/12,AE$1*12+MthOff,Inputs!$B135,-Inputs!$B133),0)</f>
        <v>0</v>
      </c>
      <c r="AF87" s="7">
        <f ca="1">-MAX(FV(Inputs!$B134/12,AF$1*12+MthOff,Inputs!$B135,-Inputs!$B133),0)</f>
        <v>0</v>
      </c>
      <c r="AG87" s="7">
        <f ca="1">-MAX(FV(Inputs!$B134/12,AG$1*12+MthOff,Inputs!$B135,-Inputs!$B133),0)</f>
        <v>0</v>
      </c>
      <c r="AH87" s="7">
        <f ca="1">-MAX(FV(Inputs!$B134/12,AH$1*12+MthOff,Inputs!$B135,-Inputs!$B133),0)</f>
        <v>0</v>
      </c>
      <c r="AI87" s="7">
        <f ca="1">-MAX(FV(Inputs!$B134/12,AI$1*12+MthOff,Inputs!$B135,-Inputs!$B133),0)</f>
        <v>0</v>
      </c>
      <c r="AJ87" s="7">
        <f ca="1">-MAX(FV(Inputs!$B134/12,AJ$1*12+MthOff,Inputs!$B135,-Inputs!$B133),0)</f>
        <v>0</v>
      </c>
      <c r="AK87" s="7">
        <f ca="1">-MAX(FV(Inputs!$B134/12,AK$1*12+MthOff,Inputs!$B135,-Inputs!$B133),0)</f>
        <v>0</v>
      </c>
      <c r="AL87" s="7">
        <f ca="1">-MAX(FV(Inputs!$B134/12,AL$1*12+MthOff,Inputs!$B135,-Inputs!$B133),0)</f>
        <v>0</v>
      </c>
      <c r="AM87" s="7">
        <f ca="1">-MAX(FV(Inputs!$B134/12,AM$1*12+MthOff,Inputs!$B135,-Inputs!$B133),0)</f>
        <v>0</v>
      </c>
    </row>
    <row r="88" spans="1:39" x14ac:dyDescent="0.2">
      <c r="A88" s="3" t="str">
        <f>TEXT(Inputs!$B$71,"")</f>
        <v>Qormi</v>
      </c>
      <c r="C88" s="7">
        <f ca="1">-MAX(FV(Inputs!$B139/12,C$1*12+MthOff,Inputs!$B140,-Inputs!$B138),0)</f>
        <v>-13284.099846375037</v>
      </c>
      <c r="D88" s="101">
        <f ca="1">-MAX(FV(Inputs!$B139/12,D$1*12+MthOff,Inputs!$B140,-Inputs!$B138),0)</f>
        <v>-10894.02573326202</v>
      </c>
      <c r="E88" s="110">
        <f ca="1">-MAX(FV(Inputs!$B139/12,E$1*12+MthOff,Inputs!$B140,-Inputs!$B138),0)</f>
        <v>-8381.6708924441427</v>
      </c>
      <c r="F88" s="7">
        <f ca="1">-MAX(FV(Inputs!$B139/12,F$1*12+MthOff,Inputs!$B140,-Inputs!$B138),0)</f>
        <v>-5740.779209817676</v>
      </c>
      <c r="G88" s="7">
        <f ca="1">-MAX(FV(Inputs!$B139/12,G$1*12+MthOff,Inputs!$B140,-Inputs!$B138),0)</f>
        <v>-2964.7744966079426</v>
      </c>
      <c r="H88" s="7">
        <f ca="1">-MAX(FV(Inputs!$B139/12,H$1*12+MthOff,Inputs!$B140,-Inputs!$B138),0)</f>
        <v>-46.744113741759065</v>
      </c>
      <c r="I88" s="7">
        <f ca="1">-MAX(FV(Inputs!$B139/12,I$1*12+MthOff,Inputs!$B140,-Inputs!$B138),0)</f>
        <v>0</v>
      </c>
      <c r="J88" s="7">
        <f ca="1">-MAX(FV(Inputs!$B139/12,J$1*12+MthOff,Inputs!$B140,-Inputs!$B138),0)</f>
        <v>0</v>
      </c>
      <c r="K88" s="7">
        <f ca="1">-MAX(FV(Inputs!$B139/12,K$1*12+MthOff,Inputs!$B140,-Inputs!$B138),0)</f>
        <v>0</v>
      </c>
      <c r="L88" s="7">
        <f ca="1">-MAX(FV(Inputs!$B139/12,L$1*12+MthOff,Inputs!$B140,-Inputs!$B138),0)</f>
        <v>0</v>
      </c>
      <c r="M88" s="7">
        <f ca="1">-MAX(FV(Inputs!$B139/12,M$1*12+MthOff,Inputs!$B140,-Inputs!$B138),0)</f>
        <v>0</v>
      </c>
      <c r="N88" s="7">
        <f ca="1">-MAX(FV(Inputs!$B139/12,N$1*12+MthOff,Inputs!$B140,-Inputs!$B138),0)</f>
        <v>0</v>
      </c>
      <c r="O88" s="7">
        <f ca="1">-MAX(FV(Inputs!$B139/12,O$1*12+MthOff,Inputs!$B140,-Inputs!$B138),0)</f>
        <v>0</v>
      </c>
      <c r="P88" s="7">
        <f ca="1">-MAX(FV(Inputs!$B139/12,P$1*12+MthOff,Inputs!$B140,-Inputs!$B138),0)</f>
        <v>0</v>
      </c>
      <c r="Q88" s="7">
        <f ca="1">-MAX(FV(Inputs!$B139/12,Q$1*12+MthOff,Inputs!$B140,-Inputs!$B138),0)</f>
        <v>0</v>
      </c>
      <c r="R88" s="7">
        <f ca="1">-MAX(FV(Inputs!$B139/12,R$1*12+MthOff,Inputs!$B140,-Inputs!$B138),0)</f>
        <v>0</v>
      </c>
      <c r="S88" s="7">
        <f ca="1">-MAX(FV(Inputs!$B139/12,S$1*12+MthOff,Inputs!$B140,-Inputs!$B138),0)</f>
        <v>0</v>
      </c>
      <c r="T88" s="7">
        <f ca="1">-MAX(FV(Inputs!$B139/12,T$1*12+MthOff,Inputs!$B140,-Inputs!$B138),0)</f>
        <v>0</v>
      </c>
      <c r="U88" s="7">
        <f ca="1">-MAX(FV(Inputs!$B139/12,U$1*12+MthOff,Inputs!$B140,-Inputs!$B138),0)</f>
        <v>0</v>
      </c>
      <c r="V88" s="7">
        <f ca="1">-MAX(FV(Inputs!$B139/12,V$1*12+MthOff,Inputs!$B140,-Inputs!$B138),0)</f>
        <v>0</v>
      </c>
      <c r="W88" s="7">
        <f ca="1">-MAX(FV(Inputs!$B139/12,W$1*12+MthOff,Inputs!$B140,-Inputs!$B138),0)</f>
        <v>0</v>
      </c>
      <c r="X88" s="7">
        <f ca="1">-MAX(FV(Inputs!$B139/12,X$1*12+MthOff,Inputs!$B140,-Inputs!$B138),0)</f>
        <v>0</v>
      </c>
      <c r="Y88" s="7">
        <f ca="1">-MAX(FV(Inputs!$B139/12,Y$1*12+MthOff,Inputs!$B140,-Inputs!$B138),0)</f>
        <v>0</v>
      </c>
      <c r="Z88" s="7">
        <f ca="1">-MAX(FV(Inputs!$B139/12,Z$1*12+MthOff,Inputs!$B140,-Inputs!$B138),0)</f>
        <v>0</v>
      </c>
      <c r="AA88" s="7">
        <f ca="1">-MAX(FV(Inputs!$B139/12,AA$1*12+MthOff,Inputs!$B140,-Inputs!$B138),0)</f>
        <v>0</v>
      </c>
      <c r="AB88" s="7">
        <f ca="1">-MAX(FV(Inputs!$B139/12,AB$1*12+MthOff,Inputs!$B140,-Inputs!$B138),0)</f>
        <v>0</v>
      </c>
      <c r="AC88" s="7">
        <f ca="1">-MAX(FV(Inputs!$B139/12,AC$1*12+MthOff,Inputs!$B140,-Inputs!$B138),0)</f>
        <v>0</v>
      </c>
      <c r="AD88" s="7">
        <f ca="1">-MAX(FV(Inputs!$B139/12,AD$1*12+MthOff,Inputs!$B140,-Inputs!$B138),0)</f>
        <v>0</v>
      </c>
      <c r="AE88" s="7">
        <f ca="1">-MAX(FV(Inputs!$B139/12,AE$1*12+MthOff,Inputs!$B140,-Inputs!$B138),0)</f>
        <v>0</v>
      </c>
      <c r="AF88" s="7">
        <f ca="1">-MAX(FV(Inputs!$B139/12,AF$1*12+MthOff,Inputs!$B140,-Inputs!$B138),0)</f>
        <v>0</v>
      </c>
      <c r="AG88" s="7">
        <f ca="1">-MAX(FV(Inputs!$B139/12,AG$1*12+MthOff,Inputs!$B140,-Inputs!$B138),0)</f>
        <v>0</v>
      </c>
      <c r="AH88" s="7">
        <f ca="1">-MAX(FV(Inputs!$B139/12,AH$1*12+MthOff,Inputs!$B140,-Inputs!$B138),0)</f>
        <v>0</v>
      </c>
      <c r="AI88" s="7">
        <f ca="1">-MAX(FV(Inputs!$B139/12,AI$1*12+MthOff,Inputs!$B140,-Inputs!$B138),0)</f>
        <v>0</v>
      </c>
      <c r="AJ88" s="7">
        <f ca="1">-MAX(FV(Inputs!$B139/12,AJ$1*12+MthOff,Inputs!$B140,-Inputs!$B138),0)</f>
        <v>0</v>
      </c>
      <c r="AK88" s="7">
        <f ca="1">-MAX(FV(Inputs!$B139/12,AK$1*12+MthOff,Inputs!$B140,-Inputs!$B138),0)</f>
        <v>0</v>
      </c>
      <c r="AL88" s="7">
        <f ca="1">-MAX(FV(Inputs!$B139/12,AL$1*12+MthOff,Inputs!$B140,-Inputs!$B138),0)</f>
        <v>0</v>
      </c>
      <c r="AM88" s="7">
        <f ca="1">-MAX(FV(Inputs!$B139/12,AM$1*12+MthOff,Inputs!$B140,-Inputs!$B138),0)</f>
        <v>0</v>
      </c>
    </row>
    <row r="89" spans="1:39" x14ac:dyDescent="0.2">
      <c r="A89" s="3" t="str">
        <f>TEXT(Inputs!$B$76,"")</f>
        <v>Gudja</v>
      </c>
      <c r="C89" s="7">
        <f ca="1">-MAX(FV(Inputs!$B144/12,C$1*12+MthOff,Inputs!$B145,-Inputs!$B143),0)</f>
        <v>-4025.8511111463736</v>
      </c>
      <c r="D89" s="101">
        <f ca="1">-MAX(FV(Inputs!$B144/12,D$1*12+MthOff,Inputs!$B145,-Inputs!$B143),0)</f>
        <v>-3138.2612491824134</v>
      </c>
      <c r="E89" s="110">
        <f ca="1">-MAX(FV(Inputs!$B144/12,E$1*12+MthOff,Inputs!$B145,-Inputs!$B143),0)</f>
        <v>-2232.7559577452803</v>
      </c>
      <c r="F89" s="7">
        <f ca="1">-MAX(FV(Inputs!$B144/12,F$1*12+MthOff,Inputs!$B145,-Inputs!$B143),0)</f>
        <v>-1308.9736254343047</v>
      </c>
      <c r="G89" s="7">
        <f ca="1">-MAX(FV(Inputs!$B144/12,G$1*12+MthOff,Inputs!$B145,-Inputs!$B143),0)</f>
        <v>-366.5453419556743</v>
      </c>
      <c r="H89" s="7">
        <f ca="1">-MAX(FV(Inputs!$B144/12,H$1*12+MthOff,Inputs!$B145,-Inputs!$B143),0)</f>
        <v>0</v>
      </c>
      <c r="I89" s="7">
        <f ca="1">-MAX(FV(Inputs!$B144/12,I$1*12+MthOff,Inputs!$B145,-Inputs!$B143),0)</f>
        <v>0</v>
      </c>
      <c r="J89" s="7">
        <f ca="1">-MAX(FV(Inputs!$B144/12,J$1*12+MthOff,Inputs!$B145,-Inputs!$B143),0)</f>
        <v>0</v>
      </c>
      <c r="K89" s="7">
        <f ca="1">-MAX(FV(Inputs!$B144/12,K$1*12+MthOff,Inputs!$B145,-Inputs!$B143),0)</f>
        <v>0</v>
      </c>
      <c r="L89" s="7">
        <f ca="1">-MAX(FV(Inputs!$B144/12,L$1*12+MthOff,Inputs!$B145,-Inputs!$B143),0)</f>
        <v>0</v>
      </c>
      <c r="M89" s="7">
        <f ca="1">-MAX(FV(Inputs!$B144/12,M$1*12+MthOff,Inputs!$B145,-Inputs!$B143),0)</f>
        <v>0</v>
      </c>
      <c r="N89" s="7">
        <f ca="1">-MAX(FV(Inputs!$B144/12,N$1*12+MthOff,Inputs!$B145,-Inputs!$B143),0)</f>
        <v>0</v>
      </c>
      <c r="O89" s="7">
        <f ca="1">-MAX(FV(Inputs!$B144/12,O$1*12+MthOff,Inputs!$B145,-Inputs!$B143),0)</f>
        <v>0</v>
      </c>
      <c r="P89" s="7">
        <f ca="1">-MAX(FV(Inputs!$B144/12,P$1*12+MthOff,Inputs!$B145,-Inputs!$B143),0)</f>
        <v>0</v>
      </c>
      <c r="Q89" s="7">
        <f ca="1">-MAX(FV(Inputs!$B144/12,Q$1*12+MthOff,Inputs!$B145,-Inputs!$B143),0)</f>
        <v>0</v>
      </c>
      <c r="R89" s="7">
        <f ca="1">-MAX(FV(Inputs!$B144/12,R$1*12+MthOff,Inputs!$B145,-Inputs!$B143),0)</f>
        <v>0</v>
      </c>
      <c r="S89" s="7">
        <f ca="1">-MAX(FV(Inputs!$B144/12,S$1*12+MthOff,Inputs!$B145,-Inputs!$B143),0)</f>
        <v>0</v>
      </c>
      <c r="T89" s="7">
        <f ca="1">-MAX(FV(Inputs!$B144/12,T$1*12+MthOff,Inputs!$B145,-Inputs!$B143),0)</f>
        <v>0</v>
      </c>
      <c r="U89" s="7">
        <f ca="1">-MAX(FV(Inputs!$B144/12,U$1*12+MthOff,Inputs!$B145,-Inputs!$B143),0)</f>
        <v>0</v>
      </c>
      <c r="V89" s="7">
        <f ca="1">-MAX(FV(Inputs!$B144/12,V$1*12+MthOff,Inputs!$B145,-Inputs!$B143),0)</f>
        <v>0</v>
      </c>
      <c r="W89" s="7">
        <f ca="1">-MAX(FV(Inputs!$B144/12,W$1*12+MthOff,Inputs!$B145,-Inputs!$B143),0)</f>
        <v>0</v>
      </c>
      <c r="X89" s="7">
        <f ca="1">-MAX(FV(Inputs!$B144/12,X$1*12+MthOff,Inputs!$B145,-Inputs!$B143),0)</f>
        <v>0</v>
      </c>
      <c r="Y89" s="7">
        <f ca="1">-MAX(FV(Inputs!$B144/12,Y$1*12+MthOff,Inputs!$B145,-Inputs!$B143),0)</f>
        <v>0</v>
      </c>
      <c r="Z89" s="7">
        <f ca="1">-MAX(FV(Inputs!$B144/12,Z$1*12+MthOff,Inputs!$B145,-Inputs!$B143),0)</f>
        <v>0</v>
      </c>
      <c r="AA89" s="7">
        <f ca="1">-MAX(FV(Inputs!$B144/12,AA$1*12+MthOff,Inputs!$B145,-Inputs!$B143),0)</f>
        <v>0</v>
      </c>
      <c r="AB89" s="7">
        <f ca="1">-MAX(FV(Inputs!$B144/12,AB$1*12+MthOff,Inputs!$B145,-Inputs!$B143),0)</f>
        <v>0</v>
      </c>
      <c r="AC89" s="7">
        <f ca="1">-MAX(FV(Inputs!$B144/12,AC$1*12+MthOff,Inputs!$B145,-Inputs!$B143),0)</f>
        <v>0</v>
      </c>
      <c r="AD89" s="7">
        <f ca="1">-MAX(FV(Inputs!$B144/12,AD$1*12+MthOff,Inputs!$B145,-Inputs!$B143),0)</f>
        <v>0</v>
      </c>
      <c r="AE89" s="7">
        <f ca="1">-MAX(FV(Inputs!$B144/12,AE$1*12+MthOff,Inputs!$B145,-Inputs!$B143),0)</f>
        <v>0</v>
      </c>
      <c r="AF89" s="7">
        <f ca="1">-MAX(FV(Inputs!$B144/12,AF$1*12+MthOff,Inputs!$B145,-Inputs!$B143),0)</f>
        <v>0</v>
      </c>
      <c r="AG89" s="7">
        <f ca="1">-MAX(FV(Inputs!$B144/12,AG$1*12+MthOff,Inputs!$B145,-Inputs!$B143),0)</f>
        <v>0</v>
      </c>
      <c r="AH89" s="7">
        <f ca="1">-MAX(FV(Inputs!$B144/12,AH$1*12+MthOff,Inputs!$B145,-Inputs!$B143),0)</f>
        <v>0</v>
      </c>
      <c r="AI89" s="7">
        <f ca="1">-MAX(FV(Inputs!$B144/12,AI$1*12+MthOff,Inputs!$B145,-Inputs!$B143),0)</f>
        <v>0</v>
      </c>
      <c r="AJ89" s="7">
        <f ca="1">-MAX(FV(Inputs!$B144/12,AJ$1*12+MthOff,Inputs!$B145,-Inputs!$B143),0)</f>
        <v>0</v>
      </c>
      <c r="AK89" s="7">
        <f ca="1">-MAX(FV(Inputs!$B144/12,AK$1*12+MthOff,Inputs!$B145,-Inputs!$B143),0)</f>
        <v>0</v>
      </c>
      <c r="AL89" s="7">
        <f ca="1">-MAX(FV(Inputs!$B144/12,AL$1*12+MthOff,Inputs!$B145,-Inputs!$B143),0)</f>
        <v>0</v>
      </c>
      <c r="AM89" s="7">
        <f ca="1">-MAX(FV(Inputs!$B144/12,AM$1*12+MthOff,Inputs!$B145,-Inputs!$B143),0)</f>
        <v>0</v>
      </c>
    </row>
    <row r="90" spans="1:39" x14ac:dyDescent="0.2">
      <c r="A90" s="3" t="str">
        <f>TEXT(Inputs!$B$81,"")</f>
        <v>Marsa</v>
      </c>
      <c r="C90" s="7">
        <f ca="1">-MAX(FV(Inputs!$B149/12,C$1*12+MthOff,Inputs!$B150,-Inputs!$B148),0)</f>
        <v>-8649.5822104017261</v>
      </c>
      <c r="D90" s="101">
        <f ca="1">-MAX(FV(Inputs!$B149/12,D$1*12+MthOff,Inputs!$B150,-Inputs!$B148),0)</f>
        <v>-7452.7015983848178</v>
      </c>
      <c r="E90" s="110">
        <f ca="1">-MAX(FV(Inputs!$B149/12,E$1*12+MthOff,Inputs!$B150,-Inputs!$B148),0)</f>
        <v>-6219.4167172421839</v>
      </c>
      <c r="F90" s="7">
        <f ca="1">-MAX(FV(Inputs!$B149/12,F$1*12+MthOff,Inputs!$B150,-Inputs!$B148),0)</f>
        <v>-4948.6202962926418</v>
      </c>
      <c r="G90" s="7">
        <f ca="1">-MAX(FV(Inputs!$B149/12,G$1*12+MthOff,Inputs!$B150,-Inputs!$B148),0)</f>
        <v>-3639.1713861576636</v>
      </c>
      <c r="H90" s="7">
        <f ca="1">-MAX(FV(Inputs!$B149/12,H$1*12+MthOff,Inputs!$B150,-Inputs!$B148),0)</f>
        <v>-2289.8943343915744</v>
      </c>
      <c r="I90" s="7">
        <f ca="1">-MAX(FV(Inputs!$B149/12,I$1*12+MthOff,Inputs!$B150,-Inputs!$B148),0)</f>
        <v>-899.57772995459527</v>
      </c>
      <c r="J90" s="7">
        <f ca="1">-MAX(FV(Inputs!$B149/12,J$1*12+MthOff,Inputs!$B150,-Inputs!$B148),0)</f>
        <v>0</v>
      </c>
      <c r="K90" s="7">
        <f ca="1">-MAX(FV(Inputs!$B149/12,K$1*12+MthOff,Inputs!$B150,-Inputs!$B148),0)</f>
        <v>0</v>
      </c>
      <c r="L90" s="7">
        <f ca="1">-MAX(FV(Inputs!$B149/12,L$1*12+MthOff,Inputs!$B150,-Inputs!$B148),0)</f>
        <v>0</v>
      </c>
      <c r="M90" s="7">
        <f ca="1">-MAX(FV(Inputs!$B149/12,M$1*12+MthOff,Inputs!$B150,-Inputs!$B148),0)</f>
        <v>0</v>
      </c>
      <c r="N90" s="7">
        <f ca="1">-MAX(FV(Inputs!$B149/12,N$1*12+MthOff,Inputs!$B150,-Inputs!$B148),0)</f>
        <v>0</v>
      </c>
      <c r="O90" s="7">
        <f ca="1">-MAX(FV(Inputs!$B149/12,O$1*12+MthOff,Inputs!$B150,-Inputs!$B148),0)</f>
        <v>0</v>
      </c>
      <c r="P90" s="7">
        <f ca="1">-MAX(FV(Inputs!$B149/12,P$1*12+MthOff,Inputs!$B150,-Inputs!$B148),0)</f>
        <v>0</v>
      </c>
      <c r="Q90" s="7">
        <f ca="1">-MAX(FV(Inputs!$B149/12,Q$1*12+MthOff,Inputs!$B150,-Inputs!$B148),0)</f>
        <v>0</v>
      </c>
      <c r="R90" s="7">
        <f ca="1">-MAX(FV(Inputs!$B149/12,R$1*12+MthOff,Inputs!$B150,-Inputs!$B148),0)</f>
        <v>0</v>
      </c>
      <c r="S90" s="7">
        <f ca="1">-MAX(FV(Inputs!$B149/12,S$1*12+MthOff,Inputs!$B150,-Inputs!$B148),0)</f>
        <v>0</v>
      </c>
      <c r="T90" s="7">
        <f ca="1">-MAX(FV(Inputs!$B149/12,T$1*12+MthOff,Inputs!$B150,-Inputs!$B148),0)</f>
        <v>0</v>
      </c>
      <c r="U90" s="7">
        <f ca="1">-MAX(FV(Inputs!$B149/12,U$1*12+MthOff,Inputs!$B150,-Inputs!$B148),0)</f>
        <v>0</v>
      </c>
      <c r="V90" s="7">
        <f ca="1">-MAX(FV(Inputs!$B149/12,V$1*12+MthOff,Inputs!$B150,-Inputs!$B148),0)</f>
        <v>0</v>
      </c>
      <c r="W90" s="7">
        <f ca="1">-MAX(FV(Inputs!$B149/12,W$1*12+MthOff,Inputs!$B150,-Inputs!$B148),0)</f>
        <v>0</v>
      </c>
      <c r="X90" s="7">
        <f ca="1">-MAX(FV(Inputs!$B149/12,X$1*12+MthOff,Inputs!$B150,-Inputs!$B148),0)</f>
        <v>0</v>
      </c>
      <c r="Y90" s="7">
        <f ca="1">-MAX(FV(Inputs!$B149/12,Y$1*12+MthOff,Inputs!$B150,-Inputs!$B148),0)</f>
        <v>0</v>
      </c>
      <c r="Z90" s="7">
        <f ca="1">-MAX(FV(Inputs!$B149/12,Z$1*12+MthOff,Inputs!$B150,-Inputs!$B148),0)</f>
        <v>0</v>
      </c>
      <c r="AA90" s="7">
        <f ca="1">-MAX(FV(Inputs!$B149/12,AA$1*12+MthOff,Inputs!$B150,-Inputs!$B148),0)</f>
        <v>0</v>
      </c>
      <c r="AB90" s="7">
        <f ca="1">-MAX(FV(Inputs!$B149/12,AB$1*12+MthOff,Inputs!$B150,-Inputs!$B148),0)</f>
        <v>0</v>
      </c>
      <c r="AC90" s="7">
        <f ca="1">-MAX(FV(Inputs!$B149/12,AC$1*12+MthOff,Inputs!$B150,-Inputs!$B148),0)</f>
        <v>0</v>
      </c>
      <c r="AD90" s="7">
        <f ca="1">-MAX(FV(Inputs!$B149/12,AD$1*12+MthOff,Inputs!$B150,-Inputs!$B148),0)</f>
        <v>0</v>
      </c>
      <c r="AE90" s="7">
        <f ca="1">-MAX(FV(Inputs!$B149/12,AE$1*12+MthOff,Inputs!$B150,-Inputs!$B148),0)</f>
        <v>0</v>
      </c>
      <c r="AF90" s="7">
        <f ca="1">-MAX(FV(Inputs!$B149/12,AF$1*12+MthOff,Inputs!$B150,-Inputs!$B148),0)</f>
        <v>0</v>
      </c>
      <c r="AG90" s="7">
        <f ca="1">-MAX(FV(Inputs!$B149/12,AG$1*12+MthOff,Inputs!$B150,-Inputs!$B148),0)</f>
        <v>0</v>
      </c>
      <c r="AH90" s="7">
        <f ca="1">-MAX(FV(Inputs!$B149/12,AH$1*12+MthOff,Inputs!$B150,-Inputs!$B148),0)</f>
        <v>0</v>
      </c>
      <c r="AI90" s="7">
        <f ca="1">-MAX(FV(Inputs!$B149/12,AI$1*12+MthOff,Inputs!$B150,-Inputs!$B148),0)</f>
        <v>0</v>
      </c>
      <c r="AJ90" s="7">
        <f ca="1">-MAX(FV(Inputs!$B149/12,AJ$1*12+MthOff,Inputs!$B150,-Inputs!$B148),0)</f>
        <v>0</v>
      </c>
      <c r="AK90" s="7">
        <f ca="1">-MAX(FV(Inputs!$B149/12,AK$1*12+MthOff,Inputs!$B150,-Inputs!$B148),0)</f>
        <v>0</v>
      </c>
      <c r="AL90" s="7">
        <f ca="1">-MAX(FV(Inputs!$B149/12,AL$1*12+MthOff,Inputs!$B150,-Inputs!$B148),0)</f>
        <v>0</v>
      </c>
      <c r="AM90" s="7">
        <f ca="1">-MAX(FV(Inputs!$B149/12,AM$1*12+MthOff,Inputs!$B150,-Inputs!$B148),0)</f>
        <v>0</v>
      </c>
    </row>
    <row r="91" spans="1:39" x14ac:dyDescent="0.2">
      <c r="A91" s="3" t="str">
        <f>TEXT(Inputs!$B$88,"")</f>
        <v>Jewelry</v>
      </c>
      <c r="C91" s="7">
        <f ca="1">-MAX(FV(Inputs!$B154/12,C$1*12+MthOff,Inputs!$B155,-Inputs!$B153),0)</f>
        <v>-1875.0262705595046</v>
      </c>
      <c r="D91" s="101">
        <f ca="1">-MAX(FV(Inputs!$B154/12,D$1*12+MthOff,Inputs!$B155,-Inputs!$B153),0)</f>
        <v>-1019.5782814113345</v>
      </c>
      <c r="E91" s="110">
        <f ca="1">-MAX(FV(Inputs!$B154/12,E$1*12+MthOff,Inputs!$B155,-Inputs!$B153),0)</f>
        <v>-138.11102308348245</v>
      </c>
      <c r="F91" s="7">
        <f ca="1">-MAX(FV(Inputs!$B154/12,F$1*12+MthOff,Inputs!$B155,-Inputs!$B153),0)</f>
        <v>0</v>
      </c>
      <c r="G91" s="7">
        <f ca="1">-MAX(FV(Inputs!$B154/12,G$1*12+MthOff,Inputs!$B155,-Inputs!$B153),0)</f>
        <v>0</v>
      </c>
      <c r="H91" s="7">
        <f ca="1">-MAX(FV(Inputs!$B154/12,H$1*12+MthOff,Inputs!$B155,-Inputs!$B153),0)</f>
        <v>0</v>
      </c>
      <c r="I91" s="7">
        <f ca="1">-MAX(FV(Inputs!$B154/12,I$1*12+MthOff,Inputs!$B155,-Inputs!$B153),0)</f>
        <v>0</v>
      </c>
      <c r="J91" s="7">
        <f ca="1">-MAX(FV(Inputs!$B154/12,J$1*12+MthOff,Inputs!$B155,-Inputs!$B153),0)</f>
        <v>0</v>
      </c>
      <c r="K91" s="7">
        <f ca="1">-MAX(FV(Inputs!$B154/12,K$1*12+MthOff,Inputs!$B155,-Inputs!$B153),0)</f>
        <v>0</v>
      </c>
      <c r="L91" s="7">
        <f ca="1">-MAX(FV(Inputs!$B154/12,L$1*12+MthOff,Inputs!$B155,-Inputs!$B153),0)</f>
        <v>0</v>
      </c>
      <c r="M91" s="7">
        <f ca="1">-MAX(FV(Inputs!$B154/12,M$1*12+MthOff,Inputs!$B155,-Inputs!$B153),0)</f>
        <v>0</v>
      </c>
      <c r="N91" s="7">
        <f ca="1">-MAX(FV(Inputs!$B154/12,N$1*12+MthOff,Inputs!$B155,-Inputs!$B153),0)</f>
        <v>0</v>
      </c>
      <c r="O91" s="7">
        <f ca="1">-MAX(FV(Inputs!$B154/12,O$1*12+MthOff,Inputs!$B155,-Inputs!$B153),0)</f>
        <v>0</v>
      </c>
      <c r="P91" s="7">
        <f ca="1">-MAX(FV(Inputs!$B154/12,P$1*12+MthOff,Inputs!$B155,-Inputs!$B153),0)</f>
        <v>0</v>
      </c>
      <c r="Q91" s="7">
        <f ca="1">-MAX(FV(Inputs!$B154/12,Q$1*12+MthOff,Inputs!$B155,-Inputs!$B153),0)</f>
        <v>0</v>
      </c>
      <c r="R91" s="7">
        <f ca="1">-MAX(FV(Inputs!$B154/12,R$1*12+MthOff,Inputs!$B155,-Inputs!$B153),0)</f>
        <v>0</v>
      </c>
      <c r="S91" s="7">
        <f ca="1">-MAX(FV(Inputs!$B154/12,S$1*12+MthOff,Inputs!$B155,-Inputs!$B153),0)</f>
        <v>0</v>
      </c>
      <c r="T91" s="7">
        <f ca="1">-MAX(FV(Inputs!$B154/12,T$1*12+MthOff,Inputs!$B155,-Inputs!$B153),0)</f>
        <v>0</v>
      </c>
      <c r="U91" s="7">
        <f ca="1">-MAX(FV(Inputs!$B154/12,U$1*12+MthOff,Inputs!$B155,-Inputs!$B153),0)</f>
        <v>0</v>
      </c>
      <c r="V91" s="7">
        <f ca="1">-MAX(FV(Inputs!$B154/12,V$1*12+MthOff,Inputs!$B155,-Inputs!$B153),0)</f>
        <v>0</v>
      </c>
      <c r="W91" s="7">
        <f ca="1">-MAX(FV(Inputs!$B154/12,W$1*12+MthOff,Inputs!$B155,-Inputs!$B153),0)</f>
        <v>0</v>
      </c>
      <c r="X91" s="7">
        <f ca="1">-MAX(FV(Inputs!$B154/12,X$1*12+MthOff,Inputs!$B155,-Inputs!$B153),0)</f>
        <v>0</v>
      </c>
      <c r="Y91" s="7">
        <f ca="1">-MAX(FV(Inputs!$B154/12,Y$1*12+MthOff,Inputs!$B155,-Inputs!$B153),0)</f>
        <v>0</v>
      </c>
      <c r="Z91" s="7">
        <f ca="1">-MAX(FV(Inputs!$B154/12,Z$1*12+MthOff,Inputs!$B155,-Inputs!$B153),0)</f>
        <v>0</v>
      </c>
      <c r="AA91" s="7">
        <f ca="1">-MAX(FV(Inputs!$B154/12,AA$1*12+MthOff,Inputs!$B155,-Inputs!$B153),0)</f>
        <v>0</v>
      </c>
      <c r="AB91" s="7">
        <f ca="1">-MAX(FV(Inputs!$B154/12,AB$1*12+MthOff,Inputs!$B155,-Inputs!$B153),0)</f>
        <v>0</v>
      </c>
      <c r="AC91" s="7">
        <f ca="1">-MAX(FV(Inputs!$B154/12,AC$1*12+MthOff,Inputs!$B155,-Inputs!$B153),0)</f>
        <v>0</v>
      </c>
      <c r="AD91" s="7">
        <f ca="1">-MAX(FV(Inputs!$B154/12,AD$1*12+MthOff,Inputs!$B155,-Inputs!$B153),0)</f>
        <v>0</v>
      </c>
      <c r="AE91" s="7">
        <f ca="1">-MAX(FV(Inputs!$B154/12,AE$1*12+MthOff,Inputs!$B155,-Inputs!$B153),0)</f>
        <v>0</v>
      </c>
      <c r="AF91" s="7">
        <f ca="1">-MAX(FV(Inputs!$B154/12,AF$1*12+MthOff,Inputs!$B155,-Inputs!$B153),0)</f>
        <v>0</v>
      </c>
      <c r="AG91" s="7">
        <f ca="1">-MAX(FV(Inputs!$B154/12,AG$1*12+MthOff,Inputs!$B155,-Inputs!$B153),0)</f>
        <v>0</v>
      </c>
      <c r="AH91" s="7">
        <f ca="1">-MAX(FV(Inputs!$B154/12,AH$1*12+MthOff,Inputs!$B155,-Inputs!$B153),0)</f>
        <v>0</v>
      </c>
      <c r="AI91" s="7">
        <f ca="1">-MAX(FV(Inputs!$B154/12,AI$1*12+MthOff,Inputs!$B155,-Inputs!$B153),0)</f>
        <v>0</v>
      </c>
      <c r="AJ91" s="7">
        <f ca="1">-MAX(FV(Inputs!$B154/12,AJ$1*12+MthOff,Inputs!$B155,-Inputs!$B153),0)</f>
        <v>0</v>
      </c>
      <c r="AK91" s="7">
        <f ca="1">-MAX(FV(Inputs!$B154/12,AK$1*12+MthOff,Inputs!$B155,-Inputs!$B153),0)</f>
        <v>0</v>
      </c>
      <c r="AL91" s="7">
        <f ca="1">-MAX(FV(Inputs!$B154/12,AL$1*12+MthOff,Inputs!$B155,-Inputs!$B153),0)</f>
        <v>0</v>
      </c>
      <c r="AM91" s="7">
        <f ca="1">-MAX(FV(Inputs!$B154/12,AM$1*12+MthOff,Inputs!$B155,-Inputs!$B153),0)</f>
        <v>0</v>
      </c>
    </row>
    <row r="92" spans="1:39" x14ac:dyDescent="0.2">
      <c r="A92" s="3" t="str">
        <f>TEXT(Inputs!$B$93,"")</f>
        <v>Car</v>
      </c>
      <c r="C92" s="7">
        <f ca="1">-MAX(FV(Inputs!$B159/12,C$1*12+MthOff,Inputs!$B160,-Inputs!$B158),0)</f>
        <v>-5311.4222222593407</v>
      </c>
      <c r="D92" s="101">
        <f ca="1">-MAX(FV(Inputs!$B159/12,D$1*12+MthOff,Inputs!$B160,-Inputs!$B158),0)</f>
        <v>-4377.1171044025405</v>
      </c>
      <c r="E92" s="110">
        <f ca="1">-MAX(FV(Inputs!$B159/12,E$1*12+MthOff,Inputs!$B160,-Inputs!$B158),0)</f>
        <v>-3423.9536397318734</v>
      </c>
      <c r="F92" s="7">
        <f ca="1">-MAX(FV(Inputs!$B159/12,F$1*12+MthOff,Inputs!$B160,-Inputs!$B158),0)</f>
        <v>-2451.5511846676886</v>
      </c>
      <c r="G92" s="7">
        <f ca="1">-MAX(FV(Inputs!$B159/12,G$1*12+MthOff,Inputs!$B160,-Inputs!$B158),0)</f>
        <v>-1459.5214125849197</v>
      </c>
      <c r="H92" s="7">
        <f ca="1">-MAX(FV(Inputs!$B159/12,H$1*12+MthOff,Inputs!$B160,-Inputs!$B158),0)</f>
        <v>-447.46815873579635</v>
      </c>
      <c r="I92" s="7">
        <f ca="1">-MAX(FV(Inputs!$B159/12,I$1*12+MthOff,Inputs!$B160,-Inputs!$B158),0)</f>
        <v>0</v>
      </c>
      <c r="J92" s="7">
        <f ca="1">-MAX(FV(Inputs!$B159/12,J$1*12+MthOff,Inputs!$B160,-Inputs!$B158),0)</f>
        <v>0</v>
      </c>
      <c r="K92" s="7">
        <f ca="1">-MAX(FV(Inputs!$B159/12,K$1*12+MthOff,Inputs!$B160,-Inputs!$B158),0)</f>
        <v>0</v>
      </c>
      <c r="L92" s="7">
        <f ca="1">-MAX(FV(Inputs!$B159/12,L$1*12+MthOff,Inputs!$B160,-Inputs!$B158),0)</f>
        <v>0</v>
      </c>
      <c r="M92" s="7">
        <f ca="1">-MAX(FV(Inputs!$B159/12,M$1*12+MthOff,Inputs!$B160,-Inputs!$B158),0)</f>
        <v>0</v>
      </c>
      <c r="N92" s="7">
        <f ca="1">-MAX(FV(Inputs!$B159/12,N$1*12+MthOff,Inputs!$B160,-Inputs!$B158),0)</f>
        <v>0</v>
      </c>
      <c r="O92" s="7">
        <f ca="1">-MAX(FV(Inputs!$B159/12,O$1*12+MthOff,Inputs!$B160,-Inputs!$B158),0)</f>
        <v>0</v>
      </c>
      <c r="P92" s="7">
        <f ca="1">-MAX(FV(Inputs!$B159/12,P$1*12+MthOff,Inputs!$B160,-Inputs!$B158),0)</f>
        <v>0</v>
      </c>
      <c r="Q92" s="7">
        <f ca="1">-MAX(FV(Inputs!$B159/12,Q$1*12+MthOff,Inputs!$B160,-Inputs!$B158),0)</f>
        <v>0</v>
      </c>
      <c r="R92" s="7">
        <f ca="1">-MAX(FV(Inputs!$B159/12,R$1*12+MthOff,Inputs!$B160,-Inputs!$B158),0)</f>
        <v>0</v>
      </c>
      <c r="S92" s="7">
        <f ca="1">-MAX(FV(Inputs!$B159/12,S$1*12+MthOff,Inputs!$B160,-Inputs!$B158),0)</f>
        <v>0</v>
      </c>
      <c r="T92" s="7">
        <f ca="1">-MAX(FV(Inputs!$B159/12,T$1*12+MthOff,Inputs!$B160,-Inputs!$B158),0)</f>
        <v>0</v>
      </c>
      <c r="U92" s="7">
        <f ca="1">-MAX(FV(Inputs!$B159/12,U$1*12+MthOff,Inputs!$B160,-Inputs!$B158),0)</f>
        <v>0</v>
      </c>
      <c r="V92" s="7">
        <f ca="1">-MAX(FV(Inputs!$B159/12,V$1*12+MthOff,Inputs!$B160,-Inputs!$B158),0)</f>
        <v>0</v>
      </c>
      <c r="W92" s="7">
        <f ca="1">-MAX(FV(Inputs!$B159/12,W$1*12+MthOff,Inputs!$B160,-Inputs!$B158),0)</f>
        <v>0</v>
      </c>
      <c r="X92" s="7">
        <f ca="1">-MAX(FV(Inputs!$B159/12,X$1*12+MthOff,Inputs!$B160,-Inputs!$B158),0)</f>
        <v>0</v>
      </c>
      <c r="Y92" s="7">
        <f ca="1">-MAX(FV(Inputs!$B159/12,Y$1*12+MthOff,Inputs!$B160,-Inputs!$B158),0)</f>
        <v>0</v>
      </c>
      <c r="Z92" s="7">
        <f ca="1">-MAX(FV(Inputs!$B159/12,Z$1*12+MthOff,Inputs!$B160,-Inputs!$B158),0)</f>
        <v>0</v>
      </c>
      <c r="AA92" s="7">
        <f ca="1">-MAX(FV(Inputs!$B159/12,AA$1*12+MthOff,Inputs!$B160,-Inputs!$B158),0)</f>
        <v>0</v>
      </c>
      <c r="AB92" s="7">
        <f ca="1">-MAX(FV(Inputs!$B159/12,AB$1*12+MthOff,Inputs!$B160,-Inputs!$B158),0)</f>
        <v>0</v>
      </c>
      <c r="AC92" s="7">
        <f ca="1">-MAX(FV(Inputs!$B159/12,AC$1*12+MthOff,Inputs!$B160,-Inputs!$B158),0)</f>
        <v>0</v>
      </c>
      <c r="AD92" s="7">
        <f ca="1">-MAX(FV(Inputs!$B159/12,AD$1*12+MthOff,Inputs!$B160,-Inputs!$B158),0)</f>
        <v>0</v>
      </c>
      <c r="AE92" s="7">
        <f ca="1">-MAX(FV(Inputs!$B159/12,AE$1*12+MthOff,Inputs!$B160,-Inputs!$B158),0)</f>
        <v>0</v>
      </c>
      <c r="AF92" s="7">
        <f ca="1">-MAX(FV(Inputs!$B159/12,AF$1*12+MthOff,Inputs!$B160,-Inputs!$B158),0)</f>
        <v>0</v>
      </c>
      <c r="AG92" s="7">
        <f ca="1">-MAX(FV(Inputs!$B159/12,AG$1*12+MthOff,Inputs!$B160,-Inputs!$B158),0)</f>
        <v>0</v>
      </c>
      <c r="AH92" s="7">
        <f ca="1">-MAX(FV(Inputs!$B159/12,AH$1*12+MthOff,Inputs!$B160,-Inputs!$B158),0)</f>
        <v>0</v>
      </c>
      <c r="AI92" s="7">
        <f ca="1">-MAX(FV(Inputs!$B159/12,AI$1*12+MthOff,Inputs!$B160,-Inputs!$B158),0)</f>
        <v>0</v>
      </c>
      <c r="AJ92" s="7">
        <f ca="1">-MAX(FV(Inputs!$B159/12,AJ$1*12+MthOff,Inputs!$B160,-Inputs!$B158),0)</f>
        <v>0</v>
      </c>
      <c r="AK92" s="7">
        <f ca="1">-MAX(FV(Inputs!$B159/12,AK$1*12+MthOff,Inputs!$B160,-Inputs!$B158),0)</f>
        <v>0</v>
      </c>
      <c r="AL92" s="7">
        <f ca="1">-MAX(FV(Inputs!$B159/12,AL$1*12+MthOff,Inputs!$B160,-Inputs!$B158),0)</f>
        <v>0</v>
      </c>
      <c r="AM92" s="7">
        <f ca="1">-MAX(FV(Inputs!$B159/12,AM$1*12+MthOff,Inputs!$B160,-Inputs!$B158),0)</f>
        <v>0</v>
      </c>
    </row>
    <row r="93" spans="1:39" x14ac:dyDescent="0.2">
      <c r="A93" s="3" t="str">
        <f>TEXT(Inputs!$B$98,"")</f>
        <v>Painting</v>
      </c>
      <c r="C93" s="7">
        <f ca="1">-MAX(FV(Inputs!$B164/12,C$1*12+MthOff,Inputs!$B165,-Inputs!$B163),0)</f>
        <v>-6642.0499231875183</v>
      </c>
      <c r="D93" s="101">
        <f ca="1">-MAX(FV(Inputs!$B164/12,D$1*12+MthOff,Inputs!$B165,-Inputs!$B163),0)</f>
        <v>-5447.0128666310102</v>
      </c>
      <c r="E93" s="110">
        <f ca="1">-MAX(FV(Inputs!$B164/12,E$1*12+MthOff,Inputs!$B165,-Inputs!$B163),0)</f>
        <v>-4190.8354462220714</v>
      </c>
      <c r="F93" s="7">
        <f ca="1">-MAX(FV(Inputs!$B164/12,F$1*12+MthOff,Inputs!$B165,-Inputs!$B163),0)</f>
        <v>-2870.389604908838</v>
      </c>
      <c r="G93" s="7">
        <f ca="1">-MAX(FV(Inputs!$B164/12,G$1*12+MthOff,Inputs!$B165,-Inputs!$B163),0)</f>
        <v>-1482.3872483039713</v>
      </c>
      <c r="H93" s="7">
        <f ca="1">-MAX(FV(Inputs!$B164/12,H$1*12+MthOff,Inputs!$B165,-Inputs!$B163),0)</f>
        <v>-23.372056870879533</v>
      </c>
      <c r="I93" s="7">
        <f ca="1">-MAX(FV(Inputs!$B164/12,I$1*12+MthOff,Inputs!$B165,-Inputs!$B163),0)</f>
        <v>0</v>
      </c>
      <c r="J93" s="7">
        <f ca="1">-MAX(FV(Inputs!$B164/12,J$1*12+MthOff,Inputs!$B165,-Inputs!$B163),0)</f>
        <v>0</v>
      </c>
      <c r="K93" s="7">
        <f ca="1">-MAX(FV(Inputs!$B164/12,K$1*12+MthOff,Inputs!$B165,-Inputs!$B163),0)</f>
        <v>0</v>
      </c>
      <c r="L93" s="7">
        <f ca="1">-MAX(FV(Inputs!$B164/12,L$1*12+MthOff,Inputs!$B165,-Inputs!$B163),0)</f>
        <v>0</v>
      </c>
      <c r="M93" s="7">
        <f ca="1">-MAX(FV(Inputs!$B164/12,M$1*12+MthOff,Inputs!$B165,-Inputs!$B163),0)</f>
        <v>0</v>
      </c>
      <c r="N93" s="7">
        <f ca="1">-MAX(FV(Inputs!$B164/12,N$1*12+MthOff,Inputs!$B165,-Inputs!$B163),0)</f>
        <v>0</v>
      </c>
      <c r="O93" s="7">
        <f ca="1">-MAX(FV(Inputs!$B164/12,O$1*12+MthOff,Inputs!$B165,-Inputs!$B163),0)</f>
        <v>0</v>
      </c>
      <c r="P93" s="7">
        <f ca="1">-MAX(FV(Inputs!$B164/12,P$1*12+MthOff,Inputs!$B165,-Inputs!$B163),0)</f>
        <v>0</v>
      </c>
      <c r="Q93" s="7">
        <f ca="1">-MAX(FV(Inputs!$B164/12,Q$1*12+MthOff,Inputs!$B165,-Inputs!$B163),0)</f>
        <v>0</v>
      </c>
      <c r="R93" s="7">
        <f ca="1">-MAX(FV(Inputs!$B164/12,R$1*12+MthOff,Inputs!$B165,-Inputs!$B163),0)</f>
        <v>0</v>
      </c>
      <c r="S93" s="7">
        <f ca="1">-MAX(FV(Inputs!$B164/12,S$1*12+MthOff,Inputs!$B165,-Inputs!$B163),0)</f>
        <v>0</v>
      </c>
      <c r="T93" s="7">
        <f ca="1">-MAX(FV(Inputs!$B164/12,T$1*12+MthOff,Inputs!$B165,-Inputs!$B163),0)</f>
        <v>0</v>
      </c>
      <c r="U93" s="7">
        <f ca="1">-MAX(FV(Inputs!$B164/12,U$1*12+MthOff,Inputs!$B165,-Inputs!$B163),0)</f>
        <v>0</v>
      </c>
      <c r="V93" s="7">
        <f ca="1">-MAX(FV(Inputs!$B164/12,V$1*12+MthOff,Inputs!$B165,-Inputs!$B163),0)</f>
        <v>0</v>
      </c>
      <c r="W93" s="7">
        <f ca="1">-MAX(FV(Inputs!$B164/12,W$1*12+MthOff,Inputs!$B165,-Inputs!$B163),0)</f>
        <v>0</v>
      </c>
      <c r="X93" s="7">
        <f ca="1">-MAX(FV(Inputs!$B164/12,X$1*12+MthOff,Inputs!$B165,-Inputs!$B163),0)</f>
        <v>0</v>
      </c>
      <c r="Y93" s="7">
        <f ca="1">-MAX(FV(Inputs!$B164/12,Y$1*12+MthOff,Inputs!$B165,-Inputs!$B163),0)</f>
        <v>0</v>
      </c>
      <c r="Z93" s="7">
        <f ca="1">-MAX(FV(Inputs!$B164/12,Z$1*12+MthOff,Inputs!$B165,-Inputs!$B163),0)</f>
        <v>0</v>
      </c>
      <c r="AA93" s="7">
        <f ca="1">-MAX(FV(Inputs!$B164/12,AA$1*12+MthOff,Inputs!$B165,-Inputs!$B163),0)</f>
        <v>0</v>
      </c>
      <c r="AB93" s="7">
        <f ca="1">-MAX(FV(Inputs!$B164/12,AB$1*12+MthOff,Inputs!$B165,-Inputs!$B163),0)</f>
        <v>0</v>
      </c>
      <c r="AC93" s="7">
        <f ca="1">-MAX(FV(Inputs!$B164/12,AC$1*12+MthOff,Inputs!$B165,-Inputs!$B163),0)</f>
        <v>0</v>
      </c>
      <c r="AD93" s="7">
        <f ca="1">-MAX(FV(Inputs!$B164/12,AD$1*12+MthOff,Inputs!$B165,-Inputs!$B163),0)</f>
        <v>0</v>
      </c>
      <c r="AE93" s="7">
        <f ca="1">-MAX(FV(Inputs!$B164/12,AE$1*12+MthOff,Inputs!$B165,-Inputs!$B163),0)</f>
        <v>0</v>
      </c>
      <c r="AF93" s="7">
        <f ca="1">-MAX(FV(Inputs!$B164/12,AF$1*12+MthOff,Inputs!$B165,-Inputs!$B163),0)</f>
        <v>0</v>
      </c>
      <c r="AG93" s="7">
        <f ca="1">-MAX(FV(Inputs!$B164/12,AG$1*12+MthOff,Inputs!$B165,-Inputs!$B163),0)</f>
        <v>0</v>
      </c>
      <c r="AH93" s="7">
        <f ca="1">-MAX(FV(Inputs!$B164/12,AH$1*12+MthOff,Inputs!$B165,-Inputs!$B163),0)</f>
        <v>0</v>
      </c>
      <c r="AI93" s="7">
        <f ca="1">-MAX(FV(Inputs!$B164/12,AI$1*12+MthOff,Inputs!$B165,-Inputs!$B163),0)</f>
        <v>0</v>
      </c>
      <c r="AJ93" s="7">
        <f ca="1">-MAX(FV(Inputs!$B164/12,AJ$1*12+MthOff,Inputs!$B165,-Inputs!$B163),0)</f>
        <v>0</v>
      </c>
      <c r="AK93" s="7">
        <f ca="1">-MAX(FV(Inputs!$B164/12,AK$1*12+MthOff,Inputs!$B165,-Inputs!$B163),0)</f>
        <v>0</v>
      </c>
      <c r="AL93" s="7">
        <f ca="1">-MAX(FV(Inputs!$B164/12,AL$1*12+MthOff,Inputs!$B165,-Inputs!$B163),0)</f>
        <v>0</v>
      </c>
      <c r="AM93" s="7">
        <f ca="1">-MAX(FV(Inputs!$B164/12,AM$1*12+MthOff,Inputs!$B165,-Inputs!$B163),0)</f>
        <v>0</v>
      </c>
    </row>
    <row r="94" spans="1:39" x14ac:dyDescent="0.2">
      <c r="A94" s="3" t="str">
        <f>TEXT(Inputs!$B$103,"")</f>
        <v>Boat</v>
      </c>
      <c r="C94" s="7">
        <f ca="1">-MAX(FV(Inputs!$B169/12,C$1*12+MthOff,Inputs!$B170,-Inputs!$B168),0)</f>
        <v>-36106.782888498572</v>
      </c>
      <c r="D94" s="101">
        <f ca="1">-MAX(FV(Inputs!$B169/12,D$1*12+MthOff,Inputs!$B170,-Inputs!$B168),0)</f>
        <v>-30636.379329838361</v>
      </c>
      <c r="E94" s="110">
        <f ca="1">-MAX(FV(Inputs!$B169/12,E$1*12+MthOff,Inputs!$B170,-Inputs!$B168),0)</f>
        <v>-24828.573249664209</v>
      </c>
      <c r="F94" s="7">
        <f ca="1">-MAX(FV(Inputs!$B169/12,F$1*12+MthOff,Inputs!$B170,-Inputs!$B168),0)</f>
        <v>-18662.55439873159</v>
      </c>
      <c r="G94" s="7">
        <f ca="1">-MAX(FV(Inputs!$B169/12,G$1*12+MthOff,Inputs!$B170,-Inputs!$B168),0)</f>
        <v>-12116.228997158192</v>
      </c>
      <c r="H94" s="7">
        <f ca="1">-MAX(FV(Inputs!$B169/12,H$1*12+MthOff,Inputs!$B170,-Inputs!$B168),0)</f>
        <v>-5166.1405690627944</v>
      </c>
      <c r="I94" s="7">
        <f ca="1">-MAX(FV(Inputs!$B169/12,I$1*12+MthOff,Inputs!$B170,-Inputs!$B168),0)</f>
        <v>0</v>
      </c>
      <c r="J94" s="7">
        <f ca="1">-MAX(FV(Inputs!$B169/12,J$1*12+MthOff,Inputs!$B170,-Inputs!$B168),0)</f>
        <v>0</v>
      </c>
      <c r="K94" s="7">
        <f ca="1">-MAX(FV(Inputs!$B169/12,K$1*12+MthOff,Inputs!$B170,-Inputs!$B168),0)</f>
        <v>0</v>
      </c>
      <c r="L94" s="7">
        <f ca="1">-MAX(FV(Inputs!$B169/12,L$1*12+MthOff,Inputs!$B170,-Inputs!$B168),0)</f>
        <v>0</v>
      </c>
      <c r="M94" s="7">
        <f ca="1">-MAX(FV(Inputs!$B169/12,M$1*12+MthOff,Inputs!$B170,-Inputs!$B168),0)</f>
        <v>0</v>
      </c>
      <c r="N94" s="7">
        <f ca="1">-MAX(FV(Inputs!$B169/12,N$1*12+MthOff,Inputs!$B170,-Inputs!$B168),0)</f>
        <v>0</v>
      </c>
      <c r="O94" s="7">
        <f ca="1">-MAX(FV(Inputs!$B169/12,O$1*12+MthOff,Inputs!$B170,-Inputs!$B168),0)</f>
        <v>0</v>
      </c>
      <c r="P94" s="7">
        <f ca="1">-MAX(FV(Inputs!$B169/12,P$1*12+MthOff,Inputs!$B170,-Inputs!$B168),0)</f>
        <v>0</v>
      </c>
      <c r="Q94" s="7">
        <f ca="1">-MAX(FV(Inputs!$B169/12,Q$1*12+MthOff,Inputs!$B170,-Inputs!$B168),0)</f>
        <v>0</v>
      </c>
      <c r="R94" s="7">
        <f ca="1">-MAX(FV(Inputs!$B169/12,R$1*12+MthOff,Inputs!$B170,-Inputs!$B168),0)</f>
        <v>0</v>
      </c>
      <c r="S94" s="7">
        <f ca="1">-MAX(FV(Inputs!$B169/12,S$1*12+MthOff,Inputs!$B170,-Inputs!$B168),0)</f>
        <v>0</v>
      </c>
      <c r="T94" s="7">
        <f ca="1">-MAX(FV(Inputs!$B169/12,T$1*12+MthOff,Inputs!$B170,-Inputs!$B168),0)</f>
        <v>0</v>
      </c>
      <c r="U94" s="7">
        <f ca="1">-MAX(FV(Inputs!$B169/12,U$1*12+MthOff,Inputs!$B170,-Inputs!$B168),0)</f>
        <v>0</v>
      </c>
      <c r="V94" s="7">
        <f ca="1">-MAX(FV(Inputs!$B169/12,V$1*12+MthOff,Inputs!$B170,-Inputs!$B168),0)</f>
        <v>0</v>
      </c>
      <c r="W94" s="7">
        <f ca="1">-MAX(FV(Inputs!$B169/12,W$1*12+MthOff,Inputs!$B170,-Inputs!$B168),0)</f>
        <v>0</v>
      </c>
      <c r="X94" s="7">
        <f ca="1">-MAX(FV(Inputs!$B169/12,X$1*12+MthOff,Inputs!$B170,-Inputs!$B168),0)</f>
        <v>0</v>
      </c>
      <c r="Y94" s="7">
        <f ca="1">-MAX(FV(Inputs!$B169/12,Y$1*12+MthOff,Inputs!$B170,-Inputs!$B168),0)</f>
        <v>0</v>
      </c>
      <c r="Z94" s="7">
        <f ca="1">-MAX(FV(Inputs!$B169/12,Z$1*12+MthOff,Inputs!$B170,-Inputs!$B168),0)</f>
        <v>0</v>
      </c>
      <c r="AA94" s="7">
        <f ca="1">-MAX(FV(Inputs!$B169/12,AA$1*12+MthOff,Inputs!$B170,-Inputs!$B168),0)</f>
        <v>0</v>
      </c>
      <c r="AB94" s="7">
        <f ca="1">-MAX(FV(Inputs!$B169/12,AB$1*12+MthOff,Inputs!$B170,-Inputs!$B168),0)</f>
        <v>0</v>
      </c>
      <c r="AC94" s="7">
        <f ca="1">-MAX(FV(Inputs!$B169/12,AC$1*12+MthOff,Inputs!$B170,-Inputs!$B168),0)</f>
        <v>0</v>
      </c>
      <c r="AD94" s="7">
        <f ca="1">-MAX(FV(Inputs!$B169/12,AD$1*12+MthOff,Inputs!$B170,-Inputs!$B168),0)</f>
        <v>0</v>
      </c>
      <c r="AE94" s="7">
        <f ca="1">-MAX(FV(Inputs!$B169/12,AE$1*12+MthOff,Inputs!$B170,-Inputs!$B168),0)</f>
        <v>0</v>
      </c>
      <c r="AF94" s="7">
        <f ca="1">-MAX(FV(Inputs!$B169/12,AF$1*12+MthOff,Inputs!$B170,-Inputs!$B168),0)</f>
        <v>0</v>
      </c>
      <c r="AG94" s="7">
        <f ca="1">-MAX(FV(Inputs!$B169/12,AG$1*12+MthOff,Inputs!$B170,-Inputs!$B168),0)</f>
        <v>0</v>
      </c>
      <c r="AH94" s="7">
        <f ca="1">-MAX(FV(Inputs!$B169/12,AH$1*12+MthOff,Inputs!$B170,-Inputs!$B168),0)</f>
        <v>0</v>
      </c>
      <c r="AI94" s="7">
        <f ca="1">-MAX(FV(Inputs!$B169/12,AI$1*12+MthOff,Inputs!$B170,-Inputs!$B168),0)</f>
        <v>0</v>
      </c>
      <c r="AJ94" s="7">
        <f ca="1">-MAX(FV(Inputs!$B169/12,AJ$1*12+MthOff,Inputs!$B170,-Inputs!$B168),0)</f>
        <v>0</v>
      </c>
      <c r="AK94" s="7">
        <f ca="1">-MAX(FV(Inputs!$B169/12,AK$1*12+MthOff,Inputs!$B170,-Inputs!$B168),0)</f>
        <v>0</v>
      </c>
      <c r="AL94" s="7">
        <f ca="1">-MAX(FV(Inputs!$B169/12,AL$1*12+MthOff,Inputs!$B170,-Inputs!$B168),0)</f>
        <v>0</v>
      </c>
      <c r="AM94" s="7">
        <f ca="1">-MAX(FV(Inputs!$B169/12,AM$1*12+MthOff,Inputs!$B170,-Inputs!$B168),0)</f>
        <v>0</v>
      </c>
    </row>
    <row r="95" spans="1:39" x14ac:dyDescent="0.2">
      <c r="A95" s="3" t="str">
        <f>TEXT(Inputs!$B$108,"")</f>
        <v>Antiques</v>
      </c>
      <c r="C95" s="7">
        <f ca="1">-MAX(FV(Inputs!$B174/12,C$1*12+MthOff,Inputs!$B175,-Inputs!$B173),0)</f>
        <v>-2886.4020391451668</v>
      </c>
      <c r="D95" s="101">
        <f ca="1">-MAX(FV(Inputs!$B174/12,D$1*12+MthOff,Inputs!$B175,-Inputs!$B173),0)</f>
        <v>-1635.892615008569</v>
      </c>
      <c r="E95" s="110">
        <f ca="1">-MAX(FV(Inputs!$B174/12,E$1*12+MthOff,Inputs!$B175,-Inputs!$B173),0)</f>
        <v>-347.34775010749127</v>
      </c>
      <c r="F95" s="7">
        <f ca="1">-MAX(FV(Inputs!$B174/12,F$1*12+MthOff,Inputs!$B175,-Inputs!$B173),0)</f>
        <v>0</v>
      </c>
      <c r="G95" s="7">
        <f ca="1">-MAX(FV(Inputs!$B174/12,G$1*12+MthOff,Inputs!$B175,-Inputs!$B173),0)</f>
        <v>0</v>
      </c>
      <c r="H95" s="7">
        <f ca="1">-MAX(FV(Inputs!$B174/12,H$1*12+MthOff,Inputs!$B175,-Inputs!$B173),0)</f>
        <v>0</v>
      </c>
      <c r="I95" s="7">
        <f ca="1">-MAX(FV(Inputs!$B174/12,I$1*12+MthOff,Inputs!$B175,-Inputs!$B173),0)</f>
        <v>0</v>
      </c>
      <c r="J95" s="7">
        <f ca="1">-MAX(FV(Inputs!$B174/12,J$1*12+MthOff,Inputs!$B175,-Inputs!$B173),0)</f>
        <v>0</v>
      </c>
      <c r="K95" s="7">
        <f ca="1">-MAX(FV(Inputs!$B174/12,K$1*12+MthOff,Inputs!$B175,-Inputs!$B173),0)</f>
        <v>0</v>
      </c>
      <c r="L95" s="7">
        <f ca="1">-MAX(FV(Inputs!$B174/12,L$1*12+MthOff,Inputs!$B175,-Inputs!$B173),0)</f>
        <v>0</v>
      </c>
      <c r="M95" s="7">
        <f ca="1">-MAX(FV(Inputs!$B174/12,M$1*12+MthOff,Inputs!$B175,-Inputs!$B173),0)</f>
        <v>0</v>
      </c>
      <c r="N95" s="7">
        <f ca="1">-MAX(FV(Inputs!$B174/12,N$1*12+MthOff,Inputs!$B175,-Inputs!$B173),0)</f>
        <v>0</v>
      </c>
      <c r="O95" s="7">
        <f ca="1">-MAX(FV(Inputs!$B174/12,O$1*12+MthOff,Inputs!$B175,-Inputs!$B173),0)</f>
        <v>0</v>
      </c>
      <c r="P95" s="7">
        <f ca="1">-MAX(FV(Inputs!$B174/12,P$1*12+MthOff,Inputs!$B175,-Inputs!$B173),0)</f>
        <v>0</v>
      </c>
      <c r="Q95" s="7">
        <f ca="1">-MAX(FV(Inputs!$B174/12,Q$1*12+MthOff,Inputs!$B175,-Inputs!$B173),0)</f>
        <v>0</v>
      </c>
      <c r="R95" s="7">
        <f ca="1">-MAX(FV(Inputs!$B174/12,R$1*12+MthOff,Inputs!$B175,-Inputs!$B173),0)</f>
        <v>0</v>
      </c>
      <c r="S95" s="7">
        <f ca="1">-MAX(FV(Inputs!$B174/12,S$1*12+MthOff,Inputs!$B175,-Inputs!$B173),0)</f>
        <v>0</v>
      </c>
      <c r="T95" s="7">
        <f ca="1">-MAX(FV(Inputs!$B174/12,T$1*12+MthOff,Inputs!$B175,-Inputs!$B173),0)</f>
        <v>0</v>
      </c>
      <c r="U95" s="7">
        <f ca="1">-MAX(FV(Inputs!$B174/12,U$1*12+MthOff,Inputs!$B175,-Inputs!$B173),0)</f>
        <v>0</v>
      </c>
      <c r="V95" s="7">
        <f ca="1">-MAX(FV(Inputs!$B174/12,V$1*12+MthOff,Inputs!$B175,-Inputs!$B173),0)</f>
        <v>0</v>
      </c>
      <c r="W95" s="7">
        <f ca="1">-MAX(FV(Inputs!$B174/12,W$1*12+MthOff,Inputs!$B175,-Inputs!$B173),0)</f>
        <v>0</v>
      </c>
      <c r="X95" s="7">
        <f ca="1">-MAX(FV(Inputs!$B174/12,X$1*12+MthOff,Inputs!$B175,-Inputs!$B173),0)</f>
        <v>0</v>
      </c>
      <c r="Y95" s="7">
        <f ca="1">-MAX(FV(Inputs!$B174/12,Y$1*12+MthOff,Inputs!$B175,-Inputs!$B173),0)</f>
        <v>0</v>
      </c>
      <c r="Z95" s="7">
        <f ca="1">-MAX(FV(Inputs!$B174/12,Z$1*12+MthOff,Inputs!$B175,-Inputs!$B173),0)</f>
        <v>0</v>
      </c>
      <c r="AA95" s="7">
        <f ca="1">-MAX(FV(Inputs!$B174/12,AA$1*12+MthOff,Inputs!$B175,-Inputs!$B173),0)</f>
        <v>0</v>
      </c>
      <c r="AB95" s="7">
        <f ca="1">-MAX(FV(Inputs!$B174/12,AB$1*12+MthOff,Inputs!$B175,-Inputs!$B173),0)</f>
        <v>0</v>
      </c>
      <c r="AC95" s="7">
        <f ca="1">-MAX(FV(Inputs!$B174/12,AC$1*12+MthOff,Inputs!$B175,-Inputs!$B173),0)</f>
        <v>0</v>
      </c>
      <c r="AD95" s="7">
        <f ca="1">-MAX(FV(Inputs!$B174/12,AD$1*12+MthOff,Inputs!$B175,-Inputs!$B173),0)</f>
        <v>0</v>
      </c>
      <c r="AE95" s="7">
        <f ca="1">-MAX(FV(Inputs!$B174/12,AE$1*12+MthOff,Inputs!$B175,-Inputs!$B173),0)</f>
        <v>0</v>
      </c>
      <c r="AF95" s="7">
        <f ca="1">-MAX(FV(Inputs!$B174/12,AF$1*12+MthOff,Inputs!$B175,-Inputs!$B173),0)</f>
        <v>0</v>
      </c>
      <c r="AG95" s="7">
        <f ca="1">-MAX(FV(Inputs!$B174/12,AG$1*12+MthOff,Inputs!$B175,-Inputs!$B173),0)</f>
        <v>0</v>
      </c>
      <c r="AH95" s="7">
        <f ca="1">-MAX(FV(Inputs!$B174/12,AH$1*12+MthOff,Inputs!$B175,-Inputs!$B173),0)</f>
        <v>0</v>
      </c>
      <c r="AI95" s="7">
        <f ca="1">-MAX(FV(Inputs!$B174/12,AI$1*12+MthOff,Inputs!$B175,-Inputs!$B173),0)</f>
        <v>0</v>
      </c>
      <c r="AJ95" s="7">
        <f ca="1">-MAX(FV(Inputs!$B174/12,AJ$1*12+MthOff,Inputs!$B175,-Inputs!$B173),0)</f>
        <v>0</v>
      </c>
      <c r="AK95" s="7">
        <f ca="1">-MAX(FV(Inputs!$B174/12,AK$1*12+MthOff,Inputs!$B175,-Inputs!$B173),0)</f>
        <v>0</v>
      </c>
      <c r="AL95" s="7">
        <f ca="1">-MAX(FV(Inputs!$B174/12,AL$1*12+MthOff,Inputs!$B175,-Inputs!$B173),0)</f>
        <v>0</v>
      </c>
      <c r="AM95" s="7">
        <f ca="1">-MAX(FV(Inputs!$B174/12,AM$1*12+MthOff,Inputs!$B175,-Inputs!$B173),0)</f>
        <v>0</v>
      </c>
    </row>
    <row r="96" spans="1:39" x14ac:dyDescent="0.2">
      <c r="A96" s="4" t="s">
        <v>33</v>
      </c>
      <c r="C96" s="7">
        <f ca="1">-MAX(FV(Inputs!$B179/12,C$1*12+MthOff,Inputs!$B180,-Inputs!$B178),0)</f>
        <v>-3724.5365251296162</v>
      </c>
      <c r="D96" s="101">
        <f ca="1">-MAX(FV(Inputs!$B179/12,D$1*12+MthOff,Inputs!$B180,-Inputs!$B178),0)</f>
        <v>-3337.4796695640352</v>
      </c>
      <c r="E96" s="110">
        <f ca="1">-MAX(FV(Inputs!$B179/12,E$1*12+MthOff,Inputs!$B180,-Inputs!$B178),0)</f>
        <v>-2926.5499940800146</v>
      </c>
      <c r="F96" s="7">
        <f ca="1">-MAX(FV(Inputs!$B179/12,F$1*12+MthOff,Inputs!$B180,-Inputs!$B178),0)</f>
        <v>-2490.2750753819519</v>
      </c>
      <c r="G96" s="7">
        <f ca="1">-MAX(FV(Inputs!$B179/12,G$1*12+MthOff,Inputs!$B180,-Inputs!$B178),0)</f>
        <v>-2027.0916743272305</v>
      </c>
      <c r="H96" s="7">
        <f ca="1">-MAX(FV(Inputs!$B179/12,H$1*12+MthOff,Inputs!$B180,-Inputs!$B178),0)</f>
        <v>-1535.3401346034998</v>
      </c>
      <c r="I96" s="7">
        <f ca="1">-MAX(FV(Inputs!$B179/12,I$1*12+MthOff,Inputs!$B180,-Inputs!$B178),0)</f>
        <v>-1013.2584359286093</v>
      </c>
      <c r="J96" s="7">
        <f ca="1">-MAX(FV(Inputs!$B179/12,J$1*12+MthOff,Inputs!$B180,-Inputs!$B178),0)</f>
        <v>-458.97588046495366</v>
      </c>
      <c r="K96" s="7">
        <f ca="1">-MAX(FV(Inputs!$B179/12,K$1*12+MthOff,Inputs!$B180,-Inputs!$B178),0)</f>
        <v>0</v>
      </c>
      <c r="L96" s="7">
        <f ca="1">-MAX(FV(Inputs!$B179/12,L$1*12+MthOff,Inputs!$B180,-Inputs!$B178),0)</f>
        <v>0</v>
      </c>
      <c r="M96" s="7">
        <f ca="1">-MAX(FV(Inputs!$B179/12,M$1*12+MthOff,Inputs!$B180,-Inputs!$B178),0)</f>
        <v>0</v>
      </c>
      <c r="N96" s="7">
        <f ca="1">-MAX(FV(Inputs!$B179/12,N$1*12+MthOff,Inputs!$B180,-Inputs!$B178),0)</f>
        <v>0</v>
      </c>
      <c r="O96" s="7">
        <f ca="1">-MAX(FV(Inputs!$B179/12,O$1*12+MthOff,Inputs!$B180,-Inputs!$B178),0)</f>
        <v>0</v>
      </c>
      <c r="P96" s="7">
        <f ca="1">-MAX(FV(Inputs!$B179/12,P$1*12+MthOff,Inputs!$B180,-Inputs!$B178),0)</f>
        <v>0</v>
      </c>
      <c r="Q96" s="7">
        <f ca="1">-MAX(FV(Inputs!$B179/12,Q$1*12+MthOff,Inputs!$B180,-Inputs!$B178),0)</f>
        <v>0</v>
      </c>
      <c r="R96" s="7">
        <f ca="1">-MAX(FV(Inputs!$B179/12,R$1*12+MthOff,Inputs!$B180,-Inputs!$B178),0)</f>
        <v>0</v>
      </c>
      <c r="S96" s="7">
        <f ca="1">-MAX(FV(Inputs!$B179/12,S$1*12+MthOff,Inputs!$B180,-Inputs!$B178),0)</f>
        <v>0</v>
      </c>
      <c r="T96" s="7">
        <f ca="1">-MAX(FV(Inputs!$B179/12,T$1*12+MthOff,Inputs!$B180,-Inputs!$B178),0)</f>
        <v>0</v>
      </c>
      <c r="U96" s="7">
        <f ca="1">-MAX(FV(Inputs!$B179/12,U$1*12+MthOff,Inputs!$B180,-Inputs!$B178),0)</f>
        <v>0</v>
      </c>
      <c r="V96" s="7">
        <f ca="1">-MAX(FV(Inputs!$B179/12,V$1*12+MthOff,Inputs!$B180,-Inputs!$B178),0)</f>
        <v>0</v>
      </c>
      <c r="W96" s="7">
        <f ca="1">-MAX(FV(Inputs!$B179/12,W$1*12+MthOff,Inputs!$B180,-Inputs!$B178),0)</f>
        <v>0</v>
      </c>
      <c r="X96" s="7">
        <f ca="1">-MAX(FV(Inputs!$B179/12,X$1*12+MthOff,Inputs!$B180,-Inputs!$B178),0)</f>
        <v>0</v>
      </c>
      <c r="Y96" s="7">
        <f ca="1">-MAX(FV(Inputs!$B179/12,Y$1*12+MthOff,Inputs!$B180,-Inputs!$B178),0)</f>
        <v>0</v>
      </c>
      <c r="Z96" s="7">
        <f ca="1">-MAX(FV(Inputs!$B179/12,Z$1*12+MthOff,Inputs!$B180,-Inputs!$B178),0)</f>
        <v>0</v>
      </c>
      <c r="AA96" s="7">
        <f ca="1">-MAX(FV(Inputs!$B179/12,AA$1*12+MthOff,Inputs!$B180,-Inputs!$B178),0)</f>
        <v>0</v>
      </c>
      <c r="AB96" s="7">
        <f ca="1">-MAX(FV(Inputs!$B179/12,AB$1*12+MthOff,Inputs!$B180,-Inputs!$B178),0)</f>
        <v>0</v>
      </c>
      <c r="AC96" s="7">
        <f ca="1">-MAX(FV(Inputs!$B179/12,AC$1*12+MthOff,Inputs!$B180,-Inputs!$B178),0)</f>
        <v>0</v>
      </c>
      <c r="AD96" s="7">
        <f ca="1">-MAX(FV(Inputs!$B179/12,AD$1*12+MthOff,Inputs!$B180,-Inputs!$B178),0)</f>
        <v>0</v>
      </c>
      <c r="AE96" s="7">
        <f ca="1">-MAX(FV(Inputs!$B179/12,AE$1*12+MthOff,Inputs!$B180,-Inputs!$B178),0)</f>
        <v>0</v>
      </c>
      <c r="AF96" s="7">
        <f ca="1">-MAX(FV(Inputs!$B179/12,AF$1*12+MthOff,Inputs!$B180,-Inputs!$B178),0)</f>
        <v>0</v>
      </c>
      <c r="AG96" s="7">
        <f ca="1">-MAX(FV(Inputs!$B179/12,AG$1*12+MthOff,Inputs!$B180,-Inputs!$B178),0)</f>
        <v>0</v>
      </c>
      <c r="AH96" s="7">
        <f ca="1">-MAX(FV(Inputs!$B179/12,AH$1*12+MthOff,Inputs!$B180,-Inputs!$B178),0)</f>
        <v>0</v>
      </c>
      <c r="AI96" s="7">
        <f ca="1">-MAX(FV(Inputs!$B179/12,AI$1*12+MthOff,Inputs!$B180,-Inputs!$B178),0)</f>
        <v>0</v>
      </c>
      <c r="AJ96" s="7">
        <f ca="1">-MAX(FV(Inputs!$B179/12,AJ$1*12+MthOff,Inputs!$B180,-Inputs!$B178),0)</f>
        <v>0</v>
      </c>
      <c r="AK96" s="7">
        <f ca="1">-MAX(FV(Inputs!$B179/12,AK$1*12+MthOff,Inputs!$B180,-Inputs!$B178),0)</f>
        <v>0</v>
      </c>
      <c r="AL96" s="7">
        <f ca="1">-MAX(FV(Inputs!$B179/12,AL$1*12+MthOff,Inputs!$B180,-Inputs!$B178),0)</f>
        <v>0</v>
      </c>
      <c r="AM96" s="7">
        <f ca="1">-MAX(FV(Inputs!$B179/12,AM$1*12+MthOff,Inputs!$B180,-Inputs!$B178),0)</f>
        <v>0</v>
      </c>
    </row>
    <row r="97" spans="1:44" x14ac:dyDescent="0.2">
      <c r="A97" s="4"/>
      <c r="C97" s="9">
        <f t="shared" ref="C97:AM97" ca="1" si="49">SUM(C68:C96)</f>
        <v>1680453.1852331229</v>
      </c>
      <c r="D97" s="102">
        <f t="shared" ca="1" si="49"/>
        <v>1664018.275758995</v>
      </c>
      <c r="E97" s="111">
        <f t="shared" ca="1" si="49"/>
        <v>1663555.9450033591</v>
      </c>
      <c r="F97" s="9">
        <f t="shared" ca="1" si="49"/>
        <v>1640648.7239732665</v>
      </c>
      <c r="G97" s="9">
        <f t="shared" ca="1" si="49"/>
        <v>1560760.1754599486</v>
      </c>
      <c r="H97" s="9">
        <f t="shared" ca="1" si="49"/>
        <v>1563266.2288398559</v>
      </c>
      <c r="I97" s="9">
        <f t="shared" ca="1" si="49"/>
        <v>1564614.0138474395</v>
      </c>
      <c r="J97" s="9">
        <f t="shared" ca="1" si="49"/>
        <v>1573193.9819361418</v>
      </c>
      <c r="K97" s="9">
        <f t="shared" ca="1" si="49"/>
        <v>1565048.3424039613</v>
      </c>
      <c r="L97" s="9">
        <f t="shared" ca="1" si="49"/>
        <v>1639172.2615443273</v>
      </c>
      <c r="M97" s="9">
        <f t="shared" ca="1" si="49"/>
        <v>1616598.7756683084</v>
      </c>
      <c r="N97" s="9">
        <f t="shared" ca="1" si="49"/>
        <v>1636811.826620992</v>
      </c>
      <c r="O97" s="9">
        <f t="shared" ca="1" si="49"/>
        <v>1663582.4828367315</v>
      </c>
      <c r="P97" s="9">
        <f t="shared" ca="1" si="49"/>
        <v>1691925.125583462</v>
      </c>
      <c r="Q97" s="9">
        <f t="shared" ca="1" si="49"/>
        <v>1721870.1715262688</v>
      </c>
      <c r="R97" s="9">
        <f t="shared" ca="1" si="49"/>
        <v>1755919.4310824042</v>
      </c>
      <c r="S97" s="9">
        <f t="shared" ca="1" si="49"/>
        <v>1791905.9659602651</v>
      </c>
      <c r="T97" s="9">
        <f t="shared" ca="1" si="49"/>
        <v>1846932.6020033048</v>
      </c>
      <c r="U97" s="9">
        <f t="shared" ca="1" si="49"/>
        <v>1912246.5391054538</v>
      </c>
      <c r="V97" s="9">
        <f t="shared" ca="1" si="49"/>
        <v>1963469.1217699451</v>
      </c>
      <c r="W97" s="9">
        <f t="shared" ca="1" si="49"/>
        <v>2034345.1855521537</v>
      </c>
      <c r="X97" s="9">
        <f t="shared" ca="1" si="49"/>
        <v>2108300.6777475635</v>
      </c>
      <c r="Y97" s="9">
        <f t="shared" ca="1" si="49"/>
        <v>2163225.5475595817</v>
      </c>
      <c r="Z97" s="9">
        <f t="shared" ca="1" si="49"/>
        <v>2220682.2731548203</v>
      </c>
      <c r="AA97" s="9">
        <f t="shared" ca="1" si="49"/>
        <v>2253540.0125407772</v>
      </c>
      <c r="AB97" s="9">
        <f t="shared" ca="1" si="49"/>
        <v>2312869.1723078256</v>
      </c>
      <c r="AC97" s="9">
        <f t="shared" ca="1" si="49"/>
        <v>2374668.8872413486</v>
      </c>
      <c r="AD97" s="9">
        <f t="shared" ca="1" si="49"/>
        <v>2439014.7306845388</v>
      </c>
      <c r="AE97" s="9">
        <f t="shared" ca="1" si="49"/>
        <v>2515968.1279172022</v>
      </c>
      <c r="AF97" s="9">
        <f t="shared" ca="1" si="49"/>
        <v>2595878.5834997031</v>
      </c>
      <c r="AG97" s="9">
        <f t="shared" ca="1" si="49"/>
        <v>2678838.3178215832</v>
      </c>
      <c r="AH97" s="9">
        <f t="shared" ca="1" si="49"/>
        <v>2766737.1917145234</v>
      </c>
      <c r="AI97" s="9">
        <f t="shared" ca="1" si="49"/>
        <v>2858125.8152292999</v>
      </c>
      <c r="AJ97" s="9">
        <f t="shared" ca="1" si="49"/>
        <v>2953133.4470868306</v>
      </c>
      <c r="AK97" s="9">
        <f t="shared" ca="1" si="49"/>
        <v>3051895.8551962902</v>
      </c>
      <c r="AL97" s="9">
        <f t="shared" ca="1" si="49"/>
        <v>3154555.6502018939</v>
      </c>
      <c r="AM97" s="9">
        <f t="shared" ca="1" si="49"/>
        <v>3261262.6427161228</v>
      </c>
    </row>
    <row r="98" spans="1:44" x14ac:dyDescent="0.2">
      <c r="A98" s="4"/>
      <c r="C98" s="7"/>
      <c r="D98" s="101"/>
      <c r="E98" s="110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  <c r="AG98" s="7"/>
      <c r="AH98" s="7"/>
      <c r="AI98" s="7"/>
      <c r="AJ98" s="7"/>
      <c r="AK98" s="7"/>
      <c r="AL98" s="7"/>
      <c r="AM98" s="7"/>
    </row>
    <row r="99" spans="1:44" x14ac:dyDescent="0.2">
      <c r="A99" s="30" t="s">
        <v>70</v>
      </c>
      <c r="C99" s="7">
        <f t="shared" ref="C99:AM99" ca="1" si="50">C69-buffer</f>
        <v>12919.0625</v>
      </c>
      <c r="D99" s="101">
        <f t="shared" ca="1" si="50"/>
        <v>-56686.964062500003</v>
      </c>
      <c r="E99" s="110">
        <f t="shared" ca="1" si="50"/>
        <v>-123625.9265625</v>
      </c>
      <c r="F99" s="7">
        <f t="shared" ca="1" si="50"/>
        <v>-211484.68591812759</v>
      </c>
      <c r="G99" s="7">
        <f t="shared" ca="1" si="50"/>
        <v>-108269.4089907757</v>
      </c>
      <c r="H99" s="7">
        <f t="shared" ca="1" si="50"/>
        <v>-162472.76585056525</v>
      </c>
      <c r="I99" s="7">
        <f t="shared" ca="1" si="50"/>
        <v>-200621.01548603765</v>
      </c>
      <c r="J99" s="7">
        <f t="shared" ca="1" si="50"/>
        <v>-238794.21394526522</v>
      </c>
      <c r="K99" s="7">
        <f t="shared" ca="1" si="50"/>
        <v>-294780.42294287484</v>
      </c>
      <c r="L99" s="7">
        <f t="shared" ca="1" si="50"/>
        <v>-269268.56643475813</v>
      </c>
      <c r="M99" s="7">
        <f t="shared" ca="1" si="50"/>
        <v>-337526.439928559</v>
      </c>
      <c r="N99" s="7">
        <f t="shared" ca="1" si="50"/>
        <v>-357422.32027672138</v>
      </c>
      <c r="O99" s="7">
        <f t="shared" ca="1" si="50"/>
        <v>-377600.17623745633</v>
      </c>
      <c r="P99" s="7">
        <f t="shared" ca="1" si="50"/>
        <v>-398060.59455919417</v>
      </c>
      <c r="Q99" s="7">
        <f t="shared" ca="1" si="50"/>
        <v>-418803.98277981958</v>
      </c>
      <c r="R99" s="7">
        <f t="shared" ca="1" si="50"/>
        <v>-439830.55893003009</v>
      </c>
      <c r="S99" s="7">
        <f t="shared" ca="1" si="50"/>
        <v>-461140.34080478735</v>
      </c>
      <c r="T99" s="7">
        <f t="shared" ca="1" si="50"/>
        <v>-465691.01026164548</v>
      </c>
      <c r="U99" s="7">
        <f t="shared" ca="1" si="50"/>
        <v>-462299.92845362029</v>
      </c>
      <c r="V99" s="7">
        <f t="shared" ca="1" si="50"/>
        <v>-458559.128455239</v>
      </c>
      <c r="W99" s="7">
        <f t="shared" ca="1" si="50"/>
        <v>-454451.91907738801</v>
      </c>
      <c r="X99" s="7">
        <f t="shared" ca="1" si="50"/>
        <v>-449960.95340419537</v>
      </c>
      <c r="Y99" s="7">
        <f t="shared" ca="1" si="50"/>
        <v>-465727.06201741181</v>
      </c>
      <c r="Z99" s="7">
        <f t="shared" ca="1" si="50"/>
        <v>-481589.12975295464</v>
      </c>
      <c r="AA99" s="7">
        <f t="shared" ca="1" si="50"/>
        <v>-497540.60978109192</v>
      </c>
      <c r="AB99" s="7">
        <f t="shared" ca="1" si="50"/>
        <v>-513574.52322711475</v>
      </c>
      <c r="AC99" s="7">
        <f t="shared" ca="1" si="50"/>
        <v>-529683.44031898573</v>
      </c>
      <c r="AD99" s="7">
        <f t="shared" ca="1" si="50"/>
        <v>-545859.46082214196</v>
      </c>
      <c r="AE99" s="7">
        <f t="shared" ca="1" si="50"/>
        <v>-552111.71864259918</v>
      </c>
      <c r="AF99" s="7">
        <f t="shared" ca="1" si="50"/>
        <v>-558164.22416403121</v>
      </c>
      <c r="AG99" s="7">
        <f t="shared" ca="1" si="50"/>
        <v>-564001.30181662634</v>
      </c>
      <c r="AH99" s="7">
        <f t="shared" ca="1" si="50"/>
        <v>-569606.56368845748</v>
      </c>
      <c r="AI99" s="7">
        <f t="shared" ca="1" si="50"/>
        <v>-574962.88210334303</v>
      </c>
      <c r="AJ99" s="7">
        <f t="shared" ca="1" si="50"/>
        <v>-580052.36122474726</v>
      </c>
      <c r="AK99" s="7">
        <f t="shared" ca="1" si="50"/>
        <v>-584856.30765271757</v>
      </c>
      <c r="AL99" s="7">
        <f t="shared" ca="1" si="50"/>
        <v>-589355.19997977396</v>
      </c>
      <c r="AM99" s="7">
        <f t="shared" ca="1" si="50"/>
        <v>-593528.65727054514</v>
      </c>
    </row>
    <row r="100" spans="1:44" x14ac:dyDescent="0.2">
      <c r="A100" s="2" t="s">
        <v>19</v>
      </c>
      <c r="C100" s="7">
        <f ca="1">IF(C99&lt;0,-C99,0)</f>
        <v>0</v>
      </c>
      <c r="D100" s="101">
        <f ca="1">IF(D99+SUM($C100:C100)&lt;0,-(D99+SUM($C100:C100)),0)</f>
        <v>56686.964062500003</v>
      </c>
      <c r="E100" s="110">
        <f ca="1">IF(E99+SUM($C100:D100)&lt;0,-(E99+SUM($C100:D100)),0)</f>
        <v>66938.962499999994</v>
      </c>
      <c r="F100" s="7">
        <f ca="1">IF(F99+SUM($C100:E100)&lt;0,-(F99+SUM($C100:E100)),0)</f>
        <v>87858.759355627597</v>
      </c>
      <c r="G100" s="7">
        <f ca="1">IF(G99+SUM($C100:F100)&lt;0,-(G99+SUM($C100:F100)),0)</f>
        <v>0</v>
      </c>
      <c r="H100" s="7">
        <f ca="1">IF(H99+SUM($C100:G100)&lt;0,-(H99+SUM($C100:G100)),0)</f>
        <v>0</v>
      </c>
      <c r="I100" s="7">
        <f ca="1">IF(I99+SUM($C100:H100)&lt;0,-(I99+SUM($C100:H100)),0)</f>
        <v>0</v>
      </c>
      <c r="J100" s="7">
        <f ca="1">IF(J99+SUM($C100:I100)&lt;0,-(J99+SUM($C100:I100)),0)</f>
        <v>27309.528027137625</v>
      </c>
      <c r="K100" s="7">
        <f ca="1">IF(K99+SUM($C100:J100)&lt;0,-(K99+SUM($C100:J100)),0)</f>
        <v>55986.208997609618</v>
      </c>
      <c r="L100" s="7">
        <f ca="1">IF(L99+SUM($C100:K100)&lt;0,-(L99+SUM($C100:K100)),0)</f>
        <v>0</v>
      </c>
      <c r="M100" s="7">
        <f ca="1">IF(M99+SUM($C100:L100)&lt;0,-(M99+SUM($C100:L100)),0)</f>
        <v>42746.016985684168</v>
      </c>
      <c r="N100" s="7">
        <f ca="1">IF(N99+SUM($C100:M100)&lt;0,-(N99+SUM($C100:M100)),0)</f>
        <v>19895.880348162376</v>
      </c>
      <c r="O100" s="7">
        <f ca="1">IF(O99+SUM($C100:N100)&lt;0,-(O99+SUM($C100:N100)),0)</f>
        <v>20177.855960734945</v>
      </c>
      <c r="P100" s="7">
        <f ca="1">IF(P99+SUM($C100:O100)&lt;0,-(P99+SUM($C100:O100)),0)</f>
        <v>20460.418321737845</v>
      </c>
      <c r="Q100" s="7">
        <f ca="1">IF(Q99+SUM($C100:P100)&lt;0,-(Q99+SUM($C100:P100)),0)</f>
        <v>20743.388220625406</v>
      </c>
      <c r="R100" s="7">
        <f ca="1">IF(R99+SUM($C100:Q100)&lt;0,-(R99+SUM($C100:Q100)),0)</f>
        <v>21026.576150210516</v>
      </c>
      <c r="S100" s="7">
        <f ca="1">IF(S99+SUM($C100:R100)&lt;0,-(S99+SUM($C100:R100)),0)</f>
        <v>21309.78187475726</v>
      </c>
      <c r="T100" s="7">
        <f ca="1">IF(T99+SUM($C100:S100)&lt;0,-(T99+SUM($C100:S100)),0)</f>
        <v>4550.6694568581297</v>
      </c>
      <c r="U100" s="7">
        <f ca="1">IF(U99+SUM($C100:T100)&lt;0,-(U99+SUM($C100:T100)),0)</f>
        <v>0</v>
      </c>
      <c r="V100" s="7">
        <f ca="1">IF(V99+SUM($C100:U100)&lt;0,-(V99+SUM($C100:U100)),0)</f>
        <v>0</v>
      </c>
      <c r="W100" s="7">
        <f ca="1">IF(W99+SUM($C100:V100)&lt;0,-(W99+SUM($C100:V100)),0)</f>
        <v>0</v>
      </c>
      <c r="X100" s="7">
        <f ca="1">IF(X99+SUM($C100:W100)&lt;0,-(X99+SUM($C100:W100)),0)</f>
        <v>0</v>
      </c>
      <c r="Y100" s="7">
        <f ca="1">IF(Y99+SUM($C100:X100)&lt;0,-(Y99+SUM($C100:X100)),0)</f>
        <v>36.051755766326096</v>
      </c>
      <c r="Z100" s="7">
        <f ca="1">IF(Z99+SUM($C100:Y100)&lt;0,-(Z99+SUM($C100:Y100)),0)</f>
        <v>15862.067735542834</v>
      </c>
      <c r="AA100" s="7">
        <f ca="1">IF(AA99+SUM($C100:Z100)&lt;0,-(AA99+SUM($C100:Z100)),0)</f>
        <v>15951.480028137274</v>
      </c>
      <c r="AB100" s="7">
        <f ca="1">IF(AB99+SUM($C100:AA100)&lt;0,-(AB99+SUM($C100:AA100)),0)</f>
        <v>16033.913446022838</v>
      </c>
      <c r="AC100" s="7">
        <f ca="1">IF(AC99+SUM($C100:AB100)&lt;0,-(AC99+SUM($C100:AB100)),0)</f>
        <v>16108.917091870971</v>
      </c>
      <c r="AD100" s="7">
        <f ca="1">IF(AD99+SUM($C100:AC100)&lt;0,-(AD99+SUM($C100:AC100)),0)</f>
        <v>16176.020503156236</v>
      </c>
      <c r="AE100" s="7">
        <f ca="1">IF(AE99+SUM($C100:AD100)&lt;0,-(AE99+SUM($C100:AD100)),0)</f>
        <v>6252.2578204572201</v>
      </c>
      <c r="AF100" s="7">
        <f ca="1">IF(AF99+SUM($C100:AE100)&lt;0,-(AF99+SUM($C100:AE100)),0)</f>
        <v>6052.5055214320309</v>
      </c>
      <c r="AG100" s="7">
        <f ca="1">IF(AG99+SUM($C100:AF100)&lt;0,-(AG99+SUM($C100:AF100)),0)</f>
        <v>5837.0776525951223</v>
      </c>
      <c r="AH100" s="7">
        <f ca="1">IF(AH99+SUM($C100:AG100)&lt;0,-(AH99+SUM($C100:AG100)),0)</f>
        <v>5605.2618718311423</v>
      </c>
      <c r="AI100" s="7">
        <f ca="1">IF(AI99+SUM($C100:AH100)&lt;0,-(AI99+SUM($C100:AH100)),0)</f>
        <v>5356.3184148855507</v>
      </c>
      <c r="AJ100" s="7">
        <f ca="1">IF(AJ99+SUM($C100:AI100)&lt;0,-(AJ99+SUM($C100:AI100)),0)</f>
        <v>5089.4791214042343</v>
      </c>
      <c r="AK100" s="7">
        <f ca="1">IF(AK99+SUM($C100:AJ100)&lt;0,-(AK99+SUM($C100:AJ100)),0)</f>
        <v>4803.9464279703097</v>
      </c>
      <c r="AL100" s="7">
        <f ca="1">IF(AL99+SUM($C100:AK100)&lt;0,-(AL99+SUM($C100:AK100)),0)</f>
        <v>4498.8923270563828</v>
      </c>
      <c r="AM100" s="7">
        <f ca="1">IF(AM99+SUM($C100:AL100)&lt;0,-(AM99+SUM($C100:AL100)),0)</f>
        <v>4173.4572907711845</v>
      </c>
    </row>
    <row r="101" spans="1:44" x14ac:dyDescent="0.2">
      <c r="C101" s="7"/>
      <c r="D101" s="101"/>
      <c r="E101" s="110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7"/>
      <c r="AJ101" s="7"/>
      <c r="AK101" s="7"/>
      <c r="AL101" s="7"/>
      <c r="AM101" s="7"/>
    </row>
    <row r="102" spans="1:44" ht="19" x14ac:dyDescent="0.25">
      <c r="A102" s="25" t="s">
        <v>20</v>
      </c>
      <c r="B102" s="26"/>
      <c r="C102" s="27"/>
      <c r="D102" s="105"/>
      <c r="E102" s="112"/>
      <c r="F102" s="27"/>
      <c r="G102" s="27"/>
      <c r="H102" s="27"/>
      <c r="I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</row>
    <row r="103" spans="1:44" x14ac:dyDescent="0.2">
      <c r="A103" s="1"/>
      <c r="C103" s="7"/>
      <c r="D103" s="106"/>
      <c r="E103" s="114"/>
      <c r="F103" s="84"/>
      <c r="G103" s="84"/>
      <c r="H103" s="84"/>
      <c r="I103" s="84"/>
      <c r="J103" s="84"/>
      <c r="K103" s="84"/>
      <c r="L103" s="84"/>
      <c r="M103" s="84"/>
      <c r="N103" s="84"/>
      <c r="O103" s="84"/>
      <c r="P103" s="84"/>
      <c r="Q103" s="84"/>
      <c r="R103" s="84"/>
      <c r="S103" s="84"/>
      <c r="T103" s="84"/>
      <c r="U103" s="84"/>
      <c r="V103" s="84"/>
      <c r="W103" s="84"/>
      <c r="X103" s="84"/>
      <c r="Y103" s="84"/>
      <c r="Z103" s="84"/>
      <c r="AA103" s="84"/>
      <c r="AB103" s="84"/>
      <c r="AC103" s="84"/>
      <c r="AD103" s="84"/>
      <c r="AE103" s="84"/>
      <c r="AF103" s="84"/>
      <c r="AG103" s="84"/>
      <c r="AH103" s="84"/>
      <c r="AI103" s="84"/>
      <c r="AJ103" s="84"/>
      <c r="AK103" s="84"/>
      <c r="AL103" s="84"/>
      <c r="AM103" s="84"/>
      <c r="AN103" s="84"/>
      <c r="AO103" s="84"/>
      <c r="AP103" s="84"/>
      <c r="AQ103" s="84"/>
      <c r="AR103" s="84"/>
    </row>
    <row r="104" spans="1:44" x14ac:dyDescent="0.2">
      <c r="A104" s="24" t="s">
        <v>26</v>
      </c>
      <c r="B104" s="26"/>
      <c r="C104" s="7"/>
      <c r="E104" s="110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  <c r="AE104" s="7"/>
      <c r="AF104" s="7"/>
      <c r="AG104" s="7"/>
      <c r="AH104" s="7"/>
      <c r="AI104" s="7"/>
      <c r="AJ104" s="7"/>
      <c r="AK104" s="7"/>
      <c r="AL104" s="7"/>
      <c r="AM104" s="7"/>
    </row>
    <row r="105" spans="1:44" x14ac:dyDescent="0.2">
      <c r="A105" s="3" t="s">
        <v>21</v>
      </c>
      <c r="C105" s="7">
        <f ca="1">C83</f>
        <v>35024.809122913313</v>
      </c>
      <c r="D105" s="101">
        <f ca="1">C108+D60</f>
        <v>35024.809122913313</v>
      </c>
      <c r="E105" s="110">
        <f t="shared" ref="E105:AM105" ca="1" si="51">D108+E60</f>
        <v>0</v>
      </c>
      <c r="F105" s="7">
        <f t="shared" ca="1" si="51"/>
        <v>0</v>
      </c>
      <c r="G105" s="7">
        <f t="shared" ca="1" si="51"/>
        <v>0</v>
      </c>
      <c r="H105" s="7">
        <f t="shared" ca="1" si="51"/>
        <v>0</v>
      </c>
      <c r="I105" s="7">
        <f t="shared" ca="1" si="51"/>
        <v>0</v>
      </c>
      <c r="J105" s="7">
        <f t="shared" ca="1" si="51"/>
        <v>0</v>
      </c>
      <c r="K105" s="7">
        <f t="shared" ca="1" si="51"/>
        <v>0</v>
      </c>
      <c r="L105" s="7">
        <f t="shared" ca="1" si="51"/>
        <v>0</v>
      </c>
      <c r="M105" s="7">
        <f t="shared" ca="1" si="51"/>
        <v>0</v>
      </c>
      <c r="N105" s="7">
        <f t="shared" ca="1" si="51"/>
        <v>0</v>
      </c>
      <c r="O105" s="7">
        <f t="shared" ca="1" si="51"/>
        <v>0</v>
      </c>
      <c r="P105" s="7">
        <f t="shared" ca="1" si="51"/>
        <v>0</v>
      </c>
      <c r="Q105" s="7">
        <f t="shared" ca="1" si="51"/>
        <v>0</v>
      </c>
      <c r="R105" s="7">
        <f t="shared" ca="1" si="51"/>
        <v>0</v>
      </c>
      <c r="S105" s="7">
        <f t="shared" ca="1" si="51"/>
        <v>0</v>
      </c>
      <c r="T105" s="7">
        <f t="shared" ca="1" si="51"/>
        <v>0</v>
      </c>
      <c r="U105" s="7">
        <f t="shared" ca="1" si="51"/>
        <v>0</v>
      </c>
      <c r="V105" s="7">
        <f t="shared" ca="1" si="51"/>
        <v>0</v>
      </c>
      <c r="W105" s="7">
        <f t="shared" ca="1" si="51"/>
        <v>0</v>
      </c>
      <c r="X105" s="7">
        <f t="shared" ca="1" si="51"/>
        <v>0</v>
      </c>
      <c r="Y105" s="7">
        <f t="shared" ca="1" si="51"/>
        <v>0</v>
      </c>
      <c r="Z105" s="7">
        <f t="shared" ca="1" si="51"/>
        <v>0</v>
      </c>
      <c r="AA105" s="7">
        <f t="shared" ca="1" si="51"/>
        <v>0</v>
      </c>
      <c r="AB105" s="7">
        <f t="shared" ca="1" si="51"/>
        <v>0</v>
      </c>
      <c r="AC105" s="7">
        <f t="shared" ca="1" si="51"/>
        <v>0</v>
      </c>
      <c r="AD105" s="7">
        <f t="shared" ca="1" si="51"/>
        <v>0</v>
      </c>
      <c r="AE105" s="7">
        <f t="shared" ca="1" si="51"/>
        <v>0</v>
      </c>
      <c r="AF105" s="7">
        <f t="shared" ca="1" si="51"/>
        <v>0</v>
      </c>
      <c r="AG105" s="7">
        <f t="shared" ca="1" si="51"/>
        <v>0</v>
      </c>
      <c r="AH105" s="7">
        <f t="shared" ca="1" si="51"/>
        <v>0</v>
      </c>
      <c r="AI105" s="7">
        <f t="shared" ca="1" si="51"/>
        <v>0</v>
      </c>
      <c r="AJ105" s="7">
        <f t="shared" ca="1" si="51"/>
        <v>0</v>
      </c>
      <c r="AK105" s="7">
        <f t="shared" ca="1" si="51"/>
        <v>0</v>
      </c>
      <c r="AL105" s="7">
        <f t="shared" ca="1" si="51"/>
        <v>0</v>
      </c>
      <c r="AM105" s="7">
        <f t="shared" ca="1" si="51"/>
        <v>0</v>
      </c>
    </row>
    <row r="106" spans="1:44" x14ac:dyDescent="0.2">
      <c r="A106" s="3" t="s">
        <v>22</v>
      </c>
      <c r="C106" s="7">
        <f ca="1">-MIN(C105, C100/(1-Inputs!$B$284))</f>
        <v>0</v>
      </c>
      <c r="D106" s="101">
        <f ca="1">-MIN(D105, D100/(1-Inputs!$B$284))</f>
        <v>-35024.809122913313</v>
      </c>
      <c r="E106" s="110">
        <f ca="1">-MIN(E105, E100/(1-Inputs!$B$284))</f>
        <v>0</v>
      </c>
      <c r="F106" s="7">
        <f ca="1">-MIN(F105, F100/(1-Inputs!$B$284))</f>
        <v>0</v>
      </c>
      <c r="G106" s="7">
        <f ca="1">-MIN(G105, G100/(1-Inputs!$B$284))</f>
        <v>0</v>
      </c>
      <c r="H106" s="7">
        <f ca="1">-MIN(H105, H100/(1-Inputs!$B$284))</f>
        <v>0</v>
      </c>
      <c r="I106" s="7">
        <f ca="1">-MIN(I105, I100/(1-Inputs!$B$284))</f>
        <v>0</v>
      </c>
      <c r="J106" s="7">
        <f ca="1">-MIN(J105, J100/(1-Inputs!$B$284))</f>
        <v>0</v>
      </c>
      <c r="K106" s="7">
        <f ca="1">-MIN(K105, K100/(1-Inputs!$B$284))</f>
        <v>0</v>
      </c>
      <c r="L106" s="7">
        <f ca="1">-MIN(L105, L100/(1-Inputs!$B$284))</f>
        <v>0</v>
      </c>
      <c r="M106" s="7">
        <f ca="1">-MIN(M105, M100/(1-Inputs!$B$284))</f>
        <v>0</v>
      </c>
      <c r="N106" s="7">
        <f ca="1">-MIN(N105, N100/(1-Inputs!$B$284))</f>
        <v>0</v>
      </c>
      <c r="O106" s="7">
        <f ca="1">-MIN(O105, O100/(1-Inputs!$B$284))</f>
        <v>0</v>
      </c>
      <c r="P106" s="7">
        <f ca="1">-MIN(P105, P100/(1-Inputs!$B$284))</f>
        <v>0</v>
      </c>
      <c r="Q106" s="7">
        <f ca="1">-MIN(Q105, Q100/(1-Inputs!$B$284))</f>
        <v>0</v>
      </c>
      <c r="R106" s="7">
        <f ca="1">-MIN(R105, R100/(1-Inputs!$B$284))</f>
        <v>0</v>
      </c>
      <c r="S106" s="7">
        <f ca="1">-MIN(S105, S100/(1-Inputs!$B$284))</f>
        <v>0</v>
      </c>
      <c r="T106" s="7">
        <f ca="1">-MIN(T105, T100/(1-Inputs!$B$284))</f>
        <v>0</v>
      </c>
      <c r="U106" s="7">
        <f ca="1">-MIN(U105, U100/(1-Inputs!$B$284))</f>
        <v>0</v>
      </c>
      <c r="V106" s="7">
        <f ca="1">-MIN(V105, V100/(1-Inputs!$B$284))</f>
        <v>0</v>
      </c>
      <c r="W106" s="7">
        <f ca="1">-MIN(W105, W100/(1-Inputs!$B$284))</f>
        <v>0</v>
      </c>
      <c r="X106" s="7">
        <f ca="1">-MIN(X105, X100/(1-Inputs!$B$284))</f>
        <v>0</v>
      </c>
      <c r="Y106" s="7">
        <f ca="1">-MIN(Y105, Y100/(1-Inputs!$B$284))</f>
        <v>0</v>
      </c>
      <c r="Z106" s="7">
        <f ca="1">-MIN(Z105, Z100/(1-Inputs!$B$284))</f>
        <v>0</v>
      </c>
      <c r="AA106" s="7">
        <f ca="1">-MIN(AA105, AA100/(1-Inputs!$B$284))</f>
        <v>0</v>
      </c>
      <c r="AB106" s="7">
        <f ca="1">-MIN(AB105, AB100/(1-Inputs!$B$284))</f>
        <v>0</v>
      </c>
      <c r="AC106" s="7">
        <f ca="1">-MIN(AC105, AC100/(1-Inputs!$B$284))</f>
        <v>0</v>
      </c>
      <c r="AD106" s="7">
        <f ca="1">-MIN(AD105, AD100/(1-Inputs!$B$284))</f>
        <v>0</v>
      </c>
      <c r="AE106" s="7">
        <f ca="1">-MIN(AE105, AE100/(1-Inputs!$B$284))</f>
        <v>0</v>
      </c>
      <c r="AF106" s="7">
        <f ca="1">-MIN(AF105, AF100/(1-Inputs!$B$284))</f>
        <v>0</v>
      </c>
      <c r="AG106" s="7">
        <f ca="1">-MIN(AG105, AG100/(1-Inputs!$B$284))</f>
        <v>0</v>
      </c>
      <c r="AH106" s="7">
        <f ca="1">-MIN(AH105, AH100/(1-Inputs!$B$284))</f>
        <v>0</v>
      </c>
      <c r="AI106" s="7">
        <f ca="1">-MIN(AI105, AI100/(1-Inputs!$B$284))</f>
        <v>0</v>
      </c>
      <c r="AJ106" s="7">
        <f ca="1">-MIN(AJ105, AJ100/(1-Inputs!$B$284))</f>
        <v>0</v>
      </c>
      <c r="AK106" s="7">
        <f ca="1">-MIN(AK105, AK100/(1-Inputs!$B$284))</f>
        <v>0</v>
      </c>
      <c r="AL106" s="7">
        <f ca="1">-MIN(AL105, AL100/(1-Inputs!$B$284))</f>
        <v>0</v>
      </c>
      <c r="AM106" s="7">
        <f ca="1">-MIN(AM105, AM100/(1-Inputs!$B$284))</f>
        <v>0</v>
      </c>
    </row>
    <row r="107" spans="1:44" x14ac:dyDescent="0.2">
      <c r="A107" s="3" t="s">
        <v>23</v>
      </c>
      <c r="C107" s="7">
        <v>0</v>
      </c>
      <c r="D107" s="101">
        <f ca="1">(SUM(D105:D106)-D60)*IF(AND(Inputs!$B$229&lt;&gt;"",D$2=Inputs!$B$229),-Inputs!$B$230,IF(AND(Inputs!$B$229&lt;&gt;"",D$2&gt;Inputs!$B$229,D$2&lt;=Inputs!$B$229+Inputs!$B$231),(1/(1-Inputs!$B$230))^(1/Inputs!$B$231)-1,IF(AND(Inputs!$B$234&lt;&gt;"",D$2=Inputs!$B$234),-Inputs!$B$235,IF(AND(Inputs!$B$234&lt;&gt;"",D$2&gt;Inputs!$B$234,D$2&lt;=Inputs!$B$234+Inputs!$B$236),(1/(1-Inputs!$B$235))^(1/Inputs!$B$236)-1,IF(AND(Inputs!$B$239&lt;&gt;"",D$2=Inputs!$B$239),-Inputs!$B$240,IF(AND(Inputs!$B$239&lt;&gt;"",D$2&gt;Inputs!$B$239,D$2&lt;=Inputs!$B$239+Inputs!$B$241),(1/(1-Inputs!$B$240))^(1/Inputs!$B$241)-1,IF(AND(Inputs!$B$244&lt;&gt;"",D$2=Inputs!$B$244),-Inputs!$B$245,IF(AND(Inputs!$B$244&lt;&gt;"",D$2&gt;Inputs!$B$244,D$2&lt;=Inputs!$B$244+Inputs!$B$246),(1/(1-Inputs!$B$245))^(1/Inputs!$B$246)-1,IF(AND(Inputs!$B$249&lt;&gt;"",D$2=Inputs!$B$249),-Inputs!$B$250,IF(AND(Inputs!$B$249&lt;&gt;"",D$2&gt;Inputs!$B$249,D$2&lt;=Inputs!$B$249+Inputs!$B$251),(1/(1-Inputs!$B$250))^(1/Inputs!$B$251)-1,stinc))))))))))+D60*(SQRT(MAX(1+IF(AND(Inputs!$B$229&lt;&gt;"",D$2=Inputs!$B$229),-Inputs!$B$230,IF(AND(Inputs!$B$229&lt;&gt;"",D$2&gt;Inputs!$B$229,D$2&lt;=Inputs!$B$229+Inputs!$B$231),(1/(1-Inputs!$B$230))^(1/Inputs!$B$231)-1,IF(AND(Inputs!$B$234&lt;&gt;"",D$2=Inputs!$B$234),-Inputs!$B$235,IF(AND(Inputs!$B$234&lt;&gt;"",D$2&gt;Inputs!$B$234,D$2&lt;=Inputs!$B$234+Inputs!$B$236),(1/(1-Inputs!$B$235))^(1/Inputs!$B$236)-1,IF(AND(Inputs!$B$239&lt;&gt;"",D$2=Inputs!$B$239),-Inputs!$B$240,IF(AND(Inputs!$B$239&lt;&gt;"",D$2&gt;Inputs!$B$239,D$2&lt;=Inputs!$B$239+Inputs!$B$241),(1/(1-Inputs!$B$240))^(1/Inputs!$B$241)-1,IF(AND(Inputs!$B$244&lt;&gt;"",D$2=Inputs!$B$244),-Inputs!$B$245,IF(AND(Inputs!$B$244&lt;&gt;"",D$2&gt;Inputs!$B$244,D$2&lt;=Inputs!$B$244+Inputs!$B$246),(1/(1-Inputs!$B$245))^(1/Inputs!$B$246)-1,IF(AND(Inputs!$B$249&lt;&gt;"",D$2=Inputs!$B$249),-Inputs!$B$250,IF(AND(Inputs!$B$249&lt;&gt;"",D$2&gt;Inputs!$B$249,D$2&lt;=Inputs!$B$249+Inputs!$B$251),(1/(1-Inputs!$B$250))^(1/Inputs!$B$251)-1,stinc)))))))))),0))-1)</f>
        <v>0</v>
      </c>
      <c r="E107" s="110">
        <f ca="1">(SUM(E105:E106)-E60)*IF(AND(Inputs!$B$229&lt;&gt;"",E$2=Inputs!$B$229),-Inputs!$B$230,IF(AND(Inputs!$B$229&lt;&gt;"",E$2&gt;Inputs!$B$229,E$2&lt;=Inputs!$B$229+Inputs!$B$231),(1/(1-Inputs!$B$230))^(1/Inputs!$B$231)-1,IF(AND(Inputs!$B$234&lt;&gt;"",E$2=Inputs!$B$234),-Inputs!$B$235,IF(AND(Inputs!$B$234&lt;&gt;"",E$2&gt;Inputs!$B$234,E$2&lt;=Inputs!$B$234+Inputs!$B$236),(1/(1-Inputs!$B$235))^(1/Inputs!$B$236)-1,IF(AND(Inputs!$B$239&lt;&gt;"",E$2=Inputs!$B$239),-Inputs!$B$240,IF(AND(Inputs!$B$239&lt;&gt;"",E$2&gt;Inputs!$B$239,E$2&lt;=Inputs!$B$239+Inputs!$B$241),(1/(1-Inputs!$B$240))^(1/Inputs!$B$241)-1,IF(AND(Inputs!$B$244&lt;&gt;"",E$2=Inputs!$B$244),-Inputs!$B$245,IF(AND(Inputs!$B$244&lt;&gt;"",E$2&gt;Inputs!$B$244,E$2&lt;=Inputs!$B$244+Inputs!$B$246),(1/(1-Inputs!$B$245))^(1/Inputs!$B$246)-1,IF(AND(Inputs!$B$249&lt;&gt;"",E$2=Inputs!$B$249),-Inputs!$B$250,IF(AND(Inputs!$B$249&lt;&gt;"",E$2&gt;Inputs!$B$249,E$2&lt;=Inputs!$B$249+Inputs!$B$251),(1/(1-Inputs!$B$250))^(1/Inputs!$B$251)-1,stinc))))))))))+E60*(SQRT(MAX(1+IF(AND(Inputs!$B$229&lt;&gt;"",E$2=Inputs!$B$229),-Inputs!$B$230,IF(AND(Inputs!$B$229&lt;&gt;"",E$2&gt;Inputs!$B$229,E$2&lt;=Inputs!$B$229+Inputs!$B$231),(1/(1-Inputs!$B$230))^(1/Inputs!$B$231)-1,IF(AND(Inputs!$B$234&lt;&gt;"",E$2=Inputs!$B$234),-Inputs!$B$235,IF(AND(Inputs!$B$234&lt;&gt;"",E$2&gt;Inputs!$B$234,E$2&lt;=Inputs!$B$234+Inputs!$B$236),(1/(1-Inputs!$B$235))^(1/Inputs!$B$236)-1,IF(AND(Inputs!$B$239&lt;&gt;"",E$2=Inputs!$B$239),-Inputs!$B$240,IF(AND(Inputs!$B$239&lt;&gt;"",E$2&gt;Inputs!$B$239,E$2&lt;=Inputs!$B$239+Inputs!$B$241),(1/(1-Inputs!$B$240))^(1/Inputs!$B$241)-1,IF(AND(Inputs!$B$244&lt;&gt;"",E$2=Inputs!$B$244),-Inputs!$B$245,IF(AND(Inputs!$B$244&lt;&gt;"",E$2&gt;Inputs!$B$244,E$2&lt;=Inputs!$B$244+Inputs!$B$246),(1/(1-Inputs!$B$245))^(1/Inputs!$B$246)-1,IF(AND(Inputs!$B$249&lt;&gt;"",E$2=Inputs!$B$249),-Inputs!$B$250,IF(AND(Inputs!$B$249&lt;&gt;"",E$2&gt;Inputs!$B$249,E$2&lt;=Inputs!$B$249+Inputs!$B$251),(1/(1-Inputs!$B$250))^(1/Inputs!$B$251)-1,stinc)))))))))),0))-1)</f>
        <v>0</v>
      </c>
      <c r="F107" s="7">
        <f ca="1">(SUM(F105:F106)-F60)*IF(AND(Inputs!$B$229&lt;&gt;"",F$2=Inputs!$B$229),-Inputs!$B$230,IF(AND(Inputs!$B$229&lt;&gt;"",F$2&gt;Inputs!$B$229,F$2&lt;=Inputs!$B$229+Inputs!$B$231),(1/(1-Inputs!$B$230))^(1/Inputs!$B$231)-1,IF(AND(Inputs!$B$234&lt;&gt;"",F$2=Inputs!$B$234),-Inputs!$B$235,IF(AND(Inputs!$B$234&lt;&gt;"",F$2&gt;Inputs!$B$234,F$2&lt;=Inputs!$B$234+Inputs!$B$236),(1/(1-Inputs!$B$235))^(1/Inputs!$B$236)-1,IF(AND(Inputs!$B$239&lt;&gt;"",F$2=Inputs!$B$239),-Inputs!$B$240,IF(AND(Inputs!$B$239&lt;&gt;"",F$2&gt;Inputs!$B$239,F$2&lt;=Inputs!$B$239+Inputs!$B$241),(1/(1-Inputs!$B$240))^(1/Inputs!$B$241)-1,IF(AND(Inputs!$B$244&lt;&gt;"",F$2=Inputs!$B$244),-Inputs!$B$245,IF(AND(Inputs!$B$244&lt;&gt;"",F$2&gt;Inputs!$B$244,F$2&lt;=Inputs!$B$244+Inputs!$B$246),(1/(1-Inputs!$B$245))^(1/Inputs!$B$246)-1,IF(AND(Inputs!$B$249&lt;&gt;"",F$2=Inputs!$B$249),-Inputs!$B$250,IF(AND(Inputs!$B$249&lt;&gt;"",F$2&gt;Inputs!$B$249,F$2&lt;=Inputs!$B$249+Inputs!$B$251),(1/(1-Inputs!$B$250))^(1/Inputs!$B$251)-1,stinc))))))))))+F60*(SQRT(MAX(1+IF(AND(Inputs!$B$229&lt;&gt;"",F$2=Inputs!$B$229),-Inputs!$B$230,IF(AND(Inputs!$B$229&lt;&gt;"",F$2&gt;Inputs!$B$229,F$2&lt;=Inputs!$B$229+Inputs!$B$231),(1/(1-Inputs!$B$230))^(1/Inputs!$B$231)-1,IF(AND(Inputs!$B$234&lt;&gt;"",F$2=Inputs!$B$234),-Inputs!$B$235,IF(AND(Inputs!$B$234&lt;&gt;"",F$2&gt;Inputs!$B$234,F$2&lt;=Inputs!$B$234+Inputs!$B$236),(1/(1-Inputs!$B$235))^(1/Inputs!$B$236)-1,IF(AND(Inputs!$B$239&lt;&gt;"",F$2=Inputs!$B$239),-Inputs!$B$240,IF(AND(Inputs!$B$239&lt;&gt;"",F$2&gt;Inputs!$B$239,F$2&lt;=Inputs!$B$239+Inputs!$B$241),(1/(1-Inputs!$B$240))^(1/Inputs!$B$241)-1,IF(AND(Inputs!$B$244&lt;&gt;"",F$2=Inputs!$B$244),-Inputs!$B$245,IF(AND(Inputs!$B$244&lt;&gt;"",F$2&gt;Inputs!$B$244,F$2&lt;=Inputs!$B$244+Inputs!$B$246),(1/(1-Inputs!$B$245))^(1/Inputs!$B$246)-1,IF(AND(Inputs!$B$249&lt;&gt;"",F$2=Inputs!$B$249),-Inputs!$B$250,IF(AND(Inputs!$B$249&lt;&gt;"",F$2&gt;Inputs!$B$249,F$2&lt;=Inputs!$B$249+Inputs!$B$251),(1/(1-Inputs!$B$250))^(1/Inputs!$B$251)-1,stinc)))))))))),0))-1)</f>
        <v>0</v>
      </c>
      <c r="G107" s="7">
        <f ca="1">(SUM(G105:G106)-G60)*IF(AND(Inputs!$B$229&lt;&gt;"",G$2=Inputs!$B$229),-Inputs!$B$230,IF(AND(Inputs!$B$229&lt;&gt;"",G$2&gt;Inputs!$B$229,G$2&lt;=Inputs!$B$229+Inputs!$B$231),(1/(1-Inputs!$B$230))^(1/Inputs!$B$231)-1,IF(AND(Inputs!$B$234&lt;&gt;"",G$2=Inputs!$B$234),-Inputs!$B$235,IF(AND(Inputs!$B$234&lt;&gt;"",G$2&gt;Inputs!$B$234,G$2&lt;=Inputs!$B$234+Inputs!$B$236),(1/(1-Inputs!$B$235))^(1/Inputs!$B$236)-1,IF(AND(Inputs!$B$239&lt;&gt;"",G$2=Inputs!$B$239),-Inputs!$B$240,IF(AND(Inputs!$B$239&lt;&gt;"",G$2&gt;Inputs!$B$239,G$2&lt;=Inputs!$B$239+Inputs!$B$241),(1/(1-Inputs!$B$240))^(1/Inputs!$B$241)-1,IF(AND(Inputs!$B$244&lt;&gt;"",G$2=Inputs!$B$244),-Inputs!$B$245,IF(AND(Inputs!$B$244&lt;&gt;"",G$2&gt;Inputs!$B$244,G$2&lt;=Inputs!$B$244+Inputs!$B$246),(1/(1-Inputs!$B$245))^(1/Inputs!$B$246)-1,IF(AND(Inputs!$B$249&lt;&gt;"",G$2=Inputs!$B$249),-Inputs!$B$250,IF(AND(Inputs!$B$249&lt;&gt;"",G$2&gt;Inputs!$B$249,G$2&lt;=Inputs!$B$249+Inputs!$B$251),(1/(1-Inputs!$B$250))^(1/Inputs!$B$251)-1,stinc))))))))))+G60*(SQRT(MAX(1+IF(AND(Inputs!$B$229&lt;&gt;"",G$2=Inputs!$B$229),-Inputs!$B$230,IF(AND(Inputs!$B$229&lt;&gt;"",G$2&gt;Inputs!$B$229,G$2&lt;=Inputs!$B$229+Inputs!$B$231),(1/(1-Inputs!$B$230))^(1/Inputs!$B$231)-1,IF(AND(Inputs!$B$234&lt;&gt;"",G$2=Inputs!$B$234),-Inputs!$B$235,IF(AND(Inputs!$B$234&lt;&gt;"",G$2&gt;Inputs!$B$234,G$2&lt;=Inputs!$B$234+Inputs!$B$236),(1/(1-Inputs!$B$235))^(1/Inputs!$B$236)-1,IF(AND(Inputs!$B$239&lt;&gt;"",G$2=Inputs!$B$239),-Inputs!$B$240,IF(AND(Inputs!$B$239&lt;&gt;"",G$2&gt;Inputs!$B$239,G$2&lt;=Inputs!$B$239+Inputs!$B$241),(1/(1-Inputs!$B$240))^(1/Inputs!$B$241)-1,IF(AND(Inputs!$B$244&lt;&gt;"",G$2=Inputs!$B$244),-Inputs!$B$245,IF(AND(Inputs!$B$244&lt;&gt;"",G$2&gt;Inputs!$B$244,G$2&lt;=Inputs!$B$244+Inputs!$B$246),(1/(1-Inputs!$B$245))^(1/Inputs!$B$246)-1,IF(AND(Inputs!$B$249&lt;&gt;"",G$2=Inputs!$B$249),-Inputs!$B$250,IF(AND(Inputs!$B$249&lt;&gt;"",G$2&gt;Inputs!$B$249,G$2&lt;=Inputs!$B$249+Inputs!$B$251),(1/(1-Inputs!$B$250))^(1/Inputs!$B$251)-1,stinc)))))))))),0))-1)</f>
        <v>0</v>
      </c>
      <c r="H107" s="7">
        <f ca="1">(SUM(H105:H106)-H60)*IF(AND(Inputs!$B$229&lt;&gt;"",H$2=Inputs!$B$229),-Inputs!$B$230,IF(AND(Inputs!$B$229&lt;&gt;"",H$2&gt;Inputs!$B$229,H$2&lt;=Inputs!$B$229+Inputs!$B$231),(1/(1-Inputs!$B$230))^(1/Inputs!$B$231)-1,IF(AND(Inputs!$B$234&lt;&gt;"",H$2=Inputs!$B$234),-Inputs!$B$235,IF(AND(Inputs!$B$234&lt;&gt;"",H$2&gt;Inputs!$B$234,H$2&lt;=Inputs!$B$234+Inputs!$B$236),(1/(1-Inputs!$B$235))^(1/Inputs!$B$236)-1,IF(AND(Inputs!$B$239&lt;&gt;"",H$2=Inputs!$B$239),-Inputs!$B$240,IF(AND(Inputs!$B$239&lt;&gt;"",H$2&gt;Inputs!$B$239,H$2&lt;=Inputs!$B$239+Inputs!$B$241),(1/(1-Inputs!$B$240))^(1/Inputs!$B$241)-1,IF(AND(Inputs!$B$244&lt;&gt;"",H$2=Inputs!$B$244),-Inputs!$B$245,IF(AND(Inputs!$B$244&lt;&gt;"",H$2&gt;Inputs!$B$244,H$2&lt;=Inputs!$B$244+Inputs!$B$246),(1/(1-Inputs!$B$245))^(1/Inputs!$B$246)-1,IF(AND(Inputs!$B$249&lt;&gt;"",H$2=Inputs!$B$249),-Inputs!$B$250,IF(AND(Inputs!$B$249&lt;&gt;"",H$2&gt;Inputs!$B$249,H$2&lt;=Inputs!$B$249+Inputs!$B$251),(1/(1-Inputs!$B$250))^(1/Inputs!$B$251)-1,stinc))))))))))+H60*(SQRT(MAX(1+IF(AND(Inputs!$B$229&lt;&gt;"",H$2=Inputs!$B$229),-Inputs!$B$230,IF(AND(Inputs!$B$229&lt;&gt;"",H$2&gt;Inputs!$B$229,H$2&lt;=Inputs!$B$229+Inputs!$B$231),(1/(1-Inputs!$B$230))^(1/Inputs!$B$231)-1,IF(AND(Inputs!$B$234&lt;&gt;"",H$2=Inputs!$B$234),-Inputs!$B$235,IF(AND(Inputs!$B$234&lt;&gt;"",H$2&gt;Inputs!$B$234,H$2&lt;=Inputs!$B$234+Inputs!$B$236),(1/(1-Inputs!$B$235))^(1/Inputs!$B$236)-1,IF(AND(Inputs!$B$239&lt;&gt;"",H$2=Inputs!$B$239),-Inputs!$B$240,IF(AND(Inputs!$B$239&lt;&gt;"",H$2&gt;Inputs!$B$239,H$2&lt;=Inputs!$B$239+Inputs!$B$241),(1/(1-Inputs!$B$240))^(1/Inputs!$B$241)-1,IF(AND(Inputs!$B$244&lt;&gt;"",H$2=Inputs!$B$244),-Inputs!$B$245,IF(AND(Inputs!$B$244&lt;&gt;"",H$2&gt;Inputs!$B$244,H$2&lt;=Inputs!$B$244+Inputs!$B$246),(1/(1-Inputs!$B$245))^(1/Inputs!$B$246)-1,IF(AND(Inputs!$B$249&lt;&gt;"",H$2=Inputs!$B$249),-Inputs!$B$250,IF(AND(Inputs!$B$249&lt;&gt;"",H$2&gt;Inputs!$B$249,H$2&lt;=Inputs!$B$249+Inputs!$B$251),(1/(1-Inputs!$B$250))^(1/Inputs!$B$251)-1,stinc)))))))))),0))-1)</f>
        <v>0</v>
      </c>
      <c r="I107" s="7">
        <f ca="1">(SUM(I105:I106)-I60)*IF(AND(Inputs!$B$229&lt;&gt;"",I$2=Inputs!$B$229),-Inputs!$B$230,IF(AND(Inputs!$B$229&lt;&gt;"",I$2&gt;Inputs!$B$229,I$2&lt;=Inputs!$B$229+Inputs!$B$231),(1/(1-Inputs!$B$230))^(1/Inputs!$B$231)-1,IF(AND(Inputs!$B$234&lt;&gt;"",I$2=Inputs!$B$234),-Inputs!$B$235,IF(AND(Inputs!$B$234&lt;&gt;"",I$2&gt;Inputs!$B$234,I$2&lt;=Inputs!$B$234+Inputs!$B$236),(1/(1-Inputs!$B$235))^(1/Inputs!$B$236)-1,IF(AND(Inputs!$B$239&lt;&gt;"",I$2=Inputs!$B$239),-Inputs!$B$240,IF(AND(Inputs!$B$239&lt;&gt;"",I$2&gt;Inputs!$B$239,I$2&lt;=Inputs!$B$239+Inputs!$B$241),(1/(1-Inputs!$B$240))^(1/Inputs!$B$241)-1,IF(AND(Inputs!$B$244&lt;&gt;"",I$2=Inputs!$B$244),-Inputs!$B$245,IF(AND(Inputs!$B$244&lt;&gt;"",I$2&gt;Inputs!$B$244,I$2&lt;=Inputs!$B$244+Inputs!$B$246),(1/(1-Inputs!$B$245))^(1/Inputs!$B$246)-1,IF(AND(Inputs!$B$249&lt;&gt;"",I$2=Inputs!$B$249),-Inputs!$B$250,IF(AND(Inputs!$B$249&lt;&gt;"",I$2&gt;Inputs!$B$249,I$2&lt;=Inputs!$B$249+Inputs!$B$251),(1/(1-Inputs!$B$250))^(1/Inputs!$B$251)-1,stinc))))))))))+I60*(SQRT(MAX(1+IF(AND(Inputs!$B$229&lt;&gt;"",I$2=Inputs!$B$229),-Inputs!$B$230,IF(AND(Inputs!$B$229&lt;&gt;"",I$2&gt;Inputs!$B$229,I$2&lt;=Inputs!$B$229+Inputs!$B$231),(1/(1-Inputs!$B$230))^(1/Inputs!$B$231)-1,IF(AND(Inputs!$B$234&lt;&gt;"",I$2=Inputs!$B$234),-Inputs!$B$235,IF(AND(Inputs!$B$234&lt;&gt;"",I$2&gt;Inputs!$B$234,I$2&lt;=Inputs!$B$234+Inputs!$B$236),(1/(1-Inputs!$B$235))^(1/Inputs!$B$236)-1,IF(AND(Inputs!$B$239&lt;&gt;"",I$2=Inputs!$B$239),-Inputs!$B$240,IF(AND(Inputs!$B$239&lt;&gt;"",I$2&gt;Inputs!$B$239,I$2&lt;=Inputs!$B$239+Inputs!$B$241),(1/(1-Inputs!$B$240))^(1/Inputs!$B$241)-1,IF(AND(Inputs!$B$244&lt;&gt;"",I$2=Inputs!$B$244),-Inputs!$B$245,IF(AND(Inputs!$B$244&lt;&gt;"",I$2&gt;Inputs!$B$244,I$2&lt;=Inputs!$B$244+Inputs!$B$246),(1/(1-Inputs!$B$245))^(1/Inputs!$B$246)-1,IF(AND(Inputs!$B$249&lt;&gt;"",I$2=Inputs!$B$249),-Inputs!$B$250,IF(AND(Inputs!$B$249&lt;&gt;"",I$2&gt;Inputs!$B$249,I$2&lt;=Inputs!$B$249+Inputs!$B$251),(1/(1-Inputs!$B$250))^(1/Inputs!$B$251)-1,stinc)))))))))),0))-1)</f>
        <v>0</v>
      </c>
      <c r="J107" s="7">
        <f ca="1">(SUM(J105:J106)-J60)*IF(AND(Inputs!$B$229&lt;&gt;"",J$2=Inputs!$B$229),-Inputs!$B$230,IF(AND(Inputs!$B$229&lt;&gt;"",J$2&gt;Inputs!$B$229,J$2&lt;=Inputs!$B$229+Inputs!$B$231),(1/(1-Inputs!$B$230))^(1/Inputs!$B$231)-1,IF(AND(Inputs!$B$234&lt;&gt;"",J$2=Inputs!$B$234),-Inputs!$B$235,IF(AND(Inputs!$B$234&lt;&gt;"",J$2&gt;Inputs!$B$234,J$2&lt;=Inputs!$B$234+Inputs!$B$236),(1/(1-Inputs!$B$235))^(1/Inputs!$B$236)-1,IF(AND(Inputs!$B$239&lt;&gt;"",J$2=Inputs!$B$239),-Inputs!$B$240,IF(AND(Inputs!$B$239&lt;&gt;"",J$2&gt;Inputs!$B$239,J$2&lt;=Inputs!$B$239+Inputs!$B$241),(1/(1-Inputs!$B$240))^(1/Inputs!$B$241)-1,IF(AND(Inputs!$B$244&lt;&gt;"",J$2=Inputs!$B$244),-Inputs!$B$245,IF(AND(Inputs!$B$244&lt;&gt;"",J$2&gt;Inputs!$B$244,J$2&lt;=Inputs!$B$244+Inputs!$B$246),(1/(1-Inputs!$B$245))^(1/Inputs!$B$246)-1,IF(AND(Inputs!$B$249&lt;&gt;"",J$2=Inputs!$B$249),-Inputs!$B$250,IF(AND(Inputs!$B$249&lt;&gt;"",J$2&gt;Inputs!$B$249,J$2&lt;=Inputs!$B$249+Inputs!$B$251),(1/(1-Inputs!$B$250))^(1/Inputs!$B$251)-1,stinc))))))))))+J60*(SQRT(MAX(1+IF(AND(Inputs!$B$229&lt;&gt;"",J$2=Inputs!$B$229),-Inputs!$B$230,IF(AND(Inputs!$B$229&lt;&gt;"",J$2&gt;Inputs!$B$229,J$2&lt;=Inputs!$B$229+Inputs!$B$231),(1/(1-Inputs!$B$230))^(1/Inputs!$B$231)-1,IF(AND(Inputs!$B$234&lt;&gt;"",J$2=Inputs!$B$234),-Inputs!$B$235,IF(AND(Inputs!$B$234&lt;&gt;"",J$2&gt;Inputs!$B$234,J$2&lt;=Inputs!$B$234+Inputs!$B$236),(1/(1-Inputs!$B$235))^(1/Inputs!$B$236)-1,IF(AND(Inputs!$B$239&lt;&gt;"",J$2=Inputs!$B$239),-Inputs!$B$240,IF(AND(Inputs!$B$239&lt;&gt;"",J$2&gt;Inputs!$B$239,J$2&lt;=Inputs!$B$239+Inputs!$B$241),(1/(1-Inputs!$B$240))^(1/Inputs!$B$241)-1,IF(AND(Inputs!$B$244&lt;&gt;"",J$2=Inputs!$B$244),-Inputs!$B$245,IF(AND(Inputs!$B$244&lt;&gt;"",J$2&gt;Inputs!$B$244,J$2&lt;=Inputs!$B$244+Inputs!$B$246),(1/(1-Inputs!$B$245))^(1/Inputs!$B$246)-1,IF(AND(Inputs!$B$249&lt;&gt;"",J$2=Inputs!$B$249),-Inputs!$B$250,IF(AND(Inputs!$B$249&lt;&gt;"",J$2&gt;Inputs!$B$249,J$2&lt;=Inputs!$B$249+Inputs!$B$251),(1/(1-Inputs!$B$250))^(1/Inputs!$B$251)-1,stinc)))))))))),0))-1)</f>
        <v>0</v>
      </c>
      <c r="K107" s="7">
        <f ca="1">(SUM(K105:K106)-K60)*IF(AND(Inputs!$B$229&lt;&gt;"",K$2=Inputs!$B$229),-Inputs!$B$230,IF(AND(Inputs!$B$229&lt;&gt;"",K$2&gt;Inputs!$B$229,K$2&lt;=Inputs!$B$229+Inputs!$B$231),(1/(1-Inputs!$B$230))^(1/Inputs!$B$231)-1,IF(AND(Inputs!$B$234&lt;&gt;"",K$2=Inputs!$B$234),-Inputs!$B$235,IF(AND(Inputs!$B$234&lt;&gt;"",K$2&gt;Inputs!$B$234,K$2&lt;=Inputs!$B$234+Inputs!$B$236),(1/(1-Inputs!$B$235))^(1/Inputs!$B$236)-1,IF(AND(Inputs!$B$239&lt;&gt;"",K$2=Inputs!$B$239),-Inputs!$B$240,IF(AND(Inputs!$B$239&lt;&gt;"",K$2&gt;Inputs!$B$239,K$2&lt;=Inputs!$B$239+Inputs!$B$241),(1/(1-Inputs!$B$240))^(1/Inputs!$B$241)-1,IF(AND(Inputs!$B$244&lt;&gt;"",K$2=Inputs!$B$244),-Inputs!$B$245,IF(AND(Inputs!$B$244&lt;&gt;"",K$2&gt;Inputs!$B$244,K$2&lt;=Inputs!$B$244+Inputs!$B$246),(1/(1-Inputs!$B$245))^(1/Inputs!$B$246)-1,IF(AND(Inputs!$B$249&lt;&gt;"",K$2=Inputs!$B$249),-Inputs!$B$250,IF(AND(Inputs!$B$249&lt;&gt;"",K$2&gt;Inputs!$B$249,K$2&lt;=Inputs!$B$249+Inputs!$B$251),(1/(1-Inputs!$B$250))^(1/Inputs!$B$251)-1,stinc))))))))))+K60*(SQRT(MAX(1+IF(AND(Inputs!$B$229&lt;&gt;"",K$2=Inputs!$B$229),-Inputs!$B$230,IF(AND(Inputs!$B$229&lt;&gt;"",K$2&gt;Inputs!$B$229,K$2&lt;=Inputs!$B$229+Inputs!$B$231),(1/(1-Inputs!$B$230))^(1/Inputs!$B$231)-1,IF(AND(Inputs!$B$234&lt;&gt;"",K$2=Inputs!$B$234),-Inputs!$B$235,IF(AND(Inputs!$B$234&lt;&gt;"",K$2&gt;Inputs!$B$234,K$2&lt;=Inputs!$B$234+Inputs!$B$236),(1/(1-Inputs!$B$235))^(1/Inputs!$B$236)-1,IF(AND(Inputs!$B$239&lt;&gt;"",K$2=Inputs!$B$239),-Inputs!$B$240,IF(AND(Inputs!$B$239&lt;&gt;"",K$2&gt;Inputs!$B$239,K$2&lt;=Inputs!$B$239+Inputs!$B$241),(1/(1-Inputs!$B$240))^(1/Inputs!$B$241)-1,IF(AND(Inputs!$B$244&lt;&gt;"",K$2=Inputs!$B$244),-Inputs!$B$245,IF(AND(Inputs!$B$244&lt;&gt;"",K$2&gt;Inputs!$B$244,K$2&lt;=Inputs!$B$244+Inputs!$B$246),(1/(1-Inputs!$B$245))^(1/Inputs!$B$246)-1,IF(AND(Inputs!$B$249&lt;&gt;"",K$2=Inputs!$B$249),-Inputs!$B$250,IF(AND(Inputs!$B$249&lt;&gt;"",K$2&gt;Inputs!$B$249,K$2&lt;=Inputs!$B$249+Inputs!$B$251),(1/(1-Inputs!$B$250))^(1/Inputs!$B$251)-1,stinc)))))))))),0))-1)</f>
        <v>0</v>
      </c>
      <c r="L107" s="7">
        <f ca="1">(SUM(L105:L106)-L60)*IF(AND(Inputs!$B$229&lt;&gt;"",L$2=Inputs!$B$229),-Inputs!$B$230,IF(AND(Inputs!$B$229&lt;&gt;"",L$2&gt;Inputs!$B$229,L$2&lt;=Inputs!$B$229+Inputs!$B$231),(1/(1-Inputs!$B$230))^(1/Inputs!$B$231)-1,IF(AND(Inputs!$B$234&lt;&gt;"",L$2=Inputs!$B$234),-Inputs!$B$235,IF(AND(Inputs!$B$234&lt;&gt;"",L$2&gt;Inputs!$B$234,L$2&lt;=Inputs!$B$234+Inputs!$B$236),(1/(1-Inputs!$B$235))^(1/Inputs!$B$236)-1,IF(AND(Inputs!$B$239&lt;&gt;"",L$2=Inputs!$B$239),-Inputs!$B$240,IF(AND(Inputs!$B$239&lt;&gt;"",L$2&gt;Inputs!$B$239,L$2&lt;=Inputs!$B$239+Inputs!$B$241),(1/(1-Inputs!$B$240))^(1/Inputs!$B$241)-1,IF(AND(Inputs!$B$244&lt;&gt;"",L$2=Inputs!$B$244),-Inputs!$B$245,IF(AND(Inputs!$B$244&lt;&gt;"",L$2&gt;Inputs!$B$244,L$2&lt;=Inputs!$B$244+Inputs!$B$246),(1/(1-Inputs!$B$245))^(1/Inputs!$B$246)-1,IF(AND(Inputs!$B$249&lt;&gt;"",L$2=Inputs!$B$249),-Inputs!$B$250,IF(AND(Inputs!$B$249&lt;&gt;"",L$2&gt;Inputs!$B$249,L$2&lt;=Inputs!$B$249+Inputs!$B$251),(1/(1-Inputs!$B$250))^(1/Inputs!$B$251)-1,stinc))))))))))+L60*(SQRT(MAX(1+IF(AND(Inputs!$B$229&lt;&gt;"",L$2=Inputs!$B$229),-Inputs!$B$230,IF(AND(Inputs!$B$229&lt;&gt;"",L$2&gt;Inputs!$B$229,L$2&lt;=Inputs!$B$229+Inputs!$B$231),(1/(1-Inputs!$B$230))^(1/Inputs!$B$231)-1,IF(AND(Inputs!$B$234&lt;&gt;"",L$2=Inputs!$B$234),-Inputs!$B$235,IF(AND(Inputs!$B$234&lt;&gt;"",L$2&gt;Inputs!$B$234,L$2&lt;=Inputs!$B$234+Inputs!$B$236),(1/(1-Inputs!$B$235))^(1/Inputs!$B$236)-1,IF(AND(Inputs!$B$239&lt;&gt;"",L$2=Inputs!$B$239),-Inputs!$B$240,IF(AND(Inputs!$B$239&lt;&gt;"",L$2&gt;Inputs!$B$239,L$2&lt;=Inputs!$B$239+Inputs!$B$241),(1/(1-Inputs!$B$240))^(1/Inputs!$B$241)-1,IF(AND(Inputs!$B$244&lt;&gt;"",L$2=Inputs!$B$244),-Inputs!$B$245,IF(AND(Inputs!$B$244&lt;&gt;"",L$2&gt;Inputs!$B$244,L$2&lt;=Inputs!$B$244+Inputs!$B$246),(1/(1-Inputs!$B$245))^(1/Inputs!$B$246)-1,IF(AND(Inputs!$B$249&lt;&gt;"",L$2=Inputs!$B$249),-Inputs!$B$250,IF(AND(Inputs!$B$249&lt;&gt;"",L$2&gt;Inputs!$B$249,L$2&lt;=Inputs!$B$249+Inputs!$B$251),(1/(1-Inputs!$B$250))^(1/Inputs!$B$251)-1,stinc)))))))))),0))-1)</f>
        <v>0</v>
      </c>
      <c r="M107" s="7">
        <f ca="1">(SUM(M105:M106)-M60)*IF(AND(Inputs!$B$229&lt;&gt;"",M$2=Inputs!$B$229),-Inputs!$B$230,IF(AND(Inputs!$B$229&lt;&gt;"",M$2&gt;Inputs!$B$229,M$2&lt;=Inputs!$B$229+Inputs!$B$231),(1/(1-Inputs!$B$230))^(1/Inputs!$B$231)-1,IF(AND(Inputs!$B$234&lt;&gt;"",M$2=Inputs!$B$234),-Inputs!$B$235,IF(AND(Inputs!$B$234&lt;&gt;"",M$2&gt;Inputs!$B$234,M$2&lt;=Inputs!$B$234+Inputs!$B$236),(1/(1-Inputs!$B$235))^(1/Inputs!$B$236)-1,IF(AND(Inputs!$B$239&lt;&gt;"",M$2=Inputs!$B$239),-Inputs!$B$240,IF(AND(Inputs!$B$239&lt;&gt;"",M$2&gt;Inputs!$B$239,M$2&lt;=Inputs!$B$239+Inputs!$B$241),(1/(1-Inputs!$B$240))^(1/Inputs!$B$241)-1,IF(AND(Inputs!$B$244&lt;&gt;"",M$2=Inputs!$B$244),-Inputs!$B$245,IF(AND(Inputs!$B$244&lt;&gt;"",M$2&gt;Inputs!$B$244,M$2&lt;=Inputs!$B$244+Inputs!$B$246),(1/(1-Inputs!$B$245))^(1/Inputs!$B$246)-1,IF(AND(Inputs!$B$249&lt;&gt;"",M$2=Inputs!$B$249),-Inputs!$B$250,IF(AND(Inputs!$B$249&lt;&gt;"",M$2&gt;Inputs!$B$249,M$2&lt;=Inputs!$B$249+Inputs!$B$251),(1/(1-Inputs!$B$250))^(1/Inputs!$B$251)-1,stinc))))))))))+M60*(SQRT(MAX(1+IF(AND(Inputs!$B$229&lt;&gt;"",M$2=Inputs!$B$229),-Inputs!$B$230,IF(AND(Inputs!$B$229&lt;&gt;"",M$2&gt;Inputs!$B$229,M$2&lt;=Inputs!$B$229+Inputs!$B$231),(1/(1-Inputs!$B$230))^(1/Inputs!$B$231)-1,IF(AND(Inputs!$B$234&lt;&gt;"",M$2=Inputs!$B$234),-Inputs!$B$235,IF(AND(Inputs!$B$234&lt;&gt;"",M$2&gt;Inputs!$B$234,M$2&lt;=Inputs!$B$234+Inputs!$B$236),(1/(1-Inputs!$B$235))^(1/Inputs!$B$236)-1,IF(AND(Inputs!$B$239&lt;&gt;"",M$2=Inputs!$B$239),-Inputs!$B$240,IF(AND(Inputs!$B$239&lt;&gt;"",M$2&gt;Inputs!$B$239,M$2&lt;=Inputs!$B$239+Inputs!$B$241),(1/(1-Inputs!$B$240))^(1/Inputs!$B$241)-1,IF(AND(Inputs!$B$244&lt;&gt;"",M$2=Inputs!$B$244),-Inputs!$B$245,IF(AND(Inputs!$B$244&lt;&gt;"",M$2&gt;Inputs!$B$244,M$2&lt;=Inputs!$B$244+Inputs!$B$246),(1/(1-Inputs!$B$245))^(1/Inputs!$B$246)-1,IF(AND(Inputs!$B$249&lt;&gt;"",M$2=Inputs!$B$249),-Inputs!$B$250,IF(AND(Inputs!$B$249&lt;&gt;"",M$2&gt;Inputs!$B$249,M$2&lt;=Inputs!$B$249+Inputs!$B$251),(1/(1-Inputs!$B$250))^(1/Inputs!$B$251)-1,stinc)))))))))),0))-1)</f>
        <v>0</v>
      </c>
      <c r="N107" s="7">
        <f ca="1">(SUM(N105:N106)-N60)*IF(AND(Inputs!$B$229&lt;&gt;"",N$2=Inputs!$B$229),-Inputs!$B$230,IF(AND(Inputs!$B$229&lt;&gt;"",N$2&gt;Inputs!$B$229,N$2&lt;=Inputs!$B$229+Inputs!$B$231),(1/(1-Inputs!$B$230))^(1/Inputs!$B$231)-1,IF(AND(Inputs!$B$234&lt;&gt;"",N$2=Inputs!$B$234),-Inputs!$B$235,IF(AND(Inputs!$B$234&lt;&gt;"",N$2&gt;Inputs!$B$234,N$2&lt;=Inputs!$B$234+Inputs!$B$236),(1/(1-Inputs!$B$235))^(1/Inputs!$B$236)-1,IF(AND(Inputs!$B$239&lt;&gt;"",N$2=Inputs!$B$239),-Inputs!$B$240,IF(AND(Inputs!$B$239&lt;&gt;"",N$2&gt;Inputs!$B$239,N$2&lt;=Inputs!$B$239+Inputs!$B$241),(1/(1-Inputs!$B$240))^(1/Inputs!$B$241)-1,IF(AND(Inputs!$B$244&lt;&gt;"",N$2=Inputs!$B$244),-Inputs!$B$245,IF(AND(Inputs!$B$244&lt;&gt;"",N$2&gt;Inputs!$B$244,N$2&lt;=Inputs!$B$244+Inputs!$B$246),(1/(1-Inputs!$B$245))^(1/Inputs!$B$246)-1,IF(AND(Inputs!$B$249&lt;&gt;"",N$2=Inputs!$B$249),-Inputs!$B$250,IF(AND(Inputs!$B$249&lt;&gt;"",N$2&gt;Inputs!$B$249,N$2&lt;=Inputs!$B$249+Inputs!$B$251),(1/(1-Inputs!$B$250))^(1/Inputs!$B$251)-1,stinc))))))))))+N60*(SQRT(MAX(1+IF(AND(Inputs!$B$229&lt;&gt;"",N$2=Inputs!$B$229),-Inputs!$B$230,IF(AND(Inputs!$B$229&lt;&gt;"",N$2&gt;Inputs!$B$229,N$2&lt;=Inputs!$B$229+Inputs!$B$231),(1/(1-Inputs!$B$230))^(1/Inputs!$B$231)-1,IF(AND(Inputs!$B$234&lt;&gt;"",N$2=Inputs!$B$234),-Inputs!$B$235,IF(AND(Inputs!$B$234&lt;&gt;"",N$2&gt;Inputs!$B$234,N$2&lt;=Inputs!$B$234+Inputs!$B$236),(1/(1-Inputs!$B$235))^(1/Inputs!$B$236)-1,IF(AND(Inputs!$B$239&lt;&gt;"",N$2=Inputs!$B$239),-Inputs!$B$240,IF(AND(Inputs!$B$239&lt;&gt;"",N$2&gt;Inputs!$B$239,N$2&lt;=Inputs!$B$239+Inputs!$B$241),(1/(1-Inputs!$B$240))^(1/Inputs!$B$241)-1,IF(AND(Inputs!$B$244&lt;&gt;"",N$2=Inputs!$B$244),-Inputs!$B$245,IF(AND(Inputs!$B$244&lt;&gt;"",N$2&gt;Inputs!$B$244,N$2&lt;=Inputs!$B$244+Inputs!$B$246),(1/(1-Inputs!$B$245))^(1/Inputs!$B$246)-1,IF(AND(Inputs!$B$249&lt;&gt;"",N$2=Inputs!$B$249),-Inputs!$B$250,IF(AND(Inputs!$B$249&lt;&gt;"",N$2&gt;Inputs!$B$249,N$2&lt;=Inputs!$B$249+Inputs!$B$251),(1/(1-Inputs!$B$250))^(1/Inputs!$B$251)-1,stinc)))))))))),0))-1)</f>
        <v>0</v>
      </c>
      <c r="O107" s="7">
        <f ca="1">(SUM(O105:O106)-O60)*IF(AND(Inputs!$B$229&lt;&gt;"",O$2=Inputs!$B$229),-Inputs!$B$230,IF(AND(Inputs!$B$229&lt;&gt;"",O$2&gt;Inputs!$B$229,O$2&lt;=Inputs!$B$229+Inputs!$B$231),(1/(1-Inputs!$B$230))^(1/Inputs!$B$231)-1,IF(AND(Inputs!$B$234&lt;&gt;"",O$2=Inputs!$B$234),-Inputs!$B$235,IF(AND(Inputs!$B$234&lt;&gt;"",O$2&gt;Inputs!$B$234,O$2&lt;=Inputs!$B$234+Inputs!$B$236),(1/(1-Inputs!$B$235))^(1/Inputs!$B$236)-1,IF(AND(Inputs!$B$239&lt;&gt;"",O$2=Inputs!$B$239),-Inputs!$B$240,IF(AND(Inputs!$B$239&lt;&gt;"",O$2&gt;Inputs!$B$239,O$2&lt;=Inputs!$B$239+Inputs!$B$241),(1/(1-Inputs!$B$240))^(1/Inputs!$B$241)-1,IF(AND(Inputs!$B$244&lt;&gt;"",O$2=Inputs!$B$244),-Inputs!$B$245,IF(AND(Inputs!$B$244&lt;&gt;"",O$2&gt;Inputs!$B$244,O$2&lt;=Inputs!$B$244+Inputs!$B$246),(1/(1-Inputs!$B$245))^(1/Inputs!$B$246)-1,IF(AND(Inputs!$B$249&lt;&gt;"",O$2=Inputs!$B$249),-Inputs!$B$250,IF(AND(Inputs!$B$249&lt;&gt;"",O$2&gt;Inputs!$B$249,O$2&lt;=Inputs!$B$249+Inputs!$B$251),(1/(1-Inputs!$B$250))^(1/Inputs!$B$251)-1,stinc))))))))))+O60*(SQRT(MAX(1+IF(AND(Inputs!$B$229&lt;&gt;"",O$2=Inputs!$B$229),-Inputs!$B$230,IF(AND(Inputs!$B$229&lt;&gt;"",O$2&gt;Inputs!$B$229,O$2&lt;=Inputs!$B$229+Inputs!$B$231),(1/(1-Inputs!$B$230))^(1/Inputs!$B$231)-1,IF(AND(Inputs!$B$234&lt;&gt;"",O$2=Inputs!$B$234),-Inputs!$B$235,IF(AND(Inputs!$B$234&lt;&gt;"",O$2&gt;Inputs!$B$234,O$2&lt;=Inputs!$B$234+Inputs!$B$236),(1/(1-Inputs!$B$235))^(1/Inputs!$B$236)-1,IF(AND(Inputs!$B$239&lt;&gt;"",O$2=Inputs!$B$239),-Inputs!$B$240,IF(AND(Inputs!$B$239&lt;&gt;"",O$2&gt;Inputs!$B$239,O$2&lt;=Inputs!$B$239+Inputs!$B$241),(1/(1-Inputs!$B$240))^(1/Inputs!$B$241)-1,IF(AND(Inputs!$B$244&lt;&gt;"",O$2=Inputs!$B$244),-Inputs!$B$245,IF(AND(Inputs!$B$244&lt;&gt;"",O$2&gt;Inputs!$B$244,O$2&lt;=Inputs!$B$244+Inputs!$B$246),(1/(1-Inputs!$B$245))^(1/Inputs!$B$246)-1,IF(AND(Inputs!$B$249&lt;&gt;"",O$2=Inputs!$B$249),-Inputs!$B$250,IF(AND(Inputs!$B$249&lt;&gt;"",O$2&gt;Inputs!$B$249,O$2&lt;=Inputs!$B$249+Inputs!$B$251),(1/(1-Inputs!$B$250))^(1/Inputs!$B$251)-1,stinc)))))))))),0))-1)</f>
        <v>0</v>
      </c>
      <c r="P107" s="7">
        <f ca="1">(SUM(P105:P106)-P60)*IF(AND(Inputs!$B$229&lt;&gt;"",P$2=Inputs!$B$229),-Inputs!$B$230,IF(AND(Inputs!$B$229&lt;&gt;"",P$2&gt;Inputs!$B$229,P$2&lt;=Inputs!$B$229+Inputs!$B$231),(1/(1-Inputs!$B$230))^(1/Inputs!$B$231)-1,IF(AND(Inputs!$B$234&lt;&gt;"",P$2=Inputs!$B$234),-Inputs!$B$235,IF(AND(Inputs!$B$234&lt;&gt;"",P$2&gt;Inputs!$B$234,P$2&lt;=Inputs!$B$234+Inputs!$B$236),(1/(1-Inputs!$B$235))^(1/Inputs!$B$236)-1,IF(AND(Inputs!$B$239&lt;&gt;"",P$2=Inputs!$B$239),-Inputs!$B$240,IF(AND(Inputs!$B$239&lt;&gt;"",P$2&gt;Inputs!$B$239,P$2&lt;=Inputs!$B$239+Inputs!$B$241),(1/(1-Inputs!$B$240))^(1/Inputs!$B$241)-1,IF(AND(Inputs!$B$244&lt;&gt;"",P$2=Inputs!$B$244),-Inputs!$B$245,IF(AND(Inputs!$B$244&lt;&gt;"",P$2&gt;Inputs!$B$244,P$2&lt;=Inputs!$B$244+Inputs!$B$246),(1/(1-Inputs!$B$245))^(1/Inputs!$B$246)-1,IF(AND(Inputs!$B$249&lt;&gt;"",P$2=Inputs!$B$249),-Inputs!$B$250,IF(AND(Inputs!$B$249&lt;&gt;"",P$2&gt;Inputs!$B$249,P$2&lt;=Inputs!$B$249+Inputs!$B$251),(1/(1-Inputs!$B$250))^(1/Inputs!$B$251)-1,stinc))))))))))+P60*(SQRT(MAX(1+IF(AND(Inputs!$B$229&lt;&gt;"",P$2=Inputs!$B$229),-Inputs!$B$230,IF(AND(Inputs!$B$229&lt;&gt;"",P$2&gt;Inputs!$B$229,P$2&lt;=Inputs!$B$229+Inputs!$B$231),(1/(1-Inputs!$B$230))^(1/Inputs!$B$231)-1,IF(AND(Inputs!$B$234&lt;&gt;"",P$2=Inputs!$B$234),-Inputs!$B$235,IF(AND(Inputs!$B$234&lt;&gt;"",P$2&gt;Inputs!$B$234,P$2&lt;=Inputs!$B$234+Inputs!$B$236),(1/(1-Inputs!$B$235))^(1/Inputs!$B$236)-1,IF(AND(Inputs!$B$239&lt;&gt;"",P$2=Inputs!$B$239),-Inputs!$B$240,IF(AND(Inputs!$B$239&lt;&gt;"",P$2&gt;Inputs!$B$239,P$2&lt;=Inputs!$B$239+Inputs!$B$241),(1/(1-Inputs!$B$240))^(1/Inputs!$B$241)-1,IF(AND(Inputs!$B$244&lt;&gt;"",P$2=Inputs!$B$244),-Inputs!$B$245,IF(AND(Inputs!$B$244&lt;&gt;"",P$2&gt;Inputs!$B$244,P$2&lt;=Inputs!$B$244+Inputs!$B$246),(1/(1-Inputs!$B$245))^(1/Inputs!$B$246)-1,IF(AND(Inputs!$B$249&lt;&gt;"",P$2=Inputs!$B$249),-Inputs!$B$250,IF(AND(Inputs!$B$249&lt;&gt;"",P$2&gt;Inputs!$B$249,P$2&lt;=Inputs!$B$249+Inputs!$B$251),(1/(1-Inputs!$B$250))^(1/Inputs!$B$251)-1,stinc)))))))))),0))-1)</f>
        <v>0</v>
      </c>
      <c r="Q107" s="7">
        <f ca="1">(SUM(Q105:Q106)-Q60)*IF(AND(Inputs!$B$229&lt;&gt;"",Q$2=Inputs!$B$229),-Inputs!$B$230,IF(AND(Inputs!$B$229&lt;&gt;"",Q$2&gt;Inputs!$B$229,Q$2&lt;=Inputs!$B$229+Inputs!$B$231),(1/(1-Inputs!$B$230))^(1/Inputs!$B$231)-1,IF(AND(Inputs!$B$234&lt;&gt;"",Q$2=Inputs!$B$234),-Inputs!$B$235,IF(AND(Inputs!$B$234&lt;&gt;"",Q$2&gt;Inputs!$B$234,Q$2&lt;=Inputs!$B$234+Inputs!$B$236),(1/(1-Inputs!$B$235))^(1/Inputs!$B$236)-1,IF(AND(Inputs!$B$239&lt;&gt;"",Q$2=Inputs!$B$239),-Inputs!$B$240,IF(AND(Inputs!$B$239&lt;&gt;"",Q$2&gt;Inputs!$B$239,Q$2&lt;=Inputs!$B$239+Inputs!$B$241),(1/(1-Inputs!$B$240))^(1/Inputs!$B$241)-1,IF(AND(Inputs!$B$244&lt;&gt;"",Q$2=Inputs!$B$244),-Inputs!$B$245,IF(AND(Inputs!$B$244&lt;&gt;"",Q$2&gt;Inputs!$B$244,Q$2&lt;=Inputs!$B$244+Inputs!$B$246),(1/(1-Inputs!$B$245))^(1/Inputs!$B$246)-1,IF(AND(Inputs!$B$249&lt;&gt;"",Q$2=Inputs!$B$249),-Inputs!$B$250,IF(AND(Inputs!$B$249&lt;&gt;"",Q$2&gt;Inputs!$B$249,Q$2&lt;=Inputs!$B$249+Inputs!$B$251),(1/(1-Inputs!$B$250))^(1/Inputs!$B$251)-1,stinc))))))))))+Q60*(SQRT(MAX(1+IF(AND(Inputs!$B$229&lt;&gt;"",Q$2=Inputs!$B$229),-Inputs!$B$230,IF(AND(Inputs!$B$229&lt;&gt;"",Q$2&gt;Inputs!$B$229,Q$2&lt;=Inputs!$B$229+Inputs!$B$231),(1/(1-Inputs!$B$230))^(1/Inputs!$B$231)-1,IF(AND(Inputs!$B$234&lt;&gt;"",Q$2=Inputs!$B$234),-Inputs!$B$235,IF(AND(Inputs!$B$234&lt;&gt;"",Q$2&gt;Inputs!$B$234,Q$2&lt;=Inputs!$B$234+Inputs!$B$236),(1/(1-Inputs!$B$235))^(1/Inputs!$B$236)-1,IF(AND(Inputs!$B$239&lt;&gt;"",Q$2=Inputs!$B$239),-Inputs!$B$240,IF(AND(Inputs!$B$239&lt;&gt;"",Q$2&gt;Inputs!$B$239,Q$2&lt;=Inputs!$B$239+Inputs!$B$241),(1/(1-Inputs!$B$240))^(1/Inputs!$B$241)-1,IF(AND(Inputs!$B$244&lt;&gt;"",Q$2=Inputs!$B$244),-Inputs!$B$245,IF(AND(Inputs!$B$244&lt;&gt;"",Q$2&gt;Inputs!$B$244,Q$2&lt;=Inputs!$B$244+Inputs!$B$246),(1/(1-Inputs!$B$245))^(1/Inputs!$B$246)-1,IF(AND(Inputs!$B$249&lt;&gt;"",Q$2=Inputs!$B$249),-Inputs!$B$250,IF(AND(Inputs!$B$249&lt;&gt;"",Q$2&gt;Inputs!$B$249,Q$2&lt;=Inputs!$B$249+Inputs!$B$251),(1/(1-Inputs!$B$250))^(1/Inputs!$B$251)-1,stinc)))))))))),0))-1)</f>
        <v>0</v>
      </c>
      <c r="R107" s="7">
        <f ca="1">(SUM(R105:R106)-R60)*IF(AND(Inputs!$B$229&lt;&gt;"",R$2=Inputs!$B$229),-Inputs!$B$230,IF(AND(Inputs!$B$229&lt;&gt;"",R$2&gt;Inputs!$B$229,R$2&lt;=Inputs!$B$229+Inputs!$B$231),(1/(1-Inputs!$B$230))^(1/Inputs!$B$231)-1,IF(AND(Inputs!$B$234&lt;&gt;"",R$2=Inputs!$B$234),-Inputs!$B$235,IF(AND(Inputs!$B$234&lt;&gt;"",R$2&gt;Inputs!$B$234,R$2&lt;=Inputs!$B$234+Inputs!$B$236),(1/(1-Inputs!$B$235))^(1/Inputs!$B$236)-1,IF(AND(Inputs!$B$239&lt;&gt;"",R$2=Inputs!$B$239),-Inputs!$B$240,IF(AND(Inputs!$B$239&lt;&gt;"",R$2&gt;Inputs!$B$239,R$2&lt;=Inputs!$B$239+Inputs!$B$241),(1/(1-Inputs!$B$240))^(1/Inputs!$B$241)-1,IF(AND(Inputs!$B$244&lt;&gt;"",R$2=Inputs!$B$244),-Inputs!$B$245,IF(AND(Inputs!$B$244&lt;&gt;"",R$2&gt;Inputs!$B$244,R$2&lt;=Inputs!$B$244+Inputs!$B$246),(1/(1-Inputs!$B$245))^(1/Inputs!$B$246)-1,IF(AND(Inputs!$B$249&lt;&gt;"",R$2=Inputs!$B$249),-Inputs!$B$250,IF(AND(Inputs!$B$249&lt;&gt;"",R$2&gt;Inputs!$B$249,R$2&lt;=Inputs!$B$249+Inputs!$B$251),(1/(1-Inputs!$B$250))^(1/Inputs!$B$251)-1,stinc))))))))))+R60*(SQRT(MAX(1+IF(AND(Inputs!$B$229&lt;&gt;"",R$2=Inputs!$B$229),-Inputs!$B$230,IF(AND(Inputs!$B$229&lt;&gt;"",R$2&gt;Inputs!$B$229,R$2&lt;=Inputs!$B$229+Inputs!$B$231),(1/(1-Inputs!$B$230))^(1/Inputs!$B$231)-1,IF(AND(Inputs!$B$234&lt;&gt;"",R$2=Inputs!$B$234),-Inputs!$B$235,IF(AND(Inputs!$B$234&lt;&gt;"",R$2&gt;Inputs!$B$234,R$2&lt;=Inputs!$B$234+Inputs!$B$236),(1/(1-Inputs!$B$235))^(1/Inputs!$B$236)-1,IF(AND(Inputs!$B$239&lt;&gt;"",R$2=Inputs!$B$239),-Inputs!$B$240,IF(AND(Inputs!$B$239&lt;&gt;"",R$2&gt;Inputs!$B$239,R$2&lt;=Inputs!$B$239+Inputs!$B$241),(1/(1-Inputs!$B$240))^(1/Inputs!$B$241)-1,IF(AND(Inputs!$B$244&lt;&gt;"",R$2=Inputs!$B$244),-Inputs!$B$245,IF(AND(Inputs!$B$244&lt;&gt;"",R$2&gt;Inputs!$B$244,R$2&lt;=Inputs!$B$244+Inputs!$B$246),(1/(1-Inputs!$B$245))^(1/Inputs!$B$246)-1,IF(AND(Inputs!$B$249&lt;&gt;"",R$2=Inputs!$B$249),-Inputs!$B$250,IF(AND(Inputs!$B$249&lt;&gt;"",R$2&gt;Inputs!$B$249,R$2&lt;=Inputs!$B$249+Inputs!$B$251),(1/(1-Inputs!$B$250))^(1/Inputs!$B$251)-1,stinc)))))))))),0))-1)</f>
        <v>0</v>
      </c>
      <c r="S107" s="7">
        <f ca="1">(SUM(S105:S106)-S60)*IF(AND(Inputs!$B$229&lt;&gt;"",S$2=Inputs!$B$229),-Inputs!$B$230,IF(AND(Inputs!$B$229&lt;&gt;"",S$2&gt;Inputs!$B$229,S$2&lt;=Inputs!$B$229+Inputs!$B$231),(1/(1-Inputs!$B$230))^(1/Inputs!$B$231)-1,IF(AND(Inputs!$B$234&lt;&gt;"",S$2=Inputs!$B$234),-Inputs!$B$235,IF(AND(Inputs!$B$234&lt;&gt;"",S$2&gt;Inputs!$B$234,S$2&lt;=Inputs!$B$234+Inputs!$B$236),(1/(1-Inputs!$B$235))^(1/Inputs!$B$236)-1,IF(AND(Inputs!$B$239&lt;&gt;"",S$2=Inputs!$B$239),-Inputs!$B$240,IF(AND(Inputs!$B$239&lt;&gt;"",S$2&gt;Inputs!$B$239,S$2&lt;=Inputs!$B$239+Inputs!$B$241),(1/(1-Inputs!$B$240))^(1/Inputs!$B$241)-1,IF(AND(Inputs!$B$244&lt;&gt;"",S$2=Inputs!$B$244),-Inputs!$B$245,IF(AND(Inputs!$B$244&lt;&gt;"",S$2&gt;Inputs!$B$244,S$2&lt;=Inputs!$B$244+Inputs!$B$246),(1/(1-Inputs!$B$245))^(1/Inputs!$B$246)-1,IF(AND(Inputs!$B$249&lt;&gt;"",S$2=Inputs!$B$249),-Inputs!$B$250,IF(AND(Inputs!$B$249&lt;&gt;"",S$2&gt;Inputs!$B$249,S$2&lt;=Inputs!$B$249+Inputs!$B$251),(1/(1-Inputs!$B$250))^(1/Inputs!$B$251)-1,stinc))))))))))+S60*(SQRT(MAX(1+IF(AND(Inputs!$B$229&lt;&gt;"",S$2=Inputs!$B$229),-Inputs!$B$230,IF(AND(Inputs!$B$229&lt;&gt;"",S$2&gt;Inputs!$B$229,S$2&lt;=Inputs!$B$229+Inputs!$B$231),(1/(1-Inputs!$B$230))^(1/Inputs!$B$231)-1,IF(AND(Inputs!$B$234&lt;&gt;"",S$2=Inputs!$B$234),-Inputs!$B$235,IF(AND(Inputs!$B$234&lt;&gt;"",S$2&gt;Inputs!$B$234,S$2&lt;=Inputs!$B$234+Inputs!$B$236),(1/(1-Inputs!$B$235))^(1/Inputs!$B$236)-1,IF(AND(Inputs!$B$239&lt;&gt;"",S$2=Inputs!$B$239),-Inputs!$B$240,IF(AND(Inputs!$B$239&lt;&gt;"",S$2&gt;Inputs!$B$239,S$2&lt;=Inputs!$B$239+Inputs!$B$241),(1/(1-Inputs!$B$240))^(1/Inputs!$B$241)-1,IF(AND(Inputs!$B$244&lt;&gt;"",S$2=Inputs!$B$244),-Inputs!$B$245,IF(AND(Inputs!$B$244&lt;&gt;"",S$2&gt;Inputs!$B$244,S$2&lt;=Inputs!$B$244+Inputs!$B$246),(1/(1-Inputs!$B$245))^(1/Inputs!$B$246)-1,IF(AND(Inputs!$B$249&lt;&gt;"",S$2=Inputs!$B$249),-Inputs!$B$250,IF(AND(Inputs!$B$249&lt;&gt;"",S$2&gt;Inputs!$B$249,S$2&lt;=Inputs!$B$249+Inputs!$B$251),(1/(1-Inputs!$B$250))^(1/Inputs!$B$251)-1,stinc)))))))))),0))-1)</f>
        <v>0</v>
      </c>
      <c r="T107" s="7">
        <f ca="1">(SUM(T105:T106)-T60)*IF(AND(Inputs!$B$229&lt;&gt;"",T$2=Inputs!$B$229),-Inputs!$B$230,IF(AND(Inputs!$B$229&lt;&gt;"",T$2&gt;Inputs!$B$229,T$2&lt;=Inputs!$B$229+Inputs!$B$231),(1/(1-Inputs!$B$230))^(1/Inputs!$B$231)-1,IF(AND(Inputs!$B$234&lt;&gt;"",T$2=Inputs!$B$234),-Inputs!$B$235,IF(AND(Inputs!$B$234&lt;&gt;"",T$2&gt;Inputs!$B$234,T$2&lt;=Inputs!$B$234+Inputs!$B$236),(1/(1-Inputs!$B$235))^(1/Inputs!$B$236)-1,IF(AND(Inputs!$B$239&lt;&gt;"",T$2=Inputs!$B$239),-Inputs!$B$240,IF(AND(Inputs!$B$239&lt;&gt;"",T$2&gt;Inputs!$B$239,T$2&lt;=Inputs!$B$239+Inputs!$B$241),(1/(1-Inputs!$B$240))^(1/Inputs!$B$241)-1,IF(AND(Inputs!$B$244&lt;&gt;"",T$2=Inputs!$B$244),-Inputs!$B$245,IF(AND(Inputs!$B$244&lt;&gt;"",T$2&gt;Inputs!$B$244,T$2&lt;=Inputs!$B$244+Inputs!$B$246),(1/(1-Inputs!$B$245))^(1/Inputs!$B$246)-1,IF(AND(Inputs!$B$249&lt;&gt;"",T$2=Inputs!$B$249),-Inputs!$B$250,IF(AND(Inputs!$B$249&lt;&gt;"",T$2&gt;Inputs!$B$249,T$2&lt;=Inputs!$B$249+Inputs!$B$251),(1/(1-Inputs!$B$250))^(1/Inputs!$B$251)-1,stinc))))))))))+T60*(SQRT(MAX(1+IF(AND(Inputs!$B$229&lt;&gt;"",T$2=Inputs!$B$229),-Inputs!$B$230,IF(AND(Inputs!$B$229&lt;&gt;"",T$2&gt;Inputs!$B$229,T$2&lt;=Inputs!$B$229+Inputs!$B$231),(1/(1-Inputs!$B$230))^(1/Inputs!$B$231)-1,IF(AND(Inputs!$B$234&lt;&gt;"",T$2=Inputs!$B$234),-Inputs!$B$235,IF(AND(Inputs!$B$234&lt;&gt;"",T$2&gt;Inputs!$B$234,T$2&lt;=Inputs!$B$234+Inputs!$B$236),(1/(1-Inputs!$B$235))^(1/Inputs!$B$236)-1,IF(AND(Inputs!$B$239&lt;&gt;"",T$2=Inputs!$B$239),-Inputs!$B$240,IF(AND(Inputs!$B$239&lt;&gt;"",T$2&gt;Inputs!$B$239,T$2&lt;=Inputs!$B$239+Inputs!$B$241),(1/(1-Inputs!$B$240))^(1/Inputs!$B$241)-1,IF(AND(Inputs!$B$244&lt;&gt;"",T$2=Inputs!$B$244),-Inputs!$B$245,IF(AND(Inputs!$B$244&lt;&gt;"",T$2&gt;Inputs!$B$244,T$2&lt;=Inputs!$B$244+Inputs!$B$246),(1/(1-Inputs!$B$245))^(1/Inputs!$B$246)-1,IF(AND(Inputs!$B$249&lt;&gt;"",T$2=Inputs!$B$249),-Inputs!$B$250,IF(AND(Inputs!$B$249&lt;&gt;"",T$2&gt;Inputs!$B$249,T$2&lt;=Inputs!$B$249+Inputs!$B$251),(1/(1-Inputs!$B$250))^(1/Inputs!$B$251)-1,stinc)))))))))),0))-1)</f>
        <v>0</v>
      </c>
      <c r="U107" s="7">
        <f ca="1">(SUM(U105:U106)-U60)*IF(AND(Inputs!$B$229&lt;&gt;"",U$2=Inputs!$B$229),-Inputs!$B$230,IF(AND(Inputs!$B$229&lt;&gt;"",U$2&gt;Inputs!$B$229,U$2&lt;=Inputs!$B$229+Inputs!$B$231),(1/(1-Inputs!$B$230))^(1/Inputs!$B$231)-1,IF(AND(Inputs!$B$234&lt;&gt;"",U$2=Inputs!$B$234),-Inputs!$B$235,IF(AND(Inputs!$B$234&lt;&gt;"",U$2&gt;Inputs!$B$234,U$2&lt;=Inputs!$B$234+Inputs!$B$236),(1/(1-Inputs!$B$235))^(1/Inputs!$B$236)-1,IF(AND(Inputs!$B$239&lt;&gt;"",U$2=Inputs!$B$239),-Inputs!$B$240,IF(AND(Inputs!$B$239&lt;&gt;"",U$2&gt;Inputs!$B$239,U$2&lt;=Inputs!$B$239+Inputs!$B$241),(1/(1-Inputs!$B$240))^(1/Inputs!$B$241)-1,IF(AND(Inputs!$B$244&lt;&gt;"",U$2=Inputs!$B$244),-Inputs!$B$245,IF(AND(Inputs!$B$244&lt;&gt;"",U$2&gt;Inputs!$B$244,U$2&lt;=Inputs!$B$244+Inputs!$B$246),(1/(1-Inputs!$B$245))^(1/Inputs!$B$246)-1,IF(AND(Inputs!$B$249&lt;&gt;"",U$2=Inputs!$B$249),-Inputs!$B$250,IF(AND(Inputs!$B$249&lt;&gt;"",U$2&gt;Inputs!$B$249,U$2&lt;=Inputs!$B$249+Inputs!$B$251),(1/(1-Inputs!$B$250))^(1/Inputs!$B$251)-1,stinc))))))))))+U60*(SQRT(MAX(1+IF(AND(Inputs!$B$229&lt;&gt;"",U$2=Inputs!$B$229),-Inputs!$B$230,IF(AND(Inputs!$B$229&lt;&gt;"",U$2&gt;Inputs!$B$229,U$2&lt;=Inputs!$B$229+Inputs!$B$231),(1/(1-Inputs!$B$230))^(1/Inputs!$B$231)-1,IF(AND(Inputs!$B$234&lt;&gt;"",U$2=Inputs!$B$234),-Inputs!$B$235,IF(AND(Inputs!$B$234&lt;&gt;"",U$2&gt;Inputs!$B$234,U$2&lt;=Inputs!$B$234+Inputs!$B$236),(1/(1-Inputs!$B$235))^(1/Inputs!$B$236)-1,IF(AND(Inputs!$B$239&lt;&gt;"",U$2=Inputs!$B$239),-Inputs!$B$240,IF(AND(Inputs!$B$239&lt;&gt;"",U$2&gt;Inputs!$B$239,U$2&lt;=Inputs!$B$239+Inputs!$B$241),(1/(1-Inputs!$B$240))^(1/Inputs!$B$241)-1,IF(AND(Inputs!$B$244&lt;&gt;"",U$2=Inputs!$B$244),-Inputs!$B$245,IF(AND(Inputs!$B$244&lt;&gt;"",U$2&gt;Inputs!$B$244,U$2&lt;=Inputs!$B$244+Inputs!$B$246),(1/(1-Inputs!$B$245))^(1/Inputs!$B$246)-1,IF(AND(Inputs!$B$249&lt;&gt;"",U$2=Inputs!$B$249),-Inputs!$B$250,IF(AND(Inputs!$B$249&lt;&gt;"",U$2&gt;Inputs!$B$249,U$2&lt;=Inputs!$B$249+Inputs!$B$251),(1/(1-Inputs!$B$250))^(1/Inputs!$B$251)-1,stinc)))))))))),0))-1)</f>
        <v>0</v>
      </c>
      <c r="V107" s="7">
        <f ca="1">(SUM(V105:V106)-V60)*IF(AND(Inputs!$B$229&lt;&gt;"",V$2=Inputs!$B$229),-Inputs!$B$230,IF(AND(Inputs!$B$229&lt;&gt;"",V$2&gt;Inputs!$B$229,V$2&lt;=Inputs!$B$229+Inputs!$B$231),(1/(1-Inputs!$B$230))^(1/Inputs!$B$231)-1,IF(AND(Inputs!$B$234&lt;&gt;"",V$2=Inputs!$B$234),-Inputs!$B$235,IF(AND(Inputs!$B$234&lt;&gt;"",V$2&gt;Inputs!$B$234,V$2&lt;=Inputs!$B$234+Inputs!$B$236),(1/(1-Inputs!$B$235))^(1/Inputs!$B$236)-1,IF(AND(Inputs!$B$239&lt;&gt;"",V$2=Inputs!$B$239),-Inputs!$B$240,IF(AND(Inputs!$B$239&lt;&gt;"",V$2&gt;Inputs!$B$239,V$2&lt;=Inputs!$B$239+Inputs!$B$241),(1/(1-Inputs!$B$240))^(1/Inputs!$B$241)-1,IF(AND(Inputs!$B$244&lt;&gt;"",V$2=Inputs!$B$244),-Inputs!$B$245,IF(AND(Inputs!$B$244&lt;&gt;"",V$2&gt;Inputs!$B$244,V$2&lt;=Inputs!$B$244+Inputs!$B$246),(1/(1-Inputs!$B$245))^(1/Inputs!$B$246)-1,IF(AND(Inputs!$B$249&lt;&gt;"",V$2=Inputs!$B$249),-Inputs!$B$250,IF(AND(Inputs!$B$249&lt;&gt;"",V$2&gt;Inputs!$B$249,V$2&lt;=Inputs!$B$249+Inputs!$B$251),(1/(1-Inputs!$B$250))^(1/Inputs!$B$251)-1,stinc))))))))))+V60*(SQRT(MAX(1+IF(AND(Inputs!$B$229&lt;&gt;"",V$2=Inputs!$B$229),-Inputs!$B$230,IF(AND(Inputs!$B$229&lt;&gt;"",V$2&gt;Inputs!$B$229,V$2&lt;=Inputs!$B$229+Inputs!$B$231),(1/(1-Inputs!$B$230))^(1/Inputs!$B$231)-1,IF(AND(Inputs!$B$234&lt;&gt;"",V$2=Inputs!$B$234),-Inputs!$B$235,IF(AND(Inputs!$B$234&lt;&gt;"",V$2&gt;Inputs!$B$234,V$2&lt;=Inputs!$B$234+Inputs!$B$236),(1/(1-Inputs!$B$235))^(1/Inputs!$B$236)-1,IF(AND(Inputs!$B$239&lt;&gt;"",V$2=Inputs!$B$239),-Inputs!$B$240,IF(AND(Inputs!$B$239&lt;&gt;"",V$2&gt;Inputs!$B$239,V$2&lt;=Inputs!$B$239+Inputs!$B$241),(1/(1-Inputs!$B$240))^(1/Inputs!$B$241)-1,IF(AND(Inputs!$B$244&lt;&gt;"",V$2=Inputs!$B$244),-Inputs!$B$245,IF(AND(Inputs!$B$244&lt;&gt;"",V$2&gt;Inputs!$B$244,V$2&lt;=Inputs!$B$244+Inputs!$B$246),(1/(1-Inputs!$B$245))^(1/Inputs!$B$246)-1,IF(AND(Inputs!$B$249&lt;&gt;"",V$2=Inputs!$B$249),-Inputs!$B$250,IF(AND(Inputs!$B$249&lt;&gt;"",V$2&gt;Inputs!$B$249,V$2&lt;=Inputs!$B$249+Inputs!$B$251),(1/(1-Inputs!$B$250))^(1/Inputs!$B$251)-1,stinc)))))))))),0))-1)</f>
        <v>0</v>
      </c>
      <c r="W107" s="7">
        <f ca="1">(SUM(W105:W106)-W60)*IF(AND(Inputs!$B$229&lt;&gt;"",W$2=Inputs!$B$229),-Inputs!$B$230,IF(AND(Inputs!$B$229&lt;&gt;"",W$2&gt;Inputs!$B$229,W$2&lt;=Inputs!$B$229+Inputs!$B$231),(1/(1-Inputs!$B$230))^(1/Inputs!$B$231)-1,IF(AND(Inputs!$B$234&lt;&gt;"",W$2=Inputs!$B$234),-Inputs!$B$235,IF(AND(Inputs!$B$234&lt;&gt;"",W$2&gt;Inputs!$B$234,W$2&lt;=Inputs!$B$234+Inputs!$B$236),(1/(1-Inputs!$B$235))^(1/Inputs!$B$236)-1,IF(AND(Inputs!$B$239&lt;&gt;"",W$2=Inputs!$B$239),-Inputs!$B$240,IF(AND(Inputs!$B$239&lt;&gt;"",W$2&gt;Inputs!$B$239,W$2&lt;=Inputs!$B$239+Inputs!$B$241),(1/(1-Inputs!$B$240))^(1/Inputs!$B$241)-1,IF(AND(Inputs!$B$244&lt;&gt;"",W$2=Inputs!$B$244),-Inputs!$B$245,IF(AND(Inputs!$B$244&lt;&gt;"",W$2&gt;Inputs!$B$244,W$2&lt;=Inputs!$B$244+Inputs!$B$246),(1/(1-Inputs!$B$245))^(1/Inputs!$B$246)-1,IF(AND(Inputs!$B$249&lt;&gt;"",W$2=Inputs!$B$249),-Inputs!$B$250,IF(AND(Inputs!$B$249&lt;&gt;"",W$2&gt;Inputs!$B$249,W$2&lt;=Inputs!$B$249+Inputs!$B$251),(1/(1-Inputs!$B$250))^(1/Inputs!$B$251)-1,stinc))))))))))+W60*(SQRT(MAX(1+IF(AND(Inputs!$B$229&lt;&gt;"",W$2=Inputs!$B$229),-Inputs!$B$230,IF(AND(Inputs!$B$229&lt;&gt;"",W$2&gt;Inputs!$B$229,W$2&lt;=Inputs!$B$229+Inputs!$B$231),(1/(1-Inputs!$B$230))^(1/Inputs!$B$231)-1,IF(AND(Inputs!$B$234&lt;&gt;"",W$2=Inputs!$B$234),-Inputs!$B$235,IF(AND(Inputs!$B$234&lt;&gt;"",W$2&gt;Inputs!$B$234,W$2&lt;=Inputs!$B$234+Inputs!$B$236),(1/(1-Inputs!$B$235))^(1/Inputs!$B$236)-1,IF(AND(Inputs!$B$239&lt;&gt;"",W$2=Inputs!$B$239),-Inputs!$B$240,IF(AND(Inputs!$B$239&lt;&gt;"",W$2&gt;Inputs!$B$239,W$2&lt;=Inputs!$B$239+Inputs!$B$241),(1/(1-Inputs!$B$240))^(1/Inputs!$B$241)-1,IF(AND(Inputs!$B$244&lt;&gt;"",W$2=Inputs!$B$244),-Inputs!$B$245,IF(AND(Inputs!$B$244&lt;&gt;"",W$2&gt;Inputs!$B$244,W$2&lt;=Inputs!$B$244+Inputs!$B$246),(1/(1-Inputs!$B$245))^(1/Inputs!$B$246)-1,IF(AND(Inputs!$B$249&lt;&gt;"",W$2=Inputs!$B$249),-Inputs!$B$250,IF(AND(Inputs!$B$249&lt;&gt;"",W$2&gt;Inputs!$B$249,W$2&lt;=Inputs!$B$249+Inputs!$B$251),(1/(1-Inputs!$B$250))^(1/Inputs!$B$251)-1,stinc)))))))))),0))-1)</f>
        <v>0</v>
      </c>
      <c r="X107" s="7">
        <f ca="1">(SUM(X105:X106)-X60)*IF(AND(Inputs!$B$229&lt;&gt;"",X$2=Inputs!$B$229),-Inputs!$B$230,IF(AND(Inputs!$B$229&lt;&gt;"",X$2&gt;Inputs!$B$229,X$2&lt;=Inputs!$B$229+Inputs!$B$231),(1/(1-Inputs!$B$230))^(1/Inputs!$B$231)-1,IF(AND(Inputs!$B$234&lt;&gt;"",X$2=Inputs!$B$234),-Inputs!$B$235,IF(AND(Inputs!$B$234&lt;&gt;"",X$2&gt;Inputs!$B$234,X$2&lt;=Inputs!$B$234+Inputs!$B$236),(1/(1-Inputs!$B$235))^(1/Inputs!$B$236)-1,IF(AND(Inputs!$B$239&lt;&gt;"",X$2=Inputs!$B$239),-Inputs!$B$240,IF(AND(Inputs!$B$239&lt;&gt;"",X$2&gt;Inputs!$B$239,X$2&lt;=Inputs!$B$239+Inputs!$B$241),(1/(1-Inputs!$B$240))^(1/Inputs!$B$241)-1,IF(AND(Inputs!$B$244&lt;&gt;"",X$2=Inputs!$B$244),-Inputs!$B$245,IF(AND(Inputs!$B$244&lt;&gt;"",X$2&gt;Inputs!$B$244,X$2&lt;=Inputs!$B$244+Inputs!$B$246),(1/(1-Inputs!$B$245))^(1/Inputs!$B$246)-1,IF(AND(Inputs!$B$249&lt;&gt;"",X$2=Inputs!$B$249),-Inputs!$B$250,IF(AND(Inputs!$B$249&lt;&gt;"",X$2&gt;Inputs!$B$249,X$2&lt;=Inputs!$B$249+Inputs!$B$251),(1/(1-Inputs!$B$250))^(1/Inputs!$B$251)-1,stinc))))))))))+X60*(SQRT(MAX(1+IF(AND(Inputs!$B$229&lt;&gt;"",X$2=Inputs!$B$229),-Inputs!$B$230,IF(AND(Inputs!$B$229&lt;&gt;"",X$2&gt;Inputs!$B$229,X$2&lt;=Inputs!$B$229+Inputs!$B$231),(1/(1-Inputs!$B$230))^(1/Inputs!$B$231)-1,IF(AND(Inputs!$B$234&lt;&gt;"",X$2=Inputs!$B$234),-Inputs!$B$235,IF(AND(Inputs!$B$234&lt;&gt;"",X$2&gt;Inputs!$B$234,X$2&lt;=Inputs!$B$234+Inputs!$B$236),(1/(1-Inputs!$B$235))^(1/Inputs!$B$236)-1,IF(AND(Inputs!$B$239&lt;&gt;"",X$2=Inputs!$B$239),-Inputs!$B$240,IF(AND(Inputs!$B$239&lt;&gt;"",X$2&gt;Inputs!$B$239,X$2&lt;=Inputs!$B$239+Inputs!$B$241),(1/(1-Inputs!$B$240))^(1/Inputs!$B$241)-1,IF(AND(Inputs!$B$244&lt;&gt;"",X$2=Inputs!$B$244),-Inputs!$B$245,IF(AND(Inputs!$B$244&lt;&gt;"",X$2&gt;Inputs!$B$244,X$2&lt;=Inputs!$B$244+Inputs!$B$246),(1/(1-Inputs!$B$245))^(1/Inputs!$B$246)-1,IF(AND(Inputs!$B$249&lt;&gt;"",X$2=Inputs!$B$249),-Inputs!$B$250,IF(AND(Inputs!$B$249&lt;&gt;"",X$2&gt;Inputs!$B$249,X$2&lt;=Inputs!$B$249+Inputs!$B$251),(1/(1-Inputs!$B$250))^(1/Inputs!$B$251)-1,stinc)))))))))),0))-1)</f>
        <v>0</v>
      </c>
      <c r="Y107" s="7">
        <f ca="1">(SUM(Y105:Y106)-Y60)*IF(AND(Inputs!$B$229&lt;&gt;"",Y$2=Inputs!$B$229),-Inputs!$B$230,IF(AND(Inputs!$B$229&lt;&gt;"",Y$2&gt;Inputs!$B$229,Y$2&lt;=Inputs!$B$229+Inputs!$B$231),(1/(1-Inputs!$B$230))^(1/Inputs!$B$231)-1,IF(AND(Inputs!$B$234&lt;&gt;"",Y$2=Inputs!$B$234),-Inputs!$B$235,IF(AND(Inputs!$B$234&lt;&gt;"",Y$2&gt;Inputs!$B$234,Y$2&lt;=Inputs!$B$234+Inputs!$B$236),(1/(1-Inputs!$B$235))^(1/Inputs!$B$236)-1,IF(AND(Inputs!$B$239&lt;&gt;"",Y$2=Inputs!$B$239),-Inputs!$B$240,IF(AND(Inputs!$B$239&lt;&gt;"",Y$2&gt;Inputs!$B$239,Y$2&lt;=Inputs!$B$239+Inputs!$B$241),(1/(1-Inputs!$B$240))^(1/Inputs!$B$241)-1,IF(AND(Inputs!$B$244&lt;&gt;"",Y$2=Inputs!$B$244),-Inputs!$B$245,IF(AND(Inputs!$B$244&lt;&gt;"",Y$2&gt;Inputs!$B$244,Y$2&lt;=Inputs!$B$244+Inputs!$B$246),(1/(1-Inputs!$B$245))^(1/Inputs!$B$246)-1,IF(AND(Inputs!$B$249&lt;&gt;"",Y$2=Inputs!$B$249),-Inputs!$B$250,IF(AND(Inputs!$B$249&lt;&gt;"",Y$2&gt;Inputs!$B$249,Y$2&lt;=Inputs!$B$249+Inputs!$B$251),(1/(1-Inputs!$B$250))^(1/Inputs!$B$251)-1,stinc))))))))))+Y60*(SQRT(MAX(1+IF(AND(Inputs!$B$229&lt;&gt;"",Y$2=Inputs!$B$229),-Inputs!$B$230,IF(AND(Inputs!$B$229&lt;&gt;"",Y$2&gt;Inputs!$B$229,Y$2&lt;=Inputs!$B$229+Inputs!$B$231),(1/(1-Inputs!$B$230))^(1/Inputs!$B$231)-1,IF(AND(Inputs!$B$234&lt;&gt;"",Y$2=Inputs!$B$234),-Inputs!$B$235,IF(AND(Inputs!$B$234&lt;&gt;"",Y$2&gt;Inputs!$B$234,Y$2&lt;=Inputs!$B$234+Inputs!$B$236),(1/(1-Inputs!$B$235))^(1/Inputs!$B$236)-1,IF(AND(Inputs!$B$239&lt;&gt;"",Y$2=Inputs!$B$239),-Inputs!$B$240,IF(AND(Inputs!$B$239&lt;&gt;"",Y$2&gt;Inputs!$B$239,Y$2&lt;=Inputs!$B$239+Inputs!$B$241),(1/(1-Inputs!$B$240))^(1/Inputs!$B$241)-1,IF(AND(Inputs!$B$244&lt;&gt;"",Y$2=Inputs!$B$244),-Inputs!$B$245,IF(AND(Inputs!$B$244&lt;&gt;"",Y$2&gt;Inputs!$B$244,Y$2&lt;=Inputs!$B$244+Inputs!$B$246),(1/(1-Inputs!$B$245))^(1/Inputs!$B$246)-1,IF(AND(Inputs!$B$249&lt;&gt;"",Y$2=Inputs!$B$249),-Inputs!$B$250,IF(AND(Inputs!$B$249&lt;&gt;"",Y$2&gt;Inputs!$B$249,Y$2&lt;=Inputs!$B$249+Inputs!$B$251),(1/(1-Inputs!$B$250))^(1/Inputs!$B$251)-1,stinc)))))))))),0))-1)</f>
        <v>0</v>
      </c>
      <c r="Z107" s="7">
        <f ca="1">(SUM(Z105:Z106)-Z60)*IF(AND(Inputs!$B$229&lt;&gt;"",Z$2=Inputs!$B$229),-Inputs!$B$230,IF(AND(Inputs!$B$229&lt;&gt;"",Z$2&gt;Inputs!$B$229,Z$2&lt;=Inputs!$B$229+Inputs!$B$231),(1/(1-Inputs!$B$230))^(1/Inputs!$B$231)-1,IF(AND(Inputs!$B$234&lt;&gt;"",Z$2=Inputs!$B$234),-Inputs!$B$235,IF(AND(Inputs!$B$234&lt;&gt;"",Z$2&gt;Inputs!$B$234,Z$2&lt;=Inputs!$B$234+Inputs!$B$236),(1/(1-Inputs!$B$235))^(1/Inputs!$B$236)-1,IF(AND(Inputs!$B$239&lt;&gt;"",Z$2=Inputs!$B$239),-Inputs!$B$240,IF(AND(Inputs!$B$239&lt;&gt;"",Z$2&gt;Inputs!$B$239,Z$2&lt;=Inputs!$B$239+Inputs!$B$241),(1/(1-Inputs!$B$240))^(1/Inputs!$B$241)-1,IF(AND(Inputs!$B$244&lt;&gt;"",Z$2=Inputs!$B$244),-Inputs!$B$245,IF(AND(Inputs!$B$244&lt;&gt;"",Z$2&gt;Inputs!$B$244,Z$2&lt;=Inputs!$B$244+Inputs!$B$246),(1/(1-Inputs!$B$245))^(1/Inputs!$B$246)-1,IF(AND(Inputs!$B$249&lt;&gt;"",Z$2=Inputs!$B$249),-Inputs!$B$250,IF(AND(Inputs!$B$249&lt;&gt;"",Z$2&gt;Inputs!$B$249,Z$2&lt;=Inputs!$B$249+Inputs!$B$251),(1/(1-Inputs!$B$250))^(1/Inputs!$B$251)-1,stinc))))))))))+Z60*(SQRT(MAX(1+IF(AND(Inputs!$B$229&lt;&gt;"",Z$2=Inputs!$B$229),-Inputs!$B$230,IF(AND(Inputs!$B$229&lt;&gt;"",Z$2&gt;Inputs!$B$229,Z$2&lt;=Inputs!$B$229+Inputs!$B$231),(1/(1-Inputs!$B$230))^(1/Inputs!$B$231)-1,IF(AND(Inputs!$B$234&lt;&gt;"",Z$2=Inputs!$B$234),-Inputs!$B$235,IF(AND(Inputs!$B$234&lt;&gt;"",Z$2&gt;Inputs!$B$234,Z$2&lt;=Inputs!$B$234+Inputs!$B$236),(1/(1-Inputs!$B$235))^(1/Inputs!$B$236)-1,IF(AND(Inputs!$B$239&lt;&gt;"",Z$2=Inputs!$B$239),-Inputs!$B$240,IF(AND(Inputs!$B$239&lt;&gt;"",Z$2&gt;Inputs!$B$239,Z$2&lt;=Inputs!$B$239+Inputs!$B$241),(1/(1-Inputs!$B$240))^(1/Inputs!$B$241)-1,IF(AND(Inputs!$B$244&lt;&gt;"",Z$2=Inputs!$B$244),-Inputs!$B$245,IF(AND(Inputs!$B$244&lt;&gt;"",Z$2&gt;Inputs!$B$244,Z$2&lt;=Inputs!$B$244+Inputs!$B$246),(1/(1-Inputs!$B$245))^(1/Inputs!$B$246)-1,IF(AND(Inputs!$B$249&lt;&gt;"",Z$2=Inputs!$B$249),-Inputs!$B$250,IF(AND(Inputs!$B$249&lt;&gt;"",Z$2&gt;Inputs!$B$249,Z$2&lt;=Inputs!$B$249+Inputs!$B$251),(1/(1-Inputs!$B$250))^(1/Inputs!$B$251)-1,stinc)))))))))),0))-1)</f>
        <v>0</v>
      </c>
      <c r="AA107" s="7">
        <f ca="1">(SUM(AA105:AA106)-AA60)*IF(AND(Inputs!$B$229&lt;&gt;"",AA$2=Inputs!$B$229),-Inputs!$B$230,IF(AND(Inputs!$B$229&lt;&gt;"",AA$2&gt;Inputs!$B$229,AA$2&lt;=Inputs!$B$229+Inputs!$B$231),(1/(1-Inputs!$B$230))^(1/Inputs!$B$231)-1,IF(AND(Inputs!$B$234&lt;&gt;"",AA$2=Inputs!$B$234),-Inputs!$B$235,IF(AND(Inputs!$B$234&lt;&gt;"",AA$2&gt;Inputs!$B$234,AA$2&lt;=Inputs!$B$234+Inputs!$B$236),(1/(1-Inputs!$B$235))^(1/Inputs!$B$236)-1,IF(AND(Inputs!$B$239&lt;&gt;"",AA$2=Inputs!$B$239),-Inputs!$B$240,IF(AND(Inputs!$B$239&lt;&gt;"",AA$2&gt;Inputs!$B$239,AA$2&lt;=Inputs!$B$239+Inputs!$B$241),(1/(1-Inputs!$B$240))^(1/Inputs!$B$241)-1,IF(AND(Inputs!$B$244&lt;&gt;"",AA$2=Inputs!$B$244),-Inputs!$B$245,IF(AND(Inputs!$B$244&lt;&gt;"",AA$2&gt;Inputs!$B$244,AA$2&lt;=Inputs!$B$244+Inputs!$B$246),(1/(1-Inputs!$B$245))^(1/Inputs!$B$246)-1,IF(AND(Inputs!$B$249&lt;&gt;"",AA$2=Inputs!$B$249),-Inputs!$B$250,IF(AND(Inputs!$B$249&lt;&gt;"",AA$2&gt;Inputs!$B$249,AA$2&lt;=Inputs!$B$249+Inputs!$B$251),(1/(1-Inputs!$B$250))^(1/Inputs!$B$251)-1,stinc))))))))))+AA60*(SQRT(MAX(1+IF(AND(Inputs!$B$229&lt;&gt;"",AA$2=Inputs!$B$229),-Inputs!$B$230,IF(AND(Inputs!$B$229&lt;&gt;"",AA$2&gt;Inputs!$B$229,AA$2&lt;=Inputs!$B$229+Inputs!$B$231),(1/(1-Inputs!$B$230))^(1/Inputs!$B$231)-1,IF(AND(Inputs!$B$234&lt;&gt;"",AA$2=Inputs!$B$234),-Inputs!$B$235,IF(AND(Inputs!$B$234&lt;&gt;"",AA$2&gt;Inputs!$B$234,AA$2&lt;=Inputs!$B$234+Inputs!$B$236),(1/(1-Inputs!$B$235))^(1/Inputs!$B$236)-1,IF(AND(Inputs!$B$239&lt;&gt;"",AA$2=Inputs!$B$239),-Inputs!$B$240,IF(AND(Inputs!$B$239&lt;&gt;"",AA$2&gt;Inputs!$B$239,AA$2&lt;=Inputs!$B$239+Inputs!$B$241),(1/(1-Inputs!$B$240))^(1/Inputs!$B$241)-1,IF(AND(Inputs!$B$244&lt;&gt;"",AA$2=Inputs!$B$244),-Inputs!$B$245,IF(AND(Inputs!$B$244&lt;&gt;"",AA$2&gt;Inputs!$B$244,AA$2&lt;=Inputs!$B$244+Inputs!$B$246),(1/(1-Inputs!$B$245))^(1/Inputs!$B$246)-1,IF(AND(Inputs!$B$249&lt;&gt;"",AA$2=Inputs!$B$249),-Inputs!$B$250,IF(AND(Inputs!$B$249&lt;&gt;"",AA$2&gt;Inputs!$B$249,AA$2&lt;=Inputs!$B$249+Inputs!$B$251),(1/(1-Inputs!$B$250))^(1/Inputs!$B$251)-1,stinc)))))))))),0))-1)</f>
        <v>0</v>
      </c>
      <c r="AB107" s="7">
        <f ca="1">(SUM(AB105:AB106)-AB60)*IF(AND(Inputs!$B$229&lt;&gt;"",AB$2=Inputs!$B$229),-Inputs!$B$230,IF(AND(Inputs!$B$229&lt;&gt;"",AB$2&gt;Inputs!$B$229,AB$2&lt;=Inputs!$B$229+Inputs!$B$231),(1/(1-Inputs!$B$230))^(1/Inputs!$B$231)-1,IF(AND(Inputs!$B$234&lt;&gt;"",AB$2=Inputs!$B$234),-Inputs!$B$235,IF(AND(Inputs!$B$234&lt;&gt;"",AB$2&gt;Inputs!$B$234,AB$2&lt;=Inputs!$B$234+Inputs!$B$236),(1/(1-Inputs!$B$235))^(1/Inputs!$B$236)-1,IF(AND(Inputs!$B$239&lt;&gt;"",AB$2=Inputs!$B$239),-Inputs!$B$240,IF(AND(Inputs!$B$239&lt;&gt;"",AB$2&gt;Inputs!$B$239,AB$2&lt;=Inputs!$B$239+Inputs!$B$241),(1/(1-Inputs!$B$240))^(1/Inputs!$B$241)-1,IF(AND(Inputs!$B$244&lt;&gt;"",AB$2=Inputs!$B$244),-Inputs!$B$245,IF(AND(Inputs!$B$244&lt;&gt;"",AB$2&gt;Inputs!$B$244,AB$2&lt;=Inputs!$B$244+Inputs!$B$246),(1/(1-Inputs!$B$245))^(1/Inputs!$B$246)-1,IF(AND(Inputs!$B$249&lt;&gt;"",AB$2=Inputs!$B$249),-Inputs!$B$250,IF(AND(Inputs!$B$249&lt;&gt;"",AB$2&gt;Inputs!$B$249,AB$2&lt;=Inputs!$B$249+Inputs!$B$251),(1/(1-Inputs!$B$250))^(1/Inputs!$B$251)-1,stinc))))))))))+AB60*(SQRT(MAX(1+IF(AND(Inputs!$B$229&lt;&gt;"",AB$2=Inputs!$B$229),-Inputs!$B$230,IF(AND(Inputs!$B$229&lt;&gt;"",AB$2&gt;Inputs!$B$229,AB$2&lt;=Inputs!$B$229+Inputs!$B$231),(1/(1-Inputs!$B$230))^(1/Inputs!$B$231)-1,IF(AND(Inputs!$B$234&lt;&gt;"",AB$2=Inputs!$B$234),-Inputs!$B$235,IF(AND(Inputs!$B$234&lt;&gt;"",AB$2&gt;Inputs!$B$234,AB$2&lt;=Inputs!$B$234+Inputs!$B$236),(1/(1-Inputs!$B$235))^(1/Inputs!$B$236)-1,IF(AND(Inputs!$B$239&lt;&gt;"",AB$2=Inputs!$B$239),-Inputs!$B$240,IF(AND(Inputs!$B$239&lt;&gt;"",AB$2&gt;Inputs!$B$239,AB$2&lt;=Inputs!$B$239+Inputs!$B$241),(1/(1-Inputs!$B$240))^(1/Inputs!$B$241)-1,IF(AND(Inputs!$B$244&lt;&gt;"",AB$2=Inputs!$B$244),-Inputs!$B$245,IF(AND(Inputs!$B$244&lt;&gt;"",AB$2&gt;Inputs!$B$244,AB$2&lt;=Inputs!$B$244+Inputs!$B$246),(1/(1-Inputs!$B$245))^(1/Inputs!$B$246)-1,IF(AND(Inputs!$B$249&lt;&gt;"",AB$2=Inputs!$B$249),-Inputs!$B$250,IF(AND(Inputs!$B$249&lt;&gt;"",AB$2&gt;Inputs!$B$249,AB$2&lt;=Inputs!$B$249+Inputs!$B$251),(1/(1-Inputs!$B$250))^(1/Inputs!$B$251)-1,stinc)))))))))),0))-1)</f>
        <v>0</v>
      </c>
      <c r="AC107" s="7">
        <f ca="1">(SUM(AC105:AC106)-AC60)*IF(AND(Inputs!$B$229&lt;&gt;"",AC$2=Inputs!$B$229),-Inputs!$B$230,IF(AND(Inputs!$B$229&lt;&gt;"",AC$2&gt;Inputs!$B$229,AC$2&lt;=Inputs!$B$229+Inputs!$B$231),(1/(1-Inputs!$B$230))^(1/Inputs!$B$231)-1,IF(AND(Inputs!$B$234&lt;&gt;"",AC$2=Inputs!$B$234),-Inputs!$B$235,IF(AND(Inputs!$B$234&lt;&gt;"",AC$2&gt;Inputs!$B$234,AC$2&lt;=Inputs!$B$234+Inputs!$B$236),(1/(1-Inputs!$B$235))^(1/Inputs!$B$236)-1,IF(AND(Inputs!$B$239&lt;&gt;"",AC$2=Inputs!$B$239),-Inputs!$B$240,IF(AND(Inputs!$B$239&lt;&gt;"",AC$2&gt;Inputs!$B$239,AC$2&lt;=Inputs!$B$239+Inputs!$B$241),(1/(1-Inputs!$B$240))^(1/Inputs!$B$241)-1,IF(AND(Inputs!$B$244&lt;&gt;"",AC$2=Inputs!$B$244),-Inputs!$B$245,IF(AND(Inputs!$B$244&lt;&gt;"",AC$2&gt;Inputs!$B$244,AC$2&lt;=Inputs!$B$244+Inputs!$B$246),(1/(1-Inputs!$B$245))^(1/Inputs!$B$246)-1,IF(AND(Inputs!$B$249&lt;&gt;"",AC$2=Inputs!$B$249),-Inputs!$B$250,IF(AND(Inputs!$B$249&lt;&gt;"",AC$2&gt;Inputs!$B$249,AC$2&lt;=Inputs!$B$249+Inputs!$B$251),(1/(1-Inputs!$B$250))^(1/Inputs!$B$251)-1,stinc))))))))))+AC60*(SQRT(MAX(1+IF(AND(Inputs!$B$229&lt;&gt;"",AC$2=Inputs!$B$229),-Inputs!$B$230,IF(AND(Inputs!$B$229&lt;&gt;"",AC$2&gt;Inputs!$B$229,AC$2&lt;=Inputs!$B$229+Inputs!$B$231),(1/(1-Inputs!$B$230))^(1/Inputs!$B$231)-1,IF(AND(Inputs!$B$234&lt;&gt;"",AC$2=Inputs!$B$234),-Inputs!$B$235,IF(AND(Inputs!$B$234&lt;&gt;"",AC$2&gt;Inputs!$B$234,AC$2&lt;=Inputs!$B$234+Inputs!$B$236),(1/(1-Inputs!$B$235))^(1/Inputs!$B$236)-1,IF(AND(Inputs!$B$239&lt;&gt;"",AC$2=Inputs!$B$239),-Inputs!$B$240,IF(AND(Inputs!$B$239&lt;&gt;"",AC$2&gt;Inputs!$B$239,AC$2&lt;=Inputs!$B$239+Inputs!$B$241),(1/(1-Inputs!$B$240))^(1/Inputs!$B$241)-1,IF(AND(Inputs!$B$244&lt;&gt;"",AC$2=Inputs!$B$244),-Inputs!$B$245,IF(AND(Inputs!$B$244&lt;&gt;"",AC$2&gt;Inputs!$B$244,AC$2&lt;=Inputs!$B$244+Inputs!$B$246),(1/(1-Inputs!$B$245))^(1/Inputs!$B$246)-1,IF(AND(Inputs!$B$249&lt;&gt;"",AC$2=Inputs!$B$249),-Inputs!$B$250,IF(AND(Inputs!$B$249&lt;&gt;"",AC$2&gt;Inputs!$B$249,AC$2&lt;=Inputs!$B$249+Inputs!$B$251),(1/(1-Inputs!$B$250))^(1/Inputs!$B$251)-1,stinc)))))))))),0))-1)</f>
        <v>0</v>
      </c>
      <c r="AD107" s="7">
        <f ca="1">(SUM(AD105:AD106)-AD60)*IF(AND(Inputs!$B$229&lt;&gt;"",AD$2=Inputs!$B$229),-Inputs!$B$230,IF(AND(Inputs!$B$229&lt;&gt;"",AD$2&gt;Inputs!$B$229,AD$2&lt;=Inputs!$B$229+Inputs!$B$231),(1/(1-Inputs!$B$230))^(1/Inputs!$B$231)-1,IF(AND(Inputs!$B$234&lt;&gt;"",AD$2=Inputs!$B$234),-Inputs!$B$235,IF(AND(Inputs!$B$234&lt;&gt;"",AD$2&gt;Inputs!$B$234,AD$2&lt;=Inputs!$B$234+Inputs!$B$236),(1/(1-Inputs!$B$235))^(1/Inputs!$B$236)-1,IF(AND(Inputs!$B$239&lt;&gt;"",AD$2=Inputs!$B$239),-Inputs!$B$240,IF(AND(Inputs!$B$239&lt;&gt;"",AD$2&gt;Inputs!$B$239,AD$2&lt;=Inputs!$B$239+Inputs!$B$241),(1/(1-Inputs!$B$240))^(1/Inputs!$B$241)-1,IF(AND(Inputs!$B$244&lt;&gt;"",AD$2=Inputs!$B$244),-Inputs!$B$245,IF(AND(Inputs!$B$244&lt;&gt;"",AD$2&gt;Inputs!$B$244,AD$2&lt;=Inputs!$B$244+Inputs!$B$246),(1/(1-Inputs!$B$245))^(1/Inputs!$B$246)-1,IF(AND(Inputs!$B$249&lt;&gt;"",AD$2=Inputs!$B$249),-Inputs!$B$250,IF(AND(Inputs!$B$249&lt;&gt;"",AD$2&gt;Inputs!$B$249,AD$2&lt;=Inputs!$B$249+Inputs!$B$251),(1/(1-Inputs!$B$250))^(1/Inputs!$B$251)-1,stinc))))))))))+AD60*(SQRT(MAX(1+IF(AND(Inputs!$B$229&lt;&gt;"",AD$2=Inputs!$B$229),-Inputs!$B$230,IF(AND(Inputs!$B$229&lt;&gt;"",AD$2&gt;Inputs!$B$229,AD$2&lt;=Inputs!$B$229+Inputs!$B$231),(1/(1-Inputs!$B$230))^(1/Inputs!$B$231)-1,IF(AND(Inputs!$B$234&lt;&gt;"",AD$2=Inputs!$B$234),-Inputs!$B$235,IF(AND(Inputs!$B$234&lt;&gt;"",AD$2&gt;Inputs!$B$234,AD$2&lt;=Inputs!$B$234+Inputs!$B$236),(1/(1-Inputs!$B$235))^(1/Inputs!$B$236)-1,IF(AND(Inputs!$B$239&lt;&gt;"",AD$2=Inputs!$B$239),-Inputs!$B$240,IF(AND(Inputs!$B$239&lt;&gt;"",AD$2&gt;Inputs!$B$239,AD$2&lt;=Inputs!$B$239+Inputs!$B$241),(1/(1-Inputs!$B$240))^(1/Inputs!$B$241)-1,IF(AND(Inputs!$B$244&lt;&gt;"",AD$2=Inputs!$B$244),-Inputs!$B$245,IF(AND(Inputs!$B$244&lt;&gt;"",AD$2&gt;Inputs!$B$244,AD$2&lt;=Inputs!$B$244+Inputs!$B$246),(1/(1-Inputs!$B$245))^(1/Inputs!$B$246)-1,IF(AND(Inputs!$B$249&lt;&gt;"",AD$2=Inputs!$B$249),-Inputs!$B$250,IF(AND(Inputs!$B$249&lt;&gt;"",AD$2&gt;Inputs!$B$249,AD$2&lt;=Inputs!$B$249+Inputs!$B$251),(1/(1-Inputs!$B$250))^(1/Inputs!$B$251)-1,stinc)))))))))),0))-1)</f>
        <v>0</v>
      </c>
      <c r="AE107" s="7">
        <f ca="1">(SUM(AE105:AE106)-AE60)*IF(AND(Inputs!$B$229&lt;&gt;"",AE$2=Inputs!$B$229),-Inputs!$B$230,IF(AND(Inputs!$B$229&lt;&gt;"",AE$2&gt;Inputs!$B$229,AE$2&lt;=Inputs!$B$229+Inputs!$B$231),(1/(1-Inputs!$B$230))^(1/Inputs!$B$231)-1,IF(AND(Inputs!$B$234&lt;&gt;"",AE$2=Inputs!$B$234),-Inputs!$B$235,IF(AND(Inputs!$B$234&lt;&gt;"",AE$2&gt;Inputs!$B$234,AE$2&lt;=Inputs!$B$234+Inputs!$B$236),(1/(1-Inputs!$B$235))^(1/Inputs!$B$236)-1,IF(AND(Inputs!$B$239&lt;&gt;"",AE$2=Inputs!$B$239),-Inputs!$B$240,IF(AND(Inputs!$B$239&lt;&gt;"",AE$2&gt;Inputs!$B$239,AE$2&lt;=Inputs!$B$239+Inputs!$B$241),(1/(1-Inputs!$B$240))^(1/Inputs!$B$241)-1,IF(AND(Inputs!$B$244&lt;&gt;"",AE$2=Inputs!$B$244),-Inputs!$B$245,IF(AND(Inputs!$B$244&lt;&gt;"",AE$2&gt;Inputs!$B$244,AE$2&lt;=Inputs!$B$244+Inputs!$B$246),(1/(1-Inputs!$B$245))^(1/Inputs!$B$246)-1,IF(AND(Inputs!$B$249&lt;&gt;"",AE$2=Inputs!$B$249),-Inputs!$B$250,IF(AND(Inputs!$B$249&lt;&gt;"",AE$2&gt;Inputs!$B$249,AE$2&lt;=Inputs!$B$249+Inputs!$B$251),(1/(1-Inputs!$B$250))^(1/Inputs!$B$251)-1,stinc))))))))))+AE60*(SQRT(MAX(1+IF(AND(Inputs!$B$229&lt;&gt;"",AE$2=Inputs!$B$229),-Inputs!$B$230,IF(AND(Inputs!$B$229&lt;&gt;"",AE$2&gt;Inputs!$B$229,AE$2&lt;=Inputs!$B$229+Inputs!$B$231),(1/(1-Inputs!$B$230))^(1/Inputs!$B$231)-1,IF(AND(Inputs!$B$234&lt;&gt;"",AE$2=Inputs!$B$234),-Inputs!$B$235,IF(AND(Inputs!$B$234&lt;&gt;"",AE$2&gt;Inputs!$B$234,AE$2&lt;=Inputs!$B$234+Inputs!$B$236),(1/(1-Inputs!$B$235))^(1/Inputs!$B$236)-1,IF(AND(Inputs!$B$239&lt;&gt;"",AE$2=Inputs!$B$239),-Inputs!$B$240,IF(AND(Inputs!$B$239&lt;&gt;"",AE$2&gt;Inputs!$B$239,AE$2&lt;=Inputs!$B$239+Inputs!$B$241),(1/(1-Inputs!$B$240))^(1/Inputs!$B$241)-1,IF(AND(Inputs!$B$244&lt;&gt;"",AE$2=Inputs!$B$244),-Inputs!$B$245,IF(AND(Inputs!$B$244&lt;&gt;"",AE$2&gt;Inputs!$B$244,AE$2&lt;=Inputs!$B$244+Inputs!$B$246),(1/(1-Inputs!$B$245))^(1/Inputs!$B$246)-1,IF(AND(Inputs!$B$249&lt;&gt;"",AE$2=Inputs!$B$249),-Inputs!$B$250,IF(AND(Inputs!$B$249&lt;&gt;"",AE$2&gt;Inputs!$B$249,AE$2&lt;=Inputs!$B$249+Inputs!$B$251),(1/(1-Inputs!$B$250))^(1/Inputs!$B$251)-1,stinc)))))))))),0))-1)</f>
        <v>0</v>
      </c>
      <c r="AF107" s="7">
        <f ca="1">(SUM(AF105:AF106)-AF60)*IF(AND(Inputs!$B$229&lt;&gt;"",AF$2=Inputs!$B$229),-Inputs!$B$230,IF(AND(Inputs!$B$229&lt;&gt;"",AF$2&gt;Inputs!$B$229,AF$2&lt;=Inputs!$B$229+Inputs!$B$231),(1/(1-Inputs!$B$230))^(1/Inputs!$B$231)-1,IF(AND(Inputs!$B$234&lt;&gt;"",AF$2=Inputs!$B$234),-Inputs!$B$235,IF(AND(Inputs!$B$234&lt;&gt;"",AF$2&gt;Inputs!$B$234,AF$2&lt;=Inputs!$B$234+Inputs!$B$236),(1/(1-Inputs!$B$235))^(1/Inputs!$B$236)-1,IF(AND(Inputs!$B$239&lt;&gt;"",AF$2=Inputs!$B$239),-Inputs!$B$240,IF(AND(Inputs!$B$239&lt;&gt;"",AF$2&gt;Inputs!$B$239,AF$2&lt;=Inputs!$B$239+Inputs!$B$241),(1/(1-Inputs!$B$240))^(1/Inputs!$B$241)-1,IF(AND(Inputs!$B$244&lt;&gt;"",AF$2=Inputs!$B$244),-Inputs!$B$245,IF(AND(Inputs!$B$244&lt;&gt;"",AF$2&gt;Inputs!$B$244,AF$2&lt;=Inputs!$B$244+Inputs!$B$246),(1/(1-Inputs!$B$245))^(1/Inputs!$B$246)-1,IF(AND(Inputs!$B$249&lt;&gt;"",AF$2=Inputs!$B$249),-Inputs!$B$250,IF(AND(Inputs!$B$249&lt;&gt;"",AF$2&gt;Inputs!$B$249,AF$2&lt;=Inputs!$B$249+Inputs!$B$251),(1/(1-Inputs!$B$250))^(1/Inputs!$B$251)-1,stinc))))))))))+AF60*(SQRT(MAX(1+IF(AND(Inputs!$B$229&lt;&gt;"",AF$2=Inputs!$B$229),-Inputs!$B$230,IF(AND(Inputs!$B$229&lt;&gt;"",AF$2&gt;Inputs!$B$229,AF$2&lt;=Inputs!$B$229+Inputs!$B$231),(1/(1-Inputs!$B$230))^(1/Inputs!$B$231)-1,IF(AND(Inputs!$B$234&lt;&gt;"",AF$2=Inputs!$B$234),-Inputs!$B$235,IF(AND(Inputs!$B$234&lt;&gt;"",AF$2&gt;Inputs!$B$234,AF$2&lt;=Inputs!$B$234+Inputs!$B$236),(1/(1-Inputs!$B$235))^(1/Inputs!$B$236)-1,IF(AND(Inputs!$B$239&lt;&gt;"",AF$2=Inputs!$B$239),-Inputs!$B$240,IF(AND(Inputs!$B$239&lt;&gt;"",AF$2&gt;Inputs!$B$239,AF$2&lt;=Inputs!$B$239+Inputs!$B$241),(1/(1-Inputs!$B$240))^(1/Inputs!$B$241)-1,IF(AND(Inputs!$B$244&lt;&gt;"",AF$2=Inputs!$B$244),-Inputs!$B$245,IF(AND(Inputs!$B$244&lt;&gt;"",AF$2&gt;Inputs!$B$244,AF$2&lt;=Inputs!$B$244+Inputs!$B$246),(1/(1-Inputs!$B$245))^(1/Inputs!$B$246)-1,IF(AND(Inputs!$B$249&lt;&gt;"",AF$2=Inputs!$B$249),-Inputs!$B$250,IF(AND(Inputs!$B$249&lt;&gt;"",AF$2&gt;Inputs!$B$249,AF$2&lt;=Inputs!$B$249+Inputs!$B$251),(1/(1-Inputs!$B$250))^(1/Inputs!$B$251)-1,stinc)))))))))),0))-1)</f>
        <v>0</v>
      </c>
      <c r="AG107" s="7">
        <f ca="1">(SUM(AG105:AG106)-AG60)*IF(AND(Inputs!$B$229&lt;&gt;"",AG$2=Inputs!$B$229),-Inputs!$B$230,IF(AND(Inputs!$B$229&lt;&gt;"",AG$2&gt;Inputs!$B$229,AG$2&lt;=Inputs!$B$229+Inputs!$B$231),(1/(1-Inputs!$B$230))^(1/Inputs!$B$231)-1,IF(AND(Inputs!$B$234&lt;&gt;"",AG$2=Inputs!$B$234),-Inputs!$B$235,IF(AND(Inputs!$B$234&lt;&gt;"",AG$2&gt;Inputs!$B$234,AG$2&lt;=Inputs!$B$234+Inputs!$B$236),(1/(1-Inputs!$B$235))^(1/Inputs!$B$236)-1,IF(AND(Inputs!$B$239&lt;&gt;"",AG$2=Inputs!$B$239),-Inputs!$B$240,IF(AND(Inputs!$B$239&lt;&gt;"",AG$2&gt;Inputs!$B$239,AG$2&lt;=Inputs!$B$239+Inputs!$B$241),(1/(1-Inputs!$B$240))^(1/Inputs!$B$241)-1,IF(AND(Inputs!$B$244&lt;&gt;"",AG$2=Inputs!$B$244),-Inputs!$B$245,IF(AND(Inputs!$B$244&lt;&gt;"",AG$2&gt;Inputs!$B$244,AG$2&lt;=Inputs!$B$244+Inputs!$B$246),(1/(1-Inputs!$B$245))^(1/Inputs!$B$246)-1,IF(AND(Inputs!$B$249&lt;&gt;"",AG$2=Inputs!$B$249),-Inputs!$B$250,IF(AND(Inputs!$B$249&lt;&gt;"",AG$2&gt;Inputs!$B$249,AG$2&lt;=Inputs!$B$249+Inputs!$B$251),(1/(1-Inputs!$B$250))^(1/Inputs!$B$251)-1,stinc))))))))))+AG60*(SQRT(MAX(1+IF(AND(Inputs!$B$229&lt;&gt;"",AG$2=Inputs!$B$229),-Inputs!$B$230,IF(AND(Inputs!$B$229&lt;&gt;"",AG$2&gt;Inputs!$B$229,AG$2&lt;=Inputs!$B$229+Inputs!$B$231),(1/(1-Inputs!$B$230))^(1/Inputs!$B$231)-1,IF(AND(Inputs!$B$234&lt;&gt;"",AG$2=Inputs!$B$234),-Inputs!$B$235,IF(AND(Inputs!$B$234&lt;&gt;"",AG$2&gt;Inputs!$B$234,AG$2&lt;=Inputs!$B$234+Inputs!$B$236),(1/(1-Inputs!$B$235))^(1/Inputs!$B$236)-1,IF(AND(Inputs!$B$239&lt;&gt;"",AG$2=Inputs!$B$239),-Inputs!$B$240,IF(AND(Inputs!$B$239&lt;&gt;"",AG$2&gt;Inputs!$B$239,AG$2&lt;=Inputs!$B$239+Inputs!$B$241),(1/(1-Inputs!$B$240))^(1/Inputs!$B$241)-1,IF(AND(Inputs!$B$244&lt;&gt;"",AG$2=Inputs!$B$244),-Inputs!$B$245,IF(AND(Inputs!$B$244&lt;&gt;"",AG$2&gt;Inputs!$B$244,AG$2&lt;=Inputs!$B$244+Inputs!$B$246),(1/(1-Inputs!$B$245))^(1/Inputs!$B$246)-1,IF(AND(Inputs!$B$249&lt;&gt;"",AG$2=Inputs!$B$249),-Inputs!$B$250,IF(AND(Inputs!$B$249&lt;&gt;"",AG$2&gt;Inputs!$B$249,AG$2&lt;=Inputs!$B$249+Inputs!$B$251),(1/(1-Inputs!$B$250))^(1/Inputs!$B$251)-1,stinc)))))))))),0))-1)</f>
        <v>0</v>
      </c>
      <c r="AH107" s="7">
        <f ca="1">(SUM(AH105:AH106)-AH60)*IF(AND(Inputs!$B$229&lt;&gt;"",AH$2=Inputs!$B$229),-Inputs!$B$230,IF(AND(Inputs!$B$229&lt;&gt;"",AH$2&gt;Inputs!$B$229,AH$2&lt;=Inputs!$B$229+Inputs!$B$231),(1/(1-Inputs!$B$230))^(1/Inputs!$B$231)-1,IF(AND(Inputs!$B$234&lt;&gt;"",AH$2=Inputs!$B$234),-Inputs!$B$235,IF(AND(Inputs!$B$234&lt;&gt;"",AH$2&gt;Inputs!$B$234,AH$2&lt;=Inputs!$B$234+Inputs!$B$236),(1/(1-Inputs!$B$235))^(1/Inputs!$B$236)-1,IF(AND(Inputs!$B$239&lt;&gt;"",AH$2=Inputs!$B$239),-Inputs!$B$240,IF(AND(Inputs!$B$239&lt;&gt;"",AH$2&gt;Inputs!$B$239,AH$2&lt;=Inputs!$B$239+Inputs!$B$241),(1/(1-Inputs!$B$240))^(1/Inputs!$B$241)-1,IF(AND(Inputs!$B$244&lt;&gt;"",AH$2=Inputs!$B$244),-Inputs!$B$245,IF(AND(Inputs!$B$244&lt;&gt;"",AH$2&gt;Inputs!$B$244,AH$2&lt;=Inputs!$B$244+Inputs!$B$246),(1/(1-Inputs!$B$245))^(1/Inputs!$B$246)-1,IF(AND(Inputs!$B$249&lt;&gt;"",AH$2=Inputs!$B$249),-Inputs!$B$250,IF(AND(Inputs!$B$249&lt;&gt;"",AH$2&gt;Inputs!$B$249,AH$2&lt;=Inputs!$B$249+Inputs!$B$251),(1/(1-Inputs!$B$250))^(1/Inputs!$B$251)-1,stinc))))))))))+AH60*(SQRT(MAX(1+IF(AND(Inputs!$B$229&lt;&gt;"",AH$2=Inputs!$B$229),-Inputs!$B$230,IF(AND(Inputs!$B$229&lt;&gt;"",AH$2&gt;Inputs!$B$229,AH$2&lt;=Inputs!$B$229+Inputs!$B$231),(1/(1-Inputs!$B$230))^(1/Inputs!$B$231)-1,IF(AND(Inputs!$B$234&lt;&gt;"",AH$2=Inputs!$B$234),-Inputs!$B$235,IF(AND(Inputs!$B$234&lt;&gt;"",AH$2&gt;Inputs!$B$234,AH$2&lt;=Inputs!$B$234+Inputs!$B$236),(1/(1-Inputs!$B$235))^(1/Inputs!$B$236)-1,IF(AND(Inputs!$B$239&lt;&gt;"",AH$2=Inputs!$B$239),-Inputs!$B$240,IF(AND(Inputs!$B$239&lt;&gt;"",AH$2&gt;Inputs!$B$239,AH$2&lt;=Inputs!$B$239+Inputs!$B$241),(1/(1-Inputs!$B$240))^(1/Inputs!$B$241)-1,IF(AND(Inputs!$B$244&lt;&gt;"",AH$2=Inputs!$B$244),-Inputs!$B$245,IF(AND(Inputs!$B$244&lt;&gt;"",AH$2&gt;Inputs!$B$244,AH$2&lt;=Inputs!$B$244+Inputs!$B$246),(1/(1-Inputs!$B$245))^(1/Inputs!$B$246)-1,IF(AND(Inputs!$B$249&lt;&gt;"",AH$2=Inputs!$B$249),-Inputs!$B$250,IF(AND(Inputs!$B$249&lt;&gt;"",AH$2&gt;Inputs!$B$249,AH$2&lt;=Inputs!$B$249+Inputs!$B$251),(1/(1-Inputs!$B$250))^(1/Inputs!$B$251)-1,stinc)))))))))),0))-1)</f>
        <v>0</v>
      </c>
      <c r="AI107" s="7">
        <f ca="1">(SUM(AI105:AI106)-AI60)*IF(AND(Inputs!$B$229&lt;&gt;"",AI$2=Inputs!$B$229),-Inputs!$B$230,IF(AND(Inputs!$B$229&lt;&gt;"",AI$2&gt;Inputs!$B$229,AI$2&lt;=Inputs!$B$229+Inputs!$B$231),(1/(1-Inputs!$B$230))^(1/Inputs!$B$231)-1,IF(AND(Inputs!$B$234&lt;&gt;"",AI$2=Inputs!$B$234),-Inputs!$B$235,IF(AND(Inputs!$B$234&lt;&gt;"",AI$2&gt;Inputs!$B$234,AI$2&lt;=Inputs!$B$234+Inputs!$B$236),(1/(1-Inputs!$B$235))^(1/Inputs!$B$236)-1,IF(AND(Inputs!$B$239&lt;&gt;"",AI$2=Inputs!$B$239),-Inputs!$B$240,IF(AND(Inputs!$B$239&lt;&gt;"",AI$2&gt;Inputs!$B$239,AI$2&lt;=Inputs!$B$239+Inputs!$B$241),(1/(1-Inputs!$B$240))^(1/Inputs!$B$241)-1,IF(AND(Inputs!$B$244&lt;&gt;"",AI$2=Inputs!$B$244),-Inputs!$B$245,IF(AND(Inputs!$B$244&lt;&gt;"",AI$2&gt;Inputs!$B$244,AI$2&lt;=Inputs!$B$244+Inputs!$B$246),(1/(1-Inputs!$B$245))^(1/Inputs!$B$246)-1,IF(AND(Inputs!$B$249&lt;&gt;"",AI$2=Inputs!$B$249),-Inputs!$B$250,IF(AND(Inputs!$B$249&lt;&gt;"",AI$2&gt;Inputs!$B$249,AI$2&lt;=Inputs!$B$249+Inputs!$B$251),(1/(1-Inputs!$B$250))^(1/Inputs!$B$251)-1,stinc))))))))))+AI60*(SQRT(MAX(1+IF(AND(Inputs!$B$229&lt;&gt;"",AI$2=Inputs!$B$229),-Inputs!$B$230,IF(AND(Inputs!$B$229&lt;&gt;"",AI$2&gt;Inputs!$B$229,AI$2&lt;=Inputs!$B$229+Inputs!$B$231),(1/(1-Inputs!$B$230))^(1/Inputs!$B$231)-1,IF(AND(Inputs!$B$234&lt;&gt;"",AI$2=Inputs!$B$234),-Inputs!$B$235,IF(AND(Inputs!$B$234&lt;&gt;"",AI$2&gt;Inputs!$B$234,AI$2&lt;=Inputs!$B$234+Inputs!$B$236),(1/(1-Inputs!$B$235))^(1/Inputs!$B$236)-1,IF(AND(Inputs!$B$239&lt;&gt;"",AI$2=Inputs!$B$239),-Inputs!$B$240,IF(AND(Inputs!$B$239&lt;&gt;"",AI$2&gt;Inputs!$B$239,AI$2&lt;=Inputs!$B$239+Inputs!$B$241),(1/(1-Inputs!$B$240))^(1/Inputs!$B$241)-1,IF(AND(Inputs!$B$244&lt;&gt;"",AI$2=Inputs!$B$244),-Inputs!$B$245,IF(AND(Inputs!$B$244&lt;&gt;"",AI$2&gt;Inputs!$B$244,AI$2&lt;=Inputs!$B$244+Inputs!$B$246),(1/(1-Inputs!$B$245))^(1/Inputs!$B$246)-1,IF(AND(Inputs!$B$249&lt;&gt;"",AI$2=Inputs!$B$249),-Inputs!$B$250,IF(AND(Inputs!$B$249&lt;&gt;"",AI$2&gt;Inputs!$B$249,AI$2&lt;=Inputs!$B$249+Inputs!$B$251),(1/(1-Inputs!$B$250))^(1/Inputs!$B$251)-1,stinc)))))))))),0))-1)</f>
        <v>0</v>
      </c>
      <c r="AJ107" s="7">
        <f ca="1">(SUM(AJ105:AJ106)-AJ60)*IF(AND(Inputs!$B$229&lt;&gt;"",AJ$2=Inputs!$B$229),-Inputs!$B$230,IF(AND(Inputs!$B$229&lt;&gt;"",AJ$2&gt;Inputs!$B$229,AJ$2&lt;=Inputs!$B$229+Inputs!$B$231),(1/(1-Inputs!$B$230))^(1/Inputs!$B$231)-1,IF(AND(Inputs!$B$234&lt;&gt;"",AJ$2=Inputs!$B$234),-Inputs!$B$235,IF(AND(Inputs!$B$234&lt;&gt;"",AJ$2&gt;Inputs!$B$234,AJ$2&lt;=Inputs!$B$234+Inputs!$B$236),(1/(1-Inputs!$B$235))^(1/Inputs!$B$236)-1,IF(AND(Inputs!$B$239&lt;&gt;"",AJ$2=Inputs!$B$239),-Inputs!$B$240,IF(AND(Inputs!$B$239&lt;&gt;"",AJ$2&gt;Inputs!$B$239,AJ$2&lt;=Inputs!$B$239+Inputs!$B$241),(1/(1-Inputs!$B$240))^(1/Inputs!$B$241)-1,IF(AND(Inputs!$B$244&lt;&gt;"",AJ$2=Inputs!$B$244),-Inputs!$B$245,IF(AND(Inputs!$B$244&lt;&gt;"",AJ$2&gt;Inputs!$B$244,AJ$2&lt;=Inputs!$B$244+Inputs!$B$246),(1/(1-Inputs!$B$245))^(1/Inputs!$B$246)-1,IF(AND(Inputs!$B$249&lt;&gt;"",AJ$2=Inputs!$B$249),-Inputs!$B$250,IF(AND(Inputs!$B$249&lt;&gt;"",AJ$2&gt;Inputs!$B$249,AJ$2&lt;=Inputs!$B$249+Inputs!$B$251),(1/(1-Inputs!$B$250))^(1/Inputs!$B$251)-1,stinc))))))))))+AJ60*(SQRT(MAX(1+IF(AND(Inputs!$B$229&lt;&gt;"",AJ$2=Inputs!$B$229),-Inputs!$B$230,IF(AND(Inputs!$B$229&lt;&gt;"",AJ$2&gt;Inputs!$B$229,AJ$2&lt;=Inputs!$B$229+Inputs!$B$231),(1/(1-Inputs!$B$230))^(1/Inputs!$B$231)-1,IF(AND(Inputs!$B$234&lt;&gt;"",AJ$2=Inputs!$B$234),-Inputs!$B$235,IF(AND(Inputs!$B$234&lt;&gt;"",AJ$2&gt;Inputs!$B$234,AJ$2&lt;=Inputs!$B$234+Inputs!$B$236),(1/(1-Inputs!$B$235))^(1/Inputs!$B$236)-1,IF(AND(Inputs!$B$239&lt;&gt;"",AJ$2=Inputs!$B$239),-Inputs!$B$240,IF(AND(Inputs!$B$239&lt;&gt;"",AJ$2&gt;Inputs!$B$239,AJ$2&lt;=Inputs!$B$239+Inputs!$B$241),(1/(1-Inputs!$B$240))^(1/Inputs!$B$241)-1,IF(AND(Inputs!$B$244&lt;&gt;"",AJ$2=Inputs!$B$244),-Inputs!$B$245,IF(AND(Inputs!$B$244&lt;&gt;"",AJ$2&gt;Inputs!$B$244,AJ$2&lt;=Inputs!$B$244+Inputs!$B$246),(1/(1-Inputs!$B$245))^(1/Inputs!$B$246)-1,IF(AND(Inputs!$B$249&lt;&gt;"",AJ$2=Inputs!$B$249),-Inputs!$B$250,IF(AND(Inputs!$B$249&lt;&gt;"",AJ$2&gt;Inputs!$B$249,AJ$2&lt;=Inputs!$B$249+Inputs!$B$251),(1/(1-Inputs!$B$250))^(1/Inputs!$B$251)-1,stinc)))))))))),0))-1)</f>
        <v>0</v>
      </c>
      <c r="AK107" s="7">
        <f ca="1">(SUM(AK105:AK106)-AK60)*IF(AND(Inputs!$B$229&lt;&gt;"",AK$2=Inputs!$B$229),-Inputs!$B$230,IF(AND(Inputs!$B$229&lt;&gt;"",AK$2&gt;Inputs!$B$229,AK$2&lt;=Inputs!$B$229+Inputs!$B$231),(1/(1-Inputs!$B$230))^(1/Inputs!$B$231)-1,IF(AND(Inputs!$B$234&lt;&gt;"",AK$2=Inputs!$B$234),-Inputs!$B$235,IF(AND(Inputs!$B$234&lt;&gt;"",AK$2&gt;Inputs!$B$234,AK$2&lt;=Inputs!$B$234+Inputs!$B$236),(1/(1-Inputs!$B$235))^(1/Inputs!$B$236)-1,IF(AND(Inputs!$B$239&lt;&gt;"",AK$2=Inputs!$B$239),-Inputs!$B$240,IF(AND(Inputs!$B$239&lt;&gt;"",AK$2&gt;Inputs!$B$239,AK$2&lt;=Inputs!$B$239+Inputs!$B$241),(1/(1-Inputs!$B$240))^(1/Inputs!$B$241)-1,IF(AND(Inputs!$B$244&lt;&gt;"",AK$2=Inputs!$B$244),-Inputs!$B$245,IF(AND(Inputs!$B$244&lt;&gt;"",AK$2&gt;Inputs!$B$244,AK$2&lt;=Inputs!$B$244+Inputs!$B$246),(1/(1-Inputs!$B$245))^(1/Inputs!$B$246)-1,IF(AND(Inputs!$B$249&lt;&gt;"",AK$2=Inputs!$B$249),-Inputs!$B$250,IF(AND(Inputs!$B$249&lt;&gt;"",AK$2&gt;Inputs!$B$249,AK$2&lt;=Inputs!$B$249+Inputs!$B$251),(1/(1-Inputs!$B$250))^(1/Inputs!$B$251)-1,stinc))))))))))+AK60*(SQRT(MAX(1+IF(AND(Inputs!$B$229&lt;&gt;"",AK$2=Inputs!$B$229),-Inputs!$B$230,IF(AND(Inputs!$B$229&lt;&gt;"",AK$2&gt;Inputs!$B$229,AK$2&lt;=Inputs!$B$229+Inputs!$B$231),(1/(1-Inputs!$B$230))^(1/Inputs!$B$231)-1,IF(AND(Inputs!$B$234&lt;&gt;"",AK$2=Inputs!$B$234),-Inputs!$B$235,IF(AND(Inputs!$B$234&lt;&gt;"",AK$2&gt;Inputs!$B$234,AK$2&lt;=Inputs!$B$234+Inputs!$B$236),(1/(1-Inputs!$B$235))^(1/Inputs!$B$236)-1,IF(AND(Inputs!$B$239&lt;&gt;"",AK$2=Inputs!$B$239),-Inputs!$B$240,IF(AND(Inputs!$B$239&lt;&gt;"",AK$2&gt;Inputs!$B$239,AK$2&lt;=Inputs!$B$239+Inputs!$B$241),(1/(1-Inputs!$B$240))^(1/Inputs!$B$241)-1,IF(AND(Inputs!$B$244&lt;&gt;"",AK$2=Inputs!$B$244),-Inputs!$B$245,IF(AND(Inputs!$B$244&lt;&gt;"",AK$2&gt;Inputs!$B$244,AK$2&lt;=Inputs!$B$244+Inputs!$B$246),(1/(1-Inputs!$B$245))^(1/Inputs!$B$246)-1,IF(AND(Inputs!$B$249&lt;&gt;"",AK$2=Inputs!$B$249),-Inputs!$B$250,IF(AND(Inputs!$B$249&lt;&gt;"",AK$2&gt;Inputs!$B$249,AK$2&lt;=Inputs!$B$249+Inputs!$B$251),(1/(1-Inputs!$B$250))^(1/Inputs!$B$251)-1,stinc)))))))))),0))-1)</f>
        <v>0</v>
      </c>
      <c r="AL107" s="7">
        <f ca="1">(SUM(AL105:AL106)-AL60)*IF(AND(Inputs!$B$229&lt;&gt;"",AL$2=Inputs!$B$229),-Inputs!$B$230,IF(AND(Inputs!$B$229&lt;&gt;"",AL$2&gt;Inputs!$B$229,AL$2&lt;=Inputs!$B$229+Inputs!$B$231),(1/(1-Inputs!$B$230))^(1/Inputs!$B$231)-1,IF(AND(Inputs!$B$234&lt;&gt;"",AL$2=Inputs!$B$234),-Inputs!$B$235,IF(AND(Inputs!$B$234&lt;&gt;"",AL$2&gt;Inputs!$B$234,AL$2&lt;=Inputs!$B$234+Inputs!$B$236),(1/(1-Inputs!$B$235))^(1/Inputs!$B$236)-1,IF(AND(Inputs!$B$239&lt;&gt;"",AL$2=Inputs!$B$239),-Inputs!$B$240,IF(AND(Inputs!$B$239&lt;&gt;"",AL$2&gt;Inputs!$B$239,AL$2&lt;=Inputs!$B$239+Inputs!$B$241),(1/(1-Inputs!$B$240))^(1/Inputs!$B$241)-1,IF(AND(Inputs!$B$244&lt;&gt;"",AL$2=Inputs!$B$244),-Inputs!$B$245,IF(AND(Inputs!$B$244&lt;&gt;"",AL$2&gt;Inputs!$B$244,AL$2&lt;=Inputs!$B$244+Inputs!$B$246),(1/(1-Inputs!$B$245))^(1/Inputs!$B$246)-1,IF(AND(Inputs!$B$249&lt;&gt;"",AL$2=Inputs!$B$249),-Inputs!$B$250,IF(AND(Inputs!$B$249&lt;&gt;"",AL$2&gt;Inputs!$B$249,AL$2&lt;=Inputs!$B$249+Inputs!$B$251),(1/(1-Inputs!$B$250))^(1/Inputs!$B$251)-1,stinc))))))))))+AL60*(SQRT(MAX(1+IF(AND(Inputs!$B$229&lt;&gt;"",AL$2=Inputs!$B$229),-Inputs!$B$230,IF(AND(Inputs!$B$229&lt;&gt;"",AL$2&gt;Inputs!$B$229,AL$2&lt;=Inputs!$B$229+Inputs!$B$231),(1/(1-Inputs!$B$230))^(1/Inputs!$B$231)-1,IF(AND(Inputs!$B$234&lt;&gt;"",AL$2=Inputs!$B$234),-Inputs!$B$235,IF(AND(Inputs!$B$234&lt;&gt;"",AL$2&gt;Inputs!$B$234,AL$2&lt;=Inputs!$B$234+Inputs!$B$236),(1/(1-Inputs!$B$235))^(1/Inputs!$B$236)-1,IF(AND(Inputs!$B$239&lt;&gt;"",AL$2=Inputs!$B$239),-Inputs!$B$240,IF(AND(Inputs!$B$239&lt;&gt;"",AL$2&gt;Inputs!$B$239,AL$2&lt;=Inputs!$B$239+Inputs!$B$241),(1/(1-Inputs!$B$240))^(1/Inputs!$B$241)-1,IF(AND(Inputs!$B$244&lt;&gt;"",AL$2=Inputs!$B$244),-Inputs!$B$245,IF(AND(Inputs!$B$244&lt;&gt;"",AL$2&gt;Inputs!$B$244,AL$2&lt;=Inputs!$B$244+Inputs!$B$246),(1/(1-Inputs!$B$245))^(1/Inputs!$B$246)-1,IF(AND(Inputs!$B$249&lt;&gt;"",AL$2=Inputs!$B$249),-Inputs!$B$250,IF(AND(Inputs!$B$249&lt;&gt;"",AL$2&gt;Inputs!$B$249,AL$2&lt;=Inputs!$B$249+Inputs!$B$251),(1/(1-Inputs!$B$250))^(1/Inputs!$B$251)-1,stinc)))))))))),0))-1)</f>
        <v>0</v>
      </c>
      <c r="AM107" s="7">
        <f ca="1">(SUM(AM105:AM106)-AM60)*IF(AND(Inputs!$B$229&lt;&gt;"",AM$2=Inputs!$B$229),-Inputs!$B$230,IF(AND(Inputs!$B$229&lt;&gt;"",AM$2&gt;Inputs!$B$229,AM$2&lt;=Inputs!$B$229+Inputs!$B$231),(1/(1-Inputs!$B$230))^(1/Inputs!$B$231)-1,IF(AND(Inputs!$B$234&lt;&gt;"",AM$2=Inputs!$B$234),-Inputs!$B$235,IF(AND(Inputs!$B$234&lt;&gt;"",AM$2&gt;Inputs!$B$234,AM$2&lt;=Inputs!$B$234+Inputs!$B$236),(1/(1-Inputs!$B$235))^(1/Inputs!$B$236)-1,IF(AND(Inputs!$B$239&lt;&gt;"",AM$2=Inputs!$B$239),-Inputs!$B$240,IF(AND(Inputs!$B$239&lt;&gt;"",AM$2&gt;Inputs!$B$239,AM$2&lt;=Inputs!$B$239+Inputs!$B$241),(1/(1-Inputs!$B$240))^(1/Inputs!$B$241)-1,IF(AND(Inputs!$B$244&lt;&gt;"",AM$2=Inputs!$B$244),-Inputs!$B$245,IF(AND(Inputs!$B$244&lt;&gt;"",AM$2&gt;Inputs!$B$244,AM$2&lt;=Inputs!$B$244+Inputs!$B$246),(1/(1-Inputs!$B$245))^(1/Inputs!$B$246)-1,IF(AND(Inputs!$B$249&lt;&gt;"",AM$2=Inputs!$B$249),-Inputs!$B$250,IF(AND(Inputs!$B$249&lt;&gt;"",AM$2&gt;Inputs!$B$249,AM$2&lt;=Inputs!$B$249+Inputs!$B$251),(1/(1-Inputs!$B$250))^(1/Inputs!$B$251)-1,stinc))))))))))+AM60*(SQRT(MAX(1+IF(AND(Inputs!$B$229&lt;&gt;"",AM$2=Inputs!$B$229),-Inputs!$B$230,IF(AND(Inputs!$B$229&lt;&gt;"",AM$2&gt;Inputs!$B$229,AM$2&lt;=Inputs!$B$229+Inputs!$B$231),(1/(1-Inputs!$B$230))^(1/Inputs!$B$231)-1,IF(AND(Inputs!$B$234&lt;&gt;"",AM$2=Inputs!$B$234),-Inputs!$B$235,IF(AND(Inputs!$B$234&lt;&gt;"",AM$2&gt;Inputs!$B$234,AM$2&lt;=Inputs!$B$234+Inputs!$B$236),(1/(1-Inputs!$B$235))^(1/Inputs!$B$236)-1,IF(AND(Inputs!$B$239&lt;&gt;"",AM$2=Inputs!$B$239),-Inputs!$B$240,IF(AND(Inputs!$B$239&lt;&gt;"",AM$2&gt;Inputs!$B$239,AM$2&lt;=Inputs!$B$239+Inputs!$B$241),(1/(1-Inputs!$B$240))^(1/Inputs!$B$241)-1,IF(AND(Inputs!$B$244&lt;&gt;"",AM$2=Inputs!$B$244),-Inputs!$B$245,IF(AND(Inputs!$B$244&lt;&gt;"",AM$2&gt;Inputs!$B$244,AM$2&lt;=Inputs!$B$244+Inputs!$B$246),(1/(1-Inputs!$B$245))^(1/Inputs!$B$246)-1,IF(AND(Inputs!$B$249&lt;&gt;"",AM$2=Inputs!$B$249),-Inputs!$B$250,IF(AND(Inputs!$B$249&lt;&gt;"",AM$2&gt;Inputs!$B$249,AM$2&lt;=Inputs!$B$249+Inputs!$B$251),(1/(1-Inputs!$B$250))^(1/Inputs!$B$251)-1,stinc)))))))))),0))-1)</f>
        <v>0</v>
      </c>
    </row>
    <row r="108" spans="1:44" x14ac:dyDescent="0.2">
      <c r="A108" s="3" t="s">
        <v>24</v>
      </c>
      <c r="C108" s="7">
        <f ca="1">SUM(C105:C107)</f>
        <v>35024.809122913313</v>
      </c>
      <c r="D108" s="101">
        <f ca="1">SUM(D105:D107)</f>
        <v>0</v>
      </c>
      <c r="E108" s="110">
        <f t="shared" ref="E108:AM108" ca="1" si="52">SUM(E105:E107)</f>
        <v>0</v>
      </c>
      <c r="F108" s="7">
        <f t="shared" ca="1" si="52"/>
        <v>0</v>
      </c>
      <c r="G108" s="7">
        <f t="shared" ca="1" si="52"/>
        <v>0</v>
      </c>
      <c r="H108" s="7">
        <f t="shared" ca="1" si="52"/>
        <v>0</v>
      </c>
      <c r="I108" s="7">
        <f t="shared" ca="1" si="52"/>
        <v>0</v>
      </c>
      <c r="J108" s="7">
        <f t="shared" ca="1" si="52"/>
        <v>0</v>
      </c>
      <c r="K108" s="7">
        <f t="shared" ca="1" si="52"/>
        <v>0</v>
      </c>
      <c r="L108" s="7">
        <f t="shared" ca="1" si="52"/>
        <v>0</v>
      </c>
      <c r="M108" s="7">
        <f t="shared" ca="1" si="52"/>
        <v>0</v>
      </c>
      <c r="N108" s="7">
        <f t="shared" ca="1" si="52"/>
        <v>0</v>
      </c>
      <c r="O108" s="7">
        <f t="shared" ca="1" si="52"/>
        <v>0</v>
      </c>
      <c r="P108" s="7">
        <f t="shared" ca="1" si="52"/>
        <v>0</v>
      </c>
      <c r="Q108" s="7">
        <f t="shared" ca="1" si="52"/>
        <v>0</v>
      </c>
      <c r="R108" s="7">
        <f t="shared" ca="1" si="52"/>
        <v>0</v>
      </c>
      <c r="S108" s="7">
        <f t="shared" ca="1" si="52"/>
        <v>0</v>
      </c>
      <c r="T108" s="7">
        <f t="shared" ca="1" si="52"/>
        <v>0</v>
      </c>
      <c r="U108" s="7">
        <f t="shared" ca="1" si="52"/>
        <v>0</v>
      </c>
      <c r="V108" s="7">
        <f t="shared" ca="1" si="52"/>
        <v>0</v>
      </c>
      <c r="W108" s="7">
        <f t="shared" ca="1" si="52"/>
        <v>0</v>
      </c>
      <c r="X108" s="7">
        <f t="shared" ca="1" si="52"/>
        <v>0</v>
      </c>
      <c r="Y108" s="7">
        <f t="shared" ca="1" si="52"/>
        <v>0</v>
      </c>
      <c r="Z108" s="7">
        <f t="shared" ca="1" si="52"/>
        <v>0</v>
      </c>
      <c r="AA108" s="7">
        <f t="shared" ca="1" si="52"/>
        <v>0</v>
      </c>
      <c r="AB108" s="7">
        <f t="shared" ca="1" si="52"/>
        <v>0</v>
      </c>
      <c r="AC108" s="7">
        <f t="shared" ca="1" si="52"/>
        <v>0</v>
      </c>
      <c r="AD108" s="7">
        <f t="shared" ca="1" si="52"/>
        <v>0</v>
      </c>
      <c r="AE108" s="7">
        <f t="shared" ca="1" si="52"/>
        <v>0</v>
      </c>
      <c r="AF108" s="7">
        <f t="shared" ca="1" si="52"/>
        <v>0</v>
      </c>
      <c r="AG108" s="7">
        <f t="shared" ca="1" si="52"/>
        <v>0</v>
      </c>
      <c r="AH108" s="7">
        <f t="shared" ca="1" si="52"/>
        <v>0</v>
      </c>
      <c r="AI108" s="7">
        <f t="shared" ca="1" si="52"/>
        <v>0</v>
      </c>
      <c r="AJ108" s="7">
        <f t="shared" ca="1" si="52"/>
        <v>0</v>
      </c>
      <c r="AK108" s="7">
        <f t="shared" ca="1" si="52"/>
        <v>0</v>
      </c>
      <c r="AL108" s="7">
        <f t="shared" ca="1" si="52"/>
        <v>0</v>
      </c>
      <c r="AM108" s="7">
        <f t="shared" ca="1" si="52"/>
        <v>0</v>
      </c>
    </row>
    <row r="109" spans="1:44" x14ac:dyDescent="0.2">
      <c r="A109" s="3" t="s">
        <v>25</v>
      </c>
      <c r="C109" s="7">
        <f ca="1">C106*Inputs!$B$284</f>
        <v>0</v>
      </c>
      <c r="D109" s="101">
        <f ca="1">D106*Inputs!$B$284</f>
        <v>-1751.2404561456658</v>
      </c>
      <c r="E109" s="110">
        <f ca="1">E106*Inputs!$B$284</f>
        <v>0</v>
      </c>
      <c r="F109" s="7">
        <f ca="1">F106*Inputs!$B$284</f>
        <v>0</v>
      </c>
      <c r="G109" s="7">
        <f ca="1">G106*Inputs!$B$284</f>
        <v>0</v>
      </c>
      <c r="H109" s="7">
        <f ca="1">H106*Inputs!$B$284</f>
        <v>0</v>
      </c>
      <c r="I109" s="7">
        <f ca="1">I106*Inputs!$B$284</f>
        <v>0</v>
      </c>
      <c r="J109" s="7">
        <f ca="1">J106*Inputs!$B$284</f>
        <v>0</v>
      </c>
      <c r="K109" s="7">
        <f ca="1">K106*Inputs!$B$284</f>
        <v>0</v>
      </c>
      <c r="L109" s="7">
        <f ca="1">L106*Inputs!$B$284</f>
        <v>0</v>
      </c>
      <c r="M109" s="7">
        <f ca="1">M106*Inputs!$B$284</f>
        <v>0</v>
      </c>
      <c r="N109" s="7">
        <f ca="1">N106*Inputs!$B$284</f>
        <v>0</v>
      </c>
      <c r="O109" s="7">
        <f ca="1">O106*Inputs!$B$284</f>
        <v>0</v>
      </c>
      <c r="P109" s="7">
        <f ca="1">P106*Inputs!$B$284</f>
        <v>0</v>
      </c>
      <c r="Q109" s="7">
        <f ca="1">Q106*Inputs!$B$284</f>
        <v>0</v>
      </c>
      <c r="R109" s="7">
        <f ca="1">R106*Inputs!$B$284</f>
        <v>0</v>
      </c>
      <c r="S109" s="7">
        <f ca="1">S106*Inputs!$B$284</f>
        <v>0</v>
      </c>
      <c r="T109" s="7">
        <f ca="1">T106*Inputs!$B$284</f>
        <v>0</v>
      </c>
      <c r="U109" s="7">
        <f ca="1">U106*Inputs!$B$284</f>
        <v>0</v>
      </c>
      <c r="V109" s="7">
        <f ca="1">V106*Inputs!$B$284</f>
        <v>0</v>
      </c>
      <c r="W109" s="7">
        <f ca="1">W106*Inputs!$B$284</f>
        <v>0</v>
      </c>
      <c r="X109" s="7">
        <f ca="1">X106*Inputs!$B$284</f>
        <v>0</v>
      </c>
      <c r="Y109" s="7">
        <f ca="1">Y106*Inputs!$B$284</f>
        <v>0</v>
      </c>
      <c r="Z109" s="7">
        <f ca="1">Z106*Inputs!$B$284</f>
        <v>0</v>
      </c>
      <c r="AA109" s="7">
        <f ca="1">AA106*Inputs!$B$284</f>
        <v>0</v>
      </c>
      <c r="AB109" s="7">
        <f ca="1">AB106*Inputs!$B$284</f>
        <v>0</v>
      </c>
      <c r="AC109" s="7">
        <f ca="1">AC106*Inputs!$B$284</f>
        <v>0</v>
      </c>
      <c r="AD109" s="7">
        <f ca="1">AD106*Inputs!$B$284</f>
        <v>0</v>
      </c>
      <c r="AE109" s="7">
        <f ca="1">AE106*Inputs!$B$284</f>
        <v>0</v>
      </c>
      <c r="AF109" s="7">
        <f ca="1">AF106*Inputs!$B$284</f>
        <v>0</v>
      </c>
      <c r="AG109" s="7">
        <f ca="1">AG106*Inputs!$B$284</f>
        <v>0</v>
      </c>
      <c r="AH109" s="7">
        <f ca="1">AH106*Inputs!$B$284</f>
        <v>0</v>
      </c>
      <c r="AI109" s="7">
        <f ca="1">AI106*Inputs!$B$284</f>
        <v>0</v>
      </c>
      <c r="AJ109" s="7">
        <f ca="1">AJ106*Inputs!$B$284</f>
        <v>0</v>
      </c>
      <c r="AK109" s="7">
        <f ca="1">AK106*Inputs!$B$284</f>
        <v>0</v>
      </c>
      <c r="AL109" s="7">
        <f ca="1">AL106*Inputs!$B$284</f>
        <v>0</v>
      </c>
      <c r="AM109" s="7">
        <f ca="1">AM106*Inputs!$B$284</f>
        <v>0</v>
      </c>
    </row>
    <row r="110" spans="1:44" x14ac:dyDescent="0.2">
      <c r="A110" s="3" t="s">
        <v>36</v>
      </c>
      <c r="C110" s="7">
        <f ca="1">-C106+C109</f>
        <v>0</v>
      </c>
      <c r="D110" s="101">
        <f t="shared" ref="D110:AM110" ca="1" si="53">-D106+D109</f>
        <v>33273.568666767649</v>
      </c>
      <c r="E110" s="110">
        <f t="shared" ca="1" si="53"/>
        <v>0</v>
      </c>
      <c r="F110" s="7">
        <f t="shared" ca="1" si="53"/>
        <v>0</v>
      </c>
      <c r="G110" s="7">
        <f t="shared" ca="1" si="53"/>
        <v>0</v>
      </c>
      <c r="H110" s="7">
        <f t="shared" ca="1" si="53"/>
        <v>0</v>
      </c>
      <c r="I110" s="7">
        <f t="shared" ca="1" si="53"/>
        <v>0</v>
      </c>
      <c r="J110" s="7">
        <f t="shared" ca="1" si="53"/>
        <v>0</v>
      </c>
      <c r="K110" s="7">
        <f t="shared" ca="1" si="53"/>
        <v>0</v>
      </c>
      <c r="L110" s="7">
        <f t="shared" ca="1" si="53"/>
        <v>0</v>
      </c>
      <c r="M110" s="7">
        <f t="shared" ca="1" si="53"/>
        <v>0</v>
      </c>
      <c r="N110" s="7">
        <f t="shared" ca="1" si="53"/>
        <v>0</v>
      </c>
      <c r="O110" s="7">
        <f t="shared" ca="1" si="53"/>
        <v>0</v>
      </c>
      <c r="P110" s="7">
        <f t="shared" ca="1" si="53"/>
        <v>0</v>
      </c>
      <c r="Q110" s="7">
        <f t="shared" ca="1" si="53"/>
        <v>0</v>
      </c>
      <c r="R110" s="7">
        <f t="shared" ca="1" si="53"/>
        <v>0</v>
      </c>
      <c r="S110" s="7">
        <f t="shared" ca="1" si="53"/>
        <v>0</v>
      </c>
      <c r="T110" s="7">
        <f t="shared" ca="1" si="53"/>
        <v>0</v>
      </c>
      <c r="U110" s="7">
        <f t="shared" ca="1" si="53"/>
        <v>0</v>
      </c>
      <c r="V110" s="7">
        <f t="shared" ca="1" si="53"/>
        <v>0</v>
      </c>
      <c r="W110" s="7">
        <f t="shared" ca="1" si="53"/>
        <v>0</v>
      </c>
      <c r="X110" s="7">
        <f t="shared" ca="1" si="53"/>
        <v>0</v>
      </c>
      <c r="Y110" s="7">
        <f t="shared" ca="1" si="53"/>
        <v>0</v>
      </c>
      <c r="Z110" s="7">
        <f t="shared" ca="1" si="53"/>
        <v>0</v>
      </c>
      <c r="AA110" s="7">
        <f t="shared" ca="1" si="53"/>
        <v>0</v>
      </c>
      <c r="AB110" s="7">
        <f t="shared" ca="1" si="53"/>
        <v>0</v>
      </c>
      <c r="AC110" s="7">
        <f t="shared" ca="1" si="53"/>
        <v>0</v>
      </c>
      <c r="AD110" s="7">
        <f t="shared" ca="1" si="53"/>
        <v>0</v>
      </c>
      <c r="AE110" s="7">
        <f t="shared" ca="1" si="53"/>
        <v>0</v>
      </c>
      <c r="AF110" s="7">
        <f t="shared" ca="1" si="53"/>
        <v>0</v>
      </c>
      <c r="AG110" s="7">
        <f t="shared" ca="1" si="53"/>
        <v>0</v>
      </c>
      <c r="AH110" s="7">
        <f t="shared" ca="1" si="53"/>
        <v>0</v>
      </c>
      <c r="AI110" s="7">
        <f t="shared" ca="1" si="53"/>
        <v>0</v>
      </c>
      <c r="AJ110" s="7">
        <f t="shared" ca="1" si="53"/>
        <v>0</v>
      </c>
      <c r="AK110" s="7">
        <f t="shared" ca="1" si="53"/>
        <v>0</v>
      </c>
      <c r="AL110" s="7">
        <f t="shared" ca="1" si="53"/>
        <v>0</v>
      </c>
      <c r="AM110" s="7">
        <f t="shared" ca="1" si="53"/>
        <v>0</v>
      </c>
    </row>
    <row r="111" spans="1:44" x14ac:dyDescent="0.2">
      <c r="A111" s="4"/>
      <c r="C111" s="7"/>
      <c r="D111" s="101"/>
      <c r="E111" s="110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  <c r="AG111" s="7"/>
      <c r="AH111" s="7"/>
      <c r="AI111" s="7"/>
      <c r="AJ111" s="7"/>
      <c r="AK111" s="7"/>
      <c r="AL111" s="7"/>
      <c r="AM111" s="7"/>
    </row>
    <row r="112" spans="1:44" x14ac:dyDescent="0.2">
      <c r="A112" s="3" t="s">
        <v>70</v>
      </c>
      <c r="C112" s="7">
        <f ca="1">C99+SUM($C110:C110)</f>
        <v>12919.0625</v>
      </c>
      <c r="D112" s="101">
        <f ca="1">D99+SUM($C110:D110)</f>
        <v>-23413.395395732354</v>
      </c>
      <c r="E112" s="110">
        <f ca="1">E99+SUM($C110:E110)</f>
        <v>-90352.357895732348</v>
      </c>
      <c r="F112" s="7">
        <f ca="1">F99+SUM($C110:F110)</f>
        <v>-178211.11725135994</v>
      </c>
      <c r="G112" s="7">
        <f ca="1">G99+SUM($C110:G110)</f>
        <v>-74995.840324008052</v>
      </c>
      <c r="H112" s="7">
        <f ca="1">H99+SUM($C110:H110)</f>
        <v>-129199.1971837976</v>
      </c>
      <c r="I112" s="7">
        <f ca="1">I99+SUM($C110:I110)</f>
        <v>-167347.44681927</v>
      </c>
      <c r="J112" s="7">
        <f ca="1">J99+SUM($C110:J110)</f>
        <v>-205520.64527849757</v>
      </c>
      <c r="K112" s="7">
        <f ca="1">K99+SUM($C110:K110)</f>
        <v>-261506.85427610719</v>
      </c>
      <c r="L112" s="7">
        <f ca="1">L99+SUM($C110:L110)</f>
        <v>-235994.99776799048</v>
      </c>
      <c r="M112" s="7">
        <f ca="1">M99+SUM($C110:M110)</f>
        <v>-304252.87126179133</v>
      </c>
      <c r="N112" s="7">
        <f ca="1">N99+SUM($C110:N110)</f>
        <v>-324148.7516099537</v>
      </c>
      <c r="O112" s="7">
        <f ca="1">O99+SUM($C110:O110)</f>
        <v>-344326.60757068871</v>
      </c>
      <c r="P112" s="7">
        <f ca="1">P99+SUM($C110:P110)</f>
        <v>-364787.02589242649</v>
      </c>
      <c r="Q112" s="7">
        <f ca="1">Q99+SUM($C110:Q110)</f>
        <v>-385530.41411305196</v>
      </c>
      <c r="R112" s="7">
        <f ca="1">R99+SUM($C110:R110)</f>
        <v>-406556.99026326241</v>
      </c>
      <c r="S112" s="7">
        <f ca="1">S99+SUM($C110:S110)</f>
        <v>-427866.77213801967</v>
      </c>
      <c r="T112" s="7">
        <f ca="1">T99+SUM($C110:T110)</f>
        <v>-432417.44159487786</v>
      </c>
      <c r="U112" s="7">
        <f ca="1">U99+SUM($C110:U110)</f>
        <v>-429026.35978685261</v>
      </c>
      <c r="V112" s="7">
        <f ca="1">V99+SUM($C110:V110)</f>
        <v>-425285.55978847132</v>
      </c>
      <c r="W112" s="7">
        <f ca="1">W99+SUM($C110:W110)</f>
        <v>-421178.35041062033</v>
      </c>
      <c r="X112" s="7">
        <f ca="1">X99+SUM($C110:X110)</f>
        <v>-416687.3847374277</v>
      </c>
      <c r="Y112" s="7">
        <f ca="1">Y99+SUM($C110:Y110)</f>
        <v>-432453.49335064413</v>
      </c>
      <c r="Z112" s="7">
        <f ca="1">Z99+SUM($C110:Z110)</f>
        <v>-448315.56108618702</v>
      </c>
      <c r="AA112" s="7">
        <f ca="1">AA99+SUM($C110:AA110)</f>
        <v>-464267.04111432424</v>
      </c>
      <c r="AB112" s="7">
        <f ca="1">AB99+SUM($C110:AB110)</f>
        <v>-480300.95456034713</v>
      </c>
      <c r="AC112" s="7">
        <f ca="1">AC99+SUM($C110:AC110)</f>
        <v>-496409.87165221805</v>
      </c>
      <c r="AD112" s="7">
        <f ca="1">AD99+SUM($C110:AD110)</f>
        <v>-512585.89215537428</v>
      </c>
      <c r="AE112" s="7">
        <f ca="1">AE99+SUM($C110:AE110)</f>
        <v>-518838.1499758315</v>
      </c>
      <c r="AF112" s="7">
        <f ca="1">AF99+SUM($C110:AF110)</f>
        <v>-524890.65549726353</v>
      </c>
      <c r="AG112" s="7">
        <f ca="1">AG99+SUM($C110:AG110)</f>
        <v>-530727.73314985866</v>
      </c>
      <c r="AH112" s="7">
        <f ca="1">AH99+SUM($C110:AH110)</f>
        <v>-536332.9950216898</v>
      </c>
      <c r="AI112" s="7">
        <f ca="1">AI99+SUM($C110:AI110)</f>
        <v>-541689.31343657535</v>
      </c>
      <c r="AJ112" s="7">
        <f ca="1">AJ99+SUM($C110:AJ110)</f>
        <v>-546778.79255797958</v>
      </c>
      <c r="AK112" s="7">
        <f ca="1">AK99+SUM($C110:AK110)</f>
        <v>-551582.73898594989</v>
      </c>
      <c r="AL112" s="7">
        <f ca="1">AL99+SUM($C110:AL110)</f>
        <v>-556081.63131300628</v>
      </c>
      <c r="AM112" s="7">
        <f ca="1">AM99+SUM($C110:AM110)</f>
        <v>-560255.08860377746</v>
      </c>
    </row>
    <row r="113" spans="1:39" x14ac:dyDescent="0.2">
      <c r="A113" s="3" t="s">
        <v>19</v>
      </c>
      <c r="C113" s="7">
        <f ca="1">IF(C112&lt;0,-C112,0)</f>
        <v>0</v>
      </c>
      <c r="D113" s="101">
        <f ca="1">IF(D112+SUM($C113:C113)&lt;0,-(D112+SUM($C113:C113)),0)</f>
        <v>23413.395395732354</v>
      </c>
      <c r="E113" s="110">
        <f ca="1">IF(E112+SUM($C113:D113)&lt;0,-(E112+SUM($C113:D113)),0)</f>
        <v>66938.962499999994</v>
      </c>
      <c r="F113" s="7">
        <f ca="1">IF(F112+SUM($C113:E113)&lt;0,-(F112+SUM($C113:E113)),0)</f>
        <v>87858.759355627597</v>
      </c>
      <c r="G113" s="7">
        <f ca="1">IF(G112+SUM($C113:F113)&lt;0,-(G112+SUM($C113:F113)),0)</f>
        <v>0</v>
      </c>
      <c r="H113" s="7">
        <f ca="1">IF(H112+SUM($C113:G113)&lt;0,-(H112+SUM($C113:G113)),0)</f>
        <v>0</v>
      </c>
      <c r="I113" s="7">
        <f ca="1">IF(I112+SUM($C113:H113)&lt;0,-(I112+SUM($C113:H113)),0)</f>
        <v>0</v>
      </c>
      <c r="J113" s="7">
        <f ca="1">IF(J112+SUM($C113:I113)&lt;0,-(J112+SUM($C113:I113)),0)</f>
        <v>27309.528027137625</v>
      </c>
      <c r="K113" s="7">
        <f ca="1">IF(K112+SUM($C113:J113)&lt;0,-(K112+SUM($C113:J113)),0)</f>
        <v>55986.208997609618</v>
      </c>
      <c r="L113" s="7">
        <f ca="1">IF(L112+SUM($C113:K113)&lt;0,-(L112+SUM($C113:K113)),0)</f>
        <v>0</v>
      </c>
      <c r="M113" s="7">
        <f ca="1">IF(M112+SUM($C113:L113)&lt;0,-(M112+SUM($C113:L113)),0)</f>
        <v>42746.016985684138</v>
      </c>
      <c r="N113" s="7">
        <f ca="1">IF(N112+SUM($C113:M113)&lt;0,-(N112+SUM($C113:M113)),0)</f>
        <v>19895.880348162376</v>
      </c>
      <c r="O113" s="7">
        <f ca="1">IF(O112+SUM($C113:N113)&lt;0,-(O112+SUM($C113:N113)),0)</f>
        <v>20177.855960735003</v>
      </c>
      <c r="P113" s="7">
        <f ca="1">IF(P112+SUM($C113:O113)&lt;0,-(P112+SUM($C113:O113)),0)</f>
        <v>20460.418321737787</v>
      </c>
      <c r="Q113" s="7">
        <f ca="1">IF(Q112+SUM($C113:P113)&lt;0,-(Q112+SUM($C113:P113)),0)</f>
        <v>20743.388220625464</v>
      </c>
      <c r="R113" s="7">
        <f ca="1">IF(R112+SUM($C113:Q113)&lt;0,-(R112+SUM($C113:Q113)),0)</f>
        <v>21026.576150210458</v>
      </c>
      <c r="S113" s="7">
        <f ca="1">IF(S112+SUM($C113:R113)&lt;0,-(S112+SUM($C113:R113)),0)</f>
        <v>21309.78187475726</v>
      </c>
      <c r="T113" s="7">
        <f ca="1">IF(T112+SUM($C113:S113)&lt;0,-(T112+SUM($C113:S113)),0)</f>
        <v>4550.6694568581879</v>
      </c>
      <c r="U113" s="7">
        <f ca="1">IF(U112+SUM($C113:T113)&lt;0,-(U112+SUM($C113:T113)),0)</f>
        <v>0</v>
      </c>
      <c r="V113" s="7">
        <f ca="1">IF(V112+SUM($C113:U113)&lt;0,-(V112+SUM($C113:U113)),0)</f>
        <v>0</v>
      </c>
      <c r="W113" s="7">
        <f ca="1">IF(W112+SUM($C113:V113)&lt;0,-(W112+SUM($C113:V113)),0)</f>
        <v>0</v>
      </c>
      <c r="X113" s="7">
        <f ca="1">IF(X112+SUM($C113:W113)&lt;0,-(X112+SUM($C113:W113)),0)</f>
        <v>0</v>
      </c>
      <c r="Y113" s="7">
        <f ca="1">IF(Y112+SUM($C113:X113)&lt;0,-(Y112+SUM($C113:X113)),0)</f>
        <v>36.051755766267888</v>
      </c>
      <c r="Z113" s="7">
        <f ca="1">IF(Z112+SUM($C113:Y113)&lt;0,-(Z112+SUM($C113:Y113)),0)</f>
        <v>15862.067735542892</v>
      </c>
      <c r="AA113" s="7">
        <f ca="1">IF(AA112+SUM($C113:Z113)&lt;0,-(AA112+SUM($C113:Z113)),0)</f>
        <v>15951.480028137215</v>
      </c>
      <c r="AB113" s="7">
        <f ca="1">IF(AB112+SUM($C113:AA113)&lt;0,-(AB112+SUM($C113:AA113)),0)</f>
        <v>16033.913446022896</v>
      </c>
      <c r="AC113" s="7">
        <f ca="1">IF(AC112+SUM($C113:AB113)&lt;0,-(AC112+SUM($C113:AB113)),0)</f>
        <v>16108.917091870913</v>
      </c>
      <c r="AD113" s="7">
        <f ca="1">IF(AD112+SUM($C113:AC113)&lt;0,-(AD112+SUM($C113:AC113)),0)</f>
        <v>16176.020503156236</v>
      </c>
      <c r="AE113" s="7">
        <f ca="1">IF(AE112+SUM($C113:AD113)&lt;0,-(AE112+SUM($C113:AD113)),0)</f>
        <v>6252.2578204572201</v>
      </c>
      <c r="AF113" s="7">
        <f ca="1">IF(AF112+SUM($C113:AE113)&lt;0,-(AF112+SUM($C113:AE113)),0)</f>
        <v>6052.5055214320309</v>
      </c>
      <c r="AG113" s="7">
        <f ca="1">IF(AG112+SUM($C113:AF113)&lt;0,-(AG112+SUM($C113:AF113)),0)</f>
        <v>5837.0776525951223</v>
      </c>
      <c r="AH113" s="7">
        <f ca="1">IF(AH112+SUM($C113:AG113)&lt;0,-(AH112+SUM($C113:AG113)),0)</f>
        <v>5605.2618718311423</v>
      </c>
      <c r="AI113" s="7">
        <f ca="1">IF(AI112+SUM($C113:AH113)&lt;0,-(AI112+SUM($C113:AH113)),0)</f>
        <v>5356.3184148855507</v>
      </c>
      <c r="AJ113" s="7">
        <f ca="1">IF(AJ112+SUM($C113:AI113)&lt;0,-(AJ112+SUM($C113:AI113)),0)</f>
        <v>5089.4791214042343</v>
      </c>
      <c r="AK113" s="7">
        <f ca="1">IF(AK112+SUM($C113:AJ113)&lt;0,-(AK112+SUM($C113:AJ113)),0)</f>
        <v>4803.9464279703097</v>
      </c>
      <c r="AL113" s="7">
        <f ca="1">IF(AL112+SUM($C113:AK113)&lt;0,-(AL112+SUM($C113:AK113)),0)</f>
        <v>4498.8923270563828</v>
      </c>
      <c r="AM113" s="7">
        <f ca="1">IF(AM112+SUM($C113:AL113)&lt;0,-(AM112+SUM($C113:AL113)),0)</f>
        <v>4173.4572907711845</v>
      </c>
    </row>
    <row r="114" spans="1:39" x14ac:dyDescent="0.2">
      <c r="A114" s="3"/>
      <c r="C114" s="7"/>
      <c r="D114" s="101"/>
      <c r="E114" s="110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  <c r="AG114" s="7"/>
      <c r="AH114" s="7"/>
      <c r="AI114" s="7"/>
      <c r="AJ114" s="7"/>
      <c r="AK114" s="7"/>
      <c r="AL114" s="7"/>
      <c r="AM114" s="7"/>
    </row>
    <row r="115" spans="1:39" x14ac:dyDescent="0.2">
      <c r="A115" s="24" t="str">
        <f>IF(Inputs!$B$290=6,IFERROR(_xlfn.XLOOKUP($B115,Inputs!$B$291:$B$300,Inputs!$A$291:$A$300,,0,1),""),IFERROR(_xlfn.XLOOKUP($B115,Inputs!$C$291:$C$300,Inputs!$A$291:$A$300,,0,1),""))</f>
        <v>Painting</v>
      </c>
      <c r="B115" s="26">
        <v>1</v>
      </c>
      <c r="C115" s="7"/>
      <c r="D115" s="101"/>
      <c r="E115" s="110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  <c r="AE115" s="7"/>
      <c r="AF115" s="7"/>
      <c r="AG115" s="7"/>
      <c r="AH115" s="7"/>
      <c r="AI115" s="7"/>
      <c r="AJ115" s="7"/>
      <c r="AK115" s="7"/>
      <c r="AL115" s="7"/>
      <c r="AM115" s="7"/>
    </row>
    <row r="116" spans="1:39" x14ac:dyDescent="0.2">
      <c r="A116" s="3" t="s">
        <v>21</v>
      </c>
      <c r="C116" s="7">
        <f ca="1">IFERROR(VLOOKUP($A115,$A$68:$H$97,C$1+2,FALSE),0)</f>
        <v>20448.333244589874</v>
      </c>
      <c r="D116" s="101">
        <f ca="1">C119</f>
        <v>0</v>
      </c>
      <c r="E116" s="110">
        <f t="shared" ref="E116:AM116" ca="1" si="54">D119</f>
        <v>0</v>
      </c>
      <c r="F116" s="7">
        <f t="shared" ca="1" si="54"/>
        <v>0</v>
      </c>
      <c r="G116" s="7">
        <f t="shared" ca="1" si="54"/>
        <v>0</v>
      </c>
      <c r="H116" s="7">
        <f t="shared" ca="1" si="54"/>
        <v>0</v>
      </c>
      <c r="I116" s="7">
        <f t="shared" ca="1" si="54"/>
        <v>0</v>
      </c>
      <c r="J116" s="7">
        <f t="shared" ca="1" si="54"/>
        <v>0</v>
      </c>
      <c r="K116" s="7">
        <f t="shared" ca="1" si="54"/>
        <v>0</v>
      </c>
      <c r="L116" s="7">
        <f t="shared" ca="1" si="54"/>
        <v>0</v>
      </c>
      <c r="M116" s="7">
        <f t="shared" ca="1" si="54"/>
        <v>0</v>
      </c>
      <c r="N116" s="7">
        <f t="shared" ca="1" si="54"/>
        <v>0</v>
      </c>
      <c r="O116" s="7">
        <f t="shared" ca="1" si="54"/>
        <v>0</v>
      </c>
      <c r="P116" s="7">
        <f t="shared" ca="1" si="54"/>
        <v>0</v>
      </c>
      <c r="Q116" s="7">
        <f t="shared" ca="1" si="54"/>
        <v>0</v>
      </c>
      <c r="R116" s="7">
        <f t="shared" ca="1" si="54"/>
        <v>0</v>
      </c>
      <c r="S116" s="7">
        <f t="shared" ca="1" si="54"/>
        <v>0</v>
      </c>
      <c r="T116" s="7">
        <f t="shared" ca="1" si="54"/>
        <v>0</v>
      </c>
      <c r="U116" s="7">
        <f t="shared" ca="1" si="54"/>
        <v>0</v>
      </c>
      <c r="V116" s="7">
        <f t="shared" ca="1" si="54"/>
        <v>0</v>
      </c>
      <c r="W116" s="7">
        <f t="shared" ca="1" si="54"/>
        <v>0</v>
      </c>
      <c r="X116" s="7">
        <f t="shared" ca="1" si="54"/>
        <v>0</v>
      </c>
      <c r="Y116" s="7">
        <f t="shared" ca="1" si="54"/>
        <v>0</v>
      </c>
      <c r="Z116" s="7">
        <f t="shared" ca="1" si="54"/>
        <v>0</v>
      </c>
      <c r="AA116" s="7">
        <f t="shared" ca="1" si="54"/>
        <v>0</v>
      </c>
      <c r="AB116" s="7">
        <f t="shared" ca="1" si="54"/>
        <v>0</v>
      </c>
      <c r="AC116" s="7">
        <f t="shared" ca="1" si="54"/>
        <v>0</v>
      </c>
      <c r="AD116" s="7">
        <f t="shared" ca="1" si="54"/>
        <v>0</v>
      </c>
      <c r="AE116" s="7">
        <f t="shared" ca="1" si="54"/>
        <v>0</v>
      </c>
      <c r="AF116" s="7">
        <f t="shared" ca="1" si="54"/>
        <v>0</v>
      </c>
      <c r="AG116" s="7">
        <f t="shared" ca="1" si="54"/>
        <v>0</v>
      </c>
      <c r="AH116" s="7">
        <f t="shared" ca="1" si="54"/>
        <v>0</v>
      </c>
      <c r="AI116" s="7">
        <f t="shared" ca="1" si="54"/>
        <v>0</v>
      </c>
      <c r="AJ116" s="7">
        <f t="shared" ca="1" si="54"/>
        <v>0</v>
      </c>
      <c r="AK116" s="7">
        <f t="shared" ca="1" si="54"/>
        <v>0</v>
      </c>
      <c r="AL116" s="7">
        <f t="shared" ca="1" si="54"/>
        <v>0</v>
      </c>
      <c r="AM116" s="7">
        <f t="shared" ca="1" si="54"/>
        <v>0</v>
      </c>
    </row>
    <row r="117" spans="1:39" x14ac:dyDescent="0.2">
      <c r="A117" s="3" t="s">
        <v>22</v>
      </c>
      <c r="C117" s="7">
        <f ca="1">-IF(D113&gt;0,C116,0)</f>
        <v>-20448.333244589874</v>
      </c>
      <c r="D117" s="101">
        <f ca="1">-IF(E113&gt;0,D116,0)</f>
        <v>0</v>
      </c>
      <c r="E117" s="110">
        <f ca="1">-IF(F113&gt;0,E116,0)</f>
        <v>0</v>
      </c>
      <c r="F117" s="7">
        <f ca="1">-IF(G113&gt;0,F116,0)</f>
        <v>0</v>
      </c>
      <c r="G117" s="7">
        <f t="shared" ref="G117:AM117" ca="1" si="55">-IF(H113&gt;0,G116,0)</f>
        <v>0</v>
      </c>
      <c r="H117" s="7">
        <f t="shared" ca="1" si="55"/>
        <v>0</v>
      </c>
      <c r="I117" s="7">
        <f t="shared" ca="1" si="55"/>
        <v>0</v>
      </c>
      <c r="J117" s="7">
        <f t="shared" ca="1" si="55"/>
        <v>0</v>
      </c>
      <c r="K117" s="7">
        <f t="shared" ca="1" si="55"/>
        <v>0</v>
      </c>
      <c r="L117" s="7">
        <f t="shared" ca="1" si="55"/>
        <v>0</v>
      </c>
      <c r="M117" s="7">
        <f t="shared" ca="1" si="55"/>
        <v>0</v>
      </c>
      <c r="N117" s="7">
        <f t="shared" ca="1" si="55"/>
        <v>0</v>
      </c>
      <c r="O117" s="7">
        <f t="shared" ca="1" si="55"/>
        <v>0</v>
      </c>
      <c r="P117" s="7">
        <f t="shared" ca="1" si="55"/>
        <v>0</v>
      </c>
      <c r="Q117" s="7">
        <f t="shared" ca="1" si="55"/>
        <v>0</v>
      </c>
      <c r="R117" s="7">
        <f t="shared" ca="1" si="55"/>
        <v>0</v>
      </c>
      <c r="S117" s="7">
        <f t="shared" ca="1" si="55"/>
        <v>0</v>
      </c>
      <c r="T117" s="7">
        <f t="shared" ca="1" si="55"/>
        <v>0</v>
      </c>
      <c r="U117" s="7">
        <f t="shared" ca="1" si="55"/>
        <v>0</v>
      </c>
      <c r="V117" s="7">
        <f t="shared" ca="1" si="55"/>
        <v>0</v>
      </c>
      <c r="W117" s="7">
        <f t="shared" ca="1" si="55"/>
        <v>0</v>
      </c>
      <c r="X117" s="7">
        <f t="shared" ca="1" si="55"/>
        <v>0</v>
      </c>
      <c r="Y117" s="7">
        <f t="shared" ca="1" si="55"/>
        <v>0</v>
      </c>
      <c r="Z117" s="7">
        <f t="shared" ca="1" si="55"/>
        <v>0</v>
      </c>
      <c r="AA117" s="7">
        <f t="shared" ca="1" si="55"/>
        <v>0</v>
      </c>
      <c r="AB117" s="7">
        <f t="shared" ca="1" si="55"/>
        <v>0</v>
      </c>
      <c r="AC117" s="7">
        <f t="shared" ca="1" si="55"/>
        <v>0</v>
      </c>
      <c r="AD117" s="7">
        <f t="shared" ca="1" si="55"/>
        <v>0</v>
      </c>
      <c r="AE117" s="7">
        <f t="shared" ca="1" si="55"/>
        <v>0</v>
      </c>
      <c r="AF117" s="7">
        <f t="shared" ca="1" si="55"/>
        <v>0</v>
      </c>
      <c r="AG117" s="7">
        <f t="shared" ca="1" si="55"/>
        <v>0</v>
      </c>
      <c r="AH117" s="7">
        <f t="shared" ca="1" si="55"/>
        <v>0</v>
      </c>
      <c r="AI117" s="7">
        <f t="shared" ca="1" si="55"/>
        <v>0</v>
      </c>
      <c r="AJ117" s="7">
        <f t="shared" ca="1" si="55"/>
        <v>0</v>
      </c>
      <c r="AK117" s="7">
        <f t="shared" ca="1" si="55"/>
        <v>0</v>
      </c>
      <c r="AL117" s="7">
        <f t="shared" ca="1" si="55"/>
        <v>0</v>
      </c>
      <c r="AM117" s="7">
        <f t="shared" si="55"/>
        <v>0</v>
      </c>
    </row>
    <row r="118" spans="1:39" x14ac:dyDescent="0.2">
      <c r="A118" s="3" t="s">
        <v>23</v>
      </c>
      <c r="C118" s="7">
        <v>0</v>
      </c>
      <c r="D118" s="101">
        <f t="shared" ref="D118:AM118" ca="1" si="56">SUM(D116:D117)*VLOOKUP($A115,AssVar,2,FALSE)</f>
        <v>0</v>
      </c>
      <c r="E118" s="110">
        <f t="shared" ca="1" si="56"/>
        <v>0</v>
      </c>
      <c r="F118" s="7">
        <f t="shared" ca="1" si="56"/>
        <v>0</v>
      </c>
      <c r="G118" s="7">
        <f t="shared" ca="1" si="56"/>
        <v>0</v>
      </c>
      <c r="H118" s="7">
        <f t="shared" ca="1" si="56"/>
        <v>0</v>
      </c>
      <c r="I118" s="7">
        <f t="shared" ca="1" si="56"/>
        <v>0</v>
      </c>
      <c r="J118" s="7">
        <f t="shared" ca="1" si="56"/>
        <v>0</v>
      </c>
      <c r="K118" s="7">
        <f t="shared" ca="1" si="56"/>
        <v>0</v>
      </c>
      <c r="L118" s="7">
        <f t="shared" ca="1" si="56"/>
        <v>0</v>
      </c>
      <c r="M118" s="7">
        <f t="shared" ca="1" si="56"/>
        <v>0</v>
      </c>
      <c r="N118" s="7">
        <f t="shared" ca="1" si="56"/>
        <v>0</v>
      </c>
      <c r="O118" s="7">
        <f t="shared" ca="1" si="56"/>
        <v>0</v>
      </c>
      <c r="P118" s="7">
        <f t="shared" ca="1" si="56"/>
        <v>0</v>
      </c>
      <c r="Q118" s="7">
        <f t="shared" ca="1" si="56"/>
        <v>0</v>
      </c>
      <c r="R118" s="7">
        <f t="shared" ca="1" si="56"/>
        <v>0</v>
      </c>
      <c r="S118" s="7">
        <f t="shared" ca="1" si="56"/>
        <v>0</v>
      </c>
      <c r="T118" s="7">
        <f t="shared" ca="1" si="56"/>
        <v>0</v>
      </c>
      <c r="U118" s="7">
        <f t="shared" ca="1" si="56"/>
        <v>0</v>
      </c>
      <c r="V118" s="7">
        <f t="shared" ca="1" si="56"/>
        <v>0</v>
      </c>
      <c r="W118" s="7">
        <f t="shared" ca="1" si="56"/>
        <v>0</v>
      </c>
      <c r="X118" s="7">
        <f t="shared" ca="1" si="56"/>
        <v>0</v>
      </c>
      <c r="Y118" s="7">
        <f t="shared" ca="1" si="56"/>
        <v>0</v>
      </c>
      <c r="Z118" s="7">
        <f t="shared" ca="1" si="56"/>
        <v>0</v>
      </c>
      <c r="AA118" s="7">
        <f t="shared" ca="1" si="56"/>
        <v>0</v>
      </c>
      <c r="AB118" s="7">
        <f t="shared" ca="1" si="56"/>
        <v>0</v>
      </c>
      <c r="AC118" s="7">
        <f t="shared" ca="1" si="56"/>
        <v>0</v>
      </c>
      <c r="AD118" s="7">
        <f t="shared" ca="1" si="56"/>
        <v>0</v>
      </c>
      <c r="AE118" s="7">
        <f t="shared" ca="1" si="56"/>
        <v>0</v>
      </c>
      <c r="AF118" s="7">
        <f t="shared" ca="1" si="56"/>
        <v>0</v>
      </c>
      <c r="AG118" s="7">
        <f t="shared" ca="1" si="56"/>
        <v>0</v>
      </c>
      <c r="AH118" s="7">
        <f t="shared" ca="1" si="56"/>
        <v>0</v>
      </c>
      <c r="AI118" s="7">
        <f t="shared" ca="1" si="56"/>
        <v>0</v>
      </c>
      <c r="AJ118" s="7">
        <f t="shared" ca="1" si="56"/>
        <v>0</v>
      </c>
      <c r="AK118" s="7">
        <f t="shared" ca="1" si="56"/>
        <v>0</v>
      </c>
      <c r="AL118" s="7">
        <f t="shared" ca="1" si="56"/>
        <v>0</v>
      </c>
      <c r="AM118" s="7">
        <f t="shared" ca="1" si="56"/>
        <v>0</v>
      </c>
    </row>
    <row r="119" spans="1:39" x14ac:dyDescent="0.2">
      <c r="A119" s="3" t="s">
        <v>24</v>
      </c>
      <c r="C119" s="7">
        <f ca="1">SUM(C116:C118)</f>
        <v>0</v>
      </c>
      <c r="D119" s="101">
        <f t="shared" ref="D119:AM119" ca="1" si="57">SUM(D116:D118)</f>
        <v>0</v>
      </c>
      <c r="E119" s="110">
        <f t="shared" ca="1" si="57"/>
        <v>0</v>
      </c>
      <c r="F119" s="7">
        <f t="shared" ca="1" si="57"/>
        <v>0</v>
      </c>
      <c r="G119" s="7">
        <f t="shared" ca="1" si="57"/>
        <v>0</v>
      </c>
      <c r="H119" s="7">
        <f t="shared" ca="1" si="57"/>
        <v>0</v>
      </c>
      <c r="I119" s="7">
        <f t="shared" ca="1" si="57"/>
        <v>0</v>
      </c>
      <c r="J119" s="7">
        <f t="shared" ca="1" si="57"/>
        <v>0</v>
      </c>
      <c r="K119" s="7">
        <f t="shared" ca="1" si="57"/>
        <v>0</v>
      </c>
      <c r="L119" s="7">
        <f t="shared" ca="1" si="57"/>
        <v>0</v>
      </c>
      <c r="M119" s="7">
        <f t="shared" ca="1" si="57"/>
        <v>0</v>
      </c>
      <c r="N119" s="7">
        <f t="shared" ca="1" si="57"/>
        <v>0</v>
      </c>
      <c r="O119" s="7">
        <f t="shared" ca="1" si="57"/>
        <v>0</v>
      </c>
      <c r="P119" s="7">
        <f t="shared" ca="1" si="57"/>
        <v>0</v>
      </c>
      <c r="Q119" s="7">
        <f t="shared" ca="1" si="57"/>
        <v>0</v>
      </c>
      <c r="R119" s="7">
        <f t="shared" ca="1" si="57"/>
        <v>0</v>
      </c>
      <c r="S119" s="7">
        <f t="shared" ca="1" si="57"/>
        <v>0</v>
      </c>
      <c r="T119" s="7">
        <f t="shared" ca="1" si="57"/>
        <v>0</v>
      </c>
      <c r="U119" s="7">
        <f t="shared" ca="1" si="57"/>
        <v>0</v>
      </c>
      <c r="V119" s="7">
        <f t="shared" ca="1" si="57"/>
        <v>0</v>
      </c>
      <c r="W119" s="7">
        <f t="shared" ca="1" si="57"/>
        <v>0</v>
      </c>
      <c r="X119" s="7">
        <f t="shared" ca="1" si="57"/>
        <v>0</v>
      </c>
      <c r="Y119" s="7">
        <f t="shared" ca="1" si="57"/>
        <v>0</v>
      </c>
      <c r="Z119" s="7">
        <f t="shared" ca="1" si="57"/>
        <v>0</v>
      </c>
      <c r="AA119" s="7">
        <f t="shared" ca="1" si="57"/>
        <v>0</v>
      </c>
      <c r="AB119" s="7">
        <f t="shared" ca="1" si="57"/>
        <v>0</v>
      </c>
      <c r="AC119" s="7">
        <f t="shared" ca="1" si="57"/>
        <v>0</v>
      </c>
      <c r="AD119" s="7">
        <f t="shared" ca="1" si="57"/>
        <v>0</v>
      </c>
      <c r="AE119" s="7">
        <f t="shared" ca="1" si="57"/>
        <v>0</v>
      </c>
      <c r="AF119" s="7">
        <f t="shared" ca="1" si="57"/>
        <v>0</v>
      </c>
      <c r="AG119" s="7">
        <f t="shared" ca="1" si="57"/>
        <v>0</v>
      </c>
      <c r="AH119" s="7">
        <f t="shared" ca="1" si="57"/>
        <v>0</v>
      </c>
      <c r="AI119" s="7">
        <f t="shared" ca="1" si="57"/>
        <v>0</v>
      </c>
      <c r="AJ119" s="7">
        <f t="shared" ca="1" si="57"/>
        <v>0</v>
      </c>
      <c r="AK119" s="7">
        <f t="shared" ca="1" si="57"/>
        <v>0</v>
      </c>
      <c r="AL119" s="7">
        <f t="shared" ca="1" si="57"/>
        <v>0</v>
      </c>
      <c r="AM119" s="7">
        <f t="shared" ca="1" si="57"/>
        <v>0</v>
      </c>
    </row>
    <row r="120" spans="1:39" x14ac:dyDescent="0.2">
      <c r="A120" s="3" t="s">
        <v>25</v>
      </c>
      <c r="C120" s="7">
        <f t="shared" ref="C120:AM120" ca="1" si="58">C117*VLOOKUP($A115,AssVar,3,FALSE)</f>
        <v>-408.96666489179751</v>
      </c>
      <c r="D120" s="101">
        <f t="shared" ca="1" si="58"/>
        <v>0</v>
      </c>
      <c r="E120" s="110">
        <f t="shared" ca="1" si="58"/>
        <v>0</v>
      </c>
      <c r="F120" s="7">
        <f t="shared" ca="1" si="58"/>
        <v>0</v>
      </c>
      <c r="G120" s="7">
        <f t="shared" ca="1" si="58"/>
        <v>0</v>
      </c>
      <c r="H120" s="7">
        <f t="shared" ca="1" si="58"/>
        <v>0</v>
      </c>
      <c r="I120" s="7">
        <f t="shared" ca="1" si="58"/>
        <v>0</v>
      </c>
      <c r="J120" s="7">
        <f t="shared" ca="1" si="58"/>
        <v>0</v>
      </c>
      <c r="K120" s="7">
        <f t="shared" ca="1" si="58"/>
        <v>0</v>
      </c>
      <c r="L120" s="7">
        <f t="shared" ca="1" si="58"/>
        <v>0</v>
      </c>
      <c r="M120" s="7">
        <f t="shared" ca="1" si="58"/>
        <v>0</v>
      </c>
      <c r="N120" s="7">
        <f t="shared" ca="1" si="58"/>
        <v>0</v>
      </c>
      <c r="O120" s="7">
        <f t="shared" ca="1" si="58"/>
        <v>0</v>
      </c>
      <c r="P120" s="7">
        <f t="shared" ca="1" si="58"/>
        <v>0</v>
      </c>
      <c r="Q120" s="7">
        <f t="shared" ca="1" si="58"/>
        <v>0</v>
      </c>
      <c r="R120" s="7">
        <f t="shared" ca="1" si="58"/>
        <v>0</v>
      </c>
      <c r="S120" s="7">
        <f t="shared" ca="1" si="58"/>
        <v>0</v>
      </c>
      <c r="T120" s="7">
        <f t="shared" ca="1" si="58"/>
        <v>0</v>
      </c>
      <c r="U120" s="7">
        <f t="shared" ca="1" si="58"/>
        <v>0</v>
      </c>
      <c r="V120" s="7">
        <f t="shared" ca="1" si="58"/>
        <v>0</v>
      </c>
      <c r="W120" s="7">
        <f t="shared" ca="1" si="58"/>
        <v>0</v>
      </c>
      <c r="X120" s="7">
        <f t="shared" ca="1" si="58"/>
        <v>0</v>
      </c>
      <c r="Y120" s="7">
        <f t="shared" ca="1" si="58"/>
        <v>0</v>
      </c>
      <c r="Z120" s="7">
        <f t="shared" ca="1" si="58"/>
        <v>0</v>
      </c>
      <c r="AA120" s="7">
        <f t="shared" ca="1" si="58"/>
        <v>0</v>
      </c>
      <c r="AB120" s="7">
        <f t="shared" ca="1" si="58"/>
        <v>0</v>
      </c>
      <c r="AC120" s="7">
        <f t="shared" ca="1" si="58"/>
        <v>0</v>
      </c>
      <c r="AD120" s="7">
        <f t="shared" ca="1" si="58"/>
        <v>0</v>
      </c>
      <c r="AE120" s="7">
        <f t="shared" ca="1" si="58"/>
        <v>0</v>
      </c>
      <c r="AF120" s="7">
        <f t="shared" ca="1" si="58"/>
        <v>0</v>
      </c>
      <c r="AG120" s="7">
        <f t="shared" ca="1" si="58"/>
        <v>0</v>
      </c>
      <c r="AH120" s="7">
        <f t="shared" ca="1" si="58"/>
        <v>0</v>
      </c>
      <c r="AI120" s="7">
        <f t="shared" ca="1" si="58"/>
        <v>0</v>
      </c>
      <c r="AJ120" s="7">
        <f t="shared" ca="1" si="58"/>
        <v>0</v>
      </c>
      <c r="AK120" s="7">
        <f t="shared" ca="1" si="58"/>
        <v>0</v>
      </c>
      <c r="AL120" s="7">
        <f t="shared" ca="1" si="58"/>
        <v>0</v>
      </c>
      <c r="AM120" s="7">
        <f t="shared" si="58"/>
        <v>0</v>
      </c>
    </row>
    <row r="121" spans="1:39" x14ac:dyDescent="0.2">
      <c r="A121" s="3" t="s">
        <v>30</v>
      </c>
      <c r="C121" s="7">
        <f t="shared" ref="C121:AM121" ca="1" si="59">IFERROR(-IF(C116=0,VLOOKUP($A115,$8:$12,C$1+2,FALSE),0),0)</f>
        <v>0</v>
      </c>
      <c r="D121" s="101">
        <f t="shared" ca="1" si="59"/>
        <v>0</v>
      </c>
      <c r="E121" s="110">
        <f t="shared" ca="1" si="59"/>
        <v>0</v>
      </c>
      <c r="F121" s="7">
        <f t="shared" ca="1" si="59"/>
        <v>0</v>
      </c>
      <c r="G121" s="7">
        <f t="shared" ca="1" si="59"/>
        <v>0</v>
      </c>
      <c r="H121" s="7">
        <f t="shared" ca="1" si="59"/>
        <v>0</v>
      </c>
      <c r="I121" s="7">
        <f t="shared" ca="1" si="59"/>
        <v>0</v>
      </c>
      <c r="J121" s="7">
        <f t="shared" ca="1" si="59"/>
        <v>0</v>
      </c>
      <c r="K121" s="7">
        <f t="shared" ca="1" si="59"/>
        <v>0</v>
      </c>
      <c r="L121" s="7">
        <f t="shared" ca="1" si="59"/>
        <v>0</v>
      </c>
      <c r="M121" s="7">
        <f t="shared" ca="1" si="59"/>
        <v>0</v>
      </c>
      <c r="N121" s="7">
        <f t="shared" ca="1" si="59"/>
        <v>0</v>
      </c>
      <c r="O121" s="7">
        <f t="shared" ca="1" si="59"/>
        <v>0</v>
      </c>
      <c r="P121" s="7">
        <f t="shared" ca="1" si="59"/>
        <v>0</v>
      </c>
      <c r="Q121" s="7">
        <f t="shared" ca="1" si="59"/>
        <v>0</v>
      </c>
      <c r="R121" s="7">
        <f t="shared" ca="1" si="59"/>
        <v>0</v>
      </c>
      <c r="S121" s="7">
        <f t="shared" ca="1" si="59"/>
        <v>0</v>
      </c>
      <c r="T121" s="7">
        <f t="shared" ca="1" si="59"/>
        <v>0</v>
      </c>
      <c r="U121" s="7">
        <f t="shared" ca="1" si="59"/>
        <v>0</v>
      </c>
      <c r="V121" s="7">
        <f t="shared" ca="1" si="59"/>
        <v>0</v>
      </c>
      <c r="W121" s="7">
        <f t="shared" ca="1" si="59"/>
        <v>0</v>
      </c>
      <c r="X121" s="7">
        <f t="shared" ca="1" si="59"/>
        <v>0</v>
      </c>
      <c r="Y121" s="7">
        <f t="shared" ca="1" si="59"/>
        <v>0</v>
      </c>
      <c r="Z121" s="7">
        <f t="shared" ca="1" si="59"/>
        <v>0</v>
      </c>
      <c r="AA121" s="7">
        <f t="shared" ca="1" si="59"/>
        <v>0</v>
      </c>
      <c r="AB121" s="7">
        <f t="shared" ca="1" si="59"/>
        <v>0</v>
      </c>
      <c r="AC121" s="7">
        <f t="shared" ca="1" si="59"/>
        <v>0</v>
      </c>
      <c r="AD121" s="7">
        <f t="shared" ca="1" si="59"/>
        <v>0</v>
      </c>
      <c r="AE121" s="7">
        <f t="shared" ca="1" si="59"/>
        <v>0</v>
      </c>
      <c r="AF121" s="7">
        <f t="shared" ca="1" si="59"/>
        <v>0</v>
      </c>
      <c r="AG121" s="7">
        <f t="shared" ca="1" si="59"/>
        <v>0</v>
      </c>
      <c r="AH121" s="7">
        <f t="shared" ca="1" si="59"/>
        <v>0</v>
      </c>
      <c r="AI121" s="7">
        <f t="shared" ca="1" si="59"/>
        <v>0</v>
      </c>
      <c r="AJ121" s="7">
        <f t="shared" ca="1" si="59"/>
        <v>0</v>
      </c>
      <c r="AK121" s="7">
        <f t="shared" ca="1" si="59"/>
        <v>0</v>
      </c>
      <c r="AL121" s="7">
        <f t="shared" ca="1" si="59"/>
        <v>0</v>
      </c>
      <c r="AM121" s="7">
        <f t="shared" ca="1" si="59"/>
        <v>0</v>
      </c>
    </row>
    <row r="122" spans="1:39" x14ac:dyDescent="0.2">
      <c r="A122" s="3" t="s">
        <v>49</v>
      </c>
      <c r="C122" s="7">
        <f t="shared" ref="C122:AM122" ca="1" si="60">IFERROR(IF(C116=0,VLOOKUP($A115,$46:$50,C$1+2,FALSE),0),0)</f>
        <v>0</v>
      </c>
      <c r="D122" s="101">
        <f t="shared" ca="1" si="60"/>
        <v>0</v>
      </c>
      <c r="E122" s="110">
        <f t="shared" ca="1" si="60"/>
        <v>0</v>
      </c>
      <c r="F122" s="7">
        <f t="shared" ca="1" si="60"/>
        <v>0</v>
      </c>
      <c r="G122" s="7">
        <f t="shared" ca="1" si="60"/>
        <v>0</v>
      </c>
      <c r="H122" s="7">
        <f t="shared" ca="1" si="60"/>
        <v>0</v>
      </c>
      <c r="I122" s="7">
        <f t="shared" ca="1" si="60"/>
        <v>0</v>
      </c>
      <c r="J122" s="7">
        <f t="shared" ca="1" si="60"/>
        <v>0</v>
      </c>
      <c r="K122" s="7">
        <f t="shared" ca="1" si="60"/>
        <v>0</v>
      </c>
      <c r="L122" s="7">
        <f t="shared" ca="1" si="60"/>
        <v>0</v>
      </c>
      <c r="M122" s="7">
        <f t="shared" ca="1" si="60"/>
        <v>0</v>
      </c>
      <c r="N122" s="7">
        <f t="shared" ca="1" si="60"/>
        <v>0</v>
      </c>
      <c r="O122" s="7">
        <f t="shared" ca="1" si="60"/>
        <v>0</v>
      </c>
      <c r="P122" s="7">
        <f t="shared" ca="1" si="60"/>
        <v>0</v>
      </c>
      <c r="Q122" s="7">
        <f t="shared" ca="1" si="60"/>
        <v>0</v>
      </c>
      <c r="R122" s="7">
        <f t="shared" ca="1" si="60"/>
        <v>0</v>
      </c>
      <c r="S122" s="7">
        <f t="shared" ca="1" si="60"/>
        <v>0</v>
      </c>
      <c r="T122" s="7">
        <f t="shared" ca="1" si="60"/>
        <v>0</v>
      </c>
      <c r="U122" s="7">
        <f t="shared" ca="1" si="60"/>
        <v>0</v>
      </c>
      <c r="V122" s="7">
        <f t="shared" ca="1" si="60"/>
        <v>0</v>
      </c>
      <c r="W122" s="7">
        <f t="shared" ca="1" si="60"/>
        <v>0</v>
      </c>
      <c r="X122" s="7">
        <f t="shared" ca="1" si="60"/>
        <v>0</v>
      </c>
      <c r="Y122" s="7">
        <f t="shared" ca="1" si="60"/>
        <v>0</v>
      </c>
      <c r="Z122" s="7">
        <f t="shared" ca="1" si="60"/>
        <v>0</v>
      </c>
      <c r="AA122" s="7">
        <f t="shared" ca="1" si="60"/>
        <v>0</v>
      </c>
      <c r="AB122" s="7">
        <f t="shared" ca="1" si="60"/>
        <v>0</v>
      </c>
      <c r="AC122" s="7">
        <f t="shared" ca="1" si="60"/>
        <v>0</v>
      </c>
      <c r="AD122" s="7">
        <f t="shared" ca="1" si="60"/>
        <v>0</v>
      </c>
      <c r="AE122" s="7">
        <f t="shared" ca="1" si="60"/>
        <v>0</v>
      </c>
      <c r="AF122" s="7">
        <f t="shared" ca="1" si="60"/>
        <v>0</v>
      </c>
      <c r="AG122" s="7">
        <f t="shared" ca="1" si="60"/>
        <v>0</v>
      </c>
      <c r="AH122" s="7">
        <f t="shared" ca="1" si="60"/>
        <v>0</v>
      </c>
      <c r="AI122" s="7">
        <f t="shared" ca="1" si="60"/>
        <v>0</v>
      </c>
      <c r="AJ122" s="7">
        <f t="shared" ca="1" si="60"/>
        <v>0</v>
      </c>
      <c r="AK122" s="7">
        <f t="shared" ca="1" si="60"/>
        <v>0</v>
      </c>
      <c r="AL122" s="7">
        <f t="shared" ca="1" si="60"/>
        <v>0</v>
      </c>
      <c r="AM122" s="7">
        <f t="shared" ca="1" si="60"/>
        <v>0</v>
      </c>
    </row>
    <row r="123" spans="1:39" x14ac:dyDescent="0.2">
      <c r="A123" s="3" t="s">
        <v>35</v>
      </c>
      <c r="B123" s="14" t="str">
        <f>A115</f>
        <v>Painting</v>
      </c>
      <c r="C123" s="7">
        <f t="shared" ref="C123:AM123" ca="1" si="61">IF(AND(C116&gt;0,C119=0),VLOOKUP($A115,$86:$95,C$1+2,FALSE),0)</f>
        <v>-6642.0499231875183</v>
      </c>
      <c r="D123" s="101">
        <f t="shared" ca="1" si="61"/>
        <v>0</v>
      </c>
      <c r="E123" s="110">
        <f t="shared" ca="1" si="61"/>
        <v>0</v>
      </c>
      <c r="F123" s="7">
        <f t="shared" ca="1" si="61"/>
        <v>0</v>
      </c>
      <c r="G123" s="7">
        <f t="shared" ca="1" si="61"/>
        <v>0</v>
      </c>
      <c r="H123" s="7">
        <f t="shared" ca="1" si="61"/>
        <v>0</v>
      </c>
      <c r="I123" s="7">
        <f t="shared" ca="1" si="61"/>
        <v>0</v>
      </c>
      <c r="J123" s="7">
        <f t="shared" ca="1" si="61"/>
        <v>0</v>
      </c>
      <c r="K123" s="7">
        <f t="shared" ca="1" si="61"/>
        <v>0</v>
      </c>
      <c r="L123" s="7">
        <f t="shared" ca="1" si="61"/>
        <v>0</v>
      </c>
      <c r="M123" s="7">
        <f t="shared" ca="1" si="61"/>
        <v>0</v>
      </c>
      <c r="N123" s="7">
        <f t="shared" ca="1" si="61"/>
        <v>0</v>
      </c>
      <c r="O123" s="7">
        <f t="shared" ca="1" si="61"/>
        <v>0</v>
      </c>
      <c r="P123" s="7">
        <f t="shared" ca="1" si="61"/>
        <v>0</v>
      </c>
      <c r="Q123" s="7">
        <f t="shared" ca="1" si="61"/>
        <v>0</v>
      </c>
      <c r="R123" s="7">
        <f t="shared" ca="1" si="61"/>
        <v>0</v>
      </c>
      <c r="S123" s="7">
        <f t="shared" ca="1" si="61"/>
        <v>0</v>
      </c>
      <c r="T123" s="7">
        <f t="shared" ca="1" si="61"/>
        <v>0</v>
      </c>
      <c r="U123" s="7">
        <f t="shared" ca="1" si="61"/>
        <v>0</v>
      </c>
      <c r="V123" s="7">
        <f t="shared" ca="1" si="61"/>
        <v>0</v>
      </c>
      <c r="W123" s="7">
        <f t="shared" ca="1" si="61"/>
        <v>0</v>
      </c>
      <c r="X123" s="7">
        <f t="shared" ca="1" si="61"/>
        <v>0</v>
      </c>
      <c r="Y123" s="7">
        <f t="shared" ca="1" si="61"/>
        <v>0</v>
      </c>
      <c r="Z123" s="7">
        <f t="shared" ca="1" si="61"/>
        <v>0</v>
      </c>
      <c r="AA123" s="7">
        <f t="shared" ca="1" si="61"/>
        <v>0</v>
      </c>
      <c r="AB123" s="7">
        <f t="shared" ca="1" si="61"/>
        <v>0</v>
      </c>
      <c r="AC123" s="7">
        <f t="shared" ca="1" si="61"/>
        <v>0</v>
      </c>
      <c r="AD123" s="7">
        <f t="shared" ca="1" si="61"/>
        <v>0</v>
      </c>
      <c r="AE123" s="7">
        <f t="shared" ca="1" si="61"/>
        <v>0</v>
      </c>
      <c r="AF123" s="7">
        <f t="shared" ca="1" si="61"/>
        <v>0</v>
      </c>
      <c r="AG123" s="7">
        <f t="shared" ca="1" si="61"/>
        <v>0</v>
      </c>
      <c r="AH123" s="7">
        <f t="shared" ca="1" si="61"/>
        <v>0</v>
      </c>
      <c r="AI123" s="7">
        <f t="shared" ca="1" si="61"/>
        <v>0</v>
      </c>
      <c r="AJ123" s="7">
        <f t="shared" ca="1" si="61"/>
        <v>0</v>
      </c>
      <c r="AK123" s="7">
        <f t="shared" ca="1" si="61"/>
        <v>0</v>
      </c>
      <c r="AL123" s="7">
        <f t="shared" ca="1" si="61"/>
        <v>0</v>
      </c>
      <c r="AM123" s="7">
        <f t="shared" ca="1" si="61"/>
        <v>0</v>
      </c>
    </row>
    <row r="124" spans="1:39" x14ac:dyDescent="0.2">
      <c r="A124" s="3" t="s">
        <v>36</v>
      </c>
      <c r="C124" s="7">
        <f ca="1">-C117+SUM(C120:C123)</f>
        <v>13397.316656510558</v>
      </c>
      <c r="D124" s="101">
        <f t="shared" ref="D124" ca="1" si="62">-D117+SUM(D120:D123)</f>
        <v>0</v>
      </c>
      <c r="E124" s="110">
        <f t="shared" ref="E124:AM124" ca="1" si="63">-E117+SUM(E120:E123)</f>
        <v>0</v>
      </c>
      <c r="F124" s="7">
        <f t="shared" ca="1" si="63"/>
        <v>0</v>
      </c>
      <c r="G124" s="7">
        <f t="shared" ca="1" si="63"/>
        <v>0</v>
      </c>
      <c r="H124" s="7">
        <f t="shared" ca="1" si="63"/>
        <v>0</v>
      </c>
      <c r="I124" s="7">
        <f t="shared" ca="1" si="63"/>
        <v>0</v>
      </c>
      <c r="J124" s="7">
        <f t="shared" ca="1" si="63"/>
        <v>0</v>
      </c>
      <c r="K124" s="7">
        <f t="shared" ca="1" si="63"/>
        <v>0</v>
      </c>
      <c r="L124" s="7">
        <f t="shared" ca="1" si="63"/>
        <v>0</v>
      </c>
      <c r="M124" s="7">
        <f t="shared" ca="1" si="63"/>
        <v>0</v>
      </c>
      <c r="N124" s="7">
        <f t="shared" ca="1" si="63"/>
        <v>0</v>
      </c>
      <c r="O124" s="7">
        <f t="shared" ca="1" si="63"/>
        <v>0</v>
      </c>
      <c r="P124" s="7">
        <f t="shared" ca="1" si="63"/>
        <v>0</v>
      </c>
      <c r="Q124" s="7">
        <f t="shared" ca="1" si="63"/>
        <v>0</v>
      </c>
      <c r="R124" s="7">
        <f t="shared" ca="1" si="63"/>
        <v>0</v>
      </c>
      <c r="S124" s="7">
        <f t="shared" ca="1" si="63"/>
        <v>0</v>
      </c>
      <c r="T124" s="7">
        <f t="shared" ca="1" si="63"/>
        <v>0</v>
      </c>
      <c r="U124" s="7">
        <f t="shared" ca="1" si="63"/>
        <v>0</v>
      </c>
      <c r="V124" s="7">
        <f t="shared" ca="1" si="63"/>
        <v>0</v>
      </c>
      <c r="W124" s="7">
        <f t="shared" ca="1" si="63"/>
        <v>0</v>
      </c>
      <c r="X124" s="7">
        <f t="shared" ca="1" si="63"/>
        <v>0</v>
      </c>
      <c r="Y124" s="7">
        <f t="shared" ca="1" si="63"/>
        <v>0</v>
      </c>
      <c r="Z124" s="7">
        <f t="shared" ca="1" si="63"/>
        <v>0</v>
      </c>
      <c r="AA124" s="7">
        <f t="shared" ca="1" si="63"/>
        <v>0</v>
      </c>
      <c r="AB124" s="7">
        <f t="shared" ca="1" si="63"/>
        <v>0</v>
      </c>
      <c r="AC124" s="7">
        <f t="shared" ca="1" si="63"/>
        <v>0</v>
      </c>
      <c r="AD124" s="7">
        <f t="shared" ca="1" si="63"/>
        <v>0</v>
      </c>
      <c r="AE124" s="7">
        <f t="shared" ca="1" si="63"/>
        <v>0</v>
      </c>
      <c r="AF124" s="7">
        <f t="shared" ca="1" si="63"/>
        <v>0</v>
      </c>
      <c r="AG124" s="7">
        <f t="shared" ca="1" si="63"/>
        <v>0</v>
      </c>
      <c r="AH124" s="7">
        <f t="shared" ca="1" si="63"/>
        <v>0</v>
      </c>
      <c r="AI124" s="7">
        <f t="shared" ca="1" si="63"/>
        <v>0</v>
      </c>
      <c r="AJ124" s="7">
        <f t="shared" ca="1" si="63"/>
        <v>0</v>
      </c>
      <c r="AK124" s="7">
        <f t="shared" ca="1" si="63"/>
        <v>0</v>
      </c>
      <c r="AL124" s="7">
        <f t="shared" ca="1" si="63"/>
        <v>0</v>
      </c>
      <c r="AM124" s="7">
        <f t="shared" ca="1" si="63"/>
        <v>0</v>
      </c>
    </row>
    <row r="125" spans="1:39" x14ac:dyDescent="0.2">
      <c r="A125" s="3"/>
      <c r="C125" s="7"/>
      <c r="D125" s="101"/>
      <c r="E125" s="110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  <c r="AC125" s="7"/>
      <c r="AD125" s="7"/>
      <c r="AE125" s="7"/>
      <c r="AF125" s="7"/>
      <c r="AG125" s="7"/>
      <c r="AH125" s="7"/>
      <c r="AI125" s="7"/>
      <c r="AJ125" s="7"/>
      <c r="AK125" s="7"/>
      <c r="AL125" s="7"/>
      <c r="AM125" s="7"/>
    </row>
    <row r="126" spans="1:39" x14ac:dyDescent="0.2">
      <c r="A126" s="3" t="s">
        <v>70</v>
      </c>
      <c r="C126" s="7">
        <f ca="1">C112+SUM($C124:C124)</f>
        <v>26316.379156510557</v>
      </c>
      <c r="D126" s="101">
        <f ca="1">D112+SUM($C124:D124)</f>
        <v>-10016.078739221795</v>
      </c>
      <c r="E126" s="110">
        <f ca="1">E112+SUM($C124:E124)</f>
        <v>-76955.041239221784</v>
      </c>
      <c r="F126" s="7">
        <f ca="1">F112+SUM($C124:F124)</f>
        <v>-164813.8005948494</v>
      </c>
      <c r="G126" s="7">
        <f ca="1">G112+SUM($C124:G124)</f>
        <v>-61598.523667497495</v>
      </c>
      <c r="H126" s="7">
        <f ca="1">H112+SUM($C124:H124)</f>
        <v>-115801.88052728704</v>
      </c>
      <c r="I126" s="7">
        <f ca="1">I112+SUM($C124:I124)</f>
        <v>-153950.13016275945</v>
      </c>
      <c r="J126" s="7">
        <f ca="1">J112+SUM($C124:J124)</f>
        <v>-192123.32862198702</v>
      </c>
      <c r="K126" s="7">
        <f ca="1">K112+SUM($C124:K124)</f>
        <v>-248109.53761959664</v>
      </c>
      <c r="L126" s="7">
        <f ca="1">L112+SUM($C124:L124)</f>
        <v>-222597.68111147993</v>
      </c>
      <c r="M126" s="7">
        <f ca="1">M112+SUM($C124:M124)</f>
        <v>-290855.55460528075</v>
      </c>
      <c r="N126" s="7">
        <f ca="1">N112+SUM($C124:N124)</f>
        <v>-310751.43495344312</v>
      </c>
      <c r="O126" s="7">
        <f ca="1">O112+SUM($C124:O124)</f>
        <v>-330929.29091417813</v>
      </c>
      <c r="P126" s="7">
        <f ca="1">P112+SUM($C124:P124)</f>
        <v>-351389.70923591591</v>
      </c>
      <c r="Q126" s="7">
        <f ca="1">Q112+SUM($C124:Q124)</f>
        <v>-372133.09745654138</v>
      </c>
      <c r="R126" s="7">
        <f ca="1">R112+SUM($C124:R124)</f>
        <v>-393159.67360675184</v>
      </c>
      <c r="S126" s="7">
        <f ca="1">S112+SUM($C124:S124)</f>
        <v>-414469.4554815091</v>
      </c>
      <c r="T126" s="7">
        <f ca="1">T112+SUM($C124:T124)</f>
        <v>-419020.12493836728</v>
      </c>
      <c r="U126" s="7">
        <f ca="1">U112+SUM($C124:U124)</f>
        <v>-415629.04313034203</v>
      </c>
      <c r="V126" s="7">
        <f ca="1">V112+SUM($C124:V124)</f>
        <v>-411888.24313196074</v>
      </c>
      <c r="W126" s="7">
        <f ca="1">W112+SUM($C124:W124)</f>
        <v>-407781.03375410975</v>
      </c>
      <c r="X126" s="7">
        <f ca="1">X112+SUM($C124:X124)</f>
        <v>-403290.06808091712</v>
      </c>
      <c r="Y126" s="7">
        <f ca="1">Y112+SUM($C124:Y124)</f>
        <v>-419056.17669413355</v>
      </c>
      <c r="Z126" s="7">
        <f ca="1">Z112+SUM($C124:Z124)</f>
        <v>-434918.24442967644</v>
      </c>
      <c r="AA126" s="7">
        <f ca="1">AA112+SUM($C124:AA124)</f>
        <v>-450869.72445781366</v>
      </c>
      <c r="AB126" s="7">
        <f ca="1">AB112+SUM($C124:AB124)</f>
        <v>-466903.63790383656</v>
      </c>
      <c r="AC126" s="7">
        <f ca="1">AC112+SUM($C124:AC124)</f>
        <v>-483012.55499570747</v>
      </c>
      <c r="AD126" s="7">
        <f ca="1">AD112+SUM($C124:AD124)</f>
        <v>-499188.57549886371</v>
      </c>
      <c r="AE126" s="7">
        <f ca="1">AE112+SUM($C124:AE124)</f>
        <v>-505440.83331932093</v>
      </c>
      <c r="AF126" s="7">
        <f ca="1">AF112+SUM($C124:AF124)</f>
        <v>-511493.33884075296</v>
      </c>
      <c r="AG126" s="7">
        <f ca="1">AG112+SUM($C124:AG124)</f>
        <v>-517330.41649334808</v>
      </c>
      <c r="AH126" s="7">
        <f ca="1">AH112+SUM($C124:AH124)</f>
        <v>-522935.67836517922</v>
      </c>
      <c r="AI126" s="7">
        <f ca="1">AI112+SUM($C124:AI124)</f>
        <v>-528291.99678006477</v>
      </c>
      <c r="AJ126" s="7">
        <f ca="1">AJ112+SUM($C124:AJ124)</f>
        <v>-533381.47590146901</v>
      </c>
      <c r="AK126" s="7">
        <f ca="1">AK112+SUM($C124:AK124)</f>
        <v>-538185.42232943932</v>
      </c>
      <c r="AL126" s="7">
        <f ca="1">AL112+SUM($C124:AL124)</f>
        <v>-542684.3146564957</v>
      </c>
      <c r="AM126" s="7">
        <f ca="1">AM112+SUM($C124:AM124)</f>
        <v>-546857.77194726688</v>
      </c>
    </row>
    <row r="127" spans="1:39" x14ac:dyDescent="0.2">
      <c r="A127" s="3" t="s">
        <v>67</v>
      </c>
      <c r="C127" s="7">
        <f t="shared" ref="C127:AM127" ca="1" si="64">MAX(C126+buffer,0)-MAX(C$112+buffer,0)</f>
        <v>13397.316656510549</v>
      </c>
      <c r="D127" s="101">
        <f t="shared" ca="1" si="64"/>
        <v>13397.316656510557</v>
      </c>
      <c r="E127" s="110">
        <f t="shared" ca="1" si="64"/>
        <v>0</v>
      </c>
      <c r="F127" s="7">
        <f t="shared" ca="1" si="64"/>
        <v>0</v>
      </c>
      <c r="G127" s="7">
        <f t="shared" ca="1" si="64"/>
        <v>0</v>
      </c>
      <c r="H127" s="7">
        <f t="shared" ca="1" si="64"/>
        <v>0</v>
      </c>
      <c r="I127" s="7">
        <f t="shared" ca="1" si="64"/>
        <v>0</v>
      </c>
      <c r="J127" s="7">
        <f t="shared" ca="1" si="64"/>
        <v>0</v>
      </c>
      <c r="K127" s="7">
        <f t="shared" ca="1" si="64"/>
        <v>0</v>
      </c>
      <c r="L127" s="7">
        <f t="shared" ca="1" si="64"/>
        <v>0</v>
      </c>
      <c r="M127" s="7">
        <f t="shared" ca="1" si="64"/>
        <v>0</v>
      </c>
      <c r="N127" s="7">
        <f t="shared" ca="1" si="64"/>
        <v>0</v>
      </c>
      <c r="O127" s="7">
        <f t="shared" ca="1" si="64"/>
        <v>0</v>
      </c>
      <c r="P127" s="7">
        <f t="shared" ca="1" si="64"/>
        <v>0</v>
      </c>
      <c r="Q127" s="7">
        <f t="shared" ca="1" si="64"/>
        <v>0</v>
      </c>
      <c r="R127" s="7">
        <f t="shared" ca="1" si="64"/>
        <v>0</v>
      </c>
      <c r="S127" s="7">
        <f t="shared" ca="1" si="64"/>
        <v>0</v>
      </c>
      <c r="T127" s="7">
        <f t="shared" ca="1" si="64"/>
        <v>0</v>
      </c>
      <c r="U127" s="7">
        <f t="shared" ca="1" si="64"/>
        <v>0</v>
      </c>
      <c r="V127" s="7">
        <f t="shared" ca="1" si="64"/>
        <v>0</v>
      </c>
      <c r="W127" s="7">
        <f t="shared" ca="1" si="64"/>
        <v>0</v>
      </c>
      <c r="X127" s="7">
        <f t="shared" ca="1" si="64"/>
        <v>0</v>
      </c>
      <c r="Y127" s="7">
        <f t="shared" ca="1" si="64"/>
        <v>0</v>
      </c>
      <c r="Z127" s="7">
        <f t="shared" ca="1" si="64"/>
        <v>0</v>
      </c>
      <c r="AA127" s="7">
        <f t="shared" ca="1" si="64"/>
        <v>0</v>
      </c>
      <c r="AB127" s="7">
        <f t="shared" ca="1" si="64"/>
        <v>0</v>
      </c>
      <c r="AC127" s="7">
        <f t="shared" ca="1" si="64"/>
        <v>0</v>
      </c>
      <c r="AD127" s="7">
        <f t="shared" ca="1" si="64"/>
        <v>0</v>
      </c>
      <c r="AE127" s="7">
        <f t="shared" ca="1" si="64"/>
        <v>0</v>
      </c>
      <c r="AF127" s="7">
        <f t="shared" ca="1" si="64"/>
        <v>0</v>
      </c>
      <c r="AG127" s="7">
        <f t="shared" ca="1" si="64"/>
        <v>0</v>
      </c>
      <c r="AH127" s="7">
        <f t="shared" ca="1" si="64"/>
        <v>0</v>
      </c>
      <c r="AI127" s="7">
        <f t="shared" ca="1" si="64"/>
        <v>0</v>
      </c>
      <c r="AJ127" s="7">
        <f t="shared" ca="1" si="64"/>
        <v>0</v>
      </c>
      <c r="AK127" s="7">
        <f t="shared" ca="1" si="64"/>
        <v>0</v>
      </c>
      <c r="AL127" s="7">
        <f t="shared" ca="1" si="64"/>
        <v>0</v>
      </c>
      <c r="AM127" s="7">
        <f t="shared" ca="1" si="64"/>
        <v>0</v>
      </c>
    </row>
    <row r="128" spans="1:39" x14ac:dyDescent="0.2">
      <c r="A128" s="3" t="s">
        <v>68</v>
      </c>
      <c r="C128" s="7">
        <f ca="1">C127*Inputs!$B$270</f>
        <v>334.93291641276375</v>
      </c>
      <c r="D128" s="101">
        <f ca="1">D127*Inputs!$B$270</f>
        <v>334.93291641276392</v>
      </c>
      <c r="E128" s="110">
        <f ca="1">E127*Inputs!$B$270</f>
        <v>0</v>
      </c>
      <c r="F128" s="7">
        <f ca="1">F127*Inputs!$B$270</f>
        <v>0</v>
      </c>
      <c r="G128" s="7">
        <f ca="1">G127*Inputs!$B$270</f>
        <v>0</v>
      </c>
      <c r="H128" s="7">
        <f ca="1">H127*Inputs!$B$270</f>
        <v>0</v>
      </c>
      <c r="I128" s="7">
        <f ca="1">I127*Inputs!$B$270</f>
        <v>0</v>
      </c>
      <c r="J128" s="7">
        <f ca="1">J127*Inputs!$B$270</f>
        <v>0</v>
      </c>
      <c r="K128" s="7">
        <f ca="1">K127*Inputs!$B$270</f>
        <v>0</v>
      </c>
      <c r="L128" s="7">
        <f ca="1">L127*Inputs!$B$270</f>
        <v>0</v>
      </c>
      <c r="M128" s="7">
        <f ca="1">M127*Inputs!$B$270</f>
        <v>0</v>
      </c>
      <c r="N128" s="7">
        <f ca="1">N127*Inputs!$B$270</f>
        <v>0</v>
      </c>
      <c r="O128" s="7">
        <f ca="1">O127*Inputs!$B$270</f>
        <v>0</v>
      </c>
      <c r="P128" s="7">
        <f ca="1">P127*Inputs!$B$270</f>
        <v>0</v>
      </c>
      <c r="Q128" s="7">
        <f ca="1">Q127*Inputs!$B$270</f>
        <v>0</v>
      </c>
      <c r="R128" s="7">
        <f ca="1">R127*Inputs!$B$270</f>
        <v>0</v>
      </c>
      <c r="S128" s="7">
        <f ca="1">S127*Inputs!$B$270</f>
        <v>0</v>
      </c>
      <c r="T128" s="7">
        <f ca="1">T127*Inputs!$B$270</f>
        <v>0</v>
      </c>
      <c r="U128" s="7">
        <f ca="1">U127*Inputs!$B$270</f>
        <v>0</v>
      </c>
      <c r="V128" s="7">
        <f ca="1">V127*Inputs!$B$270</f>
        <v>0</v>
      </c>
      <c r="W128" s="7">
        <f ca="1">W127*Inputs!$B$270</f>
        <v>0</v>
      </c>
      <c r="X128" s="7">
        <f ca="1">X127*Inputs!$B$270</f>
        <v>0</v>
      </c>
      <c r="Y128" s="7">
        <f ca="1">Y127*Inputs!$B$270</f>
        <v>0</v>
      </c>
      <c r="Z128" s="7">
        <f ca="1">Z127*Inputs!$B$270</f>
        <v>0</v>
      </c>
      <c r="AA128" s="7">
        <f ca="1">AA127*Inputs!$B$270</f>
        <v>0</v>
      </c>
      <c r="AB128" s="7">
        <f ca="1">AB127*Inputs!$B$270</f>
        <v>0</v>
      </c>
      <c r="AC128" s="7">
        <f ca="1">AC127*Inputs!$B$270</f>
        <v>0</v>
      </c>
      <c r="AD128" s="7">
        <f ca="1">AD127*Inputs!$B$270</f>
        <v>0</v>
      </c>
      <c r="AE128" s="7">
        <f ca="1">AE127*Inputs!$B$270</f>
        <v>0</v>
      </c>
      <c r="AF128" s="7">
        <f ca="1">AF127*Inputs!$B$270</f>
        <v>0</v>
      </c>
      <c r="AG128" s="7">
        <f ca="1">AG127*Inputs!$B$270</f>
        <v>0</v>
      </c>
      <c r="AH128" s="7">
        <f ca="1">AH127*Inputs!$B$270</f>
        <v>0</v>
      </c>
      <c r="AI128" s="7">
        <f ca="1">AI127*Inputs!$B$270</f>
        <v>0</v>
      </c>
      <c r="AJ128" s="7">
        <f ca="1">AJ127*Inputs!$B$270</f>
        <v>0</v>
      </c>
      <c r="AK128" s="7">
        <f ca="1">AK127*Inputs!$B$270</f>
        <v>0</v>
      </c>
      <c r="AL128" s="7">
        <f ca="1">AL127*Inputs!$B$270</f>
        <v>0</v>
      </c>
      <c r="AM128" s="7">
        <f ca="1">AM127*Inputs!$B$270</f>
        <v>0</v>
      </c>
    </row>
    <row r="129" spans="1:39" x14ac:dyDescent="0.2">
      <c r="A129" s="3" t="s">
        <v>149</v>
      </c>
      <c r="C129" s="7">
        <f ca="1">C126+SUM($C128:C128)</f>
        <v>26651.31207292332</v>
      </c>
      <c r="D129" s="101">
        <f ca="1">D126+SUM($C128:D128)</f>
        <v>-9346.2129063962675</v>
      </c>
      <c r="E129" s="110">
        <f ca="1">E126+SUM($C128:E128)</f>
        <v>-76285.175406396258</v>
      </c>
      <c r="F129" s="7">
        <f ca="1">F126+SUM($C128:F128)</f>
        <v>-164143.93476202386</v>
      </c>
      <c r="G129" s="7">
        <f ca="1">G126+SUM($C128:G128)</f>
        <v>-60928.657834671969</v>
      </c>
      <c r="H129" s="7">
        <f ca="1">H126+SUM($C128:H128)</f>
        <v>-115132.01469446151</v>
      </c>
      <c r="I129" s="7">
        <f ca="1">I126+SUM($C128:I128)</f>
        <v>-153280.26432993391</v>
      </c>
      <c r="J129" s="7">
        <f ca="1">J126+SUM($C128:J128)</f>
        <v>-191453.46278916148</v>
      </c>
      <c r="K129" s="7">
        <f ca="1">K126+SUM($C128:K128)</f>
        <v>-247439.6717867711</v>
      </c>
      <c r="L129" s="7">
        <f ca="1">L126+SUM($C128:L128)</f>
        <v>-221927.81527865439</v>
      </c>
      <c r="M129" s="7">
        <f ca="1">M126+SUM($C128:M128)</f>
        <v>-290185.68877245521</v>
      </c>
      <c r="N129" s="7">
        <f ca="1">N126+SUM($C128:N128)</f>
        <v>-310081.56912061758</v>
      </c>
      <c r="O129" s="7">
        <f ca="1">O126+SUM($C128:O128)</f>
        <v>-330259.42508135259</v>
      </c>
      <c r="P129" s="7">
        <f ca="1">P126+SUM($C128:P128)</f>
        <v>-350719.84340309037</v>
      </c>
      <c r="Q129" s="7">
        <f ca="1">Q126+SUM($C128:Q128)</f>
        <v>-371463.23162371584</v>
      </c>
      <c r="R129" s="7">
        <f ca="1">R126+SUM($C128:R128)</f>
        <v>-392489.8077739263</v>
      </c>
      <c r="S129" s="7">
        <f ca="1">S126+SUM($C128:S128)</f>
        <v>-413799.58964868356</v>
      </c>
      <c r="T129" s="7">
        <f ca="1">T126+SUM($C128:T128)</f>
        <v>-418350.25910554174</v>
      </c>
      <c r="U129" s="7">
        <f ca="1">U126+SUM($C128:U128)</f>
        <v>-414959.17729751649</v>
      </c>
      <c r="V129" s="7">
        <f ca="1">V126+SUM($C128:V128)</f>
        <v>-411218.3772991352</v>
      </c>
      <c r="W129" s="7">
        <f ca="1">W126+SUM($C128:W128)</f>
        <v>-407111.16792128421</v>
      </c>
      <c r="X129" s="7">
        <f ca="1">X126+SUM($C128:X128)</f>
        <v>-402620.20224809158</v>
      </c>
      <c r="Y129" s="7">
        <f ca="1">Y126+SUM($C128:Y128)</f>
        <v>-418386.31086130801</v>
      </c>
      <c r="Z129" s="7">
        <f ca="1">Z126+SUM($C128:Z128)</f>
        <v>-434248.3785968509</v>
      </c>
      <c r="AA129" s="7">
        <f ca="1">AA126+SUM($C128:AA128)</f>
        <v>-450199.85862498812</v>
      </c>
      <c r="AB129" s="7">
        <f ca="1">AB126+SUM($C128:AB128)</f>
        <v>-466233.77207101102</v>
      </c>
      <c r="AC129" s="7">
        <f ca="1">AC126+SUM($C128:AC128)</f>
        <v>-482342.68916288193</v>
      </c>
      <c r="AD129" s="7">
        <f ca="1">AD126+SUM($C128:AD128)</f>
        <v>-498518.70966603816</v>
      </c>
      <c r="AE129" s="7">
        <f ca="1">AE126+SUM($C128:AE128)</f>
        <v>-504770.96748649538</v>
      </c>
      <c r="AF129" s="7">
        <f ca="1">AF126+SUM($C128:AF128)</f>
        <v>-510823.47300792742</v>
      </c>
      <c r="AG129" s="7">
        <f ca="1">AG126+SUM($C128:AG128)</f>
        <v>-516660.55066052254</v>
      </c>
      <c r="AH129" s="7">
        <f ca="1">AH126+SUM($C128:AH128)</f>
        <v>-522265.81253235368</v>
      </c>
      <c r="AI129" s="7">
        <f ca="1">AI126+SUM($C128:AI128)</f>
        <v>-527622.13094723923</v>
      </c>
      <c r="AJ129" s="7">
        <f ca="1">AJ126+SUM($C128:AJ128)</f>
        <v>-532711.61006864347</v>
      </c>
      <c r="AK129" s="7">
        <f ca="1">AK126+SUM($C128:AK128)</f>
        <v>-537515.55649661378</v>
      </c>
      <c r="AL129" s="7">
        <f ca="1">AL126+SUM($C128:AL128)</f>
        <v>-542014.44882367016</v>
      </c>
      <c r="AM129" s="7">
        <f ca="1">AM126+SUM($C128:AM128)</f>
        <v>-546187.90611444134</v>
      </c>
    </row>
    <row r="130" spans="1:39" x14ac:dyDescent="0.2">
      <c r="A130" s="3" t="s">
        <v>19</v>
      </c>
      <c r="C130" s="7">
        <f ca="1">IF(C129&lt;0,-C129,0)</f>
        <v>0</v>
      </c>
      <c r="D130" s="101">
        <f ca="1">IF(D129+SUM($C130:C130)&lt;0,-(D129+SUM($C130:C130)),0)</f>
        <v>9346.2129063962675</v>
      </c>
      <c r="E130" s="110">
        <f ca="1">IF(E129+SUM($C130:D130)&lt;0,-(E129+SUM($C130:D130)),0)</f>
        <v>66938.962499999994</v>
      </c>
      <c r="F130" s="7">
        <f ca="1">IF(F129+SUM($C130:E130)&lt;0,-(F129+SUM($C130:E130)),0)</f>
        <v>87858.759355627597</v>
      </c>
      <c r="G130" s="7">
        <f ca="1">IF(G129+SUM($C130:F130)&lt;0,-(G129+SUM($C130:F130)),0)</f>
        <v>0</v>
      </c>
      <c r="H130" s="7">
        <f ca="1">IF(H129+SUM($C130:G130)&lt;0,-(H129+SUM($C130:G130)),0)</f>
        <v>0</v>
      </c>
      <c r="I130" s="7">
        <f ca="1">IF(I129+SUM($C130:H130)&lt;0,-(I129+SUM($C130:H130)),0)</f>
        <v>0</v>
      </c>
      <c r="J130" s="7">
        <f ca="1">IF(J129+SUM($C130:I130)&lt;0,-(J129+SUM($C130:I130)),0)</f>
        <v>27309.528027137625</v>
      </c>
      <c r="K130" s="7">
        <f ca="1">IF(K129+SUM($C130:J130)&lt;0,-(K129+SUM($C130:J130)),0)</f>
        <v>55986.208997609618</v>
      </c>
      <c r="L130" s="7">
        <f ca="1">IF(L129+SUM($C130:K130)&lt;0,-(L129+SUM($C130:K130)),0)</f>
        <v>0</v>
      </c>
      <c r="M130" s="7">
        <f ca="1">IF(M129+SUM($C130:L130)&lt;0,-(M129+SUM($C130:L130)),0)</f>
        <v>42746.016985684109</v>
      </c>
      <c r="N130" s="7">
        <f ca="1">IF(N129+SUM($C130:M130)&lt;0,-(N129+SUM($C130:M130)),0)</f>
        <v>19895.880348162376</v>
      </c>
      <c r="O130" s="7">
        <f ca="1">IF(O129+SUM($C130:N130)&lt;0,-(O129+SUM($C130:N130)),0)</f>
        <v>20177.855960735003</v>
      </c>
      <c r="P130" s="7">
        <f ca="1">IF(P129+SUM($C130:O130)&lt;0,-(P129+SUM($C130:O130)),0)</f>
        <v>20460.418321737787</v>
      </c>
      <c r="Q130" s="7">
        <f ca="1">IF(Q129+SUM($C130:P130)&lt;0,-(Q129+SUM($C130:P130)),0)</f>
        <v>20743.388220625464</v>
      </c>
      <c r="R130" s="7">
        <f ca="1">IF(R129+SUM($C130:Q130)&lt;0,-(R129+SUM($C130:Q130)),0)</f>
        <v>21026.576150210458</v>
      </c>
      <c r="S130" s="7">
        <f ca="1">IF(S129+SUM($C130:R130)&lt;0,-(S129+SUM($C130:R130)),0)</f>
        <v>21309.78187475726</v>
      </c>
      <c r="T130" s="7">
        <f ca="1">IF(T129+SUM($C130:S130)&lt;0,-(T129+SUM($C130:S130)),0)</f>
        <v>4550.6694568581879</v>
      </c>
      <c r="U130" s="7">
        <f ca="1">IF(U129+SUM($C130:T130)&lt;0,-(U129+SUM($C130:T130)),0)</f>
        <v>0</v>
      </c>
      <c r="V130" s="7">
        <f ca="1">IF(V129+SUM($C130:U130)&lt;0,-(V129+SUM($C130:U130)),0)</f>
        <v>0</v>
      </c>
      <c r="W130" s="7">
        <f ca="1">IF(W129+SUM($C130:V130)&lt;0,-(W129+SUM($C130:V130)),0)</f>
        <v>0</v>
      </c>
      <c r="X130" s="7">
        <f ca="1">IF(X129+SUM($C130:W130)&lt;0,-(X129+SUM($C130:W130)),0)</f>
        <v>0</v>
      </c>
      <c r="Y130" s="7">
        <f ca="1">IF(Y129+SUM($C130:X130)&lt;0,-(Y129+SUM($C130:X130)),0)</f>
        <v>36.051755766267888</v>
      </c>
      <c r="Z130" s="7">
        <f ca="1">IF(Z129+SUM($C130:Y130)&lt;0,-(Z129+SUM($C130:Y130)),0)</f>
        <v>15862.067735542892</v>
      </c>
      <c r="AA130" s="7">
        <f ca="1">IF(AA129+SUM($C130:Z130)&lt;0,-(AA129+SUM($C130:Z130)),0)</f>
        <v>15951.480028137215</v>
      </c>
      <c r="AB130" s="7">
        <f ca="1">IF(AB129+SUM($C130:AA130)&lt;0,-(AB129+SUM($C130:AA130)),0)</f>
        <v>16033.913446022896</v>
      </c>
      <c r="AC130" s="7">
        <f ca="1">IF(AC129+SUM($C130:AB130)&lt;0,-(AC129+SUM($C130:AB130)),0)</f>
        <v>16108.917091870913</v>
      </c>
      <c r="AD130" s="7">
        <f ca="1">IF(AD129+SUM($C130:AC130)&lt;0,-(AD129+SUM($C130:AC130)),0)</f>
        <v>16176.020503156236</v>
      </c>
      <c r="AE130" s="7">
        <f ca="1">IF(AE129+SUM($C130:AD130)&lt;0,-(AE129+SUM($C130:AD130)),0)</f>
        <v>6252.2578204572201</v>
      </c>
      <c r="AF130" s="7">
        <f ca="1">IF(AF129+SUM($C130:AE130)&lt;0,-(AF129+SUM($C130:AE130)),0)</f>
        <v>6052.5055214320309</v>
      </c>
      <c r="AG130" s="7">
        <f ca="1">IF(AG129+SUM($C130:AF130)&lt;0,-(AG129+SUM($C130:AF130)),0)</f>
        <v>5837.0776525951223</v>
      </c>
      <c r="AH130" s="7">
        <f ca="1">IF(AH129+SUM($C130:AG130)&lt;0,-(AH129+SUM($C130:AG130)),0)</f>
        <v>5605.2618718311423</v>
      </c>
      <c r="AI130" s="7">
        <f ca="1">IF(AI129+SUM($C130:AH130)&lt;0,-(AI129+SUM($C130:AH130)),0)</f>
        <v>5356.3184148855507</v>
      </c>
      <c r="AJ130" s="7">
        <f ca="1">IF(AJ129+SUM($C130:AI130)&lt;0,-(AJ129+SUM($C130:AI130)),0)</f>
        <v>5089.4791214042343</v>
      </c>
      <c r="AK130" s="7">
        <f ca="1">IF(AK129+SUM($C130:AJ130)&lt;0,-(AK129+SUM($C130:AJ130)),0)</f>
        <v>4803.9464279703097</v>
      </c>
      <c r="AL130" s="7">
        <f ca="1">IF(AL129+SUM($C130:AK130)&lt;0,-(AL129+SUM($C130:AK130)),0)</f>
        <v>4498.8923270563828</v>
      </c>
      <c r="AM130" s="7">
        <f ca="1">IF(AM129+SUM($C130:AL130)&lt;0,-(AM129+SUM($C130:AL130)),0)</f>
        <v>4173.4572907711845</v>
      </c>
    </row>
    <row r="131" spans="1:39" x14ac:dyDescent="0.2">
      <c r="C131" s="7"/>
      <c r="D131" s="101"/>
      <c r="E131" s="110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  <c r="AC131" s="7"/>
      <c r="AD131" s="7"/>
      <c r="AE131" s="7"/>
      <c r="AF131" s="7"/>
      <c r="AG131" s="7"/>
      <c r="AH131" s="7"/>
      <c r="AI131" s="7"/>
      <c r="AJ131" s="7"/>
      <c r="AK131" s="7"/>
      <c r="AL131" s="7"/>
      <c r="AM131" s="7"/>
    </row>
    <row r="132" spans="1:39" x14ac:dyDescent="0.2">
      <c r="A132" s="24" t="str">
        <f>IF(Inputs!$B$290=6,IFERROR(_xlfn.XLOOKUP($B132,Inputs!$B$291:$B$300,Inputs!$A$291:$A$300,,0,1),""),IFERROR(_xlfn.XLOOKUP($B132,Inputs!$C$291:$C$300,Inputs!$A$291:$A$300,,0,1),""))</f>
        <v>Car</v>
      </c>
      <c r="B132" s="26">
        <v>2</v>
      </c>
      <c r="C132" s="7"/>
      <c r="D132" s="101"/>
      <c r="E132" s="110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/>
      <c r="AG132" s="7"/>
      <c r="AH132" s="7"/>
      <c r="AI132" s="7"/>
      <c r="AJ132" s="7"/>
      <c r="AK132" s="7"/>
      <c r="AL132" s="7"/>
      <c r="AM132" s="7"/>
    </row>
    <row r="133" spans="1:39" x14ac:dyDescent="0.2">
      <c r="A133" s="3" t="s">
        <v>21</v>
      </c>
      <c r="C133" s="7">
        <f ca="1">IFERROR(VLOOKUP($A132,$A$68:$H$97,C$1+2,FALSE),0)</f>
        <v>38490.424009238486</v>
      </c>
      <c r="D133" s="101">
        <f ca="1">C136</f>
        <v>0</v>
      </c>
      <c r="E133" s="110">
        <f t="shared" ref="E133:AM133" ca="1" si="65">D136</f>
        <v>0</v>
      </c>
      <c r="F133" s="7">
        <f t="shared" ca="1" si="65"/>
        <v>0</v>
      </c>
      <c r="G133" s="7">
        <f t="shared" ca="1" si="65"/>
        <v>0</v>
      </c>
      <c r="H133" s="7">
        <f t="shared" ca="1" si="65"/>
        <v>0</v>
      </c>
      <c r="I133" s="7">
        <f t="shared" ca="1" si="65"/>
        <v>0</v>
      </c>
      <c r="J133" s="7">
        <f t="shared" ca="1" si="65"/>
        <v>0</v>
      </c>
      <c r="K133" s="7">
        <f t="shared" ca="1" si="65"/>
        <v>0</v>
      </c>
      <c r="L133" s="7">
        <f t="shared" ca="1" si="65"/>
        <v>0</v>
      </c>
      <c r="M133" s="7">
        <f t="shared" ca="1" si="65"/>
        <v>0</v>
      </c>
      <c r="N133" s="7">
        <f t="shared" ca="1" si="65"/>
        <v>0</v>
      </c>
      <c r="O133" s="7">
        <f t="shared" ca="1" si="65"/>
        <v>0</v>
      </c>
      <c r="P133" s="7">
        <f t="shared" ca="1" si="65"/>
        <v>0</v>
      </c>
      <c r="Q133" s="7">
        <f t="shared" ca="1" si="65"/>
        <v>0</v>
      </c>
      <c r="R133" s="7">
        <f t="shared" ca="1" si="65"/>
        <v>0</v>
      </c>
      <c r="S133" s="7">
        <f t="shared" ca="1" si="65"/>
        <v>0</v>
      </c>
      <c r="T133" s="7">
        <f t="shared" ca="1" si="65"/>
        <v>0</v>
      </c>
      <c r="U133" s="7">
        <f t="shared" ca="1" si="65"/>
        <v>0</v>
      </c>
      <c r="V133" s="7">
        <f t="shared" ca="1" si="65"/>
        <v>0</v>
      </c>
      <c r="W133" s="7">
        <f t="shared" ca="1" si="65"/>
        <v>0</v>
      </c>
      <c r="X133" s="7">
        <f t="shared" ca="1" si="65"/>
        <v>0</v>
      </c>
      <c r="Y133" s="7">
        <f t="shared" ca="1" si="65"/>
        <v>0</v>
      </c>
      <c r="Z133" s="7">
        <f t="shared" ca="1" si="65"/>
        <v>0</v>
      </c>
      <c r="AA133" s="7">
        <f t="shared" ca="1" si="65"/>
        <v>0</v>
      </c>
      <c r="AB133" s="7">
        <f t="shared" ca="1" si="65"/>
        <v>0</v>
      </c>
      <c r="AC133" s="7">
        <f t="shared" ca="1" si="65"/>
        <v>0</v>
      </c>
      <c r="AD133" s="7">
        <f t="shared" ca="1" si="65"/>
        <v>0</v>
      </c>
      <c r="AE133" s="7">
        <f t="shared" ca="1" si="65"/>
        <v>0</v>
      </c>
      <c r="AF133" s="7">
        <f t="shared" ca="1" si="65"/>
        <v>0</v>
      </c>
      <c r="AG133" s="7">
        <f t="shared" ca="1" si="65"/>
        <v>0</v>
      </c>
      <c r="AH133" s="7">
        <f t="shared" ca="1" si="65"/>
        <v>0</v>
      </c>
      <c r="AI133" s="7">
        <f t="shared" ca="1" si="65"/>
        <v>0</v>
      </c>
      <c r="AJ133" s="7">
        <f t="shared" ca="1" si="65"/>
        <v>0</v>
      </c>
      <c r="AK133" s="7">
        <f t="shared" ca="1" si="65"/>
        <v>0</v>
      </c>
      <c r="AL133" s="7">
        <f t="shared" ca="1" si="65"/>
        <v>0</v>
      </c>
      <c r="AM133" s="7">
        <f t="shared" ca="1" si="65"/>
        <v>0</v>
      </c>
    </row>
    <row r="134" spans="1:39" x14ac:dyDescent="0.2">
      <c r="A134" s="3" t="s">
        <v>22</v>
      </c>
      <c r="C134" s="7">
        <f ca="1">-IF(D130&gt;0,C133,0)</f>
        <v>-38490.424009238486</v>
      </c>
      <c r="D134" s="101">
        <f ca="1">-IF(E130&gt;0,D133,0)</f>
        <v>0</v>
      </c>
      <c r="E134" s="110">
        <f ca="1">-IF(F130&gt;0,E133,0)</f>
        <v>0</v>
      </c>
      <c r="F134" s="7">
        <f ca="1">-IF(G130&gt;0,F133,0)</f>
        <v>0</v>
      </c>
      <c r="G134" s="7">
        <f t="shared" ref="G134:AM134" ca="1" si="66">-IF(H130&gt;0,G133,0)</f>
        <v>0</v>
      </c>
      <c r="H134" s="7">
        <f t="shared" ca="1" si="66"/>
        <v>0</v>
      </c>
      <c r="I134" s="7">
        <f t="shared" ca="1" si="66"/>
        <v>0</v>
      </c>
      <c r="J134" s="7">
        <f t="shared" ca="1" si="66"/>
        <v>0</v>
      </c>
      <c r="K134" s="7">
        <f t="shared" ca="1" si="66"/>
        <v>0</v>
      </c>
      <c r="L134" s="7">
        <f t="shared" ca="1" si="66"/>
        <v>0</v>
      </c>
      <c r="M134" s="7">
        <f t="shared" ca="1" si="66"/>
        <v>0</v>
      </c>
      <c r="N134" s="7">
        <f t="shared" ca="1" si="66"/>
        <v>0</v>
      </c>
      <c r="O134" s="7">
        <f t="shared" ca="1" si="66"/>
        <v>0</v>
      </c>
      <c r="P134" s="7">
        <f t="shared" ca="1" si="66"/>
        <v>0</v>
      </c>
      <c r="Q134" s="7">
        <f t="shared" ca="1" si="66"/>
        <v>0</v>
      </c>
      <c r="R134" s="7">
        <f t="shared" ca="1" si="66"/>
        <v>0</v>
      </c>
      <c r="S134" s="7">
        <f t="shared" ca="1" si="66"/>
        <v>0</v>
      </c>
      <c r="T134" s="7">
        <f t="shared" ca="1" si="66"/>
        <v>0</v>
      </c>
      <c r="U134" s="7">
        <f t="shared" ca="1" si="66"/>
        <v>0</v>
      </c>
      <c r="V134" s="7">
        <f t="shared" ca="1" si="66"/>
        <v>0</v>
      </c>
      <c r="W134" s="7">
        <f t="shared" ca="1" si="66"/>
        <v>0</v>
      </c>
      <c r="X134" s="7">
        <f t="shared" ca="1" si="66"/>
        <v>0</v>
      </c>
      <c r="Y134" s="7">
        <f t="shared" ca="1" si="66"/>
        <v>0</v>
      </c>
      <c r="Z134" s="7">
        <f t="shared" ca="1" si="66"/>
        <v>0</v>
      </c>
      <c r="AA134" s="7">
        <f t="shared" ca="1" si="66"/>
        <v>0</v>
      </c>
      <c r="AB134" s="7">
        <f t="shared" ca="1" si="66"/>
        <v>0</v>
      </c>
      <c r="AC134" s="7">
        <f t="shared" ca="1" si="66"/>
        <v>0</v>
      </c>
      <c r="AD134" s="7">
        <f t="shared" ca="1" si="66"/>
        <v>0</v>
      </c>
      <c r="AE134" s="7">
        <f t="shared" ca="1" si="66"/>
        <v>0</v>
      </c>
      <c r="AF134" s="7">
        <f t="shared" ca="1" si="66"/>
        <v>0</v>
      </c>
      <c r="AG134" s="7">
        <f t="shared" ca="1" si="66"/>
        <v>0</v>
      </c>
      <c r="AH134" s="7">
        <f t="shared" ca="1" si="66"/>
        <v>0</v>
      </c>
      <c r="AI134" s="7">
        <f t="shared" ca="1" si="66"/>
        <v>0</v>
      </c>
      <c r="AJ134" s="7">
        <f t="shared" ca="1" si="66"/>
        <v>0</v>
      </c>
      <c r="AK134" s="7">
        <f t="shared" ca="1" si="66"/>
        <v>0</v>
      </c>
      <c r="AL134" s="7">
        <f t="shared" ca="1" si="66"/>
        <v>0</v>
      </c>
      <c r="AM134" s="7">
        <f t="shared" si="66"/>
        <v>0</v>
      </c>
    </row>
    <row r="135" spans="1:39" x14ac:dyDescent="0.2">
      <c r="A135" s="3" t="s">
        <v>23</v>
      </c>
      <c r="C135" s="7">
        <v>0</v>
      </c>
      <c r="D135" s="101">
        <f t="shared" ref="D135:AM135" ca="1" si="67">SUM(D133:D134)*VLOOKUP($A132,AssVar,2,FALSE)</f>
        <v>0</v>
      </c>
      <c r="E135" s="110">
        <f t="shared" ca="1" si="67"/>
        <v>0</v>
      </c>
      <c r="F135" s="7">
        <f t="shared" ca="1" si="67"/>
        <v>0</v>
      </c>
      <c r="G135" s="7">
        <f t="shared" ca="1" si="67"/>
        <v>0</v>
      </c>
      <c r="H135" s="7">
        <f t="shared" ca="1" si="67"/>
        <v>0</v>
      </c>
      <c r="I135" s="7">
        <f t="shared" ca="1" si="67"/>
        <v>0</v>
      </c>
      <c r="J135" s="7">
        <f t="shared" ca="1" si="67"/>
        <v>0</v>
      </c>
      <c r="K135" s="7">
        <f t="shared" ca="1" si="67"/>
        <v>0</v>
      </c>
      <c r="L135" s="7">
        <f t="shared" ca="1" si="67"/>
        <v>0</v>
      </c>
      <c r="M135" s="7">
        <f t="shared" ca="1" si="67"/>
        <v>0</v>
      </c>
      <c r="N135" s="7">
        <f t="shared" ca="1" si="67"/>
        <v>0</v>
      </c>
      <c r="O135" s="7">
        <f t="shared" ca="1" si="67"/>
        <v>0</v>
      </c>
      <c r="P135" s="7">
        <f t="shared" ca="1" si="67"/>
        <v>0</v>
      </c>
      <c r="Q135" s="7">
        <f t="shared" ca="1" si="67"/>
        <v>0</v>
      </c>
      <c r="R135" s="7">
        <f t="shared" ca="1" si="67"/>
        <v>0</v>
      </c>
      <c r="S135" s="7">
        <f t="shared" ca="1" si="67"/>
        <v>0</v>
      </c>
      <c r="T135" s="7">
        <f t="shared" ca="1" si="67"/>
        <v>0</v>
      </c>
      <c r="U135" s="7">
        <f t="shared" ca="1" si="67"/>
        <v>0</v>
      </c>
      <c r="V135" s="7">
        <f t="shared" ca="1" si="67"/>
        <v>0</v>
      </c>
      <c r="W135" s="7">
        <f t="shared" ca="1" si="67"/>
        <v>0</v>
      </c>
      <c r="X135" s="7">
        <f t="shared" ca="1" si="67"/>
        <v>0</v>
      </c>
      <c r="Y135" s="7">
        <f t="shared" ca="1" si="67"/>
        <v>0</v>
      </c>
      <c r="Z135" s="7">
        <f t="shared" ca="1" si="67"/>
        <v>0</v>
      </c>
      <c r="AA135" s="7">
        <f t="shared" ca="1" si="67"/>
        <v>0</v>
      </c>
      <c r="AB135" s="7">
        <f t="shared" ca="1" si="67"/>
        <v>0</v>
      </c>
      <c r="AC135" s="7">
        <f t="shared" ca="1" si="67"/>
        <v>0</v>
      </c>
      <c r="AD135" s="7">
        <f t="shared" ca="1" si="67"/>
        <v>0</v>
      </c>
      <c r="AE135" s="7">
        <f t="shared" ca="1" si="67"/>
        <v>0</v>
      </c>
      <c r="AF135" s="7">
        <f t="shared" ca="1" si="67"/>
        <v>0</v>
      </c>
      <c r="AG135" s="7">
        <f t="shared" ca="1" si="67"/>
        <v>0</v>
      </c>
      <c r="AH135" s="7">
        <f t="shared" ca="1" si="67"/>
        <v>0</v>
      </c>
      <c r="AI135" s="7">
        <f t="shared" ca="1" si="67"/>
        <v>0</v>
      </c>
      <c r="AJ135" s="7">
        <f t="shared" ca="1" si="67"/>
        <v>0</v>
      </c>
      <c r="AK135" s="7">
        <f t="shared" ca="1" si="67"/>
        <v>0</v>
      </c>
      <c r="AL135" s="7">
        <f t="shared" ca="1" si="67"/>
        <v>0</v>
      </c>
      <c r="AM135" s="7">
        <f t="shared" ca="1" si="67"/>
        <v>0</v>
      </c>
    </row>
    <row r="136" spans="1:39" x14ac:dyDescent="0.2">
      <c r="A136" s="3" t="s">
        <v>24</v>
      </c>
      <c r="C136" s="7">
        <f ca="1">SUM(C133:C135)</f>
        <v>0</v>
      </c>
      <c r="D136" s="101">
        <f t="shared" ref="D136:AM136" ca="1" si="68">SUM(D133:D135)</f>
        <v>0</v>
      </c>
      <c r="E136" s="110">
        <f t="shared" ca="1" si="68"/>
        <v>0</v>
      </c>
      <c r="F136" s="7">
        <f t="shared" ca="1" si="68"/>
        <v>0</v>
      </c>
      <c r="G136" s="7">
        <f t="shared" ca="1" si="68"/>
        <v>0</v>
      </c>
      <c r="H136" s="7">
        <f t="shared" ca="1" si="68"/>
        <v>0</v>
      </c>
      <c r="I136" s="7">
        <f t="shared" ca="1" si="68"/>
        <v>0</v>
      </c>
      <c r="J136" s="7">
        <f t="shared" ca="1" si="68"/>
        <v>0</v>
      </c>
      <c r="K136" s="7">
        <f t="shared" ca="1" si="68"/>
        <v>0</v>
      </c>
      <c r="L136" s="7">
        <f t="shared" ca="1" si="68"/>
        <v>0</v>
      </c>
      <c r="M136" s="7">
        <f t="shared" ca="1" si="68"/>
        <v>0</v>
      </c>
      <c r="N136" s="7">
        <f t="shared" ca="1" si="68"/>
        <v>0</v>
      </c>
      <c r="O136" s="7">
        <f t="shared" ca="1" si="68"/>
        <v>0</v>
      </c>
      <c r="P136" s="7">
        <f t="shared" ca="1" si="68"/>
        <v>0</v>
      </c>
      <c r="Q136" s="7">
        <f t="shared" ca="1" si="68"/>
        <v>0</v>
      </c>
      <c r="R136" s="7">
        <f t="shared" ca="1" si="68"/>
        <v>0</v>
      </c>
      <c r="S136" s="7">
        <f t="shared" ca="1" si="68"/>
        <v>0</v>
      </c>
      <c r="T136" s="7">
        <f t="shared" ca="1" si="68"/>
        <v>0</v>
      </c>
      <c r="U136" s="7">
        <f t="shared" ca="1" si="68"/>
        <v>0</v>
      </c>
      <c r="V136" s="7">
        <f t="shared" ca="1" si="68"/>
        <v>0</v>
      </c>
      <c r="W136" s="7">
        <f t="shared" ca="1" si="68"/>
        <v>0</v>
      </c>
      <c r="X136" s="7">
        <f t="shared" ca="1" si="68"/>
        <v>0</v>
      </c>
      <c r="Y136" s="7">
        <f t="shared" ca="1" si="68"/>
        <v>0</v>
      </c>
      <c r="Z136" s="7">
        <f t="shared" ca="1" si="68"/>
        <v>0</v>
      </c>
      <c r="AA136" s="7">
        <f t="shared" ca="1" si="68"/>
        <v>0</v>
      </c>
      <c r="AB136" s="7">
        <f t="shared" ca="1" si="68"/>
        <v>0</v>
      </c>
      <c r="AC136" s="7">
        <f t="shared" ca="1" si="68"/>
        <v>0</v>
      </c>
      <c r="AD136" s="7">
        <f t="shared" ca="1" si="68"/>
        <v>0</v>
      </c>
      <c r="AE136" s="7">
        <f t="shared" ca="1" si="68"/>
        <v>0</v>
      </c>
      <c r="AF136" s="7">
        <f t="shared" ca="1" si="68"/>
        <v>0</v>
      </c>
      <c r="AG136" s="7">
        <f t="shared" ca="1" si="68"/>
        <v>0</v>
      </c>
      <c r="AH136" s="7">
        <f t="shared" ca="1" si="68"/>
        <v>0</v>
      </c>
      <c r="AI136" s="7">
        <f t="shared" ca="1" si="68"/>
        <v>0</v>
      </c>
      <c r="AJ136" s="7">
        <f t="shared" ca="1" si="68"/>
        <v>0</v>
      </c>
      <c r="AK136" s="7">
        <f t="shared" ca="1" si="68"/>
        <v>0</v>
      </c>
      <c r="AL136" s="7">
        <f t="shared" ca="1" si="68"/>
        <v>0</v>
      </c>
      <c r="AM136" s="7">
        <f t="shared" ca="1" si="68"/>
        <v>0</v>
      </c>
    </row>
    <row r="137" spans="1:39" x14ac:dyDescent="0.2">
      <c r="A137" s="3" t="s">
        <v>25</v>
      </c>
      <c r="C137" s="7">
        <f t="shared" ref="C137:AM137" ca="1" si="69">C134*VLOOKUP($A132,AssVar,3,FALSE)</f>
        <v>-769.80848018476979</v>
      </c>
      <c r="D137" s="101">
        <f t="shared" ca="1" si="69"/>
        <v>0</v>
      </c>
      <c r="E137" s="110">
        <f t="shared" ca="1" si="69"/>
        <v>0</v>
      </c>
      <c r="F137" s="7">
        <f t="shared" ca="1" si="69"/>
        <v>0</v>
      </c>
      <c r="G137" s="7">
        <f t="shared" ca="1" si="69"/>
        <v>0</v>
      </c>
      <c r="H137" s="7">
        <f t="shared" ca="1" si="69"/>
        <v>0</v>
      </c>
      <c r="I137" s="7">
        <f t="shared" ca="1" si="69"/>
        <v>0</v>
      </c>
      <c r="J137" s="7">
        <f t="shared" ca="1" si="69"/>
        <v>0</v>
      </c>
      <c r="K137" s="7">
        <f t="shared" ca="1" si="69"/>
        <v>0</v>
      </c>
      <c r="L137" s="7">
        <f t="shared" ca="1" si="69"/>
        <v>0</v>
      </c>
      <c r="M137" s="7">
        <f t="shared" ca="1" si="69"/>
        <v>0</v>
      </c>
      <c r="N137" s="7">
        <f t="shared" ca="1" si="69"/>
        <v>0</v>
      </c>
      <c r="O137" s="7">
        <f t="shared" ca="1" si="69"/>
        <v>0</v>
      </c>
      <c r="P137" s="7">
        <f t="shared" ca="1" si="69"/>
        <v>0</v>
      </c>
      <c r="Q137" s="7">
        <f t="shared" ca="1" si="69"/>
        <v>0</v>
      </c>
      <c r="R137" s="7">
        <f t="shared" ca="1" si="69"/>
        <v>0</v>
      </c>
      <c r="S137" s="7">
        <f t="shared" ca="1" si="69"/>
        <v>0</v>
      </c>
      <c r="T137" s="7">
        <f t="shared" ca="1" si="69"/>
        <v>0</v>
      </c>
      <c r="U137" s="7">
        <f t="shared" ca="1" si="69"/>
        <v>0</v>
      </c>
      <c r="V137" s="7">
        <f t="shared" ca="1" si="69"/>
        <v>0</v>
      </c>
      <c r="W137" s="7">
        <f t="shared" ca="1" si="69"/>
        <v>0</v>
      </c>
      <c r="X137" s="7">
        <f t="shared" ca="1" si="69"/>
        <v>0</v>
      </c>
      <c r="Y137" s="7">
        <f t="shared" ca="1" si="69"/>
        <v>0</v>
      </c>
      <c r="Z137" s="7">
        <f t="shared" ca="1" si="69"/>
        <v>0</v>
      </c>
      <c r="AA137" s="7">
        <f t="shared" ca="1" si="69"/>
        <v>0</v>
      </c>
      <c r="AB137" s="7">
        <f t="shared" ca="1" si="69"/>
        <v>0</v>
      </c>
      <c r="AC137" s="7">
        <f t="shared" ca="1" si="69"/>
        <v>0</v>
      </c>
      <c r="AD137" s="7">
        <f t="shared" ca="1" si="69"/>
        <v>0</v>
      </c>
      <c r="AE137" s="7">
        <f t="shared" ca="1" si="69"/>
        <v>0</v>
      </c>
      <c r="AF137" s="7">
        <f t="shared" ca="1" si="69"/>
        <v>0</v>
      </c>
      <c r="AG137" s="7">
        <f t="shared" ca="1" si="69"/>
        <v>0</v>
      </c>
      <c r="AH137" s="7">
        <f t="shared" ca="1" si="69"/>
        <v>0</v>
      </c>
      <c r="AI137" s="7">
        <f t="shared" ca="1" si="69"/>
        <v>0</v>
      </c>
      <c r="AJ137" s="7">
        <f t="shared" ca="1" si="69"/>
        <v>0</v>
      </c>
      <c r="AK137" s="7">
        <f t="shared" ca="1" si="69"/>
        <v>0</v>
      </c>
      <c r="AL137" s="7">
        <f t="shared" ca="1" si="69"/>
        <v>0</v>
      </c>
      <c r="AM137" s="7">
        <f t="shared" si="69"/>
        <v>0</v>
      </c>
    </row>
    <row r="138" spans="1:39" x14ac:dyDescent="0.2">
      <c r="A138" s="3" t="s">
        <v>30</v>
      </c>
      <c r="C138" s="7">
        <f t="shared" ref="C138:AM138" ca="1" si="70">IFERROR(-IF(C133=0,VLOOKUP($A132,$8:$12,C$1+2,FALSE),0),0)</f>
        <v>0</v>
      </c>
      <c r="D138" s="101">
        <f t="shared" ca="1" si="70"/>
        <v>0</v>
      </c>
      <c r="E138" s="110">
        <f t="shared" ca="1" si="70"/>
        <v>0</v>
      </c>
      <c r="F138" s="7">
        <f t="shared" ca="1" si="70"/>
        <v>0</v>
      </c>
      <c r="G138" s="7">
        <f t="shared" ca="1" si="70"/>
        <v>0</v>
      </c>
      <c r="H138" s="7">
        <f t="shared" ca="1" si="70"/>
        <v>0</v>
      </c>
      <c r="I138" s="7">
        <f t="shared" ca="1" si="70"/>
        <v>0</v>
      </c>
      <c r="J138" s="7">
        <f t="shared" ca="1" si="70"/>
        <v>0</v>
      </c>
      <c r="K138" s="7">
        <f t="shared" ca="1" si="70"/>
        <v>0</v>
      </c>
      <c r="L138" s="7">
        <f t="shared" ca="1" si="70"/>
        <v>0</v>
      </c>
      <c r="M138" s="7">
        <f t="shared" ca="1" si="70"/>
        <v>0</v>
      </c>
      <c r="N138" s="7">
        <f t="shared" ca="1" si="70"/>
        <v>0</v>
      </c>
      <c r="O138" s="7">
        <f t="shared" ca="1" si="70"/>
        <v>0</v>
      </c>
      <c r="P138" s="7">
        <f t="shared" ca="1" si="70"/>
        <v>0</v>
      </c>
      <c r="Q138" s="7">
        <f t="shared" ca="1" si="70"/>
        <v>0</v>
      </c>
      <c r="R138" s="7">
        <f t="shared" ca="1" si="70"/>
        <v>0</v>
      </c>
      <c r="S138" s="7">
        <f t="shared" ca="1" si="70"/>
        <v>0</v>
      </c>
      <c r="T138" s="7">
        <f t="shared" ca="1" si="70"/>
        <v>0</v>
      </c>
      <c r="U138" s="7">
        <f t="shared" ca="1" si="70"/>
        <v>0</v>
      </c>
      <c r="V138" s="7">
        <f t="shared" ca="1" si="70"/>
        <v>0</v>
      </c>
      <c r="W138" s="7">
        <f t="shared" ca="1" si="70"/>
        <v>0</v>
      </c>
      <c r="X138" s="7">
        <f t="shared" ca="1" si="70"/>
        <v>0</v>
      </c>
      <c r="Y138" s="7">
        <f t="shared" ca="1" si="70"/>
        <v>0</v>
      </c>
      <c r="Z138" s="7">
        <f t="shared" ca="1" si="70"/>
        <v>0</v>
      </c>
      <c r="AA138" s="7">
        <f t="shared" ca="1" si="70"/>
        <v>0</v>
      </c>
      <c r="AB138" s="7">
        <f t="shared" ca="1" si="70"/>
        <v>0</v>
      </c>
      <c r="AC138" s="7">
        <f t="shared" ca="1" si="70"/>
        <v>0</v>
      </c>
      <c r="AD138" s="7">
        <f t="shared" ca="1" si="70"/>
        <v>0</v>
      </c>
      <c r="AE138" s="7">
        <f t="shared" ca="1" si="70"/>
        <v>0</v>
      </c>
      <c r="AF138" s="7">
        <f t="shared" ca="1" si="70"/>
        <v>0</v>
      </c>
      <c r="AG138" s="7">
        <f t="shared" ca="1" si="70"/>
        <v>0</v>
      </c>
      <c r="AH138" s="7">
        <f t="shared" ca="1" si="70"/>
        <v>0</v>
      </c>
      <c r="AI138" s="7">
        <f t="shared" ca="1" si="70"/>
        <v>0</v>
      </c>
      <c r="AJ138" s="7">
        <f t="shared" ca="1" si="70"/>
        <v>0</v>
      </c>
      <c r="AK138" s="7">
        <f t="shared" ca="1" si="70"/>
        <v>0</v>
      </c>
      <c r="AL138" s="7">
        <f t="shared" ca="1" si="70"/>
        <v>0</v>
      </c>
      <c r="AM138" s="7">
        <f t="shared" ca="1" si="70"/>
        <v>0</v>
      </c>
    </row>
    <row r="139" spans="1:39" x14ac:dyDescent="0.2">
      <c r="A139" s="3" t="s">
        <v>49</v>
      </c>
      <c r="C139" s="7">
        <f t="shared" ref="C139:AM139" ca="1" si="71">IFERROR(IF(C133=0,VLOOKUP($A132,$46:$50,C$1+2,FALSE),0),0)</f>
        <v>0</v>
      </c>
      <c r="D139" s="101">
        <f t="shared" ca="1" si="71"/>
        <v>0</v>
      </c>
      <c r="E139" s="110">
        <f t="shared" ca="1" si="71"/>
        <v>0</v>
      </c>
      <c r="F139" s="7">
        <f t="shared" ca="1" si="71"/>
        <v>0</v>
      </c>
      <c r="G139" s="7">
        <f t="shared" ca="1" si="71"/>
        <v>0</v>
      </c>
      <c r="H139" s="7">
        <f t="shared" ca="1" si="71"/>
        <v>0</v>
      </c>
      <c r="I139" s="7">
        <f t="shared" ca="1" si="71"/>
        <v>0</v>
      </c>
      <c r="J139" s="7">
        <f t="shared" ca="1" si="71"/>
        <v>0</v>
      </c>
      <c r="K139" s="7">
        <f t="shared" ca="1" si="71"/>
        <v>0</v>
      </c>
      <c r="L139" s="7">
        <f t="shared" ca="1" si="71"/>
        <v>0</v>
      </c>
      <c r="M139" s="7">
        <f t="shared" ca="1" si="71"/>
        <v>0</v>
      </c>
      <c r="N139" s="7">
        <f t="shared" ca="1" si="71"/>
        <v>0</v>
      </c>
      <c r="O139" s="7">
        <f t="shared" ca="1" si="71"/>
        <v>0</v>
      </c>
      <c r="P139" s="7">
        <f t="shared" ca="1" si="71"/>
        <v>0</v>
      </c>
      <c r="Q139" s="7">
        <f t="shared" ca="1" si="71"/>
        <v>0</v>
      </c>
      <c r="R139" s="7">
        <f t="shared" ca="1" si="71"/>
        <v>0</v>
      </c>
      <c r="S139" s="7">
        <f t="shared" ca="1" si="71"/>
        <v>0</v>
      </c>
      <c r="T139" s="7">
        <f t="shared" ca="1" si="71"/>
        <v>0</v>
      </c>
      <c r="U139" s="7">
        <f t="shared" ca="1" si="71"/>
        <v>0</v>
      </c>
      <c r="V139" s="7">
        <f t="shared" ca="1" si="71"/>
        <v>0</v>
      </c>
      <c r="W139" s="7">
        <f t="shared" ca="1" si="71"/>
        <v>0</v>
      </c>
      <c r="X139" s="7">
        <f t="shared" ca="1" si="71"/>
        <v>0</v>
      </c>
      <c r="Y139" s="7">
        <f t="shared" ca="1" si="71"/>
        <v>0</v>
      </c>
      <c r="Z139" s="7">
        <f t="shared" ca="1" si="71"/>
        <v>0</v>
      </c>
      <c r="AA139" s="7">
        <f t="shared" ca="1" si="71"/>
        <v>0</v>
      </c>
      <c r="AB139" s="7">
        <f t="shared" ca="1" si="71"/>
        <v>0</v>
      </c>
      <c r="AC139" s="7">
        <f t="shared" ca="1" si="71"/>
        <v>0</v>
      </c>
      <c r="AD139" s="7">
        <f t="shared" ca="1" si="71"/>
        <v>0</v>
      </c>
      <c r="AE139" s="7">
        <f t="shared" ca="1" si="71"/>
        <v>0</v>
      </c>
      <c r="AF139" s="7">
        <f t="shared" ca="1" si="71"/>
        <v>0</v>
      </c>
      <c r="AG139" s="7">
        <f t="shared" ca="1" si="71"/>
        <v>0</v>
      </c>
      <c r="AH139" s="7">
        <f t="shared" ca="1" si="71"/>
        <v>0</v>
      </c>
      <c r="AI139" s="7">
        <f t="shared" ca="1" si="71"/>
        <v>0</v>
      </c>
      <c r="AJ139" s="7">
        <f t="shared" ca="1" si="71"/>
        <v>0</v>
      </c>
      <c r="AK139" s="7">
        <f t="shared" ca="1" si="71"/>
        <v>0</v>
      </c>
      <c r="AL139" s="7">
        <f t="shared" ca="1" si="71"/>
        <v>0</v>
      </c>
      <c r="AM139" s="7">
        <f t="shared" ca="1" si="71"/>
        <v>0</v>
      </c>
    </row>
    <row r="140" spans="1:39" x14ac:dyDescent="0.2">
      <c r="A140" s="3" t="s">
        <v>35</v>
      </c>
      <c r="B140" s="14" t="str">
        <f>A132</f>
        <v>Car</v>
      </c>
      <c r="C140" s="7">
        <f t="shared" ref="C140:AM140" ca="1" si="72">IF(AND(C133&gt;0,C136=0),VLOOKUP($A132,$86:$95,C$1+2,FALSE),0)</f>
        <v>-5311.4222222593407</v>
      </c>
      <c r="D140" s="101">
        <f t="shared" ca="1" si="72"/>
        <v>0</v>
      </c>
      <c r="E140" s="110">
        <f t="shared" ca="1" si="72"/>
        <v>0</v>
      </c>
      <c r="F140" s="7">
        <f t="shared" ca="1" si="72"/>
        <v>0</v>
      </c>
      <c r="G140" s="7">
        <f t="shared" ca="1" si="72"/>
        <v>0</v>
      </c>
      <c r="H140" s="7">
        <f t="shared" ca="1" si="72"/>
        <v>0</v>
      </c>
      <c r="I140" s="7">
        <f t="shared" ca="1" si="72"/>
        <v>0</v>
      </c>
      <c r="J140" s="7">
        <f t="shared" ca="1" si="72"/>
        <v>0</v>
      </c>
      <c r="K140" s="7">
        <f t="shared" ca="1" si="72"/>
        <v>0</v>
      </c>
      <c r="L140" s="7">
        <f t="shared" ca="1" si="72"/>
        <v>0</v>
      </c>
      <c r="M140" s="7">
        <f t="shared" ca="1" si="72"/>
        <v>0</v>
      </c>
      <c r="N140" s="7">
        <f t="shared" ca="1" si="72"/>
        <v>0</v>
      </c>
      <c r="O140" s="7">
        <f t="shared" ca="1" si="72"/>
        <v>0</v>
      </c>
      <c r="P140" s="7">
        <f t="shared" ca="1" si="72"/>
        <v>0</v>
      </c>
      <c r="Q140" s="7">
        <f t="shared" ca="1" si="72"/>
        <v>0</v>
      </c>
      <c r="R140" s="7">
        <f t="shared" ca="1" si="72"/>
        <v>0</v>
      </c>
      <c r="S140" s="7">
        <f t="shared" ca="1" si="72"/>
        <v>0</v>
      </c>
      <c r="T140" s="7">
        <f t="shared" ca="1" si="72"/>
        <v>0</v>
      </c>
      <c r="U140" s="7">
        <f t="shared" ca="1" si="72"/>
        <v>0</v>
      </c>
      <c r="V140" s="7">
        <f t="shared" ca="1" si="72"/>
        <v>0</v>
      </c>
      <c r="W140" s="7">
        <f t="shared" ca="1" si="72"/>
        <v>0</v>
      </c>
      <c r="X140" s="7">
        <f t="shared" ca="1" si="72"/>
        <v>0</v>
      </c>
      <c r="Y140" s="7">
        <f t="shared" ca="1" si="72"/>
        <v>0</v>
      </c>
      <c r="Z140" s="7">
        <f t="shared" ca="1" si="72"/>
        <v>0</v>
      </c>
      <c r="AA140" s="7">
        <f t="shared" ca="1" si="72"/>
        <v>0</v>
      </c>
      <c r="AB140" s="7">
        <f t="shared" ca="1" si="72"/>
        <v>0</v>
      </c>
      <c r="AC140" s="7">
        <f t="shared" ca="1" si="72"/>
        <v>0</v>
      </c>
      <c r="AD140" s="7">
        <f t="shared" ca="1" si="72"/>
        <v>0</v>
      </c>
      <c r="AE140" s="7">
        <f t="shared" ca="1" si="72"/>
        <v>0</v>
      </c>
      <c r="AF140" s="7">
        <f t="shared" ca="1" si="72"/>
        <v>0</v>
      </c>
      <c r="AG140" s="7">
        <f t="shared" ca="1" si="72"/>
        <v>0</v>
      </c>
      <c r="AH140" s="7">
        <f t="shared" ca="1" si="72"/>
        <v>0</v>
      </c>
      <c r="AI140" s="7">
        <f t="shared" ca="1" si="72"/>
        <v>0</v>
      </c>
      <c r="AJ140" s="7">
        <f t="shared" ca="1" si="72"/>
        <v>0</v>
      </c>
      <c r="AK140" s="7">
        <f t="shared" ca="1" si="72"/>
        <v>0</v>
      </c>
      <c r="AL140" s="7">
        <f t="shared" ca="1" si="72"/>
        <v>0</v>
      </c>
      <c r="AM140" s="7">
        <f t="shared" ca="1" si="72"/>
        <v>0</v>
      </c>
    </row>
    <row r="141" spans="1:39" x14ac:dyDescent="0.2">
      <c r="A141" s="3" t="s">
        <v>36</v>
      </c>
      <c r="C141" s="7">
        <f ca="1">-C134+SUM(C137:C140)</f>
        <v>32409.193306794376</v>
      </c>
      <c r="D141" s="101">
        <f t="shared" ref="D141" ca="1" si="73">-D134+SUM(D137:D140)</f>
        <v>0</v>
      </c>
      <c r="E141" s="110">
        <f t="shared" ref="E141:AM141" ca="1" si="74">-E134+SUM(E137:E140)</f>
        <v>0</v>
      </c>
      <c r="F141" s="7">
        <f t="shared" ca="1" si="74"/>
        <v>0</v>
      </c>
      <c r="G141" s="7">
        <f t="shared" ca="1" si="74"/>
        <v>0</v>
      </c>
      <c r="H141" s="7">
        <f t="shared" ca="1" si="74"/>
        <v>0</v>
      </c>
      <c r="I141" s="7">
        <f t="shared" ca="1" si="74"/>
        <v>0</v>
      </c>
      <c r="J141" s="7">
        <f t="shared" ca="1" si="74"/>
        <v>0</v>
      </c>
      <c r="K141" s="7">
        <f t="shared" ca="1" si="74"/>
        <v>0</v>
      </c>
      <c r="L141" s="7">
        <f t="shared" ca="1" si="74"/>
        <v>0</v>
      </c>
      <c r="M141" s="7">
        <f t="shared" ca="1" si="74"/>
        <v>0</v>
      </c>
      <c r="N141" s="7">
        <f t="shared" ca="1" si="74"/>
        <v>0</v>
      </c>
      <c r="O141" s="7">
        <f t="shared" ca="1" si="74"/>
        <v>0</v>
      </c>
      <c r="P141" s="7">
        <f t="shared" ca="1" si="74"/>
        <v>0</v>
      </c>
      <c r="Q141" s="7">
        <f t="shared" ca="1" si="74"/>
        <v>0</v>
      </c>
      <c r="R141" s="7">
        <f t="shared" ca="1" si="74"/>
        <v>0</v>
      </c>
      <c r="S141" s="7">
        <f t="shared" ca="1" si="74"/>
        <v>0</v>
      </c>
      <c r="T141" s="7">
        <f t="shared" ca="1" si="74"/>
        <v>0</v>
      </c>
      <c r="U141" s="7">
        <f t="shared" ca="1" si="74"/>
        <v>0</v>
      </c>
      <c r="V141" s="7">
        <f t="shared" ca="1" si="74"/>
        <v>0</v>
      </c>
      <c r="W141" s="7">
        <f t="shared" ca="1" si="74"/>
        <v>0</v>
      </c>
      <c r="X141" s="7">
        <f t="shared" ca="1" si="74"/>
        <v>0</v>
      </c>
      <c r="Y141" s="7">
        <f t="shared" ca="1" si="74"/>
        <v>0</v>
      </c>
      <c r="Z141" s="7">
        <f t="shared" ca="1" si="74"/>
        <v>0</v>
      </c>
      <c r="AA141" s="7">
        <f t="shared" ca="1" si="74"/>
        <v>0</v>
      </c>
      <c r="AB141" s="7">
        <f t="shared" ca="1" si="74"/>
        <v>0</v>
      </c>
      <c r="AC141" s="7">
        <f t="shared" ca="1" si="74"/>
        <v>0</v>
      </c>
      <c r="AD141" s="7">
        <f t="shared" ca="1" si="74"/>
        <v>0</v>
      </c>
      <c r="AE141" s="7">
        <f t="shared" ca="1" si="74"/>
        <v>0</v>
      </c>
      <c r="AF141" s="7">
        <f t="shared" ca="1" si="74"/>
        <v>0</v>
      </c>
      <c r="AG141" s="7">
        <f t="shared" ca="1" si="74"/>
        <v>0</v>
      </c>
      <c r="AH141" s="7">
        <f t="shared" ca="1" si="74"/>
        <v>0</v>
      </c>
      <c r="AI141" s="7">
        <f t="shared" ca="1" si="74"/>
        <v>0</v>
      </c>
      <c r="AJ141" s="7">
        <f t="shared" ca="1" si="74"/>
        <v>0</v>
      </c>
      <c r="AK141" s="7">
        <f t="shared" ca="1" si="74"/>
        <v>0</v>
      </c>
      <c r="AL141" s="7">
        <f t="shared" ca="1" si="74"/>
        <v>0</v>
      </c>
      <c r="AM141" s="7">
        <f t="shared" ca="1" si="74"/>
        <v>0</v>
      </c>
    </row>
    <row r="142" spans="1:39" x14ac:dyDescent="0.2">
      <c r="A142" s="3"/>
      <c r="C142" s="7"/>
      <c r="D142" s="101"/>
      <c r="E142" s="110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  <c r="AG142" s="7"/>
      <c r="AH142" s="7"/>
      <c r="AI142" s="7"/>
      <c r="AJ142" s="7"/>
      <c r="AK142" s="7"/>
      <c r="AL142" s="7"/>
      <c r="AM142" s="7"/>
    </row>
    <row r="143" spans="1:39" x14ac:dyDescent="0.2">
      <c r="A143" s="3" t="s">
        <v>70</v>
      </c>
      <c r="C143" s="7">
        <f ca="1">C129+SUM($C141:C141)</f>
        <v>59060.505379717695</v>
      </c>
      <c r="D143" s="101">
        <f ca="1">D129+SUM($C141:D141)</f>
        <v>23062.980400398108</v>
      </c>
      <c r="E143" s="110">
        <f ca="1">E129+SUM($C141:E141)</f>
        <v>-43875.982099601883</v>
      </c>
      <c r="F143" s="7">
        <f ca="1">F129+SUM($C141:F141)</f>
        <v>-131734.74145522946</v>
      </c>
      <c r="G143" s="7">
        <f ca="1">G129+SUM($C141:G141)</f>
        <v>-28519.464527877593</v>
      </c>
      <c r="H143" s="7">
        <f ca="1">H129+SUM($C141:H141)</f>
        <v>-82722.821387667136</v>
      </c>
      <c r="I143" s="7">
        <f ca="1">I129+SUM($C141:I141)</f>
        <v>-120871.07102313954</v>
      </c>
      <c r="J143" s="7">
        <f ca="1">J129+SUM($C141:J141)</f>
        <v>-159044.26948236709</v>
      </c>
      <c r="K143" s="7">
        <f ca="1">K129+SUM($C141:K141)</f>
        <v>-215030.47847997671</v>
      </c>
      <c r="L143" s="7">
        <f ca="1">L129+SUM($C141:L141)</f>
        <v>-189518.62197186</v>
      </c>
      <c r="M143" s="7">
        <f ca="1">M129+SUM($C141:M141)</f>
        <v>-257776.49546566082</v>
      </c>
      <c r="N143" s="7">
        <f ca="1">N129+SUM($C141:N141)</f>
        <v>-277672.37581382319</v>
      </c>
      <c r="O143" s="7">
        <f ca="1">O129+SUM($C141:O141)</f>
        <v>-297850.2317745582</v>
      </c>
      <c r="P143" s="7">
        <f ca="1">P129+SUM($C141:P141)</f>
        <v>-318310.65009629598</v>
      </c>
      <c r="Q143" s="7">
        <f ca="1">Q129+SUM($C141:Q141)</f>
        <v>-339054.03831692145</v>
      </c>
      <c r="R143" s="7">
        <f ca="1">R129+SUM($C141:R141)</f>
        <v>-360080.61446713191</v>
      </c>
      <c r="S143" s="7">
        <f ca="1">S129+SUM($C141:S141)</f>
        <v>-381390.39634188917</v>
      </c>
      <c r="T143" s="7">
        <f ca="1">T129+SUM($C141:T141)</f>
        <v>-385941.06579874735</v>
      </c>
      <c r="U143" s="7">
        <f ca="1">U129+SUM($C141:U141)</f>
        <v>-382549.9839907221</v>
      </c>
      <c r="V143" s="7">
        <f ca="1">V129+SUM($C141:V141)</f>
        <v>-378809.18399234081</v>
      </c>
      <c r="W143" s="7">
        <f ca="1">W129+SUM($C141:W141)</f>
        <v>-374701.97461448982</v>
      </c>
      <c r="X143" s="7">
        <f ca="1">X129+SUM($C141:X141)</f>
        <v>-370211.00894129719</v>
      </c>
      <c r="Y143" s="7">
        <f ca="1">Y129+SUM($C141:Y141)</f>
        <v>-385977.11755451362</v>
      </c>
      <c r="Z143" s="7">
        <f ca="1">Z129+SUM($C141:Z141)</f>
        <v>-401839.18529005651</v>
      </c>
      <c r="AA143" s="7">
        <f ca="1">AA129+SUM($C141:AA141)</f>
        <v>-417790.66531819373</v>
      </c>
      <c r="AB143" s="7">
        <f ca="1">AB129+SUM($C141:AB141)</f>
        <v>-433824.57876421663</v>
      </c>
      <c r="AC143" s="7">
        <f ca="1">AC129+SUM($C141:AC141)</f>
        <v>-449933.49585608754</v>
      </c>
      <c r="AD143" s="7">
        <f ca="1">AD129+SUM($C141:AD141)</f>
        <v>-466109.51635924377</v>
      </c>
      <c r="AE143" s="7">
        <f ca="1">AE129+SUM($C141:AE141)</f>
        <v>-472361.77417970099</v>
      </c>
      <c r="AF143" s="7">
        <f ca="1">AF129+SUM($C141:AF141)</f>
        <v>-478414.27970113303</v>
      </c>
      <c r="AG143" s="7">
        <f ca="1">AG129+SUM($C141:AG141)</f>
        <v>-484251.35735372815</v>
      </c>
      <c r="AH143" s="7">
        <f ca="1">AH129+SUM($C141:AH141)</f>
        <v>-489856.61922555929</v>
      </c>
      <c r="AI143" s="7">
        <f ca="1">AI129+SUM($C141:AI141)</f>
        <v>-495212.93764044484</v>
      </c>
      <c r="AJ143" s="7">
        <f ca="1">AJ129+SUM($C141:AJ141)</f>
        <v>-500302.41676184908</v>
      </c>
      <c r="AK143" s="7">
        <f ca="1">AK129+SUM($C141:AK141)</f>
        <v>-505106.36318981939</v>
      </c>
      <c r="AL143" s="7">
        <f ca="1">AL129+SUM($C141:AL141)</f>
        <v>-509605.25551687577</v>
      </c>
      <c r="AM143" s="7">
        <f ca="1">AM129+SUM($C141:AM141)</f>
        <v>-513778.71280764695</v>
      </c>
    </row>
    <row r="144" spans="1:39" x14ac:dyDescent="0.2">
      <c r="A144" s="3" t="s">
        <v>67</v>
      </c>
      <c r="C144" s="7">
        <f t="shared" ref="C144:AM144" ca="1" si="75">MAX(C143+buffer,0)-MAX(C129+buffer,0)</f>
        <v>32409.193306794376</v>
      </c>
      <c r="D144" s="101">
        <f t="shared" ca="1" si="75"/>
        <v>32409.193306794376</v>
      </c>
      <c r="E144" s="110">
        <f t="shared" ca="1" si="75"/>
        <v>6124.0179003981175</v>
      </c>
      <c r="F144" s="7">
        <f t="shared" ca="1" si="75"/>
        <v>0</v>
      </c>
      <c r="G144" s="7">
        <f t="shared" ca="1" si="75"/>
        <v>21480.535472122407</v>
      </c>
      <c r="H144" s="7">
        <f t="shared" ca="1" si="75"/>
        <v>0</v>
      </c>
      <c r="I144" s="7">
        <f t="shared" ca="1" si="75"/>
        <v>0</v>
      </c>
      <c r="J144" s="7">
        <f t="shared" ca="1" si="75"/>
        <v>0</v>
      </c>
      <c r="K144" s="7">
        <f t="shared" ca="1" si="75"/>
        <v>0</v>
      </c>
      <c r="L144" s="7">
        <f t="shared" ca="1" si="75"/>
        <v>0</v>
      </c>
      <c r="M144" s="7">
        <f t="shared" ca="1" si="75"/>
        <v>0</v>
      </c>
      <c r="N144" s="7">
        <f t="shared" ca="1" si="75"/>
        <v>0</v>
      </c>
      <c r="O144" s="7">
        <f t="shared" ca="1" si="75"/>
        <v>0</v>
      </c>
      <c r="P144" s="7">
        <f t="shared" ca="1" si="75"/>
        <v>0</v>
      </c>
      <c r="Q144" s="7">
        <f t="shared" ca="1" si="75"/>
        <v>0</v>
      </c>
      <c r="R144" s="7">
        <f t="shared" ca="1" si="75"/>
        <v>0</v>
      </c>
      <c r="S144" s="7">
        <f t="shared" ca="1" si="75"/>
        <v>0</v>
      </c>
      <c r="T144" s="7">
        <f t="shared" ca="1" si="75"/>
        <v>0</v>
      </c>
      <c r="U144" s="7">
        <f t="shared" ca="1" si="75"/>
        <v>0</v>
      </c>
      <c r="V144" s="7">
        <f t="shared" ca="1" si="75"/>
        <v>0</v>
      </c>
      <c r="W144" s="7">
        <f t="shared" ca="1" si="75"/>
        <v>0</v>
      </c>
      <c r="X144" s="7">
        <f t="shared" ca="1" si="75"/>
        <v>0</v>
      </c>
      <c r="Y144" s="7">
        <f t="shared" ca="1" si="75"/>
        <v>0</v>
      </c>
      <c r="Z144" s="7">
        <f t="shared" ca="1" si="75"/>
        <v>0</v>
      </c>
      <c r="AA144" s="7">
        <f t="shared" ca="1" si="75"/>
        <v>0</v>
      </c>
      <c r="AB144" s="7">
        <f t="shared" ca="1" si="75"/>
        <v>0</v>
      </c>
      <c r="AC144" s="7">
        <f t="shared" ca="1" si="75"/>
        <v>0</v>
      </c>
      <c r="AD144" s="7">
        <f t="shared" ca="1" si="75"/>
        <v>0</v>
      </c>
      <c r="AE144" s="7">
        <f t="shared" ca="1" si="75"/>
        <v>0</v>
      </c>
      <c r="AF144" s="7">
        <f t="shared" ca="1" si="75"/>
        <v>0</v>
      </c>
      <c r="AG144" s="7">
        <f t="shared" ca="1" si="75"/>
        <v>0</v>
      </c>
      <c r="AH144" s="7">
        <f t="shared" ca="1" si="75"/>
        <v>0</v>
      </c>
      <c r="AI144" s="7">
        <f t="shared" ca="1" si="75"/>
        <v>0</v>
      </c>
      <c r="AJ144" s="7">
        <f t="shared" ca="1" si="75"/>
        <v>0</v>
      </c>
      <c r="AK144" s="7">
        <f t="shared" ca="1" si="75"/>
        <v>0</v>
      </c>
      <c r="AL144" s="7">
        <f t="shared" ca="1" si="75"/>
        <v>0</v>
      </c>
      <c r="AM144" s="7">
        <f t="shared" ca="1" si="75"/>
        <v>0</v>
      </c>
    </row>
    <row r="145" spans="1:39" x14ac:dyDescent="0.2">
      <c r="A145" s="3" t="s">
        <v>68</v>
      </c>
      <c r="C145" s="7">
        <f ca="1">C144*Inputs!$B$270</f>
        <v>810.22983266985943</v>
      </c>
      <c r="D145" s="101">
        <f ca="1">D144*Inputs!$B$270</f>
        <v>810.22983266985943</v>
      </c>
      <c r="E145" s="110">
        <f ca="1">E144*Inputs!$B$270</f>
        <v>153.10044750995294</v>
      </c>
      <c r="F145" s="7">
        <f ca="1">F144*Inputs!$B$270</f>
        <v>0</v>
      </c>
      <c r="G145" s="7">
        <f ca="1">G144*Inputs!$B$270</f>
        <v>537.01338680306014</v>
      </c>
      <c r="H145" s="7">
        <f ca="1">H144*Inputs!$B$270</f>
        <v>0</v>
      </c>
      <c r="I145" s="7">
        <f ca="1">I144*Inputs!$B$270</f>
        <v>0</v>
      </c>
      <c r="J145" s="7">
        <f ca="1">J144*Inputs!$B$270</f>
        <v>0</v>
      </c>
      <c r="K145" s="7">
        <f ca="1">K144*Inputs!$B$270</f>
        <v>0</v>
      </c>
      <c r="L145" s="7">
        <f ca="1">L144*Inputs!$B$270</f>
        <v>0</v>
      </c>
      <c r="M145" s="7">
        <f ca="1">M144*Inputs!$B$270</f>
        <v>0</v>
      </c>
      <c r="N145" s="7">
        <f ca="1">N144*Inputs!$B$270</f>
        <v>0</v>
      </c>
      <c r="O145" s="7">
        <f ca="1">O144*Inputs!$B$270</f>
        <v>0</v>
      </c>
      <c r="P145" s="7">
        <f ca="1">P144*Inputs!$B$270</f>
        <v>0</v>
      </c>
      <c r="Q145" s="7">
        <f ca="1">Q144*Inputs!$B$270</f>
        <v>0</v>
      </c>
      <c r="R145" s="7">
        <f ca="1">R144*Inputs!$B$270</f>
        <v>0</v>
      </c>
      <c r="S145" s="7">
        <f ca="1">S144*Inputs!$B$270</f>
        <v>0</v>
      </c>
      <c r="T145" s="7">
        <f ca="1">T144*Inputs!$B$270</f>
        <v>0</v>
      </c>
      <c r="U145" s="7">
        <f ca="1">U144*Inputs!$B$270</f>
        <v>0</v>
      </c>
      <c r="V145" s="7">
        <f ca="1">V144*Inputs!$B$270</f>
        <v>0</v>
      </c>
      <c r="W145" s="7">
        <f ca="1">W144*Inputs!$B$270</f>
        <v>0</v>
      </c>
      <c r="X145" s="7">
        <f ca="1">X144*Inputs!$B$270</f>
        <v>0</v>
      </c>
      <c r="Y145" s="7">
        <f ca="1">Y144*Inputs!$B$270</f>
        <v>0</v>
      </c>
      <c r="Z145" s="7">
        <f ca="1">Z144*Inputs!$B$270</f>
        <v>0</v>
      </c>
      <c r="AA145" s="7">
        <f ca="1">AA144*Inputs!$B$270</f>
        <v>0</v>
      </c>
      <c r="AB145" s="7">
        <f ca="1">AB144*Inputs!$B$270</f>
        <v>0</v>
      </c>
      <c r="AC145" s="7">
        <f ca="1">AC144*Inputs!$B$270</f>
        <v>0</v>
      </c>
      <c r="AD145" s="7">
        <f ca="1">AD144*Inputs!$B$270</f>
        <v>0</v>
      </c>
      <c r="AE145" s="7">
        <f ca="1">AE144*Inputs!$B$270</f>
        <v>0</v>
      </c>
      <c r="AF145" s="7">
        <f ca="1">AF144*Inputs!$B$270</f>
        <v>0</v>
      </c>
      <c r="AG145" s="7">
        <f ca="1">AG144*Inputs!$B$270</f>
        <v>0</v>
      </c>
      <c r="AH145" s="7">
        <f ca="1">AH144*Inputs!$B$270</f>
        <v>0</v>
      </c>
      <c r="AI145" s="7">
        <f ca="1">AI144*Inputs!$B$270</f>
        <v>0</v>
      </c>
      <c r="AJ145" s="7">
        <f ca="1">AJ144*Inputs!$B$270</f>
        <v>0</v>
      </c>
      <c r="AK145" s="7">
        <f ca="1">AK144*Inputs!$B$270</f>
        <v>0</v>
      </c>
      <c r="AL145" s="7">
        <f ca="1">AL144*Inputs!$B$270</f>
        <v>0</v>
      </c>
      <c r="AM145" s="7">
        <f ca="1">AM144*Inputs!$B$270</f>
        <v>0</v>
      </c>
    </row>
    <row r="146" spans="1:39" x14ac:dyDescent="0.2">
      <c r="A146" s="3" t="s">
        <v>149</v>
      </c>
      <c r="C146" s="7">
        <f ca="1">C143+SUM($C145:C145)</f>
        <v>59870.735212387553</v>
      </c>
      <c r="D146" s="101">
        <f ca="1">D143+SUM($C145:D145)</f>
        <v>24683.440065737828</v>
      </c>
      <c r="E146" s="110">
        <f ca="1">E143+SUM($C145:E145)</f>
        <v>-42102.421986752212</v>
      </c>
      <c r="F146" s="7">
        <f ca="1">F143+SUM($C145:F145)</f>
        <v>-129961.18134237979</v>
      </c>
      <c r="G146" s="7">
        <f ca="1">G143+SUM($C145:G145)</f>
        <v>-26208.891028224862</v>
      </c>
      <c r="H146" s="7">
        <f ca="1">H143+SUM($C145:H145)</f>
        <v>-80412.247888014404</v>
      </c>
      <c r="I146" s="7">
        <f ca="1">I143+SUM($C145:I145)</f>
        <v>-118560.4975234868</v>
      </c>
      <c r="J146" s="7">
        <f ca="1">J143+SUM($C145:J145)</f>
        <v>-156733.69598271436</v>
      </c>
      <c r="K146" s="7">
        <f ca="1">K143+SUM($C145:K145)</f>
        <v>-212719.90498032398</v>
      </c>
      <c r="L146" s="7">
        <f ca="1">L143+SUM($C145:L145)</f>
        <v>-187208.04847220727</v>
      </c>
      <c r="M146" s="7">
        <f ca="1">M143+SUM($C145:M145)</f>
        <v>-255465.92196600809</v>
      </c>
      <c r="N146" s="7">
        <f ca="1">N143+SUM($C145:N145)</f>
        <v>-275361.80231417046</v>
      </c>
      <c r="O146" s="7">
        <f ca="1">O143+SUM($C145:O145)</f>
        <v>-295539.65827490547</v>
      </c>
      <c r="P146" s="7">
        <f ca="1">P143+SUM($C145:P145)</f>
        <v>-316000.07659664325</v>
      </c>
      <c r="Q146" s="7">
        <f ca="1">Q143+SUM($C145:Q145)</f>
        <v>-336743.46481726872</v>
      </c>
      <c r="R146" s="7">
        <f ca="1">R143+SUM($C145:R145)</f>
        <v>-357770.04096747917</v>
      </c>
      <c r="S146" s="7">
        <f ca="1">S143+SUM($C145:S145)</f>
        <v>-379079.82284223643</v>
      </c>
      <c r="T146" s="7">
        <f ca="1">T143+SUM($C145:T145)</f>
        <v>-383630.49229909462</v>
      </c>
      <c r="U146" s="7">
        <f ca="1">U143+SUM($C145:U145)</f>
        <v>-380239.41049106937</v>
      </c>
      <c r="V146" s="7">
        <f ca="1">V143+SUM($C145:V145)</f>
        <v>-376498.61049268808</v>
      </c>
      <c r="W146" s="7">
        <f ca="1">W143+SUM($C145:W145)</f>
        <v>-372391.40111483709</v>
      </c>
      <c r="X146" s="7">
        <f ca="1">X143+SUM($C145:X145)</f>
        <v>-367900.43544164445</v>
      </c>
      <c r="Y146" s="7">
        <f ca="1">Y143+SUM($C145:Y145)</f>
        <v>-383666.54405486089</v>
      </c>
      <c r="Z146" s="7">
        <f ca="1">Z143+SUM($C145:Z145)</f>
        <v>-399528.61179040378</v>
      </c>
      <c r="AA146" s="7">
        <f ca="1">AA143+SUM($C145:AA145)</f>
        <v>-415480.091818541</v>
      </c>
      <c r="AB146" s="7">
        <f ca="1">AB143+SUM($C145:AB145)</f>
        <v>-431514.00526456389</v>
      </c>
      <c r="AC146" s="7">
        <f ca="1">AC143+SUM($C145:AC145)</f>
        <v>-447622.92235643481</v>
      </c>
      <c r="AD146" s="7">
        <f ca="1">AD143+SUM($C145:AD145)</f>
        <v>-463798.94285959104</v>
      </c>
      <c r="AE146" s="7">
        <f ca="1">AE143+SUM($C145:AE145)</f>
        <v>-470051.20068004826</v>
      </c>
      <c r="AF146" s="7">
        <f ca="1">AF143+SUM($C145:AF145)</f>
        <v>-476103.70620148029</v>
      </c>
      <c r="AG146" s="7">
        <f ca="1">AG143+SUM($C145:AG145)</f>
        <v>-481940.78385407542</v>
      </c>
      <c r="AH146" s="7">
        <f ca="1">AH143+SUM($C145:AH145)</f>
        <v>-487546.04572590656</v>
      </c>
      <c r="AI146" s="7">
        <f ca="1">AI143+SUM($C145:AI145)</f>
        <v>-492902.36414079211</v>
      </c>
      <c r="AJ146" s="7">
        <f ca="1">AJ143+SUM($C145:AJ145)</f>
        <v>-497991.84326219634</v>
      </c>
      <c r="AK146" s="7">
        <f ca="1">AK143+SUM($C145:AK145)</f>
        <v>-502795.78969016665</v>
      </c>
      <c r="AL146" s="7">
        <f ca="1">AL143+SUM($C145:AL145)</f>
        <v>-507294.68201722304</v>
      </c>
      <c r="AM146" s="7">
        <f ca="1">AM143+SUM($C145:AM145)</f>
        <v>-511468.13930799422</v>
      </c>
    </row>
    <row r="147" spans="1:39" x14ac:dyDescent="0.2">
      <c r="A147" s="3" t="s">
        <v>19</v>
      </c>
      <c r="C147" s="7">
        <f ca="1">IF(C146&lt;0,-C146,0)</f>
        <v>0</v>
      </c>
      <c r="D147" s="101">
        <f ca="1">IF(D146+SUM($C147:C147)&lt;0,-(D146+SUM($C147:C147)),0)</f>
        <v>0</v>
      </c>
      <c r="E147" s="110">
        <f ca="1">IF(E146+SUM($C147:D147)&lt;0,-(E146+SUM($C147:D147)),0)</f>
        <v>42102.421986752212</v>
      </c>
      <c r="F147" s="7">
        <f ca="1">IF(F146+SUM($C147:E147)&lt;0,-(F146+SUM($C147:E147)),0)</f>
        <v>87858.759355627582</v>
      </c>
      <c r="G147" s="7">
        <f ca="1">IF(G146+SUM($C147:F147)&lt;0,-(G146+SUM($C147:F147)),0)</f>
        <v>0</v>
      </c>
      <c r="H147" s="7">
        <f ca="1">IF(H146+SUM($C147:G147)&lt;0,-(H146+SUM($C147:G147)),0)</f>
        <v>0</v>
      </c>
      <c r="I147" s="7">
        <f ca="1">IF(I146+SUM($C147:H147)&lt;0,-(I146+SUM($C147:H147)),0)</f>
        <v>0</v>
      </c>
      <c r="J147" s="7">
        <f ca="1">IF(J146+SUM($C147:I147)&lt;0,-(J146+SUM($C147:I147)),0)</f>
        <v>26772.514640334557</v>
      </c>
      <c r="K147" s="7">
        <f ca="1">IF(K146+SUM($C147:J147)&lt;0,-(K146+SUM($C147:J147)),0)</f>
        <v>55986.208997609618</v>
      </c>
      <c r="L147" s="7">
        <f ca="1">IF(L146+SUM($C147:K147)&lt;0,-(L146+SUM($C147:K147)),0)</f>
        <v>0</v>
      </c>
      <c r="M147" s="7">
        <f ca="1">IF(M146+SUM($C147:L147)&lt;0,-(M146+SUM($C147:L147)),0)</f>
        <v>42746.016985684109</v>
      </c>
      <c r="N147" s="7">
        <f ca="1">IF(N146+SUM($C147:M147)&lt;0,-(N146+SUM($C147:M147)),0)</f>
        <v>19895.880348162376</v>
      </c>
      <c r="O147" s="7">
        <f ca="1">IF(O146+SUM($C147:N147)&lt;0,-(O146+SUM($C147:N147)),0)</f>
        <v>20177.855960735003</v>
      </c>
      <c r="P147" s="7">
        <f ca="1">IF(P146+SUM($C147:O147)&lt;0,-(P146+SUM($C147:O147)),0)</f>
        <v>20460.418321737787</v>
      </c>
      <c r="Q147" s="7">
        <f ca="1">IF(Q146+SUM($C147:P147)&lt;0,-(Q146+SUM($C147:P147)),0)</f>
        <v>20743.388220625464</v>
      </c>
      <c r="R147" s="7">
        <f ca="1">IF(R146+SUM($C147:Q147)&lt;0,-(R146+SUM($C147:Q147)),0)</f>
        <v>21026.576150210458</v>
      </c>
      <c r="S147" s="7">
        <f ca="1">IF(S146+SUM($C147:R147)&lt;0,-(S146+SUM($C147:R147)),0)</f>
        <v>21309.78187475726</v>
      </c>
      <c r="T147" s="7">
        <f ca="1">IF(T146+SUM($C147:S147)&lt;0,-(T146+SUM($C147:S147)),0)</f>
        <v>4550.6694568581879</v>
      </c>
      <c r="U147" s="7">
        <f ca="1">IF(U146+SUM($C147:T147)&lt;0,-(U146+SUM($C147:T147)),0)</f>
        <v>0</v>
      </c>
      <c r="V147" s="7">
        <f ca="1">IF(V146+SUM($C147:U147)&lt;0,-(V146+SUM($C147:U147)),0)</f>
        <v>0</v>
      </c>
      <c r="W147" s="7">
        <f ca="1">IF(W146+SUM($C147:V147)&lt;0,-(W146+SUM($C147:V147)),0)</f>
        <v>0</v>
      </c>
      <c r="X147" s="7">
        <f ca="1">IF(X146+SUM($C147:W147)&lt;0,-(X146+SUM($C147:W147)),0)</f>
        <v>0</v>
      </c>
      <c r="Y147" s="7">
        <f ca="1">IF(Y146+SUM($C147:X147)&lt;0,-(Y146+SUM($C147:X147)),0)</f>
        <v>36.051755766267888</v>
      </c>
      <c r="Z147" s="7">
        <f ca="1">IF(Z146+SUM($C147:Y147)&lt;0,-(Z146+SUM($C147:Y147)),0)</f>
        <v>15862.067735542892</v>
      </c>
      <c r="AA147" s="7">
        <f ca="1">IF(AA146+SUM($C147:Z147)&lt;0,-(AA146+SUM($C147:Z147)),0)</f>
        <v>15951.480028137215</v>
      </c>
      <c r="AB147" s="7">
        <f ca="1">IF(AB146+SUM($C147:AA147)&lt;0,-(AB146+SUM($C147:AA147)),0)</f>
        <v>16033.913446022896</v>
      </c>
      <c r="AC147" s="7">
        <f ca="1">IF(AC146+SUM($C147:AB147)&lt;0,-(AC146+SUM($C147:AB147)),0)</f>
        <v>16108.917091870913</v>
      </c>
      <c r="AD147" s="7">
        <f ca="1">IF(AD146+SUM($C147:AC147)&lt;0,-(AD146+SUM($C147:AC147)),0)</f>
        <v>16176.020503156236</v>
      </c>
      <c r="AE147" s="7">
        <f ca="1">IF(AE146+SUM($C147:AD147)&lt;0,-(AE146+SUM($C147:AD147)),0)</f>
        <v>6252.2578204572201</v>
      </c>
      <c r="AF147" s="7">
        <f ca="1">IF(AF146+SUM($C147:AE147)&lt;0,-(AF146+SUM($C147:AE147)),0)</f>
        <v>6052.5055214320309</v>
      </c>
      <c r="AG147" s="7">
        <f ca="1">IF(AG146+SUM($C147:AF147)&lt;0,-(AG146+SUM($C147:AF147)),0)</f>
        <v>5837.0776525951223</v>
      </c>
      <c r="AH147" s="7">
        <f ca="1">IF(AH146+SUM($C147:AG147)&lt;0,-(AH146+SUM($C147:AG147)),0)</f>
        <v>5605.2618718311423</v>
      </c>
      <c r="AI147" s="7">
        <f ca="1">IF(AI146+SUM($C147:AH147)&lt;0,-(AI146+SUM($C147:AH147)),0)</f>
        <v>5356.3184148855507</v>
      </c>
      <c r="AJ147" s="7">
        <f ca="1">IF(AJ146+SUM($C147:AI147)&lt;0,-(AJ146+SUM($C147:AI147)),0)</f>
        <v>5089.4791214042343</v>
      </c>
      <c r="AK147" s="7">
        <f ca="1">IF(AK146+SUM($C147:AJ147)&lt;0,-(AK146+SUM($C147:AJ147)),0)</f>
        <v>4803.9464279703097</v>
      </c>
      <c r="AL147" s="7">
        <f ca="1">IF(AL146+SUM($C147:AK147)&lt;0,-(AL146+SUM($C147:AK147)),0)</f>
        <v>4498.8923270563828</v>
      </c>
      <c r="AM147" s="7">
        <f ca="1">IF(AM146+SUM($C147:AL147)&lt;0,-(AM146+SUM($C147:AL147)),0)</f>
        <v>4173.4572907711845</v>
      </c>
    </row>
    <row r="148" spans="1:39" x14ac:dyDescent="0.2">
      <c r="C148" s="7"/>
      <c r="D148" s="101"/>
      <c r="E148" s="110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  <c r="AG148" s="7"/>
      <c r="AH148" s="7"/>
      <c r="AI148" s="7"/>
      <c r="AJ148" s="7"/>
      <c r="AK148" s="7"/>
      <c r="AL148" s="7"/>
      <c r="AM148" s="7"/>
    </row>
    <row r="149" spans="1:39" x14ac:dyDescent="0.2">
      <c r="A149" s="24" t="str">
        <f>IF(Inputs!$B$290=6,IFERROR(_xlfn.XLOOKUP($B149,Inputs!$B$291:$B$300,Inputs!$A$291:$A$300,,0,1),""),IFERROR(_xlfn.XLOOKUP($B149,Inputs!$C$291:$C$300,Inputs!$A$291:$A$300,,0,1),""))</f>
        <v>Jewelry</v>
      </c>
      <c r="B149" s="26">
        <v>3</v>
      </c>
      <c r="C149" s="7"/>
      <c r="D149" s="101"/>
      <c r="E149" s="110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/>
      <c r="AG149" s="7"/>
      <c r="AH149" s="7"/>
      <c r="AI149" s="7"/>
      <c r="AJ149" s="7"/>
      <c r="AK149" s="7"/>
      <c r="AL149" s="7"/>
      <c r="AM149" s="7"/>
    </row>
    <row r="150" spans="1:39" x14ac:dyDescent="0.2">
      <c r="A150" s="3" t="s">
        <v>21</v>
      </c>
      <c r="C150" s="7">
        <f ca="1">IFERROR(VLOOKUP($A149,$A$68:$H$97,C$1+2,FALSE),0)</f>
        <v>50748.140451472013</v>
      </c>
      <c r="D150" s="101">
        <f ca="1">C153</f>
        <v>50748.140451472013</v>
      </c>
      <c r="E150" s="110">
        <f t="shared" ref="E150:AM150" ca="1" si="76">D153</f>
        <v>0</v>
      </c>
      <c r="F150" s="7">
        <f t="shared" ca="1" si="76"/>
        <v>0</v>
      </c>
      <c r="G150" s="7">
        <f t="shared" ca="1" si="76"/>
        <v>0</v>
      </c>
      <c r="H150" s="7">
        <f t="shared" ca="1" si="76"/>
        <v>0</v>
      </c>
      <c r="I150" s="7">
        <f t="shared" ca="1" si="76"/>
        <v>0</v>
      </c>
      <c r="J150" s="7">
        <f t="shared" ca="1" si="76"/>
        <v>0</v>
      </c>
      <c r="K150" s="7">
        <f t="shared" ca="1" si="76"/>
        <v>0</v>
      </c>
      <c r="L150" s="7">
        <f t="shared" ca="1" si="76"/>
        <v>0</v>
      </c>
      <c r="M150" s="7">
        <f t="shared" ca="1" si="76"/>
        <v>0</v>
      </c>
      <c r="N150" s="7">
        <f t="shared" ca="1" si="76"/>
        <v>0</v>
      </c>
      <c r="O150" s="7">
        <f t="shared" ca="1" si="76"/>
        <v>0</v>
      </c>
      <c r="P150" s="7">
        <f t="shared" ca="1" si="76"/>
        <v>0</v>
      </c>
      <c r="Q150" s="7">
        <f t="shared" ca="1" si="76"/>
        <v>0</v>
      </c>
      <c r="R150" s="7">
        <f t="shared" ca="1" si="76"/>
        <v>0</v>
      </c>
      <c r="S150" s="7">
        <f t="shared" ca="1" si="76"/>
        <v>0</v>
      </c>
      <c r="T150" s="7">
        <f t="shared" ca="1" si="76"/>
        <v>0</v>
      </c>
      <c r="U150" s="7">
        <f t="shared" ca="1" si="76"/>
        <v>0</v>
      </c>
      <c r="V150" s="7">
        <f t="shared" ca="1" si="76"/>
        <v>0</v>
      </c>
      <c r="W150" s="7">
        <f t="shared" ca="1" si="76"/>
        <v>0</v>
      </c>
      <c r="X150" s="7">
        <f t="shared" ca="1" si="76"/>
        <v>0</v>
      </c>
      <c r="Y150" s="7">
        <f t="shared" ca="1" si="76"/>
        <v>0</v>
      </c>
      <c r="Z150" s="7">
        <f t="shared" ca="1" si="76"/>
        <v>0</v>
      </c>
      <c r="AA150" s="7">
        <f t="shared" ca="1" si="76"/>
        <v>0</v>
      </c>
      <c r="AB150" s="7">
        <f t="shared" ca="1" si="76"/>
        <v>0</v>
      </c>
      <c r="AC150" s="7">
        <f t="shared" ca="1" si="76"/>
        <v>0</v>
      </c>
      <c r="AD150" s="7">
        <f t="shared" ca="1" si="76"/>
        <v>0</v>
      </c>
      <c r="AE150" s="7">
        <f t="shared" ca="1" si="76"/>
        <v>0</v>
      </c>
      <c r="AF150" s="7">
        <f t="shared" ca="1" si="76"/>
        <v>0</v>
      </c>
      <c r="AG150" s="7">
        <f t="shared" ca="1" si="76"/>
        <v>0</v>
      </c>
      <c r="AH150" s="7">
        <f t="shared" ca="1" si="76"/>
        <v>0</v>
      </c>
      <c r="AI150" s="7">
        <f t="shared" ca="1" si="76"/>
        <v>0</v>
      </c>
      <c r="AJ150" s="7">
        <f t="shared" ca="1" si="76"/>
        <v>0</v>
      </c>
      <c r="AK150" s="7">
        <f t="shared" ca="1" si="76"/>
        <v>0</v>
      </c>
      <c r="AL150" s="7">
        <f t="shared" ca="1" si="76"/>
        <v>0</v>
      </c>
      <c r="AM150" s="7">
        <f t="shared" ca="1" si="76"/>
        <v>0</v>
      </c>
    </row>
    <row r="151" spans="1:39" x14ac:dyDescent="0.2">
      <c r="A151" s="3" t="s">
        <v>22</v>
      </c>
      <c r="C151" s="7">
        <f ca="1">-IF(D147&gt;0,C150,0)</f>
        <v>0</v>
      </c>
      <c r="D151" s="101">
        <f ca="1">-IF(E147&gt;0,D150,0)</f>
        <v>-50748.140451472013</v>
      </c>
      <c r="E151" s="110">
        <f ca="1">-IF(F147&gt;0,E150,0)</f>
        <v>0</v>
      </c>
      <c r="F151" s="7">
        <f ca="1">-IF(G147&gt;0,F150,0)</f>
        <v>0</v>
      </c>
      <c r="G151" s="7">
        <f t="shared" ref="G151:AM151" ca="1" si="77">-IF(H147&gt;0,G150,0)</f>
        <v>0</v>
      </c>
      <c r="H151" s="7">
        <f t="shared" ca="1" si="77"/>
        <v>0</v>
      </c>
      <c r="I151" s="7">
        <f t="shared" ca="1" si="77"/>
        <v>0</v>
      </c>
      <c r="J151" s="7">
        <f t="shared" ca="1" si="77"/>
        <v>0</v>
      </c>
      <c r="K151" s="7">
        <f t="shared" ca="1" si="77"/>
        <v>0</v>
      </c>
      <c r="L151" s="7">
        <f t="shared" ca="1" si="77"/>
        <v>0</v>
      </c>
      <c r="M151" s="7">
        <f t="shared" ca="1" si="77"/>
        <v>0</v>
      </c>
      <c r="N151" s="7">
        <f t="shared" ca="1" si="77"/>
        <v>0</v>
      </c>
      <c r="O151" s="7">
        <f t="shared" ca="1" si="77"/>
        <v>0</v>
      </c>
      <c r="P151" s="7">
        <f t="shared" ca="1" si="77"/>
        <v>0</v>
      </c>
      <c r="Q151" s="7">
        <f t="shared" ca="1" si="77"/>
        <v>0</v>
      </c>
      <c r="R151" s="7">
        <f t="shared" ca="1" si="77"/>
        <v>0</v>
      </c>
      <c r="S151" s="7">
        <f t="shared" ca="1" si="77"/>
        <v>0</v>
      </c>
      <c r="T151" s="7">
        <f t="shared" ca="1" si="77"/>
        <v>0</v>
      </c>
      <c r="U151" s="7">
        <f t="shared" ca="1" si="77"/>
        <v>0</v>
      </c>
      <c r="V151" s="7">
        <f t="shared" ca="1" si="77"/>
        <v>0</v>
      </c>
      <c r="W151" s="7">
        <f t="shared" ca="1" si="77"/>
        <v>0</v>
      </c>
      <c r="X151" s="7">
        <f t="shared" ca="1" si="77"/>
        <v>0</v>
      </c>
      <c r="Y151" s="7">
        <f t="shared" ca="1" si="77"/>
        <v>0</v>
      </c>
      <c r="Z151" s="7">
        <f t="shared" ca="1" si="77"/>
        <v>0</v>
      </c>
      <c r="AA151" s="7">
        <f t="shared" ca="1" si="77"/>
        <v>0</v>
      </c>
      <c r="AB151" s="7">
        <f t="shared" ca="1" si="77"/>
        <v>0</v>
      </c>
      <c r="AC151" s="7">
        <f t="shared" ca="1" si="77"/>
        <v>0</v>
      </c>
      <c r="AD151" s="7">
        <f t="shared" ca="1" si="77"/>
        <v>0</v>
      </c>
      <c r="AE151" s="7">
        <f t="shared" ca="1" si="77"/>
        <v>0</v>
      </c>
      <c r="AF151" s="7">
        <f t="shared" ca="1" si="77"/>
        <v>0</v>
      </c>
      <c r="AG151" s="7">
        <f t="shared" ca="1" si="77"/>
        <v>0</v>
      </c>
      <c r="AH151" s="7">
        <f t="shared" ca="1" si="77"/>
        <v>0</v>
      </c>
      <c r="AI151" s="7">
        <f t="shared" ca="1" si="77"/>
        <v>0</v>
      </c>
      <c r="AJ151" s="7">
        <f t="shared" ca="1" si="77"/>
        <v>0</v>
      </c>
      <c r="AK151" s="7">
        <f t="shared" ca="1" si="77"/>
        <v>0</v>
      </c>
      <c r="AL151" s="7">
        <f t="shared" ca="1" si="77"/>
        <v>0</v>
      </c>
      <c r="AM151" s="7">
        <f t="shared" si="77"/>
        <v>0</v>
      </c>
    </row>
    <row r="152" spans="1:39" x14ac:dyDescent="0.2">
      <c r="A152" s="3" t="s">
        <v>23</v>
      </c>
      <c r="C152" s="7">
        <v>0</v>
      </c>
      <c r="D152" s="101">
        <f t="shared" ref="D152:AM152" ca="1" si="78">SUM(D150:D151)*VLOOKUP($A149,AssVar,2,FALSE)</f>
        <v>0</v>
      </c>
      <c r="E152" s="110">
        <f t="shared" ca="1" si="78"/>
        <v>0</v>
      </c>
      <c r="F152" s="7">
        <f t="shared" ca="1" si="78"/>
        <v>0</v>
      </c>
      <c r="G152" s="7">
        <f t="shared" ca="1" si="78"/>
        <v>0</v>
      </c>
      <c r="H152" s="7">
        <f t="shared" ca="1" si="78"/>
        <v>0</v>
      </c>
      <c r="I152" s="7">
        <f t="shared" ca="1" si="78"/>
        <v>0</v>
      </c>
      <c r="J152" s="7">
        <f t="shared" ca="1" si="78"/>
        <v>0</v>
      </c>
      <c r="K152" s="7">
        <f t="shared" ca="1" si="78"/>
        <v>0</v>
      </c>
      <c r="L152" s="7">
        <f t="shared" ca="1" si="78"/>
        <v>0</v>
      </c>
      <c r="M152" s="7">
        <f t="shared" ca="1" si="78"/>
        <v>0</v>
      </c>
      <c r="N152" s="7">
        <f t="shared" ca="1" si="78"/>
        <v>0</v>
      </c>
      <c r="O152" s="7">
        <f t="shared" ca="1" si="78"/>
        <v>0</v>
      </c>
      <c r="P152" s="7">
        <f t="shared" ca="1" si="78"/>
        <v>0</v>
      </c>
      <c r="Q152" s="7">
        <f t="shared" ca="1" si="78"/>
        <v>0</v>
      </c>
      <c r="R152" s="7">
        <f t="shared" ca="1" si="78"/>
        <v>0</v>
      </c>
      <c r="S152" s="7">
        <f t="shared" ca="1" si="78"/>
        <v>0</v>
      </c>
      <c r="T152" s="7">
        <f t="shared" ca="1" si="78"/>
        <v>0</v>
      </c>
      <c r="U152" s="7">
        <f t="shared" ca="1" si="78"/>
        <v>0</v>
      </c>
      <c r="V152" s="7">
        <f t="shared" ca="1" si="78"/>
        <v>0</v>
      </c>
      <c r="W152" s="7">
        <f t="shared" ca="1" si="78"/>
        <v>0</v>
      </c>
      <c r="X152" s="7">
        <f t="shared" ca="1" si="78"/>
        <v>0</v>
      </c>
      <c r="Y152" s="7">
        <f t="shared" ca="1" si="78"/>
        <v>0</v>
      </c>
      <c r="Z152" s="7">
        <f t="shared" ca="1" si="78"/>
        <v>0</v>
      </c>
      <c r="AA152" s="7">
        <f t="shared" ca="1" si="78"/>
        <v>0</v>
      </c>
      <c r="AB152" s="7">
        <f t="shared" ca="1" si="78"/>
        <v>0</v>
      </c>
      <c r="AC152" s="7">
        <f t="shared" ca="1" si="78"/>
        <v>0</v>
      </c>
      <c r="AD152" s="7">
        <f t="shared" ca="1" si="78"/>
        <v>0</v>
      </c>
      <c r="AE152" s="7">
        <f t="shared" ca="1" si="78"/>
        <v>0</v>
      </c>
      <c r="AF152" s="7">
        <f t="shared" ca="1" si="78"/>
        <v>0</v>
      </c>
      <c r="AG152" s="7">
        <f t="shared" ca="1" si="78"/>
        <v>0</v>
      </c>
      <c r="AH152" s="7">
        <f t="shared" ca="1" si="78"/>
        <v>0</v>
      </c>
      <c r="AI152" s="7">
        <f t="shared" ca="1" si="78"/>
        <v>0</v>
      </c>
      <c r="AJ152" s="7">
        <f t="shared" ca="1" si="78"/>
        <v>0</v>
      </c>
      <c r="AK152" s="7">
        <f t="shared" ca="1" si="78"/>
        <v>0</v>
      </c>
      <c r="AL152" s="7">
        <f t="shared" ca="1" si="78"/>
        <v>0</v>
      </c>
      <c r="AM152" s="7">
        <f t="shared" ca="1" si="78"/>
        <v>0</v>
      </c>
    </row>
    <row r="153" spans="1:39" x14ac:dyDescent="0.2">
      <c r="A153" s="3" t="s">
        <v>24</v>
      </c>
      <c r="C153" s="7">
        <f ca="1">SUM(C150:C152)</f>
        <v>50748.140451472013</v>
      </c>
      <c r="D153" s="101">
        <f t="shared" ref="D153:AM153" ca="1" si="79">SUM(D150:D152)</f>
        <v>0</v>
      </c>
      <c r="E153" s="110">
        <f t="shared" ca="1" si="79"/>
        <v>0</v>
      </c>
      <c r="F153" s="7">
        <f t="shared" ca="1" si="79"/>
        <v>0</v>
      </c>
      <c r="G153" s="7">
        <f t="shared" ca="1" si="79"/>
        <v>0</v>
      </c>
      <c r="H153" s="7">
        <f t="shared" ca="1" si="79"/>
        <v>0</v>
      </c>
      <c r="I153" s="7">
        <f t="shared" ca="1" si="79"/>
        <v>0</v>
      </c>
      <c r="J153" s="7">
        <f t="shared" ca="1" si="79"/>
        <v>0</v>
      </c>
      <c r="K153" s="7">
        <f t="shared" ca="1" si="79"/>
        <v>0</v>
      </c>
      <c r="L153" s="7">
        <f t="shared" ca="1" si="79"/>
        <v>0</v>
      </c>
      <c r="M153" s="7">
        <f t="shared" ca="1" si="79"/>
        <v>0</v>
      </c>
      <c r="N153" s="7">
        <f t="shared" ca="1" si="79"/>
        <v>0</v>
      </c>
      <c r="O153" s="7">
        <f t="shared" ca="1" si="79"/>
        <v>0</v>
      </c>
      <c r="P153" s="7">
        <f t="shared" ca="1" si="79"/>
        <v>0</v>
      </c>
      <c r="Q153" s="7">
        <f t="shared" ca="1" si="79"/>
        <v>0</v>
      </c>
      <c r="R153" s="7">
        <f t="shared" ca="1" si="79"/>
        <v>0</v>
      </c>
      <c r="S153" s="7">
        <f t="shared" ca="1" si="79"/>
        <v>0</v>
      </c>
      <c r="T153" s="7">
        <f t="shared" ca="1" si="79"/>
        <v>0</v>
      </c>
      <c r="U153" s="7">
        <f t="shared" ca="1" si="79"/>
        <v>0</v>
      </c>
      <c r="V153" s="7">
        <f t="shared" ca="1" si="79"/>
        <v>0</v>
      </c>
      <c r="W153" s="7">
        <f t="shared" ca="1" si="79"/>
        <v>0</v>
      </c>
      <c r="X153" s="7">
        <f t="shared" ca="1" si="79"/>
        <v>0</v>
      </c>
      <c r="Y153" s="7">
        <f t="shared" ca="1" si="79"/>
        <v>0</v>
      </c>
      <c r="Z153" s="7">
        <f t="shared" ca="1" si="79"/>
        <v>0</v>
      </c>
      <c r="AA153" s="7">
        <f t="shared" ca="1" si="79"/>
        <v>0</v>
      </c>
      <c r="AB153" s="7">
        <f t="shared" ca="1" si="79"/>
        <v>0</v>
      </c>
      <c r="AC153" s="7">
        <f t="shared" ca="1" si="79"/>
        <v>0</v>
      </c>
      <c r="AD153" s="7">
        <f t="shared" ca="1" si="79"/>
        <v>0</v>
      </c>
      <c r="AE153" s="7">
        <f t="shared" ca="1" si="79"/>
        <v>0</v>
      </c>
      <c r="AF153" s="7">
        <f t="shared" ca="1" si="79"/>
        <v>0</v>
      </c>
      <c r="AG153" s="7">
        <f t="shared" ca="1" si="79"/>
        <v>0</v>
      </c>
      <c r="AH153" s="7">
        <f t="shared" ca="1" si="79"/>
        <v>0</v>
      </c>
      <c r="AI153" s="7">
        <f t="shared" ca="1" si="79"/>
        <v>0</v>
      </c>
      <c r="AJ153" s="7">
        <f t="shared" ca="1" si="79"/>
        <v>0</v>
      </c>
      <c r="AK153" s="7">
        <f t="shared" ca="1" si="79"/>
        <v>0</v>
      </c>
      <c r="AL153" s="7">
        <f t="shared" ca="1" si="79"/>
        <v>0</v>
      </c>
      <c r="AM153" s="7">
        <f t="shared" ca="1" si="79"/>
        <v>0</v>
      </c>
    </row>
    <row r="154" spans="1:39" x14ac:dyDescent="0.2">
      <c r="A154" s="3" t="s">
        <v>25</v>
      </c>
      <c r="C154" s="7">
        <f t="shared" ref="C154:AM154" ca="1" si="80">C151*VLOOKUP($A149,AssVar,3,FALSE)</f>
        <v>0</v>
      </c>
      <c r="D154" s="101">
        <f t="shared" ca="1" si="80"/>
        <v>-1014.9628090294402</v>
      </c>
      <c r="E154" s="110">
        <f t="shared" ca="1" si="80"/>
        <v>0</v>
      </c>
      <c r="F154" s="7">
        <f t="shared" ca="1" si="80"/>
        <v>0</v>
      </c>
      <c r="G154" s="7">
        <f t="shared" ca="1" si="80"/>
        <v>0</v>
      </c>
      <c r="H154" s="7">
        <f t="shared" ca="1" si="80"/>
        <v>0</v>
      </c>
      <c r="I154" s="7">
        <f t="shared" ca="1" si="80"/>
        <v>0</v>
      </c>
      <c r="J154" s="7">
        <f t="shared" ca="1" si="80"/>
        <v>0</v>
      </c>
      <c r="K154" s="7">
        <f t="shared" ca="1" si="80"/>
        <v>0</v>
      </c>
      <c r="L154" s="7">
        <f t="shared" ca="1" si="80"/>
        <v>0</v>
      </c>
      <c r="M154" s="7">
        <f t="shared" ca="1" si="80"/>
        <v>0</v>
      </c>
      <c r="N154" s="7">
        <f t="shared" ca="1" si="80"/>
        <v>0</v>
      </c>
      <c r="O154" s="7">
        <f t="shared" ca="1" si="80"/>
        <v>0</v>
      </c>
      <c r="P154" s="7">
        <f t="shared" ca="1" si="80"/>
        <v>0</v>
      </c>
      <c r="Q154" s="7">
        <f t="shared" ca="1" si="80"/>
        <v>0</v>
      </c>
      <c r="R154" s="7">
        <f t="shared" ca="1" si="80"/>
        <v>0</v>
      </c>
      <c r="S154" s="7">
        <f t="shared" ca="1" si="80"/>
        <v>0</v>
      </c>
      <c r="T154" s="7">
        <f t="shared" ca="1" si="80"/>
        <v>0</v>
      </c>
      <c r="U154" s="7">
        <f t="shared" ca="1" si="80"/>
        <v>0</v>
      </c>
      <c r="V154" s="7">
        <f t="shared" ca="1" si="80"/>
        <v>0</v>
      </c>
      <c r="W154" s="7">
        <f t="shared" ca="1" si="80"/>
        <v>0</v>
      </c>
      <c r="X154" s="7">
        <f t="shared" ca="1" si="80"/>
        <v>0</v>
      </c>
      <c r="Y154" s="7">
        <f t="shared" ca="1" si="80"/>
        <v>0</v>
      </c>
      <c r="Z154" s="7">
        <f t="shared" ca="1" si="80"/>
        <v>0</v>
      </c>
      <c r="AA154" s="7">
        <f t="shared" ca="1" si="80"/>
        <v>0</v>
      </c>
      <c r="AB154" s="7">
        <f t="shared" ca="1" si="80"/>
        <v>0</v>
      </c>
      <c r="AC154" s="7">
        <f t="shared" ca="1" si="80"/>
        <v>0</v>
      </c>
      <c r="AD154" s="7">
        <f t="shared" ca="1" si="80"/>
        <v>0</v>
      </c>
      <c r="AE154" s="7">
        <f t="shared" ca="1" si="80"/>
        <v>0</v>
      </c>
      <c r="AF154" s="7">
        <f t="shared" ca="1" si="80"/>
        <v>0</v>
      </c>
      <c r="AG154" s="7">
        <f t="shared" ca="1" si="80"/>
        <v>0</v>
      </c>
      <c r="AH154" s="7">
        <f t="shared" ca="1" si="80"/>
        <v>0</v>
      </c>
      <c r="AI154" s="7">
        <f t="shared" ca="1" si="80"/>
        <v>0</v>
      </c>
      <c r="AJ154" s="7">
        <f t="shared" ca="1" si="80"/>
        <v>0</v>
      </c>
      <c r="AK154" s="7">
        <f t="shared" ca="1" si="80"/>
        <v>0</v>
      </c>
      <c r="AL154" s="7">
        <f t="shared" ca="1" si="80"/>
        <v>0</v>
      </c>
      <c r="AM154" s="7">
        <f t="shared" si="80"/>
        <v>0</v>
      </c>
    </row>
    <row r="155" spans="1:39" x14ac:dyDescent="0.2">
      <c r="A155" s="3" t="s">
        <v>30</v>
      </c>
      <c r="C155" s="7">
        <f t="shared" ref="C155:AM155" ca="1" si="81">IFERROR(-IF(C150=0,VLOOKUP($A149,$8:$12,C$1+2,FALSE),0),0)</f>
        <v>0</v>
      </c>
      <c r="D155" s="101">
        <f t="shared" ca="1" si="81"/>
        <v>0</v>
      </c>
      <c r="E155" s="110">
        <f t="shared" ca="1" si="81"/>
        <v>0</v>
      </c>
      <c r="F155" s="7">
        <f t="shared" ca="1" si="81"/>
        <v>0</v>
      </c>
      <c r="G155" s="7">
        <f t="shared" ca="1" si="81"/>
        <v>0</v>
      </c>
      <c r="H155" s="7">
        <f t="shared" ca="1" si="81"/>
        <v>0</v>
      </c>
      <c r="I155" s="7">
        <f t="shared" ca="1" si="81"/>
        <v>0</v>
      </c>
      <c r="J155" s="7">
        <f t="shared" ca="1" si="81"/>
        <v>0</v>
      </c>
      <c r="K155" s="7">
        <f t="shared" ca="1" si="81"/>
        <v>0</v>
      </c>
      <c r="L155" s="7">
        <f t="shared" ca="1" si="81"/>
        <v>0</v>
      </c>
      <c r="M155" s="7">
        <f t="shared" ca="1" si="81"/>
        <v>0</v>
      </c>
      <c r="N155" s="7">
        <f t="shared" ca="1" si="81"/>
        <v>0</v>
      </c>
      <c r="O155" s="7">
        <f t="shared" ca="1" si="81"/>
        <v>0</v>
      </c>
      <c r="P155" s="7">
        <f t="shared" ca="1" si="81"/>
        <v>0</v>
      </c>
      <c r="Q155" s="7">
        <f t="shared" ca="1" si="81"/>
        <v>0</v>
      </c>
      <c r="R155" s="7">
        <f t="shared" ca="1" si="81"/>
        <v>0</v>
      </c>
      <c r="S155" s="7">
        <f t="shared" ca="1" si="81"/>
        <v>0</v>
      </c>
      <c r="T155" s="7">
        <f t="shared" ca="1" si="81"/>
        <v>0</v>
      </c>
      <c r="U155" s="7">
        <f t="shared" ca="1" si="81"/>
        <v>0</v>
      </c>
      <c r="V155" s="7">
        <f t="shared" ca="1" si="81"/>
        <v>0</v>
      </c>
      <c r="W155" s="7">
        <f t="shared" ca="1" si="81"/>
        <v>0</v>
      </c>
      <c r="X155" s="7">
        <f t="shared" ca="1" si="81"/>
        <v>0</v>
      </c>
      <c r="Y155" s="7">
        <f t="shared" ca="1" si="81"/>
        <v>0</v>
      </c>
      <c r="Z155" s="7">
        <f t="shared" ca="1" si="81"/>
        <v>0</v>
      </c>
      <c r="AA155" s="7">
        <f t="shared" ca="1" si="81"/>
        <v>0</v>
      </c>
      <c r="AB155" s="7">
        <f t="shared" ca="1" si="81"/>
        <v>0</v>
      </c>
      <c r="AC155" s="7">
        <f t="shared" ca="1" si="81"/>
        <v>0</v>
      </c>
      <c r="AD155" s="7">
        <f t="shared" ca="1" si="81"/>
        <v>0</v>
      </c>
      <c r="AE155" s="7">
        <f t="shared" ca="1" si="81"/>
        <v>0</v>
      </c>
      <c r="AF155" s="7">
        <f t="shared" ca="1" si="81"/>
        <v>0</v>
      </c>
      <c r="AG155" s="7">
        <f t="shared" ca="1" si="81"/>
        <v>0</v>
      </c>
      <c r="AH155" s="7">
        <f t="shared" ca="1" si="81"/>
        <v>0</v>
      </c>
      <c r="AI155" s="7">
        <f t="shared" ca="1" si="81"/>
        <v>0</v>
      </c>
      <c r="AJ155" s="7">
        <f t="shared" ca="1" si="81"/>
        <v>0</v>
      </c>
      <c r="AK155" s="7">
        <f t="shared" ca="1" si="81"/>
        <v>0</v>
      </c>
      <c r="AL155" s="7">
        <f t="shared" ca="1" si="81"/>
        <v>0</v>
      </c>
      <c r="AM155" s="7">
        <f t="shared" ca="1" si="81"/>
        <v>0</v>
      </c>
    </row>
    <row r="156" spans="1:39" x14ac:dyDescent="0.2">
      <c r="A156" s="3" t="s">
        <v>49</v>
      </c>
      <c r="C156" s="7">
        <f t="shared" ref="C156:AM156" ca="1" si="82">IFERROR(IF(C150=0,VLOOKUP($A149,$46:$50,C$1+2,FALSE),0),0)</f>
        <v>0</v>
      </c>
      <c r="D156" s="101">
        <f t="shared" ca="1" si="82"/>
        <v>0</v>
      </c>
      <c r="E156" s="110">
        <f t="shared" ca="1" si="82"/>
        <v>0</v>
      </c>
      <c r="F156" s="7">
        <f t="shared" ca="1" si="82"/>
        <v>0</v>
      </c>
      <c r="G156" s="7">
        <f t="shared" ca="1" si="82"/>
        <v>0</v>
      </c>
      <c r="H156" s="7">
        <f t="shared" ca="1" si="82"/>
        <v>0</v>
      </c>
      <c r="I156" s="7">
        <f t="shared" ca="1" si="82"/>
        <v>0</v>
      </c>
      <c r="J156" s="7">
        <f t="shared" ca="1" si="82"/>
        <v>0</v>
      </c>
      <c r="K156" s="7">
        <f t="shared" ca="1" si="82"/>
        <v>0</v>
      </c>
      <c r="L156" s="7">
        <f t="shared" ca="1" si="82"/>
        <v>0</v>
      </c>
      <c r="M156" s="7">
        <f t="shared" ca="1" si="82"/>
        <v>0</v>
      </c>
      <c r="N156" s="7">
        <f t="shared" ca="1" si="82"/>
        <v>0</v>
      </c>
      <c r="O156" s="7">
        <f t="shared" ca="1" si="82"/>
        <v>0</v>
      </c>
      <c r="P156" s="7">
        <f t="shared" ca="1" si="82"/>
        <v>0</v>
      </c>
      <c r="Q156" s="7">
        <f t="shared" ca="1" si="82"/>
        <v>0</v>
      </c>
      <c r="R156" s="7">
        <f t="shared" ca="1" si="82"/>
        <v>0</v>
      </c>
      <c r="S156" s="7">
        <f t="shared" ca="1" si="82"/>
        <v>0</v>
      </c>
      <c r="T156" s="7">
        <f t="shared" ca="1" si="82"/>
        <v>0</v>
      </c>
      <c r="U156" s="7">
        <f t="shared" ca="1" si="82"/>
        <v>0</v>
      </c>
      <c r="V156" s="7">
        <f t="shared" ca="1" si="82"/>
        <v>0</v>
      </c>
      <c r="W156" s="7">
        <f t="shared" ca="1" si="82"/>
        <v>0</v>
      </c>
      <c r="X156" s="7">
        <f t="shared" ca="1" si="82"/>
        <v>0</v>
      </c>
      <c r="Y156" s="7">
        <f t="shared" ca="1" si="82"/>
        <v>0</v>
      </c>
      <c r="Z156" s="7">
        <f t="shared" ca="1" si="82"/>
        <v>0</v>
      </c>
      <c r="AA156" s="7">
        <f t="shared" ca="1" si="82"/>
        <v>0</v>
      </c>
      <c r="AB156" s="7">
        <f t="shared" ca="1" si="82"/>
        <v>0</v>
      </c>
      <c r="AC156" s="7">
        <f t="shared" ca="1" si="82"/>
        <v>0</v>
      </c>
      <c r="AD156" s="7">
        <f t="shared" ca="1" si="82"/>
        <v>0</v>
      </c>
      <c r="AE156" s="7">
        <f t="shared" ca="1" si="82"/>
        <v>0</v>
      </c>
      <c r="AF156" s="7">
        <f t="shared" ca="1" si="82"/>
        <v>0</v>
      </c>
      <c r="AG156" s="7">
        <f t="shared" ca="1" si="82"/>
        <v>0</v>
      </c>
      <c r="AH156" s="7">
        <f t="shared" ca="1" si="82"/>
        <v>0</v>
      </c>
      <c r="AI156" s="7">
        <f t="shared" ca="1" si="82"/>
        <v>0</v>
      </c>
      <c r="AJ156" s="7">
        <f t="shared" ca="1" si="82"/>
        <v>0</v>
      </c>
      <c r="AK156" s="7">
        <f t="shared" ca="1" si="82"/>
        <v>0</v>
      </c>
      <c r="AL156" s="7">
        <f t="shared" ca="1" si="82"/>
        <v>0</v>
      </c>
      <c r="AM156" s="7">
        <f t="shared" ca="1" si="82"/>
        <v>0</v>
      </c>
    </row>
    <row r="157" spans="1:39" x14ac:dyDescent="0.2">
      <c r="A157" s="3" t="s">
        <v>35</v>
      </c>
      <c r="B157" s="14" t="str">
        <f>A149</f>
        <v>Jewelry</v>
      </c>
      <c r="C157" s="7">
        <f t="shared" ref="C157:AM157" ca="1" si="83">IF(AND(C150&gt;0,C153=0),VLOOKUP($A149,$86:$95,C$1+2,FALSE),0)</f>
        <v>0</v>
      </c>
      <c r="D157" s="101">
        <f t="shared" ca="1" si="83"/>
        <v>-1019.5782814113345</v>
      </c>
      <c r="E157" s="110">
        <f t="shared" ca="1" si="83"/>
        <v>0</v>
      </c>
      <c r="F157" s="7">
        <f t="shared" ca="1" si="83"/>
        <v>0</v>
      </c>
      <c r="G157" s="7">
        <f t="shared" ca="1" si="83"/>
        <v>0</v>
      </c>
      <c r="H157" s="7">
        <f t="shared" ca="1" si="83"/>
        <v>0</v>
      </c>
      <c r="I157" s="7">
        <f t="shared" ca="1" si="83"/>
        <v>0</v>
      </c>
      <c r="J157" s="7">
        <f t="shared" ca="1" si="83"/>
        <v>0</v>
      </c>
      <c r="K157" s="7">
        <f t="shared" ca="1" si="83"/>
        <v>0</v>
      </c>
      <c r="L157" s="7">
        <f t="shared" ca="1" si="83"/>
        <v>0</v>
      </c>
      <c r="M157" s="7">
        <f t="shared" ca="1" si="83"/>
        <v>0</v>
      </c>
      <c r="N157" s="7">
        <f t="shared" ca="1" si="83"/>
        <v>0</v>
      </c>
      <c r="O157" s="7">
        <f t="shared" ca="1" si="83"/>
        <v>0</v>
      </c>
      <c r="P157" s="7">
        <f t="shared" ca="1" si="83"/>
        <v>0</v>
      </c>
      <c r="Q157" s="7">
        <f t="shared" ca="1" si="83"/>
        <v>0</v>
      </c>
      <c r="R157" s="7">
        <f t="shared" ca="1" si="83"/>
        <v>0</v>
      </c>
      <c r="S157" s="7">
        <f t="shared" ca="1" si="83"/>
        <v>0</v>
      </c>
      <c r="T157" s="7">
        <f t="shared" ca="1" si="83"/>
        <v>0</v>
      </c>
      <c r="U157" s="7">
        <f t="shared" ca="1" si="83"/>
        <v>0</v>
      </c>
      <c r="V157" s="7">
        <f t="shared" ca="1" si="83"/>
        <v>0</v>
      </c>
      <c r="W157" s="7">
        <f t="shared" ca="1" si="83"/>
        <v>0</v>
      </c>
      <c r="X157" s="7">
        <f t="shared" ca="1" si="83"/>
        <v>0</v>
      </c>
      <c r="Y157" s="7">
        <f t="shared" ca="1" si="83"/>
        <v>0</v>
      </c>
      <c r="Z157" s="7">
        <f t="shared" ca="1" si="83"/>
        <v>0</v>
      </c>
      <c r="AA157" s="7">
        <f t="shared" ca="1" si="83"/>
        <v>0</v>
      </c>
      <c r="AB157" s="7">
        <f t="shared" ca="1" si="83"/>
        <v>0</v>
      </c>
      <c r="AC157" s="7">
        <f t="shared" ca="1" si="83"/>
        <v>0</v>
      </c>
      <c r="AD157" s="7">
        <f t="shared" ca="1" si="83"/>
        <v>0</v>
      </c>
      <c r="AE157" s="7">
        <f t="shared" ca="1" si="83"/>
        <v>0</v>
      </c>
      <c r="AF157" s="7">
        <f t="shared" ca="1" si="83"/>
        <v>0</v>
      </c>
      <c r="AG157" s="7">
        <f t="shared" ca="1" si="83"/>
        <v>0</v>
      </c>
      <c r="AH157" s="7">
        <f t="shared" ca="1" si="83"/>
        <v>0</v>
      </c>
      <c r="AI157" s="7">
        <f t="shared" ca="1" si="83"/>
        <v>0</v>
      </c>
      <c r="AJ157" s="7">
        <f t="shared" ca="1" si="83"/>
        <v>0</v>
      </c>
      <c r="AK157" s="7">
        <f t="shared" ca="1" si="83"/>
        <v>0</v>
      </c>
      <c r="AL157" s="7">
        <f t="shared" ca="1" si="83"/>
        <v>0</v>
      </c>
      <c r="AM157" s="7">
        <f t="shared" ca="1" si="83"/>
        <v>0</v>
      </c>
    </row>
    <row r="158" spans="1:39" x14ac:dyDescent="0.2">
      <c r="A158" s="3" t="s">
        <v>36</v>
      </c>
      <c r="C158" s="7">
        <f ca="1">-C151+SUM(C154:C157)</f>
        <v>0</v>
      </c>
      <c r="D158" s="101">
        <f t="shared" ref="D158" ca="1" si="84">-D151+SUM(D154:D157)</f>
        <v>48713.599361031236</v>
      </c>
      <c r="E158" s="110">
        <f t="shared" ref="E158:AM158" ca="1" si="85">-E151+SUM(E154:E157)</f>
        <v>0</v>
      </c>
      <c r="F158" s="7">
        <f t="shared" ca="1" si="85"/>
        <v>0</v>
      </c>
      <c r="G158" s="7">
        <f t="shared" ca="1" si="85"/>
        <v>0</v>
      </c>
      <c r="H158" s="7">
        <f t="shared" ca="1" si="85"/>
        <v>0</v>
      </c>
      <c r="I158" s="7">
        <f t="shared" ca="1" si="85"/>
        <v>0</v>
      </c>
      <c r="J158" s="7">
        <f t="shared" ca="1" si="85"/>
        <v>0</v>
      </c>
      <c r="K158" s="7">
        <f t="shared" ca="1" si="85"/>
        <v>0</v>
      </c>
      <c r="L158" s="7">
        <f t="shared" ca="1" si="85"/>
        <v>0</v>
      </c>
      <c r="M158" s="7">
        <f t="shared" ca="1" si="85"/>
        <v>0</v>
      </c>
      <c r="N158" s="7">
        <f t="shared" ca="1" si="85"/>
        <v>0</v>
      </c>
      <c r="O158" s="7">
        <f t="shared" ca="1" si="85"/>
        <v>0</v>
      </c>
      <c r="P158" s="7">
        <f t="shared" ca="1" si="85"/>
        <v>0</v>
      </c>
      <c r="Q158" s="7">
        <f t="shared" ca="1" si="85"/>
        <v>0</v>
      </c>
      <c r="R158" s="7">
        <f t="shared" ca="1" si="85"/>
        <v>0</v>
      </c>
      <c r="S158" s="7">
        <f t="shared" ca="1" si="85"/>
        <v>0</v>
      </c>
      <c r="T158" s="7">
        <f t="shared" ca="1" si="85"/>
        <v>0</v>
      </c>
      <c r="U158" s="7">
        <f t="shared" ca="1" si="85"/>
        <v>0</v>
      </c>
      <c r="V158" s="7">
        <f t="shared" ca="1" si="85"/>
        <v>0</v>
      </c>
      <c r="W158" s="7">
        <f t="shared" ca="1" si="85"/>
        <v>0</v>
      </c>
      <c r="X158" s="7">
        <f t="shared" ca="1" si="85"/>
        <v>0</v>
      </c>
      <c r="Y158" s="7">
        <f t="shared" ca="1" si="85"/>
        <v>0</v>
      </c>
      <c r="Z158" s="7">
        <f t="shared" ca="1" si="85"/>
        <v>0</v>
      </c>
      <c r="AA158" s="7">
        <f t="shared" ca="1" si="85"/>
        <v>0</v>
      </c>
      <c r="AB158" s="7">
        <f t="shared" ca="1" si="85"/>
        <v>0</v>
      </c>
      <c r="AC158" s="7">
        <f t="shared" ca="1" si="85"/>
        <v>0</v>
      </c>
      <c r="AD158" s="7">
        <f t="shared" ca="1" si="85"/>
        <v>0</v>
      </c>
      <c r="AE158" s="7">
        <f t="shared" ca="1" si="85"/>
        <v>0</v>
      </c>
      <c r="AF158" s="7">
        <f t="shared" ca="1" si="85"/>
        <v>0</v>
      </c>
      <c r="AG158" s="7">
        <f t="shared" ca="1" si="85"/>
        <v>0</v>
      </c>
      <c r="AH158" s="7">
        <f t="shared" ca="1" si="85"/>
        <v>0</v>
      </c>
      <c r="AI158" s="7">
        <f t="shared" ca="1" si="85"/>
        <v>0</v>
      </c>
      <c r="AJ158" s="7">
        <f t="shared" ca="1" si="85"/>
        <v>0</v>
      </c>
      <c r="AK158" s="7">
        <f t="shared" ca="1" si="85"/>
        <v>0</v>
      </c>
      <c r="AL158" s="7">
        <f t="shared" ca="1" si="85"/>
        <v>0</v>
      </c>
      <c r="AM158" s="7">
        <f t="shared" ca="1" si="85"/>
        <v>0</v>
      </c>
    </row>
    <row r="159" spans="1:39" x14ac:dyDescent="0.2">
      <c r="A159" s="3"/>
      <c r="C159" s="7"/>
      <c r="D159" s="101"/>
      <c r="E159" s="110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/>
      <c r="AG159" s="7"/>
      <c r="AH159" s="7"/>
      <c r="AI159" s="7"/>
      <c r="AJ159" s="7"/>
      <c r="AK159" s="7"/>
      <c r="AL159" s="7"/>
      <c r="AM159" s="7"/>
    </row>
    <row r="160" spans="1:39" x14ac:dyDescent="0.2">
      <c r="A160" s="3" t="s">
        <v>70</v>
      </c>
      <c r="C160" s="7">
        <f ca="1">C146+SUM($C158:C158)</f>
        <v>59870.735212387553</v>
      </c>
      <c r="D160" s="101">
        <f ca="1">D146+SUM($C158:D158)</f>
        <v>73397.039426769072</v>
      </c>
      <c r="E160" s="110">
        <f ca="1">E146+SUM($C158:E158)</f>
        <v>6611.1773742790247</v>
      </c>
      <c r="F160" s="7">
        <f ca="1">F146+SUM($C158:F158)</f>
        <v>-81247.581981348543</v>
      </c>
      <c r="G160" s="7">
        <f ca="1">G146+SUM($C158:G158)</f>
        <v>22504.708332806375</v>
      </c>
      <c r="H160" s="7">
        <f ca="1">H146+SUM($C158:H158)</f>
        <v>-31698.648526983168</v>
      </c>
      <c r="I160" s="7">
        <f ca="1">I146+SUM($C158:I158)</f>
        <v>-69846.89816245556</v>
      </c>
      <c r="J160" s="7">
        <f ca="1">J146+SUM($C158:J158)</f>
        <v>-108020.09662168313</v>
      </c>
      <c r="K160" s="7">
        <f ca="1">K146+SUM($C158:K158)</f>
        <v>-164006.30561929275</v>
      </c>
      <c r="L160" s="7">
        <f ca="1">L146+SUM($C158:L158)</f>
        <v>-138494.44911117604</v>
      </c>
      <c r="M160" s="7">
        <f ca="1">M146+SUM($C158:M158)</f>
        <v>-206752.32260497686</v>
      </c>
      <c r="N160" s="7">
        <f ca="1">N146+SUM($C158:N158)</f>
        <v>-226648.20295313923</v>
      </c>
      <c r="O160" s="7">
        <f ca="1">O146+SUM($C158:O158)</f>
        <v>-246826.05891387424</v>
      </c>
      <c r="P160" s="7">
        <f ca="1">P146+SUM($C158:P158)</f>
        <v>-267286.47723561199</v>
      </c>
      <c r="Q160" s="7">
        <f ca="1">Q146+SUM($C158:Q158)</f>
        <v>-288029.86545623746</v>
      </c>
      <c r="R160" s="7">
        <f ca="1">R146+SUM($C158:R158)</f>
        <v>-309056.44160644792</v>
      </c>
      <c r="S160" s="7">
        <f ca="1">S146+SUM($C158:S158)</f>
        <v>-330366.22348120518</v>
      </c>
      <c r="T160" s="7">
        <f ca="1">T146+SUM($C158:T158)</f>
        <v>-334916.89293806336</v>
      </c>
      <c r="U160" s="7">
        <f ca="1">U146+SUM($C158:U158)</f>
        <v>-331525.81113003811</v>
      </c>
      <c r="V160" s="7">
        <f ca="1">V146+SUM($C158:V158)</f>
        <v>-327785.01113165682</v>
      </c>
      <c r="W160" s="7">
        <f ca="1">W146+SUM($C158:W158)</f>
        <v>-323677.80175380583</v>
      </c>
      <c r="X160" s="7">
        <f ca="1">X146+SUM($C158:X158)</f>
        <v>-319186.8360806132</v>
      </c>
      <c r="Y160" s="7">
        <f ca="1">Y146+SUM($C158:Y158)</f>
        <v>-334952.94469382963</v>
      </c>
      <c r="Z160" s="7">
        <f ca="1">Z146+SUM($C158:Z158)</f>
        <v>-350815.01242937252</v>
      </c>
      <c r="AA160" s="7">
        <f ca="1">AA146+SUM($C158:AA158)</f>
        <v>-366766.49245750974</v>
      </c>
      <c r="AB160" s="7">
        <f ca="1">AB146+SUM($C158:AB158)</f>
        <v>-382800.40590353264</v>
      </c>
      <c r="AC160" s="7">
        <f ca="1">AC146+SUM($C158:AC158)</f>
        <v>-398909.32299540355</v>
      </c>
      <c r="AD160" s="7">
        <f ca="1">AD146+SUM($C158:AD158)</f>
        <v>-415085.34349855979</v>
      </c>
      <c r="AE160" s="7">
        <f ca="1">AE146+SUM($C158:AE158)</f>
        <v>-421337.60131901701</v>
      </c>
      <c r="AF160" s="7">
        <f ca="1">AF146+SUM($C158:AF158)</f>
        <v>-427390.10684044904</v>
      </c>
      <c r="AG160" s="7">
        <f ca="1">AG146+SUM($C158:AG158)</f>
        <v>-433227.18449304416</v>
      </c>
      <c r="AH160" s="7">
        <f ca="1">AH146+SUM($C158:AH158)</f>
        <v>-438832.4463648753</v>
      </c>
      <c r="AI160" s="7">
        <f ca="1">AI146+SUM($C158:AI158)</f>
        <v>-444188.76477976085</v>
      </c>
      <c r="AJ160" s="7">
        <f ca="1">AJ146+SUM($C158:AJ158)</f>
        <v>-449278.24390116509</v>
      </c>
      <c r="AK160" s="7">
        <f ca="1">AK146+SUM($C158:AK158)</f>
        <v>-454082.1903291354</v>
      </c>
      <c r="AL160" s="7">
        <f ca="1">AL146+SUM($C158:AL158)</f>
        <v>-458581.08265619178</v>
      </c>
      <c r="AM160" s="7">
        <f ca="1">AM146+SUM($C158:AM158)</f>
        <v>-462754.53994696296</v>
      </c>
    </row>
    <row r="161" spans="1:39" x14ac:dyDescent="0.2">
      <c r="A161" s="3" t="s">
        <v>67</v>
      </c>
      <c r="C161" s="7">
        <f t="shared" ref="C161:AM161" ca="1" si="86">MAX(C160+buffer,0)-MAX(C146+buffer,0)</f>
        <v>0</v>
      </c>
      <c r="D161" s="101">
        <f t="shared" ca="1" si="86"/>
        <v>48713.599361031243</v>
      </c>
      <c r="E161" s="110">
        <f t="shared" ca="1" si="86"/>
        <v>48713.599361031236</v>
      </c>
      <c r="F161" s="7">
        <f t="shared" ca="1" si="86"/>
        <v>0</v>
      </c>
      <c r="G161" s="7">
        <f t="shared" ca="1" si="86"/>
        <v>48713.599361031236</v>
      </c>
      <c r="H161" s="7">
        <f t="shared" ca="1" si="86"/>
        <v>18301.351473016832</v>
      </c>
      <c r="I161" s="7">
        <f t="shared" ca="1" si="86"/>
        <v>0</v>
      </c>
      <c r="J161" s="7">
        <f t="shared" ca="1" si="86"/>
        <v>0</v>
      </c>
      <c r="K161" s="7">
        <f t="shared" ca="1" si="86"/>
        <v>0</v>
      </c>
      <c r="L161" s="7">
        <f t="shared" ca="1" si="86"/>
        <v>0</v>
      </c>
      <c r="M161" s="7">
        <f t="shared" ca="1" si="86"/>
        <v>0</v>
      </c>
      <c r="N161" s="7">
        <f t="shared" ca="1" si="86"/>
        <v>0</v>
      </c>
      <c r="O161" s="7">
        <f t="shared" ca="1" si="86"/>
        <v>0</v>
      </c>
      <c r="P161" s="7">
        <f t="shared" ca="1" si="86"/>
        <v>0</v>
      </c>
      <c r="Q161" s="7">
        <f t="shared" ca="1" si="86"/>
        <v>0</v>
      </c>
      <c r="R161" s="7">
        <f t="shared" ca="1" si="86"/>
        <v>0</v>
      </c>
      <c r="S161" s="7">
        <f t="shared" ca="1" si="86"/>
        <v>0</v>
      </c>
      <c r="T161" s="7">
        <f t="shared" ca="1" si="86"/>
        <v>0</v>
      </c>
      <c r="U161" s="7">
        <f t="shared" ca="1" si="86"/>
        <v>0</v>
      </c>
      <c r="V161" s="7">
        <f t="shared" ca="1" si="86"/>
        <v>0</v>
      </c>
      <c r="W161" s="7">
        <f t="shared" ca="1" si="86"/>
        <v>0</v>
      </c>
      <c r="X161" s="7">
        <f t="shared" ca="1" si="86"/>
        <v>0</v>
      </c>
      <c r="Y161" s="7">
        <f t="shared" ca="1" si="86"/>
        <v>0</v>
      </c>
      <c r="Z161" s="7">
        <f t="shared" ca="1" si="86"/>
        <v>0</v>
      </c>
      <c r="AA161" s="7">
        <f t="shared" ca="1" si="86"/>
        <v>0</v>
      </c>
      <c r="AB161" s="7">
        <f t="shared" ca="1" si="86"/>
        <v>0</v>
      </c>
      <c r="AC161" s="7">
        <f t="shared" ca="1" si="86"/>
        <v>0</v>
      </c>
      <c r="AD161" s="7">
        <f t="shared" ca="1" si="86"/>
        <v>0</v>
      </c>
      <c r="AE161" s="7">
        <f t="shared" ca="1" si="86"/>
        <v>0</v>
      </c>
      <c r="AF161" s="7">
        <f t="shared" ca="1" si="86"/>
        <v>0</v>
      </c>
      <c r="AG161" s="7">
        <f t="shared" ca="1" si="86"/>
        <v>0</v>
      </c>
      <c r="AH161" s="7">
        <f t="shared" ca="1" si="86"/>
        <v>0</v>
      </c>
      <c r="AI161" s="7">
        <f t="shared" ca="1" si="86"/>
        <v>0</v>
      </c>
      <c r="AJ161" s="7">
        <f t="shared" ca="1" si="86"/>
        <v>0</v>
      </c>
      <c r="AK161" s="7">
        <f t="shared" ca="1" si="86"/>
        <v>0</v>
      </c>
      <c r="AL161" s="7">
        <f t="shared" ca="1" si="86"/>
        <v>0</v>
      </c>
      <c r="AM161" s="7">
        <f t="shared" ca="1" si="86"/>
        <v>0</v>
      </c>
    </row>
    <row r="162" spans="1:39" x14ac:dyDescent="0.2">
      <c r="A162" s="3" t="s">
        <v>68</v>
      </c>
      <c r="C162" s="7">
        <f ca="1">C161*Inputs!$B$270</f>
        <v>0</v>
      </c>
      <c r="D162" s="101">
        <f ca="1">D161*Inputs!$B$270</f>
        <v>1217.8399840257812</v>
      </c>
      <c r="E162" s="110">
        <f ca="1">E161*Inputs!$B$270</f>
        <v>1217.839984025781</v>
      </c>
      <c r="F162" s="7">
        <f ca="1">F161*Inputs!$B$270</f>
        <v>0</v>
      </c>
      <c r="G162" s="7">
        <f ca="1">G161*Inputs!$B$270</f>
        <v>1217.839984025781</v>
      </c>
      <c r="H162" s="7">
        <f ca="1">H161*Inputs!$B$270</f>
        <v>457.5337868254208</v>
      </c>
      <c r="I162" s="7">
        <f ca="1">I161*Inputs!$B$270</f>
        <v>0</v>
      </c>
      <c r="J162" s="7">
        <f ca="1">J161*Inputs!$B$270</f>
        <v>0</v>
      </c>
      <c r="K162" s="7">
        <f ca="1">K161*Inputs!$B$270</f>
        <v>0</v>
      </c>
      <c r="L162" s="7">
        <f ca="1">L161*Inputs!$B$270</f>
        <v>0</v>
      </c>
      <c r="M162" s="7">
        <f ca="1">M161*Inputs!$B$270</f>
        <v>0</v>
      </c>
      <c r="N162" s="7">
        <f ca="1">N161*Inputs!$B$270</f>
        <v>0</v>
      </c>
      <c r="O162" s="7">
        <f ca="1">O161*Inputs!$B$270</f>
        <v>0</v>
      </c>
      <c r="P162" s="7">
        <f ca="1">P161*Inputs!$B$270</f>
        <v>0</v>
      </c>
      <c r="Q162" s="7">
        <f ca="1">Q161*Inputs!$B$270</f>
        <v>0</v>
      </c>
      <c r="R162" s="7">
        <f ca="1">R161*Inputs!$B$270</f>
        <v>0</v>
      </c>
      <c r="S162" s="7">
        <f ca="1">S161*Inputs!$B$270</f>
        <v>0</v>
      </c>
      <c r="T162" s="7">
        <f ca="1">T161*Inputs!$B$270</f>
        <v>0</v>
      </c>
      <c r="U162" s="7">
        <f ca="1">U161*Inputs!$B$270</f>
        <v>0</v>
      </c>
      <c r="V162" s="7">
        <f ca="1">V161*Inputs!$B$270</f>
        <v>0</v>
      </c>
      <c r="W162" s="7">
        <f ca="1">W161*Inputs!$B$270</f>
        <v>0</v>
      </c>
      <c r="X162" s="7">
        <f ca="1">X161*Inputs!$B$270</f>
        <v>0</v>
      </c>
      <c r="Y162" s="7">
        <f ca="1">Y161*Inputs!$B$270</f>
        <v>0</v>
      </c>
      <c r="Z162" s="7">
        <f ca="1">Z161*Inputs!$B$270</f>
        <v>0</v>
      </c>
      <c r="AA162" s="7">
        <f ca="1">AA161*Inputs!$B$270</f>
        <v>0</v>
      </c>
      <c r="AB162" s="7">
        <f ca="1">AB161*Inputs!$B$270</f>
        <v>0</v>
      </c>
      <c r="AC162" s="7">
        <f ca="1">AC161*Inputs!$B$270</f>
        <v>0</v>
      </c>
      <c r="AD162" s="7">
        <f ca="1">AD161*Inputs!$B$270</f>
        <v>0</v>
      </c>
      <c r="AE162" s="7">
        <f ca="1">AE161*Inputs!$B$270</f>
        <v>0</v>
      </c>
      <c r="AF162" s="7">
        <f ca="1">AF161*Inputs!$B$270</f>
        <v>0</v>
      </c>
      <c r="AG162" s="7">
        <f ca="1">AG161*Inputs!$B$270</f>
        <v>0</v>
      </c>
      <c r="AH162" s="7">
        <f ca="1">AH161*Inputs!$B$270</f>
        <v>0</v>
      </c>
      <c r="AI162" s="7">
        <f ca="1">AI161*Inputs!$B$270</f>
        <v>0</v>
      </c>
      <c r="AJ162" s="7">
        <f ca="1">AJ161*Inputs!$B$270</f>
        <v>0</v>
      </c>
      <c r="AK162" s="7">
        <f ca="1">AK161*Inputs!$B$270</f>
        <v>0</v>
      </c>
      <c r="AL162" s="7">
        <f ca="1">AL161*Inputs!$B$270</f>
        <v>0</v>
      </c>
      <c r="AM162" s="7">
        <f ca="1">AM161*Inputs!$B$270</f>
        <v>0</v>
      </c>
    </row>
    <row r="163" spans="1:39" x14ac:dyDescent="0.2">
      <c r="A163" s="3" t="s">
        <v>149</v>
      </c>
      <c r="C163" s="7">
        <f ca="1">C160+SUM($C162:C162)</f>
        <v>59870.735212387553</v>
      </c>
      <c r="D163" s="101">
        <f ca="1">D160+SUM($C162:D162)</f>
        <v>74614.879410794849</v>
      </c>
      <c r="E163" s="110">
        <f ca="1">E160+SUM($C162:E162)</f>
        <v>9046.8573423305861</v>
      </c>
      <c r="F163" s="7">
        <f ca="1">F160+SUM($C162:F162)</f>
        <v>-78811.902013296974</v>
      </c>
      <c r="G163" s="7">
        <f ca="1">G160+SUM($C162:G162)</f>
        <v>26158.228284883717</v>
      </c>
      <c r="H163" s="7">
        <f ca="1">H160+SUM($C162:H162)</f>
        <v>-27587.594788080405</v>
      </c>
      <c r="I163" s="7">
        <f ca="1">I160+SUM($C162:I162)</f>
        <v>-65735.8444235528</v>
      </c>
      <c r="J163" s="7">
        <f ca="1">J160+SUM($C162:J162)</f>
        <v>-103909.04288278037</v>
      </c>
      <c r="K163" s="7">
        <f ca="1">K160+SUM($C162:K162)</f>
        <v>-159895.25188038999</v>
      </c>
      <c r="L163" s="7">
        <f ca="1">L160+SUM($C162:L162)</f>
        <v>-134383.39537227328</v>
      </c>
      <c r="M163" s="7">
        <f ca="1">M160+SUM($C162:M162)</f>
        <v>-202641.2688660741</v>
      </c>
      <c r="N163" s="7">
        <f ca="1">N160+SUM($C162:N162)</f>
        <v>-222537.14921423647</v>
      </c>
      <c r="O163" s="7">
        <f ca="1">O160+SUM($C162:O162)</f>
        <v>-242715.00517497148</v>
      </c>
      <c r="P163" s="7">
        <f ca="1">P160+SUM($C162:P162)</f>
        <v>-263175.42349670921</v>
      </c>
      <c r="Q163" s="7">
        <f ca="1">Q160+SUM($C162:Q162)</f>
        <v>-283918.81171733467</v>
      </c>
      <c r="R163" s="7">
        <f ca="1">R160+SUM($C162:R162)</f>
        <v>-304945.38786754513</v>
      </c>
      <c r="S163" s="7">
        <f ca="1">S160+SUM($C162:S162)</f>
        <v>-326255.16974230239</v>
      </c>
      <c r="T163" s="7">
        <f ca="1">T160+SUM($C162:T162)</f>
        <v>-330805.83919916057</v>
      </c>
      <c r="U163" s="7">
        <f ca="1">U160+SUM($C162:U162)</f>
        <v>-327414.75739113532</v>
      </c>
      <c r="V163" s="7">
        <f ca="1">V160+SUM($C162:V162)</f>
        <v>-323673.95739275403</v>
      </c>
      <c r="W163" s="7">
        <f ca="1">W160+SUM($C162:W162)</f>
        <v>-319566.74801490305</v>
      </c>
      <c r="X163" s="7">
        <f ca="1">X160+SUM($C162:X162)</f>
        <v>-315075.78234171041</v>
      </c>
      <c r="Y163" s="7">
        <f ca="1">Y160+SUM($C162:Y162)</f>
        <v>-330841.89095492684</v>
      </c>
      <c r="Z163" s="7">
        <f ca="1">Z160+SUM($C162:Z162)</f>
        <v>-346703.95869046974</v>
      </c>
      <c r="AA163" s="7">
        <f ca="1">AA160+SUM($C162:AA162)</f>
        <v>-362655.43871860695</v>
      </c>
      <c r="AB163" s="7">
        <f ca="1">AB160+SUM($C162:AB162)</f>
        <v>-378689.35216462985</v>
      </c>
      <c r="AC163" s="7">
        <f ca="1">AC160+SUM($C162:AC162)</f>
        <v>-394798.26925650076</v>
      </c>
      <c r="AD163" s="7">
        <f ca="1">AD160+SUM($C162:AD162)</f>
        <v>-410974.289759657</v>
      </c>
      <c r="AE163" s="7">
        <f ca="1">AE160+SUM($C162:AE162)</f>
        <v>-417226.54758011422</v>
      </c>
      <c r="AF163" s="7">
        <f ca="1">AF160+SUM($C162:AF162)</f>
        <v>-423279.05310154625</v>
      </c>
      <c r="AG163" s="7">
        <f ca="1">AG160+SUM($C162:AG162)</f>
        <v>-429116.13075414137</v>
      </c>
      <c r="AH163" s="7">
        <f ca="1">AH160+SUM($C162:AH162)</f>
        <v>-434721.39262597251</v>
      </c>
      <c r="AI163" s="7">
        <f ca="1">AI160+SUM($C162:AI162)</f>
        <v>-440077.71104085806</v>
      </c>
      <c r="AJ163" s="7">
        <f ca="1">AJ160+SUM($C162:AJ162)</f>
        <v>-445167.1901622623</v>
      </c>
      <c r="AK163" s="7">
        <f ca="1">AK160+SUM($C162:AK162)</f>
        <v>-449971.13659023261</v>
      </c>
      <c r="AL163" s="7">
        <f ca="1">AL160+SUM($C162:AL162)</f>
        <v>-454470.02891728899</v>
      </c>
      <c r="AM163" s="7">
        <f ca="1">AM160+SUM($C162:AM162)</f>
        <v>-458643.48620806017</v>
      </c>
    </row>
    <row r="164" spans="1:39" x14ac:dyDescent="0.2">
      <c r="A164" s="3" t="s">
        <v>19</v>
      </c>
      <c r="C164" s="7">
        <f ca="1">IF(C163&lt;0,-C163,0)</f>
        <v>0</v>
      </c>
      <c r="D164" s="101">
        <f ca="1">IF(D163+SUM($C164:C164)&lt;0,-(D163+SUM($C164:C164)),0)</f>
        <v>0</v>
      </c>
      <c r="E164" s="110">
        <f ca="1">IF(E163+SUM($C164:D164)&lt;0,-(E163+SUM($C164:D164)),0)</f>
        <v>0</v>
      </c>
      <c r="F164" s="7">
        <f ca="1">IF(F163+SUM($C164:E164)&lt;0,-(F163+SUM($C164:E164)),0)</f>
        <v>78811.902013296974</v>
      </c>
      <c r="G164" s="7">
        <f ca="1">IF(G163+SUM($C164:F164)&lt;0,-(G163+SUM($C164:F164)),0)</f>
        <v>0</v>
      </c>
      <c r="H164" s="7">
        <f ca="1">IF(H163+SUM($C164:G164)&lt;0,-(H163+SUM($C164:G164)),0)</f>
        <v>0</v>
      </c>
      <c r="I164" s="7">
        <f ca="1">IF(I163+SUM($C164:H164)&lt;0,-(I163+SUM($C164:H164)),0)</f>
        <v>0</v>
      </c>
      <c r="J164" s="7">
        <f ca="1">IF(J163+SUM($C164:I164)&lt;0,-(J163+SUM($C164:I164)),0)</f>
        <v>25097.140869483395</v>
      </c>
      <c r="K164" s="7">
        <f ca="1">IF(K163+SUM($C164:J164)&lt;0,-(K163+SUM($C164:J164)),0)</f>
        <v>55986.208997609618</v>
      </c>
      <c r="L164" s="7">
        <f ca="1">IF(L163+SUM($C164:K164)&lt;0,-(L163+SUM($C164:K164)),0)</f>
        <v>0</v>
      </c>
      <c r="M164" s="7">
        <f ca="1">IF(M163+SUM($C164:L164)&lt;0,-(M163+SUM($C164:L164)),0)</f>
        <v>42746.016985684109</v>
      </c>
      <c r="N164" s="7">
        <f ca="1">IF(N163+SUM($C164:M164)&lt;0,-(N163+SUM($C164:M164)),0)</f>
        <v>19895.880348162376</v>
      </c>
      <c r="O164" s="7">
        <f ca="1">IF(O163+SUM($C164:N164)&lt;0,-(O163+SUM($C164:N164)),0)</f>
        <v>20177.855960735003</v>
      </c>
      <c r="P164" s="7">
        <f ca="1">IF(P163+SUM($C164:O164)&lt;0,-(P163+SUM($C164:O164)),0)</f>
        <v>20460.418321737729</v>
      </c>
      <c r="Q164" s="7">
        <f ca="1">IF(Q163+SUM($C164:P164)&lt;0,-(Q163+SUM($C164:P164)),0)</f>
        <v>20743.388220625464</v>
      </c>
      <c r="R164" s="7">
        <f ca="1">IF(R163+SUM($C164:Q164)&lt;0,-(R163+SUM($C164:Q164)),0)</f>
        <v>21026.576150210458</v>
      </c>
      <c r="S164" s="7">
        <f ca="1">IF(S163+SUM($C164:R164)&lt;0,-(S163+SUM($C164:R164)),0)</f>
        <v>21309.78187475726</v>
      </c>
      <c r="T164" s="7">
        <f ca="1">IF(T163+SUM($C164:S164)&lt;0,-(T163+SUM($C164:S164)),0)</f>
        <v>4550.6694568581879</v>
      </c>
      <c r="U164" s="7">
        <f ca="1">IF(U163+SUM($C164:T164)&lt;0,-(U163+SUM($C164:T164)),0)</f>
        <v>0</v>
      </c>
      <c r="V164" s="7">
        <f ca="1">IF(V163+SUM($C164:U164)&lt;0,-(V163+SUM($C164:U164)),0)</f>
        <v>0</v>
      </c>
      <c r="W164" s="7">
        <f ca="1">IF(W163+SUM($C164:V164)&lt;0,-(W163+SUM($C164:V164)),0)</f>
        <v>0</v>
      </c>
      <c r="X164" s="7">
        <f ca="1">IF(X163+SUM($C164:W164)&lt;0,-(X163+SUM($C164:W164)),0)</f>
        <v>0</v>
      </c>
      <c r="Y164" s="7">
        <f ca="1">IF(Y163+SUM($C164:X164)&lt;0,-(Y163+SUM($C164:X164)),0)</f>
        <v>36.051755766267888</v>
      </c>
      <c r="Z164" s="7">
        <f ca="1">IF(Z163+SUM($C164:Y164)&lt;0,-(Z163+SUM($C164:Y164)),0)</f>
        <v>15862.067735542892</v>
      </c>
      <c r="AA164" s="7">
        <f ca="1">IF(AA163+SUM($C164:Z164)&lt;0,-(AA163+SUM($C164:Z164)),0)</f>
        <v>15951.480028137215</v>
      </c>
      <c r="AB164" s="7">
        <f ca="1">IF(AB163+SUM($C164:AA164)&lt;0,-(AB163+SUM($C164:AA164)),0)</f>
        <v>16033.913446022896</v>
      </c>
      <c r="AC164" s="7">
        <f ca="1">IF(AC163+SUM($C164:AB164)&lt;0,-(AC163+SUM($C164:AB164)),0)</f>
        <v>16108.917091870913</v>
      </c>
      <c r="AD164" s="7">
        <f ca="1">IF(AD163+SUM($C164:AC164)&lt;0,-(AD163+SUM($C164:AC164)),0)</f>
        <v>16176.020503156236</v>
      </c>
      <c r="AE164" s="7">
        <f ca="1">IF(AE163+SUM($C164:AD164)&lt;0,-(AE163+SUM($C164:AD164)),0)</f>
        <v>6252.2578204572201</v>
      </c>
      <c r="AF164" s="7">
        <f ca="1">IF(AF163+SUM($C164:AE164)&lt;0,-(AF163+SUM($C164:AE164)),0)</f>
        <v>6052.5055214320309</v>
      </c>
      <c r="AG164" s="7">
        <f ca="1">IF(AG163+SUM($C164:AF164)&lt;0,-(AG163+SUM($C164:AF164)),0)</f>
        <v>5837.0776525951223</v>
      </c>
      <c r="AH164" s="7">
        <f ca="1">IF(AH163+SUM($C164:AG164)&lt;0,-(AH163+SUM($C164:AG164)),0)</f>
        <v>5605.2618718311423</v>
      </c>
      <c r="AI164" s="7">
        <f ca="1">IF(AI163+SUM($C164:AH164)&lt;0,-(AI163+SUM($C164:AH164)),0)</f>
        <v>5356.3184148855507</v>
      </c>
      <c r="AJ164" s="7">
        <f ca="1">IF(AJ163+SUM($C164:AI164)&lt;0,-(AJ163+SUM($C164:AI164)),0)</f>
        <v>5089.4791214042343</v>
      </c>
      <c r="AK164" s="7">
        <f ca="1">IF(AK163+SUM($C164:AJ164)&lt;0,-(AK163+SUM($C164:AJ164)),0)</f>
        <v>4803.9464279703097</v>
      </c>
      <c r="AL164" s="7">
        <f ca="1">IF(AL163+SUM($C164:AK164)&lt;0,-(AL163+SUM($C164:AK164)),0)</f>
        <v>4498.8923270563828</v>
      </c>
      <c r="AM164" s="7">
        <f ca="1">IF(AM163+SUM($C164:AL164)&lt;0,-(AM163+SUM($C164:AL164)),0)</f>
        <v>4173.4572907711845</v>
      </c>
    </row>
    <row r="165" spans="1:39" x14ac:dyDescent="0.2">
      <c r="C165" s="7"/>
      <c r="D165" s="101"/>
      <c r="E165" s="110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  <c r="AG165" s="7"/>
      <c r="AH165" s="7"/>
      <c r="AI165" s="7"/>
      <c r="AJ165" s="7"/>
      <c r="AK165" s="7"/>
      <c r="AL165" s="7"/>
      <c r="AM165" s="7"/>
    </row>
    <row r="166" spans="1:39" x14ac:dyDescent="0.2">
      <c r="A166" s="24" t="str">
        <f>IF(Inputs!$B$290=6,IFERROR(_xlfn.XLOOKUP($B166,Inputs!$B$291:$B$300,Inputs!$A$291:$A$300,,0,1),""),IFERROR(_xlfn.XLOOKUP($B166,Inputs!$C$291:$C$300,Inputs!$A$291:$A$300,,0,1),""))</f>
        <v>Gudja</v>
      </c>
      <c r="B166" s="26">
        <v>4</v>
      </c>
      <c r="C166" s="7"/>
      <c r="D166" s="101"/>
      <c r="E166" s="110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  <c r="AG166" s="7"/>
      <c r="AH166" s="7"/>
      <c r="AI166" s="7"/>
      <c r="AJ166" s="7"/>
      <c r="AK166" s="7"/>
      <c r="AL166" s="7"/>
      <c r="AM166" s="7"/>
    </row>
    <row r="167" spans="1:39" x14ac:dyDescent="0.2">
      <c r="A167" s="3" t="s">
        <v>21</v>
      </c>
      <c r="C167" s="7">
        <f ca="1">IFERROR(VLOOKUP($A166,$A$68:$H$97,C$1+2,FALSE),0)</f>
        <v>81793.332978359496</v>
      </c>
      <c r="D167" s="101">
        <f ca="1">C170</f>
        <v>81793.332978359496</v>
      </c>
      <c r="E167" s="110">
        <f t="shared" ref="E167:AM167" ca="1" si="87">D170</f>
        <v>84247.132967710277</v>
      </c>
      <c r="F167" s="7">
        <f t="shared" ca="1" si="87"/>
        <v>0</v>
      </c>
      <c r="G167" s="7">
        <f t="shared" ca="1" si="87"/>
        <v>0</v>
      </c>
      <c r="H167" s="7">
        <f t="shared" ca="1" si="87"/>
        <v>0</v>
      </c>
      <c r="I167" s="7">
        <f t="shared" ca="1" si="87"/>
        <v>0</v>
      </c>
      <c r="J167" s="7">
        <f t="shared" ca="1" si="87"/>
        <v>0</v>
      </c>
      <c r="K167" s="7">
        <f t="shared" ca="1" si="87"/>
        <v>0</v>
      </c>
      <c r="L167" s="7">
        <f t="shared" ca="1" si="87"/>
        <v>0</v>
      </c>
      <c r="M167" s="7">
        <f t="shared" ca="1" si="87"/>
        <v>0</v>
      </c>
      <c r="N167" s="7">
        <f t="shared" ca="1" si="87"/>
        <v>0</v>
      </c>
      <c r="O167" s="7">
        <f t="shared" ca="1" si="87"/>
        <v>0</v>
      </c>
      <c r="P167" s="7">
        <f t="shared" ca="1" si="87"/>
        <v>0</v>
      </c>
      <c r="Q167" s="7">
        <f t="shared" ca="1" si="87"/>
        <v>0</v>
      </c>
      <c r="R167" s="7">
        <f t="shared" ca="1" si="87"/>
        <v>0</v>
      </c>
      <c r="S167" s="7">
        <f t="shared" ca="1" si="87"/>
        <v>0</v>
      </c>
      <c r="T167" s="7">
        <f t="shared" ca="1" si="87"/>
        <v>0</v>
      </c>
      <c r="U167" s="7">
        <f t="shared" ca="1" si="87"/>
        <v>0</v>
      </c>
      <c r="V167" s="7">
        <f t="shared" ca="1" si="87"/>
        <v>0</v>
      </c>
      <c r="W167" s="7">
        <f t="shared" ca="1" si="87"/>
        <v>0</v>
      </c>
      <c r="X167" s="7">
        <f t="shared" ca="1" si="87"/>
        <v>0</v>
      </c>
      <c r="Y167" s="7">
        <f t="shared" ca="1" si="87"/>
        <v>0</v>
      </c>
      <c r="Z167" s="7">
        <f t="shared" ca="1" si="87"/>
        <v>0</v>
      </c>
      <c r="AA167" s="7">
        <f t="shared" ca="1" si="87"/>
        <v>0</v>
      </c>
      <c r="AB167" s="7">
        <f t="shared" ca="1" si="87"/>
        <v>0</v>
      </c>
      <c r="AC167" s="7">
        <f t="shared" ca="1" si="87"/>
        <v>0</v>
      </c>
      <c r="AD167" s="7">
        <f t="shared" ca="1" si="87"/>
        <v>0</v>
      </c>
      <c r="AE167" s="7">
        <f t="shared" ca="1" si="87"/>
        <v>0</v>
      </c>
      <c r="AF167" s="7">
        <f t="shared" ca="1" si="87"/>
        <v>0</v>
      </c>
      <c r="AG167" s="7">
        <f t="shared" ca="1" si="87"/>
        <v>0</v>
      </c>
      <c r="AH167" s="7">
        <f t="shared" ca="1" si="87"/>
        <v>0</v>
      </c>
      <c r="AI167" s="7">
        <f t="shared" ca="1" si="87"/>
        <v>0</v>
      </c>
      <c r="AJ167" s="7">
        <f t="shared" ca="1" si="87"/>
        <v>0</v>
      </c>
      <c r="AK167" s="7">
        <f t="shared" ca="1" si="87"/>
        <v>0</v>
      </c>
      <c r="AL167" s="7">
        <f t="shared" ca="1" si="87"/>
        <v>0</v>
      </c>
      <c r="AM167" s="7">
        <f t="shared" ca="1" si="87"/>
        <v>0</v>
      </c>
    </row>
    <row r="168" spans="1:39" x14ac:dyDescent="0.2">
      <c r="A168" s="3" t="s">
        <v>22</v>
      </c>
      <c r="C168" s="7">
        <f ca="1">-IF(D164&gt;0,C167,0)</f>
        <v>0</v>
      </c>
      <c r="D168" s="101">
        <f ca="1">-IF(E164&gt;0,D167,0)</f>
        <v>0</v>
      </c>
      <c r="E168" s="110">
        <f ca="1">-IF(F164&gt;0,E167,0)</f>
        <v>-84247.132967710277</v>
      </c>
      <c r="F168" s="7">
        <f ca="1">-IF(G164&gt;0,F167,0)</f>
        <v>0</v>
      </c>
      <c r="G168" s="7">
        <f t="shared" ref="G168:AM168" ca="1" si="88">-IF(H164&gt;0,G167,0)</f>
        <v>0</v>
      </c>
      <c r="H168" s="7">
        <f t="shared" ca="1" si="88"/>
        <v>0</v>
      </c>
      <c r="I168" s="7">
        <f t="shared" ca="1" si="88"/>
        <v>0</v>
      </c>
      <c r="J168" s="7">
        <f t="shared" ca="1" si="88"/>
        <v>0</v>
      </c>
      <c r="K168" s="7">
        <f t="shared" ca="1" si="88"/>
        <v>0</v>
      </c>
      <c r="L168" s="7">
        <f t="shared" ca="1" si="88"/>
        <v>0</v>
      </c>
      <c r="M168" s="7">
        <f t="shared" ca="1" si="88"/>
        <v>0</v>
      </c>
      <c r="N168" s="7">
        <f t="shared" ca="1" si="88"/>
        <v>0</v>
      </c>
      <c r="O168" s="7">
        <f t="shared" ca="1" si="88"/>
        <v>0</v>
      </c>
      <c r="P168" s="7">
        <f t="shared" ca="1" si="88"/>
        <v>0</v>
      </c>
      <c r="Q168" s="7">
        <f t="shared" ca="1" si="88"/>
        <v>0</v>
      </c>
      <c r="R168" s="7">
        <f t="shared" ca="1" si="88"/>
        <v>0</v>
      </c>
      <c r="S168" s="7">
        <f t="shared" ca="1" si="88"/>
        <v>0</v>
      </c>
      <c r="T168" s="7">
        <f t="shared" ca="1" si="88"/>
        <v>0</v>
      </c>
      <c r="U168" s="7">
        <f t="shared" ca="1" si="88"/>
        <v>0</v>
      </c>
      <c r="V168" s="7">
        <f t="shared" ca="1" si="88"/>
        <v>0</v>
      </c>
      <c r="W168" s="7">
        <f t="shared" ca="1" si="88"/>
        <v>0</v>
      </c>
      <c r="X168" s="7">
        <f t="shared" ca="1" si="88"/>
        <v>0</v>
      </c>
      <c r="Y168" s="7">
        <f t="shared" ca="1" si="88"/>
        <v>0</v>
      </c>
      <c r="Z168" s="7">
        <f t="shared" ca="1" si="88"/>
        <v>0</v>
      </c>
      <c r="AA168" s="7">
        <f t="shared" ca="1" si="88"/>
        <v>0</v>
      </c>
      <c r="AB168" s="7">
        <f t="shared" ca="1" si="88"/>
        <v>0</v>
      </c>
      <c r="AC168" s="7">
        <f t="shared" ca="1" si="88"/>
        <v>0</v>
      </c>
      <c r="AD168" s="7">
        <f t="shared" ca="1" si="88"/>
        <v>0</v>
      </c>
      <c r="AE168" s="7">
        <f t="shared" ca="1" si="88"/>
        <v>0</v>
      </c>
      <c r="AF168" s="7">
        <f t="shared" ca="1" si="88"/>
        <v>0</v>
      </c>
      <c r="AG168" s="7">
        <f t="shared" ca="1" si="88"/>
        <v>0</v>
      </c>
      <c r="AH168" s="7">
        <f t="shared" ca="1" si="88"/>
        <v>0</v>
      </c>
      <c r="AI168" s="7">
        <f t="shared" ca="1" si="88"/>
        <v>0</v>
      </c>
      <c r="AJ168" s="7">
        <f t="shared" ca="1" si="88"/>
        <v>0</v>
      </c>
      <c r="AK168" s="7">
        <f t="shared" ca="1" si="88"/>
        <v>0</v>
      </c>
      <c r="AL168" s="7">
        <f t="shared" ca="1" si="88"/>
        <v>0</v>
      </c>
      <c r="AM168" s="7">
        <f t="shared" si="88"/>
        <v>0</v>
      </c>
    </row>
    <row r="169" spans="1:39" x14ac:dyDescent="0.2">
      <c r="A169" s="3" t="s">
        <v>23</v>
      </c>
      <c r="C169" s="7">
        <v>0</v>
      </c>
      <c r="D169" s="101">
        <f t="shared" ref="D169:AM169" ca="1" si="89">SUM(D167:D168)*VLOOKUP($A166,AssVar,2,FALSE)</f>
        <v>2453.7999893507849</v>
      </c>
      <c r="E169" s="110">
        <f t="shared" ca="1" si="89"/>
        <v>0</v>
      </c>
      <c r="F169" s="7">
        <f t="shared" ca="1" si="89"/>
        <v>0</v>
      </c>
      <c r="G169" s="7">
        <f t="shared" ca="1" si="89"/>
        <v>0</v>
      </c>
      <c r="H169" s="7">
        <f t="shared" ca="1" si="89"/>
        <v>0</v>
      </c>
      <c r="I169" s="7">
        <f t="shared" ca="1" si="89"/>
        <v>0</v>
      </c>
      <c r="J169" s="7">
        <f t="shared" ca="1" si="89"/>
        <v>0</v>
      </c>
      <c r="K169" s="7">
        <f t="shared" ca="1" si="89"/>
        <v>0</v>
      </c>
      <c r="L169" s="7">
        <f t="shared" ca="1" si="89"/>
        <v>0</v>
      </c>
      <c r="M169" s="7">
        <f t="shared" ca="1" si="89"/>
        <v>0</v>
      </c>
      <c r="N169" s="7">
        <f t="shared" ca="1" si="89"/>
        <v>0</v>
      </c>
      <c r="O169" s="7">
        <f t="shared" ca="1" si="89"/>
        <v>0</v>
      </c>
      <c r="P169" s="7">
        <f t="shared" ca="1" si="89"/>
        <v>0</v>
      </c>
      <c r="Q169" s="7">
        <f t="shared" ca="1" si="89"/>
        <v>0</v>
      </c>
      <c r="R169" s="7">
        <f t="shared" ca="1" si="89"/>
        <v>0</v>
      </c>
      <c r="S169" s="7">
        <f t="shared" ca="1" si="89"/>
        <v>0</v>
      </c>
      <c r="T169" s="7">
        <f t="shared" ca="1" si="89"/>
        <v>0</v>
      </c>
      <c r="U169" s="7">
        <f t="shared" ca="1" si="89"/>
        <v>0</v>
      </c>
      <c r="V169" s="7">
        <f t="shared" ca="1" si="89"/>
        <v>0</v>
      </c>
      <c r="W169" s="7">
        <f t="shared" ca="1" si="89"/>
        <v>0</v>
      </c>
      <c r="X169" s="7">
        <f t="shared" ca="1" si="89"/>
        <v>0</v>
      </c>
      <c r="Y169" s="7">
        <f t="shared" ca="1" si="89"/>
        <v>0</v>
      </c>
      <c r="Z169" s="7">
        <f t="shared" ca="1" si="89"/>
        <v>0</v>
      </c>
      <c r="AA169" s="7">
        <f t="shared" ca="1" si="89"/>
        <v>0</v>
      </c>
      <c r="AB169" s="7">
        <f t="shared" ca="1" si="89"/>
        <v>0</v>
      </c>
      <c r="AC169" s="7">
        <f t="shared" ca="1" si="89"/>
        <v>0</v>
      </c>
      <c r="AD169" s="7">
        <f t="shared" ca="1" si="89"/>
        <v>0</v>
      </c>
      <c r="AE169" s="7">
        <f t="shared" ca="1" si="89"/>
        <v>0</v>
      </c>
      <c r="AF169" s="7">
        <f t="shared" ca="1" si="89"/>
        <v>0</v>
      </c>
      <c r="AG169" s="7">
        <f t="shared" ca="1" si="89"/>
        <v>0</v>
      </c>
      <c r="AH169" s="7">
        <f t="shared" ca="1" si="89"/>
        <v>0</v>
      </c>
      <c r="AI169" s="7">
        <f t="shared" ca="1" si="89"/>
        <v>0</v>
      </c>
      <c r="AJ169" s="7">
        <f t="shared" ca="1" si="89"/>
        <v>0</v>
      </c>
      <c r="AK169" s="7">
        <f t="shared" ca="1" si="89"/>
        <v>0</v>
      </c>
      <c r="AL169" s="7">
        <f t="shared" ca="1" si="89"/>
        <v>0</v>
      </c>
      <c r="AM169" s="7">
        <f t="shared" ca="1" si="89"/>
        <v>0</v>
      </c>
    </row>
    <row r="170" spans="1:39" x14ac:dyDescent="0.2">
      <c r="A170" s="3" t="s">
        <v>24</v>
      </c>
      <c r="C170" s="7">
        <f ca="1">SUM(C167:C169)</f>
        <v>81793.332978359496</v>
      </c>
      <c r="D170" s="101">
        <f t="shared" ref="D170:AM170" ca="1" si="90">SUM(D167:D169)</f>
        <v>84247.132967710277</v>
      </c>
      <c r="E170" s="110">
        <f t="shared" ca="1" si="90"/>
        <v>0</v>
      </c>
      <c r="F170" s="7">
        <f t="shared" ca="1" si="90"/>
        <v>0</v>
      </c>
      <c r="G170" s="7">
        <f t="shared" ca="1" si="90"/>
        <v>0</v>
      </c>
      <c r="H170" s="7">
        <f t="shared" ca="1" si="90"/>
        <v>0</v>
      </c>
      <c r="I170" s="7">
        <f t="shared" ca="1" si="90"/>
        <v>0</v>
      </c>
      <c r="J170" s="7">
        <f t="shared" ca="1" si="90"/>
        <v>0</v>
      </c>
      <c r="K170" s="7">
        <f t="shared" ca="1" si="90"/>
        <v>0</v>
      </c>
      <c r="L170" s="7">
        <f t="shared" ca="1" si="90"/>
        <v>0</v>
      </c>
      <c r="M170" s="7">
        <f t="shared" ca="1" si="90"/>
        <v>0</v>
      </c>
      <c r="N170" s="7">
        <f t="shared" ca="1" si="90"/>
        <v>0</v>
      </c>
      <c r="O170" s="7">
        <f t="shared" ca="1" si="90"/>
        <v>0</v>
      </c>
      <c r="P170" s="7">
        <f t="shared" ca="1" si="90"/>
        <v>0</v>
      </c>
      <c r="Q170" s="7">
        <f t="shared" ca="1" si="90"/>
        <v>0</v>
      </c>
      <c r="R170" s="7">
        <f t="shared" ca="1" si="90"/>
        <v>0</v>
      </c>
      <c r="S170" s="7">
        <f t="shared" ca="1" si="90"/>
        <v>0</v>
      </c>
      <c r="T170" s="7">
        <f t="shared" ca="1" si="90"/>
        <v>0</v>
      </c>
      <c r="U170" s="7">
        <f t="shared" ca="1" si="90"/>
        <v>0</v>
      </c>
      <c r="V170" s="7">
        <f t="shared" ca="1" si="90"/>
        <v>0</v>
      </c>
      <c r="W170" s="7">
        <f t="shared" ca="1" si="90"/>
        <v>0</v>
      </c>
      <c r="X170" s="7">
        <f t="shared" ca="1" si="90"/>
        <v>0</v>
      </c>
      <c r="Y170" s="7">
        <f t="shared" ca="1" si="90"/>
        <v>0</v>
      </c>
      <c r="Z170" s="7">
        <f t="shared" ca="1" si="90"/>
        <v>0</v>
      </c>
      <c r="AA170" s="7">
        <f t="shared" ca="1" si="90"/>
        <v>0</v>
      </c>
      <c r="AB170" s="7">
        <f t="shared" ca="1" si="90"/>
        <v>0</v>
      </c>
      <c r="AC170" s="7">
        <f t="shared" ca="1" si="90"/>
        <v>0</v>
      </c>
      <c r="AD170" s="7">
        <f t="shared" ca="1" si="90"/>
        <v>0</v>
      </c>
      <c r="AE170" s="7">
        <f t="shared" ca="1" si="90"/>
        <v>0</v>
      </c>
      <c r="AF170" s="7">
        <f t="shared" ca="1" si="90"/>
        <v>0</v>
      </c>
      <c r="AG170" s="7">
        <f t="shared" ca="1" si="90"/>
        <v>0</v>
      </c>
      <c r="AH170" s="7">
        <f t="shared" ca="1" si="90"/>
        <v>0</v>
      </c>
      <c r="AI170" s="7">
        <f t="shared" ca="1" si="90"/>
        <v>0</v>
      </c>
      <c r="AJ170" s="7">
        <f t="shared" ca="1" si="90"/>
        <v>0</v>
      </c>
      <c r="AK170" s="7">
        <f t="shared" ca="1" si="90"/>
        <v>0</v>
      </c>
      <c r="AL170" s="7">
        <f t="shared" ca="1" si="90"/>
        <v>0</v>
      </c>
      <c r="AM170" s="7">
        <f t="shared" ca="1" si="90"/>
        <v>0</v>
      </c>
    </row>
    <row r="171" spans="1:39" x14ac:dyDescent="0.2">
      <c r="A171" s="3" t="s">
        <v>25</v>
      </c>
      <c r="C171" s="7">
        <f t="shared" ref="C171:AM171" ca="1" si="91">C168*VLOOKUP($A166,AssVar,3,FALSE)</f>
        <v>0</v>
      </c>
      <c r="D171" s="101">
        <f t="shared" ca="1" si="91"/>
        <v>0</v>
      </c>
      <c r="E171" s="110">
        <f t="shared" ca="1" si="91"/>
        <v>-12637.069945156542</v>
      </c>
      <c r="F171" s="7">
        <f t="shared" ca="1" si="91"/>
        <v>0</v>
      </c>
      <c r="G171" s="7">
        <f t="shared" ca="1" si="91"/>
        <v>0</v>
      </c>
      <c r="H171" s="7">
        <f t="shared" ca="1" si="91"/>
        <v>0</v>
      </c>
      <c r="I171" s="7">
        <f t="shared" ca="1" si="91"/>
        <v>0</v>
      </c>
      <c r="J171" s="7">
        <f t="shared" ca="1" si="91"/>
        <v>0</v>
      </c>
      <c r="K171" s="7">
        <f t="shared" ca="1" si="91"/>
        <v>0</v>
      </c>
      <c r="L171" s="7">
        <f t="shared" ca="1" si="91"/>
        <v>0</v>
      </c>
      <c r="M171" s="7">
        <f t="shared" ca="1" si="91"/>
        <v>0</v>
      </c>
      <c r="N171" s="7">
        <f t="shared" ca="1" si="91"/>
        <v>0</v>
      </c>
      <c r="O171" s="7">
        <f t="shared" ca="1" si="91"/>
        <v>0</v>
      </c>
      <c r="P171" s="7">
        <f t="shared" ca="1" si="91"/>
        <v>0</v>
      </c>
      <c r="Q171" s="7">
        <f t="shared" ca="1" si="91"/>
        <v>0</v>
      </c>
      <c r="R171" s="7">
        <f t="shared" ca="1" si="91"/>
        <v>0</v>
      </c>
      <c r="S171" s="7">
        <f t="shared" ca="1" si="91"/>
        <v>0</v>
      </c>
      <c r="T171" s="7">
        <f t="shared" ca="1" si="91"/>
        <v>0</v>
      </c>
      <c r="U171" s="7">
        <f t="shared" ca="1" si="91"/>
        <v>0</v>
      </c>
      <c r="V171" s="7">
        <f t="shared" ca="1" si="91"/>
        <v>0</v>
      </c>
      <c r="W171" s="7">
        <f t="shared" ca="1" si="91"/>
        <v>0</v>
      </c>
      <c r="X171" s="7">
        <f t="shared" ca="1" si="91"/>
        <v>0</v>
      </c>
      <c r="Y171" s="7">
        <f t="shared" ca="1" si="91"/>
        <v>0</v>
      </c>
      <c r="Z171" s="7">
        <f t="shared" ca="1" si="91"/>
        <v>0</v>
      </c>
      <c r="AA171" s="7">
        <f t="shared" ca="1" si="91"/>
        <v>0</v>
      </c>
      <c r="AB171" s="7">
        <f t="shared" ca="1" si="91"/>
        <v>0</v>
      </c>
      <c r="AC171" s="7">
        <f t="shared" ca="1" si="91"/>
        <v>0</v>
      </c>
      <c r="AD171" s="7">
        <f t="shared" ca="1" si="91"/>
        <v>0</v>
      </c>
      <c r="AE171" s="7">
        <f t="shared" ca="1" si="91"/>
        <v>0</v>
      </c>
      <c r="AF171" s="7">
        <f t="shared" ca="1" si="91"/>
        <v>0</v>
      </c>
      <c r="AG171" s="7">
        <f t="shared" ca="1" si="91"/>
        <v>0</v>
      </c>
      <c r="AH171" s="7">
        <f t="shared" ca="1" si="91"/>
        <v>0</v>
      </c>
      <c r="AI171" s="7">
        <f t="shared" ca="1" si="91"/>
        <v>0</v>
      </c>
      <c r="AJ171" s="7">
        <f t="shared" ca="1" si="91"/>
        <v>0</v>
      </c>
      <c r="AK171" s="7">
        <f t="shared" ca="1" si="91"/>
        <v>0</v>
      </c>
      <c r="AL171" s="7">
        <f t="shared" ca="1" si="91"/>
        <v>0</v>
      </c>
      <c r="AM171" s="7">
        <f t="shared" si="91"/>
        <v>0</v>
      </c>
    </row>
    <row r="172" spans="1:39" x14ac:dyDescent="0.2">
      <c r="A172" s="3" t="s">
        <v>30</v>
      </c>
      <c r="C172" s="7">
        <f t="shared" ref="C172:AM172" ca="1" si="92">IFERROR(-IF(C167=0,VLOOKUP($A166,$8:$12,C$1+2,FALSE),0),0)</f>
        <v>0</v>
      </c>
      <c r="D172" s="101">
        <f t="shared" ca="1" si="92"/>
        <v>0</v>
      </c>
      <c r="E172" s="110">
        <f t="shared" ca="1" si="92"/>
        <v>0</v>
      </c>
      <c r="F172" s="7">
        <f t="shared" ca="1" si="92"/>
        <v>-4097.7262499999997</v>
      </c>
      <c r="G172" s="7">
        <f t="shared" ca="1" si="92"/>
        <v>-4220.6580374999994</v>
      </c>
      <c r="H172" s="7">
        <f t="shared" ca="1" si="92"/>
        <v>-4347.2777786249999</v>
      </c>
      <c r="I172" s="7">
        <f t="shared" ca="1" si="92"/>
        <v>-4477.6961119837497</v>
      </c>
      <c r="J172" s="7">
        <f t="shared" ca="1" si="92"/>
        <v>-4612.0269953432626</v>
      </c>
      <c r="K172" s="7">
        <f t="shared" ca="1" si="92"/>
        <v>-4750.3878052035607</v>
      </c>
      <c r="L172" s="7">
        <f t="shared" ca="1" si="92"/>
        <v>-4892.8994393596677</v>
      </c>
      <c r="M172" s="7">
        <f t="shared" ca="1" si="92"/>
        <v>-5039.6864225404579</v>
      </c>
      <c r="N172" s="7">
        <f t="shared" ca="1" si="92"/>
        <v>-5190.8770152166717</v>
      </c>
      <c r="O172" s="7">
        <f t="shared" ca="1" si="92"/>
        <v>-5346.6033256731716</v>
      </c>
      <c r="P172" s="7">
        <f t="shared" ca="1" si="92"/>
        <v>-5507.0014254433672</v>
      </c>
      <c r="Q172" s="7">
        <f t="shared" ca="1" si="92"/>
        <v>-5672.2114682066685</v>
      </c>
      <c r="R172" s="7">
        <f t="shared" ca="1" si="92"/>
        <v>-5842.3778122528684</v>
      </c>
      <c r="S172" s="7">
        <f t="shared" ca="1" si="92"/>
        <v>-6017.6491466204543</v>
      </c>
      <c r="T172" s="7">
        <f t="shared" ca="1" si="92"/>
        <v>-6198.1786210190685</v>
      </c>
      <c r="U172" s="7">
        <f t="shared" ca="1" si="92"/>
        <v>-6384.1239796496411</v>
      </c>
      <c r="V172" s="7">
        <f t="shared" ca="1" si="92"/>
        <v>-6575.6476990391302</v>
      </c>
      <c r="W172" s="7">
        <f t="shared" ca="1" si="92"/>
        <v>-6772.9171300103044</v>
      </c>
      <c r="X172" s="7">
        <f t="shared" ca="1" si="92"/>
        <v>-6976.104643910614</v>
      </c>
      <c r="Y172" s="7">
        <f t="shared" ca="1" si="92"/>
        <v>-7185.3877832279322</v>
      </c>
      <c r="Z172" s="7">
        <f t="shared" ca="1" si="92"/>
        <v>-7400.9494167247703</v>
      </c>
      <c r="AA172" s="7">
        <f t="shared" ca="1" si="92"/>
        <v>-7622.9778992265137</v>
      </c>
      <c r="AB172" s="7">
        <f t="shared" ca="1" si="92"/>
        <v>-7851.6672362033096</v>
      </c>
      <c r="AC172" s="7">
        <f t="shared" ca="1" si="92"/>
        <v>-8087.2172532894092</v>
      </c>
      <c r="AD172" s="7">
        <f t="shared" ca="1" si="92"/>
        <v>-8329.8337708880917</v>
      </c>
      <c r="AE172" s="7">
        <f t="shared" ca="1" si="92"/>
        <v>-8579.7287840147346</v>
      </c>
      <c r="AF172" s="7">
        <f t="shared" ca="1" si="92"/>
        <v>-8837.1206475351773</v>
      </c>
      <c r="AG172" s="7">
        <f t="shared" ca="1" si="92"/>
        <v>-9102.2342669612335</v>
      </c>
      <c r="AH172" s="7">
        <f t="shared" ca="1" si="92"/>
        <v>-9375.3012949700715</v>
      </c>
      <c r="AI172" s="7">
        <f t="shared" ca="1" si="92"/>
        <v>-9656.560333819174</v>
      </c>
      <c r="AJ172" s="7">
        <f t="shared" ca="1" si="92"/>
        <v>-9946.2571438337491</v>
      </c>
      <c r="AK172" s="7">
        <f t="shared" ca="1" si="92"/>
        <v>-10244.644858148762</v>
      </c>
      <c r="AL172" s="7">
        <f t="shared" ca="1" si="92"/>
        <v>-10551.984203893226</v>
      </c>
      <c r="AM172" s="7">
        <f t="shared" ca="1" si="92"/>
        <v>-10868.543730010022</v>
      </c>
    </row>
    <row r="173" spans="1:39" x14ac:dyDescent="0.2">
      <c r="A173" s="3" t="s">
        <v>49</v>
      </c>
      <c r="C173" s="7">
        <f t="shared" ref="C173:AM173" ca="1" si="93">IFERROR(IF(C167=0,VLOOKUP($A166,$46:$50,C$1+2,FALSE),0),0)</f>
        <v>0</v>
      </c>
      <c r="D173" s="101">
        <f t="shared" ca="1" si="93"/>
        <v>0</v>
      </c>
      <c r="E173" s="110">
        <f t="shared" ca="1" si="93"/>
        <v>0</v>
      </c>
      <c r="F173" s="7">
        <f t="shared" ca="1" si="93"/>
        <v>1076.8906249999998</v>
      </c>
      <c r="G173" s="7">
        <f t="shared" ca="1" si="93"/>
        <v>1103.8128906249997</v>
      </c>
      <c r="H173" s="7">
        <f t="shared" ca="1" si="93"/>
        <v>1131.4082128906246</v>
      </c>
      <c r="I173" s="7">
        <f t="shared" ca="1" si="93"/>
        <v>1159.6934182128903</v>
      </c>
      <c r="J173" s="7">
        <f t="shared" ca="1" si="93"/>
        <v>1188.6857536682126</v>
      </c>
      <c r="K173" s="7">
        <f t="shared" ca="1" si="93"/>
        <v>1218.4028975099177</v>
      </c>
      <c r="L173" s="7">
        <f t="shared" ca="1" si="93"/>
        <v>1248.8629699476655</v>
      </c>
      <c r="M173" s="7">
        <f t="shared" ca="1" si="93"/>
        <v>1280.084544196357</v>
      </c>
      <c r="N173" s="7">
        <f t="shared" ca="1" si="93"/>
        <v>1312.086657801266</v>
      </c>
      <c r="O173" s="7">
        <f t="shared" ca="1" si="93"/>
        <v>1344.8888242462974</v>
      </c>
      <c r="P173" s="7">
        <f t="shared" ca="1" si="93"/>
        <v>1378.5110448524549</v>
      </c>
      <c r="Q173" s="7">
        <f t="shared" ca="1" si="93"/>
        <v>1412.9738209737661</v>
      </c>
      <c r="R173" s="7">
        <f t="shared" ca="1" si="93"/>
        <v>1448.2981664981105</v>
      </c>
      <c r="S173" s="7">
        <f t="shared" ca="1" si="93"/>
        <v>1484.5056206605632</v>
      </c>
      <c r="T173" s="7">
        <f t="shared" ca="1" si="93"/>
        <v>1521.6182611770771</v>
      </c>
      <c r="U173" s="7">
        <f t="shared" ca="1" si="93"/>
        <v>1559.6587177065039</v>
      </c>
      <c r="V173" s="7">
        <f t="shared" ca="1" si="93"/>
        <v>1598.6501856491666</v>
      </c>
      <c r="W173" s="7">
        <f t="shared" ca="1" si="93"/>
        <v>1638.6164402903955</v>
      </c>
      <c r="X173" s="7">
        <f t="shared" ca="1" si="93"/>
        <v>1679.5818512976552</v>
      </c>
      <c r="Y173" s="7">
        <f t="shared" ca="1" si="93"/>
        <v>1721.5713975800966</v>
      </c>
      <c r="Z173" s="7">
        <f t="shared" ca="1" si="93"/>
        <v>1764.6106825195991</v>
      </c>
      <c r="AA173" s="7">
        <f t="shared" ca="1" si="93"/>
        <v>1808.725949582589</v>
      </c>
      <c r="AB173" s="7">
        <f t="shared" ca="1" si="93"/>
        <v>1853.9440983221534</v>
      </c>
      <c r="AC173" s="7">
        <f t="shared" ca="1" si="93"/>
        <v>1900.292700780207</v>
      </c>
      <c r="AD173" s="7">
        <f t="shared" ca="1" si="93"/>
        <v>1947.8000182997121</v>
      </c>
      <c r="AE173" s="7">
        <f t="shared" ca="1" si="93"/>
        <v>1996.4950187572049</v>
      </c>
      <c r="AF173" s="7">
        <f t="shared" ca="1" si="93"/>
        <v>2046.4073942261352</v>
      </c>
      <c r="AG173" s="7">
        <f t="shared" ca="1" si="93"/>
        <v>2097.5675790817882</v>
      </c>
      <c r="AH173" s="7">
        <f t="shared" ca="1" si="93"/>
        <v>2150.0067685588333</v>
      </c>
      <c r="AI173" s="7">
        <f t="shared" ca="1" si="93"/>
        <v>2203.7569377728037</v>
      </c>
      <c r="AJ173" s="7">
        <f t="shared" ca="1" si="93"/>
        <v>2258.8508612171236</v>
      </c>
      <c r="AK173" s="7">
        <f t="shared" ca="1" si="93"/>
        <v>2315.3221327475517</v>
      </c>
      <c r="AL173" s="7">
        <f t="shared" ca="1" si="93"/>
        <v>2373.20518606624</v>
      </c>
      <c r="AM173" s="7">
        <f t="shared" ca="1" si="93"/>
        <v>2432.5353157178965</v>
      </c>
    </row>
    <row r="174" spans="1:39" x14ac:dyDescent="0.2">
      <c r="A174" s="3" t="s">
        <v>35</v>
      </c>
      <c r="B174" s="14" t="str">
        <f>A166</f>
        <v>Gudja</v>
      </c>
      <c r="C174" s="7">
        <f t="shared" ref="C174:AM174" ca="1" si="94">IF(AND(C167&gt;0,C170=0),VLOOKUP($A166,$86:$95,C$1+2,FALSE),0)</f>
        <v>0</v>
      </c>
      <c r="D174" s="101">
        <f t="shared" ca="1" si="94"/>
        <v>0</v>
      </c>
      <c r="E174" s="110">
        <f t="shared" ca="1" si="94"/>
        <v>-2232.7559577452803</v>
      </c>
      <c r="F174" s="7">
        <f t="shared" ca="1" si="94"/>
        <v>0</v>
      </c>
      <c r="G174" s="7">
        <f t="shared" ca="1" si="94"/>
        <v>0</v>
      </c>
      <c r="H174" s="7">
        <f t="shared" ca="1" si="94"/>
        <v>0</v>
      </c>
      <c r="I174" s="7">
        <f t="shared" ca="1" si="94"/>
        <v>0</v>
      </c>
      <c r="J174" s="7">
        <f t="shared" ca="1" si="94"/>
        <v>0</v>
      </c>
      <c r="K174" s="7">
        <f t="shared" ca="1" si="94"/>
        <v>0</v>
      </c>
      <c r="L174" s="7">
        <f t="shared" ca="1" si="94"/>
        <v>0</v>
      </c>
      <c r="M174" s="7">
        <f t="shared" ca="1" si="94"/>
        <v>0</v>
      </c>
      <c r="N174" s="7">
        <f t="shared" ca="1" si="94"/>
        <v>0</v>
      </c>
      <c r="O174" s="7">
        <f t="shared" ca="1" si="94"/>
        <v>0</v>
      </c>
      <c r="P174" s="7">
        <f t="shared" ca="1" si="94"/>
        <v>0</v>
      </c>
      <c r="Q174" s="7">
        <f t="shared" ca="1" si="94"/>
        <v>0</v>
      </c>
      <c r="R174" s="7">
        <f t="shared" ca="1" si="94"/>
        <v>0</v>
      </c>
      <c r="S174" s="7">
        <f t="shared" ca="1" si="94"/>
        <v>0</v>
      </c>
      <c r="T174" s="7">
        <f t="shared" ca="1" si="94"/>
        <v>0</v>
      </c>
      <c r="U174" s="7">
        <f t="shared" ca="1" si="94"/>
        <v>0</v>
      </c>
      <c r="V174" s="7">
        <f t="shared" ca="1" si="94"/>
        <v>0</v>
      </c>
      <c r="W174" s="7">
        <f t="shared" ca="1" si="94"/>
        <v>0</v>
      </c>
      <c r="X174" s="7">
        <f t="shared" ca="1" si="94"/>
        <v>0</v>
      </c>
      <c r="Y174" s="7">
        <f t="shared" ca="1" si="94"/>
        <v>0</v>
      </c>
      <c r="Z174" s="7">
        <f t="shared" ca="1" si="94"/>
        <v>0</v>
      </c>
      <c r="AA174" s="7">
        <f t="shared" ca="1" si="94"/>
        <v>0</v>
      </c>
      <c r="AB174" s="7">
        <f t="shared" ca="1" si="94"/>
        <v>0</v>
      </c>
      <c r="AC174" s="7">
        <f t="shared" ca="1" si="94"/>
        <v>0</v>
      </c>
      <c r="AD174" s="7">
        <f t="shared" ca="1" si="94"/>
        <v>0</v>
      </c>
      <c r="AE174" s="7">
        <f t="shared" ca="1" si="94"/>
        <v>0</v>
      </c>
      <c r="AF174" s="7">
        <f t="shared" ca="1" si="94"/>
        <v>0</v>
      </c>
      <c r="AG174" s="7">
        <f t="shared" ca="1" si="94"/>
        <v>0</v>
      </c>
      <c r="AH174" s="7">
        <f t="shared" ca="1" si="94"/>
        <v>0</v>
      </c>
      <c r="AI174" s="7">
        <f t="shared" ca="1" si="94"/>
        <v>0</v>
      </c>
      <c r="AJ174" s="7">
        <f t="shared" ca="1" si="94"/>
        <v>0</v>
      </c>
      <c r="AK174" s="7">
        <f t="shared" ca="1" si="94"/>
        <v>0</v>
      </c>
      <c r="AL174" s="7">
        <f t="shared" ca="1" si="94"/>
        <v>0</v>
      </c>
      <c r="AM174" s="7">
        <f t="shared" ca="1" si="94"/>
        <v>0</v>
      </c>
    </row>
    <row r="175" spans="1:39" x14ac:dyDescent="0.2">
      <c r="A175" s="3" t="s">
        <v>36</v>
      </c>
      <c r="C175" s="7">
        <f ca="1">-C168+SUM(C171:C174)</f>
        <v>0</v>
      </c>
      <c r="D175" s="101">
        <f t="shared" ref="D175" ca="1" si="95">-D168+SUM(D171:D174)</f>
        <v>0</v>
      </c>
      <c r="E175" s="110">
        <f t="shared" ref="E175:AM175" ca="1" si="96">-E168+SUM(E171:E174)</f>
        <v>69377.307064808454</v>
      </c>
      <c r="F175" s="7">
        <f t="shared" ca="1" si="96"/>
        <v>-3020.8356249999997</v>
      </c>
      <c r="G175" s="7">
        <f t="shared" ca="1" si="96"/>
        <v>-3116.845146875</v>
      </c>
      <c r="H175" s="7">
        <f t="shared" ca="1" si="96"/>
        <v>-3215.8695657343751</v>
      </c>
      <c r="I175" s="7">
        <f t="shared" ca="1" si="96"/>
        <v>-3318.0026937708594</v>
      </c>
      <c r="J175" s="7">
        <f t="shared" ca="1" si="96"/>
        <v>-3423.3412416750498</v>
      </c>
      <c r="K175" s="7">
        <f t="shared" ca="1" si="96"/>
        <v>-3531.984907693643</v>
      </c>
      <c r="L175" s="7">
        <f t="shared" ca="1" si="96"/>
        <v>-3644.0364694120021</v>
      </c>
      <c r="M175" s="7">
        <f t="shared" ca="1" si="96"/>
        <v>-3759.6018783441009</v>
      </c>
      <c r="N175" s="7">
        <f t="shared" ca="1" si="96"/>
        <v>-3878.7903574154057</v>
      </c>
      <c r="O175" s="7">
        <f t="shared" ca="1" si="96"/>
        <v>-4001.7145014268744</v>
      </c>
      <c r="P175" s="7">
        <f t="shared" ca="1" si="96"/>
        <v>-4128.4903805909125</v>
      </c>
      <c r="Q175" s="7">
        <f t="shared" ca="1" si="96"/>
        <v>-4259.2376472329024</v>
      </c>
      <c r="R175" s="7">
        <f t="shared" ca="1" si="96"/>
        <v>-4394.0796457547576</v>
      </c>
      <c r="S175" s="7">
        <f t="shared" ca="1" si="96"/>
        <v>-4533.1435259598911</v>
      </c>
      <c r="T175" s="7">
        <f t="shared" ca="1" si="96"/>
        <v>-4676.5603598419912</v>
      </c>
      <c r="U175" s="7">
        <f t="shared" ca="1" si="96"/>
        <v>-4824.4652619431372</v>
      </c>
      <c r="V175" s="7">
        <f t="shared" ca="1" si="96"/>
        <v>-4976.9975133899634</v>
      </c>
      <c r="W175" s="7">
        <f t="shared" ca="1" si="96"/>
        <v>-5134.3006897199084</v>
      </c>
      <c r="X175" s="7">
        <f t="shared" ca="1" si="96"/>
        <v>-5296.5227926129592</v>
      </c>
      <c r="Y175" s="7">
        <f t="shared" ca="1" si="96"/>
        <v>-5463.8163856478359</v>
      </c>
      <c r="Z175" s="7">
        <f t="shared" ca="1" si="96"/>
        <v>-5636.338734205171</v>
      </c>
      <c r="AA175" s="7">
        <f t="shared" ca="1" si="96"/>
        <v>-5814.2519496439245</v>
      </c>
      <c r="AB175" s="7">
        <f t="shared" ca="1" si="96"/>
        <v>-5997.7231378811557</v>
      </c>
      <c r="AC175" s="7">
        <f t="shared" ca="1" si="96"/>
        <v>-6186.9245525092019</v>
      </c>
      <c r="AD175" s="7">
        <f t="shared" ca="1" si="96"/>
        <v>-6382.0337525883797</v>
      </c>
      <c r="AE175" s="7">
        <f t="shared" ca="1" si="96"/>
        <v>-6583.2337652575297</v>
      </c>
      <c r="AF175" s="7">
        <f t="shared" ca="1" si="96"/>
        <v>-6790.7132533090426</v>
      </c>
      <c r="AG175" s="7">
        <f t="shared" ca="1" si="96"/>
        <v>-7004.6666878794458</v>
      </c>
      <c r="AH175" s="7">
        <f t="shared" ca="1" si="96"/>
        <v>-7225.2945264112386</v>
      </c>
      <c r="AI175" s="7">
        <f t="shared" ca="1" si="96"/>
        <v>-7452.8033960463708</v>
      </c>
      <c r="AJ175" s="7">
        <f t="shared" ca="1" si="96"/>
        <v>-7687.4062826166255</v>
      </c>
      <c r="AK175" s="7">
        <f t="shared" ca="1" si="96"/>
        <v>-7929.3227254012108</v>
      </c>
      <c r="AL175" s="7">
        <f t="shared" ca="1" si="96"/>
        <v>-8178.7790178269861</v>
      </c>
      <c r="AM175" s="7">
        <f t="shared" ca="1" si="96"/>
        <v>-8436.008414292126</v>
      </c>
    </row>
    <row r="176" spans="1:39" x14ac:dyDescent="0.2">
      <c r="A176" s="3"/>
      <c r="C176" s="7"/>
      <c r="D176" s="101"/>
      <c r="E176" s="110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  <c r="AG176" s="7"/>
      <c r="AH176" s="7"/>
      <c r="AI176" s="7"/>
      <c r="AJ176" s="7"/>
      <c r="AK176" s="7"/>
      <c r="AL176" s="7"/>
      <c r="AM176" s="7"/>
    </row>
    <row r="177" spans="1:39" x14ac:dyDescent="0.2">
      <c r="A177" s="3" t="s">
        <v>70</v>
      </c>
      <c r="C177" s="7">
        <f ca="1">C163+SUM($C175:C175)</f>
        <v>59870.735212387553</v>
      </c>
      <c r="D177" s="101">
        <f ca="1">D163+SUM($C175:D175)</f>
        <v>74614.879410794849</v>
      </c>
      <c r="E177" s="110">
        <f ca="1">E163+SUM($C175:E175)</f>
        <v>78424.164407139033</v>
      </c>
      <c r="F177" s="7">
        <f ca="1">F163+SUM($C175:F175)</f>
        <v>-12455.430573488513</v>
      </c>
      <c r="G177" s="7">
        <f ca="1">G163+SUM($C175:G175)</f>
        <v>89397.854577817183</v>
      </c>
      <c r="H177" s="7">
        <f ca="1">H163+SUM($C175:H175)</f>
        <v>32436.16193911868</v>
      </c>
      <c r="I177" s="7">
        <f ca="1">I163+SUM($C175:I175)</f>
        <v>-9030.0903901245765</v>
      </c>
      <c r="J177" s="7">
        <f ca="1">J163+SUM($C175:J175)</f>
        <v>-50626.630091027197</v>
      </c>
      <c r="K177" s="7">
        <f ca="1">K163+SUM($C175:K175)</f>
        <v>-110144.82399633047</v>
      </c>
      <c r="L177" s="7">
        <f ca="1">L163+SUM($C175:L175)</f>
        <v>-88277.003957625755</v>
      </c>
      <c r="M177" s="7">
        <f ca="1">M163+SUM($C175:M175)</f>
        <v>-160294.47932977066</v>
      </c>
      <c r="N177" s="7">
        <f ca="1">N163+SUM($C175:N175)</f>
        <v>-184069.15003534846</v>
      </c>
      <c r="O177" s="7">
        <f ca="1">O163+SUM($C175:O175)</f>
        <v>-208248.72049751034</v>
      </c>
      <c r="P177" s="7">
        <f ca="1">P163+SUM($C175:P175)</f>
        <v>-232837.62919983896</v>
      </c>
      <c r="Q177" s="7">
        <f ca="1">Q163+SUM($C175:Q175)</f>
        <v>-257840.25506769735</v>
      </c>
      <c r="R177" s="7">
        <f ca="1">R163+SUM($C175:R175)</f>
        <v>-283260.91086366255</v>
      </c>
      <c r="S177" s="7">
        <f ca="1">S163+SUM($C175:S175)</f>
        <v>-309103.83626437973</v>
      </c>
      <c r="T177" s="7">
        <f ca="1">T163+SUM($C175:T175)</f>
        <v>-318331.06608107989</v>
      </c>
      <c r="U177" s="7">
        <f ca="1">U163+SUM($C175:U175)</f>
        <v>-319764.44953499775</v>
      </c>
      <c r="V177" s="7">
        <f ca="1">V163+SUM($C175:V175)</f>
        <v>-321000.64705000643</v>
      </c>
      <c r="W177" s="7">
        <f ca="1">W163+SUM($C175:W175)</f>
        <v>-322027.73836187535</v>
      </c>
      <c r="X177" s="7">
        <f ca="1">X163+SUM($C175:X175)</f>
        <v>-322833.29548129567</v>
      </c>
      <c r="Y177" s="7">
        <f ca="1">Y163+SUM($C175:Y175)</f>
        <v>-344063.22048015997</v>
      </c>
      <c r="Z177" s="7">
        <f ca="1">Z163+SUM($C175:Z175)</f>
        <v>-365561.62694990804</v>
      </c>
      <c r="AA177" s="7">
        <f ca="1">AA163+SUM($C175:AA175)</f>
        <v>-387327.35892768914</v>
      </c>
      <c r="AB177" s="7">
        <f ca="1">AB163+SUM($C175:AB175)</f>
        <v>-409358.99551159318</v>
      </c>
      <c r="AC177" s="7">
        <f ca="1">AC163+SUM($C175:AC175)</f>
        <v>-431654.83715597331</v>
      </c>
      <c r="AD177" s="7">
        <f ca="1">AD163+SUM($C175:AD175)</f>
        <v>-454212.89141171792</v>
      </c>
      <c r="AE177" s="7">
        <f ca="1">AE163+SUM($C175:AE175)</f>
        <v>-467048.38299743272</v>
      </c>
      <c r="AF177" s="7">
        <f ca="1">AF163+SUM($C175:AF175)</f>
        <v>-479891.60177217377</v>
      </c>
      <c r="AG177" s="7">
        <f ca="1">AG163+SUM($C175:AG175)</f>
        <v>-492733.34611264832</v>
      </c>
      <c r="AH177" s="7">
        <f ca="1">AH163+SUM($C175:AH175)</f>
        <v>-505563.90251089074</v>
      </c>
      <c r="AI177" s="7">
        <f ca="1">AI163+SUM($C175:AI175)</f>
        <v>-518373.02432182262</v>
      </c>
      <c r="AJ177" s="7">
        <f ca="1">AJ163+SUM($C175:AJ175)</f>
        <v>-531149.90972584346</v>
      </c>
      <c r="AK177" s="7">
        <f ca="1">AK163+SUM($C175:AK175)</f>
        <v>-543883.17887921503</v>
      </c>
      <c r="AL177" s="7">
        <f ca="1">AL163+SUM($C175:AL175)</f>
        <v>-556560.85022409842</v>
      </c>
      <c r="AM177" s="7">
        <f ca="1">AM163+SUM($C175:AM175)</f>
        <v>-569170.31592916162</v>
      </c>
    </row>
    <row r="178" spans="1:39" x14ac:dyDescent="0.2">
      <c r="A178" s="3" t="s">
        <v>67</v>
      </c>
      <c r="C178" s="7">
        <f t="shared" ref="C178:AM178" ca="1" si="97">MAX(C177+buffer,0)-MAX(C163+buffer,0)</f>
        <v>0</v>
      </c>
      <c r="D178" s="101">
        <f t="shared" ca="1" si="97"/>
        <v>0</v>
      </c>
      <c r="E178" s="110">
        <f t="shared" ca="1" si="97"/>
        <v>69377.307064808439</v>
      </c>
      <c r="F178" s="7">
        <f t="shared" ca="1" si="97"/>
        <v>37544.569426511487</v>
      </c>
      <c r="G178" s="7">
        <f t="shared" ca="1" si="97"/>
        <v>63239.626292933477</v>
      </c>
      <c r="H178" s="7">
        <f t="shared" ca="1" si="97"/>
        <v>60023.756727199085</v>
      </c>
      <c r="I178" s="7">
        <f t="shared" ca="1" si="97"/>
        <v>40969.909609875423</v>
      </c>
      <c r="J178" s="7">
        <f t="shared" ca="1" si="97"/>
        <v>0</v>
      </c>
      <c r="K178" s="7">
        <f t="shared" ca="1" si="97"/>
        <v>0</v>
      </c>
      <c r="L178" s="7">
        <f t="shared" ca="1" si="97"/>
        <v>0</v>
      </c>
      <c r="M178" s="7">
        <f t="shared" ca="1" si="97"/>
        <v>0</v>
      </c>
      <c r="N178" s="7">
        <f t="shared" ca="1" si="97"/>
        <v>0</v>
      </c>
      <c r="O178" s="7">
        <f t="shared" ca="1" si="97"/>
        <v>0</v>
      </c>
      <c r="P178" s="7">
        <f t="shared" ca="1" si="97"/>
        <v>0</v>
      </c>
      <c r="Q178" s="7">
        <f t="shared" ca="1" si="97"/>
        <v>0</v>
      </c>
      <c r="R178" s="7">
        <f t="shared" ca="1" si="97"/>
        <v>0</v>
      </c>
      <c r="S178" s="7">
        <f t="shared" ca="1" si="97"/>
        <v>0</v>
      </c>
      <c r="T178" s="7">
        <f t="shared" ca="1" si="97"/>
        <v>0</v>
      </c>
      <c r="U178" s="7">
        <f t="shared" ca="1" si="97"/>
        <v>0</v>
      </c>
      <c r="V178" s="7">
        <f t="shared" ca="1" si="97"/>
        <v>0</v>
      </c>
      <c r="W178" s="7">
        <f t="shared" ca="1" si="97"/>
        <v>0</v>
      </c>
      <c r="X178" s="7">
        <f t="shared" ca="1" si="97"/>
        <v>0</v>
      </c>
      <c r="Y178" s="7">
        <f t="shared" ca="1" si="97"/>
        <v>0</v>
      </c>
      <c r="Z178" s="7">
        <f t="shared" ca="1" si="97"/>
        <v>0</v>
      </c>
      <c r="AA178" s="7">
        <f t="shared" ca="1" si="97"/>
        <v>0</v>
      </c>
      <c r="AB178" s="7">
        <f t="shared" ca="1" si="97"/>
        <v>0</v>
      </c>
      <c r="AC178" s="7">
        <f t="shared" ca="1" si="97"/>
        <v>0</v>
      </c>
      <c r="AD178" s="7">
        <f t="shared" ca="1" si="97"/>
        <v>0</v>
      </c>
      <c r="AE178" s="7">
        <f t="shared" ca="1" si="97"/>
        <v>0</v>
      </c>
      <c r="AF178" s="7">
        <f t="shared" ca="1" si="97"/>
        <v>0</v>
      </c>
      <c r="AG178" s="7">
        <f t="shared" ca="1" si="97"/>
        <v>0</v>
      </c>
      <c r="AH178" s="7">
        <f t="shared" ca="1" si="97"/>
        <v>0</v>
      </c>
      <c r="AI178" s="7">
        <f t="shared" ca="1" si="97"/>
        <v>0</v>
      </c>
      <c r="AJ178" s="7">
        <f t="shared" ca="1" si="97"/>
        <v>0</v>
      </c>
      <c r="AK178" s="7">
        <f t="shared" ca="1" si="97"/>
        <v>0</v>
      </c>
      <c r="AL178" s="7">
        <f t="shared" ca="1" si="97"/>
        <v>0</v>
      </c>
      <c r="AM178" s="7">
        <f t="shared" ca="1" si="97"/>
        <v>0</v>
      </c>
    </row>
    <row r="179" spans="1:39" x14ac:dyDescent="0.2">
      <c r="A179" s="3" t="s">
        <v>68</v>
      </c>
      <c r="C179" s="7">
        <f ca="1">C178*Inputs!$B$270</f>
        <v>0</v>
      </c>
      <c r="D179" s="101">
        <f ca="1">D178*Inputs!$B$270</f>
        <v>0</v>
      </c>
      <c r="E179" s="110">
        <f ca="1">E178*Inputs!$B$270</f>
        <v>1734.4326766202112</v>
      </c>
      <c r="F179" s="7">
        <f ca="1">F178*Inputs!$B$270</f>
        <v>938.61423566278722</v>
      </c>
      <c r="G179" s="7">
        <f ca="1">G178*Inputs!$B$270</f>
        <v>1580.990657323337</v>
      </c>
      <c r="H179" s="7">
        <f ca="1">H178*Inputs!$B$270</f>
        <v>1500.5939181799772</v>
      </c>
      <c r="I179" s="7">
        <f ca="1">I178*Inputs!$B$270</f>
        <v>1024.2477402468855</v>
      </c>
      <c r="J179" s="7">
        <f ca="1">J178*Inputs!$B$270</f>
        <v>0</v>
      </c>
      <c r="K179" s="7">
        <f ca="1">K178*Inputs!$B$270</f>
        <v>0</v>
      </c>
      <c r="L179" s="7">
        <f ca="1">L178*Inputs!$B$270</f>
        <v>0</v>
      </c>
      <c r="M179" s="7">
        <f ca="1">M178*Inputs!$B$270</f>
        <v>0</v>
      </c>
      <c r="N179" s="7">
        <f ca="1">N178*Inputs!$B$270</f>
        <v>0</v>
      </c>
      <c r="O179" s="7">
        <f ca="1">O178*Inputs!$B$270</f>
        <v>0</v>
      </c>
      <c r="P179" s="7">
        <f ca="1">P178*Inputs!$B$270</f>
        <v>0</v>
      </c>
      <c r="Q179" s="7">
        <f ca="1">Q178*Inputs!$B$270</f>
        <v>0</v>
      </c>
      <c r="R179" s="7">
        <f ca="1">R178*Inputs!$B$270</f>
        <v>0</v>
      </c>
      <c r="S179" s="7">
        <f ca="1">S178*Inputs!$B$270</f>
        <v>0</v>
      </c>
      <c r="T179" s="7">
        <f ca="1">T178*Inputs!$B$270</f>
        <v>0</v>
      </c>
      <c r="U179" s="7">
        <f ca="1">U178*Inputs!$B$270</f>
        <v>0</v>
      </c>
      <c r="V179" s="7">
        <f ca="1">V178*Inputs!$B$270</f>
        <v>0</v>
      </c>
      <c r="W179" s="7">
        <f ca="1">W178*Inputs!$B$270</f>
        <v>0</v>
      </c>
      <c r="X179" s="7">
        <f ca="1">X178*Inputs!$B$270</f>
        <v>0</v>
      </c>
      <c r="Y179" s="7">
        <f ca="1">Y178*Inputs!$B$270</f>
        <v>0</v>
      </c>
      <c r="Z179" s="7">
        <f ca="1">Z178*Inputs!$B$270</f>
        <v>0</v>
      </c>
      <c r="AA179" s="7">
        <f ca="1">AA178*Inputs!$B$270</f>
        <v>0</v>
      </c>
      <c r="AB179" s="7">
        <f ca="1">AB178*Inputs!$B$270</f>
        <v>0</v>
      </c>
      <c r="AC179" s="7">
        <f ca="1">AC178*Inputs!$B$270</f>
        <v>0</v>
      </c>
      <c r="AD179" s="7">
        <f ca="1">AD178*Inputs!$B$270</f>
        <v>0</v>
      </c>
      <c r="AE179" s="7">
        <f ca="1">AE178*Inputs!$B$270</f>
        <v>0</v>
      </c>
      <c r="AF179" s="7">
        <f ca="1">AF178*Inputs!$B$270</f>
        <v>0</v>
      </c>
      <c r="AG179" s="7">
        <f ca="1">AG178*Inputs!$B$270</f>
        <v>0</v>
      </c>
      <c r="AH179" s="7">
        <f ca="1">AH178*Inputs!$B$270</f>
        <v>0</v>
      </c>
      <c r="AI179" s="7">
        <f ca="1">AI178*Inputs!$B$270</f>
        <v>0</v>
      </c>
      <c r="AJ179" s="7">
        <f ca="1">AJ178*Inputs!$B$270</f>
        <v>0</v>
      </c>
      <c r="AK179" s="7">
        <f ca="1">AK178*Inputs!$B$270</f>
        <v>0</v>
      </c>
      <c r="AL179" s="7">
        <f ca="1">AL178*Inputs!$B$270</f>
        <v>0</v>
      </c>
      <c r="AM179" s="7">
        <f ca="1">AM178*Inputs!$B$270</f>
        <v>0</v>
      </c>
    </row>
    <row r="180" spans="1:39" x14ac:dyDescent="0.2">
      <c r="A180" s="3" t="s">
        <v>149</v>
      </c>
      <c r="C180" s="7">
        <f ca="1">C177+SUM($C179:C179)</f>
        <v>59870.735212387553</v>
      </c>
      <c r="D180" s="101">
        <f ca="1">D177+SUM($C179:D179)</f>
        <v>74614.879410794849</v>
      </c>
      <c r="E180" s="110">
        <f ca="1">E177+SUM($C179:E179)</f>
        <v>80158.597083759247</v>
      </c>
      <c r="F180" s="7">
        <f ca="1">F177+SUM($C179:F179)</f>
        <v>-9782.3836612055147</v>
      </c>
      <c r="G180" s="7">
        <f ca="1">G177+SUM($C179:G179)</f>
        <v>93651.892147423525</v>
      </c>
      <c r="H180" s="7">
        <f ca="1">H177+SUM($C179:H179)</f>
        <v>38190.793426904987</v>
      </c>
      <c r="I180" s="7">
        <f ca="1">I177+SUM($C179:I179)</f>
        <v>-2251.2111620913793</v>
      </c>
      <c r="J180" s="7">
        <f ca="1">J177+SUM($C179:J179)</f>
        <v>-43847.750862993998</v>
      </c>
      <c r="K180" s="7">
        <f ca="1">K177+SUM($C179:K179)</f>
        <v>-103365.94476829727</v>
      </c>
      <c r="L180" s="7">
        <f ca="1">L177+SUM($C179:L179)</f>
        <v>-81498.124729592557</v>
      </c>
      <c r="M180" s="7">
        <f ca="1">M177+SUM($C179:M179)</f>
        <v>-153515.60010173748</v>
      </c>
      <c r="N180" s="7">
        <f ca="1">N177+SUM($C179:N179)</f>
        <v>-177290.27080731528</v>
      </c>
      <c r="O180" s="7">
        <f ca="1">O177+SUM($C179:O179)</f>
        <v>-201469.84126947715</v>
      </c>
      <c r="P180" s="7">
        <f ca="1">P177+SUM($C179:P179)</f>
        <v>-226058.74997180578</v>
      </c>
      <c r="Q180" s="7">
        <f ca="1">Q177+SUM($C179:Q179)</f>
        <v>-251061.37583966416</v>
      </c>
      <c r="R180" s="7">
        <f ca="1">R177+SUM($C179:R179)</f>
        <v>-276482.03163562936</v>
      </c>
      <c r="S180" s="7">
        <f ca="1">S177+SUM($C179:S179)</f>
        <v>-302324.95703634655</v>
      </c>
      <c r="T180" s="7">
        <f ca="1">T177+SUM($C179:T179)</f>
        <v>-311552.1868530467</v>
      </c>
      <c r="U180" s="7">
        <f ca="1">U177+SUM($C179:U179)</f>
        <v>-312985.57030696457</v>
      </c>
      <c r="V180" s="7">
        <f ca="1">V177+SUM($C179:V179)</f>
        <v>-314221.76782197325</v>
      </c>
      <c r="W180" s="7">
        <f ca="1">W177+SUM($C179:W179)</f>
        <v>-315248.85913384217</v>
      </c>
      <c r="X180" s="7">
        <f ca="1">X177+SUM($C179:X179)</f>
        <v>-316054.41625326249</v>
      </c>
      <c r="Y180" s="7">
        <f ca="1">Y177+SUM($C179:Y179)</f>
        <v>-337284.34125212679</v>
      </c>
      <c r="Z180" s="7">
        <f ca="1">Z177+SUM($C179:Z179)</f>
        <v>-358782.74772187485</v>
      </c>
      <c r="AA180" s="7">
        <f ca="1">AA177+SUM($C179:AA179)</f>
        <v>-380548.47969965596</v>
      </c>
      <c r="AB180" s="7">
        <f ca="1">AB177+SUM($C179:AB179)</f>
        <v>-402580.11628356</v>
      </c>
      <c r="AC180" s="7">
        <f ca="1">AC177+SUM($C179:AC179)</f>
        <v>-424875.95792794012</v>
      </c>
      <c r="AD180" s="7">
        <f ca="1">AD177+SUM($C179:AD179)</f>
        <v>-447434.01218368474</v>
      </c>
      <c r="AE180" s="7">
        <f ca="1">AE177+SUM($C179:AE179)</f>
        <v>-460269.50376939954</v>
      </c>
      <c r="AF180" s="7">
        <f ca="1">AF177+SUM($C179:AF179)</f>
        <v>-473112.72254414059</v>
      </c>
      <c r="AG180" s="7">
        <f ca="1">AG177+SUM($C179:AG179)</f>
        <v>-485954.46688461513</v>
      </c>
      <c r="AH180" s="7">
        <f ca="1">AH177+SUM($C179:AH179)</f>
        <v>-498785.02328285755</v>
      </c>
      <c r="AI180" s="7">
        <f ca="1">AI177+SUM($C179:AI179)</f>
        <v>-511594.14509378944</v>
      </c>
      <c r="AJ180" s="7">
        <f ca="1">AJ177+SUM($C179:AJ179)</f>
        <v>-524371.03049781022</v>
      </c>
      <c r="AK180" s="7">
        <f ca="1">AK177+SUM($C179:AK179)</f>
        <v>-537104.29965118179</v>
      </c>
      <c r="AL180" s="7">
        <f ca="1">AL177+SUM($C179:AL179)</f>
        <v>-549781.97099606518</v>
      </c>
      <c r="AM180" s="7">
        <f ca="1">AM177+SUM($C179:AM179)</f>
        <v>-562391.43670112838</v>
      </c>
    </row>
    <row r="181" spans="1:39" x14ac:dyDescent="0.2">
      <c r="A181" s="3" t="s">
        <v>19</v>
      </c>
      <c r="C181" s="7">
        <f ca="1">IF(C180&lt;0,-C180,0)</f>
        <v>0</v>
      </c>
      <c r="D181" s="101">
        <f ca="1">IF(D180+SUM($C181:C181)&lt;0,-(D180+SUM($C181:C181)),0)</f>
        <v>0</v>
      </c>
      <c r="E181" s="110">
        <f ca="1">IF(E180+SUM($C181:D181)&lt;0,-(E180+SUM($C181:D181)),0)</f>
        <v>0</v>
      </c>
      <c r="F181" s="7">
        <f ca="1">IF(F180+SUM($C181:E181)&lt;0,-(F180+SUM($C181:E181)),0)</f>
        <v>9782.3836612055147</v>
      </c>
      <c r="G181" s="7">
        <f ca="1">IF(G180+SUM($C181:F181)&lt;0,-(G180+SUM($C181:F181)),0)</f>
        <v>0</v>
      </c>
      <c r="H181" s="7">
        <f ca="1">IF(H180+SUM($C181:G181)&lt;0,-(H180+SUM($C181:G181)),0)</f>
        <v>0</v>
      </c>
      <c r="I181" s="7">
        <f ca="1">IF(I180+SUM($C181:H181)&lt;0,-(I180+SUM($C181:H181)),0)</f>
        <v>0</v>
      </c>
      <c r="J181" s="7">
        <f ca="1">IF(J180+SUM($C181:I181)&lt;0,-(J180+SUM($C181:I181)),0)</f>
        <v>34065.367201788482</v>
      </c>
      <c r="K181" s="7">
        <f ca="1">IF(K180+SUM($C181:J181)&lt;0,-(K180+SUM($C181:J181)),0)</f>
        <v>59518.193905303269</v>
      </c>
      <c r="L181" s="7">
        <f ca="1">IF(L180+SUM($C181:K181)&lt;0,-(L180+SUM($C181:K181)),0)</f>
        <v>0</v>
      </c>
      <c r="M181" s="7">
        <f ca="1">IF(M180+SUM($C181:L181)&lt;0,-(M180+SUM($C181:L181)),0)</f>
        <v>50149.655333440212</v>
      </c>
      <c r="N181" s="7">
        <f ca="1">IF(N180+SUM($C181:M181)&lt;0,-(N180+SUM($C181:M181)),0)</f>
        <v>23774.670705577795</v>
      </c>
      <c r="O181" s="7">
        <f ca="1">IF(O180+SUM($C181:N181)&lt;0,-(O180+SUM($C181:N181)),0)</f>
        <v>24179.570462161879</v>
      </c>
      <c r="P181" s="7">
        <f ca="1">IF(P180+SUM($C181:O181)&lt;0,-(P180+SUM($C181:O181)),0)</f>
        <v>24588.908702328627</v>
      </c>
      <c r="Q181" s="7">
        <f ca="1">IF(Q180+SUM($C181:P181)&lt;0,-(Q180+SUM($C181:P181)),0)</f>
        <v>25002.625867858384</v>
      </c>
      <c r="R181" s="7">
        <f ca="1">IF(R180+SUM($C181:Q181)&lt;0,-(R180+SUM($C181:Q181)),0)</f>
        <v>25420.655795965198</v>
      </c>
      <c r="S181" s="7">
        <f ca="1">IF(S180+SUM($C181:R181)&lt;0,-(S180+SUM($C181:R181)),0)</f>
        <v>25842.925400717184</v>
      </c>
      <c r="T181" s="7">
        <f ca="1">IF(T180+SUM($C181:S181)&lt;0,-(T180+SUM($C181:S181)),0)</f>
        <v>9227.2298167001572</v>
      </c>
      <c r="U181" s="7">
        <f ca="1">IF(U180+SUM($C181:T181)&lt;0,-(U180+SUM($C181:T181)),0)</f>
        <v>1433.3834539178642</v>
      </c>
      <c r="V181" s="7">
        <f ca="1">IF(V180+SUM($C181:U181)&lt;0,-(V180+SUM($C181:U181)),0)</f>
        <v>1236.1975150086801</v>
      </c>
      <c r="W181" s="7">
        <f ca="1">IF(W180+SUM($C181:V181)&lt;0,-(W180+SUM($C181:V181)),0)</f>
        <v>1027.0913118689205</v>
      </c>
      <c r="X181" s="7">
        <f ca="1">IF(X180+SUM($C181:W181)&lt;0,-(X180+SUM($C181:W181)),0)</f>
        <v>805.55711942032212</v>
      </c>
      <c r="Y181" s="7">
        <f ca="1">IF(Y180+SUM($C181:X181)&lt;0,-(Y180+SUM($C181:X181)),0)</f>
        <v>21229.924998864299</v>
      </c>
      <c r="Z181" s="7">
        <f ca="1">IF(Z180+SUM($C181:Y181)&lt;0,-(Z180+SUM($C181:Y181)),0)</f>
        <v>21498.406469748064</v>
      </c>
      <c r="AA181" s="7">
        <f ca="1">IF(AA180+SUM($C181:Z181)&lt;0,-(AA180+SUM($C181:Z181)),0)</f>
        <v>21765.731977781106</v>
      </c>
      <c r="AB181" s="7">
        <f ca="1">IF(AB180+SUM($C181:AA181)&lt;0,-(AB180+SUM($C181:AA181)),0)</f>
        <v>22031.636583904037</v>
      </c>
      <c r="AC181" s="7">
        <f ca="1">IF(AC180+SUM($C181:AB181)&lt;0,-(AC180+SUM($C181:AB181)),0)</f>
        <v>22295.841644380125</v>
      </c>
      <c r="AD181" s="7">
        <f ca="1">IF(AD180+SUM($C181:AC181)&lt;0,-(AD180+SUM($C181:AC181)),0)</f>
        <v>22558.054255744617</v>
      </c>
      <c r="AE181" s="7">
        <f ca="1">IF(AE180+SUM($C181:AD181)&lt;0,-(AE180+SUM($C181:AD181)),0)</f>
        <v>12835.491585714801</v>
      </c>
      <c r="AF181" s="7">
        <f ca="1">IF(AF180+SUM($C181:AE181)&lt;0,-(AF180+SUM($C181:AE181)),0)</f>
        <v>12843.21877474105</v>
      </c>
      <c r="AG181" s="7">
        <f ca="1">IF(AG180+SUM($C181:AF181)&lt;0,-(AG180+SUM($C181:AF181)),0)</f>
        <v>12841.744340474543</v>
      </c>
      <c r="AH181" s="7">
        <f ca="1">IF(AH180+SUM($C181:AG181)&lt;0,-(AH180+SUM($C181:AG181)),0)</f>
        <v>12830.556398242421</v>
      </c>
      <c r="AI181" s="7">
        <f ca="1">IF(AI180+SUM($C181:AH181)&lt;0,-(AI180+SUM($C181:AH181)),0)</f>
        <v>12809.121810931887</v>
      </c>
      <c r="AJ181" s="7">
        <f ca="1">IF(AJ180+SUM($C181:AI181)&lt;0,-(AJ180+SUM($C181:AI181)),0)</f>
        <v>12776.885404020781</v>
      </c>
      <c r="AK181" s="7">
        <f ca="1">IF(AK180+SUM($C181:AJ181)&lt;0,-(AK180+SUM($C181:AJ181)),0)</f>
        <v>12733.26915337157</v>
      </c>
      <c r="AL181" s="7">
        <f ca="1">IF(AL180+SUM($C181:AK181)&lt;0,-(AL180+SUM($C181:AK181)),0)</f>
        <v>12677.671344883391</v>
      </c>
      <c r="AM181" s="7">
        <f ca="1">IF(AM180+SUM($C181:AL181)&lt;0,-(AM180+SUM($C181:AL181)),0)</f>
        <v>12609.465705063194</v>
      </c>
    </row>
    <row r="182" spans="1:39" x14ac:dyDescent="0.2">
      <c r="C182" s="7"/>
      <c r="D182" s="101"/>
      <c r="E182" s="110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  <c r="AG182" s="7"/>
      <c r="AH182" s="7"/>
      <c r="AI182" s="7"/>
      <c r="AJ182" s="7"/>
      <c r="AK182" s="7"/>
      <c r="AL182" s="7"/>
      <c r="AM182" s="7"/>
    </row>
    <row r="183" spans="1:39" x14ac:dyDescent="0.2">
      <c r="A183" s="24" t="str">
        <f>IF(Inputs!$B$290=6,IFERROR(_xlfn.XLOOKUP($B183,Inputs!$B$291:$B$300,Inputs!$A$291:$A$300,,0,1),""),IFERROR(_xlfn.XLOOKUP($B183,Inputs!$C$291:$C$300,Inputs!$A$291:$A$300,,0,1),""))</f>
        <v>Antiques</v>
      </c>
      <c r="B183" s="26">
        <v>5</v>
      </c>
      <c r="C183" s="7"/>
      <c r="D183" s="101"/>
      <c r="E183" s="110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  <c r="AG183" s="7"/>
      <c r="AH183" s="7"/>
      <c r="AI183" s="7"/>
      <c r="AJ183" s="7"/>
      <c r="AK183" s="7"/>
      <c r="AL183" s="7"/>
      <c r="AM183" s="7"/>
    </row>
    <row r="184" spans="1:39" x14ac:dyDescent="0.2">
      <c r="A184" s="3" t="s">
        <v>21</v>
      </c>
      <c r="C184" s="7">
        <f ca="1">IFERROR(VLOOKUP($A183,$A$68:$H$97,C$1+2,FALSE),0)</f>
        <v>83226.9503404141</v>
      </c>
      <c r="D184" s="101">
        <f ca="1">C187</f>
        <v>83226.9503404141</v>
      </c>
      <c r="E184" s="110">
        <f t="shared" ref="E184:AM184" ca="1" si="98">D187</f>
        <v>84891.489347222378</v>
      </c>
      <c r="F184" s="7">
        <f t="shared" ca="1" si="98"/>
        <v>0</v>
      </c>
      <c r="G184" s="7">
        <f t="shared" ca="1" si="98"/>
        <v>0</v>
      </c>
      <c r="H184" s="7">
        <f t="shared" ca="1" si="98"/>
        <v>0</v>
      </c>
      <c r="I184" s="7">
        <f t="shared" ca="1" si="98"/>
        <v>0</v>
      </c>
      <c r="J184" s="7">
        <f t="shared" ca="1" si="98"/>
        <v>0</v>
      </c>
      <c r="K184" s="7">
        <f t="shared" ca="1" si="98"/>
        <v>0</v>
      </c>
      <c r="L184" s="7">
        <f t="shared" ca="1" si="98"/>
        <v>0</v>
      </c>
      <c r="M184" s="7">
        <f t="shared" ca="1" si="98"/>
        <v>0</v>
      </c>
      <c r="N184" s="7">
        <f t="shared" ca="1" si="98"/>
        <v>0</v>
      </c>
      <c r="O184" s="7">
        <f t="shared" ca="1" si="98"/>
        <v>0</v>
      </c>
      <c r="P184" s="7">
        <f t="shared" ca="1" si="98"/>
        <v>0</v>
      </c>
      <c r="Q184" s="7">
        <f t="shared" ca="1" si="98"/>
        <v>0</v>
      </c>
      <c r="R184" s="7">
        <f t="shared" ca="1" si="98"/>
        <v>0</v>
      </c>
      <c r="S184" s="7">
        <f t="shared" ca="1" si="98"/>
        <v>0</v>
      </c>
      <c r="T184" s="7">
        <f t="shared" ca="1" si="98"/>
        <v>0</v>
      </c>
      <c r="U184" s="7">
        <f t="shared" ca="1" si="98"/>
        <v>0</v>
      </c>
      <c r="V184" s="7">
        <f t="shared" ca="1" si="98"/>
        <v>0</v>
      </c>
      <c r="W184" s="7">
        <f t="shared" ca="1" si="98"/>
        <v>0</v>
      </c>
      <c r="X184" s="7">
        <f t="shared" ca="1" si="98"/>
        <v>0</v>
      </c>
      <c r="Y184" s="7">
        <f t="shared" ca="1" si="98"/>
        <v>0</v>
      </c>
      <c r="Z184" s="7">
        <f t="shared" ca="1" si="98"/>
        <v>0</v>
      </c>
      <c r="AA184" s="7">
        <f t="shared" ca="1" si="98"/>
        <v>0</v>
      </c>
      <c r="AB184" s="7">
        <f t="shared" ca="1" si="98"/>
        <v>0</v>
      </c>
      <c r="AC184" s="7">
        <f t="shared" ca="1" si="98"/>
        <v>0</v>
      </c>
      <c r="AD184" s="7">
        <f t="shared" ca="1" si="98"/>
        <v>0</v>
      </c>
      <c r="AE184" s="7">
        <f t="shared" ca="1" si="98"/>
        <v>0</v>
      </c>
      <c r="AF184" s="7">
        <f t="shared" ca="1" si="98"/>
        <v>0</v>
      </c>
      <c r="AG184" s="7">
        <f t="shared" ca="1" si="98"/>
        <v>0</v>
      </c>
      <c r="AH184" s="7">
        <f t="shared" ca="1" si="98"/>
        <v>0</v>
      </c>
      <c r="AI184" s="7">
        <f t="shared" ca="1" si="98"/>
        <v>0</v>
      </c>
      <c r="AJ184" s="7">
        <f t="shared" ca="1" si="98"/>
        <v>0</v>
      </c>
      <c r="AK184" s="7">
        <f t="shared" ca="1" si="98"/>
        <v>0</v>
      </c>
      <c r="AL184" s="7">
        <f t="shared" ca="1" si="98"/>
        <v>0</v>
      </c>
      <c r="AM184" s="7">
        <f t="shared" ca="1" si="98"/>
        <v>0</v>
      </c>
    </row>
    <row r="185" spans="1:39" x14ac:dyDescent="0.2">
      <c r="A185" s="3" t="s">
        <v>22</v>
      </c>
      <c r="C185" s="7">
        <f ca="1">-IF(D181&gt;0,C184,0)</f>
        <v>0</v>
      </c>
      <c r="D185" s="101">
        <f ca="1">-IF(E181&gt;0,D184,0)</f>
        <v>0</v>
      </c>
      <c r="E185" s="110">
        <f ca="1">-IF(F181&gt;0,E184,0)</f>
        <v>-84891.489347222378</v>
      </c>
      <c r="F185" s="7">
        <f ca="1">-IF(G181&gt;0,F184,0)</f>
        <v>0</v>
      </c>
      <c r="G185" s="7">
        <f t="shared" ref="G185:AM185" ca="1" si="99">-IF(H181&gt;0,G184,0)</f>
        <v>0</v>
      </c>
      <c r="H185" s="7">
        <f t="shared" ca="1" si="99"/>
        <v>0</v>
      </c>
      <c r="I185" s="7">
        <f t="shared" ca="1" si="99"/>
        <v>0</v>
      </c>
      <c r="J185" s="7">
        <f t="shared" ca="1" si="99"/>
        <v>0</v>
      </c>
      <c r="K185" s="7">
        <f t="shared" ca="1" si="99"/>
        <v>0</v>
      </c>
      <c r="L185" s="7">
        <f t="shared" ca="1" si="99"/>
        <v>0</v>
      </c>
      <c r="M185" s="7">
        <f t="shared" ca="1" si="99"/>
        <v>0</v>
      </c>
      <c r="N185" s="7">
        <f t="shared" ca="1" si="99"/>
        <v>0</v>
      </c>
      <c r="O185" s="7">
        <f t="shared" ca="1" si="99"/>
        <v>0</v>
      </c>
      <c r="P185" s="7">
        <f t="shared" ca="1" si="99"/>
        <v>0</v>
      </c>
      <c r="Q185" s="7">
        <f t="shared" ca="1" si="99"/>
        <v>0</v>
      </c>
      <c r="R185" s="7">
        <f t="shared" ca="1" si="99"/>
        <v>0</v>
      </c>
      <c r="S185" s="7">
        <f t="shared" ca="1" si="99"/>
        <v>0</v>
      </c>
      <c r="T185" s="7">
        <f t="shared" ca="1" si="99"/>
        <v>0</v>
      </c>
      <c r="U185" s="7">
        <f t="shared" ca="1" si="99"/>
        <v>0</v>
      </c>
      <c r="V185" s="7">
        <f t="shared" ca="1" si="99"/>
        <v>0</v>
      </c>
      <c r="W185" s="7">
        <f t="shared" ca="1" si="99"/>
        <v>0</v>
      </c>
      <c r="X185" s="7">
        <f t="shared" ca="1" si="99"/>
        <v>0</v>
      </c>
      <c r="Y185" s="7">
        <f t="shared" ca="1" si="99"/>
        <v>0</v>
      </c>
      <c r="Z185" s="7">
        <f t="shared" ca="1" si="99"/>
        <v>0</v>
      </c>
      <c r="AA185" s="7">
        <f t="shared" ca="1" si="99"/>
        <v>0</v>
      </c>
      <c r="AB185" s="7">
        <f t="shared" ca="1" si="99"/>
        <v>0</v>
      </c>
      <c r="AC185" s="7">
        <f t="shared" ca="1" si="99"/>
        <v>0</v>
      </c>
      <c r="AD185" s="7">
        <f t="shared" ca="1" si="99"/>
        <v>0</v>
      </c>
      <c r="AE185" s="7">
        <f t="shared" ca="1" si="99"/>
        <v>0</v>
      </c>
      <c r="AF185" s="7">
        <f t="shared" ca="1" si="99"/>
        <v>0</v>
      </c>
      <c r="AG185" s="7">
        <f t="shared" ca="1" si="99"/>
        <v>0</v>
      </c>
      <c r="AH185" s="7">
        <f t="shared" ca="1" si="99"/>
        <v>0</v>
      </c>
      <c r="AI185" s="7">
        <f t="shared" ca="1" si="99"/>
        <v>0</v>
      </c>
      <c r="AJ185" s="7">
        <f t="shared" ca="1" si="99"/>
        <v>0</v>
      </c>
      <c r="AK185" s="7">
        <f t="shared" ca="1" si="99"/>
        <v>0</v>
      </c>
      <c r="AL185" s="7">
        <f t="shared" ca="1" si="99"/>
        <v>0</v>
      </c>
      <c r="AM185" s="7">
        <f t="shared" si="99"/>
        <v>0</v>
      </c>
    </row>
    <row r="186" spans="1:39" x14ac:dyDescent="0.2">
      <c r="A186" s="3" t="s">
        <v>23</v>
      </c>
      <c r="C186" s="7">
        <v>0</v>
      </c>
      <c r="D186" s="101">
        <f t="shared" ref="D186:AM186" ca="1" si="100">SUM(D184:D185)*VLOOKUP($A183,AssVar,2,FALSE)</f>
        <v>1664.539006808282</v>
      </c>
      <c r="E186" s="110">
        <f t="shared" ca="1" si="100"/>
        <v>0</v>
      </c>
      <c r="F186" s="7">
        <f t="shared" ca="1" si="100"/>
        <v>0</v>
      </c>
      <c r="G186" s="7">
        <f t="shared" ca="1" si="100"/>
        <v>0</v>
      </c>
      <c r="H186" s="7">
        <f t="shared" ca="1" si="100"/>
        <v>0</v>
      </c>
      <c r="I186" s="7">
        <f t="shared" ca="1" si="100"/>
        <v>0</v>
      </c>
      <c r="J186" s="7">
        <f t="shared" ca="1" si="100"/>
        <v>0</v>
      </c>
      <c r="K186" s="7">
        <f t="shared" ca="1" si="100"/>
        <v>0</v>
      </c>
      <c r="L186" s="7">
        <f t="shared" ca="1" si="100"/>
        <v>0</v>
      </c>
      <c r="M186" s="7">
        <f t="shared" ca="1" si="100"/>
        <v>0</v>
      </c>
      <c r="N186" s="7">
        <f t="shared" ca="1" si="100"/>
        <v>0</v>
      </c>
      <c r="O186" s="7">
        <f t="shared" ca="1" si="100"/>
        <v>0</v>
      </c>
      <c r="P186" s="7">
        <f t="shared" ca="1" si="100"/>
        <v>0</v>
      </c>
      <c r="Q186" s="7">
        <f t="shared" ca="1" si="100"/>
        <v>0</v>
      </c>
      <c r="R186" s="7">
        <f t="shared" ca="1" si="100"/>
        <v>0</v>
      </c>
      <c r="S186" s="7">
        <f t="shared" ca="1" si="100"/>
        <v>0</v>
      </c>
      <c r="T186" s="7">
        <f t="shared" ca="1" si="100"/>
        <v>0</v>
      </c>
      <c r="U186" s="7">
        <f t="shared" ca="1" si="100"/>
        <v>0</v>
      </c>
      <c r="V186" s="7">
        <f t="shared" ca="1" si="100"/>
        <v>0</v>
      </c>
      <c r="W186" s="7">
        <f t="shared" ca="1" si="100"/>
        <v>0</v>
      </c>
      <c r="X186" s="7">
        <f t="shared" ca="1" si="100"/>
        <v>0</v>
      </c>
      <c r="Y186" s="7">
        <f t="shared" ca="1" si="100"/>
        <v>0</v>
      </c>
      <c r="Z186" s="7">
        <f t="shared" ca="1" si="100"/>
        <v>0</v>
      </c>
      <c r="AA186" s="7">
        <f t="shared" ca="1" si="100"/>
        <v>0</v>
      </c>
      <c r="AB186" s="7">
        <f t="shared" ca="1" si="100"/>
        <v>0</v>
      </c>
      <c r="AC186" s="7">
        <f t="shared" ca="1" si="100"/>
        <v>0</v>
      </c>
      <c r="AD186" s="7">
        <f t="shared" ca="1" si="100"/>
        <v>0</v>
      </c>
      <c r="AE186" s="7">
        <f t="shared" ca="1" si="100"/>
        <v>0</v>
      </c>
      <c r="AF186" s="7">
        <f t="shared" ca="1" si="100"/>
        <v>0</v>
      </c>
      <c r="AG186" s="7">
        <f t="shared" ca="1" si="100"/>
        <v>0</v>
      </c>
      <c r="AH186" s="7">
        <f t="shared" ca="1" si="100"/>
        <v>0</v>
      </c>
      <c r="AI186" s="7">
        <f t="shared" ca="1" si="100"/>
        <v>0</v>
      </c>
      <c r="AJ186" s="7">
        <f t="shared" ca="1" si="100"/>
        <v>0</v>
      </c>
      <c r="AK186" s="7">
        <f t="shared" ca="1" si="100"/>
        <v>0</v>
      </c>
      <c r="AL186" s="7">
        <f t="shared" ca="1" si="100"/>
        <v>0</v>
      </c>
      <c r="AM186" s="7">
        <f t="shared" ca="1" si="100"/>
        <v>0</v>
      </c>
    </row>
    <row r="187" spans="1:39" x14ac:dyDescent="0.2">
      <c r="A187" s="3" t="s">
        <v>24</v>
      </c>
      <c r="C187" s="7">
        <f ca="1">SUM(C184:C186)</f>
        <v>83226.9503404141</v>
      </c>
      <c r="D187" s="101">
        <f t="shared" ref="D187:AM187" ca="1" si="101">SUM(D184:D186)</f>
        <v>84891.489347222378</v>
      </c>
      <c r="E187" s="110">
        <f t="shared" ca="1" si="101"/>
        <v>0</v>
      </c>
      <c r="F187" s="7">
        <f t="shared" ca="1" si="101"/>
        <v>0</v>
      </c>
      <c r="G187" s="7">
        <f t="shared" ca="1" si="101"/>
        <v>0</v>
      </c>
      <c r="H187" s="7">
        <f t="shared" ca="1" si="101"/>
        <v>0</v>
      </c>
      <c r="I187" s="7">
        <f t="shared" ca="1" si="101"/>
        <v>0</v>
      </c>
      <c r="J187" s="7">
        <f t="shared" ca="1" si="101"/>
        <v>0</v>
      </c>
      <c r="K187" s="7">
        <f t="shared" ca="1" si="101"/>
        <v>0</v>
      </c>
      <c r="L187" s="7">
        <f t="shared" ca="1" si="101"/>
        <v>0</v>
      </c>
      <c r="M187" s="7">
        <f t="shared" ca="1" si="101"/>
        <v>0</v>
      </c>
      <c r="N187" s="7">
        <f t="shared" ca="1" si="101"/>
        <v>0</v>
      </c>
      <c r="O187" s="7">
        <f t="shared" ca="1" si="101"/>
        <v>0</v>
      </c>
      <c r="P187" s="7">
        <f t="shared" ca="1" si="101"/>
        <v>0</v>
      </c>
      <c r="Q187" s="7">
        <f t="shared" ca="1" si="101"/>
        <v>0</v>
      </c>
      <c r="R187" s="7">
        <f t="shared" ca="1" si="101"/>
        <v>0</v>
      </c>
      <c r="S187" s="7">
        <f t="shared" ca="1" si="101"/>
        <v>0</v>
      </c>
      <c r="T187" s="7">
        <f t="shared" ca="1" si="101"/>
        <v>0</v>
      </c>
      <c r="U187" s="7">
        <f t="shared" ca="1" si="101"/>
        <v>0</v>
      </c>
      <c r="V187" s="7">
        <f t="shared" ca="1" si="101"/>
        <v>0</v>
      </c>
      <c r="W187" s="7">
        <f t="shared" ca="1" si="101"/>
        <v>0</v>
      </c>
      <c r="X187" s="7">
        <f t="shared" ca="1" si="101"/>
        <v>0</v>
      </c>
      <c r="Y187" s="7">
        <f t="shared" ca="1" si="101"/>
        <v>0</v>
      </c>
      <c r="Z187" s="7">
        <f t="shared" ca="1" si="101"/>
        <v>0</v>
      </c>
      <c r="AA187" s="7">
        <f t="shared" ca="1" si="101"/>
        <v>0</v>
      </c>
      <c r="AB187" s="7">
        <f t="shared" ca="1" si="101"/>
        <v>0</v>
      </c>
      <c r="AC187" s="7">
        <f t="shared" ca="1" si="101"/>
        <v>0</v>
      </c>
      <c r="AD187" s="7">
        <f t="shared" ca="1" si="101"/>
        <v>0</v>
      </c>
      <c r="AE187" s="7">
        <f t="shared" ca="1" si="101"/>
        <v>0</v>
      </c>
      <c r="AF187" s="7">
        <f t="shared" ca="1" si="101"/>
        <v>0</v>
      </c>
      <c r="AG187" s="7">
        <f t="shared" ca="1" si="101"/>
        <v>0</v>
      </c>
      <c r="AH187" s="7">
        <f t="shared" ca="1" si="101"/>
        <v>0</v>
      </c>
      <c r="AI187" s="7">
        <f t="shared" ca="1" si="101"/>
        <v>0</v>
      </c>
      <c r="AJ187" s="7">
        <f t="shared" ca="1" si="101"/>
        <v>0</v>
      </c>
      <c r="AK187" s="7">
        <f t="shared" ca="1" si="101"/>
        <v>0</v>
      </c>
      <c r="AL187" s="7">
        <f t="shared" ca="1" si="101"/>
        <v>0</v>
      </c>
      <c r="AM187" s="7">
        <f t="shared" ca="1" si="101"/>
        <v>0</v>
      </c>
    </row>
    <row r="188" spans="1:39" x14ac:dyDescent="0.2">
      <c r="A188" s="3" t="s">
        <v>25</v>
      </c>
      <c r="C188" s="7">
        <f t="shared" ref="C188:AM188" ca="1" si="102">C185*VLOOKUP($A183,AssVar,3,FALSE)</f>
        <v>0</v>
      </c>
      <c r="D188" s="101">
        <f t="shared" ca="1" si="102"/>
        <v>0</v>
      </c>
      <c r="E188" s="110">
        <f t="shared" ca="1" si="102"/>
        <v>-1697.8297869444475</v>
      </c>
      <c r="F188" s="7">
        <f t="shared" ca="1" si="102"/>
        <v>0</v>
      </c>
      <c r="G188" s="7">
        <f t="shared" ca="1" si="102"/>
        <v>0</v>
      </c>
      <c r="H188" s="7">
        <f t="shared" ca="1" si="102"/>
        <v>0</v>
      </c>
      <c r="I188" s="7">
        <f t="shared" ca="1" si="102"/>
        <v>0</v>
      </c>
      <c r="J188" s="7">
        <f t="shared" ca="1" si="102"/>
        <v>0</v>
      </c>
      <c r="K188" s="7">
        <f t="shared" ca="1" si="102"/>
        <v>0</v>
      </c>
      <c r="L188" s="7">
        <f t="shared" ca="1" si="102"/>
        <v>0</v>
      </c>
      <c r="M188" s="7">
        <f t="shared" ca="1" si="102"/>
        <v>0</v>
      </c>
      <c r="N188" s="7">
        <f t="shared" ca="1" si="102"/>
        <v>0</v>
      </c>
      <c r="O188" s="7">
        <f t="shared" ca="1" si="102"/>
        <v>0</v>
      </c>
      <c r="P188" s="7">
        <f t="shared" ca="1" si="102"/>
        <v>0</v>
      </c>
      <c r="Q188" s="7">
        <f t="shared" ca="1" si="102"/>
        <v>0</v>
      </c>
      <c r="R188" s="7">
        <f t="shared" ca="1" si="102"/>
        <v>0</v>
      </c>
      <c r="S188" s="7">
        <f t="shared" ca="1" si="102"/>
        <v>0</v>
      </c>
      <c r="T188" s="7">
        <f t="shared" ca="1" si="102"/>
        <v>0</v>
      </c>
      <c r="U188" s="7">
        <f t="shared" ca="1" si="102"/>
        <v>0</v>
      </c>
      <c r="V188" s="7">
        <f t="shared" ca="1" si="102"/>
        <v>0</v>
      </c>
      <c r="W188" s="7">
        <f t="shared" ca="1" si="102"/>
        <v>0</v>
      </c>
      <c r="X188" s="7">
        <f t="shared" ca="1" si="102"/>
        <v>0</v>
      </c>
      <c r="Y188" s="7">
        <f t="shared" ca="1" si="102"/>
        <v>0</v>
      </c>
      <c r="Z188" s="7">
        <f t="shared" ca="1" si="102"/>
        <v>0</v>
      </c>
      <c r="AA188" s="7">
        <f t="shared" ca="1" si="102"/>
        <v>0</v>
      </c>
      <c r="AB188" s="7">
        <f t="shared" ca="1" si="102"/>
        <v>0</v>
      </c>
      <c r="AC188" s="7">
        <f t="shared" ca="1" si="102"/>
        <v>0</v>
      </c>
      <c r="AD188" s="7">
        <f t="shared" ca="1" si="102"/>
        <v>0</v>
      </c>
      <c r="AE188" s="7">
        <f t="shared" ca="1" si="102"/>
        <v>0</v>
      </c>
      <c r="AF188" s="7">
        <f t="shared" ca="1" si="102"/>
        <v>0</v>
      </c>
      <c r="AG188" s="7">
        <f t="shared" ca="1" si="102"/>
        <v>0</v>
      </c>
      <c r="AH188" s="7">
        <f t="shared" ca="1" si="102"/>
        <v>0</v>
      </c>
      <c r="AI188" s="7">
        <f t="shared" ca="1" si="102"/>
        <v>0</v>
      </c>
      <c r="AJ188" s="7">
        <f t="shared" ca="1" si="102"/>
        <v>0</v>
      </c>
      <c r="AK188" s="7">
        <f t="shared" ca="1" si="102"/>
        <v>0</v>
      </c>
      <c r="AL188" s="7">
        <f t="shared" ca="1" si="102"/>
        <v>0</v>
      </c>
      <c r="AM188" s="7">
        <f t="shared" si="102"/>
        <v>0</v>
      </c>
    </row>
    <row r="189" spans="1:39" x14ac:dyDescent="0.2">
      <c r="A189" s="3" t="s">
        <v>30</v>
      </c>
      <c r="C189" s="7">
        <f t="shared" ref="C189:AM189" ca="1" si="103">IFERROR(-IF(C184=0,VLOOKUP($A183,$8:$12,C$1+2,FALSE),0),0)</f>
        <v>0</v>
      </c>
      <c r="D189" s="101">
        <f t="shared" ca="1" si="103"/>
        <v>0</v>
      </c>
      <c r="E189" s="110">
        <f t="shared" ca="1" si="103"/>
        <v>0</v>
      </c>
      <c r="F189" s="7">
        <f t="shared" ca="1" si="103"/>
        <v>0</v>
      </c>
      <c r="G189" s="7">
        <f t="shared" ca="1" si="103"/>
        <v>0</v>
      </c>
      <c r="H189" s="7">
        <f t="shared" ca="1" si="103"/>
        <v>0</v>
      </c>
      <c r="I189" s="7">
        <f t="shared" ca="1" si="103"/>
        <v>0</v>
      </c>
      <c r="J189" s="7">
        <f t="shared" ca="1" si="103"/>
        <v>0</v>
      </c>
      <c r="K189" s="7">
        <f t="shared" ca="1" si="103"/>
        <v>0</v>
      </c>
      <c r="L189" s="7">
        <f t="shared" ca="1" si="103"/>
        <v>0</v>
      </c>
      <c r="M189" s="7">
        <f t="shared" ca="1" si="103"/>
        <v>0</v>
      </c>
      <c r="N189" s="7">
        <f t="shared" ca="1" si="103"/>
        <v>0</v>
      </c>
      <c r="O189" s="7">
        <f t="shared" ca="1" si="103"/>
        <v>0</v>
      </c>
      <c r="P189" s="7">
        <f t="shared" ca="1" si="103"/>
        <v>0</v>
      </c>
      <c r="Q189" s="7">
        <f t="shared" ca="1" si="103"/>
        <v>0</v>
      </c>
      <c r="R189" s="7">
        <f t="shared" ca="1" si="103"/>
        <v>0</v>
      </c>
      <c r="S189" s="7">
        <f t="shared" ca="1" si="103"/>
        <v>0</v>
      </c>
      <c r="T189" s="7">
        <f t="shared" ca="1" si="103"/>
        <v>0</v>
      </c>
      <c r="U189" s="7">
        <f t="shared" ca="1" si="103"/>
        <v>0</v>
      </c>
      <c r="V189" s="7">
        <f t="shared" ca="1" si="103"/>
        <v>0</v>
      </c>
      <c r="W189" s="7">
        <f t="shared" ca="1" si="103"/>
        <v>0</v>
      </c>
      <c r="X189" s="7">
        <f t="shared" ca="1" si="103"/>
        <v>0</v>
      </c>
      <c r="Y189" s="7">
        <f t="shared" ca="1" si="103"/>
        <v>0</v>
      </c>
      <c r="Z189" s="7">
        <f t="shared" ca="1" si="103"/>
        <v>0</v>
      </c>
      <c r="AA189" s="7">
        <f t="shared" ca="1" si="103"/>
        <v>0</v>
      </c>
      <c r="AB189" s="7">
        <f t="shared" ca="1" si="103"/>
        <v>0</v>
      </c>
      <c r="AC189" s="7">
        <f t="shared" ca="1" si="103"/>
        <v>0</v>
      </c>
      <c r="AD189" s="7">
        <f t="shared" ca="1" si="103"/>
        <v>0</v>
      </c>
      <c r="AE189" s="7">
        <f t="shared" ca="1" si="103"/>
        <v>0</v>
      </c>
      <c r="AF189" s="7">
        <f t="shared" ca="1" si="103"/>
        <v>0</v>
      </c>
      <c r="AG189" s="7">
        <f t="shared" ca="1" si="103"/>
        <v>0</v>
      </c>
      <c r="AH189" s="7">
        <f t="shared" ca="1" si="103"/>
        <v>0</v>
      </c>
      <c r="AI189" s="7">
        <f t="shared" ca="1" si="103"/>
        <v>0</v>
      </c>
      <c r="AJ189" s="7">
        <f t="shared" ca="1" si="103"/>
        <v>0</v>
      </c>
      <c r="AK189" s="7">
        <f t="shared" ca="1" si="103"/>
        <v>0</v>
      </c>
      <c r="AL189" s="7">
        <f t="shared" ca="1" si="103"/>
        <v>0</v>
      </c>
      <c r="AM189" s="7">
        <f t="shared" ca="1" si="103"/>
        <v>0</v>
      </c>
    </row>
    <row r="190" spans="1:39" x14ac:dyDescent="0.2">
      <c r="A190" s="3" t="s">
        <v>49</v>
      </c>
      <c r="C190" s="7">
        <f t="shared" ref="C190:AM190" ca="1" si="104">IFERROR(IF(C184=0,VLOOKUP($A183,$46:$50,C$1+2,FALSE),0),0)</f>
        <v>0</v>
      </c>
      <c r="D190" s="101">
        <f t="shared" ca="1" si="104"/>
        <v>0</v>
      </c>
      <c r="E190" s="110">
        <f t="shared" ca="1" si="104"/>
        <v>0</v>
      </c>
      <c r="F190" s="7">
        <f t="shared" ca="1" si="104"/>
        <v>0</v>
      </c>
      <c r="G190" s="7">
        <f t="shared" ca="1" si="104"/>
        <v>0</v>
      </c>
      <c r="H190" s="7">
        <f t="shared" ca="1" si="104"/>
        <v>0</v>
      </c>
      <c r="I190" s="7">
        <f t="shared" ca="1" si="104"/>
        <v>0</v>
      </c>
      <c r="J190" s="7">
        <f t="shared" ca="1" si="104"/>
        <v>0</v>
      </c>
      <c r="K190" s="7">
        <f t="shared" ca="1" si="104"/>
        <v>0</v>
      </c>
      <c r="L190" s="7">
        <f t="shared" ca="1" si="104"/>
        <v>0</v>
      </c>
      <c r="M190" s="7">
        <f t="shared" ca="1" si="104"/>
        <v>0</v>
      </c>
      <c r="N190" s="7">
        <f t="shared" ca="1" si="104"/>
        <v>0</v>
      </c>
      <c r="O190" s="7">
        <f t="shared" ca="1" si="104"/>
        <v>0</v>
      </c>
      <c r="P190" s="7">
        <f t="shared" ca="1" si="104"/>
        <v>0</v>
      </c>
      <c r="Q190" s="7">
        <f t="shared" ca="1" si="104"/>
        <v>0</v>
      </c>
      <c r="R190" s="7">
        <f t="shared" ca="1" si="104"/>
        <v>0</v>
      </c>
      <c r="S190" s="7">
        <f t="shared" ca="1" si="104"/>
        <v>0</v>
      </c>
      <c r="T190" s="7">
        <f t="shared" ca="1" si="104"/>
        <v>0</v>
      </c>
      <c r="U190" s="7">
        <f t="shared" ca="1" si="104"/>
        <v>0</v>
      </c>
      <c r="V190" s="7">
        <f t="shared" ca="1" si="104"/>
        <v>0</v>
      </c>
      <c r="W190" s="7">
        <f t="shared" ca="1" si="104"/>
        <v>0</v>
      </c>
      <c r="X190" s="7">
        <f t="shared" ca="1" si="104"/>
        <v>0</v>
      </c>
      <c r="Y190" s="7">
        <f t="shared" ca="1" si="104"/>
        <v>0</v>
      </c>
      <c r="Z190" s="7">
        <f t="shared" ca="1" si="104"/>
        <v>0</v>
      </c>
      <c r="AA190" s="7">
        <f t="shared" ca="1" si="104"/>
        <v>0</v>
      </c>
      <c r="AB190" s="7">
        <f t="shared" ca="1" si="104"/>
        <v>0</v>
      </c>
      <c r="AC190" s="7">
        <f t="shared" ca="1" si="104"/>
        <v>0</v>
      </c>
      <c r="AD190" s="7">
        <f t="shared" ca="1" si="104"/>
        <v>0</v>
      </c>
      <c r="AE190" s="7">
        <f t="shared" ca="1" si="104"/>
        <v>0</v>
      </c>
      <c r="AF190" s="7">
        <f t="shared" ca="1" si="104"/>
        <v>0</v>
      </c>
      <c r="AG190" s="7">
        <f t="shared" ca="1" si="104"/>
        <v>0</v>
      </c>
      <c r="AH190" s="7">
        <f t="shared" ca="1" si="104"/>
        <v>0</v>
      </c>
      <c r="AI190" s="7">
        <f t="shared" ca="1" si="104"/>
        <v>0</v>
      </c>
      <c r="AJ190" s="7">
        <f t="shared" ca="1" si="104"/>
        <v>0</v>
      </c>
      <c r="AK190" s="7">
        <f t="shared" ca="1" si="104"/>
        <v>0</v>
      </c>
      <c r="AL190" s="7">
        <f t="shared" ca="1" si="104"/>
        <v>0</v>
      </c>
      <c r="AM190" s="7">
        <f t="shared" ca="1" si="104"/>
        <v>0</v>
      </c>
    </row>
    <row r="191" spans="1:39" x14ac:dyDescent="0.2">
      <c r="A191" s="3" t="s">
        <v>35</v>
      </c>
      <c r="B191" s="14" t="str">
        <f>A183</f>
        <v>Antiques</v>
      </c>
      <c r="C191" s="7">
        <f t="shared" ref="C191:AM191" ca="1" si="105">IF(AND(C184&gt;0,C187=0),VLOOKUP($A183,$86:$95,C$1+2,FALSE),0)</f>
        <v>0</v>
      </c>
      <c r="D191" s="101">
        <f t="shared" ca="1" si="105"/>
        <v>0</v>
      </c>
      <c r="E191" s="110">
        <f t="shared" ca="1" si="105"/>
        <v>-347.34775010749127</v>
      </c>
      <c r="F191" s="7">
        <f t="shared" ca="1" si="105"/>
        <v>0</v>
      </c>
      <c r="G191" s="7">
        <f t="shared" ca="1" si="105"/>
        <v>0</v>
      </c>
      <c r="H191" s="7">
        <f t="shared" ca="1" si="105"/>
        <v>0</v>
      </c>
      <c r="I191" s="7">
        <f t="shared" ca="1" si="105"/>
        <v>0</v>
      </c>
      <c r="J191" s="7">
        <f t="shared" ca="1" si="105"/>
        <v>0</v>
      </c>
      <c r="K191" s="7">
        <f t="shared" ca="1" si="105"/>
        <v>0</v>
      </c>
      <c r="L191" s="7">
        <f t="shared" ca="1" si="105"/>
        <v>0</v>
      </c>
      <c r="M191" s="7">
        <f t="shared" ca="1" si="105"/>
        <v>0</v>
      </c>
      <c r="N191" s="7">
        <f t="shared" ca="1" si="105"/>
        <v>0</v>
      </c>
      <c r="O191" s="7">
        <f t="shared" ca="1" si="105"/>
        <v>0</v>
      </c>
      <c r="P191" s="7">
        <f t="shared" ca="1" si="105"/>
        <v>0</v>
      </c>
      <c r="Q191" s="7">
        <f t="shared" ca="1" si="105"/>
        <v>0</v>
      </c>
      <c r="R191" s="7">
        <f t="shared" ca="1" si="105"/>
        <v>0</v>
      </c>
      <c r="S191" s="7">
        <f t="shared" ca="1" si="105"/>
        <v>0</v>
      </c>
      <c r="T191" s="7">
        <f t="shared" ca="1" si="105"/>
        <v>0</v>
      </c>
      <c r="U191" s="7">
        <f t="shared" ca="1" si="105"/>
        <v>0</v>
      </c>
      <c r="V191" s="7">
        <f t="shared" ca="1" si="105"/>
        <v>0</v>
      </c>
      <c r="W191" s="7">
        <f t="shared" ca="1" si="105"/>
        <v>0</v>
      </c>
      <c r="X191" s="7">
        <f t="shared" ca="1" si="105"/>
        <v>0</v>
      </c>
      <c r="Y191" s="7">
        <f t="shared" ca="1" si="105"/>
        <v>0</v>
      </c>
      <c r="Z191" s="7">
        <f t="shared" ca="1" si="105"/>
        <v>0</v>
      </c>
      <c r="AA191" s="7">
        <f t="shared" ca="1" si="105"/>
        <v>0</v>
      </c>
      <c r="AB191" s="7">
        <f t="shared" ca="1" si="105"/>
        <v>0</v>
      </c>
      <c r="AC191" s="7">
        <f t="shared" ca="1" si="105"/>
        <v>0</v>
      </c>
      <c r="AD191" s="7">
        <f t="shared" ca="1" si="105"/>
        <v>0</v>
      </c>
      <c r="AE191" s="7">
        <f t="shared" ca="1" si="105"/>
        <v>0</v>
      </c>
      <c r="AF191" s="7">
        <f t="shared" ca="1" si="105"/>
        <v>0</v>
      </c>
      <c r="AG191" s="7">
        <f t="shared" ca="1" si="105"/>
        <v>0</v>
      </c>
      <c r="AH191" s="7">
        <f t="shared" ca="1" si="105"/>
        <v>0</v>
      </c>
      <c r="AI191" s="7">
        <f t="shared" ca="1" si="105"/>
        <v>0</v>
      </c>
      <c r="AJ191" s="7">
        <f t="shared" ca="1" si="105"/>
        <v>0</v>
      </c>
      <c r="AK191" s="7">
        <f t="shared" ca="1" si="105"/>
        <v>0</v>
      </c>
      <c r="AL191" s="7">
        <f t="shared" ca="1" si="105"/>
        <v>0</v>
      </c>
      <c r="AM191" s="7">
        <f t="shared" ca="1" si="105"/>
        <v>0</v>
      </c>
    </row>
    <row r="192" spans="1:39" x14ac:dyDescent="0.2">
      <c r="A192" s="3" t="s">
        <v>36</v>
      </c>
      <c r="C192" s="7">
        <f ca="1">-C185+SUM(C188:C191)</f>
        <v>0</v>
      </c>
      <c r="D192" s="101">
        <f t="shared" ref="D192" ca="1" si="106">-D185+SUM(D188:D191)</f>
        <v>0</v>
      </c>
      <c r="E192" s="110">
        <f t="shared" ref="E192:AM192" ca="1" si="107">-E185+SUM(E188:E191)</f>
        <v>82846.311810170446</v>
      </c>
      <c r="F192" s="7">
        <f t="shared" ca="1" si="107"/>
        <v>0</v>
      </c>
      <c r="G192" s="7">
        <f t="shared" ca="1" si="107"/>
        <v>0</v>
      </c>
      <c r="H192" s="7">
        <f t="shared" ca="1" si="107"/>
        <v>0</v>
      </c>
      <c r="I192" s="7">
        <f t="shared" ca="1" si="107"/>
        <v>0</v>
      </c>
      <c r="J192" s="7">
        <f t="shared" ca="1" si="107"/>
        <v>0</v>
      </c>
      <c r="K192" s="7">
        <f t="shared" ca="1" si="107"/>
        <v>0</v>
      </c>
      <c r="L192" s="7">
        <f t="shared" ca="1" si="107"/>
        <v>0</v>
      </c>
      <c r="M192" s="7">
        <f t="shared" ca="1" si="107"/>
        <v>0</v>
      </c>
      <c r="N192" s="7">
        <f t="shared" ca="1" si="107"/>
        <v>0</v>
      </c>
      <c r="O192" s="7">
        <f t="shared" ca="1" si="107"/>
        <v>0</v>
      </c>
      <c r="P192" s="7">
        <f t="shared" ca="1" si="107"/>
        <v>0</v>
      </c>
      <c r="Q192" s="7">
        <f t="shared" ca="1" si="107"/>
        <v>0</v>
      </c>
      <c r="R192" s="7">
        <f t="shared" ca="1" si="107"/>
        <v>0</v>
      </c>
      <c r="S192" s="7">
        <f t="shared" ca="1" si="107"/>
        <v>0</v>
      </c>
      <c r="T192" s="7">
        <f t="shared" ca="1" si="107"/>
        <v>0</v>
      </c>
      <c r="U192" s="7">
        <f t="shared" ca="1" si="107"/>
        <v>0</v>
      </c>
      <c r="V192" s="7">
        <f t="shared" ca="1" si="107"/>
        <v>0</v>
      </c>
      <c r="W192" s="7">
        <f t="shared" ca="1" si="107"/>
        <v>0</v>
      </c>
      <c r="X192" s="7">
        <f t="shared" ca="1" si="107"/>
        <v>0</v>
      </c>
      <c r="Y192" s="7">
        <f t="shared" ca="1" si="107"/>
        <v>0</v>
      </c>
      <c r="Z192" s="7">
        <f t="shared" ca="1" si="107"/>
        <v>0</v>
      </c>
      <c r="AA192" s="7">
        <f t="shared" ca="1" si="107"/>
        <v>0</v>
      </c>
      <c r="AB192" s="7">
        <f t="shared" ca="1" si="107"/>
        <v>0</v>
      </c>
      <c r="AC192" s="7">
        <f t="shared" ca="1" si="107"/>
        <v>0</v>
      </c>
      <c r="AD192" s="7">
        <f t="shared" ca="1" si="107"/>
        <v>0</v>
      </c>
      <c r="AE192" s="7">
        <f t="shared" ca="1" si="107"/>
        <v>0</v>
      </c>
      <c r="AF192" s="7">
        <f t="shared" ca="1" si="107"/>
        <v>0</v>
      </c>
      <c r="AG192" s="7">
        <f t="shared" ca="1" si="107"/>
        <v>0</v>
      </c>
      <c r="AH192" s="7">
        <f t="shared" ca="1" si="107"/>
        <v>0</v>
      </c>
      <c r="AI192" s="7">
        <f t="shared" ca="1" si="107"/>
        <v>0</v>
      </c>
      <c r="AJ192" s="7">
        <f t="shared" ca="1" si="107"/>
        <v>0</v>
      </c>
      <c r="AK192" s="7">
        <f t="shared" ca="1" si="107"/>
        <v>0</v>
      </c>
      <c r="AL192" s="7">
        <f t="shared" ca="1" si="107"/>
        <v>0</v>
      </c>
      <c r="AM192" s="7">
        <f t="shared" ca="1" si="107"/>
        <v>0</v>
      </c>
    </row>
    <row r="193" spans="1:39" x14ac:dyDescent="0.2">
      <c r="A193" s="3"/>
      <c r="C193" s="7"/>
      <c r="D193" s="101"/>
      <c r="E193" s="110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  <c r="AG193" s="7"/>
      <c r="AH193" s="7"/>
      <c r="AI193" s="7"/>
      <c r="AJ193" s="7"/>
      <c r="AK193" s="7"/>
      <c r="AL193" s="7"/>
      <c r="AM193" s="7"/>
    </row>
    <row r="194" spans="1:39" x14ac:dyDescent="0.2">
      <c r="A194" s="3" t="s">
        <v>70</v>
      </c>
      <c r="C194" s="7">
        <f ca="1">C180+SUM($C192:C192)</f>
        <v>59870.735212387553</v>
      </c>
      <c r="D194" s="101">
        <f ca="1">D180+SUM($C192:D192)</f>
        <v>74614.879410794849</v>
      </c>
      <c r="E194" s="110">
        <f ca="1">E180+SUM($C192:E192)</f>
        <v>163004.90889392968</v>
      </c>
      <c r="F194" s="7">
        <f ca="1">F180+SUM($C192:F192)</f>
        <v>73063.928148964929</v>
      </c>
      <c r="G194" s="7">
        <f ca="1">G180+SUM($C192:G192)</f>
        <v>176498.20395759397</v>
      </c>
      <c r="H194" s="7">
        <f ca="1">H180+SUM($C192:H192)</f>
        <v>121037.10523707543</v>
      </c>
      <c r="I194" s="7">
        <f ca="1">I180+SUM($C192:I192)</f>
        <v>80595.100648079067</v>
      </c>
      <c r="J194" s="7">
        <f ca="1">J180+SUM($C192:J192)</f>
        <v>38998.560947176447</v>
      </c>
      <c r="K194" s="7">
        <f ca="1">K180+SUM($C192:K192)</f>
        <v>-20519.632958126822</v>
      </c>
      <c r="L194" s="7">
        <f ca="1">L180+SUM($C192:L192)</f>
        <v>1348.187080577889</v>
      </c>
      <c r="M194" s="7">
        <f ca="1">M180+SUM($C192:M192)</f>
        <v>-70669.288291567034</v>
      </c>
      <c r="N194" s="7">
        <f ca="1">N180+SUM($C192:N192)</f>
        <v>-94443.958997144829</v>
      </c>
      <c r="O194" s="7">
        <f ca="1">O180+SUM($C192:O192)</f>
        <v>-118623.52945930671</v>
      </c>
      <c r="P194" s="7">
        <f ca="1">P180+SUM($C192:P192)</f>
        <v>-143212.43816163533</v>
      </c>
      <c r="Q194" s="7">
        <f ca="1">Q180+SUM($C192:Q192)</f>
        <v>-168215.06402949372</v>
      </c>
      <c r="R194" s="7">
        <f ca="1">R180+SUM($C192:R192)</f>
        <v>-193635.71982545892</v>
      </c>
      <c r="S194" s="7">
        <f ca="1">S180+SUM($C192:S192)</f>
        <v>-219478.6452261761</v>
      </c>
      <c r="T194" s="7">
        <f ca="1">T180+SUM($C192:T192)</f>
        <v>-228705.87504287626</v>
      </c>
      <c r="U194" s="7">
        <f ca="1">U180+SUM($C192:U192)</f>
        <v>-230139.25849679412</v>
      </c>
      <c r="V194" s="7">
        <f ca="1">V180+SUM($C192:V192)</f>
        <v>-231375.4560118028</v>
      </c>
      <c r="W194" s="7">
        <f ca="1">W180+SUM($C192:W192)</f>
        <v>-232402.54732367172</v>
      </c>
      <c r="X194" s="7">
        <f ca="1">X180+SUM($C192:X192)</f>
        <v>-233208.10444309204</v>
      </c>
      <c r="Y194" s="7">
        <f ca="1">Y180+SUM($C192:Y192)</f>
        <v>-254438.02944195634</v>
      </c>
      <c r="Z194" s="7">
        <f ca="1">Z180+SUM($C192:Z192)</f>
        <v>-275936.43591170444</v>
      </c>
      <c r="AA194" s="7">
        <f ca="1">AA180+SUM($C192:AA192)</f>
        <v>-297702.16788948548</v>
      </c>
      <c r="AB194" s="7">
        <f ca="1">AB180+SUM($C192:AB192)</f>
        <v>-319733.80447338952</v>
      </c>
      <c r="AC194" s="7">
        <f ca="1">AC180+SUM($C192:AC192)</f>
        <v>-342029.64611776965</v>
      </c>
      <c r="AD194" s="7">
        <f ca="1">AD180+SUM($C192:AD192)</f>
        <v>-364587.70037351432</v>
      </c>
      <c r="AE194" s="7">
        <f ca="1">AE180+SUM($C192:AE192)</f>
        <v>-377423.19195922907</v>
      </c>
      <c r="AF194" s="7">
        <f ca="1">AF180+SUM($C192:AF192)</f>
        <v>-390266.41073397011</v>
      </c>
      <c r="AG194" s="7">
        <f ca="1">AG180+SUM($C192:AG192)</f>
        <v>-403108.15507444472</v>
      </c>
      <c r="AH194" s="7">
        <f ca="1">AH180+SUM($C192:AH192)</f>
        <v>-415938.71147268708</v>
      </c>
      <c r="AI194" s="7">
        <f ca="1">AI180+SUM($C192:AI192)</f>
        <v>-428747.83328361902</v>
      </c>
      <c r="AJ194" s="7">
        <f ca="1">AJ180+SUM($C192:AJ192)</f>
        <v>-441524.7186876398</v>
      </c>
      <c r="AK194" s="7">
        <f ca="1">AK180+SUM($C192:AK192)</f>
        <v>-454257.98784101137</v>
      </c>
      <c r="AL194" s="7">
        <f ca="1">AL180+SUM($C192:AL192)</f>
        <v>-466935.65918589476</v>
      </c>
      <c r="AM194" s="7">
        <f ca="1">AM180+SUM($C192:AM192)</f>
        <v>-479545.12489095796</v>
      </c>
    </row>
    <row r="195" spans="1:39" x14ac:dyDescent="0.2">
      <c r="A195" s="3" t="s">
        <v>67</v>
      </c>
      <c r="C195" s="7">
        <f t="shared" ref="C195:AM195" ca="1" si="108">MAX(C194+buffer,0)-MAX(C180+buffer,0)</f>
        <v>0</v>
      </c>
      <c r="D195" s="101">
        <f t="shared" ca="1" si="108"/>
        <v>0</v>
      </c>
      <c r="E195" s="110">
        <f t="shared" ca="1" si="108"/>
        <v>82846.311810170431</v>
      </c>
      <c r="F195" s="7">
        <f t="shared" ca="1" si="108"/>
        <v>82846.311810170446</v>
      </c>
      <c r="G195" s="7">
        <f t="shared" ca="1" si="108"/>
        <v>82846.311810170446</v>
      </c>
      <c r="H195" s="7">
        <f t="shared" ca="1" si="108"/>
        <v>82846.311810170431</v>
      </c>
      <c r="I195" s="7">
        <f t="shared" ca="1" si="108"/>
        <v>82846.311810170446</v>
      </c>
      <c r="J195" s="7">
        <f t="shared" ca="1" si="108"/>
        <v>82846.311810170446</v>
      </c>
      <c r="K195" s="7">
        <f t="shared" ca="1" si="108"/>
        <v>29480.367041873178</v>
      </c>
      <c r="L195" s="7">
        <f t="shared" ca="1" si="108"/>
        <v>51348.187080577889</v>
      </c>
      <c r="M195" s="7">
        <f t="shared" ca="1" si="108"/>
        <v>0</v>
      </c>
      <c r="N195" s="7">
        <f t="shared" ca="1" si="108"/>
        <v>0</v>
      </c>
      <c r="O195" s="7">
        <f t="shared" ca="1" si="108"/>
        <v>0</v>
      </c>
      <c r="P195" s="7">
        <f t="shared" ca="1" si="108"/>
        <v>0</v>
      </c>
      <c r="Q195" s="7">
        <f t="shared" ca="1" si="108"/>
        <v>0</v>
      </c>
      <c r="R195" s="7">
        <f t="shared" ca="1" si="108"/>
        <v>0</v>
      </c>
      <c r="S195" s="7">
        <f t="shared" ca="1" si="108"/>
        <v>0</v>
      </c>
      <c r="T195" s="7">
        <f t="shared" ca="1" si="108"/>
        <v>0</v>
      </c>
      <c r="U195" s="7">
        <f t="shared" ca="1" si="108"/>
        <v>0</v>
      </c>
      <c r="V195" s="7">
        <f t="shared" ca="1" si="108"/>
        <v>0</v>
      </c>
      <c r="W195" s="7">
        <f t="shared" ca="1" si="108"/>
        <v>0</v>
      </c>
      <c r="X195" s="7">
        <f t="shared" ca="1" si="108"/>
        <v>0</v>
      </c>
      <c r="Y195" s="7">
        <f t="shared" ca="1" si="108"/>
        <v>0</v>
      </c>
      <c r="Z195" s="7">
        <f t="shared" ca="1" si="108"/>
        <v>0</v>
      </c>
      <c r="AA195" s="7">
        <f t="shared" ca="1" si="108"/>
        <v>0</v>
      </c>
      <c r="AB195" s="7">
        <f t="shared" ca="1" si="108"/>
        <v>0</v>
      </c>
      <c r="AC195" s="7">
        <f t="shared" ca="1" si="108"/>
        <v>0</v>
      </c>
      <c r="AD195" s="7">
        <f t="shared" ca="1" si="108"/>
        <v>0</v>
      </c>
      <c r="AE195" s="7">
        <f t="shared" ca="1" si="108"/>
        <v>0</v>
      </c>
      <c r="AF195" s="7">
        <f t="shared" ca="1" si="108"/>
        <v>0</v>
      </c>
      <c r="AG195" s="7">
        <f t="shared" ca="1" si="108"/>
        <v>0</v>
      </c>
      <c r="AH195" s="7">
        <f t="shared" ca="1" si="108"/>
        <v>0</v>
      </c>
      <c r="AI195" s="7">
        <f t="shared" ca="1" si="108"/>
        <v>0</v>
      </c>
      <c r="AJ195" s="7">
        <f t="shared" ca="1" si="108"/>
        <v>0</v>
      </c>
      <c r="AK195" s="7">
        <f t="shared" ca="1" si="108"/>
        <v>0</v>
      </c>
      <c r="AL195" s="7">
        <f t="shared" ca="1" si="108"/>
        <v>0</v>
      </c>
      <c r="AM195" s="7">
        <f t="shared" ca="1" si="108"/>
        <v>0</v>
      </c>
    </row>
    <row r="196" spans="1:39" x14ac:dyDescent="0.2">
      <c r="A196" s="3" t="s">
        <v>68</v>
      </c>
      <c r="C196" s="7">
        <f ca="1">C195*Inputs!$B$270</f>
        <v>0</v>
      </c>
      <c r="D196" s="101">
        <f ca="1">D195*Inputs!$B$270</f>
        <v>0</v>
      </c>
      <c r="E196" s="110">
        <f ca="1">E195*Inputs!$B$270</f>
        <v>2071.1577952542607</v>
      </c>
      <c r="F196" s="7">
        <f ca="1">F195*Inputs!$B$270</f>
        <v>2071.1577952542611</v>
      </c>
      <c r="G196" s="7">
        <f ca="1">G195*Inputs!$B$270</f>
        <v>2071.1577952542611</v>
      </c>
      <c r="H196" s="7">
        <f ca="1">H195*Inputs!$B$270</f>
        <v>2071.1577952542607</v>
      </c>
      <c r="I196" s="7">
        <f ca="1">I195*Inputs!$B$270</f>
        <v>2071.1577952542611</v>
      </c>
      <c r="J196" s="7">
        <f ca="1">J195*Inputs!$B$270</f>
        <v>2071.1577952542611</v>
      </c>
      <c r="K196" s="7">
        <f ca="1">K195*Inputs!$B$270</f>
        <v>737.00917604682945</v>
      </c>
      <c r="L196" s="7">
        <f ca="1">L195*Inputs!$B$270</f>
        <v>1283.7046770144473</v>
      </c>
      <c r="M196" s="7">
        <f ca="1">M195*Inputs!$B$270</f>
        <v>0</v>
      </c>
      <c r="N196" s="7">
        <f ca="1">N195*Inputs!$B$270</f>
        <v>0</v>
      </c>
      <c r="O196" s="7">
        <f ca="1">O195*Inputs!$B$270</f>
        <v>0</v>
      </c>
      <c r="P196" s="7">
        <f ca="1">P195*Inputs!$B$270</f>
        <v>0</v>
      </c>
      <c r="Q196" s="7">
        <f ca="1">Q195*Inputs!$B$270</f>
        <v>0</v>
      </c>
      <c r="R196" s="7">
        <f ca="1">R195*Inputs!$B$270</f>
        <v>0</v>
      </c>
      <c r="S196" s="7">
        <f ca="1">S195*Inputs!$B$270</f>
        <v>0</v>
      </c>
      <c r="T196" s="7">
        <f ca="1">T195*Inputs!$B$270</f>
        <v>0</v>
      </c>
      <c r="U196" s="7">
        <f ca="1">U195*Inputs!$B$270</f>
        <v>0</v>
      </c>
      <c r="V196" s="7">
        <f ca="1">V195*Inputs!$B$270</f>
        <v>0</v>
      </c>
      <c r="W196" s="7">
        <f ca="1">W195*Inputs!$B$270</f>
        <v>0</v>
      </c>
      <c r="X196" s="7">
        <f ca="1">X195*Inputs!$B$270</f>
        <v>0</v>
      </c>
      <c r="Y196" s="7">
        <f ca="1">Y195*Inputs!$B$270</f>
        <v>0</v>
      </c>
      <c r="Z196" s="7">
        <f ca="1">Z195*Inputs!$B$270</f>
        <v>0</v>
      </c>
      <c r="AA196" s="7">
        <f ca="1">AA195*Inputs!$B$270</f>
        <v>0</v>
      </c>
      <c r="AB196" s="7">
        <f ca="1">AB195*Inputs!$B$270</f>
        <v>0</v>
      </c>
      <c r="AC196" s="7">
        <f ca="1">AC195*Inputs!$B$270</f>
        <v>0</v>
      </c>
      <c r="AD196" s="7">
        <f ca="1">AD195*Inputs!$B$270</f>
        <v>0</v>
      </c>
      <c r="AE196" s="7">
        <f ca="1">AE195*Inputs!$B$270</f>
        <v>0</v>
      </c>
      <c r="AF196" s="7">
        <f ca="1">AF195*Inputs!$B$270</f>
        <v>0</v>
      </c>
      <c r="AG196" s="7">
        <f ca="1">AG195*Inputs!$B$270</f>
        <v>0</v>
      </c>
      <c r="AH196" s="7">
        <f ca="1">AH195*Inputs!$B$270</f>
        <v>0</v>
      </c>
      <c r="AI196" s="7">
        <f ca="1">AI195*Inputs!$B$270</f>
        <v>0</v>
      </c>
      <c r="AJ196" s="7">
        <f ca="1">AJ195*Inputs!$B$270</f>
        <v>0</v>
      </c>
      <c r="AK196" s="7">
        <f ca="1">AK195*Inputs!$B$270</f>
        <v>0</v>
      </c>
      <c r="AL196" s="7">
        <f ca="1">AL195*Inputs!$B$270</f>
        <v>0</v>
      </c>
      <c r="AM196" s="7">
        <f ca="1">AM195*Inputs!$B$270</f>
        <v>0</v>
      </c>
    </row>
    <row r="197" spans="1:39" x14ac:dyDescent="0.2">
      <c r="A197" s="3" t="s">
        <v>149</v>
      </c>
      <c r="C197" s="7">
        <f ca="1">C194+SUM($C196:C196)</f>
        <v>59870.735212387553</v>
      </c>
      <c r="D197" s="101">
        <f ca="1">D194+SUM($C196:D196)</f>
        <v>74614.879410794849</v>
      </c>
      <c r="E197" s="110">
        <f ca="1">E194+SUM($C196:E196)</f>
        <v>165076.06668918394</v>
      </c>
      <c r="F197" s="7">
        <f ca="1">F194+SUM($C196:F196)</f>
        <v>77206.243739473459</v>
      </c>
      <c r="G197" s="7">
        <f ca="1">G194+SUM($C196:G196)</f>
        <v>182711.67734335674</v>
      </c>
      <c r="H197" s="7">
        <f ca="1">H194+SUM($C196:H196)</f>
        <v>129321.73641809248</v>
      </c>
      <c r="I197" s="7">
        <f ca="1">I194+SUM($C196:I196)</f>
        <v>90950.88962435037</v>
      </c>
      <c r="J197" s="7">
        <f ca="1">J194+SUM($C196:J196)</f>
        <v>51425.507718702014</v>
      </c>
      <c r="K197" s="7">
        <f ca="1">K194+SUM($C196:K196)</f>
        <v>-7355.6770105544256</v>
      </c>
      <c r="L197" s="7">
        <f ca="1">L194+SUM($C196:L196)</f>
        <v>15795.847705164733</v>
      </c>
      <c r="M197" s="7">
        <f ca="1">M194+SUM($C196:M196)</f>
        <v>-56221.627666980188</v>
      </c>
      <c r="N197" s="7">
        <f ca="1">N194+SUM($C196:N196)</f>
        <v>-79996.298372557983</v>
      </c>
      <c r="O197" s="7">
        <f ca="1">O194+SUM($C196:O196)</f>
        <v>-104175.86883471986</v>
      </c>
      <c r="P197" s="7">
        <f ca="1">P194+SUM($C196:P196)</f>
        <v>-128764.77753704849</v>
      </c>
      <c r="Q197" s="7">
        <f ca="1">Q194+SUM($C196:Q196)</f>
        <v>-153767.40340490689</v>
      </c>
      <c r="R197" s="7">
        <f ca="1">R194+SUM($C196:R196)</f>
        <v>-179188.05920087209</v>
      </c>
      <c r="S197" s="7">
        <f ca="1">S194+SUM($C196:S196)</f>
        <v>-205030.98460158927</v>
      </c>
      <c r="T197" s="7">
        <f ca="1">T194+SUM($C196:T196)</f>
        <v>-214258.21441828943</v>
      </c>
      <c r="U197" s="7">
        <f ca="1">U194+SUM($C196:U196)</f>
        <v>-215691.59787220729</v>
      </c>
      <c r="V197" s="7">
        <f ca="1">V194+SUM($C196:V196)</f>
        <v>-216927.79538721597</v>
      </c>
      <c r="W197" s="7">
        <f ca="1">W194+SUM($C196:W196)</f>
        <v>-217954.88669908489</v>
      </c>
      <c r="X197" s="7">
        <f ca="1">X194+SUM($C196:X196)</f>
        <v>-218760.44381850521</v>
      </c>
      <c r="Y197" s="7">
        <f ca="1">Y194+SUM($C196:Y196)</f>
        <v>-239990.36881736951</v>
      </c>
      <c r="Z197" s="7">
        <f ca="1">Z194+SUM($C196:Z196)</f>
        <v>-261488.77528711761</v>
      </c>
      <c r="AA197" s="7">
        <f ca="1">AA194+SUM($C196:AA196)</f>
        <v>-283254.50726489862</v>
      </c>
      <c r="AB197" s="7">
        <f ca="1">AB194+SUM($C196:AB196)</f>
        <v>-305286.14384880266</v>
      </c>
      <c r="AC197" s="7">
        <f ca="1">AC194+SUM($C196:AC196)</f>
        <v>-327581.98549318279</v>
      </c>
      <c r="AD197" s="7">
        <f ca="1">AD194+SUM($C196:AD196)</f>
        <v>-350140.03974892746</v>
      </c>
      <c r="AE197" s="7">
        <f ca="1">AE194+SUM($C196:AE196)</f>
        <v>-362975.5313346422</v>
      </c>
      <c r="AF197" s="7">
        <f ca="1">AF194+SUM($C196:AF196)</f>
        <v>-375818.75010938325</v>
      </c>
      <c r="AG197" s="7">
        <f ca="1">AG194+SUM($C196:AG196)</f>
        <v>-388660.49444985786</v>
      </c>
      <c r="AH197" s="7">
        <f ca="1">AH194+SUM($C196:AH196)</f>
        <v>-401491.05084810022</v>
      </c>
      <c r="AI197" s="7">
        <f ca="1">AI194+SUM($C196:AI196)</f>
        <v>-414300.17265903216</v>
      </c>
      <c r="AJ197" s="7">
        <f ca="1">AJ194+SUM($C196:AJ196)</f>
        <v>-427077.05806305294</v>
      </c>
      <c r="AK197" s="7">
        <f ca="1">AK194+SUM($C196:AK196)</f>
        <v>-439810.32721642451</v>
      </c>
      <c r="AL197" s="7">
        <f ca="1">AL194+SUM($C196:AL196)</f>
        <v>-452487.9985613079</v>
      </c>
      <c r="AM197" s="7">
        <f ca="1">AM194+SUM($C196:AM196)</f>
        <v>-465097.4642663711</v>
      </c>
    </row>
    <row r="198" spans="1:39" x14ac:dyDescent="0.2">
      <c r="A198" s="3" t="s">
        <v>19</v>
      </c>
      <c r="C198" s="7">
        <f ca="1">IF(C197&lt;0,-C197,0)</f>
        <v>0</v>
      </c>
      <c r="D198" s="101">
        <f ca="1">IF(D197+SUM($C198:C198)&lt;0,-(D197+SUM($C198:C198)),0)</f>
        <v>0</v>
      </c>
      <c r="E198" s="110">
        <f ca="1">IF(E197+SUM($C198:D198)&lt;0,-(E197+SUM($C198:D198)),0)</f>
        <v>0</v>
      </c>
      <c r="F198" s="7">
        <f ca="1">IF(F197+SUM($C198:E198)&lt;0,-(F197+SUM($C198:E198)),0)</f>
        <v>0</v>
      </c>
      <c r="G198" s="7">
        <f ca="1">IF(G197+SUM($C198:F198)&lt;0,-(G197+SUM($C198:F198)),0)</f>
        <v>0</v>
      </c>
      <c r="H198" s="7">
        <f ca="1">IF(H197+SUM($C198:G198)&lt;0,-(H197+SUM($C198:G198)),0)</f>
        <v>0</v>
      </c>
      <c r="I198" s="7">
        <f ca="1">IF(I197+SUM($C198:H198)&lt;0,-(I197+SUM($C198:H198)),0)</f>
        <v>0</v>
      </c>
      <c r="J198" s="7">
        <f ca="1">IF(J197+SUM($C198:I198)&lt;0,-(J197+SUM($C198:I198)),0)</f>
        <v>0</v>
      </c>
      <c r="K198" s="7">
        <f ca="1">IF(K197+SUM($C198:J198)&lt;0,-(K197+SUM($C198:J198)),0)</f>
        <v>7355.6770105544256</v>
      </c>
      <c r="L198" s="7">
        <f ca="1">IF(L197+SUM($C198:K198)&lt;0,-(L197+SUM($C198:K198)),0)</f>
        <v>0</v>
      </c>
      <c r="M198" s="7">
        <f ca="1">IF(M197+SUM($C198:L198)&lt;0,-(M197+SUM($C198:L198)),0)</f>
        <v>48865.950656425761</v>
      </c>
      <c r="N198" s="7">
        <f ca="1">IF(N197+SUM($C198:M198)&lt;0,-(N197+SUM($C198:M198)),0)</f>
        <v>23774.670705577795</v>
      </c>
      <c r="O198" s="7">
        <f ca="1">IF(O197+SUM($C198:N198)&lt;0,-(O197+SUM($C198:N198)),0)</f>
        <v>24179.570462161879</v>
      </c>
      <c r="P198" s="7">
        <f ca="1">IF(P197+SUM($C198:O198)&lt;0,-(P197+SUM($C198:O198)),0)</f>
        <v>24588.908702328627</v>
      </c>
      <c r="Q198" s="7">
        <f ca="1">IF(Q197+SUM($C198:P198)&lt;0,-(Q197+SUM($C198:P198)),0)</f>
        <v>25002.625867858398</v>
      </c>
      <c r="R198" s="7">
        <f ca="1">IF(R197+SUM($C198:Q198)&lt;0,-(R197+SUM($C198:Q198)),0)</f>
        <v>25420.655795965198</v>
      </c>
      <c r="S198" s="7">
        <f ca="1">IF(S197+SUM($C198:R198)&lt;0,-(S197+SUM($C198:R198)),0)</f>
        <v>25842.925400717184</v>
      </c>
      <c r="T198" s="7">
        <f ca="1">IF(T197+SUM($C198:S198)&lt;0,-(T197+SUM($C198:S198)),0)</f>
        <v>9227.2298167001572</v>
      </c>
      <c r="U198" s="7">
        <f ca="1">IF(U197+SUM($C198:T198)&lt;0,-(U197+SUM($C198:T198)),0)</f>
        <v>1433.3834539178642</v>
      </c>
      <c r="V198" s="7">
        <f ca="1">IF(V197+SUM($C198:U198)&lt;0,-(V197+SUM($C198:U198)),0)</f>
        <v>1236.1975150086801</v>
      </c>
      <c r="W198" s="7">
        <f ca="1">IF(W197+SUM($C198:V198)&lt;0,-(W197+SUM($C198:V198)),0)</f>
        <v>1027.0913118689205</v>
      </c>
      <c r="X198" s="7">
        <f ca="1">IF(X197+SUM($C198:W198)&lt;0,-(X197+SUM($C198:W198)),0)</f>
        <v>805.55711942032212</v>
      </c>
      <c r="Y198" s="7">
        <f ca="1">IF(Y197+SUM($C198:X198)&lt;0,-(Y197+SUM($C198:X198)),0)</f>
        <v>21229.924998864299</v>
      </c>
      <c r="Z198" s="7">
        <f ca="1">IF(Z197+SUM($C198:Y198)&lt;0,-(Z197+SUM($C198:Y198)),0)</f>
        <v>21498.406469748094</v>
      </c>
      <c r="AA198" s="7">
        <f ca="1">IF(AA197+SUM($C198:Z198)&lt;0,-(AA197+SUM($C198:Z198)),0)</f>
        <v>21765.731977781019</v>
      </c>
      <c r="AB198" s="7">
        <f ca="1">IF(AB197+SUM($C198:AA198)&lt;0,-(AB197+SUM($C198:AA198)),0)</f>
        <v>22031.636583904037</v>
      </c>
      <c r="AC198" s="7">
        <f ca="1">IF(AC197+SUM($C198:AB198)&lt;0,-(AC197+SUM($C198:AB198)),0)</f>
        <v>22295.841644380125</v>
      </c>
      <c r="AD198" s="7">
        <f ca="1">IF(AD197+SUM($C198:AC198)&lt;0,-(AD197+SUM($C198:AC198)),0)</f>
        <v>22558.054255744675</v>
      </c>
      <c r="AE198" s="7">
        <f ca="1">IF(AE197+SUM($C198:AD198)&lt;0,-(AE197+SUM($C198:AD198)),0)</f>
        <v>12835.491585714743</v>
      </c>
      <c r="AF198" s="7">
        <f ca="1">IF(AF197+SUM($C198:AE198)&lt;0,-(AF197+SUM($C198:AE198)),0)</f>
        <v>12843.21877474105</v>
      </c>
      <c r="AG198" s="7">
        <f ca="1">IF(AG197+SUM($C198:AF198)&lt;0,-(AG197+SUM($C198:AF198)),0)</f>
        <v>12841.744340474601</v>
      </c>
      <c r="AH198" s="7">
        <f ca="1">IF(AH197+SUM($C198:AG198)&lt;0,-(AH197+SUM($C198:AG198)),0)</f>
        <v>12830.556398242363</v>
      </c>
      <c r="AI198" s="7">
        <f ca="1">IF(AI197+SUM($C198:AH198)&lt;0,-(AI197+SUM($C198:AH198)),0)</f>
        <v>12809.121810931945</v>
      </c>
      <c r="AJ198" s="7">
        <f ca="1">IF(AJ197+SUM($C198:AI198)&lt;0,-(AJ197+SUM($C198:AI198)),0)</f>
        <v>12776.885404020781</v>
      </c>
      <c r="AK198" s="7">
        <f ca="1">IF(AK197+SUM($C198:AJ198)&lt;0,-(AK197+SUM($C198:AJ198)),0)</f>
        <v>12733.26915337157</v>
      </c>
      <c r="AL198" s="7">
        <f ca="1">IF(AL197+SUM($C198:AK198)&lt;0,-(AL197+SUM($C198:AK198)),0)</f>
        <v>12677.671344883391</v>
      </c>
      <c r="AM198" s="7">
        <f ca="1">IF(AM197+SUM($C198:AL198)&lt;0,-(AM197+SUM($C198:AL198)),0)</f>
        <v>12609.465705063194</v>
      </c>
    </row>
    <row r="199" spans="1:39" x14ac:dyDescent="0.2">
      <c r="C199" s="7"/>
      <c r="D199" s="101"/>
      <c r="E199" s="110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  <c r="AG199" s="7"/>
      <c r="AH199" s="7"/>
      <c r="AI199" s="7"/>
      <c r="AJ199" s="7"/>
      <c r="AK199" s="7"/>
      <c r="AL199" s="7"/>
      <c r="AM199" s="7"/>
    </row>
    <row r="200" spans="1:39" x14ac:dyDescent="0.2">
      <c r="A200" s="24" t="str">
        <f>IF(Inputs!$B$290=6,IFERROR(_xlfn.XLOOKUP($B200,Inputs!$B$291:$B$300,Inputs!$A$291:$A$300,,0,1),""),IFERROR(_xlfn.XLOOKUP($B200,Inputs!$C$291:$C$300,Inputs!$A$291:$A$300,,0,1),""))</f>
        <v>Marsa</v>
      </c>
      <c r="B200" s="26">
        <v>6</v>
      </c>
      <c r="C200" s="7"/>
      <c r="D200" s="101"/>
      <c r="E200" s="110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  <c r="AG200" s="7"/>
      <c r="AH200" s="7"/>
      <c r="AI200" s="7"/>
      <c r="AJ200" s="7"/>
      <c r="AK200" s="7"/>
      <c r="AL200" s="7"/>
      <c r="AM200" s="7"/>
    </row>
    <row r="201" spans="1:39" x14ac:dyDescent="0.2">
      <c r="A201" s="3" t="s">
        <v>21</v>
      </c>
      <c r="C201" s="7">
        <f ca="1">IFERROR(VLOOKUP($A200,$A$68:$H$97,C$1+2,FALSE),0)</f>
        <v>122689.99946753924</v>
      </c>
      <c r="D201" s="101">
        <f ca="1">C204</f>
        <v>122689.99946753924</v>
      </c>
      <c r="E201" s="110">
        <f t="shared" ref="E201:AM201" ca="1" si="109">D204</f>
        <v>126370.69945156541</v>
      </c>
      <c r="F201" s="7">
        <f t="shared" ca="1" si="109"/>
        <v>130161.82043511237</v>
      </c>
      <c r="G201" s="7">
        <f t="shared" ca="1" si="109"/>
        <v>134066.67504816575</v>
      </c>
      <c r="H201" s="7">
        <f t="shared" ca="1" si="109"/>
        <v>138088.67529961071</v>
      </c>
      <c r="I201" s="7">
        <f t="shared" ca="1" si="109"/>
        <v>142231.33555859904</v>
      </c>
      <c r="J201" s="7">
        <f t="shared" ca="1" si="109"/>
        <v>146498.275625357</v>
      </c>
      <c r="K201" s="7">
        <f t="shared" ca="1" si="109"/>
        <v>0</v>
      </c>
      <c r="L201" s="7">
        <f t="shared" ca="1" si="109"/>
        <v>0</v>
      </c>
      <c r="M201" s="7">
        <f t="shared" ca="1" si="109"/>
        <v>0</v>
      </c>
      <c r="N201" s="7">
        <f t="shared" ca="1" si="109"/>
        <v>0</v>
      </c>
      <c r="O201" s="7">
        <f t="shared" ca="1" si="109"/>
        <v>0</v>
      </c>
      <c r="P201" s="7">
        <f t="shared" ca="1" si="109"/>
        <v>0</v>
      </c>
      <c r="Q201" s="7">
        <f t="shared" ca="1" si="109"/>
        <v>0</v>
      </c>
      <c r="R201" s="7">
        <f t="shared" ca="1" si="109"/>
        <v>0</v>
      </c>
      <c r="S201" s="7">
        <f t="shared" ca="1" si="109"/>
        <v>0</v>
      </c>
      <c r="T201" s="7">
        <f t="shared" ca="1" si="109"/>
        <v>0</v>
      </c>
      <c r="U201" s="7">
        <f t="shared" ca="1" si="109"/>
        <v>0</v>
      </c>
      <c r="V201" s="7">
        <f t="shared" ca="1" si="109"/>
        <v>0</v>
      </c>
      <c r="W201" s="7">
        <f t="shared" ca="1" si="109"/>
        <v>0</v>
      </c>
      <c r="X201" s="7">
        <f t="shared" ca="1" si="109"/>
        <v>0</v>
      </c>
      <c r="Y201" s="7">
        <f t="shared" ca="1" si="109"/>
        <v>0</v>
      </c>
      <c r="Z201" s="7">
        <f t="shared" ca="1" si="109"/>
        <v>0</v>
      </c>
      <c r="AA201" s="7">
        <f t="shared" ca="1" si="109"/>
        <v>0</v>
      </c>
      <c r="AB201" s="7">
        <f t="shared" ca="1" si="109"/>
        <v>0</v>
      </c>
      <c r="AC201" s="7">
        <f t="shared" ca="1" si="109"/>
        <v>0</v>
      </c>
      <c r="AD201" s="7">
        <f t="shared" ca="1" si="109"/>
        <v>0</v>
      </c>
      <c r="AE201" s="7">
        <f t="shared" ca="1" si="109"/>
        <v>0</v>
      </c>
      <c r="AF201" s="7">
        <f t="shared" ca="1" si="109"/>
        <v>0</v>
      </c>
      <c r="AG201" s="7">
        <f t="shared" ca="1" si="109"/>
        <v>0</v>
      </c>
      <c r="AH201" s="7">
        <f t="shared" ca="1" si="109"/>
        <v>0</v>
      </c>
      <c r="AI201" s="7">
        <f t="shared" ca="1" si="109"/>
        <v>0</v>
      </c>
      <c r="AJ201" s="7">
        <f t="shared" ca="1" si="109"/>
        <v>0</v>
      </c>
      <c r="AK201" s="7">
        <f t="shared" ca="1" si="109"/>
        <v>0</v>
      </c>
      <c r="AL201" s="7">
        <f t="shared" ca="1" si="109"/>
        <v>0</v>
      </c>
      <c r="AM201" s="7">
        <f t="shared" ca="1" si="109"/>
        <v>0</v>
      </c>
    </row>
    <row r="202" spans="1:39" x14ac:dyDescent="0.2">
      <c r="A202" s="3" t="s">
        <v>22</v>
      </c>
      <c r="C202" s="7">
        <f ca="1">-IF(D198&gt;0,C201,0)</f>
        <v>0</v>
      </c>
      <c r="D202" s="101">
        <f ca="1">-IF(E198&gt;0,D201,0)</f>
        <v>0</v>
      </c>
      <c r="E202" s="110">
        <f ca="1">-IF(F198&gt;0,E201,0)</f>
        <v>0</v>
      </c>
      <c r="F202" s="7">
        <f ca="1">-IF(G198&gt;0,F201,0)</f>
        <v>0</v>
      </c>
      <c r="G202" s="7">
        <f t="shared" ref="G202:AM202" ca="1" si="110">-IF(H198&gt;0,G201,0)</f>
        <v>0</v>
      </c>
      <c r="H202" s="7">
        <f t="shared" ca="1" si="110"/>
        <v>0</v>
      </c>
      <c r="I202" s="7">
        <f t="shared" ca="1" si="110"/>
        <v>0</v>
      </c>
      <c r="J202" s="7">
        <f t="shared" ca="1" si="110"/>
        <v>-146498.275625357</v>
      </c>
      <c r="K202" s="7">
        <f t="shared" ca="1" si="110"/>
        <v>0</v>
      </c>
      <c r="L202" s="7">
        <f t="shared" ca="1" si="110"/>
        <v>0</v>
      </c>
      <c r="M202" s="7">
        <f t="shared" ca="1" si="110"/>
        <v>0</v>
      </c>
      <c r="N202" s="7">
        <f t="shared" ca="1" si="110"/>
        <v>0</v>
      </c>
      <c r="O202" s="7">
        <f t="shared" ca="1" si="110"/>
        <v>0</v>
      </c>
      <c r="P202" s="7">
        <f t="shared" ca="1" si="110"/>
        <v>0</v>
      </c>
      <c r="Q202" s="7">
        <f t="shared" ca="1" si="110"/>
        <v>0</v>
      </c>
      <c r="R202" s="7">
        <f t="shared" ca="1" si="110"/>
        <v>0</v>
      </c>
      <c r="S202" s="7">
        <f t="shared" ca="1" si="110"/>
        <v>0</v>
      </c>
      <c r="T202" s="7">
        <f t="shared" ca="1" si="110"/>
        <v>0</v>
      </c>
      <c r="U202" s="7">
        <f t="shared" ca="1" si="110"/>
        <v>0</v>
      </c>
      <c r="V202" s="7">
        <f t="shared" ca="1" si="110"/>
        <v>0</v>
      </c>
      <c r="W202" s="7">
        <f t="shared" ca="1" si="110"/>
        <v>0</v>
      </c>
      <c r="X202" s="7">
        <f t="shared" ca="1" si="110"/>
        <v>0</v>
      </c>
      <c r="Y202" s="7">
        <f t="shared" ca="1" si="110"/>
        <v>0</v>
      </c>
      <c r="Z202" s="7">
        <f t="shared" ca="1" si="110"/>
        <v>0</v>
      </c>
      <c r="AA202" s="7">
        <f t="shared" ca="1" si="110"/>
        <v>0</v>
      </c>
      <c r="AB202" s="7">
        <f t="shared" ca="1" si="110"/>
        <v>0</v>
      </c>
      <c r="AC202" s="7">
        <f t="shared" ca="1" si="110"/>
        <v>0</v>
      </c>
      <c r="AD202" s="7">
        <f t="shared" ca="1" si="110"/>
        <v>0</v>
      </c>
      <c r="AE202" s="7">
        <f t="shared" ca="1" si="110"/>
        <v>0</v>
      </c>
      <c r="AF202" s="7">
        <f t="shared" ca="1" si="110"/>
        <v>0</v>
      </c>
      <c r="AG202" s="7">
        <f t="shared" ca="1" si="110"/>
        <v>0</v>
      </c>
      <c r="AH202" s="7">
        <f t="shared" ca="1" si="110"/>
        <v>0</v>
      </c>
      <c r="AI202" s="7">
        <f t="shared" ca="1" si="110"/>
        <v>0</v>
      </c>
      <c r="AJ202" s="7">
        <f t="shared" ca="1" si="110"/>
        <v>0</v>
      </c>
      <c r="AK202" s="7">
        <f t="shared" ca="1" si="110"/>
        <v>0</v>
      </c>
      <c r="AL202" s="7">
        <f t="shared" ca="1" si="110"/>
        <v>0</v>
      </c>
      <c r="AM202" s="7">
        <f t="shared" si="110"/>
        <v>0</v>
      </c>
    </row>
    <row r="203" spans="1:39" x14ac:dyDescent="0.2">
      <c r="A203" s="3" t="s">
        <v>23</v>
      </c>
      <c r="C203" s="7">
        <v>0</v>
      </c>
      <c r="D203" s="101">
        <f t="shared" ref="D203:AM203" ca="1" si="111">SUM(D201:D202)*VLOOKUP($A200,AssVar,2,FALSE)</f>
        <v>3680.6999840261769</v>
      </c>
      <c r="E203" s="110">
        <f t="shared" ca="1" si="111"/>
        <v>3791.1209835469622</v>
      </c>
      <c r="F203" s="7">
        <f t="shared" ca="1" si="111"/>
        <v>3904.8546130533709</v>
      </c>
      <c r="G203" s="7">
        <f t="shared" ca="1" si="111"/>
        <v>4022.0002514449725</v>
      </c>
      <c r="H203" s="7">
        <f t="shared" ca="1" si="111"/>
        <v>4142.6602589883214</v>
      </c>
      <c r="I203" s="7">
        <f t="shared" ca="1" si="111"/>
        <v>4266.9400667579712</v>
      </c>
      <c r="J203" s="7">
        <f t="shared" ca="1" si="111"/>
        <v>0</v>
      </c>
      <c r="K203" s="7">
        <f t="shared" ca="1" si="111"/>
        <v>0</v>
      </c>
      <c r="L203" s="7">
        <f t="shared" ca="1" si="111"/>
        <v>0</v>
      </c>
      <c r="M203" s="7">
        <f t="shared" ca="1" si="111"/>
        <v>0</v>
      </c>
      <c r="N203" s="7">
        <f t="shared" ca="1" si="111"/>
        <v>0</v>
      </c>
      <c r="O203" s="7">
        <f t="shared" ca="1" si="111"/>
        <v>0</v>
      </c>
      <c r="P203" s="7">
        <f t="shared" ca="1" si="111"/>
        <v>0</v>
      </c>
      <c r="Q203" s="7">
        <f t="shared" ca="1" si="111"/>
        <v>0</v>
      </c>
      <c r="R203" s="7">
        <f t="shared" ca="1" si="111"/>
        <v>0</v>
      </c>
      <c r="S203" s="7">
        <f t="shared" ca="1" si="111"/>
        <v>0</v>
      </c>
      <c r="T203" s="7">
        <f t="shared" ca="1" si="111"/>
        <v>0</v>
      </c>
      <c r="U203" s="7">
        <f t="shared" ca="1" si="111"/>
        <v>0</v>
      </c>
      <c r="V203" s="7">
        <f t="shared" ca="1" si="111"/>
        <v>0</v>
      </c>
      <c r="W203" s="7">
        <f t="shared" ca="1" si="111"/>
        <v>0</v>
      </c>
      <c r="X203" s="7">
        <f t="shared" ca="1" si="111"/>
        <v>0</v>
      </c>
      <c r="Y203" s="7">
        <f t="shared" ca="1" si="111"/>
        <v>0</v>
      </c>
      <c r="Z203" s="7">
        <f t="shared" ca="1" si="111"/>
        <v>0</v>
      </c>
      <c r="AA203" s="7">
        <f t="shared" ca="1" si="111"/>
        <v>0</v>
      </c>
      <c r="AB203" s="7">
        <f t="shared" ca="1" si="111"/>
        <v>0</v>
      </c>
      <c r="AC203" s="7">
        <f t="shared" ca="1" si="111"/>
        <v>0</v>
      </c>
      <c r="AD203" s="7">
        <f t="shared" ca="1" si="111"/>
        <v>0</v>
      </c>
      <c r="AE203" s="7">
        <f t="shared" ca="1" si="111"/>
        <v>0</v>
      </c>
      <c r="AF203" s="7">
        <f t="shared" ca="1" si="111"/>
        <v>0</v>
      </c>
      <c r="AG203" s="7">
        <f t="shared" ca="1" si="111"/>
        <v>0</v>
      </c>
      <c r="AH203" s="7">
        <f t="shared" ca="1" si="111"/>
        <v>0</v>
      </c>
      <c r="AI203" s="7">
        <f t="shared" ca="1" si="111"/>
        <v>0</v>
      </c>
      <c r="AJ203" s="7">
        <f t="shared" ca="1" si="111"/>
        <v>0</v>
      </c>
      <c r="AK203" s="7">
        <f t="shared" ca="1" si="111"/>
        <v>0</v>
      </c>
      <c r="AL203" s="7">
        <f t="shared" ca="1" si="111"/>
        <v>0</v>
      </c>
      <c r="AM203" s="7">
        <f t="shared" ca="1" si="111"/>
        <v>0</v>
      </c>
    </row>
    <row r="204" spans="1:39" x14ac:dyDescent="0.2">
      <c r="A204" s="3" t="s">
        <v>24</v>
      </c>
      <c r="C204" s="7">
        <f ca="1">SUM(C201:C203)</f>
        <v>122689.99946753924</v>
      </c>
      <c r="D204" s="101">
        <f t="shared" ref="D204:AM204" ca="1" si="112">SUM(D201:D203)</f>
        <v>126370.69945156541</v>
      </c>
      <c r="E204" s="110">
        <f t="shared" ca="1" si="112"/>
        <v>130161.82043511237</v>
      </c>
      <c r="F204" s="7">
        <f t="shared" ca="1" si="112"/>
        <v>134066.67504816575</v>
      </c>
      <c r="G204" s="7">
        <f t="shared" ca="1" si="112"/>
        <v>138088.67529961071</v>
      </c>
      <c r="H204" s="7">
        <f t="shared" ca="1" si="112"/>
        <v>142231.33555859904</v>
      </c>
      <c r="I204" s="7">
        <f t="shared" ca="1" si="112"/>
        <v>146498.275625357</v>
      </c>
      <c r="J204" s="7">
        <f t="shared" ca="1" si="112"/>
        <v>0</v>
      </c>
      <c r="K204" s="7">
        <f t="shared" ca="1" si="112"/>
        <v>0</v>
      </c>
      <c r="L204" s="7">
        <f t="shared" ca="1" si="112"/>
        <v>0</v>
      </c>
      <c r="M204" s="7">
        <f t="shared" ca="1" si="112"/>
        <v>0</v>
      </c>
      <c r="N204" s="7">
        <f t="shared" ca="1" si="112"/>
        <v>0</v>
      </c>
      <c r="O204" s="7">
        <f t="shared" ca="1" si="112"/>
        <v>0</v>
      </c>
      <c r="P204" s="7">
        <f t="shared" ca="1" si="112"/>
        <v>0</v>
      </c>
      <c r="Q204" s="7">
        <f t="shared" ca="1" si="112"/>
        <v>0</v>
      </c>
      <c r="R204" s="7">
        <f t="shared" ca="1" si="112"/>
        <v>0</v>
      </c>
      <c r="S204" s="7">
        <f t="shared" ca="1" si="112"/>
        <v>0</v>
      </c>
      <c r="T204" s="7">
        <f t="shared" ca="1" si="112"/>
        <v>0</v>
      </c>
      <c r="U204" s="7">
        <f t="shared" ca="1" si="112"/>
        <v>0</v>
      </c>
      <c r="V204" s="7">
        <f t="shared" ca="1" si="112"/>
        <v>0</v>
      </c>
      <c r="W204" s="7">
        <f t="shared" ca="1" si="112"/>
        <v>0</v>
      </c>
      <c r="X204" s="7">
        <f t="shared" ca="1" si="112"/>
        <v>0</v>
      </c>
      <c r="Y204" s="7">
        <f t="shared" ca="1" si="112"/>
        <v>0</v>
      </c>
      <c r="Z204" s="7">
        <f t="shared" ca="1" si="112"/>
        <v>0</v>
      </c>
      <c r="AA204" s="7">
        <f t="shared" ca="1" si="112"/>
        <v>0</v>
      </c>
      <c r="AB204" s="7">
        <f t="shared" ca="1" si="112"/>
        <v>0</v>
      </c>
      <c r="AC204" s="7">
        <f t="shared" ca="1" si="112"/>
        <v>0</v>
      </c>
      <c r="AD204" s="7">
        <f t="shared" ca="1" si="112"/>
        <v>0</v>
      </c>
      <c r="AE204" s="7">
        <f t="shared" ca="1" si="112"/>
        <v>0</v>
      </c>
      <c r="AF204" s="7">
        <f t="shared" ca="1" si="112"/>
        <v>0</v>
      </c>
      <c r="AG204" s="7">
        <f t="shared" ca="1" si="112"/>
        <v>0</v>
      </c>
      <c r="AH204" s="7">
        <f t="shared" ca="1" si="112"/>
        <v>0</v>
      </c>
      <c r="AI204" s="7">
        <f t="shared" ca="1" si="112"/>
        <v>0</v>
      </c>
      <c r="AJ204" s="7">
        <f t="shared" ca="1" si="112"/>
        <v>0</v>
      </c>
      <c r="AK204" s="7">
        <f t="shared" ca="1" si="112"/>
        <v>0</v>
      </c>
      <c r="AL204" s="7">
        <f t="shared" ca="1" si="112"/>
        <v>0</v>
      </c>
      <c r="AM204" s="7">
        <f t="shared" ca="1" si="112"/>
        <v>0</v>
      </c>
    </row>
    <row r="205" spans="1:39" x14ac:dyDescent="0.2">
      <c r="A205" s="3" t="s">
        <v>25</v>
      </c>
      <c r="C205" s="7">
        <f t="shared" ref="C205:AM205" ca="1" si="113">C202*VLOOKUP($A200,AssVar,3,FALSE)</f>
        <v>0</v>
      </c>
      <c r="D205" s="101">
        <f t="shared" ca="1" si="113"/>
        <v>0</v>
      </c>
      <c r="E205" s="110">
        <f t="shared" ca="1" si="113"/>
        <v>0</v>
      </c>
      <c r="F205" s="7">
        <f t="shared" ca="1" si="113"/>
        <v>0</v>
      </c>
      <c r="G205" s="7">
        <f t="shared" ca="1" si="113"/>
        <v>0</v>
      </c>
      <c r="H205" s="7">
        <f t="shared" ca="1" si="113"/>
        <v>0</v>
      </c>
      <c r="I205" s="7">
        <f t="shared" ca="1" si="113"/>
        <v>0</v>
      </c>
      <c r="J205" s="7">
        <f t="shared" ca="1" si="113"/>
        <v>-21974.741343803547</v>
      </c>
      <c r="K205" s="7">
        <f t="shared" ca="1" si="113"/>
        <v>0</v>
      </c>
      <c r="L205" s="7">
        <f t="shared" ca="1" si="113"/>
        <v>0</v>
      </c>
      <c r="M205" s="7">
        <f t="shared" ca="1" si="113"/>
        <v>0</v>
      </c>
      <c r="N205" s="7">
        <f t="shared" ca="1" si="113"/>
        <v>0</v>
      </c>
      <c r="O205" s="7">
        <f t="shared" ca="1" si="113"/>
        <v>0</v>
      </c>
      <c r="P205" s="7">
        <f t="shared" ca="1" si="113"/>
        <v>0</v>
      </c>
      <c r="Q205" s="7">
        <f t="shared" ca="1" si="113"/>
        <v>0</v>
      </c>
      <c r="R205" s="7">
        <f t="shared" ca="1" si="113"/>
        <v>0</v>
      </c>
      <c r="S205" s="7">
        <f t="shared" ca="1" si="113"/>
        <v>0</v>
      </c>
      <c r="T205" s="7">
        <f t="shared" ca="1" si="113"/>
        <v>0</v>
      </c>
      <c r="U205" s="7">
        <f t="shared" ca="1" si="113"/>
        <v>0</v>
      </c>
      <c r="V205" s="7">
        <f t="shared" ca="1" si="113"/>
        <v>0</v>
      </c>
      <c r="W205" s="7">
        <f t="shared" ca="1" si="113"/>
        <v>0</v>
      </c>
      <c r="X205" s="7">
        <f t="shared" ca="1" si="113"/>
        <v>0</v>
      </c>
      <c r="Y205" s="7">
        <f t="shared" ca="1" si="113"/>
        <v>0</v>
      </c>
      <c r="Z205" s="7">
        <f t="shared" ca="1" si="113"/>
        <v>0</v>
      </c>
      <c r="AA205" s="7">
        <f t="shared" ca="1" si="113"/>
        <v>0</v>
      </c>
      <c r="AB205" s="7">
        <f t="shared" ca="1" si="113"/>
        <v>0</v>
      </c>
      <c r="AC205" s="7">
        <f t="shared" ca="1" si="113"/>
        <v>0</v>
      </c>
      <c r="AD205" s="7">
        <f t="shared" ca="1" si="113"/>
        <v>0</v>
      </c>
      <c r="AE205" s="7">
        <f t="shared" ca="1" si="113"/>
        <v>0</v>
      </c>
      <c r="AF205" s="7">
        <f t="shared" ca="1" si="113"/>
        <v>0</v>
      </c>
      <c r="AG205" s="7">
        <f t="shared" ca="1" si="113"/>
        <v>0</v>
      </c>
      <c r="AH205" s="7">
        <f t="shared" ca="1" si="113"/>
        <v>0</v>
      </c>
      <c r="AI205" s="7">
        <f t="shared" ca="1" si="113"/>
        <v>0</v>
      </c>
      <c r="AJ205" s="7">
        <f t="shared" ca="1" si="113"/>
        <v>0</v>
      </c>
      <c r="AK205" s="7">
        <f t="shared" ca="1" si="113"/>
        <v>0</v>
      </c>
      <c r="AL205" s="7">
        <f t="shared" ca="1" si="113"/>
        <v>0</v>
      </c>
      <c r="AM205" s="7">
        <f t="shared" si="113"/>
        <v>0</v>
      </c>
    </row>
    <row r="206" spans="1:39" x14ac:dyDescent="0.2">
      <c r="A206" s="3" t="s">
        <v>30</v>
      </c>
      <c r="C206" s="7">
        <f t="shared" ref="C206:AM206" ca="1" si="114">IFERROR(-IF(C201=0,VLOOKUP($A200,$8:$12,C$1+2,FALSE),0),0)</f>
        <v>0</v>
      </c>
      <c r="D206" s="101">
        <f t="shared" ca="1" si="114"/>
        <v>0</v>
      </c>
      <c r="E206" s="110">
        <f t="shared" ca="1" si="114"/>
        <v>0</v>
      </c>
      <c r="F206" s="7">
        <f t="shared" ca="1" si="114"/>
        <v>0</v>
      </c>
      <c r="G206" s="7">
        <f t="shared" ca="1" si="114"/>
        <v>0</v>
      </c>
      <c r="H206" s="7">
        <f t="shared" ca="1" si="114"/>
        <v>0</v>
      </c>
      <c r="I206" s="7">
        <f t="shared" ca="1" si="114"/>
        <v>0</v>
      </c>
      <c r="J206" s="7">
        <f t="shared" ca="1" si="114"/>
        <v>0</v>
      </c>
      <c r="K206" s="7">
        <f t="shared" ca="1" si="114"/>
        <v>-6175.5041467646288</v>
      </c>
      <c r="L206" s="7">
        <f t="shared" ca="1" si="114"/>
        <v>-6360.7692711675681</v>
      </c>
      <c r="M206" s="7">
        <f t="shared" ca="1" si="114"/>
        <v>-6551.5923493025957</v>
      </c>
      <c r="N206" s="7">
        <f t="shared" ca="1" si="114"/>
        <v>-6748.140119781674</v>
      </c>
      <c r="O206" s="7">
        <f t="shared" ca="1" si="114"/>
        <v>-6950.5843233751248</v>
      </c>
      <c r="P206" s="7">
        <f t="shared" ca="1" si="114"/>
        <v>-7159.1018530763786</v>
      </c>
      <c r="Q206" s="7">
        <f t="shared" ca="1" si="114"/>
        <v>-7373.8749086686703</v>
      </c>
      <c r="R206" s="7">
        <f t="shared" ca="1" si="114"/>
        <v>-7595.0911559287306</v>
      </c>
      <c r="S206" s="7">
        <f t="shared" ca="1" si="114"/>
        <v>-7822.9438906065925</v>
      </c>
      <c r="T206" s="7">
        <f t="shared" ca="1" si="114"/>
        <v>-8057.6322073247902</v>
      </c>
      <c r="U206" s="7">
        <f t="shared" ca="1" si="114"/>
        <v>-8299.3611735445338</v>
      </c>
      <c r="V206" s="7">
        <f t="shared" ca="1" si="114"/>
        <v>-8548.3420087508694</v>
      </c>
      <c r="W206" s="7">
        <f t="shared" ca="1" si="114"/>
        <v>-8804.7922690133964</v>
      </c>
      <c r="X206" s="7">
        <f t="shared" ca="1" si="114"/>
        <v>-9068.9360370837985</v>
      </c>
      <c r="Y206" s="7">
        <f t="shared" ca="1" si="114"/>
        <v>-9341.0041181963134</v>
      </c>
      <c r="Z206" s="7">
        <f t="shared" ca="1" si="114"/>
        <v>-9621.2342417422024</v>
      </c>
      <c r="AA206" s="7">
        <f t="shared" ca="1" si="114"/>
        <v>-9909.8712689944696</v>
      </c>
      <c r="AB206" s="7">
        <f t="shared" ca="1" si="114"/>
        <v>-10207.167407064304</v>
      </c>
      <c r="AC206" s="7">
        <f t="shared" ca="1" si="114"/>
        <v>-10513.382429276233</v>
      </c>
      <c r="AD206" s="7">
        <f t="shared" ca="1" si="114"/>
        <v>-10828.783902154521</v>
      </c>
      <c r="AE206" s="7">
        <f t="shared" ca="1" si="114"/>
        <v>-11153.647419219156</v>
      </c>
      <c r="AF206" s="7">
        <f t="shared" ca="1" si="114"/>
        <v>-11488.256841795732</v>
      </c>
      <c r="AG206" s="7">
        <f t="shared" ca="1" si="114"/>
        <v>-11832.904547049604</v>
      </c>
      <c r="AH206" s="7">
        <f t="shared" ca="1" si="114"/>
        <v>-12187.891683461092</v>
      </c>
      <c r="AI206" s="7">
        <f t="shared" ca="1" si="114"/>
        <v>-12553.528433964924</v>
      </c>
      <c r="AJ206" s="7">
        <f t="shared" ca="1" si="114"/>
        <v>-12930.134286983872</v>
      </c>
      <c r="AK206" s="7">
        <f t="shared" ca="1" si="114"/>
        <v>-13318.038315593389</v>
      </c>
      <c r="AL206" s="7">
        <f t="shared" ca="1" si="114"/>
        <v>-13717.579465061192</v>
      </c>
      <c r="AM206" s="7">
        <f t="shared" ca="1" si="114"/>
        <v>-14129.106849013027</v>
      </c>
    </row>
    <row r="207" spans="1:39" x14ac:dyDescent="0.2">
      <c r="A207" s="3" t="s">
        <v>49</v>
      </c>
      <c r="C207" s="7">
        <f t="shared" ref="C207:AM207" ca="1" si="115">IFERROR(IF(C201=0,VLOOKUP($A200,$46:$50,C$1+2,FALSE),0),0)</f>
        <v>0</v>
      </c>
      <c r="D207" s="101">
        <f t="shared" ca="1" si="115"/>
        <v>0</v>
      </c>
      <c r="E207" s="110">
        <f t="shared" ca="1" si="115"/>
        <v>0</v>
      </c>
      <c r="F207" s="7">
        <f t="shared" ca="1" si="115"/>
        <v>0</v>
      </c>
      <c r="G207" s="7">
        <f t="shared" ca="1" si="115"/>
        <v>0</v>
      </c>
      <c r="H207" s="7">
        <f t="shared" ca="1" si="115"/>
        <v>0</v>
      </c>
      <c r="I207" s="7">
        <f t="shared" ca="1" si="115"/>
        <v>0</v>
      </c>
      <c r="J207" s="7">
        <f t="shared" ca="1" si="115"/>
        <v>0</v>
      </c>
      <c r="K207" s="7">
        <f t="shared" ca="1" si="115"/>
        <v>974.72231800793418</v>
      </c>
      <c r="L207" s="7">
        <f t="shared" ca="1" si="115"/>
        <v>999.09037595813231</v>
      </c>
      <c r="M207" s="7">
        <f t="shared" ca="1" si="115"/>
        <v>1024.0676353570857</v>
      </c>
      <c r="N207" s="7">
        <f t="shared" ca="1" si="115"/>
        <v>1049.6693262410129</v>
      </c>
      <c r="O207" s="7">
        <f t="shared" ca="1" si="115"/>
        <v>1075.9110593970381</v>
      </c>
      <c r="P207" s="7">
        <f t="shared" ca="1" si="115"/>
        <v>1102.8088358819639</v>
      </c>
      <c r="Q207" s="7">
        <f t="shared" ca="1" si="115"/>
        <v>1130.3790567790129</v>
      </c>
      <c r="R207" s="7">
        <f t="shared" ca="1" si="115"/>
        <v>1158.6385331984884</v>
      </c>
      <c r="S207" s="7">
        <f t="shared" ca="1" si="115"/>
        <v>1187.6044965284505</v>
      </c>
      <c r="T207" s="7">
        <f t="shared" ca="1" si="115"/>
        <v>1217.2946089416616</v>
      </c>
      <c r="U207" s="7">
        <f t="shared" ca="1" si="115"/>
        <v>1247.7269741652033</v>
      </c>
      <c r="V207" s="7">
        <f t="shared" ca="1" si="115"/>
        <v>1278.9201485193332</v>
      </c>
      <c r="W207" s="7">
        <f t="shared" ca="1" si="115"/>
        <v>1310.8931522323164</v>
      </c>
      <c r="X207" s="7">
        <f t="shared" ca="1" si="115"/>
        <v>1343.6654810381242</v>
      </c>
      <c r="Y207" s="7">
        <f t="shared" ca="1" si="115"/>
        <v>1377.2571180640773</v>
      </c>
      <c r="Z207" s="7">
        <f t="shared" ca="1" si="115"/>
        <v>1411.6885460156793</v>
      </c>
      <c r="AA207" s="7">
        <f t="shared" ca="1" si="115"/>
        <v>1446.9807596660712</v>
      </c>
      <c r="AB207" s="7">
        <f t="shared" ca="1" si="115"/>
        <v>1483.1552786577226</v>
      </c>
      <c r="AC207" s="7">
        <f t="shared" ca="1" si="115"/>
        <v>1520.2341606241657</v>
      </c>
      <c r="AD207" s="7">
        <f t="shared" ca="1" si="115"/>
        <v>1558.2400146397697</v>
      </c>
      <c r="AE207" s="7">
        <f t="shared" ca="1" si="115"/>
        <v>1597.1960150057639</v>
      </c>
      <c r="AF207" s="7">
        <f t="shared" ca="1" si="115"/>
        <v>1637.1259153809081</v>
      </c>
      <c r="AG207" s="7">
        <f t="shared" ca="1" si="115"/>
        <v>1678.0540632654304</v>
      </c>
      <c r="AH207" s="7">
        <f t="shared" ca="1" si="115"/>
        <v>1720.0054148470667</v>
      </c>
      <c r="AI207" s="7">
        <f t="shared" ca="1" si="115"/>
        <v>1763.0055502182429</v>
      </c>
      <c r="AJ207" s="7">
        <f t="shared" ca="1" si="115"/>
        <v>1807.0806889736989</v>
      </c>
      <c r="AK207" s="7">
        <f t="shared" ca="1" si="115"/>
        <v>1852.2577061980414</v>
      </c>
      <c r="AL207" s="7">
        <f t="shared" ca="1" si="115"/>
        <v>1898.5641488529923</v>
      </c>
      <c r="AM207" s="7">
        <f t="shared" ca="1" si="115"/>
        <v>1946.0282525743171</v>
      </c>
    </row>
    <row r="208" spans="1:39" x14ac:dyDescent="0.2">
      <c r="A208" s="3" t="s">
        <v>35</v>
      </c>
      <c r="B208" s="14" t="str">
        <f>A200</f>
        <v>Marsa</v>
      </c>
      <c r="C208" s="7">
        <f t="shared" ref="C208:AM208" ca="1" si="116">IF(AND(C201&gt;0,C204=0),VLOOKUP($A200,$86:$95,C$1+2,FALSE),0)</f>
        <v>0</v>
      </c>
      <c r="D208" s="101">
        <f t="shared" ca="1" si="116"/>
        <v>0</v>
      </c>
      <c r="E208" s="110">
        <f t="shared" ca="1" si="116"/>
        <v>0</v>
      </c>
      <c r="F208" s="7">
        <f t="shared" ca="1" si="116"/>
        <v>0</v>
      </c>
      <c r="G208" s="7">
        <f t="shared" ca="1" si="116"/>
        <v>0</v>
      </c>
      <c r="H208" s="7">
        <f t="shared" ca="1" si="116"/>
        <v>0</v>
      </c>
      <c r="I208" s="7">
        <f t="shared" ca="1" si="116"/>
        <v>0</v>
      </c>
      <c r="J208" s="7">
        <f t="shared" ca="1" si="116"/>
        <v>0</v>
      </c>
      <c r="K208" s="7">
        <f t="shared" ca="1" si="116"/>
        <v>0</v>
      </c>
      <c r="L208" s="7">
        <f t="shared" ca="1" si="116"/>
        <v>0</v>
      </c>
      <c r="M208" s="7">
        <f t="shared" ca="1" si="116"/>
        <v>0</v>
      </c>
      <c r="N208" s="7">
        <f t="shared" ca="1" si="116"/>
        <v>0</v>
      </c>
      <c r="O208" s="7">
        <f t="shared" ca="1" si="116"/>
        <v>0</v>
      </c>
      <c r="P208" s="7">
        <f t="shared" ca="1" si="116"/>
        <v>0</v>
      </c>
      <c r="Q208" s="7">
        <f t="shared" ca="1" si="116"/>
        <v>0</v>
      </c>
      <c r="R208" s="7">
        <f t="shared" ca="1" si="116"/>
        <v>0</v>
      </c>
      <c r="S208" s="7">
        <f t="shared" ca="1" si="116"/>
        <v>0</v>
      </c>
      <c r="T208" s="7">
        <f t="shared" ca="1" si="116"/>
        <v>0</v>
      </c>
      <c r="U208" s="7">
        <f t="shared" ca="1" si="116"/>
        <v>0</v>
      </c>
      <c r="V208" s="7">
        <f t="shared" ca="1" si="116"/>
        <v>0</v>
      </c>
      <c r="W208" s="7">
        <f t="shared" ca="1" si="116"/>
        <v>0</v>
      </c>
      <c r="X208" s="7">
        <f t="shared" ca="1" si="116"/>
        <v>0</v>
      </c>
      <c r="Y208" s="7">
        <f t="shared" ca="1" si="116"/>
        <v>0</v>
      </c>
      <c r="Z208" s="7">
        <f t="shared" ca="1" si="116"/>
        <v>0</v>
      </c>
      <c r="AA208" s="7">
        <f t="shared" ca="1" si="116"/>
        <v>0</v>
      </c>
      <c r="AB208" s="7">
        <f t="shared" ca="1" si="116"/>
        <v>0</v>
      </c>
      <c r="AC208" s="7">
        <f t="shared" ca="1" si="116"/>
        <v>0</v>
      </c>
      <c r="AD208" s="7">
        <f t="shared" ca="1" si="116"/>
        <v>0</v>
      </c>
      <c r="AE208" s="7">
        <f t="shared" ca="1" si="116"/>
        <v>0</v>
      </c>
      <c r="AF208" s="7">
        <f t="shared" ca="1" si="116"/>
        <v>0</v>
      </c>
      <c r="AG208" s="7">
        <f t="shared" ca="1" si="116"/>
        <v>0</v>
      </c>
      <c r="AH208" s="7">
        <f t="shared" ca="1" si="116"/>
        <v>0</v>
      </c>
      <c r="AI208" s="7">
        <f t="shared" ca="1" si="116"/>
        <v>0</v>
      </c>
      <c r="AJ208" s="7">
        <f t="shared" ca="1" si="116"/>
        <v>0</v>
      </c>
      <c r="AK208" s="7">
        <f t="shared" ca="1" si="116"/>
        <v>0</v>
      </c>
      <c r="AL208" s="7">
        <f t="shared" ca="1" si="116"/>
        <v>0</v>
      </c>
      <c r="AM208" s="7">
        <f t="shared" ca="1" si="116"/>
        <v>0</v>
      </c>
    </row>
    <row r="209" spans="1:39" x14ac:dyDescent="0.2">
      <c r="A209" s="3" t="s">
        <v>36</v>
      </c>
      <c r="C209" s="7">
        <f ca="1">-C202+SUM(C205:C208)</f>
        <v>0</v>
      </c>
      <c r="D209" s="101">
        <f t="shared" ref="D209" ca="1" si="117">-D202+SUM(D205:D208)</f>
        <v>0</v>
      </c>
      <c r="E209" s="110">
        <f t="shared" ref="E209:AM209" ca="1" si="118">-E202+SUM(E205:E208)</f>
        <v>0</v>
      </c>
      <c r="F209" s="7">
        <f t="shared" ca="1" si="118"/>
        <v>0</v>
      </c>
      <c r="G209" s="7">
        <f t="shared" ca="1" si="118"/>
        <v>0</v>
      </c>
      <c r="H209" s="7">
        <f t="shared" ca="1" si="118"/>
        <v>0</v>
      </c>
      <c r="I209" s="7">
        <f t="shared" ca="1" si="118"/>
        <v>0</v>
      </c>
      <c r="J209" s="7">
        <f t="shared" ca="1" si="118"/>
        <v>124523.53428155345</v>
      </c>
      <c r="K209" s="7">
        <f t="shared" ca="1" si="118"/>
        <v>-5200.7818287566943</v>
      </c>
      <c r="L209" s="7">
        <f t="shared" ca="1" si="118"/>
        <v>-5361.6788952094357</v>
      </c>
      <c r="M209" s="7">
        <f t="shared" ca="1" si="118"/>
        <v>-5527.5247139455096</v>
      </c>
      <c r="N209" s="7">
        <f t="shared" ca="1" si="118"/>
        <v>-5698.4707935406614</v>
      </c>
      <c r="O209" s="7">
        <f t="shared" ca="1" si="118"/>
        <v>-5874.6732639780867</v>
      </c>
      <c r="P209" s="7">
        <f t="shared" ca="1" si="118"/>
        <v>-6056.2930171944145</v>
      </c>
      <c r="Q209" s="7">
        <f t="shared" ca="1" si="118"/>
        <v>-6243.4958518896574</v>
      </c>
      <c r="R209" s="7">
        <f t="shared" ca="1" si="118"/>
        <v>-6436.4526227302422</v>
      </c>
      <c r="S209" s="7">
        <f t="shared" ca="1" si="118"/>
        <v>-6635.3393940781425</v>
      </c>
      <c r="T209" s="7">
        <f t="shared" ca="1" si="118"/>
        <v>-6840.3375983831284</v>
      </c>
      <c r="U209" s="7">
        <f t="shared" ca="1" si="118"/>
        <v>-7051.6341993793303</v>
      </c>
      <c r="V209" s="7">
        <f t="shared" ca="1" si="118"/>
        <v>-7269.4218602315359</v>
      </c>
      <c r="W209" s="7">
        <f t="shared" ca="1" si="118"/>
        <v>-7493.89911678108</v>
      </c>
      <c r="X209" s="7">
        <f t="shared" ca="1" si="118"/>
        <v>-7725.2705560456743</v>
      </c>
      <c r="Y209" s="7">
        <f t="shared" ca="1" si="118"/>
        <v>-7963.7470001322363</v>
      </c>
      <c r="Z209" s="7">
        <f t="shared" ca="1" si="118"/>
        <v>-8209.5456957265233</v>
      </c>
      <c r="AA209" s="7">
        <f t="shared" ca="1" si="118"/>
        <v>-8462.8905093283975</v>
      </c>
      <c r="AB209" s="7">
        <f t="shared" ca="1" si="118"/>
        <v>-8724.0121284065808</v>
      </c>
      <c r="AC209" s="7">
        <f t="shared" ca="1" si="118"/>
        <v>-8993.1482686520667</v>
      </c>
      <c r="AD209" s="7">
        <f t="shared" ca="1" si="118"/>
        <v>-9270.5438875147502</v>
      </c>
      <c r="AE209" s="7">
        <f t="shared" ca="1" si="118"/>
        <v>-9556.4514042133924</v>
      </c>
      <c r="AF209" s="7">
        <f t="shared" ca="1" si="118"/>
        <v>-9851.130926414824</v>
      </c>
      <c r="AG209" s="7">
        <f t="shared" ca="1" si="118"/>
        <v>-10154.850483784174</v>
      </c>
      <c r="AH209" s="7">
        <f t="shared" ca="1" si="118"/>
        <v>-10467.886268614026</v>
      </c>
      <c r="AI209" s="7">
        <f t="shared" ca="1" si="118"/>
        <v>-10790.522883746682</v>
      </c>
      <c r="AJ209" s="7">
        <f t="shared" ca="1" si="118"/>
        <v>-11123.053598010172</v>
      </c>
      <c r="AK209" s="7">
        <f t="shared" ca="1" si="118"/>
        <v>-11465.780609395348</v>
      </c>
      <c r="AL209" s="7">
        <f t="shared" ca="1" si="118"/>
        <v>-11819.015316208199</v>
      </c>
      <c r="AM209" s="7">
        <f t="shared" ca="1" si="118"/>
        <v>-12183.078596438711</v>
      </c>
    </row>
    <row r="210" spans="1:39" x14ac:dyDescent="0.2">
      <c r="A210" s="3"/>
      <c r="C210" s="7"/>
      <c r="D210" s="101"/>
      <c r="E210" s="110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  <c r="AG210" s="7"/>
      <c r="AH210" s="7"/>
      <c r="AI210" s="7"/>
      <c r="AJ210" s="7"/>
      <c r="AK210" s="7"/>
      <c r="AL210" s="7"/>
      <c r="AM210" s="7"/>
    </row>
    <row r="211" spans="1:39" x14ac:dyDescent="0.2">
      <c r="A211" s="3" t="s">
        <v>70</v>
      </c>
      <c r="C211" s="7">
        <f ca="1">C197+SUM($C209:C209)</f>
        <v>59870.735212387553</v>
      </c>
      <c r="D211" s="101">
        <f ca="1">D197+SUM($C209:D209)</f>
        <v>74614.879410794849</v>
      </c>
      <c r="E211" s="110">
        <f ca="1">E197+SUM($C209:E209)</f>
        <v>165076.06668918394</v>
      </c>
      <c r="F211" s="7">
        <f ca="1">F197+SUM($C209:F209)</f>
        <v>77206.243739473459</v>
      </c>
      <c r="G211" s="7">
        <f ca="1">G197+SUM($C209:G209)</f>
        <v>182711.67734335674</v>
      </c>
      <c r="H211" s="7">
        <f ca="1">H197+SUM($C209:H209)</f>
        <v>129321.73641809248</v>
      </c>
      <c r="I211" s="7">
        <f ca="1">I197+SUM($C209:I209)</f>
        <v>90950.88962435037</v>
      </c>
      <c r="J211" s="7">
        <f ca="1">J197+SUM($C209:J209)</f>
        <v>175949.04200025546</v>
      </c>
      <c r="K211" s="7">
        <f ca="1">K197+SUM($C209:K209)</f>
        <v>111967.07544224233</v>
      </c>
      <c r="L211" s="7">
        <f ca="1">L197+SUM($C209:L209)</f>
        <v>129756.92126275206</v>
      </c>
      <c r="M211" s="7">
        <f ca="1">M197+SUM($C209:M209)</f>
        <v>52211.921176661635</v>
      </c>
      <c r="N211" s="7">
        <f ca="1">N197+SUM($C209:N209)</f>
        <v>22738.779677543178</v>
      </c>
      <c r="O211" s="7">
        <f ca="1">O197+SUM($C209:O209)</f>
        <v>-7315.464048596783</v>
      </c>
      <c r="P211" s="7">
        <f ca="1">P197+SUM($C209:P209)</f>
        <v>-37960.665768119827</v>
      </c>
      <c r="Q211" s="7">
        <f ca="1">Q197+SUM($C209:Q209)</f>
        <v>-69206.787487867885</v>
      </c>
      <c r="R211" s="7">
        <f ca="1">R197+SUM($C209:R209)</f>
        <v>-101063.89590656332</v>
      </c>
      <c r="S211" s="7">
        <f ca="1">S197+SUM($C209:S209)</f>
        <v>-133542.16070135863</v>
      </c>
      <c r="T211" s="7">
        <f ca="1">T197+SUM($C209:T209)</f>
        <v>-149609.72811644193</v>
      </c>
      <c r="U211" s="7">
        <f ca="1">U197+SUM($C209:U209)</f>
        <v>-158094.74576973912</v>
      </c>
      <c r="V211" s="7">
        <f ca="1">V197+SUM($C209:V209)</f>
        <v>-166600.36514497935</v>
      </c>
      <c r="W211" s="7">
        <f ca="1">W197+SUM($C209:W209)</f>
        <v>-175121.35557362935</v>
      </c>
      <c r="X211" s="7">
        <f ca="1">X197+SUM($C209:X209)</f>
        <v>-183652.18324909534</v>
      </c>
      <c r="Y211" s="7">
        <f ca="1">Y197+SUM($C209:Y209)</f>
        <v>-212845.85524809189</v>
      </c>
      <c r="Z211" s="7">
        <f ca="1">Z197+SUM($C209:Z209)</f>
        <v>-242553.80741356651</v>
      </c>
      <c r="AA211" s="7">
        <f ca="1">AA197+SUM($C209:AA209)</f>
        <v>-272782.4299006759</v>
      </c>
      <c r="AB211" s="7">
        <f ca="1">AB197+SUM($C209:AB209)</f>
        <v>-303538.07861298654</v>
      </c>
      <c r="AC211" s="7">
        <f ca="1">AC197+SUM($C209:AC209)</f>
        <v>-334827.0685260187</v>
      </c>
      <c r="AD211" s="7">
        <f ca="1">AD197+SUM($C209:AD209)</f>
        <v>-366655.66666927817</v>
      </c>
      <c r="AE211" s="7">
        <f ca="1">AE197+SUM($C209:AE209)</f>
        <v>-389047.6096592063</v>
      </c>
      <c r="AF211" s="7">
        <f ca="1">AF197+SUM($C209:AF209)</f>
        <v>-411741.95936036215</v>
      </c>
      <c r="AG211" s="7">
        <f ca="1">AG197+SUM($C209:AG209)</f>
        <v>-434738.55418462097</v>
      </c>
      <c r="AH211" s="7">
        <f ca="1">AH197+SUM($C209:AH209)</f>
        <v>-458036.99685147731</v>
      </c>
      <c r="AI211" s="7">
        <f ca="1">AI197+SUM($C209:AI209)</f>
        <v>-481636.64154615597</v>
      </c>
      <c r="AJ211" s="7">
        <f ca="1">AJ197+SUM($C209:AJ209)</f>
        <v>-505536.5805481869</v>
      </c>
      <c r="AK211" s="7">
        <f ca="1">AK197+SUM($C209:AK209)</f>
        <v>-529735.63031095383</v>
      </c>
      <c r="AL211" s="7">
        <f ca="1">AL197+SUM($C209:AL209)</f>
        <v>-554232.31697204546</v>
      </c>
      <c r="AM211" s="7">
        <f ca="1">AM197+SUM($C209:AM209)</f>
        <v>-579024.86127354729</v>
      </c>
    </row>
    <row r="212" spans="1:39" x14ac:dyDescent="0.2">
      <c r="A212" s="3" t="s">
        <v>67</v>
      </c>
      <c r="C212" s="7">
        <f t="shared" ref="C212:AM212" ca="1" si="119">MAX(C211+buffer,0)-MAX(C197+buffer,0)</f>
        <v>0</v>
      </c>
      <c r="D212" s="101">
        <f t="shared" ca="1" si="119"/>
        <v>0</v>
      </c>
      <c r="E212" s="110">
        <f t="shared" ca="1" si="119"/>
        <v>0</v>
      </c>
      <c r="F212" s="7">
        <f t="shared" ca="1" si="119"/>
        <v>0</v>
      </c>
      <c r="G212" s="7">
        <f t="shared" ca="1" si="119"/>
        <v>0</v>
      </c>
      <c r="H212" s="7">
        <f t="shared" ca="1" si="119"/>
        <v>0</v>
      </c>
      <c r="I212" s="7">
        <f t="shared" ca="1" si="119"/>
        <v>0</v>
      </c>
      <c r="J212" s="7">
        <f t="shared" ca="1" si="119"/>
        <v>124523.53428155344</v>
      </c>
      <c r="K212" s="7">
        <f t="shared" ca="1" si="119"/>
        <v>119322.75245279675</v>
      </c>
      <c r="L212" s="7">
        <f t="shared" ca="1" si="119"/>
        <v>113961.07355758733</v>
      </c>
      <c r="M212" s="7">
        <f t="shared" ca="1" si="119"/>
        <v>102211.92117666164</v>
      </c>
      <c r="N212" s="7">
        <f t="shared" ca="1" si="119"/>
        <v>72738.779677543178</v>
      </c>
      <c r="O212" s="7">
        <f t="shared" ca="1" si="119"/>
        <v>42684.535951403217</v>
      </c>
      <c r="P212" s="7">
        <f t="shared" ca="1" si="119"/>
        <v>12039.334231880173</v>
      </c>
      <c r="Q212" s="7">
        <f t="shared" ca="1" si="119"/>
        <v>0</v>
      </c>
      <c r="R212" s="7">
        <f t="shared" ca="1" si="119"/>
        <v>0</v>
      </c>
      <c r="S212" s="7">
        <f t="shared" ca="1" si="119"/>
        <v>0</v>
      </c>
      <c r="T212" s="7">
        <f t="shared" ca="1" si="119"/>
        <v>0</v>
      </c>
      <c r="U212" s="7">
        <f t="shared" ca="1" si="119"/>
        <v>0</v>
      </c>
      <c r="V212" s="7">
        <f t="shared" ca="1" si="119"/>
        <v>0</v>
      </c>
      <c r="W212" s="7">
        <f t="shared" ca="1" si="119"/>
        <v>0</v>
      </c>
      <c r="X212" s="7">
        <f t="shared" ca="1" si="119"/>
        <v>0</v>
      </c>
      <c r="Y212" s="7">
        <f t="shared" ca="1" si="119"/>
        <v>0</v>
      </c>
      <c r="Z212" s="7">
        <f t="shared" ca="1" si="119"/>
        <v>0</v>
      </c>
      <c r="AA212" s="7">
        <f t="shared" ca="1" si="119"/>
        <v>0</v>
      </c>
      <c r="AB212" s="7">
        <f t="shared" ca="1" si="119"/>
        <v>0</v>
      </c>
      <c r="AC212" s="7">
        <f t="shared" ca="1" si="119"/>
        <v>0</v>
      </c>
      <c r="AD212" s="7">
        <f t="shared" ca="1" si="119"/>
        <v>0</v>
      </c>
      <c r="AE212" s="7">
        <f t="shared" ca="1" si="119"/>
        <v>0</v>
      </c>
      <c r="AF212" s="7">
        <f t="shared" ca="1" si="119"/>
        <v>0</v>
      </c>
      <c r="AG212" s="7">
        <f t="shared" ca="1" si="119"/>
        <v>0</v>
      </c>
      <c r="AH212" s="7">
        <f t="shared" ca="1" si="119"/>
        <v>0</v>
      </c>
      <c r="AI212" s="7">
        <f t="shared" ca="1" si="119"/>
        <v>0</v>
      </c>
      <c r="AJ212" s="7">
        <f t="shared" ca="1" si="119"/>
        <v>0</v>
      </c>
      <c r="AK212" s="7">
        <f t="shared" ca="1" si="119"/>
        <v>0</v>
      </c>
      <c r="AL212" s="7">
        <f t="shared" ca="1" si="119"/>
        <v>0</v>
      </c>
      <c r="AM212" s="7">
        <f t="shared" ca="1" si="119"/>
        <v>0</v>
      </c>
    </row>
    <row r="213" spans="1:39" x14ac:dyDescent="0.2">
      <c r="A213" s="3" t="s">
        <v>68</v>
      </c>
      <c r="C213" s="7">
        <f ca="1">C212*Inputs!$B$270</f>
        <v>0</v>
      </c>
      <c r="D213" s="101">
        <f ca="1">D212*Inputs!$B$270</f>
        <v>0</v>
      </c>
      <c r="E213" s="110">
        <f ca="1">E212*Inputs!$B$270</f>
        <v>0</v>
      </c>
      <c r="F213" s="7">
        <f ca="1">F212*Inputs!$B$270</f>
        <v>0</v>
      </c>
      <c r="G213" s="7">
        <f ca="1">G212*Inputs!$B$270</f>
        <v>0</v>
      </c>
      <c r="H213" s="7">
        <f ca="1">H212*Inputs!$B$270</f>
        <v>0</v>
      </c>
      <c r="I213" s="7">
        <f ca="1">I212*Inputs!$B$270</f>
        <v>0</v>
      </c>
      <c r="J213" s="7">
        <f ca="1">J212*Inputs!$B$270</f>
        <v>3113.088357038836</v>
      </c>
      <c r="K213" s="7">
        <f ca="1">K212*Inputs!$B$270</f>
        <v>2983.068811319919</v>
      </c>
      <c r="L213" s="7">
        <f ca="1">L212*Inputs!$B$270</f>
        <v>2849.0268389396833</v>
      </c>
      <c r="M213" s="7">
        <f ca="1">M212*Inputs!$B$270</f>
        <v>2555.2980294165409</v>
      </c>
      <c r="N213" s="7">
        <f ca="1">N212*Inputs!$B$270</f>
        <v>1818.4694919385795</v>
      </c>
      <c r="O213" s="7">
        <f ca="1">O212*Inputs!$B$270</f>
        <v>1067.1133987850806</v>
      </c>
      <c r="P213" s="7">
        <f ca="1">P212*Inputs!$B$270</f>
        <v>300.98335579700432</v>
      </c>
      <c r="Q213" s="7">
        <f ca="1">Q212*Inputs!$B$270</f>
        <v>0</v>
      </c>
      <c r="R213" s="7">
        <f ca="1">R212*Inputs!$B$270</f>
        <v>0</v>
      </c>
      <c r="S213" s="7">
        <f ca="1">S212*Inputs!$B$270</f>
        <v>0</v>
      </c>
      <c r="T213" s="7">
        <f ca="1">T212*Inputs!$B$270</f>
        <v>0</v>
      </c>
      <c r="U213" s="7">
        <f ca="1">U212*Inputs!$B$270</f>
        <v>0</v>
      </c>
      <c r="V213" s="7">
        <f ca="1">V212*Inputs!$B$270</f>
        <v>0</v>
      </c>
      <c r="W213" s="7">
        <f ca="1">W212*Inputs!$B$270</f>
        <v>0</v>
      </c>
      <c r="X213" s="7">
        <f ca="1">X212*Inputs!$B$270</f>
        <v>0</v>
      </c>
      <c r="Y213" s="7">
        <f ca="1">Y212*Inputs!$B$270</f>
        <v>0</v>
      </c>
      <c r="Z213" s="7">
        <f ca="1">Z212*Inputs!$B$270</f>
        <v>0</v>
      </c>
      <c r="AA213" s="7">
        <f ca="1">AA212*Inputs!$B$270</f>
        <v>0</v>
      </c>
      <c r="AB213" s="7">
        <f ca="1">AB212*Inputs!$B$270</f>
        <v>0</v>
      </c>
      <c r="AC213" s="7">
        <f ca="1">AC212*Inputs!$B$270</f>
        <v>0</v>
      </c>
      <c r="AD213" s="7">
        <f ca="1">AD212*Inputs!$B$270</f>
        <v>0</v>
      </c>
      <c r="AE213" s="7">
        <f ca="1">AE212*Inputs!$B$270</f>
        <v>0</v>
      </c>
      <c r="AF213" s="7">
        <f ca="1">AF212*Inputs!$B$270</f>
        <v>0</v>
      </c>
      <c r="AG213" s="7">
        <f ca="1">AG212*Inputs!$B$270</f>
        <v>0</v>
      </c>
      <c r="AH213" s="7">
        <f ca="1">AH212*Inputs!$B$270</f>
        <v>0</v>
      </c>
      <c r="AI213" s="7">
        <f ca="1">AI212*Inputs!$B$270</f>
        <v>0</v>
      </c>
      <c r="AJ213" s="7">
        <f ca="1">AJ212*Inputs!$B$270</f>
        <v>0</v>
      </c>
      <c r="AK213" s="7">
        <f ca="1">AK212*Inputs!$B$270</f>
        <v>0</v>
      </c>
      <c r="AL213" s="7">
        <f ca="1">AL212*Inputs!$B$270</f>
        <v>0</v>
      </c>
      <c r="AM213" s="7">
        <f ca="1">AM212*Inputs!$B$270</f>
        <v>0</v>
      </c>
    </row>
    <row r="214" spans="1:39" x14ac:dyDescent="0.2">
      <c r="A214" s="3" t="s">
        <v>149</v>
      </c>
      <c r="C214" s="7">
        <f ca="1">C211+SUM($C213:C213)</f>
        <v>59870.735212387553</v>
      </c>
      <c r="D214" s="101">
        <f ca="1">D211+SUM($C213:D213)</f>
        <v>74614.879410794849</v>
      </c>
      <c r="E214" s="110">
        <f ca="1">E211+SUM($C213:E213)</f>
        <v>165076.06668918394</v>
      </c>
      <c r="F214" s="7">
        <f ca="1">F211+SUM($C213:F213)</f>
        <v>77206.243739473459</v>
      </c>
      <c r="G214" s="7">
        <f ca="1">G211+SUM($C213:G213)</f>
        <v>182711.67734335674</v>
      </c>
      <c r="H214" s="7">
        <f ca="1">H211+SUM($C213:H213)</f>
        <v>129321.73641809248</v>
      </c>
      <c r="I214" s="7">
        <f ca="1">I211+SUM($C213:I213)</f>
        <v>90950.88962435037</v>
      </c>
      <c r="J214" s="7">
        <f ca="1">J211+SUM($C213:J213)</f>
        <v>179062.13035729429</v>
      </c>
      <c r="K214" s="7">
        <f ca="1">K211+SUM($C213:K213)</f>
        <v>118063.23261060109</v>
      </c>
      <c r="L214" s="7">
        <f ca="1">L211+SUM($C213:L213)</f>
        <v>138702.1052700505</v>
      </c>
      <c r="M214" s="7">
        <f ca="1">M211+SUM($C213:M213)</f>
        <v>63712.403213376616</v>
      </c>
      <c r="N214" s="7">
        <f ca="1">N211+SUM($C213:N213)</f>
        <v>36057.731206196739</v>
      </c>
      <c r="O214" s="7">
        <f ca="1">O211+SUM($C213:O213)</f>
        <v>7070.6008788418567</v>
      </c>
      <c r="P214" s="7">
        <f ca="1">P211+SUM($C213:P213)</f>
        <v>-23273.617484884184</v>
      </c>
      <c r="Q214" s="7">
        <f ca="1">Q211+SUM($C213:Q213)</f>
        <v>-54519.739204632242</v>
      </c>
      <c r="R214" s="7">
        <f ca="1">R211+SUM($C213:R213)</f>
        <v>-86376.847623327674</v>
      </c>
      <c r="S214" s="7">
        <f ca="1">S211+SUM($C213:S213)</f>
        <v>-118855.11241812298</v>
      </c>
      <c r="T214" s="7">
        <f ca="1">T211+SUM($C213:T213)</f>
        <v>-134922.67983320629</v>
      </c>
      <c r="U214" s="7">
        <f ca="1">U211+SUM($C213:U213)</f>
        <v>-143407.69748650349</v>
      </c>
      <c r="V214" s="7">
        <f ca="1">V211+SUM($C213:V213)</f>
        <v>-151913.31686174372</v>
      </c>
      <c r="W214" s="7">
        <f ca="1">W211+SUM($C213:W213)</f>
        <v>-160434.30729039371</v>
      </c>
      <c r="X214" s="7">
        <f ca="1">X211+SUM($C213:X213)</f>
        <v>-168965.1349658597</v>
      </c>
      <c r="Y214" s="7">
        <f ca="1">Y211+SUM($C213:Y213)</f>
        <v>-198158.80696485625</v>
      </c>
      <c r="Z214" s="7">
        <f ca="1">Z211+SUM($C213:Z213)</f>
        <v>-227866.75913033087</v>
      </c>
      <c r="AA214" s="7">
        <f ca="1">AA211+SUM($C213:AA213)</f>
        <v>-258095.38161744026</v>
      </c>
      <c r="AB214" s="7">
        <f ca="1">AB211+SUM($C213:AB213)</f>
        <v>-288851.03032975091</v>
      </c>
      <c r="AC214" s="7">
        <f ca="1">AC211+SUM($C213:AC213)</f>
        <v>-320140.02024278307</v>
      </c>
      <c r="AD214" s="7">
        <f ca="1">AD211+SUM($C213:AD213)</f>
        <v>-351968.61838604254</v>
      </c>
      <c r="AE214" s="7">
        <f ca="1">AE211+SUM($C213:AE213)</f>
        <v>-374360.56137597066</v>
      </c>
      <c r="AF214" s="7">
        <f ca="1">AF211+SUM($C213:AF213)</f>
        <v>-397054.91107712651</v>
      </c>
      <c r="AG214" s="7">
        <f ca="1">AG211+SUM($C213:AG213)</f>
        <v>-420051.50590138533</v>
      </c>
      <c r="AH214" s="7">
        <f ca="1">AH211+SUM($C213:AH213)</f>
        <v>-443349.94856824167</v>
      </c>
      <c r="AI214" s="7">
        <f ca="1">AI211+SUM($C213:AI213)</f>
        <v>-466949.59326292033</v>
      </c>
      <c r="AJ214" s="7">
        <f ca="1">AJ211+SUM($C213:AJ213)</f>
        <v>-490849.53226495127</v>
      </c>
      <c r="AK214" s="7">
        <f ca="1">AK211+SUM($C213:AK213)</f>
        <v>-515048.58202771819</v>
      </c>
      <c r="AL214" s="7">
        <f ca="1">AL211+SUM($C213:AL213)</f>
        <v>-539545.26868880983</v>
      </c>
      <c r="AM214" s="7">
        <f ca="1">AM211+SUM($C213:AM213)</f>
        <v>-564337.81299031165</v>
      </c>
    </row>
    <row r="215" spans="1:39" x14ac:dyDescent="0.2">
      <c r="A215" s="3" t="s">
        <v>19</v>
      </c>
      <c r="C215" s="7">
        <f ca="1">IF(C214&lt;0,-C214,0)</f>
        <v>0</v>
      </c>
      <c r="D215" s="101">
        <f ca="1">IF(D214+SUM($C215:C215)&lt;0,-(D214+SUM($C215:C215)),0)</f>
        <v>0</v>
      </c>
      <c r="E215" s="110">
        <f ca="1">IF(E214+SUM($C215:D215)&lt;0,-(E214+SUM($C215:D215)),0)</f>
        <v>0</v>
      </c>
      <c r="F215" s="7">
        <f ca="1">IF(F214+SUM($C215:E215)&lt;0,-(F214+SUM($C215:E215)),0)</f>
        <v>0</v>
      </c>
      <c r="G215" s="7">
        <f ca="1">IF(G214+SUM($C215:F215)&lt;0,-(G214+SUM($C215:F215)),0)</f>
        <v>0</v>
      </c>
      <c r="H215" s="7">
        <f ca="1">IF(H214+SUM($C215:G215)&lt;0,-(H214+SUM($C215:G215)),0)</f>
        <v>0</v>
      </c>
      <c r="I215" s="7">
        <f ca="1">IF(I214+SUM($C215:H215)&lt;0,-(I214+SUM($C215:H215)),0)</f>
        <v>0</v>
      </c>
      <c r="J215" s="7">
        <f ca="1">IF(J214+SUM($C215:I215)&lt;0,-(J214+SUM($C215:I215)),0)</f>
        <v>0</v>
      </c>
      <c r="K215" s="7">
        <f ca="1">IF(K214+SUM($C215:J215)&lt;0,-(K214+SUM($C215:J215)),0)</f>
        <v>0</v>
      </c>
      <c r="L215" s="7">
        <f ca="1">IF(L214+SUM($C215:K215)&lt;0,-(L214+SUM($C215:K215)),0)</f>
        <v>0</v>
      </c>
      <c r="M215" s="7">
        <f ca="1">IF(M214+SUM($C215:L215)&lt;0,-(M214+SUM($C215:L215)),0)</f>
        <v>0</v>
      </c>
      <c r="N215" s="7">
        <f ca="1">IF(N214+SUM($C215:M215)&lt;0,-(N214+SUM($C215:M215)),0)</f>
        <v>0</v>
      </c>
      <c r="O215" s="7">
        <f ca="1">IF(O214+SUM($C215:N215)&lt;0,-(O214+SUM($C215:N215)),0)</f>
        <v>0</v>
      </c>
      <c r="P215" s="7">
        <f ca="1">IF(P214+SUM($C215:O215)&lt;0,-(P214+SUM($C215:O215)),0)</f>
        <v>23273.617484884184</v>
      </c>
      <c r="Q215" s="7">
        <f ca="1">IF(Q214+SUM($C215:P215)&lt;0,-(Q214+SUM($C215:P215)),0)</f>
        <v>31246.121719748058</v>
      </c>
      <c r="R215" s="7">
        <f ca="1">IF(R214+SUM($C215:Q215)&lt;0,-(R214+SUM($C215:Q215)),0)</f>
        <v>31857.108418695432</v>
      </c>
      <c r="S215" s="7">
        <f ca="1">IF(S214+SUM($C215:R215)&lt;0,-(S214+SUM($C215:R215)),0)</f>
        <v>32478.264794795308</v>
      </c>
      <c r="T215" s="7">
        <f ca="1">IF(T214+SUM($C215:S215)&lt;0,-(T214+SUM($C215:S215)),0)</f>
        <v>16067.567415083307</v>
      </c>
      <c r="U215" s="7">
        <f ca="1">IF(U214+SUM($C215:T215)&lt;0,-(U214+SUM($C215:T215)),0)</f>
        <v>8485.0176532971964</v>
      </c>
      <c r="V215" s="7">
        <f ca="1">IF(V214+SUM($C215:U215)&lt;0,-(V214+SUM($C215:U215)),0)</f>
        <v>8505.6193752402323</v>
      </c>
      <c r="W215" s="7">
        <f ca="1">IF(W214+SUM($C215:V215)&lt;0,-(W214+SUM($C215:V215)),0)</f>
        <v>8520.990428649995</v>
      </c>
      <c r="X215" s="7">
        <f ca="1">IF(X214+SUM($C215:W215)&lt;0,-(X214+SUM($C215:W215)),0)</f>
        <v>8530.8276754659892</v>
      </c>
      <c r="Y215" s="7">
        <f ca="1">IF(Y214+SUM($C215:X215)&lt;0,-(Y214+SUM($C215:X215)),0)</f>
        <v>29193.67199899655</v>
      </c>
      <c r="Z215" s="7">
        <f ca="1">IF(Z214+SUM($C215:Y215)&lt;0,-(Z214+SUM($C215:Y215)),0)</f>
        <v>29707.95216547462</v>
      </c>
      <c r="AA215" s="7">
        <f ca="1">IF(AA214+SUM($C215:Z215)&lt;0,-(AA214+SUM($C215:Z215)),0)</f>
        <v>30228.622487109387</v>
      </c>
      <c r="AB215" s="7">
        <f ca="1">IF(AB214+SUM($C215:AA215)&lt;0,-(AB214+SUM($C215:AA215)),0)</f>
        <v>30755.648712310649</v>
      </c>
      <c r="AC215" s="7">
        <f ca="1">IF(AC214+SUM($C215:AB215)&lt;0,-(AC214+SUM($C215:AB215)),0)</f>
        <v>31288.989913032157</v>
      </c>
      <c r="AD215" s="7">
        <f ca="1">IF(AD214+SUM($C215:AC215)&lt;0,-(AD214+SUM($C215:AC215)),0)</f>
        <v>31828.598143259471</v>
      </c>
      <c r="AE215" s="7">
        <f ca="1">IF(AE214+SUM($C215:AD215)&lt;0,-(AE214+SUM($C215:AD215)),0)</f>
        <v>22391.942989928124</v>
      </c>
      <c r="AF215" s="7">
        <f ca="1">IF(AF214+SUM($C215:AE215)&lt;0,-(AF214+SUM($C215:AE215)),0)</f>
        <v>22694.34970115585</v>
      </c>
      <c r="AG215" s="7">
        <f ca="1">IF(AG214+SUM($C215:AF215)&lt;0,-(AG214+SUM($C215:AF215)),0)</f>
        <v>22996.59482425882</v>
      </c>
      <c r="AH215" s="7">
        <f ca="1">IF(AH214+SUM($C215:AG215)&lt;0,-(AH214+SUM($C215:AG215)),0)</f>
        <v>23298.442666856339</v>
      </c>
      <c r="AI215" s="7">
        <f ca="1">IF(AI214+SUM($C215:AH215)&lt;0,-(AI214+SUM($C215:AH215)),0)</f>
        <v>23599.64469467866</v>
      </c>
      <c r="AJ215" s="7">
        <f ca="1">IF(AJ214+SUM($C215:AI215)&lt;0,-(AJ214+SUM($C215:AI215)),0)</f>
        <v>23899.939002030937</v>
      </c>
      <c r="AK215" s="7">
        <f ca="1">IF(AK214+SUM($C215:AJ215)&lt;0,-(AK214+SUM($C215:AJ215)),0)</f>
        <v>24199.049762766925</v>
      </c>
      <c r="AL215" s="7">
        <f ca="1">IF(AL214+SUM($C215:AK215)&lt;0,-(AL214+SUM($C215:AK215)),0)</f>
        <v>24496.686661091633</v>
      </c>
      <c r="AM215" s="7">
        <f ca="1">IF(AM214+SUM($C215:AL215)&lt;0,-(AM214+SUM($C215:AL215)),0)</f>
        <v>24792.544301501825</v>
      </c>
    </row>
    <row r="216" spans="1:39" x14ac:dyDescent="0.2">
      <c r="C216" s="7"/>
      <c r="D216" s="101"/>
      <c r="E216" s="110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  <c r="AG216" s="7"/>
      <c r="AH216" s="7"/>
      <c r="AI216" s="7"/>
      <c r="AJ216" s="7"/>
      <c r="AK216" s="7"/>
      <c r="AL216" s="7"/>
      <c r="AM216" s="7"/>
    </row>
    <row r="217" spans="1:39" x14ac:dyDescent="0.2">
      <c r="A217" s="24" t="str">
        <f>IF(Inputs!$B$290=6,IFERROR(_xlfn.XLOOKUP($B217,Inputs!$B$291:$B$300,Inputs!$A$291:$A$300,,0,1),""),IFERROR(_xlfn.XLOOKUP($B217,Inputs!$C$291:$C$300,Inputs!$A$291:$A$300,,0,1),""))</f>
        <v>Gzira</v>
      </c>
      <c r="B217" s="26">
        <v>7</v>
      </c>
      <c r="C217" s="7"/>
      <c r="D217" s="101"/>
      <c r="E217" s="110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  <c r="AD217" s="7"/>
      <c r="AE217" s="7"/>
      <c r="AF217" s="7"/>
      <c r="AG217" s="7"/>
      <c r="AH217" s="7"/>
      <c r="AI217" s="7"/>
      <c r="AJ217" s="7"/>
      <c r="AK217" s="7"/>
      <c r="AL217" s="7"/>
      <c r="AM217" s="7"/>
    </row>
    <row r="218" spans="1:39" x14ac:dyDescent="0.2">
      <c r="A218" s="3" t="s">
        <v>21</v>
      </c>
      <c r="C218" s="7">
        <f ca="1">IFERROR(VLOOKUP($A217,$A$68:$H$97,C$1+2,FALSE),0)</f>
        <v>153362.49933442406</v>
      </c>
      <c r="D218" s="101">
        <f ca="1">C221</f>
        <v>153362.49933442406</v>
      </c>
      <c r="E218" s="110">
        <f t="shared" ref="E218:AM218" ca="1" si="120">D221</f>
        <v>157963.3743144568</v>
      </c>
      <c r="F218" s="7">
        <f t="shared" ca="1" si="120"/>
        <v>162702.27554389052</v>
      </c>
      <c r="G218" s="7">
        <f t="shared" ca="1" si="120"/>
        <v>167583.34381020724</v>
      </c>
      <c r="H218" s="7">
        <f t="shared" ca="1" si="120"/>
        <v>172610.84412451345</v>
      </c>
      <c r="I218" s="7">
        <f t="shared" ca="1" si="120"/>
        <v>177789.16944824884</v>
      </c>
      <c r="J218" s="7">
        <f t="shared" ca="1" si="120"/>
        <v>183122.84453169629</v>
      </c>
      <c r="K218" s="7">
        <f t="shared" ca="1" si="120"/>
        <v>188616.52986764719</v>
      </c>
      <c r="L218" s="7">
        <f t="shared" ca="1" si="120"/>
        <v>194275.02576367659</v>
      </c>
      <c r="M218" s="7">
        <f t="shared" ca="1" si="120"/>
        <v>200103.2765365869</v>
      </c>
      <c r="N218" s="7">
        <f t="shared" ca="1" si="120"/>
        <v>206106.37483268449</v>
      </c>
      <c r="O218" s="7">
        <f t="shared" ca="1" si="120"/>
        <v>212289.56607766502</v>
      </c>
      <c r="P218" s="7">
        <f t="shared" ca="1" si="120"/>
        <v>0</v>
      </c>
      <c r="Q218" s="7">
        <f t="shared" ca="1" si="120"/>
        <v>0</v>
      </c>
      <c r="R218" s="7">
        <f t="shared" ca="1" si="120"/>
        <v>0</v>
      </c>
      <c r="S218" s="7">
        <f t="shared" ca="1" si="120"/>
        <v>0</v>
      </c>
      <c r="T218" s="7">
        <f t="shared" ca="1" si="120"/>
        <v>0</v>
      </c>
      <c r="U218" s="7">
        <f t="shared" ca="1" si="120"/>
        <v>0</v>
      </c>
      <c r="V218" s="7">
        <f t="shared" ca="1" si="120"/>
        <v>0</v>
      </c>
      <c r="W218" s="7">
        <f t="shared" ca="1" si="120"/>
        <v>0</v>
      </c>
      <c r="X218" s="7">
        <f t="shared" ca="1" si="120"/>
        <v>0</v>
      </c>
      <c r="Y218" s="7">
        <f t="shared" ca="1" si="120"/>
        <v>0</v>
      </c>
      <c r="Z218" s="7">
        <f t="shared" ca="1" si="120"/>
        <v>0</v>
      </c>
      <c r="AA218" s="7">
        <f t="shared" ca="1" si="120"/>
        <v>0</v>
      </c>
      <c r="AB218" s="7">
        <f t="shared" ca="1" si="120"/>
        <v>0</v>
      </c>
      <c r="AC218" s="7">
        <f t="shared" ca="1" si="120"/>
        <v>0</v>
      </c>
      <c r="AD218" s="7">
        <f t="shared" ca="1" si="120"/>
        <v>0</v>
      </c>
      <c r="AE218" s="7">
        <f t="shared" ca="1" si="120"/>
        <v>0</v>
      </c>
      <c r="AF218" s="7">
        <f t="shared" ca="1" si="120"/>
        <v>0</v>
      </c>
      <c r="AG218" s="7">
        <f t="shared" ca="1" si="120"/>
        <v>0</v>
      </c>
      <c r="AH218" s="7">
        <f t="shared" ca="1" si="120"/>
        <v>0</v>
      </c>
      <c r="AI218" s="7">
        <f t="shared" ca="1" si="120"/>
        <v>0</v>
      </c>
      <c r="AJ218" s="7">
        <f t="shared" ca="1" si="120"/>
        <v>0</v>
      </c>
      <c r="AK218" s="7">
        <f t="shared" ca="1" si="120"/>
        <v>0</v>
      </c>
      <c r="AL218" s="7">
        <f t="shared" ca="1" si="120"/>
        <v>0</v>
      </c>
      <c r="AM218" s="7">
        <f t="shared" ca="1" si="120"/>
        <v>0</v>
      </c>
    </row>
    <row r="219" spans="1:39" x14ac:dyDescent="0.2">
      <c r="A219" s="3" t="s">
        <v>22</v>
      </c>
      <c r="C219" s="7">
        <f ca="1">-IF(D215&gt;0,C218,0)</f>
        <v>0</v>
      </c>
      <c r="D219" s="101">
        <f ca="1">-IF(E215&gt;0,D218,0)</f>
        <v>0</v>
      </c>
      <c r="E219" s="110">
        <f ca="1">-IF(F215&gt;0,E218,0)</f>
        <v>0</v>
      </c>
      <c r="F219" s="7">
        <f ca="1">-IF(G215&gt;0,F218,0)</f>
        <v>0</v>
      </c>
      <c r="G219" s="7">
        <f t="shared" ref="G219:AM219" ca="1" si="121">-IF(H215&gt;0,G218,0)</f>
        <v>0</v>
      </c>
      <c r="H219" s="7">
        <f t="shared" ca="1" si="121"/>
        <v>0</v>
      </c>
      <c r="I219" s="7">
        <f t="shared" ca="1" si="121"/>
        <v>0</v>
      </c>
      <c r="J219" s="7">
        <f t="shared" ca="1" si="121"/>
        <v>0</v>
      </c>
      <c r="K219" s="7">
        <f t="shared" ca="1" si="121"/>
        <v>0</v>
      </c>
      <c r="L219" s="7">
        <f t="shared" ca="1" si="121"/>
        <v>0</v>
      </c>
      <c r="M219" s="7">
        <f t="shared" ca="1" si="121"/>
        <v>0</v>
      </c>
      <c r="N219" s="7">
        <f t="shared" ca="1" si="121"/>
        <v>0</v>
      </c>
      <c r="O219" s="7">
        <f t="shared" ca="1" si="121"/>
        <v>-212289.56607766502</v>
      </c>
      <c r="P219" s="7">
        <f t="shared" ca="1" si="121"/>
        <v>0</v>
      </c>
      <c r="Q219" s="7">
        <f t="shared" ca="1" si="121"/>
        <v>0</v>
      </c>
      <c r="R219" s="7">
        <f t="shared" ca="1" si="121"/>
        <v>0</v>
      </c>
      <c r="S219" s="7">
        <f t="shared" ca="1" si="121"/>
        <v>0</v>
      </c>
      <c r="T219" s="7">
        <f t="shared" ca="1" si="121"/>
        <v>0</v>
      </c>
      <c r="U219" s="7">
        <f t="shared" ca="1" si="121"/>
        <v>0</v>
      </c>
      <c r="V219" s="7">
        <f t="shared" ca="1" si="121"/>
        <v>0</v>
      </c>
      <c r="W219" s="7">
        <f t="shared" ca="1" si="121"/>
        <v>0</v>
      </c>
      <c r="X219" s="7">
        <f t="shared" ca="1" si="121"/>
        <v>0</v>
      </c>
      <c r="Y219" s="7">
        <f t="shared" ca="1" si="121"/>
        <v>0</v>
      </c>
      <c r="Z219" s="7">
        <f t="shared" ca="1" si="121"/>
        <v>0</v>
      </c>
      <c r="AA219" s="7">
        <f t="shared" ca="1" si="121"/>
        <v>0</v>
      </c>
      <c r="AB219" s="7">
        <f t="shared" ca="1" si="121"/>
        <v>0</v>
      </c>
      <c r="AC219" s="7">
        <f t="shared" ca="1" si="121"/>
        <v>0</v>
      </c>
      <c r="AD219" s="7">
        <f t="shared" ca="1" si="121"/>
        <v>0</v>
      </c>
      <c r="AE219" s="7">
        <f t="shared" ca="1" si="121"/>
        <v>0</v>
      </c>
      <c r="AF219" s="7">
        <f t="shared" ca="1" si="121"/>
        <v>0</v>
      </c>
      <c r="AG219" s="7">
        <f t="shared" ca="1" si="121"/>
        <v>0</v>
      </c>
      <c r="AH219" s="7">
        <f t="shared" ca="1" si="121"/>
        <v>0</v>
      </c>
      <c r="AI219" s="7">
        <f t="shared" ca="1" si="121"/>
        <v>0</v>
      </c>
      <c r="AJ219" s="7">
        <f t="shared" ca="1" si="121"/>
        <v>0</v>
      </c>
      <c r="AK219" s="7">
        <f t="shared" ca="1" si="121"/>
        <v>0</v>
      </c>
      <c r="AL219" s="7">
        <f t="shared" ca="1" si="121"/>
        <v>0</v>
      </c>
      <c r="AM219" s="7">
        <f t="shared" si="121"/>
        <v>0</v>
      </c>
    </row>
    <row r="220" spans="1:39" x14ac:dyDescent="0.2">
      <c r="A220" s="3" t="s">
        <v>23</v>
      </c>
      <c r="C220" s="7">
        <v>0</v>
      </c>
      <c r="D220" s="101">
        <f t="shared" ref="D220:AM220" ca="1" si="122">SUM(D218:D219)*VLOOKUP($A217,AssVar,2,FALSE)</f>
        <v>4600.8749800327214</v>
      </c>
      <c r="E220" s="110">
        <f t="shared" ca="1" si="122"/>
        <v>4738.9012294337035</v>
      </c>
      <c r="F220" s="7">
        <f t="shared" ca="1" si="122"/>
        <v>4881.0682663167154</v>
      </c>
      <c r="G220" s="7">
        <f t="shared" ca="1" si="122"/>
        <v>5027.5003143062168</v>
      </c>
      <c r="H220" s="7">
        <f t="shared" ca="1" si="122"/>
        <v>5178.3253237354029</v>
      </c>
      <c r="I220" s="7">
        <f t="shared" ca="1" si="122"/>
        <v>5333.6750834474651</v>
      </c>
      <c r="J220" s="7">
        <f t="shared" ca="1" si="122"/>
        <v>5493.6853359508887</v>
      </c>
      <c r="K220" s="7">
        <f t="shared" ca="1" si="122"/>
        <v>5658.4958960294152</v>
      </c>
      <c r="L220" s="7">
        <f t="shared" ca="1" si="122"/>
        <v>5828.2507729102972</v>
      </c>
      <c r="M220" s="7">
        <f t="shared" ca="1" si="122"/>
        <v>6003.0982960976071</v>
      </c>
      <c r="N220" s="7">
        <f t="shared" ca="1" si="122"/>
        <v>6183.191244980535</v>
      </c>
      <c r="O220" s="7">
        <f t="shared" ca="1" si="122"/>
        <v>0</v>
      </c>
      <c r="P220" s="7">
        <f t="shared" ca="1" si="122"/>
        <v>0</v>
      </c>
      <c r="Q220" s="7">
        <f t="shared" ca="1" si="122"/>
        <v>0</v>
      </c>
      <c r="R220" s="7">
        <f t="shared" ca="1" si="122"/>
        <v>0</v>
      </c>
      <c r="S220" s="7">
        <f t="shared" ca="1" si="122"/>
        <v>0</v>
      </c>
      <c r="T220" s="7">
        <f t="shared" ca="1" si="122"/>
        <v>0</v>
      </c>
      <c r="U220" s="7">
        <f t="shared" ca="1" si="122"/>
        <v>0</v>
      </c>
      <c r="V220" s="7">
        <f t="shared" ca="1" si="122"/>
        <v>0</v>
      </c>
      <c r="W220" s="7">
        <f t="shared" ca="1" si="122"/>
        <v>0</v>
      </c>
      <c r="X220" s="7">
        <f t="shared" ca="1" si="122"/>
        <v>0</v>
      </c>
      <c r="Y220" s="7">
        <f t="shared" ca="1" si="122"/>
        <v>0</v>
      </c>
      <c r="Z220" s="7">
        <f t="shared" ca="1" si="122"/>
        <v>0</v>
      </c>
      <c r="AA220" s="7">
        <f t="shared" ca="1" si="122"/>
        <v>0</v>
      </c>
      <c r="AB220" s="7">
        <f t="shared" ca="1" si="122"/>
        <v>0</v>
      </c>
      <c r="AC220" s="7">
        <f t="shared" ca="1" si="122"/>
        <v>0</v>
      </c>
      <c r="AD220" s="7">
        <f t="shared" ca="1" si="122"/>
        <v>0</v>
      </c>
      <c r="AE220" s="7">
        <f t="shared" ca="1" si="122"/>
        <v>0</v>
      </c>
      <c r="AF220" s="7">
        <f t="shared" ca="1" si="122"/>
        <v>0</v>
      </c>
      <c r="AG220" s="7">
        <f t="shared" ca="1" si="122"/>
        <v>0</v>
      </c>
      <c r="AH220" s="7">
        <f t="shared" ca="1" si="122"/>
        <v>0</v>
      </c>
      <c r="AI220" s="7">
        <f t="shared" ca="1" si="122"/>
        <v>0</v>
      </c>
      <c r="AJ220" s="7">
        <f t="shared" ca="1" si="122"/>
        <v>0</v>
      </c>
      <c r="AK220" s="7">
        <f t="shared" ca="1" si="122"/>
        <v>0</v>
      </c>
      <c r="AL220" s="7">
        <f t="shared" ca="1" si="122"/>
        <v>0</v>
      </c>
      <c r="AM220" s="7">
        <f t="shared" ca="1" si="122"/>
        <v>0</v>
      </c>
    </row>
    <row r="221" spans="1:39" x14ac:dyDescent="0.2">
      <c r="A221" s="3" t="s">
        <v>24</v>
      </c>
      <c r="C221" s="7">
        <f ca="1">SUM(C218:C220)</f>
        <v>153362.49933442406</v>
      </c>
      <c r="D221" s="101">
        <f t="shared" ref="D221:AM221" ca="1" si="123">SUM(D218:D220)</f>
        <v>157963.3743144568</v>
      </c>
      <c r="E221" s="110">
        <f t="shared" ca="1" si="123"/>
        <v>162702.27554389052</v>
      </c>
      <c r="F221" s="7">
        <f t="shared" ca="1" si="123"/>
        <v>167583.34381020724</v>
      </c>
      <c r="G221" s="7">
        <f t="shared" ca="1" si="123"/>
        <v>172610.84412451345</v>
      </c>
      <c r="H221" s="7">
        <f t="shared" ca="1" si="123"/>
        <v>177789.16944824884</v>
      </c>
      <c r="I221" s="7">
        <f t="shared" ca="1" si="123"/>
        <v>183122.84453169629</v>
      </c>
      <c r="J221" s="7">
        <f t="shared" ca="1" si="123"/>
        <v>188616.52986764719</v>
      </c>
      <c r="K221" s="7">
        <f t="shared" ca="1" si="123"/>
        <v>194275.02576367659</v>
      </c>
      <c r="L221" s="7">
        <f t="shared" ca="1" si="123"/>
        <v>200103.2765365869</v>
      </c>
      <c r="M221" s="7">
        <f t="shared" ca="1" si="123"/>
        <v>206106.37483268449</v>
      </c>
      <c r="N221" s="7">
        <f t="shared" ca="1" si="123"/>
        <v>212289.56607766502</v>
      </c>
      <c r="O221" s="7">
        <f t="shared" ca="1" si="123"/>
        <v>0</v>
      </c>
      <c r="P221" s="7">
        <f t="shared" ca="1" si="123"/>
        <v>0</v>
      </c>
      <c r="Q221" s="7">
        <f t="shared" ca="1" si="123"/>
        <v>0</v>
      </c>
      <c r="R221" s="7">
        <f t="shared" ca="1" si="123"/>
        <v>0</v>
      </c>
      <c r="S221" s="7">
        <f t="shared" ca="1" si="123"/>
        <v>0</v>
      </c>
      <c r="T221" s="7">
        <f t="shared" ca="1" si="123"/>
        <v>0</v>
      </c>
      <c r="U221" s="7">
        <f t="shared" ca="1" si="123"/>
        <v>0</v>
      </c>
      <c r="V221" s="7">
        <f t="shared" ca="1" si="123"/>
        <v>0</v>
      </c>
      <c r="W221" s="7">
        <f t="shared" ca="1" si="123"/>
        <v>0</v>
      </c>
      <c r="X221" s="7">
        <f t="shared" ca="1" si="123"/>
        <v>0</v>
      </c>
      <c r="Y221" s="7">
        <f t="shared" ca="1" si="123"/>
        <v>0</v>
      </c>
      <c r="Z221" s="7">
        <f t="shared" ca="1" si="123"/>
        <v>0</v>
      </c>
      <c r="AA221" s="7">
        <f t="shared" ca="1" si="123"/>
        <v>0</v>
      </c>
      <c r="AB221" s="7">
        <f t="shared" ca="1" si="123"/>
        <v>0</v>
      </c>
      <c r="AC221" s="7">
        <f t="shared" ca="1" si="123"/>
        <v>0</v>
      </c>
      <c r="AD221" s="7">
        <f t="shared" ca="1" si="123"/>
        <v>0</v>
      </c>
      <c r="AE221" s="7">
        <f t="shared" ca="1" si="123"/>
        <v>0</v>
      </c>
      <c r="AF221" s="7">
        <f t="shared" ca="1" si="123"/>
        <v>0</v>
      </c>
      <c r="AG221" s="7">
        <f t="shared" ca="1" si="123"/>
        <v>0</v>
      </c>
      <c r="AH221" s="7">
        <f t="shared" ca="1" si="123"/>
        <v>0</v>
      </c>
      <c r="AI221" s="7">
        <f t="shared" ca="1" si="123"/>
        <v>0</v>
      </c>
      <c r="AJ221" s="7">
        <f t="shared" ca="1" si="123"/>
        <v>0</v>
      </c>
      <c r="AK221" s="7">
        <f t="shared" ca="1" si="123"/>
        <v>0</v>
      </c>
      <c r="AL221" s="7">
        <f t="shared" ca="1" si="123"/>
        <v>0</v>
      </c>
      <c r="AM221" s="7">
        <f t="shared" ca="1" si="123"/>
        <v>0</v>
      </c>
    </row>
    <row r="222" spans="1:39" x14ac:dyDescent="0.2">
      <c r="A222" s="3" t="s">
        <v>25</v>
      </c>
      <c r="C222" s="7">
        <f t="shared" ref="C222:AM222" ca="1" si="124">C219*VLOOKUP($A217,AssVar,3,FALSE)</f>
        <v>0</v>
      </c>
      <c r="D222" s="101">
        <f t="shared" ca="1" si="124"/>
        <v>0</v>
      </c>
      <c r="E222" s="110">
        <f t="shared" ca="1" si="124"/>
        <v>0</v>
      </c>
      <c r="F222" s="7">
        <f t="shared" ca="1" si="124"/>
        <v>0</v>
      </c>
      <c r="G222" s="7">
        <f t="shared" ca="1" si="124"/>
        <v>0</v>
      </c>
      <c r="H222" s="7">
        <f t="shared" ca="1" si="124"/>
        <v>0</v>
      </c>
      <c r="I222" s="7">
        <f t="shared" ca="1" si="124"/>
        <v>0</v>
      </c>
      <c r="J222" s="7">
        <f t="shared" ca="1" si="124"/>
        <v>0</v>
      </c>
      <c r="K222" s="7">
        <f t="shared" ca="1" si="124"/>
        <v>0</v>
      </c>
      <c r="L222" s="7">
        <f t="shared" ca="1" si="124"/>
        <v>0</v>
      </c>
      <c r="M222" s="7">
        <f t="shared" ca="1" si="124"/>
        <v>0</v>
      </c>
      <c r="N222" s="7">
        <f t="shared" ca="1" si="124"/>
        <v>0</v>
      </c>
      <c r="O222" s="7">
        <f t="shared" ca="1" si="124"/>
        <v>-31843.434911649751</v>
      </c>
      <c r="P222" s="7">
        <f t="shared" ca="1" si="124"/>
        <v>0</v>
      </c>
      <c r="Q222" s="7">
        <f t="shared" ca="1" si="124"/>
        <v>0</v>
      </c>
      <c r="R222" s="7">
        <f t="shared" ca="1" si="124"/>
        <v>0</v>
      </c>
      <c r="S222" s="7">
        <f t="shared" ca="1" si="124"/>
        <v>0</v>
      </c>
      <c r="T222" s="7">
        <f t="shared" ca="1" si="124"/>
        <v>0</v>
      </c>
      <c r="U222" s="7">
        <f t="shared" ca="1" si="124"/>
        <v>0</v>
      </c>
      <c r="V222" s="7">
        <f t="shared" ca="1" si="124"/>
        <v>0</v>
      </c>
      <c r="W222" s="7">
        <f t="shared" ca="1" si="124"/>
        <v>0</v>
      </c>
      <c r="X222" s="7">
        <f t="shared" ca="1" si="124"/>
        <v>0</v>
      </c>
      <c r="Y222" s="7">
        <f t="shared" ca="1" si="124"/>
        <v>0</v>
      </c>
      <c r="Z222" s="7">
        <f t="shared" ca="1" si="124"/>
        <v>0</v>
      </c>
      <c r="AA222" s="7">
        <f t="shared" ca="1" si="124"/>
        <v>0</v>
      </c>
      <c r="AB222" s="7">
        <f t="shared" ca="1" si="124"/>
        <v>0</v>
      </c>
      <c r="AC222" s="7">
        <f t="shared" ca="1" si="124"/>
        <v>0</v>
      </c>
      <c r="AD222" s="7">
        <f t="shared" ca="1" si="124"/>
        <v>0</v>
      </c>
      <c r="AE222" s="7">
        <f t="shared" ca="1" si="124"/>
        <v>0</v>
      </c>
      <c r="AF222" s="7">
        <f t="shared" ca="1" si="124"/>
        <v>0</v>
      </c>
      <c r="AG222" s="7">
        <f t="shared" ca="1" si="124"/>
        <v>0</v>
      </c>
      <c r="AH222" s="7">
        <f t="shared" ca="1" si="124"/>
        <v>0</v>
      </c>
      <c r="AI222" s="7">
        <f t="shared" ca="1" si="124"/>
        <v>0</v>
      </c>
      <c r="AJ222" s="7">
        <f t="shared" ca="1" si="124"/>
        <v>0</v>
      </c>
      <c r="AK222" s="7">
        <f t="shared" ca="1" si="124"/>
        <v>0</v>
      </c>
      <c r="AL222" s="7">
        <f t="shared" ca="1" si="124"/>
        <v>0</v>
      </c>
      <c r="AM222" s="7">
        <f t="shared" si="124"/>
        <v>0</v>
      </c>
    </row>
    <row r="223" spans="1:39" x14ac:dyDescent="0.2">
      <c r="A223" s="3" t="s">
        <v>30</v>
      </c>
      <c r="C223" s="7">
        <f t="shared" ref="C223:AM223" ca="1" si="125">IFERROR(-IF(C218=0,VLOOKUP($A217,$8:$12,C$1+2,FALSE),0),0)</f>
        <v>0</v>
      </c>
      <c r="D223" s="101">
        <f t="shared" ca="1" si="125"/>
        <v>0</v>
      </c>
      <c r="E223" s="110">
        <f t="shared" ca="1" si="125"/>
        <v>0</v>
      </c>
      <c r="F223" s="7">
        <f t="shared" ca="1" si="125"/>
        <v>0</v>
      </c>
      <c r="G223" s="7">
        <f t="shared" ca="1" si="125"/>
        <v>0</v>
      </c>
      <c r="H223" s="7">
        <f t="shared" ca="1" si="125"/>
        <v>0</v>
      </c>
      <c r="I223" s="7">
        <f t="shared" ca="1" si="125"/>
        <v>0</v>
      </c>
      <c r="J223" s="7">
        <f t="shared" ca="1" si="125"/>
        <v>0</v>
      </c>
      <c r="K223" s="7">
        <f t="shared" ca="1" si="125"/>
        <v>0</v>
      </c>
      <c r="L223" s="7">
        <f t="shared" ca="1" si="125"/>
        <v>0</v>
      </c>
      <c r="M223" s="7">
        <f t="shared" ca="1" si="125"/>
        <v>0</v>
      </c>
      <c r="N223" s="7">
        <f t="shared" ca="1" si="125"/>
        <v>0</v>
      </c>
      <c r="O223" s="7">
        <f t="shared" ca="1" si="125"/>
        <v>0</v>
      </c>
      <c r="P223" s="7">
        <f t="shared" ca="1" si="125"/>
        <v>-11014.002850886734</v>
      </c>
      <c r="Q223" s="7">
        <f t="shared" ca="1" si="125"/>
        <v>-11344.422936413337</v>
      </c>
      <c r="R223" s="7">
        <f t="shared" ca="1" si="125"/>
        <v>-11684.755624505737</v>
      </c>
      <c r="S223" s="7">
        <f t="shared" ca="1" si="125"/>
        <v>-12035.298293240909</v>
      </c>
      <c r="T223" s="7">
        <f t="shared" ca="1" si="125"/>
        <v>-12396.357242038137</v>
      </c>
      <c r="U223" s="7">
        <f t="shared" ca="1" si="125"/>
        <v>-12768.247959299282</v>
      </c>
      <c r="V223" s="7">
        <f t="shared" ca="1" si="125"/>
        <v>-13151.29539807826</v>
      </c>
      <c r="W223" s="7">
        <f t="shared" ca="1" si="125"/>
        <v>-13545.834260020609</v>
      </c>
      <c r="X223" s="7">
        <f t="shared" ca="1" si="125"/>
        <v>-13952.209287821228</v>
      </c>
      <c r="Y223" s="7">
        <f t="shared" ca="1" si="125"/>
        <v>-14370.775566455864</v>
      </c>
      <c r="Z223" s="7">
        <f t="shared" ca="1" si="125"/>
        <v>-14801.898833449541</v>
      </c>
      <c r="AA223" s="7">
        <f t="shared" ca="1" si="125"/>
        <v>-15245.955798453027</v>
      </c>
      <c r="AB223" s="7">
        <f t="shared" ca="1" si="125"/>
        <v>-15703.334472406619</v>
      </c>
      <c r="AC223" s="7">
        <f t="shared" ca="1" si="125"/>
        <v>-16174.434506578818</v>
      </c>
      <c r="AD223" s="7">
        <f t="shared" ca="1" si="125"/>
        <v>-16659.667541776183</v>
      </c>
      <c r="AE223" s="7">
        <f t="shared" ca="1" si="125"/>
        <v>-17159.457568029469</v>
      </c>
      <c r="AF223" s="7">
        <f t="shared" ca="1" si="125"/>
        <v>-17674.241295070355</v>
      </c>
      <c r="AG223" s="7">
        <f t="shared" ca="1" si="125"/>
        <v>-18204.468533922467</v>
      </c>
      <c r="AH223" s="7">
        <f t="shared" ca="1" si="125"/>
        <v>-18750.602589940143</v>
      </c>
      <c r="AI223" s="7">
        <f t="shared" ca="1" si="125"/>
        <v>-19313.120667638348</v>
      </c>
      <c r="AJ223" s="7">
        <f t="shared" ca="1" si="125"/>
        <v>-19892.514287667498</v>
      </c>
      <c r="AK223" s="7">
        <f t="shared" ca="1" si="125"/>
        <v>-20489.289716297524</v>
      </c>
      <c r="AL223" s="7">
        <f t="shared" ca="1" si="125"/>
        <v>-21103.968407786451</v>
      </c>
      <c r="AM223" s="7">
        <f t="shared" ca="1" si="125"/>
        <v>-21737.087460020044</v>
      </c>
    </row>
    <row r="224" spans="1:39" x14ac:dyDescent="0.2">
      <c r="A224" s="3" t="s">
        <v>49</v>
      </c>
      <c r="C224" s="7">
        <f t="shared" ref="C224:AM224" ca="1" si="126">IFERROR(IF(C218=0,VLOOKUP($A217,$46:$50,C$1+2,FALSE),0),0)</f>
        <v>0</v>
      </c>
      <c r="D224" s="101">
        <f t="shared" ca="1" si="126"/>
        <v>0</v>
      </c>
      <c r="E224" s="110">
        <f t="shared" ca="1" si="126"/>
        <v>0</v>
      </c>
      <c r="F224" s="7">
        <f t="shared" ca="1" si="126"/>
        <v>0</v>
      </c>
      <c r="G224" s="7">
        <f t="shared" ca="1" si="126"/>
        <v>0</v>
      </c>
      <c r="H224" s="7">
        <f t="shared" ca="1" si="126"/>
        <v>0</v>
      </c>
      <c r="I224" s="7">
        <f t="shared" ca="1" si="126"/>
        <v>0</v>
      </c>
      <c r="J224" s="7">
        <f t="shared" ca="1" si="126"/>
        <v>0</v>
      </c>
      <c r="K224" s="7">
        <f t="shared" ca="1" si="126"/>
        <v>0</v>
      </c>
      <c r="L224" s="7">
        <f t="shared" ca="1" si="126"/>
        <v>0</v>
      </c>
      <c r="M224" s="7">
        <f t="shared" ca="1" si="126"/>
        <v>0</v>
      </c>
      <c r="N224" s="7">
        <f t="shared" ca="1" si="126"/>
        <v>0</v>
      </c>
      <c r="O224" s="7">
        <f t="shared" ca="1" si="126"/>
        <v>0</v>
      </c>
      <c r="P224" s="7">
        <f t="shared" ca="1" si="126"/>
        <v>2757.0220897049098</v>
      </c>
      <c r="Q224" s="7">
        <f t="shared" ca="1" si="126"/>
        <v>2825.9476419475322</v>
      </c>
      <c r="R224" s="7">
        <f t="shared" ca="1" si="126"/>
        <v>2896.596332996221</v>
      </c>
      <c r="S224" s="7">
        <f t="shared" ca="1" si="126"/>
        <v>2969.0112413211264</v>
      </c>
      <c r="T224" s="7">
        <f t="shared" ca="1" si="126"/>
        <v>3043.2365223541542</v>
      </c>
      <c r="U224" s="7">
        <f t="shared" ca="1" si="126"/>
        <v>3119.3174354130078</v>
      </c>
      <c r="V224" s="7">
        <f t="shared" ca="1" si="126"/>
        <v>3197.3003712983332</v>
      </c>
      <c r="W224" s="7">
        <f t="shared" ca="1" si="126"/>
        <v>3277.2328805807911</v>
      </c>
      <c r="X224" s="7">
        <f t="shared" ca="1" si="126"/>
        <v>3359.1637025953105</v>
      </c>
      <c r="Y224" s="7">
        <f t="shared" ca="1" si="126"/>
        <v>3443.1427951601931</v>
      </c>
      <c r="Z224" s="7">
        <f t="shared" ca="1" si="126"/>
        <v>3529.2213650391982</v>
      </c>
      <c r="AA224" s="7">
        <f t="shared" ca="1" si="126"/>
        <v>3617.451899165178</v>
      </c>
      <c r="AB224" s="7">
        <f t="shared" ca="1" si="126"/>
        <v>3707.8881966443068</v>
      </c>
      <c r="AC224" s="7">
        <f t="shared" ca="1" si="126"/>
        <v>3800.5854015604141</v>
      </c>
      <c r="AD224" s="7">
        <f t="shared" ca="1" si="126"/>
        <v>3895.6000365994241</v>
      </c>
      <c r="AE224" s="7">
        <f t="shared" ca="1" si="126"/>
        <v>3992.9900375144098</v>
      </c>
      <c r="AF224" s="7">
        <f t="shared" ca="1" si="126"/>
        <v>4092.8147884522705</v>
      </c>
      <c r="AG224" s="7">
        <f t="shared" ca="1" si="126"/>
        <v>4195.1351581635763</v>
      </c>
      <c r="AH224" s="7">
        <f t="shared" ca="1" si="126"/>
        <v>4300.0135371176666</v>
      </c>
      <c r="AI224" s="7">
        <f t="shared" ca="1" si="126"/>
        <v>4407.5138755456073</v>
      </c>
      <c r="AJ224" s="7">
        <f t="shared" ca="1" si="126"/>
        <v>4517.7017224342471</v>
      </c>
      <c r="AK224" s="7">
        <f t="shared" ca="1" si="126"/>
        <v>4630.6442654951034</v>
      </c>
      <c r="AL224" s="7">
        <f t="shared" ca="1" si="126"/>
        <v>4746.41037213248</v>
      </c>
      <c r="AM224" s="7">
        <f t="shared" ca="1" si="126"/>
        <v>4865.0706314357931</v>
      </c>
    </row>
    <row r="225" spans="1:39" x14ac:dyDescent="0.2">
      <c r="A225" s="3" t="s">
        <v>35</v>
      </c>
      <c r="B225" s="14" t="str">
        <f>A217</f>
        <v>Gzira</v>
      </c>
      <c r="C225" s="7">
        <f t="shared" ref="C225:AM225" ca="1" si="127">IF(AND(C218&gt;0,C221=0),VLOOKUP($A217,$86:$95,C$1+2,FALSE),0)</f>
        <v>0</v>
      </c>
      <c r="D225" s="101">
        <f t="shared" ca="1" si="127"/>
        <v>0</v>
      </c>
      <c r="E225" s="110">
        <f t="shared" ca="1" si="127"/>
        <v>0</v>
      </c>
      <c r="F225" s="7">
        <f t="shared" ca="1" si="127"/>
        <v>0</v>
      </c>
      <c r="G225" s="7">
        <f t="shared" ca="1" si="127"/>
        <v>0</v>
      </c>
      <c r="H225" s="7">
        <f t="shared" ca="1" si="127"/>
        <v>0</v>
      </c>
      <c r="I225" s="7">
        <f t="shared" ca="1" si="127"/>
        <v>0</v>
      </c>
      <c r="J225" s="7">
        <f t="shared" ca="1" si="127"/>
        <v>0</v>
      </c>
      <c r="K225" s="7">
        <f t="shared" ca="1" si="127"/>
        <v>0</v>
      </c>
      <c r="L225" s="7">
        <f t="shared" ca="1" si="127"/>
        <v>0</v>
      </c>
      <c r="M225" s="7">
        <f t="shared" ca="1" si="127"/>
        <v>0</v>
      </c>
      <c r="N225" s="7">
        <f t="shared" ca="1" si="127"/>
        <v>0</v>
      </c>
      <c r="O225" s="7">
        <f t="shared" ca="1" si="127"/>
        <v>0</v>
      </c>
      <c r="P225" s="7">
        <f t="shared" ca="1" si="127"/>
        <v>0</v>
      </c>
      <c r="Q225" s="7">
        <f t="shared" ca="1" si="127"/>
        <v>0</v>
      </c>
      <c r="R225" s="7">
        <f t="shared" ca="1" si="127"/>
        <v>0</v>
      </c>
      <c r="S225" s="7">
        <f t="shared" ca="1" si="127"/>
        <v>0</v>
      </c>
      <c r="T225" s="7">
        <f t="shared" ca="1" si="127"/>
        <v>0</v>
      </c>
      <c r="U225" s="7">
        <f t="shared" ca="1" si="127"/>
        <v>0</v>
      </c>
      <c r="V225" s="7">
        <f t="shared" ca="1" si="127"/>
        <v>0</v>
      </c>
      <c r="W225" s="7">
        <f t="shared" ca="1" si="127"/>
        <v>0</v>
      </c>
      <c r="X225" s="7">
        <f t="shared" ca="1" si="127"/>
        <v>0</v>
      </c>
      <c r="Y225" s="7">
        <f t="shared" ca="1" si="127"/>
        <v>0</v>
      </c>
      <c r="Z225" s="7">
        <f t="shared" ca="1" si="127"/>
        <v>0</v>
      </c>
      <c r="AA225" s="7">
        <f t="shared" ca="1" si="127"/>
        <v>0</v>
      </c>
      <c r="AB225" s="7">
        <f t="shared" ca="1" si="127"/>
        <v>0</v>
      </c>
      <c r="AC225" s="7">
        <f t="shared" ca="1" si="127"/>
        <v>0</v>
      </c>
      <c r="AD225" s="7">
        <f t="shared" ca="1" si="127"/>
        <v>0</v>
      </c>
      <c r="AE225" s="7">
        <f t="shared" ca="1" si="127"/>
        <v>0</v>
      </c>
      <c r="AF225" s="7">
        <f t="shared" ca="1" si="127"/>
        <v>0</v>
      </c>
      <c r="AG225" s="7">
        <f t="shared" ca="1" si="127"/>
        <v>0</v>
      </c>
      <c r="AH225" s="7">
        <f t="shared" ca="1" si="127"/>
        <v>0</v>
      </c>
      <c r="AI225" s="7">
        <f t="shared" ca="1" si="127"/>
        <v>0</v>
      </c>
      <c r="AJ225" s="7">
        <f t="shared" ca="1" si="127"/>
        <v>0</v>
      </c>
      <c r="AK225" s="7">
        <f t="shared" ca="1" si="127"/>
        <v>0</v>
      </c>
      <c r="AL225" s="7">
        <f t="shared" ca="1" si="127"/>
        <v>0</v>
      </c>
      <c r="AM225" s="7">
        <f t="shared" ca="1" si="127"/>
        <v>0</v>
      </c>
    </row>
    <row r="226" spans="1:39" x14ac:dyDescent="0.2">
      <c r="A226" s="3" t="s">
        <v>36</v>
      </c>
      <c r="C226" s="7">
        <f ca="1">-C219+SUM(C222:C225)</f>
        <v>0</v>
      </c>
      <c r="D226" s="101">
        <f t="shared" ref="D226" ca="1" si="128">-D219+SUM(D222:D225)</f>
        <v>0</v>
      </c>
      <c r="E226" s="110">
        <f t="shared" ref="E226:AM226" ca="1" si="129">-E219+SUM(E222:E225)</f>
        <v>0</v>
      </c>
      <c r="F226" s="7">
        <f t="shared" ca="1" si="129"/>
        <v>0</v>
      </c>
      <c r="G226" s="7">
        <f t="shared" ca="1" si="129"/>
        <v>0</v>
      </c>
      <c r="H226" s="7">
        <f t="shared" ca="1" si="129"/>
        <v>0</v>
      </c>
      <c r="I226" s="7">
        <f t="shared" ca="1" si="129"/>
        <v>0</v>
      </c>
      <c r="J226" s="7">
        <f t="shared" ca="1" si="129"/>
        <v>0</v>
      </c>
      <c r="K226" s="7">
        <f t="shared" ca="1" si="129"/>
        <v>0</v>
      </c>
      <c r="L226" s="7">
        <f t="shared" ca="1" si="129"/>
        <v>0</v>
      </c>
      <c r="M226" s="7">
        <f t="shared" ca="1" si="129"/>
        <v>0</v>
      </c>
      <c r="N226" s="7">
        <f t="shared" ca="1" si="129"/>
        <v>0</v>
      </c>
      <c r="O226" s="7">
        <f t="shared" ca="1" si="129"/>
        <v>180446.13116601526</v>
      </c>
      <c r="P226" s="7">
        <f t="shared" ca="1" si="129"/>
        <v>-8256.9807611818251</v>
      </c>
      <c r="Q226" s="7">
        <f t="shared" ca="1" si="129"/>
        <v>-8518.4752944658048</v>
      </c>
      <c r="R226" s="7">
        <f t="shared" ca="1" si="129"/>
        <v>-8788.1592915095152</v>
      </c>
      <c r="S226" s="7">
        <f t="shared" ca="1" si="129"/>
        <v>-9066.2870519197822</v>
      </c>
      <c r="T226" s="7">
        <f t="shared" ca="1" si="129"/>
        <v>-9353.1207196839823</v>
      </c>
      <c r="U226" s="7">
        <f t="shared" ca="1" si="129"/>
        <v>-9648.9305238862744</v>
      </c>
      <c r="V226" s="7">
        <f t="shared" ca="1" si="129"/>
        <v>-9953.9950267799268</v>
      </c>
      <c r="W226" s="7">
        <f t="shared" ca="1" si="129"/>
        <v>-10268.601379439817</v>
      </c>
      <c r="X226" s="7">
        <f t="shared" ca="1" si="129"/>
        <v>-10593.045585225918</v>
      </c>
      <c r="Y226" s="7">
        <f t="shared" ca="1" si="129"/>
        <v>-10927.632771295672</v>
      </c>
      <c r="Z226" s="7">
        <f t="shared" ca="1" si="129"/>
        <v>-11272.677468410342</v>
      </c>
      <c r="AA226" s="7">
        <f t="shared" ca="1" si="129"/>
        <v>-11628.503899287849</v>
      </c>
      <c r="AB226" s="7">
        <f t="shared" ca="1" si="129"/>
        <v>-11995.446275762311</v>
      </c>
      <c r="AC226" s="7">
        <f t="shared" ca="1" si="129"/>
        <v>-12373.849105018404</v>
      </c>
      <c r="AD226" s="7">
        <f t="shared" ca="1" si="129"/>
        <v>-12764.067505176759</v>
      </c>
      <c r="AE226" s="7">
        <f t="shared" ca="1" si="129"/>
        <v>-13166.467530515059</v>
      </c>
      <c r="AF226" s="7">
        <f t="shared" ca="1" si="129"/>
        <v>-13581.426506618085</v>
      </c>
      <c r="AG226" s="7">
        <f t="shared" ca="1" si="129"/>
        <v>-14009.333375758892</v>
      </c>
      <c r="AH226" s="7">
        <f t="shared" ca="1" si="129"/>
        <v>-14450.589052822477</v>
      </c>
      <c r="AI226" s="7">
        <f t="shared" ca="1" si="129"/>
        <v>-14905.606792092742</v>
      </c>
      <c r="AJ226" s="7">
        <f t="shared" ca="1" si="129"/>
        <v>-15374.812565233251</v>
      </c>
      <c r="AK226" s="7">
        <f t="shared" ca="1" si="129"/>
        <v>-15858.645450802422</v>
      </c>
      <c r="AL226" s="7">
        <f t="shared" ca="1" si="129"/>
        <v>-16357.558035653972</v>
      </c>
      <c r="AM226" s="7">
        <f t="shared" ca="1" si="129"/>
        <v>-16872.016828584252</v>
      </c>
    </row>
    <row r="227" spans="1:39" x14ac:dyDescent="0.2">
      <c r="A227" s="3"/>
      <c r="C227" s="7"/>
      <c r="D227" s="101"/>
      <c r="E227" s="110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  <c r="AE227" s="7"/>
      <c r="AF227" s="7"/>
      <c r="AG227" s="7"/>
      <c r="AH227" s="7"/>
      <c r="AI227" s="7"/>
      <c r="AJ227" s="7"/>
      <c r="AK227" s="7"/>
      <c r="AL227" s="7"/>
      <c r="AM227" s="7"/>
    </row>
    <row r="228" spans="1:39" x14ac:dyDescent="0.2">
      <c r="A228" s="3" t="s">
        <v>70</v>
      </c>
      <c r="C228" s="7">
        <f ca="1">C214+SUM($C226:C226)</f>
        <v>59870.735212387553</v>
      </c>
      <c r="D228" s="101">
        <f ca="1">D214+SUM($C226:D226)</f>
        <v>74614.879410794849</v>
      </c>
      <c r="E228" s="110">
        <f ca="1">E214+SUM($C226:E226)</f>
        <v>165076.06668918394</v>
      </c>
      <c r="F228" s="7">
        <f ca="1">F214+SUM($C226:F226)</f>
        <v>77206.243739473459</v>
      </c>
      <c r="G228" s="7">
        <f ca="1">G214+SUM($C226:G226)</f>
        <v>182711.67734335674</v>
      </c>
      <c r="H228" s="7">
        <f ca="1">H214+SUM($C226:H226)</f>
        <v>129321.73641809248</v>
      </c>
      <c r="I228" s="7">
        <f ca="1">I214+SUM($C226:I226)</f>
        <v>90950.88962435037</v>
      </c>
      <c r="J228" s="7">
        <f ca="1">J214+SUM($C226:J226)</f>
        <v>179062.13035729429</v>
      </c>
      <c r="K228" s="7">
        <f ca="1">K214+SUM($C226:K226)</f>
        <v>118063.23261060109</v>
      </c>
      <c r="L228" s="7">
        <f ca="1">L214+SUM($C226:L226)</f>
        <v>138702.1052700505</v>
      </c>
      <c r="M228" s="7">
        <f ca="1">M214+SUM($C226:M226)</f>
        <v>63712.403213376616</v>
      </c>
      <c r="N228" s="7">
        <f ca="1">N214+SUM($C226:N226)</f>
        <v>36057.731206196739</v>
      </c>
      <c r="O228" s="7">
        <f ca="1">O214+SUM($C226:O226)</f>
        <v>187516.73204485711</v>
      </c>
      <c r="P228" s="7">
        <f ca="1">P214+SUM($C226:P226)</f>
        <v>148915.53291994924</v>
      </c>
      <c r="Q228" s="7">
        <f ca="1">Q214+SUM($C226:Q226)</f>
        <v>109150.93590573539</v>
      </c>
      <c r="R228" s="7">
        <f ca="1">R214+SUM($C226:R226)</f>
        <v>68505.668195530438</v>
      </c>
      <c r="S228" s="7">
        <f ca="1">S214+SUM($C226:S226)</f>
        <v>26961.11634881534</v>
      </c>
      <c r="T228" s="7">
        <f ca="1">T214+SUM($C226:T226)</f>
        <v>1540.4282140480354</v>
      </c>
      <c r="U228" s="7">
        <f ca="1">U214+SUM($C226:U226)</f>
        <v>-16593.519963135433</v>
      </c>
      <c r="V228" s="7">
        <f ca="1">V214+SUM($C226:V226)</f>
        <v>-35053.134365155594</v>
      </c>
      <c r="W228" s="7">
        <f ca="1">W214+SUM($C226:W226)</f>
        <v>-53842.726173245406</v>
      </c>
      <c r="X228" s="7">
        <f ca="1">X214+SUM($C226:X226)</f>
        <v>-72966.599433937314</v>
      </c>
      <c r="Y228" s="7">
        <f ca="1">Y214+SUM($C226:Y226)</f>
        <v>-113087.90420422953</v>
      </c>
      <c r="Z228" s="7">
        <f ca="1">Z214+SUM($C226:Z226)</f>
        <v>-154068.5338381145</v>
      </c>
      <c r="AA228" s="7">
        <f ca="1">AA214+SUM($C226:AA226)</f>
        <v>-195925.66022451172</v>
      </c>
      <c r="AB228" s="7">
        <f ca="1">AB214+SUM($C226:AB226)</f>
        <v>-238676.75521258469</v>
      </c>
      <c r="AC228" s="7">
        <f ca="1">AC214+SUM($C226:AC226)</f>
        <v>-282339.59423063527</v>
      </c>
      <c r="AD228" s="7">
        <f ca="1">AD214+SUM($C226:AD226)</f>
        <v>-326932.2598790715</v>
      </c>
      <c r="AE228" s="7">
        <f ca="1">AE214+SUM($C226:AE226)</f>
        <v>-362490.67039951467</v>
      </c>
      <c r="AF228" s="7">
        <f ca="1">AF214+SUM($C226:AF226)</f>
        <v>-398766.44660728861</v>
      </c>
      <c r="AG228" s="7">
        <f ca="1">AG214+SUM($C226:AG226)</f>
        <v>-435772.37480730633</v>
      </c>
      <c r="AH228" s="7">
        <f ca="1">AH214+SUM($C226:AH226)</f>
        <v>-473521.40652698511</v>
      </c>
      <c r="AI228" s="7">
        <f ca="1">AI214+SUM($C226:AI226)</f>
        <v>-512026.6580137565</v>
      </c>
      <c r="AJ228" s="7">
        <f ca="1">AJ214+SUM($C226:AJ226)</f>
        <v>-551301.40958102071</v>
      </c>
      <c r="AK228" s="7">
        <f ca="1">AK214+SUM($C226:AK226)</f>
        <v>-591359.10479459004</v>
      </c>
      <c r="AL228" s="7">
        <f ca="1">AL214+SUM($C226:AL226)</f>
        <v>-632213.34949133568</v>
      </c>
      <c r="AM228" s="7">
        <f ca="1">AM214+SUM($C226:AM226)</f>
        <v>-673877.91062142176</v>
      </c>
    </row>
    <row r="229" spans="1:39" x14ac:dyDescent="0.2">
      <c r="A229" s="3" t="s">
        <v>67</v>
      </c>
      <c r="C229" s="7">
        <f t="shared" ref="C229:AM229" ca="1" si="130">MAX(C228+buffer,0)-MAX(C214+buffer,0)</f>
        <v>0</v>
      </c>
      <c r="D229" s="101">
        <f t="shared" ca="1" si="130"/>
        <v>0</v>
      </c>
      <c r="E229" s="110">
        <f t="shared" ca="1" si="130"/>
        <v>0</v>
      </c>
      <c r="F229" s="7">
        <f t="shared" ca="1" si="130"/>
        <v>0</v>
      </c>
      <c r="G229" s="7">
        <f t="shared" ca="1" si="130"/>
        <v>0</v>
      </c>
      <c r="H229" s="7">
        <f t="shared" ca="1" si="130"/>
        <v>0</v>
      </c>
      <c r="I229" s="7">
        <f t="shared" ca="1" si="130"/>
        <v>0</v>
      </c>
      <c r="J229" s="7">
        <f t="shared" ca="1" si="130"/>
        <v>0</v>
      </c>
      <c r="K229" s="7">
        <f t="shared" ca="1" si="130"/>
        <v>0</v>
      </c>
      <c r="L229" s="7">
        <f t="shared" ca="1" si="130"/>
        <v>0</v>
      </c>
      <c r="M229" s="7">
        <f t="shared" ca="1" si="130"/>
        <v>0</v>
      </c>
      <c r="N229" s="7">
        <f t="shared" ca="1" si="130"/>
        <v>0</v>
      </c>
      <c r="O229" s="7">
        <f t="shared" ca="1" si="130"/>
        <v>180446.13116601526</v>
      </c>
      <c r="P229" s="7">
        <f t="shared" ca="1" si="130"/>
        <v>172189.15040483343</v>
      </c>
      <c r="Q229" s="7">
        <f t="shared" ca="1" si="130"/>
        <v>159150.93590573539</v>
      </c>
      <c r="R229" s="7">
        <f t="shared" ca="1" si="130"/>
        <v>118505.66819553044</v>
      </c>
      <c r="S229" s="7">
        <f t="shared" ca="1" si="130"/>
        <v>76961.11634881534</v>
      </c>
      <c r="T229" s="7">
        <f t="shared" ca="1" si="130"/>
        <v>51540.428214048035</v>
      </c>
      <c r="U229" s="7">
        <f t="shared" ca="1" si="130"/>
        <v>33406.480036864567</v>
      </c>
      <c r="V229" s="7">
        <f t="shared" ca="1" si="130"/>
        <v>14946.865634844406</v>
      </c>
      <c r="W229" s="7">
        <f t="shared" ca="1" si="130"/>
        <v>0</v>
      </c>
      <c r="X229" s="7">
        <f t="shared" ca="1" si="130"/>
        <v>0</v>
      </c>
      <c r="Y229" s="7">
        <f t="shared" ca="1" si="130"/>
        <v>0</v>
      </c>
      <c r="Z229" s="7">
        <f t="shared" ca="1" si="130"/>
        <v>0</v>
      </c>
      <c r="AA229" s="7">
        <f t="shared" ca="1" si="130"/>
        <v>0</v>
      </c>
      <c r="AB229" s="7">
        <f t="shared" ca="1" si="130"/>
        <v>0</v>
      </c>
      <c r="AC229" s="7">
        <f t="shared" ca="1" si="130"/>
        <v>0</v>
      </c>
      <c r="AD229" s="7">
        <f t="shared" ca="1" si="130"/>
        <v>0</v>
      </c>
      <c r="AE229" s="7">
        <f t="shared" ca="1" si="130"/>
        <v>0</v>
      </c>
      <c r="AF229" s="7">
        <f t="shared" ca="1" si="130"/>
        <v>0</v>
      </c>
      <c r="AG229" s="7">
        <f t="shared" ca="1" si="130"/>
        <v>0</v>
      </c>
      <c r="AH229" s="7">
        <f t="shared" ca="1" si="130"/>
        <v>0</v>
      </c>
      <c r="AI229" s="7">
        <f t="shared" ca="1" si="130"/>
        <v>0</v>
      </c>
      <c r="AJ229" s="7">
        <f t="shared" ca="1" si="130"/>
        <v>0</v>
      </c>
      <c r="AK229" s="7">
        <f t="shared" ca="1" si="130"/>
        <v>0</v>
      </c>
      <c r="AL229" s="7">
        <f t="shared" ca="1" si="130"/>
        <v>0</v>
      </c>
      <c r="AM229" s="7">
        <f t="shared" ca="1" si="130"/>
        <v>0</v>
      </c>
    </row>
    <row r="230" spans="1:39" x14ac:dyDescent="0.2">
      <c r="A230" s="3" t="s">
        <v>68</v>
      </c>
      <c r="C230" s="7">
        <f ca="1">C229*Inputs!$B$270</f>
        <v>0</v>
      </c>
      <c r="D230" s="101">
        <f ca="1">D229*Inputs!$B$270</f>
        <v>0</v>
      </c>
      <c r="E230" s="110">
        <f ca="1">E229*Inputs!$B$270</f>
        <v>0</v>
      </c>
      <c r="F230" s="7">
        <f ca="1">F229*Inputs!$B$270</f>
        <v>0</v>
      </c>
      <c r="G230" s="7">
        <f ca="1">G229*Inputs!$B$270</f>
        <v>0</v>
      </c>
      <c r="H230" s="7">
        <f ca="1">H229*Inputs!$B$270</f>
        <v>0</v>
      </c>
      <c r="I230" s="7">
        <f ca="1">I229*Inputs!$B$270</f>
        <v>0</v>
      </c>
      <c r="J230" s="7">
        <f ca="1">J229*Inputs!$B$270</f>
        <v>0</v>
      </c>
      <c r="K230" s="7">
        <f ca="1">K229*Inputs!$B$270</f>
        <v>0</v>
      </c>
      <c r="L230" s="7">
        <f ca="1">L229*Inputs!$B$270</f>
        <v>0</v>
      </c>
      <c r="M230" s="7">
        <f ca="1">M229*Inputs!$B$270</f>
        <v>0</v>
      </c>
      <c r="N230" s="7">
        <f ca="1">N229*Inputs!$B$270</f>
        <v>0</v>
      </c>
      <c r="O230" s="7">
        <f ca="1">O229*Inputs!$B$270</f>
        <v>4511.1532791503814</v>
      </c>
      <c r="P230" s="7">
        <f ca="1">P229*Inputs!$B$270</f>
        <v>4304.7287601208363</v>
      </c>
      <c r="Q230" s="7">
        <f ca="1">Q229*Inputs!$B$270</f>
        <v>3978.7733976433847</v>
      </c>
      <c r="R230" s="7">
        <f ca="1">R229*Inputs!$B$270</f>
        <v>2962.6417048882613</v>
      </c>
      <c r="S230" s="7">
        <f ca="1">S229*Inputs!$B$270</f>
        <v>1924.0279087203835</v>
      </c>
      <c r="T230" s="7">
        <f ca="1">T229*Inputs!$B$270</f>
        <v>1288.5107053512011</v>
      </c>
      <c r="U230" s="7">
        <f ca="1">U229*Inputs!$B$270</f>
        <v>835.16200092161421</v>
      </c>
      <c r="V230" s="7">
        <f ca="1">V229*Inputs!$B$270</f>
        <v>373.67164087111018</v>
      </c>
      <c r="W230" s="7">
        <f ca="1">W229*Inputs!$B$270</f>
        <v>0</v>
      </c>
      <c r="X230" s="7">
        <f ca="1">X229*Inputs!$B$270</f>
        <v>0</v>
      </c>
      <c r="Y230" s="7">
        <f ca="1">Y229*Inputs!$B$270</f>
        <v>0</v>
      </c>
      <c r="Z230" s="7">
        <f ca="1">Z229*Inputs!$B$270</f>
        <v>0</v>
      </c>
      <c r="AA230" s="7">
        <f ca="1">AA229*Inputs!$B$270</f>
        <v>0</v>
      </c>
      <c r="AB230" s="7">
        <f ca="1">AB229*Inputs!$B$270</f>
        <v>0</v>
      </c>
      <c r="AC230" s="7">
        <f ca="1">AC229*Inputs!$B$270</f>
        <v>0</v>
      </c>
      <c r="AD230" s="7">
        <f ca="1">AD229*Inputs!$B$270</f>
        <v>0</v>
      </c>
      <c r="AE230" s="7">
        <f ca="1">AE229*Inputs!$B$270</f>
        <v>0</v>
      </c>
      <c r="AF230" s="7">
        <f ca="1">AF229*Inputs!$B$270</f>
        <v>0</v>
      </c>
      <c r="AG230" s="7">
        <f ca="1">AG229*Inputs!$B$270</f>
        <v>0</v>
      </c>
      <c r="AH230" s="7">
        <f ca="1">AH229*Inputs!$B$270</f>
        <v>0</v>
      </c>
      <c r="AI230" s="7">
        <f ca="1">AI229*Inputs!$B$270</f>
        <v>0</v>
      </c>
      <c r="AJ230" s="7">
        <f ca="1">AJ229*Inputs!$B$270</f>
        <v>0</v>
      </c>
      <c r="AK230" s="7">
        <f ca="1">AK229*Inputs!$B$270</f>
        <v>0</v>
      </c>
      <c r="AL230" s="7">
        <f ca="1">AL229*Inputs!$B$270</f>
        <v>0</v>
      </c>
      <c r="AM230" s="7">
        <f ca="1">AM229*Inputs!$B$270</f>
        <v>0</v>
      </c>
    </row>
    <row r="231" spans="1:39" x14ac:dyDescent="0.2">
      <c r="A231" s="3" t="s">
        <v>149</v>
      </c>
      <c r="C231" s="7">
        <f ca="1">C228+SUM($C230:C230)</f>
        <v>59870.735212387553</v>
      </c>
      <c r="D231" s="101">
        <f ca="1">D228+SUM($C230:D230)</f>
        <v>74614.879410794849</v>
      </c>
      <c r="E231" s="110">
        <f ca="1">E228+SUM($C230:E230)</f>
        <v>165076.06668918394</v>
      </c>
      <c r="F231" s="7">
        <f ca="1">F228+SUM($C230:F230)</f>
        <v>77206.243739473459</v>
      </c>
      <c r="G231" s="7">
        <f ca="1">G228+SUM($C230:G230)</f>
        <v>182711.67734335674</v>
      </c>
      <c r="H231" s="7">
        <f ca="1">H228+SUM($C230:H230)</f>
        <v>129321.73641809248</v>
      </c>
      <c r="I231" s="7">
        <f ca="1">I228+SUM($C230:I230)</f>
        <v>90950.88962435037</v>
      </c>
      <c r="J231" s="7">
        <f ca="1">J228+SUM($C230:J230)</f>
        <v>179062.13035729429</v>
      </c>
      <c r="K231" s="7">
        <f ca="1">K228+SUM($C230:K230)</f>
        <v>118063.23261060109</v>
      </c>
      <c r="L231" s="7">
        <f ca="1">L228+SUM($C230:L230)</f>
        <v>138702.1052700505</v>
      </c>
      <c r="M231" s="7">
        <f ca="1">M228+SUM($C230:M230)</f>
        <v>63712.403213376616</v>
      </c>
      <c r="N231" s="7">
        <f ca="1">N228+SUM($C230:N230)</f>
        <v>36057.731206196739</v>
      </c>
      <c r="O231" s="7">
        <f ca="1">O228+SUM($C230:O230)</f>
        <v>192027.88532400748</v>
      </c>
      <c r="P231" s="7">
        <f ca="1">P228+SUM($C230:P230)</f>
        <v>157731.41495922045</v>
      </c>
      <c r="Q231" s="7">
        <f ca="1">Q228+SUM($C230:Q230)</f>
        <v>121945.59134264999</v>
      </c>
      <c r="R231" s="7">
        <f ca="1">R228+SUM($C230:R230)</f>
        <v>84262.965337333299</v>
      </c>
      <c r="S231" s="7">
        <f ca="1">S228+SUM($C230:S230)</f>
        <v>44642.44139933859</v>
      </c>
      <c r="T231" s="7">
        <f ca="1">T228+SUM($C230:T230)</f>
        <v>20510.263969922486</v>
      </c>
      <c r="U231" s="7">
        <f ca="1">U228+SUM($C230:U230)</f>
        <v>3211.4777936606297</v>
      </c>
      <c r="V231" s="7">
        <f ca="1">V228+SUM($C230:V230)</f>
        <v>-14874.46496748842</v>
      </c>
      <c r="W231" s="7">
        <f ca="1">W228+SUM($C230:W230)</f>
        <v>-33664.056775578232</v>
      </c>
      <c r="X231" s="7">
        <f ca="1">X228+SUM($C230:X230)</f>
        <v>-52787.93003627014</v>
      </c>
      <c r="Y231" s="7">
        <f ca="1">Y228+SUM($C230:Y230)</f>
        <v>-92909.234806562366</v>
      </c>
      <c r="Z231" s="7">
        <f ca="1">Z228+SUM($C230:Z230)</f>
        <v>-133889.86444044733</v>
      </c>
      <c r="AA231" s="7">
        <f ca="1">AA228+SUM($C230:AA230)</f>
        <v>-175746.99082684456</v>
      </c>
      <c r="AB231" s="7">
        <f ca="1">AB228+SUM($C230:AB230)</f>
        <v>-218498.08581491752</v>
      </c>
      <c r="AC231" s="7">
        <f ca="1">AC228+SUM($C230:AC230)</f>
        <v>-262160.9248329681</v>
      </c>
      <c r="AD231" s="7">
        <f ca="1">AD228+SUM($C230:AD230)</f>
        <v>-306753.59048140433</v>
      </c>
      <c r="AE231" s="7">
        <f ca="1">AE228+SUM($C230:AE230)</f>
        <v>-342312.0010018475</v>
      </c>
      <c r="AF231" s="7">
        <f ca="1">AF228+SUM($C230:AF230)</f>
        <v>-378587.77720962145</v>
      </c>
      <c r="AG231" s="7">
        <f ca="1">AG228+SUM($C230:AG230)</f>
        <v>-415593.70540963917</v>
      </c>
      <c r="AH231" s="7">
        <f ca="1">AH228+SUM($C230:AH230)</f>
        <v>-453342.73712931795</v>
      </c>
      <c r="AI231" s="7">
        <f ca="1">AI228+SUM($C230:AI230)</f>
        <v>-491847.98861608934</v>
      </c>
      <c r="AJ231" s="7">
        <f ca="1">AJ228+SUM($C230:AJ230)</f>
        <v>-531122.74018335354</v>
      </c>
      <c r="AK231" s="7">
        <f ca="1">AK228+SUM($C230:AK230)</f>
        <v>-571180.43539692287</v>
      </c>
      <c r="AL231" s="7">
        <f ca="1">AL228+SUM($C230:AL230)</f>
        <v>-612034.68009366852</v>
      </c>
      <c r="AM231" s="7">
        <f ca="1">AM228+SUM($C230:AM230)</f>
        <v>-653699.24122375459</v>
      </c>
    </row>
    <row r="232" spans="1:39" x14ac:dyDescent="0.2">
      <c r="A232" s="3" t="s">
        <v>19</v>
      </c>
      <c r="C232" s="7">
        <f ca="1">IF(C231&lt;0,-C231,0)</f>
        <v>0</v>
      </c>
      <c r="D232" s="101">
        <f ca="1">IF(D231+SUM($C232:C232)&lt;0,-(D231+SUM($C232:C232)),0)</f>
        <v>0</v>
      </c>
      <c r="E232" s="110">
        <f ca="1">IF(E231+SUM($C232:D232)&lt;0,-(E231+SUM($C232:D232)),0)</f>
        <v>0</v>
      </c>
      <c r="F232" s="7">
        <f ca="1">IF(F231+SUM($C232:E232)&lt;0,-(F231+SUM($C232:E232)),0)</f>
        <v>0</v>
      </c>
      <c r="G232" s="7">
        <f ca="1">IF(G231+SUM($C232:F232)&lt;0,-(G231+SUM($C232:F232)),0)</f>
        <v>0</v>
      </c>
      <c r="H232" s="7">
        <f ca="1">IF(H231+SUM($C232:G232)&lt;0,-(H231+SUM($C232:G232)),0)</f>
        <v>0</v>
      </c>
      <c r="I232" s="7">
        <f ca="1">IF(I231+SUM($C232:H232)&lt;0,-(I231+SUM($C232:H232)),0)</f>
        <v>0</v>
      </c>
      <c r="J232" s="7">
        <f ca="1">IF(J231+SUM($C232:I232)&lt;0,-(J231+SUM($C232:I232)),0)</f>
        <v>0</v>
      </c>
      <c r="K232" s="7">
        <f ca="1">IF(K231+SUM($C232:J232)&lt;0,-(K231+SUM($C232:J232)),0)</f>
        <v>0</v>
      </c>
      <c r="L232" s="7">
        <f ca="1">IF(L231+SUM($C232:K232)&lt;0,-(L231+SUM($C232:K232)),0)</f>
        <v>0</v>
      </c>
      <c r="M232" s="7">
        <f ca="1">IF(M231+SUM($C232:L232)&lt;0,-(M231+SUM($C232:L232)),0)</f>
        <v>0</v>
      </c>
      <c r="N232" s="7">
        <f ca="1">IF(N231+SUM($C232:M232)&lt;0,-(N231+SUM($C232:M232)),0)</f>
        <v>0</v>
      </c>
      <c r="O232" s="7">
        <f ca="1">IF(O231+SUM($C232:N232)&lt;0,-(O231+SUM($C232:N232)),0)</f>
        <v>0</v>
      </c>
      <c r="P232" s="7">
        <f ca="1">IF(P231+SUM($C232:O232)&lt;0,-(P231+SUM($C232:O232)),0)</f>
        <v>0</v>
      </c>
      <c r="Q232" s="7">
        <f ca="1">IF(Q231+SUM($C232:P232)&lt;0,-(Q231+SUM($C232:P232)),0)</f>
        <v>0</v>
      </c>
      <c r="R232" s="7">
        <f ca="1">IF(R231+SUM($C232:Q232)&lt;0,-(R231+SUM($C232:Q232)),0)</f>
        <v>0</v>
      </c>
      <c r="S232" s="7">
        <f ca="1">IF(S231+SUM($C232:R232)&lt;0,-(S231+SUM($C232:R232)),0)</f>
        <v>0</v>
      </c>
      <c r="T232" s="7">
        <f ca="1">IF(T231+SUM($C232:S232)&lt;0,-(T231+SUM($C232:S232)),0)</f>
        <v>0</v>
      </c>
      <c r="U232" s="7">
        <f ca="1">IF(U231+SUM($C232:T232)&lt;0,-(U231+SUM($C232:T232)),0)</f>
        <v>0</v>
      </c>
      <c r="V232" s="7">
        <f ca="1">IF(V231+SUM($C232:U232)&lt;0,-(V231+SUM($C232:U232)),0)</f>
        <v>14874.46496748842</v>
      </c>
      <c r="W232" s="7">
        <f ca="1">IF(W231+SUM($C232:V232)&lt;0,-(W231+SUM($C232:V232)),0)</f>
        <v>18789.591808089812</v>
      </c>
      <c r="X232" s="7">
        <f ca="1">IF(X231+SUM($C232:W232)&lt;0,-(X231+SUM($C232:W232)),0)</f>
        <v>19123.873260691907</v>
      </c>
      <c r="Y232" s="7">
        <f ca="1">IF(Y231+SUM($C232:X232)&lt;0,-(Y231+SUM($C232:X232)),0)</f>
        <v>40121.304770292227</v>
      </c>
      <c r="Z232" s="7">
        <f ca="1">IF(Z231+SUM($C232:Y232)&lt;0,-(Z231+SUM($C232:Y232)),0)</f>
        <v>40980.629633884964</v>
      </c>
      <c r="AA232" s="7">
        <f ca="1">IF(AA231+SUM($C232:Z232)&lt;0,-(AA231+SUM($C232:Z232)),0)</f>
        <v>41857.126386397227</v>
      </c>
      <c r="AB232" s="7">
        <f ca="1">IF(AB231+SUM($C232:AA232)&lt;0,-(AB231+SUM($C232:AA232)),0)</f>
        <v>42751.09498807296</v>
      </c>
      <c r="AC232" s="7">
        <f ca="1">IF(AC231+SUM($C232:AB232)&lt;0,-(AC231+SUM($C232:AB232)),0)</f>
        <v>43662.839018050581</v>
      </c>
      <c r="AD232" s="7">
        <f ca="1">IF(AD231+SUM($C232:AC232)&lt;0,-(AD231+SUM($C232:AC232)),0)</f>
        <v>44592.665648436232</v>
      </c>
      <c r="AE232" s="7">
        <f ca="1">IF(AE231+SUM($C232:AD232)&lt;0,-(AE231+SUM($C232:AD232)),0)</f>
        <v>35558.410520443169</v>
      </c>
      <c r="AF232" s="7">
        <f ca="1">IF(AF231+SUM($C232:AE232)&lt;0,-(AF231+SUM($C232:AE232)),0)</f>
        <v>36275.776207773946</v>
      </c>
      <c r="AG232" s="7">
        <f ca="1">IF(AG231+SUM($C232:AF232)&lt;0,-(AG231+SUM($C232:AF232)),0)</f>
        <v>37005.928200017719</v>
      </c>
      <c r="AH232" s="7">
        <f ca="1">IF(AH231+SUM($C232:AG232)&lt;0,-(AH231+SUM($C232:AG232)),0)</f>
        <v>37749.03171967878</v>
      </c>
      <c r="AI232" s="7">
        <f ca="1">IF(AI231+SUM($C232:AH232)&lt;0,-(AI231+SUM($C232:AH232)),0)</f>
        <v>38505.251486771391</v>
      </c>
      <c r="AJ232" s="7">
        <f ca="1">IF(AJ231+SUM($C232:AI232)&lt;0,-(AJ231+SUM($C232:AI232)),0)</f>
        <v>39274.751567264204</v>
      </c>
      <c r="AK232" s="7">
        <f ca="1">IF(AK231+SUM($C232:AJ232)&lt;0,-(AK231+SUM($C232:AJ232)),0)</f>
        <v>40057.695213569328</v>
      </c>
      <c r="AL232" s="7">
        <f ca="1">IF(AL231+SUM($C232:AK232)&lt;0,-(AL231+SUM($C232:AK232)),0)</f>
        <v>40854.244696745649</v>
      </c>
      <c r="AM232" s="7">
        <f ca="1">IF(AM231+SUM($C232:AL232)&lt;0,-(AM231+SUM($C232:AL232)),0)</f>
        <v>41664.561130086076</v>
      </c>
    </row>
    <row r="233" spans="1:39" x14ac:dyDescent="0.2">
      <c r="C233" s="7"/>
      <c r="D233" s="101"/>
      <c r="E233" s="110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  <c r="AG233" s="7"/>
      <c r="AH233" s="7"/>
      <c r="AI233" s="7"/>
      <c r="AJ233" s="7"/>
      <c r="AK233" s="7"/>
      <c r="AL233" s="7"/>
      <c r="AM233" s="7"/>
    </row>
    <row r="234" spans="1:39" x14ac:dyDescent="0.2">
      <c r="A234" s="24" t="str">
        <f>IF(Inputs!$B$290=6,IFERROR(_xlfn.XLOOKUP($B234,Inputs!$B$291:$B$300,Inputs!$A$291:$A$300,,0,1),""),IFERROR(_xlfn.XLOOKUP($B234,Inputs!$C$291:$C$300,Inputs!$A$291:$A$300,,0,1),""))</f>
        <v>Boat</v>
      </c>
      <c r="B234" s="26">
        <v>8</v>
      </c>
      <c r="C234" s="7"/>
      <c r="D234" s="101"/>
      <c r="E234" s="110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  <c r="AB234" s="7"/>
      <c r="AC234" s="7"/>
      <c r="AD234" s="7"/>
      <c r="AE234" s="7"/>
      <c r="AF234" s="7"/>
      <c r="AG234" s="7"/>
      <c r="AH234" s="7"/>
      <c r="AI234" s="7"/>
      <c r="AJ234" s="7"/>
      <c r="AK234" s="7"/>
      <c r="AL234" s="7"/>
      <c r="AM234" s="7"/>
    </row>
    <row r="235" spans="1:39" x14ac:dyDescent="0.2">
      <c r="A235" s="3" t="s">
        <v>21</v>
      </c>
      <c r="C235" s="7">
        <f ca="1">IFERROR(VLOOKUP($A234,$A$68:$H$97,C$1+2,FALSE),0)</f>
        <v>173206.90804157319</v>
      </c>
      <c r="D235" s="101">
        <f ca="1">C238</f>
        <v>173206.90804157319</v>
      </c>
      <c r="E235" s="110">
        <f t="shared" ref="E235:AM235" ca="1" si="131">D238</f>
        <v>164546.56263949454</v>
      </c>
      <c r="F235" s="7">
        <f t="shared" ca="1" si="131"/>
        <v>156319.23450751981</v>
      </c>
      <c r="G235" s="7">
        <f t="shared" ca="1" si="131"/>
        <v>148503.27278214382</v>
      </c>
      <c r="H235" s="7">
        <f t="shared" ca="1" si="131"/>
        <v>141078.10914303662</v>
      </c>
      <c r="I235" s="7">
        <f t="shared" ca="1" si="131"/>
        <v>134024.2036858848</v>
      </c>
      <c r="J235" s="7">
        <f t="shared" ca="1" si="131"/>
        <v>127322.99350159056</v>
      </c>
      <c r="K235" s="7">
        <f t="shared" ca="1" si="131"/>
        <v>120956.84382651103</v>
      </c>
      <c r="L235" s="7">
        <f t="shared" ca="1" si="131"/>
        <v>114909.00163518547</v>
      </c>
      <c r="M235" s="7">
        <f t="shared" ca="1" si="131"/>
        <v>109163.55155342619</v>
      </c>
      <c r="N235" s="7">
        <f t="shared" ca="1" si="131"/>
        <v>103705.37397575489</v>
      </c>
      <c r="O235" s="7">
        <f t="shared" ca="1" si="131"/>
        <v>98520.105276967151</v>
      </c>
      <c r="P235" s="7">
        <f t="shared" ca="1" si="131"/>
        <v>93594.10001311879</v>
      </c>
      <c r="Q235" s="7">
        <f t="shared" ca="1" si="131"/>
        <v>88914.395012462846</v>
      </c>
      <c r="R235" s="7">
        <f t="shared" ca="1" si="131"/>
        <v>84468.6752618397</v>
      </c>
      <c r="S235" s="7">
        <f t="shared" ca="1" si="131"/>
        <v>80245.24149874771</v>
      </c>
      <c r="T235" s="7">
        <f t="shared" ca="1" si="131"/>
        <v>76232.97942381032</v>
      </c>
      <c r="U235" s="7">
        <f t="shared" ca="1" si="131"/>
        <v>72421.330452619804</v>
      </c>
      <c r="V235" s="7">
        <f t="shared" ca="1" si="131"/>
        <v>0</v>
      </c>
      <c r="W235" s="7">
        <f t="shared" ca="1" si="131"/>
        <v>0</v>
      </c>
      <c r="X235" s="7">
        <f t="shared" ca="1" si="131"/>
        <v>0</v>
      </c>
      <c r="Y235" s="7">
        <f t="shared" ca="1" si="131"/>
        <v>0</v>
      </c>
      <c r="Z235" s="7">
        <f t="shared" ca="1" si="131"/>
        <v>0</v>
      </c>
      <c r="AA235" s="7">
        <f t="shared" ca="1" si="131"/>
        <v>0</v>
      </c>
      <c r="AB235" s="7">
        <f t="shared" ca="1" si="131"/>
        <v>0</v>
      </c>
      <c r="AC235" s="7">
        <f t="shared" ca="1" si="131"/>
        <v>0</v>
      </c>
      <c r="AD235" s="7">
        <f t="shared" ca="1" si="131"/>
        <v>0</v>
      </c>
      <c r="AE235" s="7">
        <f t="shared" ca="1" si="131"/>
        <v>0</v>
      </c>
      <c r="AF235" s="7">
        <f t="shared" ca="1" si="131"/>
        <v>0</v>
      </c>
      <c r="AG235" s="7">
        <f t="shared" ca="1" si="131"/>
        <v>0</v>
      </c>
      <c r="AH235" s="7">
        <f t="shared" ca="1" si="131"/>
        <v>0</v>
      </c>
      <c r="AI235" s="7">
        <f t="shared" ca="1" si="131"/>
        <v>0</v>
      </c>
      <c r="AJ235" s="7">
        <f t="shared" ca="1" si="131"/>
        <v>0</v>
      </c>
      <c r="AK235" s="7">
        <f t="shared" ca="1" si="131"/>
        <v>0</v>
      </c>
      <c r="AL235" s="7">
        <f t="shared" ca="1" si="131"/>
        <v>0</v>
      </c>
      <c r="AM235" s="7">
        <f t="shared" ca="1" si="131"/>
        <v>0</v>
      </c>
    </row>
    <row r="236" spans="1:39" x14ac:dyDescent="0.2">
      <c r="A236" s="3" t="s">
        <v>22</v>
      </c>
      <c r="C236" s="7">
        <f ca="1">-IF(D232&gt;0,C235,0)</f>
        <v>0</v>
      </c>
      <c r="D236" s="101">
        <f ca="1">-IF(E232&gt;0,D235,0)</f>
        <v>0</v>
      </c>
      <c r="E236" s="110">
        <f ca="1">-IF(F232&gt;0,E235,0)</f>
        <v>0</v>
      </c>
      <c r="F236" s="7">
        <f ca="1">-IF(G232&gt;0,F235,0)</f>
        <v>0</v>
      </c>
      <c r="G236" s="7">
        <f t="shared" ref="G236:AM236" ca="1" si="132">-IF(H232&gt;0,G235,0)</f>
        <v>0</v>
      </c>
      <c r="H236" s="7">
        <f t="shared" ca="1" si="132"/>
        <v>0</v>
      </c>
      <c r="I236" s="7">
        <f t="shared" ca="1" si="132"/>
        <v>0</v>
      </c>
      <c r="J236" s="7">
        <f t="shared" ca="1" si="132"/>
        <v>0</v>
      </c>
      <c r="K236" s="7">
        <f t="shared" ca="1" si="132"/>
        <v>0</v>
      </c>
      <c r="L236" s="7">
        <f t="shared" ca="1" si="132"/>
        <v>0</v>
      </c>
      <c r="M236" s="7">
        <f t="shared" ca="1" si="132"/>
        <v>0</v>
      </c>
      <c r="N236" s="7">
        <f t="shared" ca="1" si="132"/>
        <v>0</v>
      </c>
      <c r="O236" s="7">
        <f t="shared" ca="1" si="132"/>
        <v>0</v>
      </c>
      <c r="P236" s="7">
        <f t="shared" ca="1" si="132"/>
        <v>0</v>
      </c>
      <c r="Q236" s="7">
        <f t="shared" ca="1" si="132"/>
        <v>0</v>
      </c>
      <c r="R236" s="7">
        <f t="shared" ca="1" si="132"/>
        <v>0</v>
      </c>
      <c r="S236" s="7">
        <f t="shared" ca="1" si="132"/>
        <v>0</v>
      </c>
      <c r="T236" s="7">
        <f t="shared" ca="1" si="132"/>
        <v>0</v>
      </c>
      <c r="U236" s="7">
        <f t="shared" ca="1" si="132"/>
        <v>-72421.330452619804</v>
      </c>
      <c r="V236" s="7">
        <f t="shared" ca="1" si="132"/>
        <v>0</v>
      </c>
      <c r="W236" s="7">
        <f t="shared" ca="1" si="132"/>
        <v>0</v>
      </c>
      <c r="X236" s="7">
        <f t="shared" ca="1" si="132"/>
        <v>0</v>
      </c>
      <c r="Y236" s="7">
        <f t="shared" ca="1" si="132"/>
        <v>0</v>
      </c>
      <c r="Z236" s="7">
        <f t="shared" ca="1" si="132"/>
        <v>0</v>
      </c>
      <c r="AA236" s="7">
        <f t="shared" ca="1" si="132"/>
        <v>0</v>
      </c>
      <c r="AB236" s="7">
        <f t="shared" ca="1" si="132"/>
        <v>0</v>
      </c>
      <c r="AC236" s="7">
        <f t="shared" ca="1" si="132"/>
        <v>0</v>
      </c>
      <c r="AD236" s="7">
        <f t="shared" ca="1" si="132"/>
        <v>0</v>
      </c>
      <c r="AE236" s="7">
        <f t="shared" ca="1" si="132"/>
        <v>0</v>
      </c>
      <c r="AF236" s="7">
        <f t="shared" ca="1" si="132"/>
        <v>0</v>
      </c>
      <c r="AG236" s="7">
        <f t="shared" ca="1" si="132"/>
        <v>0</v>
      </c>
      <c r="AH236" s="7">
        <f t="shared" ca="1" si="132"/>
        <v>0</v>
      </c>
      <c r="AI236" s="7">
        <f t="shared" ca="1" si="132"/>
        <v>0</v>
      </c>
      <c r="AJ236" s="7">
        <f t="shared" ca="1" si="132"/>
        <v>0</v>
      </c>
      <c r="AK236" s="7">
        <f t="shared" ca="1" si="132"/>
        <v>0</v>
      </c>
      <c r="AL236" s="7">
        <f t="shared" ca="1" si="132"/>
        <v>0</v>
      </c>
      <c r="AM236" s="7">
        <f t="shared" si="132"/>
        <v>0</v>
      </c>
    </row>
    <row r="237" spans="1:39" x14ac:dyDescent="0.2">
      <c r="A237" s="3" t="s">
        <v>23</v>
      </c>
      <c r="C237" s="7">
        <v>0</v>
      </c>
      <c r="D237" s="101">
        <f t="shared" ref="D237:AM237" ca="1" si="133">SUM(D235:D236)*VLOOKUP($A234,AssVar,2,FALSE)</f>
        <v>-8660.3454020786594</v>
      </c>
      <c r="E237" s="110">
        <f t="shared" ca="1" si="133"/>
        <v>-8227.3281319747275</v>
      </c>
      <c r="F237" s="7">
        <f t="shared" ca="1" si="133"/>
        <v>-7815.9617253759907</v>
      </c>
      <c r="G237" s="7">
        <f t="shared" ca="1" si="133"/>
        <v>-7425.1636391071916</v>
      </c>
      <c r="H237" s="7">
        <f t="shared" ca="1" si="133"/>
        <v>-7053.9054571518318</v>
      </c>
      <c r="I237" s="7">
        <f t="shared" ca="1" si="133"/>
        <v>-6701.2101842942402</v>
      </c>
      <c r="J237" s="7">
        <f t="shared" ca="1" si="133"/>
        <v>-6366.1496750795286</v>
      </c>
      <c r="K237" s="7">
        <f t="shared" ca="1" si="133"/>
        <v>-6047.8421913255515</v>
      </c>
      <c r="L237" s="7">
        <f t="shared" ca="1" si="133"/>
        <v>-5745.4500817592743</v>
      </c>
      <c r="M237" s="7">
        <f t="shared" ca="1" si="133"/>
        <v>-5458.1775776713102</v>
      </c>
      <c r="N237" s="7">
        <f t="shared" ca="1" si="133"/>
        <v>-5185.2686987877451</v>
      </c>
      <c r="O237" s="7">
        <f t="shared" ca="1" si="133"/>
        <v>-4926.0052638483576</v>
      </c>
      <c r="P237" s="7">
        <f t="shared" ca="1" si="133"/>
        <v>-4679.7050006559393</v>
      </c>
      <c r="Q237" s="7">
        <f t="shared" ca="1" si="133"/>
        <v>-4445.7197506231423</v>
      </c>
      <c r="R237" s="7">
        <f t="shared" ca="1" si="133"/>
        <v>-4223.4337630919854</v>
      </c>
      <c r="S237" s="7">
        <f t="shared" ca="1" si="133"/>
        <v>-4012.2620749373855</v>
      </c>
      <c r="T237" s="7">
        <f t="shared" ca="1" si="133"/>
        <v>-3811.648971190516</v>
      </c>
      <c r="U237" s="7">
        <f t="shared" ca="1" si="133"/>
        <v>0</v>
      </c>
      <c r="V237" s="7">
        <f t="shared" ca="1" si="133"/>
        <v>0</v>
      </c>
      <c r="W237" s="7">
        <f t="shared" ca="1" si="133"/>
        <v>0</v>
      </c>
      <c r="X237" s="7">
        <f t="shared" ca="1" si="133"/>
        <v>0</v>
      </c>
      <c r="Y237" s="7">
        <f t="shared" ca="1" si="133"/>
        <v>0</v>
      </c>
      <c r="Z237" s="7">
        <f t="shared" ca="1" si="133"/>
        <v>0</v>
      </c>
      <c r="AA237" s="7">
        <f t="shared" ca="1" si="133"/>
        <v>0</v>
      </c>
      <c r="AB237" s="7">
        <f t="shared" ca="1" si="133"/>
        <v>0</v>
      </c>
      <c r="AC237" s="7">
        <f t="shared" ca="1" si="133"/>
        <v>0</v>
      </c>
      <c r="AD237" s="7">
        <f t="shared" ca="1" si="133"/>
        <v>0</v>
      </c>
      <c r="AE237" s="7">
        <f t="shared" ca="1" si="133"/>
        <v>0</v>
      </c>
      <c r="AF237" s="7">
        <f t="shared" ca="1" si="133"/>
        <v>0</v>
      </c>
      <c r="AG237" s="7">
        <f t="shared" ca="1" si="133"/>
        <v>0</v>
      </c>
      <c r="AH237" s="7">
        <f t="shared" ca="1" si="133"/>
        <v>0</v>
      </c>
      <c r="AI237" s="7">
        <f t="shared" ca="1" si="133"/>
        <v>0</v>
      </c>
      <c r="AJ237" s="7">
        <f t="shared" ca="1" si="133"/>
        <v>0</v>
      </c>
      <c r="AK237" s="7">
        <f t="shared" ca="1" si="133"/>
        <v>0</v>
      </c>
      <c r="AL237" s="7">
        <f t="shared" ca="1" si="133"/>
        <v>0</v>
      </c>
      <c r="AM237" s="7">
        <f t="shared" ca="1" si="133"/>
        <v>0</v>
      </c>
    </row>
    <row r="238" spans="1:39" x14ac:dyDescent="0.2">
      <c r="A238" s="3" t="s">
        <v>24</v>
      </c>
      <c r="C238" s="7">
        <f ca="1">SUM(C235:C237)</f>
        <v>173206.90804157319</v>
      </c>
      <c r="D238" s="101">
        <f t="shared" ref="D238:AM238" ca="1" si="134">SUM(D235:D237)</f>
        <v>164546.56263949454</v>
      </c>
      <c r="E238" s="110">
        <f t="shared" ca="1" si="134"/>
        <v>156319.23450751981</v>
      </c>
      <c r="F238" s="7">
        <f t="shared" ca="1" si="134"/>
        <v>148503.27278214382</v>
      </c>
      <c r="G238" s="7">
        <f t="shared" ca="1" si="134"/>
        <v>141078.10914303662</v>
      </c>
      <c r="H238" s="7">
        <f t="shared" ca="1" si="134"/>
        <v>134024.2036858848</v>
      </c>
      <c r="I238" s="7">
        <f t="shared" ca="1" si="134"/>
        <v>127322.99350159056</v>
      </c>
      <c r="J238" s="7">
        <f t="shared" ca="1" si="134"/>
        <v>120956.84382651103</v>
      </c>
      <c r="K238" s="7">
        <f t="shared" ca="1" si="134"/>
        <v>114909.00163518547</v>
      </c>
      <c r="L238" s="7">
        <f t="shared" ca="1" si="134"/>
        <v>109163.55155342619</v>
      </c>
      <c r="M238" s="7">
        <f t="shared" ca="1" si="134"/>
        <v>103705.37397575489</v>
      </c>
      <c r="N238" s="7">
        <f t="shared" ca="1" si="134"/>
        <v>98520.105276967151</v>
      </c>
      <c r="O238" s="7">
        <f t="shared" ca="1" si="134"/>
        <v>93594.10001311879</v>
      </c>
      <c r="P238" s="7">
        <f t="shared" ca="1" si="134"/>
        <v>88914.395012462846</v>
      </c>
      <c r="Q238" s="7">
        <f t="shared" ca="1" si="134"/>
        <v>84468.6752618397</v>
      </c>
      <c r="R238" s="7">
        <f t="shared" ca="1" si="134"/>
        <v>80245.24149874771</v>
      </c>
      <c r="S238" s="7">
        <f t="shared" ca="1" si="134"/>
        <v>76232.97942381032</v>
      </c>
      <c r="T238" s="7">
        <f t="shared" ca="1" si="134"/>
        <v>72421.330452619804</v>
      </c>
      <c r="U238" s="7">
        <f t="shared" ca="1" si="134"/>
        <v>0</v>
      </c>
      <c r="V238" s="7">
        <f t="shared" ca="1" si="134"/>
        <v>0</v>
      </c>
      <c r="W238" s="7">
        <f t="shared" ca="1" si="134"/>
        <v>0</v>
      </c>
      <c r="X238" s="7">
        <f t="shared" ca="1" si="134"/>
        <v>0</v>
      </c>
      <c r="Y238" s="7">
        <f t="shared" ca="1" si="134"/>
        <v>0</v>
      </c>
      <c r="Z238" s="7">
        <f t="shared" ca="1" si="134"/>
        <v>0</v>
      </c>
      <c r="AA238" s="7">
        <f t="shared" ca="1" si="134"/>
        <v>0</v>
      </c>
      <c r="AB238" s="7">
        <f t="shared" ca="1" si="134"/>
        <v>0</v>
      </c>
      <c r="AC238" s="7">
        <f t="shared" ca="1" si="134"/>
        <v>0</v>
      </c>
      <c r="AD238" s="7">
        <f t="shared" ca="1" si="134"/>
        <v>0</v>
      </c>
      <c r="AE238" s="7">
        <f t="shared" ca="1" si="134"/>
        <v>0</v>
      </c>
      <c r="AF238" s="7">
        <f t="shared" ca="1" si="134"/>
        <v>0</v>
      </c>
      <c r="AG238" s="7">
        <f t="shared" ca="1" si="134"/>
        <v>0</v>
      </c>
      <c r="AH238" s="7">
        <f t="shared" ca="1" si="134"/>
        <v>0</v>
      </c>
      <c r="AI238" s="7">
        <f t="shared" ca="1" si="134"/>
        <v>0</v>
      </c>
      <c r="AJ238" s="7">
        <f t="shared" ca="1" si="134"/>
        <v>0</v>
      </c>
      <c r="AK238" s="7">
        <f t="shared" ca="1" si="134"/>
        <v>0</v>
      </c>
      <c r="AL238" s="7">
        <f t="shared" ca="1" si="134"/>
        <v>0</v>
      </c>
      <c r="AM238" s="7">
        <f t="shared" ca="1" si="134"/>
        <v>0</v>
      </c>
    </row>
    <row r="239" spans="1:39" x14ac:dyDescent="0.2">
      <c r="A239" s="3" t="s">
        <v>25</v>
      </c>
      <c r="C239" s="7">
        <f t="shared" ref="C239:AM239" ca="1" si="135">C236*VLOOKUP($A234,AssVar,3,FALSE)</f>
        <v>0</v>
      </c>
      <c r="D239" s="101">
        <f t="shared" ca="1" si="135"/>
        <v>0</v>
      </c>
      <c r="E239" s="110">
        <f t="shared" ca="1" si="135"/>
        <v>0</v>
      </c>
      <c r="F239" s="7">
        <f t="shared" ca="1" si="135"/>
        <v>0</v>
      </c>
      <c r="G239" s="7">
        <f t="shared" ca="1" si="135"/>
        <v>0</v>
      </c>
      <c r="H239" s="7">
        <f t="shared" ca="1" si="135"/>
        <v>0</v>
      </c>
      <c r="I239" s="7">
        <f t="shared" ca="1" si="135"/>
        <v>0</v>
      </c>
      <c r="J239" s="7">
        <f t="shared" ca="1" si="135"/>
        <v>0</v>
      </c>
      <c r="K239" s="7">
        <f t="shared" ca="1" si="135"/>
        <v>0</v>
      </c>
      <c r="L239" s="7">
        <f t="shared" ca="1" si="135"/>
        <v>0</v>
      </c>
      <c r="M239" s="7">
        <f t="shared" ca="1" si="135"/>
        <v>0</v>
      </c>
      <c r="N239" s="7">
        <f t="shared" ca="1" si="135"/>
        <v>0</v>
      </c>
      <c r="O239" s="7">
        <f t="shared" ca="1" si="135"/>
        <v>0</v>
      </c>
      <c r="P239" s="7">
        <f t="shared" ca="1" si="135"/>
        <v>0</v>
      </c>
      <c r="Q239" s="7">
        <f t="shared" ca="1" si="135"/>
        <v>0</v>
      </c>
      <c r="R239" s="7">
        <f t="shared" ca="1" si="135"/>
        <v>0</v>
      </c>
      <c r="S239" s="7">
        <f t="shared" ca="1" si="135"/>
        <v>0</v>
      </c>
      <c r="T239" s="7">
        <f t="shared" ca="1" si="135"/>
        <v>0</v>
      </c>
      <c r="U239" s="7">
        <f t="shared" ca="1" si="135"/>
        <v>-1448.4266090523961</v>
      </c>
      <c r="V239" s="7">
        <f t="shared" ca="1" si="135"/>
        <v>0</v>
      </c>
      <c r="W239" s="7">
        <f t="shared" ca="1" si="135"/>
        <v>0</v>
      </c>
      <c r="X239" s="7">
        <f t="shared" ca="1" si="135"/>
        <v>0</v>
      </c>
      <c r="Y239" s="7">
        <f t="shared" ca="1" si="135"/>
        <v>0</v>
      </c>
      <c r="Z239" s="7">
        <f t="shared" ca="1" si="135"/>
        <v>0</v>
      </c>
      <c r="AA239" s="7">
        <f t="shared" ca="1" si="135"/>
        <v>0</v>
      </c>
      <c r="AB239" s="7">
        <f t="shared" ca="1" si="135"/>
        <v>0</v>
      </c>
      <c r="AC239" s="7">
        <f t="shared" ca="1" si="135"/>
        <v>0</v>
      </c>
      <c r="AD239" s="7">
        <f t="shared" ca="1" si="135"/>
        <v>0</v>
      </c>
      <c r="AE239" s="7">
        <f t="shared" ca="1" si="135"/>
        <v>0</v>
      </c>
      <c r="AF239" s="7">
        <f t="shared" ca="1" si="135"/>
        <v>0</v>
      </c>
      <c r="AG239" s="7">
        <f t="shared" ca="1" si="135"/>
        <v>0</v>
      </c>
      <c r="AH239" s="7">
        <f t="shared" ca="1" si="135"/>
        <v>0</v>
      </c>
      <c r="AI239" s="7">
        <f t="shared" ca="1" si="135"/>
        <v>0</v>
      </c>
      <c r="AJ239" s="7">
        <f t="shared" ca="1" si="135"/>
        <v>0</v>
      </c>
      <c r="AK239" s="7">
        <f t="shared" ca="1" si="135"/>
        <v>0</v>
      </c>
      <c r="AL239" s="7">
        <f t="shared" ca="1" si="135"/>
        <v>0</v>
      </c>
      <c r="AM239" s="7">
        <f t="shared" si="135"/>
        <v>0</v>
      </c>
    </row>
    <row r="240" spans="1:39" x14ac:dyDescent="0.2">
      <c r="A240" s="3" t="s">
        <v>30</v>
      </c>
      <c r="C240" s="7">
        <f t="shared" ref="C240:AM240" ca="1" si="136">IFERROR(-IF(C235=0,VLOOKUP($A234,$8:$12,C$1+2,FALSE),0),0)</f>
        <v>0</v>
      </c>
      <c r="D240" s="101">
        <f t="shared" ca="1" si="136"/>
        <v>0</v>
      </c>
      <c r="E240" s="110">
        <f t="shared" ca="1" si="136"/>
        <v>0</v>
      </c>
      <c r="F240" s="7">
        <f t="shared" ca="1" si="136"/>
        <v>0</v>
      </c>
      <c r="G240" s="7">
        <f t="shared" ca="1" si="136"/>
        <v>0</v>
      </c>
      <c r="H240" s="7">
        <f t="shared" ca="1" si="136"/>
        <v>0</v>
      </c>
      <c r="I240" s="7">
        <f t="shared" ca="1" si="136"/>
        <v>0</v>
      </c>
      <c r="J240" s="7">
        <f t="shared" ca="1" si="136"/>
        <v>0</v>
      </c>
      <c r="K240" s="7">
        <f t="shared" ca="1" si="136"/>
        <v>0</v>
      </c>
      <c r="L240" s="7">
        <f t="shared" ca="1" si="136"/>
        <v>0</v>
      </c>
      <c r="M240" s="7">
        <f t="shared" ca="1" si="136"/>
        <v>0</v>
      </c>
      <c r="N240" s="7">
        <f t="shared" ca="1" si="136"/>
        <v>0</v>
      </c>
      <c r="O240" s="7">
        <f t="shared" ca="1" si="136"/>
        <v>0</v>
      </c>
      <c r="P240" s="7">
        <f t="shared" ca="1" si="136"/>
        <v>0</v>
      </c>
      <c r="Q240" s="7">
        <f t="shared" ca="1" si="136"/>
        <v>0</v>
      </c>
      <c r="R240" s="7">
        <f t="shared" ca="1" si="136"/>
        <v>0</v>
      </c>
      <c r="S240" s="7">
        <f t="shared" ca="1" si="136"/>
        <v>0</v>
      </c>
      <c r="T240" s="7">
        <f t="shared" ca="1" si="136"/>
        <v>0</v>
      </c>
      <c r="U240" s="7">
        <f t="shared" ca="1" si="136"/>
        <v>0</v>
      </c>
      <c r="V240" s="7">
        <f t="shared" ca="1" si="136"/>
        <v>0</v>
      </c>
      <c r="W240" s="7">
        <f t="shared" ca="1" si="136"/>
        <v>0</v>
      </c>
      <c r="X240" s="7">
        <f t="shared" ca="1" si="136"/>
        <v>0</v>
      </c>
      <c r="Y240" s="7">
        <f t="shared" ca="1" si="136"/>
        <v>0</v>
      </c>
      <c r="Z240" s="7">
        <f t="shared" ca="1" si="136"/>
        <v>0</v>
      </c>
      <c r="AA240" s="7">
        <f t="shared" ca="1" si="136"/>
        <v>0</v>
      </c>
      <c r="AB240" s="7">
        <f t="shared" ca="1" si="136"/>
        <v>0</v>
      </c>
      <c r="AC240" s="7">
        <f t="shared" ca="1" si="136"/>
        <v>0</v>
      </c>
      <c r="AD240" s="7">
        <f t="shared" ca="1" si="136"/>
        <v>0</v>
      </c>
      <c r="AE240" s="7">
        <f t="shared" ca="1" si="136"/>
        <v>0</v>
      </c>
      <c r="AF240" s="7">
        <f t="shared" ca="1" si="136"/>
        <v>0</v>
      </c>
      <c r="AG240" s="7">
        <f t="shared" ca="1" si="136"/>
        <v>0</v>
      </c>
      <c r="AH240" s="7">
        <f t="shared" ca="1" si="136"/>
        <v>0</v>
      </c>
      <c r="AI240" s="7">
        <f t="shared" ca="1" si="136"/>
        <v>0</v>
      </c>
      <c r="AJ240" s="7">
        <f t="shared" ca="1" si="136"/>
        <v>0</v>
      </c>
      <c r="AK240" s="7">
        <f t="shared" ca="1" si="136"/>
        <v>0</v>
      </c>
      <c r="AL240" s="7">
        <f t="shared" ca="1" si="136"/>
        <v>0</v>
      </c>
      <c r="AM240" s="7">
        <f t="shared" ca="1" si="136"/>
        <v>0</v>
      </c>
    </row>
    <row r="241" spans="1:39" x14ac:dyDescent="0.2">
      <c r="A241" s="3" t="s">
        <v>49</v>
      </c>
      <c r="C241" s="7">
        <f t="shared" ref="C241:AM241" ca="1" si="137">IFERROR(IF(C235=0,VLOOKUP($A234,$46:$50,C$1+2,FALSE),0),0)</f>
        <v>0</v>
      </c>
      <c r="D241" s="101">
        <f t="shared" ca="1" si="137"/>
        <v>0</v>
      </c>
      <c r="E241" s="110">
        <f t="shared" ca="1" si="137"/>
        <v>0</v>
      </c>
      <c r="F241" s="7">
        <f t="shared" ca="1" si="137"/>
        <v>0</v>
      </c>
      <c r="G241" s="7">
        <f t="shared" ca="1" si="137"/>
        <v>0</v>
      </c>
      <c r="H241" s="7">
        <f t="shared" ca="1" si="137"/>
        <v>0</v>
      </c>
      <c r="I241" s="7">
        <f t="shared" ca="1" si="137"/>
        <v>0</v>
      </c>
      <c r="J241" s="7">
        <f t="shared" ca="1" si="137"/>
        <v>0</v>
      </c>
      <c r="K241" s="7">
        <f t="shared" ca="1" si="137"/>
        <v>0</v>
      </c>
      <c r="L241" s="7">
        <f t="shared" ca="1" si="137"/>
        <v>0</v>
      </c>
      <c r="M241" s="7">
        <f t="shared" ca="1" si="137"/>
        <v>0</v>
      </c>
      <c r="N241" s="7">
        <f t="shared" ca="1" si="137"/>
        <v>0</v>
      </c>
      <c r="O241" s="7">
        <f t="shared" ca="1" si="137"/>
        <v>0</v>
      </c>
      <c r="P241" s="7">
        <f t="shared" ca="1" si="137"/>
        <v>0</v>
      </c>
      <c r="Q241" s="7">
        <f t="shared" ca="1" si="137"/>
        <v>0</v>
      </c>
      <c r="R241" s="7">
        <f t="shared" ca="1" si="137"/>
        <v>0</v>
      </c>
      <c r="S241" s="7">
        <f t="shared" ca="1" si="137"/>
        <v>0</v>
      </c>
      <c r="T241" s="7">
        <f t="shared" ca="1" si="137"/>
        <v>0</v>
      </c>
      <c r="U241" s="7">
        <f t="shared" ca="1" si="137"/>
        <v>0</v>
      </c>
      <c r="V241" s="7">
        <f t="shared" ca="1" si="137"/>
        <v>0</v>
      </c>
      <c r="W241" s="7">
        <f t="shared" ca="1" si="137"/>
        <v>0</v>
      </c>
      <c r="X241" s="7">
        <f t="shared" ca="1" si="137"/>
        <v>0</v>
      </c>
      <c r="Y241" s="7">
        <f t="shared" ca="1" si="137"/>
        <v>0</v>
      </c>
      <c r="Z241" s="7">
        <f t="shared" ca="1" si="137"/>
        <v>0</v>
      </c>
      <c r="AA241" s="7">
        <f t="shared" ca="1" si="137"/>
        <v>0</v>
      </c>
      <c r="AB241" s="7">
        <f t="shared" ca="1" si="137"/>
        <v>0</v>
      </c>
      <c r="AC241" s="7">
        <f t="shared" ca="1" si="137"/>
        <v>0</v>
      </c>
      <c r="AD241" s="7">
        <f t="shared" ca="1" si="137"/>
        <v>0</v>
      </c>
      <c r="AE241" s="7">
        <f t="shared" ca="1" si="137"/>
        <v>0</v>
      </c>
      <c r="AF241" s="7">
        <f t="shared" ca="1" si="137"/>
        <v>0</v>
      </c>
      <c r="AG241" s="7">
        <f t="shared" ca="1" si="137"/>
        <v>0</v>
      </c>
      <c r="AH241" s="7">
        <f t="shared" ca="1" si="137"/>
        <v>0</v>
      </c>
      <c r="AI241" s="7">
        <f t="shared" ca="1" si="137"/>
        <v>0</v>
      </c>
      <c r="AJ241" s="7">
        <f t="shared" ca="1" si="137"/>
        <v>0</v>
      </c>
      <c r="AK241" s="7">
        <f t="shared" ca="1" si="137"/>
        <v>0</v>
      </c>
      <c r="AL241" s="7">
        <f t="shared" ca="1" si="137"/>
        <v>0</v>
      </c>
      <c r="AM241" s="7">
        <f t="shared" ca="1" si="137"/>
        <v>0</v>
      </c>
    </row>
    <row r="242" spans="1:39" x14ac:dyDescent="0.2">
      <c r="A242" s="3" t="s">
        <v>35</v>
      </c>
      <c r="B242" s="14" t="str">
        <f>A234</f>
        <v>Boat</v>
      </c>
      <c r="C242" s="7">
        <f t="shared" ref="C242:AM242" ca="1" si="138">IF(AND(C235&gt;0,C238=0),VLOOKUP($A234,$86:$95,C$1+2,FALSE),0)</f>
        <v>0</v>
      </c>
      <c r="D242" s="101">
        <f t="shared" ca="1" si="138"/>
        <v>0</v>
      </c>
      <c r="E242" s="110">
        <f t="shared" ca="1" si="138"/>
        <v>0</v>
      </c>
      <c r="F242" s="7">
        <f t="shared" ca="1" si="138"/>
        <v>0</v>
      </c>
      <c r="G242" s="7">
        <f t="shared" ca="1" si="138"/>
        <v>0</v>
      </c>
      <c r="H242" s="7">
        <f t="shared" ca="1" si="138"/>
        <v>0</v>
      </c>
      <c r="I242" s="7">
        <f t="shared" ca="1" si="138"/>
        <v>0</v>
      </c>
      <c r="J242" s="7">
        <f t="shared" ca="1" si="138"/>
        <v>0</v>
      </c>
      <c r="K242" s="7">
        <f t="shared" ca="1" si="138"/>
        <v>0</v>
      </c>
      <c r="L242" s="7">
        <f t="shared" ca="1" si="138"/>
        <v>0</v>
      </c>
      <c r="M242" s="7">
        <f t="shared" ca="1" si="138"/>
        <v>0</v>
      </c>
      <c r="N242" s="7">
        <f t="shared" ca="1" si="138"/>
        <v>0</v>
      </c>
      <c r="O242" s="7">
        <f t="shared" ca="1" si="138"/>
        <v>0</v>
      </c>
      <c r="P242" s="7">
        <f t="shared" ca="1" si="138"/>
        <v>0</v>
      </c>
      <c r="Q242" s="7">
        <f t="shared" ca="1" si="138"/>
        <v>0</v>
      </c>
      <c r="R242" s="7">
        <f t="shared" ca="1" si="138"/>
        <v>0</v>
      </c>
      <c r="S242" s="7">
        <f t="shared" ca="1" si="138"/>
        <v>0</v>
      </c>
      <c r="T242" s="7">
        <f t="shared" ca="1" si="138"/>
        <v>0</v>
      </c>
      <c r="U242" s="7">
        <f t="shared" ca="1" si="138"/>
        <v>0</v>
      </c>
      <c r="V242" s="7">
        <f t="shared" ca="1" si="138"/>
        <v>0</v>
      </c>
      <c r="W242" s="7">
        <f t="shared" ca="1" si="138"/>
        <v>0</v>
      </c>
      <c r="X242" s="7">
        <f t="shared" ca="1" si="138"/>
        <v>0</v>
      </c>
      <c r="Y242" s="7">
        <f t="shared" ca="1" si="138"/>
        <v>0</v>
      </c>
      <c r="Z242" s="7">
        <f t="shared" ca="1" si="138"/>
        <v>0</v>
      </c>
      <c r="AA242" s="7">
        <f t="shared" ca="1" si="138"/>
        <v>0</v>
      </c>
      <c r="AB242" s="7">
        <f t="shared" ca="1" si="138"/>
        <v>0</v>
      </c>
      <c r="AC242" s="7">
        <f t="shared" ca="1" si="138"/>
        <v>0</v>
      </c>
      <c r="AD242" s="7">
        <f t="shared" ca="1" si="138"/>
        <v>0</v>
      </c>
      <c r="AE242" s="7">
        <f t="shared" ca="1" si="138"/>
        <v>0</v>
      </c>
      <c r="AF242" s="7">
        <f t="shared" ca="1" si="138"/>
        <v>0</v>
      </c>
      <c r="AG242" s="7">
        <f t="shared" ca="1" si="138"/>
        <v>0</v>
      </c>
      <c r="AH242" s="7">
        <f t="shared" ca="1" si="138"/>
        <v>0</v>
      </c>
      <c r="AI242" s="7">
        <f t="shared" ca="1" si="138"/>
        <v>0</v>
      </c>
      <c r="AJ242" s="7">
        <f t="shared" ca="1" si="138"/>
        <v>0</v>
      </c>
      <c r="AK242" s="7">
        <f t="shared" ca="1" si="138"/>
        <v>0</v>
      </c>
      <c r="AL242" s="7">
        <f t="shared" ca="1" si="138"/>
        <v>0</v>
      </c>
      <c r="AM242" s="7">
        <f t="shared" ca="1" si="138"/>
        <v>0</v>
      </c>
    </row>
    <row r="243" spans="1:39" x14ac:dyDescent="0.2">
      <c r="A243" s="3" t="s">
        <v>36</v>
      </c>
      <c r="C243" s="7">
        <f ca="1">-C236+SUM(C239:C242)</f>
        <v>0</v>
      </c>
      <c r="D243" s="101">
        <f t="shared" ref="D243" ca="1" si="139">-D236+SUM(D239:D242)</f>
        <v>0</v>
      </c>
      <c r="E243" s="110">
        <f t="shared" ref="E243:AM243" ca="1" si="140">-E236+SUM(E239:E242)</f>
        <v>0</v>
      </c>
      <c r="F243" s="7">
        <f t="shared" ca="1" si="140"/>
        <v>0</v>
      </c>
      <c r="G243" s="7">
        <f t="shared" ca="1" si="140"/>
        <v>0</v>
      </c>
      <c r="H243" s="7">
        <f t="shared" ca="1" si="140"/>
        <v>0</v>
      </c>
      <c r="I243" s="7">
        <f t="shared" ca="1" si="140"/>
        <v>0</v>
      </c>
      <c r="J243" s="7">
        <f t="shared" ca="1" si="140"/>
        <v>0</v>
      </c>
      <c r="K243" s="7">
        <f t="shared" ca="1" si="140"/>
        <v>0</v>
      </c>
      <c r="L243" s="7">
        <f t="shared" ca="1" si="140"/>
        <v>0</v>
      </c>
      <c r="M243" s="7">
        <f t="shared" ca="1" si="140"/>
        <v>0</v>
      </c>
      <c r="N243" s="7">
        <f t="shared" ca="1" si="140"/>
        <v>0</v>
      </c>
      <c r="O243" s="7">
        <f t="shared" ca="1" si="140"/>
        <v>0</v>
      </c>
      <c r="P243" s="7">
        <f t="shared" ca="1" si="140"/>
        <v>0</v>
      </c>
      <c r="Q243" s="7">
        <f t="shared" ca="1" si="140"/>
        <v>0</v>
      </c>
      <c r="R243" s="7">
        <f t="shared" ca="1" si="140"/>
        <v>0</v>
      </c>
      <c r="S243" s="7">
        <f t="shared" ca="1" si="140"/>
        <v>0</v>
      </c>
      <c r="T243" s="7">
        <f t="shared" ca="1" si="140"/>
        <v>0</v>
      </c>
      <c r="U243" s="7">
        <f t="shared" ca="1" si="140"/>
        <v>70972.903843567416</v>
      </c>
      <c r="V243" s="7">
        <f t="shared" ca="1" si="140"/>
        <v>0</v>
      </c>
      <c r="W243" s="7">
        <f t="shared" ca="1" si="140"/>
        <v>0</v>
      </c>
      <c r="X243" s="7">
        <f t="shared" ca="1" si="140"/>
        <v>0</v>
      </c>
      <c r="Y243" s="7">
        <f t="shared" ca="1" si="140"/>
        <v>0</v>
      </c>
      <c r="Z243" s="7">
        <f t="shared" ca="1" si="140"/>
        <v>0</v>
      </c>
      <c r="AA243" s="7">
        <f t="shared" ca="1" si="140"/>
        <v>0</v>
      </c>
      <c r="AB243" s="7">
        <f t="shared" ca="1" si="140"/>
        <v>0</v>
      </c>
      <c r="AC243" s="7">
        <f t="shared" ca="1" si="140"/>
        <v>0</v>
      </c>
      <c r="AD243" s="7">
        <f t="shared" ca="1" si="140"/>
        <v>0</v>
      </c>
      <c r="AE243" s="7">
        <f t="shared" ca="1" si="140"/>
        <v>0</v>
      </c>
      <c r="AF243" s="7">
        <f t="shared" ca="1" si="140"/>
        <v>0</v>
      </c>
      <c r="AG243" s="7">
        <f t="shared" ca="1" si="140"/>
        <v>0</v>
      </c>
      <c r="AH243" s="7">
        <f t="shared" ca="1" si="140"/>
        <v>0</v>
      </c>
      <c r="AI243" s="7">
        <f t="shared" ca="1" si="140"/>
        <v>0</v>
      </c>
      <c r="AJ243" s="7">
        <f t="shared" ca="1" si="140"/>
        <v>0</v>
      </c>
      <c r="AK243" s="7">
        <f t="shared" ca="1" si="140"/>
        <v>0</v>
      </c>
      <c r="AL243" s="7">
        <f t="shared" ca="1" si="140"/>
        <v>0</v>
      </c>
      <c r="AM243" s="7">
        <f t="shared" ca="1" si="140"/>
        <v>0</v>
      </c>
    </row>
    <row r="244" spans="1:39" x14ac:dyDescent="0.2">
      <c r="A244" s="3"/>
      <c r="C244" s="7"/>
      <c r="D244" s="101"/>
      <c r="E244" s="110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  <c r="AB244" s="7"/>
      <c r="AC244" s="7"/>
      <c r="AD244" s="7"/>
      <c r="AE244" s="7"/>
      <c r="AF244" s="7"/>
      <c r="AG244" s="7"/>
      <c r="AH244" s="7"/>
      <c r="AI244" s="7"/>
      <c r="AJ244" s="7"/>
      <c r="AK244" s="7"/>
      <c r="AL244" s="7"/>
      <c r="AM244" s="7"/>
    </row>
    <row r="245" spans="1:39" x14ac:dyDescent="0.2">
      <c r="A245" s="3" t="s">
        <v>70</v>
      </c>
      <c r="C245" s="7">
        <f ca="1">C231+SUM($C243:C243)</f>
        <v>59870.735212387553</v>
      </c>
      <c r="D245" s="101">
        <f ca="1">D231+SUM($C243:D243)</f>
        <v>74614.879410794849</v>
      </c>
      <c r="E245" s="110">
        <f ca="1">E231+SUM($C243:E243)</f>
        <v>165076.06668918394</v>
      </c>
      <c r="F245" s="7">
        <f ca="1">F231+SUM($C243:F243)</f>
        <v>77206.243739473459</v>
      </c>
      <c r="G245" s="7">
        <f ca="1">G231+SUM($C243:G243)</f>
        <v>182711.67734335674</v>
      </c>
      <c r="H245" s="7">
        <f ca="1">H231+SUM($C243:H243)</f>
        <v>129321.73641809248</v>
      </c>
      <c r="I245" s="7">
        <f ca="1">I231+SUM($C243:I243)</f>
        <v>90950.88962435037</v>
      </c>
      <c r="J245" s="7">
        <f ca="1">J231+SUM($C243:J243)</f>
        <v>179062.13035729429</v>
      </c>
      <c r="K245" s="7">
        <f ca="1">K231+SUM($C243:K243)</f>
        <v>118063.23261060109</v>
      </c>
      <c r="L245" s="7">
        <f ca="1">L231+SUM($C243:L243)</f>
        <v>138702.1052700505</v>
      </c>
      <c r="M245" s="7">
        <f ca="1">M231+SUM($C243:M243)</f>
        <v>63712.403213376616</v>
      </c>
      <c r="N245" s="7">
        <f ca="1">N231+SUM($C243:N243)</f>
        <v>36057.731206196739</v>
      </c>
      <c r="O245" s="7">
        <f ca="1">O231+SUM($C243:O243)</f>
        <v>192027.88532400748</v>
      </c>
      <c r="P245" s="7">
        <f ca="1">P231+SUM($C243:P243)</f>
        <v>157731.41495922045</v>
      </c>
      <c r="Q245" s="7">
        <f ca="1">Q231+SUM($C243:Q243)</f>
        <v>121945.59134264999</v>
      </c>
      <c r="R245" s="7">
        <f ca="1">R231+SUM($C243:R243)</f>
        <v>84262.965337333299</v>
      </c>
      <c r="S245" s="7">
        <f ca="1">S231+SUM($C243:S243)</f>
        <v>44642.44139933859</v>
      </c>
      <c r="T245" s="7">
        <f ca="1">T231+SUM($C243:T243)</f>
        <v>20510.263969922486</v>
      </c>
      <c r="U245" s="7">
        <f ca="1">U231+SUM($C243:U243)</f>
        <v>74184.381637228042</v>
      </c>
      <c r="V245" s="7">
        <f ca="1">V231+SUM($C243:V243)</f>
        <v>56098.438876078995</v>
      </c>
      <c r="W245" s="7">
        <f ca="1">W231+SUM($C243:W243)</f>
        <v>37308.847067989183</v>
      </c>
      <c r="X245" s="7">
        <f ca="1">X231+SUM($C243:X243)</f>
        <v>18184.973807297276</v>
      </c>
      <c r="Y245" s="7">
        <f ca="1">Y231+SUM($C243:Y243)</f>
        <v>-21936.330962994951</v>
      </c>
      <c r="Z245" s="7">
        <f ca="1">Z231+SUM($C243:Z243)</f>
        <v>-62916.960596879915</v>
      </c>
      <c r="AA245" s="7">
        <f ca="1">AA231+SUM($C243:AA243)</f>
        <v>-104774.08698327714</v>
      </c>
      <c r="AB245" s="7">
        <f ca="1">AB231+SUM($C243:AB243)</f>
        <v>-147525.1819713501</v>
      </c>
      <c r="AC245" s="7">
        <f ca="1">AC231+SUM($C243:AC243)</f>
        <v>-191188.02098940068</v>
      </c>
      <c r="AD245" s="7">
        <f ca="1">AD231+SUM($C243:AD243)</f>
        <v>-235780.68663783692</v>
      </c>
      <c r="AE245" s="7">
        <f ca="1">AE231+SUM($C243:AE243)</f>
        <v>-271339.09715828008</v>
      </c>
      <c r="AF245" s="7">
        <f ca="1">AF231+SUM($C243:AF243)</f>
        <v>-307614.87336605403</v>
      </c>
      <c r="AG245" s="7">
        <f ca="1">AG231+SUM($C243:AG243)</f>
        <v>-344620.80156607175</v>
      </c>
      <c r="AH245" s="7">
        <f ca="1">AH231+SUM($C243:AH243)</f>
        <v>-382369.83328575053</v>
      </c>
      <c r="AI245" s="7">
        <f ca="1">AI231+SUM($C243:AI243)</f>
        <v>-420875.08477252192</v>
      </c>
      <c r="AJ245" s="7">
        <f ca="1">AJ231+SUM($C243:AJ243)</f>
        <v>-460149.83633978612</v>
      </c>
      <c r="AK245" s="7">
        <f ca="1">AK231+SUM($C243:AK243)</f>
        <v>-500207.53155335545</v>
      </c>
      <c r="AL245" s="7">
        <f ca="1">AL231+SUM($C243:AL243)</f>
        <v>-541061.77625010116</v>
      </c>
      <c r="AM245" s="7">
        <f ca="1">AM231+SUM($C243:AM243)</f>
        <v>-582726.33738018712</v>
      </c>
    </row>
    <row r="246" spans="1:39" x14ac:dyDescent="0.2">
      <c r="A246" s="3" t="s">
        <v>67</v>
      </c>
      <c r="C246" s="7">
        <f t="shared" ref="C246:AM246" ca="1" si="141">MAX(C245+buffer,0)-MAX(C231+buffer,0)</f>
        <v>0</v>
      </c>
      <c r="D246" s="101">
        <f t="shared" ca="1" si="141"/>
        <v>0</v>
      </c>
      <c r="E246" s="110">
        <f t="shared" ca="1" si="141"/>
        <v>0</v>
      </c>
      <c r="F246" s="7">
        <f t="shared" ca="1" si="141"/>
        <v>0</v>
      </c>
      <c r="G246" s="7">
        <f t="shared" ca="1" si="141"/>
        <v>0</v>
      </c>
      <c r="H246" s="7">
        <f t="shared" ca="1" si="141"/>
        <v>0</v>
      </c>
      <c r="I246" s="7">
        <f t="shared" ca="1" si="141"/>
        <v>0</v>
      </c>
      <c r="J246" s="7">
        <f t="shared" ca="1" si="141"/>
        <v>0</v>
      </c>
      <c r="K246" s="7">
        <f t="shared" ca="1" si="141"/>
        <v>0</v>
      </c>
      <c r="L246" s="7">
        <f t="shared" ca="1" si="141"/>
        <v>0</v>
      </c>
      <c r="M246" s="7">
        <f t="shared" ca="1" si="141"/>
        <v>0</v>
      </c>
      <c r="N246" s="7">
        <f t="shared" ca="1" si="141"/>
        <v>0</v>
      </c>
      <c r="O246" s="7">
        <f t="shared" ca="1" si="141"/>
        <v>0</v>
      </c>
      <c r="P246" s="7">
        <f t="shared" ca="1" si="141"/>
        <v>0</v>
      </c>
      <c r="Q246" s="7">
        <f t="shared" ca="1" si="141"/>
        <v>0</v>
      </c>
      <c r="R246" s="7">
        <f t="shared" ca="1" si="141"/>
        <v>0</v>
      </c>
      <c r="S246" s="7">
        <f t="shared" ca="1" si="141"/>
        <v>0</v>
      </c>
      <c r="T246" s="7">
        <f t="shared" ca="1" si="141"/>
        <v>0</v>
      </c>
      <c r="U246" s="7">
        <f t="shared" ca="1" si="141"/>
        <v>70972.903843567416</v>
      </c>
      <c r="V246" s="7">
        <f t="shared" ca="1" si="141"/>
        <v>70972.903843567416</v>
      </c>
      <c r="W246" s="7">
        <f t="shared" ca="1" si="141"/>
        <v>70972.903843567416</v>
      </c>
      <c r="X246" s="7">
        <f t="shared" ca="1" si="141"/>
        <v>68184.973807297269</v>
      </c>
      <c r="Y246" s="7">
        <f t="shared" ca="1" si="141"/>
        <v>28063.669037005049</v>
      </c>
      <c r="Z246" s="7">
        <f t="shared" ca="1" si="141"/>
        <v>0</v>
      </c>
      <c r="AA246" s="7">
        <f t="shared" ca="1" si="141"/>
        <v>0</v>
      </c>
      <c r="AB246" s="7">
        <f t="shared" ca="1" si="141"/>
        <v>0</v>
      </c>
      <c r="AC246" s="7">
        <f t="shared" ca="1" si="141"/>
        <v>0</v>
      </c>
      <c r="AD246" s="7">
        <f t="shared" ca="1" si="141"/>
        <v>0</v>
      </c>
      <c r="AE246" s="7">
        <f t="shared" ca="1" si="141"/>
        <v>0</v>
      </c>
      <c r="AF246" s="7">
        <f t="shared" ca="1" si="141"/>
        <v>0</v>
      </c>
      <c r="AG246" s="7">
        <f t="shared" ca="1" si="141"/>
        <v>0</v>
      </c>
      <c r="AH246" s="7">
        <f t="shared" ca="1" si="141"/>
        <v>0</v>
      </c>
      <c r="AI246" s="7">
        <f t="shared" ca="1" si="141"/>
        <v>0</v>
      </c>
      <c r="AJ246" s="7">
        <f t="shared" ca="1" si="141"/>
        <v>0</v>
      </c>
      <c r="AK246" s="7">
        <f t="shared" ca="1" si="141"/>
        <v>0</v>
      </c>
      <c r="AL246" s="7">
        <f t="shared" ca="1" si="141"/>
        <v>0</v>
      </c>
      <c r="AM246" s="7">
        <f t="shared" ca="1" si="141"/>
        <v>0</v>
      </c>
    </row>
    <row r="247" spans="1:39" x14ac:dyDescent="0.2">
      <c r="A247" s="3" t="s">
        <v>68</v>
      </c>
      <c r="C247" s="7">
        <f ca="1">C246*Inputs!$B$270</f>
        <v>0</v>
      </c>
      <c r="D247" s="101">
        <f ca="1">D246*Inputs!$B$270</f>
        <v>0</v>
      </c>
      <c r="E247" s="110">
        <f ca="1">E246*Inputs!$B$270</f>
        <v>0</v>
      </c>
      <c r="F247" s="7">
        <f ca="1">F246*Inputs!$B$270</f>
        <v>0</v>
      </c>
      <c r="G247" s="7">
        <f ca="1">G246*Inputs!$B$270</f>
        <v>0</v>
      </c>
      <c r="H247" s="7">
        <f ca="1">H246*Inputs!$B$270</f>
        <v>0</v>
      </c>
      <c r="I247" s="7">
        <f ca="1">I246*Inputs!$B$270</f>
        <v>0</v>
      </c>
      <c r="J247" s="7">
        <f ca="1">J246*Inputs!$B$270</f>
        <v>0</v>
      </c>
      <c r="K247" s="7">
        <f ca="1">K246*Inputs!$B$270</f>
        <v>0</v>
      </c>
      <c r="L247" s="7">
        <f ca="1">L246*Inputs!$B$270</f>
        <v>0</v>
      </c>
      <c r="M247" s="7">
        <f ca="1">M246*Inputs!$B$270</f>
        <v>0</v>
      </c>
      <c r="N247" s="7">
        <f ca="1">N246*Inputs!$B$270</f>
        <v>0</v>
      </c>
      <c r="O247" s="7">
        <f ca="1">O246*Inputs!$B$270</f>
        <v>0</v>
      </c>
      <c r="P247" s="7">
        <f ca="1">P246*Inputs!$B$270</f>
        <v>0</v>
      </c>
      <c r="Q247" s="7">
        <f ca="1">Q246*Inputs!$B$270</f>
        <v>0</v>
      </c>
      <c r="R247" s="7">
        <f ca="1">R246*Inputs!$B$270</f>
        <v>0</v>
      </c>
      <c r="S247" s="7">
        <f ca="1">S246*Inputs!$B$270</f>
        <v>0</v>
      </c>
      <c r="T247" s="7">
        <f ca="1">T246*Inputs!$B$270</f>
        <v>0</v>
      </c>
      <c r="U247" s="7">
        <f ca="1">U246*Inputs!$B$270</f>
        <v>1774.3225960891855</v>
      </c>
      <c r="V247" s="7">
        <f ca="1">V246*Inputs!$B$270</f>
        <v>1774.3225960891855</v>
      </c>
      <c r="W247" s="7">
        <f ca="1">W246*Inputs!$B$270</f>
        <v>1774.3225960891855</v>
      </c>
      <c r="X247" s="7">
        <f ca="1">X246*Inputs!$B$270</f>
        <v>1704.6243451824319</v>
      </c>
      <c r="Y247" s="7">
        <f ca="1">Y246*Inputs!$B$270</f>
        <v>701.5917259251263</v>
      </c>
      <c r="Z247" s="7">
        <f ca="1">Z246*Inputs!$B$270</f>
        <v>0</v>
      </c>
      <c r="AA247" s="7">
        <f ca="1">AA246*Inputs!$B$270</f>
        <v>0</v>
      </c>
      <c r="AB247" s="7">
        <f ca="1">AB246*Inputs!$B$270</f>
        <v>0</v>
      </c>
      <c r="AC247" s="7">
        <f ca="1">AC246*Inputs!$B$270</f>
        <v>0</v>
      </c>
      <c r="AD247" s="7">
        <f ca="1">AD246*Inputs!$B$270</f>
        <v>0</v>
      </c>
      <c r="AE247" s="7">
        <f ca="1">AE246*Inputs!$B$270</f>
        <v>0</v>
      </c>
      <c r="AF247" s="7">
        <f ca="1">AF246*Inputs!$B$270</f>
        <v>0</v>
      </c>
      <c r="AG247" s="7">
        <f ca="1">AG246*Inputs!$B$270</f>
        <v>0</v>
      </c>
      <c r="AH247" s="7">
        <f ca="1">AH246*Inputs!$B$270</f>
        <v>0</v>
      </c>
      <c r="AI247" s="7">
        <f ca="1">AI246*Inputs!$B$270</f>
        <v>0</v>
      </c>
      <c r="AJ247" s="7">
        <f ca="1">AJ246*Inputs!$B$270</f>
        <v>0</v>
      </c>
      <c r="AK247" s="7">
        <f ca="1">AK246*Inputs!$B$270</f>
        <v>0</v>
      </c>
      <c r="AL247" s="7">
        <f ca="1">AL246*Inputs!$B$270</f>
        <v>0</v>
      </c>
      <c r="AM247" s="7">
        <f ca="1">AM246*Inputs!$B$270</f>
        <v>0</v>
      </c>
    </row>
    <row r="248" spans="1:39" x14ac:dyDescent="0.2">
      <c r="A248" s="3" t="s">
        <v>149</v>
      </c>
      <c r="C248" s="7">
        <f ca="1">C245+SUM($C247:C247)</f>
        <v>59870.735212387553</v>
      </c>
      <c r="D248" s="101">
        <f ca="1">D245+SUM($C247:D247)</f>
        <v>74614.879410794849</v>
      </c>
      <c r="E248" s="110">
        <f ca="1">E245+SUM($C247:E247)</f>
        <v>165076.06668918394</v>
      </c>
      <c r="F248" s="7">
        <f ca="1">F245+SUM($C247:F247)</f>
        <v>77206.243739473459</v>
      </c>
      <c r="G248" s="7">
        <f ca="1">G245+SUM($C247:G247)</f>
        <v>182711.67734335674</v>
      </c>
      <c r="H248" s="7">
        <f ca="1">H245+SUM($C247:H247)</f>
        <v>129321.73641809248</v>
      </c>
      <c r="I248" s="7">
        <f ca="1">I245+SUM($C247:I247)</f>
        <v>90950.88962435037</v>
      </c>
      <c r="J248" s="7">
        <f ca="1">J245+SUM($C247:J247)</f>
        <v>179062.13035729429</v>
      </c>
      <c r="K248" s="7">
        <f ca="1">K245+SUM($C247:K247)</f>
        <v>118063.23261060109</v>
      </c>
      <c r="L248" s="7">
        <f ca="1">L245+SUM($C247:L247)</f>
        <v>138702.1052700505</v>
      </c>
      <c r="M248" s="7">
        <f ca="1">M245+SUM($C247:M247)</f>
        <v>63712.403213376616</v>
      </c>
      <c r="N248" s="7">
        <f ca="1">N245+SUM($C247:N247)</f>
        <v>36057.731206196739</v>
      </c>
      <c r="O248" s="7">
        <f ca="1">O245+SUM($C247:O247)</f>
        <v>192027.88532400748</v>
      </c>
      <c r="P248" s="7">
        <f ca="1">P245+SUM($C247:P247)</f>
        <v>157731.41495922045</v>
      </c>
      <c r="Q248" s="7">
        <f ca="1">Q245+SUM($C247:Q247)</f>
        <v>121945.59134264999</v>
      </c>
      <c r="R248" s="7">
        <f ca="1">R245+SUM($C247:R247)</f>
        <v>84262.965337333299</v>
      </c>
      <c r="S248" s="7">
        <f ca="1">S245+SUM($C247:S247)</f>
        <v>44642.44139933859</v>
      </c>
      <c r="T248" s="7">
        <f ca="1">T245+SUM($C247:T247)</f>
        <v>20510.263969922486</v>
      </c>
      <c r="U248" s="7">
        <f ca="1">U245+SUM($C247:U247)</f>
        <v>75958.704233317228</v>
      </c>
      <c r="V248" s="7">
        <f ca="1">V245+SUM($C247:V247)</f>
        <v>59647.084068257369</v>
      </c>
      <c r="W248" s="7">
        <f ca="1">W245+SUM($C247:W247)</f>
        <v>42631.814856256737</v>
      </c>
      <c r="X248" s="7">
        <f ca="1">X245+SUM($C247:X247)</f>
        <v>25212.565940747263</v>
      </c>
      <c r="Y248" s="7">
        <f ca="1">Y245+SUM($C247:Y247)</f>
        <v>-14207.147103619835</v>
      </c>
      <c r="Z248" s="7">
        <f ca="1">Z245+SUM($C247:Z247)</f>
        <v>-55187.776737504799</v>
      </c>
      <c r="AA248" s="7">
        <f ca="1">AA245+SUM($C247:AA247)</f>
        <v>-97044.903123902026</v>
      </c>
      <c r="AB248" s="7">
        <f ca="1">AB245+SUM($C247:AB247)</f>
        <v>-139795.998111975</v>
      </c>
      <c r="AC248" s="7">
        <f ca="1">AC245+SUM($C247:AC247)</f>
        <v>-183458.83713002558</v>
      </c>
      <c r="AD248" s="7">
        <f ca="1">AD245+SUM($C247:AD247)</f>
        <v>-228051.50277846181</v>
      </c>
      <c r="AE248" s="7">
        <f ca="1">AE245+SUM($C247:AE247)</f>
        <v>-263609.91329890495</v>
      </c>
      <c r="AF248" s="7">
        <f ca="1">AF245+SUM($C247:AF247)</f>
        <v>-299885.6895066789</v>
      </c>
      <c r="AG248" s="7">
        <f ca="1">AG245+SUM($C247:AG247)</f>
        <v>-336891.61770669662</v>
      </c>
      <c r="AH248" s="7">
        <f ca="1">AH245+SUM($C247:AH247)</f>
        <v>-374640.6494263754</v>
      </c>
      <c r="AI248" s="7">
        <f ca="1">AI245+SUM($C247:AI247)</f>
        <v>-413145.90091314679</v>
      </c>
      <c r="AJ248" s="7">
        <f ca="1">AJ245+SUM($C247:AJ247)</f>
        <v>-452420.65248041099</v>
      </c>
      <c r="AK248" s="7">
        <f ca="1">AK245+SUM($C247:AK247)</f>
        <v>-492478.34769398032</v>
      </c>
      <c r="AL248" s="7">
        <f ca="1">AL245+SUM($C247:AL247)</f>
        <v>-533332.59239072609</v>
      </c>
      <c r="AM248" s="7">
        <f ca="1">AM245+SUM($C247:AM247)</f>
        <v>-574997.15352081205</v>
      </c>
    </row>
    <row r="249" spans="1:39" x14ac:dyDescent="0.2">
      <c r="A249" s="3" t="s">
        <v>19</v>
      </c>
      <c r="C249" s="7">
        <f ca="1">IF(C248&lt;0,-C248,0)</f>
        <v>0</v>
      </c>
      <c r="D249" s="101">
        <f ca="1">IF(D248+SUM($C249:C249)&lt;0,-(D248+SUM($C249:C249)),0)</f>
        <v>0</v>
      </c>
      <c r="E249" s="110">
        <f ca="1">IF(E248+SUM($C249:D249)&lt;0,-(E248+SUM($C249:D249)),0)</f>
        <v>0</v>
      </c>
      <c r="F249" s="7">
        <f ca="1">IF(F248+SUM($C249:E249)&lt;0,-(F248+SUM($C249:E249)),0)</f>
        <v>0</v>
      </c>
      <c r="G249" s="7">
        <f ca="1">IF(G248+SUM($C249:F249)&lt;0,-(G248+SUM($C249:F249)),0)</f>
        <v>0</v>
      </c>
      <c r="H249" s="7">
        <f ca="1">IF(H248+SUM($C249:G249)&lt;0,-(H248+SUM($C249:G249)),0)</f>
        <v>0</v>
      </c>
      <c r="I249" s="7">
        <f ca="1">IF(I248+SUM($C249:H249)&lt;0,-(I248+SUM($C249:H249)),0)</f>
        <v>0</v>
      </c>
      <c r="J249" s="7">
        <f ca="1">IF(J248+SUM($C249:I249)&lt;0,-(J248+SUM($C249:I249)),0)</f>
        <v>0</v>
      </c>
      <c r="K249" s="7">
        <f ca="1">IF(K248+SUM($C249:J249)&lt;0,-(K248+SUM($C249:J249)),0)</f>
        <v>0</v>
      </c>
      <c r="L249" s="7">
        <f ca="1">IF(L248+SUM($C249:K249)&lt;0,-(L248+SUM($C249:K249)),0)</f>
        <v>0</v>
      </c>
      <c r="M249" s="7">
        <f ca="1">IF(M248+SUM($C249:L249)&lt;0,-(M248+SUM($C249:L249)),0)</f>
        <v>0</v>
      </c>
      <c r="N249" s="7">
        <f ca="1">IF(N248+SUM($C249:M249)&lt;0,-(N248+SUM($C249:M249)),0)</f>
        <v>0</v>
      </c>
      <c r="O249" s="7">
        <f ca="1">IF(O248+SUM($C249:N249)&lt;0,-(O248+SUM($C249:N249)),0)</f>
        <v>0</v>
      </c>
      <c r="P249" s="7">
        <f ca="1">IF(P248+SUM($C249:O249)&lt;0,-(P248+SUM($C249:O249)),0)</f>
        <v>0</v>
      </c>
      <c r="Q249" s="7">
        <f ca="1">IF(Q248+SUM($C249:P249)&lt;0,-(Q248+SUM($C249:P249)),0)</f>
        <v>0</v>
      </c>
      <c r="R249" s="7">
        <f ca="1">IF(R248+SUM($C249:Q249)&lt;0,-(R248+SUM($C249:Q249)),0)</f>
        <v>0</v>
      </c>
      <c r="S249" s="7">
        <f ca="1">IF(S248+SUM($C249:R249)&lt;0,-(S248+SUM($C249:R249)),0)</f>
        <v>0</v>
      </c>
      <c r="T249" s="7">
        <f ca="1">IF(T248+SUM($C249:S249)&lt;0,-(T248+SUM($C249:S249)),0)</f>
        <v>0</v>
      </c>
      <c r="U249" s="7">
        <f ca="1">IF(U248+SUM($C249:T249)&lt;0,-(U248+SUM($C249:T249)),0)</f>
        <v>0</v>
      </c>
      <c r="V249" s="7">
        <f ca="1">IF(V248+SUM($C249:U249)&lt;0,-(V248+SUM($C249:U249)),0)</f>
        <v>0</v>
      </c>
      <c r="W249" s="7">
        <f ca="1">IF(W248+SUM($C249:V249)&lt;0,-(W248+SUM($C249:V249)),0)</f>
        <v>0</v>
      </c>
      <c r="X249" s="7">
        <f ca="1">IF(X248+SUM($C249:W249)&lt;0,-(X248+SUM($C249:W249)),0)</f>
        <v>0</v>
      </c>
      <c r="Y249" s="7">
        <f ca="1">IF(Y248+SUM($C249:X249)&lt;0,-(Y248+SUM($C249:X249)),0)</f>
        <v>14207.147103619835</v>
      </c>
      <c r="Z249" s="7">
        <f ca="1">IF(Z248+SUM($C249:Y249)&lt;0,-(Z248+SUM($C249:Y249)),0)</f>
        <v>40980.629633884964</v>
      </c>
      <c r="AA249" s="7">
        <f ca="1">IF(AA248+SUM($C249:Z249)&lt;0,-(AA248+SUM($C249:Z249)),0)</f>
        <v>41857.126386397227</v>
      </c>
      <c r="AB249" s="7">
        <f ca="1">IF(AB248+SUM($C249:AA249)&lt;0,-(AB248+SUM($C249:AA249)),0)</f>
        <v>42751.094988072975</v>
      </c>
      <c r="AC249" s="7">
        <f ca="1">IF(AC248+SUM($C249:AB249)&lt;0,-(AC248+SUM($C249:AB249)),0)</f>
        <v>43662.839018050581</v>
      </c>
      <c r="AD249" s="7">
        <f ca="1">IF(AD248+SUM($C249:AC249)&lt;0,-(AD248+SUM($C249:AC249)),0)</f>
        <v>44592.665648436232</v>
      </c>
      <c r="AE249" s="7">
        <f ca="1">IF(AE248+SUM($C249:AD249)&lt;0,-(AE248+SUM($C249:AD249)),0)</f>
        <v>35558.41052044314</v>
      </c>
      <c r="AF249" s="7">
        <f ca="1">IF(AF248+SUM($C249:AE249)&lt;0,-(AF248+SUM($C249:AE249)),0)</f>
        <v>36275.776207773946</v>
      </c>
      <c r="AG249" s="7">
        <f ca="1">IF(AG248+SUM($C249:AF249)&lt;0,-(AG248+SUM($C249:AF249)),0)</f>
        <v>37005.928200017719</v>
      </c>
      <c r="AH249" s="7">
        <f ca="1">IF(AH248+SUM($C249:AG249)&lt;0,-(AH248+SUM($C249:AG249)),0)</f>
        <v>37749.03171967878</v>
      </c>
      <c r="AI249" s="7">
        <f ca="1">IF(AI248+SUM($C249:AH249)&lt;0,-(AI248+SUM($C249:AH249)),0)</f>
        <v>38505.251486771391</v>
      </c>
      <c r="AJ249" s="7">
        <f ca="1">IF(AJ248+SUM($C249:AI249)&lt;0,-(AJ248+SUM($C249:AI249)),0)</f>
        <v>39274.751567264204</v>
      </c>
      <c r="AK249" s="7">
        <f ca="1">IF(AK248+SUM($C249:AJ249)&lt;0,-(AK248+SUM($C249:AJ249)),0)</f>
        <v>40057.695213569328</v>
      </c>
      <c r="AL249" s="7">
        <f ca="1">IF(AL248+SUM($C249:AK249)&lt;0,-(AL248+SUM($C249:AK249)),0)</f>
        <v>40854.244696745765</v>
      </c>
      <c r="AM249" s="7">
        <f ca="1">IF(AM248+SUM($C249:AL249)&lt;0,-(AM248+SUM($C249:AL249)),0)</f>
        <v>41664.56113008596</v>
      </c>
    </row>
    <row r="250" spans="1:39" x14ac:dyDescent="0.2">
      <c r="C250" s="7"/>
      <c r="D250" s="101"/>
      <c r="E250" s="110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7"/>
      <c r="AD250" s="7"/>
      <c r="AE250" s="7"/>
      <c r="AF250" s="7"/>
      <c r="AG250" s="7"/>
      <c r="AH250" s="7"/>
      <c r="AI250" s="7"/>
      <c r="AJ250" s="7"/>
      <c r="AK250" s="7"/>
      <c r="AL250" s="7"/>
      <c r="AM250" s="7"/>
    </row>
    <row r="251" spans="1:39" x14ac:dyDescent="0.2">
      <c r="A251" s="24" t="str">
        <f>IF(Inputs!$B$290=6,IFERROR(_xlfn.XLOOKUP($B251,Inputs!$B$291:$B$300,Inputs!$A$291:$A$300,,0,1),""),IFERROR(_xlfn.XLOOKUP($B251,Inputs!$C$291:$C$300,Inputs!$A$291:$A$300,,0,1),""))</f>
        <v>Qormi</v>
      </c>
      <c r="B251" s="26">
        <v>9</v>
      </c>
      <c r="C251" s="7"/>
      <c r="D251" s="101"/>
      <c r="E251" s="110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  <c r="AB251" s="7"/>
      <c r="AC251" s="7"/>
      <c r="AD251" s="7"/>
      <c r="AE251" s="7"/>
      <c r="AF251" s="7"/>
      <c r="AG251" s="7"/>
      <c r="AH251" s="7"/>
      <c r="AI251" s="7"/>
      <c r="AJ251" s="7"/>
      <c r="AK251" s="7"/>
      <c r="AL251" s="7"/>
      <c r="AM251" s="7"/>
    </row>
    <row r="252" spans="1:39" x14ac:dyDescent="0.2">
      <c r="A252" s="3" t="s">
        <v>21</v>
      </c>
      <c r="C252" s="7">
        <f ca="1">IFERROR(VLOOKUP($A251,$A$68:$H$97,C$1+2,FALSE),0)</f>
        <v>224931.66569048862</v>
      </c>
      <c r="D252" s="101">
        <f ca="1">C255</f>
        <v>224931.66569048862</v>
      </c>
      <c r="E252" s="110">
        <f t="shared" ref="E252:AM252" ca="1" si="142">D255</f>
        <v>231679.61566120328</v>
      </c>
      <c r="F252" s="7">
        <f t="shared" ca="1" si="142"/>
        <v>238630.00413103937</v>
      </c>
      <c r="G252" s="7">
        <f t="shared" ca="1" si="142"/>
        <v>245788.90425497055</v>
      </c>
      <c r="H252" s="7">
        <f t="shared" ca="1" si="142"/>
        <v>253162.57138261967</v>
      </c>
      <c r="I252" s="7">
        <f t="shared" ca="1" si="142"/>
        <v>260757.44852409826</v>
      </c>
      <c r="J252" s="7">
        <f t="shared" ca="1" si="142"/>
        <v>268580.17197982123</v>
      </c>
      <c r="K252" s="7">
        <f t="shared" ca="1" si="142"/>
        <v>276637.57713921589</v>
      </c>
      <c r="L252" s="7">
        <f t="shared" ca="1" si="142"/>
        <v>284936.70445339236</v>
      </c>
      <c r="M252" s="7">
        <f t="shared" ca="1" si="142"/>
        <v>293484.80558699416</v>
      </c>
      <c r="N252" s="7">
        <f t="shared" ca="1" si="142"/>
        <v>302289.34975460399</v>
      </c>
      <c r="O252" s="7">
        <f t="shared" ca="1" si="142"/>
        <v>311358.03024724213</v>
      </c>
      <c r="P252" s="7">
        <f t="shared" ca="1" si="142"/>
        <v>320698.77115465939</v>
      </c>
      <c r="Q252" s="7">
        <f t="shared" ca="1" si="142"/>
        <v>330319.73428929917</v>
      </c>
      <c r="R252" s="7">
        <f t="shared" ca="1" si="142"/>
        <v>340229.32631797815</v>
      </c>
      <c r="S252" s="7">
        <f t="shared" ca="1" si="142"/>
        <v>350436.20610751747</v>
      </c>
      <c r="T252" s="7">
        <f t="shared" ca="1" si="142"/>
        <v>360949.29229074297</v>
      </c>
      <c r="U252" s="7">
        <f t="shared" ca="1" si="142"/>
        <v>371777.77105946525</v>
      </c>
      <c r="V252" s="7">
        <f t="shared" ca="1" si="142"/>
        <v>382931.10419124918</v>
      </c>
      <c r="W252" s="7">
        <f t="shared" ca="1" si="142"/>
        <v>394419.03731698665</v>
      </c>
      <c r="X252" s="7">
        <f t="shared" ca="1" si="142"/>
        <v>406251.60843649623</v>
      </c>
      <c r="Y252" s="7">
        <f t="shared" ca="1" si="142"/>
        <v>0</v>
      </c>
      <c r="Z252" s="7">
        <f t="shared" ca="1" si="142"/>
        <v>0</v>
      </c>
      <c r="AA252" s="7">
        <f t="shared" ca="1" si="142"/>
        <v>0</v>
      </c>
      <c r="AB252" s="7">
        <f t="shared" ca="1" si="142"/>
        <v>0</v>
      </c>
      <c r="AC252" s="7">
        <f t="shared" ca="1" si="142"/>
        <v>0</v>
      </c>
      <c r="AD252" s="7">
        <f t="shared" ca="1" si="142"/>
        <v>0</v>
      </c>
      <c r="AE252" s="7">
        <f t="shared" ca="1" si="142"/>
        <v>0</v>
      </c>
      <c r="AF252" s="7">
        <f t="shared" ca="1" si="142"/>
        <v>0</v>
      </c>
      <c r="AG252" s="7">
        <f t="shared" ca="1" si="142"/>
        <v>0</v>
      </c>
      <c r="AH252" s="7">
        <f t="shared" ca="1" si="142"/>
        <v>0</v>
      </c>
      <c r="AI252" s="7">
        <f t="shared" ca="1" si="142"/>
        <v>0</v>
      </c>
      <c r="AJ252" s="7">
        <f t="shared" ca="1" si="142"/>
        <v>0</v>
      </c>
      <c r="AK252" s="7">
        <f t="shared" ca="1" si="142"/>
        <v>0</v>
      </c>
      <c r="AL252" s="7">
        <f t="shared" ca="1" si="142"/>
        <v>0</v>
      </c>
      <c r="AM252" s="7">
        <f t="shared" ca="1" si="142"/>
        <v>0</v>
      </c>
    </row>
    <row r="253" spans="1:39" x14ac:dyDescent="0.2">
      <c r="A253" s="3" t="s">
        <v>22</v>
      </c>
      <c r="C253" s="7">
        <f ca="1">-IF(D249&gt;0,C252,0)</f>
        <v>0</v>
      </c>
      <c r="D253" s="101">
        <f ca="1">-IF(E249&gt;0,D252,0)</f>
        <v>0</v>
      </c>
      <c r="E253" s="110">
        <f ca="1">-IF(F249&gt;0,E252,0)</f>
        <v>0</v>
      </c>
      <c r="F253" s="7">
        <f ca="1">-IF(G249&gt;0,F252,0)</f>
        <v>0</v>
      </c>
      <c r="G253" s="7">
        <f t="shared" ref="G253:AM253" ca="1" si="143">-IF(H249&gt;0,G252,0)</f>
        <v>0</v>
      </c>
      <c r="H253" s="7">
        <f t="shared" ca="1" si="143"/>
        <v>0</v>
      </c>
      <c r="I253" s="7">
        <f t="shared" ca="1" si="143"/>
        <v>0</v>
      </c>
      <c r="J253" s="7">
        <f t="shared" ca="1" si="143"/>
        <v>0</v>
      </c>
      <c r="K253" s="7">
        <f t="shared" ca="1" si="143"/>
        <v>0</v>
      </c>
      <c r="L253" s="7">
        <f t="shared" ca="1" si="143"/>
        <v>0</v>
      </c>
      <c r="M253" s="7">
        <f t="shared" ca="1" si="143"/>
        <v>0</v>
      </c>
      <c r="N253" s="7">
        <f t="shared" ca="1" si="143"/>
        <v>0</v>
      </c>
      <c r="O253" s="7">
        <f t="shared" ca="1" si="143"/>
        <v>0</v>
      </c>
      <c r="P253" s="7">
        <f t="shared" ca="1" si="143"/>
        <v>0</v>
      </c>
      <c r="Q253" s="7">
        <f t="shared" ca="1" si="143"/>
        <v>0</v>
      </c>
      <c r="R253" s="7">
        <f t="shared" ca="1" si="143"/>
        <v>0</v>
      </c>
      <c r="S253" s="7">
        <f t="shared" ca="1" si="143"/>
        <v>0</v>
      </c>
      <c r="T253" s="7">
        <f t="shared" ca="1" si="143"/>
        <v>0</v>
      </c>
      <c r="U253" s="7">
        <f t="shared" ca="1" si="143"/>
        <v>0</v>
      </c>
      <c r="V253" s="7">
        <f t="shared" ca="1" si="143"/>
        <v>0</v>
      </c>
      <c r="W253" s="7">
        <f t="shared" ca="1" si="143"/>
        <v>0</v>
      </c>
      <c r="X253" s="7">
        <f t="shared" ca="1" si="143"/>
        <v>-406251.60843649623</v>
      </c>
      <c r="Y253" s="7">
        <f t="shared" ca="1" si="143"/>
        <v>0</v>
      </c>
      <c r="Z253" s="7">
        <f t="shared" ca="1" si="143"/>
        <v>0</v>
      </c>
      <c r="AA253" s="7">
        <f t="shared" ca="1" si="143"/>
        <v>0</v>
      </c>
      <c r="AB253" s="7">
        <f t="shared" ca="1" si="143"/>
        <v>0</v>
      </c>
      <c r="AC253" s="7">
        <f t="shared" ca="1" si="143"/>
        <v>0</v>
      </c>
      <c r="AD253" s="7">
        <f t="shared" ca="1" si="143"/>
        <v>0</v>
      </c>
      <c r="AE253" s="7">
        <f t="shared" ca="1" si="143"/>
        <v>0</v>
      </c>
      <c r="AF253" s="7">
        <f t="shared" ca="1" si="143"/>
        <v>0</v>
      </c>
      <c r="AG253" s="7">
        <f t="shared" ca="1" si="143"/>
        <v>0</v>
      </c>
      <c r="AH253" s="7">
        <f t="shared" ca="1" si="143"/>
        <v>0</v>
      </c>
      <c r="AI253" s="7">
        <f t="shared" ca="1" si="143"/>
        <v>0</v>
      </c>
      <c r="AJ253" s="7">
        <f t="shared" ca="1" si="143"/>
        <v>0</v>
      </c>
      <c r="AK253" s="7">
        <f t="shared" ca="1" si="143"/>
        <v>0</v>
      </c>
      <c r="AL253" s="7">
        <f t="shared" ca="1" si="143"/>
        <v>0</v>
      </c>
      <c r="AM253" s="7">
        <f t="shared" si="143"/>
        <v>0</v>
      </c>
    </row>
    <row r="254" spans="1:39" x14ac:dyDescent="0.2">
      <c r="A254" s="3" t="s">
        <v>23</v>
      </c>
      <c r="C254" s="7">
        <v>0</v>
      </c>
      <c r="D254" s="101">
        <f t="shared" ref="D254:AM254" ca="1" si="144">SUM(D252:D253)*VLOOKUP($A251,AssVar,2,FALSE)</f>
        <v>6747.9499707146579</v>
      </c>
      <c r="E254" s="110">
        <f t="shared" ca="1" si="144"/>
        <v>6950.388469836098</v>
      </c>
      <c r="F254" s="7">
        <f t="shared" ca="1" si="144"/>
        <v>7158.900123931181</v>
      </c>
      <c r="G254" s="7">
        <f t="shared" ca="1" si="144"/>
        <v>7373.6671276491161</v>
      </c>
      <c r="H254" s="7">
        <f t="shared" ca="1" si="144"/>
        <v>7594.8771414785897</v>
      </c>
      <c r="I254" s="7">
        <f t="shared" ca="1" si="144"/>
        <v>7822.7234557229476</v>
      </c>
      <c r="J254" s="7">
        <f t="shared" ca="1" si="144"/>
        <v>8057.4051593946369</v>
      </c>
      <c r="K254" s="7">
        <f t="shared" ca="1" si="144"/>
        <v>8299.1273141764759</v>
      </c>
      <c r="L254" s="7">
        <f t="shared" ca="1" si="144"/>
        <v>8548.1011336017709</v>
      </c>
      <c r="M254" s="7">
        <f t="shared" ca="1" si="144"/>
        <v>8804.5441676098253</v>
      </c>
      <c r="N254" s="7">
        <f t="shared" ca="1" si="144"/>
        <v>9068.6804926381192</v>
      </c>
      <c r="O254" s="7">
        <f t="shared" ca="1" si="144"/>
        <v>9340.7409074172629</v>
      </c>
      <c r="P254" s="7">
        <f t="shared" ca="1" si="144"/>
        <v>9620.9631346397819</v>
      </c>
      <c r="Q254" s="7">
        <f t="shared" ca="1" si="144"/>
        <v>9909.5920286789751</v>
      </c>
      <c r="R254" s="7">
        <f t="shared" ca="1" si="144"/>
        <v>10206.879789539344</v>
      </c>
      <c r="S254" s="7">
        <f t="shared" ca="1" si="144"/>
        <v>10513.086183225523</v>
      </c>
      <c r="T254" s="7">
        <f t="shared" ca="1" si="144"/>
        <v>10828.478768722289</v>
      </c>
      <c r="U254" s="7">
        <f t="shared" ca="1" si="144"/>
        <v>11153.333131783957</v>
      </c>
      <c r="V254" s="7">
        <f t="shared" ca="1" si="144"/>
        <v>11487.933125737474</v>
      </c>
      <c r="W254" s="7">
        <f t="shared" ca="1" si="144"/>
        <v>11832.571119509599</v>
      </c>
      <c r="X254" s="7">
        <f t="shared" ca="1" si="144"/>
        <v>0</v>
      </c>
      <c r="Y254" s="7">
        <f t="shared" ca="1" si="144"/>
        <v>0</v>
      </c>
      <c r="Z254" s="7">
        <f t="shared" ca="1" si="144"/>
        <v>0</v>
      </c>
      <c r="AA254" s="7">
        <f t="shared" ca="1" si="144"/>
        <v>0</v>
      </c>
      <c r="AB254" s="7">
        <f t="shared" ca="1" si="144"/>
        <v>0</v>
      </c>
      <c r="AC254" s="7">
        <f t="shared" ca="1" si="144"/>
        <v>0</v>
      </c>
      <c r="AD254" s="7">
        <f t="shared" ca="1" si="144"/>
        <v>0</v>
      </c>
      <c r="AE254" s="7">
        <f t="shared" ca="1" si="144"/>
        <v>0</v>
      </c>
      <c r="AF254" s="7">
        <f t="shared" ca="1" si="144"/>
        <v>0</v>
      </c>
      <c r="AG254" s="7">
        <f t="shared" ca="1" si="144"/>
        <v>0</v>
      </c>
      <c r="AH254" s="7">
        <f t="shared" ca="1" si="144"/>
        <v>0</v>
      </c>
      <c r="AI254" s="7">
        <f t="shared" ca="1" si="144"/>
        <v>0</v>
      </c>
      <c r="AJ254" s="7">
        <f t="shared" ca="1" si="144"/>
        <v>0</v>
      </c>
      <c r="AK254" s="7">
        <f t="shared" ca="1" si="144"/>
        <v>0</v>
      </c>
      <c r="AL254" s="7">
        <f t="shared" ca="1" si="144"/>
        <v>0</v>
      </c>
      <c r="AM254" s="7">
        <f t="shared" ca="1" si="144"/>
        <v>0</v>
      </c>
    </row>
    <row r="255" spans="1:39" x14ac:dyDescent="0.2">
      <c r="A255" s="3" t="s">
        <v>24</v>
      </c>
      <c r="C255" s="7">
        <f ca="1">SUM(C252:C254)</f>
        <v>224931.66569048862</v>
      </c>
      <c r="D255" s="101">
        <f t="shared" ref="D255:AM255" ca="1" si="145">SUM(D252:D254)</f>
        <v>231679.61566120328</v>
      </c>
      <c r="E255" s="110">
        <f t="shared" ca="1" si="145"/>
        <v>238630.00413103937</v>
      </c>
      <c r="F255" s="7">
        <f t="shared" ca="1" si="145"/>
        <v>245788.90425497055</v>
      </c>
      <c r="G255" s="7">
        <f t="shared" ca="1" si="145"/>
        <v>253162.57138261967</v>
      </c>
      <c r="H255" s="7">
        <f t="shared" ca="1" si="145"/>
        <v>260757.44852409826</v>
      </c>
      <c r="I255" s="7">
        <f t="shared" ca="1" si="145"/>
        <v>268580.17197982123</v>
      </c>
      <c r="J255" s="7">
        <f t="shared" ca="1" si="145"/>
        <v>276637.57713921589</v>
      </c>
      <c r="K255" s="7">
        <f t="shared" ca="1" si="145"/>
        <v>284936.70445339236</v>
      </c>
      <c r="L255" s="7">
        <f t="shared" ca="1" si="145"/>
        <v>293484.80558699416</v>
      </c>
      <c r="M255" s="7">
        <f t="shared" ca="1" si="145"/>
        <v>302289.34975460399</v>
      </c>
      <c r="N255" s="7">
        <f t="shared" ca="1" si="145"/>
        <v>311358.03024724213</v>
      </c>
      <c r="O255" s="7">
        <f t="shared" ca="1" si="145"/>
        <v>320698.77115465939</v>
      </c>
      <c r="P255" s="7">
        <f t="shared" ca="1" si="145"/>
        <v>330319.73428929917</v>
      </c>
      <c r="Q255" s="7">
        <f t="shared" ca="1" si="145"/>
        <v>340229.32631797815</v>
      </c>
      <c r="R255" s="7">
        <f t="shared" ca="1" si="145"/>
        <v>350436.20610751747</v>
      </c>
      <c r="S255" s="7">
        <f t="shared" ca="1" si="145"/>
        <v>360949.29229074297</v>
      </c>
      <c r="T255" s="7">
        <f t="shared" ca="1" si="145"/>
        <v>371777.77105946525</v>
      </c>
      <c r="U255" s="7">
        <f t="shared" ca="1" si="145"/>
        <v>382931.10419124918</v>
      </c>
      <c r="V255" s="7">
        <f t="shared" ca="1" si="145"/>
        <v>394419.03731698665</v>
      </c>
      <c r="W255" s="7">
        <f t="shared" ca="1" si="145"/>
        <v>406251.60843649623</v>
      </c>
      <c r="X255" s="7">
        <f t="shared" ca="1" si="145"/>
        <v>0</v>
      </c>
      <c r="Y255" s="7">
        <f t="shared" ca="1" si="145"/>
        <v>0</v>
      </c>
      <c r="Z255" s="7">
        <f t="shared" ca="1" si="145"/>
        <v>0</v>
      </c>
      <c r="AA255" s="7">
        <f t="shared" ca="1" si="145"/>
        <v>0</v>
      </c>
      <c r="AB255" s="7">
        <f t="shared" ca="1" si="145"/>
        <v>0</v>
      </c>
      <c r="AC255" s="7">
        <f t="shared" ca="1" si="145"/>
        <v>0</v>
      </c>
      <c r="AD255" s="7">
        <f t="shared" ca="1" si="145"/>
        <v>0</v>
      </c>
      <c r="AE255" s="7">
        <f t="shared" ca="1" si="145"/>
        <v>0</v>
      </c>
      <c r="AF255" s="7">
        <f t="shared" ca="1" si="145"/>
        <v>0</v>
      </c>
      <c r="AG255" s="7">
        <f t="shared" ca="1" si="145"/>
        <v>0</v>
      </c>
      <c r="AH255" s="7">
        <f t="shared" ca="1" si="145"/>
        <v>0</v>
      </c>
      <c r="AI255" s="7">
        <f t="shared" ca="1" si="145"/>
        <v>0</v>
      </c>
      <c r="AJ255" s="7">
        <f t="shared" ca="1" si="145"/>
        <v>0</v>
      </c>
      <c r="AK255" s="7">
        <f t="shared" ca="1" si="145"/>
        <v>0</v>
      </c>
      <c r="AL255" s="7">
        <f t="shared" ca="1" si="145"/>
        <v>0</v>
      </c>
      <c r="AM255" s="7">
        <f t="shared" ca="1" si="145"/>
        <v>0</v>
      </c>
    </row>
    <row r="256" spans="1:39" x14ac:dyDescent="0.2">
      <c r="A256" s="3" t="s">
        <v>25</v>
      </c>
      <c r="C256" s="7">
        <f t="shared" ref="C256:AM256" ca="1" si="146">C253*VLOOKUP($A251,AssVar,3,FALSE)</f>
        <v>0</v>
      </c>
      <c r="D256" s="101">
        <f t="shared" ca="1" si="146"/>
        <v>0</v>
      </c>
      <c r="E256" s="110">
        <f t="shared" ca="1" si="146"/>
        <v>0</v>
      </c>
      <c r="F256" s="7">
        <f t="shared" ca="1" si="146"/>
        <v>0</v>
      </c>
      <c r="G256" s="7">
        <f t="shared" ca="1" si="146"/>
        <v>0</v>
      </c>
      <c r="H256" s="7">
        <f t="shared" ca="1" si="146"/>
        <v>0</v>
      </c>
      <c r="I256" s="7">
        <f t="shared" ca="1" si="146"/>
        <v>0</v>
      </c>
      <c r="J256" s="7">
        <f t="shared" ca="1" si="146"/>
        <v>0</v>
      </c>
      <c r="K256" s="7">
        <f t="shared" ca="1" si="146"/>
        <v>0</v>
      </c>
      <c r="L256" s="7">
        <f t="shared" ca="1" si="146"/>
        <v>0</v>
      </c>
      <c r="M256" s="7">
        <f t="shared" ca="1" si="146"/>
        <v>0</v>
      </c>
      <c r="N256" s="7">
        <f t="shared" ca="1" si="146"/>
        <v>0</v>
      </c>
      <c r="O256" s="7">
        <f t="shared" ca="1" si="146"/>
        <v>0</v>
      </c>
      <c r="P256" s="7">
        <f t="shared" ca="1" si="146"/>
        <v>0</v>
      </c>
      <c r="Q256" s="7">
        <f t="shared" ca="1" si="146"/>
        <v>0</v>
      </c>
      <c r="R256" s="7">
        <f t="shared" ca="1" si="146"/>
        <v>0</v>
      </c>
      <c r="S256" s="7">
        <f t="shared" ca="1" si="146"/>
        <v>0</v>
      </c>
      <c r="T256" s="7">
        <f t="shared" ca="1" si="146"/>
        <v>0</v>
      </c>
      <c r="U256" s="7">
        <f t="shared" ca="1" si="146"/>
        <v>0</v>
      </c>
      <c r="V256" s="7">
        <f t="shared" ca="1" si="146"/>
        <v>0</v>
      </c>
      <c r="W256" s="7">
        <f t="shared" ca="1" si="146"/>
        <v>0</v>
      </c>
      <c r="X256" s="7">
        <f t="shared" ca="1" si="146"/>
        <v>-60937.741265474433</v>
      </c>
      <c r="Y256" s="7">
        <f t="shared" ca="1" si="146"/>
        <v>0</v>
      </c>
      <c r="Z256" s="7">
        <f t="shared" ca="1" si="146"/>
        <v>0</v>
      </c>
      <c r="AA256" s="7">
        <f t="shared" ca="1" si="146"/>
        <v>0</v>
      </c>
      <c r="AB256" s="7">
        <f t="shared" ca="1" si="146"/>
        <v>0</v>
      </c>
      <c r="AC256" s="7">
        <f t="shared" ca="1" si="146"/>
        <v>0</v>
      </c>
      <c r="AD256" s="7">
        <f t="shared" ca="1" si="146"/>
        <v>0</v>
      </c>
      <c r="AE256" s="7">
        <f t="shared" ca="1" si="146"/>
        <v>0</v>
      </c>
      <c r="AF256" s="7">
        <f t="shared" ca="1" si="146"/>
        <v>0</v>
      </c>
      <c r="AG256" s="7">
        <f t="shared" ca="1" si="146"/>
        <v>0</v>
      </c>
      <c r="AH256" s="7">
        <f t="shared" ca="1" si="146"/>
        <v>0</v>
      </c>
      <c r="AI256" s="7">
        <f t="shared" ca="1" si="146"/>
        <v>0</v>
      </c>
      <c r="AJ256" s="7">
        <f t="shared" ca="1" si="146"/>
        <v>0</v>
      </c>
      <c r="AK256" s="7">
        <f t="shared" ca="1" si="146"/>
        <v>0</v>
      </c>
      <c r="AL256" s="7">
        <f t="shared" ca="1" si="146"/>
        <v>0</v>
      </c>
      <c r="AM256" s="7">
        <f t="shared" si="146"/>
        <v>0</v>
      </c>
    </row>
    <row r="257" spans="1:39" x14ac:dyDescent="0.2">
      <c r="A257" s="3" t="s">
        <v>30</v>
      </c>
      <c r="C257" s="7">
        <f t="shared" ref="C257:AM257" ca="1" si="147">IFERROR(-IF(C252=0,VLOOKUP($A251,$8:$12,C$1+2,FALSE),0),0)</f>
        <v>0</v>
      </c>
      <c r="D257" s="101">
        <f t="shared" ca="1" si="147"/>
        <v>0</v>
      </c>
      <c r="E257" s="110">
        <f t="shared" ca="1" si="147"/>
        <v>0</v>
      </c>
      <c r="F257" s="7">
        <f t="shared" ca="1" si="147"/>
        <v>0</v>
      </c>
      <c r="G257" s="7">
        <f t="shared" ca="1" si="147"/>
        <v>0</v>
      </c>
      <c r="H257" s="7">
        <f t="shared" ca="1" si="147"/>
        <v>0</v>
      </c>
      <c r="I257" s="7">
        <f t="shared" ca="1" si="147"/>
        <v>0</v>
      </c>
      <c r="J257" s="7">
        <f t="shared" ca="1" si="147"/>
        <v>0</v>
      </c>
      <c r="K257" s="7">
        <f t="shared" ca="1" si="147"/>
        <v>0</v>
      </c>
      <c r="L257" s="7">
        <f t="shared" ca="1" si="147"/>
        <v>0</v>
      </c>
      <c r="M257" s="7">
        <f t="shared" ca="1" si="147"/>
        <v>0</v>
      </c>
      <c r="N257" s="7">
        <f t="shared" ca="1" si="147"/>
        <v>0</v>
      </c>
      <c r="O257" s="7">
        <f t="shared" ca="1" si="147"/>
        <v>0</v>
      </c>
      <c r="P257" s="7">
        <f t="shared" ca="1" si="147"/>
        <v>0</v>
      </c>
      <c r="Q257" s="7">
        <f t="shared" ca="1" si="147"/>
        <v>0</v>
      </c>
      <c r="R257" s="7">
        <f t="shared" ca="1" si="147"/>
        <v>0</v>
      </c>
      <c r="S257" s="7">
        <f t="shared" ca="1" si="147"/>
        <v>0</v>
      </c>
      <c r="T257" s="7">
        <f t="shared" ca="1" si="147"/>
        <v>0</v>
      </c>
      <c r="U257" s="7">
        <f t="shared" ca="1" si="147"/>
        <v>0</v>
      </c>
      <c r="V257" s="7">
        <f t="shared" ca="1" si="147"/>
        <v>0</v>
      </c>
      <c r="W257" s="7">
        <f t="shared" ca="1" si="147"/>
        <v>0</v>
      </c>
      <c r="X257" s="7">
        <f t="shared" ca="1" si="147"/>
        <v>0</v>
      </c>
      <c r="Y257" s="7">
        <f t="shared" ca="1" si="147"/>
        <v>-11496.620453164694</v>
      </c>
      <c r="Z257" s="7">
        <f t="shared" ca="1" si="147"/>
        <v>-11841.519066759636</v>
      </c>
      <c r="AA257" s="7">
        <f t="shared" ca="1" si="147"/>
        <v>-12196.764638762426</v>
      </c>
      <c r="AB257" s="7">
        <f t="shared" ca="1" si="147"/>
        <v>-12562.6675779253</v>
      </c>
      <c r="AC257" s="7">
        <f t="shared" ca="1" si="147"/>
        <v>-12939.54760526306</v>
      </c>
      <c r="AD257" s="7">
        <f t="shared" ca="1" si="147"/>
        <v>-13327.734033420953</v>
      </c>
      <c r="AE257" s="7">
        <f t="shared" ca="1" si="147"/>
        <v>-13727.566054423582</v>
      </c>
      <c r="AF257" s="7">
        <f t="shared" ca="1" si="147"/>
        <v>-14139.39303605629</v>
      </c>
      <c r="AG257" s="7">
        <f t="shared" ca="1" si="147"/>
        <v>-14563.57482713798</v>
      </c>
      <c r="AH257" s="7">
        <f t="shared" ca="1" si="147"/>
        <v>-15000.482071952119</v>
      </c>
      <c r="AI257" s="7">
        <f t="shared" ca="1" si="147"/>
        <v>-15450.496534110684</v>
      </c>
      <c r="AJ257" s="7">
        <f t="shared" ca="1" si="147"/>
        <v>-15914.011430134004</v>
      </c>
      <c r="AK257" s="7">
        <f t="shared" ca="1" si="147"/>
        <v>-16391.431773038024</v>
      </c>
      <c r="AL257" s="7">
        <f t="shared" ca="1" si="147"/>
        <v>-16883.174726229165</v>
      </c>
      <c r="AM257" s="7">
        <f t="shared" ca="1" si="147"/>
        <v>-17389.669968016042</v>
      </c>
    </row>
    <row r="258" spans="1:39" x14ac:dyDescent="0.2">
      <c r="A258" s="3" t="s">
        <v>49</v>
      </c>
      <c r="C258" s="7">
        <f t="shared" ref="C258:AM258" ca="1" si="148">IFERROR(IF(C252=0,VLOOKUP($A251,$46:$50,C$1+2,FALSE),0),0)</f>
        <v>0</v>
      </c>
      <c r="D258" s="101">
        <f t="shared" ca="1" si="148"/>
        <v>0</v>
      </c>
      <c r="E258" s="110">
        <f t="shared" ca="1" si="148"/>
        <v>0</v>
      </c>
      <c r="F258" s="7">
        <f t="shared" ca="1" si="148"/>
        <v>0</v>
      </c>
      <c r="G258" s="7">
        <f t="shared" ca="1" si="148"/>
        <v>0</v>
      </c>
      <c r="H258" s="7">
        <f t="shared" ca="1" si="148"/>
        <v>0</v>
      </c>
      <c r="I258" s="7">
        <f t="shared" ca="1" si="148"/>
        <v>0</v>
      </c>
      <c r="J258" s="7">
        <f t="shared" ca="1" si="148"/>
        <v>0</v>
      </c>
      <c r="K258" s="7">
        <f t="shared" ca="1" si="148"/>
        <v>0</v>
      </c>
      <c r="L258" s="7">
        <f t="shared" ca="1" si="148"/>
        <v>0</v>
      </c>
      <c r="M258" s="7">
        <f t="shared" ca="1" si="148"/>
        <v>0</v>
      </c>
      <c r="N258" s="7">
        <f t="shared" ca="1" si="148"/>
        <v>0</v>
      </c>
      <c r="O258" s="7">
        <f t="shared" ca="1" si="148"/>
        <v>0</v>
      </c>
      <c r="P258" s="7">
        <f t="shared" ca="1" si="148"/>
        <v>0</v>
      </c>
      <c r="Q258" s="7">
        <f t="shared" ca="1" si="148"/>
        <v>0</v>
      </c>
      <c r="R258" s="7">
        <f t="shared" ca="1" si="148"/>
        <v>0</v>
      </c>
      <c r="S258" s="7">
        <f t="shared" ca="1" si="148"/>
        <v>0</v>
      </c>
      <c r="T258" s="7">
        <f t="shared" ca="1" si="148"/>
        <v>0</v>
      </c>
      <c r="U258" s="7">
        <f t="shared" ca="1" si="148"/>
        <v>0</v>
      </c>
      <c r="V258" s="7">
        <f t="shared" ca="1" si="148"/>
        <v>0</v>
      </c>
      <c r="W258" s="7">
        <f t="shared" ca="1" si="148"/>
        <v>0</v>
      </c>
      <c r="X258" s="7">
        <f t="shared" ca="1" si="148"/>
        <v>0</v>
      </c>
      <c r="Y258" s="7">
        <f t="shared" ca="1" si="148"/>
        <v>2065.8856770961161</v>
      </c>
      <c r="Z258" s="7">
        <f t="shared" ca="1" si="148"/>
        <v>2117.5328190235191</v>
      </c>
      <c r="AA258" s="7">
        <f t="shared" ca="1" si="148"/>
        <v>2170.4711394991068</v>
      </c>
      <c r="AB258" s="7">
        <f t="shared" ca="1" si="148"/>
        <v>2224.7329179865842</v>
      </c>
      <c r="AC258" s="7">
        <f t="shared" ca="1" si="148"/>
        <v>2280.3512409362484</v>
      </c>
      <c r="AD258" s="7">
        <f t="shared" ca="1" si="148"/>
        <v>2337.3600219596547</v>
      </c>
      <c r="AE258" s="7">
        <f t="shared" ca="1" si="148"/>
        <v>2395.7940225086459</v>
      </c>
      <c r="AF258" s="7">
        <f t="shared" ca="1" si="148"/>
        <v>2455.6888730713622</v>
      </c>
      <c r="AG258" s="7">
        <f t="shared" ca="1" si="148"/>
        <v>2517.0810948981457</v>
      </c>
      <c r="AH258" s="7">
        <f t="shared" ca="1" si="148"/>
        <v>2580.0081222705999</v>
      </c>
      <c r="AI258" s="7">
        <f t="shared" ca="1" si="148"/>
        <v>2644.5083253273642</v>
      </c>
      <c r="AJ258" s="7">
        <f t="shared" ca="1" si="148"/>
        <v>2710.6210334605485</v>
      </c>
      <c r="AK258" s="7">
        <f t="shared" ca="1" si="148"/>
        <v>2778.3865592970619</v>
      </c>
      <c r="AL258" s="7">
        <f t="shared" ca="1" si="148"/>
        <v>2847.8462232794882</v>
      </c>
      <c r="AM258" s="7">
        <f t="shared" ca="1" si="148"/>
        <v>2919.0423788614758</v>
      </c>
    </row>
    <row r="259" spans="1:39" x14ac:dyDescent="0.2">
      <c r="A259" s="3" t="s">
        <v>35</v>
      </c>
      <c r="B259" s="14" t="str">
        <f>A251</f>
        <v>Qormi</v>
      </c>
      <c r="C259" s="7">
        <f t="shared" ref="C259:AM259" ca="1" si="149">IF(AND(C252&gt;0,C255=0),VLOOKUP($A251,$86:$95,C$1+2,FALSE),0)</f>
        <v>0</v>
      </c>
      <c r="D259" s="101">
        <f t="shared" ca="1" si="149"/>
        <v>0</v>
      </c>
      <c r="E259" s="110">
        <f t="shared" ca="1" si="149"/>
        <v>0</v>
      </c>
      <c r="F259" s="7">
        <f t="shared" ca="1" si="149"/>
        <v>0</v>
      </c>
      <c r="G259" s="7">
        <f t="shared" ca="1" si="149"/>
        <v>0</v>
      </c>
      <c r="H259" s="7">
        <f t="shared" ca="1" si="149"/>
        <v>0</v>
      </c>
      <c r="I259" s="7">
        <f t="shared" ca="1" si="149"/>
        <v>0</v>
      </c>
      <c r="J259" s="7">
        <f t="shared" ca="1" si="149"/>
        <v>0</v>
      </c>
      <c r="K259" s="7">
        <f t="shared" ca="1" si="149"/>
        <v>0</v>
      </c>
      <c r="L259" s="7">
        <f t="shared" ca="1" si="149"/>
        <v>0</v>
      </c>
      <c r="M259" s="7">
        <f t="shared" ca="1" si="149"/>
        <v>0</v>
      </c>
      <c r="N259" s="7">
        <f t="shared" ca="1" si="149"/>
        <v>0</v>
      </c>
      <c r="O259" s="7">
        <f t="shared" ca="1" si="149"/>
        <v>0</v>
      </c>
      <c r="P259" s="7">
        <f t="shared" ca="1" si="149"/>
        <v>0</v>
      </c>
      <c r="Q259" s="7">
        <f t="shared" ca="1" si="149"/>
        <v>0</v>
      </c>
      <c r="R259" s="7">
        <f t="shared" ca="1" si="149"/>
        <v>0</v>
      </c>
      <c r="S259" s="7">
        <f t="shared" ca="1" si="149"/>
        <v>0</v>
      </c>
      <c r="T259" s="7">
        <f t="shared" ca="1" si="149"/>
        <v>0</v>
      </c>
      <c r="U259" s="7">
        <f t="shared" ca="1" si="149"/>
        <v>0</v>
      </c>
      <c r="V259" s="7">
        <f t="shared" ca="1" si="149"/>
        <v>0</v>
      </c>
      <c r="W259" s="7">
        <f t="shared" ca="1" si="149"/>
        <v>0</v>
      </c>
      <c r="X259" s="7">
        <f t="shared" ca="1" si="149"/>
        <v>0</v>
      </c>
      <c r="Y259" s="7">
        <f t="shared" ca="1" si="149"/>
        <v>0</v>
      </c>
      <c r="Z259" s="7">
        <f t="shared" ca="1" si="149"/>
        <v>0</v>
      </c>
      <c r="AA259" s="7">
        <f t="shared" ca="1" si="149"/>
        <v>0</v>
      </c>
      <c r="AB259" s="7">
        <f t="shared" ca="1" si="149"/>
        <v>0</v>
      </c>
      <c r="AC259" s="7">
        <f t="shared" ca="1" si="149"/>
        <v>0</v>
      </c>
      <c r="AD259" s="7">
        <f t="shared" ca="1" si="149"/>
        <v>0</v>
      </c>
      <c r="AE259" s="7">
        <f t="shared" ca="1" si="149"/>
        <v>0</v>
      </c>
      <c r="AF259" s="7">
        <f t="shared" ca="1" si="149"/>
        <v>0</v>
      </c>
      <c r="AG259" s="7">
        <f t="shared" ca="1" si="149"/>
        <v>0</v>
      </c>
      <c r="AH259" s="7">
        <f t="shared" ca="1" si="149"/>
        <v>0</v>
      </c>
      <c r="AI259" s="7">
        <f t="shared" ca="1" si="149"/>
        <v>0</v>
      </c>
      <c r="AJ259" s="7">
        <f t="shared" ca="1" si="149"/>
        <v>0</v>
      </c>
      <c r="AK259" s="7">
        <f t="shared" ca="1" si="149"/>
        <v>0</v>
      </c>
      <c r="AL259" s="7">
        <f t="shared" ca="1" si="149"/>
        <v>0</v>
      </c>
      <c r="AM259" s="7">
        <f t="shared" ca="1" si="149"/>
        <v>0</v>
      </c>
    </row>
    <row r="260" spans="1:39" x14ac:dyDescent="0.2">
      <c r="A260" s="3" t="s">
        <v>36</v>
      </c>
      <c r="C260" s="7">
        <f ca="1">-C253+SUM(C256:C259)</f>
        <v>0</v>
      </c>
      <c r="D260" s="101">
        <f t="shared" ref="D260" ca="1" si="150">-D253+SUM(D256:D259)</f>
        <v>0</v>
      </c>
      <c r="E260" s="110">
        <f t="shared" ref="E260:AM260" ca="1" si="151">-E253+SUM(E256:E259)</f>
        <v>0</v>
      </c>
      <c r="F260" s="7">
        <f t="shared" ca="1" si="151"/>
        <v>0</v>
      </c>
      <c r="G260" s="7">
        <f t="shared" ca="1" si="151"/>
        <v>0</v>
      </c>
      <c r="H260" s="7">
        <f t="shared" ca="1" si="151"/>
        <v>0</v>
      </c>
      <c r="I260" s="7">
        <f t="shared" ca="1" si="151"/>
        <v>0</v>
      </c>
      <c r="J260" s="7">
        <f t="shared" ca="1" si="151"/>
        <v>0</v>
      </c>
      <c r="K260" s="7">
        <f t="shared" ca="1" si="151"/>
        <v>0</v>
      </c>
      <c r="L260" s="7">
        <f t="shared" ca="1" si="151"/>
        <v>0</v>
      </c>
      <c r="M260" s="7">
        <f t="shared" ca="1" si="151"/>
        <v>0</v>
      </c>
      <c r="N260" s="7">
        <f t="shared" ca="1" si="151"/>
        <v>0</v>
      </c>
      <c r="O260" s="7">
        <f t="shared" ca="1" si="151"/>
        <v>0</v>
      </c>
      <c r="P260" s="7">
        <f t="shared" ca="1" si="151"/>
        <v>0</v>
      </c>
      <c r="Q260" s="7">
        <f t="shared" ca="1" si="151"/>
        <v>0</v>
      </c>
      <c r="R260" s="7">
        <f t="shared" ca="1" si="151"/>
        <v>0</v>
      </c>
      <c r="S260" s="7">
        <f t="shared" ca="1" si="151"/>
        <v>0</v>
      </c>
      <c r="T260" s="7">
        <f t="shared" ca="1" si="151"/>
        <v>0</v>
      </c>
      <c r="U260" s="7">
        <f t="shared" ca="1" si="151"/>
        <v>0</v>
      </c>
      <c r="V260" s="7">
        <f t="shared" ca="1" si="151"/>
        <v>0</v>
      </c>
      <c r="W260" s="7">
        <f t="shared" ca="1" si="151"/>
        <v>0</v>
      </c>
      <c r="X260" s="7">
        <f t="shared" ca="1" si="151"/>
        <v>345313.86717102182</v>
      </c>
      <c r="Y260" s="7">
        <f t="shared" ca="1" si="151"/>
        <v>-9430.7347760685789</v>
      </c>
      <c r="Z260" s="7">
        <f t="shared" ca="1" si="151"/>
        <v>-9723.9862477361166</v>
      </c>
      <c r="AA260" s="7">
        <f t="shared" ca="1" si="151"/>
        <v>-10026.29349926332</v>
      </c>
      <c r="AB260" s="7">
        <f t="shared" ca="1" si="151"/>
        <v>-10337.934659938715</v>
      </c>
      <c r="AC260" s="7">
        <f t="shared" ca="1" si="151"/>
        <v>-10659.196364326812</v>
      </c>
      <c r="AD260" s="7">
        <f t="shared" ca="1" si="151"/>
        <v>-10990.374011461299</v>
      </c>
      <c r="AE260" s="7">
        <f t="shared" ca="1" si="151"/>
        <v>-11331.772031914936</v>
      </c>
      <c r="AF260" s="7">
        <f t="shared" ca="1" si="151"/>
        <v>-11683.704162984928</v>
      </c>
      <c r="AG260" s="7">
        <f t="shared" ca="1" si="151"/>
        <v>-12046.493732239835</v>
      </c>
      <c r="AH260" s="7">
        <f t="shared" ca="1" si="151"/>
        <v>-12420.47394968152</v>
      </c>
      <c r="AI260" s="7">
        <f t="shared" ca="1" si="151"/>
        <v>-12805.988208783319</v>
      </c>
      <c r="AJ260" s="7">
        <f t="shared" ca="1" si="151"/>
        <v>-13203.390396673454</v>
      </c>
      <c r="AK260" s="7">
        <f t="shared" ca="1" si="151"/>
        <v>-13613.045213740963</v>
      </c>
      <c r="AL260" s="7">
        <f t="shared" ca="1" si="151"/>
        <v>-14035.328502949676</v>
      </c>
      <c r="AM260" s="7">
        <f t="shared" ca="1" si="151"/>
        <v>-14470.627589154567</v>
      </c>
    </row>
    <row r="261" spans="1:39" x14ac:dyDescent="0.2">
      <c r="A261" s="3"/>
      <c r="C261" s="7"/>
      <c r="D261" s="101"/>
      <c r="E261" s="110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  <c r="AB261" s="7"/>
      <c r="AC261" s="7"/>
      <c r="AD261" s="7"/>
      <c r="AE261" s="7"/>
      <c r="AF261" s="7"/>
      <c r="AG261" s="7"/>
      <c r="AH261" s="7"/>
      <c r="AI261" s="7"/>
      <c r="AJ261" s="7"/>
      <c r="AK261" s="7"/>
      <c r="AL261" s="7"/>
      <c r="AM261" s="7"/>
    </row>
    <row r="262" spans="1:39" x14ac:dyDescent="0.2">
      <c r="A262" s="3" t="s">
        <v>70</v>
      </c>
      <c r="C262" s="7">
        <f ca="1">C248+SUM($C260:C260)</f>
        <v>59870.735212387553</v>
      </c>
      <c r="D262" s="101">
        <f ca="1">D248+SUM($C260:D260)</f>
        <v>74614.879410794849</v>
      </c>
      <c r="E262" s="110">
        <f ca="1">E248+SUM($C260:E260)</f>
        <v>165076.06668918394</v>
      </c>
      <c r="F262" s="7">
        <f ca="1">F248+SUM($C260:F260)</f>
        <v>77206.243739473459</v>
      </c>
      <c r="G262" s="7">
        <f ca="1">G248+SUM($C260:G260)</f>
        <v>182711.67734335674</v>
      </c>
      <c r="H262" s="7">
        <f ca="1">H248+SUM($C260:H260)</f>
        <v>129321.73641809248</v>
      </c>
      <c r="I262" s="7">
        <f ca="1">I248+SUM($C260:I260)</f>
        <v>90950.88962435037</v>
      </c>
      <c r="J262" s="7">
        <f ca="1">J248+SUM($C260:J260)</f>
        <v>179062.13035729429</v>
      </c>
      <c r="K262" s="7">
        <f ca="1">K248+SUM($C260:K260)</f>
        <v>118063.23261060109</v>
      </c>
      <c r="L262" s="7">
        <f ca="1">L248+SUM($C260:L260)</f>
        <v>138702.1052700505</v>
      </c>
      <c r="M262" s="7">
        <f ca="1">M248+SUM($C260:M260)</f>
        <v>63712.403213376616</v>
      </c>
      <c r="N262" s="7">
        <f ca="1">N248+SUM($C260:N260)</f>
        <v>36057.731206196739</v>
      </c>
      <c r="O262" s="7">
        <f ca="1">O248+SUM($C260:O260)</f>
        <v>192027.88532400748</v>
      </c>
      <c r="P262" s="7">
        <f ca="1">P248+SUM($C260:P260)</f>
        <v>157731.41495922045</v>
      </c>
      <c r="Q262" s="7">
        <f ca="1">Q248+SUM($C260:Q260)</f>
        <v>121945.59134264999</v>
      </c>
      <c r="R262" s="7">
        <f ca="1">R248+SUM($C260:R260)</f>
        <v>84262.965337333299</v>
      </c>
      <c r="S262" s="7">
        <f ca="1">S248+SUM($C260:S260)</f>
        <v>44642.44139933859</v>
      </c>
      <c r="T262" s="7">
        <f ca="1">T248+SUM($C260:T260)</f>
        <v>20510.263969922486</v>
      </c>
      <c r="U262" s="7">
        <f ca="1">U248+SUM($C260:U260)</f>
        <v>75958.704233317228</v>
      </c>
      <c r="V262" s="7">
        <f ca="1">V248+SUM($C260:V260)</f>
        <v>59647.084068257369</v>
      </c>
      <c r="W262" s="7">
        <f ca="1">W248+SUM($C260:W260)</f>
        <v>42631.814856256737</v>
      </c>
      <c r="X262" s="7">
        <f ca="1">X248+SUM($C260:X260)</f>
        <v>370526.43311176909</v>
      </c>
      <c r="Y262" s="7">
        <f ca="1">Y248+SUM($C260:Y260)</f>
        <v>321675.9852913334</v>
      </c>
      <c r="Z262" s="7">
        <f ca="1">Z248+SUM($C260:Z260)</f>
        <v>270971.36940971232</v>
      </c>
      <c r="AA262" s="7">
        <f ca="1">AA248+SUM($C260:AA260)</f>
        <v>219087.9495240518</v>
      </c>
      <c r="AB262" s="7">
        <f ca="1">AB248+SUM($C260:AB260)</f>
        <v>165998.91987604011</v>
      </c>
      <c r="AC262" s="7">
        <f ca="1">AC248+SUM($C260:AC260)</f>
        <v>111676.88449366271</v>
      </c>
      <c r="AD262" s="7">
        <f ca="1">AD248+SUM($C260:AD260)</f>
        <v>56093.844833765208</v>
      </c>
      <c r="AE262" s="7">
        <f ca="1">AE248+SUM($C260:AE260)</f>
        <v>9203.6622814071598</v>
      </c>
      <c r="AF262" s="7">
        <f ca="1">AF248+SUM($C260:AF260)</f>
        <v>-38755.818089351727</v>
      </c>
      <c r="AG262" s="7">
        <f ca="1">AG248+SUM($C260:AG260)</f>
        <v>-87808.240021609294</v>
      </c>
      <c r="AH262" s="7">
        <f ca="1">AH248+SUM($C260:AH260)</f>
        <v>-137977.7456909696</v>
      </c>
      <c r="AI262" s="7">
        <f ca="1">AI248+SUM($C260:AI260)</f>
        <v>-189288.98538652432</v>
      </c>
      <c r="AJ262" s="7">
        <f ca="1">AJ248+SUM($C260:AJ260)</f>
        <v>-241767.12735046199</v>
      </c>
      <c r="AK262" s="7">
        <f ca="1">AK248+SUM($C260:AK260)</f>
        <v>-295437.86777777225</v>
      </c>
      <c r="AL262" s="7">
        <f ca="1">AL248+SUM($C260:AL260)</f>
        <v>-350327.44097746769</v>
      </c>
      <c r="AM262" s="7">
        <f ca="1">AM248+SUM($C260:AM260)</f>
        <v>-406462.62969670823</v>
      </c>
    </row>
    <row r="263" spans="1:39" x14ac:dyDescent="0.2">
      <c r="A263" s="3" t="s">
        <v>67</v>
      </c>
      <c r="C263" s="7">
        <f t="shared" ref="C263:AM263" ca="1" si="152">MAX(C262+buffer,0)-MAX(C248+buffer,0)</f>
        <v>0</v>
      </c>
      <c r="D263" s="101">
        <f t="shared" ca="1" si="152"/>
        <v>0</v>
      </c>
      <c r="E263" s="110">
        <f t="shared" ca="1" si="152"/>
        <v>0</v>
      </c>
      <c r="F263" s="7">
        <f t="shared" ca="1" si="152"/>
        <v>0</v>
      </c>
      <c r="G263" s="7">
        <f t="shared" ca="1" si="152"/>
        <v>0</v>
      </c>
      <c r="H263" s="7">
        <f t="shared" ca="1" si="152"/>
        <v>0</v>
      </c>
      <c r="I263" s="7">
        <f t="shared" ca="1" si="152"/>
        <v>0</v>
      </c>
      <c r="J263" s="7">
        <f t="shared" ca="1" si="152"/>
        <v>0</v>
      </c>
      <c r="K263" s="7">
        <f t="shared" ca="1" si="152"/>
        <v>0</v>
      </c>
      <c r="L263" s="7">
        <f t="shared" ca="1" si="152"/>
        <v>0</v>
      </c>
      <c r="M263" s="7">
        <f t="shared" ca="1" si="152"/>
        <v>0</v>
      </c>
      <c r="N263" s="7">
        <f t="shared" ca="1" si="152"/>
        <v>0</v>
      </c>
      <c r="O263" s="7">
        <f t="shared" ca="1" si="152"/>
        <v>0</v>
      </c>
      <c r="P263" s="7">
        <f t="shared" ca="1" si="152"/>
        <v>0</v>
      </c>
      <c r="Q263" s="7">
        <f t="shared" ca="1" si="152"/>
        <v>0</v>
      </c>
      <c r="R263" s="7">
        <f t="shared" ca="1" si="152"/>
        <v>0</v>
      </c>
      <c r="S263" s="7">
        <f t="shared" ca="1" si="152"/>
        <v>0</v>
      </c>
      <c r="T263" s="7">
        <f t="shared" ca="1" si="152"/>
        <v>0</v>
      </c>
      <c r="U263" s="7">
        <f t="shared" ca="1" si="152"/>
        <v>0</v>
      </c>
      <c r="V263" s="7">
        <f t="shared" ca="1" si="152"/>
        <v>0</v>
      </c>
      <c r="W263" s="7">
        <f t="shared" ca="1" si="152"/>
        <v>0</v>
      </c>
      <c r="X263" s="7">
        <f t="shared" ca="1" si="152"/>
        <v>345313.86717102182</v>
      </c>
      <c r="Y263" s="7">
        <f t="shared" ca="1" si="152"/>
        <v>335883.13239495322</v>
      </c>
      <c r="Z263" s="7">
        <f t="shared" ca="1" si="152"/>
        <v>320971.36940971232</v>
      </c>
      <c r="AA263" s="7">
        <f t="shared" ca="1" si="152"/>
        <v>269087.9495240518</v>
      </c>
      <c r="AB263" s="7">
        <f t="shared" ca="1" si="152"/>
        <v>215998.91987604011</v>
      </c>
      <c r="AC263" s="7">
        <f t="shared" ca="1" si="152"/>
        <v>161676.88449366271</v>
      </c>
      <c r="AD263" s="7">
        <f t="shared" ca="1" si="152"/>
        <v>106093.84483376521</v>
      </c>
      <c r="AE263" s="7">
        <f t="shared" ca="1" si="152"/>
        <v>59203.66228140716</v>
      </c>
      <c r="AF263" s="7">
        <f t="shared" ca="1" si="152"/>
        <v>11244.181910648273</v>
      </c>
      <c r="AG263" s="7">
        <f t="shared" ca="1" si="152"/>
        <v>0</v>
      </c>
      <c r="AH263" s="7">
        <f t="shared" ca="1" si="152"/>
        <v>0</v>
      </c>
      <c r="AI263" s="7">
        <f t="shared" ca="1" si="152"/>
        <v>0</v>
      </c>
      <c r="AJ263" s="7">
        <f t="shared" ca="1" si="152"/>
        <v>0</v>
      </c>
      <c r="AK263" s="7">
        <f t="shared" ca="1" si="152"/>
        <v>0</v>
      </c>
      <c r="AL263" s="7">
        <f t="shared" ca="1" si="152"/>
        <v>0</v>
      </c>
      <c r="AM263" s="7">
        <f t="shared" ca="1" si="152"/>
        <v>0</v>
      </c>
    </row>
    <row r="264" spans="1:39" x14ac:dyDescent="0.2">
      <c r="A264" s="3" t="s">
        <v>68</v>
      </c>
      <c r="C264" s="7">
        <f ca="1">C263*Inputs!$B$270</f>
        <v>0</v>
      </c>
      <c r="D264" s="101">
        <f ca="1">D263*Inputs!$B$270</f>
        <v>0</v>
      </c>
      <c r="E264" s="110">
        <f ca="1">E263*Inputs!$B$270</f>
        <v>0</v>
      </c>
      <c r="F264" s="7">
        <f ca="1">F263*Inputs!$B$270</f>
        <v>0</v>
      </c>
      <c r="G264" s="7">
        <f ca="1">G263*Inputs!$B$270</f>
        <v>0</v>
      </c>
      <c r="H264" s="7">
        <f ca="1">H263*Inputs!$B$270</f>
        <v>0</v>
      </c>
      <c r="I264" s="7">
        <f ca="1">I263*Inputs!$B$270</f>
        <v>0</v>
      </c>
      <c r="J264" s="7">
        <f ca="1">J263*Inputs!$B$270</f>
        <v>0</v>
      </c>
      <c r="K264" s="7">
        <f ca="1">K263*Inputs!$B$270</f>
        <v>0</v>
      </c>
      <c r="L264" s="7">
        <f ca="1">L263*Inputs!$B$270</f>
        <v>0</v>
      </c>
      <c r="M264" s="7">
        <f ca="1">M263*Inputs!$B$270</f>
        <v>0</v>
      </c>
      <c r="N264" s="7">
        <f ca="1">N263*Inputs!$B$270</f>
        <v>0</v>
      </c>
      <c r="O264" s="7">
        <f ca="1">O263*Inputs!$B$270</f>
        <v>0</v>
      </c>
      <c r="P264" s="7">
        <f ca="1">P263*Inputs!$B$270</f>
        <v>0</v>
      </c>
      <c r="Q264" s="7">
        <f ca="1">Q263*Inputs!$B$270</f>
        <v>0</v>
      </c>
      <c r="R264" s="7">
        <f ca="1">R263*Inputs!$B$270</f>
        <v>0</v>
      </c>
      <c r="S264" s="7">
        <f ca="1">S263*Inputs!$B$270</f>
        <v>0</v>
      </c>
      <c r="T264" s="7">
        <f ca="1">T263*Inputs!$B$270</f>
        <v>0</v>
      </c>
      <c r="U264" s="7">
        <f ca="1">U263*Inputs!$B$270</f>
        <v>0</v>
      </c>
      <c r="V264" s="7">
        <f ca="1">V263*Inputs!$B$270</f>
        <v>0</v>
      </c>
      <c r="W264" s="7">
        <f ca="1">W263*Inputs!$B$270</f>
        <v>0</v>
      </c>
      <c r="X264" s="7">
        <f ca="1">X263*Inputs!$B$270</f>
        <v>8632.8466792755462</v>
      </c>
      <c r="Y264" s="7">
        <f ca="1">Y263*Inputs!$B$270</f>
        <v>8397.0783098738302</v>
      </c>
      <c r="Z264" s="7">
        <f ca="1">Z263*Inputs!$B$270</f>
        <v>8024.2842352428088</v>
      </c>
      <c r="AA264" s="7">
        <f ca="1">AA263*Inputs!$B$270</f>
        <v>6727.198738101295</v>
      </c>
      <c r="AB264" s="7">
        <f ca="1">AB263*Inputs!$B$270</f>
        <v>5399.9729969010032</v>
      </c>
      <c r="AC264" s="7">
        <f ca="1">AC263*Inputs!$B$270</f>
        <v>4041.9221123415682</v>
      </c>
      <c r="AD264" s="7">
        <f ca="1">AD263*Inputs!$B$270</f>
        <v>2652.3461208441304</v>
      </c>
      <c r="AE264" s="7">
        <f ca="1">AE263*Inputs!$B$270</f>
        <v>1480.091557035179</v>
      </c>
      <c r="AF264" s="7">
        <f ca="1">AF263*Inputs!$B$270</f>
        <v>281.10454776620685</v>
      </c>
      <c r="AG264" s="7">
        <f ca="1">AG263*Inputs!$B$270</f>
        <v>0</v>
      </c>
      <c r="AH264" s="7">
        <f ca="1">AH263*Inputs!$B$270</f>
        <v>0</v>
      </c>
      <c r="AI264" s="7">
        <f ca="1">AI263*Inputs!$B$270</f>
        <v>0</v>
      </c>
      <c r="AJ264" s="7">
        <f ca="1">AJ263*Inputs!$B$270</f>
        <v>0</v>
      </c>
      <c r="AK264" s="7">
        <f ca="1">AK263*Inputs!$B$270</f>
        <v>0</v>
      </c>
      <c r="AL264" s="7">
        <f ca="1">AL263*Inputs!$B$270</f>
        <v>0</v>
      </c>
      <c r="AM264" s="7">
        <f ca="1">AM263*Inputs!$B$270</f>
        <v>0</v>
      </c>
    </row>
    <row r="265" spans="1:39" x14ac:dyDescent="0.2">
      <c r="A265" s="3" t="s">
        <v>149</v>
      </c>
      <c r="C265" s="7">
        <f ca="1">C262+SUM($C264:C264)</f>
        <v>59870.735212387553</v>
      </c>
      <c r="D265" s="101">
        <f ca="1">D262+SUM($C264:D264)</f>
        <v>74614.879410794849</v>
      </c>
      <c r="E265" s="110">
        <f ca="1">E262+SUM($C264:E264)</f>
        <v>165076.06668918394</v>
      </c>
      <c r="F265" s="7">
        <f ca="1">F262+SUM($C264:F264)</f>
        <v>77206.243739473459</v>
      </c>
      <c r="G265" s="7">
        <f ca="1">G262+SUM($C264:G264)</f>
        <v>182711.67734335674</v>
      </c>
      <c r="H265" s="7">
        <f ca="1">H262+SUM($C264:H264)</f>
        <v>129321.73641809248</v>
      </c>
      <c r="I265" s="7">
        <f ca="1">I262+SUM($C264:I264)</f>
        <v>90950.88962435037</v>
      </c>
      <c r="J265" s="7">
        <f ca="1">J262+SUM($C264:J264)</f>
        <v>179062.13035729429</v>
      </c>
      <c r="K265" s="7">
        <f ca="1">K262+SUM($C264:K264)</f>
        <v>118063.23261060109</v>
      </c>
      <c r="L265" s="7">
        <f ca="1">L262+SUM($C264:L264)</f>
        <v>138702.1052700505</v>
      </c>
      <c r="M265" s="7">
        <f ca="1">M262+SUM($C264:M264)</f>
        <v>63712.403213376616</v>
      </c>
      <c r="N265" s="7">
        <f ca="1">N262+SUM($C264:N264)</f>
        <v>36057.731206196739</v>
      </c>
      <c r="O265" s="7">
        <f ca="1">O262+SUM($C264:O264)</f>
        <v>192027.88532400748</v>
      </c>
      <c r="P265" s="7">
        <f ca="1">P262+SUM($C264:P264)</f>
        <v>157731.41495922045</v>
      </c>
      <c r="Q265" s="7">
        <f ca="1">Q262+SUM($C264:Q264)</f>
        <v>121945.59134264999</v>
      </c>
      <c r="R265" s="7">
        <f ca="1">R262+SUM($C264:R264)</f>
        <v>84262.965337333299</v>
      </c>
      <c r="S265" s="7">
        <f ca="1">S262+SUM($C264:S264)</f>
        <v>44642.44139933859</v>
      </c>
      <c r="T265" s="7">
        <f ca="1">T262+SUM($C264:T264)</f>
        <v>20510.263969922486</v>
      </c>
      <c r="U265" s="7">
        <f ca="1">U262+SUM($C264:U264)</f>
        <v>75958.704233317228</v>
      </c>
      <c r="V265" s="7">
        <f ca="1">V262+SUM($C264:V264)</f>
        <v>59647.084068257369</v>
      </c>
      <c r="W265" s="7">
        <f ca="1">W262+SUM($C264:W264)</f>
        <v>42631.814856256737</v>
      </c>
      <c r="X265" s="7">
        <f ca="1">X262+SUM($C264:X264)</f>
        <v>379159.27979104465</v>
      </c>
      <c r="Y265" s="7">
        <f ca="1">Y262+SUM($C264:Y264)</f>
        <v>338705.91028048279</v>
      </c>
      <c r="Z265" s="7">
        <f ca="1">Z262+SUM($C264:Z264)</f>
        <v>296025.57863410452</v>
      </c>
      <c r="AA265" s="7">
        <f ca="1">AA262+SUM($C264:AA264)</f>
        <v>250869.35748654528</v>
      </c>
      <c r="AB265" s="7">
        <f ca="1">AB262+SUM($C264:AB264)</f>
        <v>203180.30083543458</v>
      </c>
      <c r="AC265" s="7">
        <f ca="1">AC262+SUM($C264:AC264)</f>
        <v>152900.18756539875</v>
      </c>
      <c r="AD265" s="7">
        <f ca="1">AD262+SUM($C264:AD264)</f>
        <v>99969.49402634539</v>
      </c>
      <c r="AE265" s="7">
        <f ca="1">AE262+SUM($C264:AE264)</f>
        <v>54559.403031022521</v>
      </c>
      <c r="AF265" s="7">
        <f ca="1">AF262+SUM($C264:AF264)</f>
        <v>6881.0272080298382</v>
      </c>
      <c r="AG265" s="7">
        <f ca="1">AG262+SUM($C264:AG264)</f>
        <v>-42171.394724227728</v>
      </c>
      <c r="AH265" s="7">
        <f ca="1">AH262+SUM($C264:AH264)</f>
        <v>-92340.900393588032</v>
      </c>
      <c r="AI265" s="7">
        <f ca="1">AI262+SUM($C264:AI264)</f>
        <v>-143652.14008914275</v>
      </c>
      <c r="AJ265" s="7">
        <f ca="1">AJ262+SUM($C264:AJ264)</f>
        <v>-196130.28205308042</v>
      </c>
      <c r="AK265" s="7">
        <f ca="1">AK262+SUM($C264:AK264)</f>
        <v>-249801.02248039067</v>
      </c>
      <c r="AL265" s="7">
        <f ca="1">AL262+SUM($C264:AL264)</f>
        <v>-304690.59568008612</v>
      </c>
      <c r="AM265" s="7">
        <f ca="1">AM262+SUM($C264:AM264)</f>
        <v>-360825.78439932666</v>
      </c>
    </row>
    <row r="266" spans="1:39" x14ac:dyDescent="0.2">
      <c r="A266" s="3" t="s">
        <v>19</v>
      </c>
      <c r="C266" s="7">
        <f ca="1">IF(C265&lt;0,-C265,0)</f>
        <v>0</v>
      </c>
      <c r="D266" s="101">
        <f ca="1">IF(D265+SUM($C266:C266)&lt;0,-(D265+SUM($C266:C266)),0)</f>
        <v>0</v>
      </c>
      <c r="E266" s="110">
        <f ca="1">IF(E265+SUM($C266:D266)&lt;0,-(E265+SUM($C266:D266)),0)</f>
        <v>0</v>
      </c>
      <c r="F266" s="7">
        <f ca="1">IF(F265+SUM($C266:E266)&lt;0,-(F265+SUM($C266:E266)),0)</f>
        <v>0</v>
      </c>
      <c r="G266" s="7">
        <f ca="1">IF(G265+SUM($C266:F266)&lt;0,-(G265+SUM($C266:F266)),0)</f>
        <v>0</v>
      </c>
      <c r="H266" s="7">
        <f ca="1">IF(H265+SUM($C266:G266)&lt;0,-(H265+SUM($C266:G266)),0)</f>
        <v>0</v>
      </c>
      <c r="I266" s="7">
        <f ca="1">IF(I265+SUM($C266:H266)&lt;0,-(I265+SUM($C266:H266)),0)</f>
        <v>0</v>
      </c>
      <c r="J266" s="7">
        <f ca="1">IF(J265+SUM($C266:I266)&lt;0,-(J265+SUM($C266:I266)),0)</f>
        <v>0</v>
      </c>
      <c r="K266" s="7">
        <f ca="1">IF(K265+SUM($C266:J266)&lt;0,-(K265+SUM($C266:J266)),0)</f>
        <v>0</v>
      </c>
      <c r="L266" s="7">
        <f ca="1">IF(L265+SUM($C266:K266)&lt;0,-(L265+SUM($C266:K266)),0)</f>
        <v>0</v>
      </c>
      <c r="M266" s="7">
        <f ca="1">IF(M265+SUM($C266:L266)&lt;0,-(M265+SUM($C266:L266)),0)</f>
        <v>0</v>
      </c>
      <c r="N266" s="7">
        <f ca="1">IF(N265+SUM($C266:M266)&lt;0,-(N265+SUM($C266:M266)),0)</f>
        <v>0</v>
      </c>
      <c r="O266" s="7">
        <f ca="1">IF(O265+SUM($C266:N266)&lt;0,-(O265+SUM($C266:N266)),0)</f>
        <v>0</v>
      </c>
      <c r="P266" s="7">
        <f ca="1">IF(P265+SUM($C266:O266)&lt;0,-(P265+SUM($C266:O266)),0)</f>
        <v>0</v>
      </c>
      <c r="Q266" s="7">
        <f ca="1">IF(Q265+SUM($C266:P266)&lt;0,-(Q265+SUM($C266:P266)),0)</f>
        <v>0</v>
      </c>
      <c r="R266" s="7">
        <f ca="1">IF(R265+SUM($C266:Q266)&lt;0,-(R265+SUM($C266:Q266)),0)</f>
        <v>0</v>
      </c>
      <c r="S266" s="7">
        <f ca="1">IF(S265+SUM($C266:R266)&lt;0,-(S265+SUM($C266:R266)),0)</f>
        <v>0</v>
      </c>
      <c r="T266" s="7">
        <f ca="1">IF(T265+SUM($C266:S266)&lt;0,-(T265+SUM($C266:S266)),0)</f>
        <v>0</v>
      </c>
      <c r="U266" s="7">
        <f ca="1">IF(U265+SUM($C266:T266)&lt;0,-(U265+SUM($C266:T266)),0)</f>
        <v>0</v>
      </c>
      <c r="V266" s="7">
        <f ca="1">IF(V265+SUM($C266:U266)&lt;0,-(V265+SUM($C266:U266)),0)</f>
        <v>0</v>
      </c>
      <c r="W266" s="7">
        <f ca="1">IF(W265+SUM($C266:V266)&lt;0,-(W265+SUM($C266:V266)),0)</f>
        <v>0</v>
      </c>
      <c r="X266" s="7">
        <f ca="1">IF(X265+SUM($C266:W266)&lt;0,-(X265+SUM($C266:W266)),0)</f>
        <v>0</v>
      </c>
      <c r="Y266" s="7">
        <f ca="1">IF(Y265+SUM($C266:X266)&lt;0,-(Y265+SUM($C266:X266)),0)</f>
        <v>0</v>
      </c>
      <c r="Z266" s="7">
        <f ca="1">IF(Z265+SUM($C266:Y266)&lt;0,-(Z265+SUM($C266:Y266)),0)</f>
        <v>0</v>
      </c>
      <c r="AA266" s="7">
        <f ca="1">IF(AA265+SUM($C266:Z266)&lt;0,-(AA265+SUM($C266:Z266)),0)</f>
        <v>0</v>
      </c>
      <c r="AB266" s="7">
        <f ca="1">IF(AB265+SUM($C266:AA266)&lt;0,-(AB265+SUM($C266:AA266)),0)</f>
        <v>0</v>
      </c>
      <c r="AC266" s="7">
        <f ca="1">IF(AC265+SUM($C266:AB266)&lt;0,-(AC265+SUM($C266:AB266)),0)</f>
        <v>0</v>
      </c>
      <c r="AD266" s="7">
        <f ca="1">IF(AD265+SUM($C266:AC266)&lt;0,-(AD265+SUM($C266:AC266)),0)</f>
        <v>0</v>
      </c>
      <c r="AE266" s="7">
        <f ca="1">IF(AE265+SUM($C266:AD266)&lt;0,-(AE265+SUM($C266:AD266)),0)</f>
        <v>0</v>
      </c>
      <c r="AF266" s="7">
        <f ca="1">IF(AF265+SUM($C266:AE266)&lt;0,-(AF265+SUM($C266:AE266)),0)</f>
        <v>0</v>
      </c>
      <c r="AG266" s="7">
        <f ca="1">IF(AG265+SUM($C266:AF266)&lt;0,-(AG265+SUM($C266:AF266)),0)</f>
        <v>42171.394724227728</v>
      </c>
      <c r="AH266" s="7">
        <f ca="1">IF(AH265+SUM($C266:AG266)&lt;0,-(AH265+SUM($C266:AG266)),0)</f>
        <v>50169.505669360304</v>
      </c>
      <c r="AI266" s="7">
        <f ca="1">IF(AI265+SUM($C266:AH266)&lt;0,-(AI265+SUM($C266:AH266)),0)</f>
        <v>51311.239695554716</v>
      </c>
      <c r="AJ266" s="7">
        <f ca="1">IF(AJ265+SUM($C266:AI266)&lt;0,-(AJ265+SUM($C266:AI266)),0)</f>
        <v>52478.141963937669</v>
      </c>
      <c r="AK266" s="7">
        <f ca="1">IF(AK265+SUM($C266:AJ266)&lt;0,-(AK265+SUM($C266:AJ266)),0)</f>
        <v>53670.740427310258</v>
      </c>
      <c r="AL266" s="7">
        <f ca="1">IF(AL265+SUM($C266:AK266)&lt;0,-(AL265+SUM($C266:AK266)),0)</f>
        <v>54889.573199695442</v>
      </c>
      <c r="AM266" s="7">
        <f ca="1">IF(AM265+SUM($C266:AL266)&lt;0,-(AM265+SUM($C266:AL266)),0)</f>
        <v>56135.188719240541</v>
      </c>
    </row>
    <row r="267" spans="1:39" x14ac:dyDescent="0.2">
      <c r="C267" s="7"/>
      <c r="D267" s="101"/>
      <c r="E267" s="110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  <c r="AB267" s="7"/>
      <c r="AC267" s="7"/>
      <c r="AD267" s="7"/>
      <c r="AE267" s="7"/>
      <c r="AF267" s="7"/>
      <c r="AG267" s="7"/>
      <c r="AH267" s="7"/>
      <c r="AI267" s="7"/>
      <c r="AJ267" s="7"/>
      <c r="AK267" s="7"/>
      <c r="AL267" s="7"/>
      <c r="AM267" s="7"/>
    </row>
    <row r="268" spans="1:39" x14ac:dyDescent="0.2">
      <c r="A268" s="24" t="str">
        <f>IF(Inputs!$B$290=6,IFERROR(_xlfn.XLOOKUP($B268,Inputs!$B$291:$B$300,Inputs!$A$291:$A$300,,0,1),""),IFERROR(_xlfn.XLOOKUP($B268,Inputs!$C$291:$C$300,Inputs!$A$291:$A$300,,0,1),""))</f>
        <v>Sliema</v>
      </c>
      <c r="B268" s="26">
        <v>10</v>
      </c>
      <c r="C268" s="7"/>
      <c r="D268" s="101"/>
      <c r="E268" s="110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  <c r="AE268" s="7"/>
      <c r="AF268" s="7"/>
      <c r="AG268" s="7"/>
      <c r="AH268" s="7"/>
      <c r="AI268" s="7"/>
      <c r="AJ268" s="7"/>
      <c r="AK268" s="7"/>
      <c r="AL268" s="7"/>
      <c r="AM268" s="7"/>
    </row>
    <row r="269" spans="1:39" x14ac:dyDescent="0.2">
      <c r="A269" s="3" t="s">
        <v>21</v>
      </c>
      <c r="C269" s="7">
        <f ca="1">IFERROR(VLOOKUP($A268,$A$68:$H$97,C$1+2,FALSE),0)</f>
        <v>306724.99866884813</v>
      </c>
      <c r="D269" s="101">
        <f ca="1">C272</f>
        <v>306724.99866884813</v>
      </c>
      <c r="E269" s="110">
        <f t="shared" ref="E269:AM269" ca="1" si="153">D272</f>
        <v>315926.7486289136</v>
      </c>
      <c r="F269" s="7">
        <f t="shared" ca="1" si="153"/>
        <v>325404.55108778103</v>
      </c>
      <c r="G269" s="7">
        <f t="shared" ca="1" si="153"/>
        <v>335166.68762041448</v>
      </c>
      <c r="H269" s="7">
        <f t="shared" ca="1" si="153"/>
        <v>345221.68824902689</v>
      </c>
      <c r="I269" s="7">
        <f t="shared" ca="1" si="153"/>
        <v>355578.33889649768</v>
      </c>
      <c r="J269" s="7">
        <f t="shared" ca="1" si="153"/>
        <v>366245.68906339258</v>
      </c>
      <c r="K269" s="7">
        <f t="shared" ca="1" si="153"/>
        <v>377233.05973529437</v>
      </c>
      <c r="L269" s="7">
        <f t="shared" ca="1" si="153"/>
        <v>388550.05152735318</v>
      </c>
      <c r="M269" s="7">
        <f t="shared" ca="1" si="153"/>
        <v>400206.5530731738</v>
      </c>
      <c r="N269" s="7">
        <f t="shared" ca="1" si="153"/>
        <v>412212.74966536899</v>
      </c>
      <c r="O269" s="7">
        <f t="shared" ca="1" si="153"/>
        <v>424579.13215533004</v>
      </c>
      <c r="P269" s="7">
        <f t="shared" ca="1" si="153"/>
        <v>437316.50611998996</v>
      </c>
      <c r="Q269" s="7">
        <f t="shared" ca="1" si="153"/>
        <v>450436.00130358967</v>
      </c>
      <c r="R269" s="7">
        <f t="shared" ca="1" si="153"/>
        <v>463949.08134269738</v>
      </c>
      <c r="S269" s="7">
        <f t="shared" ca="1" si="153"/>
        <v>477867.55378297827</v>
      </c>
      <c r="T269" s="7">
        <f t="shared" ca="1" si="153"/>
        <v>492203.58039646765</v>
      </c>
      <c r="U269" s="7">
        <f t="shared" ca="1" si="153"/>
        <v>506969.68780836166</v>
      </c>
      <c r="V269" s="7">
        <f t="shared" ca="1" si="153"/>
        <v>522178.7784426125</v>
      </c>
      <c r="W269" s="7">
        <f t="shared" ca="1" si="153"/>
        <v>537844.14179589087</v>
      </c>
      <c r="X269" s="7">
        <f t="shared" ca="1" si="153"/>
        <v>553979.46604976756</v>
      </c>
      <c r="Y269" s="7">
        <f t="shared" ca="1" si="153"/>
        <v>570598.85003126063</v>
      </c>
      <c r="Z269" s="7">
        <f t="shared" ca="1" si="153"/>
        <v>587716.81553219841</v>
      </c>
      <c r="AA269" s="7">
        <f t="shared" ca="1" si="153"/>
        <v>605348.31999816431</v>
      </c>
      <c r="AB269" s="7">
        <f t="shared" ca="1" si="153"/>
        <v>623508.76959810918</v>
      </c>
      <c r="AC269" s="7">
        <f t="shared" ca="1" si="153"/>
        <v>642214.03268605249</v>
      </c>
      <c r="AD269" s="7">
        <f t="shared" ca="1" si="153"/>
        <v>661480.45366663404</v>
      </c>
      <c r="AE269" s="7">
        <f t="shared" ca="1" si="153"/>
        <v>681324.86727663304</v>
      </c>
      <c r="AF269" s="7">
        <f t="shared" ca="1" si="153"/>
        <v>701764.61329493206</v>
      </c>
      <c r="AG269" s="7">
        <f t="shared" ca="1" si="153"/>
        <v>0</v>
      </c>
      <c r="AH269" s="7">
        <f t="shared" ca="1" si="153"/>
        <v>0</v>
      </c>
      <c r="AI269" s="7">
        <f t="shared" ca="1" si="153"/>
        <v>0</v>
      </c>
      <c r="AJ269" s="7">
        <f t="shared" ca="1" si="153"/>
        <v>0</v>
      </c>
      <c r="AK269" s="7">
        <f t="shared" ca="1" si="153"/>
        <v>0</v>
      </c>
      <c r="AL269" s="7">
        <f t="shared" ca="1" si="153"/>
        <v>0</v>
      </c>
      <c r="AM269" s="7">
        <f t="shared" ca="1" si="153"/>
        <v>0</v>
      </c>
    </row>
    <row r="270" spans="1:39" x14ac:dyDescent="0.2">
      <c r="A270" s="3" t="s">
        <v>22</v>
      </c>
      <c r="C270" s="7">
        <f ca="1">-IF(D266&gt;0,C269,0)</f>
        <v>0</v>
      </c>
      <c r="D270" s="101">
        <f ca="1">-IF(E266&gt;0,D269,0)</f>
        <v>0</v>
      </c>
      <c r="E270" s="110">
        <f ca="1">-IF(F266&gt;0,E269,0)</f>
        <v>0</v>
      </c>
      <c r="F270" s="7">
        <f ca="1">-IF(G266&gt;0,F269,0)</f>
        <v>0</v>
      </c>
      <c r="G270" s="7">
        <f t="shared" ref="G270:AM270" ca="1" si="154">-IF(H266&gt;0,G269,0)</f>
        <v>0</v>
      </c>
      <c r="H270" s="7">
        <f t="shared" ca="1" si="154"/>
        <v>0</v>
      </c>
      <c r="I270" s="7">
        <f t="shared" ca="1" si="154"/>
        <v>0</v>
      </c>
      <c r="J270" s="7">
        <f t="shared" ca="1" si="154"/>
        <v>0</v>
      </c>
      <c r="K270" s="7">
        <f t="shared" ca="1" si="154"/>
        <v>0</v>
      </c>
      <c r="L270" s="7">
        <f t="shared" ca="1" si="154"/>
        <v>0</v>
      </c>
      <c r="M270" s="7">
        <f t="shared" ca="1" si="154"/>
        <v>0</v>
      </c>
      <c r="N270" s="7">
        <f t="shared" ca="1" si="154"/>
        <v>0</v>
      </c>
      <c r="O270" s="7">
        <f t="shared" ca="1" si="154"/>
        <v>0</v>
      </c>
      <c r="P270" s="7">
        <f t="shared" ca="1" si="154"/>
        <v>0</v>
      </c>
      <c r="Q270" s="7">
        <f t="shared" ca="1" si="154"/>
        <v>0</v>
      </c>
      <c r="R270" s="7">
        <f t="shared" ca="1" si="154"/>
        <v>0</v>
      </c>
      <c r="S270" s="7">
        <f t="shared" ca="1" si="154"/>
        <v>0</v>
      </c>
      <c r="T270" s="7">
        <f t="shared" ca="1" si="154"/>
        <v>0</v>
      </c>
      <c r="U270" s="7">
        <f t="shared" ca="1" si="154"/>
        <v>0</v>
      </c>
      <c r="V270" s="7">
        <f t="shared" ca="1" si="154"/>
        <v>0</v>
      </c>
      <c r="W270" s="7">
        <f t="shared" ca="1" si="154"/>
        <v>0</v>
      </c>
      <c r="X270" s="7">
        <f t="shared" ca="1" si="154"/>
        <v>0</v>
      </c>
      <c r="Y270" s="7">
        <f t="shared" ca="1" si="154"/>
        <v>0</v>
      </c>
      <c r="Z270" s="7">
        <f t="shared" ca="1" si="154"/>
        <v>0</v>
      </c>
      <c r="AA270" s="7">
        <f t="shared" ca="1" si="154"/>
        <v>0</v>
      </c>
      <c r="AB270" s="7">
        <f t="shared" ca="1" si="154"/>
        <v>0</v>
      </c>
      <c r="AC270" s="7">
        <f t="shared" ca="1" si="154"/>
        <v>0</v>
      </c>
      <c r="AD270" s="7">
        <f t="shared" ca="1" si="154"/>
        <v>0</v>
      </c>
      <c r="AE270" s="7">
        <f t="shared" ca="1" si="154"/>
        <v>0</v>
      </c>
      <c r="AF270" s="7">
        <f t="shared" ca="1" si="154"/>
        <v>-701764.61329493206</v>
      </c>
      <c r="AG270" s="7">
        <f t="shared" ca="1" si="154"/>
        <v>0</v>
      </c>
      <c r="AH270" s="7">
        <f t="shared" ca="1" si="154"/>
        <v>0</v>
      </c>
      <c r="AI270" s="7">
        <f t="shared" ca="1" si="154"/>
        <v>0</v>
      </c>
      <c r="AJ270" s="7">
        <f t="shared" ca="1" si="154"/>
        <v>0</v>
      </c>
      <c r="AK270" s="7">
        <f t="shared" ca="1" si="154"/>
        <v>0</v>
      </c>
      <c r="AL270" s="7">
        <f t="shared" ca="1" si="154"/>
        <v>0</v>
      </c>
      <c r="AM270" s="7">
        <f t="shared" si="154"/>
        <v>0</v>
      </c>
    </row>
    <row r="271" spans="1:39" x14ac:dyDescent="0.2">
      <c r="A271" s="3" t="s">
        <v>23</v>
      </c>
      <c r="C271" s="7">
        <v>0</v>
      </c>
      <c r="D271" s="101">
        <f t="shared" ref="D271:AM271" ca="1" si="155">SUM(D269:D270)*VLOOKUP($A268,AssVar,2,FALSE)</f>
        <v>9201.7499600654428</v>
      </c>
      <c r="E271" s="110">
        <f t="shared" ca="1" si="155"/>
        <v>9477.802458867407</v>
      </c>
      <c r="F271" s="7">
        <f t="shared" ca="1" si="155"/>
        <v>9762.1365326334308</v>
      </c>
      <c r="G271" s="7">
        <f t="shared" ca="1" si="155"/>
        <v>10055.000628612434</v>
      </c>
      <c r="H271" s="7">
        <f t="shared" ca="1" si="155"/>
        <v>10356.650647470806</v>
      </c>
      <c r="I271" s="7">
        <f t="shared" ca="1" si="155"/>
        <v>10667.35016689493</v>
      </c>
      <c r="J271" s="7">
        <f t="shared" ca="1" si="155"/>
        <v>10987.370671901777</v>
      </c>
      <c r="K271" s="7">
        <f t="shared" ca="1" si="155"/>
        <v>11316.99179205883</v>
      </c>
      <c r="L271" s="7">
        <f t="shared" ca="1" si="155"/>
        <v>11656.501545820594</v>
      </c>
      <c r="M271" s="7">
        <f t="shared" ca="1" si="155"/>
        <v>12006.196592195214</v>
      </c>
      <c r="N271" s="7">
        <f t="shared" ca="1" si="155"/>
        <v>12366.38248996107</v>
      </c>
      <c r="O271" s="7">
        <f t="shared" ca="1" si="155"/>
        <v>12737.373964659901</v>
      </c>
      <c r="P271" s="7">
        <f t="shared" ca="1" si="155"/>
        <v>13119.495183599698</v>
      </c>
      <c r="Q271" s="7">
        <f t="shared" ca="1" si="155"/>
        <v>13513.08003910769</v>
      </c>
      <c r="R271" s="7">
        <f t="shared" ca="1" si="155"/>
        <v>13918.472440280921</v>
      </c>
      <c r="S271" s="7">
        <f t="shared" ca="1" si="155"/>
        <v>14336.026613489348</v>
      </c>
      <c r="T271" s="7">
        <f t="shared" ca="1" si="155"/>
        <v>14766.107411894029</v>
      </c>
      <c r="U271" s="7">
        <f t="shared" ca="1" si="155"/>
        <v>15209.09063425085</v>
      </c>
      <c r="V271" s="7">
        <f t="shared" ca="1" si="155"/>
        <v>15665.363353278375</v>
      </c>
      <c r="W271" s="7">
        <f t="shared" ca="1" si="155"/>
        <v>16135.324253876726</v>
      </c>
      <c r="X271" s="7">
        <f t="shared" ca="1" si="155"/>
        <v>16619.383981493025</v>
      </c>
      <c r="Y271" s="7">
        <f t="shared" ca="1" si="155"/>
        <v>17117.965500937818</v>
      </c>
      <c r="Z271" s="7">
        <f t="shared" ca="1" si="155"/>
        <v>17631.504465965951</v>
      </c>
      <c r="AA271" s="7">
        <f t="shared" ca="1" si="155"/>
        <v>18160.449599944928</v>
      </c>
      <c r="AB271" s="7">
        <f t="shared" ca="1" si="155"/>
        <v>18705.263087943276</v>
      </c>
      <c r="AC271" s="7">
        <f t="shared" ca="1" si="155"/>
        <v>19266.420980581574</v>
      </c>
      <c r="AD271" s="7">
        <f t="shared" ca="1" si="155"/>
        <v>19844.413609999021</v>
      </c>
      <c r="AE271" s="7">
        <f t="shared" ca="1" si="155"/>
        <v>20439.746018298989</v>
      </c>
      <c r="AF271" s="7">
        <f t="shared" ca="1" si="155"/>
        <v>0</v>
      </c>
      <c r="AG271" s="7">
        <f t="shared" ca="1" si="155"/>
        <v>0</v>
      </c>
      <c r="AH271" s="7">
        <f t="shared" ca="1" si="155"/>
        <v>0</v>
      </c>
      <c r="AI271" s="7">
        <f t="shared" ca="1" si="155"/>
        <v>0</v>
      </c>
      <c r="AJ271" s="7">
        <f t="shared" ca="1" si="155"/>
        <v>0</v>
      </c>
      <c r="AK271" s="7">
        <f t="shared" ca="1" si="155"/>
        <v>0</v>
      </c>
      <c r="AL271" s="7">
        <f t="shared" ca="1" si="155"/>
        <v>0</v>
      </c>
      <c r="AM271" s="7">
        <f t="shared" ca="1" si="155"/>
        <v>0</v>
      </c>
    </row>
    <row r="272" spans="1:39" x14ac:dyDescent="0.2">
      <c r="A272" s="3" t="s">
        <v>24</v>
      </c>
      <c r="C272" s="7">
        <f ca="1">SUM(C269:C271)</f>
        <v>306724.99866884813</v>
      </c>
      <c r="D272" s="101">
        <f t="shared" ref="D272:AM272" ca="1" si="156">SUM(D269:D271)</f>
        <v>315926.7486289136</v>
      </c>
      <c r="E272" s="110">
        <f t="shared" ca="1" si="156"/>
        <v>325404.55108778103</v>
      </c>
      <c r="F272" s="7">
        <f t="shared" ca="1" si="156"/>
        <v>335166.68762041448</v>
      </c>
      <c r="G272" s="7">
        <f t="shared" ca="1" si="156"/>
        <v>345221.68824902689</v>
      </c>
      <c r="H272" s="7">
        <f t="shared" ca="1" si="156"/>
        <v>355578.33889649768</v>
      </c>
      <c r="I272" s="7">
        <f t="shared" ca="1" si="156"/>
        <v>366245.68906339258</v>
      </c>
      <c r="J272" s="7">
        <f t="shared" ca="1" si="156"/>
        <v>377233.05973529437</v>
      </c>
      <c r="K272" s="7">
        <f t="shared" ca="1" si="156"/>
        <v>388550.05152735318</v>
      </c>
      <c r="L272" s="7">
        <f t="shared" ca="1" si="156"/>
        <v>400206.5530731738</v>
      </c>
      <c r="M272" s="7">
        <f t="shared" ca="1" si="156"/>
        <v>412212.74966536899</v>
      </c>
      <c r="N272" s="7">
        <f t="shared" ca="1" si="156"/>
        <v>424579.13215533004</v>
      </c>
      <c r="O272" s="7">
        <f t="shared" ca="1" si="156"/>
        <v>437316.50611998996</v>
      </c>
      <c r="P272" s="7">
        <f t="shared" ca="1" si="156"/>
        <v>450436.00130358967</v>
      </c>
      <c r="Q272" s="7">
        <f t="shared" ca="1" si="156"/>
        <v>463949.08134269738</v>
      </c>
      <c r="R272" s="7">
        <f t="shared" ca="1" si="156"/>
        <v>477867.55378297827</v>
      </c>
      <c r="S272" s="7">
        <f t="shared" ca="1" si="156"/>
        <v>492203.58039646765</v>
      </c>
      <c r="T272" s="7">
        <f t="shared" ca="1" si="156"/>
        <v>506969.68780836166</v>
      </c>
      <c r="U272" s="7">
        <f t="shared" ca="1" si="156"/>
        <v>522178.7784426125</v>
      </c>
      <c r="V272" s="7">
        <f t="shared" ca="1" si="156"/>
        <v>537844.14179589087</v>
      </c>
      <c r="W272" s="7">
        <f t="shared" ca="1" si="156"/>
        <v>553979.46604976756</v>
      </c>
      <c r="X272" s="7">
        <f t="shared" ca="1" si="156"/>
        <v>570598.85003126063</v>
      </c>
      <c r="Y272" s="7">
        <f t="shared" ca="1" si="156"/>
        <v>587716.81553219841</v>
      </c>
      <c r="Z272" s="7">
        <f t="shared" ca="1" si="156"/>
        <v>605348.31999816431</v>
      </c>
      <c r="AA272" s="7">
        <f t="shared" ca="1" si="156"/>
        <v>623508.76959810918</v>
      </c>
      <c r="AB272" s="7">
        <f t="shared" ca="1" si="156"/>
        <v>642214.03268605249</v>
      </c>
      <c r="AC272" s="7">
        <f t="shared" ca="1" si="156"/>
        <v>661480.45366663404</v>
      </c>
      <c r="AD272" s="7">
        <f t="shared" ca="1" si="156"/>
        <v>681324.86727663304</v>
      </c>
      <c r="AE272" s="7">
        <f t="shared" ca="1" si="156"/>
        <v>701764.61329493206</v>
      </c>
      <c r="AF272" s="7">
        <f t="shared" ca="1" si="156"/>
        <v>0</v>
      </c>
      <c r="AG272" s="7">
        <f t="shared" ca="1" si="156"/>
        <v>0</v>
      </c>
      <c r="AH272" s="7">
        <f t="shared" ca="1" si="156"/>
        <v>0</v>
      </c>
      <c r="AI272" s="7">
        <f t="shared" ca="1" si="156"/>
        <v>0</v>
      </c>
      <c r="AJ272" s="7">
        <f t="shared" ca="1" si="156"/>
        <v>0</v>
      </c>
      <c r="AK272" s="7">
        <f t="shared" ca="1" si="156"/>
        <v>0</v>
      </c>
      <c r="AL272" s="7">
        <f t="shared" ca="1" si="156"/>
        <v>0</v>
      </c>
      <c r="AM272" s="7">
        <f t="shared" ca="1" si="156"/>
        <v>0</v>
      </c>
    </row>
    <row r="273" spans="1:39" x14ac:dyDescent="0.2">
      <c r="A273" s="3" t="s">
        <v>25</v>
      </c>
      <c r="C273" s="7">
        <f t="shared" ref="C273:AM273" ca="1" si="157">C270*VLOOKUP($A268,AssVar,3,FALSE)</f>
        <v>0</v>
      </c>
      <c r="D273" s="101">
        <f t="shared" ca="1" si="157"/>
        <v>0</v>
      </c>
      <c r="E273" s="110">
        <f t="shared" ca="1" si="157"/>
        <v>0</v>
      </c>
      <c r="F273" s="7">
        <f t="shared" ca="1" si="157"/>
        <v>0</v>
      </c>
      <c r="G273" s="7">
        <f t="shared" ca="1" si="157"/>
        <v>0</v>
      </c>
      <c r="H273" s="7">
        <f t="shared" ca="1" si="157"/>
        <v>0</v>
      </c>
      <c r="I273" s="7">
        <f t="shared" ca="1" si="157"/>
        <v>0</v>
      </c>
      <c r="J273" s="7">
        <f t="shared" ca="1" si="157"/>
        <v>0</v>
      </c>
      <c r="K273" s="7">
        <f t="shared" ca="1" si="157"/>
        <v>0</v>
      </c>
      <c r="L273" s="7">
        <f t="shared" ca="1" si="157"/>
        <v>0</v>
      </c>
      <c r="M273" s="7">
        <f t="shared" ca="1" si="157"/>
        <v>0</v>
      </c>
      <c r="N273" s="7">
        <f t="shared" ca="1" si="157"/>
        <v>0</v>
      </c>
      <c r="O273" s="7">
        <f t="shared" ca="1" si="157"/>
        <v>0</v>
      </c>
      <c r="P273" s="7">
        <f t="shared" ca="1" si="157"/>
        <v>0</v>
      </c>
      <c r="Q273" s="7">
        <f t="shared" ca="1" si="157"/>
        <v>0</v>
      </c>
      <c r="R273" s="7">
        <f t="shared" ca="1" si="157"/>
        <v>0</v>
      </c>
      <c r="S273" s="7">
        <f t="shared" ca="1" si="157"/>
        <v>0</v>
      </c>
      <c r="T273" s="7">
        <f t="shared" ca="1" si="157"/>
        <v>0</v>
      </c>
      <c r="U273" s="7">
        <f t="shared" ca="1" si="157"/>
        <v>0</v>
      </c>
      <c r="V273" s="7">
        <f t="shared" ca="1" si="157"/>
        <v>0</v>
      </c>
      <c r="W273" s="7">
        <f t="shared" ca="1" si="157"/>
        <v>0</v>
      </c>
      <c r="X273" s="7">
        <f t="shared" ca="1" si="157"/>
        <v>0</v>
      </c>
      <c r="Y273" s="7">
        <f t="shared" ca="1" si="157"/>
        <v>0</v>
      </c>
      <c r="Z273" s="7">
        <f t="shared" ca="1" si="157"/>
        <v>0</v>
      </c>
      <c r="AA273" s="7">
        <f t="shared" ca="1" si="157"/>
        <v>0</v>
      </c>
      <c r="AB273" s="7">
        <f t="shared" ca="1" si="157"/>
        <v>0</v>
      </c>
      <c r="AC273" s="7">
        <f t="shared" ca="1" si="157"/>
        <v>0</v>
      </c>
      <c r="AD273" s="7">
        <f t="shared" ca="1" si="157"/>
        <v>0</v>
      </c>
      <c r="AE273" s="7">
        <f t="shared" ca="1" si="157"/>
        <v>0</v>
      </c>
      <c r="AF273" s="7">
        <f t="shared" ca="1" si="157"/>
        <v>-105264.69199423981</v>
      </c>
      <c r="AG273" s="7">
        <f t="shared" ca="1" si="157"/>
        <v>0</v>
      </c>
      <c r="AH273" s="7">
        <f t="shared" ca="1" si="157"/>
        <v>0</v>
      </c>
      <c r="AI273" s="7">
        <f t="shared" ca="1" si="157"/>
        <v>0</v>
      </c>
      <c r="AJ273" s="7">
        <f t="shared" ca="1" si="157"/>
        <v>0</v>
      </c>
      <c r="AK273" s="7">
        <f t="shared" ca="1" si="157"/>
        <v>0</v>
      </c>
      <c r="AL273" s="7">
        <f t="shared" ca="1" si="157"/>
        <v>0</v>
      </c>
      <c r="AM273" s="7">
        <f t="shared" si="157"/>
        <v>0</v>
      </c>
    </row>
    <row r="274" spans="1:39" x14ac:dyDescent="0.2">
      <c r="A274" s="3" t="s">
        <v>30</v>
      </c>
      <c r="C274" s="7">
        <f t="shared" ref="C274:AM274" ca="1" si="158">IFERROR(-IF(C269=0,VLOOKUP($A268,$8:$12,C$1+2,FALSE),0),0)</f>
        <v>0</v>
      </c>
      <c r="D274" s="101">
        <f t="shared" ca="1" si="158"/>
        <v>0</v>
      </c>
      <c r="E274" s="110">
        <f t="shared" ca="1" si="158"/>
        <v>0</v>
      </c>
      <c r="F274" s="7">
        <f t="shared" ca="1" si="158"/>
        <v>0</v>
      </c>
      <c r="G274" s="7">
        <f t="shared" ca="1" si="158"/>
        <v>0</v>
      </c>
      <c r="H274" s="7">
        <f t="shared" ca="1" si="158"/>
        <v>0</v>
      </c>
      <c r="I274" s="7">
        <f t="shared" ca="1" si="158"/>
        <v>0</v>
      </c>
      <c r="J274" s="7">
        <f t="shared" ca="1" si="158"/>
        <v>0</v>
      </c>
      <c r="K274" s="7">
        <f t="shared" ca="1" si="158"/>
        <v>0</v>
      </c>
      <c r="L274" s="7">
        <f t="shared" ca="1" si="158"/>
        <v>0</v>
      </c>
      <c r="M274" s="7">
        <f t="shared" ca="1" si="158"/>
        <v>0</v>
      </c>
      <c r="N274" s="7">
        <f t="shared" ca="1" si="158"/>
        <v>0</v>
      </c>
      <c r="O274" s="7">
        <f t="shared" ca="1" si="158"/>
        <v>0</v>
      </c>
      <c r="P274" s="7">
        <f t="shared" ca="1" si="158"/>
        <v>0</v>
      </c>
      <c r="Q274" s="7">
        <f t="shared" ca="1" si="158"/>
        <v>0</v>
      </c>
      <c r="R274" s="7">
        <f t="shared" ca="1" si="158"/>
        <v>0</v>
      </c>
      <c r="S274" s="7">
        <f t="shared" ca="1" si="158"/>
        <v>0</v>
      </c>
      <c r="T274" s="7">
        <f t="shared" ca="1" si="158"/>
        <v>0</v>
      </c>
      <c r="U274" s="7">
        <f t="shared" ca="1" si="158"/>
        <v>0</v>
      </c>
      <c r="V274" s="7">
        <f t="shared" ca="1" si="158"/>
        <v>0</v>
      </c>
      <c r="W274" s="7">
        <f t="shared" ca="1" si="158"/>
        <v>0</v>
      </c>
      <c r="X274" s="7">
        <f t="shared" ca="1" si="158"/>
        <v>0</v>
      </c>
      <c r="Y274" s="7">
        <f t="shared" ca="1" si="158"/>
        <v>0</v>
      </c>
      <c r="Z274" s="7">
        <f t="shared" ca="1" si="158"/>
        <v>0</v>
      </c>
      <c r="AA274" s="7">
        <f t="shared" ca="1" si="158"/>
        <v>0</v>
      </c>
      <c r="AB274" s="7">
        <f t="shared" ca="1" si="158"/>
        <v>0</v>
      </c>
      <c r="AC274" s="7">
        <f t="shared" ca="1" si="158"/>
        <v>0</v>
      </c>
      <c r="AD274" s="7">
        <f t="shared" ca="1" si="158"/>
        <v>0</v>
      </c>
      <c r="AE274" s="7">
        <f t="shared" ca="1" si="158"/>
        <v>0</v>
      </c>
      <c r="AF274" s="7">
        <f t="shared" ca="1" si="158"/>
        <v>0</v>
      </c>
      <c r="AG274" s="7">
        <f t="shared" ca="1" si="158"/>
        <v>-21845.362240706963</v>
      </c>
      <c r="AH274" s="7">
        <f t="shared" ca="1" si="158"/>
        <v>-22500.723107928174</v>
      </c>
      <c r="AI274" s="7">
        <f t="shared" ca="1" si="158"/>
        <v>-23175.74480116602</v>
      </c>
      <c r="AJ274" s="7">
        <f t="shared" ca="1" si="158"/>
        <v>-23871.017145201</v>
      </c>
      <c r="AK274" s="7">
        <f t="shared" ca="1" si="158"/>
        <v>-24587.147659557031</v>
      </c>
      <c r="AL274" s="7">
        <f t="shared" ca="1" si="158"/>
        <v>-25324.762089343742</v>
      </c>
      <c r="AM274" s="7">
        <f t="shared" ca="1" si="158"/>
        <v>-26084.504952024054</v>
      </c>
    </row>
    <row r="275" spans="1:39" x14ac:dyDescent="0.2">
      <c r="A275" s="3" t="s">
        <v>49</v>
      </c>
      <c r="C275" s="7">
        <f t="shared" ref="C275:AM275" ca="1" si="159">IFERROR(IF(C269=0,VLOOKUP($A268,$46:$50,C$1+2,FALSE),0),0)</f>
        <v>0</v>
      </c>
      <c r="D275" s="101">
        <f t="shared" ca="1" si="159"/>
        <v>0</v>
      </c>
      <c r="E275" s="110">
        <f t="shared" ca="1" si="159"/>
        <v>0</v>
      </c>
      <c r="F275" s="7">
        <f t="shared" ca="1" si="159"/>
        <v>0</v>
      </c>
      <c r="G275" s="7">
        <f t="shared" ca="1" si="159"/>
        <v>0</v>
      </c>
      <c r="H275" s="7">
        <f t="shared" ca="1" si="159"/>
        <v>0</v>
      </c>
      <c r="I275" s="7">
        <f t="shared" ca="1" si="159"/>
        <v>0</v>
      </c>
      <c r="J275" s="7">
        <f t="shared" ca="1" si="159"/>
        <v>0</v>
      </c>
      <c r="K275" s="7">
        <f t="shared" ca="1" si="159"/>
        <v>0</v>
      </c>
      <c r="L275" s="7">
        <f t="shared" ca="1" si="159"/>
        <v>0</v>
      </c>
      <c r="M275" s="7">
        <f t="shared" ca="1" si="159"/>
        <v>0</v>
      </c>
      <c r="N275" s="7">
        <f t="shared" ca="1" si="159"/>
        <v>0</v>
      </c>
      <c r="O275" s="7">
        <f t="shared" ca="1" si="159"/>
        <v>0</v>
      </c>
      <c r="P275" s="7">
        <f t="shared" ca="1" si="159"/>
        <v>0</v>
      </c>
      <c r="Q275" s="7">
        <f t="shared" ca="1" si="159"/>
        <v>0</v>
      </c>
      <c r="R275" s="7">
        <f t="shared" ca="1" si="159"/>
        <v>0</v>
      </c>
      <c r="S275" s="7">
        <f t="shared" ca="1" si="159"/>
        <v>0</v>
      </c>
      <c r="T275" s="7">
        <f t="shared" ca="1" si="159"/>
        <v>0</v>
      </c>
      <c r="U275" s="7">
        <f t="shared" ca="1" si="159"/>
        <v>0</v>
      </c>
      <c r="V275" s="7">
        <f t="shared" ca="1" si="159"/>
        <v>0</v>
      </c>
      <c r="W275" s="7">
        <f t="shared" ca="1" si="159"/>
        <v>0</v>
      </c>
      <c r="X275" s="7">
        <f t="shared" ca="1" si="159"/>
        <v>0</v>
      </c>
      <c r="Y275" s="7">
        <f t="shared" ca="1" si="159"/>
        <v>0</v>
      </c>
      <c r="Z275" s="7">
        <f t="shared" ca="1" si="159"/>
        <v>0</v>
      </c>
      <c r="AA275" s="7">
        <f t="shared" ca="1" si="159"/>
        <v>0</v>
      </c>
      <c r="AB275" s="7">
        <f t="shared" ca="1" si="159"/>
        <v>0</v>
      </c>
      <c r="AC275" s="7">
        <f t="shared" ca="1" si="159"/>
        <v>0</v>
      </c>
      <c r="AD275" s="7">
        <f t="shared" ca="1" si="159"/>
        <v>0</v>
      </c>
      <c r="AE275" s="7">
        <f t="shared" ca="1" si="159"/>
        <v>0</v>
      </c>
      <c r="AF275" s="7">
        <f t="shared" ca="1" si="159"/>
        <v>0</v>
      </c>
      <c r="AG275" s="7">
        <f t="shared" ca="1" si="159"/>
        <v>10487.83789540894</v>
      </c>
      <c r="AH275" s="7">
        <f t="shared" ca="1" si="159"/>
        <v>10750.033842794166</v>
      </c>
      <c r="AI275" s="7">
        <f t="shared" ca="1" si="159"/>
        <v>11018.784688864018</v>
      </c>
      <c r="AJ275" s="7">
        <f t="shared" ca="1" si="159"/>
        <v>11294.254306085619</v>
      </c>
      <c r="AK275" s="7">
        <f t="shared" ca="1" si="159"/>
        <v>11576.610663737758</v>
      </c>
      <c r="AL275" s="7">
        <f t="shared" ca="1" si="159"/>
        <v>11866.025930331201</v>
      </c>
      <c r="AM275" s="7">
        <f t="shared" ca="1" si="159"/>
        <v>12162.676578589482</v>
      </c>
    </row>
    <row r="276" spans="1:39" x14ac:dyDescent="0.2">
      <c r="A276" s="3" t="s">
        <v>35</v>
      </c>
      <c r="B276" s="14" t="str">
        <f>A268</f>
        <v>Sliema</v>
      </c>
      <c r="C276" s="7">
        <f t="shared" ref="C276:AM276" ca="1" si="160">IF(AND(C269&gt;0,C272=0),VLOOKUP($A268,$86:$95,C$1+2,FALSE),0)</f>
        <v>0</v>
      </c>
      <c r="D276" s="101">
        <f t="shared" ca="1" si="160"/>
        <v>0</v>
      </c>
      <c r="E276" s="110">
        <f t="shared" ca="1" si="160"/>
        <v>0</v>
      </c>
      <c r="F276" s="7">
        <f t="shared" ca="1" si="160"/>
        <v>0</v>
      </c>
      <c r="G276" s="7">
        <f t="shared" ca="1" si="160"/>
        <v>0</v>
      </c>
      <c r="H276" s="7">
        <f t="shared" ca="1" si="160"/>
        <v>0</v>
      </c>
      <c r="I276" s="7">
        <f t="shared" ca="1" si="160"/>
        <v>0</v>
      </c>
      <c r="J276" s="7">
        <f t="shared" ca="1" si="160"/>
        <v>0</v>
      </c>
      <c r="K276" s="7">
        <f t="shared" ca="1" si="160"/>
        <v>0</v>
      </c>
      <c r="L276" s="7">
        <f t="shared" ca="1" si="160"/>
        <v>0</v>
      </c>
      <c r="M276" s="7">
        <f t="shared" ca="1" si="160"/>
        <v>0</v>
      </c>
      <c r="N276" s="7">
        <f t="shared" ca="1" si="160"/>
        <v>0</v>
      </c>
      <c r="O276" s="7">
        <f t="shared" ca="1" si="160"/>
        <v>0</v>
      </c>
      <c r="P276" s="7">
        <f t="shared" ca="1" si="160"/>
        <v>0</v>
      </c>
      <c r="Q276" s="7">
        <f t="shared" ca="1" si="160"/>
        <v>0</v>
      </c>
      <c r="R276" s="7">
        <f t="shared" ca="1" si="160"/>
        <v>0</v>
      </c>
      <c r="S276" s="7">
        <f t="shared" ca="1" si="160"/>
        <v>0</v>
      </c>
      <c r="T276" s="7">
        <f t="shared" ca="1" si="160"/>
        <v>0</v>
      </c>
      <c r="U276" s="7">
        <f t="shared" ca="1" si="160"/>
        <v>0</v>
      </c>
      <c r="V276" s="7">
        <f t="shared" ca="1" si="160"/>
        <v>0</v>
      </c>
      <c r="W276" s="7">
        <f t="shared" ca="1" si="160"/>
        <v>0</v>
      </c>
      <c r="X276" s="7">
        <f t="shared" ca="1" si="160"/>
        <v>0</v>
      </c>
      <c r="Y276" s="7">
        <f t="shared" ca="1" si="160"/>
        <v>0</v>
      </c>
      <c r="Z276" s="7">
        <f t="shared" ca="1" si="160"/>
        <v>0</v>
      </c>
      <c r="AA276" s="7">
        <f t="shared" ca="1" si="160"/>
        <v>0</v>
      </c>
      <c r="AB276" s="7">
        <f t="shared" ca="1" si="160"/>
        <v>0</v>
      </c>
      <c r="AC276" s="7">
        <f t="shared" ca="1" si="160"/>
        <v>0</v>
      </c>
      <c r="AD276" s="7">
        <f t="shared" ca="1" si="160"/>
        <v>0</v>
      </c>
      <c r="AE276" s="7">
        <f t="shared" ca="1" si="160"/>
        <v>0</v>
      </c>
      <c r="AF276" s="7">
        <f t="shared" ca="1" si="160"/>
        <v>0</v>
      </c>
      <c r="AG276" s="7">
        <f t="shared" ca="1" si="160"/>
        <v>0</v>
      </c>
      <c r="AH276" s="7">
        <f t="shared" ca="1" si="160"/>
        <v>0</v>
      </c>
      <c r="AI276" s="7">
        <f t="shared" ca="1" si="160"/>
        <v>0</v>
      </c>
      <c r="AJ276" s="7">
        <f t="shared" ca="1" si="160"/>
        <v>0</v>
      </c>
      <c r="AK276" s="7">
        <f t="shared" ca="1" si="160"/>
        <v>0</v>
      </c>
      <c r="AL276" s="7">
        <f t="shared" ca="1" si="160"/>
        <v>0</v>
      </c>
      <c r="AM276" s="7">
        <f t="shared" ca="1" si="160"/>
        <v>0</v>
      </c>
    </row>
    <row r="277" spans="1:39" x14ac:dyDescent="0.2">
      <c r="A277" s="3" t="s">
        <v>36</v>
      </c>
      <c r="C277" s="7">
        <f ca="1">-C270+SUM(C273:C276)</f>
        <v>0</v>
      </c>
      <c r="D277" s="101">
        <f t="shared" ref="D277" ca="1" si="161">-D270+SUM(D273:D276)</f>
        <v>0</v>
      </c>
      <c r="E277" s="110">
        <f t="shared" ref="E277:AM277" ca="1" si="162">-E270+SUM(E273:E276)</f>
        <v>0</v>
      </c>
      <c r="F277" s="7">
        <f t="shared" ca="1" si="162"/>
        <v>0</v>
      </c>
      <c r="G277" s="7">
        <f t="shared" ca="1" si="162"/>
        <v>0</v>
      </c>
      <c r="H277" s="7">
        <f t="shared" ca="1" si="162"/>
        <v>0</v>
      </c>
      <c r="I277" s="7">
        <f t="shared" ca="1" si="162"/>
        <v>0</v>
      </c>
      <c r="J277" s="7">
        <f t="shared" ca="1" si="162"/>
        <v>0</v>
      </c>
      <c r="K277" s="7">
        <f t="shared" ca="1" si="162"/>
        <v>0</v>
      </c>
      <c r="L277" s="7">
        <f t="shared" ca="1" si="162"/>
        <v>0</v>
      </c>
      <c r="M277" s="7">
        <f t="shared" ca="1" si="162"/>
        <v>0</v>
      </c>
      <c r="N277" s="7">
        <f t="shared" ca="1" si="162"/>
        <v>0</v>
      </c>
      <c r="O277" s="7">
        <f t="shared" ca="1" si="162"/>
        <v>0</v>
      </c>
      <c r="P277" s="7">
        <f t="shared" ca="1" si="162"/>
        <v>0</v>
      </c>
      <c r="Q277" s="7">
        <f t="shared" ca="1" si="162"/>
        <v>0</v>
      </c>
      <c r="R277" s="7">
        <f t="shared" ca="1" si="162"/>
        <v>0</v>
      </c>
      <c r="S277" s="7">
        <f t="shared" ca="1" si="162"/>
        <v>0</v>
      </c>
      <c r="T277" s="7">
        <f t="shared" ca="1" si="162"/>
        <v>0</v>
      </c>
      <c r="U277" s="7">
        <f t="shared" ca="1" si="162"/>
        <v>0</v>
      </c>
      <c r="V277" s="7">
        <f t="shared" ca="1" si="162"/>
        <v>0</v>
      </c>
      <c r="W277" s="7">
        <f t="shared" ca="1" si="162"/>
        <v>0</v>
      </c>
      <c r="X277" s="7">
        <f t="shared" ca="1" si="162"/>
        <v>0</v>
      </c>
      <c r="Y277" s="7">
        <f t="shared" ca="1" si="162"/>
        <v>0</v>
      </c>
      <c r="Z277" s="7">
        <f t="shared" ca="1" si="162"/>
        <v>0</v>
      </c>
      <c r="AA277" s="7">
        <f t="shared" ca="1" si="162"/>
        <v>0</v>
      </c>
      <c r="AB277" s="7">
        <f t="shared" ca="1" si="162"/>
        <v>0</v>
      </c>
      <c r="AC277" s="7">
        <f t="shared" ca="1" si="162"/>
        <v>0</v>
      </c>
      <c r="AD277" s="7">
        <f t="shared" ca="1" si="162"/>
        <v>0</v>
      </c>
      <c r="AE277" s="7">
        <f t="shared" ca="1" si="162"/>
        <v>0</v>
      </c>
      <c r="AF277" s="7">
        <f t="shared" ca="1" si="162"/>
        <v>596499.92130069225</v>
      </c>
      <c r="AG277" s="7">
        <f t="shared" ca="1" si="162"/>
        <v>-11357.524345298023</v>
      </c>
      <c r="AH277" s="7">
        <f t="shared" ca="1" si="162"/>
        <v>-11750.689265134008</v>
      </c>
      <c r="AI277" s="7">
        <f t="shared" ca="1" si="162"/>
        <v>-12156.960112302002</v>
      </c>
      <c r="AJ277" s="7">
        <f t="shared" ca="1" si="162"/>
        <v>-12576.762839115381</v>
      </c>
      <c r="AK277" s="7">
        <f t="shared" ca="1" si="162"/>
        <v>-13010.536995819273</v>
      </c>
      <c r="AL277" s="7">
        <f t="shared" ca="1" si="162"/>
        <v>-13458.73615901254</v>
      </c>
      <c r="AM277" s="7">
        <f t="shared" ca="1" si="162"/>
        <v>-13921.828373434571</v>
      </c>
    </row>
    <row r="278" spans="1:39" x14ac:dyDescent="0.2">
      <c r="A278" s="3"/>
      <c r="C278" s="7"/>
      <c r="D278" s="101"/>
      <c r="E278" s="110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  <c r="AB278" s="7"/>
      <c r="AC278" s="7"/>
      <c r="AD278" s="7"/>
      <c r="AE278" s="7"/>
      <c r="AF278" s="7"/>
      <c r="AG278" s="7"/>
      <c r="AH278" s="7"/>
      <c r="AI278" s="7"/>
      <c r="AJ278" s="7"/>
      <c r="AK278" s="7"/>
      <c r="AL278" s="7"/>
      <c r="AM278" s="7"/>
    </row>
    <row r="279" spans="1:39" x14ac:dyDescent="0.2">
      <c r="A279" s="3" t="s">
        <v>70</v>
      </c>
      <c r="C279" s="7">
        <f ca="1">C265+SUM($C277:C277)</f>
        <v>59870.735212387553</v>
      </c>
      <c r="D279" s="101">
        <f ca="1">D265+SUM($C277:D277)</f>
        <v>74614.879410794849</v>
      </c>
      <c r="E279" s="110">
        <f ca="1">E265+SUM($C277:E277)</f>
        <v>165076.06668918394</v>
      </c>
      <c r="F279" s="7">
        <f ca="1">F265+SUM($C277:F277)</f>
        <v>77206.243739473459</v>
      </c>
      <c r="G279" s="7">
        <f ca="1">G265+SUM($C277:G277)</f>
        <v>182711.67734335674</v>
      </c>
      <c r="H279" s="7">
        <f ca="1">H265+SUM($C277:H277)</f>
        <v>129321.73641809248</v>
      </c>
      <c r="I279" s="7">
        <f ca="1">I265+SUM($C277:I277)</f>
        <v>90950.88962435037</v>
      </c>
      <c r="J279" s="7">
        <f ca="1">J265+SUM($C277:J277)</f>
        <v>179062.13035729429</v>
      </c>
      <c r="K279" s="7">
        <f ca="1">K265+SUM($C277:K277)</f>
        <v>118063.23261060109</v>
      </c>
      <c r="L279" s="7">
        <f ca="1">L265+SUM($C277:L277)</f>
        <v>138702.1052700505</v>
      </c>
      <c r="M279" s="7">
        <f ca="1">M265+SUM($C277:M277)</f>
        <v>63712.403213376616</v>
      </c>
      <c r="N279" s="7">
        <f ca="1">N265+SUM($C277:N277)</f>
        <v>36057.731206196739</v>
      </c>
      <c r="O279" s="7">
        <f ca="1">O265+SUM($C277:O277)</f>
        <v>192027.88532400748</v>
      </c>
      <c r="P279" s="7">
        <f ca="1">P265+SUM($C277:P277)</f>
        <v>157731.41495922045</v>
      </c>
      <c r="Q279" s="7">
        <f ca="1">Q265+SUM($C277:Q277)</f>
        <v>121945.59134264999</v>
      </c>
      <c r="R279" s="7">
        <f ca="1">R265+SUM($C277:R277)</f>
        <v>84262.965337333299</v>
      </c>
      <c r="S279" s="7">
        <f ca="1">S265+SUM($C277:S277)</f>
        <v>44642.44139933859</v>
      </c>
      <c r="T279" s="7">
        <f ca="1">T265+SUM($C277:T277)</f>
        <v>20510.263969922486</v>
      </c>
      <c r="U279" s="7">
        <f ca="1">U265+SUM($C277:U277)</f>
        <v>75958.704233317228</v>
      </c>
      <c r="V279" s="7">
        <f ca="1">V265+SUM($C277:V277)</f>
        <v>59647.084068257369</v>
      </c>
      <c r="W279" s="7">
        <f ca="1">W265+SUM($C277:W277)</f>
        <v>42631.814856256737</v>
      </c>
      <c r="X279" s="7">
        <f ca="1">X265+SUM($C277:X277)</f>
        <v>379159.27979104465</v>
      </c>
      <c r="Y279" s="7">
        <f ca="1">Y265+SUM($C277:Y277)</f>
        <v>338705.91028048279</v>
      </c>
      <c r="Z279" s="7">
        <f ca="1">Z265+SUM($C277:Z277)</f>
        <v>296025.57863410452</v>
      </c>
      <c r="AA279" s="7">
        <f ca="1">AA265+SUM($C277:AA277)</f>
        <v>250869.35748654528</v>
      </c>
      <c r="AB279" s="7">
        <f ca="1">AB265+SUM($C277:AB277)</f>
        <v>203180.30083543458</v>
      </c>
      <c r="AC279" s="7">
        <f ca="1">AC265+SUM($C277:AC277)</f>
        <v>152900.18756539875</v>
      </c>
      <c r="AD279" s="7">
        <f ca="1">AD265+SUM($C277:AD277)</f>
        <v>99969.49402634539</v>
      </c>
      <c r="AE279" s="7">
        <f ca="1">AE265+SUM($C277:AE277)</f>
        <v>54559.403031022521</v>
      </c>
      <c r="AF279" s="7">
        <f ca="1">AF265+SUM($C277:AF277)</f>
        <v>603380.94850872213</v>
      </c>
      <c r="AG279" s="7">
        <f ca="1">AG265+SUM($C277:AG277)</f>
        <v>542971.00223116647</v>
      </c>
      <c r="AH279" s="7">
        <f ca="1">AH265+SUM($C277:AH277)</f>
        <v>481050.80729667214</v>
      </c>
      <c r="AI279" s="7">
        <f ca="1">AI265+SUM($C277:AI277)</f>
        <v>417582.60748881544</v>
      </c>
      <c r="AJ279" s="7">
        <f ca="1">AJ265+SUM($C277:AJ277)</f>
        <v>352527.70268576243</v>
      </c>
      <c r="AK279" s="7">
        <f ca="1">AK265+SUM($C277:AK277)</f>
        <v>285846.42526263284</v>
      </c>
      <c r="AL279" s="7">
        <f ca="1">AL265+SUM($C277:AL277)</f>
        <v>217498.11590392486</v>
      </c>
      <c r="AM279" s="7">
        <f ca="1">AM265+SUM($C277:AM277)</f>
        <v>147441.09881124977</v>
      </c>
    </row>
    <row r="280" spans="1:39" x14ac:dyDescent="0.2">
      <c r="A280" s="3" t="s">
        <v>67</v>
      </c>
      <c r="C280" s="7">
        <f t="shared" ref="C280:AM280" ca="1" si="163">MAX(C279+buffer,0)-MAX(C265+buffer,0)</f>
        <v>0</v>
      </c>
      <c r="D280" s="101">
        <f t="shared" ca="1" si="163"/>
        <v>0</v>
      </c>
      <c r="E280" s="110">
        <f t="shared" ca="1" si="163"/>
        <v>0</v>
      </c>
      <c r="F280" s="7">
        <f t="shared" ca="1" si="163"/>
        <v>0</v>
      </c>
      <c r="G280" s="7">
        <f t="shared" ca="1" si="163"/>
        <v>0</v>
      </c>
      <c r="H280" s="7">
        <f t="shared" ca="1" si="163"/>
        <v>0</v>
      </c>
      <c r="I280" s="7">
        <f t="shared" ca="1" si="163"/>
        <v>0</v>
      </c>
      <c r="J280" s="7">
        <f t="shared" ca="1" si="163"/>
        <v>0</v>
      </c>
      <c r="K280" s="7">
        <f t="shared" ca="1" si="163"/>
        <v>0</v>
      </c>
      <c r="L280" s="7">
        <f t="shared" ca="1" si="163"/>
        <v>0</v>
      </c>
      <c r="M280" s="7">
        <f t="shared" ca="1" si="163"/>
        <v>0</v>
      </c>
      <c r="N280" s="7">
        <f t="shared" ca="1" si="163"/>
        <v>0</v>
      </c>
      <c r="O280" s="7">
        <f t="shared" ca="1" si="163"/>
        <v>0</v>
      </c>
      <c r="P280" s="7">
        <f t="shared" ca="1" si="163"/>
        <v>0</v>
      </c>
      <c r="Q280" s="7">
        <f t="shared" ca="1" si="163"/>
        <v>0</v>
      </c>
      <c r="R280" s="7">
        <f t="shared" ca="1" si="163"/>
        <v>0</v>
      </c>
      <c r="S280" s="7">
        <f t="shared" ca="1" si="163"/>
        <v>0</v>
      </c>
      <c r="T280" s="7">
        <f t="shared" ca="1" si="163"/>
        <v>0</v>
      </c>
      <c r="U280" s="7">
        <f t="shared" ca="1" si="163"/>
        <v>0</v>
      </c>
      <c r="V280" s="7">
        <f t="shared" ca="1" si="163"/>
        <v>0</v>
      </c>
      <c r="W280" s="7">
        <f t="shared" ca="1" si="163"/>
        <v>0</v>
      </c>
      <c r="X280" s="7">
        <f t="shared" ca="1" si="163"/>
        <v>0</v>
      </c>
      <c r="Y280" s="7">
        <f t="shared" ca="1" si="163"/>
        <v>0</v>
      </c>
      <c r="Z280" s="7">
        <f t="shared" ca="1" si="163"/>
        <v>0</v>
      </c>
      <c r="AA280" s="7">
        <f t="shared" ca="1" si="163"/>
        <v>0</v>
      </c>
      <c r="AB280" s="7">
        <f t="shared" ca="1" si="163"/>
        <v>0</v>
      </c>
      <c r="AC280" s="7">
        <f t="shared" ca="1" si="163"/>
        <v>0</v>
      </c>
      <c r="AD280" s="7">
        <f t="shared" ca="1" si="163"/>
        <v>0</v>
      </c>
      <c r="AE280" s="7">
        <f t="shared" ca="1" si="163"/>
        <v>0</v>
      </c>
      <c r="AF280" s="7">
        <f t="shared" ca="1" si="163"/>
        <v>596499.92130069225</v>
      </c>
      <c r="AG280" s="7">
        <f t="shared" ca="1" si="163"/>
        <v>585142.39695539419</v>
      </c>
      <c r="AH280" s="7">
        <f t="shared" ca="1" si="163"/>
        <v>531050.80729667214</v>
      </c>
      <c r="AI280" s="7">
        <f t="shared" ca="1" si="163"/>
        <v>467582.60748881544</v>
      </c>
      <c r="AJ280" s="7">
        <f t="shared" ca="1" si="163"/>
        <v>402527.70268576243</v>
      </c>
      <c r="AK280" s="7">
        <f t="shared" ca="1" si="163"/>
        <v>335846.42526263284</v>
      </c>
      <c r="AL280" s="7">
        <f t="shared" ca="1" si="163"/>
        <v>267498.11590392486</v>
      </c>
      <c r="AM280" s="7">
        <f t="shared" ca="1" si="163"/>
        <v>197441.09881124977</v>
      </c>
    </row>
    <row r="281" spans="1:39" x14ac:dyDescent="0.2">
      <c r="A281" s="3" t="s">
        <v>68</v>
      </c>
      <c r="C281" s="7">
        <f ca="1">C280*Inputs!$B$270</f>
        <v>0</v>
      </c>
      <c r="D281" s="101">
        <f ca="1">D280*Inputs!$B$270</f>
        <v>0</v>
      </c>
      <c r="E281" s="110">
        <f ca="1">E280*Inputs!$B$270</f>
        <v>0</v>
      </c>
      <c r="F281" s="7">
        <f ca="1">F280*Inputs!$B$270</f>
        <v>0</v>
      </c>
      <c r="G281" s="7">
        <f ca="1">G280*Inputs!$B$270</f>
        <v>0</v>
      </c>
      <c r="H281" s="7">
        <f ca="1">H280*Inputs!$B$270</f>
        <v>0</v>
      </c>
      <c r="I281" s="7">
        <f ca="1">I280*Inputs!$B$270</f>
        <v>0</v>
      </c>
      <c r="J281" s="7">
        <f ca="1">J280*Inputs!$B$270</f>
        <v>0</v>
      </c>
      <c r="K281" s="7">
        <f ca="1">K280*Inputs!$B$270</f>
        <v>0</v>
      </c>
      <c r="L281" s="7">
        <f ca="1">L280*Inputs!$B$270</f>
        <v>0</v>
      </c>
      <c r="M281" s="7">
        <f ca="1">M280*Inputs!$B$270</f>
        <v>0</v>
      </c>
      <c r="N281" s="7">
        <f ca="1">N280*Inputs!$B$270</f>
        <v>0</v>
      </c>
      <c r="O281" s="7">
        <f ca="1">O280*Inputs!$B$270</f>
        <v>0</v>
      </c>
      <c r="P281" s="7">
        <f ca="1">P280*Inputs!$B$270</f>
        <v>0</v>
      </c>
      <c r="Q281" s="7">
        <f ca="1">Q280*Inputs!$B$270</f>
        <v>0</v>
      </c>
      <c r="R281" s="7">
        <f ca="1">R280*Inputs!$B$270</f>
        <v>0</v>
      </c>
      <c r="S281" s="7">
        <f ca="1">S280*Inputs!$B$270</f>
        <v>0</v>
      </c>
      <c r="T281" s="7">
        <f ca="1">T280*Inputs!$B$270</f>
        <v>0</v>
      </c>
      <c r="U281" s="7">
        <f ca="1">U280*Inputs!$B$270</f>
        <v>0</v>
      </c>
      <c r="V281" s="7">
        <f ca="1">V280*Inputs!$B$270</f>
        <v>0</v>
      </c>
      <c r="W281" s="7">
        <f ca="1">W280*Inputs!$B$270</f>
        <v>0</v>
      </c>
      <c r="X281" s="7">
        <f ca="1">X280*Inputs!$B$270</f>
        <v>0</v>
      </c>
      <c r="Y281" s="7">
        <f ca="1">Y280*Inputs!$B$270</f>
        <v>0</v>
      </c>
      <c r="Z281" s="7">
        <f ca="1">Z280*Inputs!$B$270</f>
        <v>0</v>
      </c>
      <c r="AA281" s="7">
        <f ca="1">AA280*Inputs!$B$270</f>
        <v>0</v>
      </c>
      <c r="AB281" s="7">
        <f ca="1">AB280*Inputs!$B$270</f>
        <v>0</v>
      </c>
      <c r="AC281" s="7">
        <f ca="1">AC280*Inputs!$B$270</f>
        <v>0</v>
      </c>
      <c r="AD281" s="7">
        <f ca="1">AD280*Inputs!$B$270</f>
        <v>0</v>
      </c>
      <c r="AE281" s="7">
        <f ca="1">AE280*Inputs!$B$270</f>
        <v>0</v>
      </c>
      <c r="AF281" s="7">
        <f ca="1">AF280*Inputs!$B$270</f>
        <v>14912.498032517307</v>
      </c>
      <c r="AG281" s="7">
        <f ca="1">AG280*Inputs!$B$270</f>
        <v>14628.559923884855</v>
      </c>
      <c r="AH281" s="7">
        <f ca="1">AH280*Inputs!$B$270</f>
        <v>13276.270182416803</v>
      </c>
      <c r="AI281" s="7">
        <f ca="1">AI280*Inputs!$B$270</f>
        <v>11689.565187220387</v>
      </c>
      <c r="AJ281" s="7">
        <f ca="1">AJ280*Inputs!$B$270</f>
        <v>10063.192567144062</v>
      </c>
      <c r="AK281" s="7">
        <f ca="1">AK280*Inputs!$B$270</f>
        <v>8396.1606315658209</v>
      </c>
      <c r="AL281" s="7">
        <f ca="1">AL280*Inputs!$B$270</f>
        <v>6687.452897598122</v>
      </c>
      <c r="AM281" s="7">
        <f ca="1">AM280*Inputs!$B$270</f>
        <v>4936.0274702812449</v>
      </c>
    </row>
    <row r="282" spans="1:39" x14ac:dyDescent="0.2">
      <c r="A282" s="3" t="s">
        <v>149</v>
      </c>
      <c r="C282" s="7">
        <f ca="1">C279+SUM($C281:C281)</f>
        <v>59870.735212387553</v>
      </c>
      <c r="D282" s="101">
        <f ca="1">D279+SUM($C281:D281)</f>
        <v>74614.879410794849</v>
      </c>
      <c r="E282" s="110">
        <f ca="1">E279+SUM($C281:E281)</f>
        <v>165076.06668918394</v>
      </c>
      <c r="F282" s="7">
        <f ca="1">F279+SUM($C281:F281)</f>
        <v>77206.243739473459</v>
      </c>
      <c r="G282" s="7">
        <f ca="1">G279+SUM($C281:G281)</f>
        <v>182711.67734335674</v>
      </c>
      <c r="H282" s="7">
        <f ca="1">H279+SUM($C281:H281)</f>
        <v>129321.73641809248</v>
      </c>
      <c r="I282" s="7">
        <f ca="1">I279+SUM($C281:I281)</f>
        <v>90950.88962435037</v>
      </c>
      <c r="J282" s="7">
        <f ca="1">J279+SUM($C281:J281)</f>
        <v>179062.13035729429</v>
      </c>
      <c r="K282" s="7">
        <f ca="1">K279+SUM($C281:K281)</f>
        <v>118063.23261060109</v>
      </c>
      <c r="L282" s="7">
        <f ca="1">L279+SUM($C281:L281)</f>
        <v>138702.1052700505</v>
      </c>
      <c r="M282" s="7">
        <f ca="1">M279+SUM($C281:M281)</f>
        <v>63712.403213376616</v>
      </c>
      <c r="N282" s="7">
        <f ca="1">N279+SUM($C281:N281)</f>
        <v>36057.731206196739</v>
      </c>
      <c r="O282" s="7">
        <f ca="1">O279+SUM($C281:O281)</f>
        <v>192027.88532400748</v>
      </c>
      <c r="P282" s="7">
        <f ca="1">P279+SUM($C281:P281)</f>
        <v>157731.41495922045</v>
      </c>
      <c r="Q282" s="7">
        <f ca="1">Q279+SUM($C281:Q281)</f>
        <v>121945.59134264999</v>
      </c>
      <c r="R282" s="7">
        <f ca="1">R279+SUM($C281:R281)</f>
        <v>84262.965337333299</v>
      </c>
      <c r="S282" s="7">
        <f ca="1">S279+SUM($C281:S281)</f>
        <v>44642.44139933859</v>
      </c>
      <c r="T282" s="7">
        <f ca="1">T279+SUM($C281:T281)</f>
        <v>20510.263969922486</v>
      </c>
      <c r="U282" s="7">
        <f ca="1">U279+SUM($C281:U281)</f>
        <v>75958.704233317228</v>
      </c>
      <c r="V282" s="7">
        <f ca="1">V279+SUM($C281:V281)</f>
        <v>59647.084068257369</v>
      </c>
      <c r="W282" s="7">
        <f ca="1">W279+SUM($C281:W281)</f>
        <v>42631.814856256737</v>
      </c>
      <c r="X282" s="7">
        <f ca="1">X279+SUM($C281:X281)</f>
        <v>379159.27979104465</v>
      </c>
      <c r="Y282" s="7">
        <f ca="1">Y279+SUM($C281:Y281)</f>
        <v>338705.91028048279</v>
      </c>
      <c r="Z282" s="7">
        <f ca="1">Z279+SUM($C281:Z281)</f>
        <v>296025.57863410452</v>
      </c>
      <c r="AA282" s="7">
        <f ca="1">AA279+SUM($C281:AA281)</f>
        <v>250869.35748654528</v>
      </c>
      <c r="AB282" s="7">
        <f ca="1">AB279+SUM($C281:AB281)</f>
        <v>203180.30083543458</v>
      </c>
      <c r="AC282" s="7">
        <f ca="1">AC279+SUM($C281:AC281)</f>
        <v>152900.18756539875</v>
      </c>
      <c r="AD282" s="7">
        <f ca="1">AD279+SUM($C281:AD281)</f>
        <v>99969.49402634539</v>
      </c>
      <c r="AE282" s="7">
        <f ca="1">AE279+SUM($C281:AE281)</f>
        <v>54559.403031022521</v>
      </c>
      <c r="AF282" s="7">
        <f ca="1">AF279+SUM($C281:AF281)</f>
        <v>618293.44654123939</v>
      </c>
      <c r="AG282" s="7">
        <f ca="1">AG279+SUM($C281:AG281)</f>
        <v>572512.06018756866</v>
      </c>
      <c r="AH282" s="7">
        <f ca="1">AH279+SUM($C281:AH281)</f>
        <v>523868.1354354911</v>
      </c>
      <c r="AI282" s="7">
        <f ca="1">AI279+SUM($C281:AI281)</f>
        <v>472089.50081485481</v>
      </c>
      <c r="AJ282" s="7">
        <f ca="1">AJ279+SUM($C281:AJ281)</f>
        <v>417097.78857894585</v>
      </c>
      <c r="AK282" s="7">
        <f ca="1">AK279+SUM($C281:AK281)</f>
        <v>358812.6717873821</v>
      </c>
      <c r="AL282" s="7">
        <f ca="1">AL279+SUM($C281:AL281)</f>
        <v>297151.81532627222</v>
      </c>
      <c r="AM282" s="7">
        <f ca="1">AM279+SUM($C281:AM281)</f>
        <v>232030.82570387836</v>
      </c>
    </row>
    <row r="283" spans="1:39" x14ac:dyDescent="0.2">
      <c r="A283" s="3"/>
      <c r="C283" s="7"/>
      <c r="D283" s="101"/>
      <c r="E283" s="110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7"/>
      <c r="AD283" s="7"/>
      <c r="AE283" s="7"/>
      <c r="AF283" s="7"/>
      <c r="AG283" s="7"/>
      <c r="AH283" s="7"/>
      <c r="AI283" s="7"/>
      <c r="AJ283" s="7"/>
      <c r="AK283" s="7"/>
      <c r="AL283" s="7"/>
      <c r="AM283" s="7"/>
    </row>
    <row r="284" spans="1:39" x14ac:dyDescent="0.2">
      <c r="A284" s="3" t="s">
        <v>147</v>
      </c>
      <c r="C284" s="7">
        <f t="shared" ref="C284:AM284" ca="1" si="164">C282+buffer</f>
        <v>109870.73521238755</v>
      </c>
      <c r="D284" s="101">
        <f t="shared" ca="1" si="164"/>
        <v>124614.87941079485</v>
      </c>
      <c r="E284" s="110">
        <f t="shared" ca="1" si="164"/>
        <v>215076.06668918394</v>
      </c>
      <c r="F284" s="7">
        <f t="shared" ca="1" si="164"/>
        <v>127206.24373947346</v>
      </c>
      <c r="G284" s="7">
        <f t="shared" ca="1" si="164"/>
        <v>232711.67734335674</v>
      </c>
      <c r="H284" s="7">
        <f t="shared" ca="1" si="164"/>
        <v>179321.73641809248</v>
      </c>
      <c r="I284" s="7">
        <f t="shared" ca="1" si="164"/>
        <v>140950.88962435036</v>
      </c>
      <c r="J284" s="7">
        <f t="shared" ca="1" si="164"/>
        <v>229062.13035729429</v>
      </c>
      <c r="K284" s="7">
        <f t="shared" ca="1" si="164"/>
        <v>168063.23261060109</v>
      </c>
      <c r="L284" s="7">
        <f t="shared" ca="1" si="164"/>
        <v>188702.1052700505</v>
      </c>
      <c r="M284" s="7">
        <f t="shared" ca="1" si="164"/>
        <v>113712.40321337662</v>
      </c>
      <c r="N284" s="7">
        <f t="shared" ca="1" si="164"/>
        <v>86057.731206196739</v>
      </c>
      <c r="O284" s="7">
        <f t="shared" ca="1" si="164"/>
        <v>242027.88532400748</v>
      </c>
      <c r="P284" s="7">
        <f t="shared" ca="1" si="164"/>
        <v>207731.41495922045</v>
      </c>
      <c r="Q284" s="7">
        <f t="shared" ca="1" si="164"/>
        <v>171945.59134265</v>
      </c>
      <c r="R284" s="7">
        <f t="shared" ca="1" si="164"/>
        <v>134262.9653373333</v>
      </c>
      <c r="S284" s="7">
        <f t="shared" ca="1" si="164"/>
        <v>94642.441399338597</v>
      </c>
      <c r="T284" s="7">
        <f t="shared" ca="1" si="164"/>
        <v>70510.263969922482</v>
      </c>
      <c r="U284" s="7">
        <f t="shared" ca="1" si="164"/>
        <v>125958.70423331723</v>
      </c>
      <c r="V284" s="7">
        <f t="shared" ca="1" si="164"/>
        <v>109647.08406825736</v>
      </c>
      <c r="W284" s="7">
        <f t="shared" ca="1" si="164"/>
        <v>92631.814856256737</v>
      </c>
      <c r="X284" s="7">
        <f t="shared" ca="1" si="164"/>
        <v>429159.27979104465</v>
      </c>
      <c r="Y284" s="7">
        <f t="shared" ca="1" si="164"/>
        <v>388705.91028048279</v>
      </c>
      <c r="Z284" s="7">
        <f t="shared" ca="1" si="164"/>
        <v>346025.57863410452</v>
      </c>
      <c r="AA284" s="7">
        <f t="shared" ca="1" si="164"/>
        <v>300869.35748654528</v>
      </c>
      <c r="AB284" s="7">
        <f t="shared" ca="1" si="164"/>
        <v>253180.30083543458</v>
      </c>
      <c r="AC284" s="7">
        <f t="shared" ca="1" si="164"/>
        <v>202900.18756539875</v>
      </c>
      <c r="AD284" s="7">
        <f t="shared" ca="1" si="164"/>
        <v>149969.49402634538</v>
      </c>
      <c r="AE284" s="7">
        <f t="shared" ca="1" si="164"/>
        <v>104559.40303102252</v>
      </c>
      <c r="AF284" s="7">
        <f t="shared" ca="1" si="164"/>
        <v>668293.44654123939</v>
      </c>
      <c r="AG284" s="7">
        <f t="shared" ca="1" si="164"/>
        <v>622512.06018756866</v>
      </c>
      <c r="AH284" s="7">
        <f t="shared" ca="1" si="164"/>
        <v>573868.1354354911</v>
      </c>
      <c r="AI284" s="7">
        <f t="shared" ca="1" si="164"/>
        <v>522089.50081485481</v>
      </c>
      <c r="AJ284" s="7">
        <f t="shared" ca="1" si="164"/>
        <v>467097.78857894585</v>
      </c>
      <c r="AK284" s="7">
        <f t="shared" ca="1" si="164"/>
        <v>408812.6717873821</v>
      </c>
      <c r="AL284" s="7">
        <f t="shared" ca="1" si="164"/>
        <v>347151.81532627222</v>
      </c>
      <c r="AM284" s="7">
        <f t="shared" ca="1" si="164"/>
        <v>282030.82570387836</v>
      </c>
    </row>
    <row r="285" spans="1:39" x14ac:dyDescent="0.2">
      <c r="A285" s="4"/>
      <c r="C285" s="7"/>
      <c r="D285" s="101"/>
      <c r="E285" s="110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  <c r="AB285" s="7"/>
      <c r="AC285" s="7"/>
      <c r="AD285" s="7"/>
      <c r="AE285" s="7"/>
      <c r="AF285" s="7"/>
      <c r="AG285" s="7"/>
      <c r="AH285" s="7"/>
      <c r="AI285" s="7"/>
      <c r="AJ285" s="7"/>
      <c r="AK285" s="7"/>
      <c r="AL285" s="7"/>
      <c r="AM285" s="7"/>
    </row>
    <row r="286" spans="1:39" x14ac:dyDescent="0.2">
      <c r="A286" s="29" t="s">
        <v>58</v>
      </c>
      <c r="B286" s="26"/>
      <c r="C286" s="7"/>
      <c r="D286" s="101"/>
      <c r="E286" s="110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7"/>
      <c r="AD286" s="7"/>
      <c r="AE286" s="7"/>
      <c r="AF286" s="7"/>
      <c r="AG286" s="7"/>
      <c r="AH286" s="7"/>
      <c r="AI286" s="7"/>
      <c r="AJ286" s="7"/>
      <c r="AK286" s="7"/>
      <c r="AL286" s="7"/>
      <c r="AM286" s="7"/>
    </row>
    <row r="287" spans="1:39" x14ac:dyDescent="0.2">
      <c r="A287" s="3"/>
      <c r="C287" s="7"/>
      <c r="D287" s="101"/>
      <c r="E287" s="110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  <c r="AB287" s="7"/>
      <c r="AC287" s="7"/>
      <c r="AD287" s="7"/>
      <c r="AE287" s="7"/>
      <c r="AF287" s="7"/>
      <c r="AG287" s="7"/>
      <c r="AH287" s="7"/>
      <c r="AI287" s="7"/>
      <c r="AJ287" s="7"/>
      <c r="AK287" s="7"/>
      <c r="AL287" s="7"/>
      <c r="AM287" s="7"/>
    </row>
    <row r="288" spans="1:39" x14ac:dyDescent="0.2">
      <c r="A288" s="18" t="s">
        <v>194</v>
      </c>
      <c r="B288" s="19"/>
      <c r="C288" s="20"/>
      <c r="D288" s="107"/>
      <c r="E288" s="115"/>
      <c r="F288" s="20"/>
      <c r="G288" s="20"/>
      <c r="H288" s="20"/>
      <c r="I288" s="20"/>
      <c r="J288" s="20"/>
      <c r="K288" s="20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  <c r="AE288" s="20"/>
      <c r="AF288" s="20"/>
      <c r="AG288" s="20"/>
      <c r="AH288" s="20"/>
      <c r="AI288" s="20"/>
      <c r="AJ288" s="20"/>
      <c r="AK288" s="20"/>
      <c r="AL288" s="20"/>
      <c r="AM288" s="20"/>
    </row>
    <row r="289" spans="1:39" x14ac:dyDescent="0.2">
      <c r="A289" s="22" t="str">
        <f>B$123</f>
        <v>Painting</v>
      </c>
      <c r="B289" s="19"/>
      <c r="C289" s="20">
        <f ca="1">SUM($C117:C117)</f>
        <v>-20448.333244589874</v>
      </c>
      <c r="D289" s="107">
        <f ca="1">SUM($C117:D117)</f>
        <v>-20448.333244589874</v>
      </c>
      <c r="E289" s="115">
        <f ca="1">SUM($C117:E117)</f>
        <v>-20448.333244589874</v>
      </c>
      <c r="F289" s="20">
        <f ca="1">SUM($C117:F117)</f>
        <v>-20448.333244589874</v>
      </c>
      <c r="G289" s="20">
        <f ca="1">SUM($C117:G117)</f>
        <v>-20448.333244589874</v>
      </c>
      <c r="H289" s="20">
        <f ca="1">SUM($C117:H117)</f>
        <v>-20448.333244589874</v>
      </c>
      <c r="I289" s="20">
        <f ca="1">SUM($C117:I117)</f>
        <v>-20448.333244589874</v>
      </c>
      <c r="J289" s="20">
        <f ca="1">SUM($C117:J117)</f>
        <v>-20448.333244589874</v>
      </c>
      <c r="K289" s="20">
        <f ca="1">SUM($C117:K117)</f>
        <v>-20448.333244589874</v>
      </c>
      <c r="L289" s="20">
        <f ca="1">SUM($C117:L117)</f>
        <v>-20448.333244589874</v>
      </c>
      <c r="M289" s="20">
        <f ca="1">SUM($C117:M117)</f>
        <v>-20448.333244589874</v>
      </c>
      <c r="N289" s="20">
        <f ca="1">SUM($C117:N117)</f>
        <v>-20448.333244589874</v>
      </c>
      <c r="O289" s="20">
        <f ca="1">SUM($C117:O117)</f>
        <v>-20448.333244589874</v>
      </c>
      <c r="P289" s="20">
        <f ca="1">SUM($C117:P117)</f>
        <v>-20448.333244589874</v>
      </c>
      <c r="Q289" s="20">
        <f ca="1">SUM($C117:Q117)</f>
        <v>-20448.333244589874</v>
      </c>
      <c r="R289" s="20">
        <f ca="1">SUM($C117:R117)</f>
        <v>-20448.333244589874</v>
      </c>
      <c r="S289" s="20">
        <f ca="1">SUM($C117:S117)</f>
        <v>-20448.333244589874</v>
      </c>
      <c r="T289" s="20">
        <f ca="1">SUM($C117:T117)</f>
        <v>-20448.333244589874</v>
      </c>
      <c r="U289" s="20">
        <f ca="1">SUM($C117:U117)</f>
        <v>-20448.333244589874</v>
      </c>
      <c r="V289" s="20">
        <f ca="1">SUM($C117:V117)</f>
        <v>-20448.333244589874</v>
      </c>
      <c r="W289" s="20">
        <f ca="1">SUM($C117:W117)</f>
        <v>-20448.333244589874</v>
      </c>
      <c r="X289" s="20">
        <f ca="1">SUM($C117:X117)</f>
        <v>-20448.333244589874</v>
      </c>
      <c r="Y289" s="20">
        <f ca="1">SUM($C117:Y117)</f>
        <v>-20448.333244589874</v>
      </c>
      <c r="Z289" s="20">
        <f ca="1">SUM($C117:Z117)</f>
        <v>-20448.333244589874</v>
      </c>
      <c r="AA289" s="20">
        <f ca="1">SUM($C117:AA117)</f>
        <v>-20448.333244589874</v>
      </c>
      <c r="AB289" s="20">
        <f ca="1">SUM($C117:AB117)</f>
        <v>-20448.333244589874</v>
      </c>
      <c r="AC289" s="20">
        <f ca="1">SUM($C117:AC117)</f>
        <v>-20448.333244589874</v>
      </c>
      <c r="AD289" s="20">
        <f ca="1">SUM($C117:AD117)</f>
        <v>-20448.333244589874</v>
      </c>
      <c r="AE289" s="20">
        <f ca="1">SUM($C117:AE117)</f>
        <v>-20448.333244589874</v>
      </c>
      <c r="AF289" s="20">
        <f ca="1">SUM($C117:AF117)</f>
        <v>-20448.333244589874</v>
      </c>
      <c r="AG289" s="20">
        <f ca="1">SUM($C117:AG117)</f>
        <v>-20448.333244589874</v>
      </c>
      <c r="AH289" s="20">
        <f ca="1">SUM($C117:AH117)</f>
        <v>-20448.333244589874</v>
      </c>
      <c r="AI289" s="20">
        <f ca="1">SUM($C117:AI117)</f>
        <v>-20448.333244589874</v>
      </c>
      <c r="AJ289" s="20">
        <f ca="1">SUM($C117:AJ117)</f>
        <v>-20448.333244589874</v>
      </c>
      <c r="AK289" s="20">
        <f ca="1">SUM($C117:AK117)</f>
        <v>-20448.333244589874</v>
      </c>
      <c r="AL289" s="20">
        <f ca="1">SUM($C117:AL117)</f>
        <v>-20448.333244589874</v>
      </c>
      <c r="AM289" s="20">
        <f ca="1">SUM($C117:AM117)</f>
        <v>-20448.333244589874</v>
      </c>
    </row>
    <row r="290" spans="1:39" x14ac:dyDescent="0.2">
      <c r="A290" s="22" t="str">
        <f>B$140</f>
        <v>Car</v>
      </c>
      <c r="B290" s="19"/>
      <c r="C290" s="20">
        <f ca="1">SUM($C134:C134)</f>
        <v>-38490.424009238486</v>
      </c>
      <c r="D290" s="107">
        <f ca="1">SUM($C134:D134)</f>
        <v>-38490.424009238486</v>
      </c>
      <c r="E290" s="115">
        <f ca="1">SUM($C134:E134)</f>
        <v>-38490.424009238486</v>
      </c>
      <c r="F290" s="20">
        <f ca="1">SUM($C134:F134)</f>
        <v>-38490.424009238486</v>
      </c>
      <c r="G290" s="20">
        <f ca="1">SUM($C134:G134)</f>
        <v>-38490.424009238486</v>
      </c>
      <c r="H290" s="20">
        <f ca="1">SUM($C134:H134)</f>
        <v>-38490.424009238486</v>
      </c>
      <c r="I290" s="20">
        <f ca="1">SUM($C134:I134)</f>
        <v>-38490.424009238486</v>
      </c>
      <c r="J290" s="20">
        <f ca="1">SUM($C134:J134)</f>
        <v>-38490.424009238486</v>
      </c>
      <c r="K290" s="20">
        <f ca="1">SUM($C134:K134)</f>
        <v>-38490.424009238486</v>
      </c>
      <c r="L290" s="20">
        <f ca="1">SUM($C134:L134)</f>
        <v>-38490.424009238486</v>
      </c>
      <c r="M290" s="20">
        <f ca="1">SUM($C134:M134)</f>
        <v>-38490.424009238486</v>
      </c>
      <c r="N290" s="20">
        <f ca="1">SUM($C134:N134)</f>
        <v>-38490.424009238486</v>
      </c>
      <c r="O290" s="20">
        <f ca="1">SUM($C134:O134)</f>
        <v>-38490.424009238486</v>
      </c>
      <c r="P290" s="20">
        <f ca="1">SUM($C134:P134)</f>
        <v>-38490.424009238486</v>
      </c>
      <c r="Q290" s="20">
        <f ca="1">SUM($C134:Q134)</f>
        <v>-38490.424009238486</v>
      </c>
      <c r="R290" s="20">
        <f ca="1">SUM($C134:R134)</f>
        <v>-38490.424009238486</v>
      </c>
      <c r="S290" s="20">
        <f ca="1">SUM($C134:S134)</f>
        <v>-38490.424009238486</v>
      </c>
      <c r="T290" s="20">
        <f ca="1">SUM($C134:T134)</f>
        <v>-38490.424009238486</v>
      </c>
      <c r="U290" s="20">
        <f ca="1">SUM($C134:U134)</f>
        <v>-38490.424009238486</v>
      </c>
      <c r="V290" s="20">
        <f ca="1">SUM($C134:V134)</f>
        <v>-38490.424009238486</v>
      </c>
      <c r="W290" s="20">
        <f ca="1">SUM($C134:W134)</f>
        <v>-38490.424009238486</v>
      </c>
      <c r="X290" s="20">
        <f ca="1">SUM($C134:X134)</f>
        <v>-38490.424009238486</v>
      </c>
      <c r="Y290" s="20">
        <f ca="1">SUM($C134:Y134)</f>
        <v>-38490.424009238486</v>
      </c>
      <c r="Z290" s="20">
        <f ca="1">SUM($C134:Z134)</f>
        <v>-38490.424009238486</v>
      </c>
      <c r="AA290" s="20">
        <f ca="1">SUM($C134:AA134)</f>
        <v>-38490.424009238486</v>
      </c>
      <c r="AB290" s="20">
        <f ca="1">SUM($C134:AB134)</f>
        <v>-38490.424009238486</v>
      </c>
      <c r="AC290" s="20">
        <f ca="1">SUM($C134:AC134)</f>
        <v>-38490.424009238486</v>
      </c>
      <c r="AD290" s="20">
        <f ca="1">SUM($C134:AD134)</f>
        <v>-38490.424009238486</v>
      </c>
      <c r="AE290" s="20">
        <f ca="1">SUM($C134:AE134)</f>
        <v>-38490.424009238486</v>
      </c>
      <c r="AF290" s="20">
        <f ca="1">SUM($C134:AF134)</f>
        <v>-38490.424009238486</v>
      </c>
      <c r="AG290" s="20">
        <f ca="1">SUM($C134:AG134)</f>
        <v>-38490.424009238486</v>
      </c>
      <c r="AH290" s="20">
        <f ca="1">SUM($C134:AH134)</f>
        <v>-38490.424009238486</v>
      </c>
      <c r="AI290" s="20">
        <f ca="1">SUM($C134:AI134)</f>
        <v>-38490.424009238486</v>
      </c>
      <c r="AJ290" s="20">
        <f ca="1">SUM($C134:AJ134)</f>
        <v>-38490.424009238486</v>
      </c>
      <c r="AK290" s="20">
        <f ca="1">SUM($C134:AK134)</f>
        <v>-38490.424009238486</v>
      </c>
      <c r="AL290" s="20">
        <f ca="1">SUM($C134:AL134)</f>
        <v>-38490.424009238486</v>
      </c>
      <c r="AM290" s="20">
        <f ca="1">SUM($C134:AM134)</f>
        <v>-38490.424009238486</v>
      </c>
    </row>
    <row r="291" spans="1:39" x14ac:dyDescent="0.2">
      <c r="A291" s="22" t="str">
        <f>B$157</f>
        <v>Jewelry</v>
      </c>
      <c r="B291" s="19"/>
      <c r="C291" s="20">
        <f ca="1">SUM($C151:C151)</f>
        <v>0</v>
      </c>
      <c r="D291" s="107">
        <f ca="1">SUM($C151:D151)</f>
        <v>-50748.140451472013</v>
      </c>
      <c r="E291" s="115">
        <f ca="1">SUM($C151:E151)</f>
        <v>-50748.140451472013</v>
      </c>
      <c r="F291" s="20">
        <f ca="1">SUM($C151:F151)</f>
        <v>-50748.140451472013</v>
      </c>
      <c r="G291" s="20">
        <f ca="1">SUM($C151:G151)</f>
        <v>-50748.140451472013</v>
      </c>
      <c r="H291" s="20">
        <f ca="1">SUM($C151:H151)</f>
        <v>-50748.140451472013</v>
      </c>
      <c r="I291" s="20">
        <f ca="1">SUM($C151:I151)</f>
        <v>-50748.140451472013</v>
      </c>
      <c r="J291" s="20">
        <f ca="1">SUM($C151:J151)</f>
        <v>-50748.140451472013</v>
      </c>
      <c r="K291" s="20">
        <f ca="1">SUM($C151:K151)</f>
        <v>-50748.140451472013</v>
      </c>
      <c r="L291" s="20">
        <f ca="1">SUM($C151:L151)</f>
        <v>-50748.140451472013</v>
      </c>
      <c r="M291" s="20">
        <f ca="1">SUM($C151:M151)</f>
        <v>-50748.140451472013</v>
      </c>
      <c r="N291" s="20">
        <f ca="1">SUM($C151:N151)</f>
        <v>-50748.140451472013</v>
      </c>
      <c r="O291" s="20">
        <f ca="1">SUM($C151:O151)</f>
        <v>-50748.140451472013</v>
      </c>
      <c r="P291" s="20">
        <f ca="1">SUM($C151:P151)</f>
        <v>-50748.140451472013</v>
      </c>
      <c r="Q291" s="20">
        <f ca="1">SUM($C151:Q151)</f>
        <v>-50748.140451472013</v>
      </c>
      <c r="R291" s="20">
        <f ca="1">SUM($C151:R151)</f>
        <v>-50748.140451472013</v>
      </c>
      <c r="S291" s="20">
        <f ca="1">SUM($C151:S151)</f>
        <v>-50748.140451472013</v>
      </c>
      <c r="T291" s="20">
        <f ca="1">SUM($C151:T151)</f>
        <v>-50748.140451472013</v>
      </c>
      <c r="U291" s="20">
        <f ca="1">SUM($C151:U151)</f>
        <v>-50748.140451472013</v>
      </c>
      <c r="V291" s="20">
        <f ca="1">SUM($C151:V151)</f>
        <v>-50748.140451472013</v>
      </c>
      <c r="W291" s="20">
        <f ca="1">SUM($C151:W151)</f>
        <v>-50748.140451472013</v>
      </c>
      <c r="X291" s="20">
        <f ca="1">SUM($C151:X151)</f>
        <v>-50748.140451472013</v>
      </c>
      <c r="Y291" s="20">
        <f ca="1">SUM($C151:Y151)</f>
        <v>-50748.140451472013</v>
      </c>
      <c r="Z291" s="20">
        <f ca="1">SUM($C151:Z151)</f>
        <v>-50748.140451472013</v>
      </c>
      <c r="AA291" s="20">
        <f ca="1">SUM($C151:AA151)</f>
        <v>-50748.140451472013</v>
      </c>
      <c r="AB291" s="20">
        <f ca="1">SUM($C151:AB151)</f>
        <v>-50748.140451472013</v>
      </c>
      <c r="AC291" s="20">
        <f ca="1">SUM($C151:AC151)</f>
        <v>-50748.140451472013</v>
      </c>
      <c r="AD291" s="20">
        <f ca="1">SUM($C151:AD151)</f>
        <v>-50748.140451472013</v>
      </c>
      <c r="AE291" s="20">
        <f ca="1">SUM($C151:AE151)</f>
        <v>-50748.140451472013</v>
      </c>
      <c r="AF291" s="20">
        <f ca="1">SUM($C151:AF151)</f>
        <v>-50748.140451472013</v>
      </c>
      <c r="AG291" s="20">
        <f ca="1">SUM($C151:AG151)</f>
        <v>-50748.140451472013</v>
      </c>
      <c r="AH291" s="20">
        <f ca="1">SUM($C151:AH151)</f>
        <v>-50748.140451472013</v>
      </c>
      <c r="AI291" s="20">
        <f ca="1">SUM($C151:AI151)</f>
        <v>-50748.140451472013</v>
      </c>
      <c r="AJ291" s="20">
        <f ca="1">SUM($C151:AJ151)</f>
        <v>-50748.140451472013</v>
      </c>
      <c r="AK291" s="20">
        <f ca="1">SUM($C151:AK151)</f>
        <v>-50748.140451472013</v>
      </c>
      <c r="AL291" s="20">
        <f ca="1">SUM($C151:AL151)</f>
        <v>-50748.140451472013</v>
      </c>
      <c r="AM291" s="20">
        <f ca="1">SUM($C151:AM151)</f>
        <v>-50748.140451472013</v>
      </c>
    </row>
    <row r="292" spans="1:39" x14ac:dyDescent="0.2">
      <c r="A292" s="22" t="str">
        <f>B$174</f>
        <v>Gudja</v>
      </c>
      <c r="B292" s="19"/>
      <c r="C292" s="20">
        <f ca="1">SUM($C168:C168)</f>
        <v>0</v>
      </c>
      <c r="D292" s="107">
        <f ca="1">SUM($C168:D168)</f>
        <v>0</v>
      </c>
      <c r="E292" s="115">
        <f ca="1">SUM($C168:E168)</f>
        <v>-84247.132967710277</v>
      </c>
      <c r="F292" s="20">
        <f ca="1">SUM($C168:F168)</f>
        <v>-84247.132967710277</v>
      </c>
      <c r="G292" s="20">
        <f ca="1">SUM($C168:G168)</f>
        <v>-84247.132967710277</v>
      </c>
      <c r="H292" s="20">
        <f ca="1">SUM($C168:H168)</f>
        <v>-84247.132967710277</v>
      </c>
      <c r="I292" s="20">
        <f ca="1">SUM($C168:I168)</f>
        <v>-84247.132967710277</v>
      </c>
      <c r="J292" s="20">
        <f ca="1">SUM($C168:J168)</f>
        <v>-84247.132967710277</v>
      </c>
      <c r="K292" s="20">
        <f ca="1">SUM($C168:K168)</f>
        <v>-84247.132967710277</v>
      </c>
      <c r="L292" s="20">
        <f ca="1">SUM($C168:L168)</f>
        <v>-84247.132967710277</v>
      </c>
      <c r="M292" s="20">
        <f ca="1">SUM($C168:M168)</f>
        <v>-84247.132967710277</v>
      </c>
      <c r="N292" s="20">
        <f ca="1">SUM($C168:N168)</f>
        <v>-84247.132967710277</v>
      </c>
      <c r="O292" s="20">
        <f ca="1">SUM($C168:O168)</f>
        <v>-84247.132967710277</v>
      </c>
      <c r="P292" s="20">
        <f ca="1">SUM($C168:P168)</f>
        <v>-84247.132967710277</v>
      </c>
      <c r="Q292" s="20">
        <f ca="1">SUM($C168:Q168)</f>
        <v>-84247.132967710277</v>
      </c>
      <c r="R292" s="20">
        <f ca="1">SUM($C168:R168)</f>
        <v>-84247.132967710277</v>
      </c>
      <c r="S292" s="20">
        <f ca="1">SUM($C168:S168)</f>
        <v>-84247.132967710277</v>
      </c>
      <c r="T292" s="20">
        <f ca="1">SUM($C168:T168)</f>
        <v>-84247.132967710277</v>
      </c>
      <c r="U292" s="20">
        <f ca="1">SUM($C168:U168)</f>
        <v>-84247.132967710277</v>
      </c>
      <c r="V292" s="20">
        <f ca="1">SUM($C168:V168)</f>
        <v>-84247.132967710277</v>
      </c>
      <c r="W292" s="20">
        <f ca="1">SUM($C168:W168)</f>
        <v>-84247.132967710277</v>
      </c>
      <c r="X292" s="20">
        <f ca="1">SUM($C168:X168)</f>
        <v>-84247.132967710277</v>
      </c>
      <c r="Y292" s="20">
        <f ca="1">SUM($C168:Y168)</f>
        <v>-84247.132967710277</v>
      </c>
      <c r="Z292" s="20">
        <f ca="1">SUM($C168:Z168)</f>
        <v>-84247.132967710277</v>
      </c>
      <c r="AA292" s="20">
        <f ca="1">SUM($C168:AA168)</f>
        <v>-84247.132967710277</v>
      </c>
      <c r="AB292" s="20">
        <f ca="1">SUM($C168:AB168)</f>
        <v>-84247.132967710277</v>
      </c>
      <c r="AC292" s="20">
        <f ca="1">SUM($C168:AC168)</f>
        <v>-84247.132967710277</v>
      </c>
      <c r="AD292" s="20">
        <f ca="1">SUM($C168:AD168)</f>
        <v>-84247.132967710277</v>
      </c>
      <c r="AE292" s="20">
        <f ca="1">SUM($C168:AE168)</f>
        <v>-84247.132967710277</v>
      </c>
      <c r="AF292" s="20">
        <f ca="1">SUM($C168:AF168)</f>
        <v>-84247.132967710277</v>
      </c>
      <c r="AG292" s="20">
        <f ca="1">SUM($C168:AG168)</f>
        <v>-84247.132967710277</v>
      </c>
      <c r="AH292" s="20">
        <f ca="1">SUM($C168:AH168)</f>
        <v>-84247.132967710277</v>
      </c>
      <c r="AI292" s="20">
        <f ca="1">SUM($C168:AI168)</f>
        <v>-84247.132967710277</v>
      </c>
      <c r="AJ292" s="20">
        <f ca="1">SUM($C168:AJ168)</f>
        <v>-84247.132967710277</v>
      </c>
      <c r="AK292" s="20">
        <f ca="1">SUM($C168:AK168)</f>
        <v>-84247.132967710277</v>
      </c>
      <c r="AL292" s="20">
        <f ca="1">SUM($C168:AL168)</f>
        <v>-84247.132967710277</v>
      </c>
      <c r="AM292" s="20">
        <f ca="1">SUM($C168:AM168)</f>
        <v>-84247.132967710277</v>
      </c>
    </row>
    <row r="293" spans="1:39" x14ac:dyDescent="0.2">
      <c r="A293" s="22" t="str">
        <f>B$191</f>
        <v>Antiques</v>
      </c>
      <c r="B293" s="19"/>
      <c r="C293" s="20">
        <f ca="1">SUM($C185:C185)</f>
        <v>0</v>
      </c>
      <c r="D293" s="107">
        <f ca="1">SUM($C185:D185)</f>
        <v>0</v>
      </c>
      <c r="E293" s="115">
        <f ca="1">SUM($C185:E185)</f>
        <v>-84891.489347222378</v>
      </c>
      <c r="F293" s="20">
        <f ca="1">SUM($C185:F185)</f>
        <v>-84891.489347222378</v>
      </c>
      <c r="G293" s="20">
        <f ca="1">SUM($C185:G185)</f>
        <v>-84891.489347222378</v>
      </c>
      <c r="H293" s="20">
        <f ca="1">SUM($C185:H185)</f>
        <v>-84891.489347222378</v>
      </c>
      <c r="I293" s="20">
        <f ca="1">SUM($C185:I185)</f>
        <v>-84891.489347222378</v>
      </c>
      <c r="J293" s="20">
        <f ca="1">SUM($C185:J185)</f>
        <v>-84891.489347222378</v>
      </c>
      <c r="K293" s="20">
        <f ca="1">SUM($C185:K185)</f>
        <v>-84891.489347222378</v>
      </c>
      <c r="L293" s="20">
        <f ca="1">SUM($C185:L185)</f>
        <v>-84891.489347222378</v>
      </c>
      <c r="M293" s="20">
        <f ca="1">SUM($C185:M185)</f>
        <v>-84891.489347222378</v>
      </c>
      <c r="N293" s="20">
        <f ca="1">SUM($C185:N185)</f>
        <v>-84891.489347222378</v>
      </c>
      <c r="O293" s="20">
        <f ca="1">SUM($C185:O185)</f>
        <v>-84891.489347222378</v>
      </c>
      <c r="P293" s="20">
        <f ca="1">SUM($C185:P185)</f>
        <v>-84891.489347222378</v>
      </c>
      <c r="Q293" s="20">
        <f ca="1">SUM($C185:Q185)</f>
        <v>-84891.489347222378</v>
      </c>
      <c r="R293" s="20">
        <f ca="1">SUM($C185:R185)</f>
        <v>-84891.489347222378</v>
      </c>
      <c r="S293" s="20">
        <f ca="1">SUM($C185:S185)</f>
        <v>-84891.489347222378</v>
      </c>
      <c r="T293" s="20">
        <f ca="1">SUM($C185:T185)</f>
        <v>-84891.489347222378</v>
      </c>
      <c r="U293" s="20">
        <f ca="1">SUM($C185:U185)</f>
        <v>-84891.489347222378</v>
      </c>
      <c r="V293" s="20">
        <f ca="1">SUM($C185:V185)</f>
        <v>-84891.489347222378</v>
      </c>
      <c r="W293" s="20">
        <f ca="1">SUM($C185:W185)</f>
        <v>-84891.489347222378</v>
      </c>
      <c r="X293" s="20">
        <f ca="1">SUM($C185:X185)</f>
        <v>-84891.489347222378</v>
      </c>
      <c r="Y293" s="20">
        <f ca="1">SUM($C185:Y185)</f>
        <v>-84891.489347222378</v>
      </c>
      <c r="Z293" s="20">
        <f ca="1">SUM($C185:Z185)</f>
        <v>-84891.489347222378</v>
      </c>
      <c r="AA293" s="20">
        <f ca="1">SUM($C185:AA185)</f>
        <v>-84891.489347222378</v>
      </c>
      <c r="AB293" s="20">
        <f ca="1">SUM($C185:AB185)</f>
        <v>-84891.489347222378</v>
      </c>
      <c r="AC293" s="20">
        <f ca="1">SUM($C185:AC185)</f>
        <v>-84891.489347222378</v>
      </c>
      <c r="AD293" s="20">
        <f ca="1">SUM($C185:AD185)</f>
        <v>-84891.489347222378</v>
      </c>
      <c r="AE293" s="20">
        <f ca="1">SUM($C185:AE185)</f>
        <v>-84891.489347222378</v>
      </c>
      <c r="AF293" s="20">
        <f ca="1">SUM($C185:AF185)</f>
        <v>-84891.489347222378</v>
      </c>
      <c r="AG293" s="20">
        <f ca="1">SUM($C185:AG185)</f>
        <v>-84891.489347222378</v>
      </c>
      <c r="AH293" s="20">
        <f ca="1">SUM($C185:AH185)</f>
        <v>-84891.489347222378</v>
      </c>
      <c r="AI293" s="20">
        <f ca="1">SUM($C185:AI185)</f>
        <v>-84891.489347222378</v>
      </c>
      <c r="AJ293" s="20">
        <f ca="1">SUM($C185:AJ185)</f>
        <v>-84891.489347222378</v>
      </c>
      <c r="AK293" s="20">
        <f ca="1">SUM($C185:AK185)</f>
        <v>-84891.489347222378</v>
      </c>
      <c r="AL293" s="20">
        <f ca="1">SUM($C185:AL185)</f>
        <v>-84891.489347222378</v>
      </c>
      <c r="AM293" s="20">
        <f ca="1">SUM($C185:AM185)</f>
        <v>-84891.489347222378</v>
      </c>
    </row>
    <row r="294" spans="1:39" x14ac:dyDescent="0.2">
      <c r="A294" s="22" t="str">
        <f>B$208</f>
        <v>Marsa</v>
      </c>
      <c r="B294" s="19"/>
      <c r="C294" s="20">
        <f ca="1">SUM($C202:C202)</f>
        <v>0</v>
      </c>
      <c r="D294" s="107">
        <f ca="1">SUM($C202:D202)</f>
        <v>0</v>
      </c>
      <c r="E294" s="115">
        <f ca="1">SUM($C202:E202)</f>
        <v>0</v>
      </c>
      <c r="F294" s="20">
        <f ca="1">SUM($C202:F202)</f>
        <v>0</v>
      </c>
      <c r="G294" s="20">
        <f ca="1">SUM($C202:G202)</f>
        <v>0</v>
      </c>
      <c r="H294" s="20">
        <f ca="1">SUM($C202:H202)</f>
        <v>0</v>
      </c>
      <c r="I294" s="20">
        <f ca="1">SUM($C202:I202)</f>
        <v>0</v>
      </c>
      <c r="J294" s="20">
        <f ca="1">SUM($C202:J202)</f>
        <v>-146498.275625357</v>
      </c>
      <c r="K294" s="20">
        <f ca="1">SUM($C202:K202)</f>
        <v>-146498.275625357</v>
      </c>
      <c r="L294" s="20">
        <f ca="1">SUM($C202:L202)</f>
        <v>-146498.275625357</v>
      </c>
      <c r="M294" s="20">
        <f ca="1">SUM($C202:M202)</f>
        <v>-146498.275625357</v>
      </c>
      <c r="N294" s="20">
        <f ca="1">SUM($C202:N202)</f>
        <v>-146498.275625357</v>
      </c>
      <c r="O294" s="20">
        <f ca="1">SUM($C202:O202)</f>
        <v>-146498.275625357</v>
      </c>
      <c r="P294" s="20">
        <f ca="1">SUM($C202:P202)</f>
        <v>-146498.275625357</v>
      </c>
      <c r="Q294" s="20">
        <f ca="1">SUM($C202:Q202)</f>
        <v>-146498.275625357</v>
      </c>
      <c r="R294" s="20">
        <f ca="1">SUM($C202:R202)</f>
        <v>-146498.275625357</v>
      </c>
      <c r="S294" s="20">
        <f ca="1">SUM($C202:S202)</f>
        <v>-146498.275625357</v>
      </c>
      <c r="T294" s="20">
        <f ca="1">SUM($C202:T202)</f>
        <v>-146498.275625357</v>
      </c>
      <c r="U294" s="20">
        <f ca="1">SUM($C202:U202)</f>
        <v>-146498.275625357</v>
      </c>
      <c r="V294" s="20">
        <f ca="1">SUM($C202:V202)</f>
        <v>-146498.275625357</v>
      </c>
      <c r="W294" s="20">
        <f ca="1">SUM($C202:W202)</f>
        <v>-146498.275625357</v>
      </c>
      <c r="X294" s="20">
        <f ca="1">SUM($C202:X202)</f>
        <v>-146498.275625357</v>
      </c>
      <c r="Y294" s="20">
        <f ca="1">SUM($C202:Y202)</f>
        <v>-146498.275625357</v>
      </c>
      <c r="Z294" s="20">
        <f ca="1">SUM($C202:Z202)</f>
        <v>-146498.275625357</v>
      </c>
      <c r="AA294" s="20">
        <f ca="1">SUM($C202:AA202)</f>
        <v>-146498.275625357</v>
      </c>
      <c r="AB294" s="20">
        <f ca="1">SUM($C202:AB202)</f>
        <v>-146498.275625357</v>
      </c>
      <c r="AC294" s="20">
        <f ca="1">SUM($C202:AC202)</f>
        <v>-146498.275625357</v>
      </c>
      <c r="AD294" s="20">
        <f ca="1">SUM($C202:AD202)</f>
        <v>-146498.275625357</v>
      </c>
      <c r="AE294" s="20">
        <f ca="1">SUM($C202:AE202)</f>
        <v>-146498.275625357</v>
      </c>
      <c r="AF294" s="20">
        <f ca="1">SUM($C202:AF202)</f>
        <v>-146498.275625357</v>
      </c>
      <c r="AG294" s="20">
        <f ca="1">SUM($C202:AG202)</f>
        <v>-146498.275625357</v>
      </c>
      <c r="AH294" s="20">
        <f ca="1">SUM($C202:AH202)</f>
        <v>-146498.275625357</v>
      </c>
      <c r="AI294" s="20">
        <f ca="1">SUM($C202:AI202)</f>
        <v>-146498.275625357</v>
      </c>
      <c r="AJ294" s="20">
        <f ca="1">SUM($C202:AJ202)</f>
        <v>-146498.275625357</v>
      </c>
      <c r="AK294" s="20">
        <f ca="1">SUM($C202:AK202)</f>
        <v>-146498.275625357</v>
      </c>
      <c r="AL294" s="20">
        <f ca="1">SUM($C202:AL202)</f>
        <v>-146498.275625357</v>
      </c>
      <c r="AM294" s="20">
        <f ca="1">SUM($C202:AM202)</f>
        <v>-146498.275625357</v>
      </c>
    </row>
    <row r="295" spans="1:39" x14ac:dyDescent="0.2">
      <c r="A295" s="22" t="str">
        <f>B$225</f>
        <v>Gzira</v>
      </c>
      <c r="B295" s="19"/>
      <c r="C295" s="20">
        <f ca="1">SUM($C219:C219)</f>
        <v>0</v>
      </c>
      <c r="D295" s="107">
        <f ca="1">SUM($C219:D219)</f>
        <v>0</v>
      </c>
      <c r="E295" s="115">
        <f ca="1">SUM($C219:E219)</f>
        <v>0</v>
      </c>
      <c r="F295" s="20">
        <f ca="1">SUM($C219:F219)</f>
        <v>0</v>
      </c>
      <c r="G295" s="20">
        <f ca="1">SUM($C219:G219)</f>
        <v>0</v>
      </c>
      <c r="H295" s="20">
        <f ca="1">SUM($C219:H219)</f>
        <v>0</v>
      </c>
      <c r="I295" s="20">
        <f ca="1">SUM($C219:I219)</f>
        <v>0</v>
      </c>
      <c r="J295" s="20">
        <f ca="1">SUM($C219:J219)</f>
        <v>0</v>
      </c>
      <c r="K295" s="20">
        <f ca="1">SUM($C219:K219)</f>
        <v>0</v>
      </c>
      <c r="L295" s="20">
        <f ca="1">SUM($C219:L219)</f>
        <v>0</v>
      </c>
      <c r="M295" s="20">
        <f ca="1">SUM($C219:M219)</f>
        <v>0</v>
      </c>
      <c r="N295" s="20">
        <f ca="1">SUM($C219:N219)</f>
        <v>0</v>
      </c>
      <c r="O295" s="20">
        <f ca="1">SUM($C219:O219)</f>
        <v>-212289.56607766502</v>
      </c>
      <c r="P295" s="20">
        <f ca="1">SUM($C219:P219)</f>
        <v>-212289.56607766502</v>
      </c>
      <c r="Q295" s="20">
        <f ca="1">SUM($C219:Q219)</f>
        <v>-212289.56607766502</v>
      </c>
      <c r="R295" s="20">
        <f ca="1">SUM($C219:R219)</f>
        <v>-212289.56607766502</v>
      </c>
      <c r="S295" s="20">
        <f ca="1">SUM($C219:S219)</f>
        <v>-212289.56607766502</v>
      </c>
      <c r="T295" s="20">
        <f ca="1">SUM($C219:T219)</f>
        <v>-212289.56607766502</v>
      </c>
      <c r="U295" s="20">
        <f ca="1">SUM($C219:U219)</f>
        <v>-212289.56607766502</v>
      </c>
      <c r="V295" s="20">
        <f ca="1">SUM($C219:V219)</f>
        <v>-212289.56607766502</v>
      </c>
      <c r="W295" s="20">
        <f ca="1">SUM($C219:W219)</f>
        <v>-212289.56607766502</v>
      </c>
      <c r="X295" s="20">
        <f ca="1">SUM($C219:X219)</f>
        <v>-212289.56607766502</v>
      </c>
      <c r="Y295" s="20">
        <f ca="1">SUM($C219:Y219)</f>
        <v>-212289.56607766502</v>
      </c>
      <c r="Z295" s="20">
        <f ca="1">SUM($C219:Z219)</f>
        <v>-212289.56607766502</v>
      </c>
      <c r="AA295" s="20">
        <f ca="1">SUM($C219:AA219)</f>
        <v>-212289.56607766502</v>
      </c>
      <c r="AB295" s="20">
        <f ca="1">SUM($C219:AB219)</f>
        <v>-212289.56607766502</v>
      </c>
      <c r="AC295" s="20">
        <f ca="1">SUM($C219:AC219)</f>
        <v>-212289.56607766502</v>
      </c>
      <c r="AD295" s="20">
        <f ca="1">SUM($C219:AD219)</f>
        <v>-212289.56607766502</v>
      </c>
      <c r="AE295" s="20">
        <f ca="1">SUM($C219:AE219)</f>
        <v>-212289.56607766502</v>
      </c>
      <c r="AF295" s="20">
        <f ca="1">SUM($C219:AF219)</f>
        <v>-212289.56607766502</v>
      </c>
      <c r="AG295" s="20">
        <f ca="1">SUM($C219:AG219)</f>
        <v>-212289.56607766502</v>
      </c>
      <c r="AH295" s="20">
        <f ca="1">SUM($C219:AH219)</f>
        <v>-212289.56607766502</v>
      </c>
      <c r="AI295" s="20">
        <f ca="1">SUM($C219:AI219)</f>
        <v>-212289.56607766502</v>
      </c>
      <c r="AJ295" s="20">
        <f ca="1">SUM($C219:AJ219)</f>
        <v>-212289.56607766502</v>
      </c>
      <c r="AK295" s="20">
        <f ca="1">SUM($C219:AK219)</f>
        <v>-212289.56607766502</v>
      </c>
      <c r="AL295" s="20">
        <f ca="1">SUM($C219:AL219)</f>
        <v>-212289.56607766502</v>
      </c>
      <c r="AM295" s="20">
        <f ca="1">SUM($C219:AM219)</f>
        <v>-212289.56607766502</v>
      </c>
    </row>
    <row r="296" spans="1:39" x14ac:dyDescent="0.2">
      <c r="A296" s="22" t="str">
        <f>B$242</f>
        <v>Boat</v>
      </c>
      <c r="B296" s="19"/>
      <c r="C296" s="20">
        <f ca="1">SUM($C236:C236)</f>
        <v>0</v>
      </c>
      <c r="D296" s="107">
        <f ca="1">SUM($C236:D236)</f>
        <v>0</v>
      </c>
      <c r="E296" s="115">
        <f ca="1">SUM($C236:E236)</f>
        <v>0</v>
      </c>
      <c r="F296" s="20">
        <f ca="1">SUM($C236:F236)</f>
        <v>0</v>
      </c>
      <c r="G296" s="20">
        <f ca="1">SUM($C236:G236)</f>
        <v>0</v>
      </c>
      <c r="H296" s="20">
        <f ca="1">SUM($C236:H236)</f>
        <v>0</v>
      </c>
      <c r="I296" s="20">
        <f ca="1">SUM($C236:I236)</f>
        <v>0</v>
      </c>
      <c r="J296" s="20">
        <f ca="1">SUM($C236:J236)</f>
        <v>0</v>
      </c>
      <c r="K296" s="20">
        <f ca="1">SUM($C236:K236)</f>
        <v>0</v>
      </c>
      <c r="L296" s="20">
        <f ca="1">SUM($C236:L236)</f>
        <v>0</v>
      </c>
      <c r="M296" s="20">
        <f ca="1">SUM($C236:M236)</f>
        <v>0</v>
      </c>
      <c r="N296" s="20">
        <f ca="1">SUM($C236:N236)</f>
        <v>0</v>
      </c>
      <c r="O296" s="20">
        <f ca="1">SUM($C236:O236)</f>
        <v>0</v>
      </c>
      <c r="P296" s="20">
        <f ca="1">SUM($C236:P236)</f>
        <v>0</v>
      </c>
      <c r="Q296" s="20">
        <f ca="1">SUM($C236:Q236)</f>
        <v>0</v>
      </c>
      <c r="R296" s="20">
        <f ca="1">SUM($C236:R236)</f>
        <v>0</v>
      </c>
      <c r="S296" s="20">
        <f ca="1">SUM($C236:S236)</f>
        <v>0</v>
      </c>
      <c r="T296" s="20">
        <f ca="1">SUM($C236:T236)</f>
        <v>0</v>
      </c>
      <c r="U296" s="20">
        <f ca="1">SUM($C236:U236)</f>
        <v>-72421.330452619804</v>
      </c>
      <c r="V296" s="20">
        <f ca="1">SUM($C236:V236)</f>
        <v>-72421.330452619804</v>
      </c>
      <c r="W296" s="20">
        <f ca="1">SUM($C236:W236)</f>
        <v>-72421.330452619804</v>
      </c>
      <c r="X296" s="20">
        <f ca="1">SUM($C236:X236)</f>
        <v>-72421.330452619804</v>
      </c>
      <c r="Y296" s="20">
        <f ca="1">SUM($C236:Y236)</f>
        <v>-72421.330452619804</v>
      </c>
      <c r="Z296" s="20">
        <f ca="1">SUM($C236:Z236)</f>
        <v>-72421.330452619804</v>
      </c>
      <c r="AA296" s="20">
        <f ca="1">SUM($C236:AA236)</f>
        <v>-72421.330452619804</v>
      </c>
      <c r="AB296" s="20">
        <f ca="1">SUM($C236:AB236)</f>
        <v>-72421.330452619804</v>
      </c>
      <c r="AC296" s="20">
        <f ca="1">SUM($C236:AC236)</f>
        <v>-72421.330452619804</v>
      </c>
      <c r="AD296" s="20">
        <f ca="1">SUM($C236:AD236)</f>
        <v>-72421.330452619804</v>
      </c>
      <c r="AE296" s="20">
        <f ca="1">SUM($C236:AE236)</f>
        <v>-72421.330452619804</v>
      </c>
      <c r="AF296" s="20">
        <f ca="1">SUM($C236:AF236)</f>
        <v>-72421.330452619804</v>
      </c>
      <c r="AG296" s="20">
        <f ca="1">SUM($C236:AG236)</f>
        <v>-72421.330452619804</v>
      </c>
      <c r="AH296" s="20">
        <f ca="1">SUM($C236:AH236)</f>
        <v>-72421.330452619804</v>
      </c>
      <c r="AI296" s="20">
        <f ca="1">SUM($C236:AI236)</f>
        <v>-72421.330452619804</v>
      </c>
      <c r="AJ296" s="20">
        <f ca="1">SUM($C236:AJ236)</f>
        <v>-72421.330452619804</v>
      </c>
      <c r="AK296" s="20">
        <f ca="1">SUM($C236:AK236)</f>
        <v>-72421.330452619804</v>
      </c>
      <c r="AL296" s="20">
        <f ca="1">SUM($C236:AL236)</f>
        <v>-72421.330452619804</v>
      </c>
      <c r="AM296" s="20">
        <f ca="1">SUM($C236:AM236)</f>
        <v>-72421.330452619804</v>
      </c>
    </row>
    <row r="297" spans="1:39" x14ac:dyDescent="0.2">
      <c r="A297" s="22" t="str">
        <f>B$259</f>
        <v>Qormi</v>
      </c>
      <c r="B297" s="19"/>
      <c r="C297" s="20">
        <f ca="1">SUM($C253:C253)</f>
        <v>0</v>
      </c>
      <c r="D297" s="107">
        <f ca="1">SUM($C253:D253)</f>
        <v>0</v>
      </c>
      <c r="E297" s="115">
        <f ca="1">SUM($C253:E253)</f>
        <v>0</v>
      </c>
      <c r="F297" s="20">
        <f ca="1">SUM($C253:F253)</f>
        <v>0</v>
      </c>
      <c r="G297" s="20">
        <f ca="1">SUM($C253:G253)</f>
        <v>0</v>
      </c>
      <c r="H297" s="20">
        <f ca="1">SUM($C253:H253)</f>
        <v>0</v>
      </c>
      <c r="I297" s="20">
        <f ca="1">SUM($C253:I253)</f>
        <v>0</v>
      </c>
      <c r="J297" s="20">
        <f ca="1">SUM($C253:J253)</f>
        <v>0</v>
      </c>
      <c r="K297" s="20">
        <f ca="1">SUM($C253:K253)</f>
        <v>0</v>
      </c>
      <c r="L297" s="20">
        <f ca="1">SUM($C253:L253)</f>
        <v>0</v>
      </c>
      <c r="M297" s="20">
        <f ca="1">SUM($C253:M253)</f>
        <v>0</v>
      </c>
      <c r="N297" s="20">
        <f ca="1">SUM($C253:N253)</f>
        <v>0</v>
      </c>
      <c r="O297" s="20">
        <f ca="1">SUM($C253:O253)</f>
        <v>0</v>
      </c>
      <c r="P297" s="20">
        <f ca="1">SUM($C253:P253)</f>
        <v>0</v>
      </c>
      <c r="Q297" s="20">
        <f ca="1">SUM($C253:Q253)</f>
        <v>0</v>
      </c>
      <c r="R297" s="20">
        <f ca="1">SUM($C253:R253)</f>
        <v>0</v>
      </c>
      <c r="S297" s="20">
        <f ca="1">SUM($C253:S253)</f>
        <v>0</v>
      </c>
      <c r="T297" s="20">
        <f ca="1">SUM($C253:T253)</f>
        <v>0</v>
      </c>
      <c r="U297" s="20">
        <f ca="1">SUM($C253:U253)</f>
        <v>0</v>
      </c>
      <c r="V297" s="20">
        <f ca="1">SUM($C253:V253)</f>
        <v>0</v>
      </c>
      <c r="W297" s="20">
        <f ca="1">SUM($C253:W253)</f>
        <v>0</v>
      </c>
      <c r="X297" s="20">
        <f ca="1">SUM($C253:X253)</f>
        <v>-406251.60843649623</v>
      </c>
      <c r="Y297" s="20">
        <f ca="1">SUM($C253:Y253)</f>
        <v>-406251.60843649623</v>
      </c>
      <c r="Z297" s="20">
        <f ca="1">SUM($C253:Z253)</f>
        <v>-406251.60843649623</v>
      </c>
      <c r="AA297" s="20">
        <f ca="1">SUM($C253:AA253)</f>
        <v>-406251.60843649623</v>
      </c>
      <c r="AB297" s="20">
        <f ca="1">SUM($C253:AB253)</f>
        <v>-406251.60843649623</v>
      </c>
      <c r="AC297" s="20">
        <f ca="1">SUM($C253:AC253)</f>
        <v>-406251.60843649623</v>
      </c>
      <c r="AD297" s="20">
        <f ca="1">SUM($C253:AD253)</f>
        <v>-406251.60843649623</v>
      </c>
      <c r="AE297" s="20">
        <f ca="1">SUM($C253:AE253)</f>
        <v>-406251.60843649623</v>
      </c>
      <c r="AF297" s="20">
        <f ca="1">SUM($C253:AF253)</f>
        <v>-406251.60843649623</v>
      </c>
      <c r="AG297" s="20">
        <f ca="1">SUM($C253:AG253)</f>
        <v>-406251.60843649623</v>
      </c>
      <c r="AH297" s="20">
        <f ca="1">SUM($C253:AH253)</f>
        <v>-406251.60843649623</v>
      </c>
      <c r="AI297" s="20">
        <f ca="1">SUM($C253:AI253)</f>
        <v>-406251.60843649623</v>
      </c>
      <c r="AJ297" s="20">
        <f ca="1">SUM($C253:AJ253)</f>
        <v>-406251.60843649623</v>
      </c>
      <c r="AK297" s="20">
        <f ca="1">SUM($C253:AK253)</f>
        <v>-406251.60843649623</v>
      </c>
      <c r="AL297" s="20">
        <f ca="1">SUM($C253:AL253)</f>
        <v>-406251.60843649623</v>
      </c>
      <c r="AM297" s="20">
        <f ca="1">SUM($C253:AM253)</f>
        <v>-406251.60843649623</v>
      </c>
    </row>
    <row r="298" spans="1:39" x14ac:dyDescent="0.2">
      <c r="A298" s="22" t="str">
        <f>B$276</f>
        <v>Sliema</v>
      </c>
      <c r="B298" s="19"/>
      <c r="C298" s="20">
        <f ca="1">SUM($C270:C270)</f>
        <v>0</v>
      </c>
      <c r="D298" s="107">
        <f ca="1">SUM($C270:D270)</f>
        <v>0</v>
      </c>
      <c r="E298" s="115">
        <f ca="1">SUM($C270:E270)</f>
        <v>0</v>
      </c>
      <c r="F298" s="20">
        <f ca="1">SUM($C270:F270)</f>
        <v>0</v>
      </c>
      <c r="G298" s="20">
        <f ca="1">SUM($C270:G270)</f>
        <v>0</v>
      </c>
      <c r="H298" s="20">
        <f ca="1">SUM($C270:H270)</f>
        <v>0</v>
      </c>
      <c r="I298" s="20">
        <f ca="1">SUM($C270:I270)</f>
        <v>0</v>
      </c>
      <c r="J298" s="20">
        <f ca="1">SUM($C270:J270)</f>
        <v>0</v>
      </c>
      <c r="K298" s="20">
        <f ca="1">SUM($C270:K270)</f>
        <v>0</v>
      </c>
      <c r="L298" s="20">
        <f ca="1">SUM($C270:L270)</f>
        <v>0</v>
      </c>
      <c r="M298" s="20">
        <f ca="1">SUM($C270:M270)</f>
        <v>0</v>
      </c>
      <c r="N298" s="20">
        <f ca="1">SUM($C270:N270)</f>
        <v>0</v>
      </c>
      <c r="O298" s="20">
        <f ca="1">SUM($C270:O270)</f>
        <v>0</v>
      </c>
      <c r="P298" s="20">
        <f ca="1">SUM($C270:P270)</f>
        <v>0</v>
      </c>
      <c r="Q298" s="20">
        <f ca="1">SUM($C270:Q270)</f>
        <v>0</v>
      </c>
      <c r="R298" s="20">
        <f ca="1">SUM($C270:R270)</f>
        <v>0</v>
      </c>
      <c r="S298" s="20">
        <f ca="1">SUM($C270:S270)</f>
        <v>0</v>
      </c>
      <c r="T298" s="20">
        <f ca="1">SUM($C270:T270)</f>
        <v>0</v>
      </c>
      <c r="U298" s="20">
        <f ca="1">SUM($C270:U270)</f>
        <v>0</v>
      </c>
      <c r="V298" s="20">
        <f ca="1">SUM($C270:V270)</f>
        <v>0</v>
      </c>
      <c r="W298" s="20">
        <f ca="1">SUM($C270:W270)</f>
        <v>0</v>
      </c>
      <c r="X298" s="20">
        <f ca="1">SUM($C270:X270)</f>
        <v>0</v>
      </c>
      <c r="Y298" s="20">
        <f ca="1">SUM($C270:Y270)</f>
        <v>0</v>
      </c>
      <c r="Z298" s="20">
        <f ca="1">SUM($C270:Z270)</f>
        <v>0</v>
      </c>
      <c r="AA298" s="20">
        <f ca="1">SUM($C270:AA270)</f>
        <v>0</v>
      </c>
      <c r="AB298" s="20">
        <f ca="1">SUM($C270:AB270)</f>
        <v>0</v>
      </c>
      <c r="AC298" s="20">
        <f ca="1">SUM($C270:AC270)</f>
        <v>0</v>
      </c>
      <c r="AD298" s="20">
        <f ca="1">SUM($C270:AD270)</f>
        <v>0</v>
      </c>
      <c r="AE298" s="20">
        <f ca="1">SUM($C270:AE270)</f>
        <v>0</v>
      </c>
      <c r="AF298" s="20">
        <f ca="1">SUM($C270:AF270)</f>
        <v>-701764.61329493206</v>
      </c>
      <c r="AG298" s="20">
        <f ca="1">SUM($C270:AG270)</f>
        <v>-701764.61329493206</v>
      </c>
      <c r="AH298" s="20">
        <f ca="1">SUM($C270:AH270)</f>
        <v>-701764.61329493206</v>
      </c>
      <c r="AI298" s="20">
        <f ca="1">SUM($C270:AI270)</f>
        <v>-701764.61329493206</v>
      </c>
      <c r="AJ298" s="20">
        <f ca="1">SUM($C270:AJ270)</f>
        <v>-701764.61329493206</v>
      </c>
      <c r="AK298" s="20">
        <f ca="1">SUM($C270:AK270)</f>
        <v>-701764.61329493206</v>
      </c>
      <c r="AL298" s="20">
        <f ca="1">SUM($C270:AL270)</f>
        <v>-701764.61329493206</v>
      </c>
      <c r="AM298" s="20">
        <f ca="1">SUM($C270:AM270)</f>
        <v>-701764.61329493206</v>
      </c>
    </row>
    <row r="299" spans="1:39" x14ac:dyDescent="0.2">
      <c r="A299" s="21"/>
      <c r="B299" s="19"/>
      <c r="C299" s="20"/>
      <c r="D299" s="107"/>
      <c r="E299" s="115"/>
      <c r="F299" s="20"/>
      <c r="G299" s="20"/>
      <c r="H299" s="20"/>
      <c r="I299" s="20"/>
      <c r="J299" s="20"/>
      <c r="K299" s="20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  <c r="AE299" s="20"/>
      <c r="AF299" s="20"/>
      <c r="AG299" s="20"/>
      <c r="AH299" s="20"/>
      <c r="AI299" s="20"/>
      <c r="AJ299" s="20"/>
      <c r="AK299" s="20"/>
      <c r="AL299" s="20"/>
      <c r="AM299" s="20"/>
    </row>
    <row r="300" spans="1:39" x14ac:dyDescent="0.2">
      <c r="A300" s="18" t="s">
        <v>195</v>
      </c>
      <c r="B300" s="19"/>
      <c r="C300" s="20"/>
      <c r="D300" s="108"/>
      <c r="E300" s="115"/>
      <c r="F300" s="20"/>
      <c r="G300" s="20"/>
      <c r="H300" s="20"/>
      <c r="I300" s="20"/>
      <c r="J300" s="20"/>
      <c r="K300" s="20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  <c r="AE300" s="20"/>
      <c r="AF300" s="20"/>
      <c r="AG300" s="20"/>
      <c r="AH300" s="20"/>
      <c r="AI300" s="20"/>
      <c r="AJ300" s="20"/>
      <c r="AK300" s="20"/>
      <c r="AL300" s="20"/>
      <c r="AM300" s="20"/>
    </row>
    <row r="301" spans="1:39" x14ac:dyDescent="0.2">
      <c r="A301" s="22" t="str">
        <f>$A72</f>
        <v>Sliema</v>
      </c>
      <c r="B301" s="19"/>
      <c r="C301" s="20">
        <f t="shared" ref="C301:AM305" ca="1" si="165">IFERROR(IF(VLOOKUP($A301,$288:$298,C$1+2,FALSE)=0,C72,0),C72)</f>
        <v>306724.99866884813</v>
      </c>
      <c r="D301" s="107">
        <f t="shared" ca="1" si="165"/>
        <v>315926.7486289136</v>
      </c>
      <c r="E301" s="115">
        <f t="shared" ca="1" si="165"/>
        <v>325404.55108778103</v>
      </c>
      <c r="F301" s="20">
        <f t="shared" ca="1" si="165"/>
        <v>335166.68762041448</v>
      </c>
      <c r="G301" s="20">
        <f t="shared" ca="1" si="165"/>
        <v>345221.68824902695</v>
      </c>
      <c r="H301" s="20">
        <f t="shared" ca="1" si="165"/>
        <v>355578.33889649779</v>
      </c>
      <c r="I301" s="20">
        <f t="shared" ca="1" si="165"/>
        <v>366245.68906339275</v>
      </c>
      <c r="J301" s="20">
        <f t="shared" ca="1" si="165"/>
        <v>377233.05973529455</v>
      </c>
      <c r="K301" s="20">
        <f t="shared" ca="1" si="165"/>
        <v>388550.05152735341</v>
      </c>
      <c r="L301" s="20">
        <f t="shared" ca="1" si="165"/>
        <v>400206.55307317403</v>
      </c>
      <c r="M301" s="20">
        <f t="shared" ca="1" si="165"/>
        <v>412212.74966536928</v>
      </c>
      <c r="N301" s="20">
        <f t="shared" ca="1" si="165"/>
        <v>424579.13215533039</v>
      </c>
      <c r="O301" s="20">
        <f t="shared" ca="1" si="165"/>
        <v>437316.50611999031</v>
      </c>
      <c r="P301" s="20">
        <f t="shared" ca="1" si="165"/>
        <v>450436.00130359002</v>
      </c>
      <c r="Q301" s="20">
        <f t="shared" ca="1" si="165"/>
        <v>463949.08134269773</v>
      </c>
      <c r="R301" s="20">
        <f t="shared" ca="1" si="165"/>
        <v>477867.55378297868</v>
      </c>
      <c r="S301" s="20">
        <f t="shared" ca="1" si="165"/>
        <v>492203.58039646805</v>
      </c>
      <c r="T301" s="20">
        <f t="shared" ca="1" si="165"/>
        <v>506969.68780836213</v>
      </c>
      <c r="U301" s="20">
        <f t="shared" ca="1" si="165"/>
        <v>522178.77844261302</v>
      </c>
      <c r="V301" s="20">
        <f t="shared" ca="1" si="165"/>
        <v>537844.14179589145</v>
      </c>
      <c r="W301" s="20">
        <f t="shared" ca="1" si="165"/>
        <v>553979.46604976826</v>
      </c>
      <c r="X301" s="20">
        <f t="shared" ca="1" si="165"/>
        <v>570598.85003126133</v>
      </c>
      <c r="Y301" s="20">
        <f t="shared" ca="1" si="165"/>
        <v>587716.81553219922</v>
      </c>
      <c r="Z301" s="20">
        <f t="shared" ca="1" si="165"/>
        <v>605348.31999816524</v>
      </c>
      <c r="AA301" s="20">
        <f t="shared" ca="1" si="165"/>
        <v>623508.76959811023</v>
      </c>
      <c r="AB301" s="20">
        <f t="shared" ca="1" si="165"/>
        <v>642214.03268605354</v>
      </c>
      <c r="AC301" s="20">
        <f t="shared" ca="1" si="165"/>
        <v>661480.45366663521</v>
      </c>
      <c r="AD301" s="20">
        <f t="shared" ca="1" si="165"/>
        <v>681324.86727663432</v>
      </c>
      <c r="AE301" s="20">
        <f t="shared" ca="1" si="165"/>
        <v>701764.61329493334</v>
      </c>
      <c r="AF301" s="20">
        <f t="shared" ca="1" si="165"/>
        <v>0</v>
      </c>
      <c r="AG301" s="20">
        <f t="shared" ca="1" si="165"/>
        <v>0</v>
      </c>
      <c r="AH301" s="20">
        <f t="shared" ca="1" si="165"/>
        <v>0</v>
      </c>
      <c r="AI301" s="20">
        <f t="shared" ca="1" si="165"/>
        <v>0</v>
      </c>
      <c r="AJ301" s="20">
        <f t="shared" ca="1" si="165"/>
        <v>0</v>
      </c>
      <c r="AK301" s="20">
        <f t="shared" ca="1" si="165"/>
        <v>0</v>
      </c>
      <c r="AL301" s="20">
        <f t="shared" ca="1" si="165"/>
        <v>0</v>
      </c>
      <c r="AM301" s="20">
        <f t="shared" ca="1" si="165"/>
        <v>0</v>
      </c>
    </row>
    <row r="302" spans="1:39" x14ac:dyDescent="0.2">
      <c r="A302" s="22" t="str">
        <f>$A73</f>
        <v>Gzira</v>
      </c>
      <c r="B302" s="19"/>
      <c r="C302" s="20">
        <f t="shared" ca="1" si="165"/>
        <v>153362.49933442406</v>
      </c>
      <c r="D302" s="107">
        <f t="shared" ca="1" si="165"/>
        <v>157963.3743144568</v>
      </c>
      <c r="E302" s="115">
        <f t="shared" ca="1" si="165"/>
        <v>162702.27554389052</v>
      </c>
      <c r="F302" s="20">
        <f t="shared" ca="1" si="165"/>
        <v>167583.34381020724</v>
      </c>
      <c r="G302" s="20">
        <f t="shared" ca="1" si="165"/>
        <v>172610.84412451347</v>
      </c>
      <c r="H302" s="20">
        <f t="shared" ca="1" si="165"/>
        <v>177789.1694482489</v>
      </c>
      <c r="I302" s="20">
        <f t="shared" ca="1" si="165"/>
        <v>183122.84453169638</v>
      </c>
      <c r="J302" s="20">
        <f t="shared" ca="1" si="165"/>
        <v>188616.52986764727</v>
      </c>
      <c r="K302" s="20">
        <f t="shared" ca="1" si="165"/>
        <v>194275.02576367671</v>
      </c>
      <c r="L302" s="20">
        <f t="shared" ca="1" si="165"/>
        <v>200103.27653658701</v>
      </c>
      <c r="M302" s="20">
        <f t="shared" ca="1" si="165"/>
        <v>206106.37483268464</v>
      </c>
      <c r="N302" s="20">
        <f t="shared" ca="1" si="165"/>
        <v>212289.56607766519</v>
      </c>
      <c r="O302" s="20">
        <f t="shared" ca="1" si="165"/>
        <v>0</v>
      </c>
      <c r="P302" s="20">
        <f t="shared" ca="1" si="165"/>
        <v>0</v>
      </c>
      <c r="Q302" s="20">
        <f t="shared" ca="1" si="165"/>
        <v>0</v>
      </c>
      <c r="R302" s="20">
        <f t="shared" ca="1" si="165"/>
        <v>0</v>
      </c>
      <c r="S302" s="20">
        <f t="shared" ca="1" si="165"/>
        <v>0</v>
      </c>
      <c r="T302" s="20">
        <f t="shared" ca="1" si="165"/>
        <v>0</v>
      </c>
      <c r="U302" s="20">
        <f t="shared" ca="1" si="165"/>
        <v>0</v>
      </c>
      <c r="V302" s="20">
        <f t="shared" ca="1" si="165"/>
        <v>0</v>
      </c>
      <c r="W302" s="20">
        <f t="shared" ca="1" si="165"/>
        <v>0</v>
      </c>
      <c r="X302" s="20">
        <f t="shared" ca="1" si="165"/>
        <v>0</v>
      </c>
      <c r="Y302" s="20">
        <f t="shared" ca="1" si="165"/>
        <v>0</v>
      </c>
      <c r="Z302" s="20">
        <f t="shared" ca="1" si="165"/>
        <v>0</v>
      </c>
      <c r="AA302" s="20">
        <f t="shared" ca="1" si="165"/>
        <v>0</v>
      </c>
      <c r="AB302" s="20">
        <f t="shared" ca="1" si="165"/>
        <v>0</v>
      </c>
      <c r="AC302" s="20">
        <f t="shared" ca="1" si="165"/>
        <v>0</v>
      </c>
      <c r="AD302" s="20">
        <f t="shared" ca="1" si="165"/>
        <v>0</v>
      </c>
      <c r="AE302" s="20">
        <f t="shared" ca="1" si="165"/>
        <v>0</v>
      </c>
      <c r="AF302" s="20">
        <f t="shared" ca="1" si="165"/>
        <v>0</v>
      </c>
      <c r="AG302" s="20">
        <f t="shared" ca="1" si="165"/>
        <v>0</v>
      </c>
      <c r="AH302" s="20">
        <f t="shared" ca="1" si="165"/>
        <v>0</v>
      </c>
      <c r="AI302" s="20">
        <f t="shared" ca="1" si="165"/>
        <v>0</v>
      </c>
      <c r="AJ302" s="20">
        <f t="shared" ca="1" si="165"/>
        <v>0</v>
      </c>
      <c r="AK302" s="20">
        <f t="shared" ca="1" si="165"/>
        <v>0</v>
      </c>
      <c r="AL302" s="20">
        <f t="shared" ca="1" si="165"/>
        <v>0</v>
      </c>
      <c r="AM302" s="20">
        <f t="shared" ca="1" si="165"/>
        <v>0</v>
      </c>
    </row>
    <row r="303" spans="1:39" x14ac:dyDescent="0.2">
      <c r="A303" s="22" t="str">
        <f>$A74</f>
        <v>Qormi</v>
      </c>
      <c r="B303" s="19"/>
      <c r="C303" s="20">
        <f t="shared" ca="1" si="165"/>
        <v>224931.66569048862</v>
      </c>
      <c r="D303" s="107">
        <f t="shared" ca="1" si="165"/>
        <v>231679.61566120328</v>
      </c>
      <c r="E303" s="115">
        <f t="shared" ca="1" si="165"/>
        <v>238630.00413103937</v>
      </c>
      <c r="F303" s="20">
        <f t="shared" ca="1" si="165"/>
        <v>245788.90425497055</v>
      </c>
      <c r="G303" s="20">
        <f t="shared" ca="1" si="165"/>
        <v>253162.57138261967</v>
      </c>
      <c r="H303" s="20">
        <f t="shared" ca="1" si="165"/>
        <v>260757.44852409826</v>
      </c>
      <c r="I303" s="20">
        <f t="shared" ca="1" si="165"/>
        <v>268580.17197982123</v>
      </c>
      <c r="J303" s="20">
        <f t="shared" ca="1" si="165"/>
        <v>276637.57713921589</v>
      </c>
      <c r="K303" s="20">
        <f t="shared" ca="1" si="165"/>
        <v>284936.70445339236</v>
      </c>
      <c r="L303" s="20">
        <f t="shared" ca="1" si="165"/>
        <v>293484.80558699416</v>
      </c>
      <c r="M303" s="20">
        <f t="shared" ca="1" si="165"/>
        <v>302289.34975460399</v>
      </c>
      <c r="N303" s="20">
        <f t="shared" ca="1" si="165"/>
        <v>311358.03024724213</v>
      </c>
      <c r="O303" s="20">
        <f t="shared" ca="1" si="165"/>
        <v>320698.77115465939</v>
      </c>
      <c r="P303" s="20">
        <f t="shared" ca="1" si="165"/>
        <v>330319.73428929917</v>
      </c>
      <c r="Q303" s="20">
        <f t="shared" ca="1" si="165"/>
        <v>340229.32631797815</v>
      </c>
      <c r="R303" s="20">
        <f t="shared" ca="1" si="165"/>
        <v>350436.20610751753</v>
      </c>
      <c r="S303" s="20">
        <f t="shared" ca="1" si="165"/>
        <v>360949.29229074309</v>
      </c>
      <c r="T303" s="20">
        <f t="shared" ca="1" si="165"/>
        <v>371777.77105946542</v>
      </c>
      <c r="U303" s="20">
        <f t="shared" ca="1" si="165"/>
        <v>382931.10419124941</v>
      </c>
      <c r="V303" s="20">
        <f t="shared" ca="1" si="165"/>
        <v>394419.03731698688</v>
      </c>
      <c r="W303" s="20">
        <f t="shared" ca="1" si="165"/>
        <v>406251.60843649652</v>
      </c>
      <c r="X303" s="20">
        <f t="shared" ca="1" si="165"/>
        <v>0</v>
      </c>
      <c r="Y303" s="20">
        <f t="shared" ca="1" si="165"/>
        <v>0</v>
      </c>
      <c r="Z303" s="20">
        <f t="shared" ca="1" si="165"/>
        <v>0</v>
      </c>
      <c r="AA303" s="20">
        <f t="shared" ca="1" si="165"/>
        <v>0</v>
      </c>
      <c r="AB303" s="20">
        <f t="shared" ca="1" si="165"/>
        <v>0</v>
      </c>
      <c r="AC303" s="20">
        <f t="shared" ca="1" si="165"/>
        <v>0</v>
      </c>
      <c r="AD303" s="20">
        <f t="shared" ca="1" si="165"/>
        <v>0</v>
      </c>
      <c r="AE303" s="20">
        <f t="shared" ca="1" si="165"/>
        <v>0</v>
      </c>
      <c r="AF303" s="20">
        <f t="shared" ca="1" si="165"/>
        <v>0</v>
      </c>
      <c r="AG303" s="20">
        <f t="shared" ca="1" si="165"/>
        <v>0</v>
      </c>
      <c r="AH303" s="20">
        <f t="shared" ca="1" si="165"/>
        <v>0</v>
      </c>
      <c r="AI303" s="20">
        <f t="shared" ca="1" si="165"/>
        <v>0</v>
      </c>
      <c r="AJ303" s="20">
        <f t="shared" ca="1" si="165"/>
        <v>0</v>
      </c>
      <c r="AK303" s="20">
        <f t="shared" ca="1" si="165"/>
        <v>0</v>
      </c>
      <c r="AL303" s="20">
        <f t="shared" ca="1" si="165"/>
        <v>0</v>
      </c>
      <c r="AM303" s="20">
        <f t="shared" ca="1" si="165"/>
        <v>0</v>
      </c>
    </row>
    <row r="304" spans="1:39" x14ac:dyDescent="0.2">
      <c r="A304" s="22" t="str">
        <f>$A75</f>
        <v>Gudja</v>
      </c>
      <c r="B304" s="19"/>
      <c r="C304" s="20">
        <f t="shared" ca="1" si="165"/>
        <v>81793.332978359496</v>
      </c>
      <c r="D304" s="107">
        <f t="shared" ca="1" si="165"/>
        <v>84247.132967710277</v>
      </c>
      <c r="E304" s="115">
        <f t="shared" ca="1" si="165"/>
        <v>0</v>
      </c>
      <c r="F304" s="20">
        <f t="shared" ca="1" si="165"/>
        <v>0</v>
      </c>
      <c r="G304" s="20">
        <f t="shared" ca="1" si="165"/>
        <v>0</v>
      </c>
      <c r="H304" s="20">
        <f t="shared" ca="1" si="165"/>
        <v>0</v>
      </c>
      <c r="I304" s="20">
        <f t="shared" ca="1" si="165"/>
        <v>0</v>
      </c>
      <c r="J304" s="20">
        <f t="shared" ca="1" si="165"/>
        <v>0</v>
      </c>
      <c r="K304" s="20">
        <f t="shared" ca="1" si="165"/>
        <v>0</v>
      </c>
      <c r="L304" s="20">
        <f t="shared" ca="1" si="165"/>
        <v>0</v>
      </c>
      <c r="M304" s="20">
        <f t="shared" ca="1" si="165"/>
        <v>0</v>
      </c>
      <c r="N304" s="20">
        <f t="shared" ca="1" si="165"/>
        <v>0</v>
      </c>
      <c r="O304" s="20">
        <f t="shared" ca="1" si="165"/>
        <v>0</v>
      </c>
      <c r="P304" s="20">
        <f t="shared" ca="1" si="165"/>
        <v>0</v>
      </c>
      <c r="Q304" s="20">
        <f t="shared" ca="1" si="165"/>
        <v>0</v>
      </c>
      <c r="R304" s="20">
        <f t="shared" ca="1" si="165"/>
        <v>0</v>
      </c>
      <c r="S304" s="20">
        <f t="shared" ca="1" si="165"/>
        <v>0</v>
      </c>
      <c r="T304" s="20">
        <f t="shared" ca="1" si="165"/>
        <v>0</v>
      </c>
      <c r="U304" s="20">
        <f t="shared" ca="1" si="165"/>
        <v>0</v>
      </c>
      <c r="V304" s="20">
        <f t="shared" ca="1" si="165"/>
        <v>0</v>
      </c>
      <c r="W304" s="20">
        <f t="shared" ca="1" si="165"/>
        <v>0</v>
      </c>
      <c r="X304" s="20">
        <f t="shared" ca="1" si="165"/>
        <v>0</v>
      </c>
      <c r="Y304" s="20">
        <f t="shared" ca="1" si="165"/>
        <v>0</v>
      </c>
      <c r="Z304" s="20">
        <f t="shared" ca="1" si="165"/>
        <v>0</v>
      </c>
      <c r="AA304" s="20">
        <f t="shared" ca="1" si="165"/>
        <v>0</v>
      </c>
      <c r="AB304" s="20">
        <f t="shared" ca="1" si="165"/>
        <v>0</v>
      </c>
      <c r="AC304" s="20">
        <f t="shared" ca="1" si="165"/>
        <v>0</v>
      </c>
      <c r="AD304" s="20">
        <f t="shared" ca="1" si="165"/>
        <v>0</v>
      </c>
      <c r="AE304" s="20">
        <f t="shared" ca="1" si="165"/>
        <v>0</v>
      </c>
      <c r="AF304" s="20">
        <f t="shared" ca="1" si="165"/>
        <v>0</v>
      </c>
      <c r="AG304" s="20">
        <f t="shared" ca="1" si="165"/>
        <v>0</v>
      </c>
      <c r="AH304" s="20">
        <f t="shared" ca="1" si="165"/>
        <v>0</v>
      </c>
      <c r="AI304" s="20">
        <f t="shared" ca="1" si="165"/>
        <v>0</v>
      </c>
      <c r="AJ304" s="20">
        <f t="shared" ca="1" si="165"/>
        <v>0</v>
      </c>
      <c r="AK304" s="20">
        <f t="shared" ca="1" si="165"/>
        <v>0</v>
      </c>
      <c r="AL304" s="20">
        <f t="shared" ca="1" si="165"/>
        <v>0</v>
      </c>
      <c r="AM304" s="20">
        <f t="shared" ca="1" si="165"/>
        <v>0</v>
      </c>
    </row>
    <row r="305" spans="1:39" x14ac:dyDescent="0.2">
      <c r="A305" s="22" t="str">
        <f>$A76</f>
        <v>Marsa</v>
      </c>
      <c r="B305" s="19"/>
      <c r="C305" s="20">
        <f t="shared" ca="1" si="165"/>
        <v>122689.99946753924</v>
      </c>
      <c r="D305" s="107">
        <f t="shared" ca="1" si="165"/>
        <v>126370.69945156542</v>
      </c>
      <c r="E305" s="115">
        <f t="shared" ca="1" si="165"/>
        <v>130161.82043511239</v>
      </c>
      <c r="F305" s="20">
        <f t="shared" ca="1" si="165"/>
        <v>134066.67504816575</v>
      </c>
      <c r="G305" s="20">
        <f t="shared" ca="1" si="165"/>
        <v>138088.67529961074</v>
      </c>
      <c r="H305" s="20">
        <f t="shared" ca="1" si="165"/>
        <v>142231.33555859906</v>
      </c>
      <c r="I305" s="20">
        <f t="shared" ca="1" si="165"/>
        <v>146498.27562535706</v>
      </c>
      <c r="J305" s="20">
        <f t="shared" ca="1" si="165"/>
        <v>0</v>
      </c>
      <c r="K305" s="20">
        <f t="shared" ca="1" si="165"/>
        <v>0</v>
      </c>
      <c r="L305" s="20">
        <f t="shared" ca="1" si="165"/>
        <v>0</v>
      </c>
      <c r="M305" s="20">
        <f t="shared" ca="1" si="165"/>
        <v>0</v>
      </c>
      <c r="N305" s="20">
        <f t="shared" ca="1" si="165"/>
        <v>0</v>
      </c>
      <c r="O305" s="20">
        <f t="shared" ca="1" si="165"/>
        <v>0</v>
      </c>
      <c r="P305" s="20">
        <f t="shared" ca="1" si="165"/>
        <v>0</v>
      </c>
      <c r="Q305" s="20">
        <f t="shared" ca="1" si="165"/>
        <v>0</v>
      </c>
      <c r="R305" s="20">
        <f t="shared" ca="1" si="165"/>
        <v>0</v>
      </c>
      <c r="S305" s="20">
        <f t="shared" ca="1" si="165"/>
        <v>0</v>
      </c>
      <c r="T305" s="20">
        <f t="shared" ca="1" si="165"/>
        <v>0</v>
      </c>
      <c r="U305" s="20">
        <f t="shared" ca="1" si="165"/>
        <v>0</v>
      </c>
      <c r="V305" s="20">
        <f t="shared" ca="1" si="165"/>
        <v>0</v>
      </c>
      <c r="W305" s="20">
        <f t="shared" ca="1" si="165"/>
        <v>0</v>
      </c>
      <c r="X305" s="20">
        <f t="shared" ca="1" si="165"/>
        <v>0</v>
      </c>
      <c r="Y305" s="20">
        <f t="shared" ca="1" si="165"/>
        <v>0</v>
      </c>
      <c r="Z305" s="20">
        <f t="shared" ca="1" si="165"/>
        <v>0</v>
      </c>
      <c r="AA305" s="20">
        <f t="shared" ca="1" si="165"/>
        <v>0</v>
      </c>
      <c r="AB305" s="20">
        <f t="shared" ca="1" si="165"/>
        <v>0</v>
      </c>
      <c r="AC305" s="20">
        <f t="shared" ca="1" si="165"/>
        <v>0</v>
      </c>
      <c r="AD305" s="20">
        <f t="shared" ca="1" si="165"/>
        <v>0</v>
      </c>
      <c r="AE305" s="20">
        <f t="shared" ca="1" si="165"/>
        <v>0</v>
      </c>
      <c r="AF305" s="20">
        <f t="shared" ca="1" si="165"/>
        <v>0</v>
      </c>
      <c r="AG305" s="20">
        <f t="shared" ca="1" si="165"/>
        <v>0</v>
      </c>
      <c r="AH305" s="20">
        <f t="shared" ca="1" si="165"/>
        <v>0</v>
      </c>
      <c r="AI305" s="20">
        <f t="shared" ca="1" si="165"/>
        <v>0</v>
      </c>
      <c r="AJ305" s="20">
        <f t="shared" ca="1" si="165"/>
        <v>0</v>
      </c>
      <c r="AK305" s="20">
        <f t="shared" ca="1" si="165"/>
        <v>0</v>
      </c>
      <c r="AL305" s="20">
        <f t="shared" ca="1" si="165"/>
        <v>0</v>
      </c>
      <c r="AM305" s="20">
        <f t="shared" ca="1" si="165"/>
        <v>0</v>
      </c>
    </row>
    <row r="306" spans="1:39" x14ac:dyDescent="0.2">
      <c r="A306" s="22" t="str">
        <f>A78</f>
        <v>Jewelry</v>
      </c>
      <c r="B306" s="19"/>
      <c r="C306" s="20">
        <f t="shared" ref="C306:AM310" ca="1" si="166">IFERROR(IF(VLOOKUP($A306,$288:$298,C$1+2,FALSE)=0,C78,0),C78)</f>
        <v>50748.140451472013</v>
      </c>
      <c r="D306" s="107">
        <f t="shared" ca="1" si="166"/>
        <v>0</v>
      </c>
      <c r="E306" s="115">
        <f t="shared" ca="1" si="166"/>
        <v>0</v>
      </c>
      <c r="F306" s="20">
        <f t="shared" ca="1" si="166"/>
        <v>0</v>
      </c>
      <c r="G306" s="20">
        <f t="shared" ca="1" si="166"/>
        <v>0</v>
      </c>
      <c r="H306" s="20">
        <f t="shared" ca="1" si="166"/>
        <v>0</v>
      </c>
      <c r="I306" s="20">
        <f t="shared" ca="1" si="166"/>
        <v>0</v>
      </c>
      <c r="J306" s="20">
        <f t="shared" ca="1" si="166"/>
        <v>0</v>
      </c>
      <c r="K306" s="20">
        <f t="shared" ca="1" si="166"/>
        <v>0</v>
      </c>
      <c r="L306" s="20">
        <f t="shared" ca="1" si="166"/>
        <v>0</v>
      </c>
      <c r="M306" s="20">
        <f t="shared" ca="1" si="166"/>
        <v>0</v>
      </c>
      <c r="N306" s="20">
        <f t="shared" ca="1" si="166"/>
        <v>0</v>
      </c>
      <c r="O306" s="20">
        <f t="shared" ca="1" si="166"/>
        <v>0</v>
      </c>
      <c r="P306" s="20">
        <f t="shared" ca="1" si="166"/>
        <v>0</v>
      </c>
      <c r="Q306" s="20">
        <f t="shared" ca="1" si="166"/>
        <v>0</v>
      </c>
      <c r="R306" s="20">
        <f t="shared" ca="1" si="166"/>
        <v>0</v>
      </c>
      <c r="S306" s="20">
        <f t="shared" ca="1" si="166"/>
        <v>0</v>
      </c>
      <c r="T306" s="20">
        <f t="shared" ca="1" si="166"/>
        <v>0</v>
      </c>
      <c r="U306" s="20">
        <f t="shared" ca="1" si="166"/>
        <v>0</v>
      </c>
      <c r="V306" s="20">
        <f t="shared" ca="1" si="166"/>
        <v>0</v>
      </c>
      <c r="W306" s="20">
        <f t="shared" ca="1" si="166"/>
        <v>0</v>
      </c>
      <c r="X306" s="20">
        <f t="shared" ca="1" si="166"/>
        <v>0</v>
      </c>
      <c r="Y306" s="20">
        <f t="shared" ca="1" si="166"/>
        <v>0</v>
      </c>
      <c r="Z306" s="20">
        <f t="shared" ca="1" si="166"/>
        <v>0</v>
      </c>
      <c r="AA306" s="20">
        <f t="shared" ca="1" si="166"/>
        <v>0</v>
      </c>
      <c r="AB306" s="20">
        <f t="shared" ca="1" si="166"/>
        <v>0</v>
      </c>
      <c r="AC306" s="20">
        <f t="shared" ca="1" si="166"/>
        <v>0</v>
      </c>
      <c r="AD306" s="20">
        <f t="shared" ca="1" si="166"/>
        <v>0</v>
      </c>
      <c r="AE306" s="20">
        <f t="shared" ca="1" si="166"/>
        <v>0</v>
      </c>
      <c r="AF306" s="20">
        <f t="shared" ca="1" si="166"/>
        <v>0</v>
      </c>
      <c r="AG306" s="20">
        <f t="shared" ca="1" si="166"/>
        <v>0</v>
      </c>
      <c r="AH306" s="20">
        <f t="shared" ca="1" si="166"/>
        <v>0</v>
      </c>
      <c r="AI306" s="20">
        <f t="shared" ca="1" si="166"/>
        <v>0</v>
      </c>
      <c r="AJ306" s="20">
        <f t="shared" ca="1" si="166"/>
        <v>0</v>
      </c>
      <c r="AK306" s="20">
        <f t="shared" ca="1" si="166"/>
        <v>0</v>
      </c>
      <c r="AL306" s="20">
        <f t="shared" ca="1" si="166"/>
        <v>0</v>
      </c>
      <c r="AM306" s="20">
        <f t="shared" ca="1" si="166"/>
        <v>0</v>
      </c>
    </row>
    <row r="307" spans="1:39" x14ac:dyDescent="0.2">
      <c r="A307" s="22" t="str">
        <f>A79</f>
        <v>Car</v>
      </c>
      <c r="B307" s="19"/>
      <c r="C307" s="20">
        <f t="shared" ca="1" si="166"/>
        <v>0</v>
      </c>
      <c r="D307" s="107">
        <f t="shared" ca="1" si="166"/>
        <v>0</v>
      </c>
      <c r="E307" s="115">
        <f t="shared" ca="1" si="166"/>
        <v>0</v>
      </c>
      <c r="F307" s="20">
        <f t="shared" ca="1" si="166"/>
        <v>0</v>
      </c>
      <c r="G307" s="20">
        <f t="shared" ca="1" si="166"/>
        <v>0</v>
      </c>
      <c r="H307" s="20">
        <f t="shared" ca="1" si="166"/>
        <v>0</v>
      </c>
      <c r="I307" s="20">
        <f t="shared" ca="1" si="166"/>
        <v>0</v>
      </c>
      <c r="J307" s="20">
        <f t="shared" ca="1" si="166"/>
        <v>0</v>
      </c>
      <c r="K307" s="20">
        <f t="shared" ca="1" si="166"/>
        <v>0</v>
      </c>
      <c r="L307" s="20">
        <f t="shared" ca="1" si="166"/>
        <v>0</v>
      </c>
      <c r="M307" s="20">
        <f t="shared" ca="1" si="166"/>
        <v>0</v>
      </c>
      <c r="N307" s="20">
        <f t="shared" ca="1" si="166"/>
        <v>0</v>
      </c>
      <c r="O307" s="20">
        <f t="shared" ca="1" si="166"/>
        <v>0</v>
      </c>
      <c r="P307" s="20">
        <f t="shared" ca="1" si="166"/>
        <v>0</v>
      </c>
      <c r="Q307" s="20">
        <f t="shared" ca="1" si="166"/>
        <v>0</v>
      </c>
      <c r="R307" s="20">
        <f t="shared" ca="1" si="166"/>
        <v>0</v>
      </c>
      <c r="S307" s="20">
        <f t="shared" ca="1" si="166"/>
        <v>0</v>
      </c>
      <c r="T307" s="20">
        <f t="shared" ca="1" si="166"/>
        <v>0</v>
      </c>
      <c r="U307" s="20">
        <f t="shared" ca="1" si="166"/>
        <v>0</v>
      </c>
      <c r="V307" s="20">
        <f t="shared" ca="1" si="166"/>
        <v>0</v>
      </c>
      <c r="W307" s="20">
        <f t="shared" ca="1" si="166"/>
        <v>0</v>
      </c>
      <c r="X307" s="20">
        <f t="shared" ca="1" si="166"/>
        <v>0</v>
      </c>
      <c r="Y307" s="20">
        <f t="shared" ca="1" si="166"/>
        <v>0</v>
      </c>
      <c r="Z307" s="20">
        <f t="shared" ca="1" si="166"/>
        <v>0</v>
      </c>
      <c r="AA307" s="20">
        <f t="shared" ca="1" si="166"/>
        <v>0</v>
      </c>
      <c r="AB307" s="20">
        <f t="shared" ca="1" si="166"/>
        <v>0</v>
      </c>
      <c r="AC307" s="20">
        <f t="shared" ca="1" si="166"/>
        <v>0</v>
      </c>
      <c r="AD307" s="20">
        <f t="shared" ca="1" si="166"/>
        <v>0</v>
      </c>
      <c r="AE307" s="20">
        <f t="shared" ca="1" si="166"/>
        <v>0</v>
      </c>
      <c r="AF307" s="20">
        <f t="shared" ca="1" si="166"/>
        <v>0</v>
      </c>
      <c r="AG307" s="20">
        <f t="shared" ca="1" si="166"/>
        <v>0</v>
      </c>
      <c r="AH307" s="20">
        <f t="shared" ca="1" si="166"/>
        <v>0</v>
      </c>
      <c r="AI307" s="20">
        <f t="shared" ca="1" si="166"/>
        <v>0</v>
      </c>
      <c r="AJ307" s="20">
        <f t="shared" ca="1" si="166"/>
        <v>0</v>
      </c>
      <c r="AK307" s="20">
        <f t="shared" ca="1" si="166"/>
        <v>0</v>
      </c>
      <c r="AL307" s="20">
        <f t="shared" ca="1" si="166"/>
        <v>0</v>
      </c>
      <c r="AM307" s="20">
        <f t="shared" ca="1" si="166"/>
        <v>0</v>
      </c>
    </row>
    <row r="308" spans="1:39" x14ac:dyDescent="0.2">
      <c r="A308" s="22" t="str">
        <f>A80</f>
        <v>Painting</v>
      </c>
      <c r="B308" s="19"/>
      <c r="C308" s="20">
        <f t="shared" ca="1" si="166"/>
        <v>0</v>
      </c>
      <c r="D308" s="107">
        <f t="shared" ca="1" si="166"/>
        <v>0</v>
      </c>
      <c r="E308" s="115">
        <f t="shared" ca="1" si="166"/>
        <v>0</v>
      </c>
      <c r="F308" s="20">
        <f t="shared" ca="1" si="166"/>
        <v>0</v>
      </c>
      <c r="G308" s="20">
        <f t="shared" ca="1" si="166"/>
        <v>0</v>
      </c>
      <c r="H308" s="20">
        <f t="shared" ca="1" si="166"/>
        <v>0</v>
      </c>
      <c r="I308" s="20">
        <f t="shared" ca="1" si="166"/>
        <v>0</v>
      </c>
      <c r="J308" s="20">
        <f t="shared" ca="1" si="166"/>
        <v>0</v>
      </c>
      <c r="K308" s="20">
        <f t="shared" ca="1" si="166"/>
        <v>0</v>
      </c>
      <c r="L308" s="20">
        <f t="shared" ca="1" si="166"/>
        <v>0</v>
      </c>
      <c r="M308" s="20">
        <f t="shared" ca="1" si="166"/>
        <v>0</v>
      </c>
      <c r="N308" s="20">
        <f t="shared" ca="1" si="166"/>
        <v>0</v>
      </c>
      <c r="O308" s="20">
        <f t="shared" ca="1" si="166"/>
        <v>0</v>
      </c>
      <c r="P308" s="20">
        <f t="shared" ca="1" si="166"/>
        <v>0</v>
      </c>
      <c r="Q308" s="20">
        <f t="shared" ca="1" si="166"/>
        <v>0</v>
      </c>
      <c r="R308" s="20">
        <f t="shared" ca="1" si="166"/>
        <v>0</v>
      </c>
      <c r="S308" s="20">
        <f t="shared" ca="1" si="166"/>
        <v>0</v>
      </c>
      <c r="T308" s="20">
        <f t="shared" ca="1" si="166"/>
        <v>0</v>
      </c>
      <c r="U308" s="20">
        <f t="shared" ca="1" si="166"/>
        <v>0</v>
      </c>
      <c r="V308" s="20">
        <f t="shared" ca="1" si="166"/>
        <v>0</v>
      </c>
      <c r="W308" s="20">
        <f t="shared" ca="1" si="166"/>
        <v>0</v>
      </c>
      <c r="X308" s="20">
        <f t="shared" ca="1" si="166"/>
        <v>0</v>
      </c>
      <c r="Y308" s="20">
        <f t="shared" ca="1" si="166"/>
        <v>0</v>
      </c>
      <c r="Z308" s="20">
        <f t="shared" ca="1" si="166"/>
        <v>0</v>
      </c>
      <c r="AA308" s="20">
        <f t="shared" ca="1" si="166"/>
        <v>0</v>
      </c>
      <c r="AB308" s="20">
        <f t="shared" ca="1" si="166"/>
        <v>0</v>
      </c>
      <c r="AC308" s="20">
        <f t="shared" ca="1" si="166"/>
        <v>0</v>
      </c>
      <c r="AD308" s="20">
        <f t="shared" ca="1" si="166"/>
        <v>0</v>
      </c>
      <c r="AE308" s="20">
        <f t="shared" ca="1" si="166"/>
        <v>0</v>
      </c>
      <c r="AF308" s="20">
        <f t="shared" ca="1" si="166"/>
        <v>0</v>
      </c>
      <c r="AG308" s="20">
        <f t="shared" ca="1" si="166"/>
        <v>0</v>
      </c>
      <c r="AH308" s="20">
        <f t="shared" ca="1" si="166"/>
        <v>0</v>
      </c>
      <c r="AI308" s="20">
        <f t="shared" ca="1" si="166"/>
        <v>0</v>
      </c>
      <c r="AJ308" s="20">
        <f t="shared" ca="1" si="166"/>
        <v>0</v>
      </c>
      <c r="AK308" s="20">
        <f t="shared" ca="1" si="166"/>
        <v>0</v>
      </c>
      <c r="AL308" s="20">
        <f t="shared" ca="1" si="166"/>
        <v>0</v>
      </c>
      <c r="AM308" s="20">
        <f t="shared" ca="1" si="166"/>
        <v>0</v>
      </c>
    </row>
    <row r="309" spans="1:39" x14ac:dyDescent="0.2">
      <c r="A309" s="22" t="str">
        <f>A81</f>
        <v>Boat</v>
      </c>
      <c r="B309" s="19"/>
      <c r="C309" s="20">
        <f t="shared" ca="1" si="166"/>
        <v>173206.90804157319</v>
      </c>
      <c r="D309" s="107">
        <f t="shared" ca="1" si="166"/>
        <v>164546.56263949451</v>
      </c>
      <c r="E309" s="115">
        <f t="shared" ca="1" si="166"/>
        <v>156319.23450751978</v>
      </c>
      <c r="F309" s="20">
        <f t="shared" ca="1" si="166"/>
        <v>148503.27278214379</v>
      </c>
      <c r="G309" s="20">
        <f t="shared" ca="1" si="166"/>
        <v>141078.10914303659</v>
      </c>
      <c r="H309" s="20">
        <f t="shared" ca="1" si="166"/>
        <v>134024.20368588474</v>
      </c>
      <c r="I309" s="20">
        <f t="shared" ca="1" si="166"/>
        <v>127322.99350159049</v>
      </c>
      <c r="J309" s="20">
        <f t="shared" ca="1" si="166"/>
        <v>120956.84382651096</v>
      </c>
      <c r="K309" s="20">
        <f t="shared" ca="1" si="166"/>
        <v>114909.0016351854</v>
      </c>
      <c r="L309" s="20">
        <f t="shared" ca="1" si="166"/>
        <v>109163.55155342612</v>
      </c>
      <c r="M309" s="20">
        <f t="shared" ca="1" si="166"/>
        <v>103705.37397575482</v>
      </c>
      <c r="N309" s="20">
        <f t="shared" ca="1" si="166"/>
        <v>98520.105276967079</v>
      </c>
      <c r="O309" s="20">
        <f t="shared" ca="1" si="166"/>
        <v>93594.100013118717</v>
      </c>
      <c r="P309" s="20">
        <f t="shared" ca="1" si="166"/>
        <v>88914.395012462774</v>
      </c>
      <c r="Q309" s="20">
        <f t="shared" ca="1" si="166"/>
        <v>84468.675261839628</v>
      </c>
      <c r="R309" s="20">
        <f t="shared" ca="1" si="166"/>
        <v>80245.241498747637</v>
      </c>
      <c r="S309" s="20">
        <f t="shared" ca="1" si="166"/>
        <v>76232.979423810248</v>
      </c>
      <c r="T309" s="20">
        <f t="shared" ca="1" si="166"/>
        <v>72421.330452619732</v>
      </c>
      <c r="U309" s="20">
        <f t="shared" ca="1" si="166"/>
        <v>0</v>
      </c>
      <c r="V309" s="20">
        <f t="shared" ca="1" si="166"/>
        <v>0</v>
      </c>
      <c r="W309" s="20">
        <f t="shared" ca="1" si="166"/>
        <v>0</v>
      </c>
      <c r="X309" s="20">
        <f t="shared" ca="1" si="166"/>
        <v>0</v>
      </c>
      <c r="Y309" s="20">
        <f t="shared" ca="1" si="166"/>
        <v>0</v>
      </c>
      <c r="Z309" s="20">
        <f t="shared" ca="1" si="166"/>
        <v>0</v>
      </c>
      <c r="AA309" s="20">
        <f t="shared" ca="1" si="166"/>
        <v>0</v>
      </c>
      <c r="AB309" s="20">
        <f t="shared" ca="1" si="166"/>
        <v>0</v>
      </c>
      <c r="AC309" s="20">
        <f t="shared" ca="1" si="166"/>
        <v>0</v>
      </c>
      <c r="AD309" s="20">
        <f t="shared" ca="1" si="166"/>
        <v>0</v>
      </c>
      <c r="AE309" s="20">
        <f t="shared" ca="1" si="166"/>
        <v>0</v>
      </c>
      <c r="AF309" s="20">
        <f t="shared" ca="1" si="166"/>
        <v>0</v>
      </c>
      <c r="AG309" s="20">
        <f t="shared" ca="1" si="166"/>
        <v>0</v>
      </c>
      <c r="AH309" s="20">
        <f t="shared" ca="1" si="166"/>
        <v>0</v>
      </c>
      <c r="AI309" s="20">
        <f t="shared" ca="1" si="166"/>
        <v>0</v>
      </c>
      <c r="AJ309" s="20">
        <f t="shared" ca="1" si="166"/>
        <v>0</v>
      </c>
      <c r="AK309" s="20">
        <f t="shared" ca="1" si="166"/>
        <v>0</v>
      </c>
      <c r="AL309" s="20">
        <f t="shared" ca="1" si="166"/>
        <v>0</v>
      </c>
      <c r="AM309" s="20">
        <f t="shared" ca="1" si="166"/>
        <v>0</v>
      </c>
    </row>
    <row r="310" spans="1:39" x14ac:dyDescent="0.2">
      <c r="A310" s="22" t="str">
        <f>A82</f>
        <v>Antiques</v>
      </c>
      <c r="B310" s="19"/>
      <c r="C310" s="20">
        <f t="shared" ca="1" si="166"/>
        <v>83226.9503404141</v>
      </c>
      <c r="D310" s="107">
        <f t="shared" ca="1" si="166"/>
        <v>84891.489347222378</v>
      </c>
      <c r="E310" s="115">
        <f t="shared" ca="1" si="166"/>
        <v>0</v>
      </c>
      <c r="F310" s="20">
        <f t="shared" ca="1" si="166"/>
        <v>0</v>
      </c>
      <c r="G310" s="20">
        <f t="shared" ca="1" si="166"/>
        <v>0</v>
      </c>
      <c r="H310" s="20">
        <f t="shared" ca="1" si="166"/>
        <v>0</v>
      </c>
      <c r="I310" s="20">
        <f t="shared" ca="1" si="166"/>
        <v>0</v>
      </c>
      <c r="J310" s="20">
        <f t="shared" ca="1" si="166"/>
        <v>0</v>
      </c>
      <c r="K310" s="20">
        <f t="shared" ca="1" si="166"/>
        <v>0</v>
      </c>
      <c r="L310" s="20">
        <f t="shared" ca="1" si="166"/>
        <v>0</v>
      </c>
      <c r="M310" s="20">
        <f t="shared" ca="1" si="166"/>
        <v>0</v>
      </c>
      <c r="N310" s="20">
        <f t="shared" ca="1" si="166"/>
        <v>0</v>
      </c>
      <c r="O310" s="20">
        <f t="shared" ca="1" si="166"/>
        <v>0</v>
      </c>
      <c r="P310" s="20">
        <f t="shared" ca="1" si="166"/>
        <v>0</v>
      </c>
      <c r="Q310" s="20">
        <f t="shared" ca="1" si="166"/>
        <v>0</v>
      </c>
      <c r="R310" s="20">
        <f t="shared" ca="1" si="166"/>
        <v>0</v>
      </c>
      <c r="S310" s="20">
        <f t="shared" ca="1" si="166"/>
        <v>0</v>
      </c>
      <c r="T310" s="20">
        <f t="shared" ca="1" si="166"/>
        <v>0</v>
      </c>
      <c r="U310" s="20">
        <f t="shared" ca="1" si="166"/>
        <v>0</v>
      </c>
      <c r="V310" s="20">
        <f t="shared" ca="1" si="166"/>
        <v>0</v>
      </c>
      <c r="W310" s="20">
        <f t="shared" ca="1" si="166"/>
        <v>0</v>
      </c>
      <c r="X310" s="20">
        <f t="shared" ca="1" si="166"/>
        <v>0</v>
      </c>
      <c r="Y310" s="20">
        <f t="shared" ca="1" si="166"/>
        <v>0</v>
      </c>
      <c r="Z310" s="20">
        <f t="shared" ca="1" si="166"/>
        <v>0</v>
      </c>
      <c r="AA310" s="20">
        <f t="shared" ca="1" si="166"/>
        <v>0</v>
      </c>
      <c r="AB310" s="20">
        <f t="shared" ca="1" si="166"/>
        <v>0</v>
      </c>
      <c r="AC310" s="20">
        <f t="shared" ca="1" si="166"/>
        <v>0</v>
      </c>
      <c r="AD310" s="20">
        <f t="shared" ca="1" si="166"/>
        <v>0</v>
      </c>
      <c r="AE310" s="20">
        <f t="shared" ca="1" si="166"/>
        <v>0</v>
      </c>
      <c r="AF310" s="20">
        <f t="shared" ca="1" si="166"/>
        <v>0</v>
      </c>
      <c r="AG310" s="20">
        <f t="shared" ca="1" si="166"/>
        <v>0</v>
      </c>
      <c r="AH310" s="20">
        <f t="shared" ca="1" si="166"/>
        <v>0</v>
      </c>
      <c r="AI310" s="20">
        <f t="shared" ca="1" si="166"/>
        <v>0</v>
      </c>
      <c r="AJ310" s="20">
        <f t="shared" ca="1" si="166"/>
        <v>0</v>
      </c>
      <c r="AK310" s="20">
        <f t="shared" ca="1" si="166"/>
        <v>0</v>
      </c>
      <c r="AL310" s="20">
        <f t="shared" ca="1" si="166"/>
        <v>0</v>
      </c>
      <c r="AM310" s="20">
        <f t="shared" ca="1" si="166"/>
        <v>0</v>
      </c>
    </row>
    <row r="311" spans="1:39" x14ac:dyDescent="0.2">
      <c r="C311" s="7"/>
      <c r="D311" s="101"/>
      <c r="E311" s="110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  <c r="AB311" s="7"/>
      <c r="AC311" s="7"/>
      <c r="AD311" s="7"/>
      <c r="AE311" s="7"/>
      <c r="AF311" s="7"/>
      <c r="AG311" s="7"/>
      <c r="AH311" s="7"/>
      <c r="AI311" s="7"/>
      <c r="AJ311" s="7"/>
      <c r="AK311" s="7"/>
      <c r="AL311" s="7"/>
      <c r="AM311" s="7"/>
    </row>
    <row r="312" spans="1:39" x14ac:dyDescent="0.2">
      <c r="A312" s="18" t="s">
        <v>196</v>
      </c>
      <c r="B312" s="19"/>
      <c r="C312" s="20"/>
      <c r="D312" s="107"/>
      <c r="E312" s="115"/>
      <c r="F312" s="20"/>
      <c r="G312" s="20"/>
      <c r="H312" s="20"/>
      <c r="I312" s="20"/>
      <c r="J312" s="20"/>
      <c r="K312" s="20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  <c r="AE312" s="20"/>
      <c r="AF312" s="20"/>
      <c r="AG312" s="20"/>
      <c r="AH312" s="20"/>
      <c r="AI312" s="20"/>
      <c r="AJ312" s="20"/>
      <c r="AK312" s="20"/>
      <c r="AL312" s="20"/>
      <c r="AM312" s="20"/>
    </row>
    <row r="313" spans="1:39" x14ac:dyDescent="0.2">
      <c r="A313" s="22" t="str">
        <f>B$123</f>
        <v>Painting</v>
      </c>
      <c r="B313" s="19"/>
      <c r="C313" s="20">
        <f ca="1">SUM($C123:C123)</f>
        <v>-6642.0499231875183</v>
      </c>
      <c r="D313" s="107">
        <f ca="1">SUM($C123:D123)</f>
        <v>-6642.0499231875183</v>
      </c>
      <c r="E313" s="115">
        <f ca="1">SUM($C123:E123)</f>
        <v>-6642.0499231875183</v>
      </c>
      <c r="F313" s="20">
        <f ca="1">SUM($C123:F123)</f>
        <v>-6642.0499231875183</v>
      </c>
      <c r="G313" s="20">
        <f ca="1">SUM($C123:G123)</f>
        <v>-6642.0499231875183</v>
      </c>
      <c r="H313" s="20">
        <f ca="1">SUM($C123:H123)</f>
        <v>-6642.0499231875183</v>
      </c>
      <c r="I313" s="20">
        <f ca="1">SUM($C123:I123)</f>
        <v>-6642.0499231875183</v>
      </c>
      <c r="J313" s="20">
        <f ca="1">SUM($C123:J123)</f>
        <v>-6642.0499231875183</v>
      </c>
      <c r="K313" s="20">
        <f ca="1">SUM($C123:K123)</f>
        <v>-6642.0499231875183</v>
      </c>
      <c r="L313" s="20">
        <f ca="1">SUM($C123:L123)</f>
        <v>-6642.0499231875183</v>
      </c>
      <c r="M313" s="20">
        <f ca="1">SUM($C123:M123)</f>
        <v>-6642.0499231875183</v>
      </c>
      <c r="N313" s="20">
        <f ca="1">SUM($C123:N123)</f>
        <v>-6642.0499231875183</v>
      </c>
      <c r="O313" s="20">
        <f ca="1">SUM($C123:O123)</f>
        <v>-6642.0499231875183</v>
      </c>
      <c r="P313" s="20">
        <f ca="1">SUM($C123:P123)</f>
        <v>-6642.0499231875183</v>
      </c>
      <c r="Q313" s="20">
        <f ca="1">SUM($C123:Q123)</f>
        <v>-6642.0499231875183</v>
      </c>
      <c r="R313" s="20">
        <f ca="1">SUM($C123:R123)</f>
        <v>-6642.0499231875183</v>
      </c>
      <c r="S313" s="20">
        <f ca="1">SUM($C123:S123)</f>
        <v>-6642.0499231875183</v>
      </c>
      <c r="T313" s="20">
        <f ca="1">SUM($C123:T123)</f>
        <v>-6642.0499231875183</v>
      </c>
      <c r="U313" s="20">
        <f ca="1">SUM($C123:U123)</f>
        <v>-6642.0499231875183</v>
      </c>
      <c r="V313" s="20">
        <f ca="1">SUM($C123:V123)</f>
        <v>-6642.0499231875183</v>
      </c>
      <c r="W313" s="20">
        <f ca="1">SUM($C123:W123)</f>
        <v>-6642.0499231875183</v>
      </c>
      <c r="X313" s="20">
        <f ca="1">SUM($C123:X123)</f>
        <v>-6642.0499231875183</v>
      </c>
      <c r="Y313" s="20">
        <f ca="1">SUM($C123:Y123)</f>
        <v>-6642.0499231875183</v>
      </c>
      <c r="Z313" s="20">
        <f ca="1">SUM($C123:Z123)</f>
        <v>-6642.0499231875183</v>
      </c>
      <c r="AA313" s="20">
        <f ca="1">SUM($C123:AA123)</f>
        <v>-6642.0499231875183</v>
      </c>
      <c r="AB313" s="20">
        <f ca="1">SUM($C123:AB123)</f>
        <v>-6642.0499231875183</v>
      </c>
      <c r="AC313" s="20">
        <f ca="1">SUM($C123:AC123)</f>
        <v>-6642.0499231875183</v>
      </c>
      <c r="AD313" s="20">
        <f ca="1">SUM($C123:AD123)</f>
        <v>-6642.0499231875183</v>
      </c>
      <c r="AE313" s="20">
        <f ca="1">SUM($C123:AE123)</f>
        <v>-6642.0499231875183</v>
      </c>
      <c r="AF313" s="20">
        <f ca="1">SUM($C123:AF123)</f>
        <v>-6642.0499231875183</v>
      </c>
      <c r="AG313" s="20">
        <f ca="1">SUM($C123:AG123)</f>
        <v>-6642.0499231875183</v>
      </c>
      <c r="AH313" s="20">
        <f ca="1">SUM($C123:AH123)</f>
        <v>-6642.0499231875183</v>
      </c>
      <c r="AI313" s="20">
        <f ca="1">SUM($C123:AI123)</f>
        <v>-6642.0499231875183</v>
      </c>
      <c r="AJ313" s="20">
        <f ca="1">SUM($C123:AJ123)</f>
        <v>-6642.0499231875183</v>
      </c>
      <c r="AK313" s="20">
        <f ca="1">SUM($C123:AK123)</f>
        <v>-6642.0499231875183</v>
      </c>
      <c r="AL313" s="20">
        <f ca="1">SUM($C123:AL123)</f>
        <v>-6642.0499231875183</v>
      </c>
      <c r="AM313" s="20">
        <f ca="1">SUM($C123:AM123)</f>
        <v>-6642.0499231875183</v>
      </c>
    </row>
    <row r="314" spans="1:39" x14ac:dyDescent="0.2">
      <c r="A314" s="22" t="str">
        <f>B$140</f>
        <v>Car</v>
      </c>
      <c r="B314" s="19"/>
      <c r="C314" s="20">
        <f ca="1">SUM($C140:C140)</f>
        <v>-5311.4222222593407</v>
      </c>
      <c r="D314" s="107">
        <f ca="1">SUM($C140:D140)</f>
        <v>-5311.4222222593407</v>
      </c>
      <c r="E314" s="115">
        <f ca="1">SUM($C140:E140)</f>
        <v>-5311.4222222593407</v>
      </c>
      <c r="F314" s="20">
        <f ca="1">SUM($C140:F140)</f>
        <v>-5311.4222222593407</v>
      </c>
      <c r="G314" s="20">
        <f ca="1">SUM($C140:G140)</f>
        <v>-5311.4222222593407</v>
      </c>
      <c r="H314" s="20">
        <f ca="1">SUM($C140:H140)</f>
        <v>-5311.4222222593407</v>
      </c>
      <c r="I314" s="20">
        <f ca="1">SUM($C140:I140)</f>
        <v>-5311.4222222593407</v>
      </c>
      <c r="J314" s="20">
        <f ca="1">SUM($C140:J140)</f>
        <v>-5311.4222222593407</v>
      </c>
      <c r="K314" s="20">
        <f ca="1">SUM($C140:K140)</f>
        <v>-5311.4222222593407</v>
      </c>
      <c r="L314" s="20">
        <f ca="1">SUM($C140:L140)</f>
        <v>-5311.4222222593407</v>
      </c>
      <c r="M314" s="20">
        <f ca="1">SUM($C140:M140)</f>
        <v>-5311.4222222593407</v>
      </c>
      <c r="N314" s="20">
        <f ca="1">SUM($C140:N140)</f>
        <v>-5311.4222222593407</v>
      </c>
      <c r="O314" s="20">
        <f ca="1">SUM($C140:O140)</f>
        <v>-5311.4222222593407</v>
      </c>
      <c r="P314" s="20">
        <f ca="1">SUM($C140:P140)</f>
        <v>-5311.4222222593407</v>
      </c>
      <c r="Q314" s="20">
        <f ca="1">SUM($C140:Q140)</f>
        <v>-5311.4222222593407</v>
      </c>
      <c r="R314" s="20">
        <f ca="1">SUM($C140:R140)</f>
        <v>-5311.4222222593407</v>
      </c>
      <c r="S314" s="20">
        <f ca="1">SUM($C140:S140)</f>
        <v>-5311.4222222593407</v>
      </c>
      <c r="T314" s="20">
        <f ca="1">SUM($C140:T140)</f>
        <v>-5311.4222222593407</v>
      </c>
      <c r="U314" s="20">
        <f ca="1">SUM($C140:U140)</f>
        <v>-5311.4222222593407</v>
      </c>
      <c r="V314" s="20">
        <f ca="1">SUM($C140:V140)</f>
        <v>-5311.4222222593407</v>
      </c>
      <c r="W314" s="20">
        <f ca="1">SUM($C140:W140)</f>
        <v>-5311.4222222593407</v>
      </c>
      <c r="X314" s="20">
        <f ca="1">SUM($C140:X140)</f>
        <v>-5311.4222222593407</v>
      </c>
      <c r="Y314" s="20">
        <f ca="1">SUM($C140:Y140)</f>
        <v>-5311.4222222593407</v>
      </c>
      <c r="Z314" s="20">
        <f ca="1">SUM($C140:Z140)</f>
        <v>-5311.4222222593407</v>
      </c>
      <c r="AA314" s="20">
        <f ca="1">SUM($C140:AA140)</f>
        <v>-5311.4222222593407</v>
      </c>
      <c r="AB314" s="20">
        <f ca="1">SUM($C140:AB140)</f>
        <v>-5311.4222222593407</v>
      </c>
      <c r="AC314" s="20">
        <f ca="1">SUM($C140:AC140)</f>
        <v>-5311.4222222593407</v>
      </c>
      <c r="AD314" s="20">
        <f ca="1">SUM($C140:AD140)</f>
        <v>-5311.4222222593407</v>
      </c>
      <c r="AE314" s="20">
        <f ca="1">SUM($C140:AE140)</f>
        <v>-5311.4222222593407</v>
      </c>
      <c r="AF314" s="20">
        <f ca="1">SUM($C140:AF140)</f>
        <v>-5311.4222222593407</v>
      </c>
      <c r="AG314" s="20">
        <f ca="1">SUM($C140:AG140)</f>
        <v>-5311.4222222593407</v>
      </c>
      <c r="AH314" s="20">
        <f ca="1">SUM($C140:AH140)</f>
        <v>-5311.4222222593407</v>
      </c>
      <c r="AI314" s="20">
        <f ca="1">SUM($C140:AI140)</f>
        <v>-5311.4222222593407</v>
      </c>
      <c r="AJ314" s="20">
        <f ca="1">SUM($C140:AJ140)</f>
        <v>-5311.4222222593407</v>
      </c>
      <c r="AK314" s="20">
        <f ca="1">SUM($C140:AK140)</f>
        <v>-5311.4222222593407</v>
      </c>
      <c r="AL314" s="20">
        <f ca="1">SUM($C140:AL140)</f>
        <v>-5311.4222222593407</v>
      </c>
      <c r="AM314" s="20">
        <f ca="1">SUM($C140:AM140)</f>
        <v>-5311.4222222593407</v>
      </c>
    </row>
    <row r="315" spans="1:39" x14ac:dyDescent="0.2">
      <c r="A315" s="22" t="str">
        <f>B$157</f>
        <v>Jewelry</v>
      </c>
      <c r="B315" s="19"/>
      <c r="C315" s="20">
        <f ca="1">SUM($C157:C157)</f>
        <v>0</v>
      </c>
      <c r="D315" s="107">
        <f ca="1">SUM($C157:D157)</f>
        <v>-1019.5782814113345</v>
      </c>
      <c r="E315" s="115">
        <f ca="1">SUM($C157:E157)</f>
        <v>-1019.5782814113345</v>
      </c>
      <c r="F315" s="20">
        <f ca="1">SUM($C157:F157)</f>
        <v>-1019.5782814113345</v>
      </c>
      <c r="G315" s="20">
        <f ca="1">SUM($C157:G157)</f>
        <v>-1019.5782814113345</v>
      </c>
      <c r="H315" s="20">
        <f ca="1">SUM($C157:H157)</f>
        <v>-1019.5782814113345</v>
      </c>
      <c r="I315" s="20">
        <f ca="1">SUM($C157:I157)</f>
        <v>-1019.5782814113345</v>
      </c>
      <c r="J315" s="20">
        <f ca="1">SUM($C157:J157)</f>
        <v>-1019.5782814113345</v>
      </c>
      <c r="K315" s="20">
        <f ca="1">SUM($C157:K157)</f>
        <v>-1019.5782814113345</v>
      </c>
      <c r="L315" s="20">
        <f ca="1">SUM($C157:L157)</f>
        <v>-1019.5782814113345</v>
      </c>
      <c r="M315" s="20">
        <f ca="1">SUM($C157:M157)</f>
        <v>-1019.5782814113345</v>
      </c>
      <c r="N315" s="20">
        <f ca="1">SUM($C157:N157)</f>
        <v>-1019.5782814113345</v>
      </c>
      <c r="O315" s="20">
        <f ca="1">SUM($C157:O157)</f>
        <v>-1019.5782814113345</v>
      </c>
      <c r="P315" s="20">
        <f ca="1">SUM($C157:P157)</f>
        <v>-1019.5782814113345</v>
      </c>
      <c r="Q315" s="20">
        <f ca="1">SUM($C157:Q157)</f>
        <v>-1019.5782814113345</v>
      </c>
      <c r="R315" s="20">
        <f ca="1">SUM($C157:R157)</f>
        <v>-1019.5782814113345</v>
      </c>
      <c r="S315" s="20">
        <f ca="1">SUM($C157:S157)</f>
        <v>-1019.5782814113345</v>
      </c>
      <c r="T315" s="20">
        <f ca="1">SUM($C157:T157)</f>
        <v>-1019.5782814113345</v>
      </c>
      <c r="U315" s="20">
        <f ca="1">SUM($C157:U157)</f>
        <v>-1019.5782814113345</v>
      </c>
      <c r="V315" s="20">
        <f ca="1">SUM($C157:V157)</f>
        <v>-1019.5782814113345</v>
      </c>
      <c r="W315" s="20">
        <f ca="1">SUM($C157:W157)</f>
        <v>-1019.5782814113345</v>
      </c>
      <c r="X315" s="20">
        <f ca="1">SUM($C157:X157)</f>
        <v>-1019.5782814113345</v>
      </c>
      <c r="Y315" s="20">
        <f ca="1">SUM($C157:Y157)</f>
        <v>-1019.5782814113345</v>
      </c>
      <c r="Z315" s="20">
        <f ca="1">SUM($C157:Z157)</f>
        <v>-1019.5782814113345</v>
      </c>
      <c r="AA315" s="20">
        <f ca="1">SUM($C157:AA157)</f>
        <v>-1019.5782814113345</v>
      </c>
      <c r="AB315" s="20">
        <f ca="1">SUM($C157:AB157)</f>
        <v>-1019.5782814113345</v>
      </c>
      <c r="AC315" s="20">
        <f ca="1">SUM($C157:AC157)</f>
        <v>-1019.5782814113345</v>
      </c>
      <c r="AD315" s="20">
        <f ca="1">SUM($C157:AD157)</f>
        <v>-1019.5782814113345</v>
      </c>
      <c r="AE315" s="20">
        <f ca="1">SUM($C157:AE157)</f>
        <v>-1019.5782814113345</v>
      </c>
      <c r="AF315" s="20">
        <f ca="1">SUM($C157:AF157)</f>
        <v>-1019.5782814113345</v>
      </c>
      <c r="AG315" s="20">
        <f ca="1">SUM($C157:AG157)</f>
        <v>-1019.5782814113345</v>
      </c>
      <c r="AH315" s="20">
        <f ca="1">SUM($C157:AH157)</f>
        <v>-1019.5782814113345</v>
      </c>
      <c r="AI315" s="20">
        <f ca="1">SUM($C157:AI157)</f>
        <v>-1019.5782814113345</v>
      </c>
      <c r="AJ315" s="20">
        <f ca="1">SUM($C157:AJ157)</f>
        <v>-1019.5782814113345</v>
      </c>
      <c r="AK315" s="20">
        <f ca="1">SUM($C157:AK157)</f>
        <v>-1019.5782814113345</v>
      </c>
      <c r="AL315" s="20">
        <f ca="1">SUM($C157:AL157)</f>
        <v>-1019.5782814113345</v>
      </c>
      <c r="AM315" s="20">
        <f ca="1">SUM($C157:AM157)</f>
        <v>-1019.5782814113345</v>
      </c>
    </row>
    <row r="316" spans="1:39" x14ac:dyDescent="0.2">
      <c r="A316" s="22" t="str">
        <f>B$174</f>
        <v>Gudja</v>
      </c>
      <c r="B316" s="19"/>
      <c r="C316" s="20">
        <f ca="1">SUM($C174:C174)</f>
        <v>0</v>
      </c>
      <c r="D316" s="107">
        <f ca="1">SUM($C174:D174)</f>
        <v>0</v>
      </c>
      <c r="E316" s="115">
        <f ca="1">SUM($C174:E174)</f>
        <v>-2232.7559577452803</v>
      </c>
      <c r="F316" s="20">
        <f ca="1">SUM($C174:F174)</f>
        <v>-2232.7559577452803</v>
      </c>
      <c r="G316" s="20">
        <f ca="1">SUM($C174:G174)</f>
        <v>-2232.7559577452803</v>
      </c>
      <c r="H316" s="20">
        <f ca="1">SUM($C174:H174)</f>
        <v>-2232.7559577452803</v>
      </c>
      <c r="I316" s="20">
        <f ca="1">SUM($C174:I174)</f>
        <v>-2232.7559577452803</v>
      </c>
      <c r="J316" s="20">
        <f ca="1">SUM($C174:J174)</f>
        <v>-2232.7559577452803</v>
      </c>
      <c r="K316" s="20">
        <f ca="1">SUM($C174:K174)</f>
        <v>-2232.7559577452803</v>
      </c>
      <c r="L316" s="20">
        <f ca="1">SUM($C174:L174)</f>
        <v>-2232.7559577452803</v>
      </c>
      <c r="M316" s="20">
        <f ca="1">SUM($C174:M174)</f>
        <v>-2232.7559577452803</v>
      </c>
      <c r="N316" s="20">
        <f ca="1">SUM($C174:N174)</f>
        <v>-2232.7559577452803</v>
      </c>
      <c r="O316" s="20">
        <f ca="1">SUM($C174:O174)</f>
        <v>-2232.7559577452803</v>
      </c>
      <c r="P316" s="20">
        <f ca="1">SUM($C174:P174)</f>
        <v>-2232.7559577452803</v>
      </c>
      <c r="Q316" s="20">
        <f ca="1">SUM($C174:Q174)</f>
        <v>-2232.7559577452803</v>
      </c>
      <c r="R316" s="20">
        <f ca="1">SUM($C174:R174)</f>
        <v>-2232.7559577452803</v>
      </c>
      <c r="S316" s="20">
        <f ca="1">SUM($C174:S174)</f>
        <v>-2232.7559577452803</v>
      </c>
      <c r="T316" s="20">
        <f ca="1">SUM($C174:T174)</f>
        <v>-2232.7559577452803</v>
      </c>
      <c r="U316" s="20">
        <f ca="1">SUM($C174:U174)</f>
        <v>-2232.7559577452803</v>
      </c>
      <c r="V316" s="20">
        <f ca="1">SUM($C174:V174)</f>
        <v>-2232.7559577452803</v>
      </c>
      <c r="W316" s="20">
        <f ca="1">SUM($C174:W174)</f>
        <v>-2232.7559577452803</v>
      </c>
      <c r="X316" s="20">
        <f ca="1">SUM($C174:X174)</f>
        <v>-2232.7559577452803</v>
      </c>
      <c r="Y316" s="20">
        <f ca="1">SUM($C174:Y174)</f>
        <v>-2232.7559577452803</v>
      </c>
      <c r="Z316" s="20">
        <f ca="1">SUM($C174:Z174)</f>
        <v>-2232.7559577452803</v>
      </c>
      <c r="AA316" s="20">
        <f ca="1">SUM($C174:AA174)</f>
        <v>-2232.7559577452803</v>
      </c>
      <c r="AB316" s="20">
        <f ca="1">SUM($C174:AB174)</f>
        <v>-2232.7559577452803</v>
      </c>
      <c r="AC316" s="20">
        <f ca="1">SUM($C174:AC174)</f>
        <v>-2232.7559577452803</v>
      </c>
      <c r="AD316" s="20">
        <f ca="1">SUM($C174:AD174)</f>
        <v>-2232.7559577452803</v>
      </c>
      <c r="AE316" s="20">
        <f ca="1">SUM($C174:AE174)</f>
        <v>-2232.7559577452803</v>
      </c>
      <c r="AF316" s="20">
        <f ca="1">SUM($C174:AF174)</f>
        <v>-2232.7559577452803</v>
      </c>
      <c r="AG316" s="20">
        <f ca="1">SUM($C174:AG174)</f>
        <v>-2232.7559577452803</v>
      </c>
      <c r="AH316" s="20">
        <f ca="1">SUM($C174:AH174)</f>
        <v>-2232.7559577452803</v>
      </c>
      <c r="AI316" s="20">
        <f ca="1">SUM($C174:AI174)</f>
        <v>-2232.7559577452803</v>
      </c>
      <c r="AJ316" s="20">
        <f ca="1">SUM($C174:AJ174)</f>
        <v>-2232.7559577452803</v>
      </c>
      <c r="AK316" s="20">
        <f ca="1">SUM($C174:AK174)</f>
        <v>-2232.7559577452803</v>
      </c>
      <c r="AL316" s="20">
        <f ca="1">SUM($C174:AL174)</f>
        <v>-2232.7559577452803</v>
      </c>
      <c r="AM316" s="20">
        <f ca="1">SUM($C174:AM174)</f>
        <v>-2232.7559577452803</v>
      </c>
    </row>
    <row r="317" spans="1:39" x14ac:dyDescent="0.2">
      <c r="A317" s="22" t="str">
        <f>B$191</f>
        <v>Antiques</v>
      </c>
      <c r="B317" s="19"/>
      <c r="C317" s="20">
        <f ca="1">SUM($C191:C191)</f>
        <v>0</v>
      </c>
      <c r="D317" s="107">
        <f ca="1">SUM($C191:D191)</f>
        <v>0</v>
      </c>
      <c r="E317" s="115">
        <f ca="1">SUM($C191:E191)</f>
        <v>-347.34775010749127</v>
      </c>
      <c r="F317" s="20">
        <f ca="1">SUM($C191:F191)</f>
        <v>-347.34775010749127</v>
      </c>
      <c r="G317" s="20">
        <f ca="1">SUM($C191:G191)</f>
        <v>-347.34775010749127</v>
      </c>
      <c r="H317" s="20">
        <f ca="1">SUM($C191:H191)</f>
        <v>-347.34775010749127</v>
      </c>
      <c r="I317" s="20">
        <f ca="1">SUM($C191:I191)</f>
        <v>-347.34775010749127</v>
      </c>
      <c r="J317" s="20">
        <f ca="1">SUM($C191:J191)</f>
        <v>-347.34775010749127</v>
      </c>
      <c r="K317" s="20">
        <f ca="1">SUM($C191:K191)</f>
        <v>-347.34775010749127</v>
      </c>
      <c r="L317" s="20">
        <f ca="1">SUM($C191:L191)</f>
        <v>-347.34775010749127</v>
      </c>
      <c r="M317" s="20">
        <f ca="1">SUM($C191:M191)</f>
        <v>-347.34775010749127</v>
      </c>
      <c r="N317" s="20">
        <f ca="1">SUM($C191:N191)</f>
        <v>-347.34775010749127</v>
      </c>
      <c r="O317" s="20">
        <f ca="1">SUM($C191:O191)</f>
        <v>-347.34775010749127</v>
      </c>
      <c r="P317" s="20">
        <f ca="1">SUM($C191:P191)</f>
        <v>-347.34775010749127</v>
      </c>
      <c r="Q317" s="20">
        <f ca="1">SUM($C191:Q191)</f>
        <v>-347.34775010749127</v>
      </c>
      <c r="R317" s="20">
        <f ca="1">SUM($C191:R191)</f>
        <v>-347.34775010749127</v>
      </c>
      <c r="S317" s="20">
        <f ca="1">SUM($C191:S191)</f>
        <v>-347.34775010749127</v>
      </c>
      <c r="T317" s="20">
        <f ca="1">SUM($C191:T191)</f>
        <v>-347.34775010749127</v>
      </c>
      <c r="U317" s="20">
        <f ca="1">SUM($C191:U191)</f>
        <v>-347.34775010749127</v>
      </c>
      <c r="V317" s="20">
        <f ca="1">SUM($C191:V191)</f>
        <v>-347.34775010749127</v>
      </c>
      <c r="W317" s="20">
        <f ca="1">SUM($C191:W191)</f>
        <v>-347.34775010749127</v>
      </c>
      <c r="X317" s="20">
        <f ca="1">SUM($C191:X191)</f>
        <v>-347.34775010749127</v>
      </c>
      <c r="Y317" s="20">
        <f ca="1">SUM($C191:Y191)</f>
        <v>-347.34775010749127</v>
      </c>
      <c r="Z317" s="20">
        <f ca="1">SUM($C191:Z191)</f>
        <v>-347.34775010749127</v>
      </c>
      <c r="AA317" s="20">
        <f ca="1">SUM($C191:AA191)</f>
        <v>-347.34775010749127</v>
      </c>
      <c r="AB317" s="20">
        <f ca="1">SUM($C191:AB191)</f>
        <v>-347.34775010749127</v>
      </c>
      <c r="AC317" s="20">
        <f ca="1">SUM($C191:AC191)</f>
        <v>-347.34775010749127</v>
      </c>
      <c r="AD317" s="20">
        <f ca="1">SUM($C191:AD191)</f>
        <v>-347.34775010749127</v>
      </c>
      <c r="AE317" s="20">
        <f ca="1">SUM($C191:AE191)</f>
        <v>-347.34775010749127</v>
      </c>
      <c r="AF317" s="20">
        <f ca="1">SUM($C191:AF191)</f>
        <v>-347.34775010749127</v>
      </c>
      <c r="AG317" s="20">
        <f ca="1">SUM($C191:AG191)</f>
        <v>-347.34775010749127</v>
      </c>
      <c r="AH317" s="20">
        <f ca="1">SUM($C191:AH191)</f>
        <v>-347.34775010749127</v>
      </c>
      <c r="AI317" s="20">
        <f ca="1">SUM($C191:AI191)</f>
        <v>-347.34775010749127</v>
      </c>
      <c r="AJ317" s="20">
        <f ca="1">SUM($C191:AJ191)</f>
        <v>-347.34775010749127</v>
      </c>
      <c r="AK317" s="20">
        <f ca="1">SUM($C191:AK191)</f>
        <v>-347.34775010749127</v>
      </c>
      <c r="AL317" s="20">
        <f ca="1">SUM($C191:AL191)</f>
        <v>-347.34775010749127</v>
      </c>
      <c r="AM317" s="20">
        <f ca="1">SUM($C191:AM191)</f>
        <v>-347.34775010749127</v>
      </c>
    </row>
    <row r="318" spans="1:39" x14ac:dyDescent="0.2">
      <c r="A318" s="22" t="str">
        <f>B$208</f>
        <v>Marsa</v>
      </c>
      <c r="B318" s="19"/>
      <c r="C318" s="20">
        <f ca="1">SUM($C208:C208)</f>
        <v>0</v>
      </c>
      <c r="D318" s="107">
        <f ca="1">SUM($C208:D208)</f>
        <v>0</v>
      </c>
      <c r="E318" s="115">
        <f ca="1">SUM($C208:E208)</f>
        <v>0</v>
      </c>
      <c r="F318" s="20">
        <f ca="1">SUM($C208:F208)</f>
        <v>0</v>
      </c>
      <c r="G318" s="20">
        <f ca="1">SUM($C208:G208)</f>
        <v>0</v>
      </c>
      <c r="H318" s="20">
        <f ca="1">SUM($C208:H208)</f>
        <v>0</v>
      </c>
      <c r="I318" s="20">
        <f ca="1">SUM($C208:I208)</f>
        <v>0</v>
      </c>
      <c r="J318" s="20">
        <f ca="1">SUM($C208:J208)</f>
        <v>0</v>
      </c>
      <c r="K318" s="20">
        <f ca="1">SUM($C208:K208)</f>
        <v>0</v>
      </c>
      <c r="L318" s="20">
        <f ca="1">SUM($C208:L208)</f>
        <v>0</v>
      </c>
      <c r="M318" s="20">
        <f ca="1">SUM($C208:M208)</f>
        <v>0</v>
      </c>
      <c r="N318" s="20">
        <f ca="1">SUM($C208:N208)</f>
        <v>0</v>
      </c>
      <c r="O318" s="20">
        <f ca="1">SUM($C208:O208)</f>
        <v>0</v>
      </c>
      <c r="P318" s="20">
        <f ca="1">SUM($C208:P208)</f>
        <v>0</v>
      </c>
      <c r="Q318" s="20">
        <f ca="1">SUM($C208:Q208)</f>
        <v>0</v>
      </c>
      <c r="R318" s="20">
        <f ca="1">SUM($C208:R208)</f>
        <v>0</v>
      </c>
      <c r="S318" s="20">
        <f ca="1">SUM($C208:S208)</f>
        <v>0</v>
      </c>
      <c r="T318" s="20">
        <f ca="1">SUM($C208:T208)</f>
        <v>0</v>
      </c>
      <c r="U318" s="20">
        <f ca="1">SUM($C208:U208)</f>
        <v>0</v>
      </c>
      <c r="V318" s="20">
        <f ca="1">SUM($C208:V208)</f>
        <v>0</v>
      </c>
      <c r="W318" s="20">
        <f ca="1">SUM($C208:W208)</f>
        <v>0</v>
      </c>
      <c r="X318" s="20">
        <f ca="1">SUM($C208:X208)</f>
        <v>0</v>
      </c>
      <c r="Y318" s="20">
        <f ca="1">SUM($C208:Y208)</f>
        <v>0</v>
      </c>
      <c r="Z318" s="20">
        <f ca="1">SUM($C208:Z208)</f>
        <v>0</v>
      </c>
      <c r="AA318" s="20">
        <f ca="1">SUM($C208:AA208)</f>
        <v>0</v>
      </c>
      <c r="AB318" s="20">
        <f ca="1">SUM($C208:AB208)</f>
        <v>0</v>
      </c>
      <c r="AC318" s="20">
        <f ca="1">SUM($C208:AC208)</f>
        <v>0</v>
      </c>
      <c r="AD318" s="20">
        <f ca="1">SUM($C208:AD208)</f>
        <v>0</v>
      </c>
      <c r="AE318" s="20">
        <f ca="1">SUM($C208:AE208)</f>
        <v>0</v>
      </c>
      <c r="AF318" s="20">
        <f ca="1">SUM($C208:AF208)</f>
        <v>0</v>
      </c>
      <c r="AG318" s="20">
        <f ca="1">SUM($C208:AG208)</f>
        <v>0</v>
      </c>
      <c r="AH318" s="20">
        <f ca="1">SUM($C208:AH208)</f>
        <v>0</v>
      </c>
      <c r="AI318" s="20">
        <f ca="1">SUM($C208:AI208)</f>
        <v>0</v>
      </c>
      <c r="AJ318" s="20">
        <f ca="1">SUM($C208:AJ208)</f>
        <v>0</v>
      </c>
      <c r="AK318" s="20">
        <f ca="1">SUM($C208:AK208)</f>
        <v>0</v>
      </c>
      <c r="AL318" s="20">
        <f ca="1">SUM($C208:AL208)</f>
        <v>0</v>
      </c>
      <c r="AM318" s="20">
        <f ca="1">SUM($C208:AM208)</f>
        <v>0</v>
      </c>
    </row>
    <row r="319" spans="1:39" x14ac:dyDescent="0.2">
      <c r="A319" s="22" t="str">
        <f>B$225</f>
        <v>Gzira</v>
      </c>
      <c r="B319" s="19"/>
      <c r="C319" s="20">
        <f ca="1">SUM($C225:C225)</f>
        <v>0</v>
      </c>
      <c r="D319" s="107">
        <f ca="1">SUM($C225:D225)</f>
        <v>0</v>
      </c>
      <c r="E319" s="115">
        <f ca="1">SUM($C225:E225)</f>
        <v>0</v>
      </c>
      <c r="F319" s="20">
        <f ca="1">SUM($C225:F225)</f>
        <v>0</v>
      </c>
      <c r="G319" s="20">
        <f ca="1">SUM($C225:G225)</f>
        <v>0</v>
      </c>
      <c r="H319" s="20">
        <f ca="1">SUM($C225:H225)</f>
        <v>0</v>
      </c>
      <c r="I319" s="20">
        <f ca="1">SUM($C225:I225)</f>
        <v>0</v>
      </c>
      <c r="J319" s="20">
        <f ca="1">SUM($C225:J225)</f>
        <v>0</v>
      </c>
      <c r="K319" s="20">
        <f ca="1">SUM($C225:K225)</f>
        <v>0</v>
      </c>
      <c r="L319" s="20">
        <f ca="1">SUM($C225:L225)</f>
        <v>0</v>
      </c>
      <c r="M319" s="20">
        <f ca="1">SUM($C225:M225)</f>
        <v>0</v>
      </c>
      <c r="N319" s="20">
        <f ca="1">SUM($C225:N225)</f>
        <v>0</v>
      </c>
      <c r="O319" s="20">
        <f ca="1">SUM($C225:O225)</f>
        <v>0</v>
      </c>
      <c r="P319" s="20">
        <f ca="1">SUM($C225:P225)</f>
        <v>0</v>
      </c>
      <c r="Q319" s="20">
        <f ca="1">SUM($C225:Q225)</f>
        <v>0</v>
      </c>
      <c r="R319" s="20">
        <f ca="1">SUM($C225:R225)</f>
        <v>0</v>
      </c>
      <c r="S319" s="20">
        <f ca="1">SUM($C225:S225)</f>
        <v>0</v>
      </c>
      <c r="T319" s="20">
        <f ca="1">SUM($C225:T225)</f>
        <v>0</v>
      </c>
      <c r="U319" s="20">
        <f ca="1">SUM($C225:U225)</f>
        <v>0</v>
      </c>
      <c r="V319" s="20">
        <f ca="1">SUM($C225:V225)</f>
        <v>0</v>
      </c>
      <c r="W319" s="20">
        <f ca="1">SUM($C225:W225)</f>
        <v>0</v>
      </c>
      <c r="X319" s="20">
        <f ca="1">SUM($C225:X225)</f>
        <v>0</v>
      </c>
      <c r="Y319" s="20">
        <f ca="1">SUM($C225:Y225)</f>
        <v>0</v>
      </c>
      <c r="Z319" s="20">
        <f ca="1">SUM($C225:Z225)</f>
        <v>0</v>
      </c>
      <c r="AA319" s="20">
        <f ca="1">SUM($C225:AA225)</f>
        <v>0</v>
      </c>
      <c r="AB319" s="20">
        <f ca="1">SUM($C225:AB225)</f>
        <v>0</v>
      </c>
      <c r="AC319" s="20">
        <f ca="1">SUM($C225:AC225)</f>
        <v>0</v>
      </c>
      <c r="AD319" s="20">
        <f ca="1">SUM($C225:AD225)</f>
        <v>0</v>
      </c>
      <c r="AE319" s="20">
        <f ca="1">SUM($C225:AE225)</f>
        <v>0</v>
      </c>
      <c r="AF319" s="20">
        <f ca="1">SUM($C225:AF225)</f>
        <v>0</v>
      </c>
      <c r="AG319" s="20">
        <f ca="1">SUM($C225:AG225)</f>
        <v>0</v>
      </c>
      <c r="AH319" s="20">
        <f ca="1">SUM($C225:AH225)</f>
        <v>0</v>
      </c>
      <c r="AI319" s="20">
        <f ca="1">SUM($C225:AI225)</f>
        <v>0</v>
      </c>
      <c r="AJ319" s="20">
        <f ca="1">SUM($C225:AJ225)</f>
        <v>0</v>
      </c>
      <c r="AK319" s="20">
        <f ca="1">SUM($C225:AK225)</f>
        <v>0</v>
      </c>
      <c r="AL319" s="20">
        <f ca="1">SUM($C225:AL225)</f>
        <v>0</v>
      </c>
      <c r="AM319" s="20">
        <f ca="1">SUM($C225:AM225)</f>
        <v>0</v>
      </c>
    </row>
    <row r="320" spans="1:39" x14ac:dyDescent="0.2">
      <c r="A320" s="22" t="str">
        <f>B$242</f>
        <v>Boat</v>
      </c>
      <c r="B320" s="19"/>
      <c r="C320" s="20">
        <f ca="1">SUM($C242:C242)</f>
        <v>0</v>
      </c>
      <c r="D320" s="107">
        <f ca="1">SUM($C242:D242)</f>
        <v>0</v>
      </c>
      <c r="E320" s="115">
        <f ca="1">SUM($C242:E242)</f>
        <v>0</v>
      </c>
      <c r="F320" s="20">
        <f ca="1">SUM($C242:F242)</f>
        <v>0</v>
      </c>
      <c r="G320" s="20">
        <f ca="1">SUM($C242:G242)</f>
        <v>0</v>
      </c>
      <c r="H320" s="20">
        <f ca="1">SUM($C242:H242)</f>
        <v>0</v>
      </c>
      <c r="I320" s="20">
        <f ca="1">SUM($C242:I242)</f>
        <v>0</v>
      </c>
      <c r="J320" s="20">
        <f ca="1">SUM($C242:J242)</f>
        <v>0</v>
      </c>
      <c r="K320" s="20">
        <f ca="1">SUM($C242:K242)</f>
        <v>0</v>
      </c>
      <c r="L320" s="20">
        <f ca="1">SUM($C242:L242)</f>
        <v>0</v>
      </c>
      <c r="M320" s="20">
        <f ca="1">SUM($C242:M242)</f>
        <v>0</v>
      </c>
      <c r="N320" s="20">
        <f ca="1">SUM($C242:N242)</f>
        <v>0</v>
      </c>
      <c r="O320" s="20">
        <f ca="1">SUM($C242:O242)</f>
        <v>0</v>
      </c>
      <c r="P320" s="20">
        <f ca="1">SUM($C242:P242)</f>
        <v>0</v>
      </c>
      <c r="Q320" s="20">
        <f ca="1">SUM($C242:Q242)</f>
        <v>0</v>
      </c>
      <c r="R320" s="20">
        <f ca="1">SUM($C242:R242)</f>
        <v>0</v>
      </c>
      <c r="S320" s="20">
        <f ca="1">SUM($C242:S242)</f>
        <v>0</v>
      </c>
      <c r="T320" s="20">
        <f ca="1">SUM($C242:T242)</f>
        <v>0</v>
      </c>
      <c r="U320" s="20">
        <f ca="1">SUM($C242:U242)</f>
        <v>0</v>
      </c>
      <c r="V320" s="20">
        <f ca="1">SUM($C242:V242)</f>
        <v>0</v>
      </c>
      <c r="W320" s="20">
        <f ca="1">SUM($C242:W242)</f>
        <v>0</v>
      </c>
      <c r="X320" s="20">
        <f ca="1">SUM($C242:X242)</f>
        <v>0</v>
      </c>
      <c r="Y320" s="20">
        <f ca="1">SUM($C242:Y242)</f>
        <v>0</v>
      </c>
      <c r="Z320" s="20">
        <f ca="1">SUM($C242:Z242)</f>
        <v>0</v>
      </c>
      <c r="AA320" s="20">
        <f ca="1">SUM($C242:AA242)</f>
        <v>0</v>
      </c>
      <c r="AB320" s="20">
        <f ca="1">SUM($C242:AB242)</f>
        <v>0</v>
      </c>
      <c r="AC320" s="20">
        <f ca="1">SUM($C242:AC242)</f>
        <v>0</v>
      </c>
      <c r="AD320" s="20">
        <f ca="1">SUM($C242:AD242)</f>
        <v>0</v>
      </c>
      <c r="AE320" s="20">
        <f ca="1">SUM($C242:AE242)</f>
        <v>0</v>
      </c>
      <c r="AF320" s="20">
        <f ca="1">SUM($C242:AF242)</f>
        <v>0</v>
      </c>
      <c r="AG320" s="20">
        <f ca="1">SUM($C242:AG242)</f>
        <v>0</v>
      </c>
      <c r="AH320" s="20">
        <f ca="1">SUM($C242:AH242)</f>
        <v>0</v>
      </c>
      <c r="AI320" s="20">
        <f ca="1">SUM($C242:AI242)</f>
        <v>0</v>
      </c>
      <c r="AJ320" s="20">
        <f ca="1">SUM($C242:AJ242)</f>
        <v>0</v>
      </c>
      <c r="AK320" s="20">
        <f ca="1">SUM($C242:AK242)</f>
        <v>0</v>
      </c>
      <c r="AL320" s="20">
        <f ca="1">SUM($C242:AL242)</f>
        <v>0</v>
      </c>
      <c r="AM320" s="20">
        <f ca="1">SUM($C242:AM242)</f>
        <v>0</v>
      </c>
    </row>
    <row r="321" spans="1:39" x14ac:dyDescent="0.2">
      <c r="A321" s="22" t="str">
        <f>B$259</f>
        <v>Qormi</v>
      </c>
      <c r="B321" s="19"/>
      <c r="C321" s="20">
        <f ca="1">SUM($C259:C259)</f>
        <v>0</v>
      </c>
      <c r="D321" s="107">
        <f ca="1">SUM($C259:D259)</f>
        <v>0</v>
      </c>
      <c r="E321" s="115">
        <f ca="1">SUM($C259:E259)</f>
        <v>0</v>
      </c>
      <c r="F321" s="20">
        <f ca="1">SUM($C259:F259)</f>
        <v>0</v>
      </c>
      <c r="G321" s="20">
        <f ca="1">SUM($C259:G259)</f>
        <v>0</v>
      </c>
      <c r="H321" s="20">
        <f ca="1">SUM($C259:H259)</f>
        <v>0</v>
      </c>
      <c r="I321" s="20">
        <f ca="1">SUM($C259:I259)</f>
        <v>0</v>
      </c>
      <c r="J321" s="20">
        <f ca="1">SUM($C259:J259)</f>
        <v>0</v>
      </c>
      <c r="K321" s="20">
        <f ca="1">SUM($C259:K259)</f>
        <v>0</v>
      </c>
      <c r="L321" s="20">
        <f ca="1">SUM($C259:L259)</f>
        <v>0</v>
      </c>
      <c r="M321" s="20">
        <f ca="1">SUM($C259:M259)</f>
        <v>0</v>
      </c>
      <c r="N321" s="20">
        <f ca="1">SUM($C259:N259)</f>
        <v>0</v>
      </c>
      <c r="O321" s="20">
        <f ca="1">SUM($C259:O259)</f>
        <v>0</v>
      </c>
      <c r="P321" s="20">
        <f ca="1">SUM($C259:P259)</f>
        <v>0</v>
      </c>
      <c r="Q321" s="20">
        <f ca="1">SUM($C259:Q259)</f>
        <v>0</v>
      </c>
      <c r="R321" s="20">
        <f ca="1">SUM($C259:R259)</f>
        <v>0</v>
      </c>
      <c r="S321" s="20">
        <f ca="1">SUM($C259:S259)</f>
        <v>0</v>
      </c>
      <c r="T321" s="20">
        <f ca="1">SUM($C259:T259)</f>
        <v>0</v>
      </c>
      <c r="U321" s="20">
        <f ca="1">SUM($C259:U259)</f>
        <v>0</v>
      </c>
      <c r="V321" s="20">
        <f ca="1">SUM($C259:V259)</f>
        <v>0</v>
      </c>
      <c r="W321" s="20">
        <f ca="1">SUM($C259:W259)</f>
        <v>0</v>
      </c>
      <c r="X321" s="20">
        <f ca="1">SUM($C259:X259)</f>
        <v>0</v>
      </c>
      <c r="Y321" s="20">
        <f ca="1">SUM($C259:Y259)</f>
        <v>0</v>
      </c>
      <c r="Z321" s="20">
        <f ca="1">SUM($C259:Z259)</f>
        <v>0</v>
      </c>
      <c r="AA321" s="20">
        <f ca="1">SUM($C259:AA259)</f>
        <v>0</v>
      </c>
      <c r="AB321" s="20">
        <f ca="1">SUM($C259:AB259)</f>
        <v>0</v>
      </c>
      <c r="AC321" s="20">
        <f ca="1">SUM($C259:AC259)</f>
        <v>0</v>
      </c>
      <c r="AD321" s="20">
        <f ca="1">SUM($C259:AD259)</f>
        <v>0</v>
      </c>
      <c r="AE321" s="20">
        <f ca="1">SUM($C259:AE259)</f>
        <v>0</v>
      </c>
      <c r="AF321" s="20">
        <f ca="1">SUM($C259:AF259)</f>
        <v>0</v>
      </c>
      <c r="AG321" s="20">
        <f ca="1">SUM($C259:AG259)</f>
        <v>0</v>
      </c>
      <c r="AH321" s="20">
        <f ca="1">SUM($C259:AH259)</f>
        <v>0</v>
      </c>
      <c r="AI321" s="20">
        <f ca="1">SUM($C259:AI259)</f>
        <v>0</v>
      </c>
      <c r="AJ321" s="20">
        <f ca="1">SUM($C259:AJ259)</f>
        <v>0</v>
      </c>
      <c r="AK321" s="20">
        <f ca="1">SUM($C259:AK259)</f>
        <v>0</v>
      </c>
      <c r="AL321" s="20">
        <f ca="1">SUM($C259:AL259)</f>
        <v>0</v>
      </c>
      <c r="AM321" s="20">
        <f ca="1">SUM($C259:AM259)</f>
        <v>0</v>
      </c>
    </row>
    <row r="322" spans="1:39" x14ac:dyDescent="0.2">
      <c r="A322" s="22" t="str">
        <f>B$276</f>
        <v>Sliema</v>
      </c>
      <c r="B322" s="19"/>
      <c r="C322" s="20">
        <f ca="1">SUM($C276:C276)</f>
        <v>0</v>
      </c>
      <c r="D322" s="107">
        <f ca="1">SUM($C276:D276)</f>
        <v>0</v>
      </c>
      <c r="E322" s="115">
        <f ca="1">SUM($C276:E276)</f>
        <v>0</v>
      </c>
      <c r="F322" s="20">
        <f ca="1">SUM($C276:F276)</f>
        <v>0</v>
      </c>
      <c r="G322" s="20">
        <f ca="1">SUM($C276:G276)</f>
        <v>0</v>
      </c>
      <c r="H322" s="20">
        <f ca="1">SUM($C276:H276)</f>
        <v>0</v>
      </c>
      <c r="I322" s="20">
        <f ca="1">SUM($C276:I276)</f>
        <v>0</v>
      </c>
      <c r="J322" s="20">
        <f ca="1">SUM($C276:J276)</f>
        <v>0</v>
      </c>
      <c r="K322" s="20">
        <f ca="1">SUM($C276:K276)</f>
        <v>0</v>
      </c>
      <c r="L322" s="20">
        <f ca="1">SUM($C276:L276)</f>
        <v>0</v>
      </c>
      <c r="M322" s="20">
        <f ca="1">SUM($C276:M276)</f>
        <v>0</v>
      </c>
      <c r="N322" s="20">
        <f ca="1">SUM($C276:N276)</f>
        <v>0</v>
      </c>
      <c r="O322" s="20">
        <f ca="1">SUM($C276:O276)</f>
        <v>0</v>
      </c>
      <c r="P322" s="20">
        <f ca="1">SUM($C276:P276)</f>
        <v>0</v>
      </c>
      <c r="Q322" s="20">
        <f ca="1">SUM($C276:Q276)</f>
        <v>0</v>
      </c>
      <c r="R322" s="20">
        <f ca="1">SUM($C276:R276)</f>
        <v>0</v>
      </c>
      <c r="S322" s="20">
        <f ca="1">SUM($C276:S276)</f>
        <v>0</v>
      </c>
      <c r="T322" s="20">
        <f ca="1">SUM($C276:T276)</f>
        <v>0</v>
      </c>
      <c r="U322" s="20">
        <f ca="1">SUM($C276:U276)</f>
        <v>0</v>
      </c>
      <c r="V322" s="20">
        <f ca="1">SUM($C276:V276)</f>
        <v>0</v>
      </c>
      <c r="W322" s="20">
        <f ca="1">SUM($C276:W276)</f>
        <v>0</v>
      </c>
      <c r="X322" s="20">
        <f ca="1">SUM($C276:X276)</f>
        <v>0</v>
      </c>
      <c r="Y322" s="20">
        <f ca="1">SUM($C276:Y276)</f>
        <v>0</v>
      </c>
      <c r="Z322" s="20">
        <f ca="1">SUM($C276:Z276)</f>
        <v>0</v>
      </c>
      <c r="AA322" s="20">
        <f ca="1">SUM($C276:AA276)</f>
        <v>0</v>
      </c>
      <c r="AB322" s="20">
        <f ca="1">SUM($C276:AB276)</f>
        <v>0</v>
      </c>
      <c r="AC322" s="20">
        <f ca="1">SUM($C276:AC276)</f>
        <v>0</v>
      </c>
      <c r="AD322" s="20">
        <f ca="1">SUM($C276:AD276)</f>
        <v>0</v>
      </c>
      <c r="AE322" s="20">
        <f ca="1">SUM($C276:AE276)</f>
        <v>0</v>
      </c>
      <c r="AF322" s="20">
        <f ca="1">SUM($C276:AF276)</f>
        <v>0</v>
      </c>
      <c r="AG322" s="20">
        <f ca="1">SUM($C276:AG276)</f>
        <v>0</v>
      </c>
      <c r="AH322" s="20">
        <f ca="1">SUM($C276:AH276)</f>
        <v>0</v>
      </c>
      <c r="AI322" s="20">
        <f ca="1">SUM($C276:AI276)</f>
        <v>0</v>
      </c>
      <c r="AJ322" s="20">
        <f ca="1">SUM($C276:AJ276)</f>
        <v>0</v>
      </c>
      <c r="AK322" s="20">
        <f ca="1">SUM($C276:AK276)</f>
        <v>0</v>
      </c>
      <c r="AL322" s="20">
        <f ca="1">SUM($C276:AL276)</f>
        <v>0</v>
      </c>
      <c r="AM322" s="20">
        <f ca="1">SUM($C276:AM276)</f>
        <v>0</v>
      </c>
    </row>
    <row r="323" spans="1:39" x14ac:dyDescent="0.2">
      <c r="A323" s="21"/>
      <c r="B323" s="19"/>
      <c r="C323" s="20"/>
      <c r="D323" s="107"/>
      <c r="E323" s="115"/>
      <c r="F323" s="20"/>
      <c r="G323" s="20"/>
      <c r="H323" s="20"/>
      <c r="I323" s="20"/>
      <c r="J323" s="20"/>
      <c r="K323" s="20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  <c r="AE323" s="20"/>
      <c r="AF323" s="20"/>
      <c r="AG323" s="20"/>
      <c r="AH323" s="20"/>
      <c r="AI323" s="20"/>
      <c r="AJ323" s="20"/>
      <c r="AK323" s="20"/>
      <c r="AL323" s="20"/>
      <c r="AM323" s="20"/>
    </row>
    <row r="324" spans="1:39" x14ac:dyDescent="0.2">
      <c r="A324" s="3" t="s">
        <v>204</v>
      </c>
      <c r="C324" s="7"/>
      <c r="D324" s="101"/>
      <c r="E324" s="110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  <c r="AE324" s="7"/>
      <c r="AF324" s="7"/>
      <c r="AG324" s="7"/>
      <c r="AH324" s="7"/>
      <c r="AI324" s="7"/>
      <c r="AJ324" s="7"/>
      <c r="AK324" s="7"/>
      <c r="AL324" s="7"/>
      <c r="AM324" s="7"/>
    </row>
    <row r="325" spans="1:39" x14ac:dyDescent="0.2">
      <c r="A325" s="16" t="str">
        <f>A301</f>
        <v>Sliema</v>
      </c>
      <c r="C325" s="7">
        <f t="shared" ref="C325:AM331" ca="1" si="167">IFERROR(IF(VLOOKUP($A325,$312:$322,C$1+2,FALSE)=0,C86,0),C86)</f>
        <v>-46591.052384870025</v>
      </c>
      <c r="D325" s="101">
        <f t="shared" ca="1" si="167"/>
        <v>-41924.97244406183</v>
      </c>
      <c r="E325" s="110">
        <f t="shared" ca="1" si="167"/>
        <v>-37116.969216818994</v>
      </c>
      <c r="F325" s="7">
        <f t="shared" ca="1" si="167"/>
        <v>-32162.725970576364</v>
      </c>
      <c r="G325" s="7">
        <f t="shared" ca="1" si="167"/>
        <v>-27057.79467521701</v>
      </c>
      <c r="H325" s="7">
        <f t="shared" ca="1" si="167"/>
        <v>-21797.592009531552</v>
      </c>
      <c r="I325" s="7">
        <f t="shared" ca="1" si="167"/>
        <v>-16377.395246210348</v>
      </c>
      <c r="J325" s="7">
        <f t="shared" ca="1" si="167"/>
        <v>-10792.33801167312</v>
      </c>
      <c r="K325" s="7">
        <f t="shared" ca="1" si="167"/>
        <v>-5037.4059169308748</v>
      </c>
      <c r="L325" s="7">
        <f t="shared" ca="1" si="167"/>
        <v>0</v>
      </c>
      <c r="M325" s="7">
        <f t="shared" ca="1" si="167"/>
        <v>0</v>
      </c>
      <c r="N325" s="7">
        <f t="shared" ca="1" si="167"/>
        <v>0</v>
      </c>
      <c r="O325" s="7">
        <f t="shared" ca="1" si="167"/>
        <v>0</v>
      </c>
      <c r="P325" s="7">
        <f t="shared" ca="1" si="167"/>
        <v>0</v>
      </c>
      <c r="Q325" s="7">
        <f t="shared" ca="1" si="167"/>
        <v>0</v>
      </c>
      <c r="R325" s="7">
        <f t="shared" ca="1" si="167"/>
        <v>0</v>
      </c>
      <c r="S325" s="7">
        <f t="shared" ca="1" si="167"/>
        <v>0</v>
      </c>
      <c r="T325" s="7">
        <f t="shared" ca="1" si="167"/>
        <v>0</v>
      </c>
      <c r="U325" s="7">
        <f t="shared" ca="1" si="167"/>
        <v>0</v>
      </c>
      <c r="V325" s="7">
        <f t="shared" ca="1" si="167"/>
        <v>0</v>
      </c>
      <c r="W325" s="7">
        <f t="shared" ca="1" si="167"/>
        <v>0</v>
      </c>
      <c r="X325" s="7">
        <f t="shared" ca="1" si="167"/>
        <v>0</v>
      </c>
      <c r="Y325" s="7">
        <f t="shared" ca="1" si="167"/>
        <v>0</v>
      </c>
      <c r="Z325" s="7">
        <f t="shared" ca="1" si="167"/>
        <v>0</v>
      </c>
      <c r="AA325" s="7">
        <f t="shared" ca="1" si="167"/>
        <v>0</v>
      </c>
      <c r="AB325" s="7">
        <f t="shared" ca="1" si="167"/>
        <v>0</v>
      </c>
      <c r="AC325" s="7">
        <f t="shared" ca="1" si="167"/>
        <v>0</v>
      </c>
      <c r="AD325" s="7">
        <f t="shared" ca="1" si="167"/>
        <v>0</v>
      </c>
      <c r="AE325" s="7">
        <f t="shared" ca="1" si="167"/>
        <v>0</v>
      </c>
      <c r="AF325" s="7">
        <f t="shared" ca="1" si="167"/>
        <v>0</v>
      </c>
      <c r="AG325" s="7">
        <f t="shared" ca="1" si="167"/>
        <v>0</v>
      </c>
      <c r="AH325" s="7">
        <f t="shared" ca="1" si="167"/>
        <v>0</v>
      </c>
      <c r="AI325" s="7">
        <f t="shared" ca="1" si="167"/>
        <v>0</v>
      </c>
      <c r="AJ325" s="7">
        <f t="shared" ca="1" si="167"/>
        <v>0</v>
      </c>
      <c r="AK325" s="7">
        <f t="shared" ca="1" si="167"/>
        <v>0</v>
      </c>
      <c r="AL325" s="7">
        <f t="shared" ca="1" si="167"/>
        <v>0</v>
      </c>
      <c r="AM325" s="7">
        <f t="shared" ca="1" si="167"/>
        <v>0</v>
      </c>
    </row>
    <row r="326" spans="1:39" x14ac:dyDescent="0.2">
      <c r="A326" s="16" t="str">
        <f t="shared" ref="A326:A334" si="168">A302</f>
        <v>Gzira</v>
      </c>
      <c r="C326" s="7">
        <f t="shared" ca="1" si="167"/>
        <v>-6816.3065303051853</v>
      </c>
      <c r="D326" s="101">
        <f t="shared" ca="1" si="167"/>
        <v>-4531.7666039667383</v>
      </c>
      <c r="E326" s="110">
        <f t="shared" ca="1" si="167"/>
        <v>-2201.1147111864902</v>
      </c>
      <c r="F326" s="7">
        <f t="shared" ca="1" si="167"/>
        <v>0</v>
      </c>
      <c r="G326" s="7">
        <f t="shared" ca="1" si="167"/>
        <v>0</v>
      </c>
      <c r="H326" s="7">
        <f t="shared" ca="1" si="167"/>
        <v>0</v>
      </c>
      <c r="I326" s="7">
        <f t="shared" ca="1" si="167"/>
        <v>0</v>
      </c>
      <c r="J326" s="7">
        <f t="shared" ca="1" si="167"/>
        <v>0</v>
      </c>
      <c r="K326" s="7">
        <f t="shared" ca="1" si="167"/>
        <v>0</v>
      </c>
      <c r="L326" s="7">
        <f t="shared" ca="1" si="167"/>
        <v>0</v>
      </c>
      <c r="M326" s="7">
        <f t="shared" ca="1" si="167"/>
        <v>0</v>
      </c>
      <c r="N326" s="7">
        <f t="shared" ca="1" si="167"/>
        <v>0</v>
      </c>
      <c r="O326" s="7">
        <f t="shared" ca="1" si="167"/>
        <v>0</v>
      </c>
      <c r="P326" s="7">
        <f t="shared" ca="1" si="167"/>
        <v>0</v>
      </c>
      <c r="Q326" s="7">
        <f t="shared" ca="1" si="167"/>
        <v>0</v>
      </c>
      <c r="R326" s="7">
        <f t="shared" ca="1" si="167"/>
        <v>0</v>
      </c>
      <c r="S326" s="7">
        <f t="shared" ca="1" si="167"/>
        <v>0</v>
      </c>
      <c r="T326" s="7">
        <f t="shared" ca="1" si="167"/>
        <v>0</v>
      </c>
      <c r="U326" s="7">
        <f t="shared" ca="1" si="167"/>
        <v>0</v>
      </c>
      <c r="V326" s="7">
        <f t="shared" ca="1" si="167"/>
        <v>0</v>
      </c>
      <c r="W326" s="7">
        <f t="shared" ca="1" si="167"/>
        <v>0</v>
      </c>
      <c r="X326" s="7">
        <f t="shared" ca="1" si="167"/>
        <v>0</v>
      </c>
      <c r="Y326" s="7">
        <f t="shared" ca="1" si="167"/>
        <v>0</v>
      </c>
      <c r="Z326" s="7">
        <f t="shared" ca="1" si="167"/>
        <v>0</v>
      </c>
      <c r="AA326" s="7">
        <f t="shared" ca="1" si="167"/>
        <v>0</v>
      </c>
      <c r="AB326" s="7">
        <f t="shared" ca="1" si="167"/>
        <v>0</v>
      </c>
      <c r="AC326" s="7">
        <f t="shared" ca="1" si="167"/>
        <v>0</v>
      </c>
      <c r="AD326" s="7">
        <f t="shared" ca="1" si="167"/>
        <v>0</v>
      </c>
      <c r="AE326" s="7">
        <f t="shared" ca="1" si="167"/>
        <v>0</v>
      </c>
      <c r="AF326" s="7">
        <f t="shared" ca="1" si="167"/>
        <v>0</v>
      </c>
      <c r="AG326" s="7">
        <f t="shared" ca="1" si="167"/>
        <v>0</v>
      </c>
      <c r="AH326" s="7">
        <f t="shared" ca="1" si="167"/>
        <v>0</v>
      </c>
      <c r="AI326" s="7">
        <f t="shared" ca="1" si="167"/>
        <v>0</v>
      </c>
      <c r="AJ326" s="7">
        <f t="shared" ca="1" si="167"/>
        <v>0</v>
      </c>
      <c r="AK326" s="7">
        <f t="shared" ca="1" si="167"/>
        <v>0</v>
      </c>
      <c r="AL326" s="7">
        <f t="shared" ca="1" si="167"/>
        <v>0</v>
      </c>
      <c r="AM326" s="7">
        <f t="shared" ca="1" si="167"/>
        <v>0</v>
      </c>
    </row>
    <row r="327" spans="1:39" x14ac:dyDescent="0.2">
      <c r="A327" s="16" t="str">
        <f t="shared" si="168"/>
        <v>Qormi</v>
      </c>
      <c r="C327" s="7">
        <f t="shared" ca="1" si="167"/>
        <v>-13284.099846375037</v>
      </c>
      <c r="D327" s="101">
        <f t="shared" ca="1" si="167"/>
        <v>-10894.02573326202</v>
      </c>
      <c r="E327" s="110">
        <f t="shared" ca="1" si="167"/>
        <v>-8381.6708924441427</v>
      </c>
      <c r="F327" s="7">
        <f t="shared" ca="1" si="167"/>
        <v>-5740.779209817676</v>
      </c>
      <c r="G327" s="7">
        <f t="shared" ca="1" si="167"/>
        <v>-2964.7744966079426</v>
      </c>
      <c r="H327" s="7">
        <f t="shared" ca="1" si="167"/>
        <v>-46.744113741759065</v>
      </c>
      <c r="I327" s="7">
        <f t="shared" ca="1" si="167"/>
        <v>0</v>
      </c>
      <c r="J327" s="7">
        <f t="shared" ca="1" si="167"/>
        <v>0</v>
      </c>
      <c r="K327" s="7">
        <f t="shared" ca="1" si="167"/>
        <v>0</v>
      </c>
      <c r="L327" s="7">
        <f t="shared" ca="1" si="167"/>
        <v>0</v>
      </c>
      <c r="M327" s="7">
        <f t="shared" ca="1" si="167"/>
        <v>0</v>
      </c>
      <c r="N327" s="7">
        <f t="shared" ca="1" si="167"/>
        <v>0</v>
      </c>
      <c r="O327" s="7">
        <f t="shared" ca="1" si="167"/>
        <v>0</v>
      </c>
      <c r="P327" s="7">
        <f t="shared" ca="1" si="167"/>
        <v>0</v>
      </c>
      <c r="Q327" s="7">
        <f t="shared" ca="1" si="167"/>
        <v>0</v>
      </c>
      <c r="R327" s="7">
        <f t="shared" ca="1" si="167"/>
        <v>0</v>
      </c>
      <c r="S327" s="7">
        <f t="shared" ca="1" si="167"/>
        <v>0</v>
      </c>
      <c r="T327" s="7">
        <f t="shared" ca="1" si="167"/>
        <v>0</v>
      </c>
      <c r="U327" s="7">
        <f t="shared" ca="1" si="167"/>
        <v>0</v>
      </c>
      <c r="V327" s="7">
        <f t="shared" ca="1" si="167"/>
        <v>0</v>
      </c>
      <c r="W327" s="7">
        <f t="shared" ca="1" si="167"/>
        <v>0</v>
      </c>
      <c r="X327" s="7">
        <f t="shared" ca="1" si="167"/>
        <v>0</v>
      </c>
      <c r="Y327" s="7">
        <f t="shared" ca="1" si="167"/>
        <v>0</v>
      </c>
      <c r="Z327" s="7">
        <f t="shared" ca="1" si="167"/>
        <v>0</v>
      </c>
      <c r="AA327" s="7">
        <f t="shared" ca="1" si="167"/>
        <v>0</v>
      </c>
      <c r="AB327" s="7">
        <f t="shared" ca="1" si="167"/>
        <v>0</v>
      </c>
      <c r="AC327" s="7">
        <f t="shared" ca="1" si="167"/>
        <v>0</v>
      </c>
      <c r="AD327" s="7">
        <f t="shared" ca="1" si="167"/>
        <v>0</v>
      </c>
      <c r="AE327" s="7">
        <f t="shared" ca="1" si="167"/>
        <v>0</v>
      </c>
      <c r="AF327" s="7">
        <f t="shared" ca="1" si="167"/>
        <v>0</v>
      </c>
      <c r="AG327" s="7">
        <f t="shared" ca="1" si="167"/>
        <v>0</v>
      </c>
      <c r="AH327" s="7">
        <f t="shared" ca="1" si="167"/>
        <v>0</v>
      </c>
      <c r="AI327" s="7">
        <f t="shared" ca="1" si="167"/>
        <v>0</v>
      </c>
      <c r="AJ327" s="7">
        <f t="shared" ca="1" si="167"/>
        <v>0</v>
      </c>
      <c r="AK327" s="7">
        <f t="shared" ca="1" si="167"/>
        <v>0</v>
      </c>
      <c r="AL327" s="7">
        <f t="shared" ca="1" si="167"/>
        <v>0</v>
      </c>
      <c r="AM327" s="7">
        <f t="shared" ca="1" si="167"/>
        <v>0</v>
      </c>
    </row>
    <row r="328" spans="1:39" x14ac:dyDescent="0.2">
      <c r="A328" s="16" t="str">
        <f t="shared" si="168"/>
        <v>Gudja</v>
      </c>
      <c r="C328" s="7">
        <f t="shared" ca="1" si="167"/>
        <v>-4025.8511111463736</v>
      </c>
      <c r="D328" s="101">
        <f t="shared" ca="1" si="167"/>
        <v>-3138.2612491824134</v>
      </c>
      <c r="E328" s="110">
        <f t="shared" ca="1" si="167"/>
        <v>0</v>
      </c>
      <c r="F328" s="7">
        <f t="shared" ca="1" si="167"/>
        <v>0</v>
      </c>
      <c r="G328" s="7">
        <f t="shared" ca="1" si="167"/>
        <v>0</v>
      </c>
      <c r="H328" s="7">
        <f t="shared" ca="1" si="167"/>
        <v>0</v>
      </c>
      <c r="I328" s="7">
        <f t="shared" ca="1" si="167"/>
        <v>0</v>
      </c>
      <c r="J328" s="7">
        <f t="shared" ca="1" si="167"/>
        <v>0</v>
      </c>
      <c r="K328" s="7">
        <f t="shared" ca="1" si="167"/>
        <v>0</v>
      </c>
      <c r="L328" s="7">
        <f t="shared" ca="1" si="167"/>
        <v>0</v>
      </c>
      <c r="M328" s="7">
        <f t="shared" ca="1" si="167"/>
        <v>0</v>
      </c>
      <c r="N328" s="7">
        <f t="shared" ca="1" si="167"/>
        <v>0</v>
      </c>
      <c r="O328" s="7">
        <f t="shared" ca="1" si="167"/>
        <v>0</v>
      </c>
      <c r="P328" s="7">
        <f t="shared" ca="1" si="167"/>
        <v>0</v>
      </c>
      <c r="Q328" s="7">
        <f t="shared" ca="1" si="167"/>
        <v>0</v>
      </c>
      <c r="R328" s="7">
        <f t="shared" ca="1" si="167"/>
        <v>0</v>
      </c>
      <c r="S328" s="7">
        <f t="shared" ca="1" si="167"/>
        <v>0</v>
      </c>
      <c r="T328" s="7">
        <f t="shared" ca="1" si="167"/>
        <v>0</v>
      </c>
      <c r="U328" s="7">
        <f t="shared" ca="1" si="167"/>
        <v>0</v>
      </c>
      <c r="V328" s="7">
        <f t="shared" ca="1" si="167"/>
        <v>0</v>
      </c>
      <c r="W328" s="7">
        <f t="shared" ca="1" si="167"/>
        <v>0</v>
      </c>
      <c r="X328" s="7">
        <f t="shared" ca="1" si="167"/>
        <v>0</v>
      </c>
      <c r="Y328" s="7">
        <f t="shared" ca="1" si="167"/>
        <v>0</v>
      </c>
      <c r="Z328" s="7">
        <f t="shared" ca="1" si="167"/>
        <v>0</v>
      </c>
      <c r="AA328" s="7">
        <f t="shared" ca="1" si="167"/>
        <v>0</v>
      </c>
      <c r="AB328" s="7">
        <f t="shared" ca="1" si="167"/>
        <v>0</v>
      </c>
      <c r="AC328" s="7">
        <f t="shared" ca="1" si="167"/>
        <v>0</v>
      </c>
      <c r="AD328" s="7">
        <f t="shared" ca="1" si="167"/>
        <v>0</v>
      </c>
      <c r="AE328" s="7">
        <f t="shared" ca="1" si="167"/>
        <v>0</v>
      </c>
      <c r="AF328" s="7">
        <f t="shared" ca="1" si="167"/>
        <v>0</v>
      </c>
      <c r="AG328" s="7">
        <f t="shared" ca="1" si="167"/>
        <v>0</v>
      </c>
      <c r="AH328" s="7">
        <f t="shared" ca="1" si="167"/>
        <v>0</v>
      </c>
      <c r="AI328" s="7">
        <f t="shared" ca="1" si="167"/>
        <v>0</v>
      </c>
      <c r="AJ328" s="7">
        <f t="shared" ca="1" si="167"/>
        <v>0</v>
      </c>
      <c r="AK328" s="7">
        <f t="shared" ca="1" si="167"/>
        <v>0</v>
      </c>
      <c r="AL328" s="7">
        <f t="shared" ca="1" si="167"/>
        <v>0</v>
      </c>
      <c r="AM328" s="7">
        <f t="shared" ca="1" si="167"/>
        <v>0</v>
      </c>
    </row>
    <row r="329" spans="1:39" x14ac:dyDescent="0.2">
      <c r="A329" s="16" t="str">
        <f t="shared" si="168"/>
        <v>Marsa</v>
      </c>
      <c r="C329" s="7">
        <f t="shared" ca="1" si="167"/>
        <v>-8649.5822104017261</v>
      </c>
      <c r="D329" s="101">
        <f t="shared" ca="1" si="167"/>
        <v>-7452.7015983848178</v>
      </c>
      <c r="E329" s="110">
        <f t="shared" ca="1" si="167"/>
        <v>-6219.4167172421839</v>
      </c>
      <c r="F329" s="7">
        <f t="shared" ca="1" si="167"/>
        <v>-4948.6202962926418</v>
      </c>
      <c r="G329" s="7">
        <f t="shared" ca="1" si="167"/>
        <v>-3639.1713861576636</v>
      </c>
      <c r="H329" s="7">
        <f t="shared" ca="1" si="167"/>
        <v>-2289.8943343915744</v>
      </c>
      <c r="I329" s="7">
        <f t="shared" ca="1" si="167"/>
        <v>-899.57772995459527</v>
      </c>
      <c r="J329" s="7">
        <f t="shared" ca="1" si="167"/>
        <v>0</v>
      </c>
      <c r="K329" s="7">
        <f t="shared" ca="1" si="167"/>
        <v>0</v>
      </c>
      <c r="L329" s="7">
        <f t="shared" ca="1" si="167"/>
        <v>0</v>
      </c>
      <c r="M329" s="7">
        <f t="shared" ca="1" si="167"/>
        <v>0</v>
      </c>
      <c r="N329" s="7">
        <f t="shared" ca="1" si="167"/>
        <v>0</v>
      </c>
      <c r="O329" s="7">
        <f t="shared" ca="1" si="167"/>
        <v>0</v>
      </c>
      <c r="P329" s="7">
        <f t="shared" ca="1" si="167"/>
        <v>0</v>
      </c>
      <c r="Q329" s="7">
        <f t="shared" ca="1" si="167"/>
        <v>0</v>
      </c>
      <c r="R329" s="7">
        <f t="shared" ca="1" si="167"/>
        <v>0</v>
      </c>
      <c r="S329" s="7">
        <f t="shared" ca="1" si="167"/>
        <v>0</v>
      </c>
      <c r="T329" s="7">
        <f t="shared" ca="1" si="167"/>
        <v>0</v>
      </c>
      <c r="U329" s="7">
        <f t="shared" ca="1" si="167"/>
        <v>0</v>
      </c>
      <c r="V329" s="7">
        <f t="shared" ca="1" si="167"/>
        <v>0</v>
      </c>
      <c r="W329" s="7">
        <f t="shared" ca="1" si="167"/>
        <v>0</v>
      </c>
      <c r="X329" s="7">
        <f t="shared" ca="1" si="167"/>
        <v>0</v>
      </c>
      <c r="Y329" s="7">
        <f t="shared" ca="1" si="167"/>
        <v>0</v>
      </c>
      <c r="Z329" s="7">
        <f t="shared" ca="1" si="167"/>
        <v>0</v>
      </c>
      <c r="AA329" s="7">
        <f t="shared" ca="1" si="167"/>
        <v>0</v>
      </c>
      <c r="AB329" s="7">
        <f t="shared" ca="1" si="167"/>
        <v>0</v>
      </c>
      <c r="AC329" s="7">
        <f t="shared" ca="1" si="167"/>
        <v>0</v>
      </c>
      <c r="AD329" s="7">
        <f t="shared" ca="1" si="167"/>
        <v>0</v>
      </c>
      <c r="AE329" s="7">
        <f t="shared" ca="1" si="167"/>
        <v>0</v>
      </c>
      <c r="AF329" s="7">
        <f t="shared" ca="1" si="167"/>
        <v>0</v>
      </c>
      <c r="AG329" s="7">
        <f t="shared" ca="1" si="167"/>
        <v>0</v>
      </c>
      <c r="AH329" s="7">
        <f t="shared" ca="1" si="167"/>
        <v>0</v>
      </c>
      <c r="AI329" s="7">
        <f t="shared" ca="1" si="167"/>
        <v>0</v>
      </c>
      <c r="AJ329" s="7">
        <f t="shared" ca="1" si="167"/>
        <v>0</v>
      </c>
      <c r="AK329" s="7">
        <f t="shared" ca="1" si="167"/>
        <v>0</v>
      </c>
      <c r="AL329" s="7">
        <f t="shared" ca="1" si="167"/>
        <v>0</v>
      </c>
      <c r="AM329" s="7">
        <f t="shared" ca="1" si="167"/>
        <v>0</v>
      </c>
    </row>
    <row r="330" spans="1:39" x14ac:dyDescent="0.2">
      <c r="A330" s="16" t="str">
        <f t="shared" si="168"/>
        <v>Jewelry</v>
      </c>
      <c r="C330" s="7">
        <f t="shared" ca="1" si="167"/>
        <v>-1875.0262705595046</v>
      </c>
      <c r="D330" s="101">
        <f t="shared" ca="1" si="167"/>
        <v>0</v>
      </c>
      <c r="E330" s="110">
        <f t="shared" ca="1" si="167"/>
        <v>0</v>
      </c>
      <c r="F330" s="7">
        <f t="shared" ca="1" si="167"/>
        <v>0</v>
      </c>
      <c r="G330" s="7">
        <f t="shared" ca="1" si="167"/>
        <v>0</v>
      </c>
      <c r="H330" s="7">
        <f t="shared" ca="1" si="167"/>
        <v>0</v>
      </c>
      <c r="I330" s="7">
        <f t="shared" ca="1" si="167"/>
        <v>0</v>
      </c>
      <c r="J330" s="7">
        <f t="shared" ca="1" si="167"/>
        <v>0</v>
      </c>
      <c r="K330" s="7">
        <f t="shared" ca="1" si="167"/>
        <v>0</v>
      </c>
      <c r="L330" s="7">
        <f t="shared" ca="1" si="167"/>
        <v>0</v>
      </c>
      <c r="M330" s="7">
        <f t="shared" ca="1" si="167"/>
        <v>0</v>
      </c>
      <c r="N330" s="7">
        <f t="shared" ca="1" si="167"/>
        <v>0</v>
      </c>
      <c r="O330" s="7">
        <f t="shared" ca="1" si="167"/>
        <v>0</v>
      </c>
      <c r="P330" s="7">
        <f t="shared" ca="1" si="167"/>
        <v>0</v>
      </c>
      <c r="Q330" s="7">
        <f t="shared" ca="1" si="167"/>
        <v>0</v>
      </c>
      <c r="R330" s="7">
        <f t="shared" ca="1" si="167"/>
        <v>0</v>
      </c>
      <c r="S330" s="7">
        <f t="shared" ca="1" si="167"/>
        <v>0</v>
      </c>
      <c r="T330" s="7">
        <f t="shared" ca="1" si="167"/>
        <v>0</v>
      </c>
      <c r="U330" s="7">
        <f t="shared" ca="1" si="167"/>
        <v>0</v>
      </c>
      <c r="V330" s="7">
        <f t="shared" ca="1" si="167"/>
        <v>0</v>
      </c>
      <c r="W330" s="7">
        <f t="shared" ca="1" si="167"/>
        <v>0</v>
      </c>
      <c r="X330" s="7">
        <f t="shared" ca="1" si="167"/>
        <v>0</v>
      </c>
      <c r="Y330" s="7">
        <f t="shared" ca="1" si="167"/>
        <v>0</v>
      </c>
      <c r="Z330" s="7">
        <f t="shared" ca="1" si="167"/>
        <v>0</v>
      </c>
      <c r="AA330" s="7">
        <f t="shared" ca="1" si="167"/>
        <v>0</v>
      </c>
      <c r="AB330" s="7">
        <f t="shared" ca="1" si="167"/>
        <v>0</v>
      </c>
      <c r="AC330" s="7">
        <f t="shared" ca="1" si="167"/>
        <v>0</v>
      </c>
      <c r="AD330" s="7">
        <f t="shared" ca="1" si="167"/>
        <v>0</v>
      </c>
      <c r="AE330" s="7">
        <f t="shared" ca="1" si="167"/>
        <v>0</v>
      </c>
      <c r="AF330" s="7">
        <f t="shared" ca="1" si="167"/>
        <v>0</v>
      </c>
      <c r="AG330" s="7">
        <f t="shared" ca="1" si="167"/>
        <v>0</v>
      </c>
      <c r="AH330" s="7">
        <f t="shared" ca="1" si="167"/>
        <v>0</v>
      </c>
      <c r="AI330" s="7">
        <f t="shared" ca="1" si="167"/>
        <v>0</v>
      </c>
      <c r="AJ330" s="7">
        <f t="shared" ca="1" si="167"/>
        <v>0</v>
      </c>
      <c r="AK330" s="7">
        <f t="shared" ca="1" si="167"/>
        <v>0</v>
      </c>
      <c r="AL330" s="7">
        <f t="shared" ca="1" si="167"/>
        <v>0</v>
      </c>
      <c r="AM330" s="7">
        <f t="shared" ca="1" si="167"/>
        <v>0</v>
      </c>
    </row>
    <row r="331" spans="1:39" x14ac:dyDescent="0.2">
      <c r="A331" s="16" t="str">
        <f t="shared" si="168"/>
        <v>Car</v>
      </c>
      <c r="C331" s="7">
        <f t="shared" ca="1" si="167"/>
        <v>0</v>
      </c>
      <c r="D331" s="101">
        <f t="shared" ca="1" si="167"/>
        <v>0</v>
      </c>
      <c r="E331" s="110">
        <f t="shared" ca="1" si="167"/>
        <v>0</v>
      </c>
      <c r="F331" s="7">
        <f t="shared" ca="1" si="167"/>
        <v>0</v>
      </c>
      <c r="G331" s="7">
        <f t="shared" ca="1" si="167"/>
        <v>0</v>
      </c>
      <c r="H331" s="7">
        <f t="shared" ca="1" si="167"/>
        <v>0</v>
      </c>
      <c r="I331" s="7">
        <f t="shared" ca="1" si="167"/>
        <v>0</v>
      </c>
      <c r="J331" s="7">
        <f t="shared" ca="1" si="167"/>
        <v>0</v>
      </c>
      <c r="K331" s="7">
        <f t="shared" ca="1" si="167"/>
        <v>0</v>
      </c>
      <c r="L331" s="7">
        <f t="shared" ca="1" si="167"/>
        <v>0</v>
      </c>
      <c r="M331" s="7">
        <f t="shared" ca="1" si="167"/>
        <v>0</v>
      </c>
      <c r="N331" s="7">
        <f t="shared" ca="1" si="167"/>
        <v>0</v>
      </c>
      <c r="O331" s="7">
        <f t="shared" ca="1" si="167"/>
        <v>0</v>
      </c>
      <c r="P331" s="7">
        <f t="shared" ca="1" si="167"/>
        <v>0</v>
      </c>
      <c r="Q331" s="7">
        <f t="shared" ca="1" si="167"/>
        <v>0</v>
      </c>
      <c r="R331" s="7">
        <f t="shared" ca="1" si="167"/>
        <v>0</v>
      </c>
      <c r="S331" s="7">
        <f t="shared" ca="1" si="167"/>
        <v>0</v>
      </c>
      <c r="T331" s="7">
        <f t="shared" ca="1" si="167"/>
        <v>0</v>
      </c>
      <c r="U331" s="7">
        <f t="shared" ca="1" si="167"/>
        <v>0</v>
      </c>
      <c r="V331" s="7">
        <f t="shared" ca="1" si="167"/>
        <v>0</v>
      </c>
      <c r="W331" s="7">
        <f t="shared" ca="1" si="167"/>
        <v>0</v>
      </c>
      <c r="X331" s="7">
        <f t="shared" ca="1" si="167"/>
        <v>0</v>
      </c>
      <c r="Y331" s="7">
        <f t="shared" ca="1" si="167"/>
        <v>0</v>
      </c>
      <c r="Z331" s="7">
        <f t="shared" ca="1" si="167"/>
        <v>0</v>
      </c>
      <c r="AA331" s="7">
        <f t="shared" ca="1" si="167"/>
        <v>0</v>
      </c>
      <c r="AB331" s="7">
        <f t="shared" ca="1" si="167"/>
        <v>0</v>
      </c>
      <c r="AC331" s="7">
        <f t="shared" ca="1" si="167"/>
        <v>0</v>
      </c>
      <c r="AD331" s="7">
        <f t="shared" ca="1" si="167"/>
        <v>0</v>
      </c>
      <c r="AE331" s="7">
        <f t="shared" ca="1" si="167"/>
        <v>0</v>
      </c>
      <c r="AF331" s="7">
        <f t="shared" ca="1" si="167"/>
        <v>0</v>
      </c>
      <c r="AG331" s="7">
        <f t="shared" ca="1" si="167"/>
        <v>0</v>
      </c>
      <c r="AH331" s="7">
        <f t="shared" ca="1" si="167"/>
        <v>0</v>
      </c>
      <c r="AI331" s="7">
        <f t="shared" ca="1" si="167"/>
        <v>0</v>
      </c>
      <c r="AJ331" s="7">
        <f t="shared" ref="AJ331:AM331" ca="1" si="169">IFERROR(IF(VLOOKUP($A331,$312:$322,AJ$1+2,FALSE)=0,AJ92,0),AJ92)</f>
        <v>0</v>
      </c>
      <c r="AK331" s="7">
        <f t="shared" ca="1" si="169"/>
        <v>0</v>
      </c>
      <c r="AL331" s="7">
        <f t="shared" ca="1" si="169"/>
        <v>0</v>
      </c>
      <c r="AM331" s="7">
        <f t="shared" ca="1" si="169"/>
        <v>0</v>
      </c>
    </row>
    <row r="332" spans="1:39" x14ac:dyDescent="0.2">
      <c r="A332" s="16" t="str">
        <f t="shared" si="168"/>
        <v>Painting</v>
      </c>
      <c r="C332" s="7">
        <f t="shared" ref="C332:AM334" ca="1" si="170">IFERROR(IF(VLOOKUP($A332,$312:$322,C$1+2,FALSE)=0,C93,0),C93)</f>
        <v>0</v>
      </c>
      <c r="D332" s="101">
        <f t="shared" ca="1" si="170"/>
        <v>0</v>
      </c>
      <c r="E332" s="110">
        <f t="shared" ca="1" si="170"/>
        <v>0</v>
      </c>
      <c r="F332" s="7">
        <f t="shared" ca="1" si="170"/>
        <v>0</v>
      </c>
      <c r="G332" s="7">
        <f t="shared" ca="1" si="170"/>
        <v>0</v>
      </c>
      <c r="H332" s="7">
        <f t="shared" ca="1" si="170"/>
        <v>0</v>
      </c>
      <c r="I332" s="7">
        <f t="shared" ca="1" si="170"/>
        <v>0</v>
      </c>
      <c r="J332" s="7">
        <f t="shared" ca="1" si="170"/>
        <v>0</v>
      </c>
      <c r="K332" s="7">
        <f t="shared" ca="1" si="170"/>
        <v>0</v>
      </c>
      <c r="L332" s="7">
        <f t="shared" ca="1" si="170"/>
        <v>0</v>
      </c>
      <c r="M332" s="7">
        <f t="shared" ca="1" si="170"/>
        <v>0</v>
      </c>
      <c r="N332" s="7">
        <f t="shared" ca="1" si="170"/>
        <v>0</v>
      </c>
      <c r="O332" s="7">
        <f t="shared" ca="1" si="170"/>
        <v>0</v>
      </c>
      <c r="P332" s="7">
        <f t="shared" ca="1" si="170"/>
        <v>0</v>
      </c>
      <c r="Q332" s="7">
        <f t="shared" ca="1" si="170"/>
        <v>0</v>
      </c>
      <c r="R332" s="7">
        <f t="shared" ca="1" si="170"/>
        <v>0</v>
      </c>
      <c r="S332" s="7">
        <f t="shared" ca="1" si="170"/>
        <v>0</v>
      </c>
      <c r="T332" s="7">
        <f t="shared" ca="1" si="170"/>
        <v>0</v>
      </c>
      <c r="U332" s="7">
        <f t="shared" ca="1" si="170"/>
        <v>0</v>
      </c>
      <c r="V332" s="7">
        <f t="shared" ca="1" si="170"/>
        <v>0</v>
      </c>
      <c r="W332" s="7">
        <f t="shared" ca="1" si="170"/>
        <v>0</v>
      </c>
      <c r="X332" s="7">
        <f t="shared" ca="1" si="170"/>
        <v>0</v>
      </c>
      <c r="Y332" s="7">
        <f t="shared" ca="1" si="170"/>
        <v>0</v>
      </c>
      <c r="Z332" s="7">
        <f t="shared" ca="1" si="170"/>
        <v>0</v>
      </c>
      <c r="AA332" s="7">
        <f t="shared" ca="1" si="170"/>
        <v>0</v>
      </c>
      <c r="AB332" s="7">
        <f t="shared" ca="1" si="170"/>
        <v>0</v>
      </c>
      <c r="AC332" s="7">
        <f t="shared" ca="1" si="170"/>
        <v>0</v>
      </c>
      <c r="AD332" s="7">
        <f t="shared" ca="1" si="170"/>
        <v>0</v>
      </c>
      <c r="AE332" s="7">
        <f t="shared" ca="1" si="170"/>
        <v>0</v>
      </c>
      <c r="AF332" s="7">
        <f t="shared" ca="1" si="170"/>
        <v>0</v>
      </c>
      <c r="AG332" s="7">
        <f t="shared" ca="1" si="170"/>
        <v>0</v>
      </c>
      <c r="AH332" s="7">
        <f t="shared" ca="1" si="170"/>
        <v>0</v>
      </c>
      <c r="AI332" s="7">
        <f t="shared" ca="1" si="170"/>
        <v>0</v>
      </c>
      <c r="AJ332" s="7">
        <f t="shared" ca="1" si="170"/>
        <v>0</v>
      </c>
      <c r="AK332" s="7">
        <f t="shared" ca="1" si="170"/>
        <v>0</v>
      </c>
      <c r="AL332" s="7">
        <f t="shared" ca="1" si="170"/>
        <v>0</v>
      </c>
      <c r="AM332" s="7">
        <f t="shared" ca="1" si="170"/>
        <v>0</v>
      </c>
    </row>
    <row r="333" spans="1:39" x14ac:dyDescent="0.2">
      <c r="A333" s="16" t="str">
        <f t="shared" si="168"/>
        <v>Boat</v>
      </c>
      <c r="C333" s="7">
        <f t="shared" ca="1" si="170"/>
        <v>-36106.782888498572</v>
      </c>
      <c r="D333" s="101">
        <f t="shared" ca="1" si="170"/>
        <v>-30636.379329838361</v>
      </c>
      <c r="E333" s="110">
        <f t="shared" ca="1" si="170"/>
        <v>-24828.573249664209</v>
      </c>
      <c r="F333" s="7">
        <f t="shared" ca="1" si="170"/>
        <v>-18662.55439873159</v>
      </c>
      <c r="G333" s="7">
        <f t="shared" ca="1" si="170"/>
        <v>-12116.228997158192</v>
      </c>
      <c r="H333" s="7">
        <f t="shared" ca="1" si="170"/>
        <v>-5166.1405690627944</v>
      </c>
      <c r="I333" s="7">
        <f t="shared" ca="1" si="170"/>
        <v>0</v>
      </c>
      <c r="J333" s="7">
        <f t="shared" ca="1" si="170"/>
        <v>0</v>
      </c>
      <c r="K333" s="7">
        <f t="shared" ca="1" si="170"/>
        <v>0</v>
      </c>
      <c r="L333" s="7">
        <f t="shared" ca="1" si="170"/>
        <v>0</v>
      </c>
      <c r="M333" s="7">
        <f t="shared" ca="1" si="170"/>
        <v>0</v>
      </c>
      <c r="N333" s="7">
        <f t="shared" ca="1" si="170"/>
        <v>0</v>
      </c>
      <c r="O333" s="7">
        <f t="shared" ca="1" si="170"/>
        <v>0</v>
      </c>
      <c r="P333" s="7">
        <f t="shared" ca="1" si="170"/>
        <v>0</v>
      </c>
      <c r="Q333" s="7">
        <f t="shared" ca="1" si="170"/>
        <v>0</v>
      </c>
      <c r="R333" s="7">
        <f t="shared" ca="1" si="170"/>
        <v>0</v>
      </c>
      <c r="S333" s="7">
        <f t="shared" ca="1" si="170"/>
        <v>0</v>
      </c>
      <c r="T333" s="7">
        <f t="shared" ca="1" si="170"/>
        <v>0</v>
      </c>
      <c r="U333" s="7">
        <f t="shared" ca="1" si="170"/>
        <v>0</v>
      </c>
      <c r="V333" s="7">
        <f t="shared" ca="1" si="170"/>
        <v>0</v>
      </c>
      <c r="W333" s="7">
        <f t="shared" ca="1" si="170"/>
        <v>0</v>
      </c>
      <c r="X333" s="7">
        <f t="shared" ca="1" si="170"/>
        <v>0</v>
      </c>
      <c r="Y333" s="7">
        <f t="shared" ca="1" si="170"/>
        <v>0</v>
      </c>
      <c r="Z333" s="7">
        <f t="shared" ca="1" si="170"/>
        <v>0</v>
      </c>
      <c r="AA333" s="7">
        <f t="shared" ca="1" si="170"/>
        <v>0</v>
      </c>
      <c r="AB333" s="7">
        <f t="shared" ca="1" si="170"/>
        <v>0</v>
      </c>
      <c r="AC333" s="7">
        <f t="shared" ca="1" si="170"/>
        <v>0</v>
      </c>
      <c r="AD333" s="7">
        <f t="shared" ca="1" si="170"/>
        <v>0</v>
      </c>
      <c r="AE333" s="7">
        <f t="shared" ca="1" si="170"/>
        <v>0</v>
      </c>
      <c r="AF333" s="7">
        <f t="shared" ca="1" si="170"/>
        <v>0</v>
      </c>
      <c r="AG333" s="7">
        <f t="shared" ca="1" si="170"/>
        <v>0</v>
      </c>
      <c r="AH333" s="7">
        <f t="shared" ca="1" si="170"/>
        <v>0</v>
      </c>
      <c r="AI333" s="7">
        <f t="shared" ca="1" si="170"/>
        <v>0</v>
      </c>
      <c r="AJ333" s="7">
        <f t="shared" ca="1" si="170"/>
        <v>0</v>
      </c>
      <c r="AK333" s="7">
        <f t="shared" ca="1" si="170"/>
        <v>0</v>
      </c>
      <c r="AL333" s="7">
        <f t="shared" ca="1" si="170"/>
        <v>0</v>
      </c>
      <c r="AM333" s="7">
        <f t="shared" ca="1" si="170"/>
        <v>0</v>
      </c>
    </row>
    <row r="334" spans="1:39" x14ac:dyDescent="0.2">
      <c r="A334" s="16" t="str">
        <f t="shared" si="168"/>
        <v>Antiques</v>
      </c>
      <c r="C334" s="7">
        <f t="shared" ca="1" si="170"/>
        <v>-2886.4020391451668</v>
      </c>
      <c r="D334" s="101">
        <f t="shared" ca="1" si="170"/>
        <v>-1635.892615008569</v>
      </c>
      <c r="E334" s="110">
        <f t="shared" ca="1" si="170"/>
        <v>0</v>
      </c>
      <c r="F334" s="7">
        <f t="shared" ca="1" si="170"/>
        <v>0</v>
      </c>
      <c r="G334" s="7">
        <f t="shared" ca="1" si="170"/>
        <v>0</v>
      </c>
      <c r="H334" s="7">
        <f t="shared" ca="1" si="170"/>
        <v>0</v>
      </c>
      <c r="I334" s="7">
        <f t="shared" ca="1" si="170"/>
        <v>0</v>
      </c>
      <c r="J334" s="7">
        <f t="shared" ca="1" si="170"/>
        <v>0</v>
      </c>
      <c r="K334" s="7">
        <f t="shared" ca="1" si="170"/>
        <v>0</v>
      </c>
      <c r="L334" s="7">
        <f t="shared" ca="1" si="170"/>
        <v>0</v>
      </c>
      <c r="M334" s="7">
        <f t="shared" ca="1" si="170"/>
        <v>0</v>
      </c>
      <c r="N334" s="7">
        <f t="shared" ca="1" si="170"/>
        <v>0</v>
      </c>
      <c r="O334" s="7">
        <f t="shared" ca="1" si="170"/>
        <v>0</v>
      </c>
      <c r="P334" s="7">
        <f t="shared" ca="1" si="170"/>
        <v>0</v>
      </c>
      <c r="Q334" s="7">
        <f t="shared" ca="1" si="170"/>
        <v>0</v>
      </c>
      <c r="R334" s="7">
        <f t="shared" ca="1" si="170"/>
        <v>0</v>
      </c>
      <c r="S334" s="7">
        <f t="shared" ca="1" si="170"/>
        <v>0</v>
      </c>
      <c r="T334" s="7">
        <f t="shared" ca="1" si="170"/>
        <v>0</v>
      </c>
      <c r="U334" s="7">
        <f t="shared" ca="1" si="170"/>
        <v>0</v>
      </c>
      <c r="V334" s="7">
        <f t="shared" ca="1" si="170"/>
        <v>0</v>
      </c>
      <c r="W334" s="7">
        <f t="shared" ca="1" si="170"/>
        <v>0</v>
      </c>
      <c r="X334" s="7">
        <f t="shared" ca="1" si="170"/>
        <v>0</v>
      </c>
      <c r="Y334" s="7">
        <f t="shared" ca="1" si="170"/>
        <v>0</v>
      </c>
      <c r="Z334" s="7">
        <f t="shared" ca="1" si="170"/>
        <v>0</v>
      </c>
      <c r="AA334" s="7">
        <f t="shared" ca="1" si="170"/>
        <v>0</v>
      </c>
      <c r="AB334" s="7">
        <f t="shared" ca="1" si="170"/>
        <v>0</v>
      </c>
      <c r="AC334" s="7">
        <f t="shared" ca="1" si="170"/>
        <v>0</v>
      </c>
      <c r="AD334" s="7">
        <f t="shared" ca="1" si="170"/>
        <v>0</v>
      </c>
      <c r="AE334" s="7">
        <f t="shared" ca="1" si="170"/>
        <v>0</v>
      </c>
      <c r="AF334" s="7">
        <f t="shared" ca="1" si="170"/>
        <v>0</v>
      </c>
      <c r="AG334" s="7">
        <f t="shared" ca="1" si="170"/>
        <v>0</v>
      </c>
      <c r="AH334" s="7">
        <f t="shared" ca="1" si="170"/>
        <v>0</v>
      </c>
      <c r="AI334" s="7">
        <f t="shared" ca="1" si="170"/>
        <v>0</v>
      </c>
      <c r="AJ334" s="7">
        <f t="shared" ca="1" si="170"/>
        <v>0</v>
      </c>
      <c r="AK334" s="7">
        <f t="shared" ca="1" si="170"/>
        <v>0</v>
      </c>
      <c r="AL334" s="7">
        <f t="shared" ca="1" si="170"/>
        <v>0</v>
      </c>
      <c r="AM334" s="7">
        <f t="shared" ca="1" si="170"/>
        <v>0</v>
      </c>
    </row>
    <row r="335" spans="1:39" x14ac:dyDescent="0.2">
      <c r="C335" s="7"/>
      <c r="D335" s="101"/>
      <c r="E335" s="110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  <c r="AE335" s="7"/>
      <c r="AF335" s="7"/>
      <c r="AG335" s="7"/>
      <c r="AH335" s="7"/>
      <c r="AI335" s="7"/>
      <c r="AJ335" s="7"/>
      <c r="AK335" s="7"/>
      <c r="AL335" s="7"/>
      <c r="AM335" s="7"/>
    </row>
    <row r="336" spans="1:39" x14ac:dyDescent="0.2">
      <c r="A336" s="3" t="s">
        <v>59</v>
      </c>
      <c r="C336" s="7"/>
      <c r="D336" s="101"/>
      <c r="E336" s="110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  <c r="AE336" s="7"/>
      <c r="AF336" s="7"/>
      <c r="AG336" s="7"/>
      <c r="AH336" s="7"/>
      <c r="AI336" s="7"/>
      <c r="AJ336" s="7"/>
      <c r="AK336" s="7"/>
      <c r="AL336" s="7"/>
      <c r="AM336" s="7"/>
    </row>
    <row r="337" spans="1:39" x14ac:dyDescent="0.2">
      <c r="A337" s="16" t="str">
        <f t="shared" ref="A337:A344" si="171">A69</f>
        <v>Cash</v>
      </c>
      <c r="C337" s="7">
        <f ca="1">C284</f>
        <v>109870.73521238755</v>
      </c>
      <c r="D337" s="101">
        <f t="shared" ref="D337:AM337" ca="1" si="172">D284</f>
        <v>124614.87941079485</v>
      </c>
      <c r="E337" s="110">
        <f t="shared" ca="1" si="172"/>
        <v>215076.06668918394</v>
      </c>
      <c r="F337" s="7">
        <f t="shared" ca="1" si="172"/>
        <v>127206.24373947346</v>
      </c>
      <c r="G337" s="7">
        <f t="shared" ca="1" si="172"/>
        <v>232711.67734335674</v>
      </c>
      <c r="H337" s="7">
        <f t="shared" ca="1" si="172"/>
        <v>179321.73641809248</v>
      </c>
      <c r="I337" s="7">
        <f t="shared" ca="1" si="172"/>
        <v>140950.88962435036</v>
      </c>
      <c r="J337" s="7">
        <f t="shared" ca="1" si="172"/>
        <v>229062.13035729429</v>
      </c>
      <c r="K337" s="7">
        <f t="shared" ca="1" si="172"/>
        <v>168063.23261060109</v>
      </c>
      <c r="L337" s="7">
        <f t="shared" ca="1" si="172"/>
        <v>188702.1052700505</v>
      </c>
      <c r="M337" s="7">
        <f t="shared" ca="1" si="172"/>
        <v>113712.40321337662</v>
      </c>
      <c r="N337" s="7">
        <f t="shared" ca="1" si="172"/>
        <v>86057.731206196739</v>
      </c>
      <c r="O337" s="7">
        <f t="shared" ca="1" si="172"/>
        <v>242027.88532400748</v>
      </c>
      <c r="P337" s="7">
        <f t="shared" ca="1" si="172"/>
        <v>207731.41495922045</v>
      </c>
      <c r="Q337" s="7">
        <f t="shared" ca="1" si="172"/>
        <v>171945.59134265</v>
      </c>
      <c r="R337" s="7">
        <f t="shared" ca="1" si="172"/>
        <v>134262.9653373333</v>
      </c>
      <c r="S337" s="7">
        <f t="shared" ca="1" si="172"/>
        <v>94642.441399338597</v>
      </c>
      <c r="T337" s="7">
        <f t="shared" ca="1" si="172"/>
        <v>70510.263969922482</v>
      </c>
      <c r="U337" s="7">
        <f t="shared" ca="1" si="172"/>
        <v>125958.70423331723</v>
      </c>
      <c r="V337" s="7">
        <f t="shared" ca="1" si="172"/>
        <v>109647.08406825736</v>
      </c>
      <c r="W337" s="7">
        <f t="shared" ca="1" si="172"/>
        <v>92631.814856256737</v>
      </c>
      <c r="X337" s="7">
        <f t="shared" ca="1" si="172"/>
        <v>429159.27979104465</v>
      </c>
      <c r="Y337" s="7">
        <f t="shared" ca="1" si="172"/>
        <v>388705.91028048279</v>
      </c>
      <c r="Z337" s="7">
        <f t="shared" ca="1" si="172"/>
        <v>346025.57863410452</v>
      </c>
      <c r="AA337" s="7">
        <f t="shared" ca="1" si="172"/>
        <v>300869.35748654528</v>
      </c>
      <c r="AB337" s="7">
        <f t="shared" ca="1" si="172"/>
        <v>253180.30083543458</v>
      </c>
      <c r="AC337" s="7">
        <f t="shared" ca="1" si="172"/>
        <v>202900.18756539875</v>
      </c>
      <c r="AD337" s="7">
        <f t="shared" ca="1" si="172"/>
        <v>149969.49402634538</v>
      </c>
      <c r="AE337" s="7">
        <f t="shared" ca="1" si="172"/>
        <v>104559.40303102252</v>
      </c>
      <c r="AF337" s="7">
        <f t="shared" ca="1" si="172"/>
        <v>668293.44654123939</v>
      </c>
      <c r="AG337" s="7">
        <f t="shared" ca="1" si="172"/>
        <v>622512.06018756866</v>
      </c>
      <c r="AH337" s="7">
        <f t="shared" ca="1" si="172"/>
        <v>573868.1354354911</v>
      </c>
      <c r="AI337" s="7">
        <f t="shared" ca="1" si="172"/>
        <v>522089.50081485481</v>
      </c>
      <c r="AJ337" s="7">
        <f t="shared" ca="1" si="172"/>
        <v>467097.78857894585</v>
      </c>
      <c r="AK337" s="7">
        <f t="shared" ca="1" si="172"/>
        <v>408812.6717873821</v>
      </c>
      <c r="AL337" s="7">
        <f t="shared" ca="1" si="172"/>
        <v>347151.81532627222</v>
      </c>
      <c r="AM337" s="7">
        <f t="shared" ca="1" si="172"/>
        <v>282030.82570387836</v>
      </c>
    </row>
    <row r="338" spans="1:39" x14ac:dyDescent="0.2">
      <c r="A338" s="16" t="str">
        <f t="shared" si="171"/>
        <v>Home</v>
      </c>
      <c r="C338" s="7">
        <f t="shared" ref="C338:AM338" ca="1" si="173">C70</f>
        <v>511208.33111474686</v>
      </c>
      <c r="D338" s="101">
        <f t="shared" ca="1" si="173"/>
        <v>526544.58104818931</v>
      </c>
      <c r="E338" s="110">
        <f t="shared" ca="1" si="173"/>
        <v>542340.91847963503</v>
      </c>
      <c r="F338" s="7">
        <f t="shared" ca="1" si="173"/>
        <v>558611.14603402407</v>
      </c>
      <c r="G338" s="7">
        <f t="shared" ca="1" si="173"/>
        <v>287684.74020752241</v>
      </c>
      <c r="H338" s="7">
        <f t="shared" ca="1" si="173"/>
        <v>296315.28241374809</v>
      </c>
      <c r="I338" s="7">
        <f t="shared" ca="1" si="173"/>
        <v>305204.74088616052</v>
      </c>
      <c r="J338" s="7">
        <f t="shared" ca="1" si="173"/>
        <v>314360.88311274536</v>
      </c>
      <c r="K338" s="7">
        <f t="shared" ca="1" si="173"/>
        <v>323791.70960612776</v>
      </c>
      <c r="L338" s="7">
        <f t="shared" ca="1" si="173"/>
        <v>333505.4608943116</v>
      </c>
      <c r="M338" s="7">
        <f t="shared" ca="1" si="173"/>
        <v>343510.62472114095</v>
      </c>
      <c r="N338" s="7">
        <f t="shared" ca="1" si="173"/>
        <v>353815.94346277521</v>
      </c>
      <c r="O338" s="7">
        <f t="shared" ca="1" si="173"/>
        <v>364430.42176665849</v>
      </c>
      <c r="P338" s="7">
        <f t="shared" ca="1" si="173"/>
        <v>375363.33441965823</v>
      </c>
      <c r="Q338" s="7">
        <f t="shared" ca="1" si="173"/>
        <v>386624.23445224797</v>
      </c>
      <c r="R338" s="7">
        <f t="shared" ca="1" si="173"/>
        <v>398222.96148581541</v>
      </c>
      <c r="S338" s="7">
        <f t="shared" ca="1" si="173"/>
        <v>410169.65033038991</v>
      </c>
      <c r="T338" s="7">
        <f t="shared" ca="1" si="173"/>
        <v>422474.73984030163</v>
      </c>
      <c r="U338" s="7">
        <f t="shared" ca="1" si="173"/>
        <v>435148.98203551071</v>
      </c>
      <c r="V338" s="7">
        <f t="shared" ca="1" si="173"/>
        <v>448203.45149657602</v>
      </c>
      <c r="W338" s="7">
        <f t="shared" ca="1" si="173"/>
        <v>461649.5550414733</v>
      </c>
      <c r="X338" s="7">
        <f t="shared" ca="1" si="173"/>
        <v>475499.04169271752</v>
      </c>
      <c r="Y338" s="7">
        <f t="shared" ca="1" si="173"/>
        <v>489764.01294349908</v>
      </c>
      <c r="Z338" s="7">
        <f t="shared" ca="1" si="173"/>
        <v>504456.93333180406</v>
      </c>
      <c r="AA338" s="7">
        <f t="shared" ca="1" si="173"/>
        <v>519590.64133175818</v>
      </c>
      <c r="AB338" s="7">
        <f t="shared" ca="1" si="173"/>
        <v>535178.36057171097</v>
      </c>
      <c r="AC338" s="7">
        <f t="shared" ca="1" si="173"/>
        <v>551233.71138886234</v>
      </c>
      <c r="AD338" s="7">
        <f t="shared" ca="1" si="173"/>
        <v>567770.72273052821</v>
      </c>
      <c r="AE338" s="7">
        <f t="shared" ca="1" si="173"/>
        <v>584803.84441244404</v>
      </c>
      <c r="AF338" s="7">
        <f t="shared" ca="1" si="173"/>
        <v>602347.95974481734</v>
      </c>
      <c r="AG338" s="7">
        <f t="shared" ca="1" si="173"/>
        <v>620418.39853716188</v>
      </c>
      <c r="AH338" s="7">
        <f t="shared" ca="1" si="173"/>
        <v>639030.9504932767</v>
      </c>
      <c r="AI338" s="7">
        <f t="shared" ca="1" si="173"/>
        <v>658201.87900807499</v>
      </c>
      <c r="AJ338" s="7">
        <f t="shared" ca="1" si="173"/>
        <v>677947.93537831726</v>
      </c>
      <c r="AK338" s="7">
        <f t="shared" ca="1" si="173"/>
        <v>698286.37343966682</v>
      </c>
      <c r="AL338" s="7">
        <f t="shared" ca="1" si="173"/>
        <v>719234.96464285685</v>
      </c>
      <c r="AM338" s="7">
        <f t="shared" ca="1" si="173"/>
        <v>740812.01358214254</v>
      </c>
    </row>
    <row r="339" spans="1:39" x14ac:dyDescent="0.2">
      <c r="A339" s="16" t="s">
        <v>50</v>
      </c>
      <c r="C339" s="7"/>
      <c r="D339" s="101"/>
      <c r="E339" s="110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  <c r="AE339" s="7"/>
      <c r="AF339" s="7"/>
      <c r="AG339" s="7"/>
      <c r="AH339" s="7"/>
      <c r="AI339" s="7"/>
      <c r="AJ339" s="7"/>
      <c r="AK339" s="7"/>
      <c r="AL339" s="7"/>
      <c r="AM339" s="7"/>
    </row>
    <row r="340" spans="1:39" x14ac:dyDescent="0.2">
      <c r="A340" s="17" t="str">
        <f t="shared" si="171"/>
        <v>Sliema</v>
      </c>
      <c r="C340" s="7">
        <f t="shared" ref="C340:AM344" ca="1" si="174">C301</f>
        <v>306724.99866884813</v>
      </c>
      <c r="D340" s="101">
        <f t="shared" ca="1" si="174"/>
        <v>315926.7486289136</v>
      </c>
      <c r="E340" s="110">
        <f t="shared" ca="1" si="174"/>
        <v>325404.55108778103</v>
      </c>
      <c r="F340" s="7">
        <f t="shared" ca="1" si="174"/>
        <v>335166.68762041448</v>
      </c>
      <c r="G340" s="7">
        <f t="shared" ca="1" si="174"/>
        <v>345221.68824902695</v>
      </c>
      <c r="H340" s="7">
        <f t="shared" ca="1" si="174"/>
        <v>355578.33889649779</v>
      </c>
      <c r="I340" s="7">
        <f t="shared" ca="1" si="174"/>
        <v>366245.68906339275</v>
      </c>
      <c r="J340" s="7">
        <f t="shared" ca="1" si="174"/>
        <v>377233.05973529455</v>
      </c>
      <c r="K340" s="7">
        <f t="shared" ca="1" si="174"/>
        <v>388550.05152735341</v>
      </c>
      <c r="L340" s="7">
        <f t="shared" ca="1" si="174"/>
        <v>400206.55307317403</v>
      </c>
      <c r="M340" s="7">
        <f t="shared" ca="1" si="174"/>
        <v>412212.74966536928</v>
      </c>
      <c r="N340" s="7">
        <f t="shared" ca="1" si="174"/>
        <v>424579.13215533039</v>
      </c>
      <c r="O340" s="7">
        <f t="shared" ca="1" si="174"/>
        <v>437316.50611999031</v>
      </c>
      <c r="P340" s="7">
        <f t="shared" ca="1" si="174"/>
        <v>450436.00130359002</v>
      </c>
      <c r="Q340" s="7">
        <f t="shared" ca="1" si="174"/>
        <v>463949.08134269773</v>
      </c>
      <c r="R340" s="7">
        <f t="shared" ca="1" si="174"/>
        <v>477867.55378297868</v>
      </c>
      <c r="S340" s="7">
        <f t="shared" ca="1" si="174"/>
        <v>492203.58039646805</v>
      </c>
      <c r="T340" s="7">
        <f t="shared" ca="1" si="174"/>
        <v>506969.68780836213</v>
      </c>
      <c r="U340" s="7">
        <f t="shared" ca="1" si="174"/>
        <v>522178.77844261302</v>
      </c>
      <c r="V340" s="7">
        <f t="shared" ca="1" si="174"/>
        <v>537844.14179589145</v>
      </c>
      <c r="W340" s="7">
        <f t="shared" ca="1" si="174"/>
        <v>553979.46604976826</v>
      </c>
      <c r="X340" s="7">
        <f t="shared" ca="1" si="174"/>
        <v>570598.85003126133</v>
      </c>
      <c r="Y340" s="7">
        <f t="shared" ca="1" si="174"/>
        <v>587716.81553219922</v>
      </c>
      <c r="Z340" s="7">
        <f t="shared" ca="1" si="174"/>
        <v>605348.31999816524</v>
      </c>
      <c r="AA340" s="7">
        <f t="shared" ca="1" si="174"/>
        <v>623508.76959811023</v>
      </c>
      <c r="AB340" s="7">
        <f t="shared" ca="1" si="174"/>
        <v>642214.03268605354</v>
      </c>
      <c r="AC340" s="7">
        <f t="shared" ca="1" si="174"/>
        <v>661480.45366663521</v>
      </c>
      <c r="AD340" s="7">
        <f t="shared" ca="1" si="174"/>
        <v>681324.86727663432</v>
      </c>
      <c r="AE340" s="7">
        <f t="shared" ca="1" si="174"/>
        <v>701764.61329493334</v>
      </c>
      <c r="AF340" s="7">
        <f t="shared" ca="1" si="174"/>
        <v>0</v>
      </c>
      <c r="AG340" s="7">
        <f t="shared" ca="1" si="174"/>
        <v>0</v>
      </c>
      <c r="AH340" s="7">
        <f t="shared" ca="1" si="174"/>
        <v>0</v>
      </c>
      <c r="AI340" s="7">
        <f t="shared" ca="1" si="174"/>
        <v>0</v>
      </c>
      <c r="AJ340" s="7">
        <f t="shared" ca="1" si="174"/>
        <v>0</v>
      </c>
      <c r="AK340" s="7">
        <f t="shared" ca="1" si="174"/>
        <v>0</v>
      </c>
      <c r="AL340" s="7">
        <f t="shared" ca="1" si="174"/>
        <v>0</v>
      </c>
      <c r="AM340" s="7">
        <f t="shared" ca="1" si="174"/>
        <v>0</v>
      </c>
    </row>
    <row r="341" spans="1:39" x14ac:dyDescent="0.2">
      <c r="A341" s="17" t="str">
        <f t="shared" si="171"/>
        <v>Gzira</v>
      </c>
      <c r="C341" s="7">
        <f t="shared" ca="1" si="174"/>
        <v>153362.49933442406</v>
      </c>
      <c r="D341" s="101">
        <f t="shared" ca="1" si="174"/>
        <v>157963.3743144568</v>
      </c>
      <c r="E341" s="110">
        <f t="shared" ca="1" si="174"/>
        <v>162702.27554389052</v>
      </c>
      <c r="F341" s="7">
        <f t="shared" ca="1" si="174"/>
        <v>167583.34381020724</v>
      </c>
      <c r="G341" s="7">
        <f t="shared" ca="1" si="174"/>
        <v>172610.84412451347</v>
      </c>
      <c r="H341" s="7">
        <f t="shared" ca="1" si="174"/>
        <v>177789.1694482489</v>
      </c>
      <c r="I341" s="7">
        <f t="shared" ca="1" si="174"/>
        <v>183122.84453169638</v>
      </c>
      <c r="J341" s="7">
        <f t="shared" ca="1" si="174"/>
        <v>188616.52986764727</v>
      </c>
      <c r="K341" s="7">
        <f t="shared" ca="1" si="174"/>
        <v>194275.02576367671</v>
      </c>
      <c r="L341" s="7">
        <f t="shared" ca="1" si="174"/>
        <v>200103.27653658701</v>
      </c>
      <c r="M341" s="7">
        <f t="shared" ca="1" si="174"/>
        <v>206106.37483268464</v>
      </c>
      <c r="N341" s="7">
        <f t="shared" ca="1" si="174"/>
        <v>212289.56607766519</v>
      </c>
      <c r="O341" s="7">
        <f t="shared" ca="1" si="174"/>
        <v>0</v>
      </c>
      <c r="P341" s="7">
        <f t="shared" ca="1" si="174"/>
        <v>0</v>
      </c>
      <c r="Q341" s="7">
        <f t="shared" ca="1" si="174"/>
        <v>0</v>
      </c>
      <c r="R341" s="7">
        <f t="shared" ca="1" si="174"/>
        <v>0</v>
      </c>
      <c r="S341" s="7">
        <f t="shared" ca="1" si="174"/>
        <v>0</v>
      </c>
      <c r="T341" s="7">
        <f t="shared" ca="1" si="174"/>
        <v>0</v>
      </c>
      <c r="U341" s="7">
        <f t="shared" ca="1" si="174"/>
        <v>0</v>
      </c>
      <c r="V341" s="7">
        <f t="shared" ca="1" si="174"/>
        <v>0</v>
      </c>
      <c r="W341" s="7">
        <f t="shared" ca="1" si="174"/>
        <v>0</v>
      </c>
      <c r="X341" s="7">
        <f t="shared" ca="1" si="174"/>
        <v>0</v>
      </c>
      <c r="Y341" s="7">
        <f t="shared" ca="1" si="174"/>
        <v>0</v>
      </c>
      <c r="Z341" s="7">
        <f t="shared" ca="1" si="174"/>
        <v>0</v>
      </c>
      <c r="AA341" s="7">
        <f t="shared" ca="1" si="174"/>
        <v>0</v>
      </c>
      <c r="AB341" s="7">
        <f t="shared" ca="1" si="174"/>
        <v>0</v>
      </c>
      <c r="AC341" s="7">
        <f t="shared" ca="1" si="174"/>
        <v>0</v>
      </c>
      <c r="AD341" s="7">
        <f t="shared" ca="1" si="174"/>
        <v>0</v>
      </c>
      <c r="AE341" s="7">
        <f t="shared" ca="1" si="174"/>
        <v>0</v>
      </c>
      <c r="AF341" s="7">
        <f t="shared" ca="1" si="174"/>
        <v>0</v>
      </c>
      <c r="AG341" s="7">
        <f t="shared" ca="1" si="174"/>
        <v>0</v>
      </c>
      <c r="AH341" s="7">
        <f t="shared" ca="1" si="174"/>
        <v>0</v>
      </c>
      <c r="AI341" s="7">
        <f t="shared" ca="1" si="174"/>
        <v>0</v>
      </c>
      <c r="AJ341" s="7">
        <f t="shared" ca="1" si="174"/>
        <v>0</v>
      </c>
      <c r="AK341" s="7">
        <f t="shared" ca="1" si="174"/>
        <v>0</v>
      </c>
      <c r="AL341" s="7">
        <f t="shared" ca="1" si="174"/>
        <v>0</v>
      </c>
      <c r="AM341" s="7">
        <f t="shared" ca="1" si="174"/>
        <v>0</v>
      </c>
    </row>
    <row r="342" spans="1:39" x14ac:dyDescent="0.2">
      <c r="A342" s="17" t="str">
        <f t="shared" si="171"/>
        <v>Qormi</v>
      </c>
      <c r="C342" s="7">
        <f t="shared" ca="1" si="174"/>
        <v>224931.66569048862</v>
      </c>
      <c r="D342" s="101">
        <f t="shared" ca="1" si="174"/>
        <v>231679.61566120328</v>
      </c>
      <c r="E342" s="110">
        <f t="shared" ca="1" si="174"/>
        <v>238630.00413103937</v>
      </c>
      <c r="F342" s="7">
        <f t="shared" ca="1" si="174"/>
        <v>245788.90425497055</v>
      </c>
      <c r="G342" s="7">
        <f t="shared" ca="1" si="174"/>
        <v>253162.57138261967</v>
      </c>
      <c r="H342" s="7">
        <f t="shared" ca="1" si="174"/>
        <v>260757.44852409826</v>
      </c>
      <c r="I342" s="7">
        <f t="shared" ca="1" si="174"/>
        <v>268580.17197982123</v>
      </c>
      <c r="J342" s="7">
        <f t="shared" ca="1" si="174"/>
        <v>276637.57713921589</v>
      </c>
      <c r="K342" s="7">
        <f t="shared" ca="1" si="174"/>
        <v>284936.70445339236</v>
      </c>
      <c r="L342" s="7">
        <f t="shared" ca="1" si="174"/>
        <v>293484.80558699416</v>
      </c>
      <c r="M342" s="7">
        <f t="shared" ca="1" si="174"/>
        <v>302289.34975460399</v>
      </c>
      <c r="N342" s="7">
        <f t="shared" ca="1" si="174"/>
        <v>311358.03024724213</v>
      </c>
      <c r="O342" s="7">
        <f t="shared" ca="1" si="174"/>
        <v>320698.77115465939</v>
      </c>
      <c r="P342" s="7">
        <f t="shared" ca="1" si="174"/>
        <v>330319.73428929917</v>
      </c>
      <c r="Q342" s="7">
        <f t="shared" ca="1" si="174"/>
        <v>340229.32631797815</v>
      </c>
      <c r="R342" s="7">
        <f t="shared" ca="1" si="174"/>
        <v>350436.20610751753</v>
      </c>
      <c r="S342" s="7">
        <f t="shared" ca="1" si="174"/>
        <v>360949.29229074309</v>
      </c>
      <c r="T342" s="7">
        <f t="shared" ca="1" si="174"/>
        <v>371777.77105946542</v>
      </c>
      <c r="U342" s="7">
        <f t="shared" ca="1" si="174"/>
        <v>382931.10419124941</v>
      </c>
      <c r="V342" s="7">
        <f t="shared" ca="1" si="174"/>
        <v>394419.03731698688</v>
      </c>
      <c r="W342" s="7">
        <f t="shared" ca="1" si="174"/>
        <v>406251.60843649652</v>
      </c>
      <c r="X342" s="7">
        <f t="shared" ca="1" si="174"/>
        <v>0</v>
      </c>
      <c r="Y342" s="7">
        <f t="shared" ca="1" si="174"/>
        <v>0</v>
      </c>
      <c r="Z342" s="7">
        <f t="shared" ca="1" si="174"/>
        <v>0</v>
      </c>
      <c r="AA342" s="7">
        <f t="shared" ca="1" si="174"/>
        <v>0</v>
      </c>
      <c r="AB342" s="7">
        <f t="shared" ca="1" si="174"/>
        <v>0</v>
      </c>
      <c r="AC342" s="7">
        <f t="shared" ca="1" si="174"/>
        <v>0</v>
      </c>
      <c r="AD342" s="7">
        <f t="shared" ca="1" si="174"/>
        <v>0</v>
      </c>
      <c r="AE342" s="7">
        <f t="shared" ca="1" si="174"/>
        <v>0</v>
      </c>
      <c r="AF342" s="7">
        <f t="shared" ca="1" si="174"/>
        <v>0</v>
      </c>
      <c r="AG342" s="7">
        <f t="shared" ca="1" si="174"/>
        <v>0</v>
      </c>
      <c r="AH342" s="7">
        <f t="shared" ca="1" si="174"/>
        <v>0</v>
      </c>
      <c r="AI342" s="7">
        <f t="shared" ca="1" si="174"/>
        <v>0</v>
      </c>
      <c r="AJ342" s="7">
        <f t="shared" ca="1" si="174"/>
        <v>0</v>
      </c>
      <c r="AK342" s="7">
        <f t="shared" ca="1" si="174"/>
        <v>0</v>
      </c>
      <c r="AL342" s="7">
        <f t="shared" ca="1" si="174"/>
        <v>0</v>
      </c>
      <c r="AM342" s="7">
        <f t="shared" ca="1" si="174"/>
        <v>0</v>
      </c>
    </row>
    <row r="343" spans="1:39" x14ac:dyDescent="0.2">
      <c r="A343" s="17" t="str">
        <f t="shared" si="171"/>
        <v>Gudja</v>
      </c>
      <c r="C343" s="7">
        <f t="shared" ca="1" si="174"/>
        <v>81793.332978359496</v>
      </c>
      <c r="D343" s="101">
        <f t="shared" ca="1" si="174"/>
        <v>84247.132967710277</v>
      </c>
      <c r="E343" s="110">
        <f t="shared" ca="1" si="174"/>
        <v>0</v>
      </c>
      <c r="F343" s="7">
        <f t="shared" ca="1" si="174"/>
        <v>0</v>
      </c>
      <c r="G343" s="7">
        <f t="shared" ca="1" si="174"/>
        <v>0</v>
      </c>
      <c r="H343" s="7">
        <f t="shared" ca="1" si="174"/>
        <v>0</v>
      </c>
      <c r="I343" s="7">
        <f t="shared" ca="1" si="174"/>
        <v>0</v>
      </c>
      <c r="J343" s="7">
        <f t="shared" ca="1" si="174"/>
        <v>0</v>
      </c>
      <c r="K343" s="7">
        <f t="shared" ca="1" si="174"/>
        <v>0</v>
      </c>
      <c r="L343" s="7">
        <f t="shared" ca="1" si="174"/>
        <v>0</v>
      </c>
      <c r="M343" s="7">
        <f t="shared" ca="1" si="174"/>
        <v>0</v>
      </c>
      <c r="N343" s="7">
        <f t="shared" ca="1" si="174"/>
        <v>0</v>
      </c>
      <c r="O343" s="7">
        <f t="shared" ca="1" si="174"/>
        <v>0</v>
      </c>
      <c r="P343" s="7">
        <f t="shared" ca="1" si="174"/>
        <v>0</v>
      </c>
      <c r="Q343" s="7">
        <f t="shared" ca="1" si="174"/>
        <v>0</v>
      </c>
      <c r="R343" s="7">
        <f t="shared" ca="1" si="174"/>
        <v>0</v>
      </c>
      <c r="S343" s="7">
        <f t="shared" ca="1" si="174"/>
        <v>0</v>
      </c>
      <c r="T343" s="7">
        <f t="shared" ca="1" si="174"/>
        <v>0</v>
      </c>
      <c r="U343" s="7">
        <f t="shared" ca="1" si="174"/>
        <v>0</v>
      </c>
      <c r="V343" s="7">
        <f t="shared" ca="1" si="174"/>
        <v>0</v>
      </c>
      <c r="W343" s="7">
        <f t="shared" ca="1" si="174"/>
        <v>0</v>
      </c>
      <c r="X343" s="7">
        <f t="shared" ca="1" si="174"/>
        <v>0</v>
      </c>
      <c r="Y343" s="7">
        <f t="shared" ca="1" si="174"/>
        <v>0</v>
      </c>
      <c r="Z343" s="7">
        <f t="shared" ca="1" si="174"/>
        <v>0</v>
      </c>
      <c r="AA343" s="7">
        <f t="shared" ca="1" si="174"/>
        <v>0</v>
      </c>
      <c r="AB343" s="7">
        <f t="shared" ca="1" si="174"/>
        <v>0</v>
      </c>
      <c r="AC343" s="7">
        <f t="shared" ca="1" si="174"/>
        <v>0</v>
      </c>
      <c r="AD343" s="7">
        <f t="shared" ca="1" si="174"/>
        <v>0</v>
      </c>
      <c r="AE343" s="7">
        <f t="shared" ca="1" si="174"/>
        <v>0</v>
      </c>
      <c r="AF343" s="7">
        <f t="shared" ca="1" si="174"/>
        <v>0</v>
      </c>
      <c r="AG343" s="7">
        <f t="shared" ca="1" si="174"/>
        <v>0</v>
      </c>
      <c r="AH343" s="7">
        <f t="shared" ca="1" si="174"/>
        <v>0</v>
      </c>
      <c r="AI343" s="7">
        <f t="shared" ca="1" si="174"/>
        <v>0</v>
      </c>
      <c r="AJ343" s="7">
        <f t="shared" ca="1" si="174"/>
        <v>0</v>
      </c>
      <c r="AK343" s="7">
        <f t="shared" ca="1" si="174"/>
        <v>0</v>
      </c>
      <c r="AL343" s="7">
        <f t="shared" ca="1" si="174"/>
        <v>0</v>
      </c>
      <c r="AM343" s="7">
        <f t="shared" ca="1" si="174"/>
        <v>0</v>
      </c>
    </row>
    <row r="344" spans="1:39" x14ac:dyDescent="0.2">
      <c r="A344" s="17" t="str">
        <f t="shared" si="171"/>
        <v>Marsa</v>
      </c>
      <c r="C344" s="7">
        <f t="shared" ca="1" si="174"/>
        <v>122689.99946753924</v>
      </c>
      <c r="D344" s="101">
        <f t="shared" ca="1" si="174"/>
        <v>126370.69945156542</v>
      </c>
      <c r="E344" s="110">
        <f t="shared" ca="1" si="174"/>
        <v>130161.82043511239</v>
      </c>
      <c r="F344" s="7">
        <f t="shared" ca="1" si="174"/>
        <v>134066.67504816575</v>
      </c>
      <c r="G344" s="7">
        <f t="shared" ca="1" si="174"/>
        <v>138088.67529961074</v>
      </c>
      <c r="H344" s="7">
        <f t="shared" ca="1" si="174"/>
        <v>142231.33555859906</v>
      </c>
      <c r="I344" s="7">
        <f t="shared" ca="1" si="174"/>
        <v>146498.27562535706</v>
      </c>
      <c r="J344" s="7">
        <f t="shared" ca="1" si="174"/>
        <v>0</v>
      </c>
      <c r="K344" s="7">
        <f t="shared" ca="1" si="174"/>
        <v>0</v>
      </c>
      <c r="L344" s="7">
        <f t="shared" ca="1" si="174"/>
        <v>0</v>
      </c>
      <c r="M344" s="7">
        <f t="shared" ca="1" si="174"/>
        <v>0</v>
      </c>
      <c r="N344" s="7">
        <f t="shared" ca="1" si="174"/>
        <v>0</v>
      </c>
      <c r="O344" s="7">
        <f t="shared" ca="1" si="174"/>
        <v>0</v>
      </c>
      <c r="P344" s="7">
        <f t="shared" ca="1" si="174"/>
        <v>0</v>
      </c>
      <c r="Q344" s="7">
        <f t="shared" ca="1" si="174"/>
        <v>0</v>
      </c>
      <c r="R344" s="7">
        <f t="shared" ca="1" si="174"/>
        <v>0</v>
      </c>
      <c r="S344" s="7">
        <f t="shared" ca="1" si="174"/>
        <v>0</v>
      </c>
      <c r="T344" s="7">
        <f t="shared" ca="1" si="174"/>
        <v>0</v>
      </c>
      <c r="U344" s="7">
        <f t="shared" ca="1" si="174"/>
        <v>0</v>
      </c>
      <c r="V344" s="7">
        <f t="shared" ca="1" si="174"/>
        <v>0</v>
      </c>
      <c r="W344" s="7">
        <f t="shared" ca="1" si="174"/>
        <v>0</v>
      </c>
      <c r="X344" s="7">
        <f t="shared" ca="1" si="174"/>
        <v>0</v>
      </c>
      <c r="Y344" s="7">
        <f t="shared" ca="1" si="174"/>
        <v>0</v>
      </c>
      <c r="Z344" s="7">
        <f t="shared" ca="1" si="174"/>
        <v>0</v>
      </c>
      <c r="AA344" s="7">
        <f t="shared" ca="1" si="174"/>
        <v>0</v>
      </c>
      <c r="AB344" s="7">
        <f t="shared" ca="1" si="174"/>
        <v>0</v>
      </c>
      <c r="AC344" s="7">
        <f t="shared" ca="1" si="174"/>
        <v>0</v>
      </c>
      <c r="AD344" s="7">
        <f t="shared" ca="1" si="174"/>
        <v>0</v>
      </c>
      <c r="AE344" s="7">
        <f t="shared" ca="1" si="174"/>
        <v>0</v>
      </c>
      <c r="AF344" s="7">
        <f t="shared" ca="1" si="174"/>
        <v>0</v>
      </c>
      <c r="AG344" s="7">
        <f t="shared" ca="1" si="174"/>
        <v>0</v>
      </c>
      <c r="AH344" s="7">
        <f t="shared" ca="1" si="174"/>
        <v>0</v>
      </c>
      <c r="AI344" s="7">
        <f t="shared" ca="1" si="174"/>
        <v>0</v>
      </c>
      <c r="AJ344" s="7">
        <f t="shared" ca="1" si="174"/>
        <v>0</v>
      </c>
      <c r="AK344" s="7">
        <f t="shared" ca="1" si="174"/>
        <v>0</v>
      </c>
      <c r="AL344" s="7">
        <f t="shared" ca="1" si="174"/>
        <v>0</v>
      </c>
      <c r="AM344" s="7">
        <f t="shared" ca="1" si="174"/>
        <v>0</v>
      </c>
    </row>
    <row r="345" spans="1:39" x14ac:dyDescent="0.2">
      <c r="A345" s="16" t="s">
        <v>193</v>
      </c>
      <c r="C345" s="7"/>
      <c r="D345" s="101"/>
      <c r="E345" s="110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  <c r="AE345" s="7"/>
      <c r="AF345" s="7"/>
      <c r="AG345" s="7"/>
      <c r="AH345" s="7"/>
      <c r="AI345" s="7"/>
      <c r="AJ345" s="7"/>
      <c r="AK345" s="7"/>
      <c r="AL345" s="7"/>
      <c r="AM345" s="7"/>
    </row>
    <row r="346" spans="1:39" x14ac:dyDescent="0.2">
      <c r="A346" s="17" t="str">
        <f>TEXT(Inputs!$B$88,"")</f>
        <v>Jewelry</v>
      </c>
      <c r="C346" s="7">
        <f ca="1">C306</f>
        <v>50748.140451472013</v>
      </c>
      <c r="D346" s="101">
        <f t="shared" ref="D346:AM350" ca="1" si="175">D306</f>
        <v>0</v>
      </c>
      <c r="E346" s="110">
        <f t="shared" ca="1" si="175"/>
        <v>0</v>
      </c>
      <c r="F346" s="7">
        <f t="shared" ca="1" si="175"/>
        <v>0</v>
      </c>
      <c r="G346" s="7">
        <f t="shared" ca="1" si="175"/>
        <v>0</v>
      </c>
      <c r="H346" s="7">
        <f t="shared" ca="1" si="175"/>
        <v>0</v>
      </c>
      <c r="I346" s="7">
        <f t="shared" ca="1" si="175"/>
        <v>0</v>
      </c>
      <c r="J346" s="7">
        <f t="shared" ca="1" si="175"/>
        <v>0</v>
      </c>
      <c r="K346" s="7">
        <f t="shared" ca="1" si="175"/>
        <v>0</v>
      </c>
      <c r="L346" s="7">
        <f t="shared" ca="1" si="175"/>
        <v>0</v>
      </c>
      <c r="M346" s="7">
        <f t="shared" ca="1" si="175"/>
        <v>0</v>
      </c>
      <c r="N346" s="7">
        <f t="shared" ca="1" si="175"/>
        <v>0</v>
      </c>
      <c r="O346" s="7">
        <f t="shared" ca="1" si="175"/>
        <v>0</v>
      </c>
      <c r="P346" s="7">
        <f t="shared" ca="1" si="175"/>
        <v>0</v>
      </c>
      <c r="Q346" s="7">
        <f t="shared" ca="1" si="175"/>
        <v>0</v>
      </c>
      <c r="R346" s="7">
        <f t="shared" ca="1" si="175"/>
        <v>0</v>
      </c>
      <c r="S346" s="7">
        <f t="shared" ca="1" si="175"/>
        <v>0</v>
      </c>
      <c r="T346" s="7">
        <f t="shared" ca="1" si="175"/>
        <v>0</v>
      </c>
      <c r="U346" s="7">
        <f t="shared" ca="1" si="175"/>
        <v>0</v>
      </c>
      <c r="V346" s="7">
        <f t="shared" ca="1" si="175"/>
        <v>0</v>
      </c>
      <c r="W346" s="7">
        <f t="shared" ca="1" si="175"/>
        <v>0</v>
      </c>
      <c r="X346" s="7">
        <f t="shared" ca="1" si="175"/>
        <v>0</v>
      </c>
      <c r="Y346" s="7">
        <f t="shared" ca="1" si="175"/>
        <v>0</v>
      </c>
      <c r="Z346" s="7">
        <f t="shared" ca="1" si="175"/>
        <v>0</v>
      </c>
      <c r="AA346" s="7">
        <f t="shared" ca="1" si="175"/>
        <v>0</v>
      </c>
      <c r="AB346" s="7">
        <f t="shared" ca="1" si="175"/>
        <v>0</v>
      </c>
      <c r="AC346" s="7">
        <f t="shared" ca="1" si="175"/>
        <v>0</v>
      </c>
      <c r="AD346" s="7">
        <f t="shared" ca="1" si="175"/>
        <v>0</v>
      </c>
      <c r="AE346" s="7">
        <f t="shared" ca="1" si="175"/>
        <v>0</v>
      </c>
      <c r="AF346" s="7">
        <f t="shared" ca="1" si="175"/>
        <v>0</v>
      </c>
      <c r="AG346" s="7">
        <f t="shared" ca="1" si="175"/>
        <v>0</v>
      </c>
      <c r="AH346" s="7">
        <f t="shared" ca="1" si="175"/>
        <v>0</v>
      </c>
      <c r="AI346" s="7">
        <f t="shared" ca="1" si="175"/>
        <v>0</v>
      </c>
      <c r="AJ346" s="7">
        <f t="shared" ca="1" si="175"/>
        <v>0</v>
      </c>
      <c r="AK346" s="7">
        <f t="shared" ca="1" si="175"/>
        <v>0</v>
      </c>
      <c r="AL346" s="7">
        <f t="shared" ca="1" si="175"/>
        <v>0</v>
      </c>
      <c r="AM346" s="7">
        <f t="shared" ca="1" si="175"/>
        <v>0</v>
      </c>
    </row>
    <row r="347" spans="1:39" x14ac:dyDescent="0.2">
      <c r="A347" s="17" t="str">
        <f>TEXT(Inputs!$B$93,"")</f>
        <v>Car</v>
      </c>
      <c r="C347" s="7">
        <f t="shared" ref="C347:R350" ca="1" si="176">C307</f>
        <v>0</v>
      </c>
      <c r="D347" s="101">
        <f t="shared" ca="1" si="176"/>
        <v>0</v>
      </c>
      <c r="E347" s="110">
        <f t="shared" ca="1" si="176"/>
        <v>0</v>
      </c>
      <c r="F347" s="7">
        <f t="shared" ca="1" si="176"/>
        <v>0</v>
      </c>
      <c r="G347" s="7">
        <f t="shared" ca="1" si="176"/>
        <v>0</v>
      </c>
      <c r="H347" s="7">
        <f t="shared" ca="1" si="176"/>
        <v>0</v>
      </c>
      <c r="I347" s="7">
        <f t="shared" ca="1" si="176"/>
        <v>0</v>
      </c>
      <c r="J347" s="7">
        <f t="shared" ca="1" si="176"/>
        <v>0</v>
      </c>
      <c r="K347" s="7">
        <f t="shared" ca="1" si="176"/>
        <v>0</v>
      </c>
      <c r="L347" s="7">
        <f t="shared" ca="1" si="176"/>
        <v>0</v>
      </c>
      <c r="M347" s="7">
        <f t="shared" ca="1" si="176"/>
        <v>0</v>
      </c>
      <c r="N347" s="7">
        <f t="shared" ca="1" si="176"/>
        <v>0</v>
      </c>
      <c r="O347" s="7">
        <f t="shared" ca="1" si="176"/>
        <v>0</v>
      </c>
      <c r="P347" s="7">
        <f t="shared" ca="1" si="176"/>
        <v>0</v>
      </c>
      <c r="Q347" s="7">
        <f t="shared" ca="1" si="176"/>
        <v>0</v>
      </c>
      <c r="R347" s="7">
        <f t="shared" ca="1" si="176"/>
        <v>0</v>
      </c>
      <c r="S347" s="7">
        <f t="shared" ca="1" si="175"/>
        <v>0</v>
      </c>
      <c r="T347" s="7">
        <f t="shared" ca="1" si="175"/>
        <v>0</v>
      </c>
      <c r="U347" s="7">
        <f t="shared" ca="1" si="175"/>
        <v>0</v>
      </c>
      <c r="V347" s="7">
        <f t="shared" ca="1" si="175"/>
        <v>0</v>
      </c>
      <c r="W347" s="7">
        <f t="shared" ca="1" si="175"/>
        <v>0</v>
      </c>
      <c r="X347" s="7">
        <f t="shared" ca="1" si="175"/>
        <v>0</v>
      </c>
      <c r="Y347" s="7">
        <f t="shared" ca="1" si="175"/>
        <v>0</v>
      </c>
      <c r="Z347" s="7">
        <f t="shared" ca="1" si="175"/>
        <v>0</v>
      </c>
      <c r="AA347" s="7">
        <f t="shared" ca="1" si="175"/>
        <v>0</v>
      </c>
      <c r="AB347" s="7">
        <f t="shared" ca="1" si="175"/>
        <v>0</v>
      </c>
      <c r="AC347" s="7">
        <f t="shared" ca="1" si="175"/>
        <v>0</v>
      </c>
      <c r="AD347" s="7">
        <f t="shared" ca="1" si="175"/>
        <v>0</v>
      </c>
      <c r="AE347" s="7">
        <f t="shared" ca="1" si="175"/>
        <v>0</v>
      </c>
      <c r="AF347" s="7">
        <f t="shared" ca="1" si="175"/>
        <v>0</v>
      </c>
      <c r="AG347" s="7">
        <f t="shared" ca="1" si="175"/>
        <v>0</v>
      </c>
      <c r="AH347" s="7">
        <f t="shared" ca="1" si="175"/>
        <v>0</v>
      </c>
      <c r="AI347" s="7">
        <f t="shared" ca="1" si="175"/>
        <v>0</v>
      </c>
      <c r="AJ347" s="7">
        <f t="shared" ca="1" si="175"/>
        <v>0</v>
      </c>
      <c r="AK347" s="7">
        <f t="shared" ca="1" si="175"/>
        <v>0</v>
      </c>
      <c r="AL347" s="7">
        <f t="shared" ca="1" si="175"/>
        <v>0</v>
      </c>
      <c r="AM347" s="7">
        <f t="shared" ca="1" si="175"/>
        <v>0</v>
      </c>
    </row>
    <row r="348" spans="1:39" x14ac:dyDescent="0.2">
      <c r="A348" s="17" t="str">
        <f>TEXT(Inputs!$B$98,"")</f>
        <v>Painting</v>
      </c>
      <c r="C348" s="7">
        <f t="shared" ca="1" si="176"/>
        <v>0</v>
      </c>
      <c r="D348" s="101">
        <f t="shared" ca="1" si="175"/>
        <v>0</v>
      </c>
      <c r="E348" s="110">
        <f t="shared" ca="1" si="175"/>
        <v>0</v>
      </c>
      <c r="F348" s="7">
        <f t="shared" ca="1" si="175"/>
        <v>0</v>
      </c>
      <c r="G348" s="7">
        <f t="shared" ca="1" si="175"/>
        <v>0</v>
      </c>
      <c r="H348" s="7">
        <f t="shared" ca="1" si="175"/>
        <v>0</v>
      </c>
      <c r="I348" s="7">
        <f t="shared" ca="1" si="175"/>
        <v>0</v>
      </c>
      <c r="J348" s="7">
        <f t="shared" ca="1" si="175"/>
        <v>0</v>
      </c>
      <c r="K348" s="7">
        <f t="shared" ca="1" si="175"/>
        <v>0</v>
      </c>
      <c r="L348" s="7">
        <f t="shared" ca="1" si="175"/>
        <v>0</v>
      </c>
      <c r="M348" s="7">
        <f t="shared" ca="1" si="175"/>
        <v>0</v>
      </c>
      <c r="N348" s="7">
        <f t="shared" ca="1" si="175"/>
        <v>0</v>
      </c>
      <c r="O348" s="7">
        <f t="shared" ca="1" si="175"/>
        <v>0</v>
      </c>
      <c r="P348" s="7">
        <f t="shared" ca="1" si="175"/>
        <v>0</v>
      </c>
      <c r="Q348" s="7">
        <f t="shared" ca="1" si="175"/>
        <v>0</v>
      </c>
      <c r="R348" s="7">
        <f t="shared" ca="1" si="175"/>
        <v>0</v>
      </c>
      <c r="S348" s="7">
        <f t="shared" ca="1" si="175"/>
        <v>0</v>
      </c>
      <c r="T348" s="7">
        <f t="shared" ca="1" si="175"/>
        <v>0</v>
      </c>
      <c r="U348" s="7">
        <f t="shared" ca="1" si="175"/>
        <v>0</v>
      </c>
      <c r="V348" s="7">
        <f t="shared" ca="1" si="175"/>
        <v>0</v>
      </c>
      <c r="W348" s="7">
        <f t="shared" ca="1" si="175"/>
        <v>0</v>
      </c>
      <c r="X348" s="7">
        <f t="shared" ca="1" si="175"/>
        <v>0</v>
      </c>
      <c r="Y348" s="7">
        <f t="shared" ca="1" si="175"/>
        <v>0</v>
      </c>
      <c r="Z348" s="7">
        <f t="shared" ca="1" si="175"/>
        <v>0</v>
      </c>
      <c r="AA348" s="7">
        <f t="shared" ca="1" si="175"/>
        <v>0</v>
      </c>
      <c r="AB348" s="7">
        <f t="shared" ca="1" si="175"/>
        <v>0</v>
      </c>
      <c r="AC348" s="7">
        <f t="shared" ca="1" si="175"/>
        <v>0</v>
      </c>
      <c r="AD348" s="7">
        <f t="shared" ca="1" si="175"/>
        <v>0</v>
      </c>
      <c r="AE348" s="7">
        <f t="shared" ca="1" si="175"/>
        <v>0</v>
      </c>
      <c r="AF348" s="7">
        <f t="shared" ca="1" si="175"/>
        <v>0</v>
      </c>
      <c r="AG348" s="7">
        <f t="shared" ca="1" si="175"/>
        <v>0</v>
      </c>
      <c r="AH348" s="7">
        <f t="shared" ca="1" si="175"/>
        <v>0</v>
      </c>
      <c r="AI348" s="7">
        <f t="shared" ca="1" si="175"/>
        <v>0</v>
      </c>
      <c r="AJ348" s="7">
        <f t="shared" ca="1" si="175"/>
        <v>0</v>
      </c>
      <c r="AK348" s="7">
        <f t="shared" ca="1" si="175"/>
        <v>0</v>
      </c>
      <c r="AL348" s="7">
        <f t="shared" ca="1" si="175"/>
        <v>0</v>
      </c>
      <c r="AM348" s="7">
        <f t="shared" ca="1" si="175"/>
        <v>0</v>
      </c>
    </row>
    <row r="349" spans="1:39" x14ac:dyDescent="0.2">
      <c r="A349" s="17" t="str">
        <f>TEXT(Inputs!$B$103,"")</f>
        <v>Boat</v>
      </c>
      <c r="C349" s="7">
        <f t="shared" ca="1" si="176"/>
        <v>173206.90804157319</v>
      </c>
      <c r="D349" s="101">
        <f t="shared" ca="1" si="175"/>
        <v>164546.56263949451</v>
      </c>
      <c r="E349" s="110">
        <f t="shared" ca="1" si="175"/>
        <v>156319.23450751978</v>
      </c>
      <c r="F349" s="7">
        <f t="shared" ca="1" si="175"/>
        <v>148503.27278214379</v>
      </c>
      <c r="G349" s="7">
        <f t="shared" ca="1" si="175"/>
        <v>141078.10914303659</v>
      </c>
      <c r="H349" s="7">
        <f t="shared" ca="1" si="175"/>
        <v>134024.20368588474</v>
      </c>
      <c r="I349" s="7">
        <f t="shared" ca="1" si="175"/>
        <v>127322.99350159049</v>
      </c>
      <c r="J349" s="7">
        <f t="shared" ca="1" si="175"/>
        <v>120956.84382651096</v>
      </c>
      <c r="K349" s="7">
        <f t="shared" ca="1" si="175"/>
        <v>114909.0016351854</v>
      </c>
      <c r="L349" s="7">
        <f t="shared" ca="1" si="175"/>
        <v>109163.55155342612</v>
      </c>
      <c r="M349" s="7">
        <f t="shared" ca="1" si="175"/>
        <v>103705.37397575482</v>
      </c>
      <c r="N349" s="7">
        <f t="shared" ca="1" si="175"/>
        <v>98520.105276967079</v>
      </c>
      <c r="O349" s="7">
        <f t="shared" ca="1" si="175"/>
        <v>93594.100013118717</v>
      </c>
      <c r="P349" s="7">
        <f t="shared" ca="1" si="175"/>
        <v>88914.395012462774</v>
      </c>
      <c r="Q349" s="7">
        <f t="shared" ca="1" si="175"/>
        <v>84468.675261839628</v>
      </c>
      <c r="R349" s="7">
        <f t="shared" ca="1" si="175"/>
        <v>80245.241498747637</v>
      </c>
      <c r="S349" s="7">
        <f t="shared" ca="1" si="175"/>
        <v>76232.979423810248</v>
      </c>
      <c r="T349" s="7">
        <f t="shared" ca="1" si="175"/>
        <v>72421.330452619732</v>
      </c>
      <c r="U349" s="7">
        <f t="shared" ca="1" si="175"/>
        <v>0</v>
      </c>
      <c r="V349" s="7">
        <f t="shared" ca="1" si="175"/>
        <v>0</v>
      </c>
      <c r="W349" s="7">
        <f t="shared" ca="1" si="175"/>
        <v>0</v>
      </c>
      <c r="X349" s="7">
        <f t="shared" ca="1" si="175"/>
        <v>0</v>
      </c>
      <c r="Y349" s="7">
        <f t="shared" ca="1" si="175"/>
        <v>0</v>
      </c>
      <c r="Z349" s="7">
        <f t="shared" ca="1" si="175"/>
        <v>0</v>
      </c>
      <c r="AA349" s="7">
        <f t="shared" ca="1" si="175"/>
        <v>0</v>
      </c>
      <c r="AB349" s="7">
        <f t="shared" ca="1" si="175"/>
        <v>0</v>
      </c>
      <c r="AC349" s="7">
        <f t="shared" ca="1" si="175"/>
        <v>0</v>
      </c>
      <c r="AD349" s="7">
        <f t="shared" ca="1" si="175"/>
        <v>0</v>
      </c>
      <c r="AE349" s="7">
        <f t="shared" ca="1" si="175"/>
        <v>0</v>
      </c>
      <c r="AF349" s="7">
        <f t="shared" ca="1" si="175"/>
        <v>0</v>
      </c>
      <c r="AG349" s="7">
        <f t="shared" ca="1" si="175"/>
        <v>0</v>
      </c>
      <c r="AH349" s="7">
        <f t="shared" ca="1" si="175"/>
        <v>0</v>
      </c>
      <c r="AI349" s="7">
        <f t="shared" ca="1" si="175"/>
        <v>0</v>
      </c>
      <c r="AJ349" s="7">
        <f t="shared" ca="1" si="175"/>
        <v>0</v>
      </c>
      <c r="AK349" s="7">
        <f t="shared" ca="1" si="175"/>
        <v>0</v>
      </c>
      <c r="AL349" s="7">
        <f t="shared" ca="1" si="175"/>
        <v>0</v>
      </c>
      <c r="AM349" s="7">
        <f t="shared" ca="1" si="175"/>
        <v>0</v>
      </c>
    </row>
    <row r="350" spans="1:39" x14ac:dyDescent="0.2">
      <c r="A350" s="17" t="str">
        <f>TEXT(Inputs!$B$108,"")</f>
        <v>Antiques</v>
      </c>
      <c r="C350" s="7">
        <f t="shared" ca="1" si="176"/>
        <v>83226.9503404141</v>
      </c>
      <c r="D350" s="101">
        <f t="shared" ca="1" si="175"/>
        <v>84891.489347222378</v>
      </c>
      <c r="E350" s="110">
        <f t="shared" ca="1" si="175"/>
        <v>0</v>
      </c>
      <c r="F350" s="7">
        <f t="shared" ca="1" si="175"/>
        <v>0</v>
      </c>
      <c r="G350" s="7">
        <f t="shared" ca="1" si="175"/>
        <v>0</v>
      </c>
      <c r="H350" s="7">
        <f t="shared" ca="1" si="175"/>
        <v>0</v>
      </c>
      <c r="I350" s="7">
        <f t="shared" ca="1" si="175"/>
        <v>0</v>
      </c>
      <c r="J350" s="7">
        <f t="shared" ca="1" si="175"/>
        <v>0</v>
      </c>
      <c r="K350" s="7">
        <f t="shared" ca="1" si="175"/>
        <v>0</v>
      </c>
      <c r="L350" s="7">
        <f t="shared" ca="1" si="175"/>
        <v>0</v>
      </c>
      <c r="M350" s="7">
        <f t="shared" ca="1" si="175"/>
        <v>0</v>
      </c>
      <c r="N350" s="7">
        <f t="shared" ca="1" si="175"/>
        <v>0</v>
      </c>
      <c r="O350" s="7">
        <f t="shared" ca="1" si="175"/>
        <v>0</v>
      </c>
      <c r="P350" s="7">
        <f t="shared" ca="1" si="175"/>
        <v>0</v>
      </c>
      <c r="Q350" s="7">
        <f t="shared" ca="1" si="175"/>
        <v>0</v>
      </c>
      <c r="R350" s="7">
        <f t="shared" ca="1" si="175"/>
        <v>0</v>
      </c>
      <c r="S350" s="7">
        <f t="shared" ca="1" si="175"/>
        <v>0</v>
      </c>
      <c r="T350" s="7">
        <f t="shared" ca="1" si="175"/>
        <v>0</v>
      </c>
      <c r="U350" s="7">
        <f t="shared" ca="1" si="175"/>
        <v>0</v>
      </c>
      <c r="V350" s="7">
        <f t="shared" ca="1" si="175"/>
        <v>0</v>
      </c>
      <c r="W350" s="7">
        <f t="shared" ca="1" si="175"/>
        <v>0</v>
      </c>
      <c r="X350" s="7">
        <f t="shared" ca="1" si="175"/>
        <v>0</v>
      </c>
      <c r="Y350" s="7">
        <f t="shared" ca="1" si="175"/>
        <v>0</v>
      </c>
      <c r="Z350" s="7">
        <f t="shared" ca="1" si="175"/>
        <v>0</v>
      </c>
      <c r="AA350" s="7">
        <f t="shared" ca="1" si="175"/>
        <v>0</v>
      </c>
      <c r="AB350" s="7">
        <f t="shared" ca="1" si="175"/>
        <v>0</v>
      </c>
      <c r="AC350" s="7">
        <f t="shared" ca="1" si="175"/>
        <v>0</v>
      </c>
      <c r="AD350" s="7">
        <f t="shared" ca="1" si="175"/>
        <v>0</v>
      </c>
      <c r="AE350" s="7">
        <f t="shared" ca="1" si="175"/>
        <v>0</v>
      </c>
      <c r="AF350" s="7">
        <f t="shared" ca="1" si="175"/>
        <v>0</v>
      </c>
      <c r="AG350" s="7">
        <f t="shared" ca="1" si="175"/>
        <v>0</v>
      </c>
      <c r="AH350" s="7">
        <f t="shared" ca="1" si="175"/>
        <v>0</v>
      </c>
      <c r="AI350" s="7">
        <f t="shared" ca="1" si="175"/>
        <v>0</v>
      </c>
      <c r="AJ350" s="7">
        <f t="shared" ca="1" si="175"/>
        <v>0</v>
      </c>
      <c r="AK350" s="7">
        <f t="shared" ca="1" si="175"/>
        <v>0</v>
      </c>
      <c r="AL350" s="7">
        <f t="shared" ca="1" si="175"/>
        <v>0</v>
      </c>
      <c r="AM350" s="7">
        <f t="shared" ca="1" si="175"/>
        <v>0</v>
      </c>
    </row>
    <row r="351" spans="1:39" x14ac:dyDescent="0.2">
      <c r="A351" s="16" t="str">
        <f t="shared" ref="A351:A358" si="177">A83</f>
        <v>Stock market equity investments</v>
      </c>
      <c r="C351" s="7">
        <f t="shared" ref="C351:AM351" ca="1" si="178">C108</f>
        <v>35024.809122913313</v>
      </c>
      <c r="D351" s="101">
        <f t="shared" ca="1" si="178"/>
        <v>0</v>
      </c>
      <c r="E351" s="110">
        <f t="shared" ca="1" si="178"/>
        <v>0</v>
      </c>
      <c r="F351" s="7">
        <f t="shared" ca="1" si="178"/>
        <v>0</v>
      </c>
      <c r="G351" s="7">
        <f t="shared" ca="1" si="178"/>
        <v>0</v>
      </c>
      <c r="H351" s="7">
        <f t="shared" ca="1" si="178"/>
        <v>0</v>
      </c>
      <c r="I351" s="7">
        <f t="shared" ca="1" si="178"/>
        <v>0</v>
      </c>
      <c r="J351" s="7">
        <f t="shared" ca="1" si="178"/>
        <v>0</v>
      </c>
      <c r="K351" s="7">
        <f t="shared" ca="1" si="178"/>
        <v>0</v>
      </c>
      <c r="L351" s="7">
        <f t="shared" ca="1" si="178"/>
        <v>0</v>
      </c>
      <c r="M351" s="7">
        <f t="shared" ca="1" si="178"/>
        <v>0</v>
      </c>
      <c r="N351" s="7">
        <f t="shared" ca="1" si="178"/>
        <v>0</v>
      </c>
      <c r="O351" s="7">
        <f t="shared" ca="1" si="178"/>
        <v>0</v>
      </c>
      <c r="P351" s="7">
        <f t="shared" ca="1" si="178"/>
        <v>0</v>
      </c>
      <c r="Q351" s="7">
        <f t="shared" ca="1" si="178"/>
        <v>0</v>
      </c>
      <c r="R351" s="7">
        <f t="shared" ca="1" si="178"/>
        <v>0</v>
      </c>
      <c r="S351" s="7">
        <f t="shared" ca="1" si="178"/>
        <v>0</v>
      </c>
      <c r="T351" s="7">
        <f t="shared" ca="1" si="178"/>
        <v>0</v>
      </c>
      <c r="U351" s="7">
        <f t="shared" ca="1" si="178"/>
        <v>0</v>
      </c>
      <c r="V351" s="7">
        <f t="shared" ca="1" si="178"/>
        <v>0</v>
      </c>
      <c r="W351" s="7">
        <f t="shared" ca="1" si="178"/>
        <v>0</v>
      </c>
      <c r="X351" s="7">
        <f t="shared" ca="1" si="178"/>
        <v>0</v>
      </c>
      <c r="Y351" s="7">
        <f t="shared" ca="1" si="178"/>
        <v>0</v>
      </c>
      <c r="Z351" s="7">
        <f t="shared" ca="1" si="178"/>
        <v>0</v>
      </c>
      <c r="AA351" s="7">
        <f t="shared" ca="1" si="178"/>
        <v>0</v>
      </c>
      <c r="AB351" s="7">
        <f t="shared" ca="1" si="178"/>
        <v>0</v>
      </c>
      <c r="AC351" s="7">
        <f t="shared" ca="1" si="178"/>
        <v>0</v>
      </c>
      <c r="AD351" s="7">
        <f t="shared" ca="1" si="178"/>
        <v>0</v>
      </c>
      <c r="AE351" s="7">
        <f t="shared" ca="1" si="178"/>
        <v>0</v>
      </c>
      <c r="AF351" s="7">
        <f t="shared" ca="1" si="178"/>
        <v>0</v>
      </c>
      <c r="AG351" s="7">
        <f t="shared" ca="1" si="178"/>
        <v>0</v>
      </c>
      <c r="AH351" s="7">
        <f t="shared" ca="1" si="178"/>
        <v>0</v>
      </c>
      <c r="AI351" s="7">
        <f t="shared" ca="1" si="178"/>
        <v>0</v>
      </c>
      <c r="AJ351" s="7">
        <f t="shared" ca="1" si="178"/>
        <v>0</v>
      </c>
      <c r="AK351" s="7">
        <f t="shared" ca="1" si="178"/>
        <v>0</v>
      </c>
      <c r="AL351" s="7">
        <f t="shared" ca="1" si="178"/>
        <v>0</v>
      </c>
      <c r="AM351" s="7">
        <f t="shared" ca="1" si="178"/>
        <v>0</v>
      </c>
    </row>
    <row r="352" spans="1:39" x14ac:dyDescent="0.2">
      <c r="A352" s="16" t="str">
        <f t="shared" si="177"/>
        <v>Home loan</v>
      </c>
      <c r="C352" s="7">
        <f t="shared" ref="C352:AM352" ca="1" si="179">C84</f>
        <v>-48409.157779606016</v>
      </c>
      <c r="D352" s="101">
        <f t="shared" ca="1" si="179"/>
        <v>-46231.653807228853</v>
      </c>
      <c r="E352" s="110">
        <f t="shared" ca="1" si="179"/>
        <v>-43987.918967848869</v>
      </c>
      <c r="F352" s="7">
        <f t="shared" ca="1" si="179"/>
        <v>-41675.938786268969</v>
      </c>
      <c r="G352" s="7">
        <f t="shared" ca="1" si="179"/>
        <v>0</v>
      </c>
      <c r="H352" s="7">
        <f t="shared" ca="1" si="179"/>
        <v>0</v>
      </c>
      <c r="I352" s="7">
        <f t="shared" ca="1" si="179"/>
        <v>0</v>
      </c>
      <c r="J352" s="7">
        <f t="shared" ca="1" si="179"/>
        <v>0</v>
      </c>
      <c r="K352" s="7">
        <f t="shared" ca="1" si="179"/>
        <v>0</v>
      </c>
      <c r="L352" s="7">
        <f t="shared" ca="1" si="179"/>
        <v>0</v>
      </c>
      <c r="M352" s="7">
        <f t="shared" ca="1" si="179"/>
        <v>0</v>
      </c>
      <c r="N352" s="7">
        <f t="shared" ca="1" si="179"/>
        <v>0</v>
      </c>
      <c r="O352" s="7">
        <f t="shared" ca="1" si="179"/>
        <v>0</v>
      </c>
      <c r="P352" s="7">
        <f t="shared" ca="1" si="179"/>
        <v>0</v>
      </c>
      <c r="Q352" s="7">
        <f t="shared" ca="1" si="179"/>
        <v>0</v>
      </c>
      <c r="R352" s="7">
        <f t="shared" ca="1" si="179"/>
        <v>0</v>
      </c>
      <c r="S352" s="7">
        <f t="shared" ca="1" si="179"/>
        <v>0</v>
      </c>
      <c r="T352" s="7">
        <f t="shared" ca="1" si="179"/>
        <v>0</v>
      </c>
      <c r="U352" s="7">
        <f t="shared" ca="1" si="179"/>
        <v>0</v>
      </c>
      <c r="V352" s="7">
        <f t="shared" ca="1" si="179"/>
        <v>0</v>
      </c>
      <c r="W352" s="7">
        <f t="shared" ca="1" si="179"/>
        <v>0</v>
      </c>
      <c r="X352" s="7">
        <f t="shared" ca="1" si="179"/>
        <v>0</v>
      </c>
      <c r="Y352" s="7">
        <f t="shared" ca="1" si="179"/>
        <v>0</v>
      </c>
      <c r="Z352" s="7">
        <f t="shared" ca="1" si="179"/>
        <v>0</v>
      </c>
      <c r="AA352" s="7">
        <f t="shared" ca="1" si="179"/>
        <v>0</v>
      </c>
      <c r="AB352" s="7">
        <f t="shared" ca="1" si="179"/>
        <v>0</v>
      </c>
      <c r="AC352" s="7">
        <f t="shared" ca="1" si="179"/>
        <v>0</v>
      </c>
      <c r="AD352" s="7">
        <f t="shared" ca="1" si="179"/>
        <v>0</v>
      </c>
      <c r="AE352" s="7">
        <f t="shared" ca="1" si="179"/>
        <v>0</v>
      </c>
      <c r="AF352" s="7">
        <f t="shared" ca="1" si="179"/>
        <v>0</v>
      </c>
      <c r="AG352" s="7">
        <f t="shared" ca="1" si="179"/>
        <v>0</v>
      </c>
      <c r="AH352" s="7">
        <f t="shared" ca="1" si="179"/>
        <v>0</v>
      </c>
      <c r="AI352" s="7">
        <f t="shared" ca="1" si="179"/>
        <v>0</v>
      </c>
      <c r="AJ352" s="7">
        <f t="shared" ca="1" si="179"/>
        <v>0</v>
      </c>
      <c r="AK352" s="7">
        <f t="shared" ca="1" si="179"/>
        <v>0</v>
      </c>
      <c r="AL352" s="7">
        <f t="shared" ca="1" si="179"/>
        <v>0</v>
      </c>
      <c r="AM352" s="7">
        <f t="shared" ca="1" si="179"/>
        <v>0</v>
      </c>
    </row>
    <row r="353" spans="1:39" x14ac:dyDescent="0.2">
      <c r="A353" s="16" t="str">
        <f t="shared" si="177"/>
        <v>Other asset loans</v>
      </c>
      <c r="C353" s="7"/>
      <c r="D353" s="101"/>
      <c r="E353" s="110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  <c r="AE353" s="7"/>
      <c r="AF353" s="7"/>
      <c r="AG353" s="7"/>
      <c r="AH353" s="7"/>
      <c r="AI353" s="7"/>
      <c r="AJ353" s="7"/>
      <c r="AK353" s="7"/>
      <c r="AL353" s="7"/>
      <c r="AM353" s="7"/>
    </row>
    <row r="354" spans="1:39" x14ac:dyDescent="0.2">
      <c r="A354" s="17" t="str">
        <f t="shared" si="177"/>
        <v>Sliema</v>
      </c>
      <c r="C354" s="7">
        <f t="shared" ref="C354:AM360" ca="1" si="180">C325</f>
        <v>-46591.052384870025</v>
      </c>
      <c r="D354" s="101">
        <f t="shared" ca="1" si="180"/>
        <v>-41924.97244406183</v>
      </c>
      <c r="E354" s="110">
        <f t="shared" ca="1" si="180"/>
        <v>-37116.969216818994</v>
      </c>
      <c r="F354" s="7">
        <f t="shared" ca="1" si="180"/>
        <v>-32162.725970576364</v>
      </c>
      <c r="G354" s="7">
        <f t="shared" ca="1" si="180"/>
        <v>-27057.79467521701</v>
      </c>
      <c r="H354" s="7">
        <f t="shared" ca="1" si="180"/>
        <v>-21797.592009531552</v>
      </c>
      <c r="I354" s="7">
        <f t="shared" ca="1" si="180"/>
        <v>-16377.395246210348</v>
      </c>
      <c r="J354" s="7">
        <f t="shared" ca="1" si="180"/>
        <v>-10792.33801167312</v>
      </c>
      <c r="K354" s="7">
        <f t="shared" ca="1" si="180"/>
        <v>-5037.4059169308748</v>
      </c>
      <c r="L354" s="7">
        <f t="shared" ca="1" si="180"/>
        <v>0</v>
      </c>
      <c r="M354" s="7">
        <f t="shared" ca="1" si="180"/>
        <v>0</v>
      </c>
      <c r="N354" s="7">
        <f t="shared" ca="1" si="180"/>
        <v>0</v>
      </c>
      <c r="O354" s="7">
        <f t="shared" ca="1" si="180"/>
        <v>0</v>
      </c>
      <c r="P354" s="7">
        <f t="shared" ca="1" si="180"/>
        <v>0</v>
      </c>
      <c r="Q354" s="7">
        <f t="shared" ca="1" si="180"/>
        <v>0</v>
      </c>
      <c r="R354" s="7">
        <f t="shared" ca="1" si="180"/>
        <v>0</v>
      </c>
      <c r="S354" s="7">
        <f t="shared" ca="1" si="180"/>
        <v>0</v>
      </c>
      <c r="T354" s="7">
        <f t="shared" ca="1" si="180"/>
        <v>0</v>
      </c>
      <c r="U354" s="7">
        <f t="shared" ca="1" si="180"/>
        <v>0</v>
      </c>
      <c r="V354" s="7">
        <f t="shared" ca="1" si="180"/>
        <v>0</v>
      </c>
      <c r="W354" s="7">
        <f t="shared" ca="1" si="180"/>
        <v>0</v>
      </c>
      <c r="X354" s="7">
        <f t="shared" ca="1" si="180"/>
        <v>0</v>
      </c>
      <c r="Y354" s="7">
        <f t="shared" ca="1" si="180"/>
        <v>0</v>
      </c>
      <c r="Z354" s="7">
        <f t="shared" ca="1" si="180"/>
        <v>0</v>
      </c>
      <c r="AA354" s="7">
        <f t="shared" ca="1" si="180"/>
        <v>0</v>
      </c>
      <c r="AB354" s="7">
        <f t="shared" ca="1" si="180"/>
        <v>0</v>
      </c>
      <c r="AC354" s="7">
        <f t="shared" ca="1" si="180"/>
        <v>0</v>
      </c>
      <c r="AD354" s="7">
        <f t="shared" ca="1" si="180"/>
        <v>0</v>
      </c>
      <c r="AE354" s="7">
        <f t="shared" ca="1" si="180"/>
        <v>0</v>
      </c>
      <c r="AF354" s="7">
        <f t="shared" ca="1" si="180"/>
        <v>0</v>
      </c>
      <c r="AG354" s="7">
        <f t="shared" ca="1" si="180"/>
        <v>0</v>
      </c>
      <c r="AH354" s="7">
        <f t="shared" ca="1" si="180"/>
        <v>0</v>
      </c>
      <c r="AI354" s="7">
        <f t="shared" ca="1" si="180"/>
        <v>0</v>
      </c>
      <c r="AJ354" s="7">
        <f t="shared" ca="1" si="180"/>
        <v>0</v>
      </c>
      <c r="AK354" s="7">
        <f t="shared" ca="1" si="180"/>
        <v>0</v>
      </c>
      <c r="AL354" s="7">
        <f t="shared" ca="1" si="180"/>
        <v>0</v>
      </c>
      <c r="AM354" s="7">
        <f t="shared" ca="1" si="180"/>
        <v>0</v>
      </c>
    </row>
    <row r="355" spans="1:39" x14ac:dyDescent="0.2">
      <c r="A355" s="17" t="str">
        <f t="shared" si="177"/>
        <v>Gzira</v>
      </c>
      <c r="C355" s="7">
        <f t="shared" ca="1" si="180"/>
        <v>-6816.3065303051853</v>
      </c>
      <c r="D355" s="101">
        <f t="shared" ca="1" si="180"/>
        <v>-4531.7666039667383</v>
      </c>
      <c r="E355" s="110">
        <f t="shared" ca="1" si="180"/>
        <v>-2201.1147111864902</v>
      </c>
      <c r="F355" s="7">
        <f t="shared" ca="1" si="180"/>
        <v>0</v>
      </c>
      <c r="G355" s="7">
        <f t="shared" ca="1" si="180"/>
        <v>0</v>
      </c>
      <c r="H355" s="7">
        <f t="shared" ca="1" si="180"/>
        <v>0</v>
      </c>
      <c r="I355" s="7">
        <f t="shared" ca="1" si="180"/>
        <v>0</v>
      </c>
      <c r="J355" s="7">
        <f t="shared" ca="1" si="180"/>
        <v>0</v>
      </c>
      <c r="K355" s="7">
        <f t="shared" ca="1" si="180"/>
        <v>0</v>
      </c>
      <c r="L355" s="7">
        <f t="shared" ca="1" si="180"/>
        <v>0</v>
      </c>
      <c r="M355" s="7">
        <f t="shared" ca="1" si="180"/>
        <v>0</v>
      </c>
      <c r="N355" s="7">
        <f t="shared" ca="1" si="180"/>
        <v>0</v>
      </c>
      <c r="O355" s="7">
        <f t="shared" ca="1" si="180"/>
        <v>0</v>
      </c>
      <c r="P355" s="7">
        <f t="shared" ca="1" si="180"/>
        <v>0</v>
      </c>
      <c r="Q355" s="7">
        <f t="shared" ca="1" si="180"/>
        <v>0</v>
      </c>
      <c r="R355" s="7">
        <f t="shared" ca="1" si="180"/>
        <v>0</v>
      </c>
      <c r="S355" s="7">
        <f t="shared" ca="1" si="180"/>
        <v>0</v>
      </c>
      <c r="T355" s="7">
        <f t="shared" ca="1" si="180"/>
        <v>0</v>
      </c>
      <c r="U355" s="7">
        <f t="shared" ca="1" si="180"/>
        <v>0</v>
      </c>
      <c r="V355" s="7">
        <f t="shared" ca="1" si="180"/>
        <v>0</v>
      </c>
      <c r="W355" s="7">
        <f t="shared" ca="1" si="180"/>
        <v>0</v>
      </c>
      <c r="X355" s="7">
        <f t="shared" ca="1" si="180"/>
        <v>0</v>
      </c>
      <c r="Y355" s="7">
        <f t="shared" ca="1" si="180"/>
        <v>0</v>
      </c>
      <c r="Z355" s="7">
        <f t="shared" ca="1" si="180"/>
        <v>0</v>
      </c>
      <c r="AA355" s="7">
        <f t="shared" ca="1" si="180"/>
        <v>0</v>
      </c>
      <c r="AB355" s="7">
        <f t="shared" ca="1" si="180"/>
        <v>0</v>
      </c>
      <c r="AC355" s="7">
        <f t="shared" ca="1" si="180"/>
        <v>0</v>
      </c>
      <c r="AD355" s="7">
        <f t="shared" ca="1" si="180"/>
        <v>0</v>
      </c>
      <c r="AE355" s="7">
        <f t="shared" ca="1" si="180"/>
        <v>0</v>
      </c>
      <c r="AF355" s="7">
        <f t="shared" ca="1" si="180"/>
        <v>0</v>
      </c>
      <c r="AG355" s="7">
        <f t="shared" ca="1" si="180"/>
        <v>0</v>
      </c>
      <c r="AH355" s="7">
        <f t="shared" ca="1" si="180"/>
        <v>0</v>
      </c>
      <c r="AI355" s="7">
        <f t="shared" ca="1" si="180"/>
        <v>0</v>
      </c>
      <c r="AJ355" s="7">
        <f t="shared" ca="1" si="180"/>
        <v>0</v>
      </c>
      <c r="AK355" s="7">
        <f t="shared" ca="1" si="180"/>
        <v>0</v>
      </c>
      <c r="AL355" s="7">
        <f t="shared" ca="1" si="180"/>
        <v>0</v>
      </c>
      <c r="AM355" s="7">
        <f t="shared" ca="1" si="180"/>
        <v>0</v>
      </c>
    </row>
    <row r="356" spans="1:39" x14ac:dyDescent="0.2">
      <c r="A356" s="17" t="str">
        <f t="shared" si="177"/>
        <v>Qormi</v>
      </c>
      <c r="C356" s="7">
        <f t="shared" ca="1" si="180"/>
        <v>-13284.099846375037</v>
      </c>
      <c r="D356" s="101">
        <f t="shared" ca="1" si="180"/>
        <v>-10894.02573326202</v>
      </c>
      <c r="E356" s="110">
        <f t="shared" ca="1" si="180"/>
        <v>-8381.6708924441427</v>
      </c>
      <c r="F356" s="7">
        <f t="shared" ca="1" si="180"/>
        <v>-5740.779209817676</v>
      </c>
      <c r="G356" s="7">
        <f t="shared" ca="1" si="180"/>
        <v>-2964.7744966079426</v>
      </c>
      <c r="H356" s="7">
        <f t="shared" ca="1" si="180"/>
        <v>-46.744113741759065</v>
      </c>
      <c r="I356" s="7">
        <f t="shared" ca="1" si="180"/>
        <v>0</v>
      </c>
      <c r="J356" s="7">
        <f t="shared" ca="1" si="180"/>
        <v>0</v>
      </c>
      <c r="K356" s="7">
        <f t="shared" ca="1" si="180"/>
        <v>0</v>
      </c>
      <c r="L356" s="7">
        <f t="shared" ca="1" si="180"/>
        <v>0</v>
      </c>
      <c r="M356" s="7">
        <f t="shared" ca="1" si="180"/>
        <v>0</v>
      </c>
      <c r="N356" s="7">
        <f t="shared" ca="1" si="180"/>
        <v>0</v>
      </c>
      <c r="O356" s="7">
        <f t="shared" ca="1" si="180"/>
        <v>0</v>
      </c>
      <c r="P356" s="7">
        <f t="shared" ca="1" si="180"/>
        <v>0</v>
      </c>
      <c r="Q356" s="7">
        <f t="shared" ca="1" si="180"/>
        <v>0</v>
      </c>
      <c r="R356" s="7">
        <f t="shared" ca="1" si="180"/>
        <v>0</v>
      </c>
      <c r="S356" s="7">
        <f t="shared" ca="1" si="180"/>
        <v>0</v>
      </c>
      <c r="T356" s="7">
        <f t="shared" ca="1" si="180"/>
        <v>0</v>
      </c>
      <c r="U356" s="7">
        <f t="shared" ca="1" si="180"/>
        <v>0</v>
      </c>
      <c r="V356" s="7">
        <f t="shared" ca="1" si="180"/>
        <v>0</v>
      </c>
      <c r="W356" s="7">
        <f t="shared" ca="1" si="180"/>
        <v>0</v>
      </c>
      <c r="X356" s="7">
        <f t="shared" ca="1" si="180"/>
        <v>0</v>
      </c>
      <c r="Y356" s="7">
        <f t="shared" ca="1" si="180"/>
        <v>0</v>
      </c>
      <c r="Z356" s="7">
        <f t="shared" ca="1" si="180"/>
        <v>0</v>
      </c>
      <c r="AA356" s="7">
        <f t="shared" ca="1" si="180"/>
        <v>0</v>
      </c>
      <c r="AB356" s="7">
        <f t="shared" ca="1" si="180"/>
        <v>0</v>
      </c>
      <c r="AC356" s="7">
        <f t="shared" ca="1" si="180"/>
        <v>0</v>
      </c>
      <c r="AD356" s="7">
        <f t="shared" ca="1" si="180"/>
        <v>0</v>
      </c>
      <c r="AE356" s="7">
        <f t="shared" ca="1" si="180"/>
        <v>0</v>
      </c>
      <c r="AF356" s="7">
        <f t="shared" ca="1" si="180"/>
        <v>0</v>
      </c>
      <c r="AG356" s="7">
        <f t="shared" ca="1" si="180"/>
        <v>0</v>
      </c>
      <c r="AH356" s="7">
        <f t="shared" ca="1" si="180"/>
        <v>0</v>
      </c>
      <c r="AI356" s="7">
        <f t="shared" ca="1" si="180"/>
        <v>0</v>
      </c>
      <c r="AJ356" s="7">
        <f t="shared" ca="1" si="180"/>
        <v>0</v>
      </c>
      <c r="AK356" s="7">
        <f t="shared" ca="1" si="180"/>
        <v>0</v>
      </c>
      <c r="AL356" s="7">
        <f t="shared" ca="1" si="180"/>
        <v>0</v>
      </c>
      <c r="AM356" s="7">
        <f t="shared" ca="1" si="180"/>
        <v>0</v>
      </c>
    </row>
    <row r="357" spans="1:39" x14ac:dyDescent="0.2">
      <c r="A357" s="17" t="str">
        <f t="shared" si="177"/>
        <v>Gudja</v>
      </c>
      <c r="C357" s="7">
        <f t="shared" ca="1" si="180"/>
        <v>-4025.8511111463736</v>
      </c>
      <c r="D357" s="101">
        <f t="shared" ca="1" si="180"/>
        <v>-3138.2612491824134</v>
      </c>
      <c r="E357" s="110">
        <f t="shared" ca="1" si="180"/>
        <v>0</v>
      </c>
      <c r="F357" s="7">
        <f t="shared" ca="1" si="180"/>
        <v>0</v>
      </c>
      <c r="G357" s="7">
        <f t="shared" ca="1" si="180"/>
        <v>0</v>
      </c>
      <c r="H357" s="7">
        <f t="shared" ca="1" si="180"/>
        <v>0</v>
      </c>
      <c r="I357" s="7">
        <f t="shared" ca="1" si="180"/>
        <v>0</v>
      </c>
      <c r="J357" s="7">
        <f t="shared" ca="1" si="180"/>
        <v>0</v>
      </c>
      <c r="K357" s="7">
        <f t="shared" ca="1" si="180"/>
        <v>0</v>
      </c>
      <c r="L357" s="7">
        <f t="shared" ca="1" si="180"/>
        <v>0</v>
      </c>
      <c r="M357" s="7">
        <f t="shared" ca="1" si="180"/>
        <v>0</v>
      </c>
      <c r="N357" s="7">
        <f t="shared" ca="1" si="180"/>
        <v>0</v>
      </c>
      <c r="O357" s="7">
        <f t="shared" ca="1" si="180"/>
        <v>0</v>
      </c>
      <c r="P357" s="7">
        <f t="shared" ca="1" si="180"/>
        <v>0</v>
      </c>
      <c r="Q357" s="7">
        <f t="shared" ca="1" si="180"/>
        <v>0</v>
      </c>
      <c r="R357" s="7">
        <f t="shared" ca="1" si="180"/>
        <v>0</v>
      </c>
      <c r="S357" s="7">
        <f t="shared" ca="1" si="180"/>
        <v>0</v>
      </c>
      <c r="T357" s="7">
        <f t="shared" ca="1" si="180"/>
        <v>0</v>
      </c>
      <c r="U357" s="7">
        <f t="shared" ca="1" si="180"/>
        <v>0</v>
      </c>
      <c r="V357" s="7">
        <f t="shared" ca="1" si="180"/>
        <v>0</v>
      </c>
      <c r="W357" s="7">
        <f t="shared" ca="1" si="180"/>
        <v>0</v>
      </c>
      <c r="X357" s="7">
        <f t="shared" ca="1" si="180"/>
        <v>0</v>
      </c>
      <c r="Y357" s="7">
        <f t="shared" ca="1" si="180"/>
        <v>0</v>
      </c>
      <c r="Z357" s="7">
        <f t="shared" ca="1" si="180"/>
        <v>0</v>
      </c>
      <c r="AA357" s="7">
        <f t="shared" ca="1" si="180"/>
        <v>0</v>
      </c>
      <c r="AB357" s="7">
        <f t="shared" ca="1" si="180"/>
        <v>0</v>
      </c>
      <c r="AC357" s="7">
        <f t="shared" ca="1" si="180"/>
        <v>0</v>
      </c>
      <c r="AD357" s="7">
        <f t="shared" ca="1" si="180"/>
        <v>0</v>
      </c>
      <c r="AE357" s="7">
        <f t="shared" ca="1" si="180"/>
        <v>0</v>
      </c>
      <c r="AF357" s="7">
        <f t="shared" ca="1" si="180"/>
        <v>0</v>
      </c>
      <c r="AG357" s="7">
        <f t="shared" ca="1" si="180"/>
        <v>0</v>
      </c>
      <c r="AH357" s="7">
        <f t="shared" ca="1" si="180"/>
        <v>0</v>
      </c>
      <c r="AI357" s="7">
        <f t="shared" ca="1" si="180"/>
        <v>0</v>
      </c>
      <c r="AJ357" s="7">
        <f t="shared" ca="1" si="180"/>
        <v>0</v>
      </c>
      <c r="AK357" s="7">
        <f t="shared" ca="1" si="180"/>
        <v>0</v>
      </c>
      <c r="AL357" s="7">
        <f t="shared" ca="1" si="180"/>
        <v>0</v>
      </c>
      <c r="AM357" s="7">
        <f t="shared" ca="1" si="180"/>
        <v>0</v>
      </c>
    </row>
    <row r="358" spans="1:39" x14ac:dyDescent="0.2">
      <c r="A358" s="17" t="str">
        <f t="shared" si="177"/>
        <v>Marsa</v>
      </c>
      <c r="C358" s="7">
        <f t="shared" ca="1" si="180"/>
        <v>-8649.5822104017261</v>
      </c>
      <c r="D358" s="101">
        <f t="shared" ca="1" si="180"/>
        <v>-7452.7015983848178</v>
      </c>
      <c r="E358" s="110">
        <f t="shared" ca="1" si="180"/>
        <v>-6219.4167172421839</v>
      </c>
      <c r="F358" s="7">
        <f t="shared" ca="1" si="180"/>
        <v>-4948.6202962926418</v>
      </c>
      <c r="G358" s="7">
        <f t="shared" ca="1" si="180"/>
        <v>-3639.1713861576636</v>
      </c>
      <c r="H358" s="7">
        <f t="shared" ca="1" si="180"/>
        <v>-2289.8943343915744</v>
      </c>
      <c r="I358" s="7">
        <f t="shared" ca="1" si="180"/>
        <v>-899.57772995459527</v>
      </c>
      <c r="J358" s="7">
        <f t="shared" ca="1" si="180"/>
        <v>0</v>
      </c>
      <c r="K358" s="7">
        <f t="shared" ca="1" si="180"/>
        <v>0</v>
      </c>
      <c r="L358" s="7">
        <f t="shared" ca="1" si="180"/>
        <v>0</v>
      </c>
      <c r="M358" s="7">
        <f t="shared" ca="1" si="180"/>
        <v>0</v>
      </c>
      <c r="N358" s="7">
        <f t="shared" ca="1" si="180"/>
        <v>0</v>
      </c>
      <c r="O358" s="7">
        <f t="shared" ca="1" si="180"/>
        <v>0</v>
      </c>
      <c r="P358" s="7">
        <f t="shared" ca="1" si="180"/>
        <v>0</v>
      </c>
      <c r="Q358" s="7">
        <f t="shared" ca="1" si="180"/>
        <v>0</v>
      </c>
      <c r="R358" s="7">
        <f t="shared" ca="1" si="180"/>
        <v>0</v>
      </c>
      <c r="S358" s="7">
        <f t="shared" ca="1" si="180"/>
        <v>0</v>
      </c>
      <c r="T358" s="7">
        <f t="shared" ca="1" si="180"/>
        <v>0</v>
      </c>
      <c r="U358" s="7">
        <f t="shared" ca="1" si="180"/>
        <v>0</v>
      </c>
      <c r="V358" s="7">
        <f t="shared" ca="1" si="180"/>
        <v>0</v>
      </c>
      <c r="W358" s="7">
        <f t="shared" ca="1" si="180"/>
        <v>0</v>
      </c>
      <c r="X358" s="7">
        <f t="shared" ca="1" si="180"/>
        <v>0</v>
      </c>
      <c r="Y358" s="7">
        <f t="shared" ca="1" si="180"/>
        <v>0</v>
      </c>
      <c r="Z358" s="7">
        <f t="shared" ca="1" si="180"/>
        <v>0</v>
      </c>
      <c r="AA358" s="7">
        <f t="shared" ca="1" si="180"/>
        <v>0</v>
      </c>
      <c r="AB358" s="7">
        <f t="shared" ca="1" si="180"/>
        <v>0</v>
      </c>
      <c r="AC358" s="7">
        <f t="shared" ca="1" si="180"/>
        <v>0</v>
      </c>
      <c r="AD358" s="7">
        <f t="shared" ca="1" si="180"/>
        <v>0</v>
      </c>
      <c r="AE358" s="7">
        <f t="shared" ca="1" si="180"/>
        <v>0</v>
      </c>
      <c r="AF358" s="7">
        <f t="shared" ca="1" si="180"/>
        <v>0</v>
      </c>
      <c r="AG358" s="7">
        <f t="shared" ca="1" si="180"/>
        <v>0</v>
      </c>
      <c r="AH358" s="7">
        <f t="shared" ca="1" si="180"/>
        <v>0</v>
      </c>
      <c r="AI358" s="7">
        <f t="shared" ca="1" si="180"/>
        <v>0</v>
      </c>
      <c r="AJ358" s="7">
        <f t="shared" ca="1" si="180"/>
        <v>0</v>
      </c>
      <c r="AK358" s="7">
        <f t="shared" ca="1" si="180"/>
        <v>0</v>
      </c>
      <c r="AL358" s="7">
        <f t="shared" ca="1" si="180"/>
        <v>0</v>
      </c>
      <c r="AM358" s="7">
        <f t="shared" ca="1" si="180"/>
        <v>0</v>
      </c>
    </row>
    <row r="359" spans="1:39" x14ac:dyDescent="0.2">
      <c r="A359" s="17" t="str">
        <f>TEXT(Inputs!$B$88,"")</f>
        <v>Jewelry</v>
      </c>
      <c r="C359" s="7">
        <f t="shared" ca="1" si="180"/>
        <v>-1875.0262705595046</v>
      </c>
      <c r="D359" s="101">
        <f t="shared" ca="1" si="180"/>
        <v>0</v>
      </c>
      <c r="E359" s="110">
        <f t="shared" ca="1" si="180"/>
        <v>0</v>
      </c>
      <c r="F359" s="7">
        <f t="shared" ca="1" si="180"/>
        <v>0</v>
      </c>
      <c r="G359" s="7">
        <f t="shared" ca="1" si="180"/>
        <v>0</v>
      </c>
      <c r="H359" s="7">
        <f t="shared" ca="1" si="180"/>
        <v>0</v>
      </c>
      <c r="I359" s="7">
        <f t="shared" ca="1" si="180"/>
        <v>0</v>
      </c>
      <c r="J359" s="7">
        <f t="shared" ca="1" si="180"/>
        <v>0</v>
      </c>
      <c r="K359" s="7">
        <f t="shared" ca="1" si="180"/>
        <v>0</v>
      </c>
      <c r="L359" s="7">
        <f t="shared" ca="1" si="180"/>
        <v>0</v>
      </c>
      <c r="M359" s="7">
        <f t="shared" ca="1" si="180"/>
        <v>0</v>
      </c>
      <c r="N359" s="7">
        <f t="shared" ca="1" si="180"/>
        <v>0</v>
      </c>
      <c r="O359" s="7">
        <f t="shared" ca="1" si="180"/>
        <v>0</v>
      </c>
      <c r="P359" s="7">
        <f t="shared" ca="1" si="180"/>
        <v>0</v>
      </c>
      <c r="Q359" s="7">
        <f t="shared" ca="1" si="180"/>
        <v>0</v>
      </c>
      <c r="R359" s="7">
        <f t="shared" ca="1" si="180"/>
        <v>0</v>
      </c>
      <c r="S359" s="7">
        <f t="shared" ca="1" si="180"/>
        <v>0</v>
      </c>
      <c r="T359" s="7">
        <f t="shared" ca="1" si="180"/>
        <v>0</v>
      </c>
      <c r="U359" s="7">
        <f t="shared" ca="1" si="180"/>
        <v>0</v>
      </c>
      <c r="V359" s="7">
        <f t="shared" ca="1" si="180"/>
        <v>0</v>
      </c>
      <c r="W359" s="7">
        <f t="shared" ca="1" si="180"/>
        <v>0</v>
      </c>
      <c r="X359" s="7">
        <f t="shared" ca="1" si="180"/>
        <v>0</v>
      </c>
      <c r="Y359" s="7">
        <f t="shared" ca="1" si="180"/>
        <v>0</v>
      </c>
      <c r="Z359" s="7">
        <f t="shared" ca="1" si="180"/>
        <v>0</v>
      </c>
      <c r="AA359" s="7">
        <f t="shared" ca="1" si="180"/>
        <v>0</v>
      </c>
      <c r="AB359" s="7">
        <f t="shared" ca="1" si="180"/>
        <v>0</v>
      </c>
      <c r="AC359" s="7">
        <f t="shared" ca="1" si="180"/>
        <v>0</v>
      </c>
      <c r="AD359" s="7">
        <f t="shared" ca="1" si="180"/>
        <v>0</v>
      </c>
      <c r="AE359" s="7">
        <f t="shared" ca="1" si="180"/>
        <v>0</v>
      </c>
      <c r="AF359" s="7">
        <f t="shared" ca="1" si="180"/>
        <v>0</v>
      </c>
      <c r="AG359" s="7">
        <f t="shared" ca="1" si="180"/>
        <v>0</v>
      </c>
      <c r="AH359" s="7">
        <f t="shared" ca="1" si="180"/>
        <v>0</v>
      </c>
      <c r="AI359" s="7">
        <f t="shared" ca="1" si="180"/>
        <v>0</v>
      </c>
      <c r="AJ359" s="7">
        <f t="shared" ca="1" si="180"/>
        <v>0</v>
      </c>
      <c r="AK359" s="7">
        <f t="shared" ca="1" si="180"/>
        <v>0</v>
      </c>
      <c r="AL359" s="7">
        <f t="shared" ca="1" si="180"/>
        <v>0</v>
      </c>
      <c r="AM359" s="7">
        <f t="shared" ca="1" si="180"/>
        <v>0</v>
      </c>
    </row>
    <row r="360" spans="1:39" x14ac:dyDescent="0.2">
      <c r="A360" s="17" t="str">
        <f>TEXT(Inputs!$B$93,"")</f>
        <v>Car</v>
      </c>
      <c r="C360" s="7">
        <f t="shared" ca="1" si="180"/>
        <v>0</v>
      </c>
      <c r="D360" s="101">
        <f t="shared" ca="1" si="180"/>
        <v>0</v>
      </c>
      <c r="E360" s="110">
        <f t="shared" ca="1" si="180"/>
        <v>0</v>
      </c>
      <c r="F360" s="7">
        <f t="shared" ca="1" si="180"/>
        <v>0</v>
      </c>
      <c r="G360" s="7">
        <f t="shared" ca="1" si="180"/>
        <v>0</v>
      </c>
      <c r="H360" s="7">
        <f t="shared" ca="1" si="180"/>
        <v>0</v>
      </c>
      <c r="I360" s="7">
        <f t="shared" ca="1" si="180"/>
        <v>0</v>
      </c>
      <c r="J360" s="7">
        <f t="shared" ca="1" si="180"/>
        <v>0</v>
      </c>
      <c r="K360" s="7">
        <f t="shared" ca="1" si="180"/>
        <v>0</v>
      </c>
      <c r="L360" s="7">
        <f t="shared" ca="1" si="180"/>
        <v>0</v>
      </c>
      <c r="M360" s="7">
        <f t="shared" ca="1" si="180"/>
        <v>0</v>
      </c>
      <c r="N360" s="7">
        <f t="shared" ca="1" si="180"/>
        <v>0</v>
      </c>
      <c r="O360" s="7">
        <f t="shared" ca="1" si="180"/>
        <v>0</v>
      </c>
      <c r="P360" s="7">
        <f t="shared" ca="1" si="180"/>
        <v>0</v>
      </c>
      <c r="Q360" s="7">
        <f t="shared" ca="1" si="180"/>
        <v>0</v>
      </c>
      <c r="R360" s="7">
        <f t="shared" ca="1" si="180"/>
        <v>0</v>
      </c>
      <c r="S360" s="7">
        <f t="shared" ca="1" si="180"/>
        <v>0</v>
      </c>
      <c r="T360" s="7">
        <f t="shared" ca="1" si="180"/>
        <v>0</v>
      </c>
      <c r="U360" s="7">
        <f t="shared" ca="1" si="180"/>
        <v>0</v>
      </c>
      <c r="V360" s="7">
        <f t="shared" ca="1" si="180"/>
        <v>0</v>
      </c>
      <c r="W360" s="7">
        <f t="shared" ca="1" si="180"/>
        <v>0</v>
      </c>
      <c r="X360" s="7">
        <f t="shared" ca="1" si="180"/>
        <v>0</v>
      </c>
      <c r="Y360" s="7">
        <f t="shared" ca="1" si="180"/>
        <v>0</v>
      </c>
      <c r="Z360" s="7">
        <f t="shared" ca="1" si="180"/>
        <v>0</v>
      </c>
      <c r="AA360" s="7">
        <f t="shared" ca="1" si="180"/>
        <v>0</v>
      </c>
      <c r="AB360" s="7">
        <f t="shared" ca="1" si="180"/>
        <v>0</v>
      </c>
      <c r="AC360" s="7">
        <f t="shared" ca="1" si="180"/>
        <v>0</v>
      </c>
      <c r="AD360" s="7">
        <f t="shared" ca="1" si="180"/>
        <v>0</v>
      </c>
      <c r="AE360" s="7">
        <f t="shared" ca="1" si="180"/>
        <v>0</v>
      </c>
      <c r="AF360" s="7">
        <f t="shared" ca="1" si="180"/>
        <v>0</v>
      </c>
      <c r="AG360" s="7">
        <f t="shared" ca="1" si="180"/>
        <v>0</v>
      </c>
      <c r="AH360" s="7">
        <f t="shared" ca="1" si="180"/>
        <v>0</v>
      </c>
      <c r="AI360" s="7">
        <f t="shared" ca="1" si="180"/>
        <v>0</v>
      </c>
      <c r="AJ360" s="7">
        <f t="shared" ref="AJ360:AM360" ca="1" si="181">AJ331</f>
        <v>0</v>
      </c>
      <c r="AK360" s="7">
        <f t="shared" ca="1" si="181"/>
        <v>0</v>
      </c>
      <c r="AL360" s="7">
        <f t="shared" ca="1" si="181"/>
        <v>0</v>
      </c>
      <c r="AM360" s="7">
        <f t="shared" ca="1" si="181"/>
        <v>0</v>
      </c>
    </row>
    <row r="361" spans="1:39" x14ac:dyDescent="0.2">
      <c r="A361" s="17" t="str">
        <f>TEXT(Inputs!$B$98,"")</f>
        <v>Painting</v>
      </c>
      <c r="C361" s="7">
        <f t="shared" ref="C361:AM363" ca="1" si="182">C332</f>
        <v>0</v>
      </c>
      <c r="D361" s="101">
        <f t="shared" ca="1" si="182"/>
        <v>0</v>
      </c>
      <c r="E361" s="110">
        <f t="shared" ca="1" si="182"/>
        <v>0</v>
      </c>
      <c r="F361" s="7">
        <f t="shared" ca="1" si="182"/>
        <v>0</v>
      </c>
      <c r="G361" s="7">
        <f t="shared" ca="1" si="182"/>
        <v>0</v>
      </c>
      <c r="H361" s="7">
        <f t="shared" ca="1" si="182"/>
        <v>0</v>
      </c>
      <c r="I361" s="7">
        <f t="shared" ca="1" si="182"/>
        <v>0</v>
      </c>
      <c r="J361" s="7">
        <f t="shared" ca="1" si="182"/>
        <v>0</v>
      </c>
      <c r="K361" s="7">
        <f t="shared" ca="1" si="182"/>
        <v>0</v>
      </c>
      <c r="L361" s="7">
        <f t="shared" ca="1" si="182"/>
        <v>0</v>
      </c>
      <c r="M361" s="7">
        <f t="shared" ca="1" si="182"/>
        <v>0</v>
      </c>
      <c r="N361" s="7">
        <f t="shared" ca="1" si="182"/>
        <v>0</v>
      </c>
      <c r="O361" s="7">
        <f t="shared" ca="1" si="182"/>
        <v>0</v>
      </c>
      <c r="P361" s="7">
        <f t="shared" ca="1" si="182"/>
        <v>0</v>
      </c>
      <c r="Q361" s="7">
        <f t="shared" ca="1" si="182"/>
        <v>0</v>
      </c>
      <c r="R361" s="7">
        <f t="shared" ca="1" si="182"/>
        <v>0</v>
      </c>
      <c r="S361" s="7">
        <f t="shared" ca="1" si="182"/>
        <v>0</v>
      </c>
      <c r="T361" s="7">
        <f t="shared" ca="1" si="182"/>
        <v>0</v>
      </c>
      <c r="U361" s="7">
        <f t="shared" ca="1" si="182"/>
        <v>0</v>
      </c>
      <c r="V361" s="7">
        <f t="shared" ca="1" si="182"/>
        <v>0</v>
      </c>
      <c r="W361" s="7">
        <f t="shared" ca="1" si="182"/>
        <v>0</v>
      </c>
      <c r="X361" s="7">
        <f t="shared" ca="1" si="182"/>
        <v>0</v>
      </c>
      <c r="Y361" s="7">
        <f t="shared" ca="1" si="182"/>
        <v>0</v>
      </c>
      <c r="Z361" s="7">
        <f t="shared" ca="1" si="182"/>
        <v>0</v>
      </c>
      <c r="AA361" s="7">
        <f t="shared" ca="1" si="182"/>
        <v>0</v>
      </c>
      <c r="AB361" s="7">
        <f t="shared" ca="1" si="182"/>
        <v>0</v>
      </c>
      <c r="AC361" s="7">
        <f t="shared" ca="1" si="182"/>
        <v>0</v>
      </c>
      <c r="AD361" s="7">
        <f t="shared" ca="1" si="182"/>
        <v>0</v>
      </c>
      <c r="AE361" s="7">
        <f t="shared" ca="1" si="182"/>
        <v>0</v>
      </c>
      <c r="AF361" s="7">
        <f t="shared" ca="1" si="182"/>
        <v>0</v>
      </c>
      <c r="AG361" s="7">
        <f t="shared" ca="1" si="182"/>
        <v>0</v>
      </c>
      <c r="AH361" s="7">
        <f t="shared" ca="1" si="182"/>
        <v>0</v>
      </c>
      <c r="AI361" s="7">
        <f t="shared" ca="1" si="182"/>
        <v>0</v>
      </c>
      <c r="AJ361" s="7">
        <f t="shared" ca="1" si="182"/>
        <v>0</v>
      </c>
      <c r="AK361" s="7">
        <f t="shared" ca="1" si="182"/>
        <v>0</v>
      </c>
      <c r="AL361" s="7">
        <f t="shared" ca="1" si="182"/>
        <v>0</v>
      </c>
      <c r="AM361" s="7">
        <f t="shared" ca="1" si="182"/>
        <v>0</v>
      </c>
    </row>
    <row r="362" spans="1:39" x14ac:dyDescent="0.2">
      <c r="A362" s="17" t="str">
        <f>TEXT(Inputs!$B$103,"")</f>
        <v>Boat</v>
      </c>
      <c r="C362" s="7">
        <f t="shared" ca="1" si="182"/>
        <v>-36106.782888498572</v>
      </c>
      <c r="D362" s="101">
        <f t="shared" ca="1" si="182"/>
        <v>-30636.379329838361</v>
      </c>
      <c r="E362" s="110">
        <f t="shared" ca="1" si="182"/>
        <v>-24828.573249664209</v>
      </c>
      <c r="F362" s="7">
        <f t="shared" ca="1" si="182"/>
        <v>-18662.55439873159</v>
      </c>
      <c r="G362" s="7">
        <f t="shared" ca="1" si="182"/>
        <v>-12116.228997158192</v>
      </c>
      <c r="H362" s="7">
        <f t="shared" ca="1" si="182"/>
        <v>-5166.1405690627944</v>
      </c>
      <c r="I362" s="7">
        <f t="shared" ca="1" si="182"/>
        <v>0</v>
      </c>
      <c r="J362" s="7">
        <f t="shared" ca="1" si="182"/>
        <v>0</v>
      </c>
      <c r="K362" s="7">
        <f t="shared" ca="1" si="182"/>
        <v>0</v>
      </c>
      <c r="L362" s="7">
        <f t="shared" ca="1" si="182"/>
        <v>0</v>
      </c>
      <c r="M362" s="7">
        <f t="shared" ca="1" si="182"/>
        <v>0</v>
      </c>
      <c r="N362" s="7">
        <f t="shared" ca="1" si="182"/>
        <v>0</v>
      </c>
      <c r="O362" s="7">
        <f t="shared" ca="1" si="182"/>
        <v>0</v>
      </c>
      <c r="P362" s="7">
        <f t="shared" ca="1" si="182"/>
        <v>0</v>
      </c>
      <c r="Q362" s="7">
        <f t="shared" ca="1" si="182"/>
        <v>0</v>
      </c>
      <c r="R362" s="7">
        <f t="shared" ca="1" si="182"/>
        <v>0</v>
      </c>
      <c r="S362" s="7">
        <f t="shared" ca="1" si="182"/>
        <v>0</v>
      </c>
      <c r="T362" s="7">
        <f t="shared" ca="1" si="182"/>
        <v>0</v>
      </c>
      <c r="U362" s="7">
        <f t="shared" ca="1" si="182"/>
        <v>0</v>
      </c>
      <c r="V362" s="7">
        <f t="shared" ca="1" si="182"/>
        <v>0</v>
      </c>
      <c r="W362" s="7">
        <f t="shared" ca="1" si="182"/>
        <v>0</v>
      </c>
      <c r="X362" s="7">
        <f t="shared" ca="1" si="182"/>
        <v>0</v>
      </c>
      <c r="Y362" s="7">
        <f t="shared" ca="1" si="182"/>
        <v>0</v>
      </c>
      <c r="Z362" s="7">
        <f t="shared" ca="1" si="182"/>
        <v>0</v>
      </c>
      <c r="AA362" s="7">
        <f t="shared" ca="1" si="182"/>
        <v>0</v>
      </c>
      <c r="AB362" s="7">
        <f t="shared" ca="1" si="182"/>
        <v>0</v>
      </c>
      <c r="AC362" s="7">
        <f t="shared" ca="1" si="182"/>
        <v>0</v>
      </c>
      <c r="AD362" s="7">
        <f t="shared" ca="1" si="182"/>
        <v>0</v>
      </c>
      <c r="AE362" s="7">
        <f t="shared" ca="1" si="182"/>
        <v>0</v>
      </c>
      <c r="AF362" s="7">
        <f t="shared" ca="1" si="182"/>
        <v>0</v>
      </c>
      <c r="AG362" s="7">
        <f t="shared" ca="1" si="182"/>
        <v>0</v>
      </c>
      <c r="AH362" s="7">
        <f t="shared" ca="1" si="182"/>
        <v>0</v>
      </c>
      <c r="AI362" s="7">
        <f t="shared" ca="1" si="182"/>
        <v>0</v>
      </c>
      <c r="AJ362" s="7">
        <f t="shared" ca="1" si="182"/>
        <v>0</v>
      </c>
      <c r="AK362" s="7">
        <f t="shared" ca="1" si="182"/>
        <v>0</v>
      </c>
      <c r="AL362" s="7">
        <f t="shared" ca="1" si="182"/>
        <v>0</v>
      </c>
      <c r="AM362" s="7">
        <f t="shared" ca="1" si="182"/>
        <v>0</v>
      </c>
    </row>
    <row r="363" spans="1:39" x14ac:dyDescent="0.2">
      <c r="A363" s="17" t="str">
        <f>TEXT(Inputs!$B$108,"")</f>
        <v>Antiques</v>
      </c>
      <c r="C363" s="7">
        <f t="shared" ca="1" si="182"/>
        <v>-2886.4020391451668</v>
      </c>
      <c r="D363" s="101">
        <f t="shared" ca="1" si="182"/>
        <v>-1635.892615008569</v>
      </c>
      <c r="E363" s="110">
        <f t="shared" ca="1" si="182"/>
        <v>0</v>
      </c>
      <c r="F363" s="7">
        <f t="shared" ca="1" si="182"/>
        <v>0</v>
      </c>
      <c r="G363" s="7">
        <f t="shared" ca="1" si="182"/>
        <v>0</v>
      </c>
      <c r="H363" s="7">
        <f t="shared" ca="1" si="182"/>
        <v>0</v>
      </c>
      <c r="I363" s="7">
        <f t="shared" ca="1" si="182"/>
        <v>0</v>
      </c>
      <c r="J363" s="7">
        <f t="shared" ca="1" si="182"/>
        <v>0</v>
      </c>
      <c r="K363" s="7">
        <f t="shared" ca="1" si="182"/>
        <v>0</v>
      </c>
      <c r="L363" s="7">
        <f t="shared" ca="1" si="182"/>
        <v>0</v>
      </c>
      <c r="M363" s="7">
        <f t="shared" ca="1" si="182"/>
        <v>0</v>
      </c>
      <c r="N363" s="7">
        <f t="shared" ca="1" si="182"/>
        <v>0</v>
      </c>
      <c r="O363" s="7">
        <f t="shared" ca="1" si="182"/>
        <v>0</v>
      </c>
      <c r="P363" s="7">
        <f t="shared" ca="1" si="182"/>
        <v>0</v>
      </c>
      <c r="Q363" s="7">
        <f t="shared" ca="1" si="182"/>
        <v>0</v>
      </c>
      <c r="R363" s="7">
        <f t="shared" ca="1" si="182"/>
        <v>0</v>
      </c>
      <c r="S363" s="7">
        <f t="shared" ca="1" si="182"/>
        <v>0</v>
      </c>
      <c r="T363" s="7">
        <f t="shared" ca="1" si="182"/>
        <v>0</v>
      </c>
      <c r="U363" s="7">
        <f t="shared" ca="1" si="182"/>
        <v>0</v>
      </c>
      <c r="V363" s="7">
        <f t="shared" ca="1" si="182"/>
        <v>0</v>
      </c>
      <c r="W363" s="7">
        <f t="shared" ca="1" si="182"/>
        <v>0</v>
      </c>
      <c r="X363" s="7">
        <f t="shared" ca="1" si="182"/>
        <v>0</v>
      </c>
      <c r="Y363" s="7">
        <f t="shared" ca="1" si="182"/>
        <v>0</v>
      </c>
      <c r="Z363" s="7">
        <f t="shared" ca="1" si="182"/>
        <v>0</v>
      </c>
      <c r="AA363" s="7">
        <f t="shared" ca="1" si="182"/>
        <v>0</v>
      </c>
      <c r="AB363" s="7">
        <f t="shared" ca="1" si="182"/>
        <v>0</v>
      </c>
      <c r="AC363" s="7">
        <f t="shared" ca="1" si="182"/>
        <v>0</v>
      </c>
      <c r="AD363" s="7">
        <f t="shared" ca="1" si="182"/>
        <v>0</v>
      </c>
      <c r="AE363" s="7">
        <f t="shared" ca="1" si="182"/>
        <v>0</v>
      </c>
      <c r="AF363" s="7">
        <f t="shared" ca="1" si="182"/>
        <v>0</v>
      </c>
      <c r="AG363" s="7">
        <f t="shared" ca="1" si="182"/>
        <v>0</v>
      </c>
      <c r="AH363" s="7">
        <f t="shared" ca="1" si="182"/>
        <v>0</v>
      </c>
      <c r="AI363" s="7">
        <f t="shared" ca="1" si="182"/>
        <v>0</v>
      </c>
      <c r="AJ363" s="7">
        <f t="shared" ca="1" si="182"/>
        <v>0</v>
      </c>
      <c r="AK363" s="7">
        <f t="shared" ca="1" si="182"/>
        <v>0</v>
      </c>
      <c r="AL363" s="7">
        <f t="shared" ca="1" si="182"/>
        <v>0</v>
      </c>
      <c r="AM363" s="7">
        <f t="shared" ca="1" si="182"/>
        <v>0</v>
      </c>
    </row>
    <row r="364" spans="1:39" x14ac:dyDescent="0.2">
      <c r="A364" s="16" t="str">
        <f>A96</f>
        <v>Other loan</v>
      </c>
      <c r="C364" s="7">
        <f t="shared" ref="C364:AM364" ca="1" si="183">C96</f>
        <v>-3724.5365251296162</v>
      </c>
      <c r="D364" s="101">
        <f t="shared" ca="1" si="183"/>
        <v>-3337.4796695640352</v>
      </c>
      <c r="E364" s="110">
        <f t="shared" ca="1" si="183"/>
        <v>-2926.5499940800146</v>
      </c>
      <c r="F364" s="7">
        <f t="shared" ca="1" si="183"/>
        <v>-2490.2750753819519</v>
      </c>
      <c r="G364" s="7">
        <f t="shared" ca="1" si="183"/>
        <v>-2027.0916743272305</v>
      </c>
      <c r="H364" s="7">
        <f t="shared" ca="1" si="183"/>
        <v>-1535.3401346034998</v>
      </c>
      <c r="I364" s="7">
        <f t="shared" ca="1" si="183"/>
        <v>-1013.2584359286093</v>
      </c>
      <c r="J364" s="7">
        <f t="shared" ca="1" si="183"/>
        <v>-458.97588046495366</v>
      </c>
      <c r="K364" s="7">
        <f t="shared" ca="1" si="183"/>
        <v>0</v>
      </c>
      <c r="L364" s="7">
        <f t="shared" ca="1" si="183"/>
        <v>0</v>
      </c>
      <c r="M364" s="7">
        <f t="shared" ca="1" si="183"/>
        <v>0</v>
      </c>
      <c r="N364" s="7">
        <f t="shared" ca="1" si="183"/>
        <v>0</v>
      </c>
      <c r="O364" s="7">
        <f t="shared" ca="1" si="183"/>
        <v>0</v>
      </c>
      <c r="P364" s="7">
        <f t="shared" ca="1" si="183"/>
        <v>0</v>
      </c>
      <c r="Q364" s="7">
        <f t="shared" ca="1" si="183"/>
        <v>0</v>
      </c>
      <c r="R364" s="7">
        <f t="shared" ca="1" si="183"/>
        <v>0</v>
      </c>
      <c r="S364" s="7">
        <f t="shared" ca="1" si="183"/>
        <v>0</v>
      </c>
      <c r="T364" s="7">
        <f t="shared" ca="1" si="183"/>
        <v>0</v>
      </c>
      <c r="U364" s="7">
        <f t="shared" ca="1" si="183"/>
        <v>0</v>
      </c>
      <c r="V364" s="7">
        <f t="shared" ca="1" si="183"/>
        <v>0</v>
      </c>
      <c r="W364" s="7">
        <f t="shared" ca="1" si="183"/>
        <v>0</v>
      </c>
      <c r="X364" s="7">
        <f t="shared" ca="1" si="183"/>
        <v>0</v>
      </c>
      <c r="Y364" s="7">
        <f t="shared" ca="1" si="183"/>
        <v>0</v>
      </c>
      <c r="Z364" s="7">
        <f t="shared" ca="1" si="183"/>
        <v>0</v>
      </c>
      <c r="AA364" s="7">
        <f t="shared" ca="1" si="183"/>
        <v>0</v>
      </c>
      <c r="AB364" s="7">
        <f t="shared" ca="1" si="183"/>
        <v>0</v>
      </c>
      <c r="AC364" s="7">
        <f t="shared" ca="1" si="183"/>
        <v>0</v>
      </c>
      <c r="AD364" s="7">
        <f t="shared" ca="1" si="183"/>
        <v>0</v>
      </c>
      <c r="AE364" s="7">
        <f t="shared" ca="1" si="183"/>
        <v>0</v>
      </c>
      <c r="AF364" s="7">
        <f t="shared" ca="1" si="183"/>
        <v>0</v>
      </c>
      <c r="AG364" s="7">
        <f t="shared" ca="1" si="183"/>
        <v>0</v>
      </c>
      <c r="AH364" s="7">
        <f t="shared" ca="1" si="183"/>
        <v>0</v>
      </c>
      <c r="AI364" s="7">
        <f t="shared" ca="1" si="183"/>
        <v>0</v>
      </c>
      <c r="AJ364" s="7">
        <f t="shared" ca="1" si="183"/>
        <v>0</v>
      </c>
      <c r="AK364" s="7">
        <f t="shared" ca="1" si="183"/>
        <v>0</v>
      </c>
      <c r="AL364" s="7">
        <f t="shared" ca="1" si="183"/>
        <v>0</v>
      </c>
      <c r="AM364" s="7">
        <f t="shared" ca="1" si="183"/>
        <v>0</v>
      </c>
    </row>
    <row r="365" spans="1:39" x14ac:dyDescent="0.2">
      <c r="A365" s="4"/>
      <c r="C365" s="9">
        <f t="shared" ref="C365:AM365" ca="1" si="184">SUM(C336:C364)</f>
        <v>1680419.572837129</v>
      </c>
      <c r="D365" s="102">
        <f t="shared" ca="1" si="184"/>
        <v>1667001.9504190523</v>
      </c>
      <c r="E365" s="111">
        <f t="shared" ca="1" si="184"/>
        <v>1644972.657124877</v>
      </c>
      <c r="F365" s="9">
        <f t="shared" ca="1" si="184"/>
        <v>1611245.3795523301</v>
      </c>
      <c r="G365" s="9">
        <f t="shared" ca="1" si="184"/>
        <v>1522753.2445202188</v>
      </c>
      <c r="H365" s="9">
        <f t="shared" ca="1" si="184"/>
        <v>1515181.8037838382</v>
      </c>
      <c r="I365" s="9">
        <f t="shared" ca="1" si="184"/>
        <v>1519635.3738002756</v>
      </c>
      <c r="J365" s="9">
        <f t="shared" ca="1" si="184"/>
        <v>1495615.7101465701</v>
      </c>
      <c r="K365" s="9">
        <f t="shared" ca="1" si="184"/>
        <v>1469488.319679406</v>
      </c>
      <c r="L365" s="9">
        <f t="shared" ca="1" si="184"/>
        <v>1525165.7529145433</v>
      </c>
      <c r="M365" s="9">
        <f t="shared" ca="1" si="184"/>
        <v>1481536.8761629304</v>
      </c>
      <c r="N365" s="9">
        <f t="shared" ca="1" si="184"/>
        <v>1486620.5084261768</v>
      </c>
      <c r="O365" s="9">
        <f t="shared" ca="1" si="184"/>
        <v>1458067.6843784342</v>
      </c>
      <c r="P365" s="9">
        <f t="shared" ca="1" si="184"/>
        <v>1452764.8799842305</v>
      </c>
      <c r="Q365" s="9">
        <f t="shared" ca="1" si="184"/>
        <v>1447216.9087174134</v>
      </c>
      <c r="R365" s="9">
        <f t="shared" ca="1" si="184"/>
        <v>1441034.9282123926</v>
      </c>
      <c r="S365" s="9">
        <f t="shared" ca="1" si="184"/>
        <v>1434197.94384075</v>
      </c>
      <c r="T365" s="9">
        <f t="shared" ca="1" si="184"/>
        <v>1444153.7931306714</v>
      </c>
      <c r="U365" s="9">
        <f t="shared" ca="1" si="184"/>
        <v>1466217.5689026904</v>
      </c>
      <c r="V365" s="9">
        <f t="shared" ca="1" si="184"/>
        <v>1490113.7146777115</v>
      </c>
      <c r="W365" s="9">
        <f t="shared" ca="1" si="184"/>
        <v>1514512.4443839947</v>
      </c>
      <c r="X365" s="9">
        <f t="shared" ca="1" si="184"/>
        <v>1475257.1715150236</v>
      </c>
      <c r="Y365" s="9">
        <f t="shared" ca="1" si="184"/>
        <v>1466186.7387561812</v>
      </c>
      <c r="Z365" s="9">
        <f t="shared" ca="1" si="184"/>
        <v>1455830.8319640737</v>
      </c>
      <c r="AA365" s="9">
        <f t="shared" ca="1" si="184"/>
        <v>1443968.7684164136</v>
      </c>
      <c r="AB365" s="9">
        <f t="shared" ca="1" si="184"/>
        <v>1430572.694093199</v>
      </c>
      <c r="AC365" s="9">
        <f t="shared" ca="1" si="184"/>
        <v>1415614.3526208964</v>
      </c>
      <c r="AD365" s="9">
        <f t="shared" ca="1" si="184"/>
        <v>1399065.0840335079</v>
      </c>
      <c r="AE365" s="9">
        <f t="shared" ca="1" si="184"/>
        <v>1391127.8607383999</v>
      </c>
      <c r="AF365" s="9">
        <f t="shared" ca="1" si="184"/>
        <v>1270641.4062860566</v>
      </c>
      <c r="AG365" s="9">
        <f t="shared" ca="1" si="184"/>
        <v>1242930.4587247306</v>
      </c>
      <c r="AH365" s="9">
        <f t="shared" ca="1" si="184"/>
        <v>1212899.0859287679</v>
      </c>
      <c r="AI365" s="9">
        <f t="shared" ca="1" si="184"/>
        <v>1180291.3798229299</v>
      </c>
      <c r="AJ365" s="9">
        <f t="shared" ca="1" si="184"/>
        <v>1145045.7239572632</v>
      </c>
      <c r="AK365" s="9">
        <f t="shared" ca="1" si="184"/>
        <v>1107099.0452270489</v>
      </c>
      <c r="AL365" s="9">
        <f t="shared" ca="1" si="184"/>
        <v>1066386.779969129</v>
      </c>
      <c r="AM365" s="9">
        <f t="shared" ca="1" si="184"/>
        <v>1022842.839286021</v>
      </c>
    </row>
    <row r="366" spans="1:39" x14ac:dyDescent="0.2">
      <c r="C366" s="7"/>
      <c r="D366" s="101"/>
      <c r="E366" s="110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  <c r="AE366" s="7"/>
      <c r="AF366" s="7"/>
      <c r="AG366" s="7"/>
      <c r="AH366" s="7"/>
      <c r="AI366" s="7"/>
      <c r="AJ366" s="7"/>
      <c r="AK366" s="7"/>
      <c r="AL366" s="7"/>
      <c r="AM366" s="7"/>
    </row>
    <row r="367" spans="1:39" ht="19" x14ac:dyDescent="0.25">
      <c r="A367" s="25" t="s">
        <v>71</v>
      </c>
      <c r="B367" s="26"/>
      <c r="C367" s="27"/>
      <c r="D367" s="103"/>
      <c r="E367" s="112"/>
      <c r="F367" s="27"/>
      <c r="G367" s="27"/>
      <c r="H367" s="27"/>
      <c r="I367" s="27"/>
      <c r="J367" s="27"/>
      <c r="K367" s="27"/>
      <c r="L367" s="27"/>
      <c r="M367" s="27"/>
      <c r="N367" s="27"/>
      <c r="O367" s="27"/>
      <c r="P367" s="27"/>
      <c r="Q367" s="27"/>
      <c r="R367" s="27"/>
      <c r="S367" s="27"/>
      <c r="T367" s="27"/>
      <c r="U367" s="27"/>
      <c r="V367" s="27"/>
      <c r="W367" s="27"/>
      <c r="X367" s="27"/>
      <c r="Y367" s="27"/>
      <c r="Z367" s="27"/>
      <c r="AA367" s="27"/>
      <c r="AB367" s="27"/>
      <c r="AC367" s="27"/>
      <c r="AD367" s="27"/>
      <c r="AE367" s="27"/>
      <c r="AF367" s="27"/>
      <c r="AG367" s="27"/>
      <c r="AH367" s="27"/>
      <c r="AI367" s="27"/>
      <c r="AJ367" s="27"/>
      <c r="AK367" s="27"/>
      <c r="AL367" s="27"/>
      <c r="AM367" s="27"/>
    </row>
    <row r="368" spans="1:39" x14ac:dyDescent="0.2">
      <c r="C368" s="7"/>
      <c r="D368" s="101"/>
      <c r="E368" s="110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  <c r="AE368" s="7"/>
      <c r="AF368" s="7"/>
      <c r="AG368" s="7"/>
      <c r="AH368" s="7"/>
      <c r="AI368" s="7"/>
      <c r="AJ368" s="7"/>
      <c r="AK368" s="7"/>
      <c r="AL368" s="7"/>
      <c r="AM368" s="7"/>
    </row>
    <row r="369" spans="1:39" x14ac:dyDescent="0.2">
      <c r="A369" s="15" t="s">
        <v>60</v>
      </c>
      <c r="C369" s="7"/>
      <c r="D369" s="101"/>
      <c r="E369" s="110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  <c r="AE369" s="7"/>
      <c r="AF369" s="7"/>
      <c r="AG369" s="7"/>
      <c r="AH369" s="7"/>
      <c r="AI369" s="7"/>
      <c r="AJ369" s="7"/>
      <c r="AK369" s="7"/>
      <c r="AL369" s="7"/>
      <c r="AM369" s="7"/>
    </row>
    <row r="370" spans="1:39" x14ac:dyDescent="0.2">
      <c r="A370" s="3" t="s">
        <v>8</v>
      </c>
      <c r="C370" s="7">
        <f t="shared" ref="C370:AM370" ca="1" si="185">C69</f>
        <v>62919.0625</v>
      </c>
      <c r="D370" s="101">
        <f t="shared" ca="1" si="185"/>
        <v>-6686.9640625000029</v>
      </c>
      <c r="E370" s="110">
        <f t="shared" ca="1" si="185"/>
        <v>-73625.926562499997</v>
      </c>
      <c r="F370" s="7">
        <f t="shared" ca="1" si="185"/>
        <v>-161484.68591812759</v>
      </c>
      <c r="G370" s="7">
        <f t="shared" ca="1" si="185"/>
        <v>-58269.408990775701</v>
      </c>
      <c r="H370" s="7">
        <f t="shared" ca="1" si="185"/>
        <v>-112472.76585056525</v>
      </c>
      <c r="I370" s="7">
        <f t="shared" ca="1" si="185"/>
        <v>-150621.01548603765</v>
      </c>
      <c r="J370" s="7">
        <f t="shared" ca="1" si="185"/>
        <v>-188794.21394526522</v>
      </c>
      <c r="K370" s="7">
        <f t="shared" ca="1" si="185"/>
        <v>-244780.42294287487</v>
      </c>
      <c r="L370" s="7">
        <f t="shared" ca="1" si="185"/>
        <v>-219268.56643475813</v>
      </c>
      <c r="M370" s="7">
        <f t="shared" ca="1" si="185"/>
        <v>-287526.439928559</v>
      </c>
      <c r="N370" s="7">
        <f t="shared" ca="1" si="185"/>
        <v>-307422.32027672138</v>
      </c>
      <c r="O370" s="7">
        <f t="shared" ca="1" si="185"/>
        <v>-327600.17623745633</v>
      </c>
      <c r="P370" s="7">
        <f t="shared" ca="1" si="185"/>
        <v>-348060.59455919417</v>
      </c>
      <c r="Q370" s="7">
        <f t="shared" ca="1" si="185"/>
        <v>-368803.98277981958</v>
      </c>
      <c r="R370" s="7">
        <f t="shared" ca="1" si="185"/>
        <v>-389830.55893003009</v>
      </c>
      <c r="S370" s="7">
        <f t="shared" ca="1" si="185"/>
        <v>-411140.34080478735</v>
      </c>
      <c r="T370" s="7">
        <f t="shared" ca="1" si="185"/>
        <v>-415691.01026164548</v>
      </c>
      <c r="U370" s="7">
        <f t="shared" ca="1" si="185"/>
        <v>-412299.92845362029</v>
      </c>
      <c r="V370" s="7">
        <f t="shared" ca="1" si="185"/>
        <v>-408559.128455239</v>
      </c>
      <c r="W370" s="7">
        <f t="shared" ca="1" si="185"/>
        <v>-404451.91907738801</v>
      </c>
      <c r="X370" s="7">
        <f t="shared" ca="1" si="185"/>
        <v>-399960.95340419537</v>
      </c>
      <c r="Y370" s="7">
        <f t="shared" ca="1" si="185"/>
        <v>-415727.06201741181</v>
      </c>
      <c r="Z370" s="7">
        <f t="shared" ca="1" si="185"/>
        <v>-431589.12975295464</v>
      </c>
      <c r="AA370" s="7">
        <f t="shared" ca="1" si="185"/>
        <v>-447540.60978109192</v>
      </c>
      <c r="AB370" s="7">
        <f t="shared" ca="1" si="185"/>
        <v>-463574.52322711475</v>
      </c>
      <c r="AC370" s="7">
        <f t="shared" ca="1" si="185"/>
        <v>-479683.44031898573</v>
      </c>
      <c r="AD370" s="7">
        <f t="shared" ca="1" si="185"/>
        <v>-495859.46082214196</v>
      </c>
      <c r="AE370" s="7">
        <f t="shared" ca="1" si="185"/>
        <v>-502111.71864259918</v>
      </c>
      <c r="AF370" s="7">
        <f t="shared" ca="1" si="185"/>
        <v>-508164.22416403121</v>
      </c>
      <c r="AG370" s="7">
        <f t="shared" ca="1" si="185"/>
        <v>-514001.30181662634</v>
      </c>
      <c r="AH370" s="7">
        <f t="shared" ca="1" si="185"/>
        <v>-519606.56368845748</v>
      </c>
      <c r="AI370" s="7">
        <f t="shared" ca="1" si="185"/>
        <v>-524962.88210334303</v>
      </c>
      <c r="AJ370" s="7">
        <f t="shared" ca="1" si="185"/>
        <v>-530052.36122474726</v>
      </c>
      <c r="AK370" s="7">
        <f t="shared" ca="1" si="185"/>
        <v>-534856.30765271757</v>
      </c>
      <c r="AL370" s="7">
        <f t="shared" ca="1" si="185"/>
        <v>-539355.19997977396</v>
      </c>
      <c r="AM370" s="7">
        <f t="shared" ca="1" si="185"/>
        <v>-543528.65727054514</v>
      </c>
    </row>
    <row r="371" spans="1:39" x14ac:dyDescent="0.2">
      <c r="A371" s="3" t="s">
        <v>27</v>
      </c>
      <c r="C371" s="7">
        <f t="shared" ref="C371:AM371" ca="1" si="186">C97</f>
        <v>1680453.1852331229</v>
      </c>
      <c r="D371" s="101">
        <f t="shared" ca="1" si="186"/>
        <v>1664018.275758995</v>
      </c>
      <c r="E371" s="110">
        <f t="shared" ca="1" si="186"/>
        <v>1663555.9450033591</v>
      </c>
      <c r="F371" s="7">
        <f t="shared" ca="1" si="186"/>
        <v>1640648.7239732665</v>
      </c>
      <c r="G371" s="7">
        <f t="shared" ca="1" si="186"/>
        <v>1560760.1754599486</v>
      </c>
      <c r="H371" s="7">
        <f t="shared" ca="1" si="186"/>
        <v>1563266.2288398559</v>
      </c>
      <c r="I371" s="7">
        <f t="shared" ca="1" si="186"/>
        <v>1564614.0138474395</v>
      </c>
      <c r="J371" s="7">
        <f t="shared" ca="1" si="186"/>
        <v>1573193.9819361418</v>
      </c>
      <c r="K371" s="7">
        <f t="shared" ca="1" si="186"/>
        <v>1565048.3424039613</v>
      </c>
      <c r="L371" s="7">
        <f t="shared" ca="1" si="186"/>
        <v>1639172.2615443273</v>
      </c>
      <c r="M371" s="7">
        <f t="shared" ca="1" si="186"/>
        <v>1616598.7756683084</v>
      </c>
      <c r="N371" s="7">
        <f t="shared" ca="1" si="186"/>
        <v>1636811.826620992</v>
      </c>
      <c r="O371" s="7">
        <f t="shared" ca="1" si="186"/>
        <v>1663582.4828367315</v>
      </c>
      <c r="P371" s="7">
        <f t="shared" ca="1" si="186"/>
        <v>1691925.125583462</v>
      </c>
      <c r="Q371" s="7">
        <f t="shared" ca="1" si="186"/>
        <v>1721870.1715262688</v>
      </c>
      <c r="R371" s="7">
        <f t="shared" ca="1" si="186"/>
        <v>1755919.4310824042</v>
      </c>
      <c r="S371" s="7">
        <f t="shared" ca="1" si="186"/>
        <v>1791905.9659602651</v>
      </c>
      <c r="T371" s="7">
        <f t="shared" ca="1" si="186"/>
        <v>1846932.6020033048</v>
      </c>
      <c r="U371" s="7">
        <f t="shared" ca="1" si="186"/>
        <v>1912246.5391054538</v>
      </c>
      <c r="V371" s="7">
        <f t="shared" ca="1" si="186"/>
        <v>1963469.1217699451</v>
      </c>
      <c r="W371" s="7">
        <f t="shared" ca="1" si="186"/>
        <v>2034345.1855521537</v>
      </c>
      <c r="X371" s="7">
        <f t="shared" ca="1" si="186"/>
        <v>2108300.6777475635</v>
      </c>
      <c r="Y371" s="7">
        <f t="shared" ca="1" si="186"/>
        <v>2163225.5475595817</v>
      </c>
      <c r="Z371" s="7">
        <f t="shared" ca="1" si="186"/>
        <v>2220682.2731548203</v>
      </c>
      <c r="AA371" s="7">
        <f t="shared" ca="1" si="186"/>
        <v>2253540.0125407772</v>
      </c>
      <c r="AB371" s="7">
        <f t="shared" ca="1" si="186"/>
        <v>2312869.1723078256</v>
      </c>
      <c r="AC371" s="7">
        <f t="shared" ca="1" si="186"/>
        <v>2374668.8872413486</v>
      </c>
      <c r="AD371" s="7">
        <f t="shared" ca="1" si="186"/>
        <v>2439014.7306845388</v>
      </c>
      <c r="AE371" s="7">
        <f t="shared" ca="1" si="186"/>
        <v>2515968.1279172022</v>
      </c>
      <c r="AF371" s="7">
        <f t="shared" ca="1" si="186"/>
        <v>2595878.5834997031</v>
      </c>
      <c r="AG371" s="7">
        <f t="shared" ca="1" si="186"/>
        <v>2678838.3178215832</v>
      </c>
      <c r="AH371" s="7">
        <f t="shared" ca="1" si="186"/>
        <v>2766737.1917145234</v>
      </c>
      <c r="AI371" s="7">
        <f t="shared" ca="1" si="186"/>
        <v>2858125.8152292999</v>
      </c>
      <c r="AJ371" s="7">
        <f t="shared" ca="1" si="186"/>
        <v>2953133.4470868306</v>
      </c>
      <c r="AK371" s="7">
        <f t="shared" ca="1" si="186"/>
        <v>3051895.8551962902</v>
      </c>
      <c r="AL371" s="7">
        <f t="shared" ca="1" si="186"/>
        <v>3154555.6502018939</v>
      </c>
      <c r="AM371" s="7">
        <f t="shared" ca="1" si="186"/>
        <v>3261262.6427161228</v>
      </c>
    </row>
    <row r="372" spans="1:39" x14ac:dyDescent="0.2">
      <c r="A372" s="3"/>
      <c r="C372" s="10"/>
      <c r="D372" s="101"/>
      <c r="E372" s="110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  <c r="AE372" s="7"/>
      <c r="AF372" s="7"/>
      <c r="AG372" s="7"/>
      <c r="AH372" s="7"/>
      <c r="AI372" s="7"/>
      <c r="AJ372" s="7"/>
      <c r="AK372" s="7"/>
      <c r="AL372" s="7"/>
      <c r="AM372" s="7"/>
    </row>
    <row r="373" spans="1:39" x14ac:dyDescent="0.2">
      <c r="A373" s="15" t="s">
        <v>61</v>
      </c>
      <c r="C373" s="7"/>
      <c r="D373" s="101"/>
      <c r="E373" s="110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  <c r="AE373" s="7"/>
      <c r="AF373" s="7"/>
      <c r="AG373" s="7"/>
      <c r="AH373" s="7"/>
      <c r="AI373" s="7"/>
      <c r="AJ373" s="7"/>
      <c r="AK373" s="7"/>
      <c r="AL373" s="7"/>
      <c r="AM373" s="7"/>
    </row>
    <row r="374" spans="1:39" x14ac:dyDescent="0.2">
      <c r="A374" s="3" t="s">
        <v>8</v>
      </c>
      <c r="C374" s="7">
        <f t="shared" ref="C374:AM374" ca="1" si="187">C337</f>
        <v>109870.73521238755</v>
      </c>
      <c r="D374" s="101">
        <f t="shared" ca="1" si="187"/>
        <v>124614.87941079485</v>
      </c>
      <c r="E374" s="110">
        <f t="shared" ca="1" si="187"/>
        <v>215076.06668918394</v>
      </c>
      <c r="F374" s="7">
        <f t="shared" ca="1" si="187"/>
        <v>127206.24373947346</v>
      </c>
      <c r="G374" s="7">
        <f t="shared" ca="1" si="187"/>
        <v>232711.67734335674</v>
      </c>
      <c r="H374" s="7">
        <f t="shared" ca="1" si="187"/>
        <v>179321.73641809248</v>
      </c>
      <c r="I374" s="7">
        <f t="shared" ca="1" si="187"/>
        <v>140950.88962435036</v>
      </c>
      <c r="J374" s="7">
        <f t="shared" ca="1" si="187"/>
        <v>229062.13035729429</v>
      </c>
      <c r="K374" s="7">
        <f t="shared" ca="1" si="187"/>
        <v>168063.23261060109</v>
      </c>
      <c r="L374" s="7">
        <f t="shared" ca="1" si="187"/>
        <v>188702.1052700505</v>
      </c>
      <c r="M374" s="7">
        <f t="shared" ca="1" si="187"/>
        <v>113712.40321337662</v>
      </c>
      <c r="N374" s="7">
        <f t="shared" ca="1" si="187"/>
        <v>86057.731206196739</v>
      </c>
      <c r="O374" s="7">
        <f t="shared" ca="1" si="187"/>
        <v>242027.88532400748</v>
      </c>
      <c r="P374" s="7">
        <f t="shared" ca="1" si="187"/>
        <v>207731.41495922045</v>
      </c>
      <c r="Q374" s="7">
        <f t="shared" ca="1" si="187"/>
        <v>171945.59134265</v>
      </c>
      <c r="R374" s="7">
        <f t="shared" ca="1" si="187"/>
        <v>134262.9653373333</v>
      </c>
      <c r="S374" s="7">
        <f t="shared" ca="1" si="187"/>
        <v>94642.441399338597</v>
      </c>
      <c r="T374" s="7">
        <f t="shared" ca="1" si="187"/>
        <v>70510.263969922482</v>
      </c>
      <c r="U374" s="7">
        <f t="shared" ca="1" si="187"/>
        <v>125958.70423331723</v>
      </c>
      <c r="V374" s="7">
        <f t="shared" ca="1" si="187"/>
        <v>109647.08406825736</v>
      </c>
      <c r="W374" s="7">
        <f t="shared" ca="1" si="187"/>
        <v>92631.814856256737</v>
      </c>
      <c r="X374" s="7">
        <f t="shared" ca="1" si="187"/>
        <v>429159.27979104465</v>
      </c>
      <c r="Y374" s="7">
        <f t="shared" ca="1" si="187"/>
        <v>388705.91028048279</v>
      </c>
      <c r="Z374" s="7">
        <f t="shared" ca="1" si="187"/>
        <v>346025.57863410452</v>
      </c>
      <c r="AA374" s="7">
        <f t="shared" ca="1" si="187"/>
        <v>300869.35748654528</v>
      </c>
      <c r="AB374" s="7">
        <f t="shared" ca="1" si="187"/>
        <v>253180.30083543458</v>
      </c>
      <c r="AC374" s="7">
        <f t="shared" ca="1" si="187"/>
        <v>202900.18756539875</v>
      </c>
      <c r="AD374" s="7">
        <f t="shared" ca="1" si="187"/>
        <v>149969.49402634538</v>
      </c>
      <c r="AE374" s="7">
        <f t="shared" ca="1" si="187"/>
        <v>104559.40303102252</v>
      </c>
      <c r="AF374" s="7">
        <f t="shared" ca="1" si="187"/>
        <v>668293.44654123939</v>
      </c>
      <c r="AG374" s="7">
        <f t="shared" ca="1" si="187"/>
        <v>622512.06018756866</v>
      </c>
      <c r="AH374" s="7">
        <f t="shared" ca="1" si="187"/>
        <v>573868.1354354911</v>
      </c>
      <c r="AI374" s="7">
        <f t="shared" ca="1" si="187"/>
        <v>522089.50081485481</v>
      </c>
      <c r="AJ374" s="7">
        <f t="shared" ca="1" si="187"/>
        <v>467097.78857894585</v>
      </c>
      <c r="AK374" s="7">
        <f t="shared" ca="1" si="187"/>
        <v>408812.6717873821</v>
      </c>
      <c r="AL374" s="7">
        <f t="shared" ca="1" si="187"/>
        <v>347151.81532627222</v>
      </c>
      <c r="AM374" s="7">
        <f t="shared" ca="1" si="187"/>
        <v>282030.82570387836</v>
      </c>
    </row>
    <row r="375" spans="1:39" x14ac:dyDescent="0.2">
      <c r="A375" s="3" t="s">
        <v>27</v>
      </c>
      <c r="C375" s="7">
        <f t="shared" ref="C375:AM375" ca="1" si="188">C365</f>
        <v>1680419.572837129</v>
      </c>
      <c r="D375" s="101">
        <f t="shared" ca="1" si="188"/>
        <v>1667001.9504190523</v>
      </c>
      <c r="E375" s="110">
        <f t="shared" ca="1" si="188"/>
        <v>1644972.657124877</v>
      </c>
      <c r="F375" s="7">
        <f t="shared" ca="1" si="188"/>
        <v>1611245.3795523301</v>
      </c>
      <c r="G375" s="7">
        <f t="shared" ca="1" si="188"/>
        <v>1522753.2445202188</v>
      </c>
      <c r="H375" s="7">
        <f t="shared" ca="1" si="188"/>
        <v>1515181.8037838382</v>
      </c>
      <c r="I375" s="7">
        <f t="shared" ca="1" si="188"/>
        <v>1519635.3738002756</v>
      </c>
      <c r="J375" s="7">
        <f t="shared" ca="1" si="188"/>
        <v>1495615.7101465701</v>
      </c>
      <c r="K375" s="7">
        <f t="shared" ca="1" si="188"/>
        <v>1469488.319679406</v>
      </c>
      <c r="L375" s="7">
        <f t="shared" ca="1" si="188"/>
        <v>1525165.7529145433</v>
      </c>
      <c r="M375" s="7">
        <f t="shared" ca="1" si="188"/>
        <v>1481536.8761629304</v>
      </c>
      <c r="N375" s="7">
        <f t="shared" ca="1" si="188"/>
        <v>1486620.5084261768</v>
      </c>
      <c r="O375" s="7">
        <f t="shared" ca="1" si="188"/>
        <v>1458067.6843784342</v>
      </c>
      <c r="P375" s="7">
        <f t="shared" ca="1" si="188"/>
        <v>1452764.8799842305</v>
      </c>
      <c r="Q375" s="7">
        <f t="shared" ca="1" si="188"/>
        <v>1447216.9087174134</v>
      </c>
      <c r="R375" s="7">
        <f t="shared" ca="1" si="188"/>
        <v>1441034.9282123926</v>
      </c>
      <c r="S375" s="7">
        <f t="shared" ca="1" si="188"/>
        <v>1434197.94384075</v>
      </c>
      <c r="T375" s="7">
        <f t="shared" ca="1" si="188"/>
        <v>1444153.7931306714</v>
      </c>
      <c r="U375" s="7">
        <f t="shared" ca="1" si="188"/>
        <v>1466217.5689026904</v>
      </c>
      <c r="V375" s="7">
        <f t="shared" ca="1" si="188"/>
        <v>1490113.7146777115</v>
      </c>
      <c r="W375" s="7">
        <f t="shared" ca="1" si="188"/>
        <v>1514512.4443839947</v>
      </c>
      <c r="X375" s="7">
        <f t="shared" ca="1" si="188"/>
        <v>1475257.1715150236</v>
      </c>
      <c r="Y375" s="7">
        <f t="shared" ca="1" si="188"/>
        <v>1466186.7387561812</v>
      </c>
      <c r="Z375" s="7">
        <f t="shared" ca="1" si="188"/>
        <v>1455830.8319640737</v>
      </c>
      <c r="AA375" s="7">
        <f t="shared" ca="1" si="188"/>
        <v>1443968.7684164136</v>
      </c>
      <c r="AB375" s="7">
        <f t="shared" ca="1" si="188"/>
        <v>1430572.694093199</v>
      </c>
      <c r="AC375" s="7">
        <f t="shared" ca="1" si="188"/>
        <v>1415614.3526208964</v>
      </c>
      <c r="AD375" s="7">
        <f t="shared" ca="1" si="188"/>
        <v>1399065.0840335079</v>
      </c>
      <c r="AE375" s="7">
        <f t="shared" ca="1" si="188"/>
        <v>1391127.8607383999</v>
      </c>
      <c r="AF375" s="7">
        <f t="shared" ca="1" si="188"/>
        <v>1270641.4062860566</v>
      </c>
      <c r="AG375" s="7">
        <f t="shared" ca="1" si="188"/>
        <v>1242930.4587247306</v>
      </c>
      <c r="AH375" s="7">
        <f t="shared" ca="1" si="188"/>
        <v>1212899.0859287679</v>
      </c>
      <c r="AI375" s="7">
        <f t="shared" ca="1" si="188"/>
        <v>1180291.3798229299</v>
      </c>
      <c r="AJ375" s="7">
        <f t="shared" ca="1" si="188"/>
        <v>1145045.7239572632</v>
      </c>
      <c r="AK375" s="7">
        <f t="shared" ca="1" si="188"/>
        <v>1107099.0452270489</v>
      </c>
      <c r="AL375" s="7">
        <f t="shared" ca="1" si="188"/>
        <v>1066386.779969129</v>
      </c>
      <c r="AM375" s="7">
        <f t="shared" ca="1" si="188"/>
        <v>1022842.839286021</v>
      </c>
    </row>
    <row r="376" spans="1:39" x14ac:dyDescent="0.2">
      <c r="A376" s="3"/>
      <c r="C376" s="7"/>
      <c r="D376" s="101"/>
      <c r="E376" s="116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  <c r="AE376" s="7"/>
      <c r="AF376" s="7"/>
      <c r="AG376" s="7"/>
      <c r="AH376" s="7"/>
      <c r="AI376" s="7"/>
      <c r="AJ376" s="7"/>
      <c r="AK376" s="7"/>
      <c r="AL376" s="7"/>
      <c r="AM376" s="7"/>
    </row>
    <row r="377" spans="1:39" x14ac:dyDescent="0.2">
      <c r="A377" s="15" t="s">
        <v>62</v>
      </c>
      <c r="B377" s="2" t="s">
        <v>1</v>
      </c>
      <c r="C377" s="7">
        <f t="shared" ref="C377:AM377" si="189">C3</f>
        <v>48</v>
      </c>
      <c r="D377" s="101">
        <f t="shared" si="189"/>
        <v>49</v>
      </c>
      <c r="E377" s="110">
        <f t="shared" si="189"/>
        <v>50</v>
      </c>
      <c r="F377" s="7">
        <f t="shared" si="189"/>
        <v>51</v>
      </c>
      <c r="G377" s="7">
        <f t="shared" si="189"/>
        <v>52</v>
      </c>
      <c r="H377" s="7">
        <f t="shared" si="189"/>
        <v>53</v>
      </c>
      <c r="I377" s="7">
        <f t="shared" si="189"/>
        <v>54</v>
      </c>
      <c r="J377" s="7">
        <f t="shared" si="189"/>
        <v>55</v>
      </c>
      <c r="K377" s="7">
        <f t="shared" si="189"/>
        <v>56</v>
      </c>
      <c r="L377" s="7">
        <f t="shared" si="189"/>
        <v>57</v>
      </c>
      <c r="M377" s="7">
        <f t="shared" si="189"/>
        <v>58</v>
      </c>
      <c r="N377" s="7">
        <f t="shared" si="189"/>
        <v>59</v>
      </c>
      <c r="O377" s="7">
        <f t="shared" si="189"/>
        <v>60</v>
      </c>
      <c r="P377" s="7">
        <f t="shared" si="189"/>
        <v>61</v>
      </c>
      <c r="Q377" s="7">
        <f t="shared" si="189"/>
        <v>62</v>
      </c>
      <c r="R377" s="7">
        <f t="shared" si="189"/>
        <v>63</v>
      </c>
      <c r="S377" s="7">
        <f t="shared" si="189"/>
        <v>64</v>
      </c>
      <c r="T377" s="7">
        <f t="shared" si="189"/>
        <v>65</v>
      </c>
      <c r="U377" s="7">
        <f t="shared" si="189"/>
        <v>66</v>
      </c>
      <c r="V377" s="7">
        <f t="shared" si="189"/>
        <v>67</v>
      </c>
      <c r="W377" s="7">
        <f t="shared" si="189"/>
        <v>68</v>
      </c>
      <c r="X377" s="7">
        <f t="shared" si="189"/>
        <v>69</v>
      </c>
      <c r="Y377" s="7">
        <f t="shared" si="189"/>
        <v>70</v>
      </c>
      <c r="Z377" s="7">
        <f t="shared" si="189"/>
        <v>71</v>
      </c>
      <c r="AA377" s="7">
        <f t="shared" si="189"/>
        <v>72</v>
      </c>
      <c r="AB377" s="7">
        <f t="shared" si="189"/>
        <v>73</v>
      </c>
      <c r="AC377" s="7">
        <f t="shared" si="189"/>
        <v>74</v>
      </c>
      <c r="AD377" s="7">
        <f t="shared" si="189"/>
        <v>75</v>
      </c>
      <c r="AE377" s="7">
        <f t="shared" si="189"/>
        <v>76</v>
      </c>
      <c r="AF377" s="7">
        <f t="shared" si="189"/>
        <v>77</v>
      </c>
      <c r="AG377" s="7">
        <f t="shared" si="189"/>
        <v>78</v>
      </c>
      <c r="AH377" s="7">
        <f t="shared" si="189"/>
        <v>79</v>
      </c>
      <c r="AI377" s="7">
        <f t="shared" si="189"/>
        <v>80</v>
      </c>
      <c r="AJ377" s="7">
        <f t="shared" si="189"/>
        <v>81</v>
      </c>
      <c r="AK377" s="7">
        <f t="shared" si="189"/>
        <v>82</v>
      </c>
      <c r="AL377" s="7">
        <f t="shared" si="189"/>
        <v>83</v>
      </c>
      <c r="AM377" s="7">
        <f t="shared" si="189"/>
        <v>84</v>
      </c>
    </row>
    <row r="378" spans="1:39" x14ac:dyDescent="0.2">
      <c r="A378" s="3" t="s">
        <v>60</v>
      </c>
      <c r="C378" s="7"/>
      <c r="D378" s="101"/>
      <c r="E378" s="110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  <c r="AE378" s="7"/>
      <c r="AF378" s="7"/>
      <c r="AG378" s="7"/>
      <c r="AH378" s="7"/>
      <c r="AI378" s="7"/>
      <c r="AJ378" s="7"/>
      <c r="AK378" s="7"/>
      <c r="AL378" s="7"/>
      <c r="AM378" s="7"/>
    </row>
    <row r="379" spans="1:39" x14ac:dyDescent="0.2">
      <c r="A379" s="3" t="s">
        <v>8</v>
      </c>
      <c r="C379" s="7">
        <f t="shared" ref="C379:AM380" ca="1" si="190">C370</f>
        <v>62919.0625</v>
      </c>
      <c r="D379" s="101">
        <f t="shared" ca="1" si="190"/>
        <v>-6686.9640625000029</v>
      </c>
      <c r="E379" s="110">
        <f t="shared" ca="1" si="190"/>
        <v>-73625.926562499997</v>
      </c>
      <c r="F379" s="7">
        <f t="shared" ca="1" si="190"/>
        <v>-161484.68591812759</v>
      </c>
      <c r="G379" s="7">
        <f t="shared" ca="1" si="190"/>
        <v>-58269.408990775701</v>
      </c>
      <c r="H379" s="7">
        <f t="shared" ca="1" si="190"/>
        <v>-112472.76585056525</v>
      </c>
      <c r="I379" s="7">
        <f t="shared" ca="1" si="190"/>
        <v>-150621.01548603765</v>
      </c>
      <c r="J379" s="7">
        <f t="shared" ca="1" si="190"/>
        <v>-188794.21394526522</v>
      </c>
      <c r="K379" s="7">
        <f t="shared" ca="1" si="190"/>
        <v>-244780.42294287487</v>
      </c>
      <c r="L379" s="7">
        <f t="shared" ca="1" si="190"/>
        <v>-219268.56643475813</v>
      </c>
      <c r="M379" s="7">
        <f t="shared" ca="1" si="190"/>
        <v>-287526.439928559</v>
      </c>
      <c r="N379" s="7">
        <f t="shared" ca="1" si="190"/>
        <v>-307422.32027672138</v>
      </c>
      <c r="O379" s="7">
        <f t="shared" ca="1" si="190"/>
        <v>-327600.17623745633</v>
      </c>
      <c r="P379" s="7">
        <f t="shared" ca="1" si="190"/>
        <v>-348060.59455919417</v>
      </c>
      <c r="Q379" s="7">
        <f t="shared" ca="1" si="190"/>
        <v>-368803.98277981958</v>
      </c>
      <c r="R379" s="7">
        <f t="shared" ca="1" si="190"/>
        <v>-389830.55893003009</v>
      </c>
      <c r="S379" s="7">
        <f t="shared" ca="1" si="190"/>
        <v>-411140.34080478735</v>
      </c>
      <c r="T379" s="7">
        <f t="shared" ca="1" si="190"/>
        <v>-415691.01026164548</v>
      </c>
      <c r="U379" s="7">
        <f t="shared" ca="1" si="190"/>
        <v>-412299.92845362029</v>
      </c>
      <c r="V379" s="7">
        <f t="shared" ca="1" si="190"/>
        <v>-408559.128455239</v>
      </c>
      <c r="W379" s="7">
        <f t="shared" ca="1" si="190"/>
        <v>-404451.91907738801</v>
      </c>
      <c r="X379" s="7">
        <f t="shared" ca="1" si="190"/>
        <v>-399960.95340419537</v>
      </c>
      <c r="Y379" s="7">
        <f t="shared" ca="1" si="190"/>
        <v>-415727.06201741181</v>
      </c>
      <c r="Z379" s="7">
        <f t="shared" ca="1" si="190"/>
        <v>-431589.12975295464</v>
      </c>
      <c r="AA379" s="7">
        <f t="shared" ca="1" si="190"/>
        <v>-447540.60978109192</v>
      </c>
      <c r="AB379" s="7">
        <f t="shared" ca="1" si="190"/>
        <v>-463574.52322711475</v>
      </c>
      <c r="AC379" s="7">
        <f t="shared" ca="1" si="190"/>
        <v>-479683.44031898573</v>
      </c>
      <c r="AD379" s="7">
        <f t="shared" ca="1" si="190"/>
        <v>-495859.46082214196</v>
      </c>
      <c r="AE379" s="7">
        <f t="shared" ca="1" si="190"/>
        <v>-502111.71864259918</v>
      </c>
      <c r="AF379" s="7">
        <f t="shared" ca="1" si="190"/>
        <v>-508164.22416403121</v>
      </c>
      <c r="AG379" s="7">
        <f t="shared" ca="1" si="190"/>
        <v>-514001.30181662634</v>
      </c>
      <c r="AH379" s="7">
        <f t="shared" ca="1" si="190"/>
        <v>-519606.56368845748</v>
      </c>
      <c r="AI379" s="7">
        <f t="shared" ca="1" si="190"/>
        <v>-524962.88210334303</v>
      </c>
      <c r="AJ379" s="7">
        <f t="shared" ca="1" si="190"/>
        <v>-530052.36122474726</v>
      </c>
      <c r="AK379" s="7">
        <f t="shared" ca="1" si="190"/>
        <v>-534856.30765271757</v>
      </c>
      <c r="AL379" s="7">
        <f t="shared" ca="1" si="190"/>
        <v>-539355.19997977396</v>
      </c>
      <c r="AM379" s="7">
        <f t="shared" ca="1" si="190"/>
        <v>-543528.65727054514</v>
      </c>
    </row>
    <row r="380" spans="1:39" x14ac:dyDescent="0.2">
      <c r="A380" s="3" t="s">
        <v>27</v>
      </c>
      <c r="C380" s="7">
        <f t="shared" ca="1" si="190"/>
        <v>1680453.1852331229</v>
      </c>
      <c r="D380" s="101">
        <f t="shared" ca="1" si="190"/>
        <v>1664018.275758995</v>
      </c>
      <c r="E380" s="110">
        <f t="shared" ca="1" si="190"/>
        <v>1663555.9450033591</v>
      </c>
      <c r="F380" s="7">
        <f t="shared" ca="1" si="190"/>
        <v>1640648.7239732665</v>
      </c>
      <c r="G380" s="7">
        <f t="shared" ca="1" si="190"/>
        <v>1560760.1754599486</v>
      </c>
      <c r="H380" s="7">
        <f t="shared" ca="1" si="190"/>
        <v>1563266.2288398559</v>
      </c>
      <c r="I380" s="7">
        <f t="shared" ca="1" si="190"/>
        <v>1564614.0138474395</v>
      </c>
      <c r="J380" s="7">
        <f t="shared" ca="1" si="190"/>
        <v>1573193.9819361418</v>
      </c>
      <c r="K380" s="7">
        <f t="shared" ca="1" si="190"/>
        <v>1565048.3424039613</v>
      </c>
      <c r="L380" s="7">
        <f t="shared" ca="1" si="190"/>
        <v>1639172.2615443273</v>
      </c>
      <c r="M380" s="7">
        <f t="shared" ca="1" si="190"/>
        <v>1616598.7756683084</v>
      </c>
      <c r="N380" s="7">
        <f t="shared" ca="1" si="190"/>
        <v>1636811.826620992</v>
      </c>
      <c r="O380" s="7">
        <f t="shared" ca="1" si="190"/>
        <v>1663582.4828367315</v>
      </c>
      <c r="P380" s="7">
        <f t="shared" ca="1" si="190"/>
        <v>1691925.125583462</v>
      </c>
      <c r="Q380" s="7">
        <f t="shared" ca="1" si="190"/>
        <v>1721870.1715262688</v>
      </c>
      <c r="R380" s="7">
        <f t="shared" ca="1" si="190"/>
        <v>1755919.4310824042</v>
      </c>
      <c r="S380" s="7">
        <f t="shared" ca="1" si="190"/>
        <v>1791905.9659602651</v>
      </c>
      <c r="T380" s="7">
        <f t="shared" ca="1" si="190"/>
        <v>1846932.6020033048</v>
      </c>
      <c r="U380" s="7">
        <f t="shared" ca="1" si="190"/>
        <v>1912246.5391054538</v>
      </c>
      <c r="V380" s="7">
        <f t="shared" ca="1" si="190"/>
        <v>1963469.1217699451</v>
      </c>
      <c r="W380" s="7">
        <f t="shared" ca="1" si="190"/>
        <v>2034345.1855521537</v>
      </c>
      <c r="X380" s="7">
        <f t="shared" ca="1" si="190"/>
        <v>2108300.6777475635</v>
      </c>
      <c r="Y380" s="7">
        <f t="shared" ca="1" si="190"/>
        <v>2163225.5475595817</v>
      </c>
      <c r="Z380" s="7">
        <f t="shared" ca="1" si="190"/>
        <v>2220682.2731548203</v>
      </c>
      <c r="AA380" s="7">
        <f t="shared" ca="1" si="190"/>
        <v>2253540.0125407772</v>
      </c>
      <c r="AB380" s="7">
        <f t="shared" ca="1" si="190"/>
        <v>2312869.1723078256</v>
      </c>
      <c r="AC380" s="7">
        <f t="shared" ca="1" si="190"/>
        <v>2374668.8872413486</v>
      </c>
      <c r="AD380" s="7">
        <f t="shared" ca="1" si="190"/>
        <v>2439014.7306845388</v>
      </c>
      <c r="AE380" s="7">
        <f t="shared" ca="1" si="190"/>
        <v>2515968.1279172022</v>
      </c>
      <c r="AF380" s="7">
        <f t="shared" ca="1" si="190"/>
        <v>2595878.5834997031</v>
      </c>
      <c r="AG380" s="7">
        <f t="shared" ca="1" si="190"/>
        <v>2678838.3178215832</v>
      </c>
      <c r="AH380" s="7">
        <f t="shared" ca="1" si="190"/>
        <v>2766737.1917145234</v>
      </c>
      <c r="AI380" s="7">
        <f t="shared" ca="1" si="190"/>
        <v>2858125.8152292999</v>
      </c>
      <c r="AJ380" s="7">
        <f t="shared" ca="1" si="190"/>
        <v>2953133.4470868306</v>
      </c>
      <c r="AK380" s="7">
        <f t="shared" ca="1" si="190"/>
        <v>3051895.8551962902</v>
      </c>
      <c r="AL380" s="7">
        <f t="shared" ca="1" si="190"/>
        <v>3154555.6502018939</v>
      </c>
      <c r="AM380" s="7">
        <f t="shared" ca="1" si="190"/>
        <v>3261262.6427161228</v>
      </c>
    </row>
    <row r="381" spans="1:39" x14ac:dyDescent="0.2">
      <c r="A381" s="3" t="s">
        <v>61</v>
      </c>
      <c r="C381" s="7"/>
      <c r="D381" s="101"/>
      <c r="E381" s="110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  <c r="AE381" s="7"/>
      <c r="AF381" s="7"/>
      <c r="AG381" s="7"/>
      <c r="AH381" s="7"/>
      <c r="AI381" s="7"/>
      <c r="AJ381" s="7"/>
      <c r="AK381" s="7"/>
      <c r="AL381" s="7"/>
      <c r="AM381" s="7"/>
    </row>
    <row r="382" spans="1:39" x14ac:dyDescent="0.2">
      <c r="A382" s="16" t="s">
        <v>8</v>
      </c>
      <c r="C382" s="7">
        <f ca="1">C374</f>
        <v>109870.73521238755</v>
      </c>
      <c r="D382" s="101">
        <f t="shared" ref="D382:AM383" ca="1" si="191">D374</f>
        <v>124614.87941079485</v>
      </c>
      <c r="E382" s="110">
        <f t="shared" ca="1" si="191"/>
        <v>215076.06668918394</v>
      </c>
      <c r="F382" s="7">
        <f t="shared" ca="1" si="191"/>
        <v>127206.24373947346</v>
      </c>
      <c r="G382" s="7">
        <f t="shared" ca="1" si="191"/>
        <v>232711.67734335674</v>
      </c>
      <c r="H382" s="7">
        <f t="shared" ca="1" si="191"/>
        <v>179321.73641809248</v>
      </c>
      <c r="I382" s="7">
        <f t="shared" ca="1" si="191"/>
        <v>140950.88962435036</v>
      </c>
      <c r="J382" s="7">
        <f t="shared" ca="1" si="191"/>
        <v>229062.13035729429</v>
      </c>
      <c r="K382" s="7">
        <f t="shared" ca="1" si="191"/>
        <v>168063.23261060109</v>
      </c>
      <c r="L382" s="7">
        <f t="shared" ca="1" si="191"/>
        <v>188702.1052700505</v>
      </c>
      <c r="M382" s="7">
        <f t="shared" ca="1" si="191"/>
        <v>113712.40321337662</v>
      </c>
      <c r="N382" s="7">
        <f t="shared" ca="1" si="191"/>
        <v>86057.731206196739</v>
      </c>
      <c r="O382" s="7">
        <f t="shared" ca="1" si="191"/>
        <v>242027.88532400748</v>
      </c>
      <c r="P382" s="7">
        <f t="shared" ca="1" si="191"/>
        <v>207731.41495922045</v>
      </c>
      <c r="Q382" s="7">
        <f t="shared" ca="1" si="191"/>
        <v>171945.59134265</v>
      </c>
      <c r="R382" s="7">
        <f t="shared" ca="1" si="191"/>
        <v>134262.9653373333</v>
      </c>
      <c r="S382" s="7">
        <f t="shared" ca="1" si="191"/>
        <v>94642.441399338597</v>
      </c>
      <c r="T382" s="7">
        <f t="shared" ca="1" si="191"/>
        <v>70510.263969922482</v>
      </c>
      <c r="U382" s="7">
        <f t="shared" ca="1" si="191"/>
        <v>125958.70423331723</v>
      </c>
      <c r="V382" s="7">
        <f t="shared" ca="1" si="191"/>
        <v>109647.08406825736</v>
      </c>
      <c r="W382" s="7">
        <f t="shared" ca="1" si="191"/>
        <v>92631.814856256737</v>
      </c>
      <c r="X382" s="7">
        <f t="shared" ca="1" si="191"/>
        <v>429159.27979104465</v>
      </c>
      <c r="Y382" s="7">
        <f t="shared" ca="1" si="191"/>
        <v>388705.91028048279</v>
      </c>
      <c r="Z382" s="7">
        <f t="shared" ca="1" si="191"/>
        <v>346025.57863410452</v>
      </c>
      <c r="AA382" s="7">
        <f t="shared" ca="1" si="191"/>
        <v>300869.35748654528</v>
      </c>
      <c r="AB382" s="7">
        <f t="shared" ca="1" si="191"/>
        <v>253180.30083543458</v>
      </c>
      <c r="AC382" s="7">
        <f t="shared" ca="1" si="191"/>
        <v>202900.18756539875</v>
      </c>
      <c r="AD382" s="7">
        <f t="shared" ca="1" si="191"/>
        <v>149969.49402634538</v>
      </c>
      <c r="AE382" s="7">
        <f t="shared" ca="1" si="191"/>
        <v>104559.40303102252</v>
      </c>
      <c r="AF382" s="7">
        <f t="shared" ca="1" si="191"/>
        <v>668293.44654123939</v>
      </c>
      <c r="AG382" s="7">
        <f t="shared" ca="1" si="191"/>
        <v>622512.06018756866</v>
      </c>
      <c r="AH382" s="7">
        <f t="shared" ca="1" si="191"/>
        <v>573868.1354354911</v>
      </c>
      <c r="AI382" s="7">
        <f t="shared" ca="1" si="191"/>
        <v>522089.50081485481</v>
      </c>
      <c r="AJ382" s="7">
        <f t="shared" ca="1" si="191"/>
        <v>467097.78857894585</v>
      </c>
      <c r="AK382" s="7">
        <f t="shared" ca="1" si="191"/>
        <v>408812.6717873821</v>
      </c>
      <c r="AL382" s="7">
        <f t="shared" ca="1" si="191"/>
        <v>347151.81532627222</v>
      </c>
      <c r="AM382" s="86">
        <f t="shared" ca="1" si="191"/>
        <v>282030.82570387836</v>
      </c>
    </row>
    <row r="383" spans="1:39" x14ac:dyDescent="0.2">
      <c r="A383" s="16" t="s">
        <v>27</v>
      </c>
      <c r="C383" s="7">
        <f ca="1">C375</f>
        <v>1680419.572837129</v>
      </c>
      <c r="D383" s="101">
        <f t="shared" ca="1" si="191"/>
        <v>1667001.9504190523</v>
      </c>
      <c r="E383" s="110">
        <f t="shared" ca="1" si="191"/>
        <v>1644972.657124877</v>
      </c>
      <c r="F383" s="7">
        <f t="shared" ca="1" si="191"/>
        <v>1611245.3795523301</v>
      </c>
      <c r="G383" s="7">
        <f t="shared" ca="1" si="191"/>
        <v>1522753.2445202188</v>
      </c>
      <c r="H383" s="7">
        <f t="shared" ca="1" si="191"/>
        <v>1515181.8037838382</v>
      </c>
      <c r="I383" s="7">
        <f t="shared" ca="1" si="191"/>
        <v>1519635.3738002756</v>
      </c>
      <c r="J383" s="7">
        <f t="shared" ca="1" si="191"/>
        <v>1495615.7101465701</v>
      </c>
      <c r="K383" s="7">
        <f t="shared" ca="1" si="191"/>
        <v>1469488.319679406</v>
      </c>
      <c r="L383" s="7">
        <f t="shared" ca="1" si="191"/>
        <v>1525165.7529145433</v>
      </c>
      <c r="M383" s="7">
        <f t="shared" ca="1" si="191"/>
        <v>1481536.8761629304</v>
      </c>
      <c r="N383" s="7">
        <f t="shared" ca="1" si="191"/>
        <v>1486620.5084261768</v>
      </c>
      <c r="O383" s="7">
        <f t="shared" ca="1" si="191"/>
        <v>1458067.6843784342</v>
      </c>
      <c r="P383" s="7">
        <f t="shared" ca="1" si="191"/>
        <v>1452764.8799842305</v>
      </c>
      <c r="Q383" s="7">
        <f t="shared" ca="1" si="191"/>
        <v>1447216.9087174134</v>
      </c>
      <c r="R383" s="7">
        <f t="shared" ca="1" si="191"/>
        <v>1441034.9282123926</v>
      </c>
      <c r="S383" s="7">
        <f t="shared" ca="1" si="191"/>
        <v>1434197.94384075</v>
      </c>
      <c r="T383" s="7">
        <f t="shared" ca="1" si="191"/>
        <v>1444153.7931306714</v>
      </c>
      <c r="U383" s="7">
        <f t="shared" ca="1" si="191"/>
        <v>1466217.5689026904</v>
      </c>
      <c r="V383" s="7">
        <f t="shared" ca="1" si="191"/>
        <v>1490113.7146777115</v>
      </c>
      <c r="W383" s="7">
        <f t="shared" ca="1" si="191"/>
        <v>1514512.4443839947</v>
      </c>
      <c r="X383" s="7">
        <f t="shared" ca="1" si="191"/>
        <v>1475257.1715150236</v>
      </c>
      <c r="Y383" s="7">
        <f t="shared" ca="1" si="191"/>
        <v>1466186.7387561812</v>
      </c>
      <c r="Z383" s="7">
        <f t="shared" ca="1" si="191"/>
        <v>1455830.8319640737</v>
      </c>
      <c r="AA383" s="7">
        <f t="shared" ca="1" si="191"/>
        <v>1443968.7684164136</v>
      </c>
      <c r="AB383" s="7">
        <f t="shared" ca="1" si="191"/>
        <v>1430572.694093199</v>
      </c>
      <c r="AC383" s="7">
        <f t="shared" ca="1" si="191"/>
        <v>1415614.3526208964</v>
      </c>
      <c r="AD383" s="7">
        <f t="shared" ca="1" si="191"/>
        <v>1399065.0840335079</v>
      </c>
      <c r="AE383" s="7">
        <f t="shared" ca="1" si="191"/>
        <v>1391127.8607383999</v>
      </c>
      <c r="AF383" s="7">
        <f t="shared" ca="1" si="191"/>
        <v>1270641.4062860566</v>
      </c>
      <c r="AG383" s="7">
        <f t="shared" ca="1" si="191"/>
        <v>1242930.4587247306</v>
      </c>
      <c r="AH383" s="7">
        <f t="shared" ca="1" si="191"/>
        <v>1212899.0859287679</v>
      </c>
      <c r="AI383" s="7">
        <f t="shared" ca="1" si="191"/>
        <v>1180291.3798229299</v>
      </c>
      <c r="AJ383" s="7">
        <f t="shared" ca="1" si="191"/>
        <v>1145045.7239572632</v>
      </c>
      <c r="AK383" s="7">
        <f t="shared" ca="1" si="191"/>
        <v>1107099.0452270489</v>
      </c>
      <c r="AL383" s="7">
        <f t="shared" ca="1" si="191"/>
        <v>1066386.779969129</v>
      </c>
      <c r="AM383" s="87">
        <f t="shared" ca="1" si="191"/>
        <v>1022842.839286021</v>
      </c>
    </row>
    <row r="384" spans="1:39" x14ac:dyDescent="0.2">
      <c r="C384" s="7"/>
      <c r="D384" s="101"/>
      <c r="E384" s="110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  <c r="AE384" s="7"/>
      <c r="AF384" s="7"/>
      <c r="AG384" s="7"/>
      <c r="AH384" s="7"/>
      <c r="AI384" s="7"/>
      <c r="AJ384" s="7"/>
      <c r="AK384" s="7"/>
      <c r="AL384" s="7"/>
      <c r="AM384" s="7"/>
    </row>
    <row r="385" spans="1:39" x14ac:dyDescent="0.2">
      <c r="A385" s="16" t="s">
        <v>177</v>
      </c>
      <c r="C385" s="7">
        <f t="shared" ref="C385:AM385" si="192">buffer</f>
        <v>50000</v>
      </c>
      <c r="D385" s="101">
        <f t="shared" si="192"/>
        <v>50000</v>
      </c>
      <c r="E385" s="110">
        <f t="shared" si="192"/>
        <v>50000</v>
      </c>
      <c r="F385" s="7">
        <f t="shared" si="192"/>
        <v>50000</v>
      </c>
      <c r="G385" s="7">
        <f t="shared" si="192"/>
        <v>50000</v>
      </c>
      <c r="H385" s="7">
        <f t="shared" si="192"/>
        <v>50000</v>
      </c>
      <c r="I385" s="7">
        <f t="shared" si="192"/>
        <v>50000</v>
      </c>
      <c r="J385" s="7">
        <f t="shared" si="192"/>
        <v>50000</v>
      </c>
      <c r="K385" s="7">
        <f t="shared" si="192"/>
        <v>50000</v>
      </c>
      <c r="L385" s="7">
        <f t="shared" si="192"/>
        <v>50000</v>
      </c>
      <c r="M385" s="7">
        <f t="shared" si="192"/>
        <v>50000</v>
      </c>
      <c r="N385" s="7">
        <f t="shared" si="192"/>
        <v>50000</v>
      </c>
      <c r="O385" s="7">
        <f t="shared" si="192"/>
        <v>50000</v>
      </c>
      <c r="P385" s="7">
        <f t="shared" si="192"/>
        <v>50000</v>
      </c>
      <c r="Q385" s="7">
        <f t="shared" si="192"/>
        <v>50000</v>
      </c>
      <c r="R385" s="7">
        <f t="shared" si="192"/>
        <v>50000</v>
      </c>
      <c r="S385" s="7">
        <f t="shared" si="192"/>
        <v>50000</v>
      </c>
      <c r="T385" s="7">
        <f t="shared" si="192"/>
        <v>50000</v>
      </c>
      <c r="U385" s="7">
        <f t="shared" si="192"/>
        <v>50000</v>
      </c>
      <c r="V385" s="7">
        <f t="shared" si="192"/>
        <v>50000</v>
      </c>
      <c r="W385" s="7">
        <f t="shared" si="192"/>
        <v>50000</v>
      </c>
      <c r="X385" s="7">
        <f t="shared" si="192"/>
        <v>50000</v>
      </c>
      <c r="Y385" s="7">
        <f t="shared" si="192"/>
        <v>50000</v>
      </c>
      <c r="Z385" s="7">
        <f t="shared" si="192"/>
        <v>50000</v>
      </c>
      <c r="AA385" s="7">
        <f t="shared" si="192"/>
        <v>50000</v>
      </c>
      <c r="AB385" s="7">
        <f t="shared" si="192"/>
        <v>50000</v>
      </c>
      <c r="AC385" s="7">
        <f t="shared" si="192"/>
        <v>50000</v>
      </c>
      <c r="AD385" s="7">
        <f t="shared" si="192"/>
        <v>50000</v>
      </c>
      <c r="AE385" s="7">
        <f t="shared" si="192"/>
        <v>50000</v>
      </c>
      <c r="AF385" s="7">
        <f t="shared" si="192"/>
        <v>50000</v>
      </c>
      <c r="AG385" s="7">
        <f t="shared" si="192"/>
        <v>50000</v>
      </c>
      <c r="AH385" s="7">
        <f t="shared" si="192"/>
        <v>50000</v>
      </c>
      <c r="AI385" s="7">
        <f t="shared" si="192"/>
        <v>50000</v>
      </c>
      <c r="AJ385" s="7">
        <f t="shared" si="192"/>
        <v>50000</v>
      </c>
      <c r="AK385" s="7">
        <f t="shared" si="192"/>
        <v>50000</v>
      </c>
      <c r="AL385" s="7">
        <f t="shared" si="192"/>
        <v>50000</v>
      </c>
      <c r="AM385" s="7">
        <f t="shared" si="192"/>
        <v>50000</v>
      </c>
    </row>
    <row r="386" spans="1:39" x14ac:dyDescent="0.2">
      <c r="A386" s="16" t="s">
        <v>175</v>
      </c>
      <c r="C386" s="7">
        <f t="shared" ref="C386:AM386" si="193">legacy</f>
        <v>1000000</v>
      </c>
      <c r="D386" s="101">
        <f t="shared" si="193"/>
        <v>1000000</v>
      </c>
      <c r="E386" s="110">
        <f t="shared" si="193"/>
        <v>1000000</v>
      </c>
      <c r="F386" s="7">
        <f t="shared" si="193"/>
        <v>1000000</v>
      </c>
      <c r="G386" s="7">
        <f t="shared" si="193"/>
        <v>1000000</v>
      </c>
      <c r="H386" s="7">
        <f t="shared" si="193"/>
        <v>1000000</v>
      </c>
      <c r="I386" s="7">
        <f t="shared" si="193"/>
        <v>1000000</v>
      </c>
      <c r="J386" s="7">
        <f t="shared" si="193"/>
        <v>1000000</v>
      </c>
      <c r="K386" s="7">
        <f t="shared" si="193"/>
        <v>1000000</v>
      </c>
      <c r="L386" s="7">
        <f t="shared" si="193"/>
        <v>1000000</v>
      </c>
      <c r="M386" s="7">
        <f t="shared" si="193"/>
        <v>1000000</v>
      </c>
      <c r="N386" s="7">
        <f t="shared" si="193"/>
        <v>1000000</v>
      </c>
      <c r="O386" s="7">
        <f t="shared" si="193"/>
        <v>1000000</v>
      </c>
      <c r="P386" s="7">
        <f t="shared" si="193"/>
        <v>1000000</v>
      </c>
      <c r="Q386" s="7">
        <f t="shared" si="193"/>
        <v>1000000</v>
      </c>
      <c r="R386" s="7">
        <f t="shared" si="193"/>
        <v>1000000</v>
      </c>
      <c r="S386" s="7">
        <f t="shared" si="193"/>
        <v>1000000</v>
      </c>
      <c r="T386" s="7">
        <f t="shared" si="193"/>
        <v>1000000</v>
      </c>
      <c r="U386" s="7">
        <f t="shared" si="193"/>
        <v>1000000</v>
      </c>
      <c r="V386" s="7">
        <f t="shared" si="193"/>
        <v>1000000</v>
      </c>
      <c r="W386" s="7">
        <f t="shared" si="193"/>
        <v>1000000</v>
      </c>
      <c r="X386" s="7">
        <f t="shared" si="193"/>
        <v>1000000</v>
      </c>
      <c r="Y386" s="7">
        <f t="shared" si="193"/>
        <v>1000000</v>
      </c>
      <c r="Z386" s="7">
        <f t="shared" si="193"/>
        <v>1000000</v>
      </c>
      <c r="AA386" s="7">
        <f t="shared" si="193"/>
        <v>1000000</v>
      </c>
      <c r="AB386" s="7">
        <f t="shared" si="193"/>
        <v>1000000</v>
      </c>
      <c r="AC386" s="7">
        <f t="shared" si="193"/>
        <v>1000000</v>
      </c>
      <c r="AD386" s="7">
        <f t="shared" si="193"/>
        <v>1000000</v>
      </c>
      <c r="AE386" s="7">
        <f t="shared" si="193"/>
        <v>1000000</v>
      </c>
      <c r="AF386" s="7">
        <f t="shared" si="193"/>
        <v>1000000</v>
      </c>
      <c r="AG386" s="7">
        <f t="shared" si="193"/>
        <v>1000000</v>
      </c>
      <c r="AH386" s="7">
        <f t="shared" si="193"/>
        <v>1000000</v>
      </c>
      <c r="AI386" s="7">
        <f t="shared" si="193"/>
        <v>1000000</v>
      </c>
      <c r="AJ386" s="7">
        <f t="shared" si="193"/>
        <v>1000000</v>
      </c>
      <c r="AK386" s="7">
        <f t="shared" si="193"/>
        <v>1000000</v>
      </c>
      <c r="AL386" s="7">
        <f t="shared" si="193"/>
        <v>1000000</v>
      </c>
      <c r="AM386" s="7">
        <f t="shared" si="193"/>
        <v>1000000</v>
      </c>
    </row>
    <row r="387" spans="1:39" x14ac:dyDescent="0.2">
      <c r="C387" s="7"/>
      <c r="D387" s="101"/>
      <c r="E387" s="110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  <c r="AE387" s="7"/>
      <c r="AF387" s="7"/>
      <c r="AG387" s="7"/>
      <c r="AH387" s="7"/>
      <c r="AI387" s="7"/>
      <c r="AJ387" s="7"/>
      <c r="AK387" s="7"/>
      <c r="AL387" s="7"/>
      <c r="AM387" s="7"/>
    </row>
    <row r="388" spans="1:39" x14ac:dyDescent="0.2">
      <c r="A388" s="16" t="s">
        <v>229</v>
      </c>
      <c r="C388" s="7">
        <v>109871</v>
      </c>
      <c r="D388" s="101">
        <v>127210</v>
      </c>
      <c r="E388" s="110">
        <v>136336</v>
      </c>
      <c r="F388" s="7">
        <v>50271</v>
      </c>
      <c r="G388" s="7">
        <v>157525</v>
      </c>
      <c r="H388" s="7">
        <v>105375</v>
      </c>
      <c r="I388" s="7">
        <v>158142</v>
      </c>
      <c r="J388" s="7">
        <v>119214</v>
      </c>
      <c r="K388" s="7">
        <v>61075</v>
      </c>
      <c r="L388" s="7">
        <v>220279</v>
      </c>
      <c r="M388" s="7">
        <v>146025</v>
      </c>
      <c r="N388" s="7">
        <v>119304</v>
      </c>
      <c r="O388" s="7">
        <v>91250</v>
      </c>
      <c r="P388" s="7">
        <v>252346</v>
      </c>
      <c r="Q388" s="7">
        <v>217468</v>
      </c>
      <c r="R388" s="7">
        <v>181016</v>
      </c>
      <c r="S388" s="7">
        <v>142627</v>
      </c>
      <c r="T388" s="7">
        <v>119726</v>
      </c>
      <c r="U388" s="7">
        <v>103658</v>
      </c>
      <c r="V388" s="7">
        <v>86803</v>
      </c>
      <c r="W388" s="7">
        <v>69148</v>
      </c>
      <c r="X388" s="7">
        <v>113052</v>
      </c>
      <c r="Y388" s="7">
        <v>439018</v>
      </c>
      <c r="Z388" s="7">
        <v>397722</v>
      </c>
      <c r="AA388" s="7">
        <v>354046</v>
      </c>
      <c r="AB388" s="7">
        <v>307838</v>
      </c>
      <c r="AC388" s="7">
        <v>259038</v>
      </c>
      <c r="AD388" s="7">
        <v>207587</v>
      </c>
      <c r="AE388" s="7">
        <v>163657</v>
      </c>
      <c r="AF388" s="7">
        <v>117459</v>
      </c>
      <c r="AG388" s="7">
        <v>698697</v>
      </c>
      <c r="AH388" s="7">
        <v>651843</v>
      </c>
      <c r="AI388" s="7">
        <v>602323</v>
      </c>
      <c r="AJ388" s="7">
        <v>549591</v>
      </c>
      <c r="AK388" s="7">
        <v>493565</v>
      </c>
      <c r="AL388" s="7">
        <v>434163</v>
      </c>
      <c r="AM388" s="7">
        <v>371301</v>
      </c>
    </row>
    <row r="389" spans="1:39" x14ac:dyDescent="0.2">
      <c r="C389" s="7"/>
      <c r="D389" s="101"/>
      <c r="E389" s="110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  <c r="AE389" s="7"/>
      <c r="AF389" s="7"/>
      <c r="AG389" s="7"/>
      <c r="AH389" s="7"/>
      <c r="AI389" s="7"/>
      <c r="AJ389" s="7"/>
      <c r="AK389" s="7"/>
      <c r="AL389" s="7"/>
      <c r="AM389" s="7"/>
    </row>
    <row r="390" spans="1:39" x14ac:dyDescent="0.2">
      <c r="C390" s="7">
        <f ca="1">C382-C388</f>
        <v>-0.26478761245380156</v>
      </c>
      <c r="D390" s="7">
        <f t="shared" ref="D390:AM390" ca="1" si="194">D382-D388</f>
        <v>-2595.1205892051512</v>
      </c>
      <c r="E390" s="110">
        <f t="shared" ca="1" si="194"/>
        <v>78740.066689183936</v>
      </c>
      <c r="F390" s="7">
        <f t="shared" ca="1" si="194"/>
        <v>76935.243739473459</v>
      </c>
      <c r="G390" s="7">
        <f t="shared" ca="1" si="194"/>
        <v>75186.677343356743</v>
      </c>
      <c r="H390" s="7">
        <f t="shared" ca="1" si="194"/>
        <v>73946.736418092478</v>
      </c>
      <c r="I390" s="7">
        <f t="shared" ca="1" si="194"/>
        <v>-17191.110375649645</v>
      </c>
      <c r="J390" s="7">
        <f t="shared" ca="1" si="194"/>
        <v>109848.13035729429</v>
      </c>
      <c r="K390" s="7">
        <f t="shared" ca="1" si="194"/>
        <v>106988.23261060109</v>
      </c>
      <c r="L390" s="7">
        <f t="shared" ca="1" si="194"/>
        <v>-31576.894729949505</v>
      </c>
      <c r="M390" s="7">
        <f t="shared" ca="1" si="194"/>
        <v>-32312.596786623384</v>
      </c>
      <c r="N390" s="7">
        <f t="shared" ca="1" si="194"/>
        <v>-33246.268793803261</v>
      </c>
      <c r="O390" s="7">
        <f t="shared" ca="1" si="194"/>
        <v>150777.88532400748</v>
      </c>
      <c r="P390" s="7">
        <f t="shared" ca="1" si="194"/>
        <v>-44614.585040779551</v>
      </c>
      <c r="Q390" s="7">
        <f t="shared" ca="1" si="194"/>
        <v>-45522.408657349995</v>
      </c>
      <c r="R390" s="7">
        <f t="shared" ca="1" si="194"/>
        <v>-46753.034662666701</v>
      </c>
      <c r="S390" s="7">
        <f t="shared" ca="1" si="194"/>
        <v>-47984.558600661403</v>
      </c>
      <c r="T390" s="7">
        <f t="shared" ca="1" si="194"/>
        <v>-49215.736030077518</v>
      </c>
      <c r="U390" s="7">
        <f t="shared" ca="1" si="194"/>
        <v>22300.704233317228</v>
      </c>
      <c r="V390" s="7">
        <f t="shared" ca="1" si="194"/>
        <v>22844.084068257362</v>
      </c>
      <c r="W390" s="7">
        <f t="shared" ca="1" si="194"/>
        <v>23483.814856256737</v>
      </c>
      <c r="X390" s="7">
        <f t="shared" ca="1" si="194"/>
        <v>316107.27979104465</v>
      </c>
      <c r="Y390" s="7">
        <f t="shared" ca="1" si="194"/>
        <v>-50312.089719517215</v>
      </c>
      <c r="Z390" s="7">
        <f t="shared" ca="1" si="194"/>
        <v>-51696.421365895483</v>
      </c>
      <c r="AA390" s="7">
        <f t="shared" ca="1" si="194"/>
        <v>-53176.642513454717</v>
      </c>
      <c r="AB390" s="7">
        <f t="shared" ca="1" si="194"/>
        <v>-54657.69916456542</v>
      </c>
      <c r="AC390" s="7">
        <f t="shared" ca="1" si="194"/>
        <v>-56137.812434601248</v>
      </c>
      <c r="AD390" s="7">
        <f t="shared" ca="1" si="194"/>
        <v>-57617.505973654625</v>
      </c>
      <c r="AE390" s="7">
        <f t="shared" ca="1" si="194"/>
        <v>-59097.596968977479</v>
      </c>
      <c r="AF390" s="7">
        <f t="shared" ca="1" si="194"/>
        <v>550834.44654123939</v>
      </c>
      <c r="AG390" s="7">
        <f t="shared" ca="1" si="194"/>
        <v>-76184.939812431345</v>
      </c>
      <c r="AH390" s="7">
        <f t="shared" ca="1" si="194"/>
        <v>-77974.864564508898</v>
      </c>
      <c r="AI390" s="7">
        <f t="shared" ca="1" si="194"/>
        <v>-80233.499185145192</v>
      </c>
      <c r="AJ390" s="7">
        <f t="shared" ca="1" si="194"/>
        <v>-82493.211421054148</v>
      </c>
      <c r="AK390" s="7">
        <f t="shared" ca="1" si="194"/>
        <v>-84752.328212617896</v>
      </c>
      <c r="AL390" s="7">
        <f t="shared" ca="1" si="194"/>
        <v>-87011.184673727781</v>
      </c>
      <c r="AM390" s="7">
        <f t="shared" ca="1" si="194"/>
        <v>-89270.174296121637</v>
      </c>
    </row>
    <row r="391" spans="1:39" x14ac:dyDescent="0.2">
      <c r="C391" s="7"/>
      <c r="D391" s="101"/>
      <c r="E391" s="110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  <c r="AE391" s="7"/>
      <c r="AF391" s="7"/>
      <c r="AG391" s="7"/>
      <c r="AH391" s="7"/>
      <c r="AI391" s="7"/>
      <c r="AJ391" s="7"/>
      <c r="AK391" s="7"/>
      <c r="AL391" s="7"/>
      <c r="AM391" s="7"/>
    </row>
    <row r="392" spans="1:39" x14ac:dyDescent="0.2">
      <c r="C392" s="7"/>
      <c r="D392" s="101"/>
      <c r="E392" s="110"/>
      <c r="F392" s="101"/>
      <c r="G392" s="101"/>
      <c r="H392" s="101"/>
      <c r="I392" s="101"/>
      <c r="J392" s="101"/>
      <c r="K392" s="101"/>
      <c r="L392" s="101"/>
      <c r="M392" s="101"/>
      <c r="N392" s="101"/>
      <c r="O392" s="101"/>
      <c r="P392" s="101"/>
      <c r="Q392" s="101"/>
      <c r="R392" s="101"/>
      <c r="S392" s="101"/>
      <c r="T392" s="101"/>
      <c r="U392" s="101"/>
      <c r="V392" s="101"/>
      <c r="W392" s="101"/>
      <c r="X392" s="101"/>
      <c r="Y392" s="101"/>
      <c r="Z392" s="101"/>
      <c r="AA392" s="101"/>
      <c r="AB392" s="101"/>
      <c r="AC392" s="101"/>
      <c r="AD392" s="101"/>
      <c r="AE392" s="101"/>
      <c r="AF392" s="101"/>
      <c r="AG392" s="101"/>
      <c r="AH392" s="101"/>
      <c r="AI392" s="101"/>
      <c r="AJ392" s="101"/>
      <c r="AK392" s="101"/>
      <c r="AL392" s="101"/>
      <c r="AM392" s="101"/>
    </row>
    <row r="393" spans="1:39" x14ac:dyDescent="0.2">
      <c r="C393" s="7"/>
      <c r="D393" s="101"/>
      <c r="E393" s="110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  <c r="AE393" s="7"/>
      <c r="AF393" s="7"/>
      <c r="AG393" s="7"/>
      <c r="AH393" s="7"/>
      <c r="AI393" s="7"/>
      <c r="AJ393" s="7"/>
      <c r="AK393" s="7"/>
      <c r="AL393" s="7"/>
      <c r="AM393" s="7"/>
    </row>
    <row r="394" spans="1:39" x14ac:dyDescent="0.2">
      <c r="C394" s="7"/>
      <c r="D394" s="101"/>
      <c r="E394" s="110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  <c r="AE394" s="7"/>
      <c r="AF394" s="7"/>
      <c r="AG394" s="7"/>
      <c r="AH394" s="7"/>
      <c r="AI394" s="7"/>
      <c r="AJ394" s="7"/>
      <c r="AK394" s="7"/>
      <c r="AL394" s="7"/>
      <c r="AM394" s="7"/>
    </row>
    <row r="395" spans="1:39" x14ac:dyDescent="0.2">
      <c r="C395" s="7"/>
      <c r="D395" s="101"/>
      <c r="E395" s="110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  <c r="AE395" s="7"/>
      <c r="AF395" s="7"/>
      <c r="AG395" s="7"/>
      <c r="AH395" s="7"/>
      <c r="AI395" s="7"/>
      <c r="AJ395" s="7"/>
      <c r="AK395" s="7"/>
      <c r="AL395" s="7"/>
      <c r="AM395" s="7"/>
    </row>
    <row r="396" spans="1:39" x14ac:dyDescent="0.2">
      <c r="C396" s="7"/>
      <c r="D396" s="101"/>
      <c r="E396" s="110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  <c r="AE396" s="7"/>
      <c r="AF396" s="7"/>
      <c r="AG396" s="7"/>
      <c r="AH396" s="7"/>
      <c r="AI396" s="7"/>
      <c r="AJ396" s="7"/>
      <c r="AK396" s="7"/>
      <c r="AL396" s="7"/>
      <c r="AM396" s="7"/>
    </row>
    <row r="397" spans="1:39" x14ac:dyDescent="0.2">
      <c r="C397" s="7"/>
      <c r="D397" s="101"/>
      <c r="E397" s="110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  <c r="AE397" s="7"/>
      <c r="AF397" s="7"/>
      <c r="AG397" s="7"/>
      <c r="AH397" s="7"/>
      <c r="AI397" s="7"/>
      <c r="AJ397" s="7"/>
      <c r="AK397" s="7"/>
      <c r="AL397" s="7"/>
      <c r="AM397" s="7"/>
    </row>
    <row r="398" spans="1:39" x14ac:dyDescent="0.2">
      <c r="C398" s="7"/>
      <c r="D398" s="101"/>
      <c r="E398" s="110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  <c r="AE398" s="7"/>
      <c r="AF398" s="7"/>
      <c r="AG398" s="7"/>
      <c r="AH398" s="7"/>
      <c r="AI398" s="7"/>
      <c r="AJ398" s="7"/>
      <c r="AK398" s="7"/>
      <c r="AL398" s="7"/>
      <c r="AM398" s="7"/>
    </row>
    <row r="399" spans="1:39" x14ac:dyDescent="0.2">
      <c r="C399" s="7"/>
      <c r="D399" s="101"/>
      <c r="E399" s="110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  <c r="AE399" s="7"/>
      <c r="AF399" s="7"/>
      <c r="AG399" s="7"/>
      <c r="AH399" s="7"/>
      <c r="AI399" s="7"/>
      <c r="AJ399" s="7"/>
      <c r="AK399" s="7"/>
      <c r="AL399" s="7"/>
      <c r="AM399" s="7"/>
    </row>
    <row r="400" spans="1:39" x14ac:dyDescent="0.2">
      <c r="C400" s="7"/>
      <c r="D400" s="101"/>
      <c r="E400" s="110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  <c r="AE400" s="7"/>
      <c r="AF400" s="7"/>
      <c r="AG400" s="7"/>
      <c r="AH400" s="7"/>
      <c r="AI400" s="7"/>
      <c r="AJ400" s="7"/>
      <c r="AK400" s="7"/>
      <c r="AL400" s="7"/>
      <c r="AM400" s="7"/>
    </row>
    <row r="401" spans="3:39" x14ac:dyDescent="0.2">
      <c r="C401" s="7"/>
      <c r="D401" s="101"/>
      <c r="E401" s="110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  <c r="AE401" s="7"/>
      <c r="AF401" s="7"/>
      <c r="AG401" s="7"/>
      <c r="AH401" s="7"/>
      <c r="AI401" s="7"/>
      <c r="AJ401" s="7"/>
      <c r="AK401" s="7"/>
      <c r="AL401" s="7"/>
      <c r="AM401" s="7"/>
    </row>
    <row r="402" spans="3:39" x14ac:dyDescent="0.2">
      <c r="C402" s="7"/>
      <c r="D402" s="101"/>
      <c r="E402" s="110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  <c r="AE402" s="7"/>
      <c r="AF402" s="7"/>
      <c r="AG402" s="7"/>
      <c r="AH402" s="7"/>
      <c r="AI402" s="7"/>
      <c r="AJ402" s="7"/>
      <c r="AK402" s="7"/>
      <c r="AL402" s="7"/>
      <c r="AM402" s="7"/>
    </row>
    <row r="403" spans="3:39" x14ac:dyDescent="0.2">
      <c r="C403" s="7"/>
      <c r="D403" s="101"/>
      <c r="E403" s="110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  <c r="AE403" s="7"/>
      <c r="AF403" s="7"/>
      <c r="AG403" s="7"/>
      <c r="AH403" s="7"/>
      <c r="AI403" s="7"/>
      <c r="AJ403" s="7"/>
      <c r="AK403" s="7"/>
      <c r="AL403" s="7"/>
      <c r="AM403" s="7"/>
    </row>
    <row r="404" spans="3:39" x14ac:dyDescent="0.2">
      <c r="C404" s="7"/>
      <c r="D404" s="101"/>
      <c r="E404" s="110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  <c r="AE404" s="7"/>
      <c r="AF404" s="7"/>
      <c r="AG404" s="7"/>
      <c r="AH404" s="7"/>
      <c r="AI404" s="7"/>
      <c r="AJ404" s="7"/>
      <c r="AK404" s="7"/>
      <c r="AL404" s="7"/>
      <c r="AM404" s="7"/>
    </row>
    <row r="405" spans="3:39" x14ac:dyDescent="0.2">
      <c r="C405" s="7"/>
      <c r="D405" s="101"/>
      <c r="E405" s="110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  <c r="AE405" s="7"/>
      <c r="AF405" s="7"/>
      <c r="AG405" s="7"/>
      <c r="AH405" s="7"/>
      <c r="AI405" s="7"/>
      <c r="AJ405" s="7"/>
      <c r="AK405" s="7"/>
      <c r="AL405" s="7"/>
      <c r="AM405" s="7"/>
    </row>
    <row r="406" spans="3:39" x14ac:dyDescent="0.2">
      <c r="C406" s="7"/>
      <c r="D406" s="101"/>
      <c r="E406" s="110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  <c r="AE406" s="7"/>
      <c r="AF406" s="7"/>
      <c r="AG406" s="7"/>
      <c r="AH406" s="7"/>
      <c r="AI406" s="7"/>
      <c r="AJ406" s="7"/>
      <c r="AK406" s="7"/>
      <c r="AL406" s="7"/>
      <c r="AM406" s="7"/>
    </row>
    <row r="407" spans="3:39" x14ac:dyDescent="0.2">
      <c r="C407" s="7"/>
      <c r="D407" s="101"/>
      <c r="E407" s="110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  <c r="AE407" s="7"/>
      <c r="AF407" s="7"/>
      <c r="AG407" s="7"/>
      <c r="AH407" s="7"/>
      <c r="AI407" s="7"/>
      <c r="AJ407" s="7"/>
      <c r="AK407" s="7"/>
      <c r="AL407" s="7"/>
      <c r="AM407" s="7"/>
    </row>
    <row r="408" spans="3:39" x14ac:dyDescent="0.2">
      <c r="C408" s="7"/>
      <c r="D408" s="101"/>
      <c r="E408" s="110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  <c r="AE408" s="7"/>
      <c r="AF408" s="7"/>
      <c r="AG408" s="7"/>
      <c r="AH408" s="7"/>
      <c r="AI408" s="7"/>
      <c r="AJ408" s="7"/>
      <c r="AK408" s="7"/>
      <c r="AL408" s="7"/>
      <c r="AM408" s="7"/>
    </row>
    <row r="409" spans="3:39" x14ac:dyDescent="0.2">
      <c r="C409" s="7"/>
      <c r="D409" s="101"/>
      <c r="E409" s="110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  <c r="AE409" s="7"/>
      <c r="AF409" s="7"/>
      <c r="AG409" s="7"/>
      <c r="AH409" s="7"/>
      <c r="AI409" s="7"/>
      <c r="AJ409" s="7"/>
      <c r="AK409" s="7"/>
      <c r="AL409" s="7"/>
      <c r="AM409" s="7"/>
    </row>
    <row r="410" spans="3:39" x14ac:dyDescent="0.2">
      <c r="C410" s="7"/>
      <c r="D410" s="101"/>
      <c r="E410" s="110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  <c r="AE410" s="7"/>
      <c r="AF410" s="7"/>
      <c r="AG410" s="7"/>
      <c r="AH410" s="7"/>
      <c r="AI410" s="7"/>
      <c r="AJ410" s="7"/>
      <c r="AK410" s="7"/>
      <c r="AL410" s="7"/>
      <c r="AM410" s="7"/>
    </row>
    <row r="411" spans="3:39" x14ac:dyDescent="0.2">
      <c r="C411" s="7"/>
      <c r="D411" s="101"/>
      <c r="E411" s="110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  <c r="AE411" s="7"/>
      <c r="AF411" s="7"/>
      <c r="AG411" s="7"/>
      <c r="AH411" s="7"/>
      <c r="AI411" s="7"/>
      <c r="AJ411" s="7"/>
      <c r="AK411" s="7"/>
      <c r="AL411" s="7"/>
      <c r="AM411" s="7"/>
    </row>
    <row r="412" spans="3:39" x14ac:dyDescent="0.2">
      <c r="C412" s="7"/>
      <c r="D412" s="101"/>
      <c r="E412" s="110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  <c r="AE412" s="7"/>
      <c r="AF412" s="7"/>
      <c r="AG412" s="7"/>
      <c r="AH412" s="7"/>
      <c r="AI412" s="7"/>
      <c r="AJ412" s="7"/>
      <c r="AK412" s="7"/>
      <c r="AL412" s="7"/>
      <c r="AM412" s="7"/>
    </row>
    <row r="413" spans="3:39" x14ac:dyDescent="0.2">
      <c r="C413" s="7"/>
      <c r="D413" s="101"/>
      <c r="E413" s="110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  <c r="AE413" s="7"/>
      <c r="AF413" s="7"/>
      <c r="AG413" s="7"/>
      <c r="AH413" s="7"/>
      <c r="AI413" s="7"/>
      <c r="AJ413" s="7"/>
      <c r="AK413" s="7"/>
      <c r="AL413" s="7"/>
      <c r="AM413" s="7"/>
    </row>
    <row r="414" spans="3:39" x14ac:dyDescent="0.2">
      <c r="C414" s="7"/>
      <c r="D414" s="101"/>
      <c r="E414" s="110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  <c r="AE414" s="7"/>
      <c r="AF414" s="7"/>
      <c r="AG414" s="7"/>
      <c r="AH414" s="7"/>
      <c r="AI414" s="7"/>
      <c r="AJ414" s="7"/>
      <c r="AK414" s="7"/>
      <c r="AL414" s="7"/>
      <c r="AM414" s="7"/>
    </row>
    <row r="415" spans="3:39" x14ac:dyDescent="0.2">
      <c r="C415" s="7"/>
      <c r="D415" s="101"/>
      <c r="E415" s="110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  <c r="AE415" s="7"/>
      <c r="AF415" s="7"/>
      <c r="AG415" s="7"/>
      <c r="AH415" s="7"/>
      <c r="AI415" s="7"/>
      <c r="AJ415" s="7"/>
      <c r="AK415" s="7"/>
      <c r="AL415" s="7"/>
      <c r="AM415" s="7"/>
    </row>
    <row r="416" spans="3:39" x14ac:dyDescent="0.2">
      <c r="C416" s="7"/>
      <c r="D416" s="101"/>
      <c r="E416" s="110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  <c r="AE416" s="7"/>
      <c r="AF416" s="7"/>
      <c r="AG416" s="7"/>
      <c r="AH416" s="7"/>
      <c r="AI416" s="7"/>
      <c r="AJ416" s="7"/>
      <c r="AK416" s="7"/>
      <c r="AL416" s="7"/>
      <c r="AM416" s="7"/>
    </row>
    <row r="417" spans="3:39" x14ac:dyDescent="0.2">
      <c r="C417" s="7"/>
      <c r="D417" s="101"/>
      <c r="E417" s="110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  <c r="AE417" s="7"/>
      <c r="AF417" s="7"/>
      <c r="AG417" s="7"/>
      <c r="AH417" s="7"/>
      <c r="AI417" s="7"/>
      <c r="AJ417" s="7"/>
      <c r="AK417" s="7"/>
      <c r="AL417" s="7"/>
      <c r="AM417" s="7"/>
    </row>
    <row r="418" spans="3:39" x14ac:dyDescent="0.2">
      <c r="C418" s="7"/>
      <c r="D418" s="101"/>
      <c r="E418" s="110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  <c r="AE418" s="7"/>
      <c r="AF418" s="7"/>
      <c r="AG418" s="7"/>
      <c r="AH418" s="7"/>
      <c r="AI418" s="7"/>
      <c r="AJ418" s="7"/>
      <c r="AK418" s="7"/>
      <c r="AL418" s="7"/>
      <c r="AM418" s="7"/>
    </row>
    <row r="419" spans="3:39" x14ac:dyDescent="0.2">
      <c r="C419" s="7"/>
      <c r="D419" s="101"/>
      <c r="E419" s="110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  <c r="AE419" s="7"/>
      <c r="AF419" s="7"/>
      <c r="AG419" s="7"/>
      <c r="AH419" s="7"/>
      <c r="AI419" s="7"/>
      <c r="AJ419" s="7"/>
      <c r="AK419" s="7"/>
      <c r="AL419" s="7"/>
      <c r="AM419" s="7"/>
    </row>
    <row r="420" spans="3:39" x14ac:dyDescent="0.2">
      <c r="C420" s="7"/>
      <c r="D420" s="101"/>
      <c r="E420" s="110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  <c r="AE420" s="7"/>
      <c r="AF420" s="7"/>
      <c r="AG420" s="7"/>
      <c r="AH420" s="7"/>
      <c r="AI420" s="7"/>
      <c r="AJ420" s="7"/>
      <c r="AK420" s="7"/>
      <c r="AL420" s="7"/>
      <c r="AM420" s="7"/>
    </row>
    <row r="421" spans="3:39" x14ac:dyDescent="0.2">
      <c r="C421" s="7"/>
      <c r="D421" s="101"/>
      <c r="E421" s="110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  <c r="AE421" s="7"/>
      <c r="AF421" s="7"/>
      <c r="AG421" s="7"/>
      <c r="AH421" s="7"/>
      <c r="AI421" s="7"/>
      <c r="AJ421" s="7"/>
      <c r="AK421" s="7"/>
      <c r="AL421" s="7"/>
      <c r="AM421" s="7"/>
    </row>
    <row r="422" spans="3:39" x14ac:dyDescent="0.2">
      <c r="C422" s="7"/>
      <c r="D422" s="101"/>
      <c r="E422" s="110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  <c r="AE422" s="7"/>
      <c r="AF422" s="7"/>
      <c r="AG422" s="7"/>
      <c r="AH422" s="7"/>
      <c r="AI422" s="7"/>
      <c r="AJ422" s="7"/>
      <c r="AK422" s="7"/>
      <c r="AL422" s="7"/>
      <c r="AM422" s="7"/>
    </row>
    <row r="423" spans="3:39" x14ac:dyDescent="0.2">
      <c r="C423" s="7"/>
      <c r="D423" s="101"/>
      <c r="E423" s="110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  <c r="AE423" s="7"/>
      <c r="AF423" s="7"/>
      <c r="AG423" s="7"/>
      <c r="AH423" s="7"/>
      <c r="AI423" s="7"/>
      <c r="AJ423" s="7"/>
      <c r="AK423" s="7"/>
      <c r="AL423" s="7"/>
      <c r="AM423" s="7"/>
    </row>
    <row r="424" spans="3:39" x14ac:dyDescent="0.2">
      <c r="C424" s="7"/>
      <c r="D424" s="101"/>
      <c r="E424" s="110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  <c r="AE424" s="7"/>
      <c r="AF424" s="7"/>
      <c r="AG424" s="7"/>
      <c r="AH424" s="7"/>
      <c r="AI424" s="7"/>
      <c r="AJ424" s="7"/>
      <c r="AK424" s="7"/>
      <c r="AL424" s="7"/>
      <c r="AM424" s="7"/>
    </row>
    <row r="425" spans="3:39" x14ac:dyDescent="0.2">
      <c r="C425" s="7"/>
      <c r="D425" s="101"/>
      <c r="E425" s="110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  <c r="AE425" s="7"/>
      <c r="AF425" s="7"/>
      <c r="AG425" s="7"/>
      <c r="AH425" s="7"/>
      <c r="AI425" s="7"/>
      <c r="AJ425" s="7"/>
      <c r="AK425" s="7"/>
      <c r="AL425" s="7"/>
      <c r="AM425" s="7"/>
    </row>
    <row r="426" spans="3:39" x14ac:dyDescent="0.2">
      <c r="C426" s="7"/>
      <c r="D426" s="101"/>
      <c r="E426" s="110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  <c r="AE426" s="7"/>
      <c r="AF426" s="7"/>
      <c r="AG426" s="7"/>
      <c r="AH426" s="7"/>
      <c r="AI426" s="7"/>
      <c r="AJ426" s="7"/>
      <c r="AK426" s="7"/>
      <c r="AL426" s="7"/>
      <c r="AM426" s="7"/>
    </row>
    <row r="427" spans="3:39" x14ac:dyDescent="0.2">
      <c r="C427" s="7"/>
      <c r="D427" s="101"/>
      <c r="E427" s="110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  <c r="AE427" s="7"/>
      <c r="AF427" s="7"/>
      <c r="AG427" s="7"/>
      <c r="AH427" s="7"/>
      <c r="AI427" s="7"/>
      <c r="AJ427" s="7"/>
      <c r="AK427" s="7"/>
      <c r="AL427" s="7"/>
      <c r="AM427" s="7"/>
    </row>
    <row r="428" spans="3:39" x14ac:dyDescent="0.2">
      <c r="C428" s="7"/>
      <c r="D428" s="101"/>
      <c r="E428" s="110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  <c r="AE428" s="7"/>
      <c r="AF428" s="7"/>
      <c r="AG428" s="7"/>
      <c r="AH428" s="7"/>
      <c r="AI428" s="7"/>
      <c r="AJ428" s="7"/>
      <c r="AK428" s="7"/>
      <c r="AL428" s="7"/>
      <c r="AM428" s="7"/>
    </row>
    <row r="429" spans="3:39" x14ac:dyDescent="0.2">
      <c r="C429" s="7"/>
      <c r="D429" s="101"/>
      <c r="E429" s="110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  <c r="AE429" s="7"/>
      <c r="AF429" s="7"/>
      <c r="AG429" s="7"/>
      <c r="AH429" s="7"/>
      <c r="AI429" s="7"/>
      <c r="AJ429" s="7"/>
      <c r="AK429" s="7"/>
      <c r="AL429" s="7"/>
      <c r="AM429" s="7"/>
    </row>
    <row r="430" spans="3:39" x14ac:dyDescent="0.2">
      <c r="C430" s="7"/>
      <c r="D430" s="101"/>
      <c r="E430" s="110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  <c r="AE430" s="7"/>
      <c r="AF430" s="7"/>
      <c r="AG430" s="7"/>
      <c r="AH430" s="7"/>
      <c r="AI430" s="7"/>
      <c r="AJ430" s="7"/>
      <c r="AK430" s="7"/>
      <c r="AL430" s="7"/>
      <c r="AM430" s="7"/>
    </row>
    <row r="431" spans="3:39" x14ac:dyDescent="0.2">
      <c r="C431" s="7"/>
      <c r="D431" s="101"/>
      <c r="E431" s="110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  <c r="AE431" s="7"/>
      <c r="AF431" s="7"/>
      <c r="AG431" s="7"/>
      <c r="AH431" s="7"/>
      <c r="AI431" s="7"/>
      <c r="AJ431" s="7"/>
      <c r="AK431" s="7"/>
      <c r="AL431" s="7"/>
      <c r="AM431" s="7"/>
    </row>
    <row r="432" spans="3:39" x14ac:dyDescent="0.2">
      <c r="C432" s="7"/>
      <c r="D432" s="101"/>
      <c r="E432" s="110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  <c r="AE432" s="7"/>
      <c r="AF432" s="7"/>
      <c r="AG432" s="7"/>
      <c r="AH432" s="7"/>
      <c r="AI432" s="7"/>
      <c r="AJ432" s="7"/>
      <c r="AK432" s="7"/>
      <c r="AL432" s="7"/>
      <c r="AM432" s="7"/>
    </row>
    <row r="433" spans="3:39" x14ac:dyDescent="0.2">
      <c r="C433" s="7"/>
      <c r="D433" s="101"/>
      <c r="E433" s="110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  <c r="AE433" s="7"/>
      <c r="AF433" s="7"/>
      <c r="AG433" s="7"/>
      <c r="AH433" s="7"/>
      <c r="AI433" s="7"/>
      <c r="AJ433" s="7"/>
      <c r="AK433" s="7"/>
      <c r="AL433" s="7"/>
      <c r="AM433" s="7"/>
    </row>
    <row r="434" spans="3:39" x14ac:dyDescent="0.2">
      <c r="C434" s="7"/>
      <c r="D434" s="101"/>
      <c r="E434" s="110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  <c r="AE434" s="7"/>
      <c r="AF434" s="7"/>
      <c r="AG434" s="7"/>
      <c r="AH434" s="7"/>
      <c r="AI434" s="7"/>
      <c r="AJ434" s="7"/>
      <c r="AK434" s="7"/>
      <c r="AL434" s="7"/>
      <c r="AM434" s="7"/>
    </row>
    <row r="435" spans="3:39" x14ac:dyDescent="0.2">
      <c r="C435" s="7"/>
      <c r="D435" s="101"/>
      <c r="E435" s="110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  <c r="AE435" s="7"/>
      <c r="AF435" s="7"/>
      <c r="AG435" s="7"/>
      <c r="AH435" s="7"/>
      <c r="AI435" s="7"/>
      <c r="AJ435" s="7"/>
      <c r="AK435" s="7"/>
      <c r="AL435" s="7"/>
      <c r="AM435" s="7"/>
    </row>
    <row r="436" spans="3:39" x14ac:dyDescent="0.2">
      <c r="C436" s="7"/>
      <c r="D436" s="101"/>
      <c r="E436" s="110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  <c r="AE436" s="7"/>
      <c r="AF436" s="7"/>
      <c r="AG436" s="7"/>
      <c r="AH436" s="7"/>
      <c r="AI436" s="7"/>
      <c r="AJ436" s="7"/>
      <c r="AK436" s="7"/>
      <c r="AL436" s="7"/>
      <c r="AM436" s="7"/>
    </row>
    <row r="437" spans="3:39" x14ac:dyDescent="0.2">
      <c r="C437" s="7"/>
      <c r="D437" s="101"/>
      <c r="E437" s="110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  <c r="AE437" s="7"/>
      <c r="AF437" s="7"/>
      <c r="AG437" s="7"/>
      <c r="AH437" s="7"/>
      <c r="AI437" s="7"/>
      <c r="AJ437" s="7"/>
      <c r="AK437" s="7"/>
      <c r="AL437" s="7"/>
      <c r="AM437" s="7"/>
    </row>
    <row r="438" spans="3:39" x14ac:dyDescent="0.2">
      <c r="C438" s="7"/>
      <c r="D438" s="101"/>
      <c r="E438" s="110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  <c r="AE438" s="7"/>
      <c r="AF438" s="7"/>
      <c r="AG438" s="7"/>
      <c r="AH438" s="7"/>
      <c r="AI438" s="7"/>
      <c r="AJ438" s="7"/>
      <c r="AK438" s="7"/>
      <c r="AL438" s="7"/>
      <c r="AM438" s="7"/>
    </row>
    <row r="439" spans="3:39" x14ac:dyDescent="0.2">
      <c r="C439" s="7"/>
      <c r="D439" s="101"/>
      <c r="E439" s="110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  <c r="AE439" s="7"/>
      <c r="AF439" s="7"/>
      <c r="AG439" s="7"/>
      <c r="AH439" s="7"/>
      <c r="AI439" s="7"/>
      <c r="AJ439" s="7"/>
      <c r="AK439" s="7"/>
      <c r="AL439" s="7"/>
      <c r="AM439" s="7"/>
    </row>
    <row r="440" spans="3:39" x14ac:dyDescent="0.2">
      <c r="C440" s="7"/>
      <c r="D440" s="101"/>
      <c r="E440" s="110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  <c r="AE440" s="7"/>
      <c r="AF440" s="7"/>
      <c r="AG440" s="7"/>
      <c r="AH440" s="7"/>
      <c r="AI440" s="7"/>
      <c r="AJ440" s="7"/>
      <c r="AK440" s="7"/>
      <c r="AL440" s="7"/>
      <c r="AM440" s="7"/>
    </row>
    <row r="441" spans="3:39" x14ac:dyDescent="0.2">
      <c r="C441" s="7"/>
      <c r="D441" s="101"/>
      <c r="E441" s="110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  <c r="AE441" s="7"/>
      <c r="AF441" s="7"/>
      <c r="AG441" s="7"/>
      <c r="AH441" s="7"/>
      <c r="AI441" s="7"/>
      <c r="AJ441" s="7"/>
      <c r="AK441" s="7"/>
      <c r="AL441" s="7"/>
      <c r="AM441" s="7"/>
    </row>
    <row r="442" spans="3:39" x14ac:dyDescent="0.2">
      <c r="C442" s="7"/>
      <c r="D442" s="101"/>
      <c r="E442" s="110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  <c r="AE442" s="7"/>
      <c r="AF442" s="7"/>
      <c r="AG442" s="7"/>
      <c r="AH442" s="7"/>
      <c r="AI442" s="7"/>
      <c r="AJ442" s="7"/>
      <c r="AK442" s="7"/>
      <c r="AL442" s="7"/>
      <c r="AM442" s="7"/>
    </row>
    <row r="443" spans="3:39" x14ac:dyDescent="0.2">
      <c r="C443" s="7"/>
      <c r="D443" s="101"/>
      <c r="E443" s="110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  <c r="AE443" s="7"/>
      <c r="AF443" s="7"/>
      <c r="AG443" s="7"/>
      <c r="AH443" s="7"/>
      <c r="AI443" s="7"/>
      <c r="AJ443" s="7"/>
      <c r="AK443" s="7"/>
      <c r="AL443" s="7"/>
      <c r="AM443" s="7"/>
    </row>
    <row r="444" spans="3:39" x14ac:dyDescent="0.2">
      <c r="C444" s="7"/>
      <c r="D444" s="101"/>
      <c r="E444" s="110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  <c r="AE444" s="7"/>
      <c r="AF444" s="7"/>
      <c r="AG444" s="7"/>
      <c r="AH444" s="7"/>
      <c r="AI444" s="7"/>
      <c r="AJ444" s="7"/>
      <c r="AK444" s="7"/>
      <c r="AL444" s="7"/>
      <c r="AM444" s="7"/>
    </row>
    <row r="445" spans="3:39" x14ac:dyDescent="0.2">
      <c r="C445" s="7"/>
      <c r="D445" s="101"/>
      <c r="E445" s="110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  <c r="AE445" s="7"/>
      <c r="AF445" s="7"/>
      <c r="AG445" s="7"/>
      <c r="AH445" s="7"/>
      <c r="AI445" s="7"/>
      <c r="AJ445" s="7"/>
      <c r="AK445" s="7"/>
      <c r="AL445" s="7"/>
      <c r="AM445" s="7"/>
    </row>
    <row r="446" spans="3:39" x14ac:dyDescent="0.2">
      <c r="C446" s="7"/>
      <c r="D446" s="101"/>
      <c r="E446" s="110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  <c r="AE446" s="7"/>
      <c r="AF446" s="7"/>
      <c r="AG446" s="7"/>
      <c r="AH446" s="7"/>
      <c r="AI446" s="7"/>
      <c r="AJ446" s="7"/>
      <c r="AK446" s="7"/>
      <c r="AL446" s="7"/>
      <c r="AM446" s="7"/>
    </row>
    <row r="447" spans="3:39" x14ac:dyDescent="0.2">
      <c r="C447" s="7"/>
      <c r="D447" s="101"/>
      <c r="E447" s="110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  <c r="AE447" s="7"/>
      <c r="AF447" s="7"/>
      <c r="AG447" s="7"/>
      <c r="AH447" s="7"/>
      <c r="AI447" s="7"/>
      <c r="AJ447" s="7"/>
      <c r="AK447" s="7"/>
      <c r="AL447" s="7"/>
      <c r="AM447" s="7"/>
    </row>
    <row r="448" spans="3:39" x14ac:dyDescent="0.2">
      <c r="C448" s="7"/>
      <c r="D448" s="101"/>
      <c r="E448" s="110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  <c r="AE448" s="7"/>
      <c r="AF448" s="7"/>
      <c r="AG448" s="7"/>
      <c r="AH448" s="7"/>
      <c r="AI448" s="7"/>
      <c r="AJ448" s="7"/>
      <c r="AK448" s="7"/>
      <c r="AL448" s="7"/>
      <c r="AM448" s="7"/>
    </row>
    <row r="449" spans="3:39" x14ac:dyDescent="0.2">
      <c r="C449" s="7"/>
      <c r="D449" s="101"/>
      <c r="E449" s="110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  <c r="AE449" s="7"/>
      <c r="AF449" s="7"/>
      <c r="AG449" s="7"/>
      <c r="AH449" s="7"/>
      <c r="AI449" s="7"/>
      <c r="AJ449" s="7"/>
      <c r="AK449" s="7"/>
      <c r="AL449" s="7"/>
      <c r="AM449" s="7"/>
    </row>
    <row r="450" spans="3:39" x14ac:dyDescent="0.2">
      <c r="C450" s="7"/>
      <c r="D450" s="101"/>
      <c r="E450" s="110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  <c r="AE450" s="7"/>
      <c r="AF450" s="7"/>
      <c r="AG450" s="7"/>
      <c r="AH450" s="7"/>
      <c r="AI450" s="7"/>
      <c r="AJ450" s="7"/>
      <c r="AK450" s="7"/>
      <c r="AL450" s="7"/>
      <c r="AM450" s="7"/>
    </row>
    <row r="451" spans="3:39" x14ac:dyDescent="0.2">
      <c r="C451" s="7"/>
      <c r="D451" s="101"/>
      <c r="E451" s="110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  <c r="AE451" s="7"/>
      <c r="AF451" s="7"/>
      <c r="AG451" s="7"/>
      <c r="AH451" s="7"/>
      <c r="AI451" s="7"/>
      <c r="AJ451" s="7"/>
      <c r="AK451" s="7"/>
      <c r="AL451" s="7"/>
      <c r="AM451" s="7"/>
    </row>
    <row r="452" spans="3:39" x14ac:dyDescent="0.2">
      <c r="C452" s="7"/>
      <c r="D452" s="101"/>
      <c r="E452" s="110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  <c r="AE452" s="7"/>
      <c r="AF452" s="7"/>
      <c r="AG452" s="7"/>
      <c r="AH452" s="7"/>
      <c r="AI452" s="7"/>
      <c r="AJ452" s="7"/>
      <c r="AK452" s="7"/>
      <c r="AL452" s="7"/>
      <c r="AM452" s="7"/>
    </row>
    <row r="453" spans="3:39" x14ac:dyDescent="0.2">
      <c r="C453" s="7"/>
      <c r="D453" s="101"/>
      <c r="E453" s="110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  <c r="AE453" s="7"/>
      <c r="AF453" s="7"/>
      <c r="AG453" s="7"/>
      <c r="AH453" s="7"/>
      <c r="AI453" s="7"/>
      <c r="AJ453" s="7"/>
      <c r="AK453" s="7"/>
      <c r="AL453" s="7"/>
      <c r="AM453" s="7"/>
    </row>
    <row r="454" spans="3:39" x14ac:dyDescent="0.2">
      <c r="C454" s="7"/>
      <c r="D454" s="101"/>
      <c r="E454" s="110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  <c r="AE454" s="7"/>
      <c r="AF454" s="7"/>
      <c r="AG454" s="7"/>
      <c r="AH454" s="7"/>
      <c r="AI454" s="7"/>
      <c r="AJ454" s="7"/>
      <c r="AK454" s="7"/>
      <c r="AL454" s="7"/>
      <c r="AM454" s="7"/>
    </row>
    <row r="455" spans="3:39" x14ac:dyDescent="0.2">
      <c r="C455" s="7"/>
      <c r="D455" s="101"/>
      <c r="E455" s="110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  <c r="AE455" s="7"/>
      <c r="AF455" s="7"/>
      <c r="AG455" s="7"/>
      <c r="AH455" s="7"/>
      <c r="AI455" s="7"/>
      <c r="AJ455" s="7"/>
      <c r="AK455" s="7"/>
      <c r="AL455" s="7"/>
      <c r="AM455" s="7"/>
    </row>
    <row r="456" spans="3:39" x14ac:dyDescent="0.2">
      <c r="C456" s="7"/>
      <c r="D456" s="101"/>
      <c r="E456" s="110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  <c r="AE456" s="7"/>
      <c r="AF456" s="7"/>
      <c r="AG456" s="7"/>
      <c r="AH456" s="7"/>
      <c r="AI456" s="7"/>
      <c r="AJ456" s="7"/>
      <c r="AK456" s="7"/>
      <c r="AL456" s="7"/>
      <c r="AM456" s="7"/>
    </row>
    <row r="457" spans="3:39" x14ac:dyDescent="0.2">
      <c r="C457" s="7"/>
      <c r="D457" s="101"/>
      <c r="E457" s="110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  <c r="AE457" s="7"/>
      <c r="AF457" s="7"/>
      <c r="AG457" s="7"/>
      <c r="AH457" s="7"/>
      <c r="AI457" s="7"/>
      <c r="AJ457" s="7"/>
      <c r="AK457" s="7"/>
      <c r="AL457" s="7"/>
      <c r="AM457" s="7"/>
    </row>
    <row r="458" spans="3:39" x14ac:dyDescent="0.2">
      <c r="C458" s="7"/>
      <c r="D458" s="101"/>
      <c r="E458" s="110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  <c r="AE458" s="7"/>
      <c r="AF458" s="7"/>
      <c r="AG458" s="7"/>
      <c r="AH458" s="7"/>
      <c r="AI458" s="7"/>
      <c r="AJ458" s="7"/>
      <c r="AK458" s="7"/>
      <c r="AL458" s="7"/>
      <c r="AM458" s="7"/>
    </row>
    <row r="459" spans="3:39" x14ac:dyDescent="0.2">
      <c r="C459" s="7"/>
      <c r="D459" s="101"/>
      <c r="E459" s="110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  <c r="AE459" s="7"/>
      <c r="AF459" s="7"/>
      <c r="AG459" s="7"/>
      <c r="AH459" s="7"/>
      <c r="AI459" s="7"/>
      <c r="AJ459" s="7"/>
      <c r="AK459" s="7"/>
      <c r="AL459" s="7"/>
      <c r="AM459" s="7"/>
    </row>
    <row r="460" spans="3:39" x14ac:dyDescent="0.2">
      <c r="C460" s="7"/>
      <c r="D460" s="101"/>
      <c r="E460" s="110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  <c r="AE460" s="7"/>
      <c r="AF460" s="7"/>
      <c r="AG460" s="7"/>
      <c r="AH460" s="7"/>
      <c r="AI460" s="7"/>
      <c r="AJ460" s="7"/>
      <c r="AK460" s="7"/>
      <c r="AL460" s="7"/>
      <c r="AM460" s="7"/>
    </row>
    <row r="461" spans="3:39" x14ac:dyDescent="0.2">
      <c r="C461" s="7"/>
      <c r="D461" s="101"/>
      <c r="E461" s="110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  <c r="AE461" s="7"/>
      <c r="AF461" s="7"/>
      <c r="AG461" s="7"/>
      <c r="AH461" s="7"/>
      <c r="AI461" s="7"/>
      <c r="AJ461" s="7"/>
      <c r="AK461" s="7"/>
      <c r="AL461" s="7"/>
      <c r="AM461" s="7"/>
    </row>
    <row r="462" spans="3:39" x14ac:dyDescent="0.2">
      <c r="C462" s="7"/>
      <c r="D462" s="101"/>
      <c r="E462" s="110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  <c r="AE462" s="7"/>
      <c r="AF462" s="7"/>
      <c r="AG462" s="7"/>
      <c r="AH462" s="7"/>
      <c r="AI462" s="7"/>
      <c r="AJ462" s="7"/>
      <c r="AK462" s="7"/>
      <c r="AL462" s="7"/>
      <c r="AM462" s="7"/>
    </row>
    <row r="463" spans="3:39" x14ac:dyDescent="0.2">
      <c r="C463" s="7"/>
      <c r="D463" s="101"/>
      <c r="E463" s="110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  <c r="AE463" s="7"/>
      <c r="AF463" s="7"/>
      <c r="AG463" s="7"/>
      <c r="AH463" s="7"/>
      <c r="AI463" s="7"/>
      <c r="AJ463" s="7"/>
      <c r="AK463" s="7"/>
      <c r="AL463" s="7"/>
      <c r="AM463" s="7"/>
    </row>
    <row r="464" spans="3:39" x14ac:dyDescent="0.2">
      <c r="C464" s="7"/>
      <c r="D464" s="101"/>
      <c r="E464" s="110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  <c r="AE464" s="7"/>
      <c r="AF464" s="7"/>
      <c r="AG464" s="7"/>
      <c r="AH464" s="7"/>
      <c r="AI464" s="7"/>
      <c r="AJ464" s="7"/>
      <c r="AK464" s="7"/>
      <c r="AL464" s="7"/>
      <c r="AM464" s="7"/>
    </row>
    <row r="465" spans="3:39" x14ac:dyDescent="0.2">
      <c r="C465" s="7"/>
      <c r="D465" s="101"/>
      <c r="E465" s="110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  <c r="AE465" s="7"/>
      <c r="AF465" s="7"/>
      <c r="AG465" s="7"/>
      <c r="AH465" s="7"/>
      <c r="AI465" s="7"/>
      <c r="AJ465" s="7"/>
      <c r="AK465" s="7"/>
      <c r="AL465" s="7"/>
      <c r="AM465" s="7"/>
    </row>
    <row r="466" spans="3:39" x14ac:dyDescent="0.2">
      <c r="C466" s="7"/>
      <c r="D466" s="101"/>
      <c r="E466" s="110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  <c r="AE466" s="7"/>
      <c r="AF466" s="7"/>
      <c r="AG466" s="7"/>
      <c r="AH466" s="7"/>
      <c r="AI466" s="7"/>
      <c r="AJ466" s="7"/>
      <c r="AK466" s="7"/>
      <c r="AL466" s="7"/>
      <c r="AM466" s="7"/>
    </row>
    <row r="467" spans="3:39" x14ac:dyDescent="0.2">
      <c r="C467" s="7"/>
      <c r="D467" s="101"/>
      <c r="E467" s="110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  <c r="AE467" s="7"/>
      <c r="AF467" s="7"/>
      <c r="AG467" s="7"/>
      <c r="AH467" s="7"/>
      <c r="AI467" s="7"/>
      <c r="AJ467" s="7"/>
      <c r="AK467" s="7"/>
      <c r="AL467" s="7"/>
      <c r="AM467" s="7"/>
    </row>
    <row r="468" spans="3:39" x14ac:dyDescent="0.2">
      <c r="C468" s="7"/>
      <c r="D468" s="101"/>
      <c r="E468" s="110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  <c r="AE468" s="7"/>
      <c r="AF468" s="7"/>
      <c r="AG468" s="7"/>
      <c r="AH468" s="7"/>
      <c r="AI468" s="7"/>
      <c r="AJ468" s="7"/>
      <c r="AK468" s="7"/>
      <c r="AL468" s="7"/>
      <c r="AM468" s="7"/>
    </row>
    <row r="469" spans="3:39" x14ac:dyDescent="0.2">
      <c r="C469" s="7"/>
      <c r="D469" s="101"/>
      <c r="E469" s="110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  <c r="AE469" s="7"/>
      <c r="AF469" s="7"/>
      <c r="AG469" s="7"/>
      <c r="AH469" s="7"/>
      <c r="AI469" s="7"/>
      <c r="AJ469" s="7"/>
      <c r="AK469" s="7"/>
      <c r="AL469" s="7"/>
      <c r="AM469" s="7"/>
    </row>
    <row r="470" spans="3:39" x14ac:dyDescent="0.2">
      <c r="C470" s="7"/>
      <c r="D470" s="101"/>
      <c r="E470" s="110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  <c r="AE470" s="7"/>
      <c r="AF470" s="7"/>
      <c r="AG470" s="7"/>
      <c r="AH470" s="7"/>
      <c r="AI470" s="7"/>
      <c r="AJ470" s="7"/>
      <c r="AK470" s="7"/>
      <c r="AL470" s="7"/>
      <c r="AM470" s="7"/>
    </row>
    <row r="471" spans="3:39" x14ac:dyDescent="0.2">
      <c r="C471" s="7"/>
      <c r="D471" s="101"/>
      <c r="E471" s="110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  <c r="AE471" s="7"/>
      <c r="AF471" s="7"/>
      <c r="AG471" s="7"/>
      <c r="AH471" s="7"/>
      <c r="AI471" s="7"/>
      <c r="AJ471" s="7"/>
      <c r="AK471" s="7"/>
      <c r="AL471" s="7"/>
      <c r="AM471" s="7"/>
    </row>
    <row r="472" spans="3:39" x14ac:dyDescent="0.2">
      <c r="C472" s="7"/>
      <c r="D472" s="101"/>
      <c r="E472" s="110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  <c r="AE472" s="7"/>
      <c r="AF472" s="7"/>
      <c r="AG472" s="7"/>
      <c r="AH472" s="7"/>
      <c r="AI472" s="7"/>
      <c r="AJ472" s="7"/>
      <c r="AK472" s="7"/>
      <c r="AL472" s="7"/>
      <c r="AM472" s="7"/>
    </row>
    <row r="473" spans="3:39" x14ac:dyDescent="0.2">
      <c r="C473" s="7"/>
      <c r="D473" s="101"/>
      <c r="E473" s="110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  <c r="AE473" s="7"/>
      <c r="AF473" s="7"/>
      <c r="AG473" s="7"/>
      <c r="AH473" s="7"/>
      <c r="AI473" s="7"/>
      <c r="AJ473" s="7"/>
      <c r="AK473" s="7"/>
      <c r="AL473" s="7"/>
      <c r="AM473" s="7"/>
    </row>
    <row r="474" spans="3:39" x14ac:dyDescent="0.2">
      <c r="C474" s="7"/>
      <c r="D474" s="101"/>
      <c r="E474" s="110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  <c r="AE474" s="7"/>
      <c r="AF474" s="7"/>
      <c r="AG474" s="7"/>
      <c r="AH474" s="7"/>
      <c r="AI474" s="7"/>
      <c r="AJ474" s="7"/>
      <c r="AK474" s="7"/>
      <c r="AL474" s="7"/>
      <c r="AM474" s="7"/>
    </row>
    <row r="475" spans="3:39" x14ac:dyDescent="0.2">
      <c r="C475" s="7"/>
      <c r="D475" s="101"/>
      <c r="E475" s="110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  <c r="AE475" s="7"/>
      <c r="AF475" s="7"/>
      <c r="AG475" s="7"/>
      <c r="AH475" s="7"/>
      <c r="AI475" s="7"/>
      <c r="AJ475" s="7"/>
      <c r="AK475" s="7"/>
      <c r="AL475" s="7"/>
      <c r="AM475" s="7"/>
    </row>
    <row r="476" spans="3:39" x14ac:dyDescent="0.2">
      <c r="C476" s="7"/>
      <c r="D476" s="101"/>
      <c r="E476" s="110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  <c r="AE476" s="7"/>
      <c r="AF476" s="7"/>
      <c r="AG476" s="7"/>
      <c r="AH476" s="7"/>
      <c r="AI476" s="7"/>
      <c r="AJ476" s="7"/>
      <c r="AK476" s="7"/>
      <c r="AL476" s="7"/>
      <c r="AM476" s="7"/>
    </row>
    <row r="477" spans="3:39" x14ac:dyDescent="0.2">
      <c r="C477" s="7"/>
      <c r="D477" s="101"/>
      <c r="E477" s="110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  <c r="AE477" s="7"/>
      <c r="AF477" s="7"/>
      <c r="AG477" s="7"/>
      <c r="AH477" s="7"/>
      <c r="AI477" s="7"/>
      <c r="AJ477" s="7"/>
      <c r="AK477" s="7"/>
      <c r="AL477" s="7"/>
      <c r="AM477" s="7"/>
    </row>
    <row r="478" spans="3:39" x14ac:dyDescent="0.2">
      <c r="C478" s="7"/>
      <c r="D478" s="101"/>
      <c r="E478" s="110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  <c r="AE478" s="7"/>
      <c r="AF478" s="7"/>
      <c r="AG478" s="7"/>
      <c r="AH478" s="7"/>
      <c r="AI478" s="7"/>
      <c r="AJ478" s="7"/>
      <c r="AK478" s="7"/>
      <c r="AL478" s="7"/>
      <c r="AM478" s="7"/>
    </row>
    <row r="479" spans="3:39" x14ac:dyDescent="0.2">
      <c r="C479" s="7"/>
      <c r="D479" s="101"/>
      <c r="E479" s="110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  <c r="AE479" s="7"/>
      <c r="AF479" s="7"/>
      <c r="AG479" s="7"/>
      <c r="AH479" s="7"/>
      <c r="AI479" s="7"/>
      <c r="AJ479" s="7"/>
      <c r="AK479" s="7"/>
      <c r="AL479" s="7"/>
      <c r="AM479" s="7"/>
    </row>
    <row r="480" spans="3:39" x14ac:dyDescent="0.2">
      <c r="C480" s="7"/>
      <c r="D480" s="101"/>
      <c r="E480" s="110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  <c r="AE480" s="7"/>
      <c r="AF480" s="7"/>
      <c r="AG480" s="7"/>
      <c r="AH480" s="7"/>
      <c r="AI480" s="7"/>
      <c r="AJ480" s="7"/>
      <c r="AK480" s="7"/>
      <c r="AL480" s="7"/>
      <c r="AM480" s="7"/>
    </row>
    <row r="481" spans="3:39" x14ac:dyDescent="0.2">
      <c r="C481" s="7"/>
      <c r="D481" s="101"/>
      <c r="E481" s="110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  <c r="AE481" s="7"/>
      <c r="AF481" s="7"/>
      <c r="AG481" s="7"/>
      <c r="AH481" s="7"/>
      <c r="AI481" s="7"/>
      <c r="AJ481" s="7"/>
      <c r="AK481" s="7"/>
      <c r="AL481" s="7"/>
      <c r="AM481" s="7"/>
    </row>
    <row r="482" spans="3:39" x14ac:dyDescent="0.2">
      <c r="C482" s="7"/>
      <c r="D482" s="101"/>
      <c r="E482" s="110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  <c r="AE482" s="7"/>
      <c r="AF482" s="7"/>
      <c r="AG482" s="7"/>
      <c r="AH482" s="7"/>
      <c r="AI482" s="7"/>
      <c r="AJ482" s="7"/>
      <c r="AK482" s="7"/>
      <c r="AL482" s="7"/>
      <c r="AM482" s="7"/>
    </row>
    <row r="483" spans="3:39" x14ac:dyDescent="0.2">
      <c r="C483" s="7"/>
      <c r="D483" s="101"/>
      <c r="E483" s="110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  <c r="AE483" s="7"/>
      <c r="AF483" s="7"/>
      <c r="AG483" s="7"/>
      <c r="AH483" s="7"/>
      <c r="AI483" s="7"/>
      <c r="AJ483" s="7"/>
      <c r="AK483" s="7"/>
      <c r="AL483" s="7"/>
      <c r="AM483" s="7"/>
    </row>
    <row r="484" spans="3:39" x14ac:dyDescent="0.2">
      <c r="C484" s="7"/>
      <c r="D484" s="101"/>
      <c r="E484" s="110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  <c r="AE484" s="7"/>
      <c r="AF484" s="7"/>
      <c r="AG484" s="7"/>
      <c r="AH484" s="7"/>
      <c r="AI484" s="7"/>
      <c r="AJ484" s="7"/>
      <c r="AK484" s="7"/>
      <c r="AL484" s="7"/>
      <c r="AM484" s="7"/>
    </row>
    <row r="485" spans="3:39" x14ac:dyDescent="0.2">
      <c r="C485" s="7"/>
      <c r="D485" s="101"/>
      <c r="E485" s="110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  <c r="AE485" s="7"/>
      <c r="AF485" s="7"/>
      <c r="AG485" s="7"/>
      <c r="AH485" s="7"/>
      <c r="AI485" s="7"/>
      <c r="AJ485" s="7"/>
      <c r="AK485" s="7"/>
      <c r="AL485" s="7"/>
      <c r="AM485" s="7"/>
    </row>
    <row r="486" spans="3:39" x14ac:dyDescent="0.2">
      <c r="C486" s="7"/>
      <c r="D486" s="101"/>
      <c r="E486" s="110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  <c r="AE486" s="7"/>
      <c r="AF486" s="7"/>
      <c r="AG486" s="7"/>
      <c r="AH486" s="7"/>
      <c r="AI486" s="7"/>
      <c r="AJ486" s="7"/>
      <c r="AK486" s="7"/>
      <c r="AL486" s="7"/>
      <c r="AM486" s="7"/>
    </row>
    <row r="487" spans="3:39" x14ac:dyDescent="0.2">
      <c r="C487" s="7"/>
      <c r="D487" s="101"/>
      <c r="E487" s="110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  <c r="AE487" s="7"/>
      <c r="AF487" s="7"/>
      <c r="AG487" s="7"/>
      <c r="AH487" s="7"/>
      <c r="AI487" s="7"/>
      <c r="AJ487" s="7"/>
      <c r="AK487" s="7"/>
      <c r="AL487" s="7"/>
      <c r="AM487" s="7"/>
    </row>
    <row r="488" spans="3:39" x14ac:dyDescent="0.2">
      <c r="C488" s="7"/>
      <c r="D488" s="101"/>
      <c r="E488" s="110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  <c r="AE488" s="7"/>
      <c r="AF488" s="7"/>
      <c r="AG488" s="7"/>
      <c r="AH488" s="7"/>
      <c r="AI488" s="7"/>
      <c r="AJ488" s="7"/>
      <c r="AK488" s="7"/>
      <c r="AL488" s="7"/>
      <c r="AM488" s="7"/>
    </row>
    <row r="489" spans="3:39" x14ac:dyDescent="0.2">
      <c r="C489" s="7"/>
      <c r="D489" s="101"/>
      <c r="E489" s="110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  <c r="AE489" s="7"/>
      <c r="AF489" s="7"/>
      <c r="AG489" s="7"/>
      <c r="AH489" s="7"/>
      <c r="AI489" s="7"/>
      <c r="AJ489" s="7"/>
      <c r="AK489" s="7"/>
      <c r="AL489" s="7"/>
      <c r="AM489" s="7"/>
    </row>
    <row r="490" spans="3:39" x14ac:dyDescent="0.2">
      <c r="C490" s="7"/>
      <c r="D490" s="101"/>
      <c r="E490" s="110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  <c r="AE490" s="7"/>
      <c r="AF490" s="7"/>
      <c r="AG490" s="7"/>
      <c r="AH490" s="7"/>
      <c r="AI490" s="7"/>
      <c r="AJ490" s="7"/>
      <c r="AK490" s="7"/>
      <c r="AL490" s="7"/>
      <c r="AM490" s="7"/>
    </row>
    <row r="491" spans="3:39" x14ac:dyDescent="0.2">
      <c r="C491" s="7"/>
      <c r="D491" s="101"/>
      <c r="E491" s="110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  <c r="AE491" s="7"/>
      <c r="AF491" s="7"/>
      <c r="AG491" s="7"/>
      <c r="AH491" s="7"/>
      <c r="AI491" s="7"/>
      <c r="AJ491" s="7"/>
      <c r="AK491" s="7"/>
      <c r="AL491" s="7"/>
      <c r="AM491" s="7"/>
    </row>
    <row r="492" spans="3:39" x14ac:dyDescent="0.2">
      <c r="C492" s="7"/>
      <c r="D492" s="101"/>
      <c r="E492" s="110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  <c r="AE492" s="7"/>
      <c r="AF492" s="7"/>
      <c r="AG492" s="7"/>
      <c r="AH492" s="7"/>
      <c r="AI492" s="7"/>
      <c r="AJ492" s="7"/>
      <c r="AK492" s="7"/>
      <c r="AL492" s="7"/>
      <c r="AM492" s="7"/>
    </row>
    <row r="493" spans="3:39" x14ac:dyDescent="0.2">
      <c r="C493" s="7"/>
      <c r="D493" s="101"/>
      <c r="E493" s="110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  <c r="AE493" s="7"/>
      <c r="AF493" s="7"/>
      <c r="AG493" s="7"/>
      <c r="AH493" s="7"/>
      <c r="AI493" s="7"/>
      <c r="AJ493" s="7"/>
      <c r="AK493" s="7"/>
      <c r="AL493" s="7"/>
      <c r="AM493" s="7"/>
    </row>
    <row r="494" spans="3:39" x14ac:dyDescent="0.2">
      <c r="C494" s="7"/>
      <c r="D494" s="101"/>
      <c r="E494" s="110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  <c r="AE494" s="7"/>
      <c r="AF494" s="7"/>
      <c r="AG494" s="7"/>
      <c r="AH494" s="7"/>
      <c r="AI494" s="7"/>
      <c r="AJ494" s="7"/>
      <c r="AK494" s="7"/>
      <c r="AL494" s="7"/>
      <c r="AM494" s="7"/>
    </row>
    <row r="495" spans="3:39" x14ac:dyDescent="0.2">
      <c r="C495" s="7"/>
      <c r="D495" s="101"/>
      <c r="E495" s="110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  <c r="AE495" s="7"/>
      <c r="AF495" s="7"/>
      <c r="AG495" s="7"/>
      <c r="AH495" s="7"/>
      <c r="AI495" s="7"/>
      <c r="AJ495" s="7"/>
      <c r="AK495" s="7"/>
      <c r="AL495" s="7"/>
      <c r="AM495" s="7"/>
    </row>
    <row r="496" spans="3:39" x14ac:dyDescent="0.2">
      <c r="C496" s="7"/>
      <c r="D496" s="101"/>
      <c r="E496" s="110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  <c r="AE496" s="7"/>
      <c r="AF496" s="7"/>
      <c r="AG496" s="7"/>
      <c r="AH496" s="7"/>
      <c r="AI496" s="7"/>
      <c r="AJ496" s="7"/>
      <c r="AK496" s="7"/>
      <c r="AL496" s="7"/>
      <c r="AM496" s="7"/>
    </row>
    <row r="497" spans="3:39" x14ac:dyDescent="0.2">
      <c r="C497" s="7"/>
      <c r="D497" s="101"/>
      <c r="E497" s="110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  <c r="AE497" s="7"/>
      <c r="AF497" s="7"/>
      <c r="AG497" s="7"/>
      <c r="AH497" s="7"/>
      <c r="AI497" s="7"/>
      <c r="AJ497" s="7"/>
      <c r="AK497" s="7"/>
      <c r="AL497" s="7"/>
      <c r="AM497" s="7"/>
    </row>
    <row r="498" spans="3:39" x14ac:dyDescent="0.2">
      <c r="C498" s="7"/>
      <c r="D498" s="101"/>
      <c r="E498" s="110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  <c r="AE498" s="7"/>
      <c r="AF498" s="7"/>
      <c r="AG498" s="7"/>
      <c r="AH498" s="7"/>
      <c r="AI498" s="7"/>
      <c r="AJ498" s="7"/>
      <c r="AK498" s="7"/>
      <c r="AL498" s="7"/>
      <c r="AM498" s="7"/>
    </row>
    <row r="499" spans="3:39" x14ac:dyDescent="0.2">
      <c r="C499" s="7"/>
      <c r="D499" s="101"/>
      <c r="E499" s="110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  <c r="AE499" s="7"/>
      <c r="AF499" s="7"/>
      <c r="AG499" s="7"/>
      <c r="AH499" s="7"/>
      <c r="AI499" s="7"/>
      <c r="AJ499" s="7"/>
      <c r="AK499" s="7"/>
      <c r="AL499" s="7"/>
      <c r="AM499" s="7"/>
    </row>
    <row r="500" spans="3:39" x14ac:dyDescent="0.2">
      <c r="C500" s="7"/>
      <c r="D500" s="101"/>
      <c r="E500" s="110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  <c r="AE500" s="7"/>
      <c r="AF500" s="7"/>
      <c r="AG500" s="7"/>
      <c r="AH500" s="7"/>
      <c r="AI500" s="7"/>
      <c r="AJ500" s="7"/>
      <c r="AK500" s="7"/>
      <c r="AL500" s="7"/>
      <c r="AM500" s="7"/>
    </row>
    <row r="501" spans="3:39" x14ac:dyDescent="0.2">
      <c r="C501" s="7"/>
      <c r="D501" s="101"/>
      <c r="E501" s="110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  <c r="AE501" s="7"/>
      <c r="AF501" s="7"/>
      <c r="AG501" s="7"/>
      <c r="AH501" s="7"/>
      <c r="AI501" s="7"/>
      <c r="AJ501" s="7"/>
      <c r="AK501" s="7"/>
      <c r="AL501" s="7"/>
      <c r="AM501" s="7"/>
    </row>
    <row r="502" spans="3:39" x14ac:dyDescent="0.2">
      <c r="C502" s="7"/>
      <c r="D502" s="101"/>
      <c r="E502" s="110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  <c r="AE502" s="7"/>
      <c r="AF502" s="7"/>
      <c r="AG502" s="7"/>
      <c r="AH502" s="7"/>
      <c r="AI502" s="7"/>
      <c r="AJ502" s="7"/>
      <c r="AK502" s="7"/>
      <c r="AL502" s="7"/>
      <c r="AM502" s="7"/>
    </row>
    <row r="503" spans="3:39" x14ac:dyDescent="0.2">
      <c r="C503" s="7"/>
      <c r="D503" s="101"/>
      <c r="E503" s="110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  <c r="AE503" s="7"/>
      <c r="AF503" s="7"/>
      <c r="AG503" s="7"/>
      <c r="AH503" s="7"/>
      <c r="AI503" s="7"/>
      <c r="AJ503" s="7"/>
      <c r="AK503" s="7"/>
      <c r="AL503" s="7"/>
      <c r="AM503" s="7"/>
    </row>
    <row r="504" spans="3:39" x14ac:dyDescent="0.2">
      <c r="C504" s="7"/>
      <c r="D504" s="101"/>
      <c r="E504" s="110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  <c r="AE504" s="7"/>
      <c r="AF504" s="7"/>
      <c r="AG504" s="7"/>
      <c r="AH504" s="7"/>
      <c r="AI504" s="7"/>
      <c r="AJ504" s="7"/>
      <c r="AK504" s="7"/>
      <c r="AL504" s="7"/>
      <c r="AM504" s="7"/>
    </row>
    <row r="505" spans="3:39" x14ac:dyDescent="0.2">
      <c r="C505" s="7"/>
      <c r="D505" s="101"/>
      <c r="E505" s="110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  <c r="AE505" s="7"/>
      <c r="AF505" s="7"/>
      <c r="AG505" s="7"/>
      <c r="AH505" s="7"/>
      <c r="AI505" s="7"/>
      <c r="AJ505" s="7"/>
      <c r="AK505" s="7"/>
      <c r="AL505" s="7"/>
      <c r="AM505" s="7"/>
    </row>
    <row r="506" spans="3:39" x14ac:dyDescent="0.2">
      <c r="C506" s="7"/>
      <c r="D506" s="101"/>
      <c r="E506" s="110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  <c r="AE506" s="7"/>
      <c r="AF506" s="7"/>
      <c r="AG506" s="7"/>
      <c r="AH506" s="7"/>
      <c r="AI506" s="7"/>
      <c r="AJ506" s="7"/>
      <c r="AK506" s="7"/>
      <c r="AL506" s="7"/>
      <c r="AM506" s="7"/>
    </row>
    <row r="507" spans="3:39" x14ac:dyDescent="0.2">
      <c r="C507" s="7"/>
      <c r="D507" s="101"/>
      <c r="E507" s="110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  <c r="AE507" s="7"/>
      <c r="AF507" s="7"/>
      <c r="AG507" s="7"/>
      <c r="AH507" s="7"/>
      <c r="AI507" s="7"/>
      <c r="AJ507" s="7"/>
      <c r="AK507" s="7"/>
      <c r="AL507" s="7"/>
      <c r="AM507" s="7"/>
    </row>
    <row r="508" spans="3:39" x14ac:dyDescent="0.2">
      <c r="C508" s="7"/>
      <c r="D508" s="101"/>
      <c r="E508" s="110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  <c r="AE508" s="7"/>
      <c r="AF508" s="7"/>
      <c r="AG508" s="7"/>
      <c r="AH508" s="7"/>
      <c r="AI508" s="7"/>
      <c r="AJ508" s="7"/>
      <c r="AK508" s="7"/>
      <c r="AL508" s="7"/>
      <c r="AM508" s="7"/>
    </row>
    <row r="509" spans="3:39" x14ac:dyDescent="0.2">
      <c r="C509" s="7"/>
      <c r="D509" s="101"/>
      <c r="E509" s="110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  <c r="AE509" s="7"/>
      <c r="AF509" s="7"/>
      <c r="AG509" s="7"/>
      <c r="AH509" s="7"/>
      <c r="AI509" s="7"/>
      <c r="AJ509" s="7"/>
      <c r="AK509" s="7"/>
      <c r="AL509" s="7"/>
      <c r="AM509" s="7"/>
    </row>
    <row r="510" spans="3:39" x14ac:dyDescent="0.2">
      <c r="C510" s="7"/>
      <c r="D510" s="101"/>
      <c r="E510" s="110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  <c r="AE510" s="7"/>
      <c r="AF510" s="7"/>
      <c r="AG510" s="7"/>
      <c r="AH510" s="7"/>
      <c r="AI510" s="7"/>
      <c r="AJ510" s="7"/>
      <c r="AK510" s="7"/>
      <c r="AL510" s="7"/>
      <c r="AM510" s="7"/>
    </row>
    <row r="511" spans="3:39" x14ac:dyDescent="0.2">
      <c r="C511" s="7"/>
      <c r="D511" s="101"/>
      <c r="E511" s="110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  <c r="AE511" s="7"/>
      <c r="AF511" s="7"/>
      <c r="AG511" s="7"/>
      <c r="AH511" s="7"/>
      <c r="AI511" s="7"/>
      <c r="AJ511" s="7"/>
      <c r="AK511" s="7"/>
      <c r="AL511" s="7"/>
      <c r="AM511" s="7"/>
    </row>
    <row r="512" spans="3:39" x14ac:dyDescent="0.2">
      <c r="C512" s="7"/>
      <c r="D512" s="101"/>
      <c r="E512" s="110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  <c r="AE512" s="7"/>
      <c r="AF512" s="7"/>
      <c r="AG512" s="7"/>
      <c r="AH512" s="7"/>
      <c r="AI512" s="7"/>
      <c r="AJ512" s="7"/>
      <c r="AK512" s="7"/>
      <c r="AL512" s="7"/>
      <c r="AM512" s="7"/>
    </row>
    <row r="513" spans="3:39" x14ac:dyDescent="0.2">
      <c r="C513" s="7"/>
      <c r="D513" s="101"/>
      <c r="E513" s="110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  <c r="AE513" s="7"/>
      <c r="AF513" s="7"/>
      <c r="AG513" s="7"/>
      <c r="AH513" s="7"/>
      <c r="AI513" s="7"/>
      <c r="AJ513" s="7"/>
      <c r="AK513" s="7"/>
      <c r="AL513" s="7"/>
      <c r="AM513" s="7"/>
    </row>
    <row r="514" spans="3:39" x14ac:dyDescent="0.2">
      <c r="C514" s="7"/>
      <c r="D514" s="101"/>
      <c r="E514" s="110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  <c r="AE514" s="7"/>
      <c r="AF514" s="7"/>
      <c r="AG514" s="7"/>
      <c r="AH514" s="7"/>
      <c r="AI514" s="7"/>
      <c r="AJ514" s="7"/>
      <c r="AK514" s="7"/>
      <c r="AL514" s="7"/>
      <c r="AM514" s="7"/>
    </row>
    <row r="515" spans="3:39" x14ac:dyDescent="0.2">
      <c r="C515" s="7"/>
      <c r="D515" s="101"/>
      <c r="E515" s="110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  <c r="AE515" s="7"/>
      <c r="AF515" s="7"/>
      <c r="AG515" s="7"/>
      <c r="AH515" s="7"/>
      <c r="AI515" s="7"/>
      <c r="AJ515" s="7"/>
      <c r="AK515" s="7"/>
      <c r="AL515" s="7"/>
      <c r="AM515" s="7"/>
    </row>
    <row r="516" spans="3:39" x14ac:dyDescent="0.2">
      <c r="C516" s="7"/>
      <c r="D516" s="101"/>
      <c r="E516" s="110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  <c r="AE516" s="7"/>
      <c r="AF516" s="7"/>
      <c r="AG516" s="7"/>
      <c r="AH516" s="7"/>
      <c r="AI516" s="7"/>
      <c r="AJ516" s="7"/>
      <c r="AK516" s="7"/>
      <c r="AL516" s="7"/>
      <c r="AM516" s="7"/>
    </row>
    <row r="517" spans="3:39" x14ac:dyDescent="0.2">
      <c r="C517" s="7"/>
      <c r="D517" s="101"/>
      <c r="E517" s="110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  <c r="AE517" s="7"/>
      <c r="AF517" s="7"/>
      <c r="AG517" s="7"/>
      <c r="AH517" s="7"/>
      <c r="AI517" s="7"/>
      <c r="AJ517" s="7"/>
      <c r="AK517" s="7"/>
      <c r="AL517" s="7"/>
      <c r="AM517" s="7"/>
    </row>
    <row r="518" spans="3:39" x14ac:dyDescent="0.2">
      <c r="C518" s="7"/>
      <c r="D518" s="101"/>
      <c r="E518" s="110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  <c r="AE518" s="7"/>
      <c r="AF518" s="7"/>
      <c r="AG518" s="7"/>
      <c r="AH518" s="7"/>
      <c r="AI518" s="7"/>
      <c r="AJ518" s="7"/>
      <c r="AK518" s="7"/>
      <c r="AL518" s="7"/>
      <c r="AM518" s="7"/>
    </row>
    <row r="519" spans="3:39" x14ac:dyDescent="0.2">
      <c r="C519" s="7"/>
      <c r="D519" s="101"/>
      <c r="E519" s="110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  <c r="AE519" s="7"/>
      <c r="AF519" s="7"/>
      <c r="AG519" s="7"/>
      <c r="AH519" s="7"/>
      <c r="AI519" s="7"/>
      <c r="AJ519" s="7"/>
      <c r="AK519" s="7"/>
      <c r="AL519" s="7"/>
      <c r="AM519" s="7"/>
    </row>
    <row r="520" spans="3:39" x14ac:dyDescent="0.2">
      <c r="C520" s="7"/>
      <c r="D520" s="101"/>
      <c r="E520" s="110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  <c r="AE520" s="7"/>
      <c r="AF520" s="7"/>
      <c r="AG520" s="7"/>
      <c r="AH520" s="7"/>
      <c r="AI520" s="7"/>
      <c r="AJ520" s="7"/>
      <c r="AK520" s="7"/>
      <c r="AL520" s="7"/>
      <c r="AM520" s="7"/>
    </row>
    <row r="521" spans="3:39" x14ac:dyDescent="0.2">
      <c r="C521" s="7"/>
      <c r="D521" s="101"/>
      <c r="E521" s="110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  <c r="AE521" s="7"/>
      <c r="AF521" s="7"/>
      <c r="AG521" s="7"/>
      <c r="AH521" s="7"/>
      <c r="AI521" s="7"/>
      <c r="AJ521" s="7"/>
      <c r="AK521" s="7"/>
      <c r="AL521" s="7"/>
      <c r="AM521" s="7"/>
    </row>
    <row r="522" spans="3:39" x14ac:dyDescent="0.2">
      <c r="C522" s="7"/>
      <c r="D522" s="101"/>
      <c r="E522" s="110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  <c r="AE522" s="7"/>
      <c r="AF522" s="7"/>
      <c r="AG522" s="7"/>
      <c r="AH522" s="7"/>
      <c r="AI522" s="7"/>
      <c r="AJ522" s="7"/>
      <c r="AK522" s="7"/>
      <c r="AL522" s="7"/>
      <c r="AM522" s="7"/>
    </row>
    <row r="523" spans="3:39" x14ac:dyDescent="0.2">
      <c r="C523" s="7"/>
      <c r="D523" s="101"/>
      <c r="E523" s="110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  <c r="AE523" s="7"/>
      <c r="AF523" s="7"/>
      <c r="AG523" s="7"/>
      <c r="AH523" s="7"/>
      <c r="AI523" s="7"/>
      <c r="AJ523" s="7"/>
      <c r="AK523" s="7"/>
      <c r="AL523" s="7"/>
      <c r="AM523" s="7"/>
    </row>
    <row r="524" spans="3:39" x14ac:dyDescent="0.2">
      <c r="C524" s="7"/>
      <c r="D524" s="101"/>
      <c r="E524" s="110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  <c r="AE524" s="7"/>
      <c r="AF524" s="7"/>
      <c r="AG524" s="7"/>
      <c r="AH524" s="7"/>
      <c r="AI524" s="7"/>
      <c r="AJ524" s="7"/>
      <c r="AK524" s="7"/>
      <c r="AL524" s="7"/>
      <c r="AM524" s="7"/>
    </row>
    <row r="525" spans="3:39" x14ac:dyDescent="0.2">
      <c r="C525" s="7"/>
      <c r="D525" s="101"/>
      <c r="E525" s="110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  <c r="AE525" s="7"/>
      <c r="AF525" s="7"/>
      <c r="AG525" s="7"/>
      <c r="AH525" s="7"/>
      <c r="AI525" s="7"/>
      <c r="AJ525" s="7"/>
      <c r="AK525" s="7"/>
      <c r="AL525" s="7"/>
      <c r="AM525" s="7"/>
    </row>
    <row r="526" spans="3:39" x14ac:dyDescent="0.2">
      <c r="C526" s="7"/>
      <c r="D526" s="101"/>
      <c r="E526" s="110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  <c r="AE526" s="7"/>
      <c r="AF526" s="7"/>
      <c r="AG526" s="7"/>
      <c r="AH526" s="7"/>
      <c r="AI526" s="7"/>
      <c r="AJ526" s="7"/>
      <c r="AK526" s="7"/>
      <c r="AL526" s="7"/>
      <c r="AM526" s="7"/>
    </row>
    <row r="527" spans="3:39" x14ac:dyDescent="0.2">
      <c r="C527" s="7"/>
      <c r="D527" s="101"/>
      <c r="E527" s="110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  <c r="AE527" s="7"/>
      <c r="AF527" s="7"/>
      <c r="AG527" s="7"/>
      <c r="AH527" s="7"/>
      <c r="AI527" s="7"/>
      <c r="AJ527" s="7"/>
      <c r="AK527" s="7"/>
      <c r="AL527" s="7"/>
      <c r="AM527" s="7"/>
    </row>
    <row r="528" spans="3:39" x14ac:dyDescent="0.2">
      <c r="C528" s="7"/>
      <c r="D528" s="101"/>
      <c r="E528" s="110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  <c r="AE528" s="7"/>
      <c r="AF528" s="7"/>
      <c r="AG528" s="7"/>
      <c r="AH528" s="7"/>
      <c r="AI528" s="7"/>
      <c r="AJ528" s="7"/>
      <c r="AK528" s="7"/>
      <c r="AL528" s="7"/>
      <c r="AM528" s="7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21</vt:i4>
      </vt:variant>
    </vt:vector>
  </HeadingPairs>
  <TitlesOfParts>
    <vt:vector size="25" baseType="lpstr">
      <vt:lpstr>Inputs</vt:lpstr>
      <vt:lpstr>Output</vt:lpstr>
      <vt:lpstr>RetNorm_Engine</vt:lpstr>
      <vt:lpstr>RetEarly_Engine</vt:lpstr>
      <vt:lpstr>A1inc</vt:lpstr>
      <vt:lpstr>A2inc</vt:lpstr>
      <vt:lpstr>A3inc</vt:lpstr>
      <vt:lpstr>A4inc</vt:lpstr>
      <vt:lpstr>A5inc</vt:lpstr>
      <vt:lpstr>AssVar</vt:lpstr>
      <vt:lpstr>buffer</vt:lpstr>
      <vt:lpstr>DCoth</vt:lpstr>
      <vt:lpstr>DCprop</vt:lpstr>
      <vt:lpstr>EndAge</vt:lpstr>
      <vt:lpstr>inf</vt:lpstr>
      <vt:lpstr>legacy</vt:lpstr>
      <vt:lpstr>MthOff</vt:lpstr>
      <vt:lpstr>MthRem</vt:lpstr>
      <vt:lpstr>princ</vt:lpstr>
      <vt:lpstr>ProRate</vt:lpstr>
      <vt:lpstr>RetAge</vt:lpstr>
      <vt:lpstr>rinc</vt:lpstr>
      <vt:lpstr>sincr</vt:lpstr>
      <vt:lpstr>stinc</vt:lpstr>
      <vt:lpstr>stpm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Kenneth Bonnici</dc:creator>
  <cp:lastModifiedBy>Kenneth Bonnici</cp:lastModifiedBy>
  <dcterms:created xsi:type="dcterms:W3CDTF">2026-01-26T20:28:02Z</dcterms:created>
  <dcterms:modified xsi:type="dcterms:W3CDTF">2026-04-09T19:44:15Z</dcterms:modified>
</cp:coreProperties>
</file>