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kennethbonnici/Projects/ETQ/specs/"/>
    </mc:Choice>
  </mc:AlternateContent>
  <xr:revisionPtr revIDLastSave="0" documentId="13_ncr:1_{E7C3F4C0-2D46-604F-8B5F-674BC1DCB7B0}" xr6:coauthVersionLast="47" xr6:coauthVersionMax="47" xr10:uidLastSave="{00000000-0000-0000-0000-000000000000}"/>
  <bookViews>
    <workbookView xWindow="38400" yWindow="600" windowWidth="38400" windowHeight="21000" xr2:uid="{66CD462A-5593-B541-B64D-6AAD48C341ED}"/>
  </bookViews>
  <sheets>
    <sheet name="Inputs" sheetId="3" r:id="rId1"/>
    <sheet name="Output" sheetId="6" r:id="rId2"/>
    <sheet name="RetNorm_Engine" sheetId="4" r:id="rId3"/>
    <sheet name="RetEarly_Engine" sheetId="8" r:id="rId4"/>
  </sheets>
  <definedNames>
    <definedName name="AgeRange">RetNorm_Engine!$C$3:INDEX(RetNorm_Engine!$C$3:$XFD$3, COUNTA(RetNorm_Engine!$C$3:$XFD$3))</definedName>
    <definedName name="buffer">Inputs!$B$169</definedName>
    <definedName name="ChartCash_Early" localSheetId="3">RetEarly_Engine!$C$203:INDEX(RetEarly_Engine!$C$203:$XFD$203, COUNTA(RetEarly_Engine!$C$203:$XFD$203))</definedName>
    <definedName name="ChartCash_Norm">RetNorm_Engine!$C$203:INDEX(RetNorm_Engine!$C$203:$XFD$203, COUNTA(RetNorm_Engine!$C$203:$XFD$203))</definedName>
    <definedName name="ChartNW_Early" localSheetId="3">RetEarly_Engine!$C$204:INDEX(RetEarly_Engine!$C$204:$XFD$204, COUNTA(RetEarly_Engine!$C$204:$XFD$204))</definedName>
    <definedName name="ChartNW_Norm">RetNorm_Engine!$C$204:INDEX(RetNorm_Engine!$C$204:$XFD$204, COUNTA(RetNorm_Engine!$C$204:$XFD$204))</definedName>
    <definedName name="EndAge">Inputs!$B$144</definedName>
    <definedName name="inf">Inputs!$B$155</definedName>
    <definedName name="princ">Inputs!$B$157</definedName>
    <definedName name="RetAge">Inputs!$B$19</definedName>
    <definedName name="rinc">Inputs!$B$165</definedName>
    <definedName name="sincr">Inputs!$B$163</definedName>
    <definedName name="stinc">Inputs!$B$161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33" i="8" l="1"/>
  <c r="AL33" i="8"/>
  <c r="AK33" i="8"/>
  <c r="AJ33" i="8"/>
  <c r="AI33" i="8"/>
  <c r="AH33" i="8"/>
  <c r="AG33" i="8"/>
  <c r="AF33" i="8"/>
  <c r="AE33" i="8"/>
  <c r="AD33" i="8"/>
  <c r="AC33" i="8"/>
  <c r="AB33" i="8"/>
  <c r="AA33" i="8"/>
  <c r="Z33" i="8"/>
  <c r="Y33" i="8"/>
  <c r="X33" i="8"/>
  <c r="W33" i="8"/>
  <c r="V33" i="8"/>
  <c r="U33" i="8"/>
  <c r="T33" i="8"/>
  <c r="S33" i="8"/>
  <c r="R33" i="8"/>
  <c r="Q33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AM32" i="8"/>
  <c r="AL32" i="8"/>
  <c r="AK32" i="8"/>
  <c r="AJ32" i="8"/>
  <c r="AI32" i="8"/>
  <c r="AH32" i="8"/>
  <c r="AG32" i="8"/>
  <c r="AF32" i="8"/>
  <c r="AE32" i="8"/>
  <c r="AD32" i="8"/>
  <c r="AC32" i="8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AM33" i="4"/>
  <c r="AL33" i="4"/>
  <c r="AK33" i="4"/>
  <c r="AJ33" i="4"/>
  <c r="AI33" i="4"/>
  <c r="AH33" i="4"/>
  <c r="AG33" i="4"/>
  <c r="AF33" i="4"/>
  <c r="AE33" i="4"/>
  <c r="AD33" i="4"/>
  <c r="AC33" i="4"/>
  <c r="AB33" i="4"/>
  <c r="AA33" i="4"/>
  <c r="Z33" i="4"/>
  <c r="Y33" i="4"/>
  <c r="X33" i="4"/>
  <c r="W33" i="4"/>
  <c r="V33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AM32" i="4"/>
  <c r="AL32" i="4"/>
  <c r="AK32" i="4"/>
  <c r="AJ32" i="4"/>
  <c r="AI32" i="4"/>
  <c r="AH32" i="4"/>
  <c r="AG32" i="4"/>
  <c r="AF32" i="4"/>
  <c r="AE32" i="4"/>
  <c r="AD32" i="4"/>
  <c r="AC32" i="4"/>
  <c r="AB32" i="4"/>
  <c r="AA32" i="4"/>
  <c r="Z32" i="4"/>
  <c r="Y32" i="4"/>
  <c r="X32" i="4"/>
  <c r="W32" i="4"/>
  <c r="V32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AM122" i="8"/>
  <c r="AM125" i="8" s="1"/>
  <c r="AM105" i="8"/>
  <c r="AM108" i="8" s="1"/>
  <c r="AM88" i="8"/>
  <c r="AM122" i="4"/>
  <c r="AM105" i="4"/>
  <c r="AM88" i="4"/>
  <c r="A173" i="8"/>
  <c r="A169" i="8"/>
  <c r="A168" i="8"/>
  <c r="A167" i="8"/>
  <c r="A163" i="8"/>
  <c r="A162" i="8"/>
  <c r="A161" i="8"/>
  <c r="C67" i="8"/>
  <c r="C173" i="8" s="1"/>
  <c r="C66" i="8"/>
  <c r="A66" i="8"/>
  <c r="A172" i="8" s="1"/>
  <c r="C65" i="8"/>
  <c r="A65" i="8"/>
  <c r="A171" i="8" s="1"/>
  <c r="C64" i="8"/>
  <c r="A64" i="8"/>
  <c r="A170" i="8" s="1"/>
  <c r="C62" i="8"/>
  <c r="C168" i="8" s="1"/>
  <c r="C61" i="8"/>
  <c r="C60" i="8"/>
  <c r="D60" i="8" s="1"/>
  <c r="E60" i="8" s="1"/>
  <c r="F60" i="8" s="1"/>
  <c r="G60" i="8" s="1"/>
  <c r="H60" i="8" s="1"/>
  <c r="I60" i="8" s="1"/>
  <c r="J60" i="8" s="1"/>
  <c r="K60" i="8" s="1"/>
  <c r="L60" i="8" s="1"/>
  <c r="M60" i="8" s="1"/>
  <c r="N60" i="8" s="1"/>
  <c r="O60" i="8" s="1"/>
  <c r="P60" i="8" s="1"/>
  <c r="Q60" i="8" s="1"/>
  <c r="R60" i="8" s="1"/>
  <c r="S60" i="8" s="1"/>
  <c r="T60" i="8" s="1"/>
  <c r="U60" i="8" s="1"/>
  <c r="V60" i="8" s="1"/>
  <c r="W60" i="8" s="1"/>
  <c r="X60" i="8" s="1"/>
  <c r="Y60" i="8" s="1"/>
  <c r="Z60" i="8" s="1"/>
  <c r="AA60" i="8" s="1"/>
  <c r="AB60" i="8" s="1"/>
  <c r="AC60" i="8" s="1"/>
  <c r="AD60" i="8" s="1"/>
  <c r="AE60" i="8" s="1"/>
  <c r="AF60" i="8" s="1"/>
  <c r="AG60" i="8" s="1"/>
  <c r="AH60" i="8" s="1"/>
  <c r="AI60" i="8" s="1"/>
  <c r="AJ60" i="8" s="1"/>
  <c r="AK60" i="8" s="1"/>
  <c r="AL60" i="8" s="1"/>
  <c r="AM60" i="8" s="1"/>
  <c r="A60" i="8"/>
  <c r="C59" i="8"/>
  <c r="D59" i="8" s="1"/>
  <c r="E59" i="8" s="1"/>
  <c r="F59" i="8" s="1"/>
  <c r="G59" i="8" s="1"/>
  <c r="H59" i="8" s="1"/>
  <c r="I59" i="8" s="1"/>
  <c r="J59" i="8" s="1"/>
  <c r="K59" i="8" s="1"/>
  <c r="L59" i="8" s="1"/>
  <c r="M59" i="8" s="1"/>
  <c r="N59" i="8" s="1"/>
  <c r="O59" i="8" s="1"/>
  <c r="P59" i="8" s="1"/>
  <c r="Q59" i="8" s="1"/>
  <c r="R59" i="8" s="1"/>
  <c r="S59" i="8" s="1"/>
  <c r="T59" i="8" s="1"/>
  <c r="U59" i="8" s="1"/>
  <c r="V59" i="8" s="1"/>
  <c r="W59" i="8" s="1"/>
  <c r="X59" i="8" s="1"/>
  <c r="Y59" i="8" s="1"/>
  <c r="Z59" i="8" s="1"/>
  <c r="AA59" i="8" s="1"/>
  <c r="AB59" i="8" s="1"/>
  <c r="AC59" i="8" s="1"/>
  <c r="AD59" i="8" s="1"/>
  <c r="AE59" i="8" s="1"/>
  <c r="AF59" i="8" s="1"/>
  <c r="AG59" i="8" s="1"/>
  <c r="AH59" i="8" s="1"/>
  <c r="AI59" i="8" s="1"/>
  <c r="AJ59" i="8" s="1"/>
  <c r="AK59" i="8" s="1"/>
  <c r="AL59" i="8" s="1"/>
  <c r="AM59" i="8" s="1"/>
  <c r="A59" i="8"/>
  <c r="C58" i="8"/>
  <c r="D58" i="8" s="1"/>
  <c r="E58" i="8" s="1"/>
  <c r="F58" i="8" s="1"/>
  <c r="G58" i="8" s="1"/>
  <c r="H58" i="8" s="1"/>
  <c r="I58" i="8" s="1"/>
  <c r="J58" i="8" s="1"/>
  <c r="K58" i="8" s="1"/>
  <c r="L58" i="8" s="1"/>
  <c r="M58" i="8" s="1"/>
  <c r="N58" i="8" s="1"/>
  <c r="O58" i="8" s="1"/>
  <c r="P58" i="8" s="1"/>
  <c r="Q58" i="8" s="1"/>
  <c r="R58" i="8" s="1"/>
  <c r="S58" i="8" s="1"/>
  <c r="T58" i="8" s="1"/>
  <c r="U58" i="8" s="1"/>
  <c r="V58" i="8" s="1"/>
  <c r="W58" i="8" s="1"/>
  <c r="X58" i="8" s="1"/>
  <c r="Y58" i="8" s="1"/>
  <c r="Z58" i="8" s="1"/>
  <c r="AA58" i="8" s="1"/>
  <c r="AB58" i="8" s="1"/>
  <c r="AC58" i="8" s="1"/>
  <c r="AD58" i="8" s="1"/>
  <c r="AE58" i="8" s="1"/>
  <c r="AF58" i="8" s="1"/>
  <c r="AG58" i="8" s="1"/>
  <c r="AH58" i="8" s="1"/>
  <c r="AI58" i="8" s="1"/>
  <c r="AJ58" i="8" s="1"/>
  <c r="AK58" i="8" s="1"/>
  <c r="AL58" i="8" s="1"/>
  <c r="AM58" i="8" s="1"/>
  <c r="A58" i="8"/>
  <c r="C56" i="8"/>
  <c r="C162" i="8" s="1"/>
  <c r="C51" i="8"/>
  <c r="A47" i="8"/>
  <c r="A46" i="8"/>
  <c r="A45" i="8"/>
  <c r="A43" i="8"/>
  <c r="A42" i="8"/>
  <c r="A41" i="8"/>
  <c r="D40" i="8"/>
  <c r="C40" i="8"/>
  <c r="D38" i="8"/>
  <c r="C38" i="8"/>
  <c r="A38" i="8"/>
  <c r="D37" i="8"/>
  <c r="C37" i="8"/>
  <c r="A37" i="8"/>
  <c r="D36" i="8"/>
  <c r="C36" i="8"/>
  <c r="A36" i="8"/>
  <c r="D34" i="8"/>
  <c r="C34" i="8"/>
  <c r="C31" i="8"/>
  <c r="A31" i="8"/>
  <c r="C30" i="8"/>
  <c r="A30" i="8"/>
  <c r="C29" i="8"/>
  <c r="A29" i="8"/>
  <c r="A26" i="8"/>
  <c r="A25" i="8"/>
  <c r="A24" i="8"/>
  <c r="C21" i="8"/>
  <c r="A17" i="8"/>
  <c r="A16" i="8"/>
  <c r="A15" i="8"/>
  <c r="C10" i="8"/>
  <c r="D10" i="8" s="1"/>
  <c r="E10" i="8" s="1"/>
  <c r="F10" i="8" s="1"/>
  <c r="G10" i="8" s="1"/>
  <c r="H10" i="8" s="1"/>
  <c r="I10" i="8" s="1"/>
  <c r="J10" i="8" s="1"/>
  <c r="K10" i="8" s="1"/>
  <c r="L10" i="8" s="1"/>
  <c r="M10" i="8" s="1"/>
  <c r="N10" i="8" s="1"/>
  <c r="O10" i="8" s="1"/>
  <c r="P10" i="8" s="1"/>
  <c r="Q10" i="8" s="1"/>
  <c r="R10" i="8" s="1"/>
  <c r="S10" i="8" s="1"/>
  <c r="T10" i="8" s="1"/>
  <c r="U10" i="8" s="1"/>
  <c r="V10" i="8" s="1"/>
  <c r="W10" i="8" s="1"/>
  <c r="X10" i="8" s="1"/>
  <c r="Y10" i="8" s="1"/>
  <c r="Z10" i="8" s="1"/>
  <c r="AA10" i="8" s="1"/>
  <c r="AB10" i="8" s="1"/>
  <c r="AC10" i="8" s="1"/>
  <c r="AD10" i="8" s="1"/>
  <c r="AE10" i="8" s="1"/>
  <c r="AF10" i="8" s="1"/>
  <c r="AG10" i="8" s="1"/>
  <c r="AH10" i="8" s="1"/>
  <c r="AI10" i="8" s="1"/>
  <c r="AJ10" i="8" s="1"/>
  <c r="AK10" i="8" s="1"/>
  <c r="AL10" i="8" s="1"/>
  <c r="AM10" i="8" s="1"/>
  <c r="A10" i="8"/>
  <c r="C9" i="8"/>
  <c r="D9" i="8" s="1"/>
  <c r="E9" i="8" s="1"/>
  <c r="F9" i="8" s="1"/>
  <c r="G9" i="8" s="1"/>
  <c r="H9" i="8" s="1"/>
  <c r="I9" i="8" s="1"/>
  <c r="J9" i="8" s="1"/>
  <c r="K9" i="8" s="1"/>
  <c r="L9" i="8" s="1"/>
  <c r="M9" i="8" s="1"/>
  <c r="N9" i="8" s="1"/>
  <c r="O9" i="8" s="1"/>
  <c r="P9" i="8" s="1"/>
  <c r="Q9" i="8" s="1"/>
  <c r="R9" i="8" s="1"/>
  <c r="S9" i="8" s="1"/>
  <c r="T9" i="8" s="1"/>
  <c r="U9" i="8" s="1"/>
  <c r="V9" i="8" s="1"/>
  <c r="W9" i="8" s="1"/>
  <c r="X9" i="8" s="1"/>
  <c r="Y9" i="8" s="1"/>
  <c r="Z9" i="8" s="1"/>
  <c r="AA9" i="8" s="1"/>
  <c r="AB9" i="8" s="1"/>
  <c r="AC9" i="8" s="1"/>
  <c r="AD9" i="8" s="1"/>
  <c r="AE9" i="8" s="1"/>
  <c r="AF9" i="8" s="1"/>
  <c r="AG9" i="8" s="1"/>
  <c r="AH9" i="8" s="1"/>
  <c r="AI9" i="8" s="1"/>
  <c r="AJ9" i="8" s="1"/>
  <c r="AK9" i="8" s="1"/>
  <c r="AL9" i="8" s="1"/>
  <c r="AM9" i="8" s="1"/>
  <c r="A9" i="8"/>
  <c r="C8" i="8"/>
  <c r="D8" i="8" s="1"/>
  <c r="E8" i="8" s="1"/>
  <c r="F8" i="8" s="1"/>
  <c r="G8" i="8" s="1"/>
  <c r="H8" i="8" s="1"/>
  <c r="I8" i="8" s="1"/>
  <c r="J8" i="8" s="1"/>
  <c r="K8" i="8" s="1"/>
  <c r="L8" i="8" s="1"/>
  <c r="M8" i="8" s="1"/>
  <c r="N8" i="8" s="1"/>
  <c r="O8" i="8" s="1"/>
  <c r="P8" i="8" s="1"/>
  <c r="Q8" i="8" s="1"/>
  <c r="R8" i="8" s="1"/>
  <c r="S8" i="8" s="1"/>
  <c r="T8" i="8" s="1"/>
  <c r="U8" i="8" s="1"/>
  <c r="V8" i="8" s="1"/>
  <c r="W8" i="8" s="1"/>
  <c r="X8" i="8" s="1"/>
  <c r="Y8" i="8" s="1"/>
  <c r="Z8" i="8" s="1"/>
  <c r="AA8" i="8" s="1"/>
  <c r="AB8" i="8" s="1"/>
  <c r="AC8" i="8" s="1"/>
  <c r="AD8" i="8" s="1"/>
  <c r="AE8" i="8" s="1"/>
  <c r="AF8" i="8" s="1"/>
  <c r="AG8" i="8" s="1"/>
  <c r="AH8" i="8" s="1"/>
  <c r="AI8" i="8" s="1"/>
  <c r="AJ8" i="8" s="1"/>
  <c r="AK8" i="8" s="1"/>
  <c r="AL8" i="8" s="1"/>
  <c r="AM8" i="8" s="1"/>
  <c r="A8" i="8"/>
  <c r="AM91" i="8" l="1"/>
  <c r="AM91" i="4"/>
  <c r="AM125" i="4"/>
  <c r="AM108" i="4"/>
  <c r="D56" i="8"/>
  <c r="A164" i="8"/>
  <c r="A146" i="8"/>
  <c r="A156" i="8"/>
  <c r="A193" i="8"/>
  <c r="A194" i="8"/>
  <c r="A147" i="8"/>
  <c r="A165" i="8"/>
  <c r="A157" i="8"/>
  <c r="A195" i="8"/>
  <c r="A158" i="8"/>
  <c r="A148" i="8"/>
  <c r="A166" i="8"/>
  <c r="D61" i="8"/>
  <c r="E61" i="8" s="1"/>
  <c r="F61" i="8" s="1"/>
  <c r="G61" i="8" s="1"/>
  <c r="H61" i="8" s="1"/>
  <c r="I61" i="8" s="1"/>
  <c r="J61" i="8" s="1"/>
  <c r="K61" i="8" s="1"/>
  <c r="L61" i="8" s="1"/>
  <c r="M61" i="8" s="1"/>
  <c r="N61" i="8" s="1"/>
  <c r="O61" i="8" s="1"/>
  <c r="P61" i="8" s="1"/>
  <c r="Q61" i="8" s="1"/>
  <c r="R61" i="8" s="1"/>
  <c r="S61" i="8" s="1"/>
  <c r="T61" i="8" s="1"/>
  <c r="U61" i="8" s="1"/>
  <c r="V61" i="8" s="1"/>
  <c r="W61" i="8" s="1"/>
  <c r="X61" i="8" s="1"/>
  <c r="Y61" i="8" s="1"/>
  <c r="Z61" i="8" s="1"/>
  <c r="AA61" i="8" s="1"/>
  <c r="AB61" i="8" s="1"/>
  <c r="AC61" i="8" s="1"/>
  <c r="AD61" i="8" s="1"/>
  <c r="AE61" i="8" s="1"/>
  <c r="AF61" i="8" s="1"/>
  <c r="AG61" i="8" s="1"/>
  <c r="AH61" i="8" s="1"/>
  <c r="AI61" i="8" s="1"/>
  <c r="AJ61" i="8" s="1"/>
  <c r="AK61" i="8" s="1"/>
  <c r="AL61" i="8" s="1"/>
  <c r="AM61" i="8" s="1"/>
  <c r="C76" i="8"/>
  <c r="D162" i="8" l="1"/>
  <c r="E56" i="8"/>
  <c r="V3" i="6"/>
  <c r="B3" i="4"/>
  <c r="AA3" i="6"/>
  <c r="AA2" i="6"/>
  <c r="A97" i="3"/>
  <c r="A92" i="3"/>
  <c r="A87" i="3"/>
  <c r="E162" i="8" l="1"/>
  <c r="F56" i="8"/>
  <c r="C2" i="8"/>
  <c r="C2" i="4"/>
  <c r="C67" i="4"/>
  <c r="C66" i="4"/>
  <c r="C65" i="4"/>
  <c r="C64" i="4"/>
  <c r="C62" i="4"/>
  <c r="C61" i="4"/>
  <c r="C60" i="4"/>
  <c r="C59" i="4"/>
  <c r="C58" i="4"/>
  <c r="C56" i="4"/>
  <c r="C3" i="8"/>
  <c r="C3" i="4"/>
  <c r="F178" i="3"/>
  <c r="F177" i="3"/>
  <c r="A66" i="4"/>
  <c r="A65" i="4"/>
  <c r="A64" i="4"/>
  <c r="A60" i="4"/>
  <c r="A59" i="4"/>
  <c r="A58" i="4"/>
  <c r="A47" i="4"/>
  <c r="A46" i="4"/>
  <c r="A45" i="4"/>
  <c r="A38" i="4"/>
  <c r="A37" i="4"/>
  <c r="A36" i="4"/>
  <c r="A26" i="4"/>
  <c r="A25" i="4"/>
  <c r="A24" i="4"/>
  <c r="A10" i="4"/>
  <c r="A9" i="4"/>
  <c r="A8" i="4"/>
  <c r="A17" i="4"/>
  <c r="A16" i="4"/>
  <c r="A15" i="4"/>
  <c r="F176" i="3"/>
  <c r="A178" i="3"/>
  <c r="A177" i="3"/>
  <c r="A176" i="3"/>
  <c r="A78" i="3"/>
  <c r="A77" i="3"/>
  <c r="A76" i="3"/>
  <c r="G93" i="3"/>
  <c r="G98" i="3"/>
  <c r="G88" i="3"/>
  <c r="C31" i="4"/>
  <c r="C30" i="4"/>
  <c r="C29" i="4"/>
  <c r="D1" i="8"/>
  <c r="G15" i="3"/>
  <c r="D65" i="8" l="1"/>
  <c r="D62" i="8"/>
  <c r="D168" i="8" s="1"/>
  <c r="E38" i="8"/>
  <c r="E36" i="8"/>
  <c r="D31" i="8"/>
  <c r="D29" i="8"/>
  <c r="D66" i="8"/>
  <c r="D64" i="8"/>
  <c r="E37" i="8"/>
  <c r="E34" i="8"/>
  <c r="D30" i="8"/>
  <c r="E40" i="8"/>
  <c r="D67" i="8"/>
  <c r="D173" i="8" s="1"/>
  <c r="G99" i="3"/>
  <c r="D26" i="8"/>
  <c r="C26" i="8"/>
  <c r="G94" i="3"/>
  <c r="D25" i="8"/>
  <c r="C25" i="8"/>
  <c r="G89" i="3"/>
  <c r="D24" i="8"/>
  <c r="C24" i="8"/>
  <c r="D22" i="8"/>
  <c r="C22" i="8"/>
  <c r="C5" i="8"/>
  <c r="C43" i="8"/>
  <c r="C13" i="8"/>
  <c r="C198" i="8"/>
  <c r="C42" i="8"/>
  <c r="C11" i="8"/>
  <c r="C12" i="8" s="1"/>
  <c r="C6" i="8"/>
  <c r="C41" i="8"/>
  <c r="C17" i="8"/>
  <c r="C45" i="8"/>
  <c r="C16" i="8"/>
  <c r="C47" i="8"/>
  <c r="C46" i="8"/>
  <c r="C15" i="8"/>
  <c r="F162" i="8"/>
  <c r="G56" i="8"/>
  <c r="H56" i="8" s="1"/>
  <c r="I56" i="8" s="1"/>
  <c r="C176" i="3"/>
  <c r="C178" i="3"/>
  <c r="C177" i="3"/>
  <c r="E1" i="8"/>
  <c r="C24" i="4"/>
  <c r="C26" i="4"/>
  <c r="C25" i="4"/>
  <c r="D3" i="8"/>
  <c r="D2" i="8"/>
  <c r="I162" i="8" l="1"/>
  <c r="J56" i="8"/>
  <c r="E67" i="8"/>
  <c r="E173" i="8" s="1"/>
  <c r="F38" i="8"/>
  <c r="F36" i="8"/>
  <c r="E31" i="8"/>
  <c r="E29" i="8"/>
  <c r="E65" i="8"/>
  <c r="E62" i="8"/>
  <c r="E168" i="8" s="1"/>
  <c r="E66" i="8"/>
  <c r="E64" i="8"/>
  <c r="F37" i="8"/>
  <c r="F34" i="8"/>
  <c r="E30" i="8"/>
  <c r="F40" i="8"/>
  <c r="E24" i="8"/>
  <c r="E26" i="8"/>
  <c r="E22" i="8"/>
  <c r="E25" i="8"/>
  <c r="H162" i="8"/>
  <c r="A120" i="8"/>
  <c r="A103" i="8"/>
  <c r="A86" i="8"/>
  <c r="D5" i="8"/>
  <c r="D43" i="8"/>
  <c r="D6" i="8"/>
  <c r="D13" i="8"/>
  <c r="D198" i="8"/>
  <c r="D42" i="8"/>
  <c r="D11" i="8"/>
  <c r="D12" i="8" s="1"/>
  <c r="D41" i="8"/>
  <c r="G162" i="8"/>
  <c r="D15" i="8"/>
  <c r="D47" i="8"/>
  <c r="D16" i="8"/>
  <c r="D46" i="8"/>
  <c r="D45" i="8"/>
  <c r="D17" i="8"/>
  <c r="F1" i="8"/>
  <c r="E3" i="8"/>
  <c r="E2" i="8"/>
  <c r="A172" i="4"/>
  <c r="A171" i="4"/>
  <c r="A170" i="4"/>
  <c r="A148" i="4"/>
  <c r="A147" i="4"/>
  <c r="A146" i="4"/>
  <c r="A31" i="4"/>
  <c r="A30" i="4"/>
  <c r="A29" i="4"/>
  <c r="G103" i="3"/>
  <c r="A173" i="4"/>
  <c r="A169" i="4"/>
  <c r="A168" i="4"/>
  <c r="A167" i="4"/>
  <c r="A163" i="4"/>
  <c r="A162" i="4"/>
  <c r="A161" i="4"/>
  <c r="A43" i="4"/>
  <c r="A42" i="4"/>
  <c r="A41" i="4"/>
  <c r="D38" i="4"/>
  <c r="D37" i="4"/>
  <c r="D36" i="4"/>
  <c r="C37" i="4"/>
  <c r="C38" i="4"/>
  <c r="C36" i="4"/>
  <c r="D34" i="4"/>
  <c r="C34" i="4"/>
  <c r="C173" i="4"/>
  <c r="C10" i="4"/>
  <c r="D10" i="4" s="1"/>
  <c r="E10" i="4" s="1"/>
  <c r="F10" i="4" s="1"/>
  <c r="G10" i="4" s="1"/>
  <c r="H10" i="4" s="1"/>
  <c r="I10" i="4" s="1"/>
  <c r="J10" i="4" s="1"/>
  <c r="K10" i="4" s="1"/>
  <c r="L10" i="4" s="1"/>
  <c r="M10" i="4" s="1"/>
  <c r="N10" i="4" s="1"/>
  <c r="O10" i="4" s="1"/>
  <c r="P10" i="4" s="1"/>
  <c r="Q10" i="4" s="1"/>
  <c r="R10" i="4" s="1"/>
  <c r="S10" i="4" s="1"/>
  <c r="T10" i="4" s="1"/>
  <c r="U10" i="4" s="1"/>
  <c r="V10" i="4" s="1"/>
  <c r="W10" i="4" s="1"/>
  <c r="X10" i="4" s="1"/>
  <c r="Y10" i="4" s="1"/>
  <c r="Z10" i="4" s="1"/>
  <c r="AA10" i="4" s="1"/>
  <c r="AB10" i="4" s="1"/>
  <c r="AC10" i="4" s="1"/>
  <c r="AD10" i="4" s="1"/>
  <c r="AE10" i="4" s="1"/>
  <c r="AF10" i="4" s="1"/>
  <c r="AG10" i="4" s="1"/>
  <c r="AH10" i="4" s="1"/>
  <c r="AI10" i="4" s="1"/>
  <c r="AJ10" i="4" s="1"/>
  <c r="AK10" i="4" s="1"/>
  <c r="AL10" i="4" s="1"/>
  <c r="AM10" i="4" s="1"/>
  <c r="C9" i="4"/>
  <c r="D9" i="4" s="1"/>
  <c r="E9" i="4" s="1"/>
  <c r="F9" i="4" s="1"/>
  <c r="G9" i="4" s="1"/>
  <c r="H9" i="4" s="1"/>
  <c r="I9" i="4" s="1"/>
  <c r="J9" i="4" s="1"/>
  <c r="K9" i="4" s="1"/>
  <c r="L9" i="4" s="1"/>
  <c r="M9" i="4" s="1"/>
  <c r="N9" i="4" s="1"/>
  <c r="O9" i="4" s="1"/>
  <c r="P9" i="4" s="1"/>
  <c r="Q9" i="4" s="1"/>
  <c r="R9" i="4" s="1"/>
  <c r="S9" i="4" s="1"/>
  <c r="T9" i="4" s="1"/>
  <c r="U9" i="4" s="1"/>
  <c r="V9" i="4" s="1"/>
  <c r="W9" i="4" s="1"/>
  <c r="X9" i="4" s="1"/>
  <c r="Y9" i="4" s="1"/>
  <c r="Z9" i="4" s="1"/>
  <c r="AA9" i="4" s="1"/>
  <c r="AB9" i="4" s="1"/>
  <c r="AC9" i="4" s="1"/>
  <c r="AD9" i="4" s="1"/>
  <c r="AE9" i="4" s="1"/>
  <c r="AF9" i="4" s="1"/>
  <c r="AG9" i="4" s="1"/>
  <c r="AH9" i="4" s="1"/>
  <c r="AI9" i="4" s="1"/>
  <c r="AJ9" i="4" s="1"/>
  <c r="AK9" i="4" s="1"/>
  <c r="AL9" i="4" s="1"/>
  <c r="AM9" i="4" s="1"/>
  <c r="D59" i="4"/>
  <c r="E59" i="4" s="1"/>
  <c r="F59" i="4" s="1"/>
  <c r="G59" i="4" s="1"/>
  <c r="H59" i="4" s="1"/>
  <c r="I59" i="4" s="1"/>
  <c r="J59" i="4" s="1"/>
  <c r="K59" i="4" s="1"/>
  <c r="L59" i="4" s="1"/>
  <c r="M59" i="4" s="1"/>
  <c r="N59" i="4" s="1"/>
  <c r="O59" i="4" s="1"/>
  <c r="P59" i="4" s="1"/>
  <c r="Q59" i="4" s="1"/>
  <c r="R59" i="4" s="1"/>
  <c r="S59" i="4" s="1"/>
  <c r="T59" i="4" s="1"/>
  <c r="U59" i="4" s="1"/>
  <c r="V59" i="4" s="1"/>
  <c r="W59" i="4" s="1"/>
  <c r="X59" i="4" s="1"/>
  <c r="Y59" i="4" s="1"/>
  <c r="Z59" i="4" s="1"/>
  <c r="AA59" i="4" s="1"/>
  <c r="AB59" i="4" s="1"/>
  <c r="AC59" i="4" s="1"/>
  <c r="AD59" i="4" s="1"/>
  <c r="AE59" i="4" s="1"/>
  <c r="AF59" i="4" s="1"/>
  <c r="AG59" i="4" s="1"/>
  <c r="AH59" i="4" s="1"/>
  <c r="AI59" i="4" s="1"/>
  <c r="AJ59" i="4" s="1"/>
  <c r="AK59" i="4" s="1"/>
  <c r="AL59" i="4" s="1"/>
  <c r="AM59" i="4" s="1"/>
  <c r="D1" i="4"/>
  <c r="C8" i="4"/>
  <c r="D8" i="4" s="1"/>
  <c r="E8" i="4" s="1"/>
  <c r="F8" i="4" s="1"/>
  <c r="G8" i="4" s="1"/>
  <c r="H8" i="4" s="1"/>
  <c r="I8" i="4" s="1"/>
  <c r="J8" i="4" s="1"/>
  <c r="K8" i="4" s="1"/>
  <c r="L8" i="4" s="1"/>
  <c r="M8" i="4" s="1"/>
  <c r="N8" i="4" s="1"/>
  <c r="O8" i="4" s="1"/>
  <c r="P8" i="4" s="1"/>
  <c r="Q8" i="4" s="1"/>
  <c r="R8" i="4" s="1"/>
  <c r="S8" i="4" s="1"/>
  <c r="T8" i="4" s="1"/>
  <c r="U8" i="4" s="1"/>
  <c r="V8" i="4" s="1"/>
  <c r="W8" i="4" s="1"/>
  <c r="X8" i="4" s="1"/>
  <c r="Y8" i="4" s="1"/>
  <c r="Z8" i="4" s="1"/>
  <c r="AA8" i="4" s="1"/>
  <c r="AB8" i="4" s="1"/>
  <c r="AC8" i="4" s="1"/>
  <c r="AD8" i="4" s="1"/>
  <c r="AE8" i="4" s="1"/>
  <c r="AF8" i="4" s="1"/>
  <c r="AG8" i="4" s="1"/>
  <c r="AH8" i="4" s="1"/>
  <c r="AI8" i="4" s="1"/>
  <c r="AJ8" i="4" s="1"/>
  <c r="AK8" i="4" s="1"/>
  <c r="AL8" i="4" s="1"/>
  <c r="AM8" i="4" s="1"/>
  <c r="C21" i="4"/>
  <c r="C76" i="4"/>
  <c r="C51" i="4"/>
  <c r="D58" i="4"/>
  <c r="E58" i="4" s="1"/>
  <c r="F58" i="4" s="1"/>
  <c r="G58" i="4" s="1"/>
  <c r="H58" i="4" s="1"/>
  <c r="I58" i="4" s="1"/>
  <c r="J58" i="4" s="1"/>
  <c r="K58" i="4" s="1"/>
  <c r="L58" i="4" s="1"/>
  <c r="M58" i="4" s="1"/>
  <c r="N58" i="4" s="1"/>
  <c r="O58" i="4" s="1"/>
  <c r="P58" i="4" s="1"/>
  <c r="Q58" i="4" s="1"/>
  <c r="R58" i="4" s="1"/>
  <c r="S58" i="4" s="1"/>
  <c r="T58" i="4" s="1"/>
  <c r="U58" i="4" s="1"/>
  <c r="V58" i="4" s="1"/>
  <c r="W58" i="4" s="1"/>
  <c r="X58" i="4" s="1"/>
  <c r="Y58" i="4" s="1"/>
  <c r="Z58" i="4" s="1"/>
  <c r="AA58" i="4" s="1"/>
  <c r="AB58" i="4" s="1"/>
  <c r="AC58" i="4" s="1"/>
  <c r="AD58" i="4" s="1"/>
  <c r="AE58" i="4" s="1"/>
  <c r="AF58" i="4" s="1"/>
  <c r="AG58" i="4" s="1"/>
  <c r="AH58" i="4" s="1"/>
  <c r="AI58" i="4" s="1"/>
  <c r="AJ58" i="4" s="1"/>
  <c r="AK58" i="4" s="1"/>
  <c r="AL58" i="4" s="1"/>
  <c r="AM58" i="4" s="1"/>
  <c r="J162" i="8" l="1"/>
  <c r="K56" i="8"/>
  <c r="F65" i="8"/>
  <c r="F62" i="8"/>
  <c r="F168" i="8" s="1"/>
  <c r="G38" i="8"/>
  <c r="G36" i="8"/>
  <c r="F31" i="8"/>
  <c r="F29" i="8"/>
  <c r="F67" i="8"/>
  <c r="F173" i="8" s="1"/>
  <c r="G40" i="8"/>
  <c r="G34" i="8"/>
  <c r="F64" i="8"/>
  <c r="G37" i="8"/>
  <c r="F30" i="8"/>
  <c r="F66" i="8"/>
  <c r="F25" i="8"/>
  <c r="F22" i="8"/>
  <c r="F26" i="8"/>
  <c r="F24" i="8"/>
  <c r="F27" i="8"/>
  <c r="E27" i="8"/>
  <c r="D27" i="8"/>
  <c r="D48" i="8" s="1"/>
  <c r="C27" i="8"/>
  <c r="C48" i="8" s="1"/>
  <c r="C18" i="8" s="1"/>
  <c r="C19" i="8" s="1"/>
  <c r="C50" i="8" s="1"/>
  <c r="C52" i="8" s="1"/>
  <c r="D51" i="8" s="1"/>
  <c r="C87" i="8"/>
  <c r="B94" i="8"/>
  <c r="B111" i="8"/>
  <c r="C104" i="8"/>
  <c r="B128" i="8"/>
  <c r="C121" i="8"/>
  <c r="E43" i="8"/>
  <c r="E6" i="8"/>
  <c r="E198" i="8"/>
  <c r="E42" i="8"/>
  <c r="E11" i="8"/>
  <c r="E12" i="8" s="1"/>
  <c r="E13" i="8"/>
  <c r="E41" i="8"/>
  <c r="E5" i="8"/>
  <c r="E46" i="8"/>
  <c r="E47" i="8"/>
  <c r="E16" i="8"/>
  <c r="E15" i="8"/>
  <c r="E45" i="8"/>
  <c r="E17" i="8"/>
  <c r="D62" i="4"/>
  <c r="D168" i="4" s="1"/>
  <c r="D67" i="4"/>
  <c r="D173" i="4" s="1"/>
  <c r="D64" i="4"/>
  <c r="D65" i="4"/>
  <c r="D66" i="4"/>
  <c r="A86" i="4"/>
  <c r="B94" i="4" s="1"/>
  <c r="A141" i="4" s="1"/>
  <c r="A120" i="4"/>
  <c r="A103" i="4"/>
  <c r="B111" i="4" s="1"/>
  <c r="A142" i="4" s="1"/>
  <c r="G1" i="8"/>
  <c r="G27" i="8" s="1"/>
  <c r="D31" i="4"/>
  <c r="D30" i="4"/>
  <c r="D29" i="4"/>
  <c r="D24" i="4"/>
  <c r="D26" i="4"/>
  <c r="D25" i="4"/>
  <c r="C42" i="4"/>
  <c r="C43" i="4"/>
  <c r="C5" i="4"/>
  <c r="C198" i="4"/>
  <c r="F3" i="8"/>
  <c r="F2" i="8"/>
  <c r="G104" i="3"/>
  <c r="G16" i="3"/>
  <c r="E38" i="4"/>
  <c r="D56" i="4"/>
  <c r="D162" i="4" s="1"/>
  <c r="D60" i="4"/>
  <c r="C168" i="4"/>
  <c r="C47" i="4"/>
  <c r="C46" i="4"/>
  <c r="C15" i="4"/>
  <c r="C45" i="4"/>
  <c r="C17" i="4"/>
  <c r="C16" i="4"/>
  <c r="D2" i="4"/>
  <c r="A193" i="4"/>
  <c r="A194" i="4"/>
  <c r="A195" i="4"/>
  <c r="A156" i="4"/>
  <c r="A158" i="4"/>
  <c r="A157" i="4"/>
  <c r="A164" i="4"/>
  <c r="A165" i="4"/>
  <c r="A166" i="4"/>
  <c r="C162" i="4"/>
  <c r="E36" i="4"/>
  <c r="E37" i="4"/>
  <c r="E34" i="4"/>
  <c r="E1" i="4"/>
  <c r="D3" i="4"/>
  <c r="C13" i="4"/>
  <c r="C27" i="4"/>
  <c r="D27" i="4"/>
  <c r="D61" i="4"/>
  <c r="E61" i="4" s="1"/>
  <c r="F61" i="4" s="1"/>
  <c r="G61" i="4" s="1"/>
  <c r="H61" i="4" s="1"/>
  <c r="I61" i="4" s="1"/>
  <c r="J61" i="4" s="1"/>
  <c r="K61" i="4" s="1"/>
  <c r="L61" i="4" s="1"/>
  <c r="M61" i="4" s="1"/>
  <c r="N61" i="4" s="1"/>
  <c r="O61" i="4" s="1"/>
  <c r="P61" i="4" s="1"/>
  <c r="Q61" i="4" s="1"/>
  <c r="R61" i="4" s="1"/>
  <c r="S61" i="4" s="1"/>
  <c r="T61" i="4" s="1"/>
  <c r="U61" i="4" s="1"/>
  <c r="V61" i="4" s="1"/>
  <c r="W61" i="4" s="1"/>
  <c r="X61" i="4" s="1"/>
  <c r="Y61" i="4" s="1"/>
  <c r="Z61" i="4" s="1"/>
  <c r="AA61" i="4" s="1"/>
  <c r="AB61" i="4" s="1"/>
  <c r="AC61" i="4" s="1"/>
  <c r="AD61" i="4" s="1"/>
  <c r="AE61" i="4" s="1"/>
  <c r="AF61" i="4" s="1"/>
  <c r="AG61" i="4" s="1"/>
  <c r="AH61" i="4" s="1"/>
  <c r="AI61" i="4" s="1"/>
  <c r="AJ61" i="4" s="1"/>
  <c r="AK61" i="4" s="1"/>
  <c r="AL61" i="4" s="1"/>
  <c r="AM61" i="4" s="1"/>
  <c r="C22" i="4"/>
  <c r="D22" i="4"/>
  <c r="C6" i="4"/>
  <c r="C11" i="4"/>
  <c r="L56" i="8" l="1"/>
  <c r="K162" i="8"/>
  <c r="G65" i="8"/>
  <c r="G62" i="8"/>
  <c r="G168" i="8" s="1"/>
  <c r="G31" i="8"/>
  <c r="G29" i="8"/>
  <c r="G67" i="8"/>
  <c r="G173" i="8" s="1"/>
  <c r="H40" i="8"/>
  <c r="H38" i="8"/>
  <c r="H1" i="8"/>
  <c r="H36" i="8"/>
  <c r="G64" i="8"/>
  <c r="H34" i="8"/>
  <c r="G30" i="8"/>
  <c r="G66" i="8"/>
  <c r="H37" i="8"/>
  <c r="G25" i="8"/>
  <c r="G26" i="8"/>
  <c r="G24" i="8"/>
  <c r="G22" i="8"/>
  <c r="D18" i="8"/>
  <c r="D19" i="8" s="1"/>
  <c r="D50" i="8" s="1"/>
  <c r="D52" i="8" s="1"/>
  <c r="D55" i="8" s="1"/>
  <c r="C55" i="8"/>
  <c r="C70" i="8" s="1"/>
  <c r="A153" i="8"/>
  <c r="A143" i="8"/>
  <c r="A151" i="8"/>
  <c r="A141" i="8"/>
  <c r="C127" i="8"/>
  <c r="C126" i="8"/>
  <c r="C109" i="8"/>
  <c r="C110" i="8"/>
  <c r="A142" i="8"/>
  <c r="A152" i="8"/>
  <c r="C93" i="8"/>
  <c r="C92" i="8"/>
  <c r="F43" i="8"/>
  <c r="F6" i="8"/>
  <c r="F13" i="8"/>
  <c r="F198" i="8"/>
  <c r="F42" i="8"/>
  <c r="F11" i="8"/>
  <c r="F12" i="8" s="1"/>
  <c r="F41" i="8"/>
  <c r="F5" i="8"/>
  <c r="E48" i="8"/>
  <c r="F16" i="8"/>
  <c r="F46" i="8"/>
  <c r="F15" i="8"/>
  <c r="F45" i="8"/>
  <c r="F47" i="8"/>
  <c r="F17" i="8"/>
  <c r="E62" i="4"/>
  <c r="E168" i="4" s="1"/>
  <c r="E67" i="4"/>
  <c r="E173" i="4" s="1"/>
  <c r="E66" i="4"/>
  <c r="E65" i="4"/>
  <c r="E64" i="4"/>
  <c r="C12" i="4"/>
  <c r="E31" i="4"/>
  <c r="E30" i="4"/>
  <c r="E29" i="4"/>
  <c r="E24" i="4"/>
  <c r="E26" i="4"/>
  <c r="E25" i="4"/>
  <c r="D42" i="4"/>
  <c r="D43" i="4"/>
  <c r="D5" i="4"/>
  <c r="C104" i="4"/>
  <c r="C109" i="4" s="1"/>
  <c r="A151" i="4"/>
  <c r="C87" i="4"/>
  <c r="C93" i="4" s="1"/>
  <c r="G2" i="8"/>
  <c r="H2" i="8" s="1"/>
  <c r="I2" i="8" s="1"/>
  <c r="G3" i="8"/>
  <c r="H3" i="8" s="1"/>
  <c r="I3" i="8" s="1"/>
  <c r="D6" i="4"/>
  <c r="B128" i="4"/>
  <c r="A153" i="4" s="1"/>
  <c r="C121" i="4"/>
  <c r="E56" i="4"/>
  <c r="E60" i="4"/>
  <c r="D46" i="4"/>
  <c r="D45" i="4"/>
  <c r="D47" i="4"/>
  <c r="A152" i="4"/>
  <c r="D13" i="4"/>
  <c r="D198" i="4"/>
  <c r="E2" i="4"/>
  <c r="D17" i="4"/>
  <c r="D15" i="4"/>
  <c r="D16" i="4"/>
  <c r="E22" i="4"/>
  <c r="E27" i="4"/>
  <c r="F37" i="4"/>
  <c r="F36" i="4"/>
  <c r="F34" i="4"/>
  <c r="F38" i="4"/>
  <c r="D11" i="4"/>
  <c r="D12" i="4" s="1"/>
  <c r="E3" i="4"/>
  <c r="F1" i="4"/>
  <c r="F40" i="4"/>
  <c r="C40" i="4"/>
  <c r="C41" i="4" s="1"/>
  <c r="E40" i="4"/>
  <c r="D40" i="4"/>
  <c r="D41" i="4" s="1"/>
  <c r="I37" i="8" l="1"/>
  <c r="I36" i="8"/>
  <c r="I34" i="8"/>
  <c r="I1" i="8"/>
  <c r="I40" i="8"/>
  <c r="I41" i="8" s="1"/>
  <c r="I38" i="8"/>
  <c r="I43" i="8"/>
  <c r="I198" i="8"/>
  <c r="I11" i="8"/>
  <c r="I12" i="8" s="1"/>
  <c r="I42" i="8"/>
  <c r="I6" i="8"/>
  <c r="I13" i="8"/>
  <c r="J3" i="8"/>
  <c r="I5" i="8"/>
  <c r="M56" i="8"/>
  <c r="L162" i="8"/>
  <c r="I16" i="8"/>
  <c r="I46" i="8"/>
  <c r="J2" i="8"/>
  <c r="I47" i="8"/>
  <c r="I15" i="8"/>
  <c r="I45" i="8"/>
  <c r="I17" i="8"/>
  <c r="H67" i="8"/>
  <c r="H173" i="8" s="1"/>
  <c r="H66" i="8"/>
  <c r="H64" i="8"/>
  <c r="H30" i="8"/>
  <c r="H31" i="8"/>
  <c r="H65" i="8"/>
  <c r="H62" i="8"/>
  <c r="H168" i="8" s="1"/>
  <c r="H29" i="8"/>
  <c r="H26" i="8"/>
  <c r="H25" i="8"/>
  <c r="H24" i="8"/>
  <c r="H22" i="8"/>
  <c r="H27" i="8"/>
  <c r="H5" i="8"/>
  <c r="H43" i="8"/>
  <c r="H13" i="8"/>
  <c r="H11" i="8"/>
  <c r="H12" i="8" s="1"/>
  <c r="H42" i="8"/>
  <c r="H6" i="8"/>
  <c r="H198" i="8"/>
  <c r="H41" i="8"/>
  <c r="H17" i="8"/>
  <c r="H16" i="8"/>
  <c r="H15" i="8"/>
  <c r="H47" i="8"/>
  <c r="H46" i="8"/>
  <c r="H45" i="8"/>
  <c r="E51" i="8"/>
  <c r="E18" i="8" s="1"/>
  <c r="E19" i="8" s="1"/>
  <c r="E50" i="8" s="1"/>
  <c r="E52" i="8" s="1"/>
  <c r="E55" i="8" s="1"/>
  <c r="C68" i="8"/>
  <c r="C180" i="8" s="1"/>
  <c r="C201" i="8" s="1"/>
  <c r="C179" i="8"/>
  <c r="C200" i="8" s="1"/>
  <c r="G6" i="8"/>
  <c r="G13" i="8"/>
  <c r="G11" i="8"/>
  <c r="G12" i="8" s="1"/>
  <c r="G41" i="8"/>
  <c r="G42" i="8"/>
  <c r="G5" i="8"/>
  <c r="G43" i="8"/>
  <c r="G198" i="8"/>
  <c r="F48" i="8"/>
  <c r="G45" i="8"/>
  <c r="G47" i="8"/>
  <c r="G16" i="8"/>
  <c r="G46" i="8"/>
  <c r="G15" i="8"/>
  <c r="G17" i="8"/>
  <c r="C71" i="8"/>
  <c r="C77" i="8" s="1"/>
  <c r="D179" i="8"/>
  <c r="D200" i="8" s="1"/>
  <c r="D70" i="8"/>
  <c r="D68" i="8"/>
  <c r="D180" i="8" s="1"/>
  <c r="D201" i="8" s="1"/>
  <c r="F62" i="4"/>
  <c r="F168" i="4" s="1"/>
  <c r="F67" i="4"/>
  <c r="F173" i="4" s="1"/>
  <c r="F66" i="4"/>
  <c r="F65" i="4"/>
  <c r="F64" i="4"/>
  <c r="F29" i="4"/>
  <c r="F31" i="4"/>
  <c r="F30" i="4"/>
  <c r="F25" i="4"/>
  <c r="F24" i="4"/>
  <c r="F26" i="4"/>
  <c r="E41" i="4"/>
  <c r="E42" i="4"/>
  <c r="E43" i="4"/>
  <c r="E5" i="4"/>
  <c r="C110" i="4"/>
  <c r="C92" i="4"/>
  <c r="E198" i="4"/>
  <c r="E6" i="4"/>
  <c r="A143" i="4"/>
  <c r="C127" i="4"/>
  <c r="C126" i="4"/>
  <c r="F56" i="4"/>
  <c r="E162" i="4"/>
  <c r="F60" i="4"/>
  <c r="E45" i="4"/>
  <c r="E46" i="4"/>
  <c r="E47" i="4"/>
  <c r="F2" i="4"/>
  <c r="E17" i="4"/>
  <c r="E15" i="4"/>
  <c r="E16" i="4"/>
  <c r="G40" i="4"/>
  <c r="G37" i="4"/>
  <c r="G34" i="4"/>
  <c r="G38" i="4"/>
  <c r="G36" i="4"/>
  <c r="G1" i="4"/>
  <c r="F22" i="4"/>
  <c r="F27" i="4"/>
  <c r="F3" i="4"/>
  <c r="E11" i="4"/>
  <c r="E12" i="4" s="1"/>
  <c r="E13" i="4"/>
  <c r="I62" i="8" l="1"/>
  <c r="I168" i="8" s="1"/>
  <c r="I66" i="8"/>
  <c r="I31" i="8"/>
  <c r="J36" i="8"/>
  <c r="J34" i="8"/>
  <c r="I67" i="8"/>
  <c r="I173" i="8" s="1"/>
  <c r="J40" i="8"/>
  <c r="J41" i="8" s="1"/>
  <c r="I29" i="8"/>
  <c r="J1" i="8"/>
  <c r="J37" i="8"/>
  <c r="I30" i="8"/>
  <c r="I48" i="8" s="1"/>
  <c r="J38" i="8"/>
  <c r="I64" i="8"/>
  <c r="I65" i="8"/>
  <c r="I22" i="8"/>
  <c r="I25" i="8"/>
  <c r="I24" i="8"/>
  <c r="I26" i="8"/>
  <c r="I27" i="8"/>
  <c r="N56" i="8"/>
  <c r="M162" i="8"/>
  <c r="J198" i="8"/>
  <c r="J43" i="8"/>
  <c r="K3" i="8"/>
  <c r="J42" i="8"/>
  <c r="J11" i="8"/>
  <c r="J12" i="8" s="1"/>
  <c r="J6" i="8"/>
  <c r="J5" i="8"/>
  <c r="J13" i="8"/>
  <c r="J47" i="8"/>
  <c r="J46" i="8"/>
  <c r="K2" i="8"/>
  <c r="J45" i="8"/>
  <c r="J16" i="8"/>
  <c r="J15" i="8"/>
  <c r="J17" i="8"/>
  <c r="H36" i="4"/>
  <c r="H34" i="4"/>
  <c r="H40" i="4"/>
  <c r="H38" i="4"/>
  <c r="H1" i="4"/>
  <c r="H37" i="4"/>
  <c r="H48" i="8"/>
  <c r="F51" i="8"/>
  <c r="F18" i="8" s="1"/>
  <c r="F19" i="8" s="1"/>
  <c r="F50" i="8" s="1"/>
  <c r="F52" i="8" s="1"/>
  <c r="G51" i="8" s="1"/>
  <c r="D71" i="8"/>
  <c r="G48" i="8"/>
  <c r="C80" i="8"/>
  <c r="C81" i="8" s="1"/>
  <c r="C83" i="8" s="1"/>
  <c r="C79" i="8"/>
  <c r="E179" i="8"/>
  <c r="E200" i="8" s="1"/>
  <c r="E70" i="8"/>
  <c r="E68" i="8"/>
  <c r="E180" i="8" s="1"/>
  <c r="E201" i="8" s="1"/>
  <c r="G62" i="4"/>
  <c r="G168" i="4" s="1"/>
  <c r="G67" i="4"/>
  <c r="G173" i="4" s="1"/>
  <c r="G66" i="4"/>
  <c r="G65" i="4"/>
  <c r="G64" i="4"/>
  <c r="G30" i="4"/>
  <c r="G29" i="4"/>
  <c r="G31" i="4"/>
  <c r="G24" i="4"/>
  <c r="G26" i="4"/>
  <c r="G25" i="4"/>
  <c r="F41" i="4"/>
  <c r="F43" i="4"/>
  <c r="F42" i="4"/>
  <c r="F5" i="4"/>
  <c r="F198" i="4"/>
  <c r="G56" i="4"/>
  <c r="H56" i="4" s="1"/>
  <c r="F162" i="4"/>
  <c r="G60" i="4"/>
  <c r="H60" i="4" s="1"/>
  <c r="I60" i="4" s="1"/>
  <c r="J60" i="4" s="1"/>
  <c r="K60" i="4" s="1"/>
  <c r="L60" i="4" s="1"/>
  <c r="M60" i="4" s="1"/>
  <c r="N60" i="4" s="1"/>
  <c r="O60" i="4" s="1"/>
  <c r="P60" i="4" s="1"/>
  <c r="Q60" i="4" s="1"/>
  <c r="R60" i="4" s="1"/>
  <c r="S60" i="4" s="1"/>
  <c r="T60" i="4" s="1"/>
  <c r="U60" i="4" s="1"/>
  <c r="V60" i="4" s="1"/>
  <c r="W60" i="4" s="1"/>
  <c r="X60" i="4" s="1"/>
  <c r="Y60" i="4" s="1"/>
  <c r="Z60" i="4" s="1"/>
  <c r="AA60" i="4" s="1"/>
  <c r="AB60" i="4" s="1"/>
  <c r="AC60" i="4" s="1"/>
  <c r="AD60" i="4" s="1"/>
  <c r="AE60" i="4" s="1"/>
  <c r="AF60" i="4" s="1"/>
  <c r="AG60" i="4" s="1"/>
  <c r="AH60" i="4" s="1"/>
  <c r="AI60" i="4" s="1"/>
  <c r="AJ60" i="4" s="1"/>
  <c r="AK60" i="4" s="1"/>
  <c r="AL60" i="4" s="1"/>
  <c r="AM60" i="4" s="1"/>
  <c r="F45" i="4"/>
  <c r="F46" i="4"/>
  <c r="F47" i="4"/>
  <c r="G2" i="4"/>
  <c r="H2" i="4" s="1"/>
  <c r="I2" i="4" s="1"/>
  <c r="J2" i="4" s="1"/>
  <c r="F16" i="4"/>
  <c r="F15" i="4"/>
  <c r="F17" i="4"/>
  <c r="G3" i="4"/>
  <c r="H3" i="4" s="1"/>
  <c r="F13" i="4"/>
  <c r="F6" i="4"/>
  <c r="F11" i="4"/>
  <c r="F12" i="4" s="1"/>
  <c r="G27" i="4"/>
  <c r="G22" i="4"/>
  <c r="D48" i="4"/>
  <c r="C48" i="4"/>
  <c r="C18" i="4" s="1"/>
  <c r="E48" i="4"/>
  <c r="K36" i="8" l="1"/>
  <c r="J67" i="8"/>
  <c r="J173" i="8" s="1"/>
  <c r="J29" i="8"/>
  <c r="K1" i="8"/>
  <c r="K37" i="8"/>
  <c r="K38" i="8"/>
  <c r="J65" i="8"/>
  <c r="J30" i="8"/>
  <c r="J31" i="8"/>
  <c r="J66" i="8"/>
  <c r="J64" i="8"/>
  <c r="J62" i="8"/>
  <c r="J168" i="8" s="1"/>
  <c r="K34" i="8"/>
  <c r="K40" i="8"/>
  <c r="J24" i="8"/>
  <c r="J22" i="8"/>
  <c r="J25" i="8"/>
  <c r="J48" i="8" s="1"/>
  <c r="J26" i="8"/>
  <c r="J27" i="8"/>
  <c r="K198" i="8"/>
  <c r="K42" i="8"/>
  <c r="K13" i="8"/>
  <c r="K6" i="8"/>
  <c r="K43" i="8"/>
  <c r="L3" i="8"/>
  <c r="K11" i="8"/>
  <c r="K12" i="8" s="1"/>
  <c r="K5" i="8"/>
  <c r="K41" i="8"/>
  <c r="O56" i="8"/>
  <c r="N162" i="8"/>
  <c r="K47" i="8"/>
  <c r="L2" i="8"/>
  <c r="K46" i="8"/>
  <c r="K17" i="8"/>
  <c r="K15" i="8"/>
  <c r="K16" i="8"/>
  <c r="K45" i="8"/>
  <c r="J45" i="4"/>
  <c r="J47" i="4"/>
  <c r="J16" i="4"/>
  <c r="J15" i="4"/>
  <c r="K2" i="4"/>
  <c r="H66" i="4"/>
  <c r="I36" i="4"/>
  <c r="H30" i="4"/>
  <c r="I34" i="4"/>
  <c r="H31" i="4"/>
  <c r="H62" i="4"/>
  <c r="H168" i="4" s="1"/>
  <c r="I40" i="4"/>
  <c r="I38" i="4"/>
  <c r="I37" i="4"/>
  <c r="I1" i="4"/>
  <c r="H65" i="4"/>
  <c r="H64" i="4"/>
  <c r="H29" i="4"/>
  <c r="H67" i="4"/>
  <c r="H173" i="4" s="1"/>
  <c r="H25" i="4"/>
  <c r="H24" i="4"/>
  <c r="H26" i="4"/>
  <c r="H22" i="4"/>
  <c r="H27" i="4"/>
  <c r="H162" i="4"/>
  <c r="I56" i="4"/>
  <c r="J56" i="4" s="1"/>
  <c r="H5" i="4"/>
  <c r="H13" i="4"/>
  <c r="H198" i="4"/>
  <c r="H43" i="4"/>
  <c r="I3" i="4"/>
  <c r="J3" i="4" s="1"/>
  <c r="H42" i="4"/>
  <c r="H11" i="4"/>
  <c r="H12" i="4" s="1"/>
  <c r="H6" i="4"/>
  <c r="H41" i="4"/>
  <c r="I47" i="4"/>
  <c r="I16" i="4"/>
  <c r="I17" i="4"/>
  <c r="I15" i="4"/>
  <c r="I46" i="4"/>
  <c r="I45" i="4"/>
  <c r="H16" i="4"/>
  <c r="H15" i="4"/>
  <c r="H47" i="4"/>
  <c r="H17" i="4"/>
  <c r="H46" i="4"/>
  <c r="H45" i="4"/>
  <c r="F55" i="8"/>
  <c r="F68" i="8" s="1"/>
  <c r="F180" i="8" s="1"/>
  <c r="F201" i="8" s="1"/>
  <c r="C84" i="8"/>
  <c r="G18" i="8"/>
  <c r="G19" i="8" s="1"/>
  <c r="G50" i="8" s="1"/>
  <c r="G52" i="8" s="1"/>
  <c r="H51" i="8" s="1"/>
  <c r="H18" i="8" s="1"/>
  <c r="H19" i="8" s="1"/>
  <c r="H50" i="8" s="1"/>
  <c r="H52" i="8" s="1"/>
  <c r="I51" i="8" s="1"/>
  <c r="I18" i="8" s="1"/>
  <c r="I19" i="8" s="1"/>
  <c r="I50" i="8" s="1"/>
  <c r="I52" i="8" s="1"/>
  <c r="E71" i="8"/>
  <c r="C167" i="8"/>
  <c r="D76" i="8"/>
  <c r="G42" i="4"/>
  <c r="G43" i="4"/>
  <c r="G41" i="4"/>
  <c r="G5" i="4"/>
  <c r="G162" i="4"/>
  <c r="G47" i="4"/>
  <c r="G46" i="4"/>
  <c r="G45" i="4"/>
  <c r="G198" i="4"/>
  <c r="G16" i="4"/>
  <c r="G17" i="4"/>
  <c r="G15" i="4"/>
  <c r="G13" i="4"/>
  <c r="G6" i="4"/>
  <c r="G11" i="4"/>
  <c r="G12" i="4" s="1"/>
  <c r="F48" i="4"/>
  <c r="J1" i="4" l="1"/>
  <c r="J40" i="4"/>
  <c r="J38" i="4"/>
  <c r="J37" i="4"/>
  <c r="J36" i="4"/>
  <c r="J34" i="4"/>
  <c r="J17" i="4"/>
  <c r="J46" i="4"/>
  <c r="K65" i="8"/>
  <c r="L40" i="8"/>
  <c r="L41" i="8" s="1"/>
  <c r="K30" i="8"/>
  <c r="K29" i="8"/>
  <c r="K66" i="8"/>
  <c r="K31" i="8"/>
  <c r="K62" i="8"/>
  <c r="K168" i="8" s="1"/>
  <c r="K64" i="8"/>
  <c r="K67" i="8"/>
  <c r="K173" i="8" s="1"/>
  <c r="L36" i="8"/>
  <c r="L1" i="8"/>
  <c r="L34" i="8"/>
  <c r="L38" i="8"/>
  <c r="L37" i="8"/>
  <c r="K26" i="8"/>
  <c r="K24" i="8"/>
  <c r="K48" i="8" s="1"/>
  <c r="K25" i="8"/>
  <c r="K22" i="8"/>
  <c r="K27" i="8"/>
  <c r="J162" i="4"/>
  <c r="K56" i="4"/>
  <c r="P56" i="8"/>
  <c r="O162" i="8"/>
  <c r="L6" i="8"/>
  <c r="L11" i="8"/>
  <c r="L12" i="8" s="1"/>
  <c r="L13" i="8"/>
  <c r="L42" i="8"/>
  <c r="L198" i="8"/>
  <c r="L5" i="8"/>
  <c r="L43" i="8"/>
  <c r="M3" i="8"/>
  <c r="J11" i="4"/>
  <c r="J12" i="4" s="1"/>
  <c r="J6" i="4"/>
  <c r="K3" i="4"/>
  <c r="J41" i="4"/>
  <c r="J13" i="4"/>
  <c r="J43" i="4"/>
  <c r="J198" i="4"/>
  <c r="J42" i="4"/>
  <c r="J5" i="4"/>
  <c r="L45" i="8"/>
  <c r="L17" i="8"/>
  <c r="L46" i="8"/>
  <c r="L15" i="8"/>
  <c r="M2" i="8"/>
  <c r="L16" i="8"/>
  <c r="L47" i="8"/>
  <c r="J51" i="8"/>
  <c r="J18" i="8" s="1"/>
  <c r="J19" i="8" s="1"/>
  <c r="J50" i="8" s="1"/>
  <c r="J52" i="8" s="1"/>
  <c r="I55" i="8"/>
  <c r="K45" i="4"/>
  <c r="K16" i="4"/>
  <c r="L2" i="4"/>
  <c r="K47" i="4"/>
  <c r="K17" i="4"/>
  <c r="K46" i="4"/>
  <c r="K15" i="4"/>
  <c r="I30" i="4"/>
  <c r="I31" i="4"/>
  <c r="I62" i="4"/>
  <c r="I168" i="4" s="1"/>
  <c r="I64" i="4"/>
  <c r="I65" i="4"/>
  <c r="I29" i="4"/>
  <c r="I66" i="4"/>
  <c r="I67" i="4"/>
  <c r="I173" i="4" s="1"/>
  <c r="I22" i="4"/>
  <c r="I24" i="4"/>
  <c r="I25" i="4"/>
  <c r="I26" i="4"/>
  <c r="I27" i="4"/>
  <c r="I162" i="4"/>
  <c r="I5" i="4"/>
  <c r="I6" i="4"/>
  <c r="I198" i="4"/>
  <c r="I13" i="4"/>
  <c r="I42" i="4"/>
  <c r="I43" i="4"/>
  <c r="I11" i="4"/>
  <c r="I12" i="4" s="1"/>
  <c r="I41" i="4"/>
  <c r="H55" i="8"/>
  <c r="H68" i="8" s="1"/>
  <c r="H180" i="8" s="1"/>
  <c r="H201" i="8" s="1"/>
  <c r="H48" i="4"/>
  <c r="F179" i="8"/>
  <c r="F200" i="8" s="1"/>
  <c r="F70" i="8"/>
  <c r="F71" i="8" s="1"/>
  <c r="D77" i="8"/>
  <c r="D78" i="8" s="1"/>
  <c r="G55" i="8"/>
  <c r="G48" i="4"/>
  <c r="L67" i="8" l="1"/>
  <c r="L173" i="8" s="1"/>
  <c r="M40" i="8"/>
  <c r="L66" i="8"/>
  <c r="M36" i="8"/>
  <c r="L65" i="8"/>
  <c r="L31" i="8"/>
  <c r="L64" i="8"/>
  <c r="M37" i="8"/>
  <c r="M1" i="8"/>
  <c r="M38" i="8"/>
  <c r="L62" i="8"/>
  <c r="L168" i="8" s="1"/>
  <c r="M34" i="8"/>
  <c r="L30" i="8"/>
  <c r="L29" i="8"/>
  <c r="L26" i="8"/>
  <c r="L24" i="8"/>
  <c r="L25" i="8"/>
  <c r="L22" i="8"/>
  <c r="L27" i="8"/>
  <c r="K38" i="4"/>
  <c r="J65" i="4"/>
  <c r="J62" i="4"/>
  <c r="J168" i="4" s="1"/>
  <c r="K34" i="4"/>
  <c r="K37" i="4"/>
  <c r="J31" i="4"/>
  <c r="J66" i="4"/>
  <c r="J29" i="4"/>
  <c r="K36" i="4"/>
  <c r="J67" i="4"/>
  <c r="J173" i="4" s="1"/>
  <c r="J64" i="4"/>
  <c r="J30" i="4"/>
  <c r="K1" i="4"/>
  <c r="K40" i="4"/>
  <c r="J24" i="4"/>
  <c r="J22" i="4"/>
  <c r="J48" i="4" s="1"/>
  <c r="J25" i="4"/>
  <c r="J26" i="4"/>
  <c r="J27" i="4"/>
  <c r="Q56" i="8"/>
  <c r="P162" i="8"/>
  <c r="K162" i="4"/>
  <c r="L56" i="4"/>
  <c r="K43" i="4"/>
  <c r="L3" i="4"/>
  <c r="K11" i="4"/>
  <c r="K12" i="4" s="1"/>
  <c r="K6" i="4"/>
  <c r="K41" i="4"/>
  <c r="K13" i="4"/>
  <c r="K198" i="4"/>
  <c r="K5" i="4"/>
  <c r="K42" i="4"/>
  <c r="M43" i="8"/>
  <c r="M6" i="8"/>
  <c r="M41" i="8"/>
  <c r="N3" i="8"/>
  <c r="M198" i="8"/>
  <c r="M11" i="8"/>
  <c r="M12" i="8" s="1"/>
  <c r="M42" i="8"/>
  <c r="M5" i="8"/>
  <c r="M13" i="8"/>
  <c r="J55" i="8"/>
  <c r="K51" i="8"/>
  <c r="K18" i="8" s="1"/>
  <c r="K19" i="8" s="1"/>
  <c r="K50" i="8" s="1"/>
  <c r="K52" i="8" s="1"/>
  <c r="N2" i="8"/>
  <c r="M45" i="8"/>
  <c r="M17" i="8"/>
  <c r="M15" i="8"/>
  <c r="M47" i="8"/>
  <c r="M16" i="8"/>
  <c r="M46" i="8"/>
  <c r="L48" i="8"/>
  <c r="I179" i="8"/>
  <c r="I200" i="8" s="1"/>
  <c r="I68" i="8"/>
  <c r="I180" i="8" s="1"/>
  <c r="I201" i="8" s="1"/>
  <c r="I70" i="8"/>
  <c r="M2" i="4"/>
  <c r="L17" i="4"/>
  <c r="L46" i="4"/>
  <c r="L47" i="4"/>
  <c r="L16" i="4"/>
  <c r="L45" i="4"/>
  <c r="I48" i="4"/>
  <c r="H179" i="8"/>
  <c r="H200" i="8" s="1"/>
  <c r="H70" i="8"/>
  <c r="D79" i="8"/>
  <c r="G179" i="8"/>
  <c r="G68" i="8"/>
  <c r="G180" i="8" s="1"/>
  <c r="G201" i="8" s="1"/>
  <c r="G70" i="8"/>
  <c r="D80" i="8"/>
  <c r="D81" i="8" s="1"/>
  <c r="C19" i="4"/>
  <c r="C50" i="4" s="1"/>
  <c r="C52" i="4" s="1"/>
  <c r="M67" i="8" l="1"/>
  <c r="M173" i="8" s="1"/>
  <c r="M30" i="8"/>
  <c r="M29" i="8"/>
  <c r="M65" i="8"/>
  <c r="N40" i="8"/>
  <c r="N41" i="8" s="1"/>
  <c r="N36" i="8"/>
  <c r="N1" i="8"/>
  <c r="M31" i="8"/>
  <c r="M66" i="8"/>
  <c r="M64" i="8"/>
  <c r="N34" i="8"/>
  <c r="M62" i="8"/>
  <c r="M168" i="8" s="1"/>
  <c r="N38" i="8"/>
  <c r="N37" i="8"/>
  <c r="M22" i="8"/>
  <c r="M25" i="8"/>
  <c r="M26" i="8"/>
  <c r="M48" i="8" s="1"/>
  <c r="M24" i="8"/>
  <c r="M27" i="8"/>
  <c r="L38" i="4"/>
  <c r="K64" i="4"/>
  <c r="K66" i="4"/>
  <c r="K65" i="4"/>
  <c r="K62" i="4"/>
  <c r="K168" i="4" s="1"/>
  <c r="L37" i="4"/>
  <c r="L36" i="4"/>
  <c r="K67" i="4"/>
  <c r="K173" i="4" s="1"/>
  <c r="L1" i="4"/>
  <c r="M46" i="4" s="1"/>
  <c r="L40" i="4"/>
  <c r="K29" i="4"/>
  <c r="K31" i="4"/>
  <c r="K30" i="4"/>
  <c r="L34" i="4"/>
  <c r="K24" i="4"/>
  <c r="K48" i="4" s="1"/>
  <c r="K25" i="4"/>
  <c r="K26" i="4"/>
  <c r="K22" i="4"/>
  <c r="K27" i="4"/>
  <c r="L15" i="4"/>
  <c r="L6" i="4"/>
  <c r="L41" i="4"/>
  <c r="L198" i="4"/>
  <c r="L11" i="4"/>
  <c r="L12" i="4" s="1"/>
  <c r="L5" i="4"/>
  <c r="M3" i="4"/>
  <c r="L43" i="4"/>
  <c r="L13" i="4"/>
  <c r="L42" i="4"/>
  <c r="L162" i="4"/>
  <c r="M56" i="4"/>
  <c r="N42" i="8"/>
  <c r="N198" i="8"/>
  <c r="N13" i="8"/>
  <c r="N43" i="8"/>
  <c r="N5" i="8"/>
  <c r="N11" i="8"/>
  <c r="N12" i="8" s="1"/>
  <c r="N6" i="8"/>
  <c r="O3" i="8"/>
  <c r="Q162" i="8"/>
  <c r="R56" i="8"/>
  <c r="N17" i="8"/>
  <c r="N45" i="8"/>
  <c r="N15" i="8"/>
  <c r="N16" i="8"/>
  <c r="N47" i="8"/>
  <c r="O2" i="8"/>
  <c r="N46" i="8"/>
  <c r="K55" i="8"/>
  <c r="L51" i="8"/>
  <c r="L18" i="8" s="1"/>
  <c r="L19" i="8" s="1"/>
  <c r="L50" i="8" s="1"/>
  <c r="L52" i="8" s="1"/>
  <c r="J179" i="8"/>
  <c r="J200" i="8" s="1"/>
  <c r="J68" i="8"/>
  <c r="J180" i="8" s="1"/>
  <c r="J201" i="8" s="1"/>
  <c r="J70" i="8"/>
  <c r="N2" i="4"/>
  <c r="M17" i="4"/>
  <c r="M15" i="4"/>
  <c r="M16" i="4"/>
  <c r="M45" i="4"/>
  <c r="M47" i="4"/>
  <c r="D167" i="8"/>
  <c r="E76" i="8"/>
  <c r="D83" i="8"/>
  <c r="G71" i="8"/>
  <c r="H71" i="8" s="1"/>
  <c r="G200" i="8"/>
  <c r="D51" i="4"/>
  <c r="D18" i="4" s="1"/>
  <c r="D19" i="4" s="1"/>
  <c r="D50" i="4" s="1"/>
  <c r="D52" i="4" s="1"/>
  <c r="C55" i="4"/>
  <c r="C70" i="4" s="1"/>
  <c r="N29" i="8" l="1"/>
  <c r="N24" i="8"/>
  <c r="O1" i="8"/>
  <c r="O38" i="8"/>
  <c r="N22" i="8"/>
  <c r="N48" i="8" s="1"/>
  <c r="O40" i="8"/>
  <c r="N30" i="8"/>
  <c r="N66" i="8"/>
  <c r="N26" i="8"/>
  <c r="N64" i="8"/>
  <c r="N62" i="8"/>
  <c r="N168" i="8" s="1"/>
  <c r="N31" i="8"/>
  <c r="N67" i="8"/>
  <c r="N173" i="8" s="1"/>
  <c r="N25" i="8"/>
  <c r="N65" i="8"/>
  <c r="O37" i="8"/>
  <c r="O36" i="8"/>
  <c r="O34" i="8"/>
  <c r="N27" i="8"/>
  <c r="M37" i="4"/>
  <c r="M38" i="4"/>
  <c r="M40" i="4"/>
  <c r="L30" i="4"/>
  <c r="M1" i="4"/>
  <c r="N45" i="4" s="1"/>
  <c r="M36" i="4"/>
  <c r="L67" i="4"/>
  <c r="L173" i="4" s="1"/>
  <c r="L62" i="4"/>
  <c r="L168" i="4" s="1"/>
  <c r="L29" i="4"/>
  <c r="L66" i="4"/>
  <c r="L64" i="4"/>
  <c r="L31" i="4"/>
  <c r="L65" i="4"/>
  <c r="M34" i="4"/>
  <c r="L24" i="4"/>
  <c r="L25" i="4"/>
  <c r="L26" i="4"/>
  <c r="L22" i="4"/>
  <c r="L27" i="4"/>
  <c r="O5" i="8"/>
  <c r="O11" i="8"/>
  <c r="O12" i="8" s="1"/>
  <c r="O42" i="8"/>
  <c r="O198" i="8"/>
  <c r="O41" i="8"/>
  <c r="O13" i="8"/>
  <c r="O43" i="8"/>
  <c r="P3" i="8"/>
  <c r="O6" i="8"/>
  <c r="S56" i="8"/>
  <c r="R162" i="8"/>
  <c r="M162" i="4"/>
  <c r="N56" i="4"/>
  <c r="M11" i="4"/>
  <c r="M12" i="4" s="1"/>
  <c r="N3" i="4"/>
  <c r="M43" i="4"/>
  <c r="M5" i="4"/>
  <c r="M13" i="4"/>
  <c r="M6" i="4"/>
  <c r="M42" i="4"/>
  <c r="M198" i="4"/>
  <c r="M41" i="4"/>
  <c r="M51" i="8"/>
  <c r="M18" i="8" s="1"/>
  <c r="M19" i="8" s="1"/>
  <c r="M50" i="8" s="1"/>
  <c r="M52" i="8" s="1"/>
  <c r="L55" i="8"/>
  <c r="I71" i="8"/>
  <c r="J71" i="8" s="1"/>
  <c r="K179" i="8"/>
  <c r="K200" i="8" s="1"/>
  <c r="K68" i="8"/>
  <c r="K180" i="8" s="1"/>
  <c r="K201" i="8" s="1"/>
  <c r="K70" i="8"/>
  <c r="O45" i="8"/>
  <c r="O46" i="8"/>
  <c r="O17" i="8"/>
  <c r="O47" i="8"/>
  <c r="O16" i="8"/>
  <c r="O15" i="8"/>
  <c r="P2" i="8"/>
  <c r="N15" i="4"/>
  <c r="O2" i="4"/>
  <c r="D84" i="8"/>
  <c r="C88" i="8" s="1"/>
  <c r="E77" i="8"/>
  <c r="E78" i="8" s="1"/>
  <c r="C179" i="4"/>
  <c r="E51" i="4"/>
  <c r="E18" i="4" s="1"/>
  <c r="E19" i="4" s="1"/>
  <c r="E50" i="4" s="1"/>
  <c r="E52" i="4" s="1"/>
  <c r="D55" i="4"/>
  <c r="D70" i="4" s="1"/>
  <c r="C68" i="4"/>
  <c r="C71" i="4"/>
  <c r="P1" i="8" l="1"/>
  <c r="P40" i="8"/>
  <c r="O25" i="8"/>
  <c r="P36" i="8"/>
  <c r="P37" i="8"/>
  <c r="P38" i="8"/>
  <c r="O62" i="8"/>
  <c r="O168" i="8" s="1"/>
  <c r="O67" i="8"/>
  <c r="O173" i="8" s="1"/>
  <c r="P34" i="8"/>
  <c r="O66" i="8"/>
  <c r="O65" i="8"/>
  <c r="O64" i="8"/>
  <c r="O31" i="8"/>
  <c r="O48" i="8" s="1"/>
  <c r="O24" i="8"/>
  <c r="O22" i="8"/>
  <c r="O26" i="8"/>
  <c r="O30" i="8"/>
  <c r="O29" i="8"/>
  <c r="O27" i="8"/>
  <c r="M66" i="4"/>
  <c r="M67" i="4"/>
  <c r="M173" i="4" s="1"/>
  <c r="M31" i="4"/>
  <c r="M65" i="4"/>
  <c r="N1" i="4"/>
  <c r="N34" i="4"/>
  <c r="M64" i="4"/>
  <c r="M29" i="4"/>
  <c r="M30" i="4"/>
  <c r="M22" i="4"/>
  <c r="N40" i="4"/>
  <c r="N41" i="4" s="1"/>
  <c r="N36" i="4"/>
  <c r="N37" i="4"/>
  <c r="M62" i="4"/>
  <c r="M168" i="4" s="1"/>
  <c r="M25" i="4"/>
  <c r="M48" i="4" s="1"/>
  <c r="N38" i="4"/>
  <c r="M26" i="4"/>
  <c r="M24" i="4"/>
  <c r="M27" i="4"/>
  <c r="N17" i="4"/>
  <c r="N46" i="4"/>
  <c r="N16" i="4"/>
  <c r="N47" i="4"/>
  <c r="L48" i="4"/>
  <c r="S162" i="8"/>
  <c r="T56" i="8"/>
  <c r="P5" i="8"/>
  <c r="P13" i="8"/>
  <c r="P198" i="8"/>
  <c r="P6" i="8"/>
  <c r="P43" i="8"/>
  <c r="P42" i="8"/>
  <c r="Q3" i="8"/>
  <c r="P41" i="8"/>
  <c r="P11" i="8"/>
  <c r="P12" i="8" s="1"/>
  <c r="N13" i="4"/>
  <c r="N198" i="4"/>
  <c r="N42" i="4"/>
  <c r="N5" i="4"/>
  <c r="N43" i="4"/>
  <c r="N6" i="4"/>
  <c r="N11" i="4"/>
  <c r="N12" i="4" s="1"/>
  <c r="O3" i="4"/>
  <c r="N162" i="4"/>
  <c r="O56" i="4"/>
  <c r="K71" i="8"/>
  <c r="P15" i="8"/>
  <c r="P47" i="8"/>
  <c r="P17" i="8"/>
  <c r="P16" i="8"/>
  <c r="P45" i="8"/>
  <c r="Q2" i="8"/>
  <c r="P46" i="8"/>
  <c r="L70" i="8"/>
  <c r="L179" i="8"/>
  <c r="L200" i="8" s="1"/>
  <c r="L68" i="8"/>
  <c r="L180" i="8" s="1"/>
  <c r="L201" i="8" s="1"/>
  <c r="M55" i="8"/>
  <c r="N51" i="8"/>
  <c r="N18" i="8" s="1"/>
  <c r="N19" i="8" s="1"/>
  <c r="N50" i="8" s="1"/>
  <c r="N52" i="8" s="1"/>
  <c r="P2" i="4"/>
  <c r="E80" i="8"/>
  <c r="E81" i="8" s="1"/>
  <c r="E79" i="8"/>
  <c r="C91" i="8"/>
  <c r="C141" i="8"/>
  <c r="C90" i="8"/>
  <c r="C77" i="4"/>
  <c r="C180" i="4"/>
  <c r="C201" i="4" s="1"/>
  <c r="F51" i="4"/>
  <c r="F18" i="4" s="1"/>
  <c r="F19" i="4" s="1"/>
  <c r="F50" i="4" s="1"/>
  <c r="F52" i="4" s="1"/>
  <c r="E55" i="4"/>
  <c r="E70" i="4" s="1"/>
  <c r="C200" i="4"/>
  <c r="D179" i="4"/>
  <c r="D71" i="4"/>
  <c r="D68" i="4"/>
  <c r="D180" i="4" s="1"/>
  <c r="D201" i="4" s="1"/>
  <c r="N29" i="4" l="1"/>
  <c r="N31" i="4"/>
  <c r="O40" i="4"/>
  <c r="O41" i="4" s="1"/>
  <c r="O37" i="4"/>
  <c r="N26" i="4"/>
  <c r="N25" i="4"/>
  <c r="N64" i="4"/>
  <c r="N24" i="4"/>
  <c r="O38" i="4"/>
  <c r="N66" i="4"/>
  <c r="N67" i="4"/>
  <c r="N173" i="4" s="1"/>
  <c r="N22" i="4"/>
  <c r="N48" i="4" s="1"/>
  <c r="O1" i="4"/>
  <c r="O34" i="4"/>
  <c r="O36" i="4"/>
  <c r="N65" i="4"/>
  <c r="N62" i="4"/>
  <c r="N168" i="4" s="1"/>
  <c r="N30" i="4"/>
  <c r="N27" i="4"/>
  <c r="O46" i="4"/>
  <c r="O16" i="4"/>
  <c r="O15" i="4"/>
  <c r="O45" i="4"/>
  <c r="O17" i="4"/>
  <c r="O47" i="4"/>
  <c r="P65" i="8"/>
  <c r="P29" i="8"/>
  <c r="P48" i="8" s="1"/>
  <c r="P30" i="8"/>
  <c r="P67" i="8"/>
  <c r="P173" i="8" s="1"/>
  <c r="P64" i="8"/>
  <c r="Q37" i="8"/>
  <c r="P22" i="8"/>
  <c r="P62" i="8"/>
  <c r="P168" i="8" s="1"/>
  <c r="Q36" i="8"/>
  <c r="P31" i="8"/>
  <c r="Q40" i="8"/>
  <c r="P24" i="8"/>
  <c r="P26" i="8"/>
  <c r="Q38" i="8"/>
  <c r="Q1" i="8"/>
  <c r="P66" i="8"/>
  <c r="P25" i="8"/>
  <c r="P27" i="8"/>
  <c r="Q34" i="8"/>
  <c r="P56" i="4"/>
  <c r="O162" i="4"/>
  <c r="Q198" i="8"/>
  <c r="Q6" i="8"/>
  <c r="Q43" i="8"/>
  <c r="Q42" i="8"/>
  <c r="Q41" i="8"/>
  <c r="R3" i="8"/>
  <c r="Q11" i="8"/>
  <c r="Q12" i="8" s="1"/>
  <c r="Q13" i="8"/>
  <c r="Q5" i="8"/>
  <c r="P3" i="4"/>
  <c r="O11" i="4"/>
  <c r="O12" i="4" s="1"/>
  <c r="O42" i="4"/>
  <c r="O198" i="4"/>
  <c r="O43" i="4"/>
  <c r="O6" i="4"/>
  <c r="O5" i="4"/>
  <c r="O13" i="4"/>
  <c r="U56" i="8"/>
  <c r="T162" i="8"/>
  <c r="L71" i="8"/>
  <c r="Q46" i="8"/>
  <c r="Q47" i="8"/>
  <c r="Q16" i="8"/>
  <c r="Q15" i="8"/>
  <c r="R2" i="8"/>
  <c r="Q45" i="8"/>
  <c r="Q17" i="8"/>
  <c r="O51" i="8"/>
  <c r="O18" i="8" s="1"/>
  <c r="O19" i="8" s="1"/>
  <c r="O50" i="8" s="1"/>
  <c r="O52" i="8" s="1"/>
  <c r="N55" i="8"/>
  <c r="M179" i="8"/>
  <c r="M200" i="8" s="1"/>
  <c r="M70" i="8"/>
  <c r="M68" i="8"/>
  <c r="M180" i="8" s="1"/>
  <c r="M201" i="8" s="1"/>
  <c r="P47" i="4"/>
  <c r="P45" i="4"/>
  <c r="Q2" i="4"/>
  <c r="P46" i="4"/>
  <c r="P17" i="4"/>
  <c r="P15" i="4"/>
  <c r="P16" i="4"/>
  <c r="D87" i="8"/>
  <c r="C94" i="8"/>
  <c r="E83" i="8"/>
  <c r="E167" i="8"/>
  <c r="F76" i="8"/>
  <c r="D200" i="4"/>
  <c r="E179" i="4"/>
  <c r="E200" i="4" s="1"/>
  <c r="E68" i="4"/>
  <c r="E180" i="4" s="1"/>
  <c r="E201" i="4" s="1"/>
  <c r="E71" i="4"/>
  <c r="G51" i="4"/>
  <c r="G18" i="4" s="1"/>
  <c r="G19" i="4" s="1"/>
  <c r="G50" i="4" s="1"/>
  <c r="G52" i="4" s="1"/>
  <c r="H51" i="4" s="1"/>
  <c r="H18" i="4" s="1"/>
  <c r="H19" i="4" s="1"/>
  <c r="H50" i="4" s="1"/>
  <c r="H52" i="4" s="1"/>
  <c r="F55" i="4"/>
  <c r="F70" i="4" s="1"/>
  <c r="Q65" i="8" l="1"/>
  <c r="Q30" i="8"/>
  <c r="Q66" i="8"/>
  <c r="Q62" i="8"/>
  <c r="Q168" i="8" s="1"/>
  <c r="R36" i="8"/>
  <c r="Q22" i="8"/>
  <c r="Q48" i="8" s="1"/>
  <c r="R1" i="8"/>
  <c r="R40" i="8"/>
  <c r="R41" i="8" s="1"/>
  <c r="Q29" i="8"/>
  <c r="Q67" i="8"/>
  <c r="Q173" i="8" s="1"/>
  <c r="Q25" i="8"/>
  <c r="R37" i="8"/>
  <c r="Q64" i="8"/>
  <c r="R38" i="8"/>
  <c r="R34" i="8"/>
  <c r="Q26" i="8"/>
  <c r="Q27" i="8"/>
  <c r="Q31" i="8"/>
  <c r="Q24" i="8"/>
  <c r="O65" i="4"/>
  <c r="O31" i="4"/>
  <c r="P38" i="4"/>
  <c r="O27" i="4"/>
  <c r="P37" i="4"/>
  <c r="O22" i="4"/>
  <c r="O48" i="4" s="1"/>
  <c r="O30" i="4"/>
  <c r="O29" i="4"/>
  <c r="O25" i="4"/>
  <c r="P1" i="4"/>
  <c r="P40" i="4"/>
  <c r="P41" i="4" s="1"/>
  <c r="O26" i="4"/>
  <c r="P34" i="4"/>
  <c r="O64" i="4"/>
  <c r="O62" i="4"/>
  <c r="O168" i="4" s="1"/>
  <c r="P36" i="4"/>
  <c r="O67" i="4"/>
  <c r="O173" i="4" s="1"/>
  <c r="O24" i="4"/>
  <c r="O66" i="4"/>
  <c r="P11" i="4"/>
  <c r="P12" i="4" s="1"/>
  <c r="P198" i="4"/>
  <c r="P43" i="4"/>
  <c r="P42" i="4"/>
  <c r="P13" i="4"/>
  <c r="P6" i="4"/>
  <c r="Q3" i="4"/>
  <c r="P5" i="4"/>
  <c r="U162" i="8"/>
  <c r="V56" i="8"/>
  <c r="S3" i="8"/>
  <c r="R43" i="8"/>
  <c r="R13" i="8"/>
  <c r="R11" i="8"/>
  <c r="R12" i="8" s="1"/>
  <c r="R5" i="8"/>
  <c r="R6" i="8"/>
  <c r="R42" i="8"/>
  <c r="R198" i="8"/>
  <c r="Q56" i="4"/>
  <c r="P162" i="4"/>
  <c r="N179" i="8"/>
  <c r="N200" i="8" s="1"/>
  <c r="N70" i="8"/>
  <c r="N68" i="8"/>
  <c r="N180" i="8" s="1"/>
  <c r="N201" i="8" s="1"/>
  <c r="R47" i="8"/>
  <c r="R45" i="8"/>
  <c r="R15" i="8"/>
  <c r="R46" i="8"/>
  <c r="R17" i="8"/>
  <c r="S2" i="8"/>
  <c r="R16" i="8"/>
  <c r="M71" i="8"/>
  <c r="P51" i="8"/>
  <c r="P18" i="8" s="1"/>
  <c r="P19" i="8" s="1"/>
  <c r="P50" i="8" s="1"/>
  <c r="P52" i="8" s="1"/>
  <c r="O55" i="8"/>
  <c r="R2" i="4"/>
  <c r="Q17" i="4"/>
  <c r="Q46" i="4"/>
  <c r="Q16" i="4"/>
  <c r="Q47" i="4"/>
  <c r="Q45" i="4"/>
  <c r="Q15" i="4"/>
  <c r="H55" i="4"/>
  <c r="H179" i="4" s="1"/>
  <c r="H200" i="4" s="1"/>
  <c r="I51" i="4"/>
  <c r="I18" i="4" s="1"/>
  <c r="I19" i="4" s="1"/>
  <c r="I50" i="4" s="1"/>
  <c r="I52" i="4" s="1"/>
  <c r="J51" i="4" s="1"/>
  <c r="J18" i="4" s="1"/>
  <c r="J19" i="4" s="1"/>
  <c r="J50" i="4" s="1"/>
  <c r="J52" i="4" s="1"/>
  <c r="C151" i="8"/>
  <c r="F77" i="8"/>
  <c r="D92" i="8"/>
  <c r="D93" i="8"/>
  <c r="E84" i="8"/>
  <c r="D88" i="8" s="1"/>
  <c r="C95" i="8"/>
  <c r="F71" i="4"/>
  <c r="F179" i="4"/>
  <c r="F200" i="4" s="1"/>
  <c r="F68" i="4"/>
  <c r="F180" i="4" s="1"/>
  <c r="F201" i="4" s="1"/>
  <c r="G55" i="4"/>
  <c r="G70" i="4" s="1"/>
  <c r="R65" i="8" l="1"/>
  <c r="R30" i="8"/>
  <c r="R64" i="8"/>
  <c r="S37" i="8"/>
  <c r="S38" i="8"/>
  <c r="R25" i="8"/>
  <c r="R66" i="8"/>
  <c r="S36" i="8"/>
  <c r="R31" i="8"/>
  <c r="R29" i="8"/>
  <c r="R24" i="8"/>
  <c r="R48" i="8" s="1"/>
  <c r="S40" i="8"/>
  <c r="R67" i="8"/>
  <c r="R173" i="8" s="1"/>
  <c r="S34" i="8"/>
  <c r="R22" i="8"/>
  <c r="R26" i="8"/>
  <c r="R27" i="8"/>
  <c r="R62" i="8"/>
  <c r="R168" i="8" s="1"/>
  <c r="S1" i="8"/>
  <c r="Q36" i="4"/>
  <c r="P27" i="4"/>
  <c r="P22" i="4"/>
  <c r="P24" i="4"/>
  <c r="Q34" i="4"/>
  <c r="Q1" i="4"/>
  <c r="P29" i="4"/>
  <c r="P30" i="4"/>
  <c r="P26" i="4"/>
  <c r="P65" i="4"/>
  <c r="P25" i="4"/>
  <c r="P67" i="4"/>
  <c r="P173" i="4" s="1"/>
  <c r="P64" i="4"/>
  <c r="P62" i="4"/>
  <c r="P168" i="4" s="1"/>
  <c r="P31" i="4"/>
  <c r="P66" i="4"/>
  <c r="Q40" i="4"/>
  <c r="Q41" i="4" s="1"/>
  <c r="Q38" i="4"/>
  <c r="Q37" i="4"/>
  <c r="V162" i="8"/>
  <c r="W56" i="8"/>
  <c r="R56" i="4"/>
  <c r="Q162" i="4"/>
  <c r="Q198" i="4"/>
  <c r="Q42" i="4"/>
  <c r="R3" i="4"/>
  <c r="Q6" i="4"/>
  <c r="Q11" i="4"/>
  <c r="Q12" i="4" s="1"/>
  <c r="Q43" i="4"/>
  <c r="Q5" i="4"/>
  <c r="Q13" i="4"/>
  <c r="S11" i="8"/>
  <c r="S12" i="8" s="1"/>
  <c r="S5" i="8"/>
  <c r="S42" i="8"/>
  <c r="S6" i="8"/>
  <c r="S41" i="8"/>
  <c r="S198" i="8"/>
  <c r="T3" i="8"/>
  <c r="S43" i="8"/>
  <c r="S13" i="8"/>
  <c r="Q51" i="8"/>
  <c r="Q18" i="8" s="1"/>
  <c r="Q19" i="8" s="1"/>
  <c r="Q50" i="8" s="1"/>
  <c r="Q52" i="8" s="1"/>
  <c r="P55" i="8"/>
  <c r="N71" i="8"/>
  <c r="O179" i="8"/>
  <c r="O200" i="8" s="1"/>
  <c r="O70" i="8"/>
  <c r="O68" i="8"/>
  <c r="O180" i="8" s="1"/>
  <c r="O201" i="8" s="1"/>
  <c r="S16" i="8"/>
  <c r="S47" i="8"/>
  <c r="S15" i="8"/>
  <c r="S45" i="8"/>
  <c r="S46" i="8"/>
  <c r="T2" i="8"/>
  <c r="S17" i="8"/>
  <c r="R46" i="4"/>
  <c r="R16" i="4"/>
  <c r="S2" i="4"/>
  <c r="R17" i="4"/>
  <c r="R15" i="4"/>
  <c r="R45" i="4"/>
  <c r="R47" i="4"/>
  <c r="K51" i="4"/>
  <c r="K18" i="4" s="1"/>
  <c r="K19" i="4" s="1"/>
  <c r="K50" i="4" s="1"/>
  <c r="K52" i="4" s="1"/>
  <c r="J55" i="4"/>
  <c r="H68" i="4"/>
  <c r="H180" i="4" s="1"/>
  <c r="H201" i="4" s="1"/>
  <c r="H70" i="4"/>
  <c r="I55" i="4"/>
  <c r="I70" i="4" s="1"/>
  <c r="D89" i="8"/>
  <c r="D90" i="8" s="1"/>
  <c r="F80" i="8"/>
  <c r="F81" i="8" s="1"/>
  <c r="C97" i="8"/>
  <c r="D91" i="8"/>
  <c r="D141" i="8"/>
  <c r="F78" i="8"/>
  <c r="F79" i="8" s="1"/>
  <c r="G68" i="4"/>
  <c r="G180" i="4" s="1"/>
  <c r="G201" i="4" s="1"/>
  <c r="G71" i="4"/>
  <c r="G179" i="4"/>
  <c r="P48" i="4" l="1"/>
  <c r="T38" i="8"/>
  <c r="T37" i="8"/>
  <c r="S67" i="8"/>
  <c r="S173" i="8" s="1"/>
  <c r="S65" i="8"/>
  <c r="S27" i="8"/>
  <c r="T36" i="8"/>
  <c r="T1" i="8"/>
  <c r="S31" i="8"/>
  <c r="S62" i="8"/>
  <c r="S168" i="8" s="1"/>
  <c r="T34" i="8"/>
  <c r="S30" i="8"/>
  <c r="S66" i="8"/>
  <c r="S24" i="8"/>
  <c r="S64" i="8"/>
  <c r="T40" i="8"/>
  <c r="S29" i="8"/>
  <c r="S22" i="8"/>
  <c r="S26" i="8"/>
  <c r="S25" i="8"/>
  <c r="R40" i="4"/>
  <c r="R41" i="4" s="1"/>
  <c r="R36" i="4"/>
  <c r="Q22" i="4"/>
  <c r="Q48" i="4" s="1"/>
  <c r="R38" i="4"/>
  <c r="Q26" i="4"/>
  <c r="R34" i="4"/>
  <c r="Q65" i="4"/>
  <c r="Q30" i="4"/>
  <c r="R1" i="4"/>
  <c r="Q66" i="4"/>
  <c r="Q27" i="4"/>
  <c r="Q25" i="4"/>
  <c r="R37" i="4"/>
  <c r="Q64" i="4"/>
  <c r="Q67" i="4"/>
  <c r="Q173" i="4" s="1"/>
  <c r="Q62" i="4"/>
  <c r="Q168" i="4" s="1"/>
  <c r="Q24" i="4"/>
  <c r="Q29" i="4"/>
  <c r="Q31" i="4"/>
  <c r="U3" i="8"/>
  <c r="T42" i="8"/>
  <c r="T5" i="8"/>
  <c r="T41" i="8"/>
  <c r="T13" i="8"/>
  <c r="T11" i="8"/>
  <c r="T12" i="8" s="1"/>
  <c r="T43" i="8"/>
  <c r="T6" i="8"/>
  <c r="T198" i="8"/>
  <c r="R13" i="4"/>
  <c r="R6" i="4"/>
  <c r="R11" i="4"/>
  <c r="R12" i="4" s="1"/>
  <c r="R43" i="4"/>
  <c r="R198" i="4"/>
  <c r="R42" i="4"/>
  <c r="S3" i="4"/>
  <c r="R5" i="4"/>
  <c r="R162" i="4"/>
  <c r="S56" i="4"/>
  <c r="X56" i="8"/>
  <c r="W162" i="8"/>
  <c r="T45" i="8"/>
  <c r="T47" i="8"/>
  <c r="T15" i="8"/>
  <c r="T17" i="8"/>
  <c r="U2" i="8"/>
  <c r="T46" i="8"/>
  <c r="T16" i="8"/>
  <c r="S48" i="8"/>
  <c r="O71" i="8"/>
  <c r="P179" i="8"/>
  <c r="P200" i="8" s="1"/>
  <c r="P70" i="8"/>
  <c r="P68" i="8"/>
  <c r="P180" i="8" s="1"/>
  <c r="P201" i="8" s="1"/>
  <c r="R51" i="8"/>
  <c r="R18" i="8" s="1"/>
  <c r="R19" i="8" s="1"/>
  <c r="R50" i="8" s="1"/>
  <c r="R52" i="8" s="1"/>
  <c r="Q55" i="8"/>
  <c r="J179" i="4"/>
  <c r="J200" i="4" s="1"/>
  <c r="J68" i="4"/>
  <c r="J180" i="4" s="1"/>
  <c r="J201" i="4" s="1"/>
  <c r="J70" i="4"/>
  <c r="S47" i="4"/>
  <c r="S45" i="4"/>
  <c r="S46" i="4"/>
  <c r="S16" i="4"/>
  <c r="S15" i="4"/>
  <c r="T2" i="4"/>
  <c r="K55" i="4"/>
  <c r="L51" i="4"/>
  <c r="L18" i="4" s="1"/>
  <c r="L19" i="4" s="1"/>
  <c r="L50" i="4" s="1"/>
  <c r="L52" i="4" s="1"/>
  <c r="I179" i="4"/>
  <c r="I200" i="4" s="1"/>
  <c r="I68" i="4"/>
  <c r="I180" i="4" s="1"/>
  <c r="I201" i="4" s="1"/>
  <c r="H71" i="4"/>
  <c r="I71" i="4" s="1"/>
  <c r="E87" i="8"/>
  <c r="D94" i="8"/>
  <c r="F167" i="8"/>
  <c r="G76" i="8"/>
  <c r="F83" i="8"/>
  <c r="C98" i="8"/>
  <c r="C99" i="8" s="1"/>
  <c r="C100" i="8" s="1"/>
  <c r="G200" i="4"/>
  <c r="U1" i="8" l="1"/>
  <c r="T27" i="8"/>
  <c r="T31" i="8"/>
  <c r="T24" i="8"/>
  <c r="T67" i="8"/>
  <c r="T173" i="8" s="1"/>
  <c r="U37" i="8"/>
  <c r="T22" i="8"/>
  <c r="U38" i="8"/>
  <c r="T66" i="8"/>
  <c r="T25" i="8"/>
  <c r="T26" i="8"/>
  <c r="T48" i="8" s="1"/>
  <c r="T64" i="8"/>
  <c r="T30" i="8"/>
  <c r="U40" i="8"/>
  <c r="T65" i="8"/>
  <c r="U34" i="8"/>
  <c r="U36" i="8"/>
  <c r="T29" i="8"/>
  <c r="T62" i="8"/>
  <c r="T168" i="8" s="1"/>
  <c r="S1" i="4"/>
  <c r="R64" i="4"/>
  <c r="R31" i="4"/>
  <c r="R29" i="4"/>
  <c r="R26" i="4"/>
  <c r="R24" i="4"/>
  <c r="S34" i="4"/>
  <c r="S38" i="4"/>
  <c r="S36" i="4"/>
  <c r="R22" i="4"/>
  <c r="R27" i="4"/>
  <c r="S40" i="4"/>
  <c r="R66" i="4"/>
  <c r="R25" i="4"/>
  <c r="R30" i="4"/>
  <c r="R67" i="4"/>
  <c r="R173" i="4" s="1"/>
  <c r="R62" i="4"/>
  <c r="R168" i="4" s="1"/>
  <c r="S37" i="4"/>
  <c r="R65" i="4"/>
  <c r="S17" i="4"/>
  <c r="X162" i="8"/>
  <c r="Y56" i="8"/>
  <c r="S162" i="4"/>
  <c r="T56" i="4"/>
  <c r="T3" i="4"/>
  <c r="S13" i="4"/>
  <c r="S198" i="4"/>
  <c r="S42" i="4"/>
  <c r="S6" i="4"/>
  <c r="S11" i="4"/>
  <c r="S5" i="4"/>
  <c r="S43" i="4"/>
  <c r="S41" i="4"/>
  <c r="U41" i="8"/>
  <c r="U42" i="8"/>
  <c r="U13" i="8"/>
  <c r="V3" i="8"/>
  <c r="U6" i="8"/>
  <c r="U5" i="8"/>
  <c r="U198" i="8"/>
  <c r="U11" i="8"/>
  <c r="U12" i="8" s="1"/>
  <c r="U43" i="8"/>
  <c r="U16" i="8"/>
  <c r="U46" i="8"/>
  <c r="U45" i="8"/>
  <c r="U17" i="8"/>
  <c r="V2" i="8"/>
  <c r="U47" i="8"/>
  <c r="U15" i="8"/>
  <c r="P71" i="8"/>
  <c r="R55" i="8"/>
  <c r="S51" i="8"/>
  <c r="S18" i="8" s="1"/>
  <c r="S19" i="8" s="1"/>
  <c r="S50" i="8" s="1"/>
  <c r="S52" i="8" s="1"/>
  <c r="Q70" i="8"/>
  <c r="Q179" i="8"/>
  <c r="Q200" i="8" s="1"/>
  <c r="Q68" i="8"/>
  <c r="Q180" i="8" s="1"/>
  <c r="Q201" i="8" s="1"/>
  <c r="T46" i="4"/>
  <c r="T16" i="4"/>
  <c r="U2" i="4"/>
  <c r="J71" i="4"/>
  <c r="K179" i="4"/>
  <c r="K200" i="4" s="1"/>
  <c r="K70" i="4"/>
  <c r="K68" i="4"/>
  <c r="K180" i="4" s="1"/>
  <c r="K201" i="4" s="1"/>
  <c r="M51" i="4"/>
  <c r="M18" i="4" s="1"/>
  <c r="M19" i="4" s="1"/>
  <c r="M50" i="4" s="1"/>
  <c r="M52" i="4" s="1"/>
  <c r="L55" i="4"/>
  <c r="D151" i="8"/>
  <c r="D95" i="8"/>
  <c r="D97" i="8" s="1"/>
  <c r="D98" i="8" s="1"/>
  <c r="D99" i="8" s="1"/>
  <c r="D100" i="8" s="1"/>
  <c r="E92" i="8"/>
  <c r="E93" i="8"/>
  <c r="C101" i="8"/>
  <c r="F84" i="8"/>
  <c r="E88" i="8" s="1"/>
  <c r="G77" i="8"/>
  <c r="S31" i="4" l="1"/>
  <c r="S62" i="4"/>
  <c r="S168" i="4" s="1"/>
  <c r="T38" i="4"/>
  <c r="S27" i="4"/>
  <c r="T40" i="4"/>
  <c r="T1" i="4"/>
  <c r="T36" i="4"/>
  <c r="T37" i="4"/>
  <c r="S22" i="4"/>
  <c r="S29" i="4"/>
  <c r="S25" i="4"/>
  <c r="S26" i="4"/>
  <c r="S48" i="4" s="1"/>
  <c r="S64" i="4"/>
  <c r="S24" i="4"/>
  <c r="S30" i="4"/>
  <c r="T34" i="4"/>
  <c r="S65" i="4"/>
  <c r="S66" i="4"/>
  <c r="S67" i="4"/>
  <c r="S173" i="4" s="1"/>
  <c r="T17" i="4"/>
  <c r="R48" i="4"/>
  <c r="T45" i="4"/>
  <c r="T47" i="4"/>
  <c r="T15" i="4"/>
  <c r="U30" i="8"/>
  <c r="U62" i="8"/>
  <c r="U168" i="8" s="1"/>
  <c r="V34" i="8"/>
  <c r="V38" i="8"/>
  <c r="U66" i="8"/>
  <c r="V37" i="8"/>
  <c r="U65" i="8"/>
  <c r="U24" i="8"/>
  <c r="U48" i="8" s="1"/>
  <c r="U25" i="8"/>
  <c r="U27" i="8"/>
  <c r="U67" i="8"/>
  <c r="U173" i="8" s="1"/>
  <c r="U22" i="8"/>
  <c r="V1" i="8"/>
  <c r="U31" i="8"/>
  <c r="V40" i="8"/>
  <c r="V36" i="8"/>
  <c r="U26" i="8"/>
  <c r="U29" i="8"/>
  <c r="U64" i="8"/>
  <c r="S12" i="4"/>
  <c r="V198" i="8"/>
  <c r="V42" i="8"/>
  <c r="V41" i="8"/>
  <c r="V13" i="8"/>
  <c r="V5" i="8"/>
  <c r="W3" i="8"/>
  <c r="V43" i="8"/>
  <c r="V11" i="8"/>
  <c r="V12" i="8" s="1"/>
  <c r="V6" i="8"/>
  <c r="T13" i="4"/>
  <c r="T198" i="4"/>
  <c r="T11" i="4"/>
  <c r="T12" i="4" s="1"/>
  <c r="T6" i="4"/>
  <c r="T41" i="4"/>
  <c r="T43" i="4"/>
  <c r="U3" i="4"/>
  <c r="T5" i="4"/>
  <c r="T42" i="4"/>
  <c r="T162" i="4"/>
  <c r="U56" i="4"/>
  <c r="Y162" i="8"/>
  <c r="Z56" i="8"/>
  <c r="R179" i="8"/>
  <c r="R200" i="8" s="1"/>
  <c r="R70" i="8"/>
  <c r="R68" i="8"/>
  <c r="R180" i="8" s="1"/>
  <c r="R201" i="8" s="1"/>
  <c r="Q71" i="8"/>
  <c r="S55" i="8"/>
  <c r="T51" i="8"/>
  <c r="T18" i="8" s="1"/>
  <c r="T19" i="8" s="1"/>
  <c r="T50" i="8" s="1"/>
  <c r="T52" i="8" s="1"/>
  <c r="V47" i="8"/>
  <c r="V46" i="8"/>
  <c r="V45" i="8"/>
  <c r="W2" i="8"/>
  <c r="V17" i="8"/>
  <c r="V16" i="8"/>
  <c r="V15" i="8"/>
  <c r="U15" i="4"/>
  <c r="U47" i="4"/>
  <c r="U45" i="4"/>
  <c r="U16" i="4"/>
  <c r="U17" i="4"/>
  <c r="V2" i="4"/>
  <c r="L179" i="4"/>
  <c r="L200" i="4" s="1"/>
  <c r="L70" i="4"/>
  <c r="L68" i="4"/>
  <c r="L180" i="4" s="1"/>
  <c r="L201" i="4" s="1"/>
  <c r="M55" i="4"/>
  <c r="N51" i="4"/>
  <c r="N18" i="4" s="1"/>
  <c r="N19" i="4" s="1"/>
  <c r="N50" i="4" s="1"/>
  <c r="N52" i="4" s="1"/>
  <c r="K71" i="4"/>
  <c r="D101" i="8"/>
  <c r="C105" i="8" s="1"/>
  <c r="G78" i="8"/>
  <c r="G79" i="8" s="1"/>
  <c r="H76" i="8" s="1"/>
  <c r="E91" i="8"/>
  <c r="E89" i="8"/>
  <c r="E90" i="8" s="1"/>
  <c r="E141" i="8"/>
  <c r="G80" i="8"/>
  <c r="G81" i="8" s="1"/>
  <c r="C79" i="4"/>
  <c r="D76" i="4" s="1"/>
  <c r="C80" i="4"/>
  <c r="C81" i="4" s="1"/>
  <c r="T22" i="4" l="1"/>
  <c r="U40" i="4"/>
  <c r="U34" i="4"/>
  <c r="T30" i="4"/>
  <c r="T67" i="4"/>
  <c r="T173" i="4" s="1"/>
  <c r="U36" i="4"/>
  <c r="T62" i="4"/>
  <c r="T168" i="4" s="1"/>
  <c r="T66" i="4"/>
  <c r="U38" i="4"/>
  <c r="T65" i="4"/>
  <c r="T31" i="4"/>
  <c r="T27" i="4"/>
  <c r="T26" i="4"/>
  <c r="U37" i="4"/>
  <c r="T29" i="4"/>
  <c r="T25" i="4"/>
  <c r="U1" i="4"/>
  <c r="T64" i="4"/>
  <c r="T24" i="4"/>
  <c r="W38" i="8"/>
  <c r="V65" i="8"/>
  <c r="V30" i="8"/>
  <c r="W36" i="8"/>
  <c r="V24" i="8"/>
  <c r="V48" i="8" s="1"/>
  <c r="W34" i="8"/>
  <c r="V67" i="8"/>
  <c r="V173" i="8" s="1"/>
  <c r="V22" i="8"/>
  <c r="W37" i="8"/>
  <c r="V66" i="8"/>
  <c r="V62" i="8"/>
  <c r="V168" i="8" s="1"/>
  <c r="V25" i="8"/>
  <c r="V27" i="8"/>
  <c r="V31" i="8"/>
  <c r="W1" i="8"/>
  <c r="V26" i="8"/>
  <c r="W40" i="8"/>
  <c r="W42" i="8" s="1"/>
  <c r="V29" i="8"/>
  <c r="V64" i="8"/>
  <c r="U46" i="4"/>
  <c r="Z162" i="8"/>
  <c r="AA56" i="8"/>
  <c r="U162" i="4"/>
  <c r="V56" i="4"/>
  <c r="W43" i="8"/>
  <c r="W5" i="8"/>
  <c r="W11" i="8"/>
  <c r="W12" i="8" s="1"/>
  <c r="W41" i="8"/>
  <c r="X3" i="8"/>
  <c r="W13" i="8"/>
  <c r="W198" i="8"/>
  <c r="W6" i="8"/>
  <c r="U198" i="4"/>
  <c r="U43" i="4"/>
  <c r="U41" i="4"/>
  <c r="U11" i="4"/>
  <c r="U12" i="4" s="1"/>
  <c r="V3" i="4"/>
  <c r="U5" i="4"/>
  <c r="U13" i="4"/>
  <c r="U6" i="4"/>
  <c r="U42" i="4"/>
  <c r="W46" i="8"/>
  <c r="X2" i="8"/>
  <c r="W17" i="8"/>
  <c r="W47" i="8"/>
  <c r="W45" i="8"/>
  <c r="W15" i="8"/>
  <c r="W16" i="8"/>
  <c r="S68" i="8"/>
  <c r="S180" i="8" s="1"/>
  <c r="S201" i="8" s="1"/>
  <c r="S179" i="8"/>
  <c r="S200" i="8" s="1"/>
  <c r="S70" i="8"/>
  <c r="R71" i="8"/>
  <c r="T55" i="8"/>
  <c r="U51" i="8"/>
  <c r="U18" i="8" s="1"/>
  <c r="U19" i="8" s="1"/>
  <c r="U50" i="8" s="1"/>
  <c r="U52" i="8" s="1"/>
  <c r="V45" i="4"/>
  <c r="V47" i="4"/>
  <c r="V15" i="4"/>
  <c r="V46" i="4"/>
  <c r="W2" i="4"/>
  <c r="V16" i="4"/>
  <c r="V17" i="4"/>
  <c r="N55" i="4"/>
  <c r="O51" i="4"/>
  <c r="O18" i="4" s="1"/>
  <c r="O19" i="4" s="1"/>
  <c r="O50" i="4" s="1"/>
  <c r="O52" i="4" s="1"/>
  <c r="L71" i="4"/>
  <c r="M179" i="4"/>
  <c r="M200" i="4" s="1"/>
  <c r="M68" i="4"/>
  <c r="M180" i="4" s="1"/>
  <c r="M201" i="4" s="1"/>
  <c r="M70" i="4"/>
  <c r="H77" i="8"/>
  <c r="G83" i="8"/>
  <c r="G167" i="8"/>
  <c r="F87" i="8"/>
  <c r="E94" i="8"/>
  <c r="C142" i="8"/>
  <c r="C108" i="8"/>
  <c r="C107" i="8"/>
  <c r="C83" i="4"/>
  <c r="D77" i="4"/>
  <c r="D78" i="4" s="1"/>
  <c r="D79" i="4" s="1"/>
  <c r="C167" i="4"/>
  <c r="W62" i="8" l="1"/>
  <c r="W168" i="8" s="1"/>
  <c r="W66" i="8"/>
  <c r="X38" i="8"/>
  <c r="X1" i="8"/>
  <c r="X36" i="8"/>
  <c r="W25" i="8"/>
  <c r="W26" i="8"/>
  <c r="W27" i="8"/>
  <c r="X34" i="8"/>
  <c r="W67" i="8"/>
  <c r="W173" i="8" s="1"/>
  <c r="W24" i="8"/>
  <c r="W30" i="8"/>
  <c r="W22" i="8"/>
  <c r="X37" i="8"/>
  <c r="X40" i="8"/>
  <c r="W29" i="8"/>
  <c r="W64" i="8"/>
  <c r="W31" i="8"/>
  <c r="W65" i="8"/>
  <c r="U64" i="4"/>
  <c r="U29" i="4"/>
  <c r="U30" i="4"/>
  <c r="V34" i="4"/>
  <c r="V36" i="4"/>
  <c r="V1" i="4"/>
  <c r="W15" i="4" s="1"/>
  <c r="U26" i="4"/>
  <c r="U67" i="4"/>
  <c r="U173" i="4" s="1"/>
  <c r="V38" i="4"/>
  <c r="U27" i="4"/>
  <c r="U31" i="4"/>
  <c r="U24" i="4"/>
  <c r="U25" i="4"/>
  <c r="V40" i="4"/>
  <c r="U65" i="4"/>
  <c r="U62" i="4"/>
  <c r="U168" i="4" s="1"/>
  <c r="U22" i="4"/>
  <c r="U48" i="4" s="1"/>
  <c r="U66" i="4"/>
  <c r="V37" i="4"/>
  <c r="T48" i="4"/>
  <c r="W48" i="8"/>
  <c r="X6" i="8"/>
  <c r="X43" i="8"/>
  <c r="X13" i="8"/>
  <c r="X41" i="8"/>
  <c r="Y3" i="8"/>
  <c r="X11" i="8"/>
  <c r="X12" i="8" s="1"/>
  <c r="X198" i="8"/>
  <c r="X42" i="8"/>
  <c r="X5" i="8"/>
  <c r="V5" i="4"/>
  <c r="V198" i="4"/>
  <c r="V41" i="4"/>
  <c r="V11" i="4"/>
  <c r="V12" i="4" s="1"/>
  <c r="W3" i="4"/>
  <c r="V43" i="4"/>
  <c r="V42" i="4"/>
  <c r="V6" i="4"/>
  <c r="V13" i="4"/>
  <c r="W56" i="4"/>
  <c r="V162" i="4"/>
  <c r="AB56" i="8"/>
  <c r="AA162" i="8"/>
  <c r="U55" i="8"/>
  <c r="V51" i="8"/>
  <c r="V18" i="8" s="1"/>
  <c r="V19" i="8" s="1"/>
  <c r="V50" i="8" s="1"/>
  <c r="V52" i="8" s="1"/>
  <c r="T179" i="8"/>
  <c r="T200" i="8" s="1"/>
  <c r="T70" i="8"/>
  <c r="T68" i="8"/>
  <c r="T180" i="8" s="1"/>
  <c r="T201" i="8" s="1"/>
  <c r="X45" i="8"/>
  <c r="X17" i="8"/>
  <c r="X47" i="8"/>
  <c r="Y2" i="8"/>
  <c r="X16" i="8"/>
  <c r="X15" i="8"/>
  <c r="X46" i="8"/>
  <c r="S71" i="8"/>
  <c r="N179" i="4"/>
  <c r="N200" i="4" s="1"/>
  <c r="N70" i="4"/>
  <c r="N68" i="4"/>
  <c r="N180" i="4" s="1"/>
  <c r="N201" i="4" s="1"/>
  <c r="O55" i="4"/>
  <c r="P51" i="4"/>
  <c r="P18" i="4" s="1"/>
  <c r="P19" i="4" s="1"/>
  <c r="P50" i="4" s="1"/>
  <c r="P52" i="4" s="1"/>
  <c r="M71" i="4"/>
  <c r="W45" i="4"/>
  <c r="X2" i="4"/>
  <c r="W17" i="4"/>
  <c r="W47" i="4"/>
  <c r="W16" i="4"/>
  <c r="H80" i="8"/>
  <c r="H81" i="8" s="1"/>
  <c r="H78" i="8"/>
  <c r="H79" i="8" s="1"/>
  <c r="I76" i="8" s="1"/>
  <c r="D104" i="8"/>
  <c r="C111" i="8"/>
  <c r="E151" i="8"/>
  <c r="E95" i="8"/>
  <c r="F93" i="8"/>
  <c r="F92" i="8"/>
  <c r="G84" i="8"/>
  <c r="F88" i="8" s="1"/>
  <c r="D80" i="4"/>
  <c r="D81" i="4" s="1"/>
  <c r="D167" i="4"/>
  <c r="E76" i="4"/>
  <c r="E77" i="4" s="1"/>
  <c r="C84" i="4"/>
  <c r="X64" i="8" l="1"/>
  <c r="X31" i="8"/>
  <c r="X25" i="8"/>
  <c r="Y1" i="8"/>
  <c r="Y36" i="8"/>
  <c r="X27" i="8"/>
  <c r="X67" i="8"/>
  <c r="X173" i="8" s="1"/>
  <c r="X66" i="8"/>
  <c r="Y40" i="8"/>
  <c r="X29" i="8"/>
  <c r="Y38" i="8"/>
  <c r="X30" i="8"/>
  <c r="Y37" i="8"/>
  <c r="X62" i="8"/>
  <c r="X168" i="8" s="1"/>
  <c r="Y34" i="8"/>
  <c r="X22" i="8"/>
  <c r="X48" i="8" s="1"/>
  <c r="X24" i="8"/>
  <c r="X65" i="8"/>
  <c r="X26" i="8"/>
  <c r="W46" i="4"/>
  <c r="W36" i="4"/>
  <c r="V29" i="4"/>
  <c r="V67" i="4"/>
  <c r="V173" i="4" s="1"/>
  <c r="V25" i="4"/>
  <c r="V65" i="4"/>
  <c r="V22" i="4"/>
  <c r="V48" i="4" s="1"/>
  <c r="W40" i="4"/>
  <c r="W42" i="4" s="1"/>
  <c r="V31" i="4"/>
  <c r="V66" i="4"/>
  <c r="W1" i="4"/>
  <c r="X46" i="4" s="1"/>
  <c r="V62" i="4"/>
  <c r="V168" i="4" s="1"/>
  <c r="V26" i="4"/>
  <c r="W38" i="4"/>
  <c r="V27" i="4"/>
  <c r="V64" i="4"/>
  <c r="V24" i="4"/>
  <c r="V30" i="4"/>
  <c r="W37" i="4"/>
  <c r="W34" i="4"/>
  <c r="W162" i="4"/>
  <c r="X56" i="4"/>
  <c r="AB162" i="8"/>
  <c r="AC56" i="8"/>
  <c r="Y11" i="8"/>
  <c r="Y12" i="8" s="1"/>
  <c r="Y43" i="8"/>
  <c r="Y42" i="8"/>
  <c r="Z3" i="8"/>
  <c r="Y41" i="8"/>
  <c r="Y13" i="8"/>
  <c r="Y5" i="8"/>
  <c r="Y6" i="8"/>
  <c r="Y198" i="8"/>
  <c r="X3" i="4"/>
  <c r="W5" i="4"/>
  <c r="W198" i="4"/>
  <c r="W43" i="4"/>
  <c r="W41" i="4"/>
  <c r="W13" i="4"/>
  <c r="W11" i="4"/>
  <c r="W12" i="4" s="1"/>
  <c r="W6" i="4"/>
  <c r="T71" i="8"/>
  <c r="I77" i="8"/>
  <c r="U179" i="8"/>
  <c r="U200" i="8" s="1"/>
  <c r="U68" i="8"/>
  <c r="U180" i="8" s="1"/>
  <c r="U201" i="8" s="1"/>
  <c r="U70" i="8"/>
  <c r="Z2" i="8"/>
  <c r="Y15" i="8"/>
  <c r="Y17" i="8"/>
  <c r="Y47" i="8"/>
  <c r="Y45" i="8"/>
  <c r="Y16" i="8"/>
  <c r="Y46" i="8"/>
  <c r="V55" i="8"/>
  <c r="W51" i="8"/>
  <c r="W18" i="8" s="1"/>
  <c r="W19" i="8" s="1"/>
  <c r="W50" i="8" s="1"/>
  <c r="W52" i="8" s="1"/>
  <c r="Y2" i="4"/>
  <c r="P55" i="4"/>
  <c r="Q51" i="4"/>
  <c r="Q18" i="4" s="1"/>
  <c r="Q19" i="4" s="1"/>
  <c r="Q50" i="4" s="1"/>
  <c r="Q52" i="4" s="1"/>
  <c r="O179" i="4"/>
  <c r="O200" i="4" s="1"/>
  <c r="O68" i="4"/>
  <c r="O180" i="4" s="1"/>
  <c r="O201" i="4" s="1"/>
  <c r="O70" i="4"/>
  <c r="N71" i="4"/>
  <c r="H83" i="8"/>
  <c r="H84" i="8" s="1"/>
  <c r="H167" i="8"/>
  <c r="F91" i="8"/>
  <c r="F141" i="8"/>
  <c r="D110" i="8"/>
  <c r="D109" i="8"/>
  <c r="F89" i="8"/>
  <c r="F90" i="8" s="1"/>
  <c r="E97" i="8"/>
  <c r="C152" i="8"/>
  <c r="C112" i="8"/>
  <c r="D83" i="4"/>
  <c r="D84" i="4" s="1"/>
  <c r="C88" i="4" s="1"/>
  <c r="W24" i="4" l="1"/>
  <c r="W29" i="4"/>
  <c r="X40" i="4"/>
  <c r="W22" i="4"/>
  <c r="W48" i="4" s="1"/>
  <c r="X38" i="4"/>
  <c r="W27" i="4"/>
  <c r="W31" i="4"/>
  <c r="W30" i="4"/>
  <c r="W64" i="4"/>
  <c r="X37" i="4"/>
  <c r="W66" i="4"/>
  <c r="X36" i="4"/>
  <c r="X1" i="4"/>
  <c r="X34" i="4"/>
  <c r="W67" i="4"/>
  <c r="W173" i="4" s="1"/>
  <c r="W25" i="4"/>
  <c r="W62" i="4"/>
  <c r="W168" i="4" s="1"/>
  <c r="W26" i="4"/>
  <c r="W65" i="4"/>
  <c r="X47" i="4"/>
  <c r="Y27" i="8"/>
  <c r="Y26" i="8"/>
  <c r="Y64" i="8"/>
  <c r="Y25" i="8"/>
  <c r="Z40" i="8"/>
  <c r="Y66" i="8"/>
  <c r="Z34" i="8"/>
  <c r="Y30" i="8"/>
  <c r="Y67" i="8"/>
  <c r="Y173" i="8" s="1"/>
  <c r="Y22" i="8"/>
  <c r="Y31" i="8"/>
  <c r="Y62" i="8"/>
  <c r="Y168" i="8" s="1"/>
  <c r="Y24" i="8"/>
  <c r="Y65" i="8"/>
  <c r="Y29" i="8"/>
  <c r="Z38" i="8"/>
  <c r="Z37" i="8"/>
  <c r="Z36" i="8"/>
  <c r="Z1" i="8"/>
  <c r="X15" i="4"/>
  <c r="X16" i="4"/>
  <c r="X17" i="4"/>
  <c r="X45" i="4"/>
  <c r="Z198" i="8"/>
  <c r="Z42" i="8"/>
  <c r="Z43" i="8"/>
  <c r="Z41" i="8"/>
  <c r="AA3" i="8"/>
  <c r="Z11" i="8"/>
  <c r="Z12" i="8" s="1"/>
  <c r="Z6" i="8"/>
  <c r="Z5" i="8"/>
  <c r="Z13" i="8"/>
  <c r="AC162" i="8"/>
  <c r="AD56" i="8"/>
  <c r="X11" i="4"/>
  <c r="X12" i="4" s="1"/>
  <c r="X41" i="4"/>
  <c r="X13" i="4"/>
  <c r="X5" i="4"/>
  <c r="Y3" i="4"/>
  <c r="X6" i="4"/>
  <c r="X43" i="4"/>
  <c r="X198" i="4"/>
  <c r="X42" i="4"/>
  <c r="X162" i="4"/>
  <c r="Y56" i="4"/>
  <c r="I80" i="8"/>
  <c r="I81" i="8" s="1"/>
  <c r="U71" i="8"/>
  <c r="I78" i="8"/>
  <c r="I79" i="8" s="1"/>
  <c r="V179" i="8"/>
  <c r="V200" i="8" s="1"/>
  <c r="V68" i="8"/>
  <c r="V180" i="8" s="1"/>
  <c r="V201" i="8" s="1"/>
  <c r="V70" i="8"/>
  <c r="W55" i="8"/>
  <c r="X51" i="8"/>
  <c r="X18" i="8" s="1"/>
  <c r="X19" i="8" s="1"/>
  <c r="X50" i="8" s="1"/>
  <c r="X52" i="8" s="1"/>
  <c r="Y48" i="8"/>
  <c r="Z17" i="8"/>
  <c r="Z45" i="8"/>
  <c r="Z15" i="8"/>
  <c r="Z46" i="8"/>
  <c r="AA2" i="8"/>
  <c r="Z16" i="8"/>
  <c r="Z47" i="8"/>
  <c r="O71" i="4"/>
  <c r="Y46" i="4"/>
  <c r="Z2" i="4"/>
  <c r="Y17" i="4"/>
  <c r="Y15" i="4"/>
  <c r="Y16" i="4"/>
  <c r="Y47" i="4"/>
  <c r="Y45" i="4"/>
  <c r="R51" i="4"/>
  <c r="R18" i="4" s="1"/>
  <c r="R19" i="4" s="1"/>
  <c r="R50" i="4" s="1"/>
  <c r="R52" i="4" s="1"/>
  <c r="Q55" i="4"/>
  <c r="P179" i="4"/>
  <c r="P200" i="4" s="1"/>
  <c r="P70" i="4"/>
  <c r="P68" i="4"/>
  <c r="P180" i="4" s="1"/>
  <c r="P201" i="4" s="1"/>
  <c r="C114" i="8"/>
  <c r="C115" i="8" s="1"/>
  <c r="G87" i="8"/>
  <c r="F94" i="8"/>
  <c r="E98" i="8"/>
  <c r="E99" i="8" s="1"/>
  <c r="E100" i="8" s="1"/>
  <c r="C141" i="4"/>
  <c r="C91" i="4"/>
  <c r="C90" i="4"/>
  <c r="E80" i="4"/>
  <c r="E81" i="4" s="1"/>
  <c r="E78" i="4"/>
  <c r="E79" i="4" s="1"/>
  <c r="Z31" i="8" l="1"/>
  <c r="AA36" i="8"/>
  <c r="Z62" i="8"/>
  <c r="Z168" i="8" s="1"/>
  <c r="Z25" i="8"/>
  <c r="AA40" i="8"/>
  <c r="AA1" i="8"/>
  <c r="Z30" i="8"/>
  <c r="Z29" i="8"/>
  <c r="Z67" i="8"/>
  <c r="Z173" i="8" s="1"/>
  <c r="Z22" i="8"/>
  <c r="Z24" i="8"/>
  <c r="AA38" i="8"/>
  <c r="Z64" i="8"/>
  <c r="Z26" i="8"/>
  <c r="Z65" i="8"/>
  <c r="Z27" i="8"/>
  <c r="Z66" i="8"/>
  <c r="AA34" i="8"/>
  <c r="AA37" i="8"/>
  <c r="X67" i="4"/>
  <c r="X173" i="4" s="1"/>
  <c r="Y1" i="4"/>
  <c r="Y34" i="4"/>
  <c r="X22" i="4"/>
  <c r="X48" i="4" s="1"/>
  <c r="X29" i="4"/>
  <c r="X26" i="4"/>
  <c r="X66" i="4"/>
  <c r="X24" i="4"/>
  <c r="X31" i="4"/>
  <c r="X65" i="4"/>
  <c r="Y40" i="4"/>
  <c r="X30" i="4"/>
  <c r="X62" i="4"/>
  <c r="X168" i="4" s="1"/>
  <c r="Y38" i="4"/>
  <c r="Y37" i="4"/>
  <c r="X27" i="4"/>
  <c r="Y36" i="4"/>
  <c r="X25" i="4"/>
  <c r="X64" i="4"/>
  <c r="Y162" i="4"/>
  <c r="Z56" i="4"/>
  <c r="AE56" i="8"/>
  <c r="AD162" i="8"/>
  <c r="AA198" i="8"/>
  <c r="AA6" i="8"/>
  <c r="AA13" i="8"/>
  <c r="AA41" i="8"/>
  <c r="AA42" i="8"/>
  <c r="AA5" i="8"/>
  <c r="AB3" i="8"/>
  <c r="AA43" i="8"/>
  <c r="AA11" i="8"/>
  <c r="AA12" i="8" s="1"/>
  <c r="Y43" i="4"/>
  <c r="Y198" i="4"/>
  <c r="Y41" i="4"/>
  <c r="Y5" i="4"/>
  <c r="Y13" i="4"/>
  <c r="Y6" i="4"/>
  <c r="Y11" i="4"/>
  <c r="Y12" i="4" s="1"/>
  <c r="Z3" i="4"/>
  <c r="Y42" i="4"/>
  <c r="J76" i="8"/>
  <c r="I167" i="8"/>
  <c r="I83" i="8"/>
  <c r="AA45" i="8"/>
  <c r="AA17" i="8"/>
  <c r="AA46" i="8"/>
  <c r="AA47" i="8"/>
  <c r="AA16" i="8"/>
  <c r="AA15" i="8"/>
  <c r="AB2" i="8"/>
  <c r="V71" i="8"/>
  <c r="Z48" i="8"/>
  <c r="Y51" i="8"/>
  <c r="Y18" i="8" s="1"/>
  <c r="Y19" i="8" s="1"/>
  <c r="Y50" i="8" s="1"/>
  <c r="Y52" i="8" s="1"/>
  <c r="X55" i="8"/>
  <c r="W179" i="8"/>
  <c r="W200" i="8" s="1"/>
  <c r="W68" i="8"/>
  <c r="W180" i="8" s="1"/>
  <c r="W201" i="8" s="1"/>
  <c r="W70" i="8"/>
  <c r="Z17" i="4"/>
  <c r="Z16" i="4"/>
  <c r="Z47" i="4"/>
  <c r="AA2" i="4"/>
  <c r="Z45" i="4"/>
  <c r="P71" i="4"/>
  <c r="Q70" i="4"/>
  <c r="Q179" i="4"/>
  <c r="Q200" i="4" s="1"/>
  <c r="Q68" i="4"/>
  <c r="Q180" i="4" s="1"/>
  <c r="Q201" i="4" s="1"/>
  <c r="R55" i="4"/>
  <c r="S51" i="4"/>
  <c r="S18" i="4" s="1"/>
  <c r="S19" i="4" s="1"/>
  <c r="S50" i="4" s="1"/>
  <c r="S52" i="4" s="1"/>
  <c r="E101" i="8"/>
  <c r="D105" i="8" s="1"/>
  <c r="G88" i="8"/>
  <c r="C116" i="8"/>
  <c r="C117" i="8" s="1"/>
  <c r="F151" i="8"/>
  <c r="F95" i="8"/>
  <c r="G93" i="8"/>
  <c r="G92" i="8"/>
  <c r="E83" i="4"/>
  <c r="E167" i="4"/>
  <c r="F76" i="4"/>
  <c r="F77" i="4" s="1"/>
  <c r="D87" i="4"/>
  <c r="C94" i="4"/>
  <c r="Z37" i="4" l="1"/>
  <c r="Y30" i="4"/>
  <c r="Y27" i="4"/>
  <c r="Y25" i="4"/>
  <c r="Y64" i="4"/>
  <c r="Y66" i="4"/>
  <c r="Y24" i="4"/>
  <c r="Y31" i="4"/>
  <c r="Z38" i="4"/>
  <c r="Z40" i="4"/>
  <c r="Y62" i="4"/>
  <c r="Y168" i="4" s="1"/>
  <c r="Y29" i="4"/>
  <c r="Y48" i="4" s="1"/>
  <c r="Z36" i="4"/>
  <c r="Y67" i="4"/>
  <c r="Y173" i="4" s="1"/>
  <c r="Z1" i="4"/>
  <c r="Y65" i="4"/>
  <c r="Y26" i="4"/>
  <c r="Z34" i="4"/>
  <c r="Y22" i="4"/>
  <c r="AA26" i="8"/>
  <c r="AB1" i="8"/>
  <c r="AB36" i="8"/>
  <c r="AB38" i="8"/>
  <c r="AA64" i="8"/>
  <c r="AA65" i="8"/>
  <c r="AA24" i="8"/>
  <c r="AB40" i="8"/>
  <c r="AA25" i="8"/>
  <c r="AA29" i="8"/>
  <c r="AA22" i="8"/>
  <c r="AA31" i="8"/>
  <c r="AA67" i="8"/>
  <c r="AA173" i="8" s="1"/>
  <c r="AA27" i="8"/>
  <c r="AA62" i="8"/>
  <c r="AA168" i="8" s="1"/>
  <c r="AB37" i="8"/>
  <c r="AA30" i="8"/>
  <c r="AA48" i="8" s="1"/>
  <c r="AA66" i="8"/>
  <c r="AB34" i="8"/>
  <c r="Z46" i="4"/>
  <c r="Z15" i="4"/>
  <c r="AB5" i="8"/>
  <c r="AB42" i="8"/>
  <c r="AB43" i="8"/>
  <c r="AB13" i="8"/>
  <c r="AB6" i="8"/>
  <c r="AC3" i="8"/>
  <c r="AB11" i="8"/>
  <c r="AB12" i="8" s="1"/>
  <c r="AB198" i="8"/>
  <c r="AB41" i="8"/>
  <c r="Z198" i="4"/>
  <c r="Z5" i="4"/>
  <c r="Z13" i="4"/>
  <c r="Z43" i="4"/>
  <c r="Z41" i="4"/>
  <c r="Z6" i="4"/>
  <c r="Z11" i="4"/>
  <c r="Z12" i="4" s="1"/>
  <c r="AA3" i="4"/>
  <c r="Z42" i="4"/>
  <c r="AF56" i="8"/>
  <c r="AE162" i="8"/>
  <c r="AA56" i="4"/>
  <c r="Z162" i="4"/>
  <c r="X179" i="8"/>
  <c r="X200" i="8" s="1"/>
  <c r="X70" i="8"/>
  <c r="X68" i="8"/>
  <c r="X180" i="8" s="1"/>
  <c r="X201" i="8" s="1"/>
  <c r="Y55" i="8"/>
  <c r="Z51" i="8"/>
  <c r="Z18" i="8" s="1"/>
  <c r="Z19" i="8" s="1"/>
  <c r="Z50" i="8" s="1"/>
  <c r="Z52" i="8" s="1"/>
  <c r="AB45" i="8"/>
  <c r="AB15" i="8"/>
  <c r="AB46" i="8"/>
  <c r="AB16" i="8"/>
  <c r="AB17" i="8"/>
  <c r="AB47" i="8"/>
  <c r="AC2" i="8"/>
  <c r="W71" i="8"/>
  <c r="I84" i="8"/>
  <c r="J77" i="8"/>
  <c r="T51" i="4"/>
  <c r="T18" i="4" s="1"/>
  <c r="T19" i="4" s="1"/>
  <c r="T50" i="4" s="1"/>
  <c r="T52" i="4" s="1"/>
  <c r="S55" i="4"/>
  <c r="Q71" i="4"/>
  <c r="AA47" i="4"/>
  <c r="AA45" i="4"/>
  <c r="AA16" i="4"/>
  <c r="AA17" i="4"/>
  <c r="AB2" i="4"/>
  <c r="AA15" i="4"/>
  <c r="AA46" i="4"/>
  <c r="R70" i="4"/>
  <c r="R68" i="4"/>
  <c r="R180" i="4" s="1"/>
  <c r="R201" i="4" s="1"/>
  <c r="R179" i="4"/>
  <c r="R200" i="4" s="1"/>
  <c r="C118" i="8"/>
  <c r="G91" i="8"/>
  <c r="G141" i="8"/>
  <c r="G89" i="8"/>
  <c r="G90" i="8" s="1"/>
  <c r="H87" i="8" s="1"/>
  <c r="D108" i="8"/>
  <c r="D142" i="8"/>
  <c r="D106" i="8"/>
  <c r="D107" i="8" s="1"/>
  <c r="F97" i="8"/>
  <c r="E84" i="4"/>
  <c r="D88" i="4" s="1"/>
  <c r="F78" i="4"/>
  <c r="F79" i="4" s="1"/>
  <c r="C151" i="4"/>
  <c r="C95" i="4"/>
  <c r="D92" i="4"/>
  <c r="D93" i="4"/>
  <c r="AB26" i="8" l="1"/>
  <c r="AB64" i="8"/>
  <c r="AB67" i="8"/>
  <c r="AB173" i="8" s="1"/>
  <c r="AC38" i="8"/>
  <c r="AC36" i="8"/>
  <c r="AB62" i="8"/>
  <c r="AB168" i="8" s="1"/>
  <c r="AB27" i="8"/>
  <c r="AB66" i="8"/>
  <c r="AB22" i="8"/>
  <c r="AB48" i="8" s="1"/>
  <c r="AB31" i="8"/>
  <c r="AB65" i="8"/>
  <c r="AB30" i="8"/>
  <c r="AC37" i="8"/>
  <c r="AC34" i="8"/>
  <c r="AB25" i="8"/>
  <c r="AB29" i="8"/>
  <c r="AB24" i="8"/>
  <c r="AC40" i="8"/>
  <c r="AC42" i="8" s="1"/>
  <c r="AC1" i="8"/>
  <c r="Z62" i="4"/>
  <c r="Z168" i="4" s="1"/>
  <c r="Z27" i="4"/>
  <c r="Z64" i="4"/>
  <c r="AA1" i="4"/>
  <c r="Z24" i="4"/>
  <c r="Z30" i="4"/>
  <c r="AA40" i="4"/>
  <c r="Z26" i="4"/>
  <c r="Z66" i="4"/>
  <c r="Z25" i="4"/>
  <c r="Z22" i="4"/>
  <c r="Z48" i="4" s="1"/>
  <c r="AA34" i="4"/>
  <c r="Z29" i="4"/>
  <c r="AA36" i="4"/>
  <c r="Z31" i="4"/>
  <c r="Z67" i="4"/>
  <c r="Z173" i="4" s="1"/>
  <c r="AA38" i="4"/>
  <c r="Z65" i="4"/>
  <c r="AA37" i="4"/>
  <c r="AB56" i="4"/>
  <c r="AA162" i="4"/>
  <c r="AF162" i="8"/>
  <c r="AG56" i="8"/>
  <c r="AC6" i="8"/>
  <c r="AC198" i="8"/>
  <c r="AC41" i="8"/>
  <c r="AC5" i="8"/>
  <c r="AC43" i="8"/>
  <c r="AC11" i="8"/>
  <c r="AC12" i="8" s="1"/>
  <c r="AD3" i="8"/>
  <c r="AC13" i="8"/>
  <c r="AA43" i="4"/>
  <c r="AA42" i="4"/>
  <c r="AA5" i="4"/>
  <c r="AA41" i="4"/>
  <c r="AA6" i="4"/>
  <c r="AB3" i="4"/>
  <c r="AA11" i="4"/>
  <c r="AA12" i="4" s="1"/>
  <c r="AA13" i="4"/>
  <c r="AA198" i="4"/>
  <c r="Z55" i="8"/>
  <c r="AA51" i="8"/>
  <c r="AA18" i="8" s="1"/>
  <c r="AA19" i="8" s="1"/>
  <c r="AA50" i="8" s="1"/>
  <c r="AA52" i="8" s="1"/>
  <c r="X71" i="8"/>
  <c r="Y179" i="8"/>
  <c r="Y200" i="8" s="1"/>
  <c r="Y68" i="8"/>
  <c r="Y180" i="8" s="1"/>
  <c r="Y201" i="8" s="1"/>
  <c r="Y70" i="8"/>
  <c r="AC46" i="8"/>
  <c r="AC47" i="8"/>
  <c r="AC17" i="8"/>
  <c r="AC16" i="8"/>
  <c r="AC45" i="8"/>
  <c r="AC15" i="8"/>
  <c r="AD2" i="8"/>
  <c r="J80" i="8"/>
  <c r="J81" i="8" s="1"/>
  <c r="J78" i="8"/>
  <c r="J79" i="8" s="1"/>
  <c r="S179" i="4"/>
  <c r="S200" i="4" s="1"/>
  <c r="S70" i="4"/>
  <c r="S68" i="4"/>
  <c r="S180" i="4" s="1"/>
  <c r="S201" i="4" s="1"/>
  <c r="T55" i="4"/>
  <c r="U51" i="4"/>
  <c r="U18" i="4" s="1"/>
  <c r="U19" i="4" s="1"/>
  <c r="U50" i="4" s="1"/>
  <c r="U52" i="4" s="1"/>
  <c r="R71" i="4"/>
  <c r="AB16" i="4"/>
  <c r="AC2" i="4"/>
  <c r="AB15" i="4"/>
  <c r="AB46" i="4"/>
  <c r="AB17" i="4"/>
  <c r="H88" i="8"/>
  <c r="H141" i="8" s="1"/>
  <c r="H93" i="8"/>
  <c r="H92" i="8"/>
  <c r="F98" i="8"/>
  <c r="F99" i="8" s="1"/>
  <c r="F100" i="8" s="1"/>
  <c r="E104" i="8"/>
  <c r="D111" i="8"/>
  <c r="G94" i="8"/>
  <c r="D89" i="4"/>
  <c r="D90" i="4" s="1"/>
  <c r="E87" i="4" s="1"/>
  <c r="F167" i="4"/>
  <c r="G76" i="4"/>
  <c r="G77" i="4" s="1"/>
  <c r="D91" i="4"/>
  <c r="D141" i="4"/>
  <c r="F80" i="4"/>
  <c r="F81" i="4" s="1"/>
  <c r="C97" i="4"/>
  <c r="C98" i="4" s="1"/>
  <c r="AA31" i="4" l="1"/>
  <c r="AA25" i="4"/>
  <c r="AA26" i="4"/>
  <c r="AA30" i="4"/>
  <c r="AB37" i="4"/>
  <c r="AA27" i="4"/>
  <c r="AA67" i="4"/>
  <c r="AA173" i="4" s="1"/>
  <c r="AA62" i="4"/>
  <c r="AA168" i="4" s="1"/>
  <c r="AB1" i="4"/>
  <c r="AB34" i="4"/>
  <c r="AA29" i="4"/>
  <c r="AB40" i="4"/>
  <c r="AB38" i="4"/>
  <c r="AA66" i="4"/>
  <c r="AA64" i="4"/>
  <c r="AA22" i="4"/>
  <c r="AA24" i="4"/>
  <c r="AA65" i="4"/>
  <c r="AB36" i="4"/>
  <c r="AC22" i="8"/>
  <c r="AD36" i="8"/>
  <c r="AD37" i="8"/>
  <c r="AC25" i="8"/>
  <c r="AC29" i="8"/>
  <c r="AC31" i="8"/>
  <c r="AD1" i="8"/>
  <c r="AC30" i="8"/>
  <c r="AC66" i="8"/>
  <c r="AC24" i="8"/>
  <c r="AC27" i="8"/>
  <c r="AC48" i="8" s="1"/>
  <c r="AC67" i="8"/>
  <c r="AC173" i="8" s="1"/>
  <c r="AD34" i="8"/>
  <c r="AC26" i="8"/>
  <c r="AD40" i="8"/>
  <c r="AD43" i="8" s="1"/>
  <c r="AC62" i="8"/>
  <c r="AC168" i="8" s="1"/>
  <c r="AC64" i="8"/>
  <c r="AC65" i="8"/>
  <c r="AD38" i="8"/>
  <c r="AB45" i="4"/>
  <c r="AB47" i="4"/>
  <c r="AD198" i="8"/>
  <c r="AE3" i="8"/>
  <c r="AD13" i="8"/>
  <c r="AD42" i="8"/>
  <c r="AD11" i="8"/>
  <c r="AD12" i="8" s="1"/>
  <c r="AD41" i="8"/>
  <c r="AD5" i="8"/>
  <c r="AD6" i="8"/>
  <c r="AB43" i="4"/>
  <c r="AB41" i="4"/>
  <c r="AB5" i="4"/>
  <c r="AB6" i="4"/>
  <c r="AB11" i="4"/>
  <c r="AB12" i="4" s="1"/>
  <c r="AB13" i="4"/>
  <c r="AB198" i="4"/>
  <c r="AC3" i="4"/>
  <c r="AB42" i="4"/>
  <c r="AG162" i="8"/>
  <c r="AH56" i="8"/>
  <c r="AB162" i="4"/>
  <c r="AC56" i="4"/>
  <c r="J167" i="8"/>
  <c r="K76" i="8"/>
  <c r="J83" i="8"/>
  <c r="Y71" i="8"/>
  <c r="AB51" i="8"/>
  <c r="AB18" i="8" s="1"/>
  <c r="AB19" i="8" s="1"/>
  <c r="AB50" i="8" s="1"/>
  <c r="AB52" i="8" s="1"/>
  <c r="AA55" i="8"/>
  <c r="AD47" i="8"/>
  <c r="AD17" i="8"/>
  <c r="AD46" i="8"/>
  <c r="AD16" i="8"/>
  <c r="AE2" i="8"/>
  <c r="AD45" i="8"/>
  <c r="AD15" i="8"/>
  <c r="Z179" i="8"/>
  <c r="Z200" i="8" s="1"/>
  <c r="Z68" i="8"/>
  <c r="Z180" i="8" s="1"/>
  <c r="Z201" i="8" s="1"/>
  <c r="Z70" i="8"/>
  <c r="U55" i="4"/>
  <c r="V51" i="4"/>
  <c r="V18" i="4" s="1"/>
  <c r="V19" i="4" s="1"/>
  <c r="V50" i="4" s="1"/>
  <c r="V52" i="4" s="1"/>
  <c r="T179" i="4"/>
  <c r="T200" i="4" s="1"/>
  <c r="T68" i="4"/>
  <c r="T180" i="4" s="1"/>
  <c r="T201" i="4" s="1"/>
  <c r="T70" i="4"/>
  <c r="AC47" i="4"/>
  <c r="AC45" i="4"/>
  <c r="AC16" i="4"/>
  <c r="AD2" i="4"/>
  <c r="AC15" i="4"/>
  <c r="S71" i="4"/>
  <c r="H91" i="8"/>
  <c r="H89" i="8"/>
  <c r="H90" i="8" s="1"/>
  <c r="E110" i="8"/>
  <c r="E109" i="8"/>
  <c r="G151" i="8"/>
  <c r="F101" i="8"/>
  <c r="E105" i="8" s="1"/>
  <c r="G95" i="8"/>
  <c r="D152" i="8"/>
  <c r="D112" i="8"/>
  <c r="C99" i="4"/>
  <c r="C100" i="4" s="1"/>
  <c r="F83" i="4"/>
  <c r="D94" i="4"/>
  <c r="G78" i="4"/>
  <c r="E92" i="4"/>
  <c r="E93" i="4"/>
  <c r="AC34" i="4" l="1"/>
  <c r="AB24" i="4"/>
  <c r="AB27" i="4"/>
  <c r="AB62" i="4"/>
  <c r="AB168" i="4" s="1"/>
  <c r="AB66" i="4"/>
  <c r="AB65" i="4"/>
  <c r="AC38" i="4"/>
  <c r="AB67" i="4"/>
  <c r="AB173" i="4" s="1"/>
  <c r="AB30" i="4"/>
  <c r="AB64" i="4"/>
  <c r="AC40" i="4"/>
  <c r="AB26" i="4"/>
  <c r="AB31" i="4"/>
  <c r="AC36" i="4"/>
  <c r="AC1" i="4"/>
  <c r="AC37" i="4"/>
  <c r="AB22" i="4"/>
  <c r="AB25" i="4"/>
  <c r="AB29" i="4"/>
  <c r="AC17" i="4"/>
  <c r="AA48" i="4"/>
  <c r="AC46" i="4"/>
  <c r="AD27" i="8"/>
  <c r="AD67" i="8"/>
  <c r="AD173" i="8" s="1"/>
  <c r="AD24" i="8"/>
  <c r="AD65" i="8"/>
  <c r="AD66" i="8"/>
  <c r="AE38" i="8"/>
  <c r="AD26" i="8"/>
  <c r="AE40" i="8"/>
  <c r="AD22" i="8"/>
  <c r="AD48" i="8" s="1"/>
  <c r="AE37" i="8"/>
  <c r="AD64" i="8"/>
  <c r="AD30" i="8"/>
  <c r="AD62" i="8"/>
  <c r="AD168" i="8" s="1"/>
  <c r="AD29" i="8"/>
  <c r="AE36" i="8"/>
  <c r="AE34" i="8"/>
  <c r="AD31" i="8"/>
  <c r="AD25" i="8"/>
  <c r="AE1" i="8"/>
  <c r="AC162" i="4"/>
  <c r="AD56" i="4"/>
  <c r="AH162" i="8"/>
  <c r="AI56" i="8"/>
  <c r="AC43" i="4"/>
  <c r="AC42" i="4"/>
  <c r="AD3" i="4"/>
  <c r="AC6" i="4"/>
  <c r="AC198" i="4"/>
  <c r="AC11" i="4"/>
  <c r="AC12" i="4" s="1"/>
  <c r="AC41" i="4"/>
  <c r="AC5" i="4"/>
  <c r="AC13" i="4"/>
  <c r="AE13" i="8"/>
  <c r="AE5" i="8"/>
  <c r="AE41" i="8"/>
  <c r="AE198" i="8"/>
  <c r="AE43" i="8"/>
  <c r="AE42" i="8"/>
  <c r="AE6" i="8"/>
  <c r="AE11" i="8"/>
  <c r="AE12" i="8" s="1"/>
  <c r="AF3" i="8"/>
  <c r="AA179" i="8"/>
  <c r="AA200" i="8" s="1"/>
  <c r="AA68" i="8"/>
  <c r="AA180" i="8" s="1"/>
  <c r="AA201" i="8" s="1"/>
  <c r="AA70" i="8"/>
  <c r="AC51" i="8"/>
  <c r="AC18" i="8" s="1"/>
  <c r="AC19" i="8" s="1"/>
  <c r="AC50" i="8" s="1"/>
  <c r="AC52" i="8" s="1"/>
  <c r="AB55" i="8"/>
  <c r="Z71" i="8"/>
  <c r="J84" i="8"/>
  <c r="K77" i="8"/>
  <c r="H94" i="8"/>
  <c r="H151" i="8" s="1"/>
  <c r="I87" i="8"/>
  <c r="AE47" i="8"/>
  <c r="AE16" i="8"/>
  <c r="AE46" i="8"/>
  <c r="AE15" i="8"/>
  <c r="AE45" i="8"/>
  <c r="AE17" i="8"/>
  <c r="AF2" i="8"/>
  <c r="W51" i="4"/>
  <c r="W18" i="4" s="1"/>
  <c r="W19" i="4" s="1"/>
  <c r="W50" i="4" s="1"/>
  <c r="W52" i="4" s="1"/>
  <c r="V55" i="4"/>
  <c r="U179" i="4"/>
  <c r="U200" i="4" s="1"/>
  <c r="U68" i="4"/>
  <c r="U180" i="4" s="1"/>
  <c r="U201" i="4" s="1"/>
  <c r="U70" i="4"/>
  <c r="AD16" i="4"/>
  <c r="AE2" i="4"/>
  <c r="AD17" i="4"/>
  <c r="AD47" i="4"/>
  <c r="AD45" i="4"/>
  <c r="AD46" i="4"/>
  <c r="AD15" i="4"/>
  <c r="T71" i="4"/>
  <c r="E108" i="8"/>
  <c r="E142" i="8"/>
  <c r="D114" i="8"/>
  <c r="D115" i="8" s="1"/>
  <c r="G97" i="8"/>
  <c r="E106" i="8"/>
  <c r="E107" i="8" s="1"/>
  <c r="C101" i="4"/>
  <c r="D151" i="4"/>
  <c r="D95" i="4"/>
  <c r="D97" i="4" s="1"/>
  <c r="D98" i="4" s="1"/>
  <c r="G79" i="4"/>
  <c r="H76" i="4" s="1"/>
  <c r="F84" i="4"/>
  <c r="E88" i="4" s="1"/>
  <c r="G80" i="4"/>
  <c r="G81" i="4" s="1"/>
  <c r="AE67" i="8" l="1"/>
  <c r="AE173" i="8" s="1"/>
  <c r="AF1" i="8"/>
  <c r="AF40" i="8"/>
  <c r="AE65" i="8"/>
  <c r="AE22" i="8"/>
  <c r="AF36" i="8"/>
  <c r="AE31" i="8"/>
  <c r="AE62" i="8"/>
  <c r="AE168" i="8" s="1"/>
  <c r="AE64" i="8"/>
  <c r="AE27" i="8"/>
  <c r="AE30" i="8"/>
  <c r="AE25" i="8"/>
  <c r="AE29" i="8"/>
  <c r="AE24" i="8"/>
  <c r="AE66" i="8"/>
  <c r="AF38" i="8"/>
  <c r="AF34" i="8"/>
  <c r="AF37" i="8"/>
  <c r="AE26" i="8"/>
  <c r="AB48" i="4"/>
  <c r="AD37" i="4"/>
  <c r="AD36" i="4"/>
  <c r="AC29" i="4"/>
  <c r="AD1" i="4"/>
  <c r="AC22" i="4"/>
  <c r="AD38" i="4"/>
  <c r="AC65" i="4"/>
  <c r="AC30" i="4"/>
  <c r="AC64" i="4"/>
  <c r="AC26" i="4"/>
  <c r="AC62" i="4"/>
  <c r="AC168" i="4" s="1"/>
  <c r="AC27" i="4"/>
  <c r="AC24" i="4"/>
  <c r="AC48" i="4" s="1"/>
  <c r="AC67" i="4"/>
  <c r="AC173" i="4" s="1"/>
  <c r="AC25" i="4"/>
  <c r="AD40" i="4"/>
  <c r="AD43" i="4" s="1"/>
  <c r="AC66" i="4"/>
  <c r="AC31" i="4"/>
  <c r="AD34" i="4"/>
  <c r="AD5" i="4"/>
  <c r="AD42" i="4"/>
  <c r="AD41" i="4"/>
  <c r="AD13" i="4"/>
  <c r="AE3" i="4"/>
  <c r="AD198" i="4"/>
  <c r="AD11" i="4"/>
  <c r="AD12" i="4" s="1"/>
  <c r="AD6" i="4"/>
  <c r="AF13" i="8"/>
  <c r="AF41" i="8"/>
  <c r="AF11" i="8"/>
  <c r="AF12" i="8" s="1"/>
  <c r="AF42" i="8"/>
  <c r="AF6" i="8"/>
  <c r="AF198" i="8"/>
  <c r="AF5" i="8"/>
  <c r="AF43" i="8"/>
  <c r="AG3" i="8"/>
  <c r="AI162" i="8"/>
  <c r="AJ56" i="8"/>
  <c r="AE56" i="4"/>
  <c r="AD162" i="4"/>
  <c r="AE48" i="8"/>
  <c r="I88" i="8"/>
  <c r="I91" i="8" s="1"/>
  <c r="I93" i="8"/>
  <c r="I92" i="8"/>
  <c r="AB179" i="8"/>
  <c r="AB200" i="8" s="1"/>
  <c r="AB70" i="8"/>
  <c r="AB68" i="8"/>
  <c r="AB180" i="8" s="1"/>
  <c r="AB201" i="8" s="1"/>
  <c r="AD51" i="8"/>
  <c r="AD18" i="8" s="1"/>
  <c r="AD19" i="8" s="1"/>
  <c r="AD50" i="8" s="1"/>
  <c r="AD52" i="8" s="1"/>
  <c r="AC55" i="8"/>
  <c r="AA71" i="8"/>
  <c r="AF16" i="8"/>
  <c r="AF15" i="8"/>
  <c r="AF47" i="8"/>
  <c r="AF45" i="8"/>
  <c r="AF46" i="8"/>
  <c r="AG2" i="8"/>
  <c r="AF17" i="8"/>
  <c r="K80" i="8"/>
  <c r="K81" i="8" s="1"/>
  <c r="K78" i="8"/>
  <c r="K79" i="8" s="1"/>
  <c r="H95" i="8"/>
  <c r="U71" i="4"/>
  <c r="AE46" i="4"/>
  <c r="AF2" i="4"/>
  <c r="V179" i="4"/>
  <c r="V200" i="4" s="1"/>
  <c r="V68" i="4"/>
  <c r="V180" i="4" s="1"/>
  <c r="V201" i="4" s="1"/>
  <c r="V70" i="4"/>
  <c r="W55" i="4"/>
  <c r="X51" i="4"/>
  <c r="X18" i="4" s="1"/>
  <c r="X19" i="4" s="1"/>
  <c r="X50" i="4" s="1"/>
  <c r="X52" i="4" s="1"/>
  <c r="H77" i="4"/>
  <c r="F104" i="8"/>
  <c r="E111" i="8"/>
  <c r="D116" i="8"/>
  <c r="D117" i="8" s="1"/>
  <c r="G98" i="8"/>
  <c r="G99" i="8" s="1"/>
  <c r="D99" i="4"/>
  <c r="D100" i="4" s="1"/>
  <c r="G83" i="4"/>
  <c r="G167" i="4"/>
  <c r="E91" i="4"/>
  <c r="E141" i="4"/>
  <c r="E89" i="4"/>
  <c r="E90" i="4" s="1"/>
  <c r="AD65" i="4" l="1"/>
  <c r="AD31" i="4"/>
  <c r="AD62" i="4"/>
  <c r="AD168" i="4" s="1"/>
  <c r="AD67" i="4"/>
  <c r="AD173" i="4" s="1"/>
  <c r="AD27" i="4"/>
  <c r="AD25" i="4"/>
  <c r="AD22" i="4"/>
  <c r="AE40" i="4"/>
  <c r="AE43" i="4" s="1"/>
  <c r="AD26" i="4"/>
  <c r="AE37" i="4"/>
  <c r="AD24" i="4"/>
  <c r="AE34" i="4"/>
  <c r="AD66" i="4"/>
  <c r="AD29" i="4"/>
  <c r="AD64" i="4"/>
  <c r="AE38" i="4"/>
  <c r="AD30" i="4"/>
  <c r="AE36" i="4"/>
  <c r="AE1" i="4"/>
  <c r="AE47" i="4"/>
  <c r="AE15" i="4"/>
  <c r="AE17" i="4"/>
  <c r="AF30" i="8"/>
  <c r="AF25" i="8"/>
  <c r="AF48" i="8" s="1"/>
  <c r="AF31" i="8"/>
  <c r="AF66" i="8"/>
  <c r="AG36" i="8"/>
  <c r="AF64" i="8"/>
  <c r="AF29" i="8"/>
  <c r="AG34" i="8"/>
  <c r="AF26" i="8"/>
  <c r="AG37" i="8"/>
  <c r="AF67" i="8"/>
  <c r="AF173" i="8" s="1"/>
  <c r="AF65" i="8"/>
  <c r="AF62" i="8"/>
  <c r="AF168" i="8" s="1"/>
  <c r="AG1" i="8"/>
  <c r="AF22" i="8"/>
  <c r="AG40" i="8"/>
  <c r="AG38" i="8"/>
  <c r="AF24" i="8"/>
  <c r="AF27" i="8"/>
  <c r="AE16" i="4"/>
  <c r="AE45" i="4"/>
  <c r="AD48" i="4"/>
  <c r="AE162" i="4"/>
  <c r="AF56" i="4"/>
  <c r="AK56" i="8"/>
  <c r="AJ162" i="8"/>
  <c r="AG198" i="8"/>
  <c r="AG41" i="8"/>
  <c r="AG43" i="8"/>
  <c r="AG42" i="8"/>
  <c r="AG6" i="8"/>
  <c r="AG11" i="8"/>
  <c r="AG12" i="8" s="1"/>
  <c r="AG13" i="8"/>
  <c r="AH3" i="8"/>
  <c r="AG5" i="8"/>
  <c r="AE42" i="4"/>
  <c r="AE11" i="4"/>
  <c r="AE12" i="4" s="1"/>
  <c r="AE198" i="4"/>
  <c r="AF3" i="4"/>
  <c r="AE6" i="4"/>
  <c r="AE13" i="4"/>
  <c r="AE5" i="4"/>
  <c r="AE41" i="4"/>
  <c r="I89" i="8"/>
  <c r="I90" i="8" s="1"/>
  <c r="J87" i="8" s="1"/>
  <c r="I141" i="8"/>
  <c r="I147" i="8" s="1"/>
  <c r="I165" i="8" s="1"/>
  <c r="K83" i="8"/>
  <c r="K167" i="8"/>
  <c r="L76" i="8"/>
  <c r="AB71" i="8"/>
  <c r="AG16" i="8"/>
  <c r="AG45" i="8"/>
  <c r="AG15" i="8"/>
  <c r="AG46" i="8"/>
  <c r="AG47" i="8"/>
  <c r="AH2" i="8"/>
  <c r="AG17" i="8"/>
  <c r="AE51" i="8"/>
  <c r="AE18" i="8" s="1"/>
  <c r="AE19" i="8" s="1"/>
  <c r="AE50" i="8" s="1"/>
  <c r="AE52" i="8" s="1"/>
  <c r="AD55" i="8"/>
  <c r="H97" i="8"/>
  <c r="H98" i="8" s="1"/>
  <c r="H99" i="8" s="1"/>
  <c r="AC70" i="8"/>
  <c r="AC179" i="8"/>
  <c r="AC200" i="8" s="1"/>
  <c r="AC68" i="8"/>
  <c r="AC180" i="8" s="1"/>
  <c r="AC201" i="8" s="1"/>
  <c r="Y51" i="4"/>
  <c r="Y18" i="4" s="1"/>
  <c r="Y19" i="4" s="1"/>
  <c r="Y50" i="4" s="1"/>
  <c r="Y52" i="4" s="1"/>
  <c r="X55" i="4"/>
  <c r="W179" i="4"/>
  <c r="W200" i="4" s="1"/>
  <c r="W68" i="4"/>
  <c r="W180" i="4" s="1"/>
  <c r="W201" i="4" s="1"/>
  <c r="W70" i="4"/>
  <c r="V71" i="4"/>
  <c r="AF16" i="4"/>
  <c r="AF46" i="4"/>
  <c r="AF47" i="4"/>
  <c r="AF45" i="4"/>
  <c r="AG2" i="4"/>
  <c r="AF15" i="4"/>
  <c r="H80" i="4"/>
  <c r="H81" i="4" s="1"/>
  <c r="H78" i="4"/>
  <c r="H79" i="4" s="1"/>
  <c r="G100" i="8"/>
  <c r="G101" i="8" s="1"/>
  <c r="D118" i="8"/>
  <c r="C122" i="8" s="1"/>
  <c r="E152" i="8"/>
  <c r="E112" i="8"/>
  <c r="F109" i="8"/>
  <c r="F110" i="8"/>
  <c r="D101" i="4"/>
  <c r="C105" i="4" s="1"/>
  <c r="F87" i="4"/>
  <c r="E94" i="4"/>
  <c r="G84" i="4"/>
  <c r="AG29" i="8" l="1"/>
  <c r="AH37" i="8"/>
  <c r="AH34" i="8"/>
  <c r="AG31" i="8"/>
  <c r="AG66" i="8"/>
  <c r="AG24" i="8"/>
  <c r="AG64" i="8"/>
  <c r="AG67" i="8"/>
  <c r="AG173" i="8" s="1"/>
  <c r="AG65" i="8"/>
  <c r="AH40" i="8"/>
  <c r="AG27" i="8"/>
  <c r="AG48" i="8" s="1"/>
  <c r="AG30" i="8"/>
  <c r="AH1" i="8"/>
  <c r="AG62" i="8"/>
  <c r="AG168" i="8" s="1"/>
  <c r="AH38" i="8"/>
  <c r="AG26" i="8"/>
  <c r="AH36" i="8"/>
  <c r="AG22" i="8"/>
  <c r="AG25" i="8"/>
  <c r="AE31" i="4"/>
  <c r="AF34" i="4"/>
  <c r="AF38" i="4"/>
  <c r="AE27" i="4"/>
  <c r="AE64" i="4"/>
  <c r="AE67" i="4"/>
  <c r="AE173" i="4" s="1"/>
  <c r="AE25" i="4"/>
  <c r="AE24" i="4"/>
  <c r="AE22" i="4"/>
  <c r="AE48" i="4" s="1"/>
  <c r="AF36" i="4"/>
  <c r="AE66" i="4"/>
  <c r="AE65" i="4"/>
  <c r="AF40" i="4"/>
  <c r="AE30" i="4"/>
  <c r="AF37" i="4"/>
  <c r="AE29" i="4"/>
  <c r="AE26" i="4"/>
  <c r="AF1" i="4"/>
  <c r="AE62" i="4"/>
  <c r="AE168" i="4" s="1"/>
  <c r="AF17" i="4"/>
  <c r="AH5" i="8"/>
  <c r="AI3" i="8"/>
  <c r="AH41" i="8"/>
  <c r="AH11" i="8"/>
  <c r="AH12" i="8" s="1"/>
  <c r="AH43" i="8"/>
  <c r="AH6" i="8"/>
  <c r="AH42" i="8"/>
  <c r="AH198" i="8"/>
  <c r="AH13" i="8"/>
  <c r="I94" i="8"/>
  <c r="I151" i="8" s="1"/>
  <c r="I157" i="8" s="1"/>
  <c r="I171" i="8" s="1"/>
  <c r="AF198" i="4"/>
  <c r="AF6" i="4"/>
  <c r="AF42" i="4"/>
  <c r="AF13" i="4"/>
  <c r="AF11" i="4"/>
  <c r="AF12" i="4" s="1"/>
  <c r="AF43" i="4"/>
  <c r="AG3" i="4"/>
  <c r="AF5" i="4"/>
  <c r="AF41" i="4"/>
  <c r="AK162" i="8"/>
  <c r="AL56" i="8"/>
  <c r="AF162" i="4"/>
  <c r="AG56" i="4"/>
  <c r="AH47" i="8"/>
  <c r="AH46" i="8"/>
  <c r="AH15" i="8"/>
  <c r="AH45" i="8"/>
  <c r="AH16" i="8"/>
  <c r="AH17" i="8"/>
  <c r="AI2" i="8"/>
  <c r="AC71" i="8"/>
  <c r="H100" i="8"/>
  <c r="H101" i="8" s="1"/>
  <c r="AD70" i="8"/>
  <c r="AD179" i="8"/>
  <c r="AD200" i="8" s="1"/>
  <c r="AD68" i="8"/>
  <c r="AD180" i="8" s="1"/>
  <c r="AD201" i="8" s="1"/>
  <c r="J93" i="8"/>
  <c r="J92" i="8"/>
  <c r="AF51" i="8"/>
  <c r="AF18" i="8" s="1"/>
  <c r="AF19" i="8" s="1"/>
  <c r="AF50" i="8" s="1"/>
  <c r="AF52" i="8" s="1"/>
  <c r="AE55" i="8"/>
  <c r="L77" i="8"/>
  <c r="L78" i="8" s="1"/>
  <c r="K84" i="8"/>
  <c r="J88" i="8" s="1"/>
  <c r="W71" i="4"/>
  <c r="AG46" i="4"/>
  <c r="AG47" i="4"/>
  <c r="AG45" i="4"/>
  <c r="AH2" i="4"/>
  <c r="AG17" i="4"/>
  <c r="AG16" i="4"/>
  <c r="AG15" i="4"/>
  <c r="X179" i="4"/>
  <c r="X200" i="4" s="1"/>
  <c r="X70" i="4"/>
  <c r="X68" i="4"/>
  <c r="X180" i="4" s="1"/>
  <c r="X201" i="4" s="1"/>
  <c r="Y55" i="4"/>
  <c r="Z51" i="4"/>
  <c r="Z18" i="4" s="1"/>
  <c r="Z19" i="4" s="1"/>
  <c r="Z50" i="4" s="1"/>
  <c r="Z52" i="4" s="1"/>
  <c r="H83" i="4"/>
  <c r="H84" i="4" s="1"/>
  <c r="H167" i="4"/>
  <c r="I76" i="4"/>
  <c r="F105" i="8"/>
  <c r="C125" i="8"/>
  <c r="C143" i="8"/>
  <c r="C124" i="8"/>
  <c r="E114" i="8"/>
  <c r="E115" i="8" s="1"/>
  <c r="C142" i="4"/>
  <c r="C107" i="4"/>
  <c r="D104" i="4" s="1"/>
  <c r="D109" i="4" s="1"/>
  <c r="C108" i="4"/>
  <c r="F88" i="4"/>
  <c r="E95" i="4"/>
  <c r="E97" i="4" s="1"/>
  <c r="E98" i="4" s="1"/>
  <c r="E151" i="4"/>
  <c r="F93" i="4"/>
  <c r="F92" i="4"/>
  <c r="AF64" i="4" l="1"/>
  <c r="AG40" i="4"/>
  <c r="AF27" i="4"/>
  <c r="AG1" i="4"/>
  <c r="AF65" i="4"/>
  <c r="AF26" i="4"/>
  <c r="AF24" i="4"/>
  <c r="AF48" i="4" s="1"/>
  <c r="AF31" i="4"/>
  <c r="AF67" i="4"/>
  <c r="AF173" i="4" s="1"/>
  <c r="AG38" i="4"/>
  <c r="AF25" i="4"/>
  <c r="AF30" i="4"/>
  <c r="AF22" i="4"/>
  <c r="AG37" i="4"/>
  <c r="AF66" i="4"/>
  <c r="AG34" i="4"/>
  <c r="AG36" i="4"/>
  <c r="AF62" i="4"/>
  <c r="AF168" i="4" s="1"/>
  <c r="AF29" i="4"/>
  <c r="AH31" i="8"/>
  <c r="AH66" i="8"/>
  <c r="AI37" i="8"/>
  <c r="AI38" i="8"/>
  <c r="AI1" i="8"/>
  <c r="AH64" i="8"/>
  <c r="AH27" i="8"/>
  <c r="AH24" i="8"/>
  <c r="AH26" i="8"/>
  <c r="AH65" i="8"/>
  <c r="AH25" i="8"/>
  <c r="AI36" i="8"/>
  <c r="AH67" i="8"/>
  <c r="AH173" i="8" s="1"/>
  <c r="AH29" i="8"/>
  <c r="AH62" i="8"/>
  <c r="AH168" i="8" s="1"/>
  <c r="AH22" i="8"/>
  <c r="AH48" i="8" s="1"/>
  <c r="AH30" i="8"/>
  <c r="AI40" i="8"/>
  <c r="AI34" i="8"/>
  <c r="AG162" i="4"/>
  <c r="AH56" i="4"/>
  <c r="AM56" i="8"/>
  <c r="AM162" i="8" s="1"/>
  <c r="AL162" i="8"/>
  <c r="I95" i="8"/>
  <c r="I97" i="8" s="1"/>
  <c r="I98" i="8" s="1"/>
  <c r="I99" i="8" s="1"/>
  <c r="I100" i="8" s="1"/>
  <c r="I101" i="8" s="1"/>
  <c r="AI13" i="8"/>
  <c r="AI43" i="8"/>
  <c r="AI198" i="8"/>
  <c r="AI42" i="8"/>
  <c r="AI41" i="8"/>
  <c r="AI6" i="8"/>
  <c r="AI5" i="8"/>
  <c r="AI11" i="8"/>
  <c r="AI12" i="8" s="1"/>
  <c r="AJ3" i="8"/>
  <c r="AG41" i="4"/>
  <c r="AG198" i="4"/>
  <c r="AG13" i="4"/>
  <c r="AG6" i="4"/>
  <c r="AG5" i="4"/>
  <c r="AH3" i="4"/>
  <c r="AG42" i="4"/>
  <c r="AG11" i="4"/>
  <c r="AG12" i="4" s="1"/>
  <c r="AG43" i="4"/>
  <c r="J89" i="8"/>
  <c r="J90" i="8" s="1"/>
  <c r="AE179" i="8"/>
  <c r="AE200" i="8" s="1"/>
  <c r="AE68" i="8"/>
  <c r="AE180" i="8" s="1"/>
  <c r="AE201" i="8" s="1"/>
  <c r="AE70" i="8"/>
  <c r="AF55" i="8"/>
  <c r="AG51" i="8"/>
  <c r="AG18" i="8" s="1"/>
  <c r="AG19" i="8" s="1"/>
  <c r="AG50" i="8" s="1"/>
  <c r="AG52" i="8" s="1"/>
  <c r="AI46" i="8"/>
  <c r="AJ2" i="8"/>
  <c r="AI47" i="8"/>
  <c r="AI17" i="8"/>
  <c r="AI45" i="8"/>
  <c r="AI16" i="8"/>
  <c r="AI15" i="8"/>
  <c r="L80" i="8"/>
  <c r="L81" i="8" s="1"/>
  <c r="L79" i="8"/>
  <c r="AD71" i="8"/>
  <c r="J91" i="8"/>
  <c r="J141" i="8"/>
  <c r="J147" i="8" s="1"/>
  <c r="J165" i="8" s="1"/>
  <c r="AA51" i="4"/>
  <c r="AA18" i="4" s="1"/>
  <c r="AA19" i="4" s="1"/>
  <c r="AA50" i="4" s="1"/>
  <c r="AA52" i="4" s="1"/>
  <c r="Z55" i="4"/>
  <c r="Y179" i="4"/>
  <c r="Y200" i="4" s="1"/>
  <c r="Y68" i="4"/>
  <c r="Y180" i="4" s="1"/>
  <c r="Y201" i="4" s="1"/>
  <c r="Y70" i="4"/>
  <c r="X71" i="4"/>
  <c r="AI2" i="4"/>
  <c r="AH17" i="4"/>
  <c r="AH15" i="4"/>
  <c r="AH45" i="4"/>
  <c r="AH46" i="4"/>
  <c r="AH16" i="4"/>
  <c r="AH47" i="4"/>
  <c r="F106" i="8"/>
  <c r="F107" i="8" s="1"/>
  <c r="G104" i="8" s="1"/>
  <c r="G110" i="8" s="1"/>
  <c r="F89" i="4"/>
  <c r="F90" i="4" s="1"/>
  <c r="G87" i="4" s="1"/>
  <c r="G88" i="4" s="1"/>
  <c r="I77" i="4"/>
  <c r="F108" i="8"/>
  <c r="F142" i="8"/>
  <c r="C146" i="8"/>
  <c r="C164" i="8" s="1"/>
  <c r="C147" i="8"/>
  <c r="C165" i="8" s="1"/>
  <c r="G105" i="8"/>
  <c r="E116" i="8"/>
  <c r="E117" i="8" s="1"/>
  <c r="C148" i="8"/>
  <c r="D121" i="8"/>
  <c r="C128" i="8"/>
  <c r="D110" i="4"/>
  <c r="C111" i="4"/>
  <c r="E99" i="4"/>
  <c r="E100" i="4" s="1"/>
  <c r="F141" i="4"/>
  <c r="F91" i="4"/>
  <c r="AI65" i="8" l="1"/>
  <c r="AI22" i="8"/>
  <c r="AJ38" i="8"/>
  <c r="AI30" i="8"/>
  <c r="AJ1" i="8"/>
  <c r="AI25" i="8"/>
  <c r="AI66" i="8"/>
  <c r="AJ36" i="8"/>
  <c r="AI26" i="8"/>
  <c r="AI29" i="8"/>
  <c r="AI27" i="8"/>
  <c r="AI67" i="8"/>
  <c r="AI173" i="8" s="1"/>
  <c r="AI64" i="8"/>
  <c r="AI62" i="8"/>
  <c r="AI168" i="8" s="1"/>
  <c r="AJ37" i="8"/>
  <c r="AI24" i="8"/>
  <c r="AI48" i="8" s="1"/>
  <c r="AJ34" i="8"/>
  <c r="AI31" i="8"/>
  <c r="AJ40" i="8"/>
  <c r="AG65" i="4"/>
  <c r="AH38" i="4"/>
  <c r="AG67" i="4"/>
  <c r="AG173" i="4" s="1"/>
  <c r="AH36" i="4"/>
  <c r="AH37" i="4"/>
  <c r="AG27" i="4"/>
  <c r="AG62" i="4"/>
  <c r="AG168" i="4" s="1"/>
  <c r="AG31" i="4"/>
  <c r="AG29" i="4"/>
  <c r="AG66" i="4"/>
  <c r="AG64" i="4"/>
  <c r="AG25" i="4"/>
  <c r="AG30" i="4"/>
  <c r="AG26" i="4"/>
  <c r="AH40" i="4"/>
  <c r="AG22" i="4"/>
  <c r="AG48" i="4" s="1"/>
  <c r="AH34" i="4"/>
  <c r="AG24" i="4"/>
  <c r="AH1" i="4"/>
  <c r="AH11" i="4"/>
  <c r="AH12" i="4" s="1"/>
  <c r="AH5" i="4"/>
  <c r="AH41" i="4"/>
  <c r="AH42" i="4"/>
  <c r="AI3" i="4"/>
  <c r="AH13" i="4"/>
  <c r="AH198" i="4"/>
  <c r="AH6" i="4"/>
  <c r="AH43" i="4"/>
  <c r="AJ13" i="8"/>
  <c r="AJ5" i="8"/>
  <c r="AJ42" i="8"/>
  <c r="AJ11" i="8"/>
  <c r="AJ12" i="8" s="1"/>
  <c r="AJ198" i="8"/>
  <c r="AJ43" i="8"/>
  <c r="AJ6" i="8"/>
  <c r="AJ41" i="8"/>
  <c r="AK3" i="8"/>
  <c r="AH162" i="4"/>
  <c r="AI56" i="4"/>
  <c r="J94" i="8"/>
  <c r="J151" i="8" s="1"/>
  <c r="J157" i="8" s="1"/>
  <c r="J171" i="8" s="1"/>
  <c r="K87" i="8"/>
  <c r="K93" i="8" s="1"/>
  <c r="L83" i="8"/>
  <c r="AH51" i="8"/>
  <c r="AH18" i="8" s="1"/>
  <c r="AH19" i="8" s="1"/>
  <c r="AH50" i="8" s="1"/>
  <c r="AH52" i="8" s="1"/>
  <c r="AG55" i="8"/>
  <c r="AF179" i="8"/>
  <c r="AF200" i="8" s="1"/>
  <c r="AF70" i="8"/>
  <c r="AF68" i="8"/>
  <c r="AF180" i="8" s="1"/>
  <c r="AF201" i="8" s="1"/>
  <c r="L167" i="8"/>
  <c r="M76" i="8"/>
  <c r="AJ45" i="8"/>
  <c r="AJ46" i="8"/>
  <c r="AJ17" i="8"/>
  <c r="AK2" i="8"/>
  <c r="AJ47" i="8"/>
  <c r="AJ16" i="8"/>
  <c r="AJ15" i="8"/>
  <c r="AE71" i="8"/>
  <c r="Y71" i="4"/>
  <c r="AJ2" i="4"/>
  <c r="AI45" i="4"/>
  <c r="AI47" i="4"/>
  <c r="AI17" i="4"/>
  <c r="AI15" i="4"/>
  <c r="AI16" i="4"/>
  <c r="AI46" i="4"/>
  <c r="Z179" i="4"/>
  <c r="Z200" i="4" s="1"/>
  <c r="Z70" i="4"/>
  <c r="Z68" i="4"/>
  <c r="Z180" i="4" s="1"/>
  <c r="Z201" i="4" s="1"/>
  <c r="AB51" i="4"/>
  <c r="AB18" i="4" s="1"/>
  <c r="AB19" i="4" s="1"/>
  <c r="AB50" i="4" s="1"/>
  <c r="AB52" i="4" s="1"/>
  <c r="AA55" i="4"/>
  <c r="F94" i="4"/>
  <c r="F111" i="8"/>
  <c r="G109" i="8"/>
  <c r="I80" i="4"/>
  <c r="I81" i="4" s="1"/>
  <c r="I78" i="4"/>
  <c r="I79" i="4" s="1"/>
  <c r="J76" i="4" s="1"/>
  <c r="G106" i="8"/>
  <c r="G107" i="8" s="1"/>
  <c r="H104" i="8" s="1"/>
  <c r="H105" i="8" s="1"/>
  <c r="G108" i="8"/>
  <c r="G142" i="8"/>
  <c r="C153" i="8"/>
  <c r="C157" i="8" s="1"/>
  <c r="C171" i="8" s="1"/>
  <c r="C129" i="8"/>
  <c r="C166" i="8"/>
  <c r="D127" i="8"/>
  <c r="D126" i="8"/>
  <c r="E118" i="8"/>
  <c r="D122" i="8" s="1"/>
  <c r="C152" i="4"/>
  <c r="C112" i="4"/>
  <c r="C114" i="4" s="1"/>
  <c r="E101" i="4"/>
  <c r="D105" i="4" s="1"/>
  <c r="G91" i="4"/>
  <c r="G141" i="4"/>
  <c r="G89" i="4"/>
  <c r="G90" i="4" s="1"/>
  <c r="H87" i="4" s="1"/>
  <c r="G92" i="4"/>
  <c r="G93" i="4"/>
  <c r="AK38" i="8" l="1"/>
  <c r="AK34" i="8"/>
  <c r="AJ66" i="8"/>
  <c r="AJ67" i="8"/>
  <c r="AJ173" i="8" s="1"/>
  <c r="AK37" i="8"/>
  <c r="AJ62" i="8"/>
  <c r="AJ168" i="8" s="1"/>
  <c r="AJ24" i="8"/>
  <c r="AJ31" i="8"/>
  <c r="AK40" i="8"/>
  <c r="AJ30" i="8"/>
  <c r="AJ29" i="8"/>
  <c r="AJ48" i="8" s="1"/>
  <c r="AJ22" i="8"/>
  <c r="AJ65" i="8"/>
  <c r="AJ64" i="8"/>
  <c r="AK1" i="8"/>
  <c r="AK36" i="8"/>
  <c r="AJ25" i="8"/>
  <c r="AJ27" i="8"/>
  <c r="AJ26" i="8"/>
  <c r="AH66" i="4"/>
  <c r="AH62" i="4"/>
  <c r="AH168" i="4" s="1"/>
  <c r="AI1" i="4"/>
  <c r="AH65" i="4"/>
  <c r="AH64" i="4"/>
  <c r="AI36" i="4"/>
  <c r="AH29" i="4"/>
  <c r="AH25" i="4"/>
  <c r="AH48" i="4" s="1"/>
  <c r="AH27" i="4"/>
  <c r="AI37" i="4"/>
  <c r="AH30" i="4"/>
  <c r="AI38" i="4"/>
  <c r="AH24" i="4"/>
  <c r="AI40" i="4"/>
  <c r="AH31" i="4"/>
  <c r="AH22" i="4"/>
  <c r="AI34" i="4"/>
  <c r="AH26" i="4"/>
  <c r="AH67" i="4"/>
  <c r="AH173" i="4" s="1"/>
  <c r="K92" i="8"/>
  <c r="AI162" i="4"/>
  <c r="AJ56" i="4"/>
  <c r="AK11" i="8"/>
  <c r="AK12" i="8" s="1"/>
  <c r="AK42" i="8"/>
  <c r="AK41" i="8"/>
  <c r="AK13" i="8"/>
  <c r="AK6" i="8"/>
  <c r="AK43" i="8"/>
  <c r="AK5" i="8"/>
  <c r="AK198" i="8"/>
  <c r="AL3" i="8"/>
  <c r="AI5" i="4"/>
  <c r="AI11" i="4"/>
  <c r="AI12" i="4" s="1"/>
  <c r="AI198" i="4"/>
  <c r="AI41" i="4"/>
  <c r="AI42" i="4"/>
  <c r="AI13" i="4"/>
  <c r="AI6" i="4"/>
  <c r="AJ3" i="4"/>
  <c r="AI43" i="4"/>
  <c r="J95" i="8"/>
  <c r="J97" i="8" s="1"/>
  <c r="J98" i="8" s="1"/>
  <c r="J99" i="8" s="1"/>
  <c r="J100" i="8" s="1"/>
  <c r="M77" i="8"/>
  <c r="M78" i="8" s="1"/>
  <c r="AL2" i="8"/>
  <c r="AK47" i="8"/>
  <c r="AK45" i="8"/>
  <c r="AK46" i="8"/>
  <c r="AK15" i="8"/>
  <c r="AK17" i="8"/>
  <c r="AK16" i="8"/>
  <c r="AH55" i="8"/>
  <c r="AI51" i="8"/>
  <c r="AI18" i="8" s="1"/>
  <c r="AI19" i="8" s="1"/>
  <c r="AI50" i="8" s="1"/>
  <c r="AI52" i="8" s="1"/>
  <c r="AF71" i="8"/>
  <c r="L84" i="8"/>
  <c r="K88" i="8" s="1"/>
  <c r="AG179" i="8"/>
  <c r="AG200" i="8" s="1"/>
  <c r="AG68" i="8"/>
  <c r="AG180" i="8" s="1"/>
  <c r="AG201" i="8" s="1"/>
  <c r="AG70" i="8"/>
  <c r="F152" i="8"/>
  <c r="AC51" i="4"/>
  <c r="AC18" i="4" s="1"/>
  <c r="AC19" i="4" s="1"/>
  <c r="AC50" i="4" s="1"/>
  <c r="AC52" i="4" s="1"/>
  <c r="AB55" i="4"/>
  <c r="J77" i="4"/>
  <c r="J78" i="4" s="1"/>
  <c r="Z71" i="4"/>
  <c r="AK2" i="4"/>
  <c r="AJ45" i="4"/>
  <c r="AJ17" i="4"/>
  <c r="AJ46" i="4"/>
  <c r="AJ16" i="4"/>
  <c r="AA179" i="4"/>
  <c r="AA200" i="4" s="1"/>
  <c r="AA70" i="4"/>
  <c r="AA68" i="4"/>
  <c r="AA180" i="4" s="1"/>
  <c r="AA201" i="4" s="1"/>
  <c r="F151" i="4"/>
  <c r="F112" i="8"/>
  <c r="F95" i="4"/>
  <c r="F97" i="4" s="1"/>
  <c r="F98" i="4" s="1"/>
  <c r="H108" i="8"/>
  <c r="H142" i="8"/>
  <c r="H106" i="8"/>
  <c r="H107" i="8" s="1"/>
  <c r="I104" i="8" s="1"/>
  <c r="H110" i="8"/>
  <c r="H109" i="8"/>
  <c r="I83" i="4"/>
  <c r="I84" i="4" s="1"/>
  <c r="H88" i="4" s="1"/>
  <c r="I167" i="4"/>
  <c r="H93" i="4"/>
  <c r="H92" i="4"/>
  <c r="G111" i="8"/>
  <c r="C158" i="8"/>
  <c r="C172" i="8" s="1"/>
  <c r="C156" i="8"/>
  <c r="C170" i="8" s="1"/>
  <c r="D125" i="8"/>
  <c r="D143" i="8"/>
  <c r="C131" i="8"/>
  <c r="D123" i="8"/>
  <c r="D124" i="8" s="1"/>
  <c r="C115" i="4"/>
  <c r="C116" i="4" s="1"/>
  <c r="C117" i="4" s="1"/>
  <c r="C118" i="4" s="1"/>
  <c r="D108" i="4"/>
  <c r="D106" i="4"/>
  <c r="D107" i="4" s="1"/>
  <c r="E104" i="4" s="1"/>
  <c r="D142" i="4"/>
  <c r="G94" i="4"/>
  <c r="AI26" i="4" l="1"/>
  <c r="AI31" i="4"/>
  <c r="AJ37" i="4"/>
  <c r="AJ40" i="4"/>
  <c r="AI22" i="4"/>
  <c r="AI27" i="4"/>
  <c r="AI24" i="4"/>
  <c r="AI48" i="4" s="1"/>
  <c r="AJ34" i="4"/>
  <c r="AI66" i="4"/>
  <c r="AI64" i="4"/>
  <c r="AJ38" i="4"/>
  <c r="AI67" i="4"/>
  <c r="AI173" i="4" s="1"/>
  <c r="AI62" i="4"/>
  <c r="AI168" i="4" s="1"/>
  <c r="AJ1" i="4"/>
  <c r="AI30" i="4"/>
  <c r="AI29" i="4"/>
  <c r="AJ36" i="4"/>
  <c r="AI25" i="4"/>
  <c r="AI65" i="4"/>
  <c r="AJ47" i="4"/>
  <c r="AK26" i="8"/>
  <c r="AL34" i="8"/>
  <c r="AK64" i="8"/>
  <c r="AL40" i="8"/>
  <c r="AK29" i="8"/>
  <c r="AK65" i="8"/>
  <c r="AK24" i="8"/>
  <c r="AL36" i="8"/>
  <c r="AK30" i="8"/>
  <c r="AK27" i="8"/>
  <c r="AK31" i="8"/>
  <c r="AK48" i="8" s="1"/>
  <c r="AL38" i="8"/>
  <c r="AL37" i="8"/>
  <c r="AK22" i="8"/>
  <c r="AL1" i="8"/>
  <c r="AK25" i="8"/>
  <c r="AK67" i="8"/>
  <c r="AK173" i="8" s="1"/>
  <c r="AK66" i="8"/>
  <c r="AK62" i="8"/>
  <c r="AK168" i="8" s="1"/>
  <c r="AJ15" i="4"/>
  <c r="AL5" i="8"/>
  <c r="AL41" i="8"/>
  <c r="AL13" i="8"/>
  <c r="AL6" i="8"/>
  <c r="AL198" i="8"/>
  <c r="AL43" i="8"/>
  <c r="AM3" i="8"/>
  <c r="AL42" i="8"/>
  <c r="AL11" i="8"/>
  <c r="AL12" i="8" s="1"/>
  <c r="AJ198" i="4"/>
  <c r="AJ11" i="4"/>
  <c r="AJ12" i="4" s="1"/>
  <c r="AJ42" i="4"/>
  <c r="AJ5" i="4"/>
  <c r="AK3" i="4"/>
  <c r="AJ41" i="4"/>
  <c r="AJ6" i="4"/>
  <c r="AJ13" i="4"/>
  <c r="AJ43" i="4"/>
  <c r="AK56" i="4"/>
  <c r="AJ162" i="4"/>
  <c r="J101" i="8"/>
  <c r="I105" i="8" s="1"/>
  <c r="I110" i="8"/>
  <c r="I106" i="8"/>
  <c r="I107" i="8" s="1"/>
  <c r="I109" i="8"/>
  <c r="F114" i="8"/>
  <c r="F115" i="8" s="1"/>
  <c r="F116" i="8" s="1"/>
  <c r="F117" i="8" s="1"/>
  <c r="F118" i="8" s="1"/>
  <c r="E122" i="8" s="1"/>
  <c r="K91" i="8"/>
  <c r="K141" i="8"/>
  <c r="K147" i="8" s="1"/>
  <c r="K165" i="8" s="1"/>
  <c r="K89" i="8"/>
  <c r="K90" i="8" s="1"/>
  <c r="AH179" i="8"/>
  <c r="AH200" i="8" s="1"/>
  <c r="AH68" i="8"/>
  <c r="AH180" i="8" s="1"/>
  <c r="AH201" i="8" s="1"/>
  <c r="AH70" i="8"/>
  <c r="AL17" i="8"/>
  <c r="AL15" i="8"/>
  <c r="AM2" i="8"/>
  <c r="AL47" i="8"/>
  <c r="AL45" i="8"/>
  <c r="AL16" i="8"/>
  <c r="AL46" i="8"/>
  <c r="AI55" i="8"/>
  <c r="AJ51" i="8"/>
  <c r="AJ18" i="8" s="1"/>
  <c r="AJ19" i="8" s="1"/>
  <c r="AJ50" i="8" s="1"/>
  <c r="AJ52" i="8" s="1"/>
  <c r="M80" i="8"/>
  <c r="M81" i="8" s="1"/>
  <c r="AG71" i="8"/>
  <c r="M79" i="8"/>
  <c r="AK46" i="4"/>
  <c r="AK45" i="4"/>
  <c r="AL2" i="4"/>
  <c r="AK17" i="4"/>
  <c r="AK15" i="4"/>
  <c r="AK16" i="4"/>
  <c r="AK47" i="4"/>
  <c r="AB179" i="4"/>
  <c r="AB200" i="4" s="1"/>
  <c r="AB68" i="4"/>
  <c r="AB180" i="4" s="1"/>
  <c r="AB201" i="4" s="1"/>
  <c r="AB70" i="4"/>
  <c r="J80" i="4"/>
  <c r="J81" i="4" s="1"/>
  <c r="H89" i="4"/>
  <c r="H90" i="4" s="1"/>
  <c r="H94" i="4" s="1"/>
  <c r="AD51" i="4"/>
  <c r="AD18" i="4" s="1"/>
  <c r="AD19" i="4" s="1"/>
  <c r="AD50" i="4" s="1"/>
  <c r="AD52" i="4" s="1"/>
  <c r="AC55" i="4"/>
  <c r="AA71" i="4"/>
  <c r="J79" i="4"/>
  <c r="H147" i="8"/>
  <c r="H165" i="8" s="1"/>
  <c r="G152" i="8"/>
  <c r="H111" i="8"/>
  <c r="H91" i="4"/>
  <c r="H141" i="4"/>
  <c r="G112" i="8"/>
  <c r="D146" i="8"/>
  <c r="D164" i="8" s="1"/>
  <c r="D147" i="8"/>
  <c r="D165" i="8" s="1"/>
  <c r="D148" i="8"/>
  <c r="E121" i="8"/>
  <c r="D128" i="8"/>
  <c r="C132" i="8"/>
  <c r="C133" i="8" s="1"/>
  <c r="C134" i="8" s="1"/>
  <c r="C136" i="8" s="1"/>
  <c r="C161" i="8" s="1"/>
  <c r="D111" i="4"/>
  <c r="F99" i="4"/>
  <c r="F100" i="4" s="1"/>
  <c r="G95" i="4"/>
  <c r="E110" i="4"/>
  <c r="E109" i="4"/>
  <c r="G151" i="4"/>
  <c r="AL66" i="8" l="1"/>
  <c r="AM34" i="8"/>
  <c r="AL24" i="8"/>
  <c r="AL30" i="8"/>
  <c r="AL67" i="8"/>
  <c r="AL173" i="8" s="1"/>
  <c r="AL29" i="8"/>
  <c r="AL48" i="8" s="1"/>
  <c r="AL65" i="8"/>
  <c r="AM37" i="8"/>
  <c r="AL62" i="8"/>
  <c r="AL168" i="8" s="1"/>
  <c r="AL22" i="8"/>
  <c r="AL31" i="8"/>
  <c r="AL64" i="8"/>
  <c r="AM40" i="8"/>
  <c r="AM1" i="8"/>
  <c r="AL26" i="8"/>
  <c r="AL27" i="8"/>
  <c r="AM36" i="8"/>
  <c r="AL25" i="8"/>
  <c r="AM38" i="8"/>
  <c r="AJ24" i="4"/>
  <c r="AJ48" i="4" s="1"/>
  <c r="AK37" i="4"/>
  <c r="AJ65" i="4"/>
  <c r="AK36" i="4"/>
  <c r="AJ22" i="4"/>
  <c r="AJ27" i="4"/>
  <c r="AK34" i="4"/>
  <c r="AK38" i="4"/>
  <c r="AJ62" i="4"/>
  <c r="AJ168" i="4" s="1"/>
  <c r="AJ64" i="4"/>
  <c r="AJ31" i="4"/>
  <c r="AJ29" i="4"/>
  <c r="AJ26" i="4"/>
  <c r="AJ66" i="4"/>
  <c r="AJ30" i="4"/>
  <c r="AJ25" i="4"/>
  <c r="AK40" i="4"/>
  <c r="AK1" i="4"/>
  <c r="AJ67" i="4"/>
  <c r="AJ173" i="4" s="1"/>
  <c r="AM13" i="8"/>
  <c r="AM5" i="8"/>
  <c r="AM41" i="8"/>
  <c r="AM6" i="8"/>
  <c r="AM43" i="8"/>
  <c r="AM42" i="8"/>
  <c r="AM198" i="8"/>
  <c r="AM11" i="8"/>
  <c r="AM12" i="8" s="1"/>
  <c r="AL56" i="4"/>
  <c r="AK162" i="4"/>
  <c r="AK5" i="4"/>
  <c r="AK42" i="4"/>
  <c r="AK13" i="4"/>
  <c r="AK11" i="4"/>
  <c r="AK12" i="4" s="1"/>
  <c r="AK6" i="4"/>
  <c r="AL3" i="4"/>
  <c r="AK198" i="4"/>
  <c r="AK41" i="4"/>
  <c r="AK43" i="4"/>
  <c r="J104" i="8"/>
  <c r="I111" i="8"/>
  <c r="I152" i="8" s="1"/>
  <c r="I158" i="8" s="1"/>
  <c r="I172" i="8" s="1"/>
  <c r="L87" i="8"/>
  <c r="K94" i="8"/>
  <c r="K151" i="8" s="1"/>
  <c r="K157" i="8" s="1"/>
  <c r="K171" i="8" s="1"/>
  <c r="H112" i="8"/>
  <c r="H114" i="8" s="1"/>
  <c r="H115" i="8" s="1"/>
  <c r="H116" i="8" s="1"/>
  <c r="M83" i="8"/>
  <c r="AI179" i="8"/>
  <c r="AI200" i="8" s="1"/>
  <c r="AI68" i="8"/>
  <c r="AI180" i="8" s="1"/>
  <c r="AI201" i="8" s="1"/>
  <c r="AI70" i="8"/>
  <c r="AM45" i="8"/>
  <c r="AM47" i="8"/>
  <c r="AM46" i="8"/>
  <c r="AM15" i="8"/>
  <c r="AM17" i="8"/>
  <c r="AM16" i="8"/>
  <c r="AH71" i="8"/>
  <c r="AK51" i="8"/>
  <c r="AK18" i="8" s="1"/>
  <c r="AK19" i="8" s="1"/>
  <c r="AK50" i="8" s="1"/>
  <c r="AK52" i="8" s="1"/>
  <c r="AJ55" i="8"/>
  <c r="I108" i="8"/>
  <c r="I142" i="8"/>
  <c r="I148" i="8" s="1"/>
  <c r="I166" i="8" s="1"/>
  <c r="M167" i="8"/>
  <c r="N76" i="8"/>
  <c r="J83" i="4"/>
  <c r="K76" i="4"/>
  <c r="J167" i="4"/>
  <c r="AC179" i="4"/>
  <c r="AC200" i="4" s="1"/>
  <c r="AC70" i="4"/>
  <c r="AC68" i="4"/>
  <c r="AC180" i="4" s="1"/>
  <c r="AC201" i="4" s="1"/>
  <c r="AD55" i="4"/>
  <c r="AE51" i="4"/>
  <c r="AE18" i="4" s="1"/>
  <c r="AE19" i="4" s="1"/>
  <c r="AE50" i="4" s="1"/>
  <c r="AE52" i="4" s="1"/>
  <c r="AB71" i="4"/>
  <c r="AL17" i="4"/>
  <c r="AL15" i="4"/>
  <c r="AL46" i="4"/>
  <c r="AL16" i="4"/>
  <c r="AL47" i="4"/>
  <c r="AL45" i="4"/>
  <c r="AM2" i="4"/>
  <c r="H151" i="4"/>
  <c r="I87" i="4"/>
  <c r="I93" i="4" s="1"/>
  <c r="H152" i="8"/>
  <c r="H95" i="4"/>
  <c r="H97" i="4" s="1"/>
  <c r="H98" i="4" s="1"/>
  <c r="H99" i="4" s="1"/>
  <c r="E143" i="8"/>
  <c r="E147" i="8" s="1"/>
  <c r="E165" i="8" s="1"/>
  <c r="E125" i="8"/>
  <c r="G114" i="8"/>
  <c r="G115" i="8" s="1"/>
  <c r="C174" i="8"/>
  <c r="C186" i="8" s="1"/>
  <c r="C204" i="8" s="1"/>
  <c r="C185" i="8"/>
  <c r="D153" i="8"/>
  <c r="D157" i="8" s="1"/>
  <c r="D171" i="8" s="1"/>
  <c r="D166" i="8"/>
  <c r="E123" i="8"/>
  <c r="E124" i="8" s="1"/>
  <c r="E126" i="8"/>
  <c r="E127" i="8"/>
  <c r="D129" i="8"/>
  <c r="D152" i="4"/>
  <c r="D112" i="4"/>
  <c r="D114" i="4" s="1"/>
  <c r="D115" i="4" s="1"/>
  <c r="F101" i="4"/>
  <c r="E105" i="4" s="1"/>
  <c r="G97" i="4"/>
  <c r="G98" i="4" s="1"/>
  <c r="AK26" i="4" l="1"/>
  <c r="AL37" i="4"/>
  <c r="AK24" i="4"/>
  <c r="AK66" i="4"/>
  <c r="AL40" i="4"/>
  <c r="AK27" i="4"/>
  <c r="AK22" i="4"/>
  <c r="AK48" i="4" s="1"/>
  <c r="AL34" i="4"/>
  <c r="AK30" i="4"/>
  <c r="AK31" i="4"/>
  <c r="AK29" i="4"/>
  <c r="AK65" i="4"/>
  <c r="AK64" i="4"/>
  <c r="AK62" i="4"/>
  <c r="AK168" i="4" s="1"/>
  <c r="AK67" i="4"/>
  <c r="AK173" i="4" s="1"/>
  <c r="AL1" i="4"/>
  <c r="AL36" i="4"/>
  <c r="AL38" i="4"/>
  <c r="AK25" i="4"/>
  <c r="AM31" i="8"/>
  <c r="AM22" i="8"/>
  <c r="AM48" i="8" s="1"/>
  <c r="AM29" i="8"/>
  <c r="AM66" i="8"/>
  <c r="AM64" i="8"/>
  <c r="AM26" i="8"/>
  <c r="AM24" i="8"/>
  <c r="AM65" i="8"/>
  <c r="AM30" i="8"/>
  <c r="AM67" i="8"/>
  <c r="AM173" i="8" s="1"/>
  <c r="AM27" i="8"/>
  <c r="AM62" i="8"/>
  <c r="AM168" i="8" s="1"/>
  <c r="AM25" i="8"/>
  <c r="I112" i="8"/>
  <c r="I114" i="8" s="1"/>
  <c r="AM56" i="4"/>
  <c r="AM162" i="4" s="1"/>
  <c r="AL162" i="4"/>
  <c r="AL198" i="4"/>
  <c r="AL5" i="4"/>
  <c r="AL6" i="4"/>
  <c r="AL42" i="4"/>
  <c r="AL41" i="4"/>
  <c r="AM3" i="4"/>
  <c r="AL11" i="4"/>
  <c r="AL12" i="4" s="1"/>
  <c r="AL13" i="4"/>
  <c r="AL43" i="4"/>
  <c r="AK55" i="8"/>
  <c r="AL51" i="8"/>
  <c r="AL18" i="8" s="1"/>
  <c r="AL19" i="8" s="1"/>
  <c r="AL50" i="8" s="1"/>
  <c r="AL52" i="8" s="1"/>
  <c r="K95" i="8"/>
  <c r="L93" i="8"/>
  <c r="L92" i="8"/>
  <c r="N77" i="8"/>
  <c r="N78" i="8" s="1"/>
  <c r="N79" i="8" s="1"/>
  <c r="AI71" i="8"/>
  <c r="AJ179" i="8"/>
  <c r="AJ200" i="8" s="1"/>
  <c r="AJ70" i="8"/>
  <c r="AJ68" i="8"/>
  <c r="AJ180" i="8" s="1"/>
  <c r="AJ201" i="8" s="1"/>
  <c r="M84" i="8"/>
  <c r="L88" i="8" s="1"/>
  <c r="J109" i="8"/>
  <c r="J110" i="8"/>
  <c r="K77" i="4"/>
  <c r="K78" i="4" s="1"/>
  <c r="AE55" i="4"/>
  <c r="AF51" i="4"/>
  <c r="AF18" i="4" s="1"/>
  <c r="AF19" i="4" s="1"/>
  <c r="AF50" i="4" s="1"/>
  <c r="AF52" i="4" s="1"/>
  <c r="AD179" i="4"/>
  <c r="AD200" i="4" s="1"/>
  <c r="AD70" i="4"/>
  <c r="AD68" i="4"/>
  <c r="AD180" i="4" s="1"/>
  <c r="AD201" i="4" s="1"/>
  <c r="AM46" i="4"/>
  <c r="AM15" i="4"/>
  <c r="AM47" i="4"/>
  <c r="AM16" i="4"/>
  <c r="AM17" i="4"/>
  <c r="AM45" i="4"/>
  <c r="AC71" i="4"/>
  <c r="J84" i="4"/>
  <c r="I88" i="4" s="1"/>
  <c r="E148" i="8"/>
  <c r="E166" i="8" s="1"/>
  <c r="H157" i="8"/>
  <c r="H171" i="8" s="1"/>
  <c r="I92" i="4"/>
  <c r="E146" i="8"/>
  <c r="E164" i="8" s="1"/>
  <c r="G116" i="8"/>
  <c r="D158" i="8"/>
  <c r="D172" i="8" s="1"/>
  <c r="D156" i="8"/>
  <c r="D170" i="8" s="1"/>
  <c r="F121" i="8"/>
  <c r="E128" i="8"/>
  <c r="D131" i="8"/>
  <c r="C203" i="8"/>
  <c r="E106" i="4"/>
  <c r="E107" i="4" s="1"/>
  <c r="F104" i="4" s="1"/>
  <c r="E142" i="4"/>
  <c r="E108" i="4"/>
  <c r="D116" i="4"/>
  <c r="D117" i="4" s="1"/>
  <c r="G99" i="4"/>
  <c r="H100" i="4" s="1"/>
  <c r="AL65" i="4" l="1"/>
  <c r="AM38" i="4"/>
  <c r="AL25" i="4"/>
  <c r="AL64" i="4"/>
  <c r="AM1" i="4"/>
  <c r="AL62" i="4"/>
  <c r="AL168" i="4" s="1"/>
  <c r="AM40" i="4"/>
  <c r="AM43" i="4" s="1"/>
  <c r="AL66" i="4"/>
  <c r="AL26" i="4"/>
  <c r="AM36" i="4"/>
  <c r="AM34" i="4"/>
  <c r="AL24" i="4"/>
  <c r="AL48" i="4" s="1"/>
  <c r="AL29" i="4"/>
  <c r="AM37" i="4"/>
  <c r="AL31" i="4"/>
  <c r="AL22" i="4"/>
  <c r="AL27" i="4"/>
  <c r="AL67" i="4"/>
  <c r="AL173" i="4" s="1"/>
  <c r="AL30" i="4"/>
  <c r="AM198" i="4"/>
  <c r="AM11" i="4"/>
  <c r="AM12" i="4" s="1"/>
  <c r="AM41" i="4"/>
  <c r="AM5" i="4"/>
  <c r="AM42" i="4"/>
  <c r="AM6" i="4"/>
  <c r="AM13" i="4"/>
  <c r="N167" i="8"/>
  <c r="O76" i="8"/>
  <c r="L91" i="8"/>
  <c r="L141" i="8"/>
  <c r="L147" i="8" s="1"/>
  <c r="L165" i="8" s="1"/>
  <c r="AJ71" i="8"/>
  <c r="N80" i="8"/>
  <c r="N81" i="8" s="1"/>
  <c r="I115" i="8"/>
  <c r="I116" i="8" s="1"/>
  <c r="I117" i="8" s="1"/>
  <c r="L89" i="8"/>
  <c r="L90" i="8" s="1"/>
  <c r="K97" i="8"/>
  <c r="AL55" i="8"/>
  <c r="AM51" i="8"/>
  <c r="AM18" i="8" s="1"/>
  <c r="AM19" i="8" s="1"/>
  <c r="AM50" i="8" s="1"/>
  <c r="AM52" i="8" s="1"/>
  <c r="AM55" i="8" s="1"/>
  <c r="AK179" i="8"/>
  <c r="AK200" i="8" s="1"/>
  <c r="AK68" i="8"/>
  <c r="AK180" i="8" s="1"/>
  <c r="AK201" i="8" s="1"/>
  <c r="AK70" i="8"/>
  <c r="AD71" i="4"/>
  <c r="AF55" i="4"/>
  <c r="AG51" i="4"/>
  <c r="AG18" i="4" s="1"/>
  <c r="AG19" i="4" s="1"/>
  <c r="AG50" i="4" s="1"/>
  <c r="AG52" i="4" s="1"/>
  <c r="AE179" i="4"/>
  <c r="AE200" i="4" s="1"/>
  <c r="AE70" i="4"/>
  <c r="AE68" i="4"/>
  <c r="AE180" i="4" s="1"/>
  <c r="AE201" i="4" s="1"/>
  <c r="K80" i="4"/>
  <c r="K81" i="4" s="1"/>
  <c r="K79" i="4"/>
  <c r="G117" i="8"/>
  <c r="G118" i="8" s="1"/>
  <c r="F122" i="8" s="1"/>
  <c r="H117" i="8"/>
  <c r="I91" i="4"/>
  <c r="I141" i="4"/>
  <c r="I89" i="4"/>
  <c r="I90" i="4" s="1"/>
  <c r="J87" i="4" s="1"/>
  <c r="D132" i="8"/>
  <c r="D133" i="8" s="1"/>
  <c r="D134" i="8" s="1"/>
  <c r="D136" i="8" s="1"/>
  <c r="D161" i="8" s="1"/>
  <c r="E153" i="8"/>
  <c r="E157" i="8" s="1"/>
  <c r="E171" i="8" s="1"/>
  <c r="E129" i="8"/>
  <c r="F127" i="8"/>
  <c r="F126" i="8"/>
  <c r="E111" i="4"/>
  <c r="D118" i="4"/>
  <c r="C122" i="4" s="1"/>
  <c r="G100" i="4"/>
  <c r="F110" i="4"/>
  <c r="F109" i="4"/>
  <c r="AM24" i="4" l="1"/>
  <c r="AM30" i="4"/>
  <c r="AM27" i="4"/>
  <c r="AM62" i="4"/>
  <c r="AM168" i="4" s="1"/>
  <c r="AM31" i="4"/>
  <c r="AM25" i="4"/>
  <c r="AM64" i="4"/>
  <c r="AM65" i="4"/>
  <c r="AM22" i="4"/>
  <c r="AM48" i="4" s="1"/>
  <c r="AM67" i="4"/>
  <c r="AM173" i="4" s="1"/>
  <c r="AM26" i="4"/>
  <c r="AM29" i="4"/>
  <c r="AM66" i="4"/>
  <c r="N83" i="8"/>
  <c r="AM179" i="8"/>
  <c r="AM200" i="8" s="1"/>
  <c r="AM70" i="8"/>
  <c r="AM68" i="8"/>
  <c r="AM180" i="8" s="1"/>
  <c r="AM201" i="8" s="1"/>
  <c r="M87" i="8"/>
  <c r="L94" i="8"/>
  <c r="L151" i="8" s="1"/>
  <c r="L157" i="8" s="1"/>
  <c r="L171" i="8" s="1"/>
  <c r="AL179" i="8"/>
  <c r="AL200" i="8" s="1"/>
  <c r="AL68" i="8"/>
  <c r="AL180" i="8" s="1"/>
  <c r="AL201" i="8" s="1"/>
  <c r="AL70" i="8"/>
  <c r="AK71" i="8"/>
  <c r="K98" i="8"/>
  <c r="K99" i="8" s="1"/>
  <c r="K100" i="8" s="1"/>
  <c r="O77" i="8"/>
  <c r="O78" i="8" s="1"/>
  <c r="O79" i="8" s="1"/>
  <c r="K83" i="4"/>
  <c r="AE71" i="4"/>
  <c r="L76" i="4"/>
  <c r="K167" i="4"/>
  <c r="J93" i="4"/>
  <c r="J92" i="4"/>
  <c r="AF179" i="4"/>
  <c r="AF200" i="4" s="1"/>
  <c r="AF68" i="4"/>
  <c r="AF180" i="4" s="1"/>
  <c r="AF201" i="4" s="1"/>
  <c r="AF70" i="4"/>
  <c r="AG55" i="4"/>
  <c r="AH51" i="4"/>
  <c r="AH18" i="4" s="1"/>
  <c r="AH19" i="4" s="1"/>
  <c r="AH50" i="4" s="1"/>
  <c r="AH52" i="4" s="1"/>
  <c r="F143" i="8"/>
  <c r="F123" i="8"/>
  <c r="F124" i="8" s="1"/>
  <c r="G121" i="8" s="1"/>
  <c r="G127" i="8" s="1"/>
  <c r="F125" i="8"/>
  <c r="F147" i="8"/>
  <c r="F165" i="8" s="1"/>
  <c r="H118" i="8"/>
  <c r="I118" i="8" s="1"/>
  <c r="I94" i="4"/>
  <c r="I151" i="4" s="1"/>
  <c r="E158" i="8"/>
  <c r="E172" i="8" s="1"/>
  <c r="E156" i="8"/>
  <c r="E170" i="8" s="1"/>
  <c r="E131" i="8"/>
  <c r="D185" i="8"/>
  <c r="D174" i="8"/>
  <c r="D186" i="8" s="1"/>
  <c r="D204" i="8" s="1"/>
  <c r="E152" i="4"/>
  <c r="E112" i="4"/>
  <c r="C143" i="4"/>
  <c r="C148" i="4" s="1"/>
  <c r="C166" i="4" s="1"/>
  <c r="C124" i="4"/>
  <c r="C128" i="4" s="1"/>
  <c r="C125" i="4"/>
  <c r="G101" i="4"/>
  <c r="H101" i="4" s="1"/>
  <c r="O167" i="8" l="1"/>
  <c r="P76" i="8"/>
  <c r="AL71" i="8"/>
  <c r="AM71" i="8" s="1"/>
  <c r="M92" i="8"/>
  <c r="M93" i="8"/>
  <c r="O80" i="8"/>
  <c r="O81" i="8" s="1"/>
  <c r="K101" i="8"/>
  <c r="J105" i="8" s="1"/>
  <c r="N84" i="8"/>
  <c r="M88" i="8" s="1"/>
  <c r="M89" i="8" s="1"/>
  <c r="L95" i="8"/>
  <c r="AG179" i="4"/>
  <c r="AG200" i="4" s="1"/>
  <c r="AG70" i="4"/>
  <c r="AG68" i="4"/>
  <c r="AG180" i="4" s="1"/>
  <c r="AG201" i="4" s="1"/>
  <c r="AF71" i="4"/>
  <c r="AI51" i="4"/>
  <c r="AI18" i="4" s="1"/>
  <c r="AI19" i="4" s="1"/>
  <c r="AI50" i="4" s="1"/>
  <c r="AI52" i="4" s="1"/>
  <c r="AH55" i="4"/>
  <c r="L77" i="4"/>
  <c r="L78" i="4" s="1"/>
  <c r="K84" i="4"/>
  <c r="J88" i="4" s="1"/>
  <c r="F146" i="8"/>
  <c r="F164" i="8" s="1"/>
  <c r="F148" i="8"/>
  <c r="F166" i="8" s="1"/>
  <c r="G126" i="8"/>
  <c r="F128" i="8"/>
  <c r="G122" i="8"/>
  <c r="I95" i="4"/>
  <c r="C147" i="4"/>
  <c r="C165" i="4" s="1"/>
  <c r="C146" i="4"/>
  <c r="C164" i="4" s="1"/>
  <c r="D203" i="8"/>
  <c r="E132" i="8"/>
  <c r="E133" i="8" s="1"/>
  <c r="E134" i="8" s="1"/>
  <c r="E136" i="8" s="1"/>
  <c r="E161" i="8" s="1"/>
  <c r="E114" i="4"/>
  <c r="F105" i="4"/>
  <c r="D121" i="4"/>
  <c r="D127" i="4" s="1"/>
  <c r="C153" i="4"/>
  <c r="C157" i="4" s="1"/>
  <c r="C171" i="4" s="1"/>
  <c r="C129" i="4"/>
  <c r="M90" i="8" l="1"/>
  <c r="N87" i="8" s="1"/>
  <c r="O83" i="8"/>
  <c r="L97" i="8"/>
  <c r="N92" i="8"/>
  <c r="N93" i="8"/>
  <c r="M94" i="8"/>
  <c r="M151" i="8" s="1"/>
  <c r="M157" i="8" s="1"/>
  <c r="M171" i="8" s="1"/>
  <c r="M91" i="8"/>
  <c r="M141" i="8"/>
  <c r="M147" i="8" s="1"/>
  <c r="M165" i="8" s="1"/>
  <c r="J108" i="8"/>
  <c r="J142" i="8"/>
  <c r="J148" i="8" s="1"/>
  <c r="J166" i="8" s="1"/>
  <c r="J106" i="8"/>
  <c r="J107" i="8" s="1"/>
  <c r="P77" i="8"/>
  <c r="P78" i="8" s="1"/>
  <c r="P79" i="8" s="1"/>
  <c r="I97" i="4"/>
  <c r="I98" i="4" s="1"/>
  <c r="I99" i="4" s="1"/>
  <c r="I100" i="4" s="1"/>
  <c r="I101" i="4" s="1"/>
  <c r="H105" i="4" s="1"/>
  <c r="H108" i="4" s="1"/>
  <c r="AH179" i="4"/>
  <c r="AH200" i="4" s="1"/>
  <c r="AH68" i="4"/>
  <c r="AH180" i="4" s="1"/>
  <c r="AH201" i="4" s="1"/>
  <c r="AH70" i="4"/>
  <c r="AI55" i="4"/>
  <c r="AJ51" i="4"/>
  <c r="AJ18" i="4" s="1"/>
  <c r="AJ19" i="4" s="1"/>
  <c r="AJ50" i="4" s="1"/>
  <c r="AJ52" i="4" s="1"/>
  <c r="J91" i="4"/>
  <c r="J141" i="4"/>
  <c r="J147" i="4" s="1"/>
  <c r="J165" i="4" s="1"/>
  <c r="J89" i="4"/>
  <c r="J90" i="4" s="1"/>
  <c r="L80" i="4"/>
  <c r="L81" i="4" s="1"/>
  <c r="L79" i="4"/>
  <c r="AG71" i="4"/>
  <c r="F106" i="4"/>
  <c r="F107" i="4" s="1"/>
  <c r="G104" i="4" s="1"/>
  <c r="G123" i="8"/>
  <c r="G124" i="8" s="1"/>
  <c r="H121" i="8" s="1"/>
  <c r="H127" i="8" s="1"/>
  <c r="F153" i="8"/>
  <c r="F157" i="8" s="1"/>
  <c r="F171" i="8" s="1"/>
  <c r="F129" i="8"/>
  <c r="G143" i="8"/>
  <c r="G147" i="8" s="1"/>
  <c r="G165" i="8" s="1"/>
  <c r="G125" i="8"/>
  <c r="E185" i="8"/>
  <c r="E174" i="8"/>
  <c r="E186" i="8" s="1"/>
  <c r="E204" i="8" s="1"/>
  <c r="E115" i="4"/>
  <c r="E116" i="4" s="1"/>
  <c r="E117" i="4" s="1"/>
  <c r="E118" i="4" s="1"/>
  <c r="D122" i="4" s="1"/>
  <c r="F108" i="4"/>
  <c r="F142" i="4"/>
  <c r="D126" i="4"/>
  <c r="C131" i="4"/>
  <c r="C132" i="4" s="1"/>
  <c r="C156" i="4"/>
  <c r="C170" i="4" s="1"/>
  <c r="C158" i="4"/>
  <c r="C172" i="4" s="1"/>
  <c r="M95" i="8" l="1"/>
  <c r="M97" i="8" s="1"/>
  <c r="M98" i="8" s="1"/>
  <c r="M99" i="8" s="1"/>
  <c r="K104" i="8"/>
  <c r="J111" i="8"/>
  <c r="J152" i="8" s="1"/>
  <c r="J158" i="8" s="1"/>
  <c r="J172" i="8" s="1"/>
  <c r="P167" i="8"/>
  <c r="Q76" i="8"/>
  <c r="P80" i="8"/>
  <c r="P81" i="8" s="1"/>
  <c r="F131" i="8"/>
  <c r="F132" i="8" s="1"/>
  <c r="F133" i="8" s="1"/>
  <c r="L98" i="8"/>
  <c r="L99" i="8" s="1"/>
  <c r="O84" i="8"/>
  <c r="N88" i="8" s="1"/>
  <c r="L83" i="4"/>
  <c r="AK51" i="4"/>
  <c r="AK18" i="4" s="1"/>
  <c r="AK19" i="4" s="1"/>
  <c r="AK50" i="4" s="1"/>
  <c r="AK52" i="4" s="1"/>
  <c r="AJ55" i="4"/>
  <c r="AI68" i="4"/>
  <c r="AI180" i="4" s="1"/>
  <c r="AI201" i="4" s="1"/>
  <c r="AI179" i="4"/>
  <c r="AI200" i="4" s="1"/>
  <c r="AI70" i="4"/>
  <c r="L167" i="4"/>
  <c r="M76" i="4"/>
  <c r="AH71" i="4"/>
  <c r="K87" i="4"/>
  <c r="J94" i="4"/>
  <c r="J151" i="4" s="1"/>
  <c r="J157" i="4" s="1"/>
  <c r="J171" i="4" s="1"/>
  <c r="F158" i="8"/>
  <c r="F172" i="8" s="1"/>
  <c r="G148" i="8"/>
  <c r="G166" i="8" s="1"/>
  <c r="F111" i="4"/>
  <c r="H122" i="8"/>
  <c r="H123" i="8" s="1"/>
  <c r="H124" i="8" s="1"/>
  <c r="H126" i="8"/>
  <c r="G128" i="8"/>
  <c r="F156" i="8"/>
  <c r="F170" i="8" s="1"/>
  <c r="G146" i="8"/>
  <c r="G164" i="8" s="1"/>
  <c r="G105" i="4"/>
  <c r="E203" i="8"/>
  <c r="G110" i="4"/>
  <c r="G109" i="4"/>
  <c r="C133" i="4"/>
  <c r="D143" i="4"/>
  <c r="D148" i="4" s="1"/>
  <c r="D166" i="4" s="1"/>
  <c r="D123" i="4"/>
  <c r="D124" i="4" s="1"/>
  <c r="E121" i="4" s="1"/>
  <c r="D125" i="4"/>
  <c r="D147" i="4"/>
  <c r="D165" i="4" s="1"/>
  <c r="M100" i="8" l="1"/>
  <c r="G129" i="8"/>
  <c r="P83" i="8"/>
  <c r="H128" i="8"/>
  <c r="H153" i="8" s="1"/>
  <c r="I121" i="8"/>
  <c r="Q77" i="8"/>
  <c r="K109" i="8"/>
  <c r="K110" i="8"/>
  <c r="N91" i="8"/>
  <c r="N141" i="8"/>
  <c r="N147" i="8" s="1"/>
  <c r="N165" i="8" s="1"/>
  <c r="N89" i="8"/>
  <c r="N90" i="8" s="1"/>
  <c r="J112" i="8"/>
  <c r="L100" i="8"/>
  <c r="M77" i="4"/>
  <c r="M78" i="4" s="1"/>
  <c r="AI71" i="4"/>
  <c r="AJ68" i="4"/>
  <c r="AJ180" i="4" s="1"/>
  <c r="AJ201" i="4" s="1"/>
  <c r="AJ70" i="4"/>
  <c r="AJ179" i="4"/>
  <c r="AJ200" i="4" s="1"/>
  <c r="AK55" i="4"/>
  <c r="AL51" i="4"/>
  <c r="AL18" i="4" s="1"/>
  <c r="AL19" i="4" s="1"/>
  <c r="AL50" i="4" s="1"/>
  <c r="AL52" i="4" s="1"/>
  <c r="K93" i="4"/>
  <c r="K92" i="4"/>
  <c r="J95" i="4"/>
  <c r="L84" i="4"/>
  <c r="K88" i="4" s="1"/>
  <c r="F112" i="4"/>
  <c r="F114" i="4" s="1"/>
  <c r="F152" i="4"/>
  <c r="G153" i="8"/>
  <c r="G157" i="8" s="1"/>
  <c r="G171" i="8" s="1"/>
  <c r="H125" i="8"/>
  <c r="H143" i="8"/>
  <c r="H142" i="4"/>
  <c r="D146" i="4"/>
  <c r="D164" i="4" s="1"/>
  <c r="G108" i="4"/>
  <c r="G142" i="4"/>
  <c r="G106" i="4"/>
  <c r="G107" i="4" s="1"/>
  <c r="H104" i="4" s="1"/>
  <c r="F134" i="8"/>
  <c r="F136" i="8" s="1"/>
  <c r="F161" i="8" s="1"/>
  <c r="F185" i="8" s="1"/>
  <c r="C134" i="4"/>
  <c r="D128" i="4"/>
  <c r="E126" i="4"/>
  <c r="E127" i="4"/>
  <c r="J114" i="8" l="1"/>
  <c r="O87" i="8"/>
  <c r="N94" i="8"/>
  <c r="Q80" i="8"/>
  <c r="Q81" i="8" s="1"/>
  <c r="P84" i="8"/>
  <c r="I127" i="8"/>
  <c r="I126" i="8"/>
  <c r="H129" i="8"/>
  <c r="H131" i="8" s="1"/>
  <c r="H132" i="8" s="1"/>
  <c r="H133" i="8" s="1"/>
  <c r="G131" i="8"/>
  <c r="L101" i="8"/>
  <c r="Q78" i="8"/>
  <c r="Q79" i="8" s="1"/>
  <c r="AL55" i="4"/>
  <c r="AM51" i="4"/>
  <c r="AM18" i="4" s="1"/>
  <c r="AM19" i="4" s="1"/>
  <c r="AM50" i="4" s="1"/>
  <c r="AM52" i="4" s="1"/>
  <c r="AM55" i="4" s="1"/>
  <c r="AK179" i="4"/>
  <c r="AK200" i="4" s="1"/>
  <c r="AK70" i="4"/>
  <c r="AK68" i="4"/>
  <c r="AK180" i="4" s="1"/>
  <c r="AK201" i="4" s="1"/>
  <c r="M80" i="4"/>
  <c r="M81" i="4" s="1"/>
  <c r="M79" i="4"/>
  <c r="K91" i="4"/>
  <c r="K141" i="4"/>
  <c r="K147" i="4" s="1"/>
  <c r="K165" i="4" s="1"/>
  <c r="J97" i="4"/>
  <c r="K89" i="4"/>
  <c r="K90" i="4" s="1"/>
  <c r="AJ71" i="4"/>
  <c r="G158" i="8"/>
  <c r="G172" i="8" s="1"/>
  <c r="H146" i="8"/>
  <c r="H164" i="8" s="1"/>
  <c r="H148" i="8"/>
  <c r="H166" i="8" s="1"/>
  <c r="H156" i="8"/>
  <c r="H170" i="8" s="1"/>
  <c r="H158" i="8"/>
  <c r="H172" i="8" s="1"/>
  <c r="I147" i="4"/>
  <c r="I165" i="4" s="1"/>
  <c r="H147" i="4"/>
  <c r="H165" i="4" s="1"/>
  <c r="G156" i="8"/>
  <c r="G170" i="8" s="1"/>
  <c r="H110" i="4"/>
  <c r="H109" i="4"/>
  <c r="H106" i="4"/>
  <c r="H107" i="4" s="1"/>
  <c r="F174" i="8"/>
  <c r="F186" i="8" s="1"/>
  <c r="F204" i="8" s="1"/>
  <c r="G111" i="4"/>
  <c r="F203" i="8"/>
  <c r="F115" i="4"/>
  <c r="F116" i="4" s="1"/>
  <c r="F117" i="4" s="1"/>
  <c r="F118" i="4" s="1"/>
  <c r="E122" i="4" s="1"/>
  <c r="C136" i="4"/>
  <c r="C161" i="4" s="1"/>
  <c r="D153" i="4"/>
  <c r="D157" i="4" s="1"/>
  <c r="D171" i="4" s="1"/>
  <c r="D129" i="4"/>
  <c r="O88" i="8" l="1"/>
  <c r="Q167" i="8"/>
  <c r="R76" i="8"/>
  <c r="O91" i="8"/>
  <c r="O141" i="8"/>
  <c r="O147" i="8" s="1"/>
  <c r="O165" i="8" s="1"/>
  <c r="N151" i="8"/>
  <c r="N157" i="8" s="1"/>
  <c r="N171" i="8" s="1"/>
  <c r="N95" i="8"/>
  <c r="G132" i="8"/>
  <c r="G133" i="8" s="1"/>
  <c r="G134" i="8" s="1"/>
  <c r="G136" i="8" s="1"/>
  <c r="G161" i="8" s="1"/>
  <c r="J115" i="8"/>
  <c r="J116" i="8" s="1"/>
  <c r="J117" i="8" s="1"/>
  <c r="K105" i="8"/>
  <c r="M101" i="8"/>
  <c r="L105" i="8" s="1"/>
  <c r="Q83" i="8"/>
  <c r="O92" i="8"/>
  <c r="O93" i="8"/>
  <c r="O89" i="8"/>
  <c r="O90" i="8" s="1"/>
  <c r="P87" i="8" s="1"/>
  <c r="L87" i="4"/>
  <c r="K94" i="4"/>
  <c r="M83" i="4"/>
  <c r="AL179" i="4"/>
  <c r="AL200" i="4" s="1"/>
  <c r="AL70" i="4"/>
  <c r="AL68" i="4"/>
  <c r="AL180" i="4" s="1"/>
  <c r="AL201" i="4" s="1"/>
  <c r="J98" i="4"/>
  <c r="J99" i="4" s="1"/>
  <c r="J100" i="4" s="1"/>
  <c r="AK71" i="4"/>
  <c r="AM179" i="4"/>
  <c r="AM200" i="4" s="1"/>
  <c r="AM68" i="4"/>
  <c r="AM180" i="4" s="1"/>
  <c r="AM201" i="4" s="1"/>
  <c r="AM70" i="4"/>
  <c r="M167" i="4"/>
  <c r="N76" i="4"/>
  <c r="H111" i="4"/>
  <c r="H152" i="4" s="1"/>
  <c r="I104" i="4"/>
  <c r="D156" i="4"/>
  <c r="D170" i="4" s="1"/>
  <c r="G152" i="4"/>
  <c r="G112" i="4"/>
  <c r="E143" i="4"/>
  <c r="E147" i="4" s="1"/>
  <c r="E165" i="4" s="1"/>
  <c r="E125" i="4"/>
  <c r="E123" i="4"/>
  <c r="E124" i="4" s="1"/>
  <c r="F121" i="4" s="1"/>
  <c r="F127" i="4" s="1"/>
  <c r="C174" i="4"/>
  <c r="C186" i="4" s="1"/>
  <c r="C204" i="4" s="1"/>
  <c r="C185" i="4"/>
  <c r="C203" i="4" s="1"/>
  <c r="D158" i="4"/>
  <c r="D172" i="4" s="1"/>
  <c r="D131" i="4"/>
  <c r="D132" i="4" s="1"/>
  <c r="J118" i="8" l="1"/>
  <c r="I122" i="8" s="1"/>
  <c r="G185" i="8"/>
  <c r="G203" i="8" s="1"/>
  <c r="G174" i="8"/>
  <c r="G186" i="8" s="1"/>
  <c r="G204" i="8" s="1"/>
  <c r="H134" i="8"/>
  <c r="H136" i="8" s="1"/>
  <c r="H161" i="8" s="1"/>
  <c r="Q84" i="8"/>
  <c r="P88" i="8" s="1"/>
  <c r="P89" i="8" s="1"/>
  <c r="L108" i="8"/>
  <c r="L142" i="8"/>
  <c r="L148" i="8" s="1"/>
  <c r="L166" i="8" s="1"/>
  <c r="R77" i="8"/>
  <c r="R78" i="8" s="1"/>
  <c r="N97" i="8"/>
  <c r="P93" i="8"/>
  <c r="P92" i="8"/>
  <c r="O94" i="8"/>
  <c r="O151" i="8" s="1"/>
  <c r="O157" i="8" s="1"/>
  <c r="O171" i="8" s="1"/>
  <c r="K108" i="8"/>
  <c r="K142" i="8"/>
  <c r="K148" i="8" s="1"/>
  <c r="K166" i="8" s="1"/>
  <c r="K106" i="8"/>
  <c r="K107" i="8" s="1"/>
  <c r="J101" i="4"/>
  <c r="I105" i="4" s="1"/>
  <c r="I106" i="4" s="1"/>
  <c r="I107" i="4" s="1"/>
  <c r="J104" i="4" s="1"/>
  <c r="N77" i="4"/>
  <c r="N78" i="4" s="1"/>
  <c r="AL71" i="4"/>
  <c r="AM71" i="4" s="1"/>
  <c r="M84" i="4"/>
  <c r="L88" i="4" s="1"/>
  <c r="K151" i="4"/>
  <c r="K157" i="4" s="1"/>
  <c r="K171" i="4" s="1"/>
  <c r="K95" i="4"/>
  <c r="L93" i="4"/>
  <c r="L92" i="4"/>
  <c r="H157" i="4"/>
  <c r="H171" i="4" s="1"/>
  <c r="H112" i="4"/>
  <c r="H114" i="4" s="1"/>
  <c r="I110" i="4"/>
  <c r="I109" i="4"/>
  <c r="G114" i="4"/>
  <c r="G115" i="4" s="1"/>
  <c r="G116" i="4" s="1"/>
  <c r="E146" i="4"/>
  <c r="E164" i="4" s="1"/>
  <c r="F126" i="4"/>
  <c r="E128" i="4"/>
  <c r="E148" i="4"/>
  <c r="E166" i="4" s="1"/>
  <c r="D133" i="4"/>
  <c r="F147" i="4"/>
  <c r="F165" i="4" s="1"/>
  <c r="R79" i="8" l="1"/>
  <c r="H185" i="8"/>
  <c r="H203" i="8" s="1"/>
  <c r="H174" i="8"/>
  <c r="H186" i="8" s="1"/>
  <c r="H204" i="8" s="1"/>
  <c r="P91" i="8"/>
  <c r="P141" i="8"/>
  <c r="P147" i="8" s="1"/>
  <c r="P165" i="8" s="1"/>
  <c r="P90" i="8"/>
  <c r="O95" i="8"/>
  <c r="R167" i="8"/>
  <c r="S76" i="8"/>
  <c r="N98" i="8"/>
  <c r="N99" i="8" s="1"/>
  <c r="N100" i="8" s="1"/>
  <c r="L104" i="8"/>
  <c r="K111" i="8"/>
  <c r="K152" i="8" s="1"/>
  <c r="K158" i="8" s="1"/>
  <c r="K172" i="8" s="1"/>
  <c r="I125" i="8"/>
  <c r="I143" i="8"/>
  <c r="I146" i="8" s="1"/>
  <c r="I164" i="8" s="1"/>
  <c r="I123" i="8"/>
  <c r="I124" i="8" s="1"/>
  <c r="R80" i="8"/>
  <c r="R81" i="8"/>
  <c r="L91" i="4"/>
  <c r="L141" i="4"/>
  <c r="L147" i="4" s="1"/>
  <c r="L165" i="4" s="1"/>
  <c r="L89" i="4"/>
  <c r="L90" i="4" s="1"/>
  <c r="N80" i="4"/>
  <c r="N81" i="4" s="1"/>
  <c r="J109" i="4"/>
  <c r="J110" i="4"/>
  <c r="N79" i="4"/>
  <c r="K97" i="4"/>
  <c r="I142" i="4"/>
  <c r="I108" i="4"/>
  <c r="I111" i="4"/>
  <c r="I152" i="4" s="1"/>
  <c r="H115" i="4"/>
  <c r="H116" i="4" s="1"/>
  <c r="H117" i="4" s="1"/>
  <c r="G117" i="4"/>
  <c r="G118" i="4" s="1"/>
  <c r="F122" i="4" s="1"/>
  <c r="E129" i="4"/>
  <c r="E131" i="4" s="1"/>
  <c r="E132" i="4" s="1"/>
  <c r="E153" i="4"/>
  <c r="E157" i="4" s="1"/>
  <c r="E171" i="4" s="1"/>
  <c r="D134" i="4"/>
  <c r="N101" i="8" l="1"/>
  <c r="M105" i="8" s="1"/>
  <c r="J121" i="8"/>
  <c r="I128" i="8"/>
  <c r="S77" i="8"/>
  <c r="S78" i="8" s="1"/>
  <c r="O97" i="8"/>
  <c r="Q87" i="8"/>
  <c r="P94" i="8"/>
  <c r="P151" i="8" s="1"/>
  <c r="P157" i="8" s="1"/>
  <c r="P171" i="8" s="1"/>
  <c r="R83" i="8"/>
  <c r="L109" i="8"/>
  <c r="L106" i="8"/>
  <c r="L107" i="8" s="1"/>
  <c r="L110" i="8"/>
  <c r="K112" i="8"/>
  <c r="M87" i="4"/>
  <c r="L94" i="4"/>
  <c r="N167" i="4"/>
  <c r="O76" i="4"/>
  <c r="K98" i="4"/>
  <c r="K99" i="4" s="1"/>
  <c r="K100" i="4" s="1"/>
  <c r="N83" i="4"/>
  <c r="I157" i="4"/>
  <c r="I171" i="4" s="1"/>
  <c r="F143" i="4"/>
  <c r="I112" i="4"/>
  <c r="H118" i="4"/>
  <c r="G122" i="4" s="1"/>
  <c r="F123" i="4"/>
  <c r="F124" i="4" s="1"/>
  <c r="G121" i="4" s="1"/>
  <c r="G126" i="4" s="1"/>
  <c r="F125" i="4"/>
  <c r="E156" i="4"/>
  <c r="E170" i="4" s="1"/>
  <c r="E158" i="4"/>
  <c r="E172" i="4" s="1"/>
  <c r="D136" i="4"/>
  <c r="D161" i="4" s="1"/>
  <c r="E133" i="4"/>
  <c r="S79" i="8" l="1"/>
  <c r="P95" i="8"/>
  <c r="P97" i="8" s="1"/>
  <c r="P98" i="8" s="1"/>
  <c r="P99" i="8" s="1"/>
  <c r="T76" i="8"/>
  <c r="S167" i="8"/>
  <c r="M104" i="8"/>
  <c r="L111" i="8"/>
  <c r="L152" i="8" s="1"/>
  <c r="L158" i="8" s="1"/>
  <c r="L172" i="8" s="1"/>
  <c r="I153" i="8"/>
  <c r="I156" i="8" s="1"/>
  <c r="I170" i="8" s="1"/>
  <c r="I129" i="8"/>
  <c r="Q92" i="8"/>
  <c r="Q93" i="8"/>
  <c r="K114" i="8"/>
  <c r="O98" i="8"/>
  <c r="O99" i="8" s="1"/>
  <c r="O100" i="8" s="1"/>
  <c r="S80" i="8"/>
  <c r="S81" i="8" s="1"/>
  <c r="S83" i="8" s="1"/>
  <c r="J127" i="8"/>
  <c r="J126" i="8"/>
  <c r="R84" i="8"/>
  <c r="Q88" i="8" s="1"/>
  <c r="Q89" i="8" s="1"/>
  <c r="Q90" i="8" s="1"/>
  <c r="M108" i="8"/>
  <c r="M142" i="8"/>
  <c r="M148" i="8" s="1"/>
  <c r="M166" i="8" s="1"/>
  <c r="K101" i="4"/>
  <c r="J105" i="4" s="1"/>
  <c r="O77" i="4"/>
  <c r="I114" i="4"/>
  <c r="I115" i="4" s="1"/>
  <c r="I116" i="4" s="1"/>
  <c r="I117" i="4" s="1"/>
  <c r="I118" i="4" s="1"/>
  <c r="H122" i="4" s="1"/>
  <c r="L151" i="4"/>
  <c r="L157" i="4" s="1"/>
  <c r="L171" i="4" s="1"/>
  <c r="L95" i="4"/>
  <c r="N84" i="4"/>
  <c r="M88" i="4" s="1"/>
  <c r="M93" i="4"/>
  <c r="M92" i="4"/>
  <c r="F146" i="4"/>
  <c r="F164" i="4" s="1"/>
  <c r="F148" i="4"/>
  <c r="F166" i="4" s="1"/>
  <c r="F128" i="4"/>
  <c r="G127" i="4"/>
  <c r="G125" i="4"/>
  <c r="G143" i="4"/>
  <c r="G146" i="4" s="1"/>
  <c r="G164" i="4" s="1"/>
  <c r="G123" i="4"/>
  <c r="G124" i="4" s="1"/>
  <c r="H121" i="4" s="1"/>
  <c r="D185" i="4"/>
  <c r="D203" i="4" s="1"/>
  <c r="D174" i="4"/>
  <c r="D186" i="4" s="1"/>
  <c r="D204" i="4" s="1"/>
  <c r="E134" i="4"/>
  <c r="G147" i="4"/>
  <c r="G165" i="4" s="1"/>
  <c r="P100" i="8" l="1"/>
  <c r="L112" i="8"/>
  <c r="L114" i="8" s="1"/>
  <c r="L115" i="8" s="1"/>
  <c r="L116" i="8" s="1"/>
  <c r="R87" i="8"/>
  <c r="Q94" i="8"/>
  <c r="Q151" i="8" s="1"/>
  <c r="Q157" i="8" s="1"/>
  <c r="Q171" i="8" s="1"/>
  <c r="O101" i="8"/>
  <c r="Q91" i="8"/>
  <c r="Q141" i="8"/>
  <c r="Q147" i="8" s="1"/>
  <c r="Q165" i="8" s="1"/>
  <c r="M106" i="8"/>
  <c r="M107" i="8" s="1"/>
  <c r="M110" i="8"/>
  <c r="M109" i="8"/>
  <c r="I131" i="8"/>
  <c r="S84" i="8"/>
  <c r="K115" i="8"/>
  <c r="K116" i="8" s="1"/>
  <c r="T77" i="8"/>
  <c r="T78" i="8" s="1"/>
  <c r="M91" i="4"/>
  <c r="M141" i="4"/>
  <c r="M147" i="4" s="1"/>
  <c r="M165" i="4" s="1"/>
  <c r="L97" i="4"/>
  <c r="J108" i="4"/>
  <c r="J142" i="4"/>
  <c r="J148" i="4" s="1"/>
  <c r="J166" i="4" s="1"/>
  <c r="J106" i="4"/>
  <c r="J107" i="4" s="1"/>
  <c r="M89" i="4"/>
  <c r="M90" i="4" s="1"/>
  <c r="O80" i="4"/>
  <c r="O81" i="4" s="1"/>
  <c r="O78" i="4"/>
  <c r="O79" i="4" s="1"/>
  <c r="F153" i="4"/>
  <c r="H143" i="4"/>
  <c r="H125" i="4"/>
  <c r="H127" i="4"/>
  <c r="H126" i="4"/>
  <c r="H123" i="4"/>
  <c r="H124" i="4" s="1"/>
  <c r="F129" i="4"/>
  <c r="G128" i="4"/>
  <c r="G129" i="4" s="1"/>
  <c r="G148" i="4"/>
  <c r="G166" i="4" s="1"/>
  <c r="E136" i="4"/>
  <c r="E161" i="4" s="1"/>
  <c r="Q95" i="8" l="1"/>
  <c r="R88" i="8"/>
  <c r="R89" i="8" s="1"/>
  <c r="R90" i="8" s="1"/>
  <c r="S87" i="8" s="1"/>
  <c r="L117" i="8"/>
  <c r="N104" i="8"/>
  <c r="N105" i="8" s="1"/>
  <c r="M111" i="8"/>
  <c r="M152" i="8" s="1"/>
  <c r="M158" i="8" s="1"/>
  <c r="M172" i="8" s="1"/>
  <c r="Q97" i="8"/>
  <c r="R141" i="8"/>
  <c r="R147" i="8" s="1"/>
  <c r="R165" i="8" s="1"/>
  <c r="I132" i="8"/>
  <c r="I133" i="8" s="1"/>
  <c r="I134" i="8" s="1"/>
  <c r="I136" i="8" s="1"/>
  <c r="I161" i="8" s="1"/>
  <c r="K117" i="8"/>
  <c r="T80" i="8"/>
  <c r="T81" i="8" s="1"/>
  <c r="T83" i="8" s="1"/>
  <c r="R92" i="8"/>
  <c r="R93" i="8"/>
  <c r="P101" i="8"/>
  <c r="T79" i="8"/>
  <c r="O167" i="4"/>
  <c r="P76" i="4"/>
  <c r="K104" i="4"/>
  <c r="J111" i="4"/>
  <c r="J152" i="4" s="1"/>
  <c r="J158" i="4" s="1"/>
  <c r="J172" i="4" s="1"/>
  <c r="L98" i="4"/>
  <c r="L99" i="4" s="1"/>
  <c r="L100" i="4" s="1"/>
  <c r="O83" i="4"/>
  <c r="N87" i="4"/>
  <c r="M94" i="4"/>
  <c r="C182" i="8" a="1"/>
  <c r="C182" i="8" s="1"/>
  <c r="H146" i="4"/>
  <c r="H164" i="4" s="1"/>
  <c r="H148" i="4"/>
  <c r="H166" i="4" s="1"/>
  <c r="F157" i="4"/>
  <c r="F171" i="4" s="1"/>
  <c r="F158" i="4"/>
  <c r="F172" i="4" s="1"/>
  <c r="C181" i="8"/>
  <c r="F156" i="4"/>
  <c r="F170" i="4" s="1"/>
  <c r="H128" i="4"/>
  <c r="I121" i="4"/>
  <c r="F131" i="4"/>
  <c r="F132" i="4" s="1"/>
  <c r="F133" i="4" s="1"/>
  <c r="G131" i="4"/>
  <c r="G132" i="4" s="1"/>
  <c r="G133" i="4" s="1"/>
  <c r="G153" i="4"/>
  <c r="G157" i="4" s="1"/>
  <c r="G171" i="4" s="1"/>
  <c r="E185" i="4"/>
  <c r="E203" i="4" s="1"/>
  <c r="E174" i="4"/>
  <c r="E186" i="4" s="1"/>
  <c r="E204" i="4" s="1"/>
  <c r="R91" i="8" l="1"/>
  <c r="N108" i="8"/>
  <c r="N142" i="8"/>
  <c r="N148" i="8" s="1"/>
  <c r="N166" i="8" s="1"/>
  <c r="M112" i="8"/>
  <c r="M114" i="8" s="1"/>
  <c r="T84" i="8"/>
  <c r="S88" i="8" s="1"/>
  <c r="S89" i="8" s="1"/>
  <c r="I185" i="8"/>
  <c r="I203" i="8" s="1"/>
  <c r="I174" i="8"/>
  <c r="I186" i="8" s="1"/>
  <c r="I204" i="8" s="1"/>
  <c r="R94" i="8"/>
  <c r="R151" i="8" s="1"/>
  <c r="R157" i="8" s="1"/>
  <c r="R171" i="8" s="1"/>
  <c r="Q98" i="8"/>
  <c r="Q99" i="8" s="1"/>
  <c r="Q100" i="8" s="1"/>
  <c r="S93" i="8"/>
  <c r="S92" i="8"/>
  <c r="J112" i="4"/>
  <c r="J114" i="4" s="1"/>
  <c r="T167" i="8"/>
  <c r="U76" i="8"/>
  <c r="K118" i="8"/>
  <c r="N110" i="8"/>
  <c r="N106" i="8"/>
  <c r="N107" i="8" s="1"/>
  <c r="N109" i="8"/>
  <c r="N93" i="4"/>
  <c r="N92" i="4"/>
  <c r="O84" i="4"/>
  <c r="N88" i="4" s="1"/>
  <c r="L101" i="4"/>
  <c r="K105" i="4" s="1"/>
  <c r="K106" i="4" s="1"/>
  <c r="M151" i="4"/>
  <c r="M157" i="4" s="1"/>
  <c r="M171" i="4" s="1"/>
  <c r="M95" i="4"/>
  <c r="K110" i="4"/>
  <c r="K109" i="4"/>
  <c r="P77" i="4"/>
  <c r="G158" i="4"/>
  <c r="G172" i="4" s="1"/>
  <c r="H153" i="4"/>
  <c r="H129" i="4"/>
  <c r="H131" i="4" s="1"/>
  <c r="H132" i="4" s="1"/>
  <c r="H133" i="4" s="1"/>
  <c r="H134" i="4" s="1"/>
  <c r="H136" i="4" s="1"/>
  <c r="H161" i="4" s="1"/>
  <c r="I126" i="4"/>
  <c r="I127" i="4"/>
  <c r="F134" i="4"/>
  <c r="F136" i="4" s="1"/>
  <c r="F161" i="4" s="1"/>
  <c r="G156" i="4"/>
  <c r="G170" i="4" s="1"/>
  <c r="G134" i="4"/>
  <c r="S90" i="8" l="1"/>
  <c r="T87" i="8" s="1"/>
  <c r="O104" i="8"/>
  <c r="O105" i="8" s="1"/>
  <c r="N111" i="8"/>
  <c r="N152" i="8" s="1"/>
  <c r="N158" i="8" s="1"/>
  <c r="N172" i="8" s="1"/>
  <c r="J122" i="8"/>
  <c r="L118" i="8"/>
  <c r="K122" i="8" s="1"/>
  <c r="M115" i="8"/>
  <c r="M116" i="8" s="1"/>
  <c r="M117" i="8" s="1"/>
  <c r="T93" i="8"/>
  <c r="T92" i="8"/>
  <c r="S94" i="8"/>
  <c r="S151" i="8" s="1"/>
  <c r="S157" i="8" s="1"/>
  <c r="S171" i="8" s="1"/>
  <c r="R95" i="8"/>
  <c r="Q101" i="8"/>
  <c r="U77" i="8"/>
  <c r="U78" i="8" s="1"/>
  <c r="S91" i="8"/>
  <c r="S141" i="8"/>
  <c r="S147" i="8" s="1"/>
  <c r="S165" i="8" s="1"/>
  <c r="M97" i="4"/>
  <c r="K108" i="4"/>
  <c r="K142" i="4"/>
  <c r="K148" i="4" s="1"/>
  <c r="K166" i="4" s="1"/>
  <c r="P80" i="4"/>
  <c r="P81" i="4" s="1"/>
  <c r="N91" i="4"/>
  <c r="N141" i="4"/>
  <c r="N147" i="4" s="1"/>
  <c r="N165" i="4" s="1"/>
  <c r="P78" i="4"/>
  <c r="P79" i="4" s="1"/>
  <c r="J115" i="4"/>
  <c r="J116" i="4" s="1"/>
  <c r="J117" i="4" s="1"/>
  <c r="N89" i="4"/>
  <c r="N90" i="4" s="1"/>
  <c r="K107" i="4"/>
  <c r="I148" i="4"/>
  <c r="I166" i="4" s="1"/>
  <c r="H156" i="4"/>
  <c r="H170" i="4" s="1"/>
  <c r="H158" i="4"/>
  <c r="H172" i="4" s="1"/>
  <c r="H185" i="4"/>
  <c r="H203" i="4" s="1"/>
  <c r="F174" i="4"/>
  <c r="F186" i="4" s="1"/>
  <c r="F204" i="4" s="1"/>
  <c r="F185" i="4"/>
  <c r="F203" i="4" s="1"/>
  <c r="G136" i="4"/>
  <c r="G161" i="4" s="1"/>
  <c r="N112" i="8" l="1"/>
  <c r="O108" i="8"/>
  <c r="O142" i="8"/>
  <c r="O148" i="8" s="1"/>
  <c r="O166" i="8" s="1"/>
  <c r="S95" i="8"/>
  <c r="S97" i="8" s="1"/>
  <c r="M118" i="8"/>
  <c r="L122" i="8" s="1"/>
  <c r="U80" i="8"/>
  <c r="U81" i="8" s="1"/>
  <c r="U83" i="8" s="1"/>
  <c r="U79" i="8"/>
  <c r="N114" i="8"/>
  <c r="K125" i="8"/>
  <c r="K143" i="8"/>
  <c r="K146" i="8" s="1"/>
  <c r="K164" i="8" s="1"/>
  <c r="J125" i="8"/>
  <c r="J143" i="8"/>
  <c r="J146" i="8" s="1"/>
  <c r="J164" i="8" s="1"/>
  <c r="J123" i="8"/>
  <c r="J124" i="8" s="1"/>
  <c r="R97" i="8"/>
  <c r="O110" i="8"/>
  <c r="O109" i="8"/>
  <c r="O106" i="8"/>
  <c r="O107" i="8" s="1"/>
  <c r="O87" i="4"/>
  <c r="N94" i="4"/>
  <c r="N151" i="4" s="1"/>
  <c r="N157" i="4" s="1"/>
  <c r="N171" i="4" s="1"/>
  <c r="Q76" i="4"/>
  <c r="P167" i="4"/>
  <c r="P83" i="4"/>
  <c r="L104" i="4"/>
  <c r="K111" i="4"/>
  <c r="K152" i="4" s="1"/>
  <c r="K158" i="4" s="1"/>
  <c r="K172" i="4" s="1"/>
  <c r="J118" i="4"/>
  <c r="I122" i="4" s="1"/>
  <c r="M98" i="4"/>
  <c r="M99" i="4" s="1"/>
  <c r="M100" i="4" s="1"/>
  <c r="H174" i="4"/>
  <c r="H186" i="4" s="1"/>
  <c r="H204" i="4" s="1"/>
  <c r="I158" i="4"/>
  <c r="I172" i="4" s="1"/>
  <c r="G185" i="4"/>
  <c r="G203" i="4" s="1"/>
  <c r="G174" i="4"/>
  <c r="G186" i="4" s="1"/>
  <c r="G204" i="4" s="1"/>
  <c r="N95" i="4" l="1"/>
  <c r="N97" i="4" s="1"/>
  <c r="K121" i="8"/>
  <c r="J128" i="8"/>
  <c r="P104" i="8"/>
  <c r="P105" i="8" s="1"/>
  <c r="O111" i="8"/>
  <c r="O152" i="8" s="1"/>
  <c r="O158" i="8" s="1"/>
  <c r="O172" i="8" s="1"/>
  <c r="U84" i="8"/>
  <c r="T88" i="8" s="1"/>
  <c r="N115" i="8"/>
  <c r="N116" i="8" s="1"/>
  <c r="N117" i="8" s="1"/>
  <c r="V76" i="8"/>
  <c r="U167" i="8"/>
  <c r="S98" i="8"/>
  <c r="S99" i="8" s="1"/>
  <c r="R98" i="8"/>
  <c r="R99" i="8" s="1"/>
  <c r="R100" i="8" s="1"/>
  <c r="L125" i="8"/>
  <c r="L143" i="8"/>
  <c r="L146" i="8" s="1"/>
  <c r="L164" i="8" s="1"/>
  <c r="I123" i="4"/>
  <c r="I124" i="4" s="1"/>
  <c r="I125" i="4"/>
  <c r="I143" i="4"/>
  <c r="I146" i="4" s="1"/>
  <c r="I164" i="4" s="1"/>
  <c r="Q77" i="4"/>
  <c r="P84" i="4"/>
  <c r="O88" i="4" s="1"/>
  <c r="L110" i="4"/>
  <c r="L109" i="4"/>
  <c r="M101" i="4"/>
  <c r="L105" i="4" s="1"/>
  <c r="K112" i="4"/>
  <c r="O92" i="4"/>
  <c r="O93" i="4"/>
  <c r="S100" i="8" l="1"/>
  <c r="P108" i="8"/>
  <c r="P142" i="8"/>
  <c r="P148" i="8" s="1"/>
  <c r="P166" i="8" s="1"/>
  <c r="N118" i="8"/>
  <c r="M122" i="8" s="1"/>
  <c r="V77" i="8"/>
  <c r="P109" i="8"/>
  <c r="P110" i="8"/>
  <c r="P106" i="8"/>
  <c r="P107" i="8" s="1"/>
  <c r="T91" i="8"/>
  <c r="T141" i="8"/>
  <c r="T147" i="8" s="1"/>
  <c r="T165" i="8" s="1"/>
  <c r="T89" i="8"/>
  <c r="T90" i="8" s="1"/>
  <c r="J153" i="8"/>
  <c r="J156" i="8" s="1"/>
  <c r="J170" i="8" s="1"/>
  <c r="J129" i="8"/>
  <c r="O112" i="8"/>
  <c r="R101" i="8"/>
  <c r="K123" i="8"/>
  <c r="K124" i="8" s="1"/>
  <c r="K127" i="8"/>
  <c r="K126" i="8"/>
  <c r="O91" i="4"/>
  <c r="O141" i="4"/>
  <c r="O147" i="4" s="1"/>
  <c r="O165" i="4" s="1"/>
  <c r="O89" i="4"/>
  <c r="O90" i="4" s="1"/>
  <c r="Q80" i="4"/>
  <c r="Q81" i="4" s="1"/>
  <c r="Q78" i="4"/>
  <c r="Q79" i="4" s="1"/>
  <c r="K114" i="4"/>
  <c r="L108" i="4"/>
  <c r="L142" i="4"/>
  <c r="L148" i="4" s="1"/>
  <c r="L166" i="4" s="1"/>
  <c r="N98" i="4"/>
  <c r="N99" i="4" s="1"/>
  <c r="N100" i="4" s="1"/>
  <c r="L106" i="4"/>
  <c r="L107" i="4" s="1"/>
  <c r="J121" i="4"/>
  <c r="I128" i="4"/>
  <c r="U87" i="8" l="1"/>
  <c r="T94" i="8"/>
  <c r="Q104" i="8"/>
  <c r="Q105" i="8" s="1"/>
  <c r="P111" i="8"/>
  <c r="P152" i="8" s="1"/>
  <c r="P158" i="8" s="1"/>
  <c r="P172" i="8" s="1"/>
  <c r="L121" i="8"/>
  <c r="K128" i="8"/>
  <c r="K153" i="8" s="1"/>
  <c r="K156" i="8" s="1"/>
  <c r="K170" i="8" s="1"/>
  <c r="O114" i="8"/>
  <c r="V80" i="8"/>
  <c r="V81" i="8" s="1"/>
  <c r="V83" i="8" s="1"/>
  <c r="V78" i="8"/>
  <c r="V79" i="8" s="1"/>
  <c r="S101" i="8"/>
  <c r="J131" i="8"/>
  <c r="M125" i="8"/>
  <c r="M143" i="8"/>
  <c r="M146" i="8" s="1"/>
  <c r="M164" i="8" s="1"/>
  <c r="N101" i="4"/>
  <c r="M105" i="4" s="1"/>
  <c r="Q83" i="4"/>
  <c r="K115" i="4"/>
  <c r="K116" i="4" s="1"/>
  <c r="K117" i="4" s="1"/>
  <c r="P87" i="4"/>
  <c r="O94" i="4"/>
  <c r="Q167" i="4"/>
  <c r="R76" i="4"/>
  <c r="J127" i="4"/>
  <c r="J126" i="4"/>
  <c r="I153" i="4"/>
  <c r="I156" i="4" s="1"/>
  <c r="I170" i="4" s="1"/>
  <c r="I129" i="4"/>
  <c r="M104" i="4"/>
  <c r="L111" i="4"/>
  <c r="L152" i="4" s="1"/>
  <c r="L158" i="4" s="1"/>
  <c r="L172" i="4" s="1"/>
  <c r="C181" i="4"/>
  <c r="C182" i="4" a="1"/>
  <c r="C182" i="4" s="1"/>
  <c r="Q108" i="8" l="1"/>
  <c r="Q142" i="8"/>
  <c r="Q148" i="8" s="1"/>
  <c r="Q166" i="8" s="1"/>
  <c r="K129" i="8"/>
  <c r="K131" i="8" s="1"/>
  <c r="K132" i="8" s="1"/>
  <c r="K133" i="8" s="1"/>
  <c r="V167" i="8"/>
  <c r="W76" i="8"/>
  <c r="V84" i="8"/>
  <c r="U88" i="8" s="1"/>
  <c r="O115" i="8"/>
  <c r="O116" i="8" s="1"/>
  <c r="O117" i="8" s="1"/>
  <c r="J132" i="8"/>
  <c r="J133" i="8" s="1"/>
  <c r="J134" i="8" s="1"/>
  <c r="J136" i="8" s="1"/>
  <c r="J161" i="8" s="1"/>
  <c r="L127" i="8"/>
  <c r="L126" i="8"/>
  <c r="L123" i="8"/>
  <c r="L124" i="8" s="1"/>
  <c r="P112" i="8"/>
  <c r="T151" i="8"/>
  <c r="T157" i="8" s="1"/>
  <c r="T171" i="8" s="1"/>
  <c r="T95" i="8"/>
  <c r="Q109" i="8"/>
  <c r="Q106" i="8"/>
  <c r="Q107" i="8" s="1"/>
  <c r="R104" i="8" s="1"/>
  <c r="R105" i="8" s="1"/>
  <c r="Q110" i="8"/>
  <c r="U92" i="8"/>
  <c r="U93" i="8"/>
  <c r="K118" i="4"/>
  <c r="J122" i="4" s="1"/>
  <c r="P92" i="4"/>
  <c r="P93" i="4"/>
  <c r="Q84" i="4"/>
  <c r="P88" i="4" s="1"/>
  <c r="P89" i="4" s="1"/>
  <c r="L112" i="4"/>
  <c r="M110" i="4"/>
  <c r="M109" i="4"/>
  <c r="M106" i="4"/>
  <c r="M107" i="4" s="1"/>
  <c r="M108" i="4"/>
  <c r="M142" i="4"/>
  <c r="M148" i="4" s="1"/>
  <c r="M166" i="4" s="1"/>
  <c r="O151" i="4"/>
  <c r="O157" i="4" s="1"/>
  <c r="O171" i="4" s="1"/>
  <c r="O95" i="4"/>
  <c r="I131" i="4"/>
  <c r="I132" i="4" s="1"/>
  <c r="I133" i="4" s="1"/>
  <c r="I134" i="4" s="1"/>
  <c r="I136" i="4" s="1"/>
  <c r="I161" i="4" s="1"/>
  <c r="R77" i="4"/>
  <c r="R108" i="8" l="1"/>
  <c r="R142" i="8"/>
  <c r="R148" i="8" s="1"/>
  <c r="R166" i="8" s="1"/>
  <c r="J185" i="8"/>
  <c r="J203" i="8" s="1"/>
  <c r="J174" i="8"/>
  <c r="J186" i="8" s="1"/>
  <c r="J204" i="8" s="1"/>
  <c r="M121" i="8"/>
  <c r="L128" i="8"/>
  <c r="L153" i="8" s="1"/>
  <c r="L156" i="8" s="1"/>
  <c r="L170" i="8" s="1"/>
  <c r="O118" i="8"/>
  <c r="N122" i="8" s="1"/>
  <c r="T97" i="8"/>
  <c r="P114" i="8"/>
  <c r="K134" i="8"/>
  <c r="K136" i="8" s="1"/>
  <c r="K161" i="8" s="1"/>
  <c r="R109" i="8"/>
  <c r="R106" i="8"/>
  <c r="R107" i="8" s="1"/>
  <c r="R110" i="8"/>
  <c r="U91" i="8"/>
  <c r="U141" i="8"/>
  <c r="U147" i="8" s="1"/>
  <c r="U165" i="8" s="1"/>
  <c r="Q111" i="8"/>
  <c r="Q152" i="8" s="1"/>
  <c r="Q158" i="8" s="1"/>
  <c r="Q172" i="8" s="1"/>
  <c r="W77" i="8"/>
  <c r="U89" i="8"/>
  <c r="U90" i="8" s="1"/>
  <c r="N104" i="4"/>
  <c r="M111" i="4"/>
  <c r="M152" i="4" s="1"/>
  <c r="M158" i="4" s="1"/>
  <c r="M172" i="4" s="1"/>
  <c r="L114" i="4"/>
  <c r="R80" i="4"/>
  <c r="R81" i="4" s="1"/>
  <c r="R83" i="4" s="1"/>
  <c r="O97" i="4"/>
  <c r="P90" i="4"/>
  <c r="I185" i="4"/>
  <c r="I203" i="4" s="1"/>
  <c r="I174" i="4"/>
  <c r="I186" i="4" s="1"/>
  <c r="I204" i="4" s="1"/>
  <c r="P91" i="4"/>
  <c r="P141" i="4"/>
  <c r="P147" i="4" s="1"/>
  <c r="P165" i="4" s="1"/>
  <c r="J125" i="4"/>
  <c r="J143" i="4"/>
  <c r="J146" i="4" s="1"/>
  <c r="J164" i="4" s="1"/>
  <c r="J123" i="4"/>
  <c r="J124" i="4" s="1"/>
  <c r="R78" i="4"/>
  <c r="R79" i="4" s="1"/>
  <c r="Q112" i="8" l="1"/>
  <c r="Q114" i="8" s="1"/>
  <c r="L129" i="8"/>
  <c r="L131" i="8" s="1"/>
  <c r="S104" i="8"/>
  <c r="R111" i="8"/>
  <c r="R152" i="8" s="1"/>
  <c r="R158" i="8" s="1"/>
  <c r="R172" i="8" s="1"/>
  <c r="M112" i="4"/>
  <c r="M114" i="4" s="1"/>
  <c r="M115" i="4" s="1"/>
  <c r="M116" i="4" s="1"/>
  <c r="T98" i="8"/>
  <c r="T99" i="8" s="1"/>
  <c r="T100" i="8" s="1"/>
  <c r="N125" i="8"/>
  <c r="N143" i="8"/>
  <c r="N146" i="8" s="1"/>
  <c r="N164" i="8" s="1"/>
  <c r="Q115" i="8"/>
  <c r="Q116" i="8" s="1"/>
  <c r="P115" i="8"/>
  <c r="P116" i="8" s="1"/>
  <c r="W80" i="8"/>
  <c r="W81" i="8" s="1"/>
  <c r="W83" i="8" s="1"/>
  <c r="M127" i="8"/>
  <c r="M126" i="8"/>
  <c r="M123" i="8"/>
  <c r="M124" i="8" s="1"/>
  <c r="N121" i="8" s="1"/>
  <c r="W78" i="8"/>
  <c r="W79" i="8" s="1"/>
  <c r="V87" i="8"/>
  <c r="U94" i="8"/>
  <c r="K185" i="8"/>
  <c r="K203" i="8" s="1"/>
  <c r="K174" i="8"/>
  <c r="K186" i="8" s="1"/>
  <c r="K204" i="8" s="1"/>
  <c r="K121" i="4"/>
  <c r="J128" i="4"/>
  <c r="R167" i="4"/>
  <c r="S76" i="4"/>
  <c r="R84" i="4"/>
  <c r="Q88" i="4" s="1"/>
  <c r="L115" i="4"/>
  <c r="L116" i="4" s="1"/>
  <c r="Q87" i="4"/>
  <c r="P94" i="4"/>
  <c r="P151" i="4" s="1"/>
  <c r="P157" i="4" s="1"/>
  <c r="P171" i="4" s="1"/>
  <c r="O98" i="4"/>
  <c r="O99" i="4" s="1"/>
  <c r="O100" i="4" s="1"/>
  <c r="N109" i="4"/>
  <c r="N110" i="4"/>
  <c r="R112" i="8" l="1"/>
  <c r="Q117" i="8"/>
  <c r="P117" i="8"/>
  <c r="P118" i="8" s="1"/>
  <c r="M128" i="8"/>
  <c r="M153" i="8" s="1"/>
  <c r="M156" i="8" s="1"/>
  <c r="M170" i="8" s="1"/>
  <c r="L132" i="8"/>
  <c r="L133" i="8" s="1"/>
  <c r="L134" i="8" s="1"/>
  <c r="L136" i="8" s="1"/>
  <c r="L161" i="8" s="1"/>
  <c r="N126" i="8"/>
  <c r="N127" i="8"/>
  <c r="N123" i="8"/>
  <c r="N124" i="8" s="1"/>
  <c r="O121" i="8" s="1"/>
  <c r="T101" i="8"/>
  <c r="S105" i="8" s="1"/>
  <c r="S106" i="8" s="1"/>
  <c r="U151" i="8"/>
  <c r="U157" i="8" s="1"/>
  <c r="U171" i="8" s="1"/>
  <c r="U95" i="8"/>
  <c r="W167" i="8"/>
  <c r="X76" i="8"/>
  <c r="V92" i="8"/>
  <c r="V93" i="8"/>
  <c r="W84" i="8"/>
  <c r="V88" i="8" s="1"/>
  <c r="V89" i="8" s="1"/>
  <c r="V90" i="8" s="1"/>
  <c r="M117" i="4"/>
  <c r="R114" i="8"/>
  <c r="S109" i="8"/>
  <c r="S110" i="8"/>
  <c r="L117" i="4"/>
  <c r="Q91" i="4"/>
  <c r="Q141" i="4"/>
  <c r="Q147" i="4" s="1"/>
  <c r="Q165" i="4" s="1"/>
  <c r="J153" i="4"/>
  <c r="J156" i="4" s="1"/>
  <c r="J170" i="4" s="1"/>
  <c r="J129" i="4"/>
  <c r="O101" i="4"/>
  <c r="N105" i="4" s="1"/>
  <c r="Q93" i="4"/>
  <c r="Q89" i="4"/>
  <c r="Q90" i="4" s="1"/>
  <c r="Q92" i="4"/>
  <c r="S77" i="4"/>
  <c r="S78" i="4" s="1"/>
  <c r="K126" i="4"/>
  <c r="K127" i="4"/>
  <c r="P95" i="4"/>
  <c r="O122" i="8" l="1"/>
  <c r="Q118" i="8"/>
  <c r="P122" i="8" s="1"/>
  <c r="P125" i="8" s="1"/>
  <c r="M129" i="8"/>
  <c r="M131" i="8" s="1"/>
  <c r="S107" i="8"/>
  <c r="T104" i="8" s="1"/>
  <c r="T109" i="8" s="1"/>
  <c r="W87" i="8"/>
  <c r="V94" i="8"/>
  <c r="V151" i="8" s="1"/>
  <c r="V157" i="8" s="1"/>
  <c r="V171" i="8" s="1"/>
  <c r="R87" i="4"/>
  <c r="R93" i="4" s="1"/>
  <c r="Q94" i="4"/>
  <c r="Q151" i="4" s="1"/>
  <c r="Q157" i="4" s="1"/>
  <c r="Q171" i="4" s="1"/>
  <c r="L185" i="8"/>
  <c r="L203" i="8" s="1"/>
  <c r="L174" i="8"/>
  <c r="L186" i="8" s="1"/>
  <c r="L204" i="8" s="1"/>
  <c r="S79" i="4"/>
  <c r="S167" i="4" s="1"/>
  <c r="V91" i="8"/>
  <c r="V141" i="8"/>
  <c r="V147" i="8" s="1"/>
  <c r="V165" i="8" s="1"/>
  <c r="O125" i="8"/>
  <c r="O143" i="8"/>
  <c r="O146" i="8" s="1"/>
  <c r="O164" i="8" s="1"/>
  <c r="X77" i="8"/>
  <c r="O126" i="8"/>
  <c r="O127" i="8"/>
  <c r="O123" i="8"/>
  <c r="O124" i="8" s="1"/>
  <c r="U97" i="8"/>
  <c r="R115" i="8"/>
  <c r="R116" i="8" s="1"/>
  <c r="R117" i="8" s="1"/>
  <c r="S108" i="8"/>
  <c r="S142" i="8"/>
  <c r="S148" i="8" s="1"/>
  <c r="S166" i="8" s="1"/>
  <c r="N128" i="8"/>
  <c r="N153" i="8" s="1"/>
  <c r="N156" i="8" s="1"/>
  <c r="N170" i="8" s="1"/>
  <c r="N108" i="4"/>
  <c r="N142" i="4"/>
  <c r="N148" i="4" s="1"/>
  <c r="N166" i="4" s="1"/>
  <c r="N106" i="4"/>
  <c r="N107" i="4" s="1"/>
  <c r="J131" i="4"/>
  <c r="L118" i="4"/>
  <c r="P97" i="4"/>
  <c r="S80" i="4"/>
  <c r="S81" i="4" s="1"/>
  <c r="S83" i="4" s="1"/>
  <c r="T110" i="8" l="1"/>
  <c r="S111" i="8"/>
  <c r="S152" i="8" s="1"/>
  <c r="S158" i="8" s="1"/>
  <c r="S172" i="8" s="1"/>
  <c r="P143" i="8"/>
  <c r="P146" i="8" s="1"/>
  <c r="P164" i="8" s="1"/>
  <c r="R92" i="4"/>
  <c r="Q95" i="4"/>
  <c r="Q97" i="4" s="1"/>
  <c r="Q98" i="4" s="1"/>
  <c r="Q99" i="4" s="1"/>
  <c r="S112" i="8"/>
  <c r="S114" i="8" s="1"/>
  <c r="T76" i="4"/>
  <c r="T77" i="4" s="1"/>
  <c r="T78" i="4" s="1"/>
  <c r="V95" i="8"/>
  <c r="V97" i="8" s="1"/>
  <c r="R118" i="8"/>
  <c r="Q122" i="8" s="1"/>
  <c r="P121" i="8"/>
  <c r="O128" i="8"/>
  <c r="O153" i="8" s="1"/>
  <c r="O156" i="8" s="1"/>
  <c r="O170" i="8" s="1"/>
  <c r="N129" i="8"/>
  <c r="U98" i="8"/>
  <c r="U99" i="8" s="1"/>
  <c r="U100" i="8" s="1"/>
  <c r="X80" i="8"/>
  <c r="X81" i="8" s="1"/>
  <c r="X83" i="8" s="1"/>
  <c r="X78" i="8"/>
  <c r="X79" i="8" s="1"/>
  <c r="W92" i="8"/>
  <c r="W93" i="8"/>
  <c r="M132" i="8"/>
  <c r="M133" i="8" s="1"/>
  <c r="M134" i="8" s="1"/>
  <c r="M136" i="8" s="1"/>
  <c r="M161" i="8" s="1"/>
  <c r="S84" i="4"/>
  <c r="R88" i="4" s="1"/>
  <c r="O104" i="4"/>
  <c r="N111" i="4"/>
  <c r="P98" i="4"/>
  <c r="P99" i="4" s="1"/>
  <c r="K122" i="4"/>
  <c r="M118" i="4"/>
  <c r="L122" i="4" s="1"/>
  <c r="J132" i="4"/>
  <c r="J133" i="4" s="1"/>
  <c r="J134" i="4" s="1"/>
  <c r="J136" i="4" s="1"/>
  <c r="J161" i="4" s="1"/>
  <c r="Q100" i="4" l="1"/>
  <c r="X84" i="8"/>
  <c r="W88" i="8" s="1"/>
  <c r="M185" i="8"/>
  <c r="M203" i="8" s="1"/>
  <c r="M174" i="8"/>
  <c r="M186" i="8" s="1"/>
  <c r="M204" i="8" s="1"/>
  <c r="N131" i="8"/>
  <c r="U101" i="8"/>
  <c r="T105" i="8" s="1"/>
  <c r="V98" i="8"/>
  <c r="V99" i="8" s="1"/>
  <c r="V100" i="8" s="1"/>
  <c r="O129" i="8"/>
  <c r="O131" i="8" s="1"/>
  <c r="P100" i="4"/>
  <c r="P101" i="4" s="1"/>
  <c r="O105" i="4" s="1"/>
  <c r="P126" i="8"/>
  <c r="P127" i="8"/>
  <c r="P123" i="8"/>
  <c r="P124" i="8" s="1"/>
  <c r="Q125" i="8"/>
  <c r="Q143" i="8"/>
  <c r="Q146" i="8" s="1"/>
  <c r="Q164" i="8" s="1"/>
  <c r="X167" i="8"/>
  <c r="Y76" i="8"/>
  <c r="S115" i="8"/>
  <c r="S116" i="8" s="1"/>
  <c r="S117" i="8" s="1"/>
  <c r="J174" i="4"/>
  <c r="J186" i="4" s="1"/>
  <c r="J204" i="4" s="1"/>
  <c r="J185" i="4"/>
  <c r="J203" i="4" s="1"/>
  <c r="K125" i="4"/>
  <c r="K143" i="4"/>
  <c r="K146" i="4" s="1"/>
  <c r="K164" i="4" s="1"/>
  <c r="K123" i="4"/>
  <c r="K124" i="4" s="1"/>
  <c r="T80" i="4"/>
  <c r="T81" i="4" s="1"/>
  <c r="T83" i="4" s="1"/>
  <c r="T79" i="4"/>
  <c r="R91" i="4"/>
  <c r="R141" i="4"/>
  <c r="R147" i="4" s="1"/>
  <c r="R165" i="4" s="1"/>
  <c r="R89" i="4"/>
  <c r="R90" i="4" s="1"/>
  <c r="L125" i="4"/>
  <c r="L143" i="4"/>
  <c r="L146" i="4" s="1"/>
  <c r="L164" i="4" s="1"/>
  <c r="N152" i="4"/>
  <c r="N158" i="4" s="1"/>
  <c r="N172" i="4" s="1"/>
  <c r="N112" i="4"/>
  <c r="O110" i="4"/>
  <c r="O109" i="4"/>
  <c r="Q121" i="8" l="1"/>
  <c r="P128" i="8"/>
  <c r="P153" i="8" s="1"/>
  <c r="P156" i="8" s="1"/>
  <c r="P170" i="8" s="1"/>
  <c r="V101" i="8"/>
  <c r="T108" i="8"/>
  <c r="T142" i="8"/>
  <c r="T148" i="8" s="1"/>
  <c r="T166" i="8" s="1"/>
  <c r="T106" i="8"/>
  <c r="T107" i="8" s="1"/>
  <c r="O132" i="8"/>
  <c r="O133" i="8" s="1"/>
  <c r="N132" i="8"/>
  <c r="N133" i="8" s="1"/>
  <c r="P129" i="8"/>
  <c r="S118" i="8"/>
  <c r="R122" i="8" s="1"/>
  <c r="W91" i="8"/>
  <c r="W141" i="8"/>
  <c r="W147" i="8" s="1"/>
  <c r="W165" i="8" s="1"/>
  <c r="W89" i="8"/>
  <c r="W90" i="8" s="1"/>
  <c r="Y77" i="8"/>
  <c r="Y78" i="8" s="1"/>
  <c r="Y79" i="8" s="1"/>
  <c r="S87" i="4"/>
  <c r="R94" i="4"/>
  <c r="R151" i="4" s="1"/>
  <c r="R157" i="4" s="1"/>
  <c r="R171" i="4" s="1"/>
  <c r="T84" i="4"/>
  <c r="S88" i="4" s="1"/>
  <c r="L121" i="4"/>
  <c r="K128" i="4"/>
  <c r="O108" i="4"/>
  <c r="O142" i="4"/>
  <c r="O148" i="4" s="1"/>
  <c r="O166" i="4" s="1"/>
  <c r="N114" i="4"/>
  <c r="Q101" i="4"/>
  <c r="P105" i="4" s="1"/>
  <c r="O106" i="4"/>
  <c r="O107" i="4" s="1"/>
  <c r="T167" i="4"/>
  <c r="U76" i="4"/>
  <c r="O134" i="8" l="1"/>
  <c r="O136" i="8" s="1"/>
  <c r="O161" i="8" s="1"/>
  <c r="R95" i="4"/>
  <c r="N134" i="8"/>
  <c r="N136" i="8" s="1"/>
  <c r="N161" i="8" s="1"/>
  <c r="N185" i="8" s="1"/>
  <c r="N203" i="8" s="1"/>
  <c r="U104" i="8"/>
  <c r="U105" i="8" s="1"/>
  <c r="T111" i="8"/>
  <c r="T152" i="8" s="1"/>
  <c r="T158" i="8" s="1"/>
  <c r="T172" i="8" s="1"/>
  <c r="Y167" i="8"/>
  <c r="Z76" i="8"/>
  <c r="X87" i="8"/>
  <c r="W94" i="8"/>
  <c r="W151" i="8" s="1"/>
  <c r="W157" i="8" s="1"/>
  <c r="W171" i="8" s="1"/>
  <c r="O174" i="8"/>
  <c r="O186" i="8" s="1"/>
  <c r="O204" i="8" s="1"/>
  <c r="O185" i="8"/>
  <c r="O203" i="8" s="1"/>
  <c r="R125" i="8"/>
  <c r="R143" i="8"/>
  <c r="R146" i="8" s="1"/>
  <c r="R164" i="8" s="1"/>
  <c r="P131" i="8"/>
  <c r="Y80" i="8"/>
  <c r="Y81" i="8" s="1"/>
  <c r="Y83" i="8" s="1"/>
  <c r="Q126" i="8"/>
  <c r="Q127" i="8"/>
  <c r="Q123" i="8"/>
  <c r="Q124" i="8" s="1"/>
  <c r="P104" i="4"/>
  <c r="O111" i="4"/>
  <c r="N115" i="4"/>
  <c r="N116" i="4" s="1"/>
  <c r="N117" i="4" s="1"/>
  <c r="K153" i="4"/>
  <c r="K156" i="4" s="1"/>
  <c r="K170" i="4" s="1"/>
  <c r="K129" i="4"/>
  <c r="L126" i="4"/>
  <c r="L123" i="4"/>
  <c r="L124" i="4" s="1"/>
  <c r="M121" i="4" s="1"/>
  <c r="L127" i="4"/>
  <c r="U77" i="4"/>
  <c r="P108" i="4"/>
  <c r="P142" i="4"/>
  <c r="P148" i="4" s="1"/>
  <c r="P166" i="4" s="1"/>
  <c r="R97" i="4"/>
  <c r="S91" i="4"/>
  <c r="S141" i="4"/>
  <c r="S147" i="4" s="1"/>
  <c r="S165" i="4" s="1"/>
  <c r="S89" i="4"/>
  <c r="S90" i="4" s="1"/>
  <c r="T87" i="4" s="1"/>
  <c r="S92" i="4"/>
  <c r="S93" i="4"/>
  <c r="T112" i="8" l="1"/>
  <c r="N174" i="8"/>
  <c r="N186" i="8" s="1"/>
  <c r="N204" i="8" s="1"/>
  <c r="W95" i="8"/>
  <c r="U108" i="8"/>
  <c r="U142" i="8"/>
  <c r="U148" i="8" s="1"/>
  <c r="U166" i="8" s="1"/>
  <c r="R121" i="8"/>
  <c r="Q128" i="8"/>
  <c r="Q153" i="8" s="1"/>
  <c r="Q156" i="8" s="1"/>
  <c r="Q170" i="8" s="1"/>
  <c r="Y84" i="8"/>
  <c r="X88" i="8" s="1"/>
  <c r="X89" i="8" s="1"/>
  <c r="W97" i="8"/>
  <c r="X93" i="8"/>
  <c r="X92" i="8"/>
  <c r="T114" i="8"/>
  <c r="Z77" i="8"/>
  <c r="P132" i="8"/>
  <c r="P133" i="8" s="1"/>
  <c r="P134" i="8" s="1"/>
  <c r="P136" i="8" s="1"/>
  <c r="P161" i="8" s="1"/>
  <c r="L128" i="4"/>
  <c r="L153" i="4" s="1"/>
  <c r="L156" i="4" s="1"/>
  <c r="L170" i="4" s="1"/>
  <c r="U110" i="8"/>
  <c r="U109" i="8"/>
  <c r="U106" i="8"/>
  <c r="U107" i="8" s="1"/>
  <c r="N118" i="4"/>
  <c r="M122" i="4" s="1"/>
  <c r="M123" i="4" s="1"/>
  <c r="S94" i="4"/>
  <c r="M127" i="4"/>
  <c r="M126" i="4"/>
  <c r="U80" i="4"/>
  <c r="U81" i="4" s="1"/>
  <c r="U83" i="4" s="1"/>
  <c r="U78" i="4"/>
  <c r="U79" i="4" s="1"/>
  <c r="O152" i="4"/>
  <c r="O158" i="4" s="1"/>
  <c r="O172" i="4" s="1"/>
  <c r="O112" i="4"/>
  <c r="T92" i="4"/>
  <c r="T93" i="4"/>
  <c r="R98" i="4"/>
  <c r="R99" i="4" s="1"/>
  <c r="R100" i="4" s="1"/>
  <c r="K131" i="4"/>
  <c r="P110" i="4"/>
  <c r="P109" i="4"/>
  <c r="P106" i="4"/>
  <c r="P107" i="4" s="1"/>
  <c r="X90" i="8" l="1"/>
  <c r="Q129" i="8"/>
  <c r="Q131" i="8" s="1"/>
  <c r="L129" i="4"/>
  <c r="L131" i="4" s="1"/>
  <c r="L132" i="4" s="1"/>
  <c r="L133" i="4" s="1"/>
  <c r="V104" i="8"/>
  <c r="U111" i="8"/>
  <c r="U152" i="8" s="1"/>
  <c r="U158" i="8" s="1"/>
  <c r="U172" i="8" s="1"/>
  <c r="P174" i="8"/>
  <c r="P186" i="8" s="1"/>
  <c r="P204" i="8" s="1"/>
  <c r="P185" i="8"/>
  <c r="P203" i="8" s="1"/>
  <c r="M124" i="4"/>
  <c r="Z80" i="8"/>
  <c r="Z81" i="8" s="1"/>
  <c r="Z83" i="8" s="1"/>
  <c r="W98" i="8"/>
  <c r="W99" i="8" s="1"/>
  <c r="W100" i="8" s="1"/>
  <c r="Z78" i="8"/>
  <c r="Z79" i="8" s="1"/>
  <c r="X91" i="8"/>
  <c r="X141" i="8"/>
  <c r="X147" i="8" s="1"/>
  <c r="X165" i="8" s="1"/>
  <c r="T115" i="8"/>
  <c r="T116" i="8" s="1"/>
  <c r="T117" i="8" s="1"/>
  <c r="R126" i="8"/>
  <c r="R127" i="8"/>
  <c r="R123" i="8"/>
  <c r="R124" i="8" s="1"/>
  <c r="S121" i="8" s="1"/>
  <c r="U167" i="4"/>
  <c r="V76" i="4"/>
  <c r="Q104" i="4"/>
  <c r="P111" i="4"/>
  <c r="P152" i="4" s="1"/>
  <c r="P158" i="4" s="1"/>
  <c r="P172" i="4" s="1"/>
  <c r="R101" i="4"/>
  <c r="Q105" i="4" s="1"/>
  <c r="U84" i="4"/>
  <c r="T88" i="4" s="1"/>
  <c r="S151" i="4"/>
  <c r="S157" i="4" s="1"/>
  <c r="S171" i="4" s="1"/>
  <c r="S95" i="4"/>
  <c r="K132" i="4"/>
  <c r="K133" i="4" s="1"/>
  <c r="K134" i="4" s="1"/>
  <c r="K136" i="4" s="1"/>
  <c r="K161" i="4" s="1"/>
  <c r="O114" i="4"/>
  <c r="M125" i="4"/>
  <c r="M143" i="4"/>
  <c r="M146" i="4" s="1"/>
  <c r="M164" i="4" s="1"/>
  <c r="L134" i="4" l="1"/>
  <c r="L136" i="4" s="1"/>
  <c r="L161" i="4" s="1"/>
  <c r="R128" i="8"/>
  <c r="R153" i="8" s="1"/>
  <c r="R156" i="8" s="1"/>
  <c r="R170" i="8" s="1"/>
  <c r="U112" i="8"/>
  <c r="U114" i="8" s="1"/>
  <c r="Y87" i="8"/>
  <c r="X94" i="8"/>
  <c r="X151" i="8" s="1"/>
  <c r="X157" i="8" s="1"/>
  <c r="X171" i="8" s="1"/>
  <c r="W101" i="8"/>
  <c r="V105" i="8" s="1"/>
  <c r="V106" i="8" s="1"/>
  <c r="V107" i="8" s="1"/>
  <c r="Z84" i="8"/>
  <c r="T118" i="8"/>
  <c r="S122" i="8" s="1"/>
  <c r="N121" i="4"/>
  <c r="M128" i="4"/>
  <c r="M153" i="4" s="1"/>
  <c r="M156" i="4" s="1"/>
  <c r="M170" i="4" s="1"/>
  <c r="Q132" i="8"/>
  <c r="Q133" i="8" s="1"/>
  <c r="Q134" i="8" s="1"/>
  <c r="Q136" i="8" s="1"/>
  <c r="Q161" i="8" s="1"/>
  <c r="S127" i="8"/>
  <c r="S126" i="8"/>
  <c r="Z167" i="8"/>
  <c r="AA76" i="8"/>
  <c r="V110" i="8"/>
  <c r="V109" i="8"/>
  <c r="K174" i="4"/>
  <c r="K186" i="4" s="1"/>
  <c r="K204" i="4" s="1"/>
  <c r="K185" i="4"/>
  <c r="K203" i="4" s="1"/>
  <c r="O115" i="4"/>
  <c r="O116" i="4" s="1"/>
  <c r="O117" i="4" s="1"/>
  <c r="T91" i="4"/>
  <c r="T141" i="4"/>
  <c r="T147" i="4" s="1"/>
  <c r="T165" i="4" s="1"/>
  <c r="T89" i="4"/>
  <c r="T90" i="4" s="1"/>
  <c r="Q108" i="4"/>
  <c r="Q142" i="4"/>
  <c r="Q148" i="4" s="1"/>
  <c r="Q166" i="4" s="1"/>
  <c r="P112" i="4"/>
  <c r="S97" i="4"/>
  <c r="Q106" i="4"/>
  <c r="Q107" i="4" s="1"/>
  <c r="Q110" i="4"/>
  <c r="Q109" i="4"/>
  <c r="V77" i="4"/>
  <c r="L174" i="4"/>
  <c r="L186" i="4" s="1"/>
  <c r="L204" i="4" s="1"/>
  <c r="L185" i="4"/>
  <c r="L203" i="4" s="1"/>
  <c r="R129" i="8" l="1"/>
  <c r="Y88" i="8"/>
  <c r="Y141" i="8" s="1"/>
  <c r="Y147" i="8" s="1"/>
  <c r="Y165" i="8" s="1"/>
  <c r="Y92" i="8"/>
  <c r="Y93" i="8"/>
  <c r="X95" i="8"/>
  <c r="X97" i="8" s="1"/>
  <c r="X98" i="8" s="1"/>
  <c r="X99" i="8" s="1"/>
  <c r="X100" i="8" s="1"/>
  <c r="W104" i="8"/>
  <c r="V111" i="8"/>
  <c r="V152" i="8" s="1"/>
  <c r="V158" i="8" s="1"/>
  <c r="V172" i="8" s="1"/>
  <c r="Q174" i="8"/>
  <c r="Q186" i="8" s="1"/>
  <c r="Q204" i="8" s="1"/>
  <c r="Q185" i="8"/>
  <c r="Q203" i="8" s="1"/>
  <c r="R131" i="8"/>
  <c r="M129" i="4"/>
  <c r="M131" i="4" s="1"/>
  <c r="M132" i="4" s="1"/>
  <c r="M133" i="4" s="1"/>
  <c r="M134" i="4" s="1"/>
  <c r="M136" i="4" s="1"/>
  <c r="M161" i="4" s="1"/>
  <c r="S125" i="8"/>
  <c r="S143" i="8"/>
  <c r="S146" i="8" s="1"/>
  <c r="S164" i="8" s="1"/>
  <c r="Y91" i="8"/>
  <c r="Y89" i="8"/>
  <c r="Y90" i="8" s="1"/>
  <c r="N127" i="4"/>
  <c r="N126" i="4"/>
  <c r="AA77" i="8"/>
  <c r="AA78" i="8" s="1"/>
  <c r="AA79" i="8" s="1"/>
  <c r="U115" i="8"/>
  <c r="U116" i="8" s="1"/>
  <c r="U117" i="8" s="1"/>
  <c r="S123" i="8"/>
  <c r="S124" i="8" s="1"/>
  <c r="V108" i="8"/>
  <c r="V142" i="8"/>
  <c r="V148" i="8" s="1"/>
  <c r="V166" i="8" s="1"/>
  <c r="O118" i="4"/>
  <c r="N122" i="4" s="1"/>
  <c r="R104" i="4"/>
  <c r="Q111" i="4"/>
  <c r="Q152" i="4" s="1"/>
  <c r="Q158" i="4" s="1"/>
  <c r="Q172" i="4" s="1"/>
  <c r="V80" i="4"/>
  <c r="V81" i="4" s="1"/>
  <c r="V83" i="4" s="1"/>
  <c r="V78" i="4"/>
  <c r="V79" i="4" s="1"/>
  <c r="U87" i="4"/>
  <c r="T94" i="4"/>
  <c r="P114" i="4"/>
  <c r="S98" i="4"/>
  <c r="S99" i="4" s="1"/>
  <c r="S100" i="4" s="1"/>
  <c r="V112" i="8" l="1"/>
  <c r="Z87" i="8"/>
  <c r="Y94" i="8"/>
  <c r="Y151" i="8" s="1"/>
  <c r="Y157" i="8" s="1"/>
  <c r="Y171" i="8" s="1"/>
  <c r="T121" i="8"/>
  <c r="S128" i="8"/>
  <c r="S153" i="8" s="1"/>
  <c r="S156" i="8" s="1"/>
  <c r="S170" i="8" s="1"/>
  <c r="U118" i="8"/>
  <c r="T122" i="8" s="1"/>
  <c r="AA167" i="8"/>
  <c r="AB76" i="8"/>
  <c r="R132" i="8"/>
  <c r="R133" i="8" s="1"/>
  <c r="R134" i="8" s="1"/>
  <c r="R136" i="8" s="1"/>
  <c r="R161" i="8" s="1"/>
  <c r="V114" i="8"/>
  <c r="AA80" i="8"/>
  <c r="AA81" i="8" s="1"/>
  <c r="AA83" i="8" s="1"/>
  <c r="X101" i="8"/>
  <c r="W105" i="8" s="1"/>
  <c r="W106" i="8" s="1"/>
  <c r="W107" i="8" s="1"/>
  <c r="W110" i="8"/>
  <c r="W109" i="8"/>
  <c r="M185" i="4"/>
  <c r="M203" i="4" s="1"/>
  <c r="M174" i="4"/>
  <c r="M186" i="4" s="1"/>
  <c r="M204" i="4" s="1"/>
  <c r="V167" i="4"/>
  <c r="W76" i="4"/>
  <c r="S101" i="4"/>
  <c r="R105" i="4" s="1"/>
  <c r="R106" i="4" s="1"/>
  <c r="R107" i="4" s="1"/>
  <c r="U92" i="4"/>
  <c r="U93" i="4"/>
  <c r="T151" i="4"/>
  <c r="T157" i="4" s="1"/>
  <c r="T171" i="4" s="1"/>
  <c r="T95" i="4"/>
  <c r="V84" i="4"/>
  <c r="U88" i="4" s="1"/>
  <c r="U89" i="4" s="1"/>
  <c r="U90" i="4" s="1"/>
  <c r="N125" i="4"/>
  <c r="N143" i="4"/>
  <c r="N146" i="4" s="1"/>
  <c r="N164" i="4" s="1"/>
  <c r="N123" i="4"/>
  <c r="N124" i="4" s="1"/>
  <c r="R110" i="4"/>
  <c r="R109" i="4"/>
  <c r="P115" i="4"/>
  <c r="P116" i="4" s="1"/>
  <c r="P117" i="4" s="1"/>
  <c r="Q112" i="4"/>
  <c r="Y95" i="8" l="1"/>
  <c r="R174" i="8"/>
  <c r="R186" i="8" s="1"/>
  <c r="R204" i="8" s="1"/>
  <c r="R185" i="8"/>
  <c r="R203" i="8" s="1"/>
  <c r="X104" i="8"/>
  <c r="W111" i="8"/>
  <c r="W152" i="8" s="1"/>
  <c r="W158" i="8" s="1"/>
  <c r="W172" i="8" s="1"/>
  <c r="AB77" i="8"/>
  <c r="AB78" i="8" s="1"/>
  <c r="AB79" i="8" s="1"/>
  <c r="T123" i="8"/>
  <c r="T124" i="8" s="1"/>
  <c r="U121" i="8" s="1"/>
  <c r="T127" i="8"/>
  <c r="T126" i="8"/>
  <c r="Y97" i="8"/>
  <c r="S129" i="8"/>
  <c r="V115" i="8"/>
  <c r="V116" i="8" s="1"/>
  <c r="V117" i="8" s="1"/>
  <c r="T125" i="8"/>
  <c r="T143" i="8"/>
  <c r="T146" i="8" s="1"/>
  <c r="T164" i="8" s="1"/>
  <c r="W108" i="8"/>
  <c r="W142" i="8"/>
  <c r="W148" i="8" s="1"/>
  <c r="W166" i="8" s="1"/>
  <c r="AA84" i="8"/>
  <c r="Z88" i="8" s="1"/>
  <c r="Z89" i="8" s="1"/>
  <c r="Z92" i="8"/>
  <c r="Z93" i="8"/>
  <c r="P118" i="4"/>
  <c r="O122" i="4" s="1"/>
  <c r="V87" i="4"/>
  <c r="U94" i="4"/>
  <c r="U151" i="4" s="1"/>
  <c r="U157" i="4" s="1"/>
  <c r="U171" i="4" s="1"/>
  <c r="S104" i="4"/>
  <c r="R111" i="4"/>
  <c r="R152" i="4" s="1"/>
  <c r="R158" i="4" s="1"/>
  <c r="R172" i="4" s="1"/>
  <c r="O121" i="4"/>
  <c r="N128" i="4"/>
  <c r="N153" i="4" s="1"/>
  <c r="N156" i="4" s="1"/>
  <c r="N170" i="4" s="1"/>
  <c r="R108" i="4"/>
  <c r="R142" i="4"/>
  <c r="R148" i="4" s="1"/>
  <c r="R166" i="4" s="1"/>
  <c r="Q114" i="4"/>
  <c r="W77" i="4"/>
  <c r="U91" i="4"/>
  <c r="U141" i="4"/>
  <c r="U147" i="4" s="1"/>
  <c r="U165" i="4" s="1"/>
  <c r="T97" i="4"/>
  <c r="W112" i="8" l="1"/>
  <c r="T128" i="8"/>
  <c r="T153" i="8" s="1"/>
  <c r="T156" i="8" s="1"/>
  <c r="T170" i="8" s="1"/>
  <c r="AB167" i="8"/>
  <c r="AC76" i="8"/>
  <c r="W114" i="8"/>
  <c r="V118" i="8"/>
  <c r="U122" i="8" s="1"/>
  <c r="U123" i="8" s="1"/>
  <c r="U95" i="4"/>
  <c r="U97" i="4" s="1"/>
  <c r="Z90" i="8"/>
  <c r="U126" i="8"/>
  <c r="U127" i="8"/>
  <c r="AB80" i="8"/>
  <c r="AB81" i="8" s="1"/>
  <c r="AB83" i="8" s="1"/>
  <c r="S131" i="8"/>
  <c r="X109" i="8"/>
  <c r="X110" i="8"/>
  <c r="Z91" i="8"/>
  <c r="Z141" i="8"/>
  <c r="Z147" i="8" s="1"/>
  <c r="Z165" i="8" s="1"/>
  <c r="R112" i="4"/>
  <c r="R114" i="4" s="1"/>
  <c r="Y98" i="8"/>
  <c r="Y99" i="8" s="1"/>
  <c r="Y100" i="8" s="1"/>
  <c r="T98" i="4"/>
  <c r="T99" i="4" s="1"/>
  <c r="T100" i="4" s="1"/>
  <c r="O127" i="4"/>
  <c r="O123" i="4"/>
  <c r="O124" i="4" s="1"/>
  <c r="O126" i="4"/>
  <c r="S110" i="4"/>
  <c r="S109" i="4"/>
  <c r="W80" i="4"/>
  <c r="W81" i="4" s="1"/>
  <c r="W83" i="4" s="1"/>
  <c r="W78" i="4"/>
  <c r="W79" i="4" s="1"/>
  <c r="V92" i="4"/>
  <c r="V93" i="4"/>
  <c r="N129" i="4"/>
  <c r="Q115" i="4"/>
  <c r="Q116" i="4" s="1"/>
  <c r="Q117" i="4" s="1"/>
  <c r="O125" i="4"/>
  <c r="O143" i="4"/>
  <c r="O146" i="4" s="1"/>
  <c r="O164" i="4" s="1"/>
  <c r="T129" i="8" l="1"/>
  <c r="T131" i="8" s="1"/>
  <c r="Y101" i="8"/>
  <c r="X105" i="8" s="1"/>
  <c r="AA87" i="8"/>
  <c r="Z94" i="8"/>
  <c r="T132" i="8"/>
  <c r="T133" i="8" s="1"/>
  <c r="AB84" i="8"/>
  <c r="W115" i="8"/>
  <c r="W116" i="8" s="1"/>
  <c r="W117" i="8" s="1"/>
  <c r="AC77" i="8"/>
  <c r="AC78" i="8" s="1"/>
  <c r="U125" i="8"/>
  <c r="U143" i="8"/>
  <c r="U146" i="8" s="1"/>
  <c r="U164" i="8" s="1"/>
  <c r="S132" i="8"/>
  <c r="S133" i="8" s="1"/>
  <c r="U124" i="8"/>
  <c r="Q118" i="4"/>
  <c r="P122" i="4" s="1"/>
  <c r="P121" i="4"/>
  <c r="O128" i="4"/>
  <c r="O153" i="4" s="1"/>
  <c r="O156" i="4" s="1"/>
  <c r="O170" i="4" s="1"/>
  <c r="W84" i="4"/>
  <c r="V88" i="4" s="1"/>
  <c r="W167" i="4"/>
  <c r="X76" i="4"/>
  <c r="T101" i="4"/>
  <c r="S105" i="4" s="1"/>
  <c r="R115" i="4"/>
  <c r="R116" i="4" s="1"/>
  <c r="R117" i="4" s="1"/>
  <c r="U98" i="4"/>
  <c r="U99" i="4" s="1"/>
  <c r="U100" i="4" s="1"/>
  <c r="N131" i="4"/>
  <c r="T134" i="8" l="1"/>
  <c r="T136" i="8" s="1"/>
  <c r="T161" i="8" s="1"/>
  <c r="O129" i="4"/>
  <c r="AA88" i="8"/>
  <c r="AA89" i="8" s="1"/>
  <c r="S134" i="8"/>
  <c r="S136" i="8" s="1"/>
  <c r="S161" i="8" s="1"/>
  <c r="S174" i="8" s="1"/>
  <c r="S186" i="8" s="1"/>
  <c r="S204" i="8" s="1"/>
  <c r="T185" i="8"/>
  <c r="T203" i="8" s="1"/>
  <c r="T174" i="8"/>
  <c r="T186" i="8" s="1"/>
  <c r="T204" i="8" s="1"/>
  <c r="AC80" i="8"/>
  <c r="AC81" i="8" s="1"/>
  <c r="AC83" i="8" s="1"/>
  <c r="W118" i="8"/>
  <c r="V122" i="8" s="1"/>
  <c r="V121" i="8"/>
  <c r="U128" i="8"/>
  <c r="S185" i="8"/>
  <c r="S203" i="8" s="1"/>
  <c r="AA92" i="8"/>
  <c r="AA93" i="8"/>
  <c r="Z151" i="8"/>
  <c r="Z157" i="8" s="1"/>
  <c r="Z171" i="8" s="1"/>
  <c r="Z95" i="8"/>
  <c r="AC79" i="8"/>
  <c r="X108" i="8"/>
  <c r="X142" i="8"/>
  <c r="X148" i="8" s="1"/>
  <c r="X166" i="8" s="1"/>
  <c r="X106" i="8"/>
  <c r="X107" i="8" s="1"/>
  <c r="U101" i="4"/>
  <c r="T105" i="4" s="1"/>
  <c r="R118" i="4"/>
  <c r="Q122" i="4" s="1"/>
  <c r="S108" i="4"/>
  <c r="S142" i="4"/>
  <c r="S148" i="4" s="1"/>
  <c r="S166" i="4" s="1"/>
  <c r="S106" i="4"/>
  <c r="S107" i="4" s="1"/>
  <c r="X77" i="4"/>
  <c r="O131" i="4"/>
  <c r="V91" i="4"/>
  <c r="V141" i="4"/>
  <c r="V147" i="4" s="1"/>
  <c r="V165" i="4" s="1"/>
  <c r="V89" i="4"/>
  <c r="V90" i="4" s="1"/>
  <c r="N132" i="4"/>
  <c r="N133" i="4" s="1"/>
  <c r="N134" i="4" s="1"/>
  <c r="N136" i="4" s="1"/>
  <c r="N161" i="4" s="1"/>
  <c r="P123" i="4"/>
  <c r="P124" i="4" s="1"/>
  <c r="Q121" i="4" s="1"/>
  <c r="P127" i="4"/>
  <c r="P126" i="4"/>
  <c r="P125" i="4"/>
  <c r="P143" i="4"/>
  <c r="P146" i="4" s="1"/>
  <c r="P164" i="4" s="1"/>
  <c r="AA141" i="8" l="1"/>
  <c r="AA147" i="8" s="1"/>
  <c r="AA165" i="8" s="1"/>
  <c r="AA91" i="8"/>
  <c r="AA90" i="8"/>
  <c r="AB87" i="8" s="1"/>
  <c r="AB93" i="8" s="1"/>
  <c r="U153" i="8"/>
  <c r="U156" i="8" s="1"/>
  <c r="U170" i="8" s="1"/>
  <c r="U129" i="8"/>
  <c r="V125" i="8"/>
  <c r="V143" i="8"/>
  <c r="V146" i="8" s="1"/>
  <c r="V164" i="8" s="1"/>
  <c r="V123" i="8"/>
  <c r="V124" i="8" s="1"/>
  <c r="W121" i="8" s="1"/>
  <c r="V127" i="8"/>
  <c r="V126" i="8"/>
  <c r="AC167" i="8"/>
  <c r="AD76" i="8"/>
  <c r="AC84" i="8"/>
  <c r="Z97" i="8"/>
  <c r="Y104" i="8"/>
  <c r="X111" i="8"/>
  <c r="X152" i="8" s="1"/>
  <c r="X158" i="8" s="1"/>
  <c r="X172" i="8" s="1"/>
  <c r="N185" i="4"/>
  <c r="N203" i="4" s="1"/>
  <c r="N174" i="4"/>
  <c r="N186" i="4" s="1"/>
  <c r="N204" i="4" s="1"/>
  <c r="P128" i="4"/>
  <c r="X80" i="4"/>
  <c r="X81" i="4" s="1"/>
  <c r="X83" i="4" s="1"/>
  <c r="Q125" i="4"/>
  <c r="Q143" i="4"/>
  <c r="Q146" i="4" s="1"/>
  <c r="Q164" i="4" s="1"/>
  <c r="T104" i="4"/>
  <c r="S111" i="4"/>
  <c r="S152" i="4" s="1"/>
  <c r="S158" i="4" s="1"/>
  <c r="S172" i="4" s="1"/>
  <c r="O132" i="4"/>
  <c r="O133" i="4" s="1"/>
  <c r="O134" i="4" s="1"/>
  <c r="O136" i="4" s="1"/>
  <c r="O161" i="4" s="1"/>
  <c r="T108" i="4"/>
  <c r="T142" i="4"/>
  <c r="T148" i="4" s="1"/>
  <c r="T166" i="4" s="1"/>
  <c r="Q127" i="4"/>
  <c r="Q123" i="4"/>
  <c r="Q124" i="4" s="1"/>
  <c r="Q126" i="4"/>
  <c r="W87" i="4"/>
  <c r="V94" i="4"/>
  <c r="X78" i="4"/>
  <c r="X79" i="4" s="1"/>
  <c r="AB92" i="8" l="1"/>
  <c r="AB88" i="8"/>
  <c r="AB91" i="8" s="1"/>
  <c r="AA94" i="8"/>
  <c r="AA151" i="8" s="1"/>
  <c r="AA157" i="8" s="1"/>
  <c r="AA171" i="8" s="1"/>
  <c r="V128" i="8"/>
  <c r="V153" i="8" s="1"/>
  <c r="V156" i="8" s="1"/>
  <c r="V170" i="8" s="1"/>
  <c r="Z98" i="8"/>
  <c r="Z99" i="8" s="1"/>
  <c r="Z100" i="8" s="1"/>
  <c r="W126" i="8"/>
  <c r="W127" i="8"/>
  <c r="U131" i="8"/>
  <c r="Y110" i="8"/>
  <c r="Y109" i="8"/>
  <c r="AD77" i="8"/>
  <c r="AD78" i="8" s="1"/>
  <c r="AB89" i="8"/>
  <c r="AB90" i="8" s="1"/>
  <c r="X112" i="8"/>
  <c r="O185" i="4"/>
  <c r="O203" i="4" s="1"/>
  <c r="O174" i="4"/>
  <c r="O186" i="4" s="1"/>
  <c r="O204" i="4" s="1"/>
  <c r="X84" i="4"/>
  <c r="W88" i="4" s="1"/>
  <c r="W89" i="4" s="1"/>
  <c r="W90" i="4" s="1"/>
  <c r="R121" i="4"/>
  <c r="Q128" i="4"/>
  <c r="Q153" i="4" s="1"/>
  <c r="Q156" i="4" s="1"/>
  <c r="Q170" i="4" s="1"/>
  <c r="W93" i="4"/>
  <c r="W92" i="4"/>
  <c r="X167" i="4"/>
  <c r="Y76" i="4"/>
  <c r="V151" i="4"/>
  <c r="V157" i="4" s="1"/>
  <c r="V171" i="4" s="1"/>
  <c r="V95" i="4"/>
  <c r="T110" i="4"/>
  <c r="T109" i="4"/>
  <c r="T106" i="4"/>
  <c r="T107" i="4" s="1"/>
  <c r="P153" i="4"/>
  <c r="P156" i="4" s="1"/>
  <c r="P170" i="4" s="1"/>
  <c r="P129" i="4"/>
  <c r="S112" i="4"/>
  <c r="AB141" i="8" l="1"/>
  <c r="AB147" i="8" s="1"/>
  <c r="AB165" i="8" s="1"/>
  <c r="AA95" i="8"/>
  <c r="AD79" i="8"/>
  <c r="AD167" i="8" s="1"/>
  <c r="V129" i="8"/>
  <c r="V131" i="8" s="1"/>
  <c r="V132" i="8" s="1"/>
  <c r="V133" i="8" s="1"/>
  <c r="U132" i="8"/>
  <c r="U133" i="8" s="1"/>
  <c r="X114" i="8"/>
  <c r="AC87" i="8"/>
  <c r="AB94" i="8"/>
  <c r="AB151" i="8" s="1"/>
  <c r="AB157" i="8" s="1"/>
  <c r="AB171" i="8" s="1"/>
  <c r="AA97" i="8"/>
  <c r="AD80" i="8"/>
  <c r="AD81" i="8" s="1"/>
  <c r="AD83" i="8" s="1"/>
  <c r="Z101" i="8"/>
  <c r="Y105" i="8" s="1"/>
  <c r="X87" i="4"/>
  <c r="W94" i="4"/>
  <c r="W151" i="4" s="1"/>
  <c r="W157" i="4" s="1"/>
  <c r="W171" i="4" s="1"/>
  <c r="U104" i="4"/>
  <c r="T111" i="4"/>
  <c r="T152" i="4" s="1"/>
  <c r="T158" i="4" s="1"/>
  <c r="T172" i="4" s="1"/>
  <c r="P131" i="4"/>
  <c r="W91" i="4"/>
  <c r="W141" i="4"/>
  <c r="W147" i="4" s="1"/>
  <c r="W165" i="4" s="1"/>
  <c r="Y77" i="4"/>
  <c r="R127" i="4"/>
  <c r="R126" i="4"/>
  <c r="V97" i="4"/>
  <c r="Q129" i="4"/>
  <c r="S114" i="4"/>
  <c r="AE76" i="8" l="1"/>
  <c r="W95" i="4"/>
  <c r="V134" i="8"/>
  <c r="V136" i="8" s="1"/>
  <c r="V161" i="8" s="1"/>
  <c r="V174" i="8" s="1"/>
  <c r="V186" i="8" s="1"/>
  <c r="V204" i="8" s="1"/>
  <c r="AC93" i="8"/>
  <c r="AC92" i="8"/>
  <c r="Y108" i="8"/>
  <c r="Y142" i="8"/>
  <c r="Y148" i="8" s="1"/>
  <c r="Y166" i="8" s="1"/>
  <c r="Y106" i="8"/>
  <c r="Y107" i="8" s="1"/>
  <c r="AA98" i="8"/>
  <c r="AA99" i="8" s="1"/>
  <c r="AA100" i="8" s="1"/>
  <c r="X115" i="8"/>
  <c r="X116" i="8" s="1"/>
  <c r="X117" i="8" s="1"/>
  <c r="U134" i="8"/>
  <c r="U136" i="8" s="1"/>
  <c r="U161" i="8" s="1"/>
  <c r="AE77" i="8"/>
  <c r="AE78" i="8" s="1"/>
  <c r="AD84" i="8"/>
  <c r="AC88" i="8" s="1"/>
  <c r="AB95" i="8"/>
  <c r="V98" i="4"/>
  <c r="V99" i="4" s="1"/>
  <c r="V100" i="4" s="1"/>
  <c r="Q131" i="4"/>
  <c r="U109" i="4"/>
  <c r="U110" i="4"/>
  <c r="S115" i="4"/>
  <c r="S116" i="4" s="1"/>
  <c r="S117" i="4" s="1"/>
  <c r="W97" i="4"/>
  <c r="P132" i="4"/>
  <c r="P133" i="4" s="1"/>
  <c r="P134" i="4" s="1"/>
  <c r="P136" i="4" s="1"/>
  <c r="P161" i="4" s="1"/>
  <c r="T112" i="4"/>
  <c r="Y80" i="4"/>
  <c r="Y81" i="4" s="1"/>
  <c r="Y83" i="4" s="1"/>
  <c r="Y78" i="4"/>
  <c r="Y79" i="4" s="1"/>
  <c r="X93" i="4"/>
  <c r="X92" i="4"/>
  <c r="V185" i="8" l="1"/>
  <c r="V203" i="8" s="1"/>
  <c r="X118" i="8"/>
  <c r="W122" i="8" s="1"/>
  <c r="AA101" i="8"/>
  <c r="Z104" i="8"/>
  <c r="Y111" i="8"/>
  <c r="Y152" i="8" s="1"/>
  <c r="Y158" i="8" s="1"/>
  <c r="Y172" i="8" s="1"/>
  <c r="AC91" i="8"/>
  <c r="AC141" i="8"/>
  <c r="AC147" i="8" s="1"/>
  <c r="AC165" i="8" s="1"/>
  <c r="AB97" i="8"/>
  <c r="AE80" i="8"/>
  <c r="AE81" i="8" s="1"/>
  <c r="AE83" i="8" s="1"/>
  <c r="AE79" i="8"/>
  <c r="AC89" i="8"/>
  <c r="AC90" i="8" s="1"/>
  <c r="U185" i="8"/>
  <c r="U203" i="8" s="1"/>
  <c r="U174" i="8"/>
  <c r="U186" i="8" s="1"/>
  <c r="U204" i="8" s="1"/>
  <c r="P174" i="4"/>
  <c r="P186" i="4" s="1"/>
  <c r="P204" i="4" s="1"/>
  <c r="P185" i="4"/>
  <c r="P203" i="4" s="1"/>
  <c r="Y167" i="4"/>
  <c r="Z76" i="4"/>
  <c r="V101" i="4"/>
  <c r="U105" i="4" s="1"/>
  <c r="S118" i="4"/>
  <c r="R122" i="4" s="1"/>
  <c r="Q132" i="4"/>
  <c r="Q133" i="4" s="1"/>
  <c r="Q134" i="4" s="1"/>
  <c r="Q136" i="4" s="1"/>
  <c r="Q161" i="4" s="1"/>
  <c r="Y84" i="4"/>
  <c r="X88" i="4" s="1"/>
  <c r="T114" i="4"/>
  <c r="W98" i="4"/>
  <c r="W99" i="4" s="1"/>
  <c r="W100" i="4" s="1"/>
  <c r="Z110" i="8" l="1"/>
  <c r="Z109" i="8"/>
  <c r="Y112" i="8"/>
  <c r="AE84" i="8"/>
  <c r="Z105" i="8"/>
  <c r="AD87" i="8"/>
  <c r="AC94" i="8"/>
  <c r="AC151" i="8" s="1"/>
  <c r="AC157" i="8" s="1"/>
  <c r="AC171" i="8" s="1"/>
  <c r="AB98" i="8"/>
  <c r="AB99" i="8" s="1"/>
  <c r="AB100" i="8" s="1"/>
  <c r="W125" i="8"/>
  <c r="W143" i="8"/>
  <c r="W146" i="8" s="1"/>
  <c r="W164" i="8" s="1"/>
  <c r="W123" i="8"/>
  <c r="W124" i="8" s="1"/>
  <c r="AE167" i="8"/>
  <c r="AF76" i="8"/>
  <c r="W101" i="4"/>
  <c r="V105" i="4" s="1"/>
  <c r="Q185" i="4"/>
  <c r="Q203" i="4" s="1"/>
  <c r="Q174" i="4"/>
  <c r="Q186" i="4" s="1"/>
  <c r="Q204" i="4" s="1"/>
  <c r="X91" i="4"/>
  <c r="X141" i="4"/>
  <c r="X147" i="4" s="1"/>
  <c r="X165" i="4" s="1"/>
  <c r="X89" i="4"/>
  <c r="X90" i="4" s="1"/>
  <c r="R125" i="4"/>
  <c r="R143" i="4"/>
  <c r="R146" i="4" s="1"/>
  <c r="R164" i="4" s="1"/>
  <c r="R123" i="4"/>
  <c r="R124" i="4" s="1"/>
  <c r="U108" i="4"/>
  <c r="U142" i="4"/>
  <c r="U148" i="4" s="1"/>
  <c r="U166" i="4" s="1"/>
  <c r="U106" i="4"/>
  <c r="U107" i="4" s="1"/>
  <c r="Z77" i="4"/>
  <c r="T115" i="4"/>
  <c r="T116" i="4" s="1"/>
  <c r="T117" i="4" s="1"/>
  <c r="AD93" i="8" l="1"/>
  <c r="AD92" i="8"/>
  <c r="Y114" i="8"/>
  <c r="Z108" i="8"/>
  <c r="Z142" i="8"/>
  <c r="Z148" i="8" s="1"/>
  <c r="Z166" i="8" s="1"/>
  <c r="AD88" i="8"/>
  <c r="AD89" i="8" s="1"/>
  <c r="AF77" i="8"/>
  <c r="X121" i="8"/>
  <c r="W128" i="8"/>
  <c r="Z106" i="8"/>
  <c r="Z107" i="8" s="1"/>
  <c r="AB101" i="8"/>
  <c r="AC95" i="8"/>
  <c r="S121" i="4"/>
  <c r="R128" i="4"/>
  <c r="R153" i="4" s="1"/>
  <c r="R156" i="4" s="1"/>
  <c r="R170" i="4" s="1"/>
  <c r="T118" i="4"/>
  <c r="S122" i="4" s="1"/>
  <c r="V104" i="4"/>
  <c r="U111" i="4"/>
  <c r="U152" i="4" s="1"/>
  <c r="U158" i="4" s="1"/>
  <c r="U172" i="4" s="1"/>
  <c r="Y87" i="4"/>
  <c r="X94" i="4"/>
  <c r="X151" i="4" s="1"/>
  <c r="X157" i="4" s="1"/>
  <c r="X171" i="4" s="1"/>
  <c r="Z80" i="4"/>
  <c r="Z81" i="4" s="1"/>
  <c r="Z83" i="4" s="1"/>
  <c r="Z78" i="4"/>
  <c r="Z79" i="4" s="1"/>
  <c r="V108" i="4"/>
  <c r="V142" i="4"/>
  <c r="V148" i="4" s="1"/>
  <c r="V166" i="4" s="1"/>
  <c r="Y115" i="8" l="1"/>
  <c r="Y116" i="8" s="1"/>
  <c r="Y117" i="8" s="1"/>
  <c r="AA104" i="8"/>
  <c r="Z111" i="8"/>
  <c r="X126" i="8"/>
  <c r="X127" i="8"/>
  <c r="AD91" i="8"/>
  <c r="AD141" i="8"/>
  <c r="AD147" i="8" s="1"/>
  <c r="AD165" i="8" s="1"/>
  <c r="AC97" i="8"/>
  <c r="W153" i="8"/>
  <c r="W156" i="8" s="1"/>
  <c r="W170" i="8" s="1"/>
  <c r="W129" i="8"/>
  <c r="AD90" i="8"/>
  <c r="AF80" i="8"/>
  <c r="AF81" i="8" s="1"/>
  <c r="AF83" i="8" s="1"/>
  <c r="AF78" i="8"/>
  <c r="AF79" i="8" s="1"/>
  <c r="Z167" i="4"/>
  <c r="AA76" i="4"/>
  <c r="Z84" i="4"/>
  <c r="Y88" i="4" s="1"/>
  <c r="Y89" i="4" s="1"/>
  <c r="Y90" i="4" s="1"/>
  <c r="Y93" i="4"/>
  <c r="Y92" i="4"/>
  <c r="V106" i="4"/>
  <c r="V107" i="4" s="1"/>
  <c r="W104" i="4" s="1"/>
  <c r="V110" i="4"/>
  <c r="V109" i="4"/>
  <c r="S125" i="4"/>
  <c r="S143" i="4"/>
  <c r="S146" i="4" s="1"/>
  <c r="S164" i="4" s="1"/>
  <c r="S126" i="4"/>
  <c r="S123" i="4"/>
  <c r="S124" i="4" s="1"/>
  <c r="T121" i="4" s="1"/>
  <c r="S127" i="4"/>
  <c r="X95" i="4"/>
  <c r="R129" i="4"/>
  <c r="U112" i="4"/>
  <c r="AF84" i="8" l="1"/>
  <c r="Z87" i="4"/>
  <c r="Z93" i="4" s="1"/>
  <c r="Y94" i="4"/>
  <c r="Y151" i="4" s="1"/>
  <c r="Y157" i="4" s="1"/>
  <c r="Y171" i="4" s="1"/>
  <c r="AF167" i="8"/>
  <c r="AG76" i="8"/>
  <c r="Y118" i="8"/>
  <c r="X122" i="8" s="1"/>
  <c r="W131" i="8"/>
  <c r="Z152" i="8"/>
  <c r="Z158" i="8" s="1"/>
  <c r="Z172" i="8" s="1"/>
  <c r="Z112" i="8"/>
  <c r="AA110" i="8"/>
  <c r="AA109" i="8"/>
  <c r="AA105" i="8"/>
  <c r="AC98" i="8"/>
  <c r="AC99" i="8" s="1"/>
  <c r="AC100" i="8" s="1"/>
  <c r="AE87" i="8"/>
  <c r="AD94" i="8"/>
  <c r="R131" i="4"/>
  <c r="S128" i="4"/>
  <c r="S153" i="4" s="1"/>
  <c r="S156" i="4" s="1"/>
  <c r="S170" i="4" s="1"/>
  <c r="Y91" i="4"/>
  <c r="Y141" i="4"/>
  <c r="Y147" i="4" s="1"/>
  <c r="Y165" i="4" s="1"/>
  <c r="X97" i="4"/>
  <c r="T127" i="4"/>
  <c r="T126" i="4"/>
  <c r="W109" i="4"/>
  <c r="W110" i="4"/>
  <c r="V111" i="4"/>
  <c r="V152" i="4" s="1"/>
  <c r="V158" i="4" s="1"/>
  <c r="V172" i="4" s="1"/>
  <c r="AA77" i="4"/>
  <c r="AA78" i="4" s="1"/>
  <c r="U114" i="4"/>
  <c r="Z92" i="4" l="1"/>
  <c r="AC101" i="8"/>
  <c r="Z114" i="8"/>
  <c r="AD151" i="8"/>
  <c r="AD157" i="8" s="1"/>
  <c r="AD171" i="8" s="1"/>
  <c r="AD95" i="8"/>
  <c r="W132" i="8"/>
  <c r="W133" i="8" s="1"/>
  <c r="W134" i="8" s="1"/>
  <c r="W136" i="8" s="1"/>
  <c r="W161" i="8" s="1"/>
  <c r="AA108" i="8"/>
  <c r="AA142" i="8"/>
  <c r="AA148" i="8" s="1"/>
  <c r="AA166" i="8" s="1"/>
  <c r="AE93" i="8"/>
  <c r="AE92" i="8"/>
  <c r="X125" i="8"/>
  <c r="X143" i="8"/>
  <c r="X146" i="8" s="1"/>
  <c r="X164" i="8" s="1"/>
  <c r="X123" i="8"/>
  <c r="X124" i="8" s="1"/>
  <c r="AA106" i="8"/>
  <c r="AA107" i="8" s="1"/>
  <c r="Y95" i="4"/>
  <c r="Y97" i="4" s="1"/>
  <c r="AE88" i="8"/>
  <c r="AE89" i="8" s="1"/>
  <c r="AE90" i="8" s="1"/>
  <c r="AG77" i="8"/>
  <c r="AG78" i="8" s="1"/>
  <c r="V112" i="4"/>
  <c r="V114" i="4" s="1"/>
  <c r="V115" i="4" s="1"/>
  <c r="V116" i="4" s="1"/>
  <c r="AA79" i="4"/>
  <c r="Y98" i="4"/>
  <c r="Y99" i="4" s="1"/>
  <c r="AA80" i="4"/>
  <c r="AA81" i="4" s="1"/>
  <c r="AA83" i="4" s="1"/>
  <c r="R132" i="4"/>
  <c r="R133" i="4" s="1"/>
  <c r="R134" i="4" s="1"/>
  <c r="R136" i="4" s="1"/>
  <c r="R161" i="4" s="1"/>
  <c r="X98" i="4"/>
  <c r="X99" i="4" s="1"/>
  <c r="X100" i="4" s="1"/>
  <c r="U115" i="4"/>
  <c r="U116" i="4" s="1"/>
  <c r="S129" i="4"/>
  <c r="AF87" i="8" l="1"/>
  <c r="AE94" i="8"/>
  <c r="AE151" i="8" s="1"/>
  <c r="AE157" i="8" s="1"/>
  <c r="AE171" i="8" s="1"/>
  <c r="W174" i="8"/>
  <c r="W186" i="8" s="1"/>
  <c r="W204" i="8" s="1"/>
  <c r="W185" i="8"/>
  <c r="W203" i="8" s="1"/>
  <c r="AB104" i="8"/>
  <c r="AB105" i="8" s="1"/>
  <c r="AA111" i="8"/>
  <c r="Y121" i="8"/>
  <c r="X128" i="8"/>
  <c r="AD97" i="8"/>
  <c r="AG80" i="8"/>
  <c r="AG81" i="8" s="1"/>
  <c r="AG83" i="8" s="1"/>
  <c r="V117" i="4"/>
  <c r="AG79" i="8"/>
  <c r="Z115" i="8"/>
  <c r="Z116" i="8" s="1"/>
  <c r="Z117" i="8" s="1"/>
  <c r="U117" i="4"/>
  <c r="U118" i="4" s="1"/>
  <c r="T122" i="4" s="1"/>
  <c r="AE91" i="8"/>
  <c r="AE141" i="8"/>
  <c r="AE147" i="8" s="1"/>
  <c r="AE165" i="8" s="1"/>
  <c r="Y100" i="4"/>
  <c r="R185" i="4"/>
  <c r="R203" i="4" s="1"/>
  <c r="R174" i="4"/>
  <c r="R186" i="4" s="1"/>
  <c r="R204" i="4" s="1"/>
  <c r="AA84" i="4"/>
  <c r="Z88" i="4" s="1"/>
  <c r="X101" i="4"/>
  <c r="W105" i="4" s="1"/>
  <c r="AA167" i="4"/>
  <c r="AB76" i="4"/>
  <c r="S131" i="4"/>
  <c r="AE95" i="8" l="1"/>
  <c r="AE97" i="8" s="1"/>
  <c r="AE98" i="8" s="1"/>
  <c r="AE99" i="8" s="1"/>
  <c r="Z118" i="8"/>
  <c r="Y122" i="8" s="1"/>
  <c r="Y123" i="8" s="1"/>
  <c r="Y124" i="8" s="1"/>
  <c r="AB108" i="8"/>
  <c r="AB142" i="8"/>
  <c r="AB148" i="8" s="1"/>
  <c r="AB166" i="8" s="1"/>
  <c r="AD98" i="8"/>
  <c r="AD99" i="8" s="1"/>
  <c r="Y127" i="8"/>
  <c r="Y126" i="8"/>
  <c r="AG84" i="8"/>
  <c r="AF88" i="8" s="1"/>
  <c r="AF89" i="8" s="1"/>
  <c r="AF90" i="8" s="1"/>
  <c r="X153" i="8"/>
  <c r="X156" i="8" s="1"/>
  <c r="X170" i="8" s="1"/>
  <c r="X129" i="8"/>
  <c r="AG167" i="8"/>
  <c r="AH76" i="8"/>
  <c r="AA152" i="8"/>
  <c r="AA158" i="8" s="1"/>
  <c r="AA172" i="8" s="1"/>
  <c r="AA112" i="8"/>
  <c r="AB109" i="8"/>
  <c r="AB110" i="8"/>
  <c r="AB106" i="8"/>
  <c r="AB107" i="8" s="1"/>
  <c r="AF93" i="8"/>
  <c r="AF92" i="8"/>
  <c r="W108" i="4"/>
  <c r="W142" i="4"/>
  <c r="W148" i="4" s="1"/>
  <c r="W166" i="4" s="1"/>
  <c r="W106" i="4"/>
  <c r="W107" i="4" s="1"/>
  <c r="S132" i="4"/>
  <c r="S133" i="4" s="1"/>
  <c r="S134" i="4" s="1"/>
  <c r="S136" i="4" s="1"/>
  <c r="S161" i="4" s="1"/>
  <c r="Y101" i="4"/>
  <c r="X105" i="4" s="1"/>
  <c r="Z91" i="4"/>
  <c r="Z141" i="4"/>
  <c r="Z147" i="4" s="1"/>
  <c r="Z165" i="4" s="1"/>
  <c r="Z89" i="4"/>
  <c r="Z90" i="4" s="1"/>
  <c r="V118" i="4"/>
  <c r="U122" i="4" s="1"/>
  <c r="AB77" i="4"/>
  <c r="T125" i="4"/>
  <c r="T143" i="4"/>
  <c r="T146" i="4" s="1"/>
  <c r="T164" i="4" s="1"/>
  <c r="T123" i="4"/>
  <c r="T124" i="4" s="1"/>
  <c r="AE100" i="8" l="1"/>
  <c r="AG87" i="8"/>
  <c r="AG93" i="8" s="1"/>
  <c r="AF94" i="8"/>
  <c r="AF151" i="8" s="1"/>
  <c r="AF157" i="8" s="1"/>
  <c r="AF171" i="8" s="1"/>
  <c r="Z121" i="8"/>
  <c r="Y128" i="8"/>
  <c r="Y153" i="8" s="1"/>
  <c r="Y156" i="8" s="1"/>
  <c r="Y170" i="8" s="1"/>
  <c r="AC104" i="8"/>
  <c r="AB111" i="8"/>
  <c r="AB152" i="8" s="1"/>
  <c r="AB158" i="8" s="1"/>
  <c r="AB172" i="8" s="1"/>
  <c r="AH77" i="8"/>
  <c r="AH78" i="8" s="1"/>
  <c r="AH79" i="8" s="1"/>
  <c r="AD100" i="8"/>
  <c r="AA114" i="8"/>
  <c r="X131" i="8"/>
  <c r="Y125" i="8"/>
  <c r="Y143" i="8"/>
  <c r="Y146" i="8" s="1"/>
  <c r="Y164" i="8" s="1"/>
  <c r="AG92" i="8"/>
  <c r="AF91" i="8"/>
  <c r="AF141" i="8"/>
  <c r="AF147" i="8" s="1"/>
  <c r="AF165" i="8" s="1"/>
  <c r="S174" i="4"/>
  <c r="S186" i="4" s="1"/>
  <c r="S204" i="4" s="1"/>
  <c r="S185" i="4"/>
  <c r="S203" i="4" s="1"/>
  <c r="X104" i="4"/>
  <c r="W111" i="4"/>
  <c r="W152" i="4" s="1"/>
  <c r="W158" i="4" s="1"/>
  <c r="W172" i="4" s="1"/>
  <c r="U121" i="4"/>
  <c r="T128" i="4"/>
  <c r="T153" i="4" s="1"/>
  <c r="T156" i="4" s="1"/>
  <c r="T170" i="4" s="1"/>
  <c r="X108" i="4"/>
  <c r="X142" i="4"/>
  <c r="X148" i="4" s="1"/>
  <c r="X166" i="4" s="1"/>
  <c r="U125" i="4"/>
  <c r="U143" i="4"/>
  <c r="U146" i="4" s="1"/>
  <c r="U164" i="4" s="1"/>
  <c r="AA87" i="4"/>
  <c r="Z94" i="4"/>
  <c r="Z151" i="4" s="1"/>
  <c r="Z157" i="4" s="1"/>
  <c r="Z171" i="4" s="1"/>
  <c r="AB80" i="4"/>
  <c r="AB81" i="4" s="1"/>
  <c r="AB83" i="4" s="1"/>
  <c r="AB78" i="4"/>
  <c r="AB79" i="4" s="1"/>
  <c r="Y129" i="8" l="1"/>
  <c r="Y131" i="8" s="1"/>
  <c r="W112" i="4"/>
  <c r="W114" i="4" s="1"/>
  <c r="AF95" i="8"/>
  <c r="AF97" i="8" s="1"/>
  <c r="Y132" i="8"/>
  <c r="Y133" i="8" s="1"/>
  <c r="AH167" i="8"/>
  <c r="AI76" i="8"/>
  <c r="AD101" i="8"/>
  <c r="AH80" i="8"/>
  <c r="AH81" i="8" s="1"/>
  <c r="AH83" i="8" s="1"/>
  <c r="AB112" i="8"/>
  <c r="X132" i="8"/>
  <c r="X133" i="8" s="1"/>
  <c r="AC110" i="8"/>
  <c r="AC109" i="8"/>
  <c r="AA115" i="8"/>
  <c r="AA116" i="8" s="1"/>
  <c r="AA117" i="8" s="1"/>
  <c r="Z126" i="8"/>
  <c r="Z127" i="8"/>
  <c r="AB167" i="4"/>
  <c r="AC76" i="4"/>
  <c r="AB84" i="4"/>
  <c r="AA88" i="4" s="1"/>
  <c r="AA89" i="4" s="1"/>
  <c r="AA90" i="4" s="1"/>
  <c r="U126" i="4"/>
  <c r="U127" i="4"/>
  <c r="U123" i="4"/>
  <c r="U124" i="4" s="1"/>
  <c r="V121" i="4" s="1"/>
  <c r="X109" i="4"/>
  <c r="X110" i="4"/>
  <c r="X106" i="4"/>
  <c r="X107" i="4" s="1"/>
  <c r="AA92" i="4"/>
  <c r="AA93" i="4"/>
  <c r="Z95" i="4"/>
  <c r="T129" i="4"/>
  <c r="Y134" i="8" l="1"/>
  <c r="Y136" i="8" s="1"/>
  <c r="Y161" i="8" s="1"/>
  <c r="AA118" i="8"/>
  <c r="Z122" i="8" s="1"/>
  <c r="Y185" i="8"/>
  <c r="Y203" i="8" s="1"/>
  <c r="Y174" i="8"/>
  <c r="Y186" i="8" s="1"/>
  <c r="Y204" i="8" s="1"/>
  <c r="AH84" i="8"/>
  <c r="AG88" i="8" s="1"/>
  <c r="AB87" i="4"/>
  <c r="AB93" i="4" s="1"/>
  <c r="AA94" i="4"/>
  <c r="AA151" i="4" s="1"/>
  <c r="AA157" i="4" s="1"/>
  <c r="AA171" i="4" s="1"/>
  <c r="X134" i="8"/>
  <c r="X136" i="8" s="1"/>
  <c r="X161" i="8" s="1"/>
  <c r="AF98" i="8"/>
  <c r="AF99" i="8" s="1"/>
  <c r="AF100" i="8" s="1"/>
  <c r="AC105" i="8"/>
  <c r="AE101" i="8"/>
  <c r="AB114" i="8"/>
  <c r="AI77" i="8"/>
  <c r="AI78" i="8" s="1"/>
  <c r="AI79" i="8" s="1"/>
  <c r="Y104" i="4"/>
  <c r="X111" i="4"/>
  <c r="X152" i="4" s="1"/>
  <c r="X158" i="4" s="1"/>
  <c r="X172" i="4" s="1"/>
  <c r="V126" i="4"/>
  <c r="V127" i="4"/>
  <c r="U128" i="4"/>
  <c r="U153" i="4" s="1"/>
  <c r="U156" i="4" s="1"/>
  <c r="U170" i="4" s="1"/>
  <c r="AA91" i="4"/>
  <c r="AA141" i="4"/>
  <c r="AA147" i="4" s="1"/>
  <c r="AA165" i="4" s="1"/>
  <c r="T131" i="4"/>
  <c r="Z97" i="4"/>
  <c r="W115" i="4"/>
  <c r="W116" i="4" s="1"/>
  <c r="W117" i="4" s="1"/>
  <c r="AC77" i="4"/>
  <c r="X112" i="4" l="1"/>
  <c r="U129" i="4"/>
  <c r="U131" i="4" s="1"/>
  <c r="U132" i="4" s="1"/>
  <c r="U133" i="4" s="1"/>
  <c r="AF101" i="8"/>
  <c r="AI167" i="8"/>
  <c r="AJ76" i="8"/>
  <c r="X174" i="8"/>
  <c r="X186" i="8" s="1"/>
  <c r="X204" i="8" s="1"/>
  <c r="X185" i="8"/>
  <c r="X203" i="8" s="1"/>
  <c r="AB92" i="4"/>
  <c r="AB115" i="8"/>
  <c r="AB116" i="8" s="1"/>
  <c r="AB117" i="8" s="1"/>
  <c r="AG91" i="8"/>
  <c r="AG141" i="8"/>
  <c r="AG147" i="8" s="1"/>
  <c r="AG165" i="8" s="1"/>
  <c r="AG89" i="8"/>
  <c r="AG90" i="8" s="1"/>
  <c r="AI80" i="8"/>
  <c r="AI81" i="8" s="1"/>
  <c r="AI83" i="8" s="1"/>
  <c r="Z125" i="8"/>
  <c r="Z143" i="8"/>
  <c r="Z146" i="8" s="1"/>
  <c r="Z164" i="8" s="1"/>
  <c r="Z123" i="8"/>
  <c r="Z124" i="8" s="1"/>
  <c r="AA95" i="4"/>
  <c r="AA97" i="4" s="1"/>
  <c r="AC108" i="8"/>
  <c r="AC142" i="8"/>
  <c r="AC148" i="8" s="1"/>
  <c r="AC166" i="8" s="1"/>
  <c r="AC106" i="8"/>
  <c r="AC107" i="8" s="1"/>
  <c r="W118" i="4"/>
  <c r="V122" i="4" s="1"/>
  <c r="Z98" i="4"/>
  <c r="Z99" i="4" s="1"/>
  <c r="Z100" i="4" s="1"/>
  <c r="T132" i="4"/>
  <c r="T133" i="4" s="1"/>
  <c r="T134" i="4" s="1"/>
  <c r="T136" i="4" s="1"/>
  <c r="T161" i="4" s="1"/>
  <c r="X114" i="4"/>
  <c r="AC80" i="4"/>
  <c r="AC81" i="4" s="1"/>
  <c r="AC83" i="4" s="1"/>
  <c r="AC78" i="4"/>
  <c r="AC79" i="4" s="1"/>
  <c r="Y110" i="4"/>
  <c r="Y109" i="4"/>
  <c r="U134" i="4" l="1"/>
  <c r="U136" i="4" s="1"/>
  <c r="U161" i="4" s="1"/>
  <c r="AI84" i="8"/>
  <c r="AD104" i="8"/>
  <c r="AC111" i="8"/>
  <c r="AC152" i="8" s="1"/>
  <c r="AC158" i="8" s="1"/>
  <c r="AC172" i="8" s="1"/>
  <c r="AB118" i="8"/>
  <c r="AA121" i="8"/>
  <c r="Z128" i="8"/>
  <c r="AH87" i="8"/>
  <c r="AG94" i="8"/>
  <c r="AJ77" i="8"/>
  <c r="AC167" i="4"/>
  <c r="AD76" i="4"/>
  <c r="AC84" i="4"/>
  <c r="AB88" i="4" s="1"/>
  <c r="U174" i="4"/>
  <c r="U186" i="4" s="1"/>
  <c r="U204" i="4" s="1"/>
  <c r="U185" i="4"/>
  <c r="U203" i="4" s="1"/>
  <c r="T174" i="4"/>
  <c r="T186" i="4" s="1"/>
  <c r="T204" i="4" s="1"/>
  <c r="T185" i="4"/>
  <c r="T203" i="4" s="1"/>
  <c r="Z101" i="4"/>
  <c r="Y105" i="4" s="1"/>
  <c r="V125" i="4"/>
  <c r="V143" i="4"/>
  <c r="V146" i="4" s="1"/>
  <c r="V164" i="4" s="1"/>
  <c r="V123" i="4"/>
  <c r="V124" i="4" s="1"/>
  <c r="X115" i="4"/>
  <c r="X116" i="4" s="1"/>
  <c r="X117" i="4" s="1"/>
  <c r="AA98" i="4"/>
  <c r="AA99" i="4" s="1"/>
  <c r="AA100" i="4" s="1"/>
  <c r="AC112" i="8" l="1"/>
  <c r="AA122" i="8"/>
  <c r="AA123" i="8" s="1"/>
  <c r="AA124" i="8" s="1"/>
  <c r="AH93" i="8"/>
  <c r="AH92" i="8"/>
  <c r="AG151" i="8"/>
  <c r="AG157" i="8" s="1"/>
  <c r="AG171" i="8" s="1"/>
  <c r="AG95" i="8"/>
  <c r="Z153" i="8"/>
  <c r="Z156" i="8" s="1"/>
  <c r="Z170" i="8" s="1"/>
  <c r="Z129" i="8"/>
  <c r="AD110" i="8"/>
  <c r="AD109" i="8"/>
  <c r="AD105" i="8"/>
  <c r="AD106" i="8" s="1"/>
  <c r="AD107" i="8" s="1"/>
  <c r="AA127" i="8"/>
  <c r="AA126" i="8"/>
  <c r="AC114" i="8"/>
  <c r="AJ80" i="8"/>
  <c r="AJ81" i="8" s="1"/>
  <c r="AJ83" i="8" s="1"/>
  <c r="AH88" i="8"/>
  <c r="AJ78" i="8"/>
  <c r="AJ79" i="8" s="1"/>
  <c r="AA101" i="4"/>
  <c r="Z105" i="4" s="1"/>
  <c r="X118" i="4"/>
  <c r="W122" i="4" s="1"/>
  <c r="Y108" i="4"/>
  <c r="Y142" i="4"/>
  <c r="Y148" i="4" s="1"/>
  <c r="Y166" i="4" s="1"/>
  <c r="Y106" i="4"/>
  <c r="Y107" i="4" s="1"/>
  <c r="W121" i="4"/>
  <c r="V128" i="4"/>
  <c r="AD77" i="4"/>
  <c r="AD78" i="4" s="1"/>
  <c r="AB91" i="4"/>
  <c r="AB141" i="4"/>
  <c r="AB147" i="4" s="1"/>
  <c r="AB165" i="4" s="1"/>
  <c r="AB89" i="4"/>
  <c r="AB90" i="4" s="1"/>
  <c r="AA143" i="8" l="1"/>
  <c r="AA146" i="8" s="1"/>
  <c r="AA164" i="8" s="1"/>
  <c r="AA125" i="8"/>
  <c r="AB121" i="8"/>
  <c r="AA128" i="8"/>
  <c r="AA153" i="8" s="1"/>
  <c r="AA156" i="8" s="1"/>
  <c r="AA170" i="8" s="1"/>
  <c r="AJ84" i="8"/>
  <c r="AJ167" i="8"/>
  <c r="AK76" i="8"/>
  <c r="AE104" i="8"/>
  <c r="AD111" i="8"/>
  <c r="AD152" i="8" s="1"/>
  <c r="AD158" i="8" s="1"/>
  <c r="AD172" i="8" s="1"/>
  <c r="Z131" i="8"/>
  <c r="AC115" i="8"/>
  <c r="AC116" i="8" s="1"/>
  <c r="AC117" i="8" s="1"/>
  <c r="AG97" i="8"/>
  <c r="AH91" i="8"/>
  <c r="AH141" i="8"/>
  <c r="AH147" i="8" s="1"/>
  <c r="AH165" i="8" s="1"/>
  <c r="AD108" i="8"/>
  <c r="AD142" i="8"/>
  <c r="AD148" i="8" s="1"/>
  <c r="AD166" i="8" s="1"/>
  <c r="AH89" i="8"/>
  <c r="AH90" i="8" s="1"/>
  <c r="AC87" i="4"/>
  <c r="AB94" i="4"/>
  <c r="AB151" i="4" s="1"/>
  <c r="AB157" i="4" s="1"/>
  <c r="AB171" i="4" s="1"/>
  <c r="W126" i="4"/>
  <c r="W123" i="4"/>
  <c r="W124" i="4" s="1"/>
  <c r="X121" i="4" s="1"/>
  <c r="W127" i="4"/>
  <c r="V153" i="4"/>
  <c r="V156" i="4" s="1"/>
  <c r="V170" i="4" s="1"/>
  <c r="V129" i="4"/>
  <c r="AD80" i="4"/>
  <c r="AD81" i="4" s="1"/>
  <c r="AD83" i="4" s="1"/>
  <c r="Z108" i="4"/>
  <c r="Z142" i="4"/>
  <c r="Z148" i="4" s="1"/>
  <c r="Z166" i="4" s="1"/>
  <c r="Z104" i="4"/>
  <c r="Y111" i="4"/>
  <c r="Y152" i="4" s="1"/>
  <c r="Y158" i="4" s="1"/>
  <c r="Y172" i="4" s="1"/>
  <c r="W125" i="4"/>
  <c r="W143" i="4"/>
  <c r="W146" i="4" s="1"/>
  <c r="W164" i="4" s="1"/>
  <c r="AD79" i="4"/>
  <c r="AA129" i="8" l="1"/>
  <c r="AA131" i="8" s="1"/>
  <c r="AD112" i="8"/>
  <c r="AD114" i="8" s="1"/>
  <c r="AC118" i="8"/>
  <c r="AB122" i="8" s="1"/>
  <c r="AB123" i="8" s="1"/>
  <c r="AB124" i="8" s="1"/>
  <c r="AA132" i="8"/>
  <c r="AA133" i="8" s="1"/>
  <c r="Z132" i="8"/>
  <c r="Z133" i="8" s="1"/>
  <c r="Z134" i="8" s="1"/>
  <c r="Z136" i="8" s="1"/>
  <c r="Z161" i="8" s="1"/>
  <c r="AE109" i="8"/>
  <c r="AE110" i="8"/>
  <c r="AE105" i="8"/>
  <c r="AK77" i="8"/>
  <c r="AK78" i="8" s="1"/>
  <c r="AI87" i="8"/>
  <c r="AH94" i="8"/>
  <c r="W128" i="4"/>
  <c r="W153" i="4" s="1"/>
  <c r="W156" i="4" s="1"/>
  <c r="W170" i="4" s="1"/>
  <c r="AG98" i="8"/>
  <c r="AG99" i="8" s="1"/>
  <c r="AG100" i="8" s="1"/>
  <c r="AB127" i="8"/>
  <c r="AB126" i="8"/>
  <c r="X126" i="4"/>
  <c r="X127" i="4"/>
  <c r="Z110" i="4"/>
  <c r="Z109" i="4"/>
  <c r="Z106" i="4"/>
  <c r="Z107" i="4" s="1"/>
  <c r="V131" i="4"/>
  <c r="AC92" i="4"/>
  <c r="AC93" i="4"/>
  <c r="AB95" i="4"/>
  <c r="AD84" i="4"/>
  <c r="AC88" i="4" s="1"/>
  <c r="AD167" i="4"/>
  <c r="AE76" i="4"/>
  <c r="Y112" i="4"/>
  <c r="AA134" i="8" l="1"/>
  <c r="AA136" i="8" s="1"/>
  <c r="AA161" i="8" s="1"/>
  <c r="Z185" i="8"/>
  <c r="Z203" i="8" s="1"/>
  <c r="Z174" i="8"/>
  <c r="Z186" i="8" s="1"/>
  <c r="Z204" i="8" s="1"/>
  <c r="AC121" i="8"/>
  <c r="AB128" i="8"/>
  <c r="AB153" i="8" s="1"/>
  <c r="AB156" i="8" s="1"/>
  <c r="AB170" i="8" s="1"/>
  <c r="AG101" i="8"/>
  <c r="AH151" i="8"/>
  <c r="AH157" i="8" s="1"/>
  <c r="AH171" i="8" s="1"/>
  <c r="AH95" i="8"/>
  <c r="AI93" i="8"/>
  <c r="AI92" i="8"/>
  <c r="AD115" i="8"/>
  <c r="AD116" i="8" s="1"/>
  <c r="AD117" i="8" s="1"/>
  <c r="AA185" i="8"/>
  <c r="AA203" i="8" s="1"/>
  <c r="AA174" i="8"/>
  <c r="AA186" i="8" s="1"/>
  <c r="AA204" i="8" s="1"/>
  <c r="AK80" i="8"/>
  <c r="AK81" i="8" s="1"/>
  <c r="AK83" i="8" s="1"/>
  <c r="AK79" i="8"/>
  <c r="AE108" i="8"/>
  <c r="AE142" i="8"/>
  <c r="AE148" i="8" s="1"/>
  <c r="AE166" i="8" s="1"/>
  <c r="W129" i="4"/>
  <c r="W131" i="4" s="1"/>
  <c r="W132" i="4" s="1"/>
  <c r="W133" i="4" s="1"/>
  <c r="AB125" i="8"/>
  <c r="AB143" i="8"/>
  <c r="AB146" i="8" s="1"/>
  <c r="AB164" i="8" s="1"/>
  <c r="AI88" i="8"/>
  <c r="AI89" i="8" s="1"/>
  <c r="AI90" i="8" s="1"/>
  <c r="AE106" i="8"/>
  <c r="AE107" i="8" s="1"/>
  <c r="AA104" i="4"/>
  <c r="Z111" i="4"/>
  <c r="Z152" i="4" s="1"/>
  <c r="Z158" i="4" s="1"/>
  <c r="Z172" i="4" s="1"/>
  <c r="AE77" i="4"/>
  <c r="AE78" i="4" s="1"/>
  <c r="AE79" i="4" s="1"/>
  <c r="V132" i="4"/>
  <c r="V133" i="4" s="1"/>
  <c r="V134" i="4" s="1"/>
  <c r="V136" i="4" s="1"/>
  <c r="V161" i="4" s="1"/>
  <c r="AB97" i="4"/>
  <c r="AC91" i="4"/>
  <c r="AC141" i="4"/>
  <c r="AC147" i="4" s="1"/>
  <c r="AC165" i="4" s="1"/>
  <c r="AC89" i="4"/>
  <c r="AC90" i="4" s="1"/>
  <c r="Y114" i="4"/>
  <c r="W134" i="4" l="1"/>
  <c r="W136" i="4" s="1"/>
  <c r="W161" i="4" s="1"/>
  <c r="AJ87" i="8"/>
  <c r="AI94" i="8"/>
  <c r="AI151" i="8" s="1"/>
  <c r="AI157" i="8" s="1"/>
  <c r="AI171" i="8" s="1"/>
  <c r="AF104" i="8"/>
  <c r="AF105" i="8" s="1"/>
  <c r="AE111" i="8"/>
  <c r="AE152" i="8" s="1"/>
  <c r="AE158" i="8" s="1"/>
  <c r="AE172" i="8" s="1"/>
  <c r="AK84" i="8"/>
  <c r="AJ88" i="8" s="1"/>
  <c r="AK167" i="8"/>
  <c r="AL76" i="8"/>
  <c r="AH97" i="8"/>
  <c r="AI91" i="8"/>
  <c r="AI141" i="8"/>
  <c r="AI147" i="8" s="1"/>
  <c r="AI165" i="8" s="1"/>
  <c r="AB129" i="8"/>
  <c r="Z112" i="4"/>
  <c r="Z114" i="4" s="1"/>
  <c r="AD118" i="8"/>
  <c r="AC122" i="8" s="1"/>
  <c r="AC123" i="8" s="1"/>
  <c r="AC124" i="8" s="1"/>
  <c r="AC126" i="8"/>
  <c r="AC127" i="8"/>
  <c r="V185" i="4"/>
  <c r="V203" i="4" s="1"/>
  <c r="V174" i="4"/>
  <c r="V186" i="4" s="1"/>
  <c r="V204" i="4" s="1"/>
  <c r="AD87" i="4"/>
  <c r="AC94" i="4"/>
  <c r="AC151" i="4" s="1"/>
  <c r="AC157" i="4" s="1"/>
  <c r="AC171" i="4" s="1"/>
  <c r="W185" i="4"/>
  <c r="W203" i="4" s="1"/>
  <c r="W174" i="4"/>
  <c r="W186" i="4" s="1"/>
  <c r="W204" i="4" s="1"/>
  <c r="AE167" i="4"/>
  <c r="AF76" i="4"/>
  <c r="AB98" i="4"/>
  <c r="AB99" i="4" s="1"/>
  <c r="AB100" i="4" s="1"/>
  <c r="Z115" i="4"/>
  <c r="Z116" i="4" s="1"/>
  <c r="Y115" i="4"/>
  <c r="Y116" i="4" s="1"/>
  <c r="Y117" i="4" s="1"/>
  <c r="AA110" i="4"/>
  <c r="AA109" i="4"/>
  <c r="AE80" i="4"/>
  <c r="AE81" i="4" s="1"/>
  <c r="AE83" i="4" s="1"/>
  <c r="AI95" i="8" l="1"/>
  <c r="AI97" i="8" s="1"/>
  <c r="AE112" i="8"/>
  <c r="AC95" i="4"/>
  <c r="AD121" i="8"/>
  <c r="AC128" i="8"/>
  <c r="AC153" i="8" s="1"/>
  <c r="AC156" i="8" s="1"/>
  <c r="AC170" i="8" s="1"/>
  <c r="AL77" i="8"/>
  <c r="AL78" i="8" s="1"/>
  <c r="AL79" i="8" s="1"/>
  <c r="AJ91" i="8"/>
  <c r="AJ141" i="8"/>
  <c r="AJ147" i="8" s="1"/>
  <c r="AJ165" i="8" s="1"/>
  <c r="AF108" i="8"/>
  <c r="AF142" i="8"/>
  <c r="AF148" i="8" s="1"/>
  <c r="AF166" i="8" s="1"/>
  <c r="AF109" i="8"/>
  <c r="AF106" i="8"/>
  <c r="AF107" i="8" s="1"/>
  <c r="AF110" i="8"/>
  <c r="AE114" i="8"/>
  <c r="AB131" i="8"/>
  <c r="AH98" i="8"/>
  <c r="AH99" i="8" s="1"/>
  <c r="AH100" i="8" s="1"/>
  <c r="AI98" i="8"/>
  <c r="AI99" i="8" s="1"/>
  <c r="AC125" i="8"/>
  <c r="AC143" i="8"/>
  <c r="AC146" i="8" s="1"/>
  <c r="AC164" i="8" s="1"/>
  <c r="Z117" i="4"/>
  <c r="AJ89" i="8"/>
  <c r="AJ90" i="8" s="1"/>
  <c r="AK87" i="8" s="1"/>
  <c r="AJ92" i="8"/>
  <c r="AJ93" i="8"/>
  <c r="AB101" i="4"/>
  <c r="AA105" i="4" s="1"/>
  <c r="AE84" i="4"/>
  <c r="AD88" i="4" s="1"/>
  <c r="AD89" i="4" s="1"/>
  <c r="AD90" i="4" s="1"/>
  <c r="Y118" i="4"/>
  <c r="X122" i="4" s="1"/>
  <c r="AD92" i="4"/>
  <c r="AD93" i="4"/>
  <c r="AF77" i="4"/>
  <c r="AF78" i="4" s="1"/>
  <c r="AC97" i="4"/>
  <c r="AC129" i="8" l="1"/>
  <c r="AC131" i="8" s="1"/>
  <c r="AC132" i="8" s="1"/>
  <c r="AC133" i="8" s="1"/>
  <c r="AI100" i="8"/>
  <c r="AJ94" i="8"/>
  <c r="AJ151" i="8" s="1"/>
  <c r="AJ157" i="8" s="1"/>
  <c r="AJ171" i="8" s="1"/>
  <c r="AH101" i="8"/>
  <c r="AG104" i="8"/>
  <c r="AF111" i="8"/>
  <c r="AF152" i="8" s="1"/>
  <c r="AF158" i="8" s="1"/>
  <c r="AF172" i="8" s="1"/>
  <c r="AL167" i="8"/>
  <c r="AM76" i="8"/>
  <c r="AI101" i="8"/>
  <c r="AB132" i="8"/>
  <c r="AB133" i="8" s="1"/>
  <c r="AE115" i="8"/>
  <c r="AE116" i="8" s="1"/>
  <c r="AE117" i="8" s="1"/>
  <c r="AK92" i="8"/>
  <c r="AK93" i="8"/>
  <c r="AL80" i="8"/>
  <c r="AL81" i="8" s="1"/>
  <c r="AL83" i="8" s="1"/>
  <c r="AD126" i="8"/>
  <c r="AD127" i="8"/>
  <c r="AE87" i="4"/>
  <c r="AD94" i="4"/>
  <c r="AD151" i="4" s="1"/>
  <c r="AD157" i="4" s="1"/>
  <c r="AD171" i="4" s="1"/>
  <c r="X125" i="4"/>
  <c r="X143" i="4"/>
  <c r="X146" i="4" s="1"/>
  <c r="X164" i="4" s="1"/>
  <c r="X123" i="4"/>
  <c r="X124" i="4" s="1"/>
  <c r="AF80" i="4"/>
  <c r="AF81" i="4" s="1"/>
  <c r="AF83" i="4" s="1"/>
  <c r="AC98" i="4"/>
  <c r="AC99" i="4" s="1"/>
  <c r="AC100" i="4" s="1"/>
  <c r="AF79" i="4"/>
  <c r="AA108" i="4"/>
  <c r="AA142" i="4"/>
  <c r="AA148" i="4" s="1"/>
  <c r="AA166" i="4" s="1"/>
  <c r="AA106" i="4"/>
  <c r="AA107" i="4" s="1"/>
  <c r="AD91" i="4"/>
  <c r="AD141" i="4"/>
  <c r="AD147" i="4" s="1"/>
  <c r="AD165" i="4" s="1"/>
  <c r="Z118" i="4"/>
  <c r="Y122" i="4" s="1"/>
  <c r="AC134" i="8" l="1"/>
  <c r="AC136" i="8" s="1"/>
  <c r="AC161" i="8" s="1"/>
  <c r="AJ95" i="8"/>
  <c r="AJ97" i="8" s="1"/>
  <c r="AJ98" i="8" s="1"/>
  <c r="AJ99" i="8" s="1"/>
  <c r="AJ100" i="8" s="1"/>
  <c r="AB134" i="8"/>
  <c r="AB136" i="8" s="1"/>
  <c r="AB161" i="8" s="1"/>
  <c r="AB174" i="8" s="1"/>
  <c r="AB186" i="8" s="1"/>
  <c r="AB204" i="8" s="1"/>
  <c r="AL84" i="8"/>
  <c r="AK88" i="8" s="1"/>
  <c r="AE118" i="8"/>
  <c r="AD122" i="8" s="1"/>
  <c r="AG110" i="8"/>
  <c r="AG109" i="8"/>
  <c r="AD95" i="4"/>
  <c r="AD97" i="4" s="1"/>
  <c r="AC174" i="8"/>
  <c r="AC186" i="8" s="1"/>
  <c r="AC204" i="8" s="1"/>
  <c r="AC185" i="8"/>
  <c r="AC203" i="8" s="1"/>
  <c r="AM77" i="8"/>
  <c r="AG105" i="8"/>
  <c r="AG106" i="8" s="1"/>
  <c r="AG107" i="8" s="1"/>
  <c r="AF112" i="8"/>
  <c r="AF84" i="4"/>
  <c r="AE88" i="4" s="1"/>
  <c r="AE89" i="4" s="1"/>
  <c r="AE90" i="4" s="1"/>
  <c r="Y121" i="4"/>
  <c r="X128" i="4"/>
  <c r="AC101" i="4"/>
  <c r="AB105" i="4" s="1"/>
  <c r="Y125" i="4"/>
  <c r="Y143" i="4"/>
  <c r="Y146" i="4" s="1"/>
  <c r="Y164" i="4" s="1"/>
  <c r="AF167" i="4"/>
  <c r="AG76" i="4"/>
  <c r="AB104" i="4"/>
  <c r="AA111" i="4"/>
  <c r="AA152" i="4" s="1"/>
  <c r="AA158" i="4" s="1"/>
  <c r="AA172" i="4" s="1"/>
  <c r="AE92" i="4"/>
  <c r="AE93" i="4"/>
  <c r="AB185" i="8" l="1"/>
  <c r="AB203" i="8" s="1"/>
  <c r="AH104" i="8"/>
  <c r="AG111" i="8"/>
  <c r="AG152" i="8" s="1"/>
  <c r="AG158" i="8" s="1"/>
  <c r="AG172" i="8" s="1"/>
  <c r="AJ101" i="8"/>
  <c r="AF114" i="8"/>
  <c r="AG108" i="8"/>
  <c r="AG142" i="8"/>
  <c r="AG148" i="8" s="1"/>
  <c r="AG166" i="8" s="1"/>
  <c r="AM80" i="8"/>
  <c r="AM81" i="8" s="1"/>
  <c r="AM83" i="8" s="1"/>
  <c r="AM78" i="8"/>
  <c r="AM79" i="8" s="1"/>
  <c r="AM167" i="8" s="1"/>
  <c r="AK91" i="8"/>
  <c r="AK141" i="8"/>
  <c r="AK147" i="8" s="1"/>
  <c r="AK165" i="8" s="1"/>
  <c r="AK89" i="8"/>
  <c r="AK90" i="8" s="1"/>
  <c r="AD125" i="8"/>
  <c r="AD143" i="8"/>
  <c r="AD146" i="8" s="1"/>
  <c r="AD164" i="8" s="1"/>
  <c r="AD123" i="8"/>
  <c r="AD124" i="8" s="1"/>
  <c r="AF87" i="4"/>
  <c r="AE94" i="4"/>
  <c r="AE151" i="4" s="1"/>
  <c r="AE157" i="4" s="1"/>
  <c r="AE171" i="4" s="1"/>
  <c r="X153" i="4"/>
  <c r="X156" i="4" s="1"/>
  <c r="X170" i="4" s="1"/>
  <c r="X129" i="4"/>
  <c r="AB108" i="4"/>
  <c r="AB142" i="4"/>
  <c r="AB148" i="4" s="1"/>
  <c r="AB166" i="4" s="1"/>
  <c r="AG77" i="4"/>
  <c r="AG78" i="4" s="1"/>
  <c r="AG79" i="4" s="1"/>
  <c r="AE91" i="4"/>
  <c r="AE141" i="4"/>
  <c r="AE147" i="4" s="1"/>
  <c r="AE165" i="4" s="1"/>
  <c r="AD98" i="4"/>
  <c r="AD99" i="4" s="1"/>
  <c r="AD100" i="4" s="1"/>
  <c r="Y127" i="4"/>
  <c r="Y123" i="4"/>
  <c r="Y124" i="4" s="1"/>
  <c r="Y126" i="4"/>
  <c r="AB110" i="4"/>
  <c r="AB109" i="4"/>
  <c r="AB106" i="4"/>
  <c r="AB107" i="4" s="1"/>
  <c r="AA112" i="4"/>
  <c r="AG112" i="8" l="1"/>
  <c r="AG114" i="8" s="1"/>
  <c r="AC104" i="4"/>
  <c r="AC110" i="4" s="1"/>
  <c r="AB111" i="4"/>
  <c r="AB152" i="4" s="1"/>
  <c r="AB158" i="4" s="1"/>
  <c r="AB172" i="4" s="1"/>
  <c r="AE95" i="4"/>
  <c r="AE97" i="4" s="1"/>
  <c r="AG115" i="8"/>
  <c r="AG116" i="8" s="1"/>
  <c r="AF115" i="8"/>
  <c r="AF116" i="8" s="1"/>
  <c r="AF117" i="8" s="1"/>
  <c r="AL87" i="8"/>
  <c r="AK94" i="8"/>
  <c r="AK151" i="8" s="1"/>
  <c r="AK157" i="8" s="1"/>
  <c r="AK171" i="8" s="1"/>
  <c r="AB112" i="4"/>
  <c r="AB114" i="4" s="1"/>
  <c r="AE121" i="8"/>
  <c r="AD128" i="8"/>
  <c r="AD153" i="8" s="1"/>
  <c r="AD156" i="8" s="1"/>
  <c r="AD170" i="8" s="1"/>
  <c r="AM84" i="8"/>
  <c r="AL88" i="8" s="1"/>
  <c r="AH109" i="8"/>
  <c r="AH110" i="8"/>
  <c r="AH105" i="8"/>
  <c r="Z121" i="4"/>
  <c r="Y128" i="4"/>
  <c r="Y153" i="4" s="1"/>
  <c r="Y156" i="4" s="1"/>
  <c r="Y170" i="4" s="1"/>
  <c r="AG167" i="4"/>
  <c r="AH76" i="4"/>
  <c r="AG80" i="4"/>
  <c r="AG81" i="4" s="1"/>
  <c r="AG83" i="4" s="1"/>
  <c r="X131" i="4"/>
  <c r="AD101" i="4"/>
  <c r="AC105" i="4" s="1"/>
  <c r="AC106" i="4" s="1"/>
  <c r="AC107" i="4" s="1"/>
  <c r="AD104" i="4" s="1"/>
  <c r="AA114" i="4"/>
  <c r="AC109" i="4"/>
  <c r="AF92" i="4"/>
  <c r="AF93" i="4"/>
  <c r="AD129" i="8" l="1"/>
  <c r="AF118" i="8"/>
  <c r="AE122" i="8" s="1"/>
  <c r="AE123" i="8" s="1"/>
  <c r="AE124" i="8" s="1"/>
  <c r="AF121" i="8" s="1"/>
  <c r="AH108" i="8"/>
  <c r="AH142" i="8"/>
  <c r="AH148" i="8" s="1"/>
  <c r="AH166" i="8" s="1"/>
  <c r="AG117" i="8"/>
  <c r="AL92" i="8"/>
  <c r="AL89" i="8"/>
  <c r="AL90" i="8" s="1"/>
  <c r="AM87" i="8" s="1"/>
  <c r="AL93" i="8"/>
  <c r="AH106" i="8"/>
  <c r="AH107" i="8" s="1"/>
  <c r="AD131" i="8"/>
  <c r="AL91" i="8"/>
  <c r="AL141" i="8"/>
  <c r="AL147" i="8" s="1"/>
  <c r="AL165" i="8" s="1"/>
  <c r="AM141" i="8"/>
  <c r="AM147" i="8" s="1"/>
  <c r="AM165" i="8" s="1"/>
  <c r="AE127" i="8"/>
  <c r="AE126" i="8"/>
  <c r="AK95" i="8"/>
  <c r="AC111" i="4"/>
  <c r="AC152" i="4" s="1"/>
  <c r="AC158" i="4" s="1"/>
  <c r="AC172" i="4" s="1"/>
  <c r="X132" i="4"/>
  <c r="X133" i="4" s="1"/>
  <c r="X134" i="4" s="1"/>
  <c r="X136" i="4" s="1"/>
  <c r="X161" i="4" s="1"/>
  <c r="AE98" i="4"/>
  <c r="AE99" i="4" s="1"/>
  <c r="AE100" i="4" s="1"/>
  <c r="AG84" i="4"/>
  <c r="AF88" i="4" s="1"/>
  <c r="AH77" i="4"/>
  <c r="AH78" i="4" s="1"/>
  <c r="AD110" i="4"/>
  <c r="AD109" i="4"/>
  <c r="AC108" i="4"/>
  <c r="AC142" i="4"/>
  <c r="AC148" i="4" s="1"/>
  <c r="AC166" i="4" s="1"/>
  <c r="Z127" i="4"/>
  <c r="Z126" i="4"/>
  <c r="AB115" i="4"/>
  <c r="AB116" i="4" s="1"/>
  <c r="AA115" i="4"/>
  <c r="AA116" i="4" s="1"/>
  <c r="Y129" i="4"/>
  <c r="AB117" i="4" l="1"/>
  <c r="AC112" i="4"/>
  <c r="AC114" i="4" s="1"/>
  <c r="AI104" i="8"/>
  <c r="AH111" i="8"/>
  <c r="AL94" i="8"/>
  <c r="AL151" i="8" s="1"/>
  <c r="AL157" i="8" s="1"/>
  <c r="AL171" i="8" s="1"/>
  <c r="AG118" i="8"/>
  <c r="AF122" i="8" s="1"/>
  <c r="AF123" i="8" s="1"/>
  <c r="AD132" i="8"/>
  <c r="AD133" i="8" s="1"/>
  <c r="AD134" i="8" s="1"/>
  <c r="AD136" i="8" s="1"/>
  <c r="AD161" i="8" s="1"/>
  <c r="AF126" i="8"/>
  <c r="AF127" i="8"/>
  <c r="AE128" i="8"/>
  <c r="AE153" i="8" s="1"/>
  <c r="AE156" i="8" s="1"/>
  <c r="AE170" i="8" s="1"/>
  <c r="AM92" i="8"/>
  <c r="AM89" i="8"/>
  <c r="AM90" i="8" s="1"/>
  <c r="AM94" i="8" s="1"/>
  <c r="AM93" i="8"/>
  <c r="AK97" i="8"/>
  <c r="AE125" i="8"/>
  <c r="AE143" i="8"/>
  <c r="AE146" i="8" s="1"/>
  <c r="AE164" i="8" s="1"/>
  <c r="X174" i="4"/>
  <c r="X186" i="4" s="1"/>
  <c r="X204" i="4" s="1"/>
  <c r="X185" i="4"/>
  <c r="X203" i="4" s="1"/>
  <c r="AH80" i="4"/>
  <c r="AH81" i="4" s="1"/>
  <c r="AH83" i="4" s="1"/>
  <c r="AH79" i="4"/>
  <c r="Y131" i="4"/>
  <c r="AA117" i="4"/>
  <c r="AF91" i="4"/>
  <c r="AF141" i="4"/>
  <c r="AF147" i="4" s="1"/>
  <c r="AF165" i="4" s="1"/>
  <c r="AF89" i="4"/>
  <c r="AF90" i="4" s="1"/>
  <c r="AE101" i="4"/>
  <c r="AD105" i="4" s="1"/>
  <c r="AM151" i="8" l="1"/>
  <c r="AM157" i="8" s="1"/>
  <c r="AM171" i="8" s="1"/>
  <c r="AE129" i="8"/>
  <c r="AE131" i="8" s="1"/>
  <c r="AD174" i="8"/>
  <c r="AD186" i="8" s="1"/>
  <c r="AD204" i="8" s="1"/>
  <c r="AD185" i="8"/>
  <c r="AD203" i="8" s="1"/>
  <c r="AM95" i="8"/>
  <c r="AL95" i="8"/>
  <c r="AH152" i="8"/>
  <c r="AH158" i="8" s="1"/>
  <c r="AH172" i="8" s="1"/>
  <c r="AH112" i="8"/>
  <c r="AK98" i="8"/>
  <c r="AK99" i="8" s="1"/>
  <c r="AK100" i="8" s="1"/>
  <c r="AF125" i="8"/>
  <c r="AF143" i="8"/>
  <c r="AF146" i="8" s="1"/>
  <c r="AF164" i="8" s="1"/>
  <c r="AF124" i="8"/>
  <c r="AI109" i="8"/>
  <c r="AI110" i="8"/>
  <c r="AI105" i="8"/>
  <c r="AI106" i="8" s="1"/>
  <c r="AG87" i="4"/>
  <c r="AF94" i="4"/>
  <c r="AA118" i="4"/>
  <c r="AH84" i="4"/>
  <c r="AG88" i="4" s="1"/>
  <c r="AH167" i="4"/>
  <c r="AI76" i="4"/>
  <c r="AD108" i="4"/>
  <c r="AD142" i="4"/>
  <c r="AD148" i="4" s="1"/>
  <c r="AD166" i="4" s="1"/>
  <c r="AD106" i="4"/>
  <c r="AD107" i="4" s="1"/>
  <c r="Y132" i="4"/>
  <c r="Y133" i="4" s="1"/>
  <c r="Y134" i="4" s="1"/>
  <c r="Y136" i="4" s="1"/>
  <c r="Y161" i="4" s="1"/>
  <c r="AC115" i="4"/>
  <c r="AC116" i="4" s="1"/>
  <c r="AC117" i="4" s="1"/>
  <c r="AK101" i="8" l="1"/>
  <c r="AH114" i="8"/>
  <c r="AG121" i="8"/>
  <c r="AF128" i="8"/>
  <c r="AI108" i="8"/>
  <c r="AI142" i="8"/>
  <c r="AI148" i="8" s="1"/>
  <c r="AI166" i="8" s="1"/>
  <c r="AE132" i="8"/>
  <c r="AE133" i="8" s="1"/>
  <c r="AE134" i="8" s="1"/>
  <c r="AE136" i="8" s="1"/>
  <c r="AE161" i="8" s="1"/>
  <c r="AM97" i="8"/>
  <c r="AL97" i="8"/>
  <c r="AI107" i="8"/>
  <c r="Y185" i="4"/>
  <c r="Y203" i="4" s="1"/>
  <c r="Y174" i="4"/>
  <c r="Y186" i="4" s="1"/>
  <c r="Y204" i="4" s="1"/>
  <c r="AE104" i="4"/>
  <c r="AD111" i="4"/>
  <c r="AG91" i="4"/>
  <c r="AG141" i="4"/>
  <c r="AG147" i="4" s="1"/>
  <c r="AG165" i="4" s="1"/>
  <c r="Z122" i="4"/>
  <c r="AB118" i="4"/>
  <c r="AA122" i="4" s="1"/>
  <c r="AF151" i="4"/>
  <c r="AF157" i="4" s="1"/>
  <c r="AF171" i="4" s="1"/>
  <c r="AF95" i="4"/>
  <c r="AI77" i="4"/>
  <c r="AG93" i="4"/>
  <c r="AG89" i="4"/>
  <c r="AG90" i="4" s="1"/>
  <c r="AG92" i="4"/>
  <c r="AE185" i="8" l="1"/>
  <c r="AE203" i="8" s="1"/>
  <c r="AE174" i="8"/>
  <c r="AE186" i="8" s="1"/>
  <c r="AE204" i="8" s="1"/>
  <c r="AF153" i="8"/>
  <c r="AF156" i="8" s="1"/>
  <c r="AF170" i="8" s="1"/>
  <c r="AF129" i="8"/>
  <c r="AJ104" i="8"/>
  <c r="AJ105" i="8" s="1"/>
  <c r="AI111" i="8"/>
  <c r="AH115" i="8"/>
  <c r="AH116" i="8" s="1"/>
  <c r="AH117" i="8" s="1"/>
  <c r="AG126" i="8"/>
  <c r="AG127" i="8"/>
  <c r="AL98" i="8"/>
  <c r="AL99" i="8" s="1"/>
  <c r="AL100" i="8" s="1"/>
  <c r="AM98" i="8"/>
  <c r="AM99" i="8" s="1"/>
  <c r="AH87" i="4"/>
  <c r="AG94" i="4"/>
  <c r="AG151" i="4" s="1"/>
  <c r="AG157" i="4" s="1"/>
  <c r="AG171" i="4" s="1"/>
  <c r="AA125" i="4"/>
  <c r="AA143" i="4"/>
  <c r="AA146" i="4" s="1"/>
  <c r="AA164" i="4" s="1"/>
  <c r="Z125" i="4"/>
  <c r="Z143" i="4"/>
  <c r="Z146" i="4" s="1"/>
  <c r="Z164" i="4" s="1"/>
  <c r="Z123" i="4"/>
  <c r="Z124" i="4" s="1"/>
  <c r="AD152" i="4"/>
  <c r="AD158" i="4" s="1"/>
  <c r="AD172" i="4" s="1"/>
  <c r="AD112" i="4"/>
  <c r="AI80" i="4"/>
  <c r="AI81" i="4" s="1"/>
  <c r="AI83" i="4" s="1"/>
  <c r="AC118" i="4"/>
  <c r="AB122" i="4" s="1"/>
  <c r="AI78" i="4"/>
  <c r="AI79" i="4" s="1"/>
  <c r="AE110" i="4"/>
  <c r="AE109" i="4"/>
  <c r="AF97" i="4"/>
  <c r="AM100" i="8" l="1"/>
  <c r="AH118" i="8"/>
  <c r="AG122" i="8" s="1"/>
  <c r="AI152" i="8"/>
  <c r="AI158" i="8" s="1"/>
  <c r="AI172" i="8" s="1"/>
  <c r="AI112" i="8"/>
  <c r="AJ108" i="8"/>
  <c r="AJ142" i="8"/>
  <c r="AJ148" i="8" s="1"/>
  <c r="AJ166" i="8" s="1"/>
  <c r="AJ110" i="8"/>
  <c r="AJ109" i="8"/>
  <c r="AJ106" i="8"/>
  <c r="AJ107" i="8" s="1"/>
  <c r="AK104" i="8" s="1"/>
  <c r="AL101" i="8"/>
  <c r="AM101" i="8" s="1"/>
  <c r="AF131" i="8"/>
  <c r="AA121" i="4"/>
  <c r="Z128" i="4"/>
  <c r="Z153" i="4" s="1"/>
  <c r="Z156" i="4" s="1"/>
  <c r="Z170" i="4" s="1"/>
  <c r="AI167" i="4"/>
  <c r="AJ76" i="4"/>
  <c r="AI84" i="4"/>
  <c r="AH88" i="4" s="1"/>
  <c r="AB125" i="4"/>
  <c r="AB143" i="4"/>
  <c r="AB146" i="4" s="1"/>
  <c r="AB164" i="4" s="1"/>
  <c r="AD114" i="4"/>
  <c r="AH93" i="4"/>
  <c r="AH92" i="4"/>
  <c r="AF98" i="4"/>
  <c r="AF99" i="4" s="1"/>
  <c r="AF100" i="4" s="1"/>
  <c r="AG95" i="4"/>
  <c r="Z129" i="4" l="1"/>
  <c r="AJ111" i="8"/>
  <c r="AJ152" i="8" s="1"/>
  <c r="AJ158" i="8" s="1"/>
  <c r="AJ172" i="8" s="1"/>
  <c r="AK110" i="8"/>
  <c r="AK109" i="8"/>
  <c r="AF132" i="8"/>
  <c r="AF133" i="8" s="1"/>
  <c r="AF134" i="8" s="1"/>
  <c r="AF136" i="8" s="1"/>
  <c r="AF161" i="8" s="1"/>
  <c r="AG125" i="8"/>
  <c r="AG143" i="8"/>
  <c r="AG146" i="8" s="1"/>
  <c r="AG164" i="8" s="1"/>
  <c r="AG123" i="8"/>
  <c r="AG124" i="8" s="1"/>
  <c r="AI114" i="8"/>
  <c r="AK105" i="8"/>
  <c r="AK106" i="8" s="1"/>
  <c r="AK107" i="8" s="1"/>
  <c r="AF101" i="4"/>
  <c r="AE105" i="4" s="1"/>
  <c r="AG97" i="4"/>
  <c r="AH91" i="4"/>
  <c r="AH141" i="4"/>
  <c r="AH147" i="4" s="1"/>
  <c r="AH165" i="4" s="1"/>
  <c r="AD115" i="4"/>
  <c r="AD116" i="4" s="1"/>
  <c r="AD117" i="4" s="1"/>
  <c r="Z131" i="4"/>
  <c r="AH89" i="4"/>
  <c r="AH90" i="4" s="1"/>
  <c r="AJ77" i="4"/>
  <c r="AJ78" i="4" s="1"/>
  <c r="AA127" i="4"/>
  <c r="AA123" i="4"/>
  <c r="AA124" i="4" s="1"/>
  <c r="AA126" i="4"/>
  <c r="AJ112" i="8" l="1"/>
  <c r="AJ114" i="8" s="1"/>
  <c r="AB121" i="4"/>
  <c r="AB126" i="4" s="1"/>
  <c r="AA128" i="4"/>
  <c r="AA153" i="4" s="1"/>
  <c r="AA156" i="4" s="1"/>
  <c r="AA170" i="4" s="1"/>
  <c r="AL104" i="8"/>
  <c r="AK111" i="8"/>
  <c r="AK152" i="8" s="1"/>
  <c r="AK158" i="8" s="1"/>
  <c r="AK172" i="8" s="1"/>
  <c r="AH121" i="8"/>
  <c r="AG128" i="8"/>
  <c r="AJ115" i="8"/>
  <c r="AJ116" i="8" s="1"/>
  <c r="AF185" i="8"/>
  <c r="AF203" i="8" s="1"/>
  <c r="AF174" i="8"/>
  <c r="AF186" i="8" s="1"/>
  <c r="AF204" i="8" s="1"/>
  <c r="AK108" i="8"/>
  <c r="AK142" i="8"/>
  <c r="AK148" i="8" s="1"/>
  <c r="AK166" i="8" s="1"/>
  <c r="AI115" i="8"/>
  <c r="AI116" i="8" s="1"/>
  <c r="AI117" i="8" s="1"/>
  <c r="AG98" i="4"/>
  <c r="AG99" i="4" s="1"/>
  <c r="AG100" i="4" s="1"/>
  <c r="AD118" i="4"/>
  <c r="AC122" i="4" s="1"/>
  <c r="AI87" i="4"/>
  <c r="AH94" i="4"/>
  <c r="AH151" i="4" s="1"/>
  <c r="AH157" i="4" s="1"/>
  <c r="AH171" i="4" s="1"/>
  <c r="AJ80" i="4"/>
  <c r="AJ81" i="4" s="1"/>
  <c r="AJ83" i="4" s="1"/>
  <c r="AJ79" i="4"/>
  <c r="AA129" i="4"/>
  <c r="Z132" i="4"/>
  <c r="Z133" i="4" s="1"/>
  <c r="Z134" i="4" s="1"/>
  <c r="Z136" i="4" s="1"/>
  <c r="Z161" i="4" s="1"/>
  <c r="AE108" i="4"/>
  <c r="AE142" i="4"/>
  <c r="AE148" i="4" s="1"/>
  <c r="AE166" i="4" s="1"/>
  <c r="AE106" i="4"/>
  <c r="AE107" i="4" s="1"/>
  <c r="AB127" i="4" l="1"/>
  <c r="AB123" i="4"/>
  <c r="AB124" i="4" s="1"/>
  <c r="AK112" i="8"/>
  <c r="AK114" i="8" s="1"/>
  <c r="AI118" i="8"/>
  <c r="AH122" i="8" s="1"/>
  <c r="AH123" i="8" s="1"/>
  <c r="AH124" i="8" s="1"/>
  <c r="AI121" i="8" s="1"/>
  <c r="AH126" i="8"/>
  <c r="AH127" i="8"/>
  <c r="AJ117" i="8"/>
  <c r="AG153" i="8"/>
  <c r="AG156" i="8" s="1"/>
  <c r="AG170" i="8" s="1"/>
  <c r="AG129" i="8"/>
  <c r="AL109" i="8"/>
  <c r="AL110" i="8"/>
  <c r="AL105" i="8"/>
  <c r="AL106" i="8" s="1"/>
  <c r="Z185" i="4"/>
  <c r="Z203" i="4" s="1"/>
  <c r="Z174" i="4"/>
  <c r="Z186" i="4" s="1"/>
  <c r="Z204" i="4" s="1"/>
  <c r="AJ84" i="4"/>
  <c r="AI88" i="4" s="1"/>
  <c r="AI89" i="4" s="1"/>
  <c r="AI90" i="4" s="1"/>
  <c r="AC121" i="4"/>
  <c r="AB128" i="4"/>
  <c r="AB153" i="4" s="1"/>
  <c r="AB156" i="4" s="1"/>
  <c r="AB170" i="4" s="1"/>
  <c r="AF104" i="4"/>
  <c r="AE111" i="4"/>
  <c r="AG101" i="4"/>
  <c r="AF105" i="4" s="1"/>
  <c r="AJ167" i="4"/>
  <c r="AK76" i="4"/>
  <c r="AA131" i="4"/>
  <c r="AI93" i="4"/>
  <c r="AI92" i="4"/>
  <c r="AC125" i="4"/>
  <c r="AC143" i="4"/>
  <c r="AC146" i="4" s="1"/>
  <c r="AC164" i="4" s="1"/>
  <c r="AH95" i="4"/>
  <c r="AK115" i="8" l="1"/>
  <c r="AK116" i="8" s="1"/>
  <c r="AK117" i="8" s="1"/>
  <c r="AJ118" i="8"/>
  <c r="AI122" i="8" s="1"/>
  <c r="AI123" i="8" s="1"/>
  <c r="AI124" i="8" s="1"/>
  <c r="AB129" i="4"/>
  <c r="AB131" i="4" s="1"/>
  <c r="AL108" i="8"/>
  <c r="AL142" i="8"/>
  <c r="AL148" i="8" s="1"/>
  <c r="AL166" i="8" s="1"/>
  <c r="AM142" i="8"/>
  <c r="AM148" i="8" s="1"/>
  <c r="AM166" i="8" s="1"/>
  <c r="AH128" i="8"/>
  <c r="AH153" i="8" s="1"/>
  <c r="AH156" i="8" s="1"/>
  <c r="AH170" i="8" s="1"/>
  <c r="AI127" i="8"/>
  <c r="AI126" i="8"/>
  <c r="AL107" i="8"/>
  <c r="AH125" i="8"/>
  <c r="AH143" i="8"/>
  <c r="AH146" i="8" s="1"/>
  <c r="AH164" i="8" s="1"/>
  <c r="AG131" i="8"/>
  <c r="AJ87" i="4"/>
  <c r="AI94" i="4"/>
  <c r="AI151" i="4" s="1"/>
  <c r="AI157" i="4" s="1"/>
  <c r="AI171" i="4" s="1"/>
  <c r="AC126" i="4"/>
  <c r="AC123" i="4"/>
  <c r="AC124" i="4" s="1"/>
  <c r="AC127" i="4"/>
  <c r="AF108" i="4"/>
  <c r="AF142" i="4"/>
  <c r="AF148" i="4" s="1"/>
  <c r="AF166" i="4" s="1"/>
  <c r="AF110" i="4"/>
  <c r="AF106" i="4"/>
  <c r="AF107" i="4" s="1"/>
  <c r="AF109" i="4"/>
  <c r="AI91" i="4"/>
  <c r="AI141" i="4"/>
  <c r="AI147" i="4" s="1"/>
  <c r="AI165" i="4" s="1"/>
  <c r="AK77" i="4"/>
  <c r="AE152" i="4"/>
  <c r="AE158" i="4" s="1"/>
  <c r="AE172" i="4" s="1"/>
  <c r="AE112" i="4"/>
  <c r="AH97" i="4"/>
  <c r="AA132" i="4"/>
  <c r="AA133" i="4" s="1"/>
  <c r="AA134" i="4" s="1"/>
  <c r="AA136" i="4" s="1"/>
  <c r="AA161" i="4" s="1"/>
  <c r="AH129" i="8" l="1"/>
  <c r="AJ121" i="8"/>
  <c r="AI128" i="8"/>
  <c r="AI153" i="8" s="1"/>
  <c r="AI156" i="8" s="1"/>
  <c r="AI170" i="8" s="1"/>
  <c r="AH131" i="8"/>
  <c r="AK118" i="8"/>
  <c r="AI95" i="4"/>
  <c r="AI97" i="4" s="1"/>
  <c r="AI98" i="4" s="1"/>
  <c r="AI99" i="4" s="1"/>
  <c r="AG132" i="8"/>
  <c r="AG133" i="8" s="1"/>
  <c r="AG134" i="8" s="1"/>
  <c r="AG136" i="8" s="1"/>
  <c r="AG161" i="8" s="1"/>
  <c r="AM104" i="8"/>
  <c r="AL111" i="8"/>
  <c r="AL152" i="8" s="1"/>
  <c r="AL158" i="8" s="1"/>
  <c r="AL172" i="8" s="1"/>
  <c r="AI125" i="8"/>
  <c r="AI129" i="8" s="1"/>
  <c r="AI143" i="8"/>
  <c r="AI146" i="8" s="1"/>
  <c r="AI164" i="8" s="1"/>
  <c r="AA185" i="4"/>
  <c r="AA203" i="4" s="1"/>
  <c r="AA174" i="4"/>
  <c r="AA186" i="4" s="1"/>
  <c r="AA204" i="4" s="1"/>
  <c r="AG104" i="4"/>
  <c r="AF111" i="4"/>
  <c r="AF152" i="4" s="1"/>
  <c r="AF158" i="4" s="1"/>
  <c r="AF172" i="4" s="1"/>
  <c r="AD121" i="4"/>
  <c r="AC128" i="4"/>
  <c r="AC153" i="4" s="1"/>
  <c r="AC156" i="4" s="1"/>
  <c r="AC170" i="4" s="1"/>
  <c r="AK80" i="4"/>
  <c r="AK81" i="4" s="1"/>
  <c r="AK83" i="4" s="1"/>
  <c r="AB132" i="4"/>
  <c r="AB133" i="4" s="1"/>
  <c r="AB134" i="4" s="1"/>
  <c r="AB136" i="4" s="1"/>
  <c r="AB161" i="4" s="1"/>
  <c r="AE114" i="4"/>
  <c r="AJ93" i="4"/>
  <c r="AJ92" i="4"/>
  <c r="AH98" i="4"/>
  <c r="AH99" i="4" s="1"/>
  <c r="AH100" i="4" s="1"/>
  <c r="AK78" i="4"/>
  <c r="AK79" i="4" s="1"/>
  <c r="AJ122" i="8" l="1"/>
  <c r="AI100" i="4"/>
  <c r="AL112" i="8"/>
  <c r="AL114" i="8" s="1"/>
  <c r="AI131" i="8"/>
  <c r="AG185" i="8"/>
  <c r="AG203" i="8" s="1"/>
  <c r="AG174" i="8"/>
  <c r="AG186" i="8" s="1"/>
  <c r="AG204" i="8" s="1"/>
  <c r="AM106" i="8"/>
  <c r="AM107" i="8" s="1"/>
  <c r="AM111" i="8" s="1"/>
  <c r="AM152" i="8" s="1"/>
  <c r="AM158" i="8" s="1"/>
  <c r="AM172" i="8" s="1"/>
  <c r="AM109" i="8"/>
  <c r="AM110" i="8"/>
  <c r="AJ125" i="8"/>
  <c r="AJ143" i="8"/>
  <c r="AJ146" i="8" s="1"/>
  <c r="AJ164" i="8" s="1"/>
  <c r="AC129" i="4"/>
  <c r="AC131" i="4" s="1"/>
  <c r="AH132" i="8"/>
  <c r="AH133" i="8" s="1"/>
  <c r="AH134" i="8" s="1"/>
  <c r="AH136" i="8" s="1"/>
  <c r="AH161" i="8" s="1"/>
  <c r="AJ127" i="8"/>
  <c r="AJ126" i="8"/>
  <c r="AJ123" i="8"/>
  <c r="AJ124" i="8" s="1"/>
  <c r="AB185" i="4"/>
  <c r="AB203" i="4" s="1"/>
  <c r="AB174" i="4"/>
  <c r="AB186" i="4" s="1"/>
  <c r="AB204" i="4" s="1"/>
  <c r="AK167" i="4"/>
  <c r="AL76" i="4"/>
  <c r="AK84" i="4"/>
  <c r="AJ88" i="4" s="1"/>
  <c r="AE115" i="4"/>
  <c r="AE116" i="4" s="1"/>
  <c r="AE117" i="4" s="1"/>
  <c r="AH101" i="4"/>
  <c r="AG105" i="4" s="1"/>
  <c r="AG106" i="4" s="1"/>
  <c r="AG107" i="4" s="1"/>
  <c r="AD126" i="4"/>
  <c r="AD127" i="4"/>
  <c r="AG109" i="4"/>
  <c r="AG110" i="4"/>
  <c r="AF112" i="4"/>
  <c r="AK121" i="8" l="1"/>
  <c r="AJ128" i="8"/>
  <c r="AH185" i="8"/>
  <c r="AH203" i="8" s="1"/>
  <c r="AH174" i="8"/>
  <c r="AH186" i="8" s="1"/>
  <c r="AH204" i="8" s="1"/>
  <c r="AM112" i="8"/>
  <c r="AM114" i="8" s="1"/>
  <c r="AL115" i="8"/>
  <c r="AL116" i="8" s="1"/>
  <c r="AL117" i="8" s="1"/>
  <c r="AI132" i="8"/>
  <c r="AI133" i="8" s="1"/>
  <c r="AI134" i="8" s="1"/>
  <c r="AI136" i="8" s="1"/>
  <c r="AI161" i="8" s="1"/>
  <c r="AH104" i="4"/>
  <c r="AG111" i="4"/>
  <c r="AG152" i="4" s="1"/>
  <c r="AG158" i="4" s="1"/>
  <c r="AG172" i="4" s="1"/>
  <c r="AJ91" i="4"/>
  <c r="AJ141" i="4"/>
  <c r="AJ147" i="4" s="1"/>
  <c r="AJ165" i="4" s="1"/>
  <c r="AJ89" i="4"/>
  <c r="AJ90" i="4" s="1"/>
  <c r="AE118" i="4"/>
  <c r="AD122" i="4" s="1"/>
  <c r="AC132" i="4"/>
  <c r="AC133" i="4" s="1"/>
  <c r="AC134" i="4" s="1"/>
  <c r="AC136" i="4" s="1"/>
  <c r="AC161" i="4" s="1"/>
  <c r="AL77" i="4"/>
  <c r="AL78" i="4" s="1"/>
  <c r="AG108" i="4"/>
  <c r="AG142" i="4"/>
  <c r="AG148" i="4" s="1"/>
  <c r="AG166" i="4" s="1"/>
  <c r="AI101" i="4"/>
  <c r="AH105" i="4" s="1"/>
  <c r="AF114" i="4"/>
  <c r="AL118" i="8" l="1"/>
  <c r="AK122" i="8" s="1"/>
  <c r="AK123" i="8" s="1"/>
  <c r="AK124" i="8" s="1"/>
  <c r="AM115" i="8"/>
  <c r="AM116" i="8" s="1"/>
  <c r="AM117" i="8" s="1"/>
  <c r="AI185" i="8"/>
  <c r="AI203" i="8" s="1"/>
  <c r="AI174" i="8"/>
  <c r="AI186" i="8" s="1"/>
  <c r="AI204" i="8" s="1"/>
  <c r="AG112" i="4"/>
  <c r="AG114" i="4" s="1"/>
  <c r="AG115" i="4" s="1"/>
  <c r="AG116" i="4" s="1"/>
  <c r="AJ153" i="8"/>
  <c r="AJ156" i="8" s="1"/>
  <c r="AJ170" i="8" s="1"/>
  <c r="AJ129" i="8"/>
  <c r="AK127" i="8"/>
  <c r="AK126" i="8"/>
  <c r="AC185" i="4"/>
  <c r="AC203" i="4" s="1"/>
  <c r="AC174" i="4"/>
  <c r="AC186" i="4" s="1"/>
  <c r="AC204" i="4" s="1"/>
  <c r="AK87" i="4"/>
  <c r="AJ94" i="4"/>
  <c r="AJ151" i="4" s="1"/>
  <c r="AJ157" i="4" s="1"/>
  <c r="AJ171" i="4" s="1"/>
  <c r="AL80" i="4"/>
  <c r="AL81" i="4" s="1"/>
  <c r="AL83" i="4" s="1"/>
  <c r="AD125" i="4"/>
  <c r="AD143" i="4"/>
  <c r="AD146" i="4" s="1"/>
  <c r="AD164" i="4" s="1"/>
  <c r="AD123" i="4"/>
  <c r="AD124" i="4" s="1"/>
  <c r="AF115" i="4"/>
  <c r="AF116" i="4" s="1"/>
  <c r="AF117" i="4" s="1"/>
  <c r="AH108" i="4"/>
  <c r="AH142" i="4"/>
  <c r="AH148" i="4" s="1"/>
  <c r="AH166" i="4" s="1"/>
  <c r="AL79" i="4"/>
  <c r="AH106" i="4"/>
  <c r="AH107" i="4" s="1"/>
  <c r="AI104" i="4" s="1"/>
  <c r="AH110" i="4"/>
  <c r="AH109" i="4"/>
  <c r="AJ95" i="4" l="1"/>
  <c r="AG117" i="4"/>
  <c r="AL121" i="8"/>
  <c r="AK128" i="8"/>
  <c r="AK153" i="8" s="1"/>
  <c r="AK156" i="8" s="1"/>
  <c r="AK170" i="8" s="1"/>
  <c r="AM118" i="8"/>
  <c r="AJ131" i="8"/>
  <c r="AK125" i="8"/>
  <c r="AK143" i="8"/>
  <c r="AK146" i="8" s="1"/>
  <c r="AK164" i="8" s="1"/>
  <c r="AF118" i="4"/>
  <c r="AE122" i="4" s="1"/>
  <c r="AI109" i="4"/>
  <c r="AI110" i="4"/>
  <c r="AL84" i="4"/>
  <c r="AK88" i="4" s="1"/>
  <c r="AJ97" i="4"/>
  <c r="AK93" i="4"/>
  <c r="AK92" i="4"/>
  <c r="AE121" i="4"/>
  <c r="AD128" i="4"/>
  <c r="AH111" i="4"/>
  <c r="AH152" i="4" s="1"/>
  <c r="AH158" i="4" s="1"/>
  <c r="AH172" i="4" s="1"/>
  <c r="AL167" i="4"/>
  <c r="AM76" i="4"/>
  <c r="AL122" i="8" l="1"/>
  <c r="AK129" i="8"/>
  <c r="AK131" i="8" s="1"/>
  <c r="AJ132" i="8"/>
  <c r="AJ133" i="8" s="1"/>
  <c r="AJ134" i="8" s="1"/>
  <c r="AJ136" i="8" s="1"/>
  <c r="AJ161" i="8" s="1"/>
  <c r="AL125" i="8"/>
  <c r="AM143" i="8"/>
  <c r="AM146" i="8" s="1"/>
  <c r="AM164" i="8" s="1"/>
  <c r="AL143" i="8"/>
  <c r="AL146" i="8" s="1"/>
  <c r="AL164" i="8" s="1"/>
  <c r="AL126" i="8"/>
  <c r="AL127" i="8"/>
  <c r="AL123" i="8"/>
  <c r="AL124" i="8" s="1"/>
  <c r="AK91" i="4"/>
  <c r="AK141" i="4"/>
  <c r="AK147" i="4" s="1"/>
  <c r="AK165" i="4" s="1"/>
  <c r="AD153" i="4"/>
  <c r="AD156" i="4" s="1"/>
  <c r="AD170" i="4" s="1"/>
  <c r="AD129" i="4"/>
  <c r="AK89" i="4"/>
  <c r="AK90" i="4" s="1"/>
  <c r="AE125" i="4"/>
  <c r="AE143" i="4"/>
  <c r="AE146" i="4" s="1"/>
  <c r="AE164" i="4" s="1"/>
  <c r="AM77" i="4"/>
  <c r="AE126" i="4"/>
  <c r="AE123" i="4"/>
  <c r="AE124" i="4" s="1"/>
  <c r="AF121" i="4" s="1"/>
  <c r="AE127" i="4"/>
  <c r="AG118" i="4"/>
  <c r="AF122" i="4" s="1"/>
  <c r="AJ98" i="4"/>
  <c r="AJ99" i="4" s="1"/>
  <c r="AJ100" i="4" s="1"/>
  <c r="AH112" i="4"/>
  <c r="AM121" i="8" l="1"/>
  <c r="AL128" i="8"/>
  <c r="AJ185" i="8"/>
  <c r="AJ203" i="8" s="1"/>
  <c r="AJ174" i="8"/>
  <c r="AJ186" i="8" s="1"/>
  <c r="AJ204" i="8" s="1"/>
  <c r="AK132" i="8"/>
  <c r="AK133" i="8" s="1"/>
  <c r="AK134" i="8" s="1"/>
  <c r="AK136" i="8" s="1"/>
  <c r="AK161" i="8" s="1"/>
  <c r="AJ101" i="4"/>
  <c r="AI105" i="4" s="1"/>
  <c r="AH114" i="4"/>
  <c r="AF123" i="4"/>
  <c r="AF124" i="4" s="1"/>
  <c r="AG121" i="4" s="1"/>
  <c r="AF127" i="4"/>
  <c r="AF126" i="4"/>
  <c r="AD131" i="4"/>
  <c r="AM80" i="4"/>
  <c r="AM81" i="4" s="1"/>
  <c r="AM83" i="4" s="1"/>
  <c r="AL87" i="4"/>
  <c r="AK94" i="4"/>
  <c r="AK151" i="4" s="1"/>
  <c r="AK157" i="4" s="1"/>
  <c r="AK171" i="4" s="1"/>
  <c r="AF125" i="4"/>
  <c r="AF143" i="4"/>
  <c r="AF146" i="4" s="1"/>
  <c r="AF164" i="4" s="1"/>
  <c r="AE128" i="4"/>
  <c r="AE153" i="4" s="1"/>
  <c r="AE156" i="4" s="1"/>
  <c r="AE170" i="4" s="1"/>
  <c r="AM78" i="4"/>
  <c r="AM79" i="4" s="1"/>
  <c r="AM167" i="4" s="1"/>
  <c r="AK174" i="8" l="1"/>
  <c r="AK186" i="8" s="1"/>
  <c r="AK204" i="8" s="1"/>
  <c r="AK185" i="8"/>
  <c r="AK203" i="8" s="1"/>
  <c r="AL153" i="8"/>
  <c r="AL156" i="8" s="1"/>
  <c r="AL170" i="8" s="1"/>
  <c r="AL129" i="8"/>
  <c r="AM127" i="8"/>
  <c r="AM123" i="8"/>
  <c r="AM124" i="8" s="1"/>
  <c r="AM128" i="8" s="1"/>
  <c r="AM153" i="8" s="1"/>
  <c r="AM156" i="8" s="1"/>
  <c r="AM170" i="8" s="1"/>
  <c r="AM126" i="8"/>
  <c r="AG126" i="4"/>
  <c r="AG127" i="4"/>
  <c r="AF128" i="4"/>
  <c r="AF153" i="4" s="1"/>
  <c r="AF156" i="4" s="1"/>
  <c r="AF170" i="4" s="1"/>
  <c r="AL93" i="4"/>
  <c r="AL92" i="4"/>
  <c r="AH115" i="4"/>
  <c r="AH116" i="4" s="1"/>
  <c r="AH117" i="4" s="1"/>
  <c r="AM84" i="4"/>
  <c r="AL88" i="4" s="1"/>
  <c r="AL89" i="4" s="1"/>
  <c r="AL90" i="4" s="1"/>
  <c r="AK95" i="4"/>
  <c r="AI108" i="4"/>
  <c r="AI142" i="4"/>
  <c r="AI148" i="4" s="1"/>
  <c r="AI166" i="4" s="1"/>
  <c r="AI106" i="4"/>
  <c r="AI107" i="4" s="1"/>
  <c r="AD132" i="4"/>
  <c r="AD133" i="4" s="1"/>
  <c r="AD134" i="4" s="1"/>
  <c r="AD136" i="4" s="1"/>
  <c r="AD161" i="4" s="1"/>
  <c r="AE129" i="4"/>
  <c r="AM87" i="4" l="1"/>
  <c r="AL94" i="4"/>
  <c r="AL151" i="4" s="1"/>
  <c r="AL157" i="4" s="1"/>
  <c r="AL171" i="4" s="1"/>
  <c r="AM129" i="8"/>
  <c r="AM131" i="8" s="1"/>
  <c r="AL131" i="8"/>
  <c r="AH118" i="4"/>
  <c r="AG122" i="4" s="1"/>
  <c r="AD174" i="4"/>
  <c r="AD186" i="4" s="1"/>
  <c r="AD204" i="4" s="1"/>
  <c r="AD185" i="4"/>
  <c r="AD203" i="4" s="1"/>
  <c r="AJ104" i="4"/>
  <c r="AI111" i="4"/>
  <c r="AI152" i="4" s="1"/>
  <c r="AI158" i="4" s="1"/>
  <c r="AI172" i="4" s="1"/>
  <c r="AM93" i="4"/>
  <c r="AM89" i="4"/>
  <c r="AM90" i="4" s="1"/>
  <c r="AM94" i="4" s="1"/>
  <c r="AM151" i="4" s="1"/>
  <c r="AM157" i="4" s="1"/>
  <c r="AM171" i="4" s="1"/>
  <c r="AM92" i="4"/>
  <c r="AL91" i="4"/>
  <c r="AL141" i="4"/>
  <c r="AL147" i="4" s="1"/>
  <c r="AL165" i="4" s="1"/>
  <c r="AM141" i="4"/>
  <c r="AM147" i="4" s="1"/>
  <c r="AM165" i="4" s="1"/>
  <c r="AK97" i="4"/>
  <c r="AE131" i="4"/>
  <c r="AF129" i="4"/>
  <c r="AF131" i="4" s="1"/>
  <c r="AL95" i="4" l="1"/>
  <c r="AL132" i="8"/>
  <c r="AL133" i="8" s="1"/>
  <c r="AL134" i="8" s="1"/>
  <c r="AL136" i="8" s="1"/>
  <c r="AL161" i="8" s="1"/>
  <c r="AM132" i="8"/>
  <c r="AM133" i="8" s="1"/>
  <c r="AM134" i="8" s="1"/>
  <c r="AM136" i="8" s="1"/>
  <c r="AM161" i="8" s="1"/>
  <c r="AL97" i="4"/>
  <c r="AF132" i="4"/>
  <c r="AF133" i="4" s="1"/>
  <c r="AM95" i="4"/>
  <c r="AM97" i="4" s="1"/>
  <c r="AE132" i="4"/>
  <c r="AE133" i="4" s="1"/>
  <c r="AE134" i="4" s="1"/>
  <c r="AE136" i="4" s="1"/>
  <c r="AE161" i="4" s="1"/>
  <c r="AG125" i="4"/>
  <c r="AG143" i="4"/>
  <c r="AG146" i="4" s="1"/>
  <c r="AG164" i="4" s="1"/>
  <c r="AG123" i="4"/>
  <c r="AG124" i="4" s="1"/>
  <c r="AI112" i="4"/>
  <c r="AJ109" i="4"/>
  <c r="AJ110" i="4"/>
  <c r="AK98" i="4"/>
  <c r="AK99" i="4" s="1"/>
  <c r="AK100" i="4" s="1"/>
  <c r="AM174" i="8" l="1"/>
  <c r="AM186" i="8" s="1"/>
  <c r="AM204" i="8" s="1"/>
  <c r="AM185" i="8"/>
  <c r="AM203" i="8" s="1"/>
  <c r="AL174" i="8"/>
  <c r="AL186" i="8" s="1"/>
  <c r="AL204" i="8" s="1"/>
  <c r="AL185" i="8"/>
  <c r="AL203" i="8" s="1"/>
  <c r="AK101" i="4"/>
  <c r="AJ105" i="4" s="1"/>
  <c r="AH121" i="4"/>
  <c r="AG128" i="4"/>
  <c r="AG153" i="4" s="1"/>
  <c r="AG156" i="4" s="1"/>
  <c r="AG170" i="4" s="1"/>
  <c r="AM98" i="4"/>
  <c r="AM99" i="4" s="1"/>
  <c r="AE174" i="4"/>
  <c r="AE186" i="4" s="1"/>
  <c r="AE204" i="4" s="1"/>
  <c r="AE185" i="4"/>
  <c r="AE203" i="4" s="1"/>
  <c r="AI114" i="4"/>
  <c r="AF134" i="4"/>
  <c r="AF136" i="4" s="1"/>
  <c r="AF161" i="4" s="1"/>
  <c r="AL98" i="4"/>
  <c r="AL99" i="4" s="1"/>
  <c r="AL100" i="4" s="1"/>
  <c r="AM100" i="4" l="1"/>
  <c r="AL101" i="4"/>
  <c r="AK105" i="4" s="1"/>
  <c r="AF174" i="4"/>
  <c r="AF186" i="4" s="1"/>
  <c r="AF204" i="4" s="1"/>
  <c r="AF185" i="4"/>
  <c r="AF203" i="4" s="1"/>
  <c r="AH127" i="4"/>
  <c r="AH126" i="4"/>
  <c r="AG129" i="4"/>
  <c r="AI115" i="4"/>
  <c r="AI116" i="4" s="1"/>
  <c r="AI117" i="4" s="1"/>
  <c r="AJ108" i="4"/>
  <c r="AJ142" i="4"/>
  <c r="AJ148" i="4" s="1"/>
  <c r="AJ166" i="4" s="1"/>
  <c r="AJ106" i="4"/>
  <c r="AJ107" i="4" s="1"/>
  <c r="AM101" i="4" l="1"/>
  <c r="AL105" i="4" s="1"/>
  <c r="AI118" i="4"/>
  <c r="AH122" i="4" s="1"/>
  <c r="AG131" i="4"/>
  <c r="AK104" i="4"/>
  <c r="AJ111" i="4"/>
  <c r="AJ152" i="4" s="1"/>
  <c r="AJ158" i="4" s="1"/>
  <c r="AJ172" i="4" s="1"/>
  <c r="AL108" i="4"/>
  <c r="AM142" i="4"/>
  <c r="AM148" i="4" s="1"/>
  <c r="AM166" i="4" s="1"/>
  <c r="AL142" i="4"/>
  <c r="AL148" i="4" s="1"/>
  <c r="AL166" i="4" s="1"/>
  <c r="AK108" i="4"/>
  <c r="AK142" i="4"/>
  <c r="AK148" i="4" s="1"/>
  <c r="AK166" i="4" s="1"/>
  <c r="AH125" i="4" l="1"/>
  <c r="AH143" i="4"/>
  <c r="AH146" i="4" s="1"/>
  <c r="AH164" i="4" s="1"/>
  <c r="AH123" i="4"/>
  <c r="AH124" i="4" s="1"/>
  <c r="AK110" i="4"/>
  <c r="AK109" i="4"/>
  <c r="AK106" i="4"/>
  <c r="AK107" i="4" s="1"/>
  <c r="AG132" i="4"/>
  <c r="AG133" i="4" s="1"/>
  <c r="AG134" i="4" s="1"/>
  <c r="AG136" i="4" s="1"/>
  <c r="AG161" i="4" s="1"/>
  <c r="AJ112" i="4"/>
  <c r="AL104" i="4" l="1"/>
  <c r="AK111" i="4"/>
  <c r="AK152" i="4" s="1"/>
  <c r="AK158" i="4" s="1"/>
  <c r="AK172" i="4" s="1"/>
  <c r="AG174" i="4"/>
  <c r="AG186" i="4" s="1"/>
  <c r="AG204" i="4" s="1"/>
  <c r="AG185" i="4"/>
  <c r="AG203" i="4" s="1"/>
  <c r="AK112" i="4"/>
  <c r="AI121" i="4"/>
  <c r="AH128" i="4"/>
  <c r="AH153" i="4" s="1"/>
  <c r="AH156" i="4" s="1"/>
  <c r="AH170" i="4" s="1"/>
  <c r="AK114" i="4"/>
  <c r="AJ114" i="4"/>
  <c r="AJ115" i="4" l="1"/>
  <c r="AJ116" i="4" s="1"/>
  <c r="AJ117" i="4" s="1"/>
  <c r="AK115" i="4"/>
  <c r="AK116" i="4" s="1"/>
  <c r="AK117" i="4" s="1"/>
  <c r="AI127" i="4"/>
  <c r="AI126" i="4"/>
  <c r="AH129" i="4"/>
  <c r="AL110" i="4"/>
  <c r="AL106" i="4"/>
  <c r="AL107" i="4" s="1"/>
  <c r="AM104" i="4" s="1"/>
  <c r="AL109" i="4"/>
  <c r="AJ118" i="4" l="1"/>
  <c r="AI122" i="4" s="1"/>
  <c r="AM110" i="4"/>
  <c r="AM106" i="4"/>
  <c r="AM107" i="4" s="1"/>
  <c r="AM111" i="4" s="1"/>
  <c r="AM109" i="4"/>
  <c r="AH131" i="4"/>
  <c r="AL111" i="4"/>
  <c r="AL152" i="4" s="1"/>
  <c r="AL158" i="4" s="1"/>
  <c r="AL172" i="4" s="1"/>
  <c r="AM152" i="4" l="1"/>
  <c r="AM158" i="4" s="1"/>
  <c r="AM172" i="4" s="1"/>
  <c r="AL112" i="4"/>
  <c r="AL114" i="4" s="1"/>
  <c r="AI125" i="4"/>
  <c r="AI143" i="4"/>
  <c r="AI146" i="4" s="1"/>
  <c r="AI164" i="4" s="1"/>
  <c r="AI123" i="4"/>
  <c r="AI124" i="4" s="1"/>
  <c r="AM112" i="4"/>
  <c r="AK118" i="4"/>
  <c r="AJ122" i="4" s="1"/>
  <c r="AH132" i="4"/>
  <c r="AH133" i="4" s="1"/>
  <c r="AH134" i="4" s="1"/>
  <c r="AH136" i="4" s="1"/>
  <c r="AH161" i="4" s="1"/>
  <c r="AM114" i="4" l="1"/>
  <c r="AM115" i="4" s="1"/>
  <c r="AM116" i="4" s="1"/>
  <c r="AH185" i="4"/>
  <c r="AH203" i="4" s="1"/>
  <c r="AH174" i="4"/>
  <c r="AH186" i="4" s="1"/>
  <c r="AH204" i="4" s="1"/>
  <c r="AJ125" i="4"/>
  <c r="AJ143" i="4"/>
  <c r="AJ146" i="4" s="1"/>
  <c r="AJ164" i="4" s="1"/>
  <c r="AJ121" i="4"/>
  <c r="AI128" i="4"/>
  <c r="AI153" i="4" s="1"/>
  <c r="AI156" i="4" s="1"/>
  <c r="AI170" i="4" s="1"/>
  <c r="AL115" i="4"/>
  <c r="AL116" i="4" s="1"/>
  <c r="AM117" i="4" l="1"/>
  <c r="AL117" i="4"/>
  <c r="AJ126" i="4"/>
  <c r="AJ127" i="4"/>
  <c r="AJ123" i="4"/>
  <c r="AJ124" i="4" s="1"/>
  <c r="AI129" i="4"/>
  <c r="AK121" i="4" l="1"/>
  <c r="AJ128" i="4"/>
  <c r="AJ153" i="4" s="1"/>
  <c r="AJ156" i="4" s="1"/>
  <c r="AJ170" i="4" s="1"/>
  <c r="AI131" i="4"/>
  <c r="AL118" i="4"/>
  <c r="AI132" i="4" l="1"/>
  <c r="AI133" i="4" s="1"/>
  <c r="AI134" i="4" s="1"/>
  <c r="AI136" i="4" s="1"/>
  <c r="AI161" i="4" s="1"/>
  <c r="AK122" i="4"/>
  <c r="AM118" i="4"/>
  <c r="AL122" i="4" s="1"/>
  <c r="AJ129" i="4"/>
  <c r="AK127" i="4"/>
  <c r="AK126" i="4"/>
  <c r="AK123" i="4"/>
  <c r="AK124" i="4" s="1"/>
  <c r="AL121" i="4" l="1"/>
  <c r="AK128" i="4"/>
  <c r="AK153" i="4" s="1"/>
  <c r="AK156" i="4" s="1"/>
  <c r="AK170" i="4" s="1"/>
  <c r="AI185" i="4"/>
  <c r="AI203" i="4" s="1"/>
  <c r="AI174" i="4"/>
  <c r="AI186" i="4" s="1"/>
  <c r="AI204" i="4" s="1"/>
  <c r="AK125" i="4"/>
  <c r="AK129" i="4" s="1"/>
  <c r="AK143" i="4"/>
  <c r="AK146" i="4" s="1"/>
  <c r="AK164" i="4" s="1"/>
  <c r="AJ131" i="4"/>
  <c r="AL125" i="4"/>
  <c r="AL143" i="4"/>
  <c r="AL146" i="4" s="1"/>
  <c r="AL164" i="4" s="1"/>
  <c r="AM143" i="4"/>
  <c r="AM146" i="4" s="1"/>
  <c r="AM164" i="4" s="1"/>
  <c r="AK131" i="4" l="1"/>
  <c r="AJ132" i="4"/>
  <c r="AJ133" i="4" s="1"/>
  <c r="AJ134" i="4" s="1"/>
  <c r="AJ136" i="4" s="1"/>
  <c r="AJ161" i="4" s="1"/>
  <c r="AL127" i="4"/>
  <c r="AL126" i="4"/>
  <c r="AL123" i="4"/>
  <c r="AL124" i="4" s="1"/>
  <c r="AM121" i="4" s="1"/>
  <c r="E191" i="8" a="1"/>
  <c r="E191" i="8" s="1"/>
  <c r="D191" i="8" a="1"/>
  <c r="D191" i="8" s="1"/>
  <c r="C191" i="8"/>
  <c r="AJ185" i="4" l="1"/>
  <c r="AJ203" i="4" s="1"/>
  <c r="AJ174" i="4"/>
  <c r="AJ186" i="4" s="1"/>
  <c r="AJ204" i="4" s="1"/>
  <c r="AM127" i="4"/>
  <c r="AM123" i="4"/>
  <c r="AM124" i="4" s="1"/>
  <c r="AM128" i="4" s="1"/>
  <c r="AM126" i="4"/>
  <c r="AK132" i="4"/>
  <c r="AK133" i="4" s="1"/>
  <c r="AK134" i="4" s="1"/>
  <c r="AK136" i="4" s="1"/>
  <c r="AK161" i="4" s="1"/>
  <c r="AL128" i="4"/>
  <c r="AL153" i="4" s="1"/>
  <c r="AL156" i="4" s="1"/>
  <c r="AL170" i="4" s="1"/>
  <c r="E194" i="8" a="1"/>
  <c r="E194" i="8" s="1"/>
  <c r="D194" i="8" a="1"/>
  <c r="D194" i="8" s="1"/>
  <c r="AM153" i="4" l="1"/>
  <c r="AM156" i="4" s="1"/>
  <c r="AM170" i="4" s="1"/>
  <c r="AK185" i="4"/>
  <c r="AK203" i="4" s="1"/>
  <c r="AK174" i="4"/>
  <c r="AK186" i="4" s="1"/>
  <c r="AK204" i="4" s="1"/>
  <c r="AM129" i="4"/>
  <c r="AL129" i="4"/>
  <c r="C194" i="8"/>
  <c r="C191" i="4"/>
  <c r="E191" i="4" a="1"/>
  <c r="E191" i="4" s="1"/>
  <c r="D191" i="4" a="1"/>
  <c r="D191" i="4" s="1"/>
  <c r="AM131" i="4" l="1"/>
  <c r="AL131" i="4"/>
  <c r="D195" i="8" a="1"/>
  <c r="D195" i="8" s="1"/>
  <c r="E195" i="8" a="1"/>
  <c r="E195" i="8" s="1"/>
  <c r="AL132" i="4" l="1"/>
  <c r="AL133" i="4" s="1"/>
  <c r="AL134" i="4" s="1"/>
  <c r="AL136" i="4" s="1"/>
  <c r="AL161" i="4" s="1"/>
  <c r="AM132" i="4"/>
  <c r="AM133" i="4" s="1"/>
  <c r="C195" i="8"/>
  <c r="C193" i="8"/>
  <c r="E193" i="8" a="1"/>
  <c r="E193" i="8" s="1"/>
  <c r="D193" i="8" a="1"/>
  <c r="D193" i="8" s="1"/>
  <c r="AM134" i="4" l="1"/>
  <c r="AM136" i="4" s="1"/>
  <c r="AM161" i="4" s="1"/>
  <c r="AM185" i="4" s="1"/>
  <c r="AM203" i="4" s="1"/>
  <c r="AL185" i="4"/>
  <c r="AL203" i="4" s="1"/>
  <c r="AL174" i="4"/>
  <c r="AL186" i="4" s="1"/>
  <c r="AL204" i="4" s="1"/>
  <c r="C196" i="8"/>
  <c r="AM174" i="4" l="1"/>
  <c r="AM186" i="4" s="1"/>
  <c r="AM204" i="4" s="1"/>
  <c r="C194" i="4"/>
  <c r="E194" i="4" l="1" a="1"/>
  <c r="E194" i="4" s="1"/>
  <c r="D194" i="4" a="1"/>
  <c r="D194" i="4" s="1"/>
  <c r="C187" i="8" l="1"/>
  <c r="C188" i="8" a="1"/>
  <c r="C188" i="8" s="1"/>
  <c r="C193" i="4" l="1"/>
  <c r="C195" i="4"/>
  <c r="E195" i="4" l="1" a="1"/>
  <c r="E195" i="4" s="1"/>
  <c r="D195" i="4" a="1"/>
  <c r="D195" i="4" s="1"/>
  <c r="E193" i="4" a="1"/>
  <c r="E193" i="4" s="1"/>
  <c r="D193" i="4" a="1"/>
  <c r="D193" i="4" s="1"/>
  <c r="C196" i="4"/>
  <c r="C187" i="4" l="1"/>
  <c r="C188" i="4" a="1"/>
  <c r="C188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<sst xmlns="http://schemas.openxmlformats.org/spreadsheetml/2006/main" count="471" uniqueCount="186">
  <si>
    <t>Stock market investments</t>
  </si>
  <si>
    <t>Age</t>
  </si>
  <si>
    <t>Home loan</t>
  </si>
  <si>
    <t>Credit card balances</t>
  </si>
  <si>
    <t>more / less than current</t>
  </si>
  <si>
    <t>Housing rent</t>
  </si>
  <si>
    <t>Year</t>
  </si>
  <si>
    <t>Home</t>
  </si>
  <si>
    <t>Interest on cash balances</t>
  </si>
  <si>
    <t>Cash</t>
  </si>
  <si>
    <t>Cash b/fwd</t>
  </si>
  <si>
    <t>Cash c/fwd</t>
  </si>
  <si>
    <t>Stock market equity investments</t>
  </si>
  <si>
    <t>Home loan repayment</t>
  </si>
  <si>
    <t>Net from other work</t>
  </si>
  <si>
    <t>Continue other work until age</t>
  </si>
  <si>
    <t>Living expenses</t>
  </si>
  <si>
    <t>Inflows</t>
  </si>
  <si>
    <t>Outflows</t>
  </si>
  <si>
    <t>Net Cash Flow</t>
  </si>
  <si>
    <t>General inflatiion</t>
  </si>
  <si>
    <t>Liquidation required</t>
  </si>
  <si>
    <t>Liquidations</t>
  </si>
  <si>
    <t>b/fwd</t>
  </si>
  <si>
    <t>Disposals</t>
  </si>
  <si>
    <t>Growth</t>
  </si>
  <si>
    <t>c/fwd</t>
  </si>
  <si>
    <t>Disposal costs</t>
  </si>
  <si>
    <t>Stock market equity</t>
  </si>
  <si>
    <t>Net worth</t>
  </si>
  <si>
    <t>Value</t>
  </si>
  <si>
    <t>Liquidations required to fund retirement</t>
  </si>
  <si>
    <t>Name</t>
  </si>
  <si>
    <t>Home current market value</t>
  </si>
  <si>
    <t>Rental income foregone</t>
  </si>
  <si>
    <t>Cash runs out at age</t>
  </si>
  <si>
    <t>Dependents</t>
  </si>
  <si>
    <t>Home loan (mortgage)</t>
  </si>
  <si>
    <t>Other loan</t>
  </si>
  <si>
    <t>Other loan repayment</t>
  </si>
  <si>
    <t>Loan repayment</t>
  </si>
  <si>
    <t>Net proceeds</t>
  </si>
  <si>
    <t>Balance</t>
  </si>
  <si>
    <t>Plan to live until age</t>
  </si>
  <si>
    <t>Dependent 1</t>
  </si>
  <si>
    <t>Dependent 2</t>
  </si>
  <si>
    <t>Dependent 3</t>
  </si>
  <si>
    <t>Property 1</t>
  </si>
  <si>
    <t>Property 2</t>
  </si>
  <si>
    <t>Property 3</t>
  </si>
  <si>
    <t>Amount</t>
  </si>
  <si>
    <t>Net employment / self-employment income</t>
  </si>
  <si>
    <t>Other post-retirement income</t>
  </si>
  <si>
    <t>if not a home owner</t>
  </si>
  <si>
    <t>Annual cost saved</t>
  </si>
  <si>
    <t>Property loan balances after liquidations</t>
  </si>
  <si>
    <t>Other property</t>
  </si>
  <si>
    <t>Other property loans repayments</t>
  </si>
  <si>
    <t>Dependents cost</t>
  </si>
  <si>
    <t>Other property costs</t>
  </si>
  <si>
    <t>Current baseline</t>
  </si>
  <si>
    <t>from 66-75</t>
  </si>
  <si>
    <t>from age 76</t>
  </si>
  <si>
    <t>Spending adjustment (at today's euros)</t>
  </si>
  <si>
    <t>Major one-off expense events</t>
  </si>
  <si>
    <t>Other property loans</t>
  </si>
  <si>
    <t>Net worth adjustments after liquidations</t>
  </si>
  <si>
    <t>Cum property loan repayments on liquidations</t>
  </si>
  <si>
    <t>Adjusted net worth</t>
  </si>
  <si>
    <t>Cum property disposals</t>
  </si>
  <si>
    <t>Property values after liquidations</t>
  </si>
  <si>
    <t>Property</t>
  </si>
  <si>
    <t>Without liquidations</t>
  </si>
  <si>
    <t>With liquidations</t>
  </si>
  <si>
    <t>Can you finance retirement?</t>
  </si>
  <si>
    <t>At Age</t>
  </si>
  <si>
    <t>Year*</t>
  </si>
  <si>
    <t>*  year of fist liquidations in case of stocks</t>
  </si>
  <si>
    <t>Charts</t>
  </si>
  <si>
    <t>Net rental income from other properties</t>
  </si>
  <si>
    <t>Credit cards cleared</t>
  </si>
  <si>
    <t xml:space="preserve">Enough cash to finance retirement? </t>
  </si>
  <si>
    <t>Net Worth before liquidations</t>
  </si>
  <si>
    <t>from now to 65</t>
  </si>
  <si>
    <t>Extra cash</t>
  </si>
  <si>
    <t>Extra interest</t>
  </si>
  <si>
    <t>Cash buffer at any time</t>
  </si>
  <si>
    <t>Cash available (after buffer)</t>
  </si>
  <si>
    <t>Outputs</t>
  </si>
  <si>
    <t>Full pension</t>
  </si>
  <si>
    <t>Pension reduction from early retirement</t>
  </si>
  <si>
    <t>QUICK START</t>
  </si>
  <si>
    <t>Your age</t>
  </si>
  <si>
    <t>Current net annual income</t>
  </si>
  <si>
    <t>Must be entered</t>
  </si>
  <si>
    <t>Net of tax, from employment or self-employment</t>
  </si>
  <si>
    <t>Total cash balances</t>
  </si>
  <si>
    <t>current and savings accounts, bonds, term deposits</t>
  </si>
  <si>
    <t>Current market value of equity portfolio</t>
  </si>
  <si>
    <t>Interest rate</t>
  </si>
  <si>
    <t>Monthly repayment</t>
  </si>
  <si>
    <t>Months remaining</t>
  </si>
  <si>
    <t>Years remaining</t>
  </si>
  <si>
    <t>Annual pension at retirement</t>
  </si>
  <si>
    <t>Net annual state pension entitlement</t>
  </si>
  <si>
    <t>Statutory retirement age</t>
  </si>
  <si>
    <t>Year at which pension starts</t>
  </si>
  <si>
    <t>DEEPER DIVE</t>
  </si>
  <si>
    <t>including inflation</t>
  </si>
  <si>
    <t>Years from now</t>
  </si>
  <si>
    <t>Leave blank if none</t>
  </si>
  <si>
    <t>Years to support</t>
  </si>
  <si>
    <t>Other income</t>
  </si>
  <si>
    <t>net annual after all costs and tax</t>
  </si>
  <si>
    <t>Annual living expenses</t>
  </si>
  <si>
    <t>Other loans</t>
  </si>
  <si>
    <t>Income Event 1</t>
  </si>
  <si>
    <t>Income Event 2</t>
  </si>
  <si>
    <t>Income Event 3</t>
  </si>
  <si>
    <t>Enter 0 or leave blank if none</t>
  </si>
  <si>
    <t>Expense Event 1</t>
  </si>
  <si>
    <t>Expense Event 2</t>
  </si>
  <si>
    <t>Expense Event 3</t>
  </si>
  <si>
    <t>Market value</t>
  </si>
  <si>
    <t>Annual costs</t>
  </si>
  <si>
    <t>Repairs, maintenance, etc.</t>
  </si>
  <si>
    <t xml:space="preserve">Investment Properties </t>
  </si>
  <si>
    <t>Other work income (net annual)</t>
  </si>
  <si>
    <t>FINER DETAILS</t>
  </si>
  <si>
    <t>Cash interest rate</t>
  </si>
  <si>
    <t>Stock market return</t>
  </si>
  <si>
    <t>Rental income annual increase</t>
  </si>
  <si>
    <t>Salary annual growth rate</t>
  </si>
  <si>
    <t>Property annual appreciation</t>
  </si>
  <si>
    <t>Pension reduction per year early</t>
  </si>
  <si>
    <t>From age</t>
  </si>
  <si>
    <t>To age</t>
  </si>
  <si>
    <t>Food, education, healthcare,
etc.</t>
  </si>
  <si>
    <t>Annual cost</t>
  </si>
  <si>
    <t>emergency reserve</t>
  </si>
  <si>
    <t>reduction in pension for each year retired early</t>
  </si>
  <si>
    <t>tax, broker and other fees</t>
  </si>
  <si>
    <t>Stock market selling costs</t>
  </si>
  <si>
    <t>Property disposal costs</t>
  </si>
  <si>
    <t xml:space="preserve">agency, tax, legal fees </t>
  </si>
  <si>
    <t>Property liquidation order</t>
  </si>
  <si>
    <t>0 = would never sell</t>
  </si>
  <si>
    <t>Major life expense events</t>
  </si>
  <si>
    <t>Major life income events</t>
  </si>
  <si>
    <t>Major one-off income events</t>
  </si>
  <si>
    <t>Part-time / consulting / side projects etc. Leave blank if none</t>
  </si>
  <si>
    <t>Assumed cleared in Year 1. Leave blank if none</t>
  </si>
  <si>
    <t>Leave blank if not a home owner</t>
  </si>
  <si>
    <t>Leave blank if no mortgage</t>
  </si>
  <si>
    <t>User Tooltips</t>
  </si>
  <si>
    <t>UI Notes</t>
  </si>
  <si>
    <t>Excel helpers</t>
  </si>
  <si>
    <t>Defaults</t>
  </si>
  <si>
    <t>Activated only if user wants to</t>
  </si>
  <si>
    <t>Works behind the scenes, show and allow edit if user wants to</t>
  </si>
  <si>
    <t>Hide until user enters dependent name</t>
  </si>
  <si>
    <t>Hide until user enters property name</t>
  </si>
  <si>
    <t>Show with property name only if name was entered</t>
  </si>
  <si>
    <t>Show only if other work income entered</t>
  </si>
  <si>
    <t>show only if not a home owner (B12="")</t>
  </si>
  <si>
    <t>Sliema</t>
  </si>
  <si>
    <t>Cash balance after disposals inc interest</t>
  </si>
  <si>
    <t>Retire at</t>
  </si>
  <si>
    <t>Cash available (after extra interest)</t>
  </si>
  <si>
    <t>Only show if value&gt;0 entered in B141</t>
  </si>
  <si>
    <t>User inputs</t>
  </si>
  <si>
    <t>Qormi</t>
  </si>
  <si>
    <t>Wedding</t>
  </si>
  <si>
    <t>John</t>
  </si>
  <si>
    <t>Jack</t>
  </si>
  <si>
    <t>Bill</t>
  </si>
  <si>
    <t>Gzira</t>
  </si>
  <si>
    <t>Inheritance</t>
  </si>
  <si>
    <t>Sell Painting</t>
  </si>
  <si>
    <t>Sell Jewels</t>
  </si>
  <si>
    <t>New Car</t>
  </si>
  <si>
    <t>New AC</t>
  </si>
  <si>
    <t>Dependent 4</t>
  </si>
  <si>
    <t>Dependent 5</t>
  </si>
  <si>
    <t>Stephen</t>
  </si>
  <si>
    <t>Jane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</si>
</sst>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#,##0\ ;\(#,##0\);\ \ \ \-\ "/>
    <numFmt numFmtId="165" formatCode="#,##0.0\ ;\(#,##0.0\);\ \ \ \-\ "/>
    <numFmt numFmtId="166" formatCode="0.0%"/>
    <numFmt numFmtId="167" formatCode="#,##0.00\ ;\(#,##0.00\);\ \ \ \-\ "/>
    <numFmt numFmtId="168" formatCode="0;0;"/>
    <numFmt numFmtId="169" formatCode=";;"/>
  </numFmts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theme="0" tint="-0.499984740745262"/>
      <name val="Aptos Narrow"/>
      <scheme val="minor"/>
    </font>
    <font>
      <sz val="8"/>
      <name val="Aptos Narrow"/>
      <family val="2"/>
      <scheme val="minor"/>
    </font>
    <font>
      <sz val="12"/>
      <color rgb="FFC00000"/>
      <name val="Aptos Narrow"/>
      <scheme val="minor"/>
    </font>
    <font>
      <b/>
      <sz val="14"/>
      <color theme="1"/>
      <name val="Aptos Narrow"/>
      <scheme val="minor"/>
    </font>
    <font>
      <sz val="8"/>
      <color theme="0" tint="-0.249977111117893"/>
      <name val="Aptos Narrow"/>
      <scheme val="minor"/>
    </font>
    <font>
      <sz val="12"/>
      <name val="Aptos Narrow"/>
      <scheme val="minor"/>
    </font>
    <font>
      <i/>
      <sz val="10"/>
      <color theme="1"/>
      <name val="Aptos Narrow"/>
      <scheme val="minor"/>
    </font>
    <font>
      <sz val="12"/>
      <color rgb="FF9C5700"/>
      <name val="Aptos Narrow"/>
      <family val="2"/>
      <scheme val="minor"/>
    </font>
    <font>
      <b/>
      <sz val="12"/>
      <name val="Aptos Narrow"/>
      <scheme val="minor"/>
    </font>
    <font>
      <b/>
      <sz val="22"/>
      <color theme="1"/>
      <name val="Aptos Narrow"/>
      <scheme val="minor"/>
    </font>
    <font>
      <b/>
      <sz val="10"/>
      <name val="Aptos Narrow"/>
      <scheme val="minor"/>
    </font>
    <font>
      <sz val="10"/>
      <name val="Aptos Narrow"/>
      <scheme val="minor"/>
    </font>
    <font>
      <b/>
      <sz val="10"/>
      <color theme="0" tint="-0.499984740745262"/>
      <name val="Aptos Narrow"/>
      <scheme val="minor"/>
    </font>
    <font>
      <sz val="10"/>
      <color theme="0" tint="-0.499984740745262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EB9C"/>
      </patternFill>
    </fill>
    <fill>
      <patternFill patternType="solid">
        <fgColor rgb="FFFFFFC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ED6"/>
        <bgColor indexed="64"/>
      </patternFill>
    </fill>
  </fills>
  <borders count="6">
    <border>
      <left/>
      <right/>
      <top/>
      <bottom/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0" tint="-0.14993743705557422"/>
      </left>
      <right/>
      <top style="thin">
        <color theme="0" tint="-0.14993743705557422"/>
      </top>
      <bottom style="thin">
        <color theme="0" tint="-0.14993743705557422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1" fillId="3" borderId="0" applyNumberFormat="0" applyBorder="0" applyAlignment="0" applyProtection="0"/>
  </cellStyleXfs>
  <cellXfs count="82">
    <xf numFmtId="0" fontId="0" fillId="0" borderId="0" xfId="0"/>
    <xf numFmtId="0" fontId="2" fillId="0" borderId="0" xfId="0" applyFont="1"/>
    <xf numFmtId="0" fontId="3" fillId="0" borderId="0" xfId="0" applyFont="1"/>
    <xf numFmtId="164" fontId="4" fillId="0" borderId="0" xfId="0" applyNumberFormat="1" applyFont="1" applyAlignment="1">
      <alignment horizontal="right"/>
    </xf>
    <xf numFmtId="0" fontId="3" fillId="0" borderId="0" xfId="0" applyFont="1" applyAlignment="1">
      <alignment horizontal="left" indent="2"/>
    </xf>
    <xf numFmtId="0" fontId="3" fillId="0" borderId="0" xfId="0" applyFont="1" applyAlignment="1">
      <alignment horizontal="left" indent="1"/>
    </xf>
    <xf numFmtId="0" fontId="3" fillId="0" borderId="0" xfId="0" applyFont="1" applyAlignment="1">
      <alignment horizontal="right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right"/>
    </xf>
    <xf numFmtId="0" fontId="6" fillId="0" borderId="0" xfId="0" applyFont="1" applyAlignment="1">
      <alignment horizontal="center"/>
    </xf>
    <xf numFmtId="164" fontId="3" fillId="0" borderId="2" xfId="0" applyNumberFormat="1" applyFont="1" applyBorder="1" applyAlignment="1">
      <alignment horizontal="right"/>
    </xf>
    <xf numFmtId="43" fontId="3" fillId="0" borderId="0" xfId="2" applyFont="1" applyAlignment="1">
      <alignment horizontal="right"/>
    </xf>
    <xf numFmtId="164" fontId="2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left"/>
    </xf>
    <xf numFmtId="0" fontId="7" fillId="0" borderId="0" xfId="0" applyFont="1"/>
    <xf numFmtId="164" fontId="0" fillId="0" borderId="0" xfId="0" applyNumberFormat="1" applyAlignment="1">
      <alignment horizontal="right"/>
    </xf>
    <xf numFmtId="0" fontId="8" fillId="0" borderId="0" xfId="0" applyFont="1" applyAlignment="1">
      <alignment horizontal="center"/>
    </xf>
    <xf numFmtId="0" fontId="2" fillId="0" borderId="0" xfId="0" applyFont="1" applyAlignment="1">
      <alignment horizontal="left" indent="1"/>
    </xf>
    <xf numFmtId="0" fontId="3" fillId="0" borderId="0" xfId="0" applyFont="1" applyAlignment="1">
      <alignment horizontal="left" indent="3"/>
    </xf>
    <xf numFmtId="0" fontId="3" fillId="0" borderId="0" xfId="0" applyFont="1" applyAlignment="1">
      <alignment horizontal="left" indent="4"/>
    </xf>
    <xf numFmtId="0" fontId="9" fillId="0" borderId="0" xfId="0" applyFont="1" applyAlignment="1">
      <alignment horizontal="left" indent="2"/>
    </xf>
    <xf numFmtId="0" fontId="9" fillId="0" borderId="0" xfId="0" applyFont="1" applyAlignment="1">
      <alignment horizontal="center"/>
    </xf>
    <xf numFmtId="164" fontId="9" fillId="0" borderId="0" xfId="0" applyNumberFormat="1" applyFont="1" applyAlignment="1">
      <alignment horizontal="right"/>
    </xf>
    <xf numFmtId="0" fontId="9" fillId="0" borderId="0" xfId="0" applyFont="1"/>
    <xf numFmtId="0" fontId="9" fillId="0" borderId="0" xfId="0" applyFont="1" applyAlignment="1">
      <alignment horizontal="left" indent="3"/>
    </xf>
    <xf numFmtId="43" fontId="3" fillId="0" borderId="0" xfId="2" applyFont="1" applyAlignment="1">
      <alignment horizontal="center"/>
    </xf>
    <xf numFmtId="164" fontId="3" fillId="0" borderId="0" xfId="2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7" fontId="10" fillId="0" borderId="0" xfId="0" quotePrefix="1" applyNumberFormat="1" applyFont="1" applyAlignment="1">
      <alignment horizontal="left" indent="1"/>
    </xf>
    <xf numFmtId="0" fontId="3" fillId="0" borderId="3" xfId="0" applyFont="1" applyBorder="1" applyAlignment="1">
      <alignment horizontal="left" indent="1"/>
    </xf>
    <xf numFmtId="0" fontId="7" fillId="0" borderId="3" xfId="0" applyFont="1" applyBorder="1"/>
    <xf numFmtId="0" fontId="3" fillId="0" borderId="3" xfId="0" applyFont="1" applyBorder="1" applyAlignment="1">
      <alignment horizontal="center"/>
    </xf>
    <xf numFmtId="164" fontId="3" fillId="0" borderId="3" xfId="0" applyNumberFormat="1" applyFont="1" applyBorder="1" applyAlignment="1">
      <alignment horizontal="right"/>
    </xf>
    <xf numFmtId="164" fontId="6" fillId="0" borderId="3" xfId="0" applyNumberFormat="1" applyFont="1" applyBorder="1" applyAlignment="1">
      <alignment horizontal="left"/>
    </xf>
    <xf numFmtId="0" fontId="2" fillId="0" borderId="3" xfId="0" applyFont="1" applyBorder="1" applyAlignment="1">
      <alignment horizontal="left" indent="1"/>
    </xf>
    <xf numFmtId="0" fontId="3" fillId="0" borderId="0" xfId="0" applyFont="1" applyAlignment="1">
      <alignment horizontal="left"/>
    </xf>
    <xf numFmtId="164" fontId="3" fillId="0" borderId="0" xfId="0" applyNumberFormat="1" applyFont="1"/>
    <xf numFmtId="0" fontId="1" fillId="3" borderId="0" xfId="3" applyFont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0" xfId="0" applyFont="1" applyAlignment="1">
      <alignment horizontal="left" indent="1"/>
    </xf>
    <xf numFmtId="164" fontId="9" fillId="2" borderId="1" xfId="0" applyNumberFormat="1" applyFont="1" applyFill="1" applyBorder="1" applyAlignment="1" applyProtection="1">
      <alignment horizontal="center"/>
      <protection locked="0"/>
    </xf>
    <xf numFmtId="166" fontId="9" fillId="2" borderId="1" xfId="0" applyNumberFormat="1" applyFont="1" applyFill="1" applyBorder="1" applyAlignment="1" applyProtection="1">
      <alignment horizontal="center"/>
      <protection locked="0"/>
    </xf>
    <xf numFmtId="164" fontId="9" fillId="0" borderId="0" xfId="0" applyNumberFormat="1" applyFont="1" applyAlignment="1">
      <alignment horizontal="center"/>
    </xf>
    <xf numFmtId="0" fontId="9" fillId="2" borderId="1" xfId="0" applyFont="1" applyFill="1" applyBorder="1" applyAlignment="1" applyProtection="1">
      <alignment horizontal="center"/>
      <protection locked="0"/>
    </xf>
    <xf numFmtId="0" fontId="9" fillId="4" borderId="4" xfId="0" applyFont="1" applyFill="1" applyBorder="1" applyAlignment="1" applyProtection="1">
      <alignment horizontal="center"/>
      <protection locked="0"/>
    </xf>
    <xf numFmtId="9" fontId="9" fillId="2" borderId="1" xfId="0" applyNumberFormat="1" applyFont="1" applyFill="1" applyBorder="1" applyAlignment="1" applyProtection="1">
      <alignment horizontal="center"/>
      <protection locked="0"/>
    </xf>
    <xf numFmtId="166" fontId="9" fillId="2" borderId="1" xfId="1" applyNumberFormat="1" applyFont="1" applyFill="1" applyBorder="1" applyAlignment="1" applyProtection="1">
      <alignment horizontal="center"/>
      <protection locked="0"/>
    </xf>
    <xf numFmtId="9" fontId="9" fillId="2" borderId="1" xfId="1" applyFont="1" applyFill="1" applyBorder="1" applyAlignment="1" applyProtection="1">
      <alignment horizontal="center"/>
      <protection locked="0"/>
    </xf>
    <xf numFmtId="168" fontId="9" fillId="2" borderId="1" xfId="2" applyNumberFormat="1" applyFont="1" applyFill="1" applyBorder="1" applyAlignment="1" applyProtection="1">
      <alignment horizontal="center"/>
      <protection locked="0"/>
    </xf>
    <xf numFmtId="0" fontId="12" fillId="0" borderId="3" xfId="0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0" fontId="9" fillId="5" borderId="0" xfId="0" applyFont="1" applyFill="1"/>
    <xf numFmtId="164" fontId="9" fillId="0" borderId="5" xfId="0" applyNumberFormat="1" applyFont="1" applyBorder="1" applyAlignment="1" applyProtection="1">
      <alignment horizontal="center"/>
      <protection locked="0"/>
    </xf>
    <xf numFmtId="9" fontId="9" fillId="0" borderId="5" xfId="0" applyNumberFormat="1" applyFont="1" applyBorder="1" applyAlignment="1" applyProtection="1">
      <alignment horizontal="center"/>
      <protection locked="0"/>
    </xf>
    <xf numFmtId="166" fontId="9" fillId="0" borderId="5" xfId="0" applyNumberFormat="1" applyFont="1" applyBorder="1" applyAlignment="1" applyProtection="1">
      <alignment horizontal="center"/>
      <protection locked="0"/>
    </xf>
    <xf numFmtId="166" fontId="9" fillId="0" borderId="5" xfId="1" applyNumberFormat="1" applyFont="1" applyFill="1" applyBorder="1" applyAlignment="1" applyProtection="1">
      <alignment horizontal="center"/>
      <protection locked="0"/>
    </xf>
    <xf numFmtId="9" fontId="9" fillId="0" borderId="5" xfId="1" applyFont="1" applyFill="1" applyBorder="1" applyAlignment="1" applyProtection="1">
      <alignment horizontal="center"/>
      <protection locked="0"/>
    </xf>
    <xf numFmtId="0" fontId="9" fillId="5" borderId="0" xfId="0" applyFont="1" applyFill="1" applyAlignment="1">
      <alignment horizontal="left" indent="3"/>
    </xf>
    <xf numFmtId="0" fontId="12" fillId="0" borderId="3" xfId="0" applyFont="1" applyBorder="1" applyAlignment="1">
      <alignment horizontal="left" indent="1"/>
    </xf>
    <xf numFmtId="0" fontId="12" fillId="0" borderId="0" xfId="0" applyFont="1" applyAlignment="1">
      <alignment horizontal="left" indent="2"/>
    </xf>
    <xf numFmtId="0" fontId="9" fillId="0" borderId="0" xfId="0" applyFont="1" applyAlignment="1">
      <alignment horizontal="left" indent="4"/>
    </xf>
    <xf numFmtId="168" fontId="9" fillId="0" borderId="0" xfId="0" applyNumberFormat="1" applyFont="1" applyAlignment="1">
      <alignment horizontal="left" indent="3"/>
    </xf>
    <xf numFmtId="0" fontId="9" fillId="0" borderId="0" xfId="0" applyFont="1" applyAlignment="1">
      <alignment horizontal="left" wrapText="1" indent="2"/>
    </xf>
    <xf numFmtId="169" fontId="9" fillId="0" borderId="0" xfId="0" applyNumberFormat="1" applyFont="1" applyAlignment="1">
      <alignment horizontal="left" indent="3"/>
    </xf>
    <xf numFmtId="0" fontId="7" fillId="0" borderId="0" xfId="0" applyFont="1" applyAlignment="1">
      <alignment horizontal="center"/>
    </xf>
    <xf numFmtId="0" fontId="14" fillId="5" borderId="0" xfId="0" applyFont="1" applyFill="1" applyAlignment="1">
      <alignment horizontal="left" indent="1"/>
    </xf>
    <xf numFmtId="0" fontId="15" fillId="0" borderId="0" xfId="0" applyFont="1"/>
    <xf numFmtId="0" fontId="15" fillId="0" borderId="0" xfId="0" applyFont="1" applyAlignment="1">
      <alignment horizontal="left" indent="1"/>
    </xf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left"/>
    </xf>
    <xf numFmtId="43" fontId="15" fillId="0" borderId="0" xfId="2" applyFont="1" applyBorder="1" applyAlignment="1">
      <alignment horizontal="right"/>
    </xf>
    <xf numFmtId="164" fontId="15" fillId="0" borderId="0" xfId="0" applyNumberFormat="1" applyFont="1" applyAlignment="1">
      <alignment horizontal="right"/>
    </xf>
    <xf numFmtId="0" fontId="14" fillId="5" borderId="0" xfId="0" applyFont="1" applyFill="1"/>
    <xf numFmtId="43" fontId="15" fillId="0" borderId="0" xfId="2" applyFont="1" applyBorder="1" applyAlignment="1"/>
    <xf numFmtId="0" fontId="16" fillId="5" borderId="0" xfId="0" applyFont="1" applyFill="1" applyAlignment="1">
      <alignment horizontal="left"/>
    </xf>
    <xf numFmtId="0" fontId="17" fillId="0" borderId="0" xfId="0" applyFont="1"/>
    <xf numFmtId="0" fontId="17" fillId="0" borderId="0" xfId="0" applyFont="1" applyAlignment="1">
      <alignment horizontal="left"/>
    </xf>
    <xf numFmtId="43" fontId="17" fillId="0" borderId="0" xfId="2" applyFont="1" applyBorder="1" applyAlignment="1">
      <alignment horizontal="left"/>
    </xf>
    <xf numFmtId="165" fontId="17" fillId="0" borderId="0" xfId="0" applyNumberFormat="1" applyFont="1" applyAlignment="1">
      <alignment horizontal="center"/>
    </xf>
    <xf numFmtId="0" fontId="17" fillId="0" borderId="0" xfId="0" applyFont="1" applyAlignment="1">
      <alignment horizontal="left" indent="1"/>
    </xf>
    <xf numFmtId="0" fontId="17" fillId="0" borderId="0" xfId="0" applyFont="1" applyAlignment="1">
      <alignment horizontal="center"/>
    </xf>
    <xf numFmtId="0" fontId="13" fillId="6" borderId="0" xfId="0" applyFont="1" applyFill="1" applyAlignment="1">
      <alignment horizontal="center" vertical="center"/>
    </xf>
  </cellXfs>
  <cellStyles count="4">
    <cellStyle name="Comma" xfId="2" builtinId="3"/>
    <cellStyle name="Neutral" xfId="3" builtinId="28"/>
    <cellStyle name="Normal" xfId="0" builtinId="0"/>
    <cellStyle name="Per cent" xfId="1" builtinId="5"/>
  </cellStyles>
  <dxfs count="0"/>
  <tableStyles count="0" defaultTableStyle="TableStyleMedium2" defaultPivotStyle="PivotStyleLight16"/>
  <colors>
    <mruColors>
      <color rgb="FFFFFED6"/>
      <color rgb="FFFFFF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000" b="1"/>
              <a:t>Cash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Output!$AA$2</c:f>
              <c:strCache>
                <c:ptCount val="1"/>
                <c:pt idx="0">
                  <c:v>Retire at  54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49</c:v>
                </c:pt>
                <c:pt idx="1">
                  <c:v>50</c:v>
                </c:pt>
                <c:pt idx="2">
                  <c:v>51</c:v>
                </c:pt>
                <c:pt idx="3">
                  <c:v>52</c:v>
                </c:pt>
                <c:pt idx="4">
                  <c:v>53</c:v>
                </c:pt>
                <c:pt idx="5">
                  <c:v>54</c:v>
                </c:pt>
                <c:pt idx="6">
                  <c:v>55</c:v>
                </c:pt>
                <c:pt idx="7">
                  <c:v>56</c:v>
                </c:pt>
                <c:pt idx="8">
                  <c:v>57</c:v>
                </c:pt>
                <c:pt idx="9">
                  <c:v>58</c:v>
                </c:pt>
                <c:pt idx="10">
                  <c:v>59</c:v>
                </c:pt>
                <c:pt idx="11">
                  <c:v>60</c:v>
                </c:pt>
                <c:pt idx="12">
                  <c:v>61</c:v>
                </c:pt>
                <c:pt idx="13">
                  <c:v>62</c:v>
                </c:pt>
                <c:pt idx="14">
                  <c:v>63</c:v>
                </c:pt>
                <c:pt idx="15">
                  <c:v>64</c:v>
                </c:pt>
                <c:pt idx="16">
                  <c:v>65</c:v>
                </c:pt>
                <c:pt idx="17">
                  <c:v>66</c:v>
                </c:pt>
                <c:pt idx="18">
                  <c:v>67</c:v>
                </c:pt>
                <c:pt idx="19">
                  <c:v>68</c:v>
                </c:pt>
                <c:pt idx="20">
                  <c:v>69</c:v>
                </c:pt>
                <c:pt idx="21">
                  <c:v>70</c:v>
                </c:pt>
                <c:pt idx="22">
                  <c:v>71</c:v>
                </c:pt>
                <c:pt idx="23">
                  <c:v>72</c:v>
                </c:pt>
                <c:pt idx="24">
                  <c:v>73</c:v>
                </c:pt>
                <c:pt idx="25">
                  <c:v>74</c:v>
                </c:pt>
                <c:pt idx="26">
                  <c:v>75</c:v>
                </c:pt>
                <c:pt idx="27">
                  <c:v>76</c:v>
                </c:pt>
                <c:pt idx="28">
                  <c:v>77</c:v>
                </c:pt>
                <c:pt idx="29">
                  <c:v>78</c:v>
                </c:pt>
                <c:pt idx="30">
                  <c:v>79</c:v>
                </c:pt>
                <c:pt idx="31">
                  <c:v>80</c:v>
                </c:pt>
                <c:pt idx="32">
                  <c:v>81</c:v>
                </c:pt>
                <c:pt idx="33">
                  <c:v>82</c:v>
                </c:pt>
                <c:pt idx="34">
                  <c:v>83</c:v>
                </c:pt>
                <c:pt idx="35">
                  <c:v>84</c:v>
                </c:pt>
                <c:pt idx="36">
                  <c:v>85</c:v>
                </c:pt>
              </c:numCache>
            </c:numRef>
          </c:cat>
          <c:val>
            <c:numRef>
              <c:f>RetEarly_Engine!ChartCash_Early</c:f>
              <c:numCache>
                <c:formatCode>#,##0\ ;\(#,##0\);\ \ \ \-\ </c:formatCode>
                <c:ptCount val="37"/>
                <c:pt idx="0">
                  <c:v>70325.5</c:v>
                </c:pt>
                <c:pt idx="1">
                  <c:v>93777.462499999994</c:v>
                </c:pt>
                <c:pt idx="2">
                  <c:v>97139.486875000017</c:v>
                </c:pt>
                <c:pt idx="3">
                  <c:v>134700.22165942451</c:v>
                </c:pt>
                <c:pt idx="4">
                  <c:v>176857.58117608592</c:v>
                </c:pt>
                <c:pt idx="5">
                  <c:v>139039.35479497066</c:v>
                </c:pt>
                <c:pt idx="6">
                  <c:v>106112.72244205432</c:v>
                </c:pt>
                <c:pt idx="7">
                  <c:v>53748.103183444677</c:v>
                </c:pt>
                <c:pt idx="8">
                  <c:v>79521.393830203713</c:v>
                </c:pt>
                <c:pt idx="9">
                  <c:v>40000</c:v>
                </c:pt>
                <c:pt idx="10">
                  <c:v>215633.07182553489</c:v>
                </c:pt>
                <c:pt idx="11">
                  <c:v>201691.24648046176</c:v>
                </c:pt>
                <c:pt idx="12">
                  <c:v>174476.46172956808</c:v>
                </c:pt>
                <c:pt idx="13">
                  <c:v>146189.84410333901</c:v>
                </c:pt>
                <c:pt idx="14">
                  <c:v>116456.05079087043</c:v>
                </c:pt>
                <c:pt idx="15">
                  <c:v>85247.089475458866</c:v>
                </c:pt>
                <c:pt idx="16">
                  <c:v>71859.065561695694</c:v>
                </c:pt>
                <c:pt idx="17">
                  <c:v>65691.260359113105</c:v>
                </c:pt>
                <c:pt idx="18">
                  <c:v>59325.034268003095</c:v>
                </c:pt>
                <c:pt idx="19">
                  <c:v>52764.641391702484</c:v>
                </c:pt>
                <c:pt idx="20">
                  <c:v>392201.08953015786</c:v>
                </c:pt>
                <c:pt idx="21">
                  <c:v>359998.1199005458</c:v>
                </c:pt>
                <c:pt idx="22">
                  <c:v>326332.02965443209</c:v>
                </c:pt>
                <c:pt idx="23">
                  <c:v>290696.94779915328</c:v>
                </c:pt>
                <c:pt idx="24">
                  <c:v>253050.05891038294</c:v>
                </c:pt>
                <c:pt idx="25">
                  <c:v>213347.66945916342</c:v>
                </c:pt>
                <c:pt idx="26">
                  <c:v>171545.19162771967</c:v>
                </c:pt>
                <c:pt idx="27">
                  <c:v>137579.6019875067</c:v>
                </c:pt>
                <c:pt idx="28">
                  <c:v>101915.03644959674</c:v>
                </c:pt>
                <c:pt idx="29">
                  <c:v>680463.75996147213</c:v>
                </c:pt>
                <c:pt idx="30">
                  <c:v>637757.28735937737</c:v>
                </c:pt>
                <c:pt idx="31">
                  <c:v>592799.14945697319</c:v>
                </c:pt>
                <c:pt idx="32">
                  <c:v>544869.56782499759</c:v>
                </c:pt>
                <c:pt idx="33">
                  <c:v>493894.25637021125</c:v>
                </c:pt>
                <c:pt idx="34">
                  <c:v>439797.07184704405</c:v>
                </c:pt>
                <c:pt idx="35">
                  <c:v>382499.96742878656</c:v>
                </c:pt>
                <c:pt idx="36">
                  <c:v>321922.94511806133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00-C94B-93B6-9E84AE83035F}"/>
            </c:ext>
          </c:extLst>
        </c:ser>
        <c:ser>
          <c:idx val="2"/>
          <c:order val="1"/>
          <c:tx>
            <c:strRef>
              <c:f>Output!$AA$3</c:f>
              <c:strCache>
                <c:ptCount val="1"/>
                <c:pt idx="0">
                  <c:v>Retire at  65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49</c:v>
                </c:pt>
                <c:pt idx="1">
                  <c:v>50</c:v>
                </c:pt>
                <c:pt idx="2">
                  <c:v>51</c:v>
                </c:pt>
                <c:pt idx="3">
                  <c:v>52</c:v>
                </c:pt>
                <c:pt idx="4">
                  <c:v>53</c:v>
                </c:pt>
                <c:pt idx="5">
                  <c:v>54</c:v>
                </c:pt>
                <c:pt idx="6">
                  <c:v>55</c:v>
                </c:pt>
                <c:pt idx="7">
                  <c:v>56</c:v>
                </c:pt>
                <c:pt idx="8">
                  <c:v>57</c:v>
                </c:pt>
                <c:pt idx="9">
                  <c:v>58</c:v>
                </c:pt>
                <c:pt idx="10">
                  <c:v>59</c:v>
                </c:pt>
                <c:pt idx="11">
                  <c:v>60</c:v>
                </c:pt>
                <c:pt idx="12">
                  <c:v>61</c:v>
                </c:pt>
                <c:pt idx="13">
                  <c:v>62</c:v>
                </c:pt>
                <c:pt idx="14">
                  <c:v>63</c:v>
                </c:pt>
                <c:pt idx="15">
                  <c:v>64</c:v>
                </c:pt>
                <c:pt idx="16">
                  <c:v>65</c:v>
                </c:pt>
                <c:pt idx="17">
                  <c:v>66</c:v>
                </c:pt>
                <c:pt idx="18">
                  <c:v>67</c:v>
                </c:pt>
                <c:pt idx="19">
                  <c:v>68</c:v>
                </c:pt>
                <c:pt idx="20">
                  <c:v>69</c:v>
                </c:pt>
                <c:pt idx="21">
                  <c:v>70</c:v>
                </c:pt>
                <c:pt idx="22">
                  <c:v>71</c:v>
                </c:pt>
                <c:pt idx="23">
                  <c:v>72</c:v>
                </c:pt>
                <c:pt idx="24">
                  <c:v>73</c:v>
                </c:pt>
                <c:pt idx="25">
                  <c:v>74</c:v>
                </c:pt>
                <c:pt idx="26">
                  <c:v>75</c:v>
                </c:pt>
                <c:pt idx="27">
                  <c:v>76</c:v>
                </c:pt>
                <c:pt idx="28">
                  <c:v>77</c:v>
                </c:pt>
                <c:pt idx="29">
                  <c:v>78</c:v>
                </c:pt>
                <c:pt idx="30">
                  <c:v>79</c:v>
                </c:pt>
                <c:pt idx="31">
                  <c:v>80</c:v>
                </c:pt>
                <c:pt idx="32">
                  <c:v>81</c:v>
                </c:pt>
                <c:pt idx="33">
                  <c:v>82</c:v>
                </c:pt>
                <c:pt idx="34">
                  <c:v>83</c:v>
                </c:pt>
                <c:pt idx="35">
                  <c:v>84</c:v>
                </c:pt>
                <c:pt idx="36">
                  <c:v>85</c:v>
                </c:pt>
              </c:numCache>
            </c:numRef>
          </c:cat>
          <c:val>
            <c:numRef>
              <c:f>[0]!ChartCash_Norm</c:f>
              <c:numCache>
                <c:formatCode>#,##0\ ;\(#,##0\);\ \ \ \-\ </c:formatCode>
                <c:ptCount val="37"/>
                <c:pt idx="0">
                  <c:v>70325.5</c:v>
                </c:pt>
                <c:pt idx="1">
                  <c:v>93777.462499999994</c:v>
                </c:pt>
                <c:pt idx="2">
                  <c:v>97139.486875000017</c:v>
                </c:pt>
                <c:pt idx="3">
                  <c:v>134700.22165942451</c:v>
                </c:pt>
                <c:pt idx="4">
                  <c:v>176857.58117608592</c:v>
                </c:pt>
                <c:pt idx="5">
                  <c:v>232940.55481327066</c:v>
                </c:pt>
                <c:pt idx="6">
                  <c:v>299079.68847966078</c:v>
                </c:pt>
                <c:pt idx="7">
                  <c:v>351159.02647140576</c:v>
                </c:pt>
                <c:pt idx="8">
                  <c:v>486975.96679276077</c:v>
                </c:pt>
                <c:pt idx="9">
                  <c:v>534347.38007362408</c:v>
                </c:pt>
                <c:pt idx="10">
                  <c:v>637505.5965587711</c:v>
                </c:pt>
                <c:pt idx="11">
                  <c:v>746236.15018937679</c:v>
                </c:pt>
                <c:pt idx="12">
                  <c:v>860775.63574042323</c:v>
                </c:pt>
                <c:pt idx="13">
                  <c:v>981369.66856901604</c:v>
                </c:pt>
                <c:pt idx="14">
                  <c:v>1108273.207978379</c:v>
                </c:pt>
                <c:pt idx="15">
                  <c:v>1241750.8917183832</c:v>
                </c:pt>
                <c:pt idx="16">
                  <c:v>1276145.15148322</c:v>
                </c:pt>
                <c:pt idx="17">
                  <c:v>1319429.9371666219</c:v>
                </c:pt>
                <c:pt idx="18">
                  <c:v>1364332.3976486681</c:v>
                </c:pt>
                <c:pt idx="19">
                  <c:v>1410913.8944652632</c:v>
                </c:pt>
                <c:pt idx="20">
                  <c:v>1459238.0721059688</c:v>
                </c:pt>
                <c:pt idx="21">
                  <c:v>1488964.0210951678</c:v>
                </c:pt>
                <c:pt idx="22">
                  <c:v>1519546.775976839</c:v>
                </c:pt>
                <c:pt idx="23">
                  <c:v>1551019.07429463</c:v>
                </c:pt>
                <c:pt idx="24">
                  <c:v>1583415.0092447023</c:v>
                </c:pt>
                <c:pt idx="25">
                  <c:v>1616770.0846257627</c:v>
                </c:pt>
                <c:pt idx="26">
                  <c:v>1651121.2719181646</c:v>
                </c:pt>
                <c:pt idx="27">
                  <c:v>1696367.8071636958</c:v>
                </c:pt>
                <c:pt idx="28">
                  <c:v>1743182.0766442758</c:v>
                </c:pt>
                <c:pt idx="29">
                  <c:v>1791624.3087351602</c:v>
                </c:pt>
                <c:pt idx="30">
                  <c:v>1841757.0670189112</c:v>
                </c:pt>
                <c:pt idx="31">
                  <c:v>1893645.3385117024</c:v>
                </c:pt>
                <c:pt idx="32">
                  <c:v>1947356.6251146924</c:v>
                </c:pt>
                <c:pt idx="33">
                  <c:v>2002961.0384047818</c:v>
                </c:pt>
                <c:pt idx="34">
                  <c:v>2060531.3978830043</c:v>
                </c:pt>
                <c:pt idx="35">
                  <c:v>2120143.3328028899</c:v>
                </c:pt>
                <c:pt idx="36">
                  <c:v>2181875.3877053508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00-C94B-93B6-9E84AE8303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3642623"/>
        <c:axId val="1403644863"/>
      </c:lineChart>
      <c:catAx>
        <c:axId val="1403642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4863"/>
        <c:crosses val="autoZero"/>
        <c:auto val="1"/>
        <c:lblAlgn val="ctr"/>
        <c:lblOffset val="100"/>
        <c:tickLblSkip val="2"/>
        <c:noMultiLvlLbl val="0"/>
      </c:catAx>
      <c:valAx>
        <c:axId val="140364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;\(#,##0\);\ \ \ \-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2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M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000" b="1"/>
              <a:t>Net Worth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Output!$AA$2</c:f>
              <c:strCache>
                <c:ptCount val="1"/>
                <c:pt idx="0">
                  <c:v>Retire at  54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49</c:v>
                </c:pt>
                <c:pt idx="1">
                  <c:v>50</c:v>
                </c:pt>
                <c:pt idx="2">
                  <c:v>51</c:v>
                </c:pt>
                <c:pt idx="3">
                  <c:v>52</c:v>
                </c:pt>
                <c:pt idx="4">
                  <c:v>53</c:v>
                </c:pt>
                <c:pt idx="5">
                  <c:v>54</c:v>
                </c:pt>
                <c:pt idx="6">
                  <c:v>55</c:v>
                </c:pt>
                <c:pt idx="7">
                  <c:v>56</c:v>
                </c:pt>
                <c:pt idx="8">
                  <c:v>57</c:v>
                </c:pt>
                <c:pt idx="9">
                  <c:v>58</c:v>
                </c:pt>
                <c:pt idx="10">
                  <c:v>59</c:v>
                </c:pt>
                <c:pt idx="11">
                  <c:v>60</c:v>
                </c:pt>
                <c:pt idx="12">
                  <c:v>61</c:v>
                </c:pt>
                <c:pt idx="13">
                  <c:v>62</c:v>
                </c:pt>
                <c:pt idx="14">
                  <c:v>63</c:v>
                </c:pt>
                <c:pt idx="15">
                  <c:v>64</c:v>
                </c:pt>
                <c:pt idx="16">
                  <c:v>65</c:v>
                </c:pt>
                <c:pt idx="17">
                  <c:v>66</c:v>
                </c:pt>
                <c:pt idx="18">
                  <c:v>67</c:v>
                </c:pt>
                <c:pt idx="19">
                  <c:v>68</c:v>
                </c:pt>
                <c:pt idx="20">
                  <c:v>69</c:v>
                </c:pt>
                <c:pt idx="21">
                  <c:v>70</c:v>
                </c:pt>
                <c:pt idx="22">
                  <c:v>71</c:v>
                </c:pt>
                <c:pt idx="23">
                  <c:v>72</c:v>
                </c:pt>
                <c:pt idx="24">
                  <c:v>73</c:v>
                </c:pt>
                <c:pt idx="25">
                  <c:v>74</c:v>
                </c:pt>
                <c:pt idx="26">
                  <c:v>75</c:v>
                </c:pt>
                <c:pt idx="27">
                  <c:v>76</c:v>
                </c:pt>
                <c:pt idx="28">
                  <c:v>77</c:v>
                </c:pt>
                <c:pt idx="29">
                  <c:v>78</c:v>
                </c:pt>
                <c:pt idx="30">
                  <c:v>79</c:v>
                </c:pt>
                <c:pt idx="31">
                  <c:v>80</c:v>
                </c:pt>
                <c:pt idx="32">
                  <c:v>81</c:v>
                </c:pt>
                <c:pt idx="33">
                  <c:v>82</c:v>
                </c:pt>
                <c:pt idx="34">
                  <c:v>83</c:v>
                </c:pt>
                <c:pt idx="35">
                  <c:v>84</c:v>
                </c:pt>
                <c:pt idx="36">
                  <c:v>85</c:v>
                </c:pt>
              </c:numCache>
            </c:numRef>
          </c:cat>
          <c:val>
            <c:numRef>
              <c:f>RetEarly_Engine!ChartNW_Early</c:f>
              <c:numCache>
                <c:formatCode>#,##0\ ;\(#,##0\);\ \ \ \-\ </c:formatCode>
                <c:ptCount val="37"/>
                <c:pt idx="0">
                  <c:v>1301023.1098380252</c:v>
                </c:pt>
                <c:pt idx="1">
                  <c:v>1384582.2771802545</c:v>
                </c:pt>
                <c:pt idx="2">
                  <c:v>1450030.9206765494</c:v>
                </c:pt>
                <c:pt idx="3">
                  <c:v>1550952.0739389125</c:v>
                </c:pt>
                <c:pt idx="4">
                  <c:v>1656938.7875422537</c:v>
                </c:pt>
                <c:pt idx="5">
                  <c:v>1681226.5368760303</c:v>
                </c:pt>
                <c:pt idx="6">
                  <c:v>1703592.6974939031</c:v>
                </c:pt>
                <c:pt idx="7">
                  <c:v>1708389.1391582103</c:v>
                </c:pt>
                <c:pt idx="8">
                  <c:v>1792981.9482400992</c:v>
                </c:pt>
                <c:pt idx="9">
                  <c:v>1778595.65704162</c:v>
                </c:pt>
                <c:pt idx="10">
                  <c:v>1778990.2156588992</c:v>
                </c:pt>
                <c:pt idx="11">
                  <c:v>1798543.4397481827</c:v>
                </c:pt>
                <c:pt idx="12">
                  <c:v>1819234.2207953206</c:v>
                </c:pt>
                <c:pt idx="13">
                  <c:v>1840290.3359410642</c:v>
                </c:pt>
                <c:pt idx="14">
                  <c:v>1861379.5573837273</c:v>
                </c:pt>
                <c:pt idx="15">
                  <c:v>1882518.3012661017</c:v>
                </c:pt>
                <c:pt idx="16">
                  <c:v>1923048.4137060579</c:v>
                </c:pt>
                <c:pt idx="17">
                  <c:v>1972416.2889478065</c:v>
                </c:pt>
                <c:pt idx="18">
                  <c:v>2023251.8137143573</c:v>
                </c:pt>
                <c:pt idx="19">
                  <c:v>2075609.2242214475</c:v>
                </c:pt>
                <c:pt idx="20">
                  <c:v>2066466.2040687059</c:v>
                </c:pt>
                <c:pt idx="21">
                  <c:v>2084491.1878752504</c:v>
                </c:pt>
                <c:pt idx="22">
                  <c:v>2102559.8896683776</c:v>
                </c:pt>
                <c:pt idx="23">
                  <c:v>2120211.6436135173</c:v>
                </c:pt>
                <c:pt idx="24">
                  <c:v>2137450.1955991779</c:v>
                </c:pt>
                <c:pt idx="25">
                  <c:v>2154279.8102486222</c:v>
                </c:pt>
                <c:pt idx="26">
                  <c:v>2170705.2966408622</c:v>
                </c:pt>
                <c:pt idx="27">
                  <c:v>2196714.5101510435</c:v>
                </c:pt>
                <c:pt idx="28">
                  <c:v>2222823.99185804</c:v>
                </c:pt>
                <c:pt idx="29">
                  <c:v>2136821.24267527</c:v>
                </c:pt>
                <c:pt idx="30">
                  <c:v>2137805.494554589</c:v>
                </c:pt>
                <c:pt idx="31">
                  <c:v>2137848.8028680412</c:v>
                </c:pt>
                <c:pt idx="32">
                  <c:v>2136270.7108383975</c:v>
                </c:pt>
                <c:pt idx="33">
                  <c:v>2133037.4336740132</c:v>
                </c:pt>
                <c:pt idx="34">
                  <c:v>2128114.54446996</c:v>
                </c:pt>
                <c:pt idx="35">
                  <c:v>2121466.9642303903</c:v>
                </c:pt>
                <c:pt idx="36">
                  <c:v>2113058.9518237133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00-C94B-93B6-9E84AE83035F}"/>
            </c:ext>
          </c:extLst>
        </c:ser>
        <c:ser>
          <c:idx val="2"/>
          <c:order val="1"/>
          <c:tx>
            <c:strRef>
              <c:f>Output!$AA$3</c:f>
              <c:strCache>
                <c:ptCount val="1"/>
                <c:pt idx="0">
                  <c:v>Retire at  65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49</c:v>
                </c:pt>
                <c:pt idx="1">
                  <c:v>50</c:v>
                </c:pt>
                <c:pt idx="2">
                  <c:v>51</c:v>
                </c:pt>
                <c:pt idx="3">
                  <c:v>52</c:v>
                </c:pt>
                <c:pt idx="4">
                  <c:v>53</c:v>
                </c:pt>
                <c:pt idx="5">
                  <c:v>54</c:v>
                </c:pt>
                <c:pt idx="6">
                  <c:v>55</c:v>
                </c:pt>
                <c:pt idx="7">
                  <c:v>56</c:v>
                </c:pt>
                <c:pt idx="8">
                  <c:v>57</c:v>
                </c:pt>
                <c:pt idx="9">
                  <c:v>58</c:v>
                </c:pt>
                <c:pt idx="10">
                  <c:v>59</c:v>
                </c:pt>
                <c:pt idx="11">
                  <c:v>60</c:v>
                </c:pt>
                <c:pt idx="12">
                  <c:v>61</c:v>
                </c:pt>
                <c:pt idx="13">
                  <c:v>62</c:v>
                </c:pt>
                <c:pt idx="14">
                  <c:v>63</c:v>
                </c:pt>
                <c:pt idx="15">
                  <c:v>64</c:v>
                </c:pt>
                <c:pt idx="16">
                  <c:v>65</c:v>
                </c:pt>
                <c:pt idx="17">
                  <c:v>66</c:v>
                </c:pt>
                <c:pt idx="18">
                  <c:v>67</c:v>
                </c:pt>
                <c:pt idx="19">
                  <c:v>68</c:v>
                </c:pt>
                <c:pt idx="20">
                  <c:v>69</c:v>
                </c:pt>
                <c:pt idx="21">
                  <c:v>70</c:v>
                </c:pt>
                <c:pt idx="22">
                  <c:v>71</c:v>
                </c:pt>
                <c:pt idx="23">
                  <c:v>72</c:v>
                </c:pt>
                <c:pt idx="24">
                  <c:v>73</c:v>
                </c:pt>
                <c:pt idx="25">
                  <c:v>74</c:v>
                </c:pt>
                <c:pt idx="26">
                  <c:v>75</c:v>
                </c:pt>
                <c:pt idx="27">
                  <c:v>76</c:v>
                </c:pt>
                <c:pt idx="28">
                  <c:v>77</c:v>
                </c:pt>
                <c:pt idx="29">
                  <c:v>78</c:v>
                </c:pt>
                <c:pt idx="30">
                  <c:v>79</c:v>
                </c:pt>
                <c:pt idx="31">
                  <c:v>80</c:v>
                </c:pt>
                <c:pt idx="32">
                  <c:v>81</c:v>
                </c:pt>
                <c:pt idx="33">
                  <c:v>82</c:v>
                </c:pt>
                <c:pt idx="34">
                  <c:v>83</c:v>
                </c:pt>
                <c:pt idx="35">
                  <c:v>84</c:v>
                </c:pt>
                <c:pt idx="36">
                  <c:v>85</c:v>
                </c:pt>
              </c:numCache>
            </c:numRef>
          </c:cat>
          <c:val>
            <c:numRef>
              <c:f>[0]!ChartNW_Norm</c:f>
              <c:numCache>
                <c:formatCode>#,##0\ ;\(#,##0\);\ \ \ \-\ </c:formatCode>
                <c:ptCount val="37"/>
                <c:pt idx="0">
                  <c:v>1301023.1098380252</c:v>
                </c:pt>
                <c:pt idx="1">
                  <c:v>1384582.2771802545</c:v>
                </c:pt>
                <c:pt idx="2">
                  <c:v>1450030.9206765494</c:v>
                </c:pt>
                <c:pt idx="3">
                  <c:v>1550952.0739389125</c:v>
                </c:pt>
                <c:pt idx="4">
                  <c:v>1656938.7875422537</c:v>
                </c:pt>
                <c:pt idx="5">
                  <c:v>1775127.73689433</c:v>
                </c:pt>
                <c:pt idx="6">
                  <c:v>1896559.6635315095</c:v>
                </c:pt>
                <c:pt idx="7">
                  <c:v>2005800.0624461714</c:v>
                </c:pt>
                <c:pt idx="8">
                  <c:v>2200436.521202656</c:v>
                </c:pt>
                <c:pt idx="9">
                  <c:v>2305888.9317588429</c:v>
                </c:pt>
                <c:pt idx="10">
                  <c:v>2465431.7822904554</c:v>
                </c:pt>
                <c:pt idx="11">
                  <c:v>2632497.5799885942</c:v>
                </c:pt>
                <c:pt idx="12">
                  <c:v>2807402.1636088458</c:v>
                </c:pt>
                <c:pt idx="13">
                  <c:v>2990474.4278627383</c:v>
                </c:pt>
                <c:pt idx="14">
                  <c:v>3182056.9004872991</c:v>
                </c:pt>
                <c:pt idx="15">
                  <c:v>3382506.348673868</c:v>
                </c:pt>
                <c:pt idx="16">
                  <c:v>3486262.1861123713</c:v>
                </c:pt>
                <c:pt idx="17">
                  <c:v>3601400.509916849</c:v>
                </c:pt>
                <c:pt idx="18">
                  <c:v>3720756.1168301795</c:v>
                </c:pt>
                <c:pt idx="19">
                  <c:v>3844503.8768108995</c:v>
                </c:pt>
                <c:pt idx="20">
                  <c:v>3972827.1896377481</c:v>
                </c:pt>
                <c:pt idx="21">
                  <c:v>4085511.5627259365</c:v>
                </c:pt>
                <c:pt idx="22">
                  <c:v>4202145.5544754099</c:v>
                </c:pt>
                <c:pt idx="23">
                  <c:v>4322903.0116165467</c:v>
                </c:pt>
                <c:pt idx="24">
                  <c:v>4447967.2357921377</c:v>
                </c:pt>
                <c:pt idx="25">
                  <c:v>4577531.5907639489</c:v>
                </c:pt>
                <c:pt idx="26">
                  <c:v>4711800.1530583724</c:v>
                </c:pt>
                <c:pt idx="27">
                  <c:v>4860849.146941415</c:v>
                </c:pt>
                <c:pt idx="28">
                  <c:v>5015538.5161948958</c:v>
                </c:pt>
                <c:pt idx="29">
                  <c:v>5176127.3538182341</c:v>
                </c:pt>
                <c:pt idx="30">
                  <c:v>5342889.188788088</c:v>
                </c:pt>
                <c:pt idx="31">
                  <c:v>5516112.9280942539</c:v>
                </c:pt>
                <c:pt idx="32">
                  <c:v>5696103.8668778427</c:v>
                </c:pt>
                <c:pt idx="33">
                  <c:v>5883184.7718733996</c:v>
                </c:pt>
                <c:pt idx="34">
                  <c:v>6077697.0437644599</c:v>
                </c:pt>
                <c:pt idx="35">
                  <c:v>6280001.9645022694</c:v>
                </c:pt>
                <c:pt idx="36">
                  <c:v>6490482.0361125106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00-C94B-93B6-9E84AE8303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3642623"/>
        <c:axId val="1403644863"/>
      </c:lineChart>
      <c:catAx>
        <c:axId val="1403642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4863"/>
        <c:crosses val="autoZero"/>
        <c:auto val="1"/>
        <c:lblAlgn val="ctr"/>
        <c:lblOffset val="100"/>
        <c:tickLblSkip val="2"/>
        <c:noMultiLvlLbl val="0"/>
      </c:catAx>
      <c:valAx>
        <c:axId val="140364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;\(#,##0\);\ \ \ \-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2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M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Spin" dx="15" fmlaLink="RetEarly_Engine!$B$3" max="65" min="18" page="10" val="54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297479</xdr:colOff>
      <xdr:row>1</xdr:row>
      <xdr:rowOff>128162</xdr:rowOff>
    </xdr:from>
    <xdr:to>
      <xdr:col>10</xdr:col>
      <xdr:colOff>297478</xdr:colOff>
      <xdr:row>30</xdr:row>
      <xdr:rowOff>160180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4EF6F3C-5549-FFD1-5465-CCE02109B7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423336</xdr:colOff>
      <xdr:row>1</xdr:row>
      <xdr:rowOff>128162</xdr:rowOff>
    </xdr:from>
    <xdr:to>
      <xdr:col>20</xdr:col>
      <xdr:colOff>423336</xdr:colOff>
      <xdr:row>30</xdr:row>
      <xdr:rowOff>160180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022D580-9C83-6C91-B509-F2CDB56D14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21</xdr:col>
          <xdr:colOff>38100</xdr:colOff>
          <xdr:row>4</xdr:row>
          <xdr:rowOff>63500</xdr:rowOff>
        </xdr:from>
        <xdr:to>
          <xdr:col>21</xdr:col>
          <xdr:colOff>660400</xdr:colOff>
          <xdr:row>9</xdr:row>
          <xdr:rowOff>63500</xdr:rowOff>
        </xdr:to>
        <xdr:sp macro="" textlink="">
          <xdr:nvSpPr>
            <xdr:cNvPr id="2049" name="Spinner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6C09A-970C-8B4A-8DAA-2452C038377E}">
  <sheetPr codeName="Sheet1">
    <tabColor rgb="FFFFFF00"/>
  </sheetPr>
  <dimension ref="A1:M186"/>
  <sheetViews>
    <sheetView tabSelected="1" zoomScale="135" zoomScaleNormal="120" workbookViewId="0">
      <pane ySplit="1" topLeftCell="A29" activePane="bottomLeft" state="frozen"/>
      <selection pane="bottomLeft" activeCell="D57" sqref="D57"/>
    </sheetView>
  </sheetViews>
  <sheetFormatPr baseColWidth="10" defaultRowHeight="16" x14ac:dyDescent="0.2"/>
  <cols>
    <col min="1" max="1" width="37.83203125" style="24" customWidth="1"/>
    <col min="2" max="2" width="11.6640625" style="21" customWidth="1"/>
    <col min="3" max="3" width="10.83203125" style="23"/>
    <col min="4" max="4" width="45.33203125" style="68" customWidth="1"/>
    <col min="5" max="5" width="43.83203125" style="66" bestFit="1" customWidth="1"/>
    <col min="6" max="6" width="16.1640625" style="76" customWidth="1"/>
    <col min="7" max="7" width="6.5" style="75" customWidth="1"/>
    <col min="8" max="11" width="10.83203125" style="23"/>
    <col min="12" max="12" width="10.83203125" style="2"/>
    <col min="13" max="16384" width="10.83203125" style="23"/>
  </cols>
  <sheetData>
    <row r="1" spans="1:12" ht="35" customHeight="1" x14ac:dyDescent="0.2">
      <c r="A1" s="57"/>
      <c r="B1" s="65" t="s">
        <v>170</v>
      </c>
      <c r="C1" s="51"/>
      <c r="D1" s="65" t="s">
        <v>154</v>
      </c>
      <c r="E1" s="72" t="s">
        <v>155</v>
      </c>
      <c r="F1" s="74" t="s">
        <v>156</v>
      </c>
      <c r="G1" s="74"/>
    </row>
    <row r="2" spans="1:12" x14ac:dyDescent="0.2">
      <c r="A2" s="58" t="s">
        <v>91</v>
      </c>
      <c r="B2" s="38"/>
      <c r="D2" s="66"/>
      <c r="F2" s="75"/>
      <c r="L2" s="23"/>
    </row>
    <row r="3" spans="1:12" x14ac:dyDescent="0.2">
      <c r="D3" s="67"/>
      <c r="L3" s="23"/>
    </row>
    <row r="4" spans="1:12" x14ac:dyDescent="0.2">
      <c r="A4" s="20" t="s">
        <v>92</v>
      </c>
      <c r="B4" s="40">
        <v>48</v>
      </c>
      <c r="D4" s="67" t="s">
        <v>94</v>
      </c>
      <c r="L4" s="23"/>
    </row>
    <row r="5" spans="1:12" x14ac:dyDescent="0.2">
      <c r="A5" s="20"/>
      <c r="D5" s="67"/>
      <c r="L5" s="23"/>
    </row>
    <row r="6" spans="1:12" x14ac:dyDescent="0.2">
      <c r="A6" s="20" t="s">
        <v>93</v>
      </c>
      <c r="B6" s="40">
        <v>80000</v>
      </c>
      <c r="D6" s="67" t="s">
        <v>95</v>
      </c>
      <c r="L6" s="23"/>
    </row>
    <row r="7" spans="1:12" x14ac:dyDescent="0.2">
      <c r="A7" s="20"/>
      <c r="D7" s="67"/>
      <c r="L7" s="23"/>
    </row>
    <row r="8" spans="1:12" x14ac:dyDescent="0.2">
      <c r="A8" s="20" t="s">
        <v>96</v>
      </c>
      <c r="B8" s="40">
        <v>50000</v>
      </c>
      <c r="D8" s="67" t="s">
        <v>97</v>
      </c>
      <c r="L8" s="23"/>
    </row>
    <row r="9" spans="1:12" x14ac:dyDescent="0.2">
      <c r="A9" s="20"/>
      <c r="D9" s="67"/>
      <c r="L9" s="23"/>
    </row>
    <row r="10" spans="1:12" x14ac:dyDescent="0.2">
      <c r="A10" s="20" t="s">
        <v>0</v>
      </c>
      <c r="B10" s="40">
        <v>30000</v>
      </c>
      <c r="D10" s="67" t="s">
        <v>98</v>
      </c>
      <c r="L10" s="23"/>
    </row>
    <row r="11" spans="1:12" x14ac:dyDescent="0.2">
      <c r="A11" s="20"/>
      <c r="D11" s="67"/>
      <c r="L11" s="23"/>
    </row>
    <row r="12" spans="1:12" x14ac:dyDescent="0.2">
      <c r="A12" s="20" t="s">
        <v>33</v>
      </c>
      <c r="B12" s="40">
        <v>600000</v>
      </c>
      <c r="D12" s="67" t="s">
        <v>152</v>
      </c>
      <c r="L12" s="23"/>
    </row>
    <row r="13" spans="1:12" x14ac:dyDescent="0.2">
      <c r="A13" s="20"/>
      <c r="D13" s="67"/>
      <c r="L13" s="23"/>
    </row>
    <row r="14" spans="1:12" x14ac:dyDescent="0.2">
      <c r="A14" s="20" t="s">
        <v>37</v>
      </c>
      <c r="E14" s="73"/>
      <c r="L14" s="23"/>
    </row>
    <row r="15" spans="1:12" x14ac:dyDescent="0.2">
      <c r="A15" s="24" t="s">
        <v>42</v>
      </c>
      <c r="B15" s="40">
        <v>50000</v>
      </c>
      <c r="D15" s="67" t="s">
        <v>153</v>
      </c>
      <c r="F15" s="77" t="s">
        <v>101</v>
      </c>
      <c r="G15" s="78">
        <f>IFERROR(NPER(B16/12,-B17,B15),"")</f>
        <v>68.044528885100064</v>
      </c>
      <c r="L15" s="23"/>
    </row>
    <row r="16" spans="1:12" x14ac:dyDescent="0.2">
      <c r="A16" s="24" t="s">
        <v>99</v>
      </c>
      <c r="B16" s="41">
        <v>0.03</v>
      </c>
      <c r="D16" s="67"/>
      <c r="F16" s="77" t="s">
        <v>102</v>
      </c>
      <c r="G16" s="78">
        <f>IFERROR(G15/12,"")</f>
        <v>5.6703774070916717</v>
      </c>
      <c r="L16" s="23"/>
    </row>
    <row r="17" spans="1:12" x14ac:dyDescent="0.2">
      <c r="A17" s="24" t="s">
        <v>100</v>
      </c>
      <c r="B17" s="40">
        <v>800</v>
      </c>
      <c r="D17" s="67"/>
      <c r="L17" s="23"/>
    </row>
    <row r="18" spans="1:12" x14ac:dyDescent="0.2">
      <c r="A18" s="20"/>
      <c r="D18" s="67"/>
      <c r="L18" s="23"/>
    </row>
    <row r="19" spans="1:12" x14ac:dyDescent="0.2">
      <c r="A19" s="20" t="s">
        <v>105</v>
      </c>
      <c r="B19" s="40">
        <v>65</v>
      </c>
      <c r="D19" s="67" t="s">
        <v>106</v>
      </c>
      <c r="L19" s="23"/>
    </row>
    <row r="20" spans="1:12" x14ac:dyDescent="0.2">
      <c r="A20" s="20"/>
      <c r="B20" s="42"/>
      <c r="D20" s="67"/>
      <c r="L20" s="23"/>
    </row>
    <row r="21" spans="1:12" x14ac:dyDescent="0.2">
      <c r="A21" s="20" t="s">
        <v>103</v>
      </c>
      <c r="B21" s="40">
        <v>16000</v>
      </c>
      <c r="D21" s="67" t="s">
        <v>104</v>
      </c>
      <c r="L21" s="23"/>
    </row>
    <row r="22" spans="1:12" x14ac:dyDescent="0.2">
      <c r="A22" s="20"/>
      <c r="D22" s="67"/>
      <c r="L22" s="23"/>
    </row>
    <row r="23" spans="1:12" x14ac:dyDescent="0.2">
      <c r="A23" s="20" t="s">
        <v>5</v>
      </c>
      <c r="B23" s="40"/>
      <c r="D23" s="67" t="s">
        <v>53</v>
      </c>
      <c r="E23" s="66" t="s">
        <v>164</v>
      </c>
      <c r="L23" s="23"/>
    </row>
    <row r="24" spans="1:12" x14ac:dyDescent="0.2">
      <c r="A24" s="20"/>
      <c r="D24" s="67"/>
      <c r="L24" s="23"/>
    </row>
    <row r="25" spans="1:12" x14ac:dyDescent="0.2">
      <c r="A25" s="20" t="s">
        <v>114</v>
      </c>
      <c r="B25" s="40">
        <v>50000</v>
      </c>
      <c r="D25" s="67"/>
      <c r="L25" s="23"/>
    </row>
    <row r="26" spans="1:12" x14ac:dyDescent="0.2">
      <c r="D26" s="67"/>
      <c r="L26" s="23"/>
    </row>
    <row r="27" spans="1:12" x14ac:dyDescent="0.2">
      <c r="D27" s="67"/>
      <c r="L27" s="23"/>
    </row>
    <row r="28" spans="1:12" x14ac:dyDescent="0.2">
      <c r="A28" s="58" t="s">
        <v>107</v>
      </c>
      <c r="B28" s="38"/>
      <c r="D28" s="67"/>
      <c r="E28" s="66" t="s">
        <v>158</v>
      </c>
      <c r="L28" s="23"/>
    </row>
    <row r="29" spans="1:12" x14ac:dyDescent="0.2">
      <c r="D29" s="67"/>
      <c r="L29" s="23"/>
    </row>
    <row r="30" spans="1:12" x14ac:dyDescent="0.2">
      <c r="A30" s="59" t="s">
        <v>36</v>
      </c>
      <c r="D30" s="67"/>
      <c r="L30" s="23"/>
    </row>
    <row r="31" spans="1:12" x14ac:dyDescent="0.2">
      <c r="D31" s="67"/>
      <c r="L31" s="23"/>
    </row>
    <row r="32" spans="1:12" x14ac:dyDescent="0.2">
      <c r="A32" s="24" t="s">
        <v>44</v>
      </c>
      <c r="L32" s="23"/>
    </row>
    <row r="33" spans="1:12" x14ac:dyDescent="0.2">
      <c r="A33" s="60" t="s">
        <v>32</v>
      </c>
      <c r="B33" s="43" t="s">
        <v>173</v>
      </c>
      <c r="D33" s="67" t="s">
        <v>110</v>
      </c>
      <c r="L33" s="23"/>
    </row>
    <row r="34" spans="1:12" x14ac:dyDescent="0.2">
      <c r="A34" s="60" t="s">
        <v>138</v>
      </c>
      <c r="B34" s="40">
        <v>2000</v>
      </c>
      <c r="D34" s="67" t="s">
        <v>137</v>
      </c>
      <c r="E34" s="66" t="s">
        <v>160</v>
      </c>
      <c r="L34" s="23"/>
    </row>
    <row r="35" spans="1:12" x14ac:dyDescent="0.2">
      <c r="A35" s="60" t="s">
        <v>111</v>
      </c>
      <c r="B35" s="40">
        <v>3</v>
      </c>
      <c r="D35" s="67" t="s">
        <v>109</v>
      </c>
      <c r="E35" s="66" t="s">
        <v>160</v>
      </c>
      <c r="L35" s="23"/>
    </row>
    <row r="36" spans="1:12" x14ac:dyDescent="0.2">
      <c r="L36" s="23"/>
    </row>
    <row r="37" spans="1:12" x14ac:dyDescent="0.2">
      <c r="A37" s="24" t="s">
        <v>45</v>
      </c>
      <c r="L37" s="23"/>
    </row>
    <row r="38" spans="1:12" x14ac:dyDescent="0.2">
      <c r="A38" s="60" t="s">
        <v>32</v>
      </c>
      <c r="B38" s="43" t="s">
        <v>174</v>
      </c>
      <c r="D38" s="67" t="s">
        <v>110</v>
      </c>
      <c r="L38" s="23"/>
    </row>
    <row r="39" spans="1:12" x14ac:dyDescent="0.2">
      <c r="A39" s="60" t="s">
        <v>138</v>
      </c>
      <c r="B39" s="40">
        <v>1000</v>
      </c>
      <c r="D39" s="67" t="s">
        <v>137</v>
      </c>
      <c r="E39" s="66" t="s">
        <v>160</v>
      </c>
      <c r="L39" s="23"/>
    </row>
    <row r="40" spans="1:12" x14ac:dyDescent="0.2">
      <c r="A40" s="60" t="s">
        <v>111</v>
      </c>
      <c r="B40" s="40">
        <v>5</v>
      </c>
      <c r="D40" s="67" t="s">
        <v>109</v>
      </c>
      <c r="E40" s="66" t="s">
        <v>160</v>
      </c>
      <c r="L40" s="23"/>
    </row>
    <row r="42" spans="1:12" x14ac:dyDescent="0.2">
      <c r="A42" s="24" t="s">
        <v>46</v>
      </c>
      <c r="L42" s="23"/>
    </row>
    <row r="43" spans="1:12" x14ac:dyDescent="0.2">
      <c r="A43" s="60" t="s">
        <v>32</v>
      </c>
      <c r="B43" s="43" t="s">
        <v>175</v>
      </c>
      <c r="D43" s="67" t="s">
        <v>110</v>
      </c>
      <c r="L43" s="23"/>
    </row>
    <row r="44" spans="1:12" x14ac:dyDescent="0.2">
      <c r="A44" s="60" t="s">
        <v>138</v>
      </c>
      <c r="B44" s="40">
        <v>4000</v>
      </c>
      <c r="D44" s="67" t="s">
        <v>137</v>
      </c>
      <c r="E44" s="66" t="s">
        <v>160</v>
      </c>
      <c r="L44" s="23"/>
    </row>
    <row r="45" spans="1:12" x14ac:dyDescent="0.2">
      <c r="A45" s="60" t="s">
        <v>111</v>
      </c>
      <c r="B45" s="40">
        <v>2</v>
      </c>
      <c r="D45" s="67" t="s">
        <v>109</v>
      </c>
      <c r="E45" s="66" t="s">
        <v>160</v>
      </c>
      <c r="L45" s="23"/>
    </row>
    <row r="46" spans="1:12" x14ac:dyDescent="0.2">
      <c r="A46" s="60"/>
      <c r="B46" s="39"/>
      <c r="D46" s="67"/>
      <c r="L46" s="23"/>
    </row>
    <row r="47" spans="1:12" x14ac:dyDescent="0.2">
      <c r="A47" s="24" t="s">
        <v>182</v>
      </c>
      <c r="L47" s="23"/>
    </row>
    <row r="48" spans="1:12" x14ac:dyDescent="0.2">
      <c r="A48" s="60" t="s">
        <v>32</v>
      </c>
      <c r="B48" s="43" t="s">
        <v>184</v>
      </c>
      <c r="D48" s="67" t="s">
        <v>110</v>
      </c>
      <c r="L48" s="23"/>
    </row>
    <row r="49" spans="1:12" x14ac:dyDescent="0.2">
      <c r="A49" s="60" t="s">
        <v>138</v>
      </c>
      <c r="B49" s="40">
        <v>2500</v>
      </c>
      <c r="D49" s="67" t="s">
        <v>137</v>
      </c>
      <c r="E49" s="66" t="s">
        <v>160</v>
      </c>
      <c r="L49" s="23"/>
    </row>
    <row r="50" spans="1:12" x14ac:dyDescent="0.2">
      <c r="A50" s="60" t="s">
        <v>111</v>
      </c>
      <c r="B50" s="40">
        <v>3</v>
      </c>
      <c r="D50" s="67" t="s">
        <v>109</v>
      </c>
      <c r="E50" s="66" t="s">
        <v>160</v>
      </c>
      <c r="L50" s="23"/>
    </row>
    <row r="52" spans="1:12" x14ac:dyDescent="0.2">
      <c r="A52" s="24" t="s">
        <v>183</v>
      </c>
      <c r="L52" s="23"/>
    </row>
    <row r="53" spans="1:12" x14ac:dyDescent="0.2">
      <c r="A53" s="60" t="s">
        <v>32</v>
      </c>
      <c r="B53" s="43" t="s">
        <v>185</v>
      </c>
      <c r="D53" s="67" t="s">
        <v>110</v>
      </c>
      <c r="L53" s="23"/>
    </row>
    <row r="54" spans="1:12" x14ac:dyDescent="0.2">
      <c r="A54" s="60" t="s">
        <v>138</v>
      </c>
      <c r="B54" s="40">
        <v>2860</v>
      </c>
      <c r="D54" s="67" t="s">
        <v>137</v>
      </c>
      <c r="E54" s="66" t="s">
        <v>160</v>
      </c>
      <c r="L54" s="23"/>
    </row>
    <row r="55" spans="1:12" x14ac:dyDescent="0.2">
      <c r="A55" s="60" t="s">
        <v>111</v>
      </c>
      <c r="B55" s="40">
        <v>6</v>
      </c>
      <c r="D55" s="67" t="s">
        <v>109</v>
      </c>
      <c r="E55" s="66" t="s">
        <v>160</v>
      </c>
      <c r="L55" s="23"/>
    </row>
    <row r="56" spans="1:12" x14ac:dyDescent="0.2">
      <c r="A56" s="60"/>
      <c r="B56" s="39"/>
      <c r="D56" s="67"/>
      <c r="L56" s="23"/>
    </row>
    <row r="57" spans="1:12" x14ac:dyDescent="0.2">
      <c r="A57" s="59" t="s">
        <v>126</v>
      </c>
      <c r="D57" s="67"/>
      <c r="L57" s="23"/>
    </row>
    <row r="58" spans="1:12" x14ac:dyDescent="0.2">
      <c r="A58" s="59"/>
      <c r="D58" s="67"/>
      <c r="L58" s="23"/>
    </row>
    <row r="59" spans="1:12" x14ac:dyDescent="0.2">
      <c r="A59" s="24" t="s">
        <v>47</v>
      </c>
      <c r="D59" s="67"/>
      <c r="L59" s="23"/>
    </row>
    <row r="60" spans="1:12" x14ac:dyDescent="0.2">
      <c r="A60" s="60" t="s">
        <v>32</v>
      </c>
      <c r="B60" s="43" t="s">
        <v>165</v>
      </c>
      <c r="D60" s="67" t="s">
        <v>110</v>
      </c>
      <c r="L60" s="23"/>
    </row>
    <row r="61" spans="1:12" x14ac:dyDescent="0.2">
      <c r="A61" s="60" t="s">
        <v>123</v>
      </c>
      <c r="B61" s="40">
        <v>300000</v>
      </c>
      <c r="D61" s="67"/>
      <c r="E61" s="66" t="s">
        <v>161</v>
      </c>
      <c r="L61" s="23"/>
    </row>
    <row r="62" spans="1:12" x14ac:dyDescent="0.2">
      <c r="A62" s="60" t="s">
        <v>124</v>
      </c>
      <c r="B62" s="40">
        <v>5000</v>
      </c>
      <c r="D62" s="67" t="s">
        <v>125</v>
      </c>
      <c r="E62" s="66" t="s">
        <v>161</v>
      </c>
      <c r="L62" s="23"/>
    </row>
    <row r="63" spans="1:12" x14ac:dyDescent="0.2">
      <c r="D63" s="67"/>
      <c r="L63" s="23"/>
    </row>
    <row r="64" spans="1:12" x14ac:dyDescent="0.2">
      <c r="A64" s="24" t="s">
        <v>48</v>
      </c>
      <c r="D64" s="67"/>
      <c r="L64" s="23"/>
    </row>
    <row r="65" spans="1:12" x14ac:dyDescent="0.2">
      <c r="A65" s="60" t="s">
        <v>32</v>
      </c>
      <c r="B65" s="43" t="s">
        <v>176</v>
      </c>
      <c r="D65" s="67" t="s">
        <v>110</v>
      </c>
      <c r="L65" s="23"/>
    </row>
    <row r="66" spans="1:12" x14ac:dyDescent="0.2">
      <c r="A66" s="60" t="s">
        <v>123</v>
      </c>
      <c r="B66" s="40">
        <v>150000</v>
      </c>
      <c r="D66" s="67"/>
      <c r="E66" s="66" t="s">
        <v>161</v>
      </c>
      <c r="L66" s="23"/>
    </row>
    <row r="67" spans="1:12" x14ac:dyDescent="0.2">
      <c r="A67" s="60" t="s">
        <v>124</v>
      </c>
      <c r="B67" s="40">
        <v>2000</v>
      </c>
      <c r="D67" s="67" t="s">
        <v>125</v>
      </c>
      <c r="E67" s="66" t="s">
        <v>161</v>
      </c>
      <c r="L67" s="23"/>
    </row>
    <row r="68" spans="1:12" x14ac:dyDescent="0.2">
      <c r="D68" s="67"/>
      <c r="L68" s="23"/>
    </row>
    <row r="69" spans="1:12" x14ac:dyDescent="0.2">
      <c r="A69" s="24" t="s">
        <v>49</v>
      </c>
      <c r="D69" s="67"/>
      <c r="L69" s="23"/>
    </row>
    <row r="70" spans="1:12" x14ac:dyDescent="0.2">
      <c r="A70" s="60" t="s">
        <v>32</v>
      </c>
      <c r="B70" s="43" t="s">
        <v>171</v>
      </c>
      <c r="D70" s="67" t="s">
        <v>110</v>
      </c>
      <c r="L70" s="23"/>
    </row>
    <row r="71" spans="1:12" x14ac:dyDescent="0.2">
      <c r="A71" s="60" t="s">
        <v>123</v>
      </c>
      <c r="B71" s="40">
        <v>220000</v>
      </c>
      <c r="D71" s="67"/>
      <c r="E71" s="66" t="s">
        <v>161</v>
      </c>
      <c r="L71" s="23"/>
    </row>
    <row r="72" spans="1:12" x14ac:dyDescent="0.2">
      <c r="A72" s="60" t="s">
        <v>124</v>
      </c>
      <c r="B72" s="40">
        <v>1200</v>
      </c>
      <c r="D72" s="67" t="s">
        <v>125</v>
      </c>
      <c r="E72" s="66" t="s">
        <v>161</v>
      </c>
      <c r="L72" s="23"/>
    </row>
    <row r="73" spans="1:12" x14ac:dyDescent="0.2">
      <c r="A73" s="60"/>
      <c r="D73" s="67"/>
      <c r="L73" s="23"/>
    </row>
    <row r="74" spans="1:12" x14ac:dyDescent="0.2">
      <c r="A74" s="59" t="s">
        <v>112</v>
      </c>
      <c r="L74" s="23"/>
    </row>
    <row r="75" spans="1:12" x14ac:dyDescent="0.2">
      <c r="D75" s="67"/>
      <c r="L75" s="23"/>
    </row>
    <row r="76" spans="1:12" x14ac:dyDescent="0.2">
      <c r="A76" s="24" t="str">
        <f>"Rental income: "&amp;B60</f>
        <v>Rental income: Sliema</v>
      </c>
      <c r="B76" s="40">
        <v>12000</v>
      </c>
      <c r="D76" s="67" t="s">
        <v>113</v>
      </c>
      <c r="E76" s="66" t="s">
        <v>162</v>
      </c>
      <c r="L76" s="23"/>
    </row>
    <row r="77" spans="1:12" x14ac:dyDescent="0.2">
      <c r="A77" s="24" t="str">
        <f>"Rental income: "&amp;B65</f>
        <v>Rental income: Gzira</v>
      </c>
      <c r="B77" s="40">
        <v>10000</v>
      </c>
      <c r="D77" s="67" t="s">
        <v>113</v>
      </c>
      <c r="E77" s="66" t="s">
        <v>162</v>
      </c>
      <c r="L77" s="23"/>
    </row>
    <row r="78" spans="1:12" x14ac:dyDescent="0.2">
      <c r="A78" s="24" t="str">
        <f>"Rental income: "&amp;B70</f>
        <v>Rental income: Qormi</v>
      </c>
      <c r="B78" s="40">
        <v>8000</v>
      </c>
      <c r="D78" s="67" t="s">
        <v>113</v>
      </c>
      <c r="E78" s="66" t="s">
        <v>162</v>
      </c>
      <c r="L78" s="23"/>
    </row>
    <row r="79" spans="1:12" x14ac:dyDescent="0.2">
      <c r="D79" s="67"/>
      <c r="L79" s="23"/>
    </row>
    <row r="80" spans="1:12" x14ac:dyDescent="0.2">
      <c r="A80" s="24" t="s">
        <v>127</v>
      </c>
      <c r="B80" s="40">
        <v>2000</v>
      </c>
      <c r="D80" s="67" t="s">
        <v>150</v>
      </c>
      <c r="L80" s="23"/>
    </row>
    <row r="81" spans="1:12" x14ac:dyDescent="0.2">
      <c r="A81" s="24" t="s">
        <v>15</v>
      </c>
      <c r="B81" s="40">
        <v>58</v>
      </c>
      <c r="D81" s="67"/>
      <c r="E81" s="66" t="s">
        <v>163</v>
      </c>
      <c r="L81" s="23"/>
    </row>
    <row r="82" spans="1:12" x14ac:dyDescent="0.2">
      <c r="D82" s="67"/>
      <c r="L82" s="23"/>
    </row>
    <row r="83" spans="1:12" x14ac:dyDescent="0.2">
      <c r="A83" s="59" t="s">
        <v>115</v>
      </c>
      <c r="D83" s="67"/>
      <c r="L83" s="23"/>
    </row>
    <row r="84" spans="1:12" x14ac:dyDescent="0.2">
      <c r="D84" s="67"/>
      <c r="J84" s="50"/>
      <c r="L84" s="23"/>
    </row>
    <row r="85" spans="1:12" x14ac:dyDescent="0.2">
      <c r="A85" s="24" t="s">
        <v>3</v>
      </c>
      <c r="B85" s="40">
        <v>1000</v>
      </c>
      <c r="D85" s="67" t="s">
        <v>151</v>
      </c>
      <c r="L85" s="23"/>
    </row>
    <row r="86" spans="1:12" x14ac:dyDescent="0.2">
      <c r="D86" s="67"/>
      <c r="L86" s="23"/>
    </row>
    <row r="87" spans="1:12" x14ac:dyDescent="0.2">
      <c r="A87" s="61" t="str">
        <f>B60 &amp; " Property"</f>
        <v>Sliema Property</v>
      </c>
      <c r="F87" s="77"/>
      <c r="G87" s="79"/>
      <c r="J87" s="50"/>
      <c r="L87" s="23"/>
    </row>
    <row r="88" spans="1:12" x14ac:dyDescent="0.2">
      <c r="A88" s="60" t="s">
        <v>42</v>
      </c>
      <c r="B88" s="40">
        <v>50000</v>
      </c>
      <c r="D88" s="67" t="s">
        <v>119</v>
      </c>
      <c r="F88" s="77" t="s">
        <v>101</v>
      </c>
      <c r="G88" s="78">
        <f>IFERROR(NPER(B89/12,-B90,B88),"")</f>
        <v>115.21661015797439</v>
      </c>
      <c r="L88" s="23"/>
    </row>
    <row r="89" spans="1:12" x14ac:dyDescent="0.2">
      <c r="A89" s="60" t="s">
        <v>99</v>
      </c>
      <c r="B89" s="41">
        <v>0.03</v>
      </c>
      <c r="D89" s="67"/>
      <c r="F89" s="77" t="s">
        <v>102</v>
      </c>
      <c r="G89" s="78">
        <f>IFERROR(G88/12,"")</f>
        <v>9.6013841798311983</v>
      </c>
      <c r="L89" s="23"/>
    </row>
    <row r="90" spans="1:12" x14ac:dyDescent="0.2">
      <c r="A90" s="60" t="s">
        <v>100</v>
      </c>
      <c r="B90" s="40">
        <v>500</v>
      </c>
      <c r="D90" s="67"/>
      <c r="G90" s="79"/>
      <c r="J90" s="50"/>
      <c r="L90" s="23"/>
    </row>
    <row r="91" spans="1:12" x14ac:dyDescent="0.2">
      <c r="B91" s="23"/>
      <c r="D91" s="67"/>
      <c r="G91" s="79"/>
      <c r="J91" s="50"/>
      <c r="L91" s="23"/>
    </row>
    <row r="92" spans="1:12" x14ac:dyDescent="0.2">
      <c r="A92" s="61" t="str">
        <f>B65 &amp; " Property"</f>
        <v>Gzira Property</v>
      </c>
      <c r="B92" s="23"/>
      <c r="F92" s="77"/>
      <c r="G92" s="79"/>
      <c r="L92" s="23"/>
    </row>
    <row r="93" spans="1:12" x14ac:dyDescent="0.2">
      <c r="A93" s="60" t="s">
        <v>42</v>
      </c>
      <c r="B93" s="40">
        <v>8500</v>
      </c>
      <c r="D93" s="67" t="s">
        <v>119</v>
      </c>
      <c r="F93" s="77" t="s">
        <v>101</v>
      </c>
      <c r="G93" s="78">
        <f>IFERROR(NPER(B94/12,-B95,B93),"")</f>
        <v>44.117014509786529</v>
      </c>
      <c r="L93" s="23"/>
    </row>
    <row r="94" spans="1:12" x14ac:dyDescent="0.2">
      <c r="A94" s="60" t="s">
        <v>99</v>
      </c>
      <c r="B94" s="41">
        <v>0.02</v>
      </c>
      <c r="D94" s="67"/>
      <c r="F94" s="77" t="s">
        <v>102</v>
      </c>
      <c r="G94" s="78">
        <f>IFERROR(G93/12,"")</f>
        <v>3.6764178758155439</v>
      </c>
      <c r="L94" s="23"/>
    </row>
    <row r="95" spans="1:12" x14ac:dyDescent="0.2">
      <c r="A95" s="60" t="s">
        <v>100</v>
      </c>
      <c r="B95" s="40">
        <v>200</v>
      </c>
      <c r="D95" s="67"/>
      <c r="G95" s="79"/>
      <c r="L95" s="23"/>
    </row>
    <row r="96" spans="1:12" x14ac:dyDescent="0.2">
      <c r="D96" s="67"/>
      <c r="G96" s="79"/>
      <c r="L96" s="23"/>
    </row>
    <row r="97" spans="1:12" x14ac:dyDescent="0.2">
      <c r="A97" s="61" t="str">
        <f>B70&amp; " Property"</f>
        <v>Qormi Property</v>
      </c>
      <c r="B97" s="23"/>
      <c r="F97" s="77"/>
      <c r="G97" s="79"/>
      <c r="L97" s="23"/>
    </row>
    <row r="98" spans="1:12" x14ac:dyDescent="0.2">
      <c r="A98" s="60" t="s">
        <v>42</v>
      </c>
      <c r="B98" s="40">
        <v>15000</v>
      </c>
      <c r="D98" s="67" t="s">
        <v>119</v>
      </c>
      <c r="F98" s="77" t="s">
        <v>101</v>
      </c>
      <c r="G98" s="78">
        <f>IFERROR(NPER(B99/12,-B100,B98),"")</f>
        <v>69.187438742600861</v>
      </c>
      <c r="L98" s="23"/>
    </row>
    <row r="99" spans="1:12" x14ac:dyDescent="0.2">
      <c r="A99" s="60" t="s">
        <v>99</v>
      </c>
      <c r="B99" s="41">
        <v>0.05</v>
      </c>
      <c r="D99" s="67"/>
      <c r="F99" s="77" t="s">
        <v>102</v>
      </c>
      <c r="G99" s="78">
        <f>IFERROR(G98/12,"")</f>
        <v>5.7656198952167381</v>
      </c>
      <c r="J99" s="50"/>
      <c r="L99" s="23"/>
    </row>
    <row r="100" spans="1:12" x14ac:dyDescent="0.2">
      <c r="A100" s="60" t="s">
        <v>100</v>
      </c>
      <c r="B100" s="40">
        <v>250</v>
      </c>
      <c r="D100" s="67"/>
      <c r="G100" s="79"/>
      <c r="J100" s="50"/>
      <c r="L100" s="23"/>
    </row>
    <row r="101" spans="1:12" x14ac:dyDescent="0.2">
      <c r="B101" s="23"/>
      <c r="D101" s="67"/>
      <c r="G101" s="79"/>
      <c r="L101" s="23"/>
    </row>
    <row r="102" spans="1:12" x14ac:dyDescent="0.2">
      <c r="A102" s="24" t="s">
        <v>38</v>
      </c>
      <c r="D102" s="67"/>
      <c r="F102" s="77"/>
      <c r="G102" s="78"/>
      <c r="L102" s="23"/>
    </row>
    <row r="103" spans="1:12" x14ac:dyDescent="0.2">
      <c r="A103" s="60" t="s">
        <v>42</v>
      </c>
      <c r="B103" s="40">
        <v>4000</v>
      </c>
      <c r="D103" s="67" t="s">
        <v>110</v>
      </c>
      <c r="F103" s="77" t="s">
        <v>101</v>
      </c>
      <c r="G103" s="78">
        <f>IFERROR(NPER(B104/12,-B105,B103),"")</f>
        <v>102.42032525150438</v>
      </c>
      <c r="L103" s="23"/>
    </row>
    <row r="104" spans="1:12" x14ac:dyDescent="0.2">
      <c r="A104" s="60" t="s">
        <v>99</v>
      </c>
      <c r="B104" s="41">
        <v>0.06</v>
      </c>
      <c r="D104" s="67"/>
      <c r="F104" s="77" t="s">
        <v>102</v>
      </c>
      <c r="G104" s="78">
        <f>IFERROR(G103/12,"")</f>
        <v>8.5350271042920323</v>
      </c>
      <c r="L104" s="23"/>
    </row>
    <row r="105" spans="1:12" x14ac:dyDescent="0.2">
      <c r="A105" s="60" t="s">
        <v>100</v>
      </c>
      <c r="B105" s="40">
        <v>50</v>
      </c>
      <c r="D105" s="67"/>
      <c r="E105" s="73"/>
      <c r="L105" s="23"/>
    </row>
    <row r="106" spans="1:12" x14ac:dyDescent="0.2">
      <c r="D106" s="67"/>
      <c r="E106" s="73"/>
      <c r="L106" s="23"/>
    </row>
    <row r="107" spans="1:12" x14ac:dyDescent="0.2">
      <c r="A107" s="59" t="s">
        <v>148</v>
      </c>
      <c r="D107" s="67"/>
      <c r="L107" s="23"/>
    </row>
    <row r="108" spans="1:12" x14ac:dyDescent="0.2">
      <c r="B108" s="39"/>
      <c r="L108" s="23"/>
    </row>
    <row r="109" spans="1:12" s="21" customFormat="1" x14ac:dyDescent="0.2">
      <c r="A109" s="24" t="s">
        <v>116</v>
      </c>
      <c r="B109" s="39"/>
      <c r="D109" s="68"/>
      <c r="E109" s="66"/>
      <c r="F109" s="76"/>
      <c r="G109" s="80"/>
    </row>
    <row r="110" spans="1:12" s="21" customFormat="1" x14ac:dyDescent="0.2">
      <c r="A110" s="60" t="s">
        <v>32</v>
      </c>
      <c r="B110" s="44" t="s">
        <v>177</v>
      </c>
      <c r="D110" s="67" t="s">
        <v>110</v>
      </c>
      <c r="E110" s="66"/>
      <c r="F110" s="76"/>
      <c r="G110" s="80"/>
    </row>
    <row r="111" spans="1:12" s="21" customFormat="1" x14ac:dyDescent="0.2">
      <c r="A111" s="60" t="s">
        <v>50</v>
      </c>
      <c r="B111" s="40">
        <v>50000</v>
      </c>
      <c r="D111" s="67" t="s">
        <v>119</v>
      </c>
      <c r="E111" s="66"/>
      <c r="F111" s="76"/>
      <c r="G111" s="80"/>
    </row>
    <row r="112" spans="1:12" s="21" customFormat="1" x14ac:dyDescent="0.2">
      <c r="A112" s="60" t="s">
        <v>6</v>
      </c>
      <c r="B112" s="43">
        <v>2035</v>
      </c>
      <c r="D112" s="68"/>
      <c r="E112" s="66"/>
      <c r="F112" s="76"/>
      <c r="G112" s="80"/>
    </row>
    <row r="113" spans="1:12" s="21" customFormat="1" x14ac:dyDescent="0.2">
      <c r="A113" s="24"/>
      <c r="B113" s="39"/>
      <c r="D113" s="68"/>
      <c r="E113" s="66"/>
      <c r="F113" s="76"/>
      <c r="G113" s="80"/>
    </row>
    <row r="114" spans="1:12" s="21" customFormat="1" x14ac:dyDescent="0.2">
      <c r="A114" s="24" t="s">
        <v>117</v>
      </c>
      <c r="B114" s="39"/>
      <c r="D114" s="68"/>
      <c r="E114" s="66"/>
      <c r="F114" s="76"/>
      <c r="G114" s="80"/>
    </row>
    <row r="115" spans="1:12" s="21" customFormat="1" x14ac:dyDescent="0.2">
      <c r="A115" s="60" t="s">
        <v>32</v>
      </c>
      <c r="B115" s="44" t="s">
        <v>178</v>
      </c>
      <c r="D115" s="67" t="s">
        <v>110</v>
      </c>
      <c r="E115" s="66"/>
      <c r="F115" s="76"/>
      <c r="G115" s="80"/>
    </row>
    <row r="116" spans="1:12" s="21" customFormat="1" x14ac:dyDescent="0.2">
      <c r="A116" s="60" t="s">
        <v>50</v>
      </c>
      <c r="B116" s="40">
        <v>10000</v>
      </c>
      <c r="D116" s="67" t="s">
        <v>119</v>
      </c>
      <c r="E116" s="66"/>
      <c r="F116" s="76"/>
      <c r="G116" s="80"/>
    </row>
    <row r="117" spans="1:12" s="21" customFormat="1" x14ac:dyDescent="0.2">
      <c r="A117" s="60" t="s">
        <v>6</v>
      </c>
      <c r="B117" s="43">
        <v>2029</v>
      </c>
      <c r="D117" s="68"/>
      <c r="E117" s="66"/>
      <c r="F117" s="76"/>
      <c r="G117" s="80"/>
    </row>
    <row r="118" spans="1:12" s="21" customFormat="1" x14ac:dyDescent="0.2">
      <c r="A118" s="24"/>
      <c r="B118" s="39"/>
      <c r="D118" s="68"/>
      <c r="E118" s="66"/>
      <c r="F118" s="76"/>
      <c r="G118" s="80"/>
    </row>
    <row r="119" spans="1:12" s="21" customFormat="1" x14ac:dyDescent="0.2">
      <c r="A119" s="24" t="s">
        <v>118</v>
      </c>
      <c r="B119" s="39"/>
      <c r="D119" s="68"/>
      <c r="E119" s="66"/>
      <c r="F119" s="76"/>
      <c r="G119" s="80"/>
    </row>
    <row r="120" spans="1:12" s="21" customFormat="1" x14ac:dyDescent="0.2">
      <c r="A120" s="60" t="s">
        <v>32</v>
      </c>
      <c r="B120" s="44" t="s">
        <v>179</v>
      </c>
      <c r="D120" s="67" t="s">
        <v>110</v>
      </c>
      <c r="E120" s="66"/>
      <c r="F120" s="76"/>
      <c r="G120" s="80"/>
    </row>
    <row r="121" spans="1:12" s="21" customFormat="1" x14ac:dyDescent="0.2">
      <c r="A121" s="60" t="s">
        <v>50</v>
      </c>
      <c r="B121" s="40">
        <v>5000</v>
      </c>
      <c r="D121" s="67" t="s">
        <v>119</v>
      </c>
      <c r="E121" s="66"/>
      <c r="F121" s="76"/>
      <c r="G121" s="80"/>
    </row>
    <row r="122" spans="1:12" s="21" customFormat="1" x14ac:dyDescent="0.2">
      <c r="A122" s="60" t="s">
        <v>6</v>
      </c>
      <c r="B122" s="43">
        <v>2032</v>
      </c>
      <c r="D122" s="68"/>
      <c r="E122" s="66"/>
      <c r="F122" s="76"/>
      <c r="G122" s="80"/>
    </row>
    <row r="123" spans="1:12" s="21" customFormat="1" x14ac:dyDescent="0.2">
      <c r="A123" s="24"/>
      <c r="B123" s="39"/>
      <c r="D123" s="68"/>
      <c r="E123" s="66"/>
      <c r="F123" s="76"/>
      <c r="G123" s="80"/>
    </row>
    <row r="124" spans="1:12" x14ac:dyDescent="0.2">
      <c r="A124" s="59" t="s">
        <v>147</v>
      </c>
      <c r="B124" s="39"/>
      <c r="L124" s="23"/>
    </row>
    <row r="125" spans="1:12" x14ac:dyDescent="0.2">
      <c r="A125" s="60"/>
      <c r="B125" s="39"/>
      <c r="L125" s="23"/>
    </row>
    <row r="126" spans="1:12" s="21" customFormat="1" x14ac:dyDescent="0.2">
      <c r="A126" s="24" t="s">
        <v>120</v>
      </c>
      <c r="B126" s="39"/>
      <c r="D126" s="68"/>
      <c r="E126" s="66"/>
      <c r="F126" s="76"/>
      <c r="G126" s="80"/>
    </row>
    <row r="127" spans="1:12" s="21" customFormat="1" x14ac:dyDescent="0.2">
      <c r="A127" s="60" t="s">
        <v>32</v>
      </c>
      <c r="B127" s="44" t="s">
        <v>172</v>
      </c>
      <c r="D127" s="67" t="s">
        <v>110</v>
      </c>
      <c r="E127" s="66"/>
      <c r="F127" s="76"/>
      <c r="G127" s="80"/>
    </row>
    <row r="128" spans="1:12" s="21" customFormat="1" x14ac:dyDescent="0.2">
      <c r="A128" s="60" t="s">
        <v>50</v>
      </c>
      <c r="B128" s="40">
        <v>40000</v>
      </c>
      <c r="D128" s="67" t="s">
        <v>119</v>
      </c>
      <c r="E128" s="66"/>
      <c r="F128" s="76"/>
      <c r="G128" s="80"/>
    </row>
    <row r="129" spans="1:12" s="21" customFormat="1" x14ac:dyDescent="0.2">
      <c r="A129" s="60" t="s">
        <v>6</v>
      </c>
      <c r="B129" s="43">
        <v>2036</v>
      </c>
      <c r="D129" s="68"/>
      <c r="E129" s="66"/>
      <c r="F129" s="76"/>
      <c r="G129" s="80"/>
    </row>
    <row r="130" spans="1:12" s="21" customFormat="1" x14ac:dyDescent="0.2">
      <c r="A130" s="24"/>
      <c r="B130" s="39"/>
      <c r="D130" s="68"/>
      <c r="E130" s="66"/>
      <c r="F130" s="76"/>
      <c r="G130" s="80"/>
    </row>
    <row r="131" spans="1:12" s="21" customFormat="1" x14ac:dyDescent="0.2">
      <c r="A131" s="24" t="s">
        <v>121</v>
      </c>
      <c r="B131" s="39"/>
      <c r="D131" s="68"/>
      <c r="E131" s="66"/>
      <c r="F131" s="76"/>
      <c r="G131" s="80"/>
    </row>
    <row r="132" spans="1:12" s="21" customFormat="1" x14ac:dyDescent="0.2">
      <c r="A132" s="60" t="s">
        <v>32</v>
      </c>
      <c r="B132" s="44" t="s">
        <v>180</v>
      </c>
      <c r="D132" s="67" t="s">
        <v>110</v>
      </c>
      <c r="E132" s="66"/>
      <c r="F132" s="76"/>
      <c r="G132" s="80"/>
    </row>
    <row r="133" spans="1:12" s="21" customFormat="1" x14ac:dyDescent="0.2">
      <c r="A133" s="60" t="s">
        <v>50</v>
      </c>
      <c r="B133" s="40">
        <v>35000</v>
      </c>
      <c r="D133" s="67" t="s">
        <v>119</v>
      </c>
      <c r="E133" s="66"/>
      <c r="F133" s="76"/>
      <c r="G133" s="80"/>
    </row>
    <row r="134" spans="1:12" s="21" customFormat="1" x14ac:dyDescent="0.2">
      <c r="A134" s="60" t="s">
        <v>6</v>
      </c>
      <c r="B134" s="43">
        <v>2029</v>
      </c>
      <c r="D134" s="68"/>
      <c r="E134" s="66"/>
      <c r="F134" s="76"/>
      <c r="G134" s="80"/>
    </row>
    <row r="135" spans="1:12" x14ac:dyDescent="0.2">
      <c r="B135" s="39"/>
      <c r="L135" s="23"/>
    </row>
    <row r="136" spans="1:12" x14ac:dyDescent="0.2">
      <c r="A136" s="24" t="s">
        <v>122</v>
      </c>
      <c r="B136" s="39"/>
      <c r="L136" s="23"/>
    </row>
    <row r="137" spans="1:12" x14ac:dyDescent="0.2">
      <c r="A137" s="60" t="s">
        <v>32</v>
      </c>
      <c r="B137" s="44" t="s">
        <v>181</v>
      </c>
      <c r="D137" s="67" t="s">
        <v>110</v>
      </c>
      <c r="L137" s="23"/>
    </row>
    <row r="138" spans="1:12" x14ac:dyDescent="0.2">
      <c r="A138" s="60" t="s">
        <v>50</v>
      </c>
      <c r="B138" s="40">
        <v>15000</v>
      </c>
      <c r="D138" s="67" t="s">
        <v>119</v>
      </c>
      <c r="L138" s="23"/>
    </row>
    <row r="139" spans="1:12" x14ac:dyDescent="0.2">
      <c r="A139" s="60" t="s">
        <v>6</v>
      </c>
      <c r="B139" s="43">
        <v>2034</v>
      </c>
      <c r="L139" s="23"/>
    </row>
    <row r="140" spans="1:12" x14ac:dyDescent="0.2">
      <c r="A140" s="60"/>
      <c r="D140" s="67"/>
      <c r="L140" s="23"/>
    </row>
    <row r="141" spans="1:12" x14ac:dyDescent="0.2">
      <c r="A141" s="60"/>
      <c r="D141" s="67"/>
      <c r="L141" s="23"/>
    </row>
    <row r="142" spans="1:12" x14ac:dyDescent="0.2">
      <c r="A142" s="58" t="s">
        <v>128</v>
      </c>
      <c r="B142" s="38"/>
      <c r="C142" s="49" t="s">
        <v>157</v>
      </c>
      <c r="D142" s="67"/>
      <c r="E142" s="66" t="s">
        <v>159</v>
      </c>
      <c r="L142" s="23"/>
    </row>
    <row r="143" spans="1:12" x14ac:dyDescent="0.2">
      <c r="D143" s="67"/>
      <c r="L143" s="23"/>
    </row>
    <row r="144" spans="1:12" x14ac:dyDescent="0.2">
      <c r="A144" s="20" t="s">
        <v>43</v>
      </c>
      <c r="B144" s="40">
        <v>85</v>
      </c>
      <c r="C144" s="52">
        <v>85</v>
      </c>
      <c r="L144" s="23"/>
    </row>
    <row r="145" spans="1:12" x14ac:dyDescent="0.2">
      <c r="A145" s="20"/>
      <c r="C145" s="21"/>
      <c r="D145" s="67"/>
      <c r="L145" s="23"/>
    </row>
    <row r="146" spans="1:12" s="21" customFormat="1" x14ac:dyDescent="0.2">
      <c r="A146" s="20" t="s">
        <v>63</v>
      </c>
      <c r="D146" s="68"/>
      <c r="E146" s="66"/>
      <c r="F146" s="76"/>
      <c r="G146" s="80"/>
    </row>
    <row r="147" spans="1:12" s="21" customFormat="1" x14ac:dyDescent="0.2">
      <c r="A147" s="24" t="s">
        <v>83</v>
      </c>
      <c r="B147" s="45">
        <v>0</v>
      </c>
      <c r="C147" s="53">
        <v>0</v>
      </c>
      <c r="D147" s="69" t="s">
        <v>4</v>
      </c>
      <c r="E147" s="66"/>
      <c r="F147" s="76"/>
      <c r="G147" s="80"/>
    </row>
    <row r="148" spans="1:12" s="21" customFormat="1" x14ac:dyDescent="0.2">
      <c r="A148" s="24" t="s">
        <v>61</v>
      </c>
      <c r="B148" s="45">
        <v>-0.1</v>
      </c>
      <c r="C148" s="53">
        <v>-0.1</v>
      </c>
      <c r="D148" s="69" t="s">
        <v>4</v>
      </c>
      <c r="E148" s="66"/>
      <c r="F148" s="76"/>
      <c r="G148" s="80"/>
    </row>
    <row r="149" spans="1:12" s="21" customFormat="1" x14ac:dyDescent="0.2">
      <c r="A149" s="24" t="s">
        <v>62</v>
      </c>
      <c r="B149" s="45">
        <v>-0.2</v>
      </c>
      <c r="C149" s="53">
        <v>-0.2</v>
      </c>
      <c r="D149" s="69" t="s">
        <v>4</v>
      </c>
      <c r="E149" s="66"/>
      <c r="F149" s="76"/>
      <c r="G149" s="80"/>
    </row>
    <row r="150" spans="1:12" x14ac:dyDescent="0.2">
      <c r="C150" s="21"/>
      <c r="L150" s="23"/>
    </row>
    <row r="151" spans="1:12" x14ac:dyDescent="0.2">
      <c r="A151" s="20" t="s">
        <v>52</v>
      </c>
      <c r="B151" s="40">
        <v>12000</v>
      </c>
      <c r="C151" s="52"/>
      <c r="D151" s="67" t="s">
        <v>119</v>
      </c>
      <c r="L151" s="23"/>
    </row>
    <row r="152" spans="1:12" x14ac:dyDescent="0.2">
      <c r="A152" s="24" t="s">
        <v>135</v>
      </c>
      <c r="B152" s="40">
        <v>58</v>
      </c>
      <c r="C152" s="52"/>
      <c r="D152" s="67"/>
      <c r="L152" s="23"/>
    </row>
    <row r="153" spans="1:12" x14ac:dyDescent="0.2">
      <c r="A153" s="24" t="s">
        <v>136</v>
      </c>
      <c r="B153" s="40">
        <v>69</v>
      </c>
      <c r="C153" s="52"/>
      <c r="D153" s="67"/>
      <c r="E153" s="66" t="s">
        <v>169</v>
      </c>
      <c r="L153" s="23"/>
    </row>
    <row r="154" spans="1:12" x14ac:dyDescent="0.2">
      <c r="C154" s="21"/>
      <c r="D154" s="67"/>
      <c r="L154" s="23"/>
    </row>
    <row r="155" spans="1:12" x14ac:dyDescent="0.2">
      <c r="A155" s="20" t="s">
        <v>20</v>
      </c>
      <c r="B155" s="41">
        <v>2.5000000000000001E-2</v>
      </c>
      <c r="C155" s="54">
        <v>2.5000000000000001E-2</v>
      </c>
      <c r="L155" s="23"/>
    </row>
    <row r="156" spans="1:12" x14ac:dyDescent="0.2">
      <c r="C156" s="21"/>
      <c r="D156" s="67"/>
      <c r="L156" s="23"/>
    </row>
    <row r="157" spans="1:12" x14ac:dyDescent="0.2">
      <c r="A157" s="20" t="s">
        <v>133</v>
      </c>
      <c r="B157" s="41">
        <v>0.03</v>
      </c>
      <c r="C157" s="54">
        <v>0.03</v>
      </c>
      <c r="D157" s="67" t="s">
        <v>108</v>
      </c>
      <c r="L157" s="23"/>
    </row>
    <row r="158" spans="1:12" x14ac:dyDescent="0.2">
      <c r="C158" s="21"/>
      <c r="D158" s="67"/>
      <c r="L158" s="23"/>
    </row>
    <row r="159" spans="1:12" x14ac:dyDescent="0.2">
      <c r="A159" s="20" t="s">
        <v>129</v>
      </c>
      <c r="B159" s="46">
        <v>2.5000000000000001E-2</v>
      </c>
      <c r="C159" s="55">
        <v>2.5000000000000001E-2</v>
      </c>
      <c r="D159" s="67" t="s">
        <v>108</v>
      </c>
      <c r="L159" s="23"/>
    </row>
    <row r="160" spans="1:12" x14ac:dyDescent="0.2">
      <c r="C160" s="21"/>
      <c r="D160" s="67"/>
      <c r="L160" s="23"/>
    </row>
    <row r="161" spans="1:13" x14ac:dyDescent="0.2">
      <c r="A161" s="20" t="s">
        <v>130</v>
      </c>
      <c r="B161" s="47">
        <v>0.08</v>
      </c>
      <c r="C161" s="56">
        <v>0.08</v>
      </c>
      <c r="D161" s="67" t="s">
        <v>108</v>
      </c>
      <c r="L161" s="23"/>
    </row>
    <row r="162" spans="1:13" x14ac:dyDescent="0.2">
      <c r="C162" s="21"/>
      <c r="D162" s="67"/>
      <c r="L162" s="23"/>
    </row>
    <row r="163" spans="1:13" x14ac:dyDescent="0.2">
      <c r="A163" s="20" t="s">
        <v>132</v>
      </c>
      <c r="B163" s="45">
        <v>0.03</v>
      </c>
      <c r="C163" s="53">
        <v>0.03</v>
      </c>
      <c r="D163" s="67" t="s">
        <v>108</v>
      </c>
      <c r="L163" s="23"/>
    </row>
    <row r="164" spans="1:13" x14ac:dyDescent="0.2">
      <c r="C164" s="21"/>
      <c r="D164" s="67"/>
      <c r="L164" s="23"/>
    </row>
    <row r="165" spans="1:13" x14ac:dyDescent="0.2">
      <c r="A165" s="20" t="s">
        <v>131</v>
      </c>
      <c r="B165" s="45">
        <v>0.03</v>
      </c>
      <c r="C165" s="53">
        <v>0.03</v>
      </c>
      <c r="L165" s="23"/>
    </row>
    <row r="166" spans="1:13" x14ac:dyDescent="0.2">
      <c r="C166" s="21"/>
      <c r="D166" s="67"/>
      <c r="L166" s="23"/>
    </row>
    <row r="167" spans="1:13" ht="17" x14ac:dyDescent="0.2">
      <c r="A167" s="62" t="s">
        <v>134</v>
      </c>
      <c r="B167" s="40">
        <v>300</v>
      </c>
      <c r="C167" s="52">
        <v>300</v>
      </c>
      <c r="D167" s="67" t="s">
        <v>140</v>
      </c>
      <c r="L167" s="23"/>
    </row>
    <row r="168" spans="1:13" x14ac:dyDescent="0.2">
      <c r="A168" s="20"/>
      <c r="C168" s="21"/>
      <c r="D168" s="67"/>
      <c r="L168" s="23"/>
    </row>
    <row r="169" spans="1:13" x14ac:dyDescent="0.2">
      <c r="A169" s="20" t="s">
        <v>86</v>
      </c>
      <c r="B169" s="40">
        <v>40000</v>
      </c>
      <c r="C169" s="52">
        <v>40000</v>
      </c>
      <c r="D169" s="67" t="s">
        <v>139</v>
      </c>
      <c r="L169" s="23"/>
    </row>
    <row r="170" spans="1:13" x14ac:dyDescent="0.2">
      <c r="C170" s="21"/>
      <c r="D170" s="67"/>
      <c r="L170" s="23"/>
    </row>
    <row r="171" spans="1:13" x14ac:dyDescent="0.2">
      <c r="A171" s="20" t="s">
        <v>142</v>
      </c>
      <c r="B171" s="45">
        <v>0.05</v>
      </c>
      <c r="C171" s="53">
        <v>0.05</v>
      </c>
      <c r="D171" s="67" t="s">
        <v>141</v>
      </c>
      <c r="L171" s="23"/>
    </row>
    <row r="172" spans="1:13" x14ac:dyDescent="0.2">
      <c r="A172" s="60"/>
      <c r="C172" s="21"/>
      <c r="L172" s="23"/>
    </row>
    <row r="173" spans="1:13" x14ac:dyDescent="0.2">
      <c r="A173" s="20" t="s">
        <v>143</v>
      </c>
      <c r="B173" s="45">
        <v>0.15</v>
      </c>
      <c r="C173" s="53">
        <v>0.15</v>
      </c>
      <c r="D173" s="67" t="s">
        <v>144</v>
      </c>
      <c r="L173" s="23"/>
    </row>
    <row r="174" spans="1:13" x14ac:dyDescent="0.2">
      <c r="C174" s="21"/>
      <c r="L174" s="23"/>
      <c r="M174" s="21"/>
    </row>
    <row r="175" spans="1:13" ht="17" x14ac:dyDescent="0.2">
      <c r="A175" s="62" t="s">
        <v>145</v>
      </c>
      <c r="C175" s="21"/>
      <c r="D175" s="70"/>
      <c r="L175" s="23"/>
      <c r="M175" s="21"/>
    </row>
    <row r="176" spans="1:13" x14ac:dyDescent="0.2">
      <c r="A176" s="63" t="str">
        <f>B60</f>
        <v>Sliema</v>
      </c>
      <c r="B176" s="48">
        <v>3</v>
      </c>
      <c r="C176" s="21">
        <f>IF(F176&lt;=0,"",_xlfn.RANK.EQ(F176,$F$176:$F$178,1)-COUNTIF($F$176:$F$178,0))</f>
        <v>3</v>
      </c>
      <c r="D176" s="67" t="s">
        <v>146</v>
      </c>
      <c r="F176" s="80">
        <f>B61</f>
        <v>300000</v>
      </c>
      <c r="L176" s="23"/>
    </row>
    <row r="177" spans="1:12" x14ac:dyDescent="0.2">
      <c r="A177" s="63" t="str">
        <f>B65</f>
        <v>Gzira</v>
      </c>
      <c r="B177" s="48">
        <v>1</v>
      </c>
      <c r="C177" s="21">
        <f>IF(F177&lt;=0,"",_xlfn.RANK.EQ(F177,$F$176:$F$178,1)-COUNTIF($F$176:$F$178,0))</f>
        <v>1</v>
      </c>
      <c r="D177" s="71"/>
      <c r="F177" s="80">
        <f>B66</f>
        <v>150000</v>
      </c>
      <c r="L177" s="23"/>
    </row>
    <row r="178" spans="1:12" x14ac:dyDescent="0.2">
      <c r="A178" s="63" t="str">
        <f>B70</f>
        <v>Qormi</v>
      </c>
      <c r="B178" s="48">
        <v>2</v>
      </c>
      <c r="C178" s="21">
        <f>IF(F178&lt;=0,"",_xlfn.RANK.EQ(F178,$F$176:$F$178,1)-COUNTIF($F$176:$F$178,0))</f>
        <v>2</v>
      </c>
      <c r="D178" s="71"/>
      <c r="F178" s="80">
        <f>B71</f>
        <v>220000</v>
      </c>
      <c r="L178" s="23"/>
    </row>
    <row r="179" spans="1:12" x14ac:dyDescent="0.2">
      <c r="L179" s="23"/>
    </row>
    <row r="180" spans="1:12" x14ac:dyDescent="0.2">
      <c r="L180" s="23"/>
    </row>
    <row r="181" spans="1:12" x14ac:dyDescent="0.2">
      <c r="L181" s="23"/>
    </row>
    <row r="182" spans="1:12" x14ac:dyDescent="0.2">
      <c r="L182" s="23"/>
    </row>
    <row r="183" spans="1:12" x14ac:dyDescent="0.2">
      <c r="L183" s="23"/>
    </row>
    <row r="184" spans="1:12" x14ac:dyDescent="0.2">
      <c r="L184" s="23"/>
    </row>
    <row r="185" spans="1:12" x14ac:dyDescent="0.2">
      <c r="L185" s="23"/>
    </row>
    <row r="186" spans="1:12" x14ac:dyDescent="0.2">
      <c r="L186" s="23"/>
    </row>
  </sheetData>
  <phoneticPr fontId="5" type="noConversion"/>
  <dataValidations count="6">
    <dataValidation type="list" allowBlank="1" showInputMessage="1" showErrorMessage="1" sqref="B176:C178" xr:uid="{1C76E72A-4A74-9342-9CD6-96E686486B37}">
      <formula1>"0,1,2,3"</formula1>
    </dataValidation>
    <dataValidation type="whole" allowBlank="1" showInputMessage="1" showErrorMessage="1" sqref="B4:C4" xr:uid="{CEBCBBEB-61E4-314B-B9D6-B93D3329E6F5}">
      <formula1>18</formula1>
      <formula2>100</formula2>
    </dataValidation>
    <dataValidation type="decimal" allowBlank="1" showInputMessage="1" showErrorMessage="1" sqref="B157:C157" xr:uid="{A76CC167-ADB1-954D-BA8F-57DA6856622B}">
      <formula1>0</formula1>
      <formula2>0.5</formula2>
    </dataValidation>
    <dataValidation type="whole" allowBlank="1" showInputMessage="1" showErrorMessage="1" sqref="B35:C35 B40:C40 B45:C45 B50:C50 B55:C55" xr:uid="{A3B04CD6-6A0C-9D4A-960A-19DFAACFBC84}">
      <formula1>1</formula1>
      <formula2>99</formula2>
    </dataValidation>
    <dataValidation type="custom" allowBlank="1" showInputMessage="1" showErrorMessage="1" sqref="C144" xr:uid="{78711C78-86C7-AC4E-B0D1-FA577F555676}">
      <formula1>AND(C144&gt;I4,C144&lt;=100)</formula1>
    </dataValidation>
    <dataValidation type="custom" allowBlank="1" showInputMessage="1" showErrorMessage="1" sqref="B144" xr:uid="{CFCAF581-183B-7347-97B6-0AC7B0FFD5E6}">
      <formula1>AND(B144&gt;B4,B144&lt;=100)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C8C7B-D167-A641-8E52-8DBE60839A73}">
  <sheetPr codeName="Sheet6">
    <tabColor theme="7" tint="0.79998168889431442"/>
  </sheetPr>
  <dimension ref="J2:AA13"/>
  <sheetViews>
    <sheetView showGridLines="0" zoomScale="111" zoomScaleNormal="110" workbookViewId="0">
      <selection activeCell="D43" sqref="D43"/>
    </sheetView>
  </sheetViews>
  <sheetFormatPr baseColWidth="10" defaultColWidth="11.1640625" defaultRowHeight="16" x14ac:dyDescent="0.2"/>
  <cols>
    <col min="21" max="21" width="11.5" customWidth="1"/>
    <col min="22" max="22" width="8.6640625" customWidth="1"/>
    <col min="23" max="27" width="0" hidden="1" customWidth="1"/>
  </cols>
  <sheetData>
    <row r="2" spans="10:27" ht="19" x14ac:dyDescent="0.25">
      <c r="V2" s="64" t="s">
        <v>167</v>
      </c>
      <c r="AA2" s="2" t="str">
        <f>"Retire at  "&amp;RetEarly_Engine!B3</f>
        <v>Retire at  54</v>
      </c>
    </row>
    <row r="3" spans="10:27" x14ac:dyDescent="0.2">
      <c r="V3" s="81">
        <f>RetEarly_Engine!B3</f>
        <v>54</v>
      </c>
      <c r="AA3" s="2" t="str">
        <f>"Retire at  "&amp;RetAge</f>
        <v>Retire at  65</v>
      </c>
    </row>
    <row r="4" spans="10:27" x14ac:dyDescent="0.2">
      <c r="K4" s="2"/>
      <c r="V4" s="81"/>
    </row>
    <row r="13" spans="10:27" x14ac:dyDescent="0.2">
      <c r="J13" s="15"/>
    </row>
  </sheetData>
  <mergeCells count="1">
    <mergeCell ref="V3:V4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3" name="Spinner 1">
              <controlPr defaultSize="0" autoPict="0">
                <anchor moveWithCells="1" sizeWithCells="1">
                  <from>
                    <xdr:col>21</xdr:col>
                    <xdr:colOff>38100</xdr:colOff>
                    <xdr:row>4</xdr:row>
                    <xdr:rowOff>63500</xdr:rowOff>
                  </from>
                  <to>
                    <xdr:col>21</xdr:col>
                    <xdr:colOff>660400</xdr:colOff>
                    <xdr:row>9</xdr:row>
                    <xdr:rowOff>63500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5D27E-B873-BD4B-AD92-1E837389CA3B}">
  <sheetPr codeName="Sheet2"/>
  <dimension ref="A1:AM350"/>
  <sheetViews>
    <sheetView zoomScale="110" zoomScaleNormal="110" workbookViewId="0">
      <pane xSplit="1" ySplit="3" topLeftCell="T177" activePane="bottomRight" state="frozen"/>
      <selection activeCell="G122" sqref="G122"/>
      <selection pane="topRight" activeCell="G122" sqref="G122"/>
      <selection pane="bottomLeft" activeCell="G122" sqref="G122"/>
      <selection pane="bottomRight" activeCell="T206" sqref="T206"/>
    </sheetView>
  </sheetViews>
  <sheetFormatPr baseColWidth="10" defaultRowHeight="16" x14ac:dyDescent="0.2"/>
  <cols>
    <col min="1" max="1" width="39.33203125" style="2" customWidth="1"/>
    <col min="2" max="2" width="4.33203125" style="7" customWidth="1"/>
    <col min="3" max="39" width="11.83203125" style="2" customWidth="1"/>
    <col min="40" max="2605" width="11.83203125" customWidth="1"/>
  </cols>
  <sheetData>
    <row r="1" spans="1:39" x14ac:dyDescent="0.2">
      <c r="B1" s="6">
        <v>0</v>
      </c>
      <c r="C1" s="2">
        <v>1</v>
      </c>
      <c r="D1" s="2">
        <f>C1+1</f>
        <v>2</v>
      </c>
      <c r="E1" s="2">
        <f t="shared" ref="E1:I2" si="0">D1+1</f>
        <v>3</v>
      </c>
      <c r="F1" s="2">
        <f t="shared" si="0"/>
        <v>4</v>
      </c>
      <c r="G1" s="2">
        <f t="shared" si="0"/>
        <v>5</v>
      </c>
      <c r="H1" s="2">
        <f t="shared" si="0"/>
        <v>6</v>
      </c>
      <c r="I1" s="2">
        <f t="shared" si="0"/>
        <v>7</v>
      </c>
      <c r="J1" s="2">
        <f t="shared" ref="J1:J3" si="1">I1+1</f>
        <v>8</v>
      </c>
      <c r="K1" s="2">
        <f t="shared" ref="K1:K3" si="2">J1+1</f>
        <v>9</v>
      </c>
      <c r="L1" s="2">
        <f t="shared" ref="L1:L3" si="3">K1+1</f>
        <v>10</v>
      </c>
      <c r="M1" s="2">
        <f t="shared" ref="M1:M3" si="4">L1+1</f>
        <v>11</v>
      </c>
      <c r="N1" s="2">
        <f t="shared" ref="N1:N3" si="5">M1+1</f>
        <v>12</v>
      </c>
      <c r="O1" s="2">
        <f t="shared" ref="O1:O3" si="6">N1+1</f>
        <v>13</v>
      </c>
      <c r="P1" s="2">
        <f t="shared" ref="P1:P3" si="7">O1+1</f>
        <v>14</v>
      </c>
      <c r="Q1" s="2">
        <f t="shared" ref="Q1:Q3" si="8">P1+1</f>
        <v>15</v>
      </c>
      <c r="R1" s="2">
        <f t="shared" ref="R1:R3" si="9">Q1+1</f>
        <v>16</v>
      </c>
      <c r="S1" s="2">
        <f t="shared" ref="S1:S3" si="10">R1+1</f>
        <v>17</v>
      </c>
      <c r="T1" s="2">
        <f t="shared" ref="T1:T3" si="11">S1+1</f>
        <v>18</v>
      </c>
      <c r="U1" s="2">
        <f t="shared" ref="U1:U3" si="12">T1+1</f>
        <v>19</v>
      </c>
      <c r="V1" s="2">
        <f t="shared" ref="V1:V3" si="13">U1+1</f>
        <v>20</v>
      </c>
      <c r="W1" s="2">
        <f t="shared" ref="W1:W3" si="14">V1+1</f>
        <v>21</v>
      </c>
      <c r="X1" s="2">
        <f t="shared" ref="X1:X3" si="15">W1+1</f>
        <v>22</v>
      </c>
      <c r="Y1" s="2">
        <f t="shared" ref="Y1:Y3" si="16">X1+1</f>
        <v>23</v>
      </c>
      <c r="Z1" s="2">
        <f t="shared" ref="Z1:Z3" si="17">Y1+1</f>
        <v>24</v>
      </c>
      <c r="AA1" s="2">
        <f t="shared" ref="AA1:AA3" si="18">Z1+1</f>
        <v>25</v>
      </c>
      <c r="AB1" s="2">
        <f t="shared" ref="AB1:AB3" si="19">AA1+1</f>
        <v>26</v>
      </c>
      <c r="AC1" s="2">
        <f t="shared" ref="AC1:AC3" si="20">AB1+1</f>
        <v>27</v>
      </c>
      <c r="AD1" s="2">
        <f t="shared" ref="AD1:AD3" si="21">AC1+1</f>
        <v>28</v>
      </c>
      <c r="AE1" s="2">
        <f t="shared" ref="AE1:AE3" si="22">AD1+1</f>
        <v>29</v>
      </c>
      <c r="AF1" s="2">
        <f t="shared" ref="AF1:AF3" si="23">AE1+1</f>
        <v>30</v>
      </c>
      <c r="AG1" s="2">
        <f t="shared" ref="AG1:AG3" si="24">AF1+1</f>
        <v>31</v>
      </c>
      <c r="AH1" s="2">
        <f t="shared" ref="AH1:AH3" si="25">AG1+1</f>
        <v>32</v>
      </c>
      <c r="AI1" s="2">
        <f t="shared" ref="AI1:AI3" si="26">AH1+1</f>
        <v>33</v>
      </c>
      <c r="AJ1" s="2">
        <f t="shared" ref="AJ1:AJ3" si="27">AI1+1</f>
        <v>34</v>
      </c>
      <c r="AK1" s="2">
        <f t="shared" ref="AK1:AK3" si="28">AJ1+1</f>
        <v>35</v>
      </c>
      <c r="AL1" s="2">
        <f t="shared" ref="AL1:AL3" si="29">AK1+1</f>
        <v>36</v>
      </c>
      <c r="AM1" s="2">
        <f t="shared" ref="AM1:AM3" si="30">AL1+1</f>
        <v>37</v>
      </c>
    </row>
    <row r="2" spans="1:39" x14ac:dyDescent="0.2">
      <c r="A2" s="12"/>
      <c r="B2" s="6" t="s">
        <v>6</v>
      </c>
      <c r="C2" s="2">
        <f ca="1">YEAR(TODAY())+1</f>
        <v>2027</v>
      </c>
      <c r="D2" s="2">
        <f ca="1">C2+1</f>
        <v>2028</v>
      </c>
      <c r="E2" s="2">
        <f t="shared" ca="1" si="0"/>
        <v>2029</v>
      </c>
      <c r="F2" s="2">
        <f t="shared" ca="1" si="0"/>
        <v>2030</v>
      </c>
      <c r="G2" s="2">
        <f t="shared" ca="1" si="0"/>
        <v>2031</v>
      </c>
      <c r="H2" s="2">
        <f t="shared" ca="1" si="0"/>
        <v>2032</v>
      </c>
      <c r="I2" s="2">
        <f t="shared" ca="1" si="0"/>
        <v>2033</v>
      </c>
      <c r="J2" s="2">
        <f t="shared" ca="1" si="1"/>
        <v>2034</v>
      </c>
      <c r="K2" s="2">
        <f t="shared" ca="1" si="2"/>
        <v>2035</v>
      </c>
      <c r="L2" s="2">
        <f t="shared" ca="1" si="3"/>
        <v>2036</v>
      </c>
      <c r="M2" s="2">
        <f t="shared" ca="1" si="4"/>
        <v>2037</v>
      </c>
      <c r="N2" s="2">
        <f t="shared" ca="1" si="5"/>
        <v>2038</v>
      </c>
      <c r="O2" s="2">
        <f t="shared" ca="1" si="6"/>
        <v>2039</v>
      </c>
      <c r="P2" s="2">
        <f t="shared" ca="1" si="7"/>
        <v>2040</v>
      </c>
      <c r="Q2" s="2">
        <f t="shared" ca="1" si="8"/>
        <v>2041</v>
      </c>
      <c r="R2" s="2">
        <f t="shared" ca="1" si="9"/>
        <v>2042</v>
      </c>
      <c r="S2" s="2">
        <f t="shared" ca="1" si="10"/>
        <v>2043</v>
      </c>
      <c r="T2" s="2">
        <f t="shared" ca="1" si="11"/>
        <v>2044</v>
      </c>
      <c r="U2" s="2">
        <f t="shared" ca="1" si="12"/>
        <v>2045</v>
      </c>
      <c r="V2" s="2">
        <f t="shared" ca="1" si="13"/>
        <v>2046</v>
      </c>
      <c r="W2" s="2">
        <f t="shared" ca="1" si="14"/>
        <v>2047</v>
      </c>
      <c r="X2" s="2">
        <f t="shared" ca="1" si="15"/>
        <v>2048</v>
      </c>
      <c r="Y2" s="2">
        <f t="shared" ca="1" si="16"/>
        <v>2049</v>
      </c>
      <c r="Z2" s="2">
        <f t="shared" ca="1" si="17"/>
        <v>2050</v>
      </c>
      <c r="AA2" s="2">
        <f t="shared" ca="1" si="18"/>
        <v>2051</v>
      </c>
      <c r="AB2" s="2">
        <f t="shared" ca="1" si="19"/>
        <v>2052</v>
      </c>
      <c r="AC2" s="2">
        <f t="shared" ca="1" si="20"/>
        <v>2053</v>
      </c>
      <c r="AD2" s="2">
        <f t="shared" ca="1" si="21"/>
        <v>2054</v>
      </c>
      <c r="AE2" s="2">
        <f t="shared" ca="1" si="22"/>
        <v>2055</v>
      </c>
      <c r="AF2" s="2">
        <f t="shared" ca="1" si="23"/>
        <v>2056</v>
      </c>
      <c r="AG2" s="2">
        <f t="shared" ca="1" si="24"/>
        <v>2057</v>
      </c>
      <c r="AH2" s="2">
        <f t="shared" ca="1" si="25"/>
        <v>2058</v>
      </c>
      <c r="AI2" s="2">
        <f t="shared" ca="1" si="26"/>
        <v>2059</v>
      </c>
      <c r="AJ2" s="2">
        <f t="shared" ca="1" si="27"/>
        <v>2060</v>
      </c>
      <c r="AK2" s="2">
        <f t="shared" ca="1" si="28"/>
        <v>2061</v>
      </c>
      <c r="AL2" s="2">
        <f t="shared" ca="1" si="29"/>
        <v>2062</v>
      </c>
      <c r="AM2" s="2">
        <f t="shared" ca="1" si="30"/>
        <v>2063</v>
      </c>
    </row>
    <row r="3" spans="1:39" x14ac:dyDescent="0.2">
      <c r="A3" s="36"/>
      <c r="B3" s="37">
        <f>Inputs!B19</f>
        <v>65</v>
      </c>
      <c r="C3" s="2">
        <f>Inputs!B4+1</f>
        <v>49</v>
      </c>
      <c r="D3" s="2">
        <f>C3+1</f>
        <v>50</v>
      </c>
      <c r="E3" s="2">
        <f t="shared" ref="E3:I3" si="31">D3+1</f>
        <v>51</v>
      </c>
      <c r="F3" s="2">
        <f t="shared" si="31"/>
        <v>52</v>
      </c>
      <c r="G3" s="2">
        <f t="shared" si="31"/>
        <v>53</v>
      </c>
      <c r="H3" s="2">
        <f t="shared" si="31"/>
        <v>54</v>
      </c>
      <c r="I3" s="2">
        <f t="shared" si="31"/>
        <v>55</v>
      </c>
      <c r="J3" s="2">
        <f t="shared" si="1"/>
        <v>56</v>
      </c>
      <c r="K3" s="2">
        <f t="shared" si="2"/>
        <v>57</v>
      </c>
      <c r="L3" s="2">
        <f t="shared" si="3"/>
        <v>58</v>
      </c>
      <c r="M3" s="2">
        <f t="shared" si="4"/>
        <v>59</v>
      </c>
      <c r="N3" s="2">
        <f t="shared" si="5"/>
        <v>60</v>
      </c>
      <c r="O3" s="2">
        <f t="shared" si="6"/>
        <v>61</v>
      </c>
      <c r="P3" s="2">
        <f t="shared" si="7"/>
        <v>62</v>
      </c>
      <c r="Q3" s="2">
        <f t="shared" si="8"/>
        <v>63</v>
      </c>
      <c r="R3" s="2">
        <f t="shared" si="9"/>
        <v>64</v>
      </c>
      <c r="S3" s="2">
        <f t="shared" si="10"/>
        <v>65</v>
      </c>
      <c r="T3" s="2">
        <f t="shared" si="11"/>
        <v>66</v>
      </c>
      <c r="U3" s="2">
        <f t="shared" si="12"/>
        <v>67</v>
      </c>
      <c r="V3" s="2">
        <f t="shared" si="13"/>
        <v>68</v>
      </c>
      <c r="W3" s="2">
        <f t="shared" si="14"/>
        <v>69</v>
      </c>
      <c r="X3" s="2">
        <f t="shared" si="15"/>
        <v>70</v>
      </c>
      <c r="Y3" s="2">
        <f t="shared" si="16"/>
        <v>71</v>
      </c>
      <c r="Z3" s="2">
        <f t="shared" si="17"/>
        <v>72</v>
      </c>
      <c r="AA3" s="2">
        <f t="shared" si="18"/>
        <v>73</v>
      </c>
      <c r="AB3" s="2">
        <f t="shared" si="19"/>
        <v>74</v>
      </c>
      <c r="AC3" s="2">
        <f t="shared" si="20"/>
        <v>75</v>
      </c>
      <c r="AD3" s="2">
        <f t="shared" si="21"/>
        <v>76</v>
      </c>
      <c r="AE3" s="2">
        <f t="shared" si="22"/>
        <v>77</v>
      </c>
      <c r="AF3" s="2">
        <f t="shared" si="23"/>
        <v>78</v>
      </c>
      <c r="AG3" s="2">
        <f t="shared" si="24"/>
        <v>79</v>
      </c>
      <c r="AH3" s="2">
        <f t="shared" si="25"/>
        <v>80</v>
      </c>
      <c r="AI3" s="2">
        <f t="shared" si="26"/>
        <v>81</v>
      </c>
      <c r="AJ3" s="2">
        <f t="shared" si="27"/>
        <v>82</v>
      </c>
      <c r="AK3" s="2">
        <f t="shared" si="28"/>
        <v>83</v>
      </c>
      <c r="AL3" s="2">
        <f t="shared" si="29"/>
        <v>84</v>
      </c>
      <c r="AM3" s="2">
        <f t="shared" si="30"/>
        <v>85</v>
      </c>
    </row>
    <row r="4" spans="1:39" ht="19" x14ac:dyDescent="0.25">
      <c r="A4" s="14" t="s">
        <v>17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</row>
    <row r="5" spans="1:39" x14ac:dyDescent="0.2">
      <c r="A5" s="5" t="s">
        <v>51</v>
      </c>
      <c r="B5" s="9"/>
      <c r="C5" s="8">
        <f>IF(AND(Inputs!$B$19&gt;C3,$B$3&gt;C3),Inputs!$B$6*(1+sincr)^B1,0)</f>
        <v>80000</v>
      </c>
      <c r="D5" s="8">
        <f>IF(AND(Inputs!$B$19&gt;D3,$B$3&gt;D3),Inputs!$B$6*(1+sincr)^C1,0)</f>
        <v>82400</v>
      </c>
      <c r="E5" s="8">
        <f>IF(AND(Inputs!$B$19&gt;E3,$B$3&gt;E3),Inputs!$B$6*(1+sincr)^D1,0)</f>
        <v>84872</v>
      </c>
      <c r="F5" s="8">
        <f>IF(AND(Inputs!$B$19&gt;F3,$B$3&gt;F3),Inputs!$B$6*(1+sincr)^E1,0)</f>
        <v>87418.16</v>
      </c>
      <c r="G5" s="8">
        <f>IF(AND(Inputs!$B$19&gt;G3,$B$3&gt;G3),Inputs!$B$6*(1+sincr)^F1,0)</f>
        <v>90040.704799999992</v>
      </c>
      <c r="H5" s="8">
        <f>IF(AND(Inputs!$B$19&gt;H3,$B$3&gt;H3),Inputs!$B$6*(1+sincr)^G1,0)</f>
        <v>92741.925943999988</v>
      </c>
      <c r="I5" s="8">
        <f>IF(AND(Inputs!$B$19&gt;I3,$B$3&gt;I3),Inputs!$B$6*(1+sincr)^H1,0)</f>
        <v>95524.183722319998</v>
      </c>
      <c r="J5" s="8">
        <f>IF(AND(Inputs!$B$19&gt;J3,$B$3&gt;J3),Inputs!$B$6*(1+sincr)^I1,0)</f>
        <v>98389.909233989601</v>
      </c>
      <c r="K5" s="8">
        <f>IF(AND(Inputs!$B$19&gt;K3,$B$3&gt;K3),Inputs!$B$6*(1+sincr)^J1,0)</f>
        <v>101341.60651100927</v>
      </c>
      <c r="L5" s="8">
        <f>IF(AND(Inputs!$B$19&gt;L3,$B$3&gt;L3),Inputs!$B$6*(1+sincr)^K1,0)</f>
        <v>104381.85470633955</v>
      </c>
      <c r="M5" s="8">
        <f>IF(AND(Inputs!$B$19&gt;M3,$B$3&gt;M3),Inputs!$B$6*(1+sincr)^L1,0)</f>
        <v>107513.31034752974</v>
      </c>
      <c r="N5" s="8">
        <f>IF(AND(Inputs!$B$19&gt;N3,$B$3&gt;N3),Inputs!$B$6*(1+sincr)^M1,0)</f>
        <v>110738.70965795564</v>
      </c>
      <c r="O5" s="8">
        <f>IF(AND(Inputs!$B$19&gt;O3,$B$3&gt;O3),Inputs!$B$6*(1+sincr)^N1,0)</f>
        <v>114060.87094769429</v>
      </c>
      <c r="P5" s="8">
        <f>IF(AND(Inputs!$B$19&gt;P3,$B$3&gt;P3),Inputs!$B$6*(1+sincr)^O1,0)</f>
        <v>117482.69707612511</v>
      </c>
      <c r="Q5" s="8">
        <f>IF(AND(Inputs!$B$19&gt;Q3,$B$3&gt;Q3),Inputs!$B$6*(1+sincr)^P1,0)</f>
        <v>121007.17798840888</v>
      </c>
      <c r="R5" s="8">
        <f>IF(AND(Inputs!$B$19&gt;R3,$B$3&gt;R3),Inputs!$B$6*(1+sincr)^Q1,0)</f>
        <v>124637.39332806115</v>
      </c>
      <c r="S5" s="8">
        <f>IF(AND(Inputs!$B$19&gt;S3,$B$3&gt;S3),Inputs!$B$6*(1+sincr)^R1,0)</f>
        <v>0</v>
      </c>
      <c r="T5" s="8">
        <f>IF(AND(Inputs!$B$19&gt;T3,$B$3&gt;T3),Inputs!$B$6*(1+sincr)^S1,0)</f>
        <v>0</v>
      </c>
      <c r="U5" s="8">
        <f>IF(AND(Inputs!$B$19&gt;U3,$B$3&gt;U3),Inputs!$B$6*(1+sincr)^T1,0)</f>
        <v>0</v>
      </c>
      <c r="V5" s="8">
        <f>IF(AND(Inputs!$B$19&gt;V3,$B$3&gt;V3),Inputs!$B$6*(1+sincr)^U1,0)</f>
        <v>0</v>
      </c>
      <c r="W5" s="8">
        <f>IF(AND(Inputs!$B$19&gt;W3,$B$3&gt;W3),Inputs!$B$6*(1+sincr)^V1,0)</f>
        <v>0</v>
      </c>
      <c r="X5" s="8">
        <f>IF(AND(Inputs!$B$19&gt;X3,$B$3&gt;X3),Inputs!$B$6*(1+sincr)^W1,0)</f>
        <v>0</v>
      </c>
      <c r="Y5" s="8">
        <f>IF(AND(Inputs!$B$19&gt;Y3,$B$3&gt;Y3),Inputs!$B$6*(1+sincr)^X1,0)</f>
        <v>0</v>
      </c>
      <c r="Z5" s="8">
        <f>IF(AND(Inputs!$B$19&gt;Z3,$B$3&gt;Z3),Inputs!$B$6*(1+sincr)^Y1,0)</f>
        <v>0</v>
      </c>
      <c r="AA5" s="8">
        <f>IF(AND(Inputs!$B$19&gt;AA3,$B$3&gt;AA3),Inputs!$B$6*(1+sincr)^Z1,0)</f>
        <v>0</v>
      </c>
      <c r="AB5" s="8">
        <f>IF(AND(Inputs!$B$19&gt;AB3,$B$3&gt;AB3),Inputs!$B$6*(1+sincr)^AA1,0)</f>
        <v>0</v>
      </c>
      <c r="AC5" s="8">
        <f>IF(AND(Inputs!$B$19&gt;AC3,$B$3&gt;AC3),Inputs!$B$6*(1+sincr)^AB1,0)</f>
        <v>0</v>
      </c>
      <c r="AD5" s="8">
        <f>IF(AND(Inputs!$B$19&gt;AD3,$B$3&gt;AD3),Inputs!$B$6*(1+sincr)^AC1,0)</f>
        <v>0</v>
      </c>
      <c r="AE5" s="8">
        <f>IF(AND(Inputs!$B$19&gt;AE3,$B$3&gt;AE3),Inputs!$B$6*(1+sincr)^AD1,0)</f>
        <v>0</v>
      </c>
      <c r="AF5" s="8">
        <f>IF(AND(Inputs!$B$19&gt;AF3,$B$3&gt;AF3),Inputs!$B$6*(1+sincr)^AE1,0)</f>
        <v>0</v>
      </c>
      <c r="AG5" s="8">
        <f>IF(AND(Inputs!$B$19&gt;AG3,$B$3&gt;AG3),Inputs!$B$6*(1+sincr)^AF1,0)</f>
        <v>0</v>
      </c>
      <c r="AH5" s="8">
        <f>IF(AND(Inputs!$B$19&gt;AH3,$B$3&gt;AH3),Inputs!$B$6*(1+sincr)^AG1,0)</f>
        <v>0</v>
      </c>
      <c r="AI5" s="8">
        <f>IF(AND(Inputs!$B$19&gt;AI3,$B$3&gt;AI3),Inputs!$B$6*(1+sincr)^AH1,0)</f>
        <v>0</v>
      </c>
      <c r="AJ5" s="8">
        <f>IF(AND(Inputs!$B$19&gt;AJ3,$B$3&gt;AJ3),Inputs!$B$6*(1+sincr)^AI1,0)</f>
        <v>0</v>
      </c>
      <c r="AK5" s="8">
        <f>IF(AND(Inputs!$B$19&gt;AK3,$B$3&gt;AK3),Inputs!$B$6*(1+sincr)^AJ1,0)</f>
        <v>0</v>
      </c>
      <c r="AL5" s="8">
        <f>IF(AND(Inputs!$B$19&gt;AL3,$B$3&gt;AL3),Inputs!$B$6*(1+sincr)^AK1,0)</f>
        <v>0</v>
      </c>
      <c r="AM5" s="8">
        <f>IF(AND(Inputs!$B$19&gt;AM3,$B$3&gt;AM3),Inputs!$B$6*(1+sincr)^AL1,0)</f>
        <v>0</v>
      </c>
    </row>
    <row r="6" spans="1:39" x14ac:dyDescent="0.2">
      <c r="A6" s="5" t="s">
        <v>14</v>
      </c>
      <c r="B6" s="9"/>
      <c r="C6" s="8">
        <f>IF(C$3&lt;=Inputs!$B$81,Inputs!$B$80,0)*(1+inf)^B$1</f>
        <v>2000</v>
      </c>
      <c r="D6" s="8">
        <f>IF(D$3&lt;=Inputs!$B$81,Inputs!$B$80,0)*(1+inf)^C$1</f>
        <v>2050</v>
      </c>
      <c r="E6" s="8">
        <f>IF(E$3&lt;=Inputs!$B$81,Inputs!$B$80,0)*(1+inf)^D$1</f>
        <v>2101.25</v>
      </c>
      <c r="F6" s="8">
        <f>IF(F$3&lt;=Inputs!$B$81,Inputs!$B$80,0)*(1+inf)^E$1</f>
        <v>2153.7812499999995</v>
      </c>
      <c r="G6" s="8">
        <f>IF(G$3&lt;=Inputs!$B$81,Inputs!$B$80,0)*(1+inf)^F$1</f>
        <v>2207.6257812499994</v>
      </c>
      <c r="H6" s="8">
        <f>IF(H$3&lt;=Inputs!$B$81,Inputs!$B$80,0)*(1+inf)^G$1</f>
        <v>2262.8164257812491</v>
      </c>
      <c r="I6" s="8">
        <f>IF(I$3&lt;=Inputs!$B$81,Inputs!$B$80,0)*(1+inf)^H$1</f>
        <v>2319.3868364257805</v>
      </c>
      <c r="J6" s="8">
        <f>IF(J$3&lt;=Inputs!$B$81,Inputs!$B$80,0)*(1+inf)^I$1</f>
        <v>2377.3715073364251</v>
      </c>
      <c r="K6" s="8">
        <f>IF(K$3&lt;=Inputs!$B$81,Inputs!$B$80,0)*(1+inf)^J$1</f>
        <v>2436.8057950198354</v>
      </c>
      <c r="L6" s="8">
        <f>IF(L$3&lt;=Inputs!$B$81,Inputs!$B$80,0)*(1+inf)^K$1</f>
        <v>2497.7259398953311</v>
      </c>
      <c r="M6" s="8">
        <f>IF(M$3&lt;=Inputs!$B$81,Inputs!$B$80,0)*(1+inf)^L$1</f>
        <v>0</v>
      </c>
      <c r="N6" s="8">
        <f>IF(N$3&lt;=Inputs!$B$81,Inputs!$B$80,0)*(1+inf)^M$1</f>
        <v>0</v>
      </c>
      <c r="O6" s="8">
        <f>IF(O$3&lt;=Inputs!$B$81,Inputs!$B$80,0)*(1+inf)^N$1</f>
        <v>0</v>
      </c>
      <c r="P6" s="8">
        <f>IF(P$3&lt;=Inputs!$B$81,Inputs!$B$80,0)*(1+inf)^O$1</f>
        <v>0</v>
      </c>
      <c r="Q6" s="8">
        <f>IF(Q$3&lt;=Inputs!$B$81,Inputs!$B$80,0)*(1+inf)^P$1</f>
        <v>0</v>
      </c>
      <c r="R6" s="8">
        <f>IF(R$3&lt;=Inputs!$B$81,Inputs!$B$80,0)*(1+inf)^Q$1</f>
        <v>0</v>
      </c>
      <c r="S6" s="8">
        <f>IF(S$3&lt;=Inputs!$B$81,Inputs!$B$80,0)*(1+inf)^R$1</f>
        <v>0</v>
      </c>
      <c r="T6" s="8">
        <f>IF(T$3&lt;=Inputs!$B$81,Inputs!$B$80,0)*(1+inf)^S$1</f>
        <v>0</v>
      </c>
      <c r="U6" s="8">
        <f>IF(U$3&lt;=Inputs!$B$81,Inputs!$B$80,0)*(1+inf)^T$1</f>
        <v>0</v>
      </c>
      <c r="V6" s="8">
        <f>IF(V$3&lt;=Inputs!$B$81,Inputs!$B$80,0)*(1+inf)^U$1</f>
        <v>0</v>
      </c>
      <c r="W6" s="8">
        <f>IF(W$3&lt;=Inputs!$B$81,Inputs!$B$80,0)*(1+inf)^V$1</f>
        <v>0</v>
      </c>
      <c r="X6" s="8">
        <f>IF(X$3&lt;=Inputs!$B$81,Inputs!$B$80,0)*(1+inf)^W$1</f>
        <v>0</v>
      </c>
      <c r="Y6" s="8">
        <f>IF(Y$3&lt;=Inputs!$B$81,Inputs!$B$80,0)*(1+inf)^X$1</f>
        <v>0</v>
      </c>
      <c r="Z6" s="8">
        <f>IF(Z$3&lt;=Inputs!$B$81,Inputs!$B$80,0)*(1+inf)^Y$1</f>
        <v>0</v>
      </c>
      <c r="AA6" s="8">
        <f>IF(AA$3&lt;=Inputs!$B$81,Inputs!$B$80,0)*(1+inf)^Z$1</f>
        <v>0</v>
      </c>
      <c r="AB6" s="8">
        <f>IF(AB$3&lt;=Inputs!$B$81,Inputs!$B$80,0)*(1+inf)^AA$1</f>
        <v>0</v>
      </c>
      <c r="AC6" s="8">
        <f>IF(AC$3&lt;=Inputs!$B$81,Inputs!$B$80,0)*(1+inf)^AB$1</f>
        <v>0</v>
      </c>
      <c r="AD6" s="8">
        <f>IF(AD$3&lt;=Inputs!$B$81,Inputs!$B$80,0)*(1+inf)^AC$1</f>
        <v>0</v>
      </c>
      <c r="AE6" s="8">
        <f>IF(AE$3&lt;=Inputs!$B$81,Inputs!$B$80,0)*(1+inf)^AD$1</f>
        <v>0</v>
      </c>
      <c r="AF6" s="8">
        <f>IF(AF$3&lt;=Inputs!$B$81,Inputs!$B$80,0)*(1+inf)^AE$1</f>
        <v>0</v>
      </c>
      <c r="AG6" s="8">
        <f>IF(AG$3&lt;=Inputs!$B$81,Inputs!$B$80,0)*(1+inf)^AF$1</f>
        <v>0</v>
      </c>
      <c r="AH6" s="8">
        <f>IF(AH$3&lt;=Inputs!$B$81,Inputs!$B$80,0)*(1+inf)^AG$1</f>
        <v>0</v>
      </c>
      <c r="AI6" s="8">
        <f>IF(AI$3&lt;=Inputs!$B$81,Inputs!$B$80,0)*(1+inf)^AH$1</f>
        <v>0</v>
      </c>
      <c r="AJ6" s="8">
        <f>IF(AJ$3&lt;=Inputs!$B$81,Inputs!$B$80,0)*(1+inf)^AI$1</f>
        <v>0</v>
      </c>
      <c r="AK6" s="8">
        <f>IF(AK$3&lt;=Inputs!$B$81,Inputs!$B$80,0)*(1+inf)^AJ$1</f>
        <v>0</v>
      </c>
      <c r="AL6" s="8">
        <f>IF(AL$3&lt;=Inputs!$B$81,Inputs!$B$80,0)*(1+inf)^AK$1</f>
        <v>0</v>
      </c>
      <c r="AM6" s="8">
        <f>IF(AM$3&lt;=Inputs!$B$81,Inputs!$B$80,0)*(1+inf)^AL$1</f>
        <v>0</v>
      </c>
    </row>
    <row r="7" spans="1:39" x14ac:dyDescent="0.2">
      <c r="A7" s="5" t="s">
        <v>79</v>
      </c>
      <c r="B7" s="9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</row>
    <row r="8" spans="1:39" x14ac:dyDescent="0.2">
      <c r="A8" s="4" t="str">
        <f>TEXT(Inputs!$B$60,"")</f>
        <v>Sliema</v>
      </c>
      <c r="C8" s="8">
        <f>Inputs!B76</f>
        <v>12000</v>
      </c>
      <c r="D8" s="8">
        <f t="shared" ref="D8:I8" si="32">C8*(1+rinc)</f>
        <v>12360</v>
      </c>
      <c r="E8" s="8">
        <f t="shared" si="32"/>
        <v>12730.800000000001</v>
      </c>
      <c r="F8" s="8">
        <f t="shared" si="32"/>
        <v>13112.724000000002</v>
      </c>
      <c r="G8" s="8">
        <f t="shared" si="32"/>
        <v>13506.105720000003</v>
      </c>
      <c r="H8" s="8">
        <f t="shared" si="32"/>
        <v>13911.288891600003</v>
      </c>
      <c r="I8" s="8">
        <f t="shared" si="32"/>
        <v>14328.627558348004</v>
      </c>
      <c r="J8" s="8">
        <f t="shared" ref="J8:J10" si="33">I8*(1+rinc)</f>
        <v>14758.486385098444</v>
      </c>
      <c r="K8" s="8">
        <f t="shared" ref="K8:K10" si="34">J8*(1+rinc)</f>
        <v>15201.240976651397</v>
      </c>
      <c r="L8" s="8">
        <f t="shared" ref="L8:L10" si="35">K8*(1+rinc)</f>
        <v>15657.278205950939</v>
      </c>
      <c r="M8" s="8">
        <f t="shared" ref="M8:M10" si="36">L8*(1+rinc)</f>
        <v>16126.996552129467</v>
      </c>
      <c r="N8" s="8">
        <f t="shared" ref="N8:N10" si="37">M8*(1+rinc)</f>
        <v>16610.806448693351</v>
      </c>
      <c r="O8" s="8">
        <f t="shared" ref="O8:O10" si="38">N8*(1+rinc)</f>
        <v>17109.130642154152</v>
      </c>
      <c r="P8" s="8">
        <f t="shared" ref="P8:P10" si="39">O8*(1+rinc)</f>
        <v>17622.404561418778</v>
      </c>
      <c r="Q8" s="8">
        <f t="shared" ref="Q8:Q10" si="40">P8*(1+rinc)</f>
        <v>18151.076698261342</v>
      </c>
      <c r="R8" s="8">
        <f t="shared" ref="R8:R10" si="41">Q8*(1+rinc)</f>
        <v>18695.608999209184</v>
      </c>
      <c r="S8" s="8">
        <f t="shared" ref="S8:S10" si="42">R8*(1+rinc)</f>
        <v>19256.47726918546</v>
      </c>
      <c r="T8" s="8">
        <f t="shared" ref="T8:T10" si="43">S8*(1+rinc)</f>
        <v>19834.171587261026</v>
      </c>
      <c r="U8" s="8">
        <f t="shared" ref="U8:U10" si="44">T8*(1+rinc)</f>
        <v>20429.196734878857</v>
      </c>
      <c r="V8" s="8">
        <f t="shared" ref="V8:V10" si="45">U8*(1+rinc)</f>
        <v>21042.072636925222</v>
      </c>
      <c r="W8" s="8">
        <f t="shared" ref="W8:W10" si="46">V8*(1+rinc)</f>
        <v>21673.334816032981</v>
      </c>
      <c r="X8" s="8">
        <f t="shared" ref="X8:X10" si="47">W8*(1+rinc)</f>
        <v>22323.53486051397</v>
      </c>
      <c r="Y8" s="8">
        <f t="shared" ref="Y8:Y10" si="48">X8*(1+rinc)</f>
        <v>22993.240906329389</v>
      </c>
      <c r="Z8" s="8">
        <f t="shared" ref="Z8:Z10" si="49">Y8*(1+rinc)</f>
        <v>23683.038133519272</v>
      </c>
      <c r="AA8" s="8">
        <f t="shared" ref="AA8:AA10" si="50">Z8*(1+rinc)</f>
        <v>24393.529277524853</v>
      </c>
      <c r="AB8" s="8">
        <f t="shared" ref="AB8:AB10" si="51">AA8*(1+rinc)</f>
        <v>25125.3351558506</v>
      </c>
      <c r="AC8" s="8">
        <f t="shared" ref="AC8:AC10" si="52">AB8*(1+rinc)</f>
        <v>25879.09521052612</v>
      </c>
      <c r="AD8" s="8">
        <f t="shared" ref="AD8:AD10" si="53">AC8*(1+rinc)</f>
        <v>26655.468066841906</v>
      </c>
      <c r="AE8" s="8">
        <f t="shared" ref="AE8:AE10" si="54">AD8*(1+rinc)</f>
        <v>27455.132108847163</v>
      </c>
      <c r="AF8" s="8">
        <f t="shared" ref="AF8:AF10" si="55">AE8*(1+rinc)</f>
        <v>28278.78607211258</v>
      </c>
      <c r="AG8" s="8">
        <f t="shared" ref="AG8:AG10" si="56">AF8*(1+rinc)</f>
        <v>29127.14965427596</v>
      </c>
      <c r="AH8" s="8">
        <f t="shared" ref="AH8:AH10" si="57">AG8*(1+rinc)</f>
        <v>30000.964143904239</v>
      </c>
      <c r="AI8" s="8">
        <f t="shared" ref="AI8:AI10" si="58">AH8*(1+rinc)</f>
        <v>30900.993068221367</v>
      </c>
      <c r="AJ8" s="8">
        <f t="shared" ref="AJ8:AJ10" si="59">AI8*(1+rinc)</f>
        <v>31828.022860268007</v>
      </c>
      <c r="AK8" s="8">
        <f t="shared" ref="AK8:AK10" si="60">AJ8*(1+rinc)</f>
        <v>32782.863546076049</v>
      </c>
      <c r="AL8" s="8">
        <f t="shared" ref="AL8:AL10" si="61">AK8*(1+rinc)</f>
        <v>33766.349452458329</v>
      </c>
      <c r="AM8" s="8">
        <f t="shared" ref="AM8:AM10" si="62">AL8*(1+rinc)</f>
        <v>34779.339936032084</v>
      </c>
    </row>
    <row r="9" spans="1:39" x14ac:dyDescent="0.2">
      <c r="A9" s="4" t="str">
        <f>TEXT(Inputs!$B$65,"")</f>
        <v>Gzira</v>
      </c>
      <c r="C9" s="8">
        <f>Inputs!B77</f>
        <v>10000</v>
      </c>
      <c r="D9" s="8">
        <f t="shared" ref="D9:I9" si="63">C9*(1+rinc)</f>
        <v>10300</v>
      </c>
      <c r="E9" s="8">
        <f t="shared" si="63"/>
        <v>10609</v>
      </c>
      <c r="F9" s="8">
        <f t="shared" si="63"/>
        <v>10927.27</v>
      </c>
      <c r="G9" s="8">
        <f t="shared" si="63"/>
        <v>11255.088100000001</v>
      </c>
      <c r="H9" s="8">
        <f t="shared" si="63"/>
        <v>11592.740743</v>
      </c>
      <c r="I9" s="8">
        <f t="shared" si="63"/>
        <v>11940.52296529</v>
      </c>
      <c r="J9" s="8">
        <f t="shared" si="33"/>
        <v>12298.7386542487</v>
      </c>
      <c r="K9" s="8">
        <f t="shared" si="34"/>
        <v>12667.700813876161</v>
      </c>
      <c r="L9" s="8">
        <f t="shared" si="35"/>
        <v>13047.731838292446</v>
      </c>
      <c r="M9" s="8">
        <f t="shared" si="36"/>
        <v>13439.163793441219</v>
      </c>
      <c r="N9" s="8">
        <f t="shared" si="37"/>
        <v>13842.338707244457</v>
      </c>
      <c r="O9" s="8">
        <f t="shared" si="38"/>
        <v>14257.60886846179</v>
      </c>
      <c r="P9" s="8">
        <f t="shared" si="39"/>
        <v>14685.337134515645</v>
      </c>
      <c r="Q9" s="8">
        <f t="shared" si="40"/>
        <v>15125.897248551115</v>
      </c>
      <c r="R9" s="8">
        <f t="shared" si="41"/>
        <v>15579.67416600765</v>
      </c>
      <c r="S9" s="8">
        <f t="shared" si="42"/>
        <v>16047.06439098788</v>
      </c>
      <c r="T9" s="8">
        <f t="shared" si="43"/>
        <v>16528.476322717517</v>
      </c>
      <c r="U9" s="8">
        <f t="shared" si="44"/>
        <v>17024.330612399044</v>
      </c>
      <c r="V9" s="8">
        <f t="shared" si="45"/>
        <v>17535.060530771018</v>
      </c>
      <c r="W9" s="8">
        <f t="shared" si="46"/>
        <v>18061.11234669415</v>
      </c>
      <c r="X9" s="8">
        <f t="shared" si="47"/>
        <v>18602.945717094975</v>
      </c>
      <c r="Y9" s="8">
        <f t="shared" si="48"/>
        <v>19161.034088607827</v>
      </c>
      <c r="Z9" s="8">
        <f t="shared" si="49"/>
        <v>19735.865111266063</v>
      </c>
      <c r="AA9" s="8">
        <f t="shared" si="50"/>
        <v>20327.941064604045</v>
      </c>
      <c r="AB9" s="8">
        <f t="shared" si="51"/>
        <v>20937.779296542169</v>
      </c>
      <c r="AC9" s="8">
        <f t="shared" si="52"/>
        <v>21565.912675438434</v>
      </c>
      <c r="AD9" s="8">
        <f t="shared" si="53"/>
        <v>22212.890055701588</v>
      </c>
      <c r="AE9" s="8">
        <f t="shared" si="54"/>
        <v>22879.276757372634</v>
      </c>
      <c r="AF9" s="8">
        <f t="shared" si="55"/>
        <v>23565.655060093814</v>
      </c>
      <c r="AG9" s="8">
        <f t="shared" si="56"/>
        <v>24272.624711896628</v>
      </c>
      <c r="AH9" s="8">
        <f t="shared" si="57"/>
        <v>25000.803453253528</v>
      </c>
      <c r="AI9" s="8">
        <f t="shared" si="58"/>
        <v>25750.827556851134</v>
      </c>
      <c r="AJ9" s="8">
        <f t="shared" si="59"/>
        <v>26523.35238355667</v>
      </c>
      <c r="AK9" s="8">
        <f t="shared" si="60"/>
        <v>27319.052955063373</v>
      </c>
      <c r="AL9" s="8">
        <f t="shared" si="61"/>
        <v>28138.624543715276</v>
      </c>
      <c r="AM9" s="8">
        <f t="shared" si="62"/>
        <v>28982.783280026735</v>
      </c>
    </row>
    <row r="10" spans="1:39" x14ac:dyDescent="0.2">
      <c r="A10" s="4" t="str">
        <f>TEXT(Inputs!$B$70,"")</f>
        <v>Qormi</v>
      </c>
      <c r="C10" s="8">
        <f>Inputs!B78</f>
        <v>8000</v>
      </c>
      <c r="D10" s="8">
        <f t="shared" ref="D10:I10" si="64">C10*(1+rinc)</f>
        <v>8240</v>
      </c>
      <c r="E10" s="8">
        <f t="shared" si="64"/>
        <v>8487.2000000000007</v>
      </c>
      <c r="F10" s="8">
        <f t="shared" si="64"/>
        <v>8741.8160000000007</v>
      </c>
      <c r="G10" s="8">
        <f t="shared" si="64"/>
        <v>9004.0704800000003</v>
      </c>
      <c r="H10" s="8">
        <f t="shared" si="64"/>
        <v>9274.1925944000013</v>
      </c>
      <c r="I10" s="8">
        <f t="shared" si="64"/>
        <v>9552.4183722320013</v>
      </c>
      <c r="J10" s="8">
        <f t="shared" si="33"/>
        <v>9838.990923398962</v>
      </c>
      <c r="K10" s="8">
        <f t="shared" si="34"/>
        <v>10134.16065110093</v>
      </c>
      <c r="L10" s="8">
        <f t="shared" si="35"/>
        <v>10438.185470633958</v>
      </c>
      <c r="M10" s="8">
        <f t="shared" si="36"/>
        <v>10751.331034752977</v>
      </c>
      <c r="N10" s="8">
        <f t="shared" si="37"/>
        <v>11073.870965795566</v>
      </c>
      <c r="O10" s="8">
        <f t="shared" si="38"/>
        <v>11406.087094769433</v>
      </c>
      <c r="P10" s="8">
        <f t="shared" si="39"/>
        <v>11748.269707612517</v>
      </c>
      <c r="Q10" s="8">
        <f t="shared" si="40"/>
        <v>12100.717798840893</v>
      </c>
      <c r="R10" s="8">
        <f t="shared" si="41"/>
        <v>12463.739332806121</v>
      </c>
      <c r="S10" s="8">
        <f t="shared" si="42"/>
        <v>12837.651512790304</v>
      </c>
      <c r="T10" s="8">
        <f t="shared" si="43"/>
        <v>13222.781058174014</v>
      </c>
      <c r="U10" s="8">
        <f t="shared" si="44"/>
        <v>13619.464489919235</v>
      </c>
      <c r="V10" s="8">
        <f t="shared" si="45"/>
        <v>14028.048424616813</v>
      </c>
      <c r="W10" s="8">
        <f t="shared" si="46"/>
        <v>14448.889877355317</v>
      </c>
      <c r="X10" s="8">
        <f t="shared" si="47"/>
        <v>14882.356573675977</v>
      </c>
      <c r="Y10" s="8">
        <f t="shared" si="48"/>
        <v>15328.827270886257</v>
      </c>
      <c r="Z10" s="8">
        <f t="shared" si="49"/>
        <v>15788.692089012846</v>
      </c>
      <c r="AA10" s="8">
        <f t="shared" si="50"/>
        <v>16262.352851683232</v>
      </c>
      <c r="AB10" s="8">
        <f t="shared" si="51"/>
        <v>16750.22343723373</v>
      </c>
      <c r="AC10" s="8">
        <f t="shared" si="52"/>
        <v>17252.730140350741</v>
      </c>
      <c r="AD10" s="8">
        <f t="shared" si="53"/>
        <v>17770.312044561262</v>
      </c>
      <c r="AE10" s="8">
        <f t="shared" si="54"/>
        <v>18303.421405898102</v>
      </c>
      <c r="AF10" s="8">
        <f t="shared" si="55"/>
        <v>18852.524048075044</v>
      </c>
      <c r="AG10" s="8">
        <f t="shared" si="56"/>
        <v>19418.099769517295</v>
      </c>
      <c r="AH10" s="8">
        <f t="shared" si="57"/>
        <v>20000.642762602816</v>
      </c>
      <c r="AI10" s="8">
        <f t="shared" si="58"/>
        <v>20600.662045480902</v>
      </c>
      <c r="AJ10" s="8">
        <f t="shared" si="59"/>
        <v>21218.68190684533</v>
      </c>
      <c r="AK10" s="8">
        <f t="shared" si="60"/>
        <v>21855.24236405069</v>
      </c>
      <c r="AL10" s="8">
        <f t="shared" si="61"/>
        <v>22510.899634972211</v>
      </c>
      <c r="AM10" s="8">
        <f t="shared" si="62"/>
        <v>23186.226624021379</v>
      </c>
    </row>
    <row r="11" spans="1:39" x14ac:dyDescent="0.2">
      <c r="A11" s="5" t="s">
        <v>89</v>
      </c>
      <c r="B11" s="9"/>
      <c r="C11" s="8">
        <f>IF(C$3&lt;Inputs!$B$19,0,Inputs!$B$21)*(1+inf)^B$1</f>
        <v>0</v>
      </c>
      <c r="D11" s="8">
        <f>IF(D$3&lt;Inputs!$B$19,0,Inputs!$B$21)*(1+inf)^C$1</f>
        <v>0</v>
      </c>
      <c r="E11" s="8">
        <f>IF(E$3&lt;Inputs!$B$19,0,Inputs!$B$21)*(1+inf)^D$1</f>
        <v>0</v>
      </c>
      <c r="F11" s="8">
        <f>IF(F$3&lt;Inputs!$B$19,0,Inputs!$B$21)*(1+inf)^E$1</f>
        <v>0</v>
      </c>
      <c r="G11" s="8">
        <f>IF(G$3&lt;Inputs!$B$19,0,Inputs!$B$21)*(1+inf)^F$1</f>
        <v>0</v>
      </c>
      <c r="H11" s="8">
        <f>IF(H$3&lt;Inputs!$B$19,0,Inputs!$B$21)*(1+inf)^G$1</f>
        <v>0</v>
      </c>
      <c r="I11" s="8">
        <f>IF(I$3&lt;Inputs!$B$19,0,Inputs!$B$21)*(1+inf)^H$1</f>
        <v>0</v>
      </c>
      <c r="J11" s="8">
        <f>IF(J$3&lt;Inputs!$B$19,0,Inputs!$B$21)*(1+inf)^I$1</f>
        <v>0</v>
      </c>
      <c r="K11" s="8">
        <f>IF(K$3&lt;Inputs!$B$19,0,Inputs!$B$21)*(1+inf)^J$1</f>
        <v>0</v>
      </c>
      <c r="L11" s="8">
        <f>IF(L$3&lt;Inputs!$B$19,0,Inputs!$B$21)*(1+inf)^K$1</f>
        <v>0</v>
      </c>
      <c r="M11" s="8">
        <f>IF(M$3&lt;Inputs!$B$19,0,Inputs!$B$21)*(1+inf)^L$1</f>
        <v>0</v>
      </c>
      <c r="N11" s="8">
        <f>IF(N$3&lt;Inputs!$B$19,0,Inputs!$B$21)*(1+inf)^M$1</f>
        <v>0</v>
      </c>
      <c r="O11" s="8">
        <f>IF(O$3&lt;Inputs!$B$19,0,Inputs!$B$21)*(1+inf)^N$1</f>
        <v>0</v>
      </c>
      <c r="P11" s="8">
        <f>IF(P$3&lt;Inputs!$B$19,0,Inputs!$B$21)*(1+inf)^O$1</f>
        <v>0</v>
      </c>
      <c r="Q11" s="8">
        <f>IF(Q$3&lt;Inputs!$B$19,0,Inputs!$B$21)*(1+inf)^P$1</f>
        <v>0</v>
      </c>
      <c r="R11" s="8">
        <f>IF(R$3&lt;Inputs!$B$19,0,Inputs!$B$21)*(1+inf)^Q$1</f>
        <v>0</v>
      </c>
      <c r="S11" s="8">
        <f>IF(S$3&lt;Inputs!$B$19,0,Inputs!$B$21)*(1+inf)^R$1</f>
        <v>23752.089930569011</v>
      </c>
      <c r="T11" s="8">
        <f>IF(T$3&lt;Inputs!$B$19,0,Inputs!$B$21)*(1+inf)^S$1</f>
        <v>24345.892178833234</v>
      </c>
      <c r="U11" s="8">
        <f>IF(U$3&lt;Inputs!$B$19,0,Inputs!$B$21)*(1+inf)^T$1</f>
        <v>24954.539483304063</v>
      </c>
      <c r="V11" s="8">
        <f>IF(V$3&lt;Inputs!$B$19,0,Inputs!$B$21)*(1+inf)^U$1</f>
        <v>25578.402970386665</v>
      </c>
      <c r="W11" s="8">
        <f>IF(W$3&lt;Inputs!$B$19,0,Inputs!$B$21)*(1+inf)^V$1</f>
        <v>26217.863044646328</v>
      </c>
      <c r="X11" s="8">
        <f>IF(X$3&lt;Inputs!$B$19,0,Inputs!$B$21)*(1+inf)^W$1</f>
        <v>26873.309620762484</v>
      </c>
      <c r="Y11" s="8">
        <f>IF(Y$3&lt;Inputs!$B$19,0,Inputs!$B$21)*(1+inf)^X$1</f>
        <v>27545.142361281545</v>
      </c>
      <c r="Z11" s="8">
        <f>IF(Z$3&lt;Inputs!$B$19,0,Inputs!$B$21)*(1+inf)^Y$1</f>
        <v>28233.770920313586</v>
      </c>
      <c r="AA11" s="8">
        <f>IF(AA$3&lt;Inputs!$B$19,0,Inputs!$B$21)*(1+inf)^Z$1</f>
        <v>28939.615193321424</v>
      </c>
      <c r="AB11" s="8">
        <f>IF(AB$3&lt;Inputs!$B$19,0,Inputs!$B$21)*(1+inf)^AA$1</f>
        <v>29663.105573154455</v>
      </c>
      <c r="AC11" s="8">
        <f>IF(AC$3&lt;Inputs!$B$19,0,Inputs!$B$21)*(1+inf)^AB$1</f>
        <v>30404.683212483313</v>
      </c>
      <c r="AD11" s="8">
        <f>IF(AD$3&lt;Inputs!$B$19,0,Inputs!$B$21)*(1+inf)^AC$1</f>
        <v>31164.800292795393</v>
      </c>
      <c r="AE11" s="8">
        <f>IF(AE$3&lt;Inputs!$B$19,0,Inputs!$B$21)*(1+inf)^AD$1</f>
        <v>31943.920300115278</v>
      </c>
      <c r="AF11" s="8">
        <f>IF(AF$3&lt;Inputs!$B$19,0,Inputs!$B$21)*(1+inf)^AE$1</f>
        <v>32742.518307618164</v>
      </c>
      <c r="AG11" s="8">
        <f>IF(AG$3&lt;Inputs!$B$19,0,Inputs!$B$21)*(1+inf)^AF$1</f>
        <v>33561.08126530861</v>
      </c>
      <c r="AH11" s="8">
        <f>IF(AH$3&lt;Inputs!$B$19,0,Inputs!$B$21)*(1+inf)^AG$1</f>
        <v>34400.108296941333</v>
      </c>
      <c r="AI11" s="8">
        <f>IF(AI$3&lt;Inputs!$B$19,0,Inputs!$B$21)*(1+inf)^AH$1</f>
        <v>35260.111004364859</v>
      </c>
      <c r="AJ11" s="8">
        <f>IF(AJ$3&lt;Inputs!$B$19,0,Inputs!$B$21)*(1+inf)^AI$1</f>
        <v>36141.613779473977</v>
      </c>
      <c r="AK11" s="8">
        <f>IF(AK$3&lt;Inputs!$B$19,0,Inputs!$B$21)*(1+inf)^AJ$1</f>
        <v>37045.154123960827</v>
      </c>
      <c r="AL11" s="8">
        <f>IF(AL$3&lt;Inputs!$B$19,0,Inputs!$B$21)*(1+inf)^AK$1</f>
        <v>37971.28297705984</v>
      </c>
      <c r="AM11" s="8">
        <f>IF(AM$3&lt;Inputs!$B$19,0,Inputs!$B$21)*(1+inf)^AL$1</f>
        <v>38920.565051486345</v>
      </c>
    </row>
    <row r="12" spans="1:39" x14ac:dyDescent="0.2">
      <c r="A12" s="5" t="s">
        <v>90</v>
      </c>
      <c r="B12" s="9"/>
      <c r="C12" s="8">
        <f>MIN(0,MAX(-IF(C11=0,0,(Inputs!$B$19-INDEX(3:3,MATCH(0,5:5,0))))*Inputs!$B$167*(1+inf)^B$1,-C11))</f>
        <v>0</v>
      </c>
      <c r="D12" s="8">
        <f>MIN(0,MAX(-IF(D11=0,0,(Inputs!$B$19-INDEX(3:3,MATCH(0,5:5,0))))*Inputs!$B$167*(1+inf)^C$1,-D11))</f>
        <v>0</v>
      </c>
      <c r="E12" s="8">
        <f>MIN(0,MAX(-IF(E11=0,0,(Inputs!$B$19-INDEX(3:3,MATCH(0,5:5,0))))*Inputs!$B$167*(1+inf)^D$1,-E11))</f>
        <v>0</v>
      </c>
      <c r="F12" s="8">
        <f>MIN(0,MAX(-IF(F11=0,0,(Inputs!$B$19-INDEX(3:3,MATCH(0,5:5,0))))*Inputs!$B$167*(1+inf)^E$1,-F11))</f>
        <v>0</v>
      </c>
      <c r="G12" s="8">
        <f>MIN(0,MAX(-IF(G11=0,0,(Inputs!$B$19-INDEX(3:3,MATCH(0,5:5,0))))*Inputs!$B$167*(1+inf)^F$1,-G11))</f>
        <v>0</v>
      </c>
      <c r="H12" s="8">
        <f>MIN(0,MAX(-IF(H11=0,0,(Inputs!$B$19-INDEX(3:3,MATCH(0,5:5,0))))*Inputs!$B$167*(1+inf)^G$1,-H11))</f>
        <v>0</v>
      </c>
      <c r="I12" s="8">
        <f>MIN(0,MAX(-IF(I11=0,0,(Inputs!$B$19-INDEX(3:3,MATCH(0,5:5,0))))*Inputs!$B$167*(1+inf)^H$1,-I11))</f>
        <v>0</v>
      </c>
      <c r="J12" s="8">
        <f>MIN(0,MAX(-IF(J11=0,0,(Inputs!$B$19-INDEX(3:3,MATCH(0,5:5,0))))*Inputs!$B$167*(1+inf)^I$1,-J11))</f>
        <v>0</v>
      </c>
      <c r="K12" s="8">
        <f>MIN(0,MAX(-IF(K11=0,0,(Inputs!$B$19-INDEX(3:3,MATCH(0,5:5,0))))*Inputs!$B$167*(1+inf)^J$1,-K11))</f>
        <v>0</v>
      </c>
      <c r="L12" s="8">
        <f>MIN(0,MAX(-IF(L11=0,0,(Inputs!$B$19-INDEX(3:3,MATCH(0,5:5,0))))*Inputs!$B$167*(1+inf)^K$1,-L11))</f>
        <v>0</v>
      </c>
      <c r="M12" s="8">
        <f>MIN(0,MAX(-IF(M11=0,0,(Inputs!$B$19-INDEX(3:3,MATCH(0,5:5,0))))*Inputs!$B$167*(1+inf)^L$1,-M11))</f>
        <v>0</v>
      </c>
      <c r="N12" s="8">
        <f>MIN(0,MAX(-IF(N11=0,0,(Inputs!$B$19-INDEX(3:3,MATCH(0,5:5,0))))*Inputs!$B$167*(1+inf)^M$1,-N11))</f>
        <v>0</v>
      </c>
      <c r="O12" s="8">
        <f>MIN(0,MAX(-IF(O11=0,0,(Inputs!$B$19-INDEX(3:3,MATCH(0,5:5,0))))*Inputs!$B$167*(1+inf)^N$1,-O11))</f>
        <v>0</v>
      </c>
      <c r="P12" s="8">
        <f>MIN(0,MAX(-IF(P11=0,0,(Inputs!$B$19-INDEX(3:3,MATCH(0,5:5,0))))*Inputs!$B$167*(1+inf)^O$1,-P11))</f>
        <v>0</v>
      </c>
      <c r="Q12" s="8">
        <f>MIN(0,MAX(-IF(Q11=0,0,(Inputs!$B$19-INDEX(3:3,MATCH(0,5:5,0))))*Inputs!$B$167*(1+inf)^P$1,-Q11))</f>
        <v>0</v>
      </c>
      <c r="R12" s="8">
        <f>MIN(0,MAX(-IF(R11=0,0,(Inputs!$B$19-INDEX(3:3,MATCH(0,5:5,0))))*Inputs!$B$167*(1+inf)^Q$1,-R11))</f>
        <v>0</v>
      </c>
      <c r="S12" s="8">
        <f>MIN(0,MAX(-IF(S11=0,0,(Inputs!$B$19-INDEX(3:3,MATCH(0,5:5,0))))*Inputs!$B$167*(1+inf)^R$1,-S11))</f>
        <v>0</v>
      </c>
      <c r="T12" s="8">
        <f>MIN(0,MAX(-IF(T11=0,0,(Inputs!$B$19-INDEX(3:3,MATCH(0,5:5,0))))*Inputs!$B$167*(1+inf)^S$1,-T11))</f>
        <v>0</v>
      </c>
      <c r="U12" s="8">
        <f>MIN(0,MAX(-IF(U11=0,0,(Inputs!$B$19-INDEX(3:3,MATCH(0,5:5,0))))*Inputs!$B$167*(1+inf)^T$1,-U11))</f>
        <v>0</v>
      </c>
      <c r="V12" s="8">
        <f>MIN(0,MAX(-IF(V11=0,0,(Inputs!$B$19-INDEX(3:3,MATCH(0,5:5,0))))*Inputs!$B$167*(1+inf)^U$1,-V11))</f>
        <v>0</v>
      </c>
      <c r="W12" s="8">
        <f>MIN(0,MAX(-IF(W11=0,0,(Inputs!$B$19-INDEX(3:3,MATCH(0,5:5,0))))*Inputs!$B$167*(1+inf)^V$1,-W11))</f>
        <v>0</v>
      </c>
      <c r="X12" s="8">
        <f>MIN(0,MAX(-IF(X11=0,0,(Inputs!$B$19-INDEX(3:3,MATCH(0,5:5,0))))*Inputs!$B$167*(1+inf)^W$1,-X11))</f>
        <v>0</v>
      </c>
      <c r="Y12" s="8">
        <f>MIN(0,MAX(-IF(Y11=0,0,(Inputs!$B$19-INDEX(3:3,MATCH(0,5:5,0))))*Inputs!$B$167*(1+inf)^X$1,-Y11))</f>
        <v>0</v>
      </c>
      <c r="Z12" s="8">
        <f>MIN(0,MAX(-IF(Z11=0,0,(Inputs!$B$19-INDEX(3:3,MATCH(0,5:5,0))))*Inputs!$B$167*(1+inf)^Y$1,-Z11))</f>
        <v>0</v>
      </c>
      <c r="AA12" s="8">
        <f>MIN(0,MAX(-IF(AA11=0,0,(Inputs!$B$19-INDEX(3:3,MATCH(0,5:5,0))))*Inputs!$B$167*(1+inf)^Z$1,-AA11))</f>
        <v>0</v>
      </c>
      <c r="AB12" s="8">
        <f>MIN(0,MAX(-IF(AB11=0,0,(Inputs!$B$19-INDEX(3:3,MATCH(0,5:5,0))))*Inputs!$B$167*(1+inf)^AA$1,-AB11))</f>
        <v>0</v>
      </c>
      <c r="AC12" s="8">
        <f>MIN(0,MAX(-IF(AC11=0,0,(Inputs!$B$19-INDEX(3:3,MATCH(0,5:5,0))))*Inputs!$B$167*(1+inf)^AB$1,-AC11))</f>
        <v>0</v>
      </c>
      <c r="AD12" s="8">
        <f>MIN(0,MAX(-IF(AD11=0,0,(Inputs!$B$19-INDEX(3:3,MATCH(0,5:5,0))))*Inputs!$B$167*(1+inf)^AC$1,-AD11))</f>
        <v>0</v>
      </c>
      <c r="AE12" s="8">
        <f>MIN(0,MAX(-IF(AE11=0,0,(Inputs!$B$19-INDEX(3:3,MATCH(0,5:5,0))))*Inputs!$B$167*(1+inf)^AD$1,-AE11))</f>
        <v>0</v>
      </c>
      <c r="AF12" s="8">
        <f>MIN(0,MAX(-IF(AF11=0,0,(Inputs!$B$19-INDEX(3:3,MATCH(0,5:5,0))))*Inputs!$B$167*(1+inf)^AE$1,-AF11))</f>
        <v>0</v>
      </c>
      <c r="AG12" s="8">
        <f>MIN(0,MAX(-IF(AG11=0,0,(Inputs!$B$19-INDEX(3:3,MATCH(0,5:5,0))))*Inputs!$B$167*(1+inf)^AF$1,-AG11))</f>
        <v>0</v>
      </c>
      <c r="AH12" s="8">
        <f>MIN(0,MAX(-IF(AH11=0,0,(Inputs!$B$19-INDEX(3:3,MATCH(0,5:5,0))))*Inputs!$B$167*(1+inf)^AG$1,-AH11))</f>
        <v>0</v>
      </c>
      <c r="AI12" s="8">
        <f>MIN(0,MAX(-IF(AI11=0,0,(Inputs!$B$19-INDEX(3:3,MATCH(0,5:5,0))))*Inputs!$B$167*(1+inf)^AH$1,-AI11))</f>
        <v>0</v>
      </c>
      <c r="AJ12" s="8">
        <f>MIN(0,MAX(-IF(AJ11=0,0,(Inputs!$B$19-INDEX(3:3,MATCH(0,5:5,0))))*Inputs!$B$167*(1+inf)^AI$1,-AJ11))</f>
        <v>0</v>
      </c>
      <c r="AK12" s="8">
        <f>MIN(0,MAX(-IF(AK11=0,0,(Inputs!$B$19-INDEX(3:3,MATCH(0,5:5,0))))*Inputs!$B$167*(1+inf)^AJ$1,-AK11))</f>
        <v>0</v>
      </c>
      <c r="AL12" s="8">
        <f>MIN(0,MAX(-IF(AL11=0,0,(Inputs!$B$19-INDEX(3:3,MATCH(0,5:5,0))))*Inputs!$B$167*(1+inf)^AK$1,-AL11))</f>
        <v>0</v>
      </c>
      <c r="AM12" s="8">
        <f>MIN(0,MAX(-IF(AM11=0,0,(Inputs!$B$19-INDEX(3:3,MATCH(0,5:5,0))))*Inputs!$B$167*(1+inf)^AL$1,-AM11))</f>
        <v>0</v>
      </c>
    </row>
    <row r="13" spans="1:39" x14ac:dyDescent="0.2">
      <c r="A13" s="5" t="s">
        <v>52</v>
      </c>
      <c r="B13" s="9"/>
      <c r="C13" s="8">
        <f>IF(AND(C$3&gt;=Inputs!$B$152,C$3&lt;=Inputs!$B$153),Inputs!$B$151*(1+inf)^B$1,0)</f>
        <v>0</v>
      </c>
      <c r="D13" s="8">
        <f>IF(AND(D$3&gt;=Inputs!$B$152,D$3&lt;=Inputs!$B$153),Inputs!$B$151*(1+inf)^C$1,0)</f>
        <v>0</v>
      </c>
      <c r="E13" s="8">
        <f>IF(AND(E$3&gt;=Inputs!$B$152,E$3&lt;=Inputs!$B$153),Inputs!$B$151*(1+inf)^D$1,0)</f>
        <v>0</v>
      </c>
      <c r="F13" s="8">
        <f>IF(AND(F$3&gt;=Inputs!$B$152,F$3&lt;=Inputs!$B$153),Inputs!$B$151*(1+inf)^E$1,0)</f>
        <v>0</v>
      </c>
      <c r="G13" s="8">
        <f>IF(AND(G$3&gt;=Inputs!$B$152,G$3&lt;=Inputs!$B$153),Inputs!$B$151*(1+inf)^F$1,0)</f>
        <v>0</v>
      </c>
      <c r="H13" s="8">
        <f>IF(AND(H$3&gt;=Inputs!$B$152,H$3&lt;=Inputs!$B$153),Inputs!$B$151*(1+inf)^G$1,0)</f>
        <v>0</v>
      </c>
      <c r="I13" s="8">
        <f>IF(AND(I$3&gt;=Inputs!$B$152,I$3&lt;=Inputs!$B$153),Inputs!$B$151*(1+inf)^H$1,0)</f>
        <v>0</v>
      </c>
      <c r="J13" s="8">
        <f>IF(AND(J$3&gt;=Inputs!$B$152,J$3&lt;=Inputs!$B$153),Inputs!$B$151*(1+inf)^I$1,0)</f>
        <v>0</v>
      </c>
      <c r="K13" s="8">
        <f>IF(AND(K$3&gt;=Inputs!$B$152,K$3&lt;=Inputs!$B$153),Inputs!$B$151*(1+inf)^J$1,0)</f>
        <v>0</v>
      </c>
      <c r="L13" s="8">
        <f>IF(AND(L$3&gt;=Inputs!$B$152,L$3&lt;=Inputs!$B$153),Inputs!$B$151*(1+inf)^K$1,0)</f>
        <v>14986.355639371985</v>
      </c>
      <c r="M13" s="8">
        <f>IF(AND(M$3&gt;=Inputs!$B$152,M$3&lt;=Inputs!$B$153),Inputs!$B$151*(1+inf)^L$1,0)</f>
        <v>15361.014530356286</v>
      </c>
      <c r="N13" s="8">
        <f>IF(AND(N$3&gt;=Inputs!$B$152,N$3&lt;=Inputs!$B$153),Inputs!$B$151*(1+inf)^M$1,0)</f>
        <v>15745.039893615192</v>
      </c>
      <c r="O13" s="8">
        <f>IF(AND(O$3&gt;=Inputs!$B$152,O$3&lt;=Inputs!$B$153),Inputs!$B$151*(1+inf)^N$1,0)</f>
        <v>16138.66589095557</v>
      </c>
      <c r="P13" s="8">
        <f>IF(AND(P$3&gt;=Inputs!$B$152,P$3&lt;=Inputs!$B$153),Inputs!$B$151*(1+inf)^O$1,0)</f>
        <v>16542.13253822946</v>
      </c>
      <c r="Q13" s="8">
        <f>IF(AND(Q$3&gt;=Inputs!$B$152,Q$3&lt;=Inputs!$B$153),Inputs!$B$151*(1+inf)^P$1,0)</f>
        <v>16955.685851685193</v>
      </c>
      <c r="R13" s="8">
        <f>IF(AND(R$3&gt;=Inputs!$B$152,R$3&lt;=Inputs!$B$153),Inputs!$B$151*(1+inf)^Q$1,0)</f>
        <v>17379.577997977325</v>
      </c>
      <c r="S13" s="8">
        <f>IF(AND(S$3&gt;=Inputs!$B$152,S$3&lt;=Inputs!$B$153),Inputs!$B$151*(1+inf)^R$1,0)</f>
        <v>17814.067447926758</v>
      </c>
      <c r="T13" s="8">
        <f>IF(AND(T$3&gt;=Inputs!$B$152,T$3&lt;=Inputs!$B$153),Inputs!$B$151*(1+inf)^S$1,0)</f>
        <v>18259.419134124924</v>
      </c>
      <c r="U13" s="8">
        <f>IF(AND(U$3&gt;=Inputs!$B$152,U$3&lt;=Inputs!$B$153),Inputs!$B$151*(1+inf)^T$1,0)</f>
        <v>18715.904612478047</v>
      </c>
      <c r="V13" s="8">
        <f>IF(AND(V$3&gt;=Inputs!$B$152,V$3&lt;=Inputs!$B$153),Inputs!$B$151*(1+inf)^U$1,0)</f>
        <v>19183.802227789998</v>
      </c>
      <c r="W13" s="8">
        <f>IF(AND(W$3&gt;=Inputs!$B$152,W$3&lt;=Inputs!$B$153),Inputs!$B$151*(1+inf)^V$1,0)</f>
        <v>19663.397283484748</v>
      </c>
      <c r="X13" s="8">
        <f>IF(AND(X$3&gt;=Inputs!$B$152,X$3&lt;=Inputs!$B$153),Inputs!$B$151*(1+inf)^W$1,0)</f>
        <v>0</v>
      </c>
      <c r="Y13" s="8">
        <f>IF(AND(Y$3&gt;=Inputs!$B$152,Y$3&lt;=Inputs!$B$153),Inputs!$B$151*(1+inf)^X$1,0)</f>
        <v>0</v>
      </c>
      <c r="Z13" s="8">
        <f>IF(AND(Z$3&gt;=Inputs!$B$152,Z$3&lt;=Inputs!$B$153),Inputs!$B$151*(1+inf)^Y$1,0)</f>
        <v>0</v>
      </c>
      <c r="AA13" s="8">
        <f>IF(AND(AA$3&gt;=Inputs!$B$152,AA$3&lt;=Inputs!$B$153),Inputs!$B$151*(1+inf)^Z$1,0)</f>
        <v>0</v>
      </c>
      <c r="AB13" s="8">
        <f>IF(AND(AB$3&gt;=Inputs!$B$152,AB$3&lt;=Inputs!$B$153),Inputs!$B$151*(1+inf)^AA$1,0)</f>
        <v>0</v>
      </c>
      <c r="AC13" s="8">
        <f>IF(AND(AC$3&gt;=Inputs!$B$152,AC$3&lt;=Inputs!$B$153),Inputs!$B$151*(1+inf)^AB$1,0)</f>
        <v>0</v>
      </c>
      <c r="AD13" s="8">
        <f>IF(AND(AD$3&gt;=Inputs!$B$152,AD$3&lt;=Inputs!$B$153),Inputs!$B$151*(1+inf)^AC$1,0)</f>
        <v>0</v>
      </c>
      <c r="AE13" s="8">
        <f>IF(AND(AE$3&gt;=Inputs!$B$152,AE$3&lt;=Inputs!$B$153),Inputs!$B$151*(1+inf)^AD$1,0)</f>
        <v>0</v>
      </c>
      <c r="AF13" s="8">
        <f>IF(AND(AF$3&gt;=Inputs!$B$152,AF$3&lt;=Inputs!$B$153),Inputs!$B$151*(1+inf)^AE$1,0)</f>
        <v>0</v>
      </c>
      <c r="AG13" s="8">
        <f>IF(AND(AG$3&gt;=Inputs!$B$152,AG$3&lt;=Inputs!$B$153),Inputs!$B$151*(1+inf)^AF$1,0)</f>
        <v>0</v>
      </c>
      <c r="AH13" s="8">
        <f>IF(AND(AH$3&gt;=Inputs!$B$152,AH$3&lt;=Inputs!$B$153),Inputs!$B$151*(1+inf)^AG$1,0)</f>
        <v>0</v>
      </c>
      <c r="AI13" s="8">
        <f>IF(AND(AI$3&gt;=Inputs!$B$152,AI$3&lt;=Inputs!$B$153),Inputs!$B$151*(1+inf)^AH$1,0)</f>
        <v>0</v>
      </c>
      <c r="AJ13" s="8">
        <f>IF(AND(AJ$3&gt;=Inputs!$B$152,AJ$3&lt;=Inputs!$B$153),Inputs!$B$151*(1+inf)^AI$1,0)</f>
        <v>0</v>
      </c>
      <c r="AK13" s="8">
        <f>IF(AND(AK$3&gt;=Inputs!$B$152,AK$3&lt;=Inputs!$B$153),Inputs!$B$151*(1+inf)^AJ$1,0)</f>
        <v>0</v>
      </c>
      <c r="AL13" s="8">
        <f>IF(AND(AL$3&gt;=Inputs!$B$152,AL$3&lt;=Inputs!$B$153),Inputs!$B$151*(1+inf)^AK$1,0)</f>
        <v>0</v>
      </c>
      <c r="AM13" s="8">
        <f>IF(AND(AM$3&gt;=Inputs!$B$152,AM$3&lt;=Inputs!$B$153),Inputs!$B$151*(1+inf)^AL$1,0)</f>
        <v>0</v>
      </c>
    </row>
    <row r="14" spans="1:39" x14ac:dyDescent="0.2">
      <c r="A14" s="5" t="s">
        <v>149</v>
      </c>
      <c r="B14" s="9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</row>
    <row r="15" spans="1:39" x14ac:dyDescent="0.2">
      <c r="A15" s="4" t="str">
        <f>TEXT(Inputs!B110,"")</f>
        <v>Inheritance</v>
      </c>
      <c r="B15" s="9"/>
      <c r="C15" s="8">
        <f ca="1">IF(C$2=Inputs!$B112,Inputs!$B111,0)*(1+inf)^B$1</f>
        <v>0</v>
      </c>
      <c r="D15" s="8">
        <f ca="1">IF(D$2=Inputs!$B112,Inputs!$B111,0)*(1+inf)^C$1</f>
        <v>0</v>
      </c>
      <c r="E15" s="8">
        <f ca="1">IF(E$2=Inputs!$B112,Inputs!$B111,0)*(1+inf)^D$1</f>
        <v>0</v>
      </c>
      <c r="F15" s="8">
        <f ca="1">IF(F$2=Inputs!$B112,Inputs!$B111,0)*(1+inf)^E$1</f>
        <v>0</v>
      </c>
      <c r="G15" s="8">
        <f ca="1">IF(G$2=Inputs!$B112,Inputs!$B111,0)*(1+inf)^F$1</f>
        <v>0</v>
      </c>
      <c r="H15" s="8">
        <f ca="1">IF(H$2=Inputs!$B112,Inputs!$B111,0)*(1+inf)^G$1</f>
        <v>0</v>
      </c>
      <c r="I15" s="8">
        <f ca="1">IF(I$2=Inputs!$B112,Inputs!$B111,0)*(1+inf)^H$1</f>
        <v>0</v>
      </c>
      <c r="J15" s="8">
        <f ca="1">IF(J$2=Inputs!$B112,Inputs!$B111,0)*(1+inf)^I$1</f>
        <v>0</v>
      </c>
      <c r="K15" s="8">
        <f ca="1">IF(K$2=Inputs!$B112,Inputs!$B111,0)*(1+inf)^J$1</f>
        <v>60920.144875495884</v>
      </c>
      <c r="L15" s="8">
        <f ca="1">IF(L$2=Inputs!$B112,Inputs!$B111,0)*(1+inf)^K$1</f>
        <v>0</v>
      </c>
      <c r="M15" s="8">
        <f ca="1">IF(M$2=Inputs!$B112,Inputs!$B111,0)*(1+inf)^L$1</f>
        <v>0</v>
      </c>
      <c r="N15" s="8">
        <f ca="1">IF(N$2=Inputs!$B112,Inputs!$B111,0)*(1+inf)^M$1</f>
        <v>0</v>
      </c>
      <c r="O15" s="8">
        <f ca="1">IF(O$2=Inputs!$B112,Inputs!$B111,0)*(1+inf)^N$1</f>
        <v>0</v>
      </c>
      <c r="P15" s="8">
        <f ca="1">IF(P$2=Inputs!$B112,Inputs!$B111,0)*(1+inf)^O$1</f>
        <v>0</v>
      </c>
      <c r="Q15" s="8">
        <f ca="1">IF(Q$2=Inputs!$B112,Inputs!$B111,0)*(1+inf)^P$1</f>
        <v>0</v>
      </c>
      <c r="R15" s="8">
        <f ca="1">IF(R$2=Inputs!$B112,Inputs!$B111,0)*(1+inf)^Q$1</f>
        <v>0</v>
      </c>
      <c r="S15" s="8">
        <f ca="1">IF(S$2=Inputs!$B112,Inputs!$B111,0)*(1+inf)^R$1</f>
        <v>0</v>
      </c>
      <c r="T15" s="8">
        <f ca="1">IF(T$2=Inputs!$B112,Inputs!$B111,0)*(1+inf)^S$1</f>
        <v>0</v>
      </c>
      <c r="U15" s="8">
        <f ca="1">IF(U$2=Inputs!$B112,Inputs!$B111,0)*(1+inf)^T$1</f>
        <v>0</v>
      </c>
      <c r="V15" s="8">
        <f ca="1">IF(V$2=Inputs!$B112,Inputs!$B111,0)*(1+inf)^U$1</f>
        <v>0</v>
      </c>
      <c r="W15" s="8">
        <f ca="1">IF(W$2=Inputs!$B112,Inputs!$B111,0)*(1+inf)^V$1</f>
        <v>0</v>
      </c>
      <c r="X15" s="8">
        <f ca="1">IF(X$2=Inputs!$B112,Inputs!$B111,0)*(1+inf)^W$1</f>
        <v>0</v>
      </c>
      <c r="Y15" s="8">
        <f ca="1">IF(Y$2=Inputs!$B112,Inputs!$B111,0)*(1+inf)^X$1</f>
        <v>0</v>
      </c>
      <c r="Z15" s="8">
        <f ca="1">IF(Z$2=Inputs!$B112,Inputs!$B111,0)*(1+inf)^Y$1</f>
        <v>0</v>
      </c>
      <c r="AA15" s="8">
        <f ca="1">IF(AA$2=Inputs!$B112,Inputs!$B111,0)*(1+inf)^Z$1</f>
        <v>0</v>
      </c>
      <c r="AB15" s="8">
        <f ca="1">IF(AB$2=Inputs!$B112,Inputs!$B111,0)*(1+inf)^AA$1</f>
        <v>0</v>
      </c>
      <c r="AC15" s="8">
        <f ca="1">IF(AC$2=Inputs!$B112,Inputs!$B111,0)*(1+inf)^AB$1</f>
        <v>0</v>
      </c>
      <c r="AD15" s="8">
        <f ca="1">IF(AD$2=Inputs!$B112,Inputs!$B111,0)*(1+inf)^AC$1</f>
        <v>0</v>
      </c>
      <c r="AE15" s="8">
        <f ca="1">IF(AE$2=Inputs!$B112,Inputs!$B111,0)*(1+inf)^AD$1</f>
        <v>0</v>
      </c>
      <c r="AF15" s="8">
        <f ca="1">IF(AF$2=Inputs!$B112,Inputs!$B111,0)*(1+inf)^AE$1</f>
        <v>0</v>
      </c>
      <c r="AG15" s="8">
        <f ca="1">IF(AG$2=Inputs!$B112,Inputs!$B111,0)*(1+inf)^AF$1</f>
        <v>0</v>
      </c>
      <c r="AH15" s="8">
        <f ca="1">IF(AH$2=Inputs!$B112,Inputs!$B111,0)*(1+inf)^AG$1</f>
        <v>0</v>
      </c>
      <c r="AI15" s="8">
        <f ca="1">IF(AI$2=Inputs!$B112,Inputs!$B111,0)*(1+inf)^AH$1</f>
        <v>0</v>
      </c>
      <c r="AJ15" s="8">
        <f ca="1">IF(AJ$2=Inputs!$B112,Inputs!$B111,0)*(1+inf)^AI$1</f>
        <v>0</v>
      </c>
      <c r="AK15" s="8">
        <f ca="1">IF(AK$2=Inputs!$B112,Inputs!$B111,0)*(1+inf)^AJ$1</f>
        <v>0</v>
      </c>
      <c r="AL15" s="8">
        <f ca="1">IF(AL$2=Inputs!$B112,Inputs!$B111,0)*(1+inf)^AK$1</f>
        <v>0</v>
      </c>
      <c r="AM15" s="8">
        <f ca="1">IF(AM$2=Inputs!$B112,Inputs!$B111,0)*(1+inf)^AL$1</f>
        <v>0</v>
      </c>
    </row>
    <row r="16" spans="1:39" x14ac:dyDescent="0.2">
      <c r="A16" s="4" t="str">
        <f>TEXT(Inputs!B115,"")</f>
        <v>Sell Painting</v>
      </c>
      <c r="B16" s="9"/>
      <c r="C16" s="8">
        <f ca="1">IF(C$2=Inputs!$B117,Inputs!$B116,0)*(1+inf)^B$1</f>
        <v>0</v>
      </c>
      <c r="D16" s="8">
        <f ca="1">IF(D$2=Inputs!$B117,Inputs!$B116,0)*(1+inf)^C$1</f>
        <v>0</v>
      </c>
      <c r="E16" s="8">
        <f ca="1">IF(E$2=Inputs!$B117,Inputs!$B116,0)*(1+inf)^D$1</f>
        <v>10506.25</v>
      </c>
      <c r="F16" s="8">
        <f ca="1">IF(F$2=Inputs!$B117,Inputs!$B116,0)*(1+inf)^E$1</f>
        <v>0</v>
      </c>
      <c r="G16" s="8">
        <f ca="1">IF(G$2=Inputs!$B117,Inputs!$B116,0)*(1+inf)^F$1</f>
        <v>0</v>
      </c>
      <c r="H16" s="8">
        <f ca="1">IF(H$2=Inputs!$B117,Inputs!$B116,0)*(1+inf)^G$1</f>
        <v>0</v>
      </c>
      <c r="I16" s="8">
        <f ca="1">IF(I$2=Inputs!$B117,Inputs!$B116,0)*(1+inf)^H$1</f>
        <v>0</v>
      </c>
      <c r="J16" s="8">
        <f ca="1">IF(J$2=Inputs!$B117,Inputs!$B116,0)*(1+inf)^I$1</f>
        <v>0</v>
      </c>
      <c r="K16" s="8">
        <f ca="1">IF(K$2=Inputs!$B117,Inputs!$B116,0)*(1+inf)^J$1</f>
        <v>0</v>
      </c>
      <c r="L16" s="8">
        <f ca="1">IF(L$2=Inputs!$B117,Inputs!$B116,0)*(1+inf)^K$1</f>
        <v>0</v>
      </c>
      <c r="M16" s="8">
        <f ca="1">IF(M$2=Inputs!$B117,Inputs!$B116,0)*(1+inf)^L$1</f>
        <v>0</v>
      </c>
      <c r="N16" s="8">
        <f ca="1">IF(N$2=Inputs!$B117,Inputs!$B116,0)*(1+inf)^M$1</f>
        <v>0</v>
      </c>
      <c r="O16" s="8">
        <f ca="1">IF(O$2=Inputs!$B117,Inputs!$B116,0)*(1+inf)^N$1</f>
        <v>0</v>
      </c>
      <c r="P16" s="8">
        <f ca="1">IF(P$2=Inputs!$B117,Inputs!$B116,0)*(1+inf)^O$1</f>
        <v>0</v>
      </c>
      <c r="Q16" s="8">
        <f ca="1">IF(Q$2=Inputs!$B117,Inputs!$B116,0)*(1+inf)^P$1</f>
        <v>0</v>
      </c>
      <c r="R16" s="8">
        <f ca="1">IF(R$2=Inputs!$B117,Inputs!$B116,0)*(1+inf)^Q$1</f>
        <v>0</v>
      </c>
      <c r="S16" s="8">
        <f ca="1">IF(S$2=Inputs!$B117,Inputs!$B116,0)*(1+inf)^R$1</f>
        <v>0</v>
      </c>
      <c r="T16" s="8">
        <f ca="1">IF(T$2=Inputs!$B117,Inputs!$B116,0)*(1+inf)^S$1</f>
        <v>0</v>
      </c>
      <c r="U16" s="8">
        <f ca="1">IF(U$2=Inputs!$B117,Inputs!$B116,0)*(1+inf)^T$1</f>
        <v>0</v>
      </c>
      <c r="V16" s="8">
        <f ca="1">IF(V$2=Inputs!$B117,Inputs!$B116,0)*(1+inf)^U$1</f>
        <v>0</v>
      </c>
      <c r="W16" s="8">
        <f ca="1">IF(W$2=Inputs!$B117,Inputs!$B116,0)*(1+inf)^V$1</f>
        <v>0</v>
      </c>
      <c r="X16" s="8">
        <f ca="1">IF(X$2=Inputs!$B117,Inputs!$B116,0)*(1+inf)^W$1</f>
        <v>0</v>
      </c>
      <c r="Y16" s="8">
        <f ca="1">IF(Y$2=Inputs!$B117,Inputs!$B116,0)*(1+inf)^X$1</f>
        <v>0</v>
      </c>
      <c r="Z16" s="8">
        <f ca="1">IF(Z$2=Inputs!$B117,Inputs!$B116,0)*(1+inf)^Y$1</f>
        <v>0</v>
      </c>
      <c r="AA16" s="8">
        <f ca="1">IF(AA$2=Inputs!$B117,Inputs!$B116,0)*(1+inf)^Z$1</f>
        <v>0</v>
      </c>
      <c r="AB16" s="8">
        <f ca="1">IF(AB$2=Inputs!$B117,Inputs!$B116,0)*(1+inf)^AA$1</f>
        <v>0</v>
      </c>
      <c r="AC16" s="8">
        <f ca="1">IF(AC$2=Inputs!$B117,Inputs!$B116,0)*(1+inf)^AB$1</f>
        <v>0</v>
      </c>
      <c r="AD16" s="8">
        <f ca="1">IF(AD$2=Inputs!$B117,Inputs!$B116,0)*(1+inf)^AC$1</f>
        <v>0</v>
      </c>
      <c r="AE16" s="8">
        <f ca="1">IF(AE$2=Inputs!$B117,Inputs!$B116,0)*(1+inf)^AD$1</f>
        <v>0</v>
      </c>
      <c r="AF16" s="8">
        <f ca="1">IF(AF$2=Inputs!$B117,Inputs!$B116,0)*(1+inf)^AE$1</f>
        <v>0</v>
      </c>
      <c r="AG16" s="8">
        <f ca="1">IF(AG$2=Inputs!$B117,Inputs!$B116,0)*(1+inf)^AF$1</f>
        <v>0</v>
      </c>
      <c r="AH16" s="8">
        <f ca="1">IF(AH$2=Inputs!$B117,Inputs!$B116,0)*(1+inf)^AG$1</f>
        <v>0</v>
      </c>
      <c r="AI16" s="8">
        <f ca="1">IF(AI$2=Inputs!$B117,Inputs!$B116,0)*(1+inf)^AH$1</f>
        <v>0</v>
      </c>
      <c r="AJ16" s="8">
        <f ca="1">IF(AJ$2=Inputs!$B117,Inputs!$B116,0)*(1+inf)^AI$1</f>
        <v>0</v>
      </c>
      <c r="AK16" s="8">
        <f ca="1">IF(AK$2=Inputs!$B117,Inputs!$B116,0)*(1+inf)^AJ$1</f>
        <v>0</v>
      </c>
      <c r="AL16" s="8">
        <f ca="1">IF(AL$2=Inputs!$B117,Inputs!$B116,0)*(1+inf)^AK$1</f>
        <v>0</v>
      </c>
      <c r="AM16" s="8">
        <f ca="1">IF(AM$2=Inputs!$B117,Inputs!$B116,0)*(1+inf)^AL$1</f>
        <v>0</v>
      </c>
    </row>
    <row r="17" spans="1:39" x14ac:dyDescent="0.2">
      <c r="A17" s="4" t="str">
        <f>TEXT(Inputs!B120,"")</f>
        <v>Sell Jewels</v>
      </c>
      <c r="B17" s="9"/>
      <c r="C17" s="8">
        <f ca="1">IF(C$2=Inputs!$B122,Inputs!$B121,0)*(1+inf)^B$1</f>
        <v>0</v>
      </c>
      <c r="D17" s="8">
        <f ca="1">IF(D$2=Inputs!$B122,Inputs!$B121,0)*(1+inf)^C$1</f>
        <v>0</v>
      </c>
      <c r="E17" s="8">
        <f ca="1">IF(E$2=Inputs!$B122,Inputs!$B121,0)*(1+inf)^D$1</f>
        <v>0</v>
      </c>
      <c r="F17" s="8">
        <f ca="1">IF(F$2=Inputs!$B122,Inputs!$B121,0)*(1+inf)^E$1</f>
        <v>0</v>
      </c>
      <c r="G17" s="8">
        <f ca="1">IF(G$2=Inputs!$B122,Inputs!$B121,0)*(1+inf)^F$1</f>
        <v>0</v>
      </c>
      <c r="H17" s="8">
        <f ca="1">IF(H$2=Inputs!$B122,Inputs!$B121,0)*(1+inf)^G$1</f>
        <v>5657.041064453123</v>
      </c>
      <c r="I17" s="8">
        <f ca="1">IF(I$2=Inputs!$B122,Inputs!$B121,0)*(1+inf)^H$1</f>
        <v>0</v>
      </c>
      <c r="J17" s="8">
        <f ca="1">IF(J$2=Inputs!$B122,Inputs!$B121,0)*(1+inf)^I$1</f>
        <v>0</v>
      </c>
      <c r="K17" s="8">
        <f ca="1">IF(K$2=Inputs!$B122,Inputs!$B121,0)*(1+inf)^J$1</f>
        <v>0</v>
      </c>
      <c r="L17" s="8">
        <f ca="1">IF(L$2=Inputs!$B122,Inputs!$B121,0)*(1+inf)^K$1</f>
        <v>0</v>
      </c>
      <c r="M17" s="8">
        <f ca="1">IF(M$2=Inputs!$B122,Inputs!$B121,0)*(1+inf)^L$1</f>
        <v>0</v>
      </c>
      <c r="N17" s="8">
        <f ca="1">IF(N$2=Inputs!$B122,Inputs!$B121,0)*(1+inf)^M$1</f>
        <v>0</v>
      </c>
      <c r="O17" s="8">
        <f ca="1">IF(O$2=Inputs!$B122,Inputs!$B121,0)*(1+inf)^N$1</f>
        <v>0</v>
      </c>
      <c r="P17" s="8">
        <f ca="1">IF(P$2=Inputs!$B122,Inputs!$B121,0)*(1+inf)^O$1</f>
        <v>0</v>
      </c>
      <c r="Q17" s="8">
        <f ca="1">IF(Q$2=Inputs!$B122,Inputs!$B121,0)*(1+inf)^P$1</f>
        <v>0</v>
      </c>
      <c r="R17" s="8">
        <f ca="1">IF(R$2=Inputs!$B122,Inputs!$B121,0)*(1+inf)^Q$1</f>
        <v>0</v>
      </c>
      <c r="S17" s="8">
        <f ca="1">IF(S$2=Inputs!$B122,Inputs!$B121,0)*(1+inf)^R$1</f>
        <v>0</v>
      </c>
      <c r="T17" s="8">
        <f ca="1">IF(T$2=Inputs!$B122,Inputs!$B121,0)*(1+inf)^S$1</f>
        <v>0</v>
      </c>
      <c r="U17" s="8">
        <f ca="1">IF(U$2=Inputs!$B122,Inputs!$B121,0)*(1+inf)^T$1</f>
        <v>0</v>
      </c>
      <c r="V17" s="8">
        <f ca="1">IF(V$2=Inputs!$B122,Inputs!$B121,0)*(1+inf)^U$1</f>
        <v>0</v>
      </c>
      <c r="W17" s="8">
        <f ca="1">IF(W$2=Inputs!$B122,Inputs!$B121,0)*(1+inf)^V$1</f>
        <v>0</v>
      </c>
      <c r="X17" s="8">
        <f ca="1">IF(X$2=Inputs!$B122,Inputs!$B121,0)*(1+inf)^W$1</f>
        <v>0</v>
      </c>
      <c r="Y17" s="8">
        <f ca="1">IF(Y$2=Inputs!$B122,Inputs!$B121,0)*(1+inf)^X$1</f>
        <v>0</v>
      </c>
      <c r="Z17" s="8">
        <f ca="1">IF(Z$2=Inputs!$B122,Inputs!$B121,0)*(1+inf)^Y$1</f>
        <v>0</v>
      </c>
      <c r="AA17" s="8">
        <f ca="1">IF(AA$2=Inputs!$B122,Inputs!$B121,0)*(1+inf)^Z$1</f>
        <v>0</v>
      </c>
      <c r="AB17" s="8">
        <f ca="1">IF(AB$2=Inputs!$B122,Inputs!$B121,0)*(1+inf)^AA$1</f>
        <v>0</v>
      </c>
      <c r="AC17" s="8">
        <f ca="1">IF(AC$2=Inputs!$B122,Inputs!$B121,0)*(1+inf)^AB$1</f>
        <v>0</v>
      </c>
      <c r="AD17" s="8">
        <f ca="1">IF(AD$2=Inputs!$B122,Inputs!$B121,0)*(1+inf)^AC$1</f>
        <v>0</v>
      </c>
      <c r="AE17" s="8">
        <f ca="1">IF(AE$2=Inputs!$B122,Inputs!$B121,0)*(1+inf)^AD$1</f>
        <v>0</v>
      </c>
      <c r="AF17" s="8">
        <f ca="1">IF(AF$2=Inputs!$B122,Inputs!$B121,0)*(1+inf)^AE$1</f>
        <v>0</v>
      </c>
      <c r="AG17" s="8">
        <f ca="1">IF(AG$2=Inputs!$B122,Inputs!$B121,0)*(1+inf)^AF$1</f>
        <v>0</v>
      </c>
      <c r="AH17" s="8">
        <f ca="1">IF(AH$2=Inputs!$B122,Inputs!$B121,0)*(1+inf)^AG$1</f>
        <v>0</v>
      </c>
      <c r="AI17" s="8">
        <f ca="1">IF(AI$2=Inputs!$B122,Inputs!$B121,0)*(1+inf)^AH$1</f>
        <v>0</v>
      </c>
      <c r="AJ17" s="8">
        <f ca="1">IF(AJ$2=Inputs!$B122,Inputs!$B121,0)*(1+inf)^AI$1</f>
        <v>0</v>
      </c>
      <c r="AK17" s="8">
        <f ca="1">IF(AK$2=Inputs!$B122,Inputs!$B121,0)*(1+inf)^AJ$1</f>
        <v>0</v>
      </c>
      <c r="AL17" s="8">
        <f ca="1">IF(AL$2=Inputs!$B122,Inputs!$B121,0)*(1+inf)^AK$1</f>
        <v>0</v>
      </c>
      <c r="AM17" s="8">
        <f ca="1">IF(AM$2=Inputs!$B122,Inputs!$B121,0)*(1+inf)^AL$1</f>
        <v>0</v>
      </c>
    </row>
    <row r="18" spans="1:39" x14ac:dyDescent="0.2">
      <c r="A18" s="5" t="s">
        <v>8</v>
      </c>
      <c r="C18" s="8">
        <f ca="1">MAX(AVERAGE(C51,C51+SUM(C5:C17)-C48)*Inputs!$B$159,0)</f>
        <v>1485.5</v>
      </c>
      <c r="D18" s="8">
        <f ca="1">MAX(AVERAGE(D51,D51+SUM(D5:D17)-D48)*Inputs!$B$159,0)</f>
        <v>2025.9625000000001</v>
      </c>
      <c r="E18" s="8">
        <f ca="1">MAX(AVERAGE(E51,E51+SUM(E5:E17)-E48)*Inputs!$B$159,0)</f>
        <v>2356.9993750000003</v>
      </c>
      <c r="F18" s="8">
        <f ca="1">MAX(AVERAGE(F51,F51+SUM(F5:F17)-F48)*Inputs!$B$159,0)</f>
        <v>2862.2186238817844</v>
      </c>
      <c r="G18" s="8">
        <f ca="1">MAX(AVERAGE(G51,G51+SUM(G5:G17)-G48)*Inputs!$B$159,0)</f>
        <v>3846.3926275988943</v>
      </c>
      <c r="H18" s="8">
        <f ca="1">MAX(AVERAGE(H51,H51+SUM(H5:H17)-H48)*Inputs!$B$159,0)</f>
        <v>5059.2362467821804</v>
      </c>
      <c r="I18" s="8">
        <f ca="1">MAX(AVERAGE(I51,I51+SUM(I5:I17)-I48)*Inputs!$B$159,0)</f>
        <v>6568.1511517645868</v>
      </c>
      <c r="J18" s="8">
        <f ca="1">MAX(AVERAGE(J51,J51+SUM(J5:J17)-J48)*Inputs!$B$159,0)</f>
        <v>8027.6384561860068</v>
      </c>
      <c r="K18" s="8">
        <f ca="1">MAX(AVERAGE(K51,K51+SUM(K5:K17)-K48)*Inputs!$B$159,0)</f>
        <v>10347.345595853907</v>
      </c>
      <c r="L18" s="8">
        <f ca="1">MAX(AVERAGE(L51,L51+SUM(L5:L17)-L48)*Inputs!$B$159,0)</f>
        <v>12608.930208226973</v>
      </c>
      <c r="M18" s="8">
        <f ca="1">MAX(AVERAGE(M51,M51+SUM(M5:M17)-M48)*Inputs!$B$159,0)</f>
        <v>14467.320699165371</v>
      </c>
      <c r="N18" s="8">
        <f ca="1">MAX(AVERAGE(N51,N51+SUM(N5:N17)-N48)*Inputs!$B$159,0)</f>
        <v>17083.23144133516</v>
      </c>
      <c r="O18" s="8">
        <f ca="1">MAX(AVERAGE(O51,O51+SUM(O5:O17)-O48)*Inputs!$B$159,0)</f>
        <v>19839.651678145681</v>
      </c>
      <c r="P18" s="8">
        <f ca="1">MAX(AVERAGE(P51,P51+SUM(P5:P17)-P48)*Inputs!$B$159,0)</f>
        <v>22742.534621104191</v>
      </c>
      <c r="Q18" s="8">
        <f ca="1">MAX(AVERAGE(Q51,Q51+SUM(Q5:Q17)-Q48)*Inputs!$B$159,0)</f>
        <v>25798.060204288831</v>
      </c>
      <c r="R18" s="8">
        <f ca="1">MAX(AVERAGE(R51,R51+SUM(R5:R17)-R48)*Inputs!$B$159,0)</f>
        <v>29012.643206132867</v>
      </c>
      <c r="S18" s="8">
        <f ca="1">MAX(AVERAGE(S51,S51+SUM(S5:S17)-S48)*Inputs!$B$159,0)</f>
        <v>31085.136335822266</v>
      </c>
      <c r="T18" s="8">
        <f ca="1">MAX(AVERAGE(T51,T51+SUM(T5:T17)-T48)*Inputs!$B$159,0)</f>
        <v>32044.136896911627</v>
      </c>
      <c r="U18" s="8">
        <f ca="1">MAX(AVERAGE(U51,U51+SUM(U5:U17)-U48)*Inputs!$B$159,0)</f>
        <v>33132.868331052967</v>
      </c>
      <c r="V18" s="8">
        <f ca="1">MAX(AVERAGE(V51,V51+SUM(V5:V17)-V48)*Inputs!$B$159,0)</f>
        <v>34262.299902641134</v>
      </c>
      <c r="W18" s="8">
        <f ca="1">MAX(AVERAGE(W51,W51+SUM(W5:W17)-W48)*Inputs!$B$159,0)</f>
        <v>35433.974895941144</v>
      </c>
      <c r="X18" s="8">
        <f ca="1">MAX(AVERAGE(X51,X51+SUM(X5:X17)-X48)*Inputs!$B$159,0)</f>
        <v>36397.556706186871</v>
      </c>
      <c r="Y18" s="8">
        <f ca="1">MAX(AVERAGE(Y51,Y51+SUM(Y5:Y17)-Y48)*Inputs!$B$159,0)</f>
        <v>37142.108605827249</v>
      </c>
      <c r="Z18" s="8">
        <f ca="1">MAX(AVERAGE(Z51,Z51+SUM(Z5:Z17)-Z48)*Inputs!$B$159,0)</f>
        <v>37908.220373721844</v>
      </c>
      <c r="AA18" s="8">
        <f ca="1">MAX(AVERAGE(AA51,AA51+SUM(AA5:AA17)-AA48)*Inputs!$B$159,0)</f>
        <v>38696.717080732502</v>
      </c>
      <c r="AB18" s="8">
        <f ca="1">MAX(AVERAGE(AB51,AB51+SUM(AB5:AB17)-AB48)*Inputs!$B$159,0)</f>
        <v>39508.457949018084</v>
      </c>
      <c r="AC18" s="8">
        <f ca="1">MAX(AVERAGE(AC51,AC51+SUM(AC5:AC17)-AC48)*Inputs!$B$159,0)</f>
        <v>40344.337735110217</v>
      </c>
      <c r="AD18" s="8">
        <f ca="1">MAX(AVERAGE(AD51,AD51+SUM(AD5:AD17)-AD48)*Inputs!$B$159,0)</f>
        <v>41327.025667677291</v>
      </c>
      <c r="AE18" s="8">
        <f ca="1">MAX(AVERAGE(AE51,AE51+SUM(AE5:AE17)-AE48)*Inputs!$B$159,0)</f>
        <v>42463.578812444095</v>
      </c>
      <c r="AF18" s="8">
        <f ca="1">MAX(AVERAGE(AF51,AF51+SUM(AF5:AF17)-AF48)*Inputs!$B$159,0)</f>
        <v>43639.585004684399</v>
      </c>
      <c r="AG18" s="8">
        <f ca="1">MAX(AVERAGE(AG51,AG51+SUM(AG5:AG17)-AG48)*Inputs!$B$159,0)</f>
        <v>44856.560194494705</v>
      </c>
      <c r="AH18" s="8">
        <f ca="1">MAX(AVERAGE(AH51,AH51+SUM(AH5:AH17)-AH48)*Inputs!$B$159,0)</f>
        <v>46116.079080624855</v>
      </c>
      <c r="AI18" s="8">
        <f ca="1">MAX(AVERAGE(AI51,AI51+SUM(AI5:AI17)-AI48)*Inputs!$B$159,0)</f>
        <v>47419.777328720927</v>
      </c>
      <c r="AJ18" s="8">
        <f ca="1">MAX(AVERAGE(AJ51,AJ51+SUM(AJ5:AJ17)-AJ48)*Inputs!$B$159,0)</f>
        <v>48769.353870610794</v>
      </c>
      <c r="AK18" s="8">
        <f ca="1">MAX(AVERAGE(AK51,AK51+SUM(AK5:AK17)-AK48)*Inputs!$B$159,0)</f>
        <v>50166.573287503539</v>
      </c>
      <c r="AL18" s="8">
        <f ca="1">MAX(AVERAGE(AL51,AL51+SUM(AL5:AL17)-AL48)*Inputs!$B$159,0)</f>
        <v>51613.268280072771</v>
      </c>
      <c r="AM18" s="8">
        <f ca="1">MAX(AVERAGE(AM51,AM51+SUM(AM5:AM17)-AM48)*Inputs!$B$159,0)</f>
        <v>53111.342228496796</v>
      </c>
    </row>
    <row r="19" spans="1:39" x14ac:dyDescent="0.2">
      <c r="C19" s="10">
        <f ca="1">SUM(C4:C18)</f>
        <v>113485.5</v>
      </c>
      <c r="D19" s="10">
        <f t="shared" ref="D19:G19" ca="1" si="65">SUM(D4:D18)</f>
        <v>117375.96249999999</v>
      </c>
      <c r="E19" s="10">
        <f t="shared" ca="1" si="65"/>
        <v>131663.49937500001</v>
      </c>
      <c r="F19" s="10">
        <f t="shared" ca="1" si="65"/>
        <v>125215.9698738818</v>
      </c>
      <c r="G19" s="10">
        <f t="shared" ca="1" si="65"/>
        <v>129859.98750884889</v>
      </c>
      <c r="H19" s="10">
        <f t="shared" ref="H19:I19" ca="1" si="66">SUM(H4:H18)</f>
        <v>140499.24191001654</v>
      </c>
      <c r="I19" s="10">
        <f t="shared" ca="1" si="66"/>
        <v>140233.29060638035</v>
      </c>
      <c r="J19" s="10">
        <f t="shared" ref="J19:AM19" ca="1" si="67">SUM(J4:J18)</f>
        <v>145691.13516025816</v>
      </c>
      <c r="K19" s="10">
        <f t="shared" ca="1" si="67"/>
        <v>213049.00521900741</v>
      </c>
      <c r="L19" s="10">
        <f t="shared" ca="1" si="67"/>
        <v>173618.06200871122</v>
      </c>
      <c r="M19" s="10">
        <f t="shared" ca="1" si="67"/>
        <v>177659.13695737504</v>
      </c>
      <c r="N19" s="10">
        <f t="shared" ca="1" si="67"/>
        <v>185093.99711463938</v>
      </c>
      <c r="O19" s="10">
        <f t="shared" ca="1" si="67"/>
        <v>192812.01512218092</v>
      </c>
      <c r="P19" s="10">
        <f t="shared" ca="1" si="67"/>
        <v>200823.37563900568</v>
      </c>
      <c r="Q19" s="10">
        <f t="shared" ca="1" si="67"/>
        <v>209138.61579003625</v>
      </c>
      <c r="R19" s="10">
        <f t="shared" ca="1" si="67"/>
        <v>217768.63703019428</v>
      </c>
      <c r="S19" s="10">
        <f t="shared" ca="1" si="67"/>
        <v>120792.48688728167</v>
      </c>
      <c r="T19" s="10">
        <f t="shared" ca="1" si="67"/>
        <v>124234.87717802235</v>
      </c>
      <c r="U19" s="10">
        <f t="shared" ca="1" si="67"/>
        <v>127876.30426403222</v>
      </c>
      <c r="V19" s="10">
        <f t="shared" ca="1" si="67"/>
        <v>131629.68669313085</v>
      </c>
      <c r="W19" s="10">
        <f t="shared" ca="1" si="67"/>
        <v>135498.57226415467</v>
      </c>
      <c r="X19" s="10">
        <f t="shared" ca="1" si="67"/>
        <v>119079.7034782343</v>
      </c>
      <c r="Y19" s="10">
        <f t="shared" ca="1" si="67"/>
        <v>122170.35323293226</v>
      </c>
      <c r="Z19" s="10">
        <f t="shared" ca="1" si="67"/>
        <v>125349.5866278336</v>
      </c>
      <c r="AA19" s="10">
        <f t="shared" ca="1" si="67"/>
        <v>128620.15546786606</v>
      </c>
      <c r="AB19" s="10">
        <f t="shared" ca="1" si="67"/>
        <v>131984.90141179902</v>
      </c>
      <c r="AC19" s="10">
        <f t="shared" ca="1" si="67"/>
        <v>135446.75897390884</v>
      </c>
      <c r="AD19" s="10">
        <f t="shared" ca="1" si="67"/>
        <v>139130.49612757744</v>
      </c>
      <c r="AE19" s="10">
        <f t="shared" ca="1" si="67"/>
        <v>143045.32938467726</v>
      </c>
      <c r="AF19" s="10">
        <f t="shared" ca="1" si="67"/>
        <v>147079.06849258399</v>
      </c>
      <c r="AG19" s="10">
        <f t="shared" ca="1" si="67"/>
        <v>151235.5155954932</v>
      </c>
      <c r="AH19" s="10">
        <f t="shared" ca="1" si="67"/>
        <v>155518.59773732678</v>
      </c>
      <c r="AI19" s="10">
        <f t="shared" ca="1" si="67"/>
        <v>159932.37100363919</v>
      </c>
      <c r="AJ19" s="10">
        <f t="shared" ca="1" si="67"/>
        <v>164481.02480075479</v>
      </c>
      <c r="AK19" s="10">
        <f t="shared" ca="1" si="67"/>
        <v>169168.88627665446</v>
      </c>
      <c r="AL19" s="10">
        <f t="shared" ca="1" si="67"/>
        <v>174000.42488827844</v>
      </c>
      <c r="AM19" s="10">
        <f t="shared" ca="1" si="67"/>
        <v>178980.25712006332</v>
      </c>
    </row>
    <row r="20" spans="1:39" ht="19" x14ac:dyDescent="0.25">
      <c r="A20" s="14" t="s">
        <v>18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</row>
    <row r="21" spans="1:39" x14ac:dyDescent="0.2">
      <c r="A21" s="5" t="s">
        <v>80</v>
      </c>
      <c r="C21" s="8">
        <f>Inputs!B85</f>
        <v>1000</v>
      </c>
      <c r="D21" s="8">
        <v>0</v>
      </c>
      <c r="E21" s="8">
        <v>0</v>
      </c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  <c r="W21" s="8">
        <v>0</v>
      </c>
      <c r="X21" s="8">
        <v>0</v>
      </c>
      <c r="Y21" s="8">
        <v>0</v>
      </c>
      <c r="Z21" s="8">
        <v>0</v>
      </c>
      <c r="AA21" s="8">
        <v>0</v>
      </c>
      <c r="AB21" s="8">
        <v>0</v>
      </c>
      <c r="AC21" s="8">
        <v>0</v>
      </c>
      <c r="AD21" s="8">
        <v>0</v>
      </c>
      <c r="AE21" s="8">
        <v>0</v>
      </c>
      <c r="AF21" s="8">
        <v>0</v>
      </c>
      <c r="AG21" s="8">
        <v>0</v>
      </c>
      <c r="AH21" s="8">
        <v>0</v>
      </c>
      <c r="AI21" s="8">
        <v>0</v>
      </c>
      <c r="AJ21" s="8">
        <v>0</v>
      </c>
      <c r="AK21" s="8">
        <v>0</v>
      </c>
      <c r="AL21" s="8">
        <v>0</v>
      </c>
      <c r="AM21" s="8">
        <v>0</v>
      </c>
    </row>
    <row r="22" spans="1:39" x14ac:dyDescent="0.2">
      <c r="A22" s="5" t="s">
        <v>13</v>
      </c>
      <c r="C22" s="8">
        <f>MAX(IF(C$1*12&lt;=Inputs!$G$15,12,(Inputs!$G$15-B$1*12)),0)*Inputs!$B$17</f>
        <v>9600</v>
      </c>
      <c r="D22" s="8">
        <f>MAX(IF(D$1*12&lt;=Inputs!$G$15,12,(Inputs!$G$15-C$1*12)),0)*Inputs!$B$17</f>
        <v>9600</v>
      </c>
      <c r="E22" s="8">
        <f>MAX(IF(E$1*12&lt;=Inputs!$G$15,12,(Inputs!$G$15-D$1*12)),0)*Inputs!$B$17</f>
        <v>9600</v>
      </c>
      <c r="F22" s="8">
        <f>MAX(IF(F$1*12&lt;=Inputs!$G$15,12,(Inputs!$G$15-E$1*12)),0)*Inputs!$B$17</f>
        <v>9600</v>
      </c>
      <c r="G22" s="8">
        <f>MAX(IF(G$1*12&lt;=Inputs!$G$15,12,(Inputs!$G$15-F$1*12)),0)*Inputs!$B$17</f>
        <v>9600</v>
      </c>
      <c r="H22" s="8">
        <f>MAX(IF(H$1*12&lt;=Inputs!$G$15,12,(Inputs!$G$15-G$1*12)),0)*Inputs!$B$17</f>
        <v>6435.6231080800517</v>
      </c>
      <c r="I22" s="8">
        <f>MAX(IF(I$1*12&lt;=Inputs!$G$15,12,(Inputs!$G$15-H$1*12)),0)*Inputs!$B$17</f>
        <v>0</v>
      </c>
      <c r="J22" s="8">
        <f>MAX(IF(J$1*12&lt;=Inputs!$G$15,12,(Inputs!$G$15-I$1*12)),0)*Inputs!$B$17</f>
        <v>0</v>
      </c>
      <c r="K22" s="8">
        <f>MAX(IF(K$1*12&lt;=Inputs!$G$15,12,(Inputs!$G$15-J$1*12)),0)*Inputs!$B$17</f>
        <v>0</v>
      </c>
      <c r="L22" s="8">
        <f>MAX(IF(L$1*12&lt;=Inputs!$G$15,12,(Inputs!$G$15-K$1*12)),0)*Inputs!$B$17</f>
        <v>0</v>
      </c>
      <c r="M22" s="8">
        <f>MAX(IF(M$1*12&lt;=Inputs!$G$15,12,(Inputs!$G$15-L$1*12)),0)*Inputs!$B$17</f>
        <v>0</v>
      </c>
      <c r="N22" s="8">
        <f>MAX(IF(N$1*12&lt;=Inputs!$G$15,12,(Inputs!$G$15-M$1*12)),0)*Inputs!$B$17</f>
        <v>0</v>
      </c>
      <c r="O22" s="8">
        <f>MAX(IF(O$1*12&lt;=Inputs!$G$15,12,(Inputs!$G$15-N$1*12)),0)*Inputs!$B$17</f>
        <v>0</v>
      </c>
      <c r="P22" s="8">
        <f>MAX(IF(P$1*12&lt;=Inputs!$G$15,12,(Inputs!$G$15-O$1*12)),0)*Inputs!$B$17</f>
        <v>0</v>
      </c>
      <c r="Q22" s="8">
        <f>MAX(IF(Q$1*12&lt;=Inputs!$G$15,12,(Inputs!$G$15-P$1*12)),0)*Inputs!$B$17</f>
        <v>0</v>
      </c>
      <c r="R22" s="8">
        <f>MAX(IF(R$1*12&lt;=Inputs!$G$15,12,(Inputs!$G$15-Q$1*12)),0)*Inputs!$B$17</f>
        <v>0</v>
      </c>
      <c r="S22" s="8">
        <f>MAX(IF(S$1*12&lt;=Inputs!$G$15,12,(Inputs!$G$15-R$1*12)),0)*Inputs!$B$17</f>
        <v>0</v>
      </c>
      <c r="T22" s="8">
        <f>MAX(IF(T$1*12&lt;=Inputs!$G$15,12,(Inputs!$G$15-S$1*12)),0)*Inputs!$B$17</f>
        <v>0</v>
      </c>
      <c r="U22" s="8">
        <f>MAX(IF(U$1*12&lt;=Inputs!$G$15,12,(Inputs!$G$15-T$1*12)),0)*Inputs!$B$17</f>
        <v>0</v>
      </c>
      <c r="V22" s="8">
        <f>MAX(IF(V$1*12&lt;=Inputs!$G$15,12,(Inputs!$G$15-U$1*12)),0)*Inputs!$B$17</f>
        <v>0</v>
      </c>
      <c r="W22" s="8">
        <f>MAX(IF(W$1*12&lt;=Inputs!$G$15,12,(Inputs!$G$15-V$1*12)),0)*Inputs!$B$17</f>
        <v>0</v>
      </c>
      <c r="X22" s="8">
        <f>MAX(IF(X$1*12&lt;=Inputs!$G$15,12,(Inputs!$G$15-W$1*12)),0)*Inputs!$B$17</f>
        <v>0</v>
      </c>
      <c r="Y22" s="8">
        <f>MAX(IF(Y$1*12&lt;=Inputs!$G$15,12,(Inputs!$G$15-X$1*12)),0)*Inputs!$B$17</f>
        <v>0</v>
      </c>
      <c r="Z22" s="8">
        <f>MAX(IF(Z$1*12&lt;=Inputs!$G$15,12,(Inputs!$G$15-Y$1*12)),0)*Inputs!$B$17</f>
        <v>0</v>
      </c>
      <c r="AA22" s="8">
        <f>MAX(IF(AA$1*12&lt;=Inputs!$G$15,12,(Inputs!$G$15-Z$1*12)),0)*Inputs!$B$17</f>
        <v>0</v>
      </c>
      <c r="AB22" s="8">
        <f>MAX(IF(AB$1*12&lt;=Inputs!$G$15,12,(Inputs!$G$15-AA$1*12)),0)*Inputs!$B$17</f>
        <v>0</v>
      </c>
      <c r="AC22" s="8">
        <f>MAX(IF(AC$1*12&lt;=Inputs!$G$15,12,(Inputs!$G$15-AB$1*12)),0)*Inputs!$B$17</f>
        <v>0</v>
      </c>
      <c r="AD22" s="8">
        <f>MAX(IF(AD$1*12&lt;=Inputs!$G$15,12,(Inputs!$G$15-AC$1*12)),0)*Inputs!$B$17</f>
        <v>0</v>
      </c>
      <c r="AE22" s="8">
        <f>MAX(IF(AE$1*12&lt;=Inputs!$G$15,12,(Inputs!$G$15-AD$1*12)),0)*Inputs!$B$17</f>
        <v>0</v>
      </c>
      <c r="AF22" s="8">
        <f>MAX(IF(AF$1*12&lt;=Inputs!$G$15,12,(Inputs!$G$15-AE$1*12)),0)*Inputs!$B$17</f>
        <v>0</v>
      </c>
      <c r="AG22" s="8">
        <f>MAX(IF(AG$1*12&lt;=Inputs!$G$15,12,(Inputs!$G$15-AF$1*12)),0)*Inputs!$B$17</f>
        <v>0</v>
      </c>
      <c r="AH22" s="8">
        <f>MAX(IF(AH$1*12&lt;=Inputs!$G$15,12,(Inputs!$G$15-AG$1*12)),0)*Inputs!$B$17</f>
        <v>0</v>
      </c>
      <c r="AI22" s="8">
        <f>MAX(IF(AI$1*12&lt;=Inputs!$G$15,12,(Inputs!$G$15-AH$1*12)),0)*Inputs!$B$17</f>
        <v>0</v>
      </c>
      <c r="AJ22" s="8">
        <f>MAX(IF(AJ$1*12&lt;=Inputs!$G$15,12,(Inputs!$G$15-AI$1*12)),0)*Inputs!$B$17</f>
        <v>0</v>
      </c>
      <c r="AK22" s="8">
        <f>MAX(IF(AK$1*12&lt;=Inputs!$G$15,12,(Inputs!$G$15-AJ$1*12)),0)*Inputs!$B$17</f>
        <v>0</v>
      </c>
      <c r="AL22" s="8">
        <f>MAX(IF(AL$1*12&lt;=Inputs!$G$15,12,(Inputs!$G$15-AK$1*12)),0)*Inputs!$B$17</f>
        <v>0</v>
      </c>
      <c r="AM22" s="8">
        <f>MAX(IF(AM$1*12&lt;=Inputs!$G$15,12,(Inputs!$G$15-AL$1*12)),0)*Inputs!$B$17</f>
        <v>0</v>
      </c>
    </row>
    <row r="23" spans="1:39" x14ac:dyDescent="0.2">
      <c r="A23" s="5" t="s">
        <v>57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</row>
    <row r="24" spans="1:39" x14ac:dyDescent="0.2">
      <c r="A24" s="4" t="str">
        <f>TEXT(Inputs!$B$60,"")</f>
        <v>Sliema</v>
      </c>
      <c r="C24" s="8">
        <f>MAX(IF(C$1*12&lt;=Inputs!$G$88,12,(Inputs!$G$88-B$1*12)),0)*Inputs!$B$90</f>
        <v>6000</v>
      </c>
      <c r="D24" s="8">
        <f>MAX(IF(D$1*12&lt;=Inputs!$G$88,12,(Inputs!$G$88-C$1*12)),0)*Inputs!$B$90</f>
        <v>6000</v>
      </c>
      <c r="E24" s="8">
        <f>MAX(IF(E$1*12&lt;=Inputs!$G$88,12,(Inputs!$G$88-D$1*12)),0)*Inputs!$B$90</f>
        <v>6000</v>
      </c>
      <c r="F24" s="8">
        <f>MAX(IF(F$1*12&lt;=Inputs!$G$88,12,(Inputs!$G$88-E$1*12)),0)*Inputs!$B$90</f>
        <v>6000</v>
      </c>
      <c r="G24" s="8">
        <f>MAX(IF(G$1*12&lt;=Inputs!$G$88,12,(Inputs!$G$88-F$1*12)),0)*Inputs!$B$90</f>
        <v>6000</v>
      </c>
      <c r="H24" s="8">
        <f>MAX(IF(H$1*12&lt;=Inputs!$G$88,12,(Inputs!$G$88-G$1*12)),0)*Inputs!$B$90</f>
        <v>6000</v>
      </c>
      <c r="I24" s="8">
        <f>MAX(IF(I$1*12&lt;=Inputs!$G$88,12,(Inputs!$G$88-H$1*12)),0)*Inputs!$B$90</f>
        <v>6000</v>
      </c>
      <c r="J24" s="8">
        <f>MAX(IF(J$1*12&lt;=Inputs!$G$88,12,(Inputs!$G$88-I$1*12)),0)*Inputs!$B$90</f>
        <v>6000</v>
      </c>
      <c r="K24" s="8">
        <f>MAX(IF(K$1*12&lt;=Inputs!$G$88,12,(Inputs!$G$88-J$1*12)),0)*Inputs!$B$90</f>
        <v>6000</v>
      </c>
      <c r="L24" s="8">
        <f>MAX(IF(L$1*12&lt;=Inputs!$G$88,12,(Inputs!$G$88-K$1*12)),0)*Inputs!$B$90</f>
        <v>3608.3050789871932</v>
      </c>
      <c r="M24" s="8">
        <f>MAX(IF(M$1*12&lt;=Inputs!$G$88,12,(Inputs!$G$88-L$1*12)),0)*Inputs!$B$90</f>
        <v>0</v>
      </c>
      <c r="N24" s="8">
        <f>MAX(IF(N$1*12&lt;=Inputs!$G$88,12,(Inputs!$G$88-M$1*12)),0)*Inputs!$B$90</f>
        <v>0</v>
      </c>
      <c r="O24" s="8">
        <f>MAX(IF(O$1*12&lt;=Inputs!$G$88,12,(Inputs!$G$88-N$1*12)),0)*Inputs!$B$90</f>
        <v>0</v>
      </c>
      <c r="P24" s="8">
        <f>MAX(IF(P$1*12&lt;=Inputs!$G$88,12,(Inputs!$G$88-O$1*12)),0)*Inputs!$B$90</f>
        <v>0</v>
      </c>
      <c r="Q24" s="8">
        <f>MAX(IF(Q$1*12&lt;=Inputs!$G$88,12,(Inputs!$G$88-P$1*12)),0)*Inputs!$B$90</f>
        <v>0</v>
      </c>
      <c r="R24" s="8">
        <f>MAX(IF(R$1*12&lt;=Inputs!$G$88,12,(Inputs!$G$88-Q$1*12)),0)*Inputs!$B$90</f>
        <v>0</v>
      </c>
      <c r="S24" s="8">
        <f>MAX(IF(S$1*12&lt;=Inputs!$G$88,12,(Inputs!$G$88-R$1*12)),0)*Inputs!$B$90</f>
        <v>0</v>
      </c>
      <c r="T24" s="8">
        <f>MAX(IF(T$1*12&lt;=Inputs!$G$88,12,(Inputs!$G$88-S$1*12)),0)*Inputs!$B$90</f>
        <v>0</v>
      </c>
      <c r="U24" s="8">
        <f>MAX(IF(U$1*12&lt;=Inputs!$G$88,12,(Inputs!$G$88-T$1*12)),0)*Inputs!$B$90</f>
        <v>0</v>
      </c>
      <c r="V24" s="8">
        <f>MAX(IF(V$1*12&lt;=Inputs!$G$88,12,(Inputs!$G$88-U$1*12)),0)*Inputs!$B$90</f>
        <v>0</v>
      </c>
      <c r="W24" s="8">
        <f>MAX(IF(W$1*12&lt;=Inputs!$G$88,12,(Inputs!$G$88-V$1*12)),0)*Inputs!$B$90</f>
        <v>0</v>
      </c>
      <c r="X24" s="8">
        <f>MAX(IF(X$1*12&lt;=Inputs!$G$88,12,(Inputs!$G$88-W$1*12)),0)*Inputs!$B$90</f>
        <v>0</v>
      </c>
      <c r="Y24" s="8">
        <f>MAX(IF(Y$1*12&lt;=Inputs!$G$88,12,(Inputs!$G$88-X$1*12)),0)*Inputs!$B$90</f>
        <v>0</v>
      </c>
      <c r="Z24" s="8">
        <f>MAX(IF(Z$1*12&lt;=Inputs!$G$88,12,(Inputs!$G$88-Y$1*12)),0)*Inputs!$B$90</f>
        <v>0</v>
      </c>
      <c r="AA24" s="8">
        <f>MAX(IF(AA$1*12&lt;=Inputs!$G$88,12,(Inputs!$G$88-Z$1*12)),0)*Inputs!$B$90</f>
        <v>0</v>
      </c>
      <c r="AB24" s="8">
        <f>MAX(IF(AB$1*12&lt;=Inputs!$G$88,12,(Inputs!$G$88-AA$1*12)),0)*Inputs!$B$90</f>
        <v>0</v>
      </c>
      <c r="AC24" s="8">
        <f>MAX(IF(AC$1*12&lt;=Inputs!$G$88,12,(Inputs!$G$88-AB$1*12)),0)*Inputs!$B$90</f>
        <v>0</v>
      </c>
      <c r="AD24" s="8">
        <f>MAX(IF(AD$1*12&lt;=Inputs!$G$88,12,(Inputs!$G$88-AC$1*12)),0)*Inputs!$B$90</f>
        <v>0</v>
      </c>
      <c r="AE24" s="8">
        <f>MAX(IF(AE$1*12&lt;=Inputs!$G$88,12,(Inputs!$G$88-AD$1*12)),0)*Inputs!$B$90</f>
        <v>0</v>
      </c>
      <c r="AF24" s="8">
        <f>MAX(IF(AF$1*12&lt;=Inputs!$G$88,12,(Inputs!$G$88-AE$1*12)),0)*Inputs!$B$90</f>
        <v>0</v>
      </c>
      <c r="AG24" s="8">
        <f>MAX(IF(AG$1*12&lt;=Inputs!$G$88,12,(Inputs!$G$88-AF$1*12)),0)*Inputs!$B$90</f>
        <v>0</v>
      </c>
      <c r="AH24" s="8">
        <f>MAX(IF(AH$1*12&lt;=Inputs!$G$88,12,(Inputs!$G$88-AG$1*12)),0)*Inputs!$B$90</f>
        <v>0</v>
      </c>
      <c r="AI24" s="8">
        <f>MAX(IF(AI$1*12&lt;=Inputs!$G$88,12,(Inputs!$G$88-AH$1*12)),0)*Inputs!$B$90</f>
        <v>0</v>
      </c>
      <c r="AJ24" s="8">
        <f>MAX(IF(AJ$1*12&lt;=Inputs!$G$88,12,(Inputs!$G$88-AI$1*12)),0)*Inputs!$B$90</f>
        <v>0</v>
      </c>
      <c r="AK24" s="8">
        <f>MAX(IF(AK$1*12&lt;=Inputs!$G$88,12,(Inputs!$G$88-AJ$1*12)),0)*Inputs!$B$90</f>
        <v>0</v>
      </c>
      <c r="AL24" s="8">
        <f>MAX(IF(AL$1*12&lt;=Inputs!$G$88,12,(Inputs!$G$88-AK$1*12)),0)*Inputs!$B$90</f>
        <v>0</v>
      </c>
      <c r="AM24" s="8">
        <f>MAX(IF(AM$1*12&lt;=Inputs!$G$88,12,(Inputs!$G$88-AL$1*12)),0)*Inputs!$B$90</f>
        <v>0</v>
      </c>
    </row>
    <row r="25" spans="1:39" x14ac:dyDescent="0.2">
      <c r="A25" s="4" t="str">
        <f>TEXT(Inputs!$B$65,"")</f>
        <v>Gzira</v>
      </c>
      <c r="C25" s="8">
        <f>MAX(IF(C$1*12&lt;=Inputs!$G$93,12,(Inputs!$G$93-B$1*12)),0)*Inputs!$B$95</f>
        <v>2400</v>
      </c>
      <c r="D25" s="8">
        <f>MAX(IF(D$1*12&lt;=Inputs!$G$93,12,(Inputs!$G$93-C$1*12)),0)*Inputs!$B$95</f>
        <v>2400</v>
      </c>
      <c r="E25" s="8">
        <f>MAX(IF(E$1*12&lt;=Inputs!$G$93,12,(Inputs!$G$93-D$1*12)),0)*Inputs!$B$95</f>
        <v>2400</v>
      </c>
      <c r="F25" s="8">
        <f>MAX(IF(F$1*12&lt;=Inputs!$G$93,12,(Inputs!$G$93-E$1*12)),0)*Inputs!$B$95</f>
        <v>1623.4029019573059</v>
      </c>
      <c r="G25" s="8">
        <f>MAX(IF(G$1*12&lt;=Inputs!$G$93,12,(Inputs!$G$93-F$1*12)),0)*Inputs!$B$95</f>
        <v>0</v>
      </c>
      <c r="H25" s="8">
        <f>MAX(IF(H$1*12&lt;=Inputs!$G$93,12,(Inputs!$G$93-G$1*12)),0)*Inputs!$B$95</f>
        <v>0</v>
      </c>
      <c r="I25" s="8">
        <f>MAX(IF(I$1*12&lt;=Inputs!$G$93,12,(Inputs!$G$93-H$1*12)),0)*Inputs!$B$95</f>
        <v>0</v>
      </c>
      <c r="J25" s="8">
        <f>MAX(IF(J$1*12&lt;=Inputs!$G$93,12,(Inputs!$G$93-I$1*12)),0)*Inputs!$B$95</f>
        <v>0</v>
      </c>
      <c r="K25" s="8">
        <f>MAX(IF(K$1*12&lt;=Inputs!$G$93,12,(Inputs!$G$93-J$1*12)),0)*Inputs!$B$95</f>
        <v>0</v>
      </c>
      <c r="L25" s="8">
        <f>MAX(IF(L$1*12&lt;=Inputs!$G$93,12,(Inputs!$G$93-K$1*12)),0)*Inputs!$B$95</f>
        <v>0</v>
      </c>
      <c r="M25" s="8">
        <f>MAX(IF(M$1*12&lt;=Inputs!$G$93,12,(Inputs!$G$93-L$1*12)),0)*Inputs!$B$95</f>
        <v>0</v>
      </c>
      <c r="N25" s="8">
        <f>MAX(IF(N$1*12&lt;=Inputs!$G$93,12,(Inputs!$G$93-M$1*12)),0)*Inputs!$B$95</f>
        <v>0</v>
      </c>
      <c r="O25" s="8">
        <f>MAX(IF(O$1*12&lt;=Inputs!$G$93,12,(Inputs!$G$93-N$1*12)),0)*Inputs!$B$95</f>
        <v>0</v>
      </c>
      <c r="P25" s="8">
        <f>MAX(IF(P$1*12&lt;=Inputs!$G$93,12,(Inputs!$G$93-O$1*12)),0)*Inputs!$B$95</f>
        <v>0</v>
      </c>
      <c r="Q25" s="8">
        <f>MAX(IF(Q$1*12&lt;=Inputs!$G$93,12,(Inputs!$G$93-P$1*12)),0)*Inputs!$B$95</f>
        <v>0</v>
      </c>
      <c r="R25" s="8">
        <f>MAX(IF(R$1*12&lt;=Inputs!$G$93,12,(Inputs!$G$93-Q$1*12)),0)*Inputs!$B$95</f>
        <v>0</v>
      </c>
      <c r="S25" s="8">
        <f>MAX(IF(S$1*12&lt;=Inputs!$G$93,12,(Inputs!$G$93-R$1*12)),0)*Inputs!$B$95</f>
        <v>0</v>
      </c>
      <c r="T25" s="8">
        <f>MAX(IF(T$1*12&lt;=Inputs!$G$93,12,(Inputs!$G$93-S$1*12)),0)*Inputs!$B$95</f>
        <v>0</v>
      </c>
      <c r="U25" s="8">
        <f>MAX(IF(U$1*12&lt;=Inputs!$G$93,12,(Inputs!$G$93-T$1*12)),0)*Inputs!$B$95</f>
        <v>0</v>
      </c>
      <c r="V25" s="8">
        <f>MAX(IF(V$1*12&lt;=Inputs!$G$93,12,(Inputs!$G$93-U$1*12)),0)*Inputs!$B$95</f>
        <v>0</v>
      </c>
      <c r="W25" s="8">
        <f>MAX(IF(W$1*12&lt;=Inputs!$G$93,12,(Inputs!$G$93-V$1*12)),0)*Inputs!$B$95</f>
        <v>0</v>
      </c>
      <c r="X25" s="8">
        <f>MAX(IF(X$1*12&lt;=Inputs!$G$93,12,(Inputs!$G$93-W$1*12)),0)*Inputs!$B$95</f>
        <v>0</v>
      </c>
      <c r="Y25" s="8">
        <f>MAX(IF(Y$1*12&lt;=Inputs!$G$93,12,(Inputs!$G$93-X$1*12)),0)*Inputs!$B$95</f>
        <v>0</v>
      </c>
      <c r="Z25" s="8">
        <f>MAX(IF(Z$1*12&lt;=Inputs!$G$93,12,(Inputs!$G$93-Y$1*12)),0)*Inputs!$B$95</f>
        <v>0</v>
      </c>
      <c r="AA25" s="8">
        <f>MAX(IF(AA$1*12&lt;=Inputs!$G$93,12,(Inputs!$G$93-Z$1*12)),0)*Inputs!$B$95</f>
        <v>0</v>
      </c>
      <c r="AB25" s="8">
        <f>MAX(IF(AB$1*12&lt;=Inputs!$G$93,12,(Inputs!$G$93-AA$1*12)),0)*Inputs!$B$95</f>
        <v>0</v>
      </c>
      <c r="AC25" s="8">
        <f>MAX(IF(AC$1*12&lt;=Inputs!$G$93,12,(Inputs!$G$93-AB$1*12)),0)*Inputs!$B$95</f>
        <v>0</v>
      </c>
      <c r="AD25" s="8">
        <f>MAX(IF(AD$1*12&lt;=Inputs!$G$93,12,(Inputs!$G$93-AC$1*12)),0)*Inputs!$B$95</f>
        <v>0</v>
      </c>
      <c r="AE25" s="8">
        <f>MAX(IF(AE$1*12&lt;=Inputs!$G$93,12,(Inputs!$G$93-AD$1*12)),0)*Inputs!$B$95</f>
        <v>0</v>
      </c>
      <c r="AF25" s="8">
        <f>MAX(IF(AF$1*12&lt;=Inputs!$G$93,12,(Inputs!$G$93-AE$1*12)),0)*Inputs!$B$95</f>
        <v>0</v>
      </c>
      <c r="AG25" s="8">
        <f>MAX(IF(AG$1*12&lt;=Inputs!$G$93,12,(Inputs!$G$93-AF$1*12)),0)*Inputs!$B$95</f>
        <v>0</v>
      </c>
      <c r="AH25" s="8">
        <f>MAX(IF(AH$1*12&lt;=Inputs!$G$93,12,(Inputs!$G$93-AG$1*12)),0)*Inputs!$B$95</f>
        <v>0</v>
      </c>
      <c r="AI25" s="8">
        <f>MAX(IF(AI$1*12&lt;=Inputs!$G$93,12,(Inputs!$G$93-AH$1*12)),0)*Inputs!$B$95</f>
        <v>0</v>
      </c>
      <c r="AJ25" s="8">
        <f>MAX(IF(AJ$1*12&lt;=Inputs!$G$93,12,(Inputs!$G$93-AI$1*12)),0)*Inputs!$B$95</f>
        <v>0</v>
      </c>
      <c r="AK25" s="8">
        <f>MAX(IF(AK$1*12&lt;=Inputs!$G$93,12,(Inputs!$G$93-AJ$1*12)),0)*Inputs!$B$95</f>
        <v>0</v>
      </c>
      <c r="AL25" s="8">
        <f>MAX(IF(AL$1*12&lt;=Inputs!$G$93,12,(Inputs!$G$93-AK$1*12)),0)*Inputs!$B$95</f>
        <v>0</v>
      </c>
      <c r="AM25" s="8">
        <f>MAX(IF(AM$1*12&lt;=Inputs!$G$93,12,(Inputs!$G$93-AL$1*12)),0)*Inputs!$B$95</f>
        <v>0</v>
      </c>
    </row>
    <row r="26" spans="1:39" x14ac:dyDescent="0.2">
      <c r="A26" s="4" t="str">
        <f>TEXT(Inputs!$B$70,"")</f>
        <v>Qormi</v>
      </c>
      <c r="C26" s="8">
        <f>MAX(IF(C$1*12&lt;=Inputs!$G$98,12,(Inputs!$G$98-B$1*12)),0)*Inputs!$B$100</f>
        <v>3000</v>
      </c>
      <c r="D26" s="8">
        <f>MAX(IF(D$1*12&lt;=Inputs!$G$98,12,(Inputs!$G$98-C$1*12)),0)*Inputs!$B$100</f>
        <v>3000</v>
      </c>
      <c r="E26" s="8">
        <f>MAX(IF(E$1*12&lt;=Inputs!$G$98,12,(Inputs!$G$98-D$1*12)),0)*Inputs!$B$100</f>
        <v>3000</v>
      </c>
      <c r="F26" s="8">
        <f>MAX(IF(F$1*12&lt;=Inputs!$G$98,12,(Inputs!$G$98-E$1*12)),0)*Inputs!$B$100</f>
        <v>3000</v>
      </c>
      <c r="G26" s="8">
        <f>MAX(IF(G$1*12&lt;=Inputs!$G$98,12,(Inputs!$G$98-F$1*12)),0)*Inputs!$B$100</f>
        <v>3000</v>
      </c>
      <c r="H26" s="8">
        <f>MAX(IF(H$1*12&lt;=Inputs!$G$98,12,(Inputs!$G$98-G$1*12)),0)*Inputs!$B$100</f>
        <v>2296.8596856502154</v>
      </c>
      <c r="I26" s="8">
        <f>MAX(IF(I$1*12&lt;=Inputs!$G$98,12,(Inputs!$G$98-H$1*12)),0)*Inputs!$B$100</f>
        <v>0</v>
      </c>
      <c r="J26" s="8">
        <f>MAX(IF(J$1*12&lt;=Inputs!$G$98,12,(Inputs!$G$98-I$1*12)),0)*Inputs!$B$100</f>
        <v>0</v>
      </c>
      <c r="K26" s="8">
        <f>MAX(IF(K$1*12&lt;=Inputs!$G$98,12,(Inputs!$G$98-J$1*12)),0)*Inputs!$B$100</f>
        <v>0</v>
      </c>
      <c r="L26" s="8">
        <f>MAX(IF(L$1*12&lt;=Inputs!$G$98,12,(Inputs!$G$98-K$1*12)),0)*Inputs!$B$100</f>
        <v>0</v>
      </c>
      <c r="M26" s="8">
        <f>MAX(IF(M$1*12&lt;=Inputs!$G$98,12,(Inputs!$G$98-L$1*12)),0)*Inputs!$B$100</f>
        <v>0</v>
      </c>
      <c r="N26" s="8">
        <f>MAX(IF(N$1*12&lt;=Inputs!$G$98,12,(Inputs!$G$98-M$1*12)),0)*Inputs!$B$100</f>
        <v>0</v>
      </c>
      <c r="O26" s="8">
        <f>MAX(IF(O$1*12&lt;=Inputs!$G$98,12,(Inputs!$G$98-N$1*12)),0)*Inputs!$B$100</f>
        <v>0</v>
      </c>
      <c r="P26" s="8">
        <f>MAX(IF(P$1*12&lt;=Inputs!$G$98,12,(Inputs!$G$98-O$1*12)),0)*Inputs!$B$100</f>
        <v>0</v>
      </c>
      <c r="Q26" s="8">
        <f>MAX(IF(Q$1*12&lt;=Inputs!$G$98,12,(Inputs!$G$98-P$1*12)),0)*Inputs!$B$100</f>
        <v>0</v>
      </c>
      <c r="R26" s="8">
        <f>MAX(IF(R$1*12&lt;=Inputs!$G$98,12,(Inputs!$G$98-Q$1*12)),0)*Inputs!$B$100</f>
        <v>0</v>
      </c>
      <c r="S26" s="8">
        <f>MAX(IF(S$1*12&lt;=Inputs!$G$98,12,(Inputs!$G$98-R$1*12)),0)*Inputs!$B$100</f>
        <v>0</v>
      </c>
      <c r="T26" s="8">
        <f>MAX(IF(T$1*12&lt;=Inputs!$G$98,12,(Inputs!$G$98-S$1*12)),0)*Inputs!$B$100</f>
        <v>0</v>
      </c>
      <c r="U26" s="8">
        <f>MAX(IF(U$1*12&lt;=Inputs!$G$98,12,(Inputs!$G$98-T$1*12)),0)*Inputs!$B$100</f>
        <v>0</v>
      </c>
      <c r="V26" s="8">
        <f>MAX(IF(V$1*12&lt;=Inputs!$G$98,12,(Inputs!$G$98-U$1*12)),0)*Inputs!$B$100</f>
        <v>0</v>
      </c>
      <c r="W26" s="8">
        <f>MAX(IF(W$1*12&lt;=Inputs!$G$98,12,(Inputs!$G$98-V$1*12)),0)*Inputs!$B$100</f>
        <v>0</v>
      </c>
      <c r="X26" s="8">
        <f>MAX(IF(X$1*12&lt;=Inputs!$G$98,12,(Inputs!$G$98-W$1*12)),0)*Inputs!$B$100</f>
        <v>0</v>
      </c>
      <c r="Y26" s="8">
        <f>MAX(IF(Y$1*12&lt;=Inputs!$G$98,12,(Inputs!$G$98-X$1*12)),0)*Inputs!$B$100</f>
        <v>0</v>
      </c>
      <c r="Z26" s="8">
        <f>MAX(IF(Z$1*12&lt;=Inputs!$G$98,12,(Inputs!$G$98-Y$1*12)),0)*Inputs!$B$100</f>
        <v>0</v>
      </c>
      <c r="AA26" s="8">
        <f>MAX(IF(AA$1*12&lt;=Inputs!$G$98,12,(Inputs!$G$98-Z$1*12)),0)*Inputs!$B$100</f>
        <v>0</v>
      </c>
      <c r="AB26" s="8">
        <f>MAX(IF(AB$1*12&lt;=Inputs!$G$98,12,(Inputs!$G$98-AA$1*12)),0)*Inputs!$B$100</f>
        <v>0</v>
      </c>
      <c r="AC26" s="8">
        <f>MAX(IF(AC$1*12&lt;=Inputs!$G$98,12,(Inputs!$G$98-AB$1*12)),0)*Inputs!$B$100</f>
        <v>0</v>
      </c>
      <c r="AD26" s="8">
        <f>MAX(IF(AD$1*12&lt;=Inputs!$G$98,12,(Inputs!$G$98-AC$1*12)),0)*Inputs!$B$100</f>
        <v>0</v>
      </c>
      <c r="AE26" s="8">
        <f>MAX(IF(AE$1*12&lt;=Inputs!$G$98,12,(Inputs!$G$98-AD$1*12)),0)*Inputs!$B$100</f>
        <v>0</v>
      </c>
      <c r="AF26" s="8">
        <f>MAX(IF(AF$1*12&lt;=Inputs!$G$98,12,(Inputs!$G$98-AE$1*12)),0)*Inputs!$B$100</f>
        <v>0</v>
      </c>
      <c r="AG26" s="8">
        <f>MAX(IF(AG$1*12&lt;=Inputs!$G$98,12,(Inputs!$G$98-AF$1*12)),0)*Inputs!$B$100</f>
        <v>0</v>
      </c>
      <c r="AH26" s="8">
        <f>MAX(IF(AH$1*12&lt;=Inputs!$G$98,12,(Inputs!$G$98-AG$1*12)),0)*Inputs!$B$100</f>
        <v>0</v>
      </c>
      <c r="AI26" s="8">
        <f>MAX(IF(AI$1*12&lt;=Inputs!$G$98,12,(Inputs!$G$98-AH$1*12)),0)*Inputs!$B$100</f>
        <v>0</v>
      </c>
      <c r="AJ26" s="8">
        <f>MAX(IF(AJ$1*12&lt;=Inputs!$G$98,12,(Inputs!$G$98-AI$1*12)),0)*Inputs!$B$100</f>
        <v>0</v>
      </c>
      <c r="AK26" s="8">
        <f>MAX(IF(AK$1*12&lt;=Inputs!$G$98,12,(Inputs!$G$98-AJ$1*12)),0)*Inputs!$B$100</f>
        <v>0</v>
      </c>
      <c r="AL26" s="8">
        <f>MAX(IF(AL$1*12&lt;=Inputs!$G$98,12,(Inputs!$G$98-AK$1*12)),0)*Inputs!$B$100</f>
        <v>0</v>
      </c>
      <c r="AM26" s="8">
        <f>MAX(IF(AM$1*12&lt;=Inputs!$G$98,12,(Inputs!$G$98-AL$1*12)),0)*Inputs!$B$100</f>
        <v>0</v>
      </c>
    </row>
    <row r="27" spans="1:39" x14ac:dyDescent="0.2">
      <c r="A27" s="5" t="s">
        <v>39</v>
      </c>
      <c r="C27" s="8">
        <f>MAX(IF(C$1*12&lt;=Inputs!$G$103,12,(Inputs!$G$103-B$1*12)),0)*Inputs!$B$105</f>
        <v>600</v>
      </c>
      <c r="D27" s="8">
        <f>MAX(IF(D$1*12&lt;=Inputs!$G$103,12,(Inputs!$G$103-C$1*12)),0)*Inputs!$B$105</f>
        <v>600</v>
      </c>
      <c r="E27" s="8">
        <f>MAX(IF(E$1*12&lt;=Inputs!$G$103,12,(Inputs!$G$103-D$1*12)),0)*Inputs!$B$105</f>
        <v>600</v>
      </c>
      <c r="F27" s="8">
        <f>MAX(IF(F$1*12&lt;=Inputs!$G$103,12,(Inputs!$G$103-E$1*12)),0)*Inputs!$B$105</f>
        <v>600</v>
      </c>
      <c r="G27" s="8">
        <f>MAX(IF(G$1*12&lt;=Inputs!$G$103,12,(Inputs!$G$103-F$1*12)),0)*Inputs!$B$105</f>
        <v>600</v>
      </c>
      <c r="H27" s="8">
        <f>MAX(IF(H$1*12&lt;=Inputs!$G$103,12,(Inputs!$G$103-G$1*12)),0)*Inputs!$B$105</f>
        <v>600</v>
      </c>
      <c r="I27" s="8">
        <f>MAX(IF(I$1*12&lt;=Inputs!$G$103,12,(Inputs!$G$103-H$1*12)),0)*Inputs!$B$105</f>
        <v>600</v>
      </c>
      <c r="J27" s="8">
        <f>MAX(IF(J$1*12&lt;=Inputs!$G$103,12,(Inputs!$G$103-I$1*12)),0)*Inputs!$B$105</f>
        <v>600</v>
      </c>
      <c r="K27" s="8">
        <f>MAX(IF(K$1*12&lt;=Inputs!$G$103,12,(Inputs!$G$103-J$1*12)),0)*Inputs!$B$105</f>
        <v>321.016262575219</v>
      </c>
      <c r="L27" s="8">
        <f>MAX(IF(L$1*12&lt;=Inputs!$G$103,12,(Inputs!$G$103-K$1*12)),0)*Inputs!$B$105</f>
        <v>0</v>
      </c>
      <c r="M27" s="8">
        <f>MAX(IF(M$1*12&lt;=Inputs!$G$103,12,(Inputs!$G$103-L$1*12)),0)*Inputs!$B$105</f>
        <v>0</v>
      </c>
      <c r="N27" s="8">
        <f>MAX(IF(N$1*12&lt;=Inputs!$G$103,12,(Inputs!$G$103-M$1*12)),0)*Inputs!$B$105</f>
        <v>0</v>
      </c>
      <c r="O27" s="8">
        <f>MAX(IF(O$1*12&lt;=Inputs!$G$103,12,(Inputs!$G$103-N$1*12)),0)*Inputs!$B$105</f>
        <v>0</v>
      </c>
      <c r="P27" s="8">
        <f>MAX(IF(P$1*12&lt;=Inputs!$G$103,12,(Inputs!$G$103-O$1*12)),0)*Inputs!$B$105</f>
        <v>0</v>
      </c>
      <c r="Q27" s="8">
        <f>MAX(IF(Q$1*12&lt;=Inputs!$G$103,12,(Inputs!$G$103-P$1*12)),0)*Inputs!$B$105</f>
        <v>0</v>
      </c>
      <c r="R27" s="8">
        <f>MAX(IF(R$1*12&lt;=Inputs!$G$103,12,(Inputs!$G$103-Q$1*12)),0)*Inputs!$B$105</f>
        <v>0</v>
      </c>
      <c r="S27" s="8">
        <f>MAX(IF(S$1*12&lt;=Inputs!$G$103,12,(Inputs!$G$103-R$1*12)),0)*Inputs!$B$105</f>
        <v>0</v>
      </c>
      <c r="T27" s="8">
        <f>MAX(IF(T$1*12&lt;=Inputs!$G$103,12,(Inputs!$G$103-S$1*12)),0)*Inputs!$B$105</f>
        <v>0</v>
      </c>
      <c r="U27" s="8">
        <f>MAX(IF(U$1*12&lt;=Inputs!$G$103,12,(Inputs!$G$103-T$1*12)),0)*Inputs!$B$105</f>
        <v>0</v>
      </c>
      <c r="V27" s="8">
        <f>MAX(IF(V$1*12&lt;=Inputs!$G$103,12,(Inputs!$G$103-U$1*12)),0)*Inputs!$B$105</f>
        <v>0</v>
      </c>
      <c r="W27" s="8">
        <f>MAX(IF(W$1*12&lt;=Inputs!$G$103,12,(Inputs!$G$103-V$1*12)),0)*Inputs!$B$105</f>
        <v>0</v>
      </c>
      <c r="X27" s="8">
        <f>MAX(IF(X$1*12&lt;=Inputs!$G$103,12,(Inputs!$G$103-W$1*12)),0)*Inputs!$B$105</f>
        <v>0</v>
      </c>
      <c r="Y27" s="8">
        <f>MAX(IF(Y$1*12&lt;=Inputs!$G$103,12,(Inputs!$G$103-X$1*12)),0)*Inputs!$B$105</f>
        <v>0</v>
      </c>
      <c r="Z27" s="8">
        <f>MAX(IF(Z$1*12&lt;=Inputs!$G$103,12,(Inputs!$G$103-Y$1*12)),0)*Inputs!$B$105</f>
        <v>0</v>
      </c>
      <c r="AA27" s="8">
        <f>MAX(IF(AA$1*12&lt;=Inputs!$G$103,12,(Inputs!$G$103-Z$1*12)),0)*Inputs!$B$105</f>
        <v>0</v>
      </c>
      <c r="AB27" s="8">
        <f>MAX(IF(AB$1*12&lt;=Inputs!$G$103,12,(Inputs!$G$103-AA$1*12)),0)*Inputs!$B$105</f>
        <v>0</v>
      </c>
      <c r="AC27" s="8">
        <f>MAX(IF(AC$1*12&lt;=Inputs!$G$103,12,(Inputs!$G$103-AB$1*12)),0)*Inputs!$B$105</f>
        <v>0</v>
      </c>
      <c r="AD27" s="8">
        <f>MAX(IF(AD$1*12&lt;=Inputs!$G$103,12,(Inputs!$G$103-AC$1*12)),0)*Inputs!$B$105</f>
        <v>0</v>
      </c>
      <c r="AE27" s="8">
        <f>MAX(IF(AE$1*12&lt;=Inputs!$G$103,12,(Inputs!$G$103-AD$1*12)),0)*Inputs!$B$105</f>
        <v>0</v>
      </c>
      <c r="AF27" s="8">
        <f>MAX(IF(AF$1*12&lt;=Inputs!$G$103,12,(Inputs!$G$103-AE$1*12)),0)*Inputs!$B$105</f>
        <v>0</v>
      </c>
      <c r="AG27" s="8">
        <f>MAX(IF(AG$1*12&lt;=Inputs!$G$103,12,(Inputs!$G$103-AF$1*12)),0)*Inputs!$B$105</f>
        <v>0</v>
      </c>
      <c r="AH27" s="8">
        <f>MAX(IF(AH$1*12&lt;=Inputs!$G$103,12,(Inputs!$G$103-AG$1*12)),0)*Inputs!$B$105</f>
        <v>0</v>
      </c>
      <c r="AI27" s="8">
        <f>MAX(IF(AI$1*12&lt;=Inputs!$G$103,12,(Inputs!$G$103-AH$1*12)),0)*Inputs!$B$105</f>
        <v>0</v>
      </c>
      <c r="AJ27" s="8">
        <f>MAX(IF(AJ$1*12&lt;=Inputs!$G$103,12,(Inputs!$G$103-AI$1*12)),0)*Inputs!$B$105</f>
        <v>0</v>
      </c>
      <c r="AK27" s="8">
        <f>MAX(IF(AK$1*12&lt;=Inputs!$G$103,12,(Inputs!$G$103-AJ$1*12)),0)*Inputs!$B$105</f>
        <v>0</v>
      </c>
      <c r="AL27" s="8">
        <f>MAX(IF(AL$1*12&lt;=Inputs!$G$103,12,(Inputs!$G$103-AK$1*12)),0)*Inputs!$B$105</f>
        <v>0</v>
      </c>
      <c r="AM27" s="8">
        <f>MAX(IF(AM$1*12&lt;=Inputs!$G$103,12,(Inputs!$G$103-AL$1*12)),0)*Inputs!$B$105</f>
        <v>0</v>
      </c>
    </row>
    <row r="28" spans="1:39" x14ac:dyDescent="0.2">
      <c r="A28" s="5" t="s">
        <v>58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</row>
    <row r="29" spans="1:39" x14ac:dyDescent="0.2">
      <c r="A29" s="4" t="str">
        <f>TEXT(Inputs!B33,"")</f>
        <v>John</v>
      </c>
      <c r="B29" s="9"/>
      <c r="C29" s="8">
        <f>IF(Inputs!$B$35&gt;=C$1,Inputs!$B$34,0)*(1+inf)^B$1</f>
        <v>2000</v>
      </c>
      <c r="D29" s="8">
        <f>IF(Inputs!$B$35&gt;=D$1,Inputs!$B$34,0)*(1+inf)^C$1</f>
        <v>2050</v>
      </c>
      <c r="E29" s="8">
        <f>IF(Inputs!$B$35&gt;=E$1,Inputs!$B$34,0)*(1+inf)^D$1</f>
        <v>2101.25</v>
      </c>
      <c r="F29" s="8">
        <f>IF(Inputs!$B$35&gt;=F$1,Inputs!$B$34,0)*(1+inf)^E$1</f>
        <v>0</v>
      </c>
      <c r="G29" s="8">
        <f>IF(Inputs!$B$35&gt;=G$1,Inputs!$B$34,0)*(1+inf)^F$1</f>
        <v>0</v>
      </c>
      <c r="H29" s="8">
        <f>IF(Inputs!$B$35&gt;=H$1,Inputs!$B$34,0)*(1+inf)^G$1</f>
        <v>0</v>
      </c>
      <c r="I29" s="8">
        <f>IF(Inputs!$B$35&gt;=I$1,Inputs!$B$34,0)*(1+inf)^H$1</f>
        <v>0</v>
      </c>
      <c r="J29" s="8">
        <f>IF(Inputs!$B$35&gt;=J$1,Inputs!$B$34,0)*(1+inf)^I$1</f>
        <v>0</v>
      </c>
      <c r="K29" s="8">
        <f>IF(Inputs!$B$35&gt;=K$1,Inputs!$B$34,0)*(1+inf)^J$1</f>
        <v>0</v>
      </c>
      <c r="L29" s="8">
        <f>IF(Inputs!$B$35&gt;=L$1,Inputs!$B$34,0)*(1+inf)^K$1</f>
        <v>0</v>
      </c>
      <c r="M29" s="8">
        <f>IF(Inputs!$B$35&gt;=M$1,Inputs!$B$34,0)*(1+inf)^L$1</f>
        <v>0</v>
      </c>
      <c r="N29" s="8">
        <f>IF(Inputs!$B$35&gt;=N$1,Inputs!$B$34,0)*(1+inf)^M$1</f>
        <v>0</v>
      </c>
      <c r="O29" s="8">
        <f>IF(Inputs!$B$35&gt;=O$1,Inputs!$B$34,0)*(1+inf)^N$1</f>
        <v>0</v>
      </c>
      <c r="P29" s="8">
        <f>IF(Inputs!$B$35&gt;=P$1,Inputs!$B$34,0)*(1+inf)^O$1</f>
        <v>0</v>
      </c>
      <c r="Q29" s="8">
        <f>IF(Inputs!$B$35&gt;=Q$1,Inputs!$B$34,0)*(1+inf)^P$1</f>
        <v>0</v>
      </c>
      <c r="R29" s="8">
        <f>IF(Inputs!$B$35&gt;=R$1,Inputs!$B$34,0)*(1+inf)^Q$1</f>
        <v>0</v>
      </c>
      <c r="S29" s="8">
        <f>IF(Inputs!$B$35&gt;=S$1,Inputs!$B$34,0)*(1+inf)^R$1</f>
        <v>0</v>
      </c>
      <c r="T29" s="8">
        <f>IF(Inputs!$B$35&gt;=T$1,Inputs!$B$34,0)*(1+inf)^S$1</f>
        <v>0</v>
      </c>
      <c r="U29" s="8">
        <f>IF(Inputs!$B$35&gt;=U$1,Inputs!$B$34,0)*(1+inf)^T$1</f>
        <v>0</v>
      </c>
      <c r="V29" s="8">
        <f>IF(Inputs!$B$35&gt;=V$1,Inputs!$B$34,0)*(1+inf)^U$1</f>
        <v>0</v>
      </c>
      <c r="W29" s="8">
        <f>IF(Inputs!$B$35&gt;=W$1,Inputs!$B$34,0)*(1+inf)^V$1</f>
        <v>0</v>
      </c>
      <c r="X29" s="8">
        <f>IF(Inputs!$B$35&gt;=X$1,Inputs!$B$34,0)*(1+inf)^W$1</f>
        <v>0</v>
      </c>
      <c r="Y29" s="8">
        <f>IF(Inputs!$B$35&gt;=Y$1,Inputs!$B$34,0)*(1+inf)^X$1</f>
        <v>0</v>
      </c>
      <c r="Z29" s="8">
        <f>IF(Inputs!$B$35&gt;=Z$1,Inputs!$B$34,0)*(1+inf)^Y$1</f>
        <v>0</v>
      </c>
      <c r="AA29" s="8">
        <f>IF(Inputs!$B$35&gt;=AA$1,Inputs!$B$34,0)*(1+inf)^Z$1</f>
        <v>0</v>
      </c>
      <c r="AB29" s="8">
        <f>IF(Inputs!$B$35&gt;=AB$1,Inputs!$B$34,0)*(1+inf)^AA$1</f>
        <v>0</v>
      </c>
      <c r="AC29" s="8">
        <f>IF(Inputs!$B$35&gt;=AC$1,Inputs!$B$34,0)*(1+inf)^AB$1</f>
        <v>0</v>
      </c>
      <c r="AD29" s="8">
        <f>IF(Inputs!$B$35&gt;=AD$1,Inputs!$B$34,0)*(1+inf)^AC$1</f>
        <v>0</v>
      </c>
      <c r="AE29" s="8">
        <f>IF(Inputs!$B$35&gt;=AE$1,Inputs!$B$34,0)*(1+inf)^AD$1</f>
        <v>0</v>
      </c>
      <c r="AF29" s="8">
        <f>IF(Inputs!$B$35&gt;=AF$1,Inputs!$B$34,0)*(1+inf)^AE$1</f>
        <v>0</v>
      </c>
      <c r="AG29" s="8">
        <f>IF(Inputs!$B$35&gt;=AG$1,Inputs!$B$34,0)*(1+inf)^AF$1</f>
        <v>0</v>
      </c>
      <c r="AH29" s="8">
        <f>IF(Inputs!$B$35&gt;=AH$1,Inputs!$B$34,0)*(1+inf)^AG$1</f>
        <v>0</v>
      </c>
      <c r="AI29" s="8">
        <f>IF(Inputs!$B$35&gt;=AI$1,Inputs!$B$34,0)*(1+inf)^AH$1</f>
        <v>0</v>
      </c>
      <c r="AJ29" s="8">
        <f>IF(Inputs!$B$35&gt;=AJ$1,Inputs!$B$34,0)*(1+inf)^AI$1</f>
        <v>0</v>
      </c>
      <c r="AK29" s="8">
        <f>IF(Inputs!$B$35&gt;=AK$1,Inputs!$B$34,0)*(1+inf)^AJ$1</f>
        <v>0</v>
      </c>
      <c r="AL29" s="8">
        <f>IF(Inputs!$B$35&gt;=AL$1,Inputs!$B$34,0)*(1+inf)^AK$1</f>
        <v>0</v>
      </c>
      <c r="AM29" s="8">
        <f>IF(Inputs!$B$35&gt;=AM$1,Inputs!$B$34,0)*(1+inf)^AL$1</f>
        <v>0</v>
      </c>
    </row>
    <row r="30" spans="1:39" x14ac:dyDescent="0.2">
      <c r="A30" s="4" t="str">
        <f>TEXT(Inputs!B38,"")</f>
        <v>Jack</v>
      </c>
      <c r="B30" s="9"/>
      <c r="C30" s="8">
        <f>IF(Inputs!$B$40&gt;=C$1,Inputs!$B$39,0)*(1+inf)^B$1</f>
        <v>1000</v>
      </c>
      <c r="D30" s="8">
        <f>IF(Inputs!$B$40&gt;=D$1,Inputs!$B$39,0)*(1+inf)^C$1</f>
        <v>1025</v>
      </c>
      <c r="E30" s="8">
        <f>IF(Inputs!$B$40&gt;=E$1,Inputs!$B$39,0)*(1+inf)^D$1</f>
        <v>1050.625</v>
      </c>
      <c r="F30" s="8">
        <f>IF(Inputs!$B$40&gt;=F$1,Inputs!$B$39,0)*(1+inf)^E$1</f>
        <v>1076.8906249999998</v>
      </c>
      <c r="G30" s="8">
        <f>IF(Inputs!$B$40&gt;=G$1,Inputs!$B$39,0)*(1+inf)^F$1</f>
        <v>1103.8128906249997</v>
      </c>
      <c r="H30" s="8">
        <f>IF(Inputs!$B$40&gt;=H$1,Inputs!$B$39,0)*(1+inf)^G$1</f>
        <v>0</v>
      </c>
      <c r="I30" s="8">
        <f>IF(Inputs!$B$40&gt;=I$1,Inputs!$B$39,0)*(1+inf)^H$1</f>
        <v>0</v>
      </c>
      <c r="J30" s="8">
        <f>IF(Inputs!$B$40&gt;=J$1,Inputs!$B$39,0)*(1+inf)^I$1</f>
        <v>0</v>
      </c>
      <c r="K30" s="8">
        <f>IF(Inputs!$B$40&gt;=K$1,Inputs!$B$39,0)*(1+inf)^J$1</f>
        <v>0</v>
      </c>
      <c r="L30" s="8">
        <f>IF(Inputs!$B$40&gt;=L$1,Inputs!$B$39,0)*(1+inf)^K$1</f>
        <v>0</v>
      </c>
      <c r="M30" s="8">
        <f>IF(Inputs!$B$40&gt;=M$1,Inputs!$B$39,0)*(1+inf)^L$1</f>
        <v>0</v>
      </c>
      <c r="N30" s="8">
        <f>IF(Inputs!$B$40&gt;=N$1,Inputs!$B$39,0)*(1+inf)^M$1</f>
        <v>0</v>
      </c>
      <c r="O30" s="8">
        <f>IF(Inputs!$B$40&gt;=O$1,Inputs!$B$39,0)*(1+inf)^N$1</f>
        <v>0</v>
      </c>
      <c r="P30" s="8">
        <f>IF(Inputs!$B$40&gt;=P$1,Inputs!$B$39,0)*(1+inf)^O$1</f>
        <v>0</v>
      </c>
      <c r="Q30" s="8">
        <f>IF(Inputs!$B$40&gt;=Q$1,Inputs!$B$39,0)*(1+inf)^P$1</f>
        <v>0</v>
      </c>
      <c r="R30" s="8">
        <f>IF(Inputs!$B$40&gt;=R$1,Inputs!$B$39,0)*(1+inf)^Q$1</f>
        <v>0</v>
      </c>
      <c r="S30" s="8">
        <f>IF(Inputs!$B$40&gt;=S$1,Inputs!$B$39,0)*(1+inf)^R$1</f>
        <v>0</v>
      </c>
      <c r="T30" s="8">
        <f>IF(Inputs!$B$40&gt;=T$1,Inputs!$B$39,0)*(1+inf)^S$1</f>
        <v>0</v>
      </c>
      <c r="U30" s="8">
        <f>IF(Inputs!$B$40&gt;=U$1,Inputs!$B$39,0)*(1+inf)^T$1</f>
        <v>0</v>
      </c>
      <c r="V30" s="8">
        <f>IF(Inputs!$B$40&gt;=V$1,Inputs!$B$39,0)*(1+inf)^U$1</f>
        <v>0</v>
      </c>
      <c r="W30" s="8">
        <f>IF(Inputs!$B$40&gt;=W$1,Inputs!$B$39,0)*(1+inf)^V$1</f>
        <v>0</v>
      </c>
      <c r="X30" s="8">
        <f>IF(Inputs!$B$40&gt;=X$1,Inputs!$B$39,0)*(1+inf)^W$1</f>
        <v>0</v>
      </c>
      <c r="Y30" s="8">
        <f>IF(Inputs!$B$40&gt;=Y$1,Inputs!$B$39,0)*(1+inf)^X$1</f>
        <v>0</v>
      </c>
      <c r="Z30" s="8">
        <f>IF(Inputs!$B$40&gt;=Z$1,Inputs!$B$39,0)*(1+inf)^Y$1</f>
        <v>0</v>
      </c>
      <c r="AA30" s="8">
        <f>IF(Inputs!$B$40&gt;=AA$1,Inputs!$B$39,0)*(1+inf)^Z$1</f>
        <v>0</v>
      </c>
      <c r="AB30" s="8">
        <f>IF(Inputs!$B$40&gt;=AB$1,Inputs!$B$39,0)*(1+inf)^AA$1</f>
        <v>0</v>
      </c>
      <c r="AC30" s="8">
        <f>IF(Inputs!$B$40&gt;=AC$1,Inputs!$B$39,0)*(1+inf)^AB$1</f>
        <v>0</v>
      </c>
      <c r="AD30" s="8">
        <f>IF(Inputs!$B$40&gt;=AD$1,Inputs!$B$39,0)*(1+inf)^AC$1</f>
        <v>0</v>
      </c>
      <c r="AE30" s="8">
        <f>IF(Inputs!$B$40&gt;=AE$1,Inputs!$B$39,0)*(1+inf)^AD$1</f>
        <v>0</v>
      </c>
      <c r="AF30" s="8">
        <f>IF(Inputs!$B$40&gt;=AF$1,Inputs!$B$39,0)*(1+inf)^AE$1</f>
        <v>0</v>
      </c>
      <c r="AG30" s="8">
        <f>IF(Inputs!$B$40&gt;=AG$1,Inputs!$B$39,0)*(1+inf)^AF$1</f>
        <v>0</v>
      </c>
      <c r="AH30" s="8">
        <f>IF(Inputs!$B$40&gt;=AH$1,Inputs!$B$39,0)*(1+inf)^AG$1</f>
        <v>0</v>
      </c>
      <c r="AI30" s="8">
        <f>IF(Inputs!$B$40&gt;=AI$1,Inputs!$B$39,0)*(1+inf)^AH$1</f>
        <v>0</v>
      </c>
      <c r="AJ30" s="8">
        <f>IF(Inputs!$B$40&gt;=AJ$1,Inputs!$B$39,0)*(1+inf)^AI$1</f>
        <v>0</v>
      </c>
      <c r="AK30" s="8">
        <f>IF(Inputs!$B$40&gt;=AK$1,Inputs!$B$39,0)*(1+inf)^AJ$1</f>
        <v>0</v>
      </c>
      <c r="AL30" s="8">
        <f>IF(Inputs!$B$40&gt;=AL$1,Inputs!$B$39,0)*(1+inf)^AK$1</f>
        <v>0</v>
      </c>
      <c r="AM30" s="8">
        <f>IF(Inputs!$B$40&gt;=AM$1,Inputs!$B$39,0)*(1+inf)^AL$1</f>
        <v>0</v>
      </c>
    </row>
    <row r="31" spans="1:39" x14ac:dyDescent="0.2">
      <c r="A31" s="4" t="str">
        <f>TEXT(Inputs!B43,"")</f>
        <v>Bill</v>
      </c>
      <c r="B31" s="9"/>
      <c r="C31" s="8">
        <f>IF(Inputs!$B$45&gt;=C$1,Inputs!$B$44,0)*(1+inf)^B$1</f>
        <v>4000</v>
      </c>
      <c r="D31" s="8">
        <f>IF(Inputs!$B$45&gt;=D$1,Inputs!$B$44,0)*(1+inf)^C$1</f>
        <v>4100</v>
      </c>
      <c r="E31" s="8">
        <f>IF(Inputs!$B$45&gt;=E$1,Inputs!$B$44,0)*(1+inf)^D$1</f>
        <v>0</v>
      </c>
      <c r="F31" s="8">
        <f>IF(Inputs!$B$45&gt;=F$1,Inputs!$B$44,0)*(1+inf)^E$1</f>
        <v>0</v>
      </c>
      <c r="G31" s="8">
        <f>IF(Inputs!$B$45&gt;=G$1,Inputs!$B$44,0)*(1+inf)^F$1</f>
        <v>0</v>
      </c>
      <c r="H31" s="8">
        <f>IF(Inputs!$B$45&gt;=H$1,Inputs!$B$44,0)*(1+inf)^G$1</f>
        <v>0</v>
      </c>
      <c r="I31" s="8">
        <f>IF(Inputs!$B$45&gt;=I$1,Inputs!$B$44,0)*(1+inf)^H$1</f>
        <v>0</v>
      </c>
      <c r="J31" s="8">
        <f>IF(Inputs!$B$45&gt;=J$1,Inputs!$B$44,0)*(1+inf)^I$1</f>
        <v>0</v>
      </c>
      <c r="K31" s="8">
        <f>IF(Inputs!$B$45&gt;=K$1,Inputs!$B$44,0)*(1+inf)^J$1</f>
        <v>0</v>
      </c>
      <c r="L31" s="8">
        <f>IF(Inputs!$B$45&gt;=L$1,Inputs!$B$44,0)*(1+inf)^K$1</f>
        <v>0</v>
      </c>
      <c r="M31" s="8">
        <f>IF(Inputs!$B$45&gt;=M$1,Inputs!$B$44,0)*(1+inf)^L$1</f>
        <v>0</v>
      </c>
      <c r="N31" s="8">
        <f>IF(Inputs!$B$45&gt;=N$1,Inputs!$B$44,0)*(1+inf)^M$1</f>
        <v>0</v>
      </c>
      <c r="O31" s="8">
        <f>IF(Inputs!$B$45&gt;=O$1,Inputs!$B$44,0)*(1+inf)^N$1</f>
        <v>0</v>
      </c>
      <c r="P31" s="8">
        <f>IF(Inputs!$B$45&gt;=P$1,Inputs!$B$44,0)*(1+inf)^O$1</f>
        <v>0</v>
      </c>
      <c r="Q31" s="8">
        <f>IF(Inputs!$B$45&gt;=Q$1,Inputs!$B$44,0)*(1+inf)^P$1</f>
        <v>0</v>
      </c>
      <c r="R31" s="8">
        <f>IF(Inputs!$B$45&gt;=R$1,Inputs!$B$44,0)*(1+inf)^Q$1</f>
        <v>0</v>
      </c>
      <c r="S31" s="8">
        <f>IF(Inputs!$B$45&gt;=S$1,Inputs!$B$44,0)*(1+inf)^R$1</f>
        <v>0</v>
      </c>
      <c r="T31" s="8">
        <f>IF(Inputs!$B$45&gt;=T$1,Inputs!$B$44,0)*(1+inf)^S$1</f>
        <v>0</v>
      </c>
      <c r="U31" s="8">
        <f>IF(Inputs!$B$45&gt;=U$1,Inputs!$B$44,0)*(1+inf)^T$1</f>
        <v>0</v>
      </c>
      <c r="V31" s="8">
        <f>IF(Inputs!$B$45&gt;=V$1,Inputs!$B$44,0)*(1+inf)^U$1</f>
        <v>0</v>
      </c>
      <c r="W31" s="8">
        <f>IF(Inputs!$B$45&gt;=W$1,Inputs!$B$44,0)*(1+inf)^V$1</f>
        <v>0</v>
      </c>
      <c r="X31" s="8">
        <f>IF(Inputs!$B$45&gt;=X$1,Inputs!$B$44,0)*(1+inf)^W$1</f>
        <v>0</v>
      </c>
      <c r="Y31" s="8">
        <f>IF(Inputs!$B$45&gt;=Y$1,Inputs!$B$44,0)*(1+inf)^X$1</f>
        <v>0</v>
      </c>
      <c r="Z31" s="8">
        <f>IF(Inputs!$B$45&gt;=Z$1,Inputs!$B$44,0)*(1+inf)^Y$1</f>
        <v>0</v>
      </c>
      <c r="AA31" s="8">
        <f>IF(Inputs!$B$45&gt;=AA$1,Inputs!$B$44,0)*(1+inf)^Z$1</f>
        <v>0</v>
      </c>
      <c r="AB31" s="8">
        <f>IF(Inputs!$B$45&gt;=AB$1,Inputs!$B$44,0)*(1+inf)^AA$1</f>
        <v>0</v>
      </c>
      <c r="AC31" s="8">
        <f>IF(Inputs!$B$45&gt;=AC$1,Inputs!$B$44,0)*(1+inf)^AB$1</f>
        <v>0</v>
      </c>
      <c r="AD31" s="8">
        <f>IF(Inputs!$B$45&gt;=AD$1,Inputs!$B$44,0)*(1+inf)^AC$1</f>
        <v>0</v>
      </c>
      <c r="AE31" s="8">
        <f>IF(Inputs!$B$45&gt;=AE$1,Inputs!$B$44,0)*(1+inf)^AD$1</f>
        <v>0</v>
      </c>
      <c r="AF31" s="8">
        <f>IF(Inputs!$B$45&gt;=AF$1,Inputs!$B$44,0)*(1+inf)^AE$1</f>
        <v>0</v>
      </c>
      <c r="AG31" s="8">
        <f>IF(Inputs!$B$45&gt;=AG$1,Inputs!$B$44,0)*(1+inf)^AF$1</f>
        <v>0</v>
      </c>
      <c r="AH31" s="8">
        <f>IF(Inputs!$B$45&gt;=AH$1,Inputs!$B$44,0)*(1+inf)^AG$1</f>
        <v>0</v>
      </c>
      <c r="AI31" s="8">
        <f>IF(Inputs!$B$45&gt;=AI$1,Inputs!$B$44,0)*(1+inf)^AH$1</f>
        <v>0</v>
      </c>
      <c r="AJ31" s="8">
        <f>IF(Inputs!$B$45&gt;=AJ$1,Inputs!$B$44,0)*(1+inf)^AI$1</f>
        <v>0</v>
      </c>
      <c r="AK31" s="8">
        <f>IF(Inputs!$B$45&gt;=AK$1,Inputs!$B$44,0)*(1+inf)^AJ$1</f>
        <v>0</v>
      </c>
      <c r="AL31" s="8">
        <f>IF(Inputs!$B$45&gt;=AL$1,Inputs!$B$44,0)*(1+inf)^AK$1</f>
        <v>0</v>
      </c>
      <c r="AM31" s="8">
        <f>IF(Inputs!$B$45&gt;=AM$1,Inputs!$B$44,0)*(1+inf)^AL$1</f>
        <v>0</v>
      </c>
    </row>
    <row r="32" spans="1:39" x14ac:dyDescent="0.2">
      <c r="A32" s="4" t="s">
        <v>184</v>
      </c>
      <c r="B32" s="9"/>
      <c r="C32" s="8">
        <f>IF(Inputs!$B$50&gt;=C$1,Inputs!$B$49,0)*(1+inf)^B$1</f>
        <v>2500</v>
      </c>
      <c r="D32" s="8">
        <f>IF(Inputs!$B$50&gt;=D$1,Inputs!$B$49,0)*(1+inf)^C$1</f>
        <v>2562.5</v>
      </c>
      <c r="E32" s="8">
        <f>IF(Inputs!$B$50&gt;=E$1,Inputs!$B$49,0)*(1+inf)^D$1</f>
        <v>2626.5625</v>
      </c>
      <c r="F32" s="8">
        <f>IF(Inputs!$B$50&gt;=F$1,Inputs!$B$49,0)*(1+inf)^E$1</f>
        <v>0</v>
      </c>
      <c r="G32" s="8">
        <f>IF(Inputs!$B$50&gt;=G$1,Inputs!$B$49,0)*(1+inf)^F$1</f>
        <v>0</v>
      </c>
      <c r="H32" s="8">
        <f>IF(Inputs!$B$50&gt;=H$1,Inputs!$B$49,0)*(1+inf)^G$1</f>
        <v>0</v>
      </c>
      <c r="I32" s="8">
        <f>IF(Inputs!$B$50&gt;=I$1,Inputs!$B$49,0)*(1+inf)^H$1</f>
        <v>0</v>
      </c>
      <c r="J32" s="8">
        <f>IF(Inputs!$B$50&gt;=J$1,Inputs!$B$49,0)*(1+inf)^I$1</f>
        <v>0</v>
      </c>
      <c r="K32" s="8">
        <f>IF(Inputs!$B$50&gt;=K$1,Inputs!$B$49,0)*(1+inf)^J$1</f>
        <v>0</v>
      </c>
      <c r="L32" s="8">
        <f>IF(Inputs!$B$50&gt;=L$1,Inputs!$B$49,0)*(1+inf)^K$1</f>
        <v>0</v>
      </c>
      <c r="M32" s="8">
        <f>IF(Inputs!$B$50&gt;=M$1,Inputs!$B$49,0)*(1+inf)^L$1</f>
        <v>0</v>
      </c>
      <c r="N32" s="8">
        <f>IF(Inputs!$B$50&gt;=N$1,Inputs!$B$49,0)*(1+inf)^M$1</f>
        <v>0</v>
      </c>
      <c r="O32" s="8">
        <f>IF(Inputs!$B$50&gt;=O$1,Inputs!$B$49,0)*(1+inf)^N$1</f>
        <v>0</v>
      </c>
      <c r="P32" s="8">
        <f>IF(Inputs!$B$50&gt;=P$1,Inputs!$B$49,0)*(1+inf)^O$1</f>
        <v>0</v>
      </c>
      <c r="Q32" s="8">
        <f>IF(Inputs!$B$50&gt;=Q$1,Inputs!$B$49,0)*(1+inf)^P$1</f>
        <v>0</v>
      </c>
      <c r="R32" s="8">
        <f>IF(Inputs!$B$50&gt;=R$1,Inputs!$B$49,0)*(1+inf)^Q$1</f>
        <v>0</v>
      </c>
      <c r="S32" s="8">
        <f>IF(Inputs!$B$50&gt;=S$1,Inputs!$B$49,0)*(1+inf)^R$1</f>
        <v>0</v>
      </c>
      <c r="T32" s="8">
        <f>IF(Inputs!$B$50&gt;=T$1,Inputs!$B$49,0)*(1+inf)^S$1</f>
        <v>0</v>
      </c>
      <c r="U32" s="8">
        <f>IF(Inputs!$B$50&gt;=U$1,Inputs!$B$49,0)*(1+inf)^T$1</f>
        <v>0</v>
      </c>
      <c r="V32" s="8">
        <f>IF(Inputs!$B$50&gt;=V$1,Inputs!$B$49,0)*(1+inf)^U$1</f>
        <v>0</v>
      </c>
      <c r="W32" s="8">
        <f>IF(Inputs!$B$50&gt;=W$1,Inputs!$B$49,0)*(1+inf)^V$1</f>
        <v>0</v>
      </c>
      <c r="X32" s="8">
        <f>IF(Inputs!$B$50&gt;=X$1,Inputs!$B$49,0)*(1+inf)^W$1</f>
        <v>0</v>
      </c>
      <c r="Y32" s="8">
        <f>IF(Inputs!$B$50&gt;=Y$1,Inputs!$B$49,0)*(1+inf)^X$1</f>
        <v>0</v>
      </c>
      <c r="Z32" s="8">
        <f>IF(Inputs!$B$50&gt;=Z$1,Inputs!$B$49,0)*(1+inf)^Y$1</f>
        <v>0</v>
      </c>
      <c r="AA32" s="8">
        <f>IF(Inputs!$B$50&gt;=AA$1,Inputs!$B$49,0)*(1+inf)^Z$1</f>
        <v>0</v>
      </c>
      <c r="AB32" s="8">
        <f>IF(Inputs!$B$50&gt;=AB$1,Inputs!$B$49,0)*(1+inf)^AA$1</f>
        <v>0</v>
      </c>
      <c r="AC32" s="8">
        <f>IF(Inputs!$B$50&gt;=AC$1,Inputs!$B$49,0)*(1+inf)^AB$1</f>
        <v>0</v>
      </c>
      <c r="AD32" s="8">
        <f>IF(Inputs!$B$50&gt;=AD$1,Inputs!$B$49,0)*(1+inf)^AC$1</f>
        <v>0</v>
      </c>
      <c r="AE32" s="8">
        <f>IF(Inputs!$B$50&gt;=AE$1,Inputs!$B$49,0)*(1+inf)^AD$1</f>
        <v>0</v>
      </c>
      <c r="AF32" s="8">
        <f>IF(Inputs!$B$50&gt;=AF$1,Inputs!$B$49,0)*(1+inf)^AE$1</f>
        <v>0</v>
      </c>
      <c r="AG32" s="8">
        <f>IF(Inputs!$B$50&gt;=AG$1,Inputs!$B$49,0)*(1+inf)^AF$1</f>
        <v>0</v>
      </c>
      <c r="AH32" s="8">
        <f>IF(Inputs!$B$50&gt;=AH$1,Inputs!$B$49,0)*(1+inf)^AG$1</f>
        <v>0</v>
      </c>
      <c r="AI32" s="8">
        <f>IF(Inputs!$B$50&gt;=AI$1,Inputs!$B$49,0)*(1+inf)^AH$1</f>
        <v>0</v>
      </c>
      <c r="AJ32" s="8">
        <f>IF(Inputs!$B$50&gt;=AJ$1,Inputs!$B$49,0)*(1+inf)^AI$1</f>
        <v>0</v>
      </c>
      <c r="AK32" s="8">
        <f>IF(Inputs!$B$50&gt;=AK$1,Inputs!$B$49,0)*(1+inf)^AJ$1</f>
        <v>0</v>
      </c>
      <c r="AL32" s="8">
        <f>IF(Inputs!$B$50&gt;=AL$1,Inputs!$B$49,0)*(1+inf)^AK$1</f>
        <v>0</v>
      </c>
      <c r="AM32" s="8">
        <f>IF(Inputs!$B$50&gt;=AM$1,Inputs!$B$49,0)*(1+inf)^AL$1</f>
        <v>0</v>
      </c>
    </row>
    <row r="33" spans="1:39" x14ac:dyDescent="0.2">
      <c r="A33" s="4" t="s">
        <v>185</v>
      </c>
      <c r="B33" s="9"/>
      <c r="C33" s="8">
        <f>IF(Inputs!$B$55&gt;=C$1,Inputs!$B$54,0)*(1+inf)^B$1</f>
        <v>2860</v>
      </c>
      <c r="D33" s="8">
        <f>IF(Inputs!$B$55&gt;=D$1,Inputs!$B$54,0)*(1+inf)^C$1</f>
        <v>2931.4999999999995</v>
      </c>
      <c r="E33" s="8">
        <f>IF(Inputs!$B$55&gt;=E$1,Inputs!$B$54,0)*(1+inf)^D$1</f>
        <v>3004.7874999999999</v>
      </c>
      <c r="F33" s="8">
        <f>IF(Inputs!$B$55&gt;=F$1,Inputs!$B$54,0)*(1+inf)^E$1</f>
        <v>3079.9071874999995</v>
      </c>
      <c r="G33" s="8">
        <f>IF(Inputs!$B$55&gt;=G$1,Inputs!$B$54,0)*(1+inf)^F$1</f>
        <v>3156.9048671874993</v>
      </c>
      <c r="H33" s="8">
        <f>IF(Inputs!$B$55&gt;=H$1,Inputs!$B$54,0)*(1+inf)^G$1</f>
        <v>3235.8274888671867</v>
      </c>
      <c r="I33" s="8">
        <f>IF(Inputs!$B$55&gt;=I$1,Inputs!$B$54,0)*(1+inf)^H$1</f>
        <v>0</v>
      </c>
      <c r="J33" s="8">
        <f>IF(Inputs!$B$55&gt;=J$1,Inputs!$B$54,0)*(1+inf)^I$1</f>
        <v>0</v>
      </c>
      <c r="K33" s="8">
        <f>IF(Inputs!$B$55&gt;=K$1,Inputs!$B$54,0)*(1+inf)^J$1</f>
        <v>0</v>
      </c>
      <c r="L33" s="8">
        <f>IF(Inputs!$B$55&gt;=L$1,Inputs!$B$54,0)*(1+inf)^K$1</f>
        <v>0</v>
      </c>
      <c r="M33" s="8">
        <f>IF(Inputs!$B$55&gt;=M$1,Inputs!$B$54,0)*(1+inf)^L$1</f>
        <v>0</v>
      </c>
      <c r="N33" s="8">
        <f>IF(Inputs!$B$55&gt;=N$1,Inputs!$B$54,0)*(1+inf)^M$1</f>
        <v>0</v>
      </c>
      <c r="O33" s="8">
        <f>IF(Inputs!$B$55&gt;=O$1,Inputs!$B$54,0)*(1+inf)^N$1</f>
        <v>0</v>
      </c>
      <c r="P33" s="8">
        <f>IF(Inputs!$B$55&gt;=P$1,Inputs!$B$54,0)*(1+inf)^O$1</f>
        <v>0</v>
      </c>
      <c r="Q33" s="8">
        <f>IF(Inputs!$B$55&gt;=Q$1,Inputs!$B$54,0)*(1+inf)^P$1</f>
        <v>0</v>
      </c>
      <c r="R33" s="8">
        <f>IF(Inputs!$B$55&gt;=R$1,Inputs!$B$54,0)*(1+inf)^Q$1</f>
        <v>0</v>
      </c>
      <c r="S33" s="8">
        <f>IF(Inputs!$B$55&gt;=S$1,Inputs!$B$54,0)*(1+inf)^R$1</f>
        <v>0</v>
      </c>
      <c r="T33" s="8">
        <f>IF(Inputs!$B$55&gt;=T$1,Inputs!$B$54,0)*(1+inf)^S$1</f>
        <v>0</v>
      </c>
      <c r="U33" s="8">
        <f>IF(Inputs!$B$55&gt;=U$1,Inputs!$B$54,0)*(1+inf)^T$1</f>
        <v>0</v>
      </c>
      <c r="V33" s="8">
        <f>IF(Inputs!$B$55&gt;=V$1,Inputs!$B$54,0)*(1+inf)^U$1</f>
        <v>0</v>
      </c>
      <c r="W33" s="8">
        <f>IF(Inputs!$B$55&gt;=W$1,Inputs!$B$54,0)*(1+inf)^V$1</f>
        <v>0</v>
      </c>
      <c r="X33" s="8">
        <f>IF(Inputs!$B$55&gt;=X$1,Inputs!$B$54,0)*(1+inf)^W$1</f>
        <v>0</v>
      </c>
      <c r="Y33" s="8">
        <f>IF(Inputs!$B$55&gt;=Y$1,Inputs!$B$54,0)*(1+inf)^X$1</f>
        <v>0</v>
      </c>
      <c r="Z33" s="8">
        <f>IF(Inputs!$B$55&gt;=Z$1,Inputs!$B$54,0)*(1+inf)^Y$1</f>
        <v>0</v>
      </c>
      <c r="AA33" s="8">
        <f>IF(Inputs!$B$55&gt;=AA$1,Inputs!$B$54,0)*(1+inf)^Z$1</f>
        <v>0</v>
      </c>
      <c r="AB33" s="8">
        <f>IF(Inputs!$B$55&gt;=AB$1,Inputs!$B$54,0)*(1+inf)^AA$1</f>
        <v>0</v>
      </c>
      <c r="AC33" s="8">
        <f>IF(Inputs!$B$55&gt;=AC$1,Inputs!$B$54,0)*(1+inf)^AB$1</f>
        <v>0</v>
      </c>
      <c r="AD33" s="8">
        <f>IF(Inputs!$B$55&gt;=AD$1,Inputs!$B$54,0)*(1+inf)^AC$1</f>
        <v>0</v>
      </c>
      <c r="AE33" s="8">
        <f>IF(Inputs!$B$55&gt;=AE$1,Inputs!$B$54,0)*(1+inf)^AD$1</f>
        <v>0</v>
      </c>
      <c r="AF33" s="8">
        <f>IF(Inputs!$B$55&gt;=AF$1,Inputs!$B$54,0)*(1+inf)^AE$1</f>
        <v>0</v>
      </c>
      <c r="AG33" s="8">
        <f>IF(Inputs!$B$55&gt;=AG$1,Inputs!$B$54,0)*(1+inf)^AF$1</f>
        <v>0</v>
      </c>
      <c r="AH33" s="8">
        <f>IF(Inputs!$B$55&gt;=AH$1,Inputs!$B$54,0)*(1+inf)^AG$1</f>
        <v>0</v>
      </c>
      <c r="AI33" s="8">
        <f>IF(Inputs!$B$55&gt;=AI$1,Inputs!$B$54,0)*(1+inf)^AH$1</f>
        <v>0</v>
      </c>
      <c r="AJ33" s="8">
        <f>IF(Inputs!$B$55&gt;=AJ$1,Inputs!$B$54,0)*(1+inf)^AI$1</f>
        <v>0</v>
      </c>
      <c r="AK33" s="8">
        <f>IF(Inputs!$B$55&gt;=AK$1,Inputs!$B$54,0)*(1+inf)^AJ$1</f>
        <v>0</v>
      </c>
      <c r="AL33" s="8">
        <f>IF(Inputs!$B$55&gt;=AL$1,Inputs!$B$54,0)*(1+inf)^AK$1</f>
        <v>0</v>
      </c>
      <c r="AM33" s="8">
        <f>IF(Inputs!$B$55&gt;=AM$1,Inputs!$B$54,0)*(1+inf)^AL$1</f>
        <v>0</v>
      </c>
    </row>
    <row r="34" spans="1:39" x14ac:dyDescent="0.2">
      <c r="A34" s="5" t="s">
        <v>5</v>
      </c>
      <c r="B34" s="9"/>
      <c r="C34" s="8">
        <f>Inputs!$B$23*(1+inf)^B$1</f>
        <v>0</v>
      </c>
      <c r="D34" s="8">
        <f>Inputs!$B$23*(1+inf)^C$1</f>
        <v>0</v>
      </c>
      <c r="E34" s="8">
        <f>Inputs!$B$23*(1+inf)^D$1</f>
        <v>0</v>
      </c>
      <c r="F34" s="8">
        <f>Inputs!$B$23*(1+inf)^E$1</f>
        <v>0</v>
      </c>
      <c r="G34" s="8">
        <f>Inputs!$B$23*(1+inf)^F$1</f>
        <v>0</v>
      </c>
      <c r="H34" s="8">
        <f>Inputs!$B$23*(1+inf)^G$1</f>
        <v>0</v>
      </c>
      <c r="I34" s="8">
        <f>Inputs!$B$23*(1+inf)^H$1</f>
        <v>0</v>
      </c>
      <c r="J34" s="8">
        <f>Inputs!$B$23*(1+inf)^I$1</f>
        <v>0</v>
      </c>
      <c r="K34" s="8">
        <f>Inputs!$B$23*(1+inf)^J$1</f>
        <v>0</v>
      </c>
      <c r="L34" s="8">
        <f>Inputs!$B$23*(1+inf)^K$1</f>
        <v>0</v>
      </c>
      <c r="M34" s="8">
        <f>Inputs!$B$23*(1+inf)^L$1</f>
        <v>0</v>
      </c>
      <c r="N34" s="8">
        <f>Inputs!$B$23*(1+inf)^M$1</f>
        <v>0</v>
      </c>
      <c r="O34" s="8">
        <f>Inputs!$B$23*(1+inf)^N$1</f>
        <v>0</v>
      </c>
      <c r="P34" s="8">
        <f>Inputs!$B$23*(1+inf)^O$1</f>
        <v>0</v>
      </c>
      <c r="Q34" s="8">
        <f>Inputs!$B$23*(1+inf)^P$1</f>
        <v>0</v>
      </c>
      <c r="R34" s="8">
        <f>Inputs!$B$23*(1+inf)^Q$1</f>
        <v>0</v>
      </c>
      <c r="S34" s="8">
        <f>Inputs!$B$23*(1+inf)^R$1</f>
        <v>0</v>
      </c>
      <c r="T34" s="8">
        <f>Inputs!$B$23*(1+inf)^S$1</f>
        <v>0</v>
      </c>
      <c r="U34" s="8">
        <f>Inputs!$B$23*(1+inf)^T$1</f>
        <v>0</v>
      </c>
      <c r="V34" s="8">
        <f>Inputs!$B$23*(1+inf)^U$1</f>
        <v>0</v>
      </c>
      <c r="W34" s="8">
        <f>Inputs!$B$23*(1+inf)^V$1</f>
        <v>0</v>
      </c>
      <c r="X34" s="8">
        <f>Inputs!$B$23*(1+inf)^W$1</f>
        <v>0</v>
      </c>
      <c r="Y34" s="8">
        <f>Inputs!$B$23*(1+inf)^X$1</f>
        <v>0</v>
      </c>
      <c r="Z34" s="8">
        <f>Inputs!$B$23*(1+inf)^Y$1</f>
        <v>0</v>
      </c>
      <c r="AA34" s="8">
        <f>Inputs!$B$23*(1+inf)^Z$1</f>
        <v>0</v>
      </c>
      <c r="AB34" s="8">
        <f>Inputs!$B$23*(1+inf)^AA$1</f>
        <v>0</v>
      </c>
      <c r="AC34" s="8">
        <f>Inputs!$B$23*(1+inf)^AB$1</f>
        <v>0</v>
      </c>
      <c r="AD34" s="8">
        <f>Inputs!$B$23*(1+inf)^AC$1</f>
        <v>0</v>
      </c>
      <c r="AE34" s="8">
        <f>Inputs!$B$23*(1+inf)^AD$1</f>
        <v>0</v>
      </c>
      <c r="AF34" s="8">
        <f>Inputs!$B$23*(1+inf)^AE$1</f>
        <v>0</v>
      </c>
      <c r="AG34" s="8">
        <f>Inputs!$B$23*(1+inf)^AF$1</f>
        <v>0</v>
      </c>
      <c r="AH34" s="8">
        <f>Inputs!$B$23*(1+inf)^AG$1</f>
        <v>0</v>
      </c>
      <c r="AI34" s="8">
        <f>Inputs!$B$23*(1+inf)^AH$1</f>
        <v>0</v>
      </c>
      <c r="AJ34" s="8">
        <f>Inputs!$B$23*(1+inf)^AI$1</f>
        <v>0</v>
      </c>
      <c r="AK34" s="8">
        <f>Inputs!$B$23*(1+inf)^AJ$1</f>
        <v>0</v>
      </c>
      <c r="AL34" s="8">
        <f>Inputs!$B$23*(1+inf)^AK$1</f>
        <v>0</v>
      </c>
      <c r="AM34" s="8">
        <f>Inputs!$B$23*(1+inf)^AL$1</f>
        <v>0</v>
      </c>
    </row>
    <row r="35" spans="1:39" x14ac:dyDescent="0.2">
      <c r="A35" s="5" t="s">
        <v>59</v>
      </c>
      <c r="B35" s="9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</row>
    <row r="36" spans="1:39" x14ac:dyDescent="0.2">
      <c r="A36" s="4" t="str">
        <f>TEXT(Inputs!$B$60,"")</f>
        <v>Sliema</v>
      </c>
      <c r="B36" s="9"/>
      <c r="C36" s="8">
        <f>Inputs!$B62*(1+inf)^B$1</f>
        <v>5000</v>
      </c>
      <c r="D36" s="8">
        <f>Inputs!$B62*(1+inf)^C$1</f>
        <v>5125</v>
      </c>
      <c r="E36" s="8">
        <f>Inputs!$B62*(1+inf)^D$1</f>
        <v>5253.125</v>
      </c>
      <c r="F36" s="8">
        <f>Inputs!$B62*(1+inf)^E$1</f>
        <v>5384.4531249999991</v>
      </c>
      <c r="G36" s="8">
        <f>Inputs!$B62*(1+inf)^F$1</f>
        <v>5519.0644531249991</v>
      </c>
      <c r="H36" s="8">
        <f>Inputs!$B62*(1+inf)^G$1</f>
        <v>5657.041064453123</v>
      </c>
      <c r="I36" s="8">
        <f>Inputs!$B62*(1+inf)^H$1</f>
        <v>5798.4670910644509</v>
      </c>
      <c r="J36" s="8">
        <f>Inputs!$B62*(1+inf)^I$1</f>
        <v>5943.4287683410621</v>
      </c>
      <c r="K36" s="8">
        <f>Inputs!$B62*(1+inf)^J$1</f>
        <v>6092.0144875495889</v>
      </c>
      <c r="L36" s="8">
        <f>Inputs!$B62*(1+inf)^K$1</f>
        <v>6244.3148497383272</v>
      </c>
      <c r="M36" s="8">
        <f>Inputs!$B62*(1+inf)^L$1</f>
        <v>6400.4227209817855</v>
      </c>
      <c r="N36" s="8">
        <f>Inputs!$B62*(1+inf)^M$1</f>
        <v>6560.4332890063297</v>
      </c>
      <c r="O36" s="8">
        <f>Inputs!$B62*(1+inf)^N$1</f>
        <v>6724.4441212314878</v>
      </c>
      <c r="P36" s="8">
        <f>Inputs!$B62*(1+inf)^O$1</f>
        <v>6892.5552242622744</v>
      </c>
      <c r="Q36" s="8">
        <f>Inputs!$B62*(1+inf)^P$1</f>
        <v>7064.8691048688306</v>
      </c>
      <c r="R36" s="8">
        <f>Inputs!$B62*(1+inf)^Q$1</f>
        <v>7241.4908324905527</v>
      </c>
      <c r="S36" s="8">
        <f>Inputs!$B62*(1+inf)^R$1</f>
        <v>7422.5281033028159</v>
      </c>
      <c r="T36" s="8">
        <f>Inputs!$B62*(1+inf)^S$1</f>
        <v>7608.0913058853848</v>
      </c>
      <c r="U36" s="8">
        <f>Inputs!$B62*(1+inf)^T$1</f>
        <v>7798.2935885325196</v>
      </c>
      <c r="V36" s="8">
        <f>Inputs!$B62*(1+inf)^U$1</f>
        <v>7993.2509282458332</v>
      </c>
      <c r="W36" s="8">
        <f>Inputs!$B62*(1+inf)^V$1</f>
        <v>8193.0822014519781</v>
      </c>
      <c r="X36" s="8">
        <f>Inputs!$B62*(1+inf)^W$1</f>
        <v>8397.9092564882758</v>
      </c>
      <c r="Y36" s="8">
        <f>Inputs!$B62*(1+inf)^X$1</f>
        <v>8607.8569879004826</v>
      </c>
      <c r="Z36" s="8">
        <f>Inputs!$B62*(1+inf)^Y$1</f>
        <v>8823.0534125979957</v>
      </c>
      <c r="AA36" s="8">
        <f>Inputs!$B62*(1+inf)^Z$1</f>
        <v>9043.6297479129444</v>
      </c>
      <c r="AB36" s="8">
        <f>Inputs!$B62*(1+inf)^AA$1</f>
        <v>9269.7204916107676</v>
      </c>
      <c r="AC36" s="8">
        <f>Inputs!$B62*(1+inf)^AB$1</f>
        <v>9501.4635039010354</v>
      </c>
      <c r="AD36" s="8">
        <f>Inputs!$B62*(1+inf)^AC$1</f>
        <v>9739.0000914985612</v>
      </c>
      <c r="AE36" s="8">
        <f>Inputs!$B62*(1+inf)^AD$1</f>
        <v>9982.4750937860244</v>
      </c>
      <c r="AF36" s="8">
        <f>Inputs!$B62*(1+inf)^AE$1</f>
        <v>10232.036971130676</v>
      </c>
      <c r="AG36" s="8">
        <f>Inputs!$B62*(1+inf)^AF$1</f>
        <v>10487.83789540894</v>
      </c>
      <c r="AH36" s="8">
        <f>Inputs!$B62*(1+inf)^AG$1</f>
        <v>10750.033842794166</v>
      </c>
      <c r="AI36" s="8">
        <f>Inputs!$B62*(1+inf)^AH$1</f>
        <v>11018.784688864018</v>
      </c>
      <c r="AJ36" s="8">
        <f>Inputs!$B62*(1+inf)^AI$1</f>
        <v>11294.254306085619</v>
      </c>
      <c r="AK36" s="8">
        <f>Inputs!$B62*(1+inf)^AJ$1</f>
        <v>11576.610663737758</v>
      </c>
      <c r="AL36" s="8">
        <f>Inputs!$B62*(1+inf)^AK$1</f>
        <v>11866.025930331201</v>
      </c>
      <c r="AM36" s="8">
        <f>Inputs!$B62*(1+inf)^AL$1</f>
        <v>12162.676578589482</v>
      </c>
    </row>
    <row r="37" spans="1:39" x14ac:dyDescent="0.2">
      <c r="A37" s="4" t="str">
        <f>TEXT(Inputs!$B$65,"")</f>
        <v>Gzira</v>
      </c>
      <c r="B37" s="9"/>
      <c r="C37" s="8">
        <f>Inputs!$B67*(1+inf)^B$1</f>
        <v>2000</v>
      </c>
      <c r="D37" s="8">
        <f>Inputs!$B67*(1+inf)^C$1</f>
        <v>2050</v>
      </c>
      <c r="E37" s="8">
        <f>Inputs!$B67*(1+inf)^D$1</f>
        <v>2101.25</v>
      </c>
      <c r="F37" s="8">
        <f>Inputs!$B67*(1+inf)^E$1</f>
        <v>2153.7812499999995</v>
      </c>
      <c r="G37" s="8">
        <f>Inputs!$B67*(1+inf)^F$1</f>
        <v>2207.6257812499994</v>
      </c>
      <c r="H37" s="8">
        <f>Inputs!$B67*(1+inf)^G$1</f>
        <v>2262.8164257812491</v>
      </c>
      <c r="I37" s="8">
        <f>Inputs!$B67*(1+inf)^H$1</f>
        <v>2319.3868364257805</v>
      </c>
      <c r="J37" s="8">
        <f>Inputs!$B67*(1+inf)^I$1</f>
        <v>2377.3715073364251</v>
      </c>
      <c r="K37" s="8">
        <f>Inputs!$B67*(1+inf)^J$1</f>
        <v>2436.8057950198354</v>
      </c>
      <c r="L37" s="8">
        <f>Inputs!$B67*(1+inf)^K$1</f>
        <v>2497.7259398953311</v>
      </c>
      <c r="M37" s="8">
        <f>Inputs!$B67*(1+inf)^L$1</f>
        <v>2560.169088392714</v>
      </c>
      <c r="N37" s="8">
        <f>Inputs!$B67*(1+inf)^M$1</f>
        <v>2624.1733156025321</v>
      </c>
      <c r="O37" s="8">
        <f>Inputs!$B67*(1+inf)^N$1</f>
        <v>2689.7776484925948</v>
      </c>
      <c r="P37" s="8">
        <f>Inputs!$B67*(1+inf)^O$1</f>
        <v>2757.0220897049098</v>
      </c>
      <c r="Q37" s="8">
        <f>Inputs!$B67*(1+inf)^P$1</f>
        <v>2825.9476419475322</v>
      </c>
      <c r="R37" s="8">
        <f>Inputs!$B67*(1+inf)^Q$1</f>
        <v>2896.596332996221</v>
      </c>
      <c r="S37" s="8">
        <f>Inputs!$B67*(1+inf)^R$1</f>
        <v>2969.0112413211264</v>
      </c>
      <c r="T37" s="8">
        <f>Inputs!$B67*(1+inf)^S$1</f>
        <v>3043.2365223541542</v>
      </c>
      <c r="U37" s="8">
        <f>Inputs!$B67*(1+inf)^T$1</f>
        <v>3119.3174354130078</v>
      </c>
      <c r="V37" s="8">
        <f>Inputs!$B67*(1+inf)^U$1</f>
        <v>3197.3003712983332</v>
      </c>
      <c r="W37" s="8">
        <f>Inputs!$B67*(1+inf)^V$1</f>
        <v>3277.2328805807911</v>
      </c>
      <c r="X37" s="8">
        <f>Inputs!$B67*(1+inf)^W$1</f>
        <v>3359.1637025953105</v>
      </c>
      <c r="Y37" s="8">
        <f>Inputs!$B67*(1+inf)^X$1</f>
        <v>3443.1427951601931</v>
      </c>
      <c r="Z37" s="8">
        <f>Inputs!$B67*(1+inf)^Y$1</f>
        <v>3529.2213650391982</v>
      </c>
      <c r="AA37" s="8">
        <f>Inputs!$B67*(1+inf)^Z$1</f>
        <v>3617.451899165178</v>
      </c>
      <c r="AB37" s="8">
        <f>Inputs!$B67*(1+inf)^AA$1</f>
        <v>3707.8881966443068</v>
      </c>
      <c r="AC37" s="8">
        <f>Inputs!$B67*(1+inf)^AB$1</f>
        <v>3800.5854015604141</v>
      </c>
      <c r="AD37" s="8">
        <f>Inputs!$B67*(1+inf)^AC$1</f>
        <v>3895.6000365994241</v>
      </c>
      <c r="AE37" s="8">
        <f>Inputs!$B67*(1+inf)^AD$1</f>
        <v>3992.9900375144098</v>
      </c>
      <c r="AF37" s="8">
        <f>Inputs!$B67*(1+inf)^AE$1</f>
        <v>4092.8147884522705</v>
      </c>
      <c r="AG37" s="8">
        <f>Inputs!$B67*(1+inf)^AF$1</f>
        <v>4195.1351581635763</v>
      </c>
      <c r="AH37" s="8">
        <f>Inputs!$B67*(1+inf)^AG$1</f>
        <v>4300.0135371176666</v>
      </c>
      <c r="AI37" s="8">
        <f>Inputs!$B67*(1+inf)^AH$1</f>
        <v>4407.5138755456073</v>
      </c>
      <c r="AJ37" s="8">
        <f>Inputs!$B67*(1+inf)^AI$1</f>
        <v>4517.7017224342471</v>
      </c>
      <c r="AK37" s="8">
        <f>Inputs!$B67*(1+inf)^AJ$1</f>
        <v>4630.6442654951034</v>
      </c>
      <c r="AL37" s="8">
        <f>Inputs!$B67*(1+inf)^AK$1</f>
        <v>4746.41037213248</v>
      </c>
      <c r="AM37" s="8">
        <f>Inputs!$B67*(1+inf)^AL$1</f>
        <v>4865.0706314357931</v>
      </c>
    </row>
    <row r="38" spans="1:39" x14ac:dyDescent="0.2">
      <c r="A38" s="4" t="str">
        <f>TEXT(Inputs!$B$70,"")</f>
        <v>Qormi</v>
      </c>
      <c r="B38" s="9"/>
      <c r="C38" s="8">
        <f>Inputs!$B72*(1+inf)^B$1</f>
        <v>1200</v>
      </c>
      <c r="D38" s="8">
        <f>Inputs!$B72*(1+inf)^C$1</f>
        <v>1230</v>
      </c>
      <c r="E38" s="8">
        <f>Inputs!$B72*(1+inf)^D$1</f>
        <v>1260.75</v>
      </c>
      <c r="F38" s="8">
        <f>Inputs!$B72*(1+inf)^E$1</f>
        <v>1292.26875</v>
      </c>
      <c r="G38" s="8">
        <f>Inputs!$B72*(1+inf)^F$1</f>
        <v>1324.5754687499998</v>
      </c>
      <c r="H38" s="8">
        <f>Inputs!$B72*(1+inf)^G$1</f>
        <v>1357.6898554687496</v>
      </c>
      <c r="I38" s="8">
        <f>Inputs!$B72*(1+inf)^H$1</f>
        <v>1391.6321018554681</v>
      </c>
      <c r="J38" s="8">
        <f>Inputs!$B72*(1+inf)^I$1</f>
        <v>1426.422904401855</v>
      </c>
      <c r="K38" s="8">
        <f>Inputs!$B72*(1+inf)^J$1</f>
        <v>1462.0834770119013</v>
      </c>
      <c r="L38" s="8">
        <f>Inputs!$B72*(1+inf)^K$1</f>
        <v>1498.6355639371984</v>
      </c>
      <c r="M38" s="8">
        <f>Inputs!$B72*(1+inf)^L$1</f>
        <v>1536.1014530356285</v>
      </c>
      <c r="N38" s="8">
        <f>Inputs!$B72*(1+inf)^M$1</f>
        <v>1574.5039893615192</v>
      </c>
      <c r="O38" s="8">
        <f>Inputs!$B72*(1+inf)^N$1</f>
        <v>1613.8665890955569</v>
      </c>
      <c r="P38" s="8">
        <f>Inputs!$B72*(1+inf)^O$1</f>
        <v>1654.2132538229459</v>
      </c>
      <c r="Q38" s="8">
        <f>Inputs!$B72*(1+inf)^P$1</f>
        <v>1695.5685851685193</v>
      </c>
      <c r="R38" s="8">
        <f>Inputs!$B72*(1+inf)^Q$1</f>
        <v>1737.9577997977326</v>
      </c>
      <c r="S38" s="8">
        <f>Inputs!$B72*(1+inf)^R$1</f>
        <v>1781.4067447926757</v>
      </c>
      <c r="T38" s="8">
        <f>Inputs!$B72*(1+inf)^S$1</f>
        <v>1825.9419134124923</v>
      </c>
      <c r="U38" s="8">
        <f>Inputs!$B72*(1+inf)^T$1</f>
        <v>1871.5904612478048</v>
      </c>
      <c r="V38" s="8">
        <f>Inputs!$B72*(1+inf)^U$1</f>
        <v>1918.380222779</v>
      </c>
      <c r="W38" s="8">
        <f>Inputs!$B72*(1+inf)^V$1</f>
        <v>1966.3397283484746</v>
      </c>
      <c r="X38" s="8">
        <f>Inputs!$B72*(1+inf)^W$1</f>
        <v>2015.4982215571863</v>
      </c>
      <c r="Y38" s="8">
        <f>Inputs!$B72*(1+inf)^X$1</f>
        <v>2065.8856770961161</v>
      </c>
      <c r="Z38" s="8">
        <f>Inputs!$B72*(1+inf)^Y$1</f>
        <v>2117.5328190235191</v>
      </c>
      <c r="AA38" s="8">
        <f>Inputs!$B72*(1+inf)^Z$1</f>
        <v>2170.4711394991068</v>
      </c>
      <c r="AB38" s="8">
        <f>Inputs!$B72*(1+inf)^AA$1</f>
        <v>2224.7329179865842</v>
      </c>
      <c r="AC38" s="8">
        <f>Inputs!$B72*(1+inf)^AB$1</f>
        <v>2280.3512409362484</v>
      </c>
      <c r="AD38" s="8">
        <f>Inputs!$B72*(1+inf)^AC$1</f>
        <v>2337.3600219596547</v>
      </c>
      <c r="AE38" s="8">
        <f>Inputs!$B72*(1+inf)^AD$1</f>
        <v>2395.7940225086459</v>
      </c>
      <c r="AF38" s="8">
        <f>Inputs!$B72*(1+inf)^AE$1</f>
        <v>2455.6888730713622</v>
      </c>
      <c r="AG38" s="8">
        <f>Inputs!$B72*(1+inf)^AF$1</f>
        <v>2517.0810948981457</v>
      </c>
      <c r="AH38" s="8">
        <f>Inputs!$B72*(1+inf)^AG$1</f>
        <v>2580.0081222705999</v>
      </c>
      <c r="AI38" s="8">
        <f>Inputs!$B72*(1+inf)^AH$1</f>
        <v>2644.5083253273642</v>
      </c>
      <c r="AJ38" s="8">
        <f>Inputs!$B72*(1+inf)^AI$1</f>
        <v>2710.6210334605485</v>
      </c>
      <c r="AK38" s="8">
        <f>Inputs!$B72*(1+inf)^AJ$1</f>
        <v>2778.3865592970619</v>
      </c>
      <c r="AL38" s="8">
        <f>Inputs!$B72*(1+inf)^AK$1</f>
        <v>2847.8462232794882</v>
      </c>
      <c r="AM38" s="8">
        <f>Inputs!$B72*(1+inf)^AL$1</f>
        <v>2919.0423788614758</v>
      </c>
    </row>
    <row r="39" spans="1:39" x14ac:dyDescent="0.2">
      <c r="A39" s="5" t="s">
        <v>16</v>
      </c>
      <c r="B39" s="9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</row>
    <row r="40" spans="1:39" x14ac:dyDescent="0.2">
      <c r="A40" s="4" t="s">
        <v>60</v>
      </c>
      <c r="B40" s="9"/>
      <c r="C40" s="8">
        <f>Inputs!$B$25*(1+inf)^B$1</f>
        <v>50000</v>
      </c>
      <c r="D40" s="8">
        <f>Inputs!$B$25*(1+inf)^C$1</f>
        <v>51249.999999999993</v>
      </c>
      <c r="E40" s="8">
        <f>Inputs!$B$25*(1+inf)^D$1</f>
        <v>52531.249999999993</v>
      </c>
      <c r="F40" s="8">
        <f>Inputs!$B$25*(1+inf)^E$1</f>
        <v>53844.531249999993</v>
      </c>
      <c r="G40" s="8">
        <f>Inputs!$B$25*(1+inf)^F$1</f>
        <v>55190.644531249985</v>
      </c>
      <c r="H40" s="8">
        <f>Inputs!$B$25*(1+inf)^G$1</f>
        <v>56570.410644531235</v>
      </c>
      <c r="I40" s="8">
        <f>Inputs!$B$25*(1+inf)^H$1</f>
        <v>57984.670910644512</v>
      </c>
      <c r="J40" s="8">
        <f>Inputs!$B$25*(1+inf)^I$1</f>
        <v>59434.287683410628</v>
      </c>
      <c r="K40" s="8">
        <f>Inputs!$B$25*(1+inf)^J$1</f>
        <v>60920.144875495884</v>
      </c>
      <c r="L40" s="8">
        <f>Inputs!$B$25*(1+inf)^K$1</f>
        <v>62443.14849738327</v>
      </c>
      <c r="M40" s="8">
        <f>Inputs!$B$25*(1+inf)^L$1</f>
        <v>64004.227209817851</v>
      </c>
      <c r="N40" s="8">
        <f>Inputs!$B$25*(1+inf)^M$1</f>
        <v>65604.332890063306</v>
      </c>
      <c r="O40" s="8">
        <f>Inputs!$B$25*(1+inf)^N$1</f>
        <v>67244.44121231488</v>
      </c>
      <c r="P40" s="8">
        <f>Inputs!$B$25*(1+inf)^O$1</f>
        <v>68925.55224262274</v>
      </c>
      <c r="Q40" s="8">
        <f>Inputs!$B$25*(1+inf)^P$1</f>
        <v>70648.691048688299</v>
      </c>
      <c r="R40" s="8">
        <f>Inputs!$B$25*(1+inf)^Q$1</f>
        <v>72414.908324905526</v>
      </c>
      <c r="S40" s="8">
        <f>Inputs!$B$25*(1+inf)^R$1</f>
        <v>74225.28103302815</v>
      </c>
      <c r="T40" s="8">
        <f>Inputs!$B$25*(1+inf)^S$1</f>
        <v>76080.913058853854</v>
      </c>
      <c r="U40" s="8">
        <f>Inputs!$B$25*(1+inf)^T$1</f>
        <v>77982.935885325205</v>
      </c>
      <c r="V40" s="8">
        <f>Inputs!$B$25*(1+inf)^U$1</f>
        <v>79932.509282458326</v>
      </c>
      <c r="W40" s="8">
        <f>Inputs!$B$25*(1+inf)^V$1</f>
        <v>81930.82201451977</v>
      </c>
      <c r="X40" s="8">
        <f>Inputs!$B$25*(1+inf)^W$1</f>
        <v>83979.092564882769</v>
      </c>
      <c r="Y40" s="8">
        <f>Inputs!$B$25*(1+inf)^X$1</f>
        <v>86078.569879004834</v>
      </c>
      <c r="Z40" s="8">
        <f>Inputs!$B$25*(1+inf)^Y$1</f>
        <v>88230.534125979961</v>
      </c>
      <c r="AA40" s="8">
        <f>Inputs!$B$25*(1+inf)^Z$1</f>
        <v>90436.29747912944</v>
      </c>
      <c r="AB40" s="8">
        <f>Inputs!$B$25*(1+inf)^AA$1</f>
        <v>92697.204916107672</v>
      </c>
      <c r="AC40" s="8">
        <f>Inputs!$B$25*(1+inf)^AB$1</f>
        <v>95014.635039010347</v>
      </c>
      <c r="AD40" s="8">
        <f>Inputs!$B$25*(1+inf)^AC$1</f>
        <v>97390.000914985605</v>
      </c>
      <c r="AE40" s="8">
        <f>Inputs!$B$25*(1+inf)^AD$1</f>
        <v>99824.750937860241</v>
      </c>
      <c r="AF40" s="8">
        <f>Inputs!$B$25*(1+inf)^AE$1</f>
        <v>102320.36971130676</v>
      </c>
      <c r="AG40" s="8">
        <f>Inputs!$B$25*(1+inf)^AF$1</f>
        <v>104878.37895408941</v>
      </c>
      <c r="AH40" s="8">
        <f>Inputs!$B$25*(1+inf)^AG$1</f>
        <v>107500.33842794166</v>
      </c>
      <c r="AI40" s="8">
        <f>Inputs!$B$25*(1+inf)^AH$1</f>
        <v>110187.84688864018</v>
      </c>
      <c r="AJ40" s="8">
        <f>Inputs!$B$25*(1+inf)^AI$1</f>
        <v>112942.54306085619</v>
      </c>
      <c r="AK40" s="8">
        <f>Inputs!$B$25*(1+inf)^AJ$1</f>
        <v>115766.10663737758</v>
      </c>
      <c r="AL40" s="8">
        <f>Inputs!$B$25*(1+inf)^AK$1</f>
        <v>118660.25930331201</v>
      </c>
      <c r="AM40" s="8">
        <f>Inputs!$B$25*(1+inf)^AL$1</f>
        <v>121626.76578589482</v>
      </c>
    </row>
    <row r="41" spans="1:39" x14ac:dyDescent="0.2">
      <c r="A41" s="4" t="str">
        <f>"Adjustment "&amp;Inputs!A147</f>
        <v>Adjustment from now to 65</v>
      </c>
      <c r="B41" s="9"/>
      <c r="C41" s="8">
        <f>IF(C$3&lt;=65,Inputs!$B$147*C$40,0)</f>
        <v>0</v>
      </c>
      <c r="D41" s="8">
        <f>IF(D$3&lt;=65,Inputs!$B$147*D$40,0)</f>
        <v>0</v>
      </c>
      <c r="E41" s="8">
        <f>IF(E$3&lt;=65,Inputs!$B$147*E$40,0)</f>
        <v>0</v>
      </c>
      <c r="F41" s="8">
        <f>IF(F$3&lt;=65,Inputs!$B$147*F$40,0)</f>
        <v>0</v>
      </c>
      <c r="G41" s="8">
        <f>IF(G$3&lt;=65,Inputs!$B$147*G$40,0)</f>
        <v>0</v>
      </c>
      <c r="H41" s="8">
        <f>IF(H$3&lt;=65,Inputs!$B$147*H$40,0)</f>
        <v>0</v>
      </c>
      <c r="I41" s="8">
        <f>IF(I$3&lt;=65,Inputs!$B$147*I$40,0)</f>
        <v>0</v>
      </c>
      <c r="J41" s="8">
        <f>IF(J$3&lt;=65,Inputs!$B$147*J$40,0)</f>
        <v>0</v>
      </c>
      <c r="K41" s="8">
        <f>IF(K$3&lt;=65,Inputs!$B$147*K$40,0)</f>
        <v>0</v>
      </c>
      <c r="L41" s="8">
        <f>IF(L$3&lt;=65,Inputs!$B$147*L$40,0)</f>
        <v>0</v>
      </c>
      <c r="M41" s="8">
        <f>IF(M$3&lt;=65,Inputs!$B$147*M$40,0)</f>
        <v>0</v>
      </c>
      <c r="N41" s="8">
        <f>IF(N$3&lt;=65,Inputs!$B$147*N$40,0)</f>
        <v>0</v>
      </c>
      <c r="O41" s="8">
        <f>IF(O$3&lt;=65,Inputs!$B$147*O$40,0)</f>
        <v>0</v>
      </c>
      <c r="P41" s="8">
        <f>IF(P$3&lt;=65,Inputs!$B$147*P$40,0)</f>
        <v>0</v>
      </c>
      <c r="Q41" s="8">
        <f>IF(Q$3&lt;=65,Inputs!$B$147*Q$40,0)</f>
        <v>0</v>
      </c>
      <c r="R41" s="8">
        <f>IF(R$3&lt;=65,Inputs!$B$147*R$40,0)</f>
        <v>0</v>
      </c>
      <c r="S41" s="8">
        <f>IF(S$3&lt;=65,Inputs!$B$147*S$40,0)</f>
        <v>0</v>
      </c>
      <c r="T41" s="8">
        <f>IF(T$3&lt;=65,Inputs!$B$147*T$40,0)</f>
        <v>0</v>
      </c>
      <c r="U41" s="8">
        <f>IF(U$3&lt;=65,Inputs!$B$147*U$40,0)</f>
        <v>0</v>
      </c>
      <c r="V41" s="8">
        <f>IF(V$3&lt;=65,Inputs!$B$147*V$40,0)</f>
        <v>0</v>
      </c>
      <c r="W41" s="8">
        <f>IF(W$3&lt;=65,Inputs!$B$147*W$40,0)</f>
        <v>0</v>
      </c>
      <c r="X41" s="8">
        <f>IF(X$3&lt;=65,Inputs!$B$147*X$40,0)</f>
        <v>0</v>
      </c>
      <c r="Y41" s="8">
        <f>IF(Y$3&lt;=65,Inputs!$B$147*Y$40,0)</f>
        <v>0</v>
      </c>
      <c r="Z41" s="8">
        <f>IF(Z$3&lt;=65,Inputs!$B$147*Z$40,0)</f>
        <v>0</v>
      </c>
      <c r="AA41" s="8">
        <f>IF(AA$3&lt;=65,Inputs!$B$147*AA$40,0)</f>
        <v>0</v>
      </c>
      <c r="AB41" s="8">
        <f>IF(AB$3&lt;=65,Inputs!$B$147*AB$40,0)</f>
        <v>0</v>
      </c>
      <c r="AC41" s="8">
        <f>IF(AC$3&lt;=65,Inputs!$B$147*AC$40,0)</f>
        <v>0</v>
      </c>
      <c r="AD41" s="8">
        <f>IF(AD$3&lt;=65,Inputs!$B$147*AD$40,0)</f>
        <v>0</v>
      </c>
      <c r="AE41" s="8">
        <f>IF(AE$3&lt;=65,Inputs!$B$147*AE$40,0)</f>
        <v>0</v>
      </c>
      <c r="AF41" s="8">
        <f>IF(AF$3&lt;=65,Inputs!$B$147*AF$40,0)</f>
        <v>0</v>
      </c>
      <c r="AG41" s="8">
        <f>IF(AG$3&lt;=65,Inputs!$B$147*AG$40,0)</f>
        <v>0</v>
      </c>
      <c r="AH41" s="8">
        <f>IF(AH$3&lt;=65,Inputs!$B$147*AH$40,0)</f>
        <v>0</v>
      </c>
      <c r="AI41" s="8">
        <f>IF(AI$3&lt;=65,Inputs!$B$147*AI$40,0)</f>
        <v>0</v>
      </c>
      <c r="AJ41" s="8">
        <f>IF(AJ$3&lt;=65,Inputs!$B$147*AJ$40,0)</f>
        <v>0</v>
      </c>
      <c r="AK41" s="8">
        <f>IF(AK$3&lt;=65,Inputs!$B$147*AK$40,0)</f>
        <v>0</v>
      </c>
      <c r="AL41" s="8">
        <f>IF(AL$3&lt;=65,Inputs!$B$147*AL$40,0)</f>
        <v>0</v>
      </c>
      <c r="AM41" s="8">
        <f>IF(AM$3&lt;=65,Inputs!$B$147*AM$40,0)</f>
        <v>0</v>
      </c>
    </row>
    <row r="42" spans="1:39" x14ac:dyDescent="0.2">
      <c r="A42" s="4" t="str">
        <f>"Adjustment "&amp;Inputs!A148</f>
        <v>Adjustment from 66-75</v>
      </c>
      <c r="B42" s="9"/>
      <c r="C42" s="8">
        <f>IF(AND(C$3&gt;65,C$3&lt;=75),Inputs!$B$148*C40,0)</f>
        <v>0</v>
      </c>
      <c r="D42" s="8">
        <f>IF(AND(D$3&gt;65,D$3&lt;=75),Inputs!$B$148*D40,0)</f>
        <v>0</v>
      </c>
      <c r="E42" s="8">
        <f>IF(AND(E$3&gt;65,E$3&lt;=75),Inputs!$B$148*E40,0)</f>
        <v>0</v>
      </c>
      <c r="F42" s="8">
        <f>IF(AND(F$3&gt;65,F$3&lt;=75),Inputs!$B$148*F40,0)</f>
        <v>0</v>
      </c>
      <c r="G42" s="8">
        <f>IF(AND(G$3&gt;65,G$3&lt;=75),Inputs!$B$148*G40,0)</f>
        <v>0</v>
      </c>
      <c r="H42" s="8">
        <f>IF(AND(H$3&gt;65,H$3&lt;=75),Inputs!$B$148*H40,0)</f>
        <v>0</v>
      </c>
      <c r="I42" s="8">
        <f>IF(AND(I$3&gt;65,I$3&lt;=75),Inputs!$B$148*I40,0)</f>
        <v>0</v>
      </c>
      <c r="J42" s="8">
        <f>IF(AND(J$3&gt;65,J$3&lt;=75),Inputs!$B$148*J40,0)</f>
        <v>0</v>
      </c>
      <c r="K42" s="8">
        <f>IF(AND(K$3&gt;65,K$3&lt;=75),Inputs!$B$148*K40,0)</f>
        <v>0</v>
      </c>
      <c r="L42" s="8">
        <f>IF(AND(L$3&gt;65,L$3&lt;=75),Inputs!$B$148*L40,0)</f>
        <v>0</v>
      </c>
      <c r="M42" s="8">
        <f>IF(AND(M$3&gt;65,M$3&lt;=75),Inputs!$B$148*M40,0)</f>
        <v>0</v>
      </c>
      <c r="N42" s="8">
        <f>IF(AND(N$3&gt;65,N$3&lt;=75),Inputs!$B$148*N40,0)</f>
        <v>0</v>
      </c>
      <c r="O42" s="8">
        <f>IF(AND(O$3&gt;65,O$3&lt;=75),Inputs!$B$148*O40,0)</f>
        <v>0</v>
      </c>
      <c r="P42" s="8">
        <f>IF(AND(P$3&gt;65,P$3&lt;=75),Inputs!$B$148*P40,0)</f>
        <v>0</v>
      </c>
      <c r="Q42" s="8">
        <f>IF(AND(Q$3&gt;65,Q$3&lt;=75),Inputs!$B$148*Q40,0)</f>
        <v>0</v>
      </c>
      <c r="R42" s="8">
        <f>IF(AND(R$3&gt;65,R$3&lt;=75),Inputs!$B$148*R40,0)</f>
        <v>0</v>
      </c>
      <c r="S42" s="8">
        <f>IF(AND(S$3&gt;65,S$3&lt;=75),Inputs!$B$148*S40,0)</f>
        <v>0</v>
      </c>
      <c r="T42" s="8">
        <f>IF(AND(T$3&gt;65,T$3&lt;=75),Inputs!$B$148*T40,0)</f>
        <v>-7608.0913058853857</v>
      </c>
      <c r="U42" s="8">
        <f>IF(AND(U$3&gt;65,U$3&lt;=75),Inputs!$B$148*U40,0)</f>
        <v>-7798.2935885325205</v>
      </c>
      <c r="V42" s="8">
        <f>IF(AND(V$3&gt;65,V$3&lt;=75),Inputs!$B$148*V40,0)</f>
        <v>-7993.2509282458332</v>
      </c>
      <c r="W42" s="8">
        <f>IF(AND(W$3&gt;65,W$3&lt;=75),Inputs!$B$148*W40,0)</f>
        <v>-8193.0822014519781</v>
      </c>
      <c r="X42" s="8">
        <f>IF(AND(X$3&gt;65,X$3&lt;=75),Inputs!$B$148*X40,0)</f>
        <v>-8397.9092564882776</v>
      </c>
      <c r="Y42" s="8">
        <f>IF(AND(Y$3&gt;65,Y$3&lt;=75),Inputs!$B$148*Y40,0)</f>
        <v>-8607.8569879004845</v>
      </c>
      <c r="Z42" s="8">
        <f>IF(AND(Z$3&gt;65,Z$3&lt;=75),Inputs!$B$148*Z40,0)</f>
        <v>-8823.0534125979957</v>
      </c>
      <c r="AA42" s="8">
        <f>IF(AND(AA$3&gt;65,AA$3&lt;=75),Inputs!$B$148*AA40,0)</f>
        <v>-9043.6297479129444</v>
      </c>
      <c r="AB42" s="8">
        <f>IF(AND(AB$3&gt;65,AB$3&lt;=75),Inputs!$B$148*AB40,0)</f>
        <v>-9269.7204916107676</v>
      </c>
      <c r="AC42" s="8">
        <f>IF(AND(AC$3&gt;65,AC$3&lt;=75),Inputs!$B$148*AC40,0)</f>
        <v>-9501.4635039010354</v>
      </c>
      <c r="AD42" s="8">
        <f>IF(AND(AD$3&gt;65,AD$3&lt;=75),Inputs!$B$148*AD40,0)</f>
        <v>0</v>
      </c>
      <c r="AE42" s="8">
        <f>IF(AND(AE$3&gt;65,AE$3&lt;=75),Inputs!$B$148*AE40,0)</f>
        <v>0</v>
      </c>
      <c r="AF42" s="8">
        <f>IF(AND(AF$3&gt;65,AF$3&lt;=75),Inputs!$B$148*AF40,0)</f>
        <v>0</v>
      </c>
      <c r="AG42" s="8">
        <f>IF(AND(AG$3&gt;65,AG$3&lt;=75),Inputs!$B$148*AG40,0)</f>
        <v>0</v>
      </c>
      <c r="AH42" s="8">
        <f>IF(AND(AH$3&gt;65,AH$3&lt;=75),Inputs!$B$148*AH40,0)</f>
        <v>0</v>
      </c>
      <c r="AI42" s="8">
        <f>IF(AND(AI$3&gt;65,AI$3&lt;=75),Inputs!$B$148*AI40,0)</f>
        <v>0</v>
      </c>
      <c r="AJ42" s="8">
        <f>IF(AND(AJ$3&gt;65,AJ$3&lt;=75),Inputs!$B$148*AJ40,0)</f>
        <v>0</v>
      </c>
      <c r="AK42" s="8">
        <f>IF(AND(AK$3&gt;65,AK$3&lt;=75),Inputs!$B$148*AK40,0)</f>
        <v>0</v>
      </c>
      <c r="AL42" s="8">
        <f>IF(AND(AL$3&gt;65,AL$3&lt;=75),Inputs!$B$148*AL40,0)</f>
        <v>0</v>
      </c>
      <c r="AM42" s="8">
        <f>IF(AND(AM$3&gt;65,AM$3&lt;=75),Inputs!$B$148*AM40,0)</f>
        <v>0</v>
      </c>
    </row>
    <row r="43" spans="1:39" x14ac:dyDescent="0.2">
      <c r="A43" s="4" t="str">
        <f>"Adjustment "&amp;Inputs!A149</f>
        <v>Adjustment from age 76</v>
      </c>
      <c r="B43" s="9"/>
      <c r="C43" s="8">
        <f>IF(C$3&gt;75,Inputs!$B$149*C$40,0)</f>
        <v>0</v>
      </c>
      <c r="D43" s="8">
        <f>IF(D$3&gt;75,Inputs!$B$149*D$40,0)</f>
        <v>0</v>
      </c>
      <c r="E43" s="8">
        <f>IF(E$3&gt;75,Inputs!$B$149*E$40,0)</f>
        <v>0</v>
      </c>
      <c r="F43" s="8">
        <f>IF(F$3&gt;75,Inputs!$B$149*F$40,0)</f>
        <v>0</v>
      </c>
      <c r="G43" s="8">
        <f>IF(G$3&gt;75,Inputs!$B$149*G$40,0)</f>
        <v>0</v>
      </c>
      <c r="H43" s="8">
        <f>IF(H$3&gt;75,Inputs!$B$149*H$40,0)</f>
        <v>0</v>
      </c>
      <c r="I43" s="8">
        <f>IF(I$3&gt;75,Inputs!$B$149*I$40,0)</f>
        <v>0</v>
      </c>
      <c r="J43" s="8">
        <f>IF(J$3&gt;75,Inputs!$B$149*J$40,0)</f>
        <v>0</v>
      </c>
      <c r="K43" s="8">
        <f>IF(K$3&gt;75,Inputs!$B$149*K$40,0)</f>
        <v>0</v>
      </c>
      <c r="L43" s="8">
        <f>IF(L$3&gt;75,Inputs!$B$149*L$40,0)</f>
        <v>0</v>
      </c>
      <c r="M43" s="8">
        <f>IF(M$3&gt;75,Inputs!$B$149*M$40,0)</f>
        <v>0</v>
      </c>
      <c r="N43" s="8">
        <f>IF(N$3&gt;75,Inputs!$B$149*N$40,0)</f>
        <v>0</v>
      </c>
      <c r="O43" s="8">
        <f>IF(O$3&gt;75,Inputs!$B$149*O$40,0)</f>
        <v>0</v>
      </c>
      <c r="P43" s="8">
        <f>IF(P$3&gt;75,Inputs!$B$149*P$40,0)</f>
        <v>0</v>
      </c>
      <c r="Q43" s="8">
        <f>IF(Q$3&gt;75,Inputs!$B$149*Q$40,0)</f>
        <v>0</v>
      </c>
      <c r="R43" s="8">
        <f>IF(R$3&gt;75,Inputs!$B$149*R$40,0)</f>
        <v>0</v>
      </c>
      <c r="S43" s="8">
        <f>IF(S$3&gt;75,Inputs!$B$149*S$40,0)</f>
        <v>0</v>
      </c>
      <c r="T43" s="8">
        <f>IF(T$3&gt;75,Inputs!$B$149*T$40,0)</f>
        <v>0</v>
      </c>
      <c r="U43" s="8">
        <f>IF(U$3&gt;75,Inputs!$B$149*U$40,0)</f>
        <v>0</v>
      </c>
      <c r="V43" s="8">
        <f>IF(V$3&gt;75,Inputs!$B$149*V$40,0)</f>
        <v>0</v>
      </c>
      <c r="W43" s="8">
        <f>IF(W$3&gt;75,Inputs!$B$149*W$40,0)</f>
        <v>0</v>
      </c>
      <c r="X43" s="8">
        <f>IF(X$3&gt;75,Inputs!$B$149*X$40,0)</f>
        <v>0</v>
      </c>
      <c r="Y43" s="8">
        <f>IF(Y$3&gt;75,Inputs!$B$149*Y$40,0)</f>
        <v>0</v>
      </c>
      <c r="Z43" s="8">
        <f>IF(Z$3&gt;75,Inputs!$B$149*Z$40,0)</f>
        <v>0</v>
      </c>
      <c r="AA43" s="8">
        <f>IF(AA$3&gt;75,Inputs!$B$149*AA$40,0)</f>
        <v>0</v>
      </c>
      <c r="AB43" s="8">
        <f>IF(AB$3&gt;75,Inputs!$B$149*AB$40,0)</f>
        <v>0</v>
      </c>
      <c r="AC43" s="8">
        <f>IF(AC$3&gt;75,Inputs!$B$149*AC$40,0)</f>
        <v>0</v>
      </c>
      <c r="AD43" s="8">
        <f>IF(AD$3&gt;75,Inputs!$B$149*AD$40,0)</f>
        <v>-19478.000182997122</v>
      </c>
      <c r="AE43" s="8">
        <f>IF(AE$3&gt;75,Inputs!$B$149*AE$40,0)</f>
        <v>-19964.950187572049</v>
      </c>
      <c r="AF43" s="8">
        <f>IF(AF$3&gt;75,Inputs!$B$149*AF$40,0)</f>
        <v>-20464.073942261355</v>
      </c>
      <c r="AG43" s="8">
        <f>IF(AG$3&gt;75,Inputs!$B$149*AG$40,0)</f>
        <v>-20975.675790817884</v>
      </c>
      <c r="AH43" s="8">
        <f>IF(AH$3&gt;75,Inputs!$B$149*AH$40,0)</f>
        <v>-21500.067685588336</v>
      </c>
      <c r="AI43" s="8">
        <f>IF(AI$3&gt;75,Inputs!$B$149*AI$40,0)</f>
        <v>-22037.569377728039</v>
      </c>
      <c r="AJ43" s="8">
        <f>IF(AJ$3&gt;75,Inputs!$B$149*AJ$40,0)</f>
        <v>-22588.508612171237</v>
      </c>
      <c r="AK43" s="8">
        <f>IF(AK$3&gt;75,Inputs!$B$149*AK$40,0)</f>
        <v>-23153.22132747552</v>
      </c>
      <c r="AL43" s="8">
        <f>IF(AL$3&gt;75,Inputs!$B$149*AL$40,0)</f>
        <v>-23732.051860662403</v>
      </c>
      <c r="AM43" s="8">
        <f>IF(AM$3&gt;75,Inputs!$B$149*AM$40,0)</f>
        <v>-24325.353157178964</v>
      </c>
    </row>
    <row r="44" spans="1:39" x14ac:dyDescent="0.2">
      <c r="A44" s="5" t="s">
        <v>64</v>
      </c>
      <c r="B44" s="9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</row>
    <row r="45" spans="1:39" x14ac:dyDescent="0.2">
      <c r="A45" s="4" t="str">
        <f>TEXT(Inputs!$B$127,"")</f>
        <v>Wedding</v>
      </c>
      <c r="B45" s="9"/>
      <c r="C45" s="8">
        <f ca="1">IF(C$2=Inputs!$B129,Inputs!$B128,0)*(1+inf)^B$1</f>
        <v>0</v>
      </c>
      <c r="D45" s="8">
        <f ca="1">IF(D$2=Inputs!$B129,Inputs!$B128,0)*(1+inf)^C$1</f>
        <v>0</v>
      </c>
      <c r="E45" s="8">
        <f ca="1">IF(E$2=Inputs!$B129,Inputs!$B128,0)*(1+inf)^D$1</f>
        <v>0</v>
      </c>
      <c r="F45" s="8">
        <f ca="1">IF(F$2=Inputs!$B129,Inputs!$B128,0)*(1+inf)^E$1</f>
        <v>0</v>
      </c>
      <c r="G45" s="8">
        <f ca="1">IF(G$2=Inputs!$B129,Inputs!$B128,0)*(1+inf)^F$1</f>
        <v>0</v>
      </c>
      <c r="H45" s="8">
        <f ca="1">IF(H$2=Inputs!$B129,Inputs!$B128,0)*(1+inf)^G$1</f>
        <v>0</v>
      </c>
      <c r="I45" s="8">
        <f ca="1">IF(I$2=Inputs!$B129,Inputs!$B128,0)*(1+inf)^H$1</f>
        <v>0</v>
      </c>
      <c r="J45" s="8">
        <f ca="1">IF(J$2=Inputs!$B129,Inputs!$B128,0)*(1+inf)^I$1</f>
        <v>0</v>
      </c>
      <c r="K45" s="8">
        <f ca="1">IF(K$2=Inputs!$B129,Inputs!$B128,0)*(1+inf)^J$1</f>
        <v>0</v>
      </c>
      <c r="L45" s="8">
        <f ca="1">IF(L$2=Inputs!$B129,Inputs!$B128,0)*(1+inf)^K$1</f>
        <v>49954.518797906618</v>
      </c>
      <c r="M45" s="8">
        <f ca="1">IF(M$2=Inputs!$B129,Inputs!$B128,0)*(1+inf)^L$1</f>
        <v>0</v>
      </c>
      <c r="N45" s="8">
        <f ca="1">IF(N$2=Inputs!$B129,Inputs!$B128,0)*(1+inf)^M$1</f>
        <v>0</v>
      </c>
      <c r="O45" s="8">
        <f ca="1">IF(O$2=Inputs!$B129,Inputs!$B128,0)*(1+inf)^N$1</f>
        <v>0</v>
      </c>
      <c r="P45" s="8">
        <f ca="1">IF(P$2=Inputs!$B129,Inputs!$B128,0)*(1+inf)^O$1</f>
        <v>0</v>
      </c>
      <c r="Q45" s="8">
        <f ca="1">IF(Q$2=Inputs!$B129,Inputs!$B128,0)*(1+inf)^P$1</f>
        <v>0</v>
      </c>
      <c r="R45" s="8">
        <f ca="1">IF(R$2=Inputs!$B129,Inputs!$B128,0)*(1+inf)^Q$1</f>
        <v>0</v>
      </c>
      <c r="S45" s="8">
        <f ca="1">IF(S$2=Inputs!$B129,Inputs!$B128,0)*(1+inf)^R$1</f>
        <v>0</v>
      </c>
      <c r="T45" s="8">
        <f ca="1">IF(T$2=Inputs!$B129,Inputs!$B128,0)*(1+inf)^S$1</f>
        <v>0</v>
      </c>
      <c r="U45" s="8">
        <f ca="1">IF(U$2=Inputs!$B129,Inputs!$B128,0)*(1+inf)^T$1</f>
        <v>0</v>
      </c>
      <c r="V45" s="8">
        <f ca="1">IF(V$2=Inputs!$B129,Inputs!$B128,0)*(1+inf)^U$1</f>
        <v>0</v>
      </c>
      <c r="W45" s="8">
        <f ca="1">IF(W$2=Inputs!$B129,Inputs!$B128,0)*(1+inf)^V$1</f>
        <v>0</v>
      </c>
      <c r="X45" s="8">
        <f ca="1">IF(X$2=Inputs!$B129,Inputs!$B128,0)*(1+inf)^W$1</f>
        <v>0</v>
      </c>
      <c r="Y45" s="8">
        <f ca="1">IF(Y$2=Inputs!$B129,Inputs!$B128,0)*(1+inf)^X$1</f>
        <v>0</v>
      </c>
      <c r="Z45" s="8">
        <f ca="1">IF(Z$2=Inputs!$B129,Inputs!$B128,0)*(1+inf)^Y$1</f>
        <v>0</v>
      </c>
      <c r="AA45" s="8">
        <f ca="1">IF(AA$2=Inputs!$B129,Inputs!$B128,0)*(1+inf)^Z$1</f>
        <v>0</v>
      </c>
      <c r="AB45" s="8">
        <f ca="1">IF(AB$2=Inputs!$B129,Inputs!$B128,0)*(1+inf)^AA$1</f>
        <v>0</v>
      </c>
      <c r="AC45" s="8">
        <f ca="1">IF(AC$2=Inputs!$B129,Inputs!$B128,0)*(1+inf)^AB$1</f>
        <v>0</v>
      </c>
      <c r="AD45" s="8">
        <f ca="1">IF(AD$2=Inputs!$B129,Inputs!$B128,0)*(1+inf)^AC$1</f>
        <v>0</v>
      </c>
      <c r="AE45" s="8">
        <f ca="1">IF(AE$2=Inputs!$B129,Inputs!$B128,0)*(1+inf)^AD$1</f>
        <v>0</v>
      </c>
      <c r="AF45" s="8">
        <f ca="1">IF(AF$2=Inputs!$B129,Inputs!$B128,0)*(1+inf)^AE$1</f>
        <v>0</v>
      </c>
      <c r="AG45" s="8">
        <f ca="1">IF(AG$2=Inputs!$B129,Inputs!$B128,0)*(1+inf)^AF$1</f>
        <v>0</v>
      </c>
      <c r="AH45" s="8">
        <f ca="1">IF(AH$2=Inputs!$B129,Inputs!$B128,0)*(1+inf)^AG$1</f>
        <v>0</v>
      </c>
      <c r="AI45" s="8">
        <f ca="1">IF(AI$2=Inputs!$B129,Inputs!$B128,0)*(1+inf)^AH$1</f>
        <v>0</v>
      </c>
      <c r="AJ45" s="8">
        <f ca="1">IF(AJ$2=Inputs!$B129,Inputs!$B128,0)*(1+inf)^AI$1</f>
        <v>0</v>
      </c>
      <c r="AK45" s="8">
        <f ca="1">IF(AK$2=Inputs!$B129,Inputs!$B128,0)*(1+inf)^AJ$1</f>
        <v>0</v>
      </c>
      <c r="AL45" s="8">
        <f ca="1">IF(AL$2=Inputs!$B129,Inputs!$B128,0)*(1+inf)^AK$1</f>
        <v>0</v>
      </c>
      <c r="AM45" s="8">
        <f ca="1">IF(AM$2=Inputs!$B129,Inputs!$B128,0)*(1+inf)^AL$1</f>
        <v>0</v>
      </c>
    </row>
    <row r="46" spans="1:39" x14ac:dyDescent="0.2">
      <c r="A46" s="4" t="str">
        <f>TEXT(Inputs!$B$132,"")</f>
        <v>New Car</v>
      </c>
      <c r="B46" s="9"/>
      <c r="C46" s="8">
        <f ca="1">IF(C$2=Inputs!$B134,Inputs!$B133,0)*(1+inf)^B$1</f>
        <v>0</v>
      </c>
      <c r="D46" s="8">
        <f ca="1">IF(D$2=Inputs!$B134,Inputs!$B133,0)*(1+inf)^C$1</f>
        <v>0</v>
      </c>
      <c r="E46" s="8">
        <f ca="1">IF(E$2=Inputs!$B134,Inputs!$B133,0)*(1+inf)^D$1</f>
        <v>36771.875</v>
      </c>
      <c r="F46" s="8">
        <f ca="1">IF(F$2=Inputs!$B134,Inputs!$B133,0)*(1+inf)^E$1</f>
        <v>0</v>
      </c>
      <c r="G46" s="8">
        <f ca="1">IF(G$2=Inputs!$B134,Inputs!$B133,0)*(1+inf)^F$1</f>
        <v>0</v>
      </c>
      <c r="H46" s="8">
        <f ca="1">IF(H$2=Inputs!$B134,Inputs!$B133,0)*(1+inf)^G$1</f>
        <v>0</v>
      </c>
      <c r="I46" s="8">
        <f ca="1">IF(I$2=Inputs!$B134,Inputs!$B133,0)*(1+inf)^H$1</f>
        <v>0</v>
      </c>
      <c r="J46" s="8">
        <f ca="1">IF(J$2=Inputs!$B134,Inputs!$B133,0)*(1+inf)^I$1</f>
        <v>0</v>
      </c>
      <c r="K46" s="8">
        <f ca="1">IF(K$2=Inputs!$B134,Inputs!$B133,0)*(1+inf)^J$1</f>
        <v>0</v>
      </c>
      <c r="L46" s="8">
        <f ca="1">IF(L$2=Inputs!$B134,Inputs!$B133,0)*(1+inf)^K$1</f>
        <v>0</v>
      </c>
      <c r="M46" s="8">
        <f ca="1">IF(M$2=Inputs!$B134,Inputs!$B133,0)*(1+inf)^L$1</f>
        <v>0</v>
      </c>
      <c r="N46" s="8">
        <f ca="1">IF(N$2=Inputs!$B134,Inputs!$B133,0)*(1+inf)^M$1</f>
        <v>0</v>
      </c>
      <c r="O46" s="8">
        <f ca="1">IF(O$2=Inputs!$B134,Inputs!$B133,0)*(1+inf)^N$1</f>
        <v>0</v>
      </c>
      <c r="P46" s="8">
        <f ca="1">IF(P$2=Inputs!$B134,Inputs!$B133,0)*(1+inf)^O$1</f>
        <v>0</v>
      </c>
      <c r="Q46" s="8">
        <f ca="1">IF(Q$2=Inputs!$B134,Inputs!$B133,0)*(1+inf)^P$1</f>
        <v>0</v>
      </c>
      <c r="R46" s="8">
        <f ca="1">IF(R$2=Inputs!$B134,Inputs!$B133,0)*(1+inf)^Q$1</f>
        <v>0</v>
      </c>
      <c r="S46" s="8">
        <f ca="1">IF(S$2=Inputs!$B134,Inputs!$B133,0)*(1+inf)^R$1</f>
        <v>0</v>
      </c>
      <c r="T46" s="8">
        <f ca="1">IF(T$2=Inputs!$B134,Inputs!$B133,0)*(1+inf)^S$1</f>
        <v>0</v>
      </c>
      <c r="U46" s="8">
        <f ca="1">IF(U$2=Inputs!$B134,Inputs!$B133,0)*(1+inf)^T$1</f>
        <v>0</v>
      </c>
      <c r="V46" s="8">
        <f ca="1">IF(V$2=Inputs!$B134,Inputs!$B133,0)*(1+inf)^U$1</f>
        <v>0</v>
      </c>
      <c r="W46" s="8">
        <f ca="1">IF(W$2=Inputs!$B134,Inputs!$B133,0)*(1+inf)^V$1</f>
        <v>0</v>
      </c>
      <c r="X46" s="8">
        <f ca="1">IF(X$2=Inputs!$B134,Inputs!$B133,0)*(1+inf)^W$1</f>
        <v>0</v>
      </c>
      <c r="Y46" s="8">
        <f ca="1">IF(Y$2=Inputs!$B134,Inputs!$B133,0)*(1+inf)^X$1</f>
        <v>0</v>
      </c>
      <c r="Z46" s="8">
        <f ca="1">IF(Z$2=Inputs!$B134,Inputs!$B133,0)*(1+inf)^Y$1</f>
        <v>0</v>
      </c>
      <c r="AA46" s="8">
        <f ca="1">IF(AA$2=Inputs!$B134,Inputs!$B133,0)*(1+inf)^Z$1</f>
        <v>0</v>
      </c>
      <c r="AB46" s="8">
        <f ca="1">IF(AB$2=Inputs!$B134,Inputs!$B133,0)*(1+inf)^AA$1</f>
        <v>0</v>
      </c>
      <c r="AC46" s="8">
        <f ca="1">IF(AC$2=Inputs!$B134,Inputs!$B133,0)*(1+inf)^AB$1</f>
        <v>0</v>
      </c>
      <c r="AD46" s="8">
        <f ca="1">IF(AD$2=Inputs!$B134,Inputs!$B133,0)*(1+inf)^AC$1</f>
        <v>0</v>
      </c>
      <c r="AE46" s="8">
        <f ca="1">IF(AE$2=Inputs!$B134,Inputs!$B133,0)*(1+inf)^AD$1</f>
        <v>0</v>
      </c>
      <c r="AF46" s="8">
        <f ca="1">IF(AF$2=Inputs!$B134,Inputs!$B133,0)*(1+inf)^AE$1</f>
        <v>0</v>
      </c>
      <c r="AG46" s="8">
        <f ca="1">IF(AG$2=Inputs!$B134,Inputs!$B133,0)*(1+inf)^AF$1</f>
        <v>0</v>
      </c>
      <c r="AH46" s="8">
        <f ca="1">IF(AH$2=Inputs!$B134,Inputs!$B133,0)*(1+inf)^AG$1</f>
        <v>0</v>
      </c>
      <c r="AI46" s="8">
        <f ca="1">IF(AI$2=Inputs!$B134,Inputs!$B133,0)*(1+inf)^AH$1</f>
        <v>0</v>
      </c>
      <c r="AJ46" s="8">
        <f ca="1">IF(AJ$2=Inputs!$B134,Inputs!$B133,0)*(1+inf)^AI$1</f>
        <v>0</v>
      </c>
      <c r="AK46" s="8">
        <f ca="1">IF(AK$2=Inputs!$B134,Inputs!$B133,0)*(1+inf)^AJ$1</f>
        <v>0</v>
      </c>
      <c r="AL46" s="8">
        <f ca="1">IF(AL$2=Inputs!$B134,Inputs!$B133,0)*(1+inf)^AK$1</f>
        <v>0</v>
      </c>
      <c r="AM46" s="8">
        <f ca="1">IF(AM$2=Inputs!$B134,Inputs!$B133,0)*(1+inf)^AL$1</f>
        <v>0</v>
      </c>
    </row>
    <row r="47" spans="1:39" x14ac:dyDescent="0.2">
      <c r="A47" s="4" t="str">
        <f>TEXT(Inputs!$B$137,"")</f>
        <v>New AC</v>
      </c>
      <c r="B47" s="9"/>
      <c r="C47" s="8">
        <f ca="1">IF(C$2=Inputs!$B139,Inputs!$B138,0)*(1+inf)^B$1</f>
        <v>0</v>
      </c>
      <c r="D47" s="8">
        <f ca="1">IF(D$2=Inputs!$B139,Inputs!$B138,0)*(1+inf)^C$1</f>
        <v>0</v>
      </c>
      <c r="E47" s="8">
        <f ca="1">IF(E$2=Inputs!$B139,Inputs!$B138,0)*(1+inf)^D$1</f>
        <v>0</v>
      </c>
      <c r="F47" s="8">
        <f ca="1">IF(F$2=Inputs!$B139,Inputs!$B138,0)*(1+inf)^E$1</f>
        <v>0</v>
      </c>
      <c r="G47" s="8">
        <f ca="1">IF(G$2=Inputs!$B139,Inputs!$B138,0)*(1+inf)^F$1</f>
        <v>0</v>
      </c>
      <c r="H47" s="8">
        <f ca="1">IF(H$2=Inputs!$B139,Inputs!$B138,0)*(1+inf)^G$1</f>
        <v>0</v>
      </c>
      <c r="I47" s="8">
        <f ca="1">IF(I$2=Inputs!$B139,Inputs!$B138,0)*(1+inf)^H$1</f>
        <v>0</v>
      </c>
      <c r="J47" s="8">
        <f ca="1">IF(J$2=Inputs!$B139,Inputs!$B138,0)*(1+inf)^I$1</f>
        <v>17830.286305023186</v>
      </c>
      <c r="K47" s="8">
        <f ca="1">IF(K$2=Inputs!$B139,Inputs!$B138,0)*(1+inf)^J$1</f>
        <v>0</v>
      </c>
      <c r="L47" s="8">
        <f ca="1">IF(L$2=Inputs!$B139,Inputs!$B138,0)*(1+inf)^K$1</f>
        <v>0</v>
      </c>
      <c r="M47" s="8">
        <f ca="1">IF(M$2=Inputs!$B139,Inputs!$B138,0)*(1+inf)^L$1</f>
        <v>0</v>
      </c>
      <c r="N47" s="8">
        <f ca="1">IF(N$2=Inputs!$B139,Inputs!$B138,0)*(1+inf)^M$1</f>
        <v>0</v>
      </c>
      <c r="O47" s="8">
        <f ca="1">IF(O$2=Inputs!$B139,Inputs!$B138,0)*(1+inf)^N$1</f>
        <v>0</v>
      </c>
      <c r="P47" s="8">
        <f ca="1">IF(P$2=Inputs!$B139,Inputs!$B138,0)*(1+inf)^O$1</f>
        <v>0</v>
      </c>
      <c r="Q47" s="8">
        <f ca="1">IF(Q$2=Inputs!$B139,Inputs!$B138,0)*(1+inf)^P$1</f>
        <v>0</v>
      </c>
      <c r="R47" s="8">
        <f ca="1">IF(R$2=Inputs!$B139,Inputs!$B138,0)*(1+inf)^Q$1</f>
        <v>0</v>
      </c>
      <c r="S47" s="8">
        <f ca="1">IF(S$2=Inputs!$B139,Inputs!$B138,0)*(1+inf)^R$1</f>
        <v>0</v>
      </c>
      <c r="T47" s="8">
        <f ca="1">IF(T$2=Inputs!$B139,Inputs!$B138,0)*(1+inf)^S$1</f>
        <v>0</v>
      </c>
      <c r="U47" s="8">
        <f ca="1">IF(U$2=Inputs!$B139,Inputs!$B138,0)*(1+inf)^T$1</f>
        <v>0</v>
      </c>
      <c r="V47" s="8">
        <f ca="1">IF(V$2=Inputs!$B139,Inputs!$B138,0)*(1+inf)^U$1</f>
        <v>0</v>
      </c>
      <c r="W47" s="8">
        <f ca="1">IF(W$2=Inputs!$B139,Inputs!$B138,0)*(1+inf)^V$1</f>
        <v>0</v>
      </c>
      <c r="X47" s="8">
        <f ca="1">IF(X$2=Inputs!$B139,Inputs!$B138,0)*(1+inf)^W$1</f>
        <v>0</v>
      </c>
      <c r="Y47" s="8">
        <f ca="1">IF(Y$2=Inputs!$B139,Inputs!$B138,0)*(1+inf)^X$1</f>
        <v>0</v>
      </c>
      <c r="Z47" s="8">
        <f ca="1">IF(Z$2=Inputs!$B139,Inputs!$B138,0)*(1+inf)^Y$1</f>
        <v>0</v>
      </c>
      <c r="AA47" s="8">
        <f ca="1">IF(AA$2=Inputs!$B139,Inputs!$B138,0)*(1+inf)^Z$1</f>
        <v>0</v>
      </c>
      <c r="AB47" s="8">
        <f ca="1">IF(AB$2=Inputs!$B139,Inputs!$B138,0)*(1+inf)^AA$1</f>
        <v>0</v>
      </c>
      <c r="AC47" s="8">
        <f ca="1">IF(AC$2=Inputs!$B139,Inputs!$B138,0)*(1+inf)^AB$1</f>
        <v>0</v>
      </c>
      <c r="AD47" s="8">
        <f ca="1">IF(AD$2=Inputs!$B139,Inputs!$B138,0)*(1+inf)^AC$1</f>
        <v>0</v>
      </c>
      <c r="AE47" s="8">
        <f ca="1">IF(AE$2=Inputs!$B139,Inputs!$B138,0)*(1+inf)^AD$1</f>
        <v>0</v>
      </c>
      <c r="AF47" s="8">
        <f ca="1">IF(AF$2=Inputs!$B139,Inputs!$B138,0)*(1+inf)^AE$1</f>
        <v>0</v>
      </c>
      <c r="AG47" s="8">
        <f ca="1">IF(AG$2=Inputs!$B139,Inputs!$B138,0)*(1+inf)^AF$1</f>
        <v>0</v>
      </c>
      <c r="AH47" s="8">
        <f ca="1">IF(AH$2=Inputs!$B139,Inputs!$B138,0)*(1+inf)^AG$1</f>
        <v>0</v>
      </c>
      <c r="AI47" s="8">
        <f ca="1">IF(AI$2=Inputs!$B139,Inputs!$B138,0)*(1+inf)^AH$1</f>
        <v>0</v>
      </c>
      <c r="AJ47" s="8">
        <f ca="1">IF(AJ$2=Inputs!$B139,Inputs!$B138,0)*(1+inf)^AI$1</f>
        <v>0</v>
      </c>
      <c r="AK47" s="8">
        <f ca="1">IF(AK$2=Inputs!$B139,Inputs!$B138,0)*(1+inf)^AJ$1</f>
        <v>0</v>
      </c>
      <c r="AL47" s="8">
        <f ca="1">IF(AL$2=Inputs!$B139,Inputs!$B138,0)*(1+inf)^AK$1</f>
        <v>0</v>
      </c>
      <c r="AM47" s="8">
        <f ca="1">IF(AM$2=Inputs!$B139,Inputs!$B138,0)*(1+inf)^AL$1</f>
        <v>0</v>
      </c>
    </row>
    <row r="48" spans="1:39" x14ac:dyDescent="0.2">
      <c r="A48" s="5"/>
      <c r="C48" s="10">
        <f t="shared" ref="C48:G48" ca="1" si="68">SUM(C20:C47)</f>
        <v>93160</v>
      </c>
      <c r="D48" s="10">
        <f t="shared" ca="1" si="68"/>
        <v>93924</v>
      </c>
      <c r="E48" s="10">
        <f t="shared" ca="1" si="68"/>
        <v>128301.47499999999</v>
      </c>
      <c r="F48" s="10">
        <f t="shared" ca="1" si="68"/>
        <v>87655.235089457303</v>
      </c>
      <c r="G48" s="10">
        <f t="shared" ca="1" si="68"/>
        <v>87702.627992187481</v>
      </c>
      <c r="H48" s="10">
        <f t="shared" ref="H48:I48" ca="1" si="69">SUM(H20:H47)</f>
        <v>84416.268272831803</v>
      </c>
      <c r="I48" s="10">
        <f t="shared" ca="1" si="69"/>
        <v>74094.156939990207</v>
      </c>
      <c r="J48" s="10">
        <f t="shared" ref="J48:AM48" ca="1" si="70">SUM(J20:J47)</f>
        <v>93611.797168513149</v>
      </c>
      <c r="K48" s="10">
        <f t="shared" ca="1" si="70"/>
        <v>77232.064897652424</v>
      </c>
      <c r="L48" s="10">
        <f t="shared" ca="1" si="70"/>
        <v>126246.64872784793</v>
      </c>
      <c r="M48" s="10">
        <f t="shared" ca="1" si="70"/>
        <v>74500.920472227983</v>
      </c>
      <c r="N48" s="10">
        <f t="shared" ca="1" si="70"/>
        <v>76363.443484033691</v>
      </c>
      <c r="O48" s="10">
        <f t="shared" ca="1" si="70"/>
        <v>78272.529571134524</v>
      </c>
      <c r="P48" s="10">
        <f t="shared" ca="1" si="70"/>
        <v>80229.342810412869</v>
      </c>
      <c r="Q48" s="10">
        <f t="shared" ca="1" si="70"/>
        <v>82235.076380673185</v>
      </c>
      <c r="R48" s="10">
        <f t="shared" ca="1" si="70"/>
        <v>84290.953290190024</v>
      </c>
      <c r="S48" s="10">
        <f t="shared" ca="1" si="70"/>
        <v>86398.227122444776</v>
      </c>
      <c r="T48" s="10">
        <f t="shared" ca="1" si="70"/>
        <v>80950.091494620501</v>
      </c>
      <c r="U48" s="10">
        <f t="shared" ca="1" si="70"/>
        <v>82973.843781986012</v>
      </c>
      <c r="V48" s="10">
        <f t="shared" ca="1" si="70"/>
        <v>85048.18987653566</v>
      </c>
      <c r="W48" s="10">
        <f t="shared" ca="1" si="70"/>
        <v>87174.394623449029</v>
      </c>
      <c r="X48" s="10">
        <f t="shared" ca="1" si="70"/>
        <v>89353.754489035273</v>
      </c>
      <c r="Y48" s="10">
        <f t="shared" ca="1" si="70"/>
        <v>91587.598351261142</v>
      </c>
      <c r="Z48" s="10">
        <f t="shared" ca="1" si="70"/>
        <v>93877.288310042684</v>
      </c>
      <c r="AA48" s="10">
        <f t="shared" ca="1" si="70"/>
        <v>96224.220517793729</v>
      </c>
      <c r="AB48" s="10">
        <f t="shared" ca="1" si="70"/>
        <v>98629.82603073855</v>
      </c>
      <c r="AC48" s="10">
        <f t="shared" ca="1" si="70"/>
        <v>101095.57168150702</v>
      </c>
      <c r="AD48" s="10">
        <f t="shared" ca="1" si="70"/>
        <v>93883.960882046114</v>
      </c>
      <c r="AE48" s="10">
        <f t="shared" ca="1" si="70"/>
        <v>96231.059904097274</v>
      </c>
      <c r="AF48" s="10">
        <f t="shared" ca="1" si="70"/>
        <v>98636.836401699707</v>
      </c>
      <c r="AG48" s="10">
        <f t="shared" ca="1" si="70"/>
        <v>101102.75731174219</v>
      </c>
      <c r="AH48" s="10">
        <f t="shared" ca="1" si="70"/>
        <v>103630.32624453575</v>
      </c>
      <c r="AI48" s="10">
        <f t="shared" ca="1" si="70"/>
        <v>106221.08440064912</v>
      </c>
      <c r="AJ48" s="10">
        <f t="shared" ca="1" si="70"/>
        <v>108876.61151066537</v>
      </c>
      <c r="AK48" s="10">
        <f t="shared" ca="1" si="70"/>
        <v>111598.52679843198</v>
      </c>
      <c r="AL48" s="10">
        <f t="shared" ca="1" si="70"/>
        <v>114388.48996839277</v>
      </c>
      <c r="AM48" s="10">
        <f t="shared" ca="1" si="70"/>
        <v>117248.20221760261</v>
      </c>
    </row>
    <row r="49" spans="1:39" x14ac:dyDescent="0.2">
      <c r="A49" s="5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</row>
    <row r="50" spans="1:39" ht="19" x14ac:dyDescent="0.25">
      <c r="A50" s="14" t="s">
        <v>19</v>
      </c>
      <c r="C50" s="8">
        <f t="shared" ref="C50:G50" ca="1" si="71">C19-C48</f>
        <v>20325.5</v>
      </c>
      <c r="D50" s="8">
        <f t="shared" ca="1" si="71"/>
        <v>23451.962499999994</v>
      </c>
      <c r="E50" s="8">
        <f t="shared" ca="1" si="71"/>
        <v>3362.0243750000227</v>
      </c>
      <c r="F50" s="8">
        <f t="shared" ca="1" si="71"/>
        <v>37560.734784424494</v>
      </c>
      <c r="G50" s="8">
        <f t="shared" ca="1" si="71"/>
        <v>42157.35951666141</v>
      </c>
      <c r="H50" s="8">
        <f t="shared" ref="H50:I50" ca="1" si="72">H19-H48</f>
        <v>56082.973637184739</v>
      </c>
      <c r="I50" s="8">
        <f t="shared" ca="1" si="72"/>
        <v>66139.133666390146</v>
      </c>
      <c r="J50" s="8">
        <f t="shared" ref="J50:AM50" ca="1" si="73">J19-J48</f>
        <v>52079.337991745007</v>
      </c>
      <c r="K50" s="8">
        <f t="shared" ca="1" si="73"/>
        <v>135816.94032135498</v>
      </c>
      <c r="L50" s="8">
        <f t="shared" ca="1" si="73"/>
        <v>47371.413280863286</v>
      </c>
      <c r="M50" s="8">
        <f t="shared" ca="1" si="73"/>
        <v>103158.21648514706</v>
      </c>
      <c r="N50" s="8">
        <f t="shared" ca="1" si="73"/>
        <v>108730.55363060569</v>
      </c>
      <c r="O50" s="8">
        <f t="shared" ca="1" si="73"/>
        <v>114539.4855510464</v>
      </c>
      <c r="P50" s="8">
        <f t="shared" ca="1" si="73"/>
        <v>120594.03282859281</v>
      </c>
      <c r="Q50" s="8">
        <f t="shared" ca="1" si="73"/>
        <v>126903.53940936306</v>
      </c>
      <c r="R50" s="8">
        <f t="shared" ca="1" si="73"/>
        <v>133477.68374000426</v>
      </c>
      <c r="S50" s="8">
        <f t="shared" ca="1" si="73"/>
        <v>34394.259764836897</v>
      </c>
      <c r="T50" s="8">
        <f t="shared" ca="1" si="73"/>
        <v>43284.785683401846</v>
      </c>
      <c r="U50" s="8">
        <f t="shared" ca="1" si="73"/>
        <v>44902.460482046212</v>
      </c>
      <c r="V50" s="8">
        <f t="shared" ca="1" si="73"/>
        <v>46581.496816595187</v>
      </c>
      <c r="W50" s="8">
        <f t="shared" ca="1" si="73"/>
        <v>48324.177640705646</v>
      </c>
      <c r="X50" s="8">
        <f t="shared" ca="1" si="73"/>
        <v>29725.948989199023</v>
      </c>
      <c r="Y50" s="8">
        <f t="shared" ca="1" si="73"/>
        <v>30582.754881671121</v>
      </c>
      <c r="Z50" s="8">
        <f t="shared" ca="1" si="73"/>
        <v>31472.298317790919</v>
      </c>
      <c r="AA50" s="8">
        <f t="shared" ca="1" si="73"/>
        <v>32395.934950072333</v>
      </c>
      <c r="AB50" s="8">
        <f t="shared" ca="1" si="73"/>
        <v>33355.075381060466</v>
      </c>
      <c r="AC50" s="8">
        <f t="shared" ca="1" si="73"/>
        <v>34351.187292401824</v>
      </c>
      <c r="AD50" s="8">
        <f t="shared" ca="1" si="73"/>
        <v>45246.535245531326</v>
      </c>
      <c r="AE50" s="8">
        <f t="shared" ca="1" si="73"/>
        <v>46814.269480579984</v>
      </c>
      <c r="AF50" s="8">
        <f t="shared" ca="1" si="73"/>
        <v>48442.232090884281</v>
      </c>
      <c r="AG50" s="8">
        <f t="shared" ca="1" si="73"/>
        <v>50132.758283751013</v>
      </c>
      <c r="AH50" s="8">
        <f t="shared" ca="1" si="73"/>
        <v>51888.271492791027</v>
      </c>
      <c r="AI50" s="8">
        <f t="shared" ca="1" si="73"/>
        <v>53711.286602990062</v>
      </c>
      <c r="AJ50" s="8">
        <f t="shared" ca="1" si="73"/>
        <v>55604.413290089418</v>
      </c>
      <c r="AK50" s="8">
        <f t="shared" ca="1" si="73"/>
        <v>57570.359478222483</v>
      </c>
      <c r="AL50" s="8">
        <f t="shared" ca="1" si="73"/>
        <v>59611.93491988568</v>
      </c>
      <c r="AM50" s="8">
        <f t="shared" ca="1" si="73"/>
        <v>61732.054902460717</v>
      </c>
    </row>
    <row r="51" spans="1:39" x14ac:dyDescent="0.2">
      <c r="A51" s="5" t="s">
        <v>10</v>
      </c>
      <c r="C51" s="8">
        <f>Inputs!B8</f>
        <v>50000</v>
      </c>
      <c r="D51" s="8">
        <f ca="1">C52</f>
        <v>70325.5</v>
      </c>
      <c r="E51" s="8">
        <f t="shared" ref="E51:I51" ca="1" si="74">D52</f>
        <v>93777.462499999994</v>
      </c>
      <c r="F51" s="8">
        <f t="shared" ca="1" si="74"/>
        <v>97139.486875000017</v>
      </c>
      <c r="G51" s="8">
        <f t="shared" ca="1" si="74"/>
        <v>134700.22165942451</v>
      </c>
      <c r="H51" s="8">
        <f t="shared" ca="1" si="74"/>
        <v>176857.58117608592</v>
      </c>
      <c r="I51" s="8">
        <f t="shared" ca="1" si="74"/>
        <v>232940.55481327066</v>
      </c>
      <c r="J51" s="8">
        <f t="shared" ref="J51" ca="1" si="75">I52</f>
        <v>299079.68847966078</v>
      </c>
      <c r="K51" s="8">
        <f t="shared" ref="K51" ca="1" si="76">J52</f>
        <v>351159.02647140576</v>
      </c>
      <c r="L51" s="8">
        <f t="shared" ref="L51" ca="1" si="77">K52</f>
        <v>486975.96679276077</v>
      </c>
      <c r="M51" s="8">
        <f t="shared" ref="M51" ca="1" si="78">L52</f>
        <v>534347.38007362408</v>
      </c>
      <c r="N51" s="8">
        <f t="shared" ref="N51" ca="1" si="79">M52</f>
        <v>637505.5965587711</v>
      </c>
      <c r="O51" s="8">
        <f t="shared" ref="O51" ca="1" si="80">N52</f>
        <v>746236.15018937679</v>
      </c>
      <c r="P51" s="8">
        <f t="shared" ref="P51" ca="1" si="81">O52</f>
        <v>860775.63574042323</v>
      </c>
      <c r="Q51" s="8">
        <f t="shared" ref="Q51" ca="1" si="82">P52</f>
        <v>981369.66856901604</v>
      </c>
      <c r="R51" s="8">
        <f t="shared" ref="R51" ca="1" si="83">Q52</f>
        <v>1108273.207978379</v>
      </c>
      <c r="S51" s="8">
        <f t="shared" ref="S51" ca="1" si="84">R52</f>
        <v>1241750.8917183832</v>
      </c>
      <c r="T51" s="8">
        <f t="shared" ref="T51" ca="1" si="85">S52</f>
        <v>1276145.15148322</v>
      </c>
      <c r="U51" s="8">
        <f t="shared" ref="U51" ca="1" si="86">T52</f>
        <v>1319429.9371666219</v>
      </c>
      <c r="V51" s="8">
        <f t="shared" ref="V51" ca="1" si="87">U52</f>
        <v>1364332.3976486681</v>
      </c>
      <c r="W51" s="8">
        <f t="shared" ref="W51" ca="1" si="88">V52</f>
        <v>1410913.8944652632</v>
      </c>
      <c r="X51" s="8">
        <f t="shared" ref="X51" ca="1" si="89">W52</f>
        <v>1459238.0721059688</v>
      </c>
      <c r="Y51" s="8">
        <f t="shared" ref="Y51" ca="1" si="90">X52</f>
        <v>1488964.0210951678</v>
      </c>
      <c r="Z51" s="8">
        <f t="shared" ref="Z51" ca="1" si="91">Y52</f>
        <v>1519546.775976839</v>
      </c>
      <c r="AA51" s="8">
        <f t="shared" ref="AA51" ca="1" si="92">Z52</f>
        <v>1551019.07429463</v>
      </c>
      <c r="AB51" s="8">
        <f t="shared" ref="AB51" ca="1" si="93">AA52</f>
        <v>1583415.0092447023</v>
      </c>
      <c r="AC51" s="8">
        <f t="shared" ref="AC51" ca="1" si="94">AB52</f>
        <v>1616770.0846257627</v>
      </c>
      <c r="AD51" s="8">
        <f t="shared" ref="AD51" ca="1" si="95">AC52</f>
        <v>1651121.2719181646</v>
      </c>
      <c r="AE51" s="8">
        <f t="shared" ref="AE51" ca="1" si="96">AD52</f>
        <v>1696367.8071636958</v>
      </c>
      <c r="AF51" s="8">
        <f t="shared" ref="AF51" ca="1" si="97">AE52</f>
        <v>1743182.0766442758</v>
      </c>
      <c r="AG51" s="8">
        <f t="shared" ref="AG51" ca="1" si="98">AF52</f>
        <v>1791624.3087351602</v>
      </c>
      <c r="AH51" s="8">
        <f t="shared" ref="AH51" ca="1" si="99">AG52</f>
        <v>1841757.0670189112</v>
      </c>
      <c r="AI51" s="8">
        <f t="shared" ref="AI51" ca="1" si="100">AH52</f>
        <v>1893645.3385117024</v>
      </c>
      <c r="AJ51" s="8">
        <f t="shared" ref="AJ51" ca="1" si="101">AI52</f>
        <v>1947356.6251146924</v>
      </c>
      <c r="AK51" s="8">
        <f t="shared" ref="AK51" ca="1" si="102">AJ52</f>
        <v>2002961.0384047818</v>
      </c>
      <c r="AL51" s="8">
        <f t="shared" ref="AL51" ca="1" si="103">AK52</f>
        <v>2060531.3978830043</v>
      </c>
      <c r="AM51" s="8">
        <f t="shared" ref="AM51" ca="1" si="104">AL52</f>
        <v>2120143.3328028899</v>
      </c>
    </row>
    <row r="52" spans="1:39" x14ac:dyDescent="0.2">
      <c r="A52" s="5" t="s">
        <v>11</v>
      </c>
      <c r="C52" s="10">
        <f ca="1">SUM(C50:C51)</f>
        <v>70325.5</v>
      </c>
      <c r="D52" s="10">
        <f t="shared" ref="D52:G52" ca="1" si="105">SUM(D50:D51)</f>
        <v>93777.462499999994</v>
      </c>
      <c r="E52" s="10">
        <f t="shared" ca="1" si="105"/>
        <v>97139.486875000017</v>
      </c>
      <c r="F52" s="10">
        <f t="shared" ca="1" si="105"/>
        <v>134700.22165942451</v>
      </c>
      <c r="G52" s="10">
        <f t="shared" ca="1" si="105"/>
        <v>176857.58117608592</v>
      </c>
      <c r="H52" s="10">
        <f t="shared" ref="H52:I52" ca="1" si="106">SUM(H50:H51)</f>
        <v>232940.55481327066</v>
      </c>
      <c r="I52" s="10">
        <f t="shared" ca="1" si="106"/>
        <v>299079.68847966078</v>
      </c>
      <c r="J52" s="10">
        <f t="shared" ref="J52:AM52" ca="1" si="107">SUM(J50:J51)</f>
        <v>351159.02647140576</v>
      </c>
      <c r="K52" s="10">
        <f t="shared" ca="1" si="107"/>
        <v>486975.96679276077</v>
      </c>
      <c r="L52" s="10">
        <f t="shared" ca="1" si="107"/>
        <v>534347.38007362408</v>
      </c>
      <c r="M52" s="10">
        <f t="shared" ca="1" si="107"/>
        <v>637505.5965587711</v>
      </c>
      <c r="N52" s="10">
        <f t="shared" ca="1" si="107"/>
        <v>746236.15018937679</v>
      </c>
      <c r="O52" s="10">
        <f t="shared" ca="1" si="107"/>
        <v>860775.63574042323</v>
      </c>
      <c r="P52" s="10">
        <f t="shared" ca="1" si="107"/>
        <v>981369.66856901604</v>
      </c>
      <c r="Q52" s="10">
        <f t="shared" ca="1" si="107"/>
        <v>1108273.207978379</v>
      </c>
      <c r="R52" s="10">
        <f t="shared" ca="1" si="107"/>
        <v>1241750.8917183832</v>
      </c>
      <c r="S52" s="10">
        <f t="shared" ca="1" si="107"/>
        <v>1276145.15148322</v>
      </c>
      <c r="T52" s="10">
        <f t="shared" ca="1" si="107"/>
        <v>1319429.9371666219</v>
      </c>
      <c r="U52" s="10">
        <f t="shared" ca="1" si="107"/>
        <v>1364332.3976486681</v>
      </c>
      <c r="V52" s="10">
        <f t="shared" ca="1" si="107"/>
        <v>1410913.8944652632</v>
      </c>
      <c r="W52" s="10">
        <f t="shared" ca="1" si="107"/>
        <v>1459238.0721059688</v>
      </c>
      <c r="X52" s="10">
        <f t="shared" ca="1" si="107"/>
        <v>1488964.0210951678</v>
      </c>
      <c r="Y52" s="10">
        <f t="shared" ca="1" si="107"/>
        <v>1519546.775976839</v>
      </c>
      <c r="Z52" s="10">
        <f t="shared" ca="1" si="107"/>
        <v>1551019.07429463</v>
      </c>
      <c r="AA52" s="10">
        <f t="shared" ca="1" si="107"/>
        <v>1583415.0092447023</v>
      </c>
      <c r="AB52" s="10">
        <f t="shared" ca="1" si="107"/>
        <v>1616770.0846257627</v>
      </c>
      <c r="AC52" s="10">
        <f t="shared" ca="1" si="107"/>
        <v>1651121.2719181646</v>
      </c>
      <c r="AD52" s="10">
        <f t="shared" ca="1" si="107"/>
        <v>1696367.8071636958</v>
      </c>
      <c r="AE52" s="10">
        <f t="shared" ca="1" si="107"/>
        <v>1743182.0766442758</v>
      </c>
      <c r="AF52" s="10">
        <f t="shared" ca="1" si="107"/>
        <v>1791624.3087351602</v>
      </c>
      <c r="AG52" s="10">
        <f t="shared" ca="1" si="107"/>
        <v>1841757.0670189112</v>
      </c>
      <c r="AH52" s="10">
        <f t="shared" ca="1" si="107"/>
        <v>1893645.3385117024</v>
      </c>
      <c r="AI52" s="10">
        <f t="shared" ca="1" si="107"/>
        <v>1947356.6251146924</v>
      </c>
      <c r="AJ52" s="10">
        <f t="shared" ca="1" si="107"/>
        <v>2002961.0384047818</v>
      </c>
      <c r="AK52" s="10">
        <f t="shared" ca="1" si="107"/>
        <v>2060531.3978830043</v>
      </c>
      <c r="AL52" s="10">
        <f t="shared" ca="1" si="107"/>
        <v>2120143.3328028899</v>
      </c>
      <c r="AM52" s="10">
        <f t="shared" ca="1" si="107"/>
        <v>2181875.3877053508</v>
      </c>
    </row>
    <row r="53" spans="1:39" x14ac:dyDescent="0.2"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</row>
    <row r="54" spans="1:39" ht="19" x14ac:dyDescent="0.25">
      <c r="A54" s="30" t="s">
        <v>82</v>
      </c>
      <c r="B54" s="31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</row>
    <row r="55" spans="1:39" x14ac:dyDescent="0.2">
      <c r="A55" s="5" t="s">
        <v>9</v>
      </c>
      <c r="C55" s="8">
        <f t="shared" ref="C55:G55" ca="1" si="108">C52</f>
        <v>70325.5</v>
      </c>
      <c r="D55" s="8">
        <f t="shared" ca="1" si="108"/>
        <v>93777.462499999994</v>
      </c>
      <c r="E55" s="8">
        <f t="shared" ca="1" si="108"/>
        <v>97139.486875000017</v>
      </c>
      <c r="F55" s="8">
        <f t="shared" ca="1" si="108"/>
        <v>134700.22165942451</v>
      </c>
      <c r="G55" s="8">
        <f t="shared" ca="1" si="108"/>
        <v>176857.58117608592</v>
      </c>
      <c r="H55" s="8">
        <f t="shared" ref="H55:I55" ca="1" si="109">H52</f>
        <v>232940.55481327066</v>
      </c>
      <c r="I55" s="8">
        <f t="shared" ca="1" si="109"/>
        <v>299079.68847966078</v>
      </c>
      <c r="J55" s="8">
        <f t="shared" ref="J55:AM55" ca="1" si="110">J52</f>
        <v>351159.02647140576</v>
      </c>
      <c r="K55" s="8">
        <f t="shared" ca="1" si="110"/>
        <v>486975.96679276077</v>
      </c>
      <c r="L55" s="8">
        <f t="shared" ca="1" si="110"/>
        <v>534347.38007362408</v>
      </c>
      <c r="M55" s="8">
        <f t="shared" ca="1" si="110"/>
        <v>637505.5965587711</v>
      </c>
      <c r="N55" s="8">
        <f t="shared" ca="1" si="110"/>
        <v>746236.15018937679</v>
      </c>
      <c r="O55" s="8">
        <f t="shared" ca="1" si="110"/>
        <v>860775.63574042323</v>
      </c>
      <c r="P55" s="8">
        <f t="shared" ca="1" si="110"/>
        <v>981369.66856901604</v>
      </c>
      <c r="Q55" s="8">
        <f t="shared" ca="1" si="110"/>
        <v>1108273.207978379</v>
      </c>
      <c r="R55" s="8">
        <f t="shared" ca="1" si="110"/>
        <v>1241750.8917183832</v>
      </c>
      <c r="S55" s="8">
        <f t="shared" ca="1" si="110"/>
        <v>1276145.15148322</v>
      </c>
      <c r="T55" s="8">
        <f t="shared" ca="1" si="110"/>
        <v>1319429.9371666219</v>
      </c>
      <c r="U55" s="8">
        <f t="shared" ca="1" si="110"/>
        <v>1364332.3976486681</v>
      </c>
      <c r="V55" s="8">
        <f t="shared" ca="1" si="110"/>
        <v>1410913.8944652632</v>
      </c>
      <c r="W55" s="8">
        <f t="shared" ca="1" si="110"/>
        <v>1459238.0721059688</v>
      </c>
      <c r="X55" s="8">
        <f t="shared" ca="1" si="110"/>
        <v>1488964.0210951678</v>
      </c>
      <c r="Y55" s="8">
        <f t="shared" ca="1" si="110"/>
        <v>1519546.775976839</v>
      </c>
      <c r="Z55" s="8">
        <f t="shared" ca="1" si="110"/>
        <v>1551019.07429463</v>
      </c>
      <c r="AA55" s="8">
        <f t="shared" ca="1" si="110"/>
        <v>1583415.0092447023</v>
      </c>
      <c r="AB55" s="8">
        <f t="shared" ca="1" si="110"/>
        <v>1616770.0846257627</v>
      </c>
      <c r="AC55" s="8">
        <f t="shared" ca="1" si="110"/>
        <v>1651121.2719181646</v>
      </c>
      <c r="AD55" s="8">
        <f t="shared" ca="1" si="110"/>
        <v>1696367.8071636958</v>
      </c>
      <c r="AE55" s="8">
        <f t="shared" ca="1" si="110"/>
        <v>1743182.0766442758</v>
      </c>
      <c r="AF55" s="8">
        <f t="shared" ca="1" si="110"/>
        <v>1791624.3087351602</v>
      </c>
      <c r="AG55" s="8">
        <f t="shared" ca="1" si="110"/>
        <v>1841757.0670189112</v>
      </c>
      <c r="AH55" s="8">
        <f t="shared" ca="1" si="110"/>
        <v>1893645.3385117024</v>
      </c>
      <c r="AI55" s="8">
        <f t="shared" ca="1" si="110"/>
        <v>1947356.6251146924</v>
      </c>
      <c r="AJ55" s="8">
        <f t="shared" ca="1" si="110"/>
        <v>2002961.0384047818</v>
      </c>
      <c r="AK55" s="8">
        <f t="shared" ca="1" si="110"/>
        <v>2060531.3978830043</v>
      </c>
      <c r="AL55" s="8">
        <f t="shared" ca="1" si="110"/>
        <v>2120143.3328028899</v>
      </c>
      <c r="AM55" s="8">
        <f t="shared" ca="1" si="110"/>
        <v>2181875.3877053508</v>
      </c>
    </row>
    <row r="56" spans="1:39" x14ac:dyDescent="0.2">
      <c r="A56" s="5" t="s">
        <v>7</v>
      </c>
      <c r="C56" s="8">
        <f>Inputs!B12*(1+princ)</f>
        <v>618000</v>
      </c>
      <c r="D56" s="8">
        <f t="shared" ref="D56:I56" si="111">C56*(1+princ)</f>
        <v>636540</v>
      </c>
      <c r="E56" s="8">
        <f t="shared" si="111"/>
        <v>655636.20000000007</v>
      </c>
      <c r="F56" s="8">
        <f t="shared" si="111"/>
        <v>675305.28600000008</v>
      </c>
      <c r="G56" s="8">
        <f t="shared" si="111"/>
        <v>695564.44458000013</v>
      </c>
      <c r="H56" s="8">
        <f t="shared" si="111"/>
        <v>716431.3779174001</v>
      </c>
      <c r="I56" s="8">
        <f t="shared" si="111"/>
        <v>737924.3192549221</v>
      </c>
      <c r="J56" s="8">
        <f t="shared" ref="J56" si="112">I56*(1+princ)</f>
        <v>760062.04883256974</v>
      </c>
      <c r="K56" s="8">
        <f t="shared" ref="K56" si="113">J56*(1+princ)</f>
        <v>782863.91029754688</v>
      </c>
      <c r="L56" s="8">
        <f t="shared" ref="L56" si="114">K56*(1+princ)</f>
        <v>806349.82760647335</v>
      </c>
      <c r="M56" s="8">
        <f t="shared" ref="M56" si="115">L56*(1+princ)</f>
        <v>830540.32243466761</v>
      </c>
      <c r="N56" s="8">
        <f t="shared" ref="N56" si="116">M56*(1+princ)</f>
        <v>855456.5321077077</v>
      </c>
      <c r="O56" s="8">
        <f t="shared" ref="O56" si="117">N56*(1+princ)</f>
        <v>881120.22807093896</v>
      </c>
      <c r="P56" s="8">
        <f t="shared" ref="P56" si="118">O56*(1+princ)</f>
        <v>907553.83491306717</v>
      </c>
      <c r="Q56" s="8">
        <f t="shared" ref="Q56" si="119">P56*(1+princ)</f>
        <v>934780.44996045926</v>
      </c>
      <c r="R56" s="8">
        <f t="shared" ref="R56" si="120">Q56*(1+princ)</f>
        <v>962823.86345927301</v>
      </c>
      <c r="S56" s="8">
        <f t="shared" ref="S56" si="121">R56*(1+princ)</f>
        <v>991708.57936305122</v>
      </c>
      <c r="T56" s="8">
        <f t="shared" ref="T56" si="122">S56*(1+princ)</f>
        <v>1021459.8367439428</v>
      </c>
      <c r="U56" s="8">
        <f t="shared" ref="U56" si="123">T56*(1+princ)</f>
        <v>1052103.6318462612</v>
      </c>
      <c r="V56" s="8">
        <f t="shared" ref="V56" si="124">U56*(1+princ)</f>
        <v>1083666.7408016492</v>
      </c>
      <c r="W56" s="8">
        <f t="shared" ref="W56" si="125">V56*(1+princ)</f>
        <v>1116176.7430256987</v>
      </c>
      <c r="X56" s="8">
        <f t="shared" ref="X56" si="126">W56*(1+princ)</f>
        <v>1149662.0453164696</v>
      </c>
      <c r="Y56" s="8">
        <f t="shared" ref="Y56" si="127">X56*(1+princ)</f>
        <v>1184151.9066759637</v>
      </c>
      <c r="Z56" s="8">
        <f t="shared" ref="Z56" si="128">Y56*(1+princ)</f>
        <v>1219676.4638762425</v>
      </c>
      <c r="AA56" s="8">
        <f t="shared" ref="AA56" si="129">Z56*(1+princ)</f>
        <v>1256266.7577925299</v>
      </c>
      <c r="AB56" s="8">
        <f t="shared" ref="AB56" si="130">AA56*(1+princ)</f>
        <v>1293954.7605263058</v>
      </c>
      <c r="AC56" s="8">
        <f t="shared" ref="AC56" si="131">AB56*(1+princ)</f>
        <v>1332773.403342095</v>
      </c>
      <c r="AD56" s="8">
        <f t="shared" ref="AD56" si="132">AC56*(1+princ)</f>
        <v>1372756.6054423579</v>
      </c>
      <c r="AE56" s="8">
        <f t="shared" ref="AE56" si="133">AD56*(1+princ)</f>
        <v>1413939.3036056287</v>
      </c>
      <c r="AF56" s="8">
        <f t="shared" ref="AF56" si="134">AE56*(1+princ)</f>
        <v>1456357.4827137976</v>
      </c>
      <c r="AG56" s="8">
        <f t="shared" ref="AG56" si="135">AF56*(1+princ)</f>
        <v>1500048.2071952117</v>
      </c>
      <c r="AH56" s="8">
        <f t="shared" ref="AH56" si="136">AG56*(1+princ)</f>
        <v>1545049.653411068</v>
      </c>
      <c r="AI56" s="8">
        <f t="shared" ref="AI56" si="137">AH56*(1+princ)</f>
        <v>1591401.1430134</v>
      </c>
      <c r="AJ56" s="8">
        <f t="shared" ref="AJ56" si="138">AI56*(1+princ)</f>
        <v>1639143.177303802</v>
      </c>
      <c r="AK56" s="8">
        <f t="shared" ref="AK56" si="139">AJ56*(1+princ)</f>
        <v>1688317.4726229161</v>
      </c>
      <c r="AL56" s="8">
        <f t="shared" ref="AL56" si="140">AK56*(1+princ)</f>
        <v>1738966.9968016036</v>
      </c>
      <c r="AM56" s="8">
        <f t="shared" ref="AM56" si="141">AL56*(1+princ)</f>
        <v>1791136.0067056518</v>
      </c>
    </row>
    <row r="57" spans="1:39" x14ac:dyDescent="0.2">
      <c r="A57" s="5" t="s">
        <v>56</v>
      </c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</row>
    <row r="58" spans="1:39" x14ac:dyDescent="0.2">
      <c r="A58" s="4" t="str">
        <f>TEXT(Inputs!$B$60,"")</f>
        <v>Sliema</v>
      </c>
      <c r="C58" s="8">
        <f>Inputs!B61*(1+princ)</f>
        <v>309000</v>
      </c>
      <c r="D58" s="8">
        <f t="shared" ref="D58:I58" si="142">C58*(1+princ)</f>
        <v>318270</v>
      </c>
      <c r="E58" s="8">
        <f t="shared" si="142"/>
        <v>327818.10000000003</v>
      </c>
      <c r="F58" s="8">
        <f t="shared" si="142"/>
        <v>337652.64300000004</v>
      </c>
      <c r="G58" s="8">
        <f t="shared" si="142"/>
        <v>347782.22229000006</v>
      </c>
      <c r="H58" s="8">
        <f t="shared" si="142"/>
        <v>358215.68895870005</v>
      </c>
      <c r="I58" s="8">
        <f t="shared" si="142"/>
        <v>368962.15962746105</v>
      </c>
      <c r="J58" s="8">
        <f t="shared" ref="J58:J60" si="143">I58*(1+princ)</f>
        <v>380031.02441628487</v>
      </c>
      <c r="K58" s="8">
        <f t="shared" ref="K58:K60" si="144">J58*(1+princ)</f>
        <v>391431.95514877344</v>
      </c>
      <c r="L58" s="8">
        <f t="shared" ref="L58:L60" si="145">K58*(1+princ)</f>
        <v>403174.91380323668</v>
      </c>
      <c r="M58" s="8">
        <f t="shared" ref="M58:M60" si="146">L58*(1+princ)</f>
        <v>415270.16121733381</v>
      </c>
      <c r="N58" s="8">
        <f t="shared" ref="N58:N60" si="147">M58*(1+princ)</f>
        <v>427728.26605385385</v>
      </c>
      <c r="O58" s="8">
        <f t="shared" ref="O58:O60" si="148">N58*(1+princ)</f>
        <v>440560.11403546948</v>
      </c>
      <c r="P58" s="8">
        <f t="shared" ref="P58:P60" si="149">O58*(1+princ)</f>
        <v>453776.91745653359</v>
      </c>
      <c r="Q58" s="8">
        <f t="shared" ref="Q58:Q60" si="150">P58*(1+princ)</f>
        <v>467390.22498022963</v>
      </c>
      <c r="R58" s="8">
        <f t="shared" ref="R58:R60" si="151">Q58*(1+princ)</f>
        <v>481411.9317296365</v>
      </c>
      <c r="S58" s="8">
        <f t="shared" ref="S58:S60" si="152">R58*(1+princ)</f>
        <v>495854.28968152561</v>
      </c>
      <c r="T58" s="8">
        <f t="shared" ref="T58:T60" si="153">S58*(1+princ)</f>
        <v>510729.91837197141</v>
      </c>
      <c r="U58" s="8">
        <f t="shared" ref="U58:U60" si="154">T58*(1+princ)</f>
        <v>526051.81592313061</v>
      </c>
      <c r="V58" s="8">
        <f t="shared" ref="V58:V60" si="155">U58*(1+princ)</f>
        <v>541833.37040082458</v>
      </c>
      <c r="W58" s="8">
        <f t="shared" ref="W58:W60" si="156">V58*(1+princ)</f>
        <v>558088.37151284935</v>
      </c>
      <c r="X58" s="8">
        <f t="shared" ref="X58:X60" si="157">W58*(1+princ)</f>
        <v>574831.02265823481</v>
      </c>
      <c r="Y58" s="8">
        <f t="shared" ref="Y58:Y60" si="158">X58*(1+princ)</f>
        <v>592075.95333798183</v>
      </c>
      <c r="Z58" s="8">
        <f t="shared" ref="Z58:Z60" si="159">Y58*(1+princ)</f>
        <v>609838.23193812126</v>
      </c>
      <c r="AA58" s="8">
        <f t="shared" ref="AA58:AA60" si="160">Z58*(1+princ)</f>
        <v>628133.37889626494</v>
      </c>
      <c r="AB58" s="8">
        <f t="shared" ref="AB58:AB60" si="161">AA58*(1+princ)</f>
        <v>646977.38026315288</v>
      </c>
      <c r="AC58" s="8">
        <f t="shared" ref="AC58:AC60" si="162">AB58*(1+princ)</f>
        <v>666386.70167104749</v>
      </c>
      <c r="AD58" s="8">
        <f t="shared" ref="AD58:AD60" si="163">AC58*(1+princ)</f>
        <v>686378.30272117897</v>
      </c>
      <c r="AE58" s="8">
        <f t="shared" ref="AE58:AE60" si="164">AD58*(1+princ)</f>
        <v>706969.65180281433</v>
      </c>
      <c r="AF58" s="8">
        <f t="shared" ref="AF58:AF60" si="165">AE58*(1+princ)</f>
        <v>728178.7413568988</v>
      </c>
      <c r="AG58" s="8">
        <f t="shared" ref="AG58:AG60" si="166">AF58*(1+princ)</f>
        <v>750024.10359760583</v>
      </c>
      <c r="AH58" s="8">
        <f t="shared" ref="AH58:AH60" si="167">AG58*(1+princ)</f>
        <v>772524.82670553401</v>
      </c>
      <c r="AI58" s="8">
        <f t="shared" ref="AI58:AI60" si="168">AH58*(1+princ)</f>
        <v>795700.57150670001</v>
      </c>
      <c r="AJ58" s="8">
        <f t="shared" ref="AJ58:AJ60" si="169">AI58*(1+princ)</f>
        <v>819571.58865190099</v>
      </c>
      <c r="AK58" s="8">
        <f t="shared" ref="AK58:AK60" si="170">AJ58*(1+princ)</f>
        <v>844158.73631145805</v>
      </c>
      <c r="AL58" s="8">
        <f t="shared" ref="AL58:AL60" si="171">AK58*(1+princ)</f>
        <v>869483.49840080179</v>
      </c>
      <c r="AM58" s="8">
        <f t="shared" ref="AM58:AM60" si="172">AL58*(1+princ)</f>
        <v>895568.00335282588</v>
      </c>
    </row>
    <row r="59" spans="1:39" x14ac:dyDescent="0.2">
      <c r="A59" s="4" t="str">
        <f>TEXT(Inputs!$B$65,"")</f>
        <v>Gzira</v>
      </c>
      <c r="C59" s="8">
        <f>Inputs!B66*(1+princ)</f>
        <v>154500</v>
      </c>
      <c r="D59" s="8">
        <f t="shared" ref="D59:I59" si="173">C59*(1+princ)</f>
        <v>159135</v>
      </c>
      <c r="E59" s="8">
        <f t="shared" si="173"/>
        <v>163909.05000000002</v>
      </c>
      <c r="F59" s="8">
        <f t="shared" si="173"/>
        <v>168826.32150000002</v>
      </c>
      <c r="G59" s="8">
        <f t="shared" si="173"/>
        <v>173891.11114500003</v>
      </c>
      <c r="H59" s="8">
        <f t="shared" si="173"/>
        <v>179107.84447935002</v>
      </c>
      <c r="I59" s="8">
        <f t="shared" si="173"/>
        <v>184481.07981373052</v>
      </c>
      <c r="J59" s="8">
        <f t="shared" si="143"/>
        <v>190015.51220814243</v>
      </c>
      <c r="K59" s="8">
        <f t="shared" si="144"/>
        <v>195715.97757438672</v>
      </c>
      <c r="L59" s="8">
        <f t="shared" si="145"/>
        <v>201587.45690161834</v>
      </c>
      <c r="M59" s="8">
        <f t="shared" si="146"/>
        <v>207635.0806086669</v>
      </c>
      <c r="N59" s="8">
        <f t="shared" si="147"/>
        <v>213864.13302692692</v>
      </c>
      <c r="O59" s="8">
        <f t="shared" si="148"/>
        <v>220280.05701773474</v>
      </c>
      <c r="P59" s="8">
        <f t="shared" si="149"/>
        <v>226888.45872826679</v>
      </c>
      <c r="Q59" s="8">
        <f t="shared" si="150"/>
        <v>233695.11249011481</v>
      </c>
      <c r="R59" s="8">
        <f t="shared" si="151"/>
        <v>240705.96586481825</v>
      </c>
      <c r="S59" s="8">
        <f t="shared" si="152"/>
        <v>247927.1448407628</v>
      </c>
      <c r="T59" s="8">
        <f t="shared" si="153"/>
        <v>255364.9591859857</v>
      </c>
      <c r="U59" s="8">
        <f t="shared" si="154"/>
        <v>263025.9079615653</v>
      </c>
      <c r="V59" s="8">
        <f t="shared" si="155"/>
        <v>270916.68520041229</v>
      </c>
      <c r="W59" s="8">
        <f t="shared" si="156"/>
        <v>279044.18575642467</v>
      </c>
      <c r="X59" s="8">
        <f t="shared" si="157"/>
        <v>287415.51132911741</v>
      </c>
      <c r="Y59" s="8">
        <f t="shared" si="158"/>
        <v>296037.97666899092</v>
      </c>
      <c r="Z59" s="8">
        <f t="shared" si="159"/>
        <v>304919.11596906063</v>
      </c>
      <c r="AA59" s="8">
        <f t="shared" si="160"/>
        <v>314066.68944813247</v>
      </c>
      <c r="AB59" s="8">
        <f t="shared" si="161"/>
        <v>323488.69013157644</v>
      </c>
      <c r="AC59" s="8">
        <f t="shared" si="162"/>
        <v>333193.35083552374</v>
      </c>
      <c r="AD59" s="8">
        <f t="shared" si="163"/>
        <v>343189.15136058949</v>
      </c>
      <c r="AE59" s="8">
        <f t="shared" si="164"/>
        <v>353484.82590140717</v>
      </c>
      <c r="AF59" s="8">
        <f t="shared" si="165"/>
        <v>364089.3706784494</v>
      </c>
      <c r="AG59" s="8">
        <f t="shared" si="166"/>
        <v>375012.05179880292</v>
      </c>
      <c r="AH59" s="8">
        <f t="shared" si="167"/>
        <v>386262.41335276701</v>
      </c>
      <c r="AI59" s="8">
        <f t="shared" si="168"/>
        <v>397850.28575335001</v>
      </c>
      <c r="AJ59" s="8">
        <f t="shared" si="169"/>
        <v>409785.7943259505</v>
      </c>
      <c r="AK59" s="8">
        <f t="shared" si="170"/>
        <v>422079.36815572903</v>
      </c>
      <c r="AL59" s="8">
        <f t="shared" si="171"/>
        <v>434741.7492004009</v>
      </c>
      <c r="AM59" s="8">
        <f t="shared" si="172"/>
        <v>447784.00167641294</v>
      </c>
    </row>
    <row r="60" spans="1:39" x14ac:dyDescent="0.2">
      <c r="A60" s="4" t="str">
        <f>TEXT(Inputs!$B$70,"")</f>
        <v>Qormi</v>
      </c>
      <c r="C60" s="8">
        <f>Inputs!B71*(1+princ)</f>
        <v>226600</v>
      </c>
      <c r="D60" s="8">
        <f t="shared" ref="D60:I60" si="174">C60*(1+princ)</f>
        <v>233398</v>
      </c>
      <c r="E60" s="8">
        <f t="shared" si="174"/>
        <v>240399.94</v>
      </c>
      <c r="F60" s="8">
        <f t="shared" si="174"/>
        <v>247611.9382</v>
      </c>
      <c r="G60" s="8">
        <f t="shared" si="174"/>
        <v>255040.29634600002</v>
      </c>
      <c r="H60" s="8">
        <f t="shared" si="174"/>
        <v>262691.50523638004</v>
      </c>
      <c r="I60" s="8">
        <f t="shared" si="174"/>
        <v>270572.25039347145</v>
      </c>
      <c r="J60" s="8">
        <f t="shared" si="143"/>
        <v>278689.41790527559</v>
      </c>
      <c r="K60" s="8">
        <f t="shared" si="144"/>
        <v>287050.10044243385</v>
      </c>
      <c r="L60" s="8">
        <f t="shared" si="145"/>
        <v>295661.60345570685</v>
      </c>
      <c r="M60" s="8">
        <f t="shared" si="146"/>
        <v>304531.45155937807</v>
      </c>
      <c r="N60" s="8">
        <f t="shared" si="147"/>
        <v>313667.39510615944</v>
      </c>
      <c r="O60" s="8">
        <f t="shared" si="148"/>
        <v>323077.41695934423</v>
      </c>
      <c r="P60" s="8">
        <f t="shared" si="149"/>
        <v>332769.73946812458</v>
      </c>
      <c r="Q60" s="8">
        <f t="shared" si="150"/>
        <v>342752.8316521683</v>
      </c>
      <c r="R60" s="8">
        <f t="shared" si="151"/>
        <v>353035.41660173336</v>
      </c>
      <c r="S60" s="8">
        <f t="shared" si="152"/>
        <v>363626.47909978539</v>
      </c>
      <c r="T60" s="8">
        <f t="shared" si="153"/>
        <v>374535.27347277896</v>
      </c>
      <c r="U60" s="8">
        <f t="shared" si="154"/>
        <v>385771.33167696232</v>
      </c>
      <c r="V60" s="8">
        <f t="shared" si="155"/>
        <v>397344.47162727121</v>
      </c>
      <c r="W60" s="8">
        <f t="shared" si="156"/>
        <v>409264.80577608937</v>
      </c>
      <c r="X60" s="8">
        <f t="shared" si="157"/>
        <v>421542.74994937208</v>
      </c>
      <c r="Y60" s="8">
        <f t="shared" si="158"/>
        <v>434189.03244785324</v>
      </c>
      <c r="Z60" s="8">
        <f t="shared" si="159"/>
        <v>447214.70342128887</v>
      </c>
      <c r="AA60" s="8">
        <f t="shared" si="160"/>
        <v>460631.14452392753</v>
      </c>
      <c r="AB60" s="8">
        <f t="shared" si="161"/>
        <v>474450.07885964535</v>
      </c>
      <c r="AC60" s="8">
        <f t="shared" si="162"/>
        <v>488683.58122543473</v>
      </c>
      <c r="AD60" s="8">
        <f t="shared" si="163"/>
        <v>503344.08866219776</v>
      </c>
      <c r="AE60" s="8">
        <f t="shared" si="164"/>
        <v>518444.41132206371</v>
      </c>
      <c r="AF60" s="8">
        <f t="shared" si="165"/>
        <v>533997.74366172566</v>
      </c>
      <c r="AG60" s="8">
        <f t="shared" si="166"/>
        <v>550017.67597157741</v>
      </c>
      <c r="AH60" s="8">
        <f t="shared" si="167"/>
        <v>566518.20625072473</v>
      </c>
      <c r="AI60" s="8">
        <f t="shared" si="168"/>
        <v>583513.75243824651</v>
      </c>
      <c r="AJ60" s="8">
        <f t="shared" si="169"/>
        <v>601019.16501139395</v>
      </c>
      <c r="AK60" s="8">
        <f t="shared" si="170"/>
        <v>619049.73996173579</v>
      </c>
      <c r="AL60" s="8">
        <f t="shared" si="171"/>
        <v>637621.23216058791</v>
      </c>
      <c r="AM60" s="8">
        <f t="shared" si="172"/>
        <v>656749.86912540556</v>
      </c>
    </row>
    <row r="61" spans="1:39" x14ac:dyDescent="0.2">
      <c r="A61" s="5" t="s">
        <v>12</v>
      </c>
      <c r="C61" s="8">
        <f>Inputs!B10*(1+stinc)</f>
        <v>32400.000000000004</v>
      </c>
      <c r="D61" s="8">
        <f>C61*(1+stinc)</f>
        <v>34992.000000000007</v>
      </c>
      <c r="E61" s="8">
        <f t="shared" ref="E61:I61" si="175">D61*(1+stinc)</f>
        <v>37791.360000000008</v>
      </c>
      <c r="F61" s="8">
        <f t="shared" si="175"/>
        <v>40814.668800000014</v>
      </c>
      <c r="G61" s="8">
        <f t="shared" si="175"/>
        <v>44079.84230400002</v>
      </c>
      <c r="H61" s="8">
        <f t="shared" si="175"/>
        <v>47606.229688320025</v>
      </c>
      <c r="I61" s="8">
        <f t="shared" si="175"/>
        <v>51414.728063385628</v>
      </c>
      <c r="J61" s="8">
        <f t="shared" ref="J61" si="176">I61*(1+stinc)</f>
        <v>55527.906308456484</v>
      </c>
      <c r="K61" s="8">
        <f t="shared" ref="K61" si="177">J61*(1+stinc)</f>
        <v>59970.13881313301</v>
      </c>
      <c r="L61" s="8">
        <f t="shared" ref="L61" si="178">K61*(1+stinc)</f>
        <v>64767.749918183654</v>
      </c>
      <c r="M61" s="8">
        <f t="shared" ref="M61" si="179">L61*(1+stinc)</f>
        <v>69949.169911638353</v>
      </c>
      <c r="N61" s="8">
        <f t="shared" ref="N61" si="180">M61*(1+stinc)</f>
        <v>75545.10350456943</v>
      </c>
      <c r="O61" s="8">
        <f t="shared" ref="O61" si="181">N61*(1+stinc)</f>
        <v>81588.711784934989</v>
      </c>
      <c r="P61" s="8">
        <f t="shared" ref="P61" si="182">O61*(1+stinc)</f>
        <v>88115.808727729789</v>
      </c>
      <c r="Q61" s="8">
        <f t="shared" ref="Q61" si="183">P61*(1+stinc)</f>
        <v>95165.073425948183</v>
      </c>
      <c r="R61" s="8">
        <f t="shared" ref="R61" si="184">Q61*(1+stinc)</f>
        <v>102778.27930002405</v>
      </c>
      <c r="S61" s="8">
        <f t="shared" ref="S61" si="185">R61*(1+stinc)</f>
        <v>111000.54164402599</v>
      </c>
      <c r="T61" s="8">
        <f t="shared" ref="T61" si="186">S61*(1+stinc)</f>
        <v>119880.58497554807</v>
      </c>
      <c r="U61" s="8">
        <f t="shared" ref="U61" si="187">T61*(1+stinc)</f>
        <v>129471.03177359192</v>
      </c>
      <c r="V61" s="8">
        <f t="shared" ref="V61" si="188">U61*(1+stinc)</f>
        <v>139828.71431547927</v>
      </c>
      <c r="W61" s="8">
        <f t="shared" ref="W61" si="189">V61*(1+stinc)</f>
        <v>151015.01146071762</v>
      </c>
      <c r="X61" s="8">
        <f t="shared" ref="X61" si="190">W61*(1+stinc)</f>
        <v>163096.21237757505</v>
      </c>
      <c r="Y61" s="8">
        <f t="shared" ref="Y61" si="191">X61*(1+stinc)</f>
        <v>176143.90936778107</v>
      </c>
      <c r="Z61" s="8">
        <f t="shared" ref="Z61" si="192">Y61*(1+stinc)</f>
        <v>190235.42211720356</v>
      </c>
      <c r="AA61" s="8">
        <f t="shared" ref="AA61" si="193">Z61*(1+stinc)</f>
        <v>205454.25588657986</v>
      </c>
      <c r="AB61" s="8">
        <f t="shared" ref="AB61" si="194">AA61*(1+stinc)</f>
        <v>221890.59635750626</v>
      </c>
      <c r="AC61" s="8">
        <f t="shared" ref="AC61" si="195">AB61*(1+stinc)</f>
        <v>239641.84406610677</v>
      </c>
      <c r="AD61" s="8">
        <f t="shared" ref="AD61" si="196">AC61*(1+stinc)</f>
        <v>258813.19159139533</v>
      </c>
      <c r="AE61" s="8">
        <f t="shared" ref="AE61" si="197">AD61*(1+stinc)</f>
        <v>279518.24691870698</v>
      </c>
      <c r="AF61" s="8">
        <f t="shared" ref="AF61" si="198">AE61*(1+stinc)</f>
        <v>301879.70667220355</v>
      </c>
      <c r="AG61" s="8">
        <f t="shared" ref="AG61" si="199">AF61*(1+stinc)</f>
        <v>326030.08320597984</v>
      </c>
      <c r="AH61" s="8">
        <f t="shared" ref="AH61" si="200">AG61*(1+stinc)</f>
        <v>352112.48986245826</v>
      </c>
      <c r="AI61" s="8">
        <f t="shared" ref="AI61" si="201">AH61*(1+stinc)</f>
        <v>380281.48905145493</v>
      </c>
      <c r="AJ61" s="8">
        <f t="shared" ref="AJ61" si="202">AI61*(1+stinc)</f>
        <v>410704.00817557133</v>
      </c>
      <c r="AK61" s="8">
        <f t="shared" ref="AK61" si="203">AJ61*(1+stinc)</f>
        <v>443560.32882961706</v>
      </c>
      <c r="AL61" s="8">
        <f t="shared" ref="AL61" si="204">AK61*(1+stinc)</f>
        <v>479045.15513598645</v>
      </c>
      <c r="AM61" s="8">
        <f t="shared" ref="AM61" si="205">AL61*(1+stinc)</f>
        <v>517368.76754686539</v>
      </c>
    </row>
    <row r="62" spans="1:39" x14ac:dyDescent="0.2">
      <c r="A62" s="5" t="s">
        <v>2</v>
      </c>
      <c r="C62" s="8">
        <f>-MAX(FV(Inputs!$B16/12,C$1*12,Inputs!$B17,-Inputs!$B15),0)</f>
        <v>-41787.691633353177</v>
      </c>
      <c r="D62" s="8">
        <f>-MAX(FV(Inputs!$B16/12,D$1*12,Inputs!$B17,-Inputs!$B15),0)</f>
        <v>-33325.598049266016</v>
      </c>
      <c r="E62" s="8">
        <f>-MAX(FV(Inputs!$B16/12,E$1*12,Inputs!$B17,-Inputs!$B15),0)</f>
        <v>-24606.12179132711</v>
      </c>
      <c r="F62" s="8">
        <f>-MAX(FV(Inputs!$B16/12,F$1*12,Inputs!$B17,-Inputs!$B15),0)</f>
        <v>-15621.434319218446</v>
      </c>
      <c r="G62" s="8">
        <f>-MAX(FV(Inputs!$B16/12,G$1*12,Inputs!$B17,-Inputs!$B15),0)</f>
        <v>-6363.4689800768465</v>
      </c>
      <c r="H62" s="8">
        <f>-MAX(FV(Inputs!$B16/12,H$1*12,Inputs!$B17,-Inputs!$B15),0)</f>
        <v>0</v>
      </c>
      <c r="I62" s="8">
        <f>-MAX(FV(Inputs!$B16/12,I$1*12,Inputs!$B17,-Inputs!$B15),0)</f>
        <v>0</v>
      </c>
      <c r="J62" s="8">
        <f>-MAX(FV(Inputs!$B16/12,J$1*12,Inputs!$B17,-Inputs!$B15),0)</f>
        <v>0</v>
      </c>
      <c r="K62" s="8">
        <f>-MAX(FV(Inputs!$B16/12,K$1*12,Inputs!$B17,-Inputs!$B15),0)</f>
        <v>0</v>
      </c>
      <c r="L62" s="8">
        <f>-MAX(FV(Inputs!$B16/12,L$1*12,Inputs!$B17,-Inputs!$B15),0)</f>
        <v>0</v>
      </c>
      <c r="M62" s="8">
        <f>-MAX(FV(Inputs!$B16/12,M$1*12,Inputs!$B17,-Inputs!$B15),0)</f>
        <v>0</v>
      </c>
      <c r="N62" s="8">
        <f>-MAX(FV(Inputs!$B16/12,N$1*12,Inputs!$B17,-Inputs!$B15),0)</f>
        <v>0</v>
      </c>
      <c r="O62" s="8">
        <f>-MAX(FV(Inputs!$B16/12,O$1*12,Inputs!$B17,-Inputs!$B15),0)</f>
        <v>0</v>
      </c>
      <c r="P62" s="8">
        <f>-MAX(FV(Inputs!$B16/12,P$1*12,Inputs!$B17,-Inputs!$B15),0)</f>
        <v>0</v>
      </c>
      <c r="Q62" s="8">
        <f>-MAX(FV(Inputs!$B16/12,Q$1*12,Inputs!$B17,-Inputs!$B15),0)</f>
        <v>0</v>
      </c>
      <c r="R62" s="8">
        <f>-MAX(FV(Inputs!$B16/12,R$1*12,Inputs!$B17,-Inputs!$B15),0)</f>
        <v>0</v>
      </c>
      <c r="S62" s="8">
        <f>-MAX(FV(Inputs!$B16/12,S$1*12,Inputs!$B17,-Inputs!$B15),0)</f>
        <v>0</v>
      </c>
      <c r="T62" s="8">
        <f>-MAX(FV(Inputs!$B16/12,T$1*12,Inputs!$B17,-Inputs!$B15),0)</f>
        <v>0</v>
      </c>
      <c r="U62" s="8">
        <f>-MAX(FV(Inputs!$B16/12,U$1*12,Inputs!$B17,-Inputs!$B15),0)</f>
        <v>0</v>
      </c>
      <c r="V62" s="8">
        <f>-MAX(FV(Inputs!$B16/12,V$1*12,Inputs!$B17,-Inputs!$B15),0)</f>
        <v>0</v>
      </c>
      <c r="W62" s="8">
        <f>-MAX(FV(Inputs!$B16/12,W$1*12,Inputs!$B17,-Inputs!$B15),0)</f>
        <v>0</v>
      </c>
      <c r="X62" s="8">
        <f>-MAX(FV(Inputs!$B16/12,X$1*12,Inputs!$B17,-Inputs!$B15),0)</f>
        <v>0</v>
      </c>
      <c r="Y62" s="8">
        <f>-MAX(FV(Inputs!$B16/12,Y$1*12,Inputs!$B17,-Inputs!$B15),0)</f>
        <v>0</v>
      </c>
      <c r="Z62" s="8">
        <f>-MAX(FV(Inputs!$B16/12,Z$1*12,Inputs!$B17,-Inputs!$B15),0)</f>
        <v>0</v>
      </c>
      <c r="AA62" s="8">
        <f>-MAX(FV(Inputs!$B16/12,AA$1*12,Inputs!$B17,-Inputs!$B15),0)</f>
        <v>0</v>
      </c>
      <c r="AB62" s="8">
        <f>-MAX(FV(Inputs!$B16/12,AB$1*12,Inputs!$B17,-Inputs!$B15),0)</f>
        <v>0</v>
      </c>
      <c r="AC62" s="8">
        <f>-MAX(FV(Inputs!$B16/12,AC$1*12,Inputs!$B17,-Inputs!$B15),0)</f>
        <v>0</v>
      </c>
      <c r="AD62" s="8">
        <f>-MAX(FV(Inputs!$B16/12,AD$1*12,Inputs!$B17,-Inputs!$B15),0)</f>
        <v>0</v>
      </c>
      <c r="AE62" s="8">
        <f>-MAX(FV(Inputs!$B16/12,AE$1*12,Inputs!$B17,-Inputs!$B15),0)</f>
        <v>0</v>
      </c>
      <c r="AF62" s="8">
        <f>-MAX(FV(Inputs!$B16/12,AF$1*12,Inputs!$B17,-Inputs!$B15),0)</f>
        <v>0</v>
      </c>
      <c r="AG62" s="8">
        <f>-MAX(FV(Inputs!$B16/12,AG$1*12,Inputs!$B17,-Inputs!$B15),0)</f>
        <v>0</v>
      </c>
      <c r="AH62" s="8">
        <f>-MAX(FV(Inputs!$B16/12,AH$1*12,Inputs!$B17,-Inputs!$B15),0)</f>
        <v>0</v>
      </c>
      <c r="AI62" s="8">
        <f>-MAX(FV(Inputs!$B16/12,AI$1*12,Inputs!$B17,-Inputs!$B15),0)</f>
        <v>0</v>
      </c>
      <c r="AJ62" s="8">
        <f>-MAX(FV(Inputs!$B16/12,AJ$1*12,Inputs!$B17,-Inputs!$B15),0)</f>
        <v>0</v>
      </c>
      <c r="AK62" s="8">
        <f>-MAX(FV(Inputs!$B16/12,AK$1*12,Inputs!$B17,-Inputs!$B15),0)</f>
        <v>0</v>
      </c>
      <c r="AL62" s="8">
        <f>-MAX(FV(Inputs!$B16/12,AL$1*12,Inputs!$B17,-Inputs!$B15),0)</f>
        <v>0</v>
      </c>
      <c r="AM62" s="8">
        <f>-MAX(FV(Inputs!$B16/12,AM$1*12,Inputs!$B17,-Inputs!$B15),0)</f>
        <v>0</v>
      </c>
    </row>
    <row r="63" spans="1:39" x14ac:dyDescent="0.2">
      <c r="A63" s="5" t="s">
        <v>65</v>
      </c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</row>
    <row r="64" spans="1:39" x14ac:dyDescent="0.2">
      <c r="A64" s="4" t="str">
        <f>TEXT(Inputs!$B$60,"")</f>
        <v>Sliema</v>
      </c>
      <c r="C64" s="8">
        <f>-MAX(FV(Inputs!$B89/12,C$1*12,Inputs!$B90,-Inputs!$B88),0)</f>
        <v>-45437.606462973985</v>
      </c>
      <c r="D64" s="8">
        <f>-MAX(FV(Inputs!$B89/12,D$1*12,Inputs!$B90,-Inputs!$B88),0)</f>
        <v>-40736.443360703342</v>
      </c>
      <c r="E64" s="8">
        <f>-MAX(FV(Inputs!$B89/12,E$1*12,Inputs!$B90,-Inputs!$B88),0)</f>
        <v>-35892.289884070618</v>
      </c>
      <c r="F64" s="8">
        <f>-MAX(FV(Inputs!$B89/12,F$1*12,Inputs!$B90,-Inputs!$B88),0)</f>
        <v>-30900.796844010245</v>
      </c>
      <c r="G64" s="8">
        <f>-MAX(FV(Inputs!$B89/12,G$1*12,Inputs!$B90,-Inputs!$B88),0)</f>
        <v>-25757.48276670936</v>
      </c>
      <c r="H64" s="8">
        <f>-MAX(FV(Inputs!$B89/12,H$1*12,Inputs!$B90,-Inputs!$B88),0)</f>
        <v>-20457.729870040646</v>
      </c>
      <c r="I64" s="8">
        <f>-MAX(FV(Inputs!$B89/12,I$1*12,Inputs!$B90,-Inputs!$B88),0)</f>
        <v>-14996.779917614593</v>
      </c>
      <c r="J64" s="8">
        <f>-MAX(FV(Inputs!$B89/12,J$1*12,Inputs!$B90,-Inputs!$B88),0)</f>
        <v>-9369.7299467287376</v>
      </c>
      <c r="K64" s="8">
        <f>-MAX(FV(Inputs!$B89/12,K$1*12,Inputs!$B90,-Inputs!$B88),0)</f>
        <v>-3571.5278663783029</v>
      </c>
      <c r="L64" s="8">
        <f>-MAX(FV(Inputs!$B89/12,L$1*12,Inputs!$B90,-Inputs!$B88),0)</f>
        <v>0</v>
      </c>
      <c r="M64" s="8">
        <f>-MAX(FV(Inputs!$B89/12,M$1*12,Inputs!$B90,-Inputs!$B88),0)</f>
        <v>0</v>
      </c>
      <c r="N64" s="8">
        <f>-MAX(FV(Inputs!$B89/12,N$1*12,Inputs!$B90,-Inputs!$B88),0)</f>
        <v>0</v>
      </c>
      <c r="O64" s="8">
        <f>-MAX(FV(Inputs!$B89/12,O$1*12,Inputs!$B90,-Inputs!$B88),0)</f>
        <v>0</v>
      </c>
      <c r="P64" s="8">
        <f>-MAX(FV(Inputs!$B89/12,P$1*12,Inputs!$B90,-Inputs!$B88),0)</f>
        <v>0</v>
      </c>
      <c r="Q64" s="8">
        <f>-MAX(FV(Inputs!$B89/12,Q$1*12,Inputs!$B90,-Inputs!$B88),0)</f>
        <v>0</v>
      </c>
      <c r="R64" s="8">
        <f>-MAX(FV(Inputs!$B89/12,R$1*12,Inputs!$B90,-Inputs!$B88),0)</f>
        <v>0</v>
      </c>
      <c r="S64" s="8">
        <f>-MAX(FV(Inputs!$B89/12,S$1*12,Inputs!$B90,-Inputs!$B88),0)</f>
        <v>0</v>
      </c>
      <c r="T64" s="8">
        <f>-MAX(FV(Inputs!$B89/12,T$1*12,Inputs!$B90,-Inputs!$B88),0)</f>
        <v>0</v>
      </c>
      <c r="U64" s="8">
        <f>-MAX(FV(Inputs!$B89/12,U$1*12,Inputs!$B90,-Inputs!$B88),0)</f>
        <v>0</v>
      </c>
      <c r="V64" s="8">
        <f>-MAX(FV(Inputs!$B89/12,V$1*12,Inputs!$B90,-Inputs!$B88),0)</f>
        <v>0</v>
      </c>
      <c r="W64" s="8">
        <f>-MAX(FV(Inputs!$B89/12,W$1*12,Inputs!$B90,-Inputs!$B88),0)</f>
        <v>0</v>
      </c>
      <c r="X64" s="8">
        <f>-MAX(FV(Inputs!$B89/12,X$1*12,Inputs!$B90,-Inputs!$B88),0)</f>
        <v>0</v>
      </c>
      <c r="Y64" s="8">
        <f>-MAX(FV(Inputs!$B89/12,Y$1*12,Inputs!$B90,-Inputs!$B88),0)</f>
        <v>0</v>
      </c>
      <c r="Z64" s="8">
        <f>-MAX(FV(Inputs!$B89/12,Z$1*12,Inputs!$B90,-Inputs!$B88),0)</f>
        <v>0</v>
      </c>
      <c r="AA64" s="8">
        <f>-MAX(FV(Inputs!$B89/12,AA$1*12,Inputs!$B90,-Inputs!$B88),0)</f>
        <v>0</v>
      </c>
      <c r="AB64" s="8">
        <f>-MAX(FV(Inputs!$B89/12,AB$1*12,Inputs!$B90,-Inputs!$B88),0)</f>
        <v>0</v>
      </c>
      <c r="AC64" s="8">
        <f>-MAX(FV(Inputs!$B89/12,AC$1*12,Inputs!$B90,-Inputs!$B88),0)</f>
        <v>0</v>
      </c>
      <c r="AD64" s="8">
        <f>-MAX(FV(Inputs!$B89/12,AD$1*12,Inputs!$B90,-Inputs!$B88),0)</f>
        <v>0</v>
      </c>
      <c r="AE64" s="8">
        <f>-MAX(FV(Inputs!$B89/12,AE$1*12,Inputs!$B90,-Inputs!$B88),0)</f>
        <v>0</v>
      </c>
      <c r="AF64" s="8">
        <f>-MAX(FV(Inputs!$B89/12,AF$1*12,Inputs!$B90,-Inputs!$B88),0)</f>
        <v>0</v>
      </c>
      <c r="AG64" s="8">
        <f>-MAX(FV(Inputs!$B89/12,AG$1*12,Inputs!$B90,-Inputs!$B88),0)</f>
        <v>0</v>
      </c>
      <c r="AH64" s="8">
        <f>-MAX(FV(Inputs!$B89/12,AH$1*12,Inputs!$B90,-Inputs!$B88),0)</f>
        <v>0</v>
      </c>
      <c r="AI64" s="8">
        <f>-MAX(FV(Inputs!$B89/12,AI$1*12,Inputs!$B90,-Inputs!$B88),0)</f>
        <v>0</v>
      </c>
      <c r="AJ64" s="8">
        <f>-MAX(FV(Inputs!$B89/12,AJ$1*12,Inputs!$B90,-Inputs!$B88),0)</f>
        <v>0</v>
      </c>
      <c r="AK64" s="8">
        <f>-MAX(FV(Inputs!$B89/12,AK$1*12,Inputs!$B90,-Inputs!$B88),0)</f>
        <v>0</v>
      </c>
      <c r="AL64" s="8">
        <f>-MAX(FV(Inputs!$B89/12,AL$1*12,Inputs!$B90,-Inputs!$B88),0)</f>
        <v>0</v>
      </c>
      <c r="AM64" s="8">
        <f>-MAX(FV(Inputs!$B89/12,AM$1*12,Inputs!$B90,-Inputs!$B88),0)</f>
        <v>0</v>
      </c>
    </row>
    <row r="65" spans="1:39" x14ac:dyDescent="0.2">
      <c r="A65" s="4" t="str">
        <f>TEXT(Inputs!$B$65,"")</f>
        <v>Gzira</v>
      </c>
      <c r="C65" s="8">
        <f>-MAX(FV(Inputs!$B94/12,C$1*12,Inputs!$B95,-Inputs!$B93),0)</f>
        <v>-6249.4443415125261</v>
      </c>
      <c r="D65" s="8">
        <f>-MAX(FV(Inputs!$B94/12,D$1*12,Inputs!$B95,-Inputs!$B93),0)</f>
        <v>-3953.4626671330816</v>
      </c>
      <c r="E65" s="8">
        <f>-MAX(FV(Inputs!$B94/12,E$1*12,Inputs!$B95,-Inputs!$B93),0)</f>
        <v>-1611.1380819997976</v>
      </c>
      <c r="F65" s="8">
        <f>-MAX(FV(Inputs!$B94/12,F$1*12,Inputs!$B95,-Inputs!$B93),0)</f>
        <v>0</v>
      </c>
      <c r="G65" s="8">
        <f>-MAX(FV(Inputs!$B94/12,G$1*12,Inputs!$B95,-Inputs!$B93),0)</f>
        <v>0</v>
      </c>
      <c r="H65" s="8">
        <f>-MAX(FV(Inputs!$B94/12,H$1*12,Inputs!$B95,-Inputs!$B93),0)</f>
        <v>0</v>
      </c>
      <c r="I65" s="8">
        <f>-MAX(FV(Inputs!$B94/12,I$1*12,Inputs!$B95,-Inputs!$B93),0)</f>
        <v>0</v>
      </c>
      <c r="J65" s="8">
        <f>-MAX(FV(Inputs!$B94/12,J$1*12,Inputs!$B95,-Inputs!$B93),0)</f>
        <v>0</v>
      </c>
      <c r="K65" s="8">
        <f>-MAX(FV(Inputs!$B94/12,K$1*12,Inputs!$B95,-Inputs!$B93),0)</f>
        <v>0</v>
      </c>
      <c r="L65" s="8">
        <f>-MAX(FV(Inputs!$B94/12,L$1*12,Inputs!$B95,-Inputs!$B93),0)</f>
        <v>0</v>
      </c>
      <c r="M65" s="8">
        <f>-MAX(FV(Inputs!$B94/12,M$1*12,Inputs!$B95,-Inputs!$B93),0)</f>
        <v>0</v>
      </c>
      <c r="N65" s="8">
        <f>-MAX(FV(Inputs!$B94/12,N$1*12,Inputs!$B95,-Inputs!$B93),0)</f>
        <v>0</v>
      </c>
      <c r="O65" s="8">
        <f>-MAX(FV(Inputs!$B94/12,O$1*12,Inputs!$B95,-Inputs!$B93),0)</f>
        <v>0</v>
      </c>
      <c r="P65" s="8">
        <f>-MAX(FV(Inputs!$B94/12,P$1*12,Inputs!$B95,-Inputs!$B93),0)</f>
        <v>0</v>
      </c>
      <c r="Q65" s="8">
        <f>-MAX(FV(Inputs!$B94/12,Q$1*12,Inputs!$B95,-Inputs!$B93),0)</f>
        <v>0</v>
      </c>
      <c r="R65" s="8">
        <f>-MAX(FV(Inputs!$B94/12,R$1*12,Inputs!$B95,-Inputs!$B93),0)</f>
        <v>0</v>
      </c>
      <c r="S65" s="8">
        <f>-MAX(FV(Inputs!$B94/12,S$1*12,Inputs!$B95,-Inputs!$B93),0)</f>
        <v>0</v>
      </c>
      <c r="T65" s="8">
        <f>-MAX(FV(Inputs!$B94/12,T$1*12,Inputs!$B95,-Inputs!$B93),0)</f>
        <v>0</v>
      </c>
      <c r="U65" s="8">
        <f>-MAX(FV(Inputs!$B94/12,U$1*12,Inputs!$B95,-Inputs!$B93),0)</f>
        <v>0</v>
      </c>
      <c r="V65" s="8">
        <f>-MAX(FV(Inputs!$B94/12,V$1*12,Inputs!$B95,-Inputs!$B93),0)</f>
        <v>0</v>
      </c>
      <c r="W65" s="8">
        <f>-MAX(FV(Inputs!$B94/12,W$1*12,Inputs!$B95,-Inputs!$B93),0)</f>
        <v>0</v>
      </c>
      <c r="X65" s="8">
        <f>-MAX(FV(Inputs!$B94/12,X$1*12,Inputs!$B95,-Inputs!$B93),0)</f>
        <v>0</v>
      </c>
      <c r="Y65" s="8">
        <f>-MAX(FV(Inputs!$B94/12,Y$1*12,Inputs!$B95,-Inputs!$B93),0)</f>
        <v>0</v>
      </c>
      <c r="Z65" s="8">
        <f>-MAX(FV(Inputs!$B94/12,Z$1*12,Inputs!$B95,-Inputs!$B93),0)</f>
        <v>0</v>
      </c>
      <c r="AA65" s="8">
        <f>-MAX(FV(Inputs!$B94/12,AA$1*12,Inputs!$B95,-Inputs!$B93),0)</f>
        <v>0</v>
      </c>
      <c r="AB65" s="8">
        <f>-MAX(FV(Inputs!$B94/12,AB$1*12,Inputs!$B95,-Inputs!$B93),0)</f>
        <v>0</v>
      </c>
      <c r="AC65" s="8">
        <f>-MAX(FV(Inputs!$B94/12,AC$1*12,Inputs!$B95,-Inputs!$B93),0)</f>
        <v>0</v>
      </c>
      <c r="AD65" s="8">
        <f>-MAX(FV(Inputs!$B94/12,AD$1*12,Inputs!$B95,-Inputs!$B93),0)</f>
        <v>0</v>
      </c>
      <c r="AE65" s="8">
        <f>-MAX(FV(Inputs!$B94/12,AE$1*12,Inputs!$B95,-Inputs!$B93),0)</f>
        <v>0</v>
      </c>
      <c r="AF65" s="8">
        <f>-MAX(FV(Inputs!$B94/12,AF$1*12,Inputs!$B95,-Inputs!$B93),0)</f>
        <v>0</v>
      </c>
      <c r="AG65" s="8">
        <f>-MAX(FV(Inputs!$B94/12,AG$1*12,Inputs!$B95,-Inputs!$B93),0)</f>
        <v>0</v>
      </c>
      <c r="AH65" s="8">
        <f>-MAX(FV(Inputs!$B94/12,AH$1*12,Inputs!$B95,-Inputs!$B93),0)</f>
        <v>0</v>
      </c>
      <c r="AI65" s="8">
        <f>-MAX(FV(Inputs!$B94/12,AI$1*12,Inputs!$B95,-Inputs!$B93),0)</f>
        <v>0</v>
      </c>
      <c r="AJ65" s="8">
        <f>-MAX(FV(Inputs!$B94/12,AJ$1*12,Inputs!$B95,-Inputs!$B93),0)</f>
        <v>0</v>
      </c>
      <c r="AK65" s="8">
        <f>-MAX(FV(Inputs!$B94/12,AK$1*12,Inputs!$B95,-Inputs!$B93),0)</f>
        <v>0</v>
      </c>
      <c r="AL65" s="8">
        <f>-MAX(FV(Inputs!$B94/12,AL$1*12,Inputs!$B95,-Inputs!$B93),0)</f>
        <v>0</v>
      </c>
      <c r="AM65" s="8">
        <f>-MAX(FV(Inputs!$B94/12,AM$1*12,Inputs!$B95,-Inputs!$B93),0)</f>
        <v>0</v>
      </c>
    </row>
    <row r="66" spans="1:39" x14ac:dyDescent="0.2">
      <c r="A66" s="4" t="str">
        <f>TEXT(Inputs!$B$70,"")</f>
        <v>Qormi</v>
      </c>
      <c r="C66" s="8">
        <f>-MAX(FV(Inputs!$B99/12,C$1*12,Inputs!$B100,-Inputs!$B98),0)</f>
        <v>-12697.714595321995</v>
      </c>
      <c r="D66" s="8">
        <f>-MAX(FV(Inputs!$B99/12,D$1*12,Inputs!$B100,-Inputs!$B98),0)</f>
        <v>-10277.63989987525</v>
      </c>
      <c r="E66" s="8">
        <f>-MAX(FV(Inputs!$B99/12,E$1*12,Inputs!$B100,-Inputs!$B98),0)</f>
        <v>-7733.7495899939004</v>
      </c>
      <c r="F66" s="8">
        <f>-MAX(FV(Inputs!$B99/12,F$1*12,Inputs!$B100,-Inputs!$B98),0)</f>
        <v>-5059.7090238560577</v>
      </c>
      <c r="G66" s="8">
        <f>-MAX(FV(Inputs!$B99/12,G$1*12,Inputs!$B100,-Inputs!$B98),0)</f>
        <v>-2248.8594673418665</v>
      </c>
      <c r="H66" s="8">
        <f>-MAX(FV(Inputs!$B99/12,H$1*12,Inputs!$B100,-Inputs!$B98),0)</f>
        <v>0</v>
      </c>
      <c r="I66" s="8">
        <f>-MAX(FV(Inputs!$B99/12,I$1*12,Inputs!$B100,-Inputs!$B98),0)</f>
        <v>0</v>
      </c>
      <c r="J66" s="8">
        <f>-MAX(FV(Inputs!$B99/12,J$1*12,Inputs!$B100,-Inputs!$B98),0)</f>
        <v>0</v>
      </c>
      <c r="K66" s="8">
        <f>-MAX(FV(Inputs!$B99/12,K$1*12,Inputs!$B100,-Inputs!$B98),0)</f>
        <v>0</v>
      </c>
      <c r="L66" s="8">
        <f>-MAX(FV(Inputs!$B99/12,L$1*12,Inputs!$B100,-Inputs!$B98),0)</f>
        <v>0</v>
      </c>
      <c r="M66" s="8">
        <f>-MAX(FV(Inputs!$B99/12,M$1*12,Inputs!$B100,-Inputs!$B98),0)</f>
        <v>0</v>
      </c>
      <c r="N66" s="8">
        <f>-MAX(FV(Inputs!$B99/12,N$1*12,Inputs!$B100,-Inputs!$B98),0)</f>
        <v>0</v>
      </c>
      <c r="O66" s="8">
        <f>-MAX(FV(Inputs!$B99/12,O$1*12,Inputs!$B100,-Inputs!$B98),0)</f>
        <v>0</v>
      </c>
      <c r="P66" s="8">
        <f>-MAX(FV(Inputs!$B99/12,P$1*12,Inputs!$B100,-Inputs!$B98),0)</f>
        <v>0</v>
      </c>
      <c r="Q66" s="8">
        <f>-MAX(FV(Inputs!$B99/12,Q$1*12,Inputs!$B100,-Inputs!$B98),0)</f>
        <v>0</v>
      </c>
      <c r="R66" s="8">
        <f>-MAX(FV(Inputs!$B99/12,R$1*12,Inputs!$B100,-Inputs!$B98),0)</f>
        <v>0</v>
      </c>
      <c r="S66" s="8">
        <f>-MAX(FV(Inputs!$B99/12,S$1*12,Inputs!$B100,-Inputs!$B98),0)</f>
        <v>0</v>
      </c>
      <c r="T66" s="8">
        <f>-MAX(FV(Inputs!$B99/12,T$1*12,Inputs!$B100,-Inputs!$B98),0)</f>
        <v>0</v>
      </c>
      <c r="U66" s="8">
        <f>-MAX(FV(Inputs!$B99/12,U$1*12,Inputs!$B100,-Inputs!$B98),0)</f>
        <v>0</v>
      </c>
      <c r="V66" s="8">
        <f>-MAX(FV(Inputs!$B99/12,V$1*12,Inputs!$B100,-Inputs!$B98),0)</f>
        <v>0</v>
      </c>
      <c r="W66" s="8">
        <f>-MAX(FV(Inputs!$B99/12,W$1*12,Inputs!$B100,-Inputs!$B98),0)</f>
        <v>0</v>
      </c>
      <c r="X66" s="8">
        <f>-MAX(FV(Inputs!$B99/12,X$1*12,Inputs!$B100,-Inputs!$B98),0)</f>
        <v>0</v>
      </c>
      <c r="Y66" s="8">
        <f>-MAX(FV(Inputs!$B99/12,Y$1*12,Inputs!$B100,-Inputs!$B98),0)</f>
        <v>0</v>
      </c>
      <c r="Z66" s="8">
        <f>-MAX(FV(Inputs!$B99/12,Z$1*12,Inputs!$B100,-Inputs!$B98),0)</f>
        <v>0</v>
      </c>
      <c r="AA66" s="8">
        <f>-MAX(FV(Inputs!$B99/12,AA$1*12,Inputs!$B100,-Inputs!$B98),0)</f>
        <v>0</v>
      </c>
      <c r="AB66" s="8">
        <f>-MAX(FV(Inputs!$B99/12,AB$1*12,Inputs!$B100,-Inputs!$B98),0)</f>
        <v>0</v>
      </c>
      <c r="AC66" s="8">
        <f>-MAX(FV(Inputs!$B99/12,AC$1*12,Inputs!$B100,-Inputs!$B98),0)</f>
        <v>0</v>
      </c>
      <c r="AD66" s="8">
        <f>-MAX(FV(Inputs!$B99/12,AD$1*12,Inputs!$B100,-Inputs!$B98),0)</f>
        <v>0</v>
      </c>
      <c r="AE66" s="8">
        <f>-MAX(FV(Inputs!$B99/12,AE$1*12,Inputs!$B100,-Inputs!$B98),0)</f>
        <v>0</v>
      </c>
      <c r="AF66" s="8">
        <f>-MAX(FV(Inputs!$B99/12,AF$1*12,Inputs!$B100,-Inputs!$B98),0)</f>
        <v>0</v>
      </c>
      <c r="AG66" s="8">
        <f>-MAX(FV(Inputs!$B99/12,AG$1*12,Inputs!$B100,-Inputs!$B98),0)</f>
        <v>0</v>
      </c>
      <c r="AH66" s="8">
        <f>-MAX(FV(Inputs!$B99/12,AH$1*12,Inputs!$B100,-Inputs!$B98),0)</f>
        <v>0</v>
      </c>
      <c r="AI66" s="8">
        <f>-MAX(FV(Inputs!$B99/12,AI$1*12,Inputs!$B100,-Inputs!$B98),0)</f>
        <v>0</v>
      </c>
      <c r="AJ66" s="8">
        <f>-MAX(FV(Inputs!$B99/12,AJ$1*12,Inputs!$B100,-Inputs!$B98),0)</f>
        <v>0</v>
      </c>
      <c r="AK66" s="8">
        <f>-MAX(FV(Inputs!$B99/12,AK$1*12,Inputs!$B100,-Inputs!$B98),0)</f>
        <v>0</v>
      </c>
      <c r="AL66" s="8">
        <f>-MAX(FV(Inputs!$B99/12,AL$1*12,Inputs!$B100,-Inputs!$B98),0)</f>
        <v>0</v>
      </c>
      <c r="AM66" s="8">
        <f>-MAX(FV(Inputs!$B99/12,AM$1*12,Inputs!$B100,-Inputs!$B98),0)</f>
        <v>0</v>
      </c>
    </row>
    <row r="67" spans="1:39" x14ac:dyDescent="0.2">
      <c r="A67" s="5" t="s">
        <v>38</v>
      </c>
      <c r="C67" s="8">
        <f>-MAX(FV(Inputs!$B104/12,C$1*12,Inputs!$B105,-Inputs!$B103),0)</f>
        <v>-3629.9331288130147</v>
      </c>
      <c r="D67" s="8">
        <f>-MAX(FV(Inputs!$B104/12,D$1*12,Inputs!$B105,-Inputs!$B103),0)</f>
        <v>-3237.0413427676731</v>
      </c>
      <c r="E67" s="8">
        <f>-MAX(FV(Inputs!$B104/12,E$1*12,Inputs!$B105,-Inputs!$B103),0)</f>
        <v>-2819.9168510595237</v>
      </c>
      <c r="F67" s="8">
        <f>-MAX(FV(Inputs!$B104/12,F$1*12,Inputs!$B105,-Inputs!$B103),0)</f>
        <v>-2377.0650334277229</v>
      </c>
      <c r="G67" s="8">
        <f>-MAX(FV(Inputs!$B104/12,G$1*12,Inputs!$B105,-Inputs!$B103),0)</f>
        <v>-1906.8990847041773</v>
      </c>
      <c r="H67" s="8">
        <f>-MAX(FV(Inputs!$B104/12,H$1*12,Inputs!$B105,-Inputs!$B103),0)</f>
        <v>-1407.7343290501685</v>
      </c>
      <c r="I67" s="8">
        <f>-MAX(FV(Inputs!$B104/12,I$1*12,Inputs!$B105,-Inputs!$B103),0)</f>
        <v>-877.78218350754105</v>
      </c>
      <c r="J67" s="8">
        <f>-MAX(FV(Inputs!$B104/12,J$1*12,Inputs!$B105,-Inputs!$B103),0)</f>
        <v>-315.14374923495234</v>
      </c>
      <c r="K67" s="8">
        <f>-MAX(FV(Inputs!$B104/12,K$1*12,Inputs!$B105,-Inputs!$B103),0)</f>
        <v>0</v>
      </c>
      <c r="L67" s="8">
        <f>-MAX(FV(Inputs!$B104/12,L$1*12,Inputs!$B105,-Inputs!$B103),0)</f>
        <v>0</v>
      </c>
      <c r="M67" s="8">
        <f>-MAX(FV(Inputs!$B104/12,M$1*12,Inputs!$B105,-Inputs!$B103),0)</f>
        <v>0</v>
      </c>
      <c r="N67" s="8">
        <f>-MAX(FV(Inputs!$B104/12,N$1*12,Inputs!$B105,-Inputs!$B103),0)</f>
        <v>0</v>
      </c>
      <c r="O67" s="8">
        <f>-MAX(FV(Inputs!$B104/12,O$1*12,Inputs!$B105,-Inputs!$B103),0)</f>
        <v>0</v>
      </c>
      <c r="P67" s="8">
        <f>-MAX(FV(Inputs!$B104/12,P$1*12,Inputs!$B105,-Inputs!$B103),0)</f>
        <v>0</v>
      </c>
      <c r="Q67" s="8">
        <f>-MAX(FV(Inputs!$B104/12,Q$1*12,Inputs!$B105,-Inputs!$B103),0)</f>
        <v>0</v>
      </c>
      <c r="R67" s="8">
        <f>-MAX(FV(Inputs!$B104/12,R$1*12,Inputs!$B105,-Inputs!$B103),0)</f>
        <v>0</v>
      </c>
      <c r="S67" s="8">
        <f>-MAX(FV(Inputs!$B104/12,S$1*12,Inputs!$B105,-Inputs!$B103),0)</f>
        <v>0</v>
      </c>
      <c r="T67" s="8">
        <f>-MAX(FV(Inputs!$B104/12,T$1*12,Inputs!$B105,-Inputs!$B103),0)</f>
        <v>0</v>
      </c>
      <c r="U67" s="8">
        <f>-MAX(FV(Inputs!$B104/12,U$1*12,Inputs!$B105,-Inputs!$B103),0)</f>
        <v>0</v>
      </c>
      <c r="V67" s="8">
        <f>-MAX(FV(Inputs!$B104/12,V$1*12,Inputs!$B105,-Inputs!$B103),0)</f>
        <v>0</v>
      </c>
      <c r="W67" s="8">
        <f>-MAX(FV(Inputs!$B104/12,W$1*12,Inputs!$B105,-Inputs!$B103),0)</f>
        <v>0</v>
      </c>
      <c r="X67" s="8">
        <f>-MAX(FV(Inputs!$B104/12,X$1*12,Inputs!$B105,-Inputs!$B103),0)</f>
        <v>0</v>
      </c>
      <c r="Y67" s="8">
        <f>-MAX(FV(Inputs!$B104/12,Y$1*12,Inputs!$B105,-Inputs!$B103),0)</f>
        <v>0</v>
      </c>
      <c r="Z67" s="8">
        <f>-MAX(FV(Inputs!$B104/12,Z$1*12,Inputs!$B105,-Inputs!$B103),0)</f>
        <v>0</v>
      </c>
      <c r="AA67" s="8">
        <f>-MAX(FV(Inputs!$B104/12,AA$1*12,Inputs!$B105,-Inputs!$B103),0)</f>
        <v>0</v>
      </c>
      <c r="AB67" s="8">
        <f>-MAX(FV(Inputs!$B104/12,AB$1*12,Inputs!$B105,-Inputs!$B103),0)</f>
        <v>0</v>
      </c>
      <c r="AC67" s="8">
        <f>-MAX(FV(Inputs!$B104/12,AC$1*12,Inputs!$B105,-Inputs!$B103),0)</f>
        <v>0</v>
      </c>
      <c r="AD67" s="8">
        <f>-MAX(FV(Inputs!$B104/12,AD$1*12,Inputs!$B105,-Inputs!$B103),0)</f>
        <v>0</v>
      </c>
      <c r="AE67" s="8">
        <f>-MAX(FV(Inputs!$B104/12,AE$1*12,Inputs!$B105,-Inputs!$B103),0)</f>
        <v>0</v>
      </c>
      <c r="AF67" s="8">
        <f>-MAX(FV(Inputs!$B104/12,AF$1*12,Inputs!$B105,-Inputs!$B103),0)</f>
        <v>0</v>
      </c>
      <c r="AG67" s="8">
        <f>-MAX(FV(Inputs!$B104/12,AG$1*12,Inputs!$B105,-Inputs!$B103),0)</f>
        <v>0</v>
      </c>
      <c r="AH67" s="8">
        <f>-MAX(FV(Inputs!$B104/12,AH$1*12,Inputs!$B105,-Inputs!$B103),0)</f>
        <v>0</v>
      </c>
      <c r="AI67" s="8">
        <f>-MAX(FV(Inputs!$B104/12,AI$1*12,Inputs!$B105,-Inputs!$B103),0)</f>
        <v>0</v>
      </c>
      <c r="AJ67" s="8">
        <f>-MAX(FV(Inputs!$B104/12,AJ$1*12,Inputs!$B105,-Inputs!$B103),0)</f>
        <v>0</v>
      </c>
      <c r="AK67" s="8">
        <f>-MAX(FV(Inputs!$B104/12,AK$1*12,Inputs!$B105,-Inputs!$B103),0)</f>
        <v>0</v>
      </c>
      <c r="AL67" s="8">
        <f>-MAX(FV(Inputs!$B104/12,AL$1*12,Inputs!$B105,-Inputs!$B103),0)</f>
        <v>0</v>
      </c>
      <c r="AM67" s="8">
        <f>-MAX(FV(Inputs!$B104/12,AM$1*12,Inputs!$B105,-Inputs!$B103),0)</f>
        <v>0</v>
      </c>
    </row>
    <row r="68" spans="1:39" x14ac:dyDescent="0.2">
      <c r="A68" s="5"/>
      <c r="C68" s="10">
        <f t="shared" ref="C68:G68" ca="1" si="206">SUM(C54:C67)</f>
        <v>1301023.1098380252</v>
      </c>
      <c r="D68" s="10">
        <f t="shared" ca="1" si="206"/>
        <v>1384582.2771802545</v>
      </c>
      <c r="E68" s="10">
        <f t="shared" ca="1" si="206"/>
        <v>1450030.9206765494</v>
      </c>
      <c r="F68" s="10">
        <f t="shared" ca="1" si="206"/>
        <v>1550952.0739389125</v>
      </c>
      <c r="G68" s="10">
        <f t="shared" ca="1" si="206"/>
        <v>1656938.7875422537</v>
      </c>
      <c r="H68" s="10">
        <f t="shared" ref="H68:I68" ca="1" si="207">SUM(H54:H67)</f>
        <v>1775127.73689433</v>
      </c>
      <c r="I68" s="10">
        <f t="shared" ca="1" si="207"/>
        <v>1896559.6635315095</v>
      </c>
      <c r="J68" s="10">
        <f t="shared" ref="J68:AM68" ca="1" si="208">SUM(J54:J67)</f>
        <v>2005800.0624461714</v>
      </c>
      <c r="K68" s="10">
        <f t="shared" ca="1" si="208"/>
        <v>2200436.521202656</v>
      </c>
      <c r="L68" s="10">
        <f t="shared" ca="1" si="208"/>
        <v>2305888.9317588429</v>
      </c>
      <c r="M68" s="10">
        <f t="shared" ca="1" si="208"/>
        <v>2465431.7822904554</v>
      </c>
      <c r="N68" s="10">
        <f t="shared" ca="1" si="208"/>
        <v>2632497.5799885942</v>
      </c>
      <c r="O68" s="10">
        <f t="shared" ca="1" si="208"/>
        <v>2807402.1636088458</v>
      </c>
      <c r="P68" s="10">
        <f t="shared" ca="1" si="208"/>
        <v>2990474.4278627383</v>
      </c>
      <c r="Q68" s="10">
        <f t="shared" ca="1" si="208"/>
        <v>3182056.9004872991</v>
      </c>
      <c r="R68" s="10">
        <f t="shared" ca="1" si="208"/>
        <v>3382506.3486738685</v>
      </c>
      <c r="S68" s="10">
        <f t="shared" ca="1" si="208"/>
        <v>3486262.1861123713</v>
      </c>
      <c r="T68" s="10">
        <f t="shared" ca="1" si="208"/>
        <v>3601400.509916849</v>
      </c>
      <c r="U68" s="10">
        <f t="shared" ca="1" si="208"/>
        <v>3720756.1168301795</v>
      </c>
      <c r="V68" s="10">
        <f t="shared" ca="1" si="208"/>
        <v>3844503.8768108995</v>
      </c>
      <c r="W68" s="10">
        <f t="shared" ca="1" si="208"/>
        <v>3972827.1896377485</v>
      </c>
      <c r="X68" s="10">
        <f t="shared" ca="1" si="208"/>
        <v>4085511.562725937</v>
      </c>
      <c r="Y68" s="10">
        <f t="shared" ca="1" si="208"/>
        <v>4202145.5544754099</v>
      </c>
      <c r="Z68" s="10">
        <f t="shared" ca="1" si="208"/>
        <v>4322903.0116165467</v>
      </c>
      <c r="AA68" s="10">
        <f t="shared" ca="1" si="208"/>
        <v>4447967.2357921377</v>
      </c>
      <c r="AB68" s="10">
        <f t="shared" ca="1" si="208"/>
        <v>4577531.5907639498</v>
      </c>
      <c r="AC68" s="10">
        <f t="shared" ca="1" si="208"/>
        <v>4711800.1530583724</v>
      </c>
      <c r="AD68" s="10">
        <f t="shared" ca="1" si="208"/>
        <v>4860849.146941415</v>
      </c>
      <c r="AE68" s="10">
        <f t="shared" ca="1" si="208"/>
        <v>5015538.5161948968</v>
      </c>
      <c r="AF68" s="10">
        <f t="shared" ca="1" si="208"/>
        <v>5176127.353818235</v>
      </c>
      <c r="AG68" s="10">
        <f t="shared" ca="1" si="208"/>
        <v>5342889.188788089</v>
      </c>
      <c r="AH68" s="10">
        <f t="shared" ca="1" si="208"/>
        <v>5516112.9280942539</v>
      </c>
      <c r="AI68" s="10">
        <f t="shared" ca="1" si="208"/>
        <v>5696103.8668778436</v>
      </c>
      <c r="AJ68" s="10">
        <f t="shared" ca="1" si="208"/>
        <v>5883184.7718734005</v>
      </c>
      <c r="AK68" s="10">
        <f t="shared" ca="1" si="208"/>
        <v>6077697.0437644608</v>
      </c>
      <c r="AL68" s="10">
        <f t="shared" ca="1" si="208"/>
        <v>6280001.9645022703</v>
      </c>
      <c r="AM68" s="10">
        <f t="shared" ca="1" si="208"/>
        <v>6490482.0361125115</v>
      </c>
    </row>
    <row r="69" spans="1:39" x14ac:dyDescent="0.2">
      <c r="A69" s="5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</row>
    <row r="70" spans="1:39" x14ac:dyDescent="0.2">
      <c r="A70" s="35" t="s">
        <v>87</v>
      </c>
      <c r="C70" s="8">
        <f t="shared" ref="C70:I70" ca="1" si="209">C55-buffer</f>
        <v>30325.5</v>
      </c>
      <c r="D70" s="8">
        <f t="shared" ca="1" si="209"/>
        <v>53777.462499999994</v>
      </c>
      <c r="E70" s="8">
        <f t="shared" ca="1" si="209"/>
        <v>57139.486875000017</v>
      </c>
      <c r="F70" s="8">
        <f t="shared" ca="1" si="209"/>
        <v>94700.221659424511</v>
      </c>
      <c r="G70" s="8">
        <f t="shared" ca="1" si="209"/>
        <v>136857.58117608592</v>
      </c>
      <c r="H70" s="8">
        <f t="shared" ca="1" si="209"/>
        <v>192940.55481327066</v>
      </c>
      <c r="I70" s="8">
        <f t="shared" ca="1" si="209"/>
        <v>259079.68847966078</v>
      </c>
      <c r="J70" s="8">
        <f t="shared" ref="J70:AM70" ca="1" si="210">J55-buffer</f>
        <v>311159.02647140576</v>
      </c>
      <c r="K70" s="8">
        <f t="shared" ca="1" si="210"/>
        <v>446975.96679276077</v>
      </c>
      <c r="L70" s="8">
        <f t="shared" ca="1" si="210"/>
        <v>494347.38007362408</v>
      </c>
      <c r="M70" s="8">
        <f t="shared" ca="1" si="210"/>
        <v>597505.5965587711</v>
      </c>
      <c r="N70" s="8">
        <f t="shared" ca="1" si="210"/>
        <v>706236.15018937679</v>
      </c>
      <c r="O70" s="8">
        <f t="shared" ca="1" si="210"/>
        <v>820775.63574042323</v>
      </c>
      <c r="P70" s="8">
        <f t="shared" ca="1" si="210"/>
        <v>941369.66856901604</v>
      </c>
      <c r="Q70" s="8">
        <f t="shared" ca="1" si="210"/>
        <v>1068273.207978379</v>
      </c>
      <c r="R70" s="8">
        <f t="shared" ca="1" si="210"/>
        <v>1201750.8917183832</v>
      </c>
      <c r="S70" s="8">
        <f t="shared" ca="1" si="210"/>
        <v>1236145.15148322</v>
      </c>
      <c r="T70" s="8">
        <f t="shared" ca="1" si="210"/>
        <v>1279429.9371666219</v>
      </c>
      <c r="U70" s="8">
        <f t="shared" ca="1" si="210"/>
        <v>1324332.3976486681</v>
      </c>
      <c r="V70" s="8">
        <f t="shared" ca="1" si="210"/>
        <v>1370913.8944652632</v>
      </c>
      <c r="W70" s="8">
        <f t="shared" ca="1" si="210"/>
        <v>1419238.0721059688</v>
      </c>
      <c r="X70" s="8">
        <f t="shared" ca="1" si="210"/>
        <v>1448964.0210951678</v>
      </c>
      <c r="Y70" s="8">
        <f t="shared" ca="1" si="210"/>
        <v>1479546.775976839</v>
      </c>
      <c r="Z70" s="8">
        <f t="shared" ca="1" si="210"/>
        <v>1511019.07429463</v>
      </c>
      <c r="AA70" s="8">
        <f t="shared" ca="1" si="210"/>
        <v>1543415.0092447023</v>
      </c>
      <c r="AB70" s="8">
        <f t="shared" ca="1" si="210"/>
        <v>1576770.0846257627</v>
      </c>
      <c r="AC70" s="8">
        <f t="shared" ca="1" si="210"/>
        <v>1611121.2719181646</v>
      </c>
      <c r="AD70" s="8">
        <f t="shared" ca="1" si="210"/>
        <v>1656367.8071636958</v>
      </c>
      <c r="AE70" s="8">
        <f t="shared" ca="1" si="210"/>
        <v>1703182.0766442758</v>
      </c>
      <c r="AF70" s="8">
        <f t="shared" ca="1" si="210"/>
        <v>1751624.3087351602</v>
      </c>
      <c r="AG70" s="8">
        <f t="shared" ca="1" si="210"/>
        <v>1801757.0670189112</v>
      </c>
      <c r="AH70" s="8">
        <f t="shared" ca="1" si="210"/>
        <v>1853645.3385117024</v>
      </c>
      <c r="AI70" s="8">
        <f t="shared" ca="1" si="210"/>
        <v>1907356.6251146924</v>
      </c>
      <c r="AJ70" s="8">
        <f t="shared" ca="1" si="210"/>
        <v>1962961.0384047818</v>
      </c>
      <c r="AK70" s="8">
        <f t="shared" ca="1" si="210"/>
        <v>2020531.3978830043</v>
      </c>
      <c r="AL70" s="8">
        <f t="shared" ca="1" si="210"/>
        <v>2080143.3328028899</v>
      </c>
      <c r="AM70" s="8">
        <f t="shared" ca="1" si="210"/>
        <v>2141875.3877053508</v>
      </c>
    </row>
    <row r="71" spans="1:39" x14ac:dyDescent="0.2">
      <c r="A71" s="2" t="s">
        <v>21</v>
      </c>
      <c r="C71" s="8">
        <f ca="1">IF(C70&lt;0,-C70,0)</f>
        <v>0</v>
      </c>
      <c r="D71" s="8">
        <f ca="1">IF(D70+SUM($C71:C71)&lt;0,-(D70+SUM($C71:C71)),0)</f>
        <v>0</v>
      </c>
      <c r="E71" s="8">
        <f ca="1">IF(E70+SUM($C71:D71)&lt;0,-(E70+SUM($C71:D71)),0)</f>
        <v>0</v>
      </c>
      <c r="F71" s="8">
        <f ca="1">IF(F70+SUM($C71:E71)&lt;0,-(F70+SUM($C71:E71)),0)</f>
        <v>0</v>
      </c>
      <c r="G71" s="8">
        <f ca="1">IF(G70+SUM($C71:F71)&lt;0,-(G70+SUM($C71:F71)),0)</f>
        <v>0</v>
      </c>
      <c r="H71" s="8">
        <f ca="1">IF(H70+SUM($C71:G71)&lt;0,-(H70+SUM($C71:G71)),0)</f>
        <v>0</v>
      </c>
      <c r="I71" s="8">
        <f ca="1">IF(I70+SUM($C71:H71)&lt;0,-(I70+SUM($C71:H71)),0)</f>
        <v>0</v>
      </c>
      <c r="J71" s="8">
        <f ca="1">IF(J70+SUM($C71:I71)&lt;0,-(J70+SUM($C71:I71)),0)</f>
        <v>0</v>
      </c>
      <c r="K71" s="8">
        <f ca="1">IF(K70+SUM($C71:J71)&lt;0,-(K70+SUM($C71:J71)),0)</f>
        <v>0</v>
      </c>
      <c r="L71" s="8">
        <f ca="1">IF(L70+SUM($C71:K71)&lt;0,-(L70+SUM($C71:K71)),0)</f>
        <v>0</v>
      </c>
      <c r="M71" s="8">
        <f ca="1">IF(M70+SUM($C71:L71)&lt;0,-(M70+SUM($C71:L71)),0)</f>
        <v>0</v>
      </c>
      <c r="N71" s="8">
        <f ca="1">IF(N70+SUM($C71:M71)&lt;0,-(N70+SUM($C71:M71)),0)</f>
        <v>0</v>
      </c>
      <c r="O71" s="8">
        <f ca="1">IF(O70+SUM($C71:N71)&lt;0,-(O70+SUM($C71:N71)),0)</f>
        <v>0</v>
      </c>
      <c r="P71" s="8">
        <f ca="1">IF(P70+SUM($C71:O71)&lt;0,-(P70+SUM($C71:O71)),0)</f>
        <v>0</v>
      </c>
      <c r="Q71" s="8">
        <f ca="1">IF(Q70+SUM($C71:P71)&lt;0,-(Q70+SUM($C71:P71)),0)</f>
        <v>0</v>
      </c>
      <c r="R71" s="8">
        <f ca="1">IF(R70+SUM($C71:Q71)&lt;0,-(R70+SUM($C71:Q71)),0)</f>
        <v>0</v>
      </c>
      <c r="S71" s="8">
        <f ca="1">IF(S70+SUM($C71:R71)&lt;0,-(S70+SUM($C71:R71)),0)</f>
        <v>0</v>
      </c>
      <c r="T71" s="8">
        <f ca="1">IF(T70+SUM($C71:S71)&lt;0,-(T70+SUM($C71:S71)),0)</f>
        <v>0</v>
      </c>
      <c r="U71" s="8">
        <f ca="1">IF(U70+SUM($C71:T71)&lt;0,-(U70+SUM($C71:T71)),0)</f>
        <v>0</v>
      </c>
      <c r="V71" s="8">
        <f ca="1">IF(V70+SUM($C71:U71)&lt;0,-(V70+SUM($C71:U71)),0)</f>
        <v>0</v>
      </c>
      <c r="W71" s="8">
        <f ca="1">IF(W70+SUM($C71:V71)&lt;0,-(W70+SUM($C71:V71)),0)</f>
        <v>0</v>
      </c>
      <c r="X71" s="8">
        <f ca="1">IF(X70+SUM($C71:W71)&lt;0,-(X70+SUM($C71:W71)),0)</f>
        <v>0</v>
      </c>
      <c r="Y71" s="8">
        <f ca="1">IF(Y70+SUM($C71:X71)&lt;0,-(Y70+SUM($C71:X71)),0)</f>
        <v>0</v>
      </c>
      <c r="Z71" s="8">
        <f ca="1">IF(Z70+SUM($C71:Y71)&lt;0,-(Z70+SUM($C71:Y71)),0)</f>
        <v>0</v>
      </c>
      <c r="AA71" s="8">
        <f ca="1">IF(AA70+SUM($C71:Z71)&lt;0,-(AA70+SUM($C71:Z71)),0)</f>
        <v>0</v>
      </c>
      <c r="AB71" s="8">
        <f ca="1">IF(AB70+SUM($C71:AA71)&lt;0,-(AB70+SUM($C71:AA71)),0)</f>
        <v>0</v>
      </c>
      <c r="AC71" s="8">
        <f ca="1">IF(AC70+SUM($C71:AB71)&lt;0,-(AC70+SUM($C71:AB71)),0)</f>
        <v>0</v>
      </c>
      <c r="AD71" s="8">
        <f ca="1">IF(AD70+SUM($C71:AC71)&lt;0,-(AD70+SUM($C71:AC71)),0)</f>
        <v>0</v>
      </c>
      <c r="AE71" s="8">
        <f ca="1">IF(AE70+SUM($C71:AD71)&lt;0,-(AE70+SUM($C71:AD71)),0)</f>
        <v>0</v>
      </c>
      <c r="AF71" s="8">
        <f ca="1">IF(AF70+SUM($C71:AE71)&lt;0,-(AF70+SUM($C71:AE71)),0)</f>
        <v>0</v>
      </c>
      <c r="AG71" s="8">
        <f ca="1">IF(AG70+SUM($C71:AF71)&lt;0,-(AG70+SUM($C71:AF71)),0)</f>
        <v>0</v>
      </c>
      <c r="AH71" s="8">
        <f ca="1">IF(AH70+SUM($C71:AG71)&lt;0,-(AH70+SUM($C71:AG71)),0)</f>
        <v>0</v>
      </c>
      <c r="AI71" s="8">
        <f ca="1">IF(AI70+SUM($C71:AH71)&lt;0,-(AI70+SUM($C71:AH71)),0)</f>
        <v>0</v>
      </c>
      <c r="AJ71" s="8">
        <f ca="1">IF(AJ70+SUM($C71:AI71)&lt;0,-(AJ70+SUM($C71:AI71)),0)</f>
        <v>0</v>
      </c>
      <c r="AK71" s="8">
        <f ca="1">IF(AK70+SUM($C71:AJ71)&lt;0,-(AK70+SUM($C71:AJ71)),0)</f>
        <v>0</v>
      </c>
      <c r="AL71" s="8">
        <f ca="1">IF(AL70+SUM($C71:AK71)&lt;0,-(AL70+SUM($C71:AK71)),0)</f>
        <v>0</v>
      </c>
      <c r="AM71" s="8">
        <f ca="1">IF(AM70+SUM($C71:AL71)&lt;0,-(AM70+SUM($C71:AL71)),0)</f>
        <v>0</v>
      </c>
    </row>
    <row r="72" spans="1:39" x14ac:dyDescent="0.2"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</row>
    <row r="73" spans="1:39" ht="19" x14ac:dyDescent="0.25">
      <c r="A73" s="30" t="s">
        <v>22</v>
      </c>
      <c r="B73" s="31"/>
      <c r="C73" s="32"/>
      <c r="D73" s="33"/>
      <c r="E73" s="3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</row>
    <row r="74" spans="1:39" x14ac:dyDescent="0.2">
      <c r="A74" s="1"/>
      <c r="C74" s="8"/>
      <c r="D74" s="13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</row>
    <row r="75" spans="1:39" x14ac:dyDescent="0.2">
      <c r="A75" s="29" t="s">
        <v>28</v>
      </c>
      <c r="B75" s="31"/>
      <c r="C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</row>
    <row r="76" spans="1:39" x14ac:dyDescent="0.2">
      <c r="A76" s="4" t="s">
        <v>23</v>
      </c>
      <c r="C76" s="8">
        <f>C61</f>
        <v>32400.000000000004</v>
      </c>
      <c r="D76" s="8">
        <f t="shared" ref="D76:I76" ca="1" si="211">C79</f>
        <v>32400.000000000004</v>
      </c>
      <c r="E76" s="8">
        <f t="shared" ca="1" si="211"/>
        <v>34992.000000000007</v>
      </c>
      <c r="F76" s="8">
        <f t="shared" ca="1" si="211"/>
        <v>37791.360000000008</v>
      </c>
      <c r="G76" s="8">
        <f t="shared" ca="1" si="211"/>
        <v>40814.668800000007</v>
      </c>
      <c r="H76" s="8">
        <f t="shared" ca="1" si="211"/>
        <v>44079.842304000005</v>
      </c>
      <c r="I76" s="8">
        <f t="shared" ca="1" si="211"/>
        <v>47606.229688320003</v>
      </c>
      <c r="J76" s="8">
        <f t="shared" ref="J76" ca="1" si="212">I79</f>
        <v>51414.728063385606</v>
      </c>
      <c r="K76" s="8">
        <f t="shared" ref="K76" ca="1" si="213">J79</f>
        <v>55527.906308456455</v>
      </c>
      <c r="L76" s="8">
        <f t="shared" ref="L76" ca="1" si="214">K79</f>
        <v>59970.138813132973</v>
      </c>
      <c r="M76" s="8">
        <f t="shared" ref="M76" ca="1" si="215">L79</f>
        <v>64767.74991818361</v>
      </c>
      <c r="N76" s="8">
        <f t="shared" ref="N76" ca="1" si="216">M79</f>
        <v>69949.169911638295</v>
      </c>
      <c r="O76" s="8">
        <f t="shared" ref="O76" ca="1" si="217">N79</f>
        <v>75545.103504569357</v>
      </c>
      <c r="P76" s="8">
        <f t="shared" ref="P76" ca="1" si="218">O79</f>
        <v>81588.711784934902</v>
      </c>
      <c r="Q76" s="8">
        <f t="shared" ref="Q76" ca="1" si="219">P79</f>
        <v>88115.808727729687</v>
      </c>
      <c r="R76" s="8">
        <f t="shared" ref="R76" ca="1" si="220">Q79</f>
        <v>95165.073425948067</v>
      </c>
      <c r="S76" s="8">
        <f t="shared" ref="S76" ca="1" si="221">R79</f>
        <v>102778.27930002392</v>
      </c>
      <c r="T76" s="8">
        <f t="shared" ref="T76" ca="1" si="222">S79</f>
        <v>111000.54164402583</v>
      </c>
      <c r="U76" s="8">
        <f t="shared" ref="U76" ca="1" si="223">T79</f>
        <v>119880.5849755479</v>
      </c>
      <c r="V76" s="8">
        <f t="shared" ref="V76" ca="1" si="224">U79</f>
        <v>129471.03177359173</v>
      </c>
      <c r="W76" s="8">
        <f t="shared" ref="W76" ca="1" si="225">V79</f>
        <v>139828.71431547907</v>
      </c>
      <c r="X76" s="8">
        <f t="shared" ref="X76" ca="1" si="226">W79</f>
        <v>151015.01146071739</v>
      </c>
      <c r="Y76" s="8">
        <f t="shared" ref="Y76" ca="1" si="227">X79</f>
        <v>163096.21237757479</v>
      </c>
      <c r="Z76" s="8">
        <f t="shared" ref="Z76" ca="1" si="228">Y79</f>
        <v>176143.90936778078</v>
      </c>
      <c r="AA76" s="8">
        <f t="shared" ref="AA76" ca="1" si="229">Z79</f>
        <v>190235.42211720324</v>
      </c>
      <c r="AB76" s="8">
        <f t="shared" ref="AB76" ca="1" si="230">AA79</f>
        <v>205454.25588657951</v>
      </c>
      <c r="AC76" s="8">
        <f t="shared" ref="AC76" ca="1" si="231">AB79</f>
        <v>221890.59635750588</v>
      </c>
      <c r="AD76" s="8">
        <f t="shared" ref="AD76" ca="1" si="232">AC79</f>
        <v>239641.84406610637</v>
      </c>
      <c r="AE76" s="8">
        <f t="shared" ref="AE76" ca="1" si="233">AD79</f>
        <v>258813.19159139489</v>
      </c>
      <c r="AF76" s="8">
        <f t="shared" ref="AF76" ca="1" si="234">AE79</f>
        <v>279518.24691870646</v>
      </c>
      <c r="AG76" s="8">
        <f t="shared" ref="AG76" ca="1" si="235">AF79</f>
        <v>301879.70667220297</v>
      </c>
      <c r="AH76" s="8">
        <f t="shared" ref="AH76" ca="1" si="236">AG79</f>
        <v>326030.0832059792</v>
      </c>
      <c r="AI76" s="8">
        <f t="shared" ref="AI76" ca="1" si="237">AH79</f>
        <v>352112.48986245756</v>
      </c>
      <c r="AJ76" s="8">
        <f t="shared" ref="AJ76" ca="1" si="238">AI79</f>
        <v>380281.48905145418</v>
      </c>
      <c r="AK76" s="8">
        <f t="shared" ref="AK76" ca="1" si="239">AJ79</f>
        <v>410704.00817557052</v>
      </c>
      <c r="AL76" s="8">
        <f t="shared" ref="AL76" ca="1" si="240">AK79</f>
        <v>443560.32882961619</v>
      </c>
      <c r="AM76" s="8">
        <f t="shared" ref="AM76" ca="1" si="241">AL79</f>
        <v>479045.15513598546</v>
      </c>
    </row>
    <row r="77" spans="1:39" x14ac:dyDescent="0.2">
      <c r="A77" s="4" t="s">
        <v>24</v>
      </c>
      <c r="C77" s="8">
        <f ca="1">-MIN( IF(C76&gt;C71/ (1 - Inputs!$B$171), C71/ (1 - Inputs!$B$171), C76), C76/ (1 - Inputs!$B$171) )</f>
        <v>0</v>
      </c>
      <c r="D77" s="8">
        <f ca="1">-MIN( IF(D76&gt;D71/ (1 - Inputs!$B$171), D71/ (1 - Inputs!$B$171), D76), D76/ (1 - Inputs!$B$171) )</f>
        <v>0</v>
      </c>
      <c r="E77" s="8">
        <f ca="1">-MIN( IF(E76&gt;E71/ (1 - Inputs!$B$171), E71/ (1 - Inputs!$B$171), E76), E76/ (1 - Inputs!$B$171) )</f>
        <v>0</v>
      </c>
      <c r="F77" s="8">
        <f ca="1">-MIN( IF(F76&gt;F71/ (1 - Inputs!$B$171), F71/ (1 - Inputs!$B$171), F76), F76/ (1 - Inputs!$B$171) )</f>
        <v>0</v>
      </c>
      <c r="G77" s="8">
        <f ca="1">-MIN( IF(G76&gt;G71/ (1 - Inputs!$B$171), G71/ (1 - Inputs!$B$171), G76), G76/ (1 - Inputs!$B$171) )</f>
        <v>0</v>
      </c>
      <c r="H77" s="8">
        <f ca="1">-MIN( IF(H76&gt;H71/ (1 - Inputs!$B$171), H71/ (1 - Inputs!$B$171), H76), H76/ (1 - Inputs!$B$171) )</f>
        <v>0</v>
      </c>
      <c r="I77" s="8">
        <f ca="1">-MIN( IF(I76&gt;I71/ (1 - Inputs!$B$171), I71/ (1 - Inputs!$B$171), I76), I76/ (1 - Inputs!$B$171) )</f>
        <v>0</v>
      </c>
      <c r="J77" s="8">
        <f ca="1">-MIN( IF(J76&gt;J71/ (1 - Inputs!$B$171), J71/ (1 - Inputs!$B$171), J76), J76/ (1 - Inputs!$B$171) )</f>
        <v>0</v>
      </c>
      <c r="K77" s="8">
        <f ca="1">-MIN( IF(K76&gt;K71/ (1 - Inputs!$B$171), K71/ (1 - Inputs!$B$171), K76), K76/ (1 - Inputs!$B$171) )</f>
        <v>0</v>
      </c>
      <c r="L77" s="8">
        <f ca="1">-MIN( IF(L76&gt;L71/ (1 - Inputs!$B$171), L71/ (1 - Inputs!$B$171), L76), L76/ (1 - Inputs!$B$171) )</f>
        <v>0</v>
      </c>
      <c r="M77" s="8">
        <f ca="1">-MIN( IF(M76&gt;M71/ (1 - Inputs!$B$171), M71/ (1 - Inputs!$B$171), M76), M76/ (1 - Inputs!$B$171) )</f>
        <v>0</v>
      </c>
      <c r="N77" s="8">
        <f ca="1">-MIN( IF(N76&gt;N71/ (1 - Inputs!$B$171), N71/ (1 - Inputs!$B$171), N76), N76/ (1 - Inputs!$B$171) )</f>
        <v>0</v>
      </c>
      <c r="O77" s="8">
        <f ca="1">-MIN( IF(O76&gt;O71/ (1 - Inputs!$B$171), O71/ (1 - Inputs!$B$171), O76), O76/ (1 - Inputs!$B$171) )</f>
        <v>0</v>
      </c>
      <c r="P77" s="8">
        <f ca="1">-MIN( IF(P76&gt;P71/ (1 - Inputs!$B$171), P71/ (1 - Inputs!$B$171), P76), P76/ (1 - Inputs!$B$171) )</f>
        <v>0</v>
      </c>
      <c r="Q77" s="8">
        <f ca="1">-MIN( IF(Q76&gt;Q71/ (1 - Inputs!$B$171), Q71/ (1 - Inputs!$B$171), Q76), Q76/ (1 - Inputs!$B$171) )</f>
        <v>0</v>
      </c>
      <c r="R77" s="8">
        <f ca="1">-MIN( IF(R76&gt;R71/ (1 - Inputs!$B$171), R71/ (1 - Inputs!$B$171), R76), R76/ (1 - Inputs!$B$171) )</f>
        <v>0</v>
      </c>
      <c r="S77" s="8">
        <f ca="1">-MIN( IF(S76&gt;S71/ (1 - Inputs!$B$171), S71/ (1 - Inputs!$B$171), S76), S76/ (1 - Inputs!$B$171) )</f>
        <v>0</v>
      </c>
      <c r="T77" s="8">
        <f ca="1">-MIN( IF(T76&gt;T71/ (1 - Inputs!$B$171), T71/ (1 - Inputs!$B$171), T76), T76/ (1 - Inputs!$B$171) )</f>
        <v>0</v>
      </c>
      <c r="U77" s="8">
        <f ca="1">-MIN( IF(U76&gt;U71/ (1 - Inputs!$B$171), U71/ (1 - Inputs!$B$171), U76), U76/ (1 - Inputs!$B$171) )</f>
        <v>0</v>
      </c>
      <c r="V77" s="8">
        <f ca="1">-MIN( IF(V76&gt;V71/ (1 - Inputs!$B$171), V71/ (1 - Inputs!$B$171), V76), V76/ (1 - Inputs!$B$171) )</f>
        <v>0</v>
      </c>
      <c r="W77" s="8">
        <f ca="1">-MIN( IF(W76&gt;W71/ (1 - Inputs!$B$171), W71/ (1 - Inputs!$B$171), W76), W76/ (1 - Inputs!$B$171) )</f>
        <v>0</v>
      </c>
      <c r="X77" s="8">
        <f ca="1">-MIN( IF(X76&gt;X71/ (1 - Inputs!$B$171), X71/ (1 - Inputs!$B$171), X76), X76/ (1 - Inputs!$B$171) )</f>
        <v>0</v>
      </c>
      <c r="Y77" s="8">
        <f ca="1">-MIN( IF(Y76&gt;Y71/ (1 - Inputs!$B$171), Y71/ (1 - Inputs!$B$171), Y76), Y76/ (1 - Inputs!$B$171) )</f>
        <v>0</v>
      </c>
      <c r="Z77" s="8">
        <f ca="1">-MIN( IF(Z76&gt;Z71/ (1 - Inputs!$B$171), Z71/ (1 - Inputs!$B$171), Z76), Z76/ (1 - Inputs!$B$171) )</f>
        <v>0</v>
      </c>
      <c r="AA77" s="8">
        <f ca="1">-MIN( IF(AA76&gt;AA71/ (1 - Inputs!$B$171), AA71/ (1 - Inputs!$B$171), AA76), AA76/ (1 - Inputs!$B$171) )</f>
        <v>0</v>
      </c>
      <c r="AB77" s="8">
        <f ca="1">-MIN( IF(AB76&gt;AB71/ (1 - Inputs!$B$171), AB71/ (1 - Inputs!$B$171), AB76), AB76/ (1 - Inputs!$B$171) )</f>
        <v>0</v>
      </c>
      <c r="AC77" s="8">
        <f ca="1">-MIN( IF(AC76&gt;AC71/ (1 - Inputs!$B$171), AC71/ (1 - Inputs!$B$171), AC76), AC76/ (1 - Inputs!$B$171) )</f>
        <v>0</v>
      </c>
      <c r="AD77" s="8">
        <f ca="1">-MIN( IF(AD76&gt;AD71/ (1 - Inputs!$B$171), AD71/ (1 - Inputs!$B$171), AD76), AD76/ (1 - Inputs!$B$171) )</f>
        <v>0</v>
      </c>
      <c r="AE77" s="8">
        <f ca="1">-MIN( IF(AE76&gt;AE71/ (1 - Inputs!$B$171), AE71/ (1 - Inputs!$B$171), AE76), AE76/ (1 - Inputs!$B$171) )</f>
        <v>0</v>
      </c>
      <c r="AF77" s="8">
        <f ca="1">-MIN( IF(AF76&gt;AF71/ (1 - Inputs!$B$171), AF71/ (1 - Inputs!$B$171), AF76), AF76/ (1 - Inputs!$B$171) )</f>
        <v>0</v>
      </c>
      <c r="AG77" s="8">
        <f ca="1">-MIN( IF(AG76&gt;AG71/ (1 - Inputs!$B$171), AG71/ (1 - Inputs!$B$171), AG76), AG76/ (1 - Inputs!$B$171) )</f>
        <v>0</v>
      </c>
      <c r="AH77" s="8">
        <f ca="1">-MIN( IF(AH76&gt;AH71/ (1 - Inputs!$B$171), AH71/ (1 - Inputs!$B$171), AH76), AH76/ (1 - Inputs!$B$171) )</f>
        <v>0</v>
      </c>
      <c r="AI77" s="8">
        <f ca="1">-MIN( IF(AI76&gt;AI71/ (1 - Inputs!$B$171), AI71/ (1 - Inputs!$B$171), AI76), AI76/ (1 - Inputs!$B$171) )</f>
        <v>0</v>
      </c>
      <c r="AJ77" s="8">
        <f ca="1">-MIN( IF(AJ76&gt;AJ71/ (1 - Inputs!$B$171), AJ71/ (1 - Inputs!$B$171), AJ76), AJ76/ (1 - Inputs!$B$171) )</f>
        <v>0</v>
      </c>
      <c r="AK77" s="8">
        <f ca="1">-MIN( IF(AK76&gt;AK71/ (1 - Inputs!$B$171), AK71/ (1 - Inputs!$B$171), AK76), AK76/ (1 - Inputs!$B$171) )</f>
        <v>0</v>
      </c>
      <c r="AL77" s="8">
        <f ca="1">-MIN( IF(AL76&gt;AL71/ (1 - Inputs!$B$171), AL71/ (1 - Inputs!$B$171), AL76), AL76/ (1 - Inputs!$B$171) )</f>
        <v>0</v>
      </c>
      <c r="AM77" s="8">
        <f ca="1">-MIN( IF(AM76&gt;AM71/ (1 - Inputs!$B$171), AM71/ (1 - Inputs!$B$171), AM76), AM76/ (1 - Inputs!$B$171) )</f>
        <v>0</v>
      </c>
    </row>
    <row r="78" spans="1:39" x14ac:dyDescent="0.2">
      <c r="A78" s="4" t="s">
        <v>25</v>
      </c>
      <c r="C78" s="8">
        <v>0</v>
      </c>
      <c r="D78" s="8">
        <f t="shared" ref="D78:G78" ca="1" si="242">SUM(D76:D77)*stinc</f>
        <v>2592.0000000000005</v>
      </c>
      <c r="E78" s="8">
        <f t="shared" ca="1" si="242"/>
        <v>2799.3600000000006</v>
      </c>
      <c r="F78" s="8">
        <f t="shared" ca="1" si="242"/>
        <v>3023.3088000000007</v>
      </c>
      <c r="G78" s="8">
        <f t="shared" ca="1" si="242"/>
        <v>3265.1735040000008</v>
      </c>
      <c r="H78" s="8">
        <f t="shared" ref="H78:I78" ca="1" si="243">SUM(H76:H77)*stinc</f>
        <v>3526.3873843200004</v>
      </c>
      <c r="I78" s="8">
        <f t="shared" ca="1" si="243"/>
        <v>3808.4983750656002</v>
      </c>
      <c r="J78" s="8">
        <f t="shared" ref="J78:AM78" ca="1" si="244">SUM(J76:J77)*stinc</f>
        <v>4113.1782450708488</v>
      </c>
      <c r="K78" s="8">
        <f t="shared" ca="1" si="244"/>
        <v>4442.2325046765163</v>
      </c>
      <c r="L78" s="8">
        <f t="shared" ca="1" si="244"/>
        <v>4797.6111050506379</v>
      </c>
      <c r="M78" s="8">
        <f t="shared" ca="1" si="244"/>
        <v>5181.4199934546887</v>
      </c>
      <c r="N78" s="8">
        <f t="shared" ca="1" si="244"/>
        <v>5595.9335929310637</v>
      </c>
      <c r="O78" s="8">
        <f t="shared" ca="1" si="244"/>
        <v>6043.608280365549</v>
      </c>
      <c r="P78" s="8">
        <f t="shared" ca="1" si="244"/>
        <v>6527.0969427947921</v>
      </c>
      <c r="Q78" s="8">
        <f t="shared" ca="1" si="244"/>
        <v>7049.2646982183751</v>
      </c>
      <c r="R78" s="8">
        <f t="shared" ca="1" si="244"/>
        <v>7613.2058740758457</v>
      </c>
      <c r="S78" s="8">
        <f t="shared" ca="1" si="244"/>
        <v>8222.2623440019142</v>
      </c>
      <c r="T78" s="8">
        <f t="shared" ca="1" si="244"/>
        <v>8880.0433315220671</v>
      </c>
      <c r="U78" s="8">
        <f t="shared" ca="1" si="244"/>
        <v>9590.446798043833</v>
      </c>
      <c r="V78" s="8">
        <f t="shared" ca="1" si="244"/>
        <v>10357.68254188734</v>
      </c>
      <c r="W78" s="8">
        <f t="shared" ca="1" si="244"/>
        <v>11186.297145238326</v>
      </c>
      <c r="X78" s="8">
        <f t="shared" ca="1" si="244"/>
        <v>12081.200916857391</v>
      </c>
      <c r="Y78" s="8">
        <f t="shared" ca="1" si="244"/>
        <v>13047.696990205983</v>
      </c>
      <c r="Z78" s="8">
        <f t="shared" ca="1" si="244"/>
        <v>14091.512749422463</v>
      </c>
      <c r="AA78" s="8">
        <f t="shared" ca="1" si="244"/>
        <v>15218.833769376259</v>
      </c>
      <c r="AB78" s="8">
        <f t="shared" ca="1" si="244"/>
        <v>16436.340470926363</v>
      </c>
      <c r="AC78" s="8">
        <f t="shared" ca="1" si="244"/>
        <v>17751.247708600473</v>
      </c>
      <c r="AD78" s="8">
        <f t="shared" ca="1" si="244"/>
        <v>19171.347525288511</v>
      </c>
      <c r="AE78" s="8">
        <f t="shared" ca="1" si="244"/>
        <v>20705.055327311591</v>
      </c>
      <c r="AF78" s="8">
        <f t="shared" ca="1" si="244"/>
        <v>22361.459753496518</v>
      </c>
      <c r="AG78" s="8">
        <f t="shared" ca="1" si="244"/>
        <v>24150.376533776238</v>
      </c>
      <c r="AH78" s="8">
        <f t="shared" ca="1" si="244"/>
        <v>26082.406656478335</v>
      </c>
      <c r="AI78" s="8">
        <f t="shared" ca="1" si="244"/>
        <v>28168.999188996604</v>
      </c>
      <c r="AJ78" s="8">
        <f t="shared" ca="1" si="244"/>
        <v>30422.519124116334</v>
      </c>
      <c r="AK78" s="8">
        <f t="shared" ca="1" si="244"/>
        <v>32856.320654045645</v>
      </c>
      <c r="AL78" s="8">
        <f t="shared" ca="1" si="244"/>
        <v>35484.826306369294</v>
      </c>
      <c r="AM78" s="8">
        <f t="shared" ca="1" si="244"/>
        <v>38323.612410878835</v>
      </c>
    </row>
    <row r="79" spans="1:39" x14ac:dyDescent="0.2">
      <c r="A79" s="4" t="s">
        <v>26</v>
      </c>
      <c r="C79" s="8">
        <f ca="1">SUM(C76:C78)</f>
        <v>32400.000000000004</v>
      </c>
      <c r="D79" s="8">
        <f ca="1">SUM(D76:D78)</f>
        <v>34992.000000000007</v>
      </c>
      <c r="E79" s="8">
        <f t="shared" ref="E79:G79" ca="1" si="245">SUM(E76:E78)</f>
        <v>37791.360000000008</v>
      </c>
      <c r="F79" s="8">
        <f t="shared" ca="1" si="245"/>
        <v>40814.668800000007</v>
      </c>
      <c r="G79" s="8">
        <f t="shared" ca="1" si="245"/>
        <v>44079.842304000005</v>
      </c>
      <c r="H79" s="8">
        <f t="shared" ref="H79:I79" ca="1" si="246">SUM(H76:H78)</f>
        <v>47606.229688320003</v>
      </c>
      <c r="I79" s="8">
        <f t="shared" ca="1" si="246"/>
        <v>51414.728063385606</v>
      </c>
      <c r="J79" s="8">
        <f t="shared" ref="J79:AM79" ca="1" si="247">SUM(J76:J78)</f>
        <v>55527.906308456455</v>
      </c>
      <c r="K79" s="8">
        <f t="shared" ca="1" si="247"/>
        <v>59970.138813132973</v>
      </c>
      <c r="L79" s="8">
        <f t="shared" ca="1" si="247"/>
        <v>64767.74991818361</v>
      </c>
      <c r="M79" s="8">
        <f t="shared" ca="1" si="247"/>
        <v>69949.169911638295</v>
      </c>
      <c r="N79" s="8">
        <f t="shared" ca="1" si="247"/>
        <v>75545.103504569357</v>
      </c>
      <c r="O79" s="8">
        <f t="shared" ca="1" si="247"/>
        <v>81588.711784934902</v>
      </c>
      <c r="P79" s="8">
        <f t="shared" ca="1" si="247"/>
        <v>88115.808727729687</v>
      </c>
      <c r="Q79" s="8">
        <f t="shared" ca="1" si="247"/>
        <v>95165.073425948067</v>
      </c>
      <c r="R79" s="8">
        <f t="shared" ca="1" si="247"/>
        <v>102778.27930002392</v>
      </c>
      <c r="S79" s="8">
        <f t="shared" ca="1" si="247"/>
        <v>111000.54164402583</v>
      </c>
      <c r="T79" s="8">
        <f t="shared" ca="1" si="247"/>
        <v>119880.5849755479</v>
      </c>
      <c r="U79" s="8">
        <f t="shared" ca="1" si="247"/>
        <v>129471.03177359173</v>
      </c>
      <c r="V79" s="8">
        <f t="shared" ca="1" si="247"/>
        <v>139828.71431547907</v>
      </c>
      <c r="W79" s="8">
        <f t="shared" ca="1" si="247"/>
        <v>151015.01146071739</v>
      </c>
      <c r="X79" s="8">
        <f t="shared" ca="1" si="247"/>
        <v>163096.21237757479</v>
      </c>
      <c r="Y79" s="8">
        <f t="shared" ca="1" si="247"/>
        <v>176143.90936778078</v>
      </c>
      <c r="Z79" s="8">
        <f t="shared" ca="1" si="247"/>
        <v>190235.42211720324</v>
      </c>
      <c r="AA79" s="8">
        <f t="shared" ca="1" si="247"/>
        <v>205454.25588657951</v>
      </c>
      <c r="AB79" s="8">
        <f t="shared" ca="1" si="247"/>
        <v>221890.59635750588</v>
      </c>
      <c r="AC79" s="8">
        <f t="shared" ca="1" si="247"/>
        <v>239641.84406610637</v>
      </c>
      <c r="AD79" s="8">
        <f t="shared" ca="1" si="247"/>
        <v>258813.19159139489</v>
      </c>
      <c r="AE79" s="8">
        <f t="shared" ca="1" si="247"/>
        <v>279518.24691870646</v>
      </c>
      <c r="AF79" s="8">
        <f t="shared" ca="1" si="247"/>
        <v>301879.70667220297</v>
      </c>
      <c r="AG79" s="8">
        <f t="shared" ca="1" si="247"/>
        <v>326030.0832059792</v>
      </c>
      <c r="AH79" s="8">
        <f t="shared" ca="1" si="247"/>
        <v>352112.48986245756</v>
      </c>
      <c r="AI79" s="8">
        <f t="shared" ca="1" si="247"/>
        <v>380281.48905145418</v>
      </c>
      <c r="AJ79" s="8">
        <f t="shared" ca="1" si="247"/>
        <v>410704.00817557052</v>
      </c>
      <c r="AK79" s="8">
        <f t="shared" ca="1" si="247"/>
        <v>443560.32882961619</v>
      </c>
      <c r="AL79" s="8">
        <f t="shared" ca="1" si="247"/>
        <v>479045.15513598546</v>
      </c>
      <c r="AM79" s="8">
        <f t="shared" ca="1" si="247"/>
        <v>517368.76754686428</v>
      </c>
    </row>
    <row r="80" spans="1:39" x14ac:dyDescent="0.2">
      <c r="A80" s="4" t="s">
        <v>27</v>
      </c>
      <c r="C80" s="8">
        <f ca="1">C77*Inputs!$B$171</f>
        <v>0</v>
      </c>
      <c r="D80" s="8">
        <f ca="1">D77*Inputs!$B$171</f>
        <v>0</v>
      </c>
      <c r="E80" s="8">
        <f ca="1">E77*Inputs!$B$171</f>
        <v>0</v>
      </c>
      <c r="F80" s="8">
        <f ca="1">F77*Inputs!$B$171</f>
        <v>0</v>
      </c>
      <c r="G80" s="8">
        <f ca="1">G77*Inputs!$B$171</f>
        <v>0</v>
      </c>
      <c r="H80" s="8">
        <f ca="1">H77*Inputs!$B$171</f>
        <v>0</v>
      </c>
      <c r="I80" s="8">
        <f ca="1">I77*Inputs!$B$171</f>
        <v>0</v>
      </c>
      <c r="J80" s="8">
        <f ca="1">J77*Inputs!$B$171</f>
        <v>0</v>
      </c>
      <c r="K80" s="8">
        <f ca="1">K77*Inputs!$B$171</f>
        <v>0</v>
      </c>
      <c r="L80" s="8">
        <f ca="1">L77*Inputs!$B$171</f>
        <v>0</v>
      </c>
      <c r="M80" s="8">
        <f ca="1">M77*Inputs!$B$171</f>
        <v>0</v>
      </c>
      <c r="N80" s="8">
        <f ca="1">N77*Inputs!$B$171</f>
        <v>0</v>
      </c>
      <c r="O80" s="8">
        <f ca="1">O77*Inputs!$B$171</f>
        <v>0</v>
      </c>
      <c r="P80" s="8">
        <f ca="1">P77*Inputs!$B$171</f>
        <v>0</v>
      </c>
      <c r="Q80" s="8">
        <f ca="1">Q77*Inputs!$B$171</f>
        <v>0</v>
      </c>
      <c r="R80" s="8">
        <f ca="1">R77*Inputs!$B$171</f>
        <v>0</v>
      </c>
      <c r="S80" s="8">
        <f ca="1">S77*Inputs!$B$171</f>
        <v>0</v>
      </c>
      <c r="T80" s="8">
        <f ca="1">T77*Inputs!$B$171</f>
        <v>0</v>
      </c>
      <c r="U80" s="8">
        <f ca="1">U77*Inputs!$B$171</f>
        <v>0</v>
      </c>
      <c r="V80" s="8">
        <f ca="1">V77*Inputs!$B$171</f>
        <v>0</v>
      </c>
      <c r="W80" s="8">
        <f ca="1">W77*Inputs!$B$171</f>
        <v>0</v>
      </c>
      <c r="X80" s="8">
        <f ca="1">X77*Inputs!$B$171</f>
        <v>0</v>
      </c>
      <c r="Y80" s="8">
        <f ca="1">Y77*Inputs!$B$171</f>
        <v>0</v>
      </c>
      <c r="Z80" s="8">
        <f ca="1">Z77*Inputs!$B$171</f>
        <v>0</v>
      </c>
      <c r="AA80" s="8">
        <f ca="1">AA77*Inputs!$B$171</f>
        <v>0</v>
      </c>
      <c r="AB80" s="8">
        <f ca="1">AB77*Inputs!$B$171</f>
        <v>0</v>
      </c>
      <c r="AC80" s="8">
        <f ca="1">AC77*Inputs!$B$171</f>
        <v>0</v>
      </c>
      <c r="AD80" s="8">
        <f ca="1">AD77*Inputs!$B$171</f>
        <v>0</v>
      </c>
      <c r="AE80" s="8">
        <f ca="1">AE77*Inputs!$B$171</f>
        <v>0</v>
      </c>
      <c r="AF80" s="8">
        <f ca="1">AF77*Inputs!$B$171</f>
        <v>0</v>
      </c>
      <c r="AG80" s="8">
        <f ca="1">AG77*Inputs!$B$171</f>
        <v>0</v>
      </c>
      <c r="AH80" s="8">
        <f ca="1">AH77*Inputs!$B$171</f>
        <v>0</v>
      </c>
      <c r="AI80" s="8">
        <f ca="1">AI77*Inputs!$B$171</f>
        <v>0</v>
      </c>
      <c r="AJ80" s="8">
        <f ca="1">AJ77*Inputs!$B$171</f>
        <v>0</v>
      </c>
      <c r="AK80" s="8">
        <f ca="1">AK77*Inputs!$B$171</f>
        <v>0</v>
      </c>
      <c r="AL80" s="8">
        <f ca="1">AL77*Inputs!$B$171</f>
        <v>0</v>
      </c>
      <c r="AM80" s="8">
        <f ca="1">AM77*Inputs!$B$171</f>
        <v>0</v>
      </c>
    </row>
    <row r="81" spans="1:39" x14ac:dyDescent="0.2">
      <c r="A81" s="4" t="s">
        <v>41</v>
      </c>
      <c r="C81" s="8">
        <f ca="1">-C77+C80</f>
        <v>0</v>
      </c>
      <c r="D81" s="8">
        <f t="shared" ref="D81:G81" ca="1" si="248">-D77+D80</f>
        <v>0</v>
      </c>
      <c r="E81" s="8">
        <f t="shared" ca="1" si="248"/>
        <v>0</v>
      </c>
      <c r="F81" s="8">
        <f t="shared" ca="1" si="248"/>
        <v>0</v>
      </c>
      <c r="G81" s="8">
        <f t="shared" ca="1" si="248"/>
        <v>0</v>
      </c>
      <c r="H81" s="8">
        <f t="shared" ref="H81:I81" ca="1" si="249">-H77+H80</f>
        <v>0</v>
      </c>
      <c r="I81" s="8">
        <f t="shared" ca="1" si="249"/>
        <v>0</v>
      </c>
      <c r="J81" s="8">
        <f t="shared" ref="J81:AM81" ca="1" si="250">-J77+J80</f>
        <v>0</v>
      </c>
      <c r="K81" s="8">
        <f t="shared" ca="1" si="250"/>
        <v>0</v>
      </c>
      <c r="L81" s="8">
        <f t="shared" ca="1" si="250"/>
        <v>0</v>
      </c>
      <c r="M81" s="8">
        <f t="shared" ca="1" si="250"/>
        <v>0</v>
      </c>
      <c r="N81" s="8">
        <f t="shared" ca="1" si="250"/>
        <v>0</v>
      </c>
      <c r="O81" s="8">
        <f t="shared" ca="1" si="250"/>
        <v>0</v>
      </c>
      <c r="P81" s="8">
        <f t="shared" ca="1" si="250"/>
        <v>0</v>
      </c>
      <c r="Q81" s="8">
        <f t="shared" ca="1" si="250"/>
        <v>0</v>
      </c>
      <c r="R81" s="8">
        <f t="shared" ca="1" si="250"/>
        <v>0</v>
      </c>
      <c r="S81" s="8">
        <f t="shared" ca="1" si="250"/>
        <v>0</v>
      </c>
      <c r="T81" s="8">
        <f t="shared" ca="1" si="250"/>
        <v>0</v>
      </c>
      <c r="U81" s="8">
        <f t="shared" ca="1" si="250"/>
        <v>0</v>
      </c>
      <c r="V81" s="8">
        <f t="shared" ca="1" si="250"/>
        <v>0</v>
      </c>
      <c r="W81" s="8">
        <f t="shared" ca="1" si="250"/>
        <v>0</v>
      </c>
      <c r="X81" s="8">
        <f t="shared" ca="1" si="250"/>
        <v>0</v>
      </c>
      <c r="Y81" s="8">
        <f t="shared" ca="1" si="250"/>
        <v>0</v>
      </c>
      <c r="Z81" s="8">
        <f t="shared" ca="1" si="250"/>
        <v>0</v>
      </c>
      <c r="AA81" s="8">
        <f t="shared" ca="1" si="250"/>
        <v>0</v>
      </c>
      <c r="AB81" s="8">
        <f t="shared" ca="1" si="250"/>
        <v>0</v>
      </c>
      <c r="AC81" s="8">
        <f t="shared" ca="1" si="250"/>
        <v>0</v>
      </c>
      <c r="AD81" s="8">
        <f t="shared" ca="1" si="250"/>
        <v>0</v>
      </c>
      <c r="AE81" s="8">
        <f t="shared" ca="1" si="250"/>
        <v>0</v>
      </c>
      <c r="AF81" s="8">
        <f t="shared" ca="1" si="250"/>
        <v>0</v>
      </c>
      <c r="AG81" s="8">
        <f t="shared" ca="1" si="250"/>
        <v>0</v>
      </c>
      <c r="AH81" s="8">
        <f t="shared" ca="1" si="250"/>
        <v>0</v>
      </c>
      <c r="AI81" s="8">
        <f t="shared" ca="1" si="250"/>
        <v>0</v>
      </c>
      <c r="AJ81" s="8">
        <f t="shared" ca="1" si="250"/>
        <v>0</v>
      </c>
      <c r="AK81" s="8">
        <f t="shared" ca="1" si="250"/>
        <v>0</v>
      </c>
      <c r="AL81" s="8">
        <f t="shared" ca="1" si="250"/>
        <v>0</v>
      </c>
      <c r="AM81" s="8">
        <f t="shared" ca="1" si="250"/>
        <v>0</v>
      </c>
    </row>
    <row r="82" spans="1:39" x14ac:dyDescent="0.2">
      <c r="A82" s="5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</row>
    <row r="83" spans="1:39" x14ac:dyDescent="0.2">
      <c r="A83" s="4" t="s">
        <v>87</v>
      </c>
      <c r="C83" s="8">
        <f ca="1">C70+SUM($C81:C81)</f>
        <v>30325.5</v>
      </c>
      <c r="D83" s="8">
        <f ca="1">D70+SUM($C81:D81)</f>
        <v>53777.462499999994</v>
      </c>
      <c r="E83" s="8">
        <f ca="1">E70+SUM($C81:E81)</f>
        <v>57139.486875000017</v>
      </c>
      <c r="F83" s="8">
        <f ca="1">F70+SUM($C81:F81)</f>
        <v>94700.221659424511</v>
      </c>
      <c r="G83" s="8">
        <f ca="1">G70+SUM($C81:G81)</f>
        <v>136857.58117608592</v>
      </c>
      <c r="H83" s="8">
        <f ca="1">H70+SUM($C81:H81)</f>
        <v>192940.55481327066</v>
      </c>
      <c r="I83" s="8">
        <f ca="1">I70+SUM($C81:I81)</f>
        <v>259079.68847966078</v>
      </c>
      <c r="J83" s="8">
        <f ca="1">J70+SUM($C81:J81)</f>
        <v>311159.02647140576</v>
      </c>
      <c r="K83" s="8">
        <f ca="1">K70+SUM($C81:K81)</f>
        <v>446975.96679276077</v>
      </c>
      <c r="L83" s="8">
        <f ca="1">L70+SUM($C81:L81)</f>
        <v>494347.38007362408</v>
      </c>
      <c r="M83" s="8">
        <f ca="1">M70+SUM($C81:M81)</f>
        <v>597505.5965587711</v>
      </c>
      <c r="N83" s="8">
        <f ca="1">N70+SUM($C81:N81)</f>
        <v>706236.15018937679</v>
      </c>
      <c r="O83" s="8">
        <f ca="1">O70+SUM($C81:O81)</f>
        <v>820775.63574042323</v>
      </c>
      <c r="P83" s="8">
        <f ca="1">P70+SUM($C81:P81)</f>
        <v>941369.66856901604</v>
      </c>
      <c r="Q83" s="8">
        <f ca="1">Q70+SUM($C81:Q81)</f>
        <v>1068273.207978379</v>
      </c>
      <c r="R83" s="8">
        <f ca="1">R70+SUM($C81:R81)</f>
        <v>1201750.8917183832</v>
      </c>
      <c r="S83" s="8">
        <f ca="1">S70+SUM($C81:S81)</f>
        <v>1236145.15148322</v>
      </c>
      <c r="T83" s="8">
        <f ca="1">T70+SUM($C81:T81)</f>
        <v>1279429.9371666219</v>
      </c>
      <c r="U83" s="8">
        <f ca="1">U70+SUM($C81:U81)</f>
        <v>1324332.3976486681</v>
      </c>
      <c r="V83" s="8">
        <f ca="1">V70+SUM($C81:V81)</f>
        <v>1370913.8944652632</v>
      </c>
      <c r="W83" s="8">
        <f ca="1">W70+SUM($C81:W81)</f>
        <v>1419238.0721059688</v>
      </c>
      <c r="X83" s="8">
        <f ca="1">X70+SUM($C81:X81)</f>
        <v>1448964.0210951678</v>
      </c>
      <c r="Y83" s="8">
        <f ca="1">Y70+SUM($C81:Y81)</f>
        <v>1479546.775976839</v>
      </c>
      <c r="Z83" s="8">
        <f ca="1">Z70+SUM($C81:Z81)</f>
        <v>1511019.07429463</v>
      </c>
      <c r="AA83" s="8">
        <f ca="1">AA70+SUM($C81:AA81)</f>
        <v>1543415.0092447023</v>
      </c>
      <c r="AB83" s="8">
        <f ca="1">AB70+SUM($C81:AB81)</f>
        <v>1576770.0846257627</v>
      </c>
      <c r="AC83" s="8">
        <f ca="1">AC70+SUM($C81:AC81)</f>
        <v>1611121.2719181646</v>
      </c>
      <c r="AD83" s="8">
        <f ca="1">AD70+SUM($C81:AD81)</f>
        <v>1656367.8071636958</v>
      </c>
      <c r="AE83" s="8">
        <f ca="1">AE70+SUM($C81:AE81)</f>
        <v>1703182.0766442758</v>
      </c>
      <c r="AF83" s="8">
        <f ca="1">AF70+SUM($C81:AF81)</f>
        <v>1751624.3087351602</v>
      </c>
      <c r="AG83" s="8">
        <f ca="1">AG70+SUM($C81:AG81)</f>
        <v>1801757.0670189112</v>
      </c>
      <c r="AH83" s="8">
        <f ca="1">AH70+SUM($C81:AH81)</f>
        <v>1853645.3385117024</v>
      </c>
      <c r="AI83" s="8">
        <f ca="1">AI70+SUM($C81:AI81)</f>
        <v>1907356.6251146924</v>
      </c>
      <c r="AJ83" s="8">
        <f ca="1">AJ70+SUM($C81:AJ81)</f>
        <v>1962961.0384047818</v>
      </c>
      <c r="AK83" s="8">
        <f ca="1">AK70+SUM($C81:AK81)</f>
        <v>2020531.3978830043</v>
      </c>
      <c r="AL83" s="8">
        <f ca="1">AL70+SUM($C81:AL81)</f>
        <v>2080143.3328028899</v>
      </c>
      <c r="AM83" s="8">
        <f ca="1">AM70+SUM($C81:AM81)</f>
        <v>2141875.3877053508</v>
      </c>
    </row>
    <row r="84" spans="1:39" x14ac:dyDescent="0.2">
      <c r="A84" s="4" t="s">
        <v>21</v>
      </c>
      <c r="C84" s="8">
        <f ca="1">IF(C83&lt;0,C83,0)</f>
        <v>0</v>
      </c>
      <c r="D84" s="8">
        <f ca="1">IF(D83+SUM($C84:C84)&lt;0,-(D83+SUM($C84:C84)),0)</f>
        <v>0</v>
      </c>
      <c r="E84" s="8">
        <f ca="1">IF(E83+SUM($C84:D84)&lt;0,-(E83+SUM($C84:D84)),0)</f>
        <v>0</v>
      </c>
      <c r="F84" s="8">
        <f ca="1">IF(F83+SUM($C84:E84)&lt;0,-(F83+SUM($C84:E84)),0)</f>
        <v>0</v>
      </c>
      <c r="G84" s="8">
        <f ca="1">IF(G83+SUM($C84:F84)&lt;0,-(G83+SUM($C84:F84)),0)</f>
        <v>0</v>
      </c>
      <c r="H84" s="8">
        <f ca="1">IF(H83+SUM($C84:G84)&lt;0,-(H83+SUM($C84:G84)),0)</f>
        <v>0</v>
      </c>
      <c r="I84" s="8">
        <f ca="1">IF(I83+SUM($C84:H84)&lt;0,-(I83+SUM($C84:H84)),0)</f>
        <v>0</v>
      </c>
      <c r="J84" s="8">
        <f ca="1">IF(J83+SUM($C84:I84)&lt;0,-(J83+SUM($C84:I84)),0)</f>
        <v>0</v>
      </c>
      <c r="K84" s="8">
        <f ca="1">IF(K83+SUM($C84:J84)&lt;0,-(K83+SUM($C84:J84)),0)</f>
        <v>0</v>
      </c>
      <c r="L84" s="8">
        <f ca="1">IF(L83+SUM($C84:K84)&lt;0,-(L83+SUM($C84:K84)),0)</f>
        <v>0</v>
      </c>
      <c r="M84" s="8">
        <f ca="1">IF(M83+SUM($C84:L84)&lt;0,-(M83+SUM($C84:L84)),0)</f>
        <v>0</v>
      </c>
      <c r="N84" s="8">
        <f ca="1">IF(N83+SUM($C84:M84)&lt;0,-(N83+SUM($C84:M84)),0)</f>
        <v>0</v>
      </c>
      <c r="O84" s="8">
        <f ca="1">IF(O83+SUM($C84:N84)&lt;0,-(O83+SUM($C84:N84)),0)</f>
        <v>0</v>
      </c>
      <c r="P84" s="8">
        <f ca="1">IF(P83+SUM($C84:O84)&lt;0,-(P83+SUM($C84:O84)),0)</f>
        <v>0</v>
      </c>
      <c r="Q84" s="8">
        <f ca="1">IF(Q83+SUM($C84:P84)&lt;0,-(Q83+SUM($C84:P84)),0)</f>
        <v>0</v>
      </c>
      <c r="R84" s="8">
        <f ca="1">IF(R83+SUM($C84:Q84)&lt;0,-(R83+SUM($C84:Q84)),0)</f>
        <v>0</v>
      </c>
      <c r="S84" s="8">
        <f ca="1">IF(S83+SUM($C84:R84)&lt;0,-(S83+SUM($C84:R84)),0)</f>
        <v>0</v>
      </c>
      <c r="T84" s="8">
        <f ca="1">IF(T83+SUM($C84:S84)&lt;0,-(T83+SUM($C84:S84)),0)</f>
        <v>0</v>
      </c>
      <c r="U84" s="8">
        <f ca="1">IF(U83+SUM($C84:T84)&lt;0,-(U83+SUM($C84:T84)),0)</f>
        <v>0</v>
      </c>
      <c r="V84" s="8">
        <f ca="1">IF(V83+SUM($C84:U84)&lt;0,-(V83+SUM($C84:U84)),0)</f>
        <v>0</v>
      </c>
      <c r="W84" s="8">
        <f ca="1">IF(W83+SUM($C84:V84)&lt;0,-(W83+SUM($C84:V84)),0)</f>
        <v>0</v>
      </c>
      <c r="X84" s="8">
        <f ca="1">IF(X83+SUM($C84:W84)&lt;0,-(X83+SUM($C84:W84)),0)</f>
        <v>0</v>
      </c>
      <c r="Y84" s="8">
        <f ca="1">IF(Y83+SUM($C84:X84)&lt;0,-(Y83+SUM($C84:X84)),0)</f>
        <v>0</v>
      </c>
      <c r="Z84" s="8">
        <f ca="1">IF(Z83+SUM($C84:Y84)&lt;0,-(Z83+SUM($C84:Y84)),0)</f>
        <v>0</v>
      </c>
      <c r="AA84" s="8">
        <f ca="1">IF(AA83+SUM($C84:Z84)&lt;0,-(AA83+SUM($C84:Z84)),0)</f>
        <v>0</v>
      </c>
      <c r="AB84" s="8">
        <f ca="1">IF(AB83+SUM($C84:AA84)&lt;0,-(AB83+SUM($C84:AA84)),0)</f>
        <v>0</v>
      </c>
      <c r="AC84" s="8">
        <f ca="1">IF(AC83+SUM($C84:AB84)&lt;0,-(AC83+SUM($C84:AB84)),0)</f>
        <v>0</v>
      </c>
      <c r="AD84" s="8">
        <f ca="1">IF(AD83+SUM($C84:AC84)&lt;0,-(AD83+SUM($C84:AC84)),0)</f>
        <v>0</v>
      </c>
      <c r="AE84" s="8">
        <f ca="1">IF(AE83+SUM($C84:AD84)&lt;0,-(AE83+SUM($C84:AD84)),0)</f>
        <v>0</v>
      </c>
      <c r="AF84" s="8">
        <f ca="1">IF(AF83+SUM($C84:AE84)&lt;0,-(AF83+SUM($C84:AE84)),0)</f>
        <v>0</v>
      </c>
      <c r="AG84" s="8">
        <f ca="1">IF(AG83+SUM($C84:AF84)&lt;0,-(AG83+SUM($C84:AF84)),0)</f>
        <v>0</v>
      </c>
      <c r="AH84" s="8">
        <f ca="1">IF(AH83+SUM($C84:AG84)&lt;0,-(AH83+SUM($C84:AG84)),0)</f>
        <v>0</v>
      </c>
      <c r="AI84" s="8">
        <f ca="1">IF(AI83+SUM($C84:AH84)&lt;0,-(AI83+SUM($C84:AH84)),0)</f>
        <v>0</v>
      </c>
      <c r="AJ84" s="8">
        <f ca="1">IF(AJ83+SUM($C84:AI84)&lt;0,-(AJ83+SUM($C84:AI84)),0)</f>
        <v>0</v>
      </c>
      <c r="AK84" s="8">
        <f ca="1">IF(AK83+SUM($C84:AJ84)&lt;0,-(AK83+SUM($C84:AJ84)),0)</f>
        <v>0</v>
      </c>
      <c r="AL84" s="8">
        <f ca="1">IF(AL83+SUM($C84:AK84)&lt;0,-(AL83+SUM($C84:AK84)),0)</f>
        <v>0</v>
      </c>
      <c r="AM84" s="8">
        <f ca="1">IF(AM83+SUM($C84:AL84)&lt;0,-(AM83+SUM($C84:AL84)),0)</f>
        <v>0</v>
      </c>
    </row>
    <row r="85" spans="1:39" x14ac:dyDescent="0.2">
      <c r="A85" s="4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</row>
    <row r="86" spans="1:39" x14ac:dyDescent="0.2">
      <c r="A86" s="29" t="str">
        <f>IF(Inputs!$B$175=6,IFERROR(_xlfn.XLOOKUP($B86,Inputs!$B$176:$B$178,Inputs!$A$176:$A$178,,0,1),""),IFERROR(_xlfn.XLOOKUP($B86,Inputs!$C$176:$C$178,Inputs!$A$176:$A$178,,0,1),""))</f>
        <v>Gzira</v>
      </c>
      <c r="B86" s="31">
        <v>1</v>
      </c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</row>
    <row r="87" spans="1:39" x14ac:dyDescent="0.2">
      <c r="A87" s="4" t="s">
        <v>23</v>
      </c>
      <c r="C87" s="8">
        <f>IFERROR(VLOOKUP($A86,$A$54:$H$68,C$1+2,FALSE),0)</f>
        <v>154500</v>
      </c>
      <c r="D87" s="8">
        <f ca="1">C90</f>
        <v>154500</v>
      </c>
      <c r="E87" s="8">
        <f t="shared" ref="E87" ca="1" si="251">D90</f>
        <v>159135</v>
      </c>
      <c r="F87" s="8">
        <f t="shared" ref="F87" ca="1" si="252">E90</f>
        <v>163909.04999999999</v>
      </c>
      <c r="G87" s="8">
        <f t="shared" ref="G87:I87" ca="1" si="253">F90</f>
        <v>168826.32149999999</v>
      </c>
      <c r="H87" s="8">
        <f t="shared" ca="1" si="253"/>
        <v>173891.111145</v>
      </c>
      <c r="I87" s="8">
        <f t="shared" ca="1" si="253"/>
        <v>179107.84447934999</v>
      </c>
      <c r="J87" s="8">
        <f t="shared" ref="J87" ca="1" si="254">I90</f>
        <v>184481.0798137305</v>
      </c>
      <c r="K87" s="8">
        <f t="shared" ref="K87" ca="1" si="255">J90</f>
        <v>190015.51220814241</v>
      </c>
      <c r="L87" s="8">
        <f t="shared" ref="L87" ca="1" si="256">K90</f>
        <v>195715.97757438666</v>
      </c>
      <c r="M87" s="8">
        <f t="shared" ref="M87" ca="1" si="257">L90</f>
        <v>201587.45690161825</v>
      </c>
      <c r="N87" s="8">
        <f t="shared" ref="N87" ca="1" si="258">M90</f>
        <v>207635.08060866679</v>
      </c>
      <c r="O87" s="8">
        <f t="shared" ref="O87" ca="1" si="259">N90</f>
        <v>213864.13302692678</v>
      </c>
      <c r="P87" s="8">
        <f t="shared" ref="P87" ca="1" si="260">O90</f>
        <v>220280.05701773459</v>
      </c>
      <c r="Q87" s="8">
        <f t="shared" ref="Q87" ca="1" si="261">P90</f>
        <v>226888.45872826662</v>
      </c>
      <c r="R87" s="8">
        <f t="shared" ref="R87" ca="1" si="262">Q90</f>
        <v>233695.11249011461</v>
      </c>
      <c r="S87" s="8">
        <f t="shared" ref="S87" ca="1" si="263">R90</f>
        <v>240705.96586481805</v>
      </c>
      <c r="T87" s="8">
        <f t="shared" ref="T87" ca="1" si="264">S90</f>
        <v>247927.1448407626</v>
      </c>
      <c r="U87" s="8">
        <f t="shared" ref="U87" ca="1" si="265">T90</f>
        <v>255364.95918598547</v>
      </c>
      <c r="V87" s="8">
        <f t="shared" ref="V87" ca="1" si="266">U90</f>
        <v>263025.90796156501</v>
      </c>
      <c r="W87" s="8">
        <f t="shared" ref="W87" ca="1" si="267">V90</f>
        <v>270916.68520041194</v>
      </c>
      <c r="X87" s="8">
        <f t="shared" ref="X87" ca="1" si="268">W90</f>
        <v>279044.18575642433</v>
      </c>
      <c r="Y87" s="8">
        <f t="shared" ref="Y87" ca="1" si="269">X90</f>
        <v>287415.51132911706</v>
      </c>
      <c r="Z87" s="8">
        <f t="shared" ref="Z87" ca="1" si="270">Y90</f>
        <v>296037.97666899057</v>
      </c>
      <c r="AA87" s="8">
        <f t="shared" ref="AA87" ca="1" si="271">Z90</f>
        <v>304919.11596906028</v>
      </c>
      <c r="AB87" s="8">
        <f t="shared" ref="AB87" ca="1" si="272">AA90</f>
        <v>314066.68944813206</v>
      </c>
      <c r="AC87" s="8">
        <f t="shared" ref="AC87" ca="1" si="273">AB90</f>
        <v>323488.69013157603</v>
      </c>
      <c r="AD87" s="8">
        <f t="shared" ref="AD87" ca="1" si="274">AC90</f>
        <v>333193.35083552334</v>
      </c>
      <c r="AE87" s="8">
        <f t="shared" ref="AE87" ca="1" si="275">AD90</f>
        <v>343189.15136058902</v>
      </c>
      <c r="AF87" s="8">
        <f t="shared" ref="AF87" ca="1" si="276">AE90</f>
        <v>353484.8259014067</v>
      </c>
      <c r="AG87" s="8">
        <f t="shared" ref="AG87" ca="1" si="277">AF90</f>
        <v>364089.37067844887</v>
      </c>
      <c r="AH87" s="8">
        <f t="shared" ref="AH87" ca="1" si="278">AG90</f>
        <v>375012.05179880233</v>
      </c>
      <c r="AI87" s="8">
        <f t="shared" ref="AI87" ca="1" si="279">AH90</f>
        <v>386262.41335276642</v>
      </c>
      <c r="AJ87" s="8">
        <f t="shared" ref="AJ87" ca="1" si="280">AI90</f>
        <v>397850.28575334942</v>
      </c>
      <c r="AK87" s="8">
        <f t="shared" ref="AK87" ca="1" si="281">AJ90</f>
        <v>409785.79432594992</v>
      </c>
      <c r="AL87" s="8">
        <f t="shared" ref="AL87" ca="1" si="282">AK90</f>
        <v>422079.36815572839</v>
      </c>
      <c r="AM87" s="8">
        <f t="shared" ref="AM87" ca="1" si="283">AL90</f>
        <v>434741.74920040026</v>
      </c>
    </row>
    <row r="88" spans="1:39" x14ac:dyDescent="0.2">
      <c r="A88" s="4" t="s">
        <v>24</v>
      </c>
      <c r="C88" s="8">
        <f ca="1">-IF(SUM(C84:D84)&gt;0,C87,0)</f>
        <v>0</v>
      </c>
      <c r="D88" s="8">
        <f ca="1">-IF(E84&gt;0,D87,0)</f>
        <v>0</v>
      </c>
      <c r="E88" s="8">
        <f ca="1">-IF(F84&gt;0,E87,0)</f>
        <v>0</v>
      </c>
      <c r="F88" s="8">
        <f ca="1">-IF(G84&gt;0,F87,0)</f>
        <v>0</v>
      </c>
      <c r="G88" s="8">
        <f t="shared" ref="G88:I88" ca="1" si="284">-IF(H84&gt;0,G87,0)</f>
        <v>0</v>
      </c>
      <c r="H88" s="8">
        <f t="shared" ca="1" si="284"/>
        <v>0</v>
      </c>
      <c r="I88" s="8">
        <f t="shared" ca="1" si="284"/>
        <v>0</v>
      </c>
      <c r="J88" s="8">
        <f t="shared" ref="J88" ca="1" si="285">-IF(K84&gt;0,J87,0)</f>
        <v>0</v>
      </c>
      <c r="K88" s="8">
        <f t="shared" ref="K88" ca="1" si="286">-IF(L84&gt;0,K87,0)</f>
        <v>0</v>
      </c>
      <c r="L88" s="8">
        <f t="shared" ref="L88" ca="1" si="287">-IF(M84&gt;0,L87,0)</f>
        <v>0</v>
      </c>
      <c r="M88" s="8">
        <f t="shared" ref="M88" ca="1" si="288">-IF(N84&gt;0,M87,0)</f>
        <v>0</v>
      </c>
      <c r="N88" s="8">
        <f t="shared" ref="N88" ca="1" si="289">-IF(O84&gt;0,N87,0)</f>
        <v>0</v>
      </c>
      <c r="O88" s="8">
        <f t="shared" ref="O88" ca="1" si="290">-IF(P84&gt;0,O87,0)</f>
        <v>0</v>
      </c>
      <c r="P88" s="8">
        <f t="shared" ref="P88" ca="1" si="291">-IF(Q84&gt;0,P87,0)</f>
        <v>0</v>
      </c>
      <c r="Q88" s="8">
        <f t="shared" ref="Q88" ca="1" si="292">-IF(R84&gt;0,Q87,0)</f>
        <v>0</v>
      </c>
      <c r="R88" s="8">
        <f t="shared" ref="R88" ca="1" si="293">-IF(S84&gt;0,R87,0)</f>
        <v>0</v>
      </c>
      <c r="S88" s="8">
        <f t="shared" ref="S88" ca="1" si="294">-IF(T84&gt;0,S87,0)</f>
        <v>0</v>
      </c>
      <c r="T88" s="8">
        <f t="shared" ref="T88" ca="1" si="295">-IF(U84&gt;0,T87,0)</f>
        <v>0</v>
      </c>
      <c r="U88" s="8">
        <f t="shared" ref="U88" ca="1" si="296">-IF(V84&gt;0,U87,0)</f>
        <v>0</v>
      </c>
      <c r="V88" s="8">
        <f t="shared" ref="V88" ca="1" si="297">-IF(W84&gt;0,V87,0)</f>
        <v>0</v>
      </c>
      <c r="W88" s="8">
        <f t="shared" ref="W88" ca="1" si="298">-IF(X84&gt;0,W87,0)</f>
        <v>0</v>
      </c>
      <c r="X88" s="8">
        <f t="shared" ref="X88" ca="1" si="299">-IF(Y84&gt;0,X87,0)</f>
        <v>0</v>
      </c>
      <c r="Y88" s="8">
        <f t="shared" ref="Y88" ca="1" si="300">-IF(Z84&gt;0,Y87,0)</f>
        <v>0</v>
      </c>
      <c r="Z88" s="8">
        <f t="shared" ref="Z88" ca="1" si="301">-IF(AA84&gt;0,Z87,0)</f>
        <v>0</v>
      </c>
      <c r="AA88" s="8">
        <f t="shared" ref="AA88" ca="1" si="302">-IF(AB84&gt;0,AA87,0)</f>
        <v>0</v>
      </c>
      <c r="AB88" s="8">
        <f t="shared" ref="AB88" ca="1" si="303">-IF(AC84&gt;0,AB87,0)</f>
        <v>0</v>
      </c>
      <c r="AC88" s="8">
        <f t="shared" ref="AC88" ca="1" si="304">-IF(AD84&gt;0,AC87,0)</f>
        <v>0</v>
      </c>
      <c r="AD88" s="8">
        <f t="shared" ref="AD88" ca="1" si="305">-IF(AE84&gt;0,AD87,0)</f>
        <v>0</v>
      </c>
      <c r="AE88" s="8">
        <f t="shared" ref="AE88" ca="1" si="306">-IF(AF84&gt;0,AE87,0)</f>
        <v>0</v>
      </c>
      <c r="AF88" s="8">
        <f t="shared" ref="AF88" ca="1" si="307">-IF(AG84&gt;0,AF87,0)</f>
        <v>0</v>
      </c>
      <c r="AG88" s="8">
        <f t="shared" ref="AG88" ca="1" si="308">-IF(AH84&gt;0,AG87,0)</f>
        <v>0</v>
      </c>
      <c r="AH88" s="8">
        <f t="shared" ref="AH88" ca="1" si="309">-IF(AI84&gt;0,AH87,0)</f>
        <v>0</v>
      </c>
      <c r="AI88" s="8">
        <f t="shared" ref="AI88" ca="1" si="310">-IF(AJ84&gt;0,AI87,0)</f>
        <v>0</v>
      </c>
      <c r="AJ88" s="8">
        <f t="shared" ref="AJ88" ca="1" si="311">-IF(AK84&gt;0,AJ87,0)</f>
        <v>0</v>
      </c>
      <c r="AK88" s="8">
        <f t="shared" ref="AK88" ca="1" si="312">-IF(AL84&gt;0,AK87,0)</f>
        <v>0</v>
      </c>
      <c r="AL88" s="8">
        <f t="shared" ref="AL88" ca="1" si="313">-IF(AM84&gt;0,AL87,0)</f>
        <v>0</v>
      </c>
      <c r="AM88" s="8">
        <f t="shared" ref="AM88" si="314">-IF(AN84&gt;0,AM87,0)</f>
        <v>0</v>
      </c>
    </row>
    <row r="89" spans="1:39" x14ac:dyDescent="0.2">
      <c r="A89" s="4" t="s">
        <v>25</v>
      </c>
      <c r="C89" s="8">
        <v>0</v>
      </c>
      <c r="D89" s="8">
        <f t="shared" ref="D89:G89" ca="1" si="315">SUM(D87:D88)*princ</f>
        <v>4635</v>
      </c>
      <c r="E89" s="8">
        <f t="shared" ca="1" si="315"/>
        <v>4774.05</v>
      </c>
      <c r="F89" s="8">
        <f t="shared" ca="1" si="315"/>
        <v>4917.2714999999998</v>
      </c>
      <c r="G89" s="8">
        <f t="shared" ca="1" si="315"/>
        <v>5064.7896449999998</v>
      </c>
      <c r="H89" s="8">
        <f t="shared" ref="H89:I89" ca="1" si="316">SUM(H87:H88)*princ</f>
        <v>5216.7333343499995</v>
      </c>
      <c r="I89" s="8">
        <f t="shared" ca="1" si="316"/>
        <v>5373.2353343804998</v>
      </c>
      <c r="J89" s="8">
        <f t="shared" ref="J89:AM89" ca="1" si="317">SUM(J87:J88)*princ</f>
        <v>5534.4323944119151</v>
      </c>
      <c r="K89" s="8">
        <f t="shared" ca="1" si="317"/>
        <v>5700.4653662442715</v>
      </c>
      <c r="L89" s="8">
        <f t="shared" ca="1" si="317"/>
        <v>5871.4793272316001</v>
      </c>
      <c r="M89" s="8">
        <f t="shared" ca="1" si="317"/>
        <v>6047.6237070485477</v>
      </c>
      <c r="N89" s="8">
        <f t="shared" ca="1" si="317"/>
        <v>6229.0524182600038</v>
      </c>
      <c r="O89" s="8">
        <f t="shared" ca="1" si="317"/>
        <v>6415.9239908078034</v>
      </c>
      <c r="P89" s="8">
        <f t="shared" ca="1" si="317"/>
        <v>6608.4017105320372</v>
      </c>
      <c r="Q89" s="8">
        <f t="shared" ca="1" si="317"/>
        <v>6806.6537618479979</v>
      </c>
      <c r="R89" s="8">
        <f t="shared" ca="1" si="317"/>
        <v>7010.853374703438</v>
      </c>
      <c r="S89" s="8">
        <f t="shared" ca="1" si="317"/>
        <v>7221.178975944541</v>
      </c>
      <c r="T89" s="8">
        <f t="shared" ca="1" si="317"/>
        <v>7437.8143452228778</v>
      </c>
      <c r="U89" s="8">
        <f t="shared" ca="1" si="317"/>
        <v>7660.9487755795635</v>
      </c>
      <c r="V89" s="8">
        <f t="shared" ca="1" si="317"/>
        <v>7890.7772388469502</v>
      </c>
      <c r="W89" s="8">
        <f t="shared" ca="1" si="317"/>
        <v>8127.5005560123582</v>
      </c>
      <c r="X89" s="8">
        <f t="shared" ca="1" si="317"/>
        <v>8371.3255726927291</v>
      </c>
      <c r="Y89" s="8">
        <f t="shared" ca="1" si="317"/>
        <v>8622.4653398735118</v>
      </c>
      <c r="Z89" s="8">
        <f t="shared" ca="1" si="317"/>
        <v>8881.1393000697171</v>
      </c>
      <c r="AA89" s="8">
        <f t="shared" ca="1" si="317"/>
        <v>9147.5734790718088</v>
      </c>
      <c r="AB89" s="8">
        <f t="shared" ca="1" si="317"/>
        <v>9422.000683443961</v>
      </c>
      <c r="AC89" s="8">
        <f t="shared" ca="1" si="317"/>
        <v>9704.6607039472801</v>
      </c>
      <c r="AD89" s="8">
        <f t="shared" ca="1" si="317"/>
        <v>9995.8005250656988</v>
      </c>
      <c r="AE89" s="8">
        <f t="shared" ca="1" si="317"/>
        <v>10295.67454081767</v>
      </c>
      <c r="AF89" s="8">
        <f t="shared" ca="1" si="317"/>
        <v>10604.544777042202</v>
      </c>
      <c r="AG89" s="8">
        <f t="shared" ca="1" si="317"/>
        <v>10922.681120353465</v>
      </c>
      <c r="AH89" s="8">
        <f t="shared" ca="1" si="317"/>
        <v>11250.36155396407</v>
      </c>
      <c r="AI89" s="8">
        <f t="shared" ca="1" si="317"/>
        <v>11587.872400582992</v>
      </c>
      <c r="AJ89" s="8">
        <f t="shared" ca="1" si="317"/>
        <v>11935.508572600482</v>
      </c>
      <c r="AK89" s="8">
        <f t="shared" ca="1" si="317"/>
        <v>12293.573829778497</v>
      </c>
      <c r="AL89" s="8">
        <f t="shared" ca="1" si="317"/>
        <v>12662.381044671851</v>
      </c>
      <c r="AM89" s="8">
        <f t="shared" ca="1" si="317"/>
        <v>13042.252476012007</v>
      </c>
    </row>
    <row r="90" spans="1:39" x14ac:dyDescent="0.2">
      <c r="A90" s="4" t="s">
        <v>26</v>
      </c>
      <c r="C90" s="8">
        <f ca="1">SUM(C87:C89)</f>
        <v>154500</v>
      </c>
      <c r="D90" s="8">
        <f t="shared" ref="D90" ca="1" si="318">SUM(D87:D89)</f>
        <v>159135</v>
      </c>
      <c r="E90" s="8">
        <f t="shared" ref="E90" ca="1" si="319">SUM(E87:E89)</f>
        <v>163909.04999999999</v>
      </c>
      <c r="F90" s="8">
        <f t="shared" ref="F90" ca="1" si="320">SUM(F87:F89)</f>
        <v>168826.32149999999</v>
      </c>
      <c r="G90" s="8">
        <f t="shared" ref="G90" ca="1" si="321">SUM(G87:G89)</f>
        <v>173891.111145</v>
      </c>
      <c r="H90" s="8">
        <f t="shared" ref="H90:I90" ca="1" si="322">SUM(H87:H89)</f>
        <v>179107.84447934999</v>
      </c>
      <c r="I90" s="8">
        <f t="shared" ca="1" si="322"/>
        <v>184481.0798137305</v>
      </c>
      <c r="J90" s="8">
        <f t="shared" ref="J90:AM90" ca="1" si="323">SUM(J87:J89)</f>
        <v>190015.51220814241</v>
      </c>
      <c r="K90" s="8">
        <f t="shared" ca="1" si="323"/>
        <v>195715.97757438666</v>
      </c>
      <c r="L90" s="8">
        <f t="shared" ca="1" si="323"/>
        <v>201587.45690161825</v>
      </c>
      <c r="M90" s="8">
        <f t="shared" ca="1" si="323"/>
        <v>207635.08060866679</v>
      </c>
      <c r="N90" s="8">
        <f t="shared" ca="1" si="323"/>
        <v>213864.13302692678</v>
      </c>
      <c r="O90" s="8">
        <f t="shared" ca="1" si="323"/>
        <v>220280.05701773459</v>
      </c>
      <c r="P90" s="8">
        <f t="shared" ca="1" si="323"/>
        <v>226888.45872826662</v>
      </c>
      <c r="Q90" s="8">
        <f t="shared" ca="1" si="323"/>
        <v>233695.11249011461</v>
      </c>
      <c r="R90" s="8">
        <f t="shared" ca="1" si="323"/>
        <v>240705.96586481805</v>
      </c>
      <c r="S90" s="8">
        <f t="shared" ca="1" si="323"/>
        <v>247927.1448407626</v>
      </c>
      <c r="T90" s="8">
        <f t="shared" ca="1" si="323"/>
        <v>255364.95918598547</v>
      </c>
      <c r="U90" s="8">
        <f t="shared" ca="1" si="323"/>
        <v>263025.90796156501</v>
      </c>
      <c r="V90" s="8">
        <f t="shared" ca="1" si="323"/>
        <v>270916.68520041194</v>
      </c>
      <c r="W90" s="8">
        <f t="shared" ca="1" si="323"/>
        <v>279044.18575642433</v>
      </c>
      <c r="X90" s="8">
        <f t="shared" ca="1" si="323"/>
        <v>287415.51132911706</v>
      </c>
      <c r="Y90" s="8">
        <f t="shared" ca="1" si="323"/>
        <v>296037.97666899057</v>
      </c>
      <c r="Z90" s="8">
        <f t="shared" ca="1" si="323"/>
        <v>304919.11596906028</v>
      </c>
      <c r="AA90" s="8">
        <f t="shared" ca="1" si="323"/>
        <v>314066.68944813206</v>
      </c>
      <c r="AB90" s="8">
        <f t="shared" ca="1" si="323"/>
        <v>323488.69013157603</v>
      </c>
      <c r="AC90" s="8">
        <f t="shared" ca="1" si="323"/>
        <v>333193.35083552334</v>
      </c>
      <c r="AD90" s="8">
        <f t="shared" ca="1" si="323"/>
        <v>343189.15136058902</v>
      </c>
      <c r="AE90" s="8">
        <f t="shared" ca="1" si="323"/>
        <v>353484.8259014067</v>
      </c>
      <c r="AF90" s="8">
        <f t="shared" ca="1" si="323"/>
        <v>364089.37067844887</v>
      </c>
      <c r="AG90" s="8">
        <f t="shared" ca="1" si="323"/>
        <v>375012.05179880233</v>
      </c>
      <c r="AH90" s="8">
        <f t="shared" ca="1" si="323"/>
        <v>386262.41335276642</v>
      </c>
      <c r="AI90" s="8">
        <f t="shared" ca="1" si="323"/>
        <v>397850.28575334942</v>
      </c>
      <c r="AJ90" s="8">
        <f t="shared" ca="1" si="323"/>
        <v>409785.79432594992</v>
      </c>
      <c r="AK90" s="8">
        <f t="shared" ca="1" si="323"/>
        <v>422079.36815572839</v>
      </c>
      <c r="AL90" s="8">
        <f t="shared" ca="1" si="323"/>
        <v>434741.74920040026</v>
      </c>
      <c r="AM90" s="8">
        <f t="shared" ca="1" si="323"/>
        <v>447784.00167641224</v>
      </c>
    </row>
    <row r="91" spans="1:39" x14ac:dyDescent="0.2">
      <c r="A91" s="4" t="s">
        <v>27</v>
      </c>
      <c r="C91" s="8">
        <f ca="1">C88*Inputs!$B$173</f>
        <v>0</v>
      </c>
      <c r="D91" s="8">
        <f ca="1">D88*Inputs!$B$173</f>
        <v>0</v>
      </c>
      <c r="E91" s="8">
        <f ca="1">E88*Inputs!$B$173</f>
        <v>0</v>
      </c>
      <c r="F91" s="8">
        <f ca="1">F88*Inputs!$B$173</f>
        <v>0</v>
      </c>
      <c r="G91" s="8">
        <f ca="1">G88*Inputs!$B$173</f>
        <v>0</v>
      </c>
      <c r="H91" s="8">
        <f ca="1">H88*Inputs!$B$173</f>
        <v>0</v>
      </c>
      <c r="I91" s="8">
        <f ca="1">I88*Inputs!$B$173</f>
        <v>0</v>
      </c>
      <c r="J91" s="8">
        <f ca="1">J88*Inputs!$B$173</f>
        <v>0</v>
      </c>
      <c r="K91" s="8">
        <f ca="1">K88*Inputs!$B$173</f>
        <v>0</v>
      </c>
      <c r="L91" s="8">
        <f ca="1">L88*Inputs!$B$173</f>
        <v>0</v>
      </c>
      <c r="M91" s="8">
        <f ca="1">M88*Inputs!$B$173</f>
        <v>0</v>
      </c>
      <c r="N91" s="8">
        <f ca="1">N88*Inputs!$B$173</f>
        <v>0</v>
      </c>
      <c r="O91" s="8">
        <f ca="1">O88*Inputs!$B$173</f>
        <v>0</v>
      </c>
      <c r="P91" s="8">
        <f ca="1">P88*Inputs!$B$173</f>
        <v>0</v>
      </c>
      <c r="Q91" s="8">
        <f ca="1">Q88*Inputs!$B$173</f>
        <v>0</v>
      </c>
      <c r="R91" s="8">
        <f ca="1">R88*Inputs!$B$173</f>
        <v>0</v>
      </c>
      <c r="S91" s="8">
        <f ca="1">S88*Inputs!$B$173</f>
        <v>0</v>
      </c>
      <c r="T91" s="8">
        <f ca="1">T88*Inputs!$B$173</f>
        <v>0</v>
      </c>
      <c r="U91" s="8">
        <f ca="1">U88*Inputs!$B$173</f>
        <v>0</v>
      </c>
      <c r="V91" s="8">
        <f ca="1">V88*Inputs!$B$173</f>
        <v>0</v>
      </c>
      <c r="W91" s="8">
        <f ca="1">W88*Inputs!$B$173</f>
        <v>0</v>
      </c>
      <c r="X91" s="8">
        <f ca="1">X88*Inputs!$B$173</f>
        <v>0</v>
      </c>
      <c r="Y91" s="8">
        <f ca="1">Y88*Inputs!$B$173</f>
        <v>0</v>
      </c>
      <c r="Z91" s="8">
        <f ca="1">Z88*Inputs!$B$173</f>
        <v>0</v>
      </c>
      <c r="AA91" s="8">
        <f ca="1">AA88*Inputs!$B$173</f>
        <v>0</v>
      </c>
      <c r="AB91" s="8">
        <f ca="1">AB88*Inputs!$B$173</f>
        <v>0</v>
      </c>
      <c r="AC91" s="8">
        <f ca="1">AC88*Inputs!$B$173</f>
        <v>0</v>
      </c>
      <c r="AD91" s="8">
        <f ca="1">AD88*Inputs!$B$173</f>
        <v>0</v>
      </c>
      <c r="AE91" s="8">
        <f ca="1">AE88*Inputs!$B$173</f>
        <v>0</v>
      </c>
      <c r="AF91" s="8">
        <f ca="1">AF88*Inputs!$B$173</f>
        <v>0</v>
      </c>
      <c r="AG91" s="8">
        <f ca="1">AG88*Inputs!$B$173</f>
        <v>0</v>
      </c>
      <c r="AH91" s="8">
        <f ca="1">AH88*Inputs!$B$173</f>
        <v>0</v>
      </c>
      <c r="AI91" s="8">
        <f ca="1">AI88*Inputs!$B$173</f>
        <v>0</v>
      </c>
      <c r="AJ91" s="8">
        <f ca="1">AJ88*Inputs!$B$173</f>
        <v>0</v>
      </c>
      <c r="AK91" s="8">
        <f ca="1">AK88*Inputs!$B$173</f>
        <v>0</v>
      </c>
      <c r="AL91" s="8">
        <f ca="1">AL88*Inputs!$B$173</f>
        <v>0</v>
      </c>
      <c r="AM91" s="8">
        <f>AM88*Inputs!$B$173</f>
        <v>0</v>
      </c>
    </row>
    <row r="92" spans="1:39" x14ac:dyDescent="0.2">
      <c r="A92" s="4" t="s">
        <v>34</v>
      </c>
      <c r="C92" s="8">
        <f t="shared" ref="C92:I92" si="324">IFERROR(-IF(C87=0,VLOOKUP($A86,$7:$10,C$1+2,FALSE),0),0)</f>
        <v>0</v>
      </c>
      <c r="D92" s="8">
        <f t="shared" ca="1" si="324"/>
        <v>0</v>
      </c>
      <c r="E92" s="8">
        <f t="shared" ca="1" si="324"/>
        <v>0</v>
      </c>
      <c r="F92" s="8">
        <f t="shared" ca="1" si="324"/>
        <v>0</v>
      </c>
      <c r="G92" s="8">
        <f t="shared" ca="1" si="324"/>
        <v>0</v>
      </c>
      <c r="H92" s="8">
        <f t="shared" ca="1" si="324"/>
        <v>0</v>
      </c>
      <c r="I92" s="8">
        <f t="shared" ca="1" si="324"/>
        <v>0</v>
      </c>
      <c r="J92" s="8">
        <f t="shared" ref="J92:AM92" ca="1" si="325">IFERROR(-IF(J87=0,VLOOKUP($A86,$7:$10,J$1+2,FALSE),0),0)</f>
        <v>0</v>
      </c>
      <c r="K92" s="8">
        <f t="shared" ca="1" si="325"/>
        <v>0</v>
      </c>
      <c r="L92" s="8">
        <f t="shared" ca="1" si="325"/>
        <v>0</v>
      </c>
      <c r="M92" s="8">
        <f t="shared" ca="1" si="325"/>
        <v>0</v>
      </c>
      <c r="N92" s="8">
        <f t="shared" ca="1" si="325"/>
        <v>0</v>
      </c>
      <c r="O92" s="8">
        <f t="shared" ca="1" si="325"/>
        <v>0</v>
      </c>
      <c r="P92" s="8">
        <f t="shared" ca="1" si="325"/>
        <v>0</v>
      </c>
      <c r="Q92" s="8">
        <f t="shared" ca="1" si="325"/>
        <v>0</v>
      </c>
      <c r="R92" s="8">
        <f t="shared" ca="1" si="325"/>
        <v>0</v>
      </c>
      <c r="S92" s="8">
        <f t="shared" ca="1" si="325"/>
        <v>0</v>
      </c>
      <c r="T92" s="8">
        <f t="shared" ca="1" si="325"/>
        <v>0</v>
      </c>
      <c r="U92" s="8">
        <f t="shared" ca="1" si="325"/>
        <v>0</v>
      </c>
      <c r="V92" s="8">
        <f t="shared" ca="1" si="325"/>
        <v>0</v>
      </c>
      <c r="W92" s="8">
        <f t="shared" ca="1" si="325"/>
        <v>0</v>
      </c>
      <c r="X92" s="8">
        <f t="shared" ca="1" si="325"/>
        <v>0</v>
      </c>
      <c r="Y92" s="8">
        <f t="shared" ca="1" si="325"/>
        <v>0</v>
      </c>
      <c r="Z92" s="8">
        <f t="shared" ca="1" si="325"/>
        <v>0</v>
      </c>
      <c r="AA92" s="8">
        <f t="shared" ca="1" si="325"/>
        <v>0</v>
      </c>
      <c r="AB92" s="8">
        <f t="shared" ca="1" si="325"/>
        <v>0</v>
      </c>
      <c r="AC92" s="8">
        <f t="shared" ca="1" si="325"/>
        <v>0</v>
      </c>
      <c r="AD92" s="8">
        <f t="shared" ca="1" si="325"/>
        <v>0</v>
      </c>
      <c r="AE92" s="8">
        <f t="shared" ca="1" si="325"/>
        <v>0</v>
      </c>
      <c r="AF92" s="8">
        <f t="shared" ca="1" si="325"/>
        <v>0</v>
      </c>
      <c r="AG92" s="8">
        <f t="shared" ca="1" si="325"/>
        <v>0</v>
      </c>
      <c r="AH92" s="8">
        <f t="shared" ca="1" si="325"/>
        <v>0</v>
      </c>
      <c r="AI92" s="8">
        <f t="shared" ca="1" si="325"/>
        <v>0</v>
      </c>
      <c r="AJ92" s="8">
        <f t="shared" ca="1" si="325"/>
        <v>0</v>
      </c>
      <c r="AK92" s="8">
        <f t="shared" ca="1" si="325"/>
        <v>0</v>
      </c>
      <c r="AL92" s="8">
        <f t="shared" ca="1" si="325"/>
        <v>0</v>
      </c>
      <c r="AM92" s="8">
        <f t="shared" ca="1" si="325"/>
        <v>0</v>
      </c>
    </row>
    <row r="93" spans="1:39" x14ac:dyDescent="0.2">
      <c r="A93" s="4" t="s">
        <v>54</v>
      </c>
      <c r="C93" s="8">
        <f t="shared" ref="C93:I93" si="326">IFERROR(IF(C87=0,VLOOKUP($A86,$35:$38,C$1+2,FALSE),0),0)</f>
        <v>0</v>
      </c>
      <c r="D93" s="8">
        <f t="shared" ca="1" si="326"/>
        <v>0</v>
      </c>
      <c r="E93" s="8">
        <f t="shared" ca="1" si="326"/>
        <v>0</v>
      </c>
      <c r="F93" s="8">
        <f t="shared" ca="1" si="326"/>
        <v>0</v>
      </c>
      <c r="G93" s="8">
        <f t="shared" ca="1" si="326"/>
        <v>0</v>
      </c>
      <c r="H93" s="8">
        <f t="shared" ca="1" si="326"/>
        <v>0</v>
      </c>
      <c r="I93" s="8">
        <f t="shared" ca="1" si="326"/>
        <v>0</v>
      </c>
      <c r="J93" s="8">
        <f t="shared" ref="J93:AM93" ca="1" si="327">IFERROR(IF(J87=0,VLOOKUP($A86,$35:$38,J$1+2,FALSE),0),0)</f>
        <v>0</v>
      </c>
      <c r="K93" s="8">
        <f t="shared" ca="1" si="327"/>
        <v>0</v>
      </c>
      <c r="L93" s="8">
        <f t="shared" ca="1" si="327"/>
        <v>0</v>
      </c>
      <c r="M93" s="8">
        <f t="shared" ca="1" si="327"/>
        <v>0</v>
      </c>
      <c r="N93" s="8">
        <f t="shared" ca="1" si="327"/>
        <v>0</v>
      </c>
      <c r="O93" s="8">
        <f t="shared" ca="1" si="327"/>
        <v>0</v>
      </c>
      <c r="P93" s="8">
        <f t="shared" ca="1" si="327"/>
        <v>0</v>
      </c>
      <c r="Q93" s="8">
        <f t="shared" ca="1" si="327"/>
        <v>0</v>
      </c>
      <c r="R93" s="8">
        <f t="shared" ca="1" si="327"/>
        <v>0</v>
      </c>
      <c r="S93" s="8">
        <f t="shared" ca="1" si="327"/>
        <v>0</v>
      </c>
      <c r="T93" s="8">
        <f t="shared" ca="1" si="327"/>
        <v>0</v>
      </c>
      <c r="U93" s="8">
        <f t="shared" ca="1" si="327"/>
        <v>0</v>
      </c>
      <c r="V93" s="8">
        <f t="shared" ca="1" si="327"/>
        <v>0</v>
      </c>
      <c r="W93" s="8">
        <f t="shared" ca="1" si="327"/>
        <v>0</v>
      </c>
      <c r="X93" s="8">
        <f t="shared" ca="1" si="327"/>
        <v>0</v>
      </c>
      <c r="Y93" s="8">
        <f t="shared" ca="1" si="327"/>
        <v>0</v>
      </c>
      <c r="Z93" s="8">
        <f t="shared" ca="1" si="327"/>
        <v>0</v>
      </c>
      <c r="AA93" s="8">
        <f t="shared" ca="1" si="327"/>
        <v>0</v>
      </c>
      <c r="AB93" s="8">
        <f t="shared" ca="1" si="327"/>
        <v>0</v>
      </c>
      <c r="AC93" s="8">
        <f t="shared" ca="1" si="327"/>
        <v>0</v>
      </c>
      <c r="AD93" s="8">
        <f t="shared" ca="1" si="327"/>
        <v>0</v>
      </c>
      <c r="AE93" s="8">
        <f t="shared" ca="1" si="327"/>
        <v>0</v>
      </c>
      <c r="AF93" s="8">
        <f t="shared" ca="1" si="327"/>
        <v>0</v>
      </c>
      <c r="AG93" s="8">
        <f t="shared" ca="1" si="327"/>
        <v>0</v>
      </c>
      <c r="AH93" s="8">
        <f t="shared" ca="1" si="327"/>
        <v>0</v>
      </c>
      <c r="AI93" s="8">
        <f t="shared" ca="1" si="327"/>
        <v>0</v>
      </c>
      <c r="AJ93" s="8">
        <f t="shared" ca="1" si="327"/>
        <v>0</v>
      </c>
      <c r="AK93" s="8">
        <f t="shared" ca="1" si="327"/>
        <v>0</v>
      </c>
      <c r="AL93" s="8">
        <f t="shared" ca="1" si="327"/>
        <v>0</v>
      </c>
      <c r="AM93" s="8">
        <f t="shared" ca="1" si="327"/>
        <v>0</v>
      </c>
    </row>
    <row r="94" spans="1:39" x14ac:dyDescent="0.2">
      <c r="A94" s="4" t="s">
        <v>40</v>
      </c>
      <c r="B94" s="16" t="str">
        <f>A86</f>
        <v>Gzira</v>
      </c>
      <c r="C94" s="8">
        <f t="shared" ref="C94:I94" ca="1" si="328">IF(AND(C87&gt;0,C90=0),VLOOKUP($A86,$63:$66,C$1+2,FALSE),0)</f>
        <v>0</v>
      </c>
      <c r="D94" s="8">
        <f t="shared" ca="1" si="328"/>
        <v>0</v>
      </c>
      <c r="E94" s="8">
        <f t="shared" ca="1" si="328"/>
        <v>0</v>
      </c>
      <c r="F94" s="8">
        <f t="shared" ca="1" si="328"/>
        <v>0</v>
      </c>
      <c r="G94" s="8">
        <f t="shared" ca="1" si="328"/>
        <v>0</v>
      </c>
      <c r="H94" s="8">
        <f t="shared" ca="1" si="328"/>
        <v>0</v>
      </c>
      <c r="I94" s="8">
        <f t="shared" ca="1" si="328"/>
        <v>0</v>
      </c>
      <c r="J94" s="8">
        <f t="shared" ref="J94:AM94" ca="1" si="329">IF(AND(J87&gt;0,J90=0),VLOOKUP($A86,$63:$66,J$1+2,FALSE),0)</f>
        <v>0</v>
      </c>
      <c r="K94" s="8">
        <f t="shared" ca="1" si="329"/>
        <v>0</v>
      </c>
      <c r="L94" s="8">
        <f t="shared" ca="1" si="329"/>
        <v>0</v>
      </c>
      <c r="M94" s="8">
        <f t="shared" ca="1" si="329"/>
        <v>0</v>
      </c>
      <c r="N94" s="8">
        <f t="shared" ca="1" si="329"/>
        <v>0</v>
      </c>
      <c r="O94" s="8">
        <f t="shared" ca="1" si="329"/>
        <v>0</v>
      </c>
      <c r="P94" s="8">
        <f t="shared" ca="1" si="329"/>
        <v>0</v>
      </c>
      <c r="Q94" s="8">
        <f t="shared" ca="1" si="329"/>
        <v>0</v>
      </c>
      <c r="R94" s="8">
        <f t="shared" ca="1" si="329"/>
        <v>0</v>
      </c>
      <c r="S94" s="8">
        <f t="shared" ca="1" si="329"/>
        <v>0</v>
      </c>
      <c r="T94" s="8">
        <f t="shared" ca="1" si="329"/>
        <v>0</v>
      </c>
      <c r="U94" s="8">
        <f t="shared" ca="1" si="329"/>
        <v>0</v>
      </c>
      <c r="V94" s="8">
        <f t="shared" ca="1" si="329"/>
        <v>0</v>
      </c>
      <c r="W94" s="8">
        <f t="shared" ca="1" si="329"/>
        <v>0</v>
      </c>
      <c r="X94" s="8">
        <f t="shared" ca="1" si="329"/>
        <v>0</v>
      </c>
      <c r="Y94" s="8">
        <f t="shared" ca="1" si="329"/>
        <v>0</v>
      </c>
      <c r="Z94" s="8">
        <f t="shared" ca="1" si="329"/>
        <v>0</v>
      </c>
      <c r="AA94" s="8">
        <f t="shared" ca="1" si="329"/>
        <v>0</v>
      </c>
      <c r="AB94" s="8">
        <f t="shared" ca="1" si="329"/>
        <v>0</v>
      </c>
      <c r="AC94" s="8">
        <f t="shared" ca="1" si="329"/>
        <v>0</v>
      </c>
      <c r="AD94" s="8">
        <f t="shared" ca="1" si="329"/>
        <v>0</v>
      </c>
      <c r="AE94" s="8">
        <f t="shared" ca="1" si="329"/>
        <v>0</v>
      </c>
      <c r="AF94" s="8">
        <f t="shared" ca="1" si="329"/>
        <v>0</v>
      </c>
      <c r="AG94" s="8">
        <f t="shared" ca="1" si="329"/>
        <v>0</v>
      </c>
      <c r="AH94" s="8">
        <f t="shared" ca="1" si="329"/>
        <v>0</v>
      </c>
      <c r="AI94" s="8">
        <f t="shared" ca="1" si="329"/>
        <v>0</v>
      </c>
      <c r="AJ94" s="8">
        <f t="shared" ca="1" si="329"/>
        <v>0</v>
      </c>
      <c r="AK94" s="8">
        <f t="shared" ca="1" si="329"/>
        <v>0</v>
      </c>
      <c r="AL94" s="8">
        <f t="shared" ca="1" si="329"/>
        <v>0</v>
      </c>
      <c r="AM94" s="8">
        <f t="shared" ca="1" si="329"/>
        <v>0</v>
      </c>
    </row>
    <row r="95" spans="1:39" x14ac:dyDescent="0.2">
      <c r="A95" s="4" t="s">
        <v>41</v>
      </c>
      <c r="C95" s="8">
        <f ca="1">-C88+SUM(C91:C94)</f>
        <v>0</v>
      </c>
      <c r="D95" s="8">
        <f t="shared" ref="D95" ca="1" si="330">-D88+SUM(D91:D94)</f>
        <v>0</v>
      </c>
      <c r="E95" s="8">
        <f t="shared" ref="E95" ca="1" si="331">-E88+SUM(E91:E94)</f>
        <v>0</v>
      </c>
      <c r="F95" s="8">
        <f t="shared" ref="F95" ca="1" si="332">-F88+SUM(F91:F94)</f>
        <v>0</v>
      </c>
      <c r="G95" s="8">
        <f t="shared" ref="G95" ca="1" si="333">-G88+SUM(G91:G94)</f>
        <v>0</v>
      </c>
      <c r="H95" s="8">
        <f t="shared" ref="H95:I95" ca="1" si="334">-H88+SUM(H91:H94)</f>
        <v>0</v>
      </c>
      <c r="I95" s="8">
        <f t="shared" ca="1" si="334"/>
        <v>0</v>
      </c>
      <c r="J95" s="8">
        <f t="shared" ref="J95:AM95" ca="1" si="335">-J88+SUM(J91:J94)</f>
        <v>0</v>
      </c>
      <c r="K95" s="8">
        <f t="shared" ca="1" si="335"/>
        <v>0</v>
      </c>
      <c r="L95" s="8">
        <f t="shared" ca="1" si="335"/>
        <v>0</v>
      </c>
      <c r="M95" s="8">
        <f t="shared" ca="1" si="335"/>
        <v>0</v>
      </c>
      <c r="N95" s="8">
        <f t="shared" ca="1" si="335"/>
        <v>0</v>
      </c>
      <c r="O95" s="8">
        <f t="shared" ca="1" si="335"/>
        <v>0</v>
      </c>
      <c r="P95" s="8">
        <f t="shared" ca="1" si="335"/>
        <v>0</v>
      </c>
      <c r="Q95" s="8">
        <f t="shared" ca="1" si="335"/>
        <v>0</v>
      </c>
      <c r="R95" s="8">
        <f t="shared" ca="1" si="335"/>
        <v>0</v>
      </c>
      <c r="S95" s="8">
        <f t="shared" ca="1" si="335"/>
        <v>0</v>
      </c>
      <c r="T95" s="8">
        <f t="shared" ca="1" si="335"/>
        <v>0</v>
      </c>
      <c r="U95" s="8">
        <f t="shared" ca="1" si="335"/>
        <v>0</v>
      </c>
      <c r="V95" s="8">
        <f t="shared" ca="1" si="335"/>
        <v>0</v>
      </c>
      <c r="W95" s="8">
        <f t="shared" ca="1" si="335"/>
        <v>0</v>
      </c>
      <c r="X95" s="8">
        <f t="shared" ca="1" si="335"/>
        <v>0</v>
      </c>
      <c r="Y95" s="8">
        <f t="shared" ca="1" si="335"/>
        <v>0</v>
      </c>
      <c r="Z95" s="8">
        <f t="shared" ca="1" si="335"/>
        <v>0</v>
      </c>
      <c r="AA95" s="8">
        <f t="shared" ca="1" si="335"/>
        <v>0</v>
      </c>
      <c r="AB95" s="8">
        <f t="shared" ca="1" si="335"/>
        <v>0</v>
      </c>
      <c r="AC95" s="8">
        <f t="shared" ca="1" si="335"/>
        <v>0</v>
      </c>
      <c r="AD95" s="8">
        <f t="shared" ca="1" si="335"/>
        <v>0</v>
      </c>
      <c r="AE95" s="8">
        <f t="shared" ca="1" si="335"/>
        <v>0</v>
      </c>
      <c r="AF95" s="8">
        <f t="shared" ca="1" si="335"/>
        <v>0</v>
      </c>
      <c r="AG95" s="8">
        <f t="shared" ca="1" si="335"/>
        <v>0</v>
      </c>
      <c r="AH95" s="8">
        <f t="shared" ca="1" si="335"/>
        <v>0</v>
      </c>
      <c r="AI95" s="8">
        <f t="shared" ca="1" si="335"/>
        <v>0</v>
      </c>
      <c r="AJ95" s="8">
        <f t="shared" ca="1" si="335"/>
        <v>0</v>
      </c>
      <c r="AK95" s="8">
        <f t="shared" ca="1" si="335"/>
        <v>0</v>
      </c>
      <c r="AL95" s="8">
        <f t="shared" ca="1" si="335"/>
        <v>0</v>
      </c>
      <c r="AM95" s="8">
        <f t="shared" ca="1" si="335"/>
        <v>0</v>
      </c>
    </row>
    <row r="96" spans="1:39" x14ac:dyDescent="0.2">
      <c r="A96" s="4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</row>
    <row r="97" spans="1:39" x14ac:dyDescent="0.2">
      <c r="A97" s="4" t="s">
        <v>87</v>
      </c>
      <c r="C97" s="8">
        <f ca="1">C83+SUM($C95:C95)</f>
        <v>30325.5</v>
      </c>
      <c r="D97" s="8">
        <f ca="1">D83+SUM($C95:D95)</f>
        <v>53777.462499999994</v>
      </c>
      <c r="E97" s="8">
        <f ca="1">E83+SUM($C95:E95)</f>
        <v>57139.486875000017</v>
      </c>
      <c r="F97" s="8">
        <f ca="1">F83+SUM($C95:F95)</f>
        <v>94700.221659424511</v>
      </c>
      <c r="G97" s="8">
        <f ca="1">G83+SUM($C95:G95)</f>
        <v>136857.58117608592</v>
      </c>
      <c r="H97" s="8">
        <f ca="1">H83+SUM($C95:H95)</f>
        <v>192940.55481327066</v>
      </c>
      <c r="I97" s="8">
        <f ca="1">I83+SUM($C95:I95)</f>
        <v>259079.68847966078</v>
      </c>
      <c r="J97" s="8">
        <f ca="1">J83+SUM($C95:J95)</f>
        <v>311159.02647140576</v>
      </c>
      <c r="K97" s="8">
        <f ca="1">K83+SUM($C95:K95)</f>
        <v>446975.96679276077</v>
      </c>
      <c r="L97" s="8">
        <f ca="1">L83+SUM($C95:L95)</f>
        <v>494347.38007362408</v>
      </c>
      <c r="M97" s="8">
        <f ca="1">M83+SUM($C95:M95)</f>
        <v>597505.5965587711</v>
      </c>
      <c r="N97" s="8">
        <f ca="1">N83+SUM($C95:N95)</f>
        <v>706236.15018937679</v>
      </c>
      <c r="O97" s="8">
        <f ca="1">O83+SUM($C95:O95)</f>
        <v>820775.63574042323</v>
      </c>
      <c r="P97" s="8">
        <f ca="1">P83+SUM($C95:P95)</f>
        <v>941369.66856901604</v>
      </c>
      <c r="Q97" s="8">
        <f ca="1">Q83+SUM($C95:Q95)</f>
        <v>1068273.207978379</v>
      </c>
      <c r="R97" s="8">
        <f ca="1">R83+SUM($C95:R95)</f>
        <v>1201750.8917183832</v>
      </c>
      <c r="S97" s="8">
        <f ca="1">S83+SUM($C95:S95)</f>
        <v>1236145.15148322</v>
      </c>
      <c r="T97" s="8">
        <f ca="1">T83+SUM($C95:T95)</f>
        <v>1279429.9371666219</v>
      </c>
      <c r="U97" s="8">
        <f ca="1">U83+SUM($C95:U95)</f>
        <v>1324332.3976486681</v>
      </c>
      <c r="V97" s="8">
        <f ca="1">V83+SUM($C95:V95)</f>
        <v>1370913.8944652632</v>
      </c>
      <c r="W97" s="8">
        <f ca="1">W83+SUM($C95:W95)</f>
        <v>1419238.0721059688</v>
      </c>
      <c r="X97" s="8">
        <f ca="1">X83+SUM($C95:X95)</f>
        <v>1448964.0210951678</v>
      </c>
      <c r="Y97" s="8">
        <f ca="1">Y83+SUM($C95:Y95)</f>
        <v>1479546.775976839</v>
      </c>
      <c r="Z97" s="8">
        <f ca="1">Z83+SUM($C95:Z95)</f>
        <v>1511019.07429463</v>
      </c>
      <c r="AA97" s="8">
        <f ca="1">AA83+SUM($C95:AA95)</f>
        <v>1543415.0092447023</v>
      </c>
      <c r="AB97" s="8">
        <f ca="1">AB83+SUM($C95:AB95)</f>
        <v>1576770.0846257627</v>
      </c>
      <c r="AC97" s="8">
        <f ca="1">AC83+SUM($C95:AC95)</f>
        <v>1611121.2719181646</v>
      </c>
      <c r="AD97" s="8">
        <f ca="1">AD83+SUM($C95:AD95)</f>
        <v>1656367.8071636958</v>
      </c>
      <c r="AE97" s="8">
        <f ca="1">AE83+SUM($C95:AE95)</f>
        <v>1703182.0766442758</v>
      </c>
      <c r="AF97" s="8">
        <f ca="1">AF83+SUM($C95:AF95)</f>
        <v>1751624.3087351602</v>
      </c>
      <c r="AG97" s="8">
        <f ca="1">AG83+SUM($C95:AG95)</f>
        <v>1801757.0670189112</v>
      </c>
      <c r="AH97" s="8">
        <f ca="1">AH83+SUM($C95:AH95)</f>
        <v>1853645.3385117024</v>
      </c>
      <c r="AI97" s="8">
        <f ca="1">AI83+SUM($C95:AI95)</f>
        <v>1907356.6251146924</v>
      </c>
      <c r="AJ97" s="8">
        <f ca="1">AJ83+SUM($C95:AJ95)</f>
        <v>1962961.0384047818</v>
      </c>
      <c r="AK97" s="8">
        <f ca="1">AK83+SUM($C95:AK95)</f>
        <v>2020531.3978830043</v>
      </c>
      <c r="AL97" s="8">
        <f ca="1">AL83+SUM($C95:AL95)</f>
        <v>2080143.3328028899</v>
      </c>
      <c r="AM97" s="8">
        <f ca="1">AM83+SUM($C95:AM95)</f>
        <v>2141875.3877053508</v>
      </c>
    </row>
    <row r="98" spans="1:39" x14ac:dyDescent="0.2">
      <c r="A98" s="4" t="s">
        <v>84</v>
      </c>
      <c r="C98" s="8">
        <f t="shared" ref="C98:I98" ca="1" si="336">MAX(C97+buffer,0)-MAX(C$83+buffer,0)</f>
        <v>0</v>
      </c>
      <c r="D98" s="8">
        <f t="shared" ca="1" si="336"/>
        <v>0</v>
      </c>
      <c r="E98" s="8">
        <f t="shared" ca="1" si="336"/>
        <v>0</v>
      </c>
      <c r="F98" s="8">
        <f t="shared" ca="1" si="336"/>
        <v>0</v>
      </c>
      <c r="G98" s="8">
        <f t="shared" ca="1" si="336"/>
        <v>0</v>
      </c>
      <c r="H98" s="8">
        <f t="shared" ca="1" si="336"/>
        <v>0</v>
      </c>
      <c r="I98" s="8">
        <f t="shared" ca="1" si="336"/>
        <v>0</v>
      </c>
      <c r="J98" s="8">
        <f t="shared" ref="J98:AM98" ca="1" si="337">MAX(J97+buffer,0)-MAX(J$83+buffer,0)</f>
        <v>0</v>
      </c>
      <c r="K98" s="8">
        <f t="shared" ca="1" si="337"/>
        <v>0</v>
      </c>
      <c r="L98" s="8">
        <f t="shared" ca="1" si="337"/>
        <v>0</v>
      </c>
      <c r="M98" s="8">
        <f t="shared" ca="1" si="337"/>
        <v>0</v>
      </c>
      <c r="N98" s="8">
        <f t="shared" ca="1" si="337"/>
        <v>0</v>
      </c>
      <c r="O98" s="8">
        <f t="shared" ca="1" si="337"/>
        <v>0</v>
      </c>
      <c r="P98" s="8">
        <f t="shared" ca="1" si="337"/>
        <v>0</v>
      </c>
      <c r="Q98" s="8">
        <f t="shared" ca="1" si="337"/>
        <v>0</v>
      </c>
      <c r="R98" s="8">
        <f t="shared" ca="1" si="337"/>
        <v>0</v>
      </c>
      <c r="S98" s="8">
        <f t="shared" ca="1" si="337"/>
        <v>0</v>
      </c>
      <c r="T98" s="8">
        <f t="shared" ca="1" si="337"/>
        <v>0</v>
      </c>
      <c r="U98" s="8">
        <f t="shared" ca="1" si="337"/>
        <v>0</v>
      </c>
      <c r="V98" s="8">
        <f t="shared" ca="1" si="337"/>
        <v>0</v>
      </c>
      <c r="W98" s="8">
        <f t="shared" ca="1" si="337"/>
        <v>0</v>
      </c>
      <c r="X98" s="8">
        <f t="shared" ca="1" si="337"/>
        <v>0</v>
      </c>
      <c r="Y98" s="8">
        <f t="shared" ca="1" si="337"/>
        <v>0</v>
      </c>
      <c r="Z98" s="8">
        <f t="shared" ca="1" si="337"/>
        <v>0</v>
      </c>
      <c r="AA98" s="8">
        <f t="shared" ca="1" si="337"/>
        <v>0</v>
      </c>
      <c r="AB98" s="8">
        <f t="shared" ca="1" si="337"/>
        <v>0</v>
      </c>
      <c r="AC98" s="8">
        <f t="shared" ca="1" si="337"/>
        <v>0</v>
      </c>
      <c r="AD98" s="8">
        <f t="shared" ca="1" si="337"/>
        <v>0</v>
      </c>
      <c r="AE98" s="8">
        <f t="shared" ca="1" si="337"/>
        <v>0</v>
      </c>
      <c r="AF98" s="8">
        <f t="shared" ca="1" si="337"/>
        <v>0</v>
      </c>
      <c r="AG98" s="8">
        <f t="shared" ca="1" si="337"/>
        <v>0</v>
      </c>
      <c r="AH98" s="8">
        <f t="shared" ca="1" si="337"/>
        <v>0</v>
      </c>
      <c r="AI98" s="8">
        <f t="shared" ca="1" si="337"/>
        <v>0</v>
      </c>
      <c r="AJ98" s="8">
        <f t="shared" ca="1" si="337"/>
        <v>0</v>
      </c>
      <c r="AK98" s="8">
        <f t="shared" ca="1" si="337"/>
        <v>0</v>
      </c>
      <c r="AL98" s="8">
        <f t="shared" ca="1" si="337"/>
        <v>0</v>
      </c>
      <c r="AM98" s="8">
        <f t="shared" ca="1" si="337"/>
        <v>0</v>
      </c>
    </row>
    <row r="99" spans="1:39" x14ac:dyDescent="0.2">
      <c r="A99" s="4" t="s">
        <v>85</v>
      </c>
      <c r="C99" s="8">
        <f ca="1">C98*Inputs!$B$159</f>
        <v>0</v>
      </c>
      <c r="D99" s="8">
        <f ca="1">D98*Inputs!$B$159</f>
        <v>0</v>
      </c>
      <c r="E99" s="8">
        <f ca="1">E98*Inputs!$B$159</f>
        <v>0</v>
      </c>
      <c r="F99" s="8">
        <f ca="1">F98*Inputs!$B$159</f>
        <v>0</v>
      </c>
      <c r="G99" s="8">
        <f ca="1">G98*Inputs!$B$159</f>
        <v>0</v>
      </c>
      <c r="H99" s="8">
        <f ca="1">H98*Inputs!$B$159</f>
        <v>0</v>
      </c>
      <c r="I99" s="8">
        <f ca="1">I98*Inputs!$B$159</f>
        <v>0</v>
      </c>
      <c r="J99" s="8">
        <f ca="1">J98*Inputs!$B$159</f>
        <v>0</v>
      </c>
      <c r="K99" s="8">
        <f ca="1">K98*Inputs!$B$159</f>
        <v>0</v>
      </c>
      <c r="L99" s="8">
        <f ca="1">L98*Inputs!$B$159</f>
        <v>0</v>
      </c>
      <c r="M99" s="8">
        <f ca="1">M98*Inputs!$B$159</f>
        <v>0</v>
      </c>
      <c r="N99" s="8">
        <f ca="1">N98*Inputs!$B$159</f>
        <v>0</v>
      </c>
      <c r="O99" s="8">
        <f ca="1">O98*Inputs!$B$159</f>
        <v>0</v>
      </c>
      <c r="P99" s="8">
        <f ca="1">P98*Inputs!$B$159</f>
        <v>0</v>
      </c>
      <c r="Q99" s="8">
        <f ca="1">Q98*Inputs!$B$159</f>
        <v>0</v>
      </c>
      <c r="R99" s="8">
        <f ca="1">R98*Inputs!$B$159</f>
        <v>0</v>
      </c>
      <c r="S99" s="8">
        <f ca="1">S98*Inputs!$B$159</f>
        <v>0</v>
      </c>
      <c r="T99" s="8">
        <f ca="1">T98*Inputs!$B$159</f>
        <v>0</v>
      </c>
      <c r="U99" s="8">
        <f ca="1">U98*Inputs!$B$159</f>
        <v>0</v>
      </c>
      <c r="V99" s="8">
        <f ca="1">V98*Inputs!$B$159</f>
        <v>0</v>
      </c>
      <c r="W99" s="8">
        <f ca="1">W98*Inputs!$B$159</f>
        <v>0</v>
      </c>
      <c r="X99" s="8">
        <f ca="1">X98*Inputs!$B$159</f>
        <v>0</v>
      </c>
      <c r="Y99" s="8">
        <f ca="1">Y98*Inputs!$B$159</f>
        <v>0</v>
      </c>
      <c r="Z99" s="8">
        <f ca="1">Z98*Inputs!$B$159</f>
        <v>0</v>
      </c>
      <c r="AA99" s="8">
        <f ca="1">AA98*Inputs!$B$159</f>
        <v>0</v>
      </c>
      <c r="AB99" s="8">
        <f ca="1">AB98*Inputs!$B$159</f>
        <v>0</v>
      </c>
      <c r="AC99" s="8">
        <f ca="1">AC98*Inputs!$B$159</f>
        <v>0</v>
      </c>
      <c r="AD99" s="8">
        <f ca="1">AD98*Inputs!$B$159</f>
        <v>0</v>
      </c>
      <c r="AE99" s="8">
        <f ca="1">AE98*Inputs!$B$159</f>
        <v>0</v>
      </c>
      <c r="AF99" s="8">
        <f ca="1">AF98*Inputs!$B$159</f>
        <v>0</v>
      </c>
      <c r="AG99" s="8">
        <f ca="1">AG98*Inputs!$B$159</f>
        <v>0</v>
      </c>
      <c r="AH99" s="8">
        <f ca="1">AH98*Inputs!$B$159</f>
        <v>0</v>
      </c>
      <c r="AI99" s="8">
        <f ca="1">AI98*Inputs!$B$159</f>
        <v>0</v>
      </c>
      <c r="AJ99" s="8">
        <f ca="1">AJ98*Inputs!$B$159</f>
        <v>0</v>
      </c>
      <c r="AK99" s="8">
        <f ca="1">AK98*Inputs!$B$159</f>
        <v>0</v>
      </c>
      <c r="AL99" s="8">
        <f ca="1">AL98*Inputs!$B$159</f>
        <v>0</v>
      </c>
      <c r="AM99" s="8">
        <f ca="1">AM98*Inputs!$B$159</f>
        <v>0</v>
      </c>
    </row>
    <row r="100" spans="1:39" x14ac:dyDescent="0.2">
      <c r="A100" s="4" t="s">
        <v>168</v>
      </c>
      <c r="C100" s="8">
        <f ca="1">C97+SUM($C99:C99)</f>
        <v>30325.5</v>
      </c>
      <c r="D100" s="8">
        <f ca="1">D97+SUM($C99:D99)</f>
        <v>53777.462499999994</v>
      </c>
      <c r="E100" s="8">
        <f ca="1">E97+SUM($C99:E99)</f>
        <v>57139.486875000017</v>
      </c>
      <c r="F100" s="8">
        <f ca="1">F97+SUM($C99:F99)</f>
        <v>94700.221659424511</v>
      </c>
      <c r="G100" s="8">
        <f ca="1">G97+SUM($C99:G99)</f>
        <v>136857.58117608592</v>
      </c>
      <c r="H100" s="8">
        <f ca="1">H97+SUM($C99:H99)</f>
        <v>192940.55481327066</v>
      </c>
      <c r="I100" s="8">
        <f ca="1">I97+SUM($C99:I99)</f>
        <v>259079.68847966078</v>
      </c>
      <c r="J100" s="8">
        <f ca="1">J97+SUM($C99:J99)</f>
        <v>311159.02647140576</v>
      </c>
      <c r="K100" s="8">
        <f ca="1">K97+SUM($C99:K99)</f>
        <v>446975.96679276077</v>
      </c>
      <c r="L100" s="8">
        <f ca="1">L97+SUM($C99:L99)</f>
        <v>494347.38007362408</v>
      </c>
      <c r="M100" s="8">
        <f ca="1">M97+SUM($C99:M99)</f>
        <v>597505.5965587711</v>
      </c>
      <c r="N100" s="8">
        <f ca="1">N97+SUM($C99:N99)</f>
        <v>706236.15018937679</v>
      </c>
      <c r="O100" s="8">
        <f ca="1">O97+SUM($C99:O99)</f>
        <v>820775.63574042323</v>
      </c>
      <c r="P100" s="8">
        <f ca="1">P97+SUM($C99:P99)</f>
        <v>941369.66856901604</v>
      </c>
      <c r="Q100" s="8">
        <f ca="1">Q97+SUM($C99:Q99)</f>
        <v>1068273.207978379</v>
      </c>
      <c r="R100" s="8">
        <f ca="1">R97+SUM($C99:R99)</f>
        <v>1201750.8917183832</v>
      </c>
      <c r="S100" s="8">
        <f ca="1">S97+SUM($C99:S99)</f>
        <v>1236145.15148322</v>
      </c>
      <c r="T100" s="8">
        <f ca="1">T97+SUM($C99:T99)</f>
        <v>1279429.9371666219</v>
      </c>
      <c r="U100" s="8">
        <f ca="1">U97+SUM($C99:U99)</f>
        <v>1324332.3976486681</v>
      </c>
      <c r="V100" s="8">
        <f ca="1">V97+SUM($C99:V99)</f>
        <v>1370913.8944652632</v>
      </c>
      <c r="W100" s="8">
        <f ca="1">W97+SUM($C99:W99)</f>
        <v>1419238.0721059688</v>
      </c>
      <c r="X100" s="8">
        <f ca="1">X97+SUM($C99:X99)</f>
        <v>1448964.0210951678</v>
      </c>
      <c r="Y100" s="8">
        <f ca="1">Y97+SUM($C99:Y99)</f>
        <v>1479546.775976839</v>
      </c>
      <c r="Z100" s="8">
        <f ca="1">Z97+SUM($C99:Z99)</f>
        <v>1511019.07429463</v>
      </c>
      <c r="AA100" s="8">
        <f ca="1">AA97+SUM($C99:AA99)</f>
        <v>1543415.0092447023</v>
      </c>
      <c r="AB100" s="8">
        <f ca="1">AB97+SUM($C99:AB99)</f>
        <v>1576770.0846257627</v>
      </c>
      <c r="AC100" s="8">
        <f ca="1">AC97+SUM($C99:AC99)</f>
        <v>1611121.2719181646</v>
      </c>
      <c r="AD100" s="8">
        <f ca="1">AD97+SUM($C99:AD99)</f>
        <v>1656367.8071636958</v>
      </c>
      <c r="AE100" s="8">
        <f ca="1">AE97+SUM($C99:AE99)</f>
        <v>1703182.0766442758</v>
      </c>
      <c r="AF100" s="8">
        <f ca="1">AF97+SUM($C99:AF99)</f>
        <v>1751624.3087351602</v>
      </c>
      <c r="AG100" s="8">
        <f ca="1">AG97+SUM($C99:AG99)</f>
        <v>1801757.0670189112</v>
      </c>
      <c r="AH100" s="8">
        <f ca="1">AH97+SUM($C99:AH99)</f>
        <v>1853645.3385117024</v>
      </c>
      <c r="AI100" s="8">
        <f ca="1">AI97+SUM($C99:AI99)</f>
        <v>1907356.6251146924</v>
      </c>
      <c r="AJ100" s="8">
        <f ca="1">AJ97+SUM($C99:AJ99)</f>
        <v>1962961.0384047818</v>
      </c>
      <c r="AK100" s="8">
        <f ca="1">AK97+SUM($C99:AK99)</f>
        <v>2020531.3978830043</v>
      </c>
      <c r="AL100" s="8">
        <f ca="1">AL97+SUM($C99:AL99)</f>
        <v>2080143.3328028899</v>
      </c>
      <c r="AM100" s="8">
        <f ca="1">AM97+SUM($C99:AM99)</f>
        <v>2141875.3877053508</v>
      </c>
    </row>
    <row r="101" spans="1:39" x14ac:dyDescent="0.2">
      <c r="A101" s="4" t="s">
        <v>21</v>
      </c>
      <c r="C101" s="8">
        <f ca="1">IF(C100&lt;0,C97,0)</f>
        <v>0</v>
      </c>
      <c r="D101" s="8">
        <f ca="1">IF(D100+SUM($C101:C101)&lt;0,-(D100+SUM($C101:C101)),0)</f>
        <v>0</v>
      </c>
      <c r="E101" s="8">
        <f ca="1">IF(E100+SUM($C101:D101)&lt;0,-(E100+SUM($C101:D101)),0)</f>
        <v>0</v>
      </c>
      <c r="F101" s="8">
        <f ca="1">IF(F100+SUM($C101:E101)&lt;0,-(F100+SUM($C101:E101)),0)</f>
        <v>0</v>
      </c>
      <c r="G101" s="8">
        <f ca="1">IF(G100+SUM($C101:F101)&lt;0,-(G100+SUM($C101:F101)),0)</f>
        <v>0</v>
      </c>
      <c r="H101" s="8">
        <f ca="1">IF(H100+SUM($C101:G101)&lt;0,-(H100+SUM($C101:G101)),0)</f>
        <v>0</v>
      </c>
      <c r="I101" s="8">
        <f ca="1">IF(I100+SUM($C101:H101)&lt;0,-(I100+SUM($C101:H101)),0)</f>
        <v>0</v>
      </c>
      <c r="J101" s="8">
        <f ca="1">IF(J100+SUM($C101:I101)&lt;0,-(J100+SUM($C101:I101)),0)</f>
        <v>0</v>
      </c>
      <c r="K101" s="8">
        <f ca="1">IF(K100+SUM($C101:J101)&lt;0,-(K100+SUM($C101:J101)),0)</f>
        <v>0</v>
      </c>
      <c r="L101" s="8">
        <f ca="1">IF(L100+SUM($C101:K101)&lt;0,-(L100+SUM($C101:K101)),0)</f>
        <v>0</v>
      </c>
      <c r="M101" s="8">
        <f ca="1">IF(M100+SUM($C101:L101)&lt;0,-(M100+SUM($C101:L101)),0)</f>
        <v>0</v>
      </c>
      <c r="N101" s="8">
        <f ca="1">IF(N100+SUM($C101:M101)&lt;0,-(N100+SUM($C101:M101)),0)</f>
        <v>0</v>
      </c>
      <c r="O101" s="8">
        <f ca="1">IF(O100+SUM($C101:N101)&lt;0,-(O100+SUM($C101:N101)),0)</f>
        <v>0</v>
      </c>
      <c r="P101" s="8">
        <f ca="1">IF(P100+SUM($C101:O101)&lt;0,-(P100+SUM($C101:O101)),0)</f>
        <v>0</v>
      </c>
      <c r="Q101" s="8">
        <f ca="1">IF(Q100+SUM($C101:P101)&lt;0,-(Q100+SUM($C101:P101)),0)</f>
        <v>0</v>
      </c>
      <c r="R101" s="8">
        <f ca="1">IF(R100+SUM($C101:Q101)&lt;0,-(R100+SUM($C101:Q101)),0)</f>
        <v>0</v>
      </c>
      <c r="S101" s="8">
        <f ca="1">IF(S100+SUM($C101:R101)&lt;0,-(S100+SUM($C101:R101)),0)</f>
        <v>0</v>
      </c>
      <c r="T101" s="8">
        <f ca="1">IF(T100+SUM($C101:S101)&lt;0,-(T100+SUM($C101:S101)),0)</f>
        <v>0</v>
      </c>
      <c r="U101" s="8">
        <f ca="1">IF(U100+SUM($C101:T101)&lt;0,-(U100+SUM($C101:T101)),0)</f>
        <v>0</v>
      </c>
      <c r="V101" s="8">
        <f ca="1">IF(V100+SUM($C101:U101)&lt;0,-(V100+SUM($C101:U101)),0)</f>
        <v>0</v>
      </c>
      <c r="W101" s="8">
        <f ca="1">IF(W100+SUM($C101:V101)&lt;0,-(W100+SUM($C101:V101)),0)</f>
        <v>0</v>
      </c>
      <c r="X101" s="8">
        <f ca="1">IF(X100+SUM($C101:W101)&lt;0,-(X100+SUM($C101:W101)),0)</f>
        <v>0</v>
      </c>
      <c r="Y101" s="8">
        <f ca="1">IF(Y100+SUM($C101:X101)&lt;0,-(Y100+SUM($C101:X101)),0)</f>
        <v>0</v>
      </c>
      <c r="Z101" s="8">
        <f ca="1">IF(Z100+SUM($C101:Y101)&lt;0,-(Z100+SUM($C101:Y101)),0)</f>
        <v>0</v>
      </c>
      <c r="AA101" s="8">
        <f ca="1">IF(AA100+SUM($C101:Z101)&lt;0,-(AA100+SUM($C101:Z101)),0)</f>
        <v>0</v>
      </c>
      <c r="AB101" s="8">
        <f ca="1">IF(AB100+SUM($C101:AA101)&lt;0,-(AB100+SUM($C101:AA101)),0)</f>
        <v>0</v>
      </c>
      <c r="AC101" s="8">
        <f ca="1">IF(AC100+SUM($C101:AB101)&lt;0,-(AC100+SUM($C101:AB101)),0)</f>
        <v>0</v>
      </c>
      <c r="AD101" s="8">
        <f ca="1">IF(AD100+SUM($C101:AC101)&lt;0,-(AD100+SUM($C101:AC101)),0)</f>
        <v>0</v>
      </c>
      <c r="AE101" s="8">
        <f ca="1">IF(AE100+SUM($C101:AD101)&lt;0,-(AE100+SUM($C101:AD101)),0)</f>
        <v>0</v>
      </c>
      <c r="AF101" s="8">
        <f ca="1">IF(AF100+SUM($C101:AE101)&lt;0,-(AF100+SUM($C101:AE101)),0)</f>
        <v>0</v>
      </c>
      <c r="AG101" s="8">
        <f ca="1">IF(AG100+SUM($C101:AF101)&lt;0,-(AG100+SUM($C101:AF101)),0)</f>
        <v>0</v>
      </c>
      <c r="AH101" s="8">
        <f ca="1">IF(AH100+SUM($C101:AG101)&lt;0,-(AH100+SUM($C101:AG101)),0)</f>
        <v>0</v>
      </c>
      <c r="AI101" s="8">
        <f ca="1">IF(AI100+SUM($C101:AH101)&lt;0,-(AI100+SUM($C101:AH101)),0)</f>
        <v>0</v>
      </c>
      <c r="AJ101" s="8">
        <f ca="1">IF(AJ100+SUM($C101:AI101)&lt;0,-(AJ100+SUM($C101:AI101)),0)</f>
        <v>0</v>
      </c>
      <c r="AK101" s="8">
        <f ca="1">IF(AK100+SUM($C101:AJ101)&lt;0,-(AK100+SUM($C101:AJ101)),0)</f>
        <v>0</v>
      </c>
      <c r="AL101" s="8">
        <f ca="1">IF(AL100+SUM($C101:AK101)&lt;0,-(AL100+SUM($C101:AK101)),0)</f>
        <v>0</v>
      </c>
      <c r="AM101" s="8">
        <f ca="1">IF(AM100+SUM($C101:AL101)&lt;0,-(AM100+SUM($C101:AL101)),0)</f>
        <v>0</v>
      </c>
    </row>
    <row r="102" spans="1:39" x14ac:dyDescent="0.2"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</row>
    <row r="103" spans="1:39" x14ac:dyDescent="0.2">
      <c r="A103" s="29" t="str">
        <f>IF(Inputs!$B$175=6,IFERROR(_xlfn.XLOOKUP($B103,Inputs!$B$176:$B$178,Inputs!$A$176:$A$178,,0,1),""),IFERROR(_xlfn.XLOOKUP($B103,Inputs!$C$176:$C$178,Inputs!$A$176:$A$178,,0,1),""))</f>
        <v>Qormi</v>
      </c>
      <c r="B103" s="31">
        <v>2</v>
      </c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</row>
    <row r="104" spans="1:39" x14ac:dyDescent="0.2">
      <c r="A104" s="4" t="s">
        <v>23</v>
      </c>
      <c r="C104" s="8">
        <f>IFERROR(VLOOKUP($A103,$A$54:$H$68,C$1+2,FALSE),0)</f>
        <v>226600</v>
      </c>
      <c r="D104" s="8">
        <f ca="1">C107</f>
        <v>226600</v>
      </c>
      <c r="E104" s="8">
        <f t="shared" ref="E104" ca="1" si="338">D107</f>
        <v>233398</v>
      </c>
      <c r="F104" s="8">
        <f t="shared" ref="F104" ca="1" si="339">E107</f>
        <v>240399.94</v>
      </c>
      <c r="G104" s="8">
        <f t="shared" ref="G104:I104" ca="1" si="340">F107</f>
        <v>247611.9382</v>
      </c>
      <c r="H104" s="8">
        <f t="shared" ca="1" si="340"/>
        <v>255040.29634600002</v>
      </c>
      <c r="I104" s="8">
        <f t="shared" ca="1" si="340"/>
        <v>262691.50523638004</v>
      </c>
      <c r="J104" s="8">
        <f t="shared" ref="J104" ca="1" si="341">I107</f>
        <v>270572.25039347145</v>
      </c>
      <c r="K104" s="8">
        <f t="shared" ref="K104" ca="1" si="342">J107</f>
        <v>278689.41790527559</v>
      </c>
      <c r="L104" s="8">
        <f t="shared" ref="L104" ca="1" si="343">K107</f>
        <v>287050.10044243385</v>
      </c>
      <c r="M104" s="8">
        <f t="shared" ref="M104" ca="1" si="344">L107</f>
        <v>295661.60345570685</v>
      </c>
      <c r="N104" s="8">
        <f t="shared" ref="N104" ca="1" si="345">M107</f>
        <v>304531.45155937807</v>
      </c>
      <c r="O104" s="8">
        <f t="shared" ref="O104" ca="1" si="346">N107</f>
        <v>313667.39510615938</v>
      </c>
      <c r="P104" s="8">
        <f t="shared" ref="P104" ca="1" si="347">O107</f>
        <v>323077.41695934418</v>
      </c>
      <c r="Q104" s="8">
        <f t="shared" ref="Q104" ca="1" si="348">P107</f>
        <v>332769.73946812452</v>
      </c>
      <c r="R104" s="8">
        <f t="shared" ref="R104" ca="1" si="349">Q107</f>
        <v>342752.83165216824</v>
      </c>
      <c r="S104" s="8">
        <f t="shared" ref="S104" ca="1" si="350">R107</f>
        <v>353035.4166017333</v>
      </c>
      <c r="T104" s="8">
        <f t="shared" ref="T104" ca="1" si="351">S107</f>
        <v>363626.47909978533</v>
      </c>
      <c r="U104" s="8">
        <f t="shared" ref="U104" ca="1" si="352">T107</f>
        <v>374535.27347277891</v>
      </c>
      <c r="V104" s="8">
        <f t="shared" ref="V104" ca="1" si="353">U107</f>
        <v>385771.33167696226</v>
      </c>
      <c r="W104" s="8">
        <f t="shared" ref="W104" ca="1" si="354">V107</f>
        <v>397344.47162727115</v>
      </c>
      <c r="X104" s="8">
        <f t="shared" ref="X104" ca="1" si="355">W107</f>
        <v>409264.80577608931</v>
      </c>
      <c r="Y104" s="8">
        <f t="shared" ref="Y104" ca="1" si="356">X107</f>
        <v>421542.74994937197</v>
      </c>
      <c r="Z104" s="8">
        <f t="shared" ref="Z104" ca="1" si="357">Y107</f>
        <v>434189.03244785313</v>
      </c>
      <c r="AA104" s="8">
        <f t="shared" ref="AA104" ca="1" si="358">Z107</f>
        <v>447214.70342128869</v>
      </c>
      <c r="AB104" s="8">
        <f t="shared" ref="AB104" ca="1" si="359">AA107</f>
        <v>460631.14452392736</v>
      </c>
      <c r="AC104" s="8">
        <f t="shared" ref="AC104" ca="1" si="360">AB107</f>
        <v>474450.07885964517</v>
      </c>
      <c r="AD104" s="8">
        <f t="shared" ref="AD104" ca="1" si="361">AC107</f>
        <v>488683.58122543455</v>
      </c>
      <c r="AE104" s="8">
        <f t="shared" ref="AE104" ca="1" si="362">AD107</f>
        <v>503344.08866219758</v>
      </c>
      <c r="AF104" s="8">
        <f t="shared" ref="AF104" ca="1" si="363">AE107</f>
        <v>518444.41132206353</v>
      </c>
      <c r="AG104" s="8">
        <f t="shared" ref="AG104" ca="1" si="364">AF107</f>
        <v>533997.74366172543</v>
      </c>
      <c r="AH104" s="8">
        <f t="shared" ref="AH104" ca="1" si="365">AG107</f>
        <v>550017.67597157718</v>
      </c>
      <c r="AI104" s="8">
        <f t="shared" ref="AI104" ca="1" si="366">AH107</f>
        <v>566518.2062507245</v>
      </c>
      <c r="AJ104" s="8">
        <f t="shared" ref="AJ104" ca="1" si="367">AI107</f>
        <v>583513.75243824627</v>
      </c>
      <c r="AK104" s="8">
        <f t="shared" ref="AK104" ca="1" si="368">AJ107</f>
        <v>601019.1650113936</v>
      </c>
      <c r="AL104" s="8">
        <f t="shared" ref="AL104" ca="1" si="369">AK107</f>
        <v>619049.73996173544</v>
      </c>
      <c r="AM104" s="8">
        <f t="shared" ref="AM104" ca="1" si="370">AL107</f>
        <v>637621.23216058745</v>
      </c>
    </row>
    <row r="105" spans="1:39" x14ac:dyDescent="0.2">
      <c r="A105" s="4" t="s">
        <v>24</v>
      </c>
      <c r="C105" s="8">
        <f ca="1">-IF(SUM(C101:D101)&gt;0,C104,0)</f>
        <v>0</v>
      </c>
      <c r="D105" s="8">
        <f ca="1">-IF(E101&gt;0,D104,0)</f>
        <v>0</v>
      </c>
      <c r="E105" s="8">
        <f ca="1">-IF(F101&gt;0,E104,0)</f>
        <v>0</v>
      </c>
      <c r="F105" s="8">
        <f ca="1">-IF(G101&gt;0,F104,0)</f>
        <v>0</v>
      </c>
      <c r="G105" s="8">
        <f t="shared" ref="G105:I105" ca="1" si="371">-IF(H101&gt;0,G104,0)</f>
        <v>0</v>
      </c>
      <c r="H105" s="8">
        <f t="shared" ca="1" si="371"/>
        <v>0</v>
      </c>
      <c r="I105" s="8">
        <f t="shared" ca="1" si="371"/>
        <v>0</v>
      </c>
      <c r="J105" s="8">
        <f t="shared" ref="J105" ca="1" si="372">-IF(K101&gt;0,J104,0)</f>
        <v>0</v>
      </c>
      <c r="K105" s="8">
        <f t="shared" ref="K105" ca="1" si="373">-IF(L101&gt;0,K104,0)</f>
        <v>0</v>
      </c>
      <c r="L105" s="8">
        <f t="shared" ref="L105" ca="1" si="374">-IF(M101&gt;0,L104,0)</f>
        <v>0</v>
      </c>
      <c r="M105" s="8">
        <f t="shared" ref="M105" ca="1" si="375">-IF(N101&gt;0,M104,0)</f>
        <v>0</v>
      </c>
      <c r="N105" s="8">
        <f t="shared" ref="N105" ca="1" si="376">-IF(O101&gt;0,N104,0)</f>
        <v>0</v>
      </c>
      <c r="O105" s="8">
        <f t="shared" ref="O105" ca="1" si="377">-IF(P101&gt;0,O104,0)</f>
        <v>0</v>
      </c>
      <c r="P105" s="8">
        <f t="shared" ref="P105" ca="1" si="378">-IF(Q101&gt;0,P104,0)</f>
        <v>0</v>
      </c>
      <c r="Q105" s="8">
        <f t="shared" ref="Q105" ca="1" si="379">-IF(R101&gt;0,Q104,0)</f>
        <v>0</v>
      </c>
      <c r="R105" s="8">
        <f t="shared" ref="R105" ca="1" si="380">-IF(S101&gt;0,R104,0)</f>
        <v>0</v>
      </c>
      <c r="S105" s="8">
        <f t="shared" ref="S105" ca="1" si="381">-IF(T101&gt;0,S104,0)</f>
        <v>0</v>
      </c>
      <c r="T105" s="8">
        <f t="shared" ref="T105" ca="1" si="382">-IF(U101&gt;0,T104,0)</f>
        <v>0</v>
      </c>
      <c r="U105" s="8">
        <f t="shared" ref="U105" ca="1" si="383">-IF(V101&gt;0,U104,0)</f>
        <v>0</v>
      </c>
      <c r="V105" s="8">
        <f t="shared" ref="V105" ca="1" si="384">-IF(W101&gt;0,V104,0)</f>
        <v>0</v>
      </c>
      <c r="W105" s="8">
        <f t="shared" ref="W105" ca="1" si="385">-IF(X101&gt;0,W104,0)</f>
        <v>0</v>
      </c>
      <c r="X105" s="8">
        <f t="shared" ref="X105" ca="1" si="386">-IF(Y101&gt;0,X104,0)</f>
        <v>0</v>
      </c>
      <c r="Y105" s="8">
        <f t="shared" ref="Y105" ca="1" si="387">-IF(Z101&gt;0,Y104,0)</f>
        <v>0</v>
      </c>
      <c r="Z105" s="8">
        <f t="shared" ref="Z105" ca="1" si="388">-IF(AA101&gt;0,Z104,0)</f>
        <v>0</v>
      </c>
      <c r="AA105" s="8">
        <f t="shared" ref="AA105" ca="1" si="389">-IF(AB101&gt;0,AA104,0)</f>
        <v>0</v>
      </c>
      <c r="AB105" s="8">
        <f t="shared" ref="AB105" ca="1" si="390">-IF(AC101&gt;0,AB104,0)</f>
        <v>0</v>
      </c>
      <c r="AC105" s="8">
        <f t="shared" ref="AC105" ca="1" si="391">-IF(AD101&gt;0,AC104,0)</f>
        <v>0</v>
      </c>
      <c r="AD105" s="8">
        <f t="shared" ref="AD105" ca="1" si="392">-IF(AE101&gt;0,AD104,0)</f>
        <v>0</v>
      </c>
      <c r="AE105" s="8">
        <f t="shared" ref="AE105" ca="1" si="393">-IF(AF101&gt;0,AE104,0)</f>
        <v>0</v>
      </c>
      <c r="AF105" s="8">
        <f t="shared" ref="AF105" ca="1" si="394">-IF(AG101&gt;0,AF104,0)</f>
        <v>0</v>
      </c>
      <c r="AG105" s="8">
        <f t="shared" ref="AG105" ca="1" si="395">-IF(AH101&gt;0,AG104,0)</f>
        <v>0</v>
      </c>
      <c r="AH105" s="8">
        <f t="shared" ref="AH105" ca="1" si="396">-IF(AI101&gt;0,AH104,0)</f>
        <v>0</v>
      </c>
      <c r="AI105" s="8">
        <f t="shared" ref="AI105" ca="1" si="397">-IF(AJ101&gt;0,AI104,0)</f>
        <v>0</v>
      </c>
      <c r="AJ105" s="8">
        <f t="shared" ref="AJ105" ca="1" si="398">-IF(AK101&gt;0,AJ104,0)</f>
        <v>0</v>
      </c>
      <c r="AK105" s="8">
        <f t="shared" ref="AK105" ca="1" si="399">-IF(AL101&gt;0,AK104,0)</f>
        <v>0</v>
      </c>
      <c r="AL105" s="8">
        <f t="shared" ref="AL105" ca="1" si="400">-IF(AM101&gt;0,AL104,0)</f>
        <v>0</v>
      </c>
      <c r="AM105" s="8">
        <f t="shared" ref="AM105" si="401">-IF(AN101&gt;0,AM104,0)</f>
        <v>0</v>
      </c>
    </row>
    <row r="106" spans="1:39" x14ac:dyDescent="0.2">
      <c r="A106" s="4" t="s">
        <v>25</v>
      </c>
      <c r="C106" s="8">
        <v>0</v>
      </c>
      <c r="D106" s="8">
        <f t="shared" ref="D106:G106" ca="1" si="402">SUM(D104:D105)*princ</f>
        <v>6798</v>
      </c>
      <c r="E106" s="8">
        <f t="shared" ca="1" si="402"/>
        <v>7001.94</v>
      </c>
      <c r="F106" s="8">
        <f t="shared" ca="1" si="402"/>
        <v>7211.9982</v>
      </c>
      <c r="G106" s="8">
        <f t="shared" ca="1" si="402"/>
        <v>7428.3581459999996</v>
      </c>
      <c r="H106" s="8">
        <f t="shared" ref="H106:I106" ca="1" si="403">SUM(H104:H105)*princ</f>
        <v>7651.2088903800004</v>
      </c>
      <c r="I106" s="8">
        <f t="shared" ca="1" si="403"/>
        <v>7880.7451570914009</v>
      </c>
      <c r="J106" s="8">
        <f t="shared" ref="J106:AM106" ca="1" si="404">SUM(J104:J105)*princ</f>
        <v>8117.167511804143</v>
      </c>
      <c r="K106" s="8">
        <f t="shared" ca="1" si="404"/>
        <v>8360.6825371582672</v>
      </c>
      <c r="L106" s="8">
        <f t="shared" ca="1" si="404"/>
        <v>8611.5030132730153</v>
      </c>
      <c r="M106" s="8">
        <f t="shared" ca="1" si="404"/>
        <v>8869.8481036712055</v>
      </c>
      <c r="N106" s="8">
        <f t="shared" ca="1" si="404"/>
        <v>9135.9435467813419</v>
      </c>
      <c r="O106" s="8">
        <f t="shared" ca="1" si="404"/>
        <v>9410.0218531847804</v>
      </c>
      <c r="P106" s="8">
        <f t="shared" ca="1" si="404"/>
        <v>9692.3225087803257</v>
      </c>
      <c r="Q106" s="8">
        <f t="shared" ca="1" si="404"/>
        <v>9983.092184043735</v>
      </c>
      <c r="R106" s="8">
        <f t="shared" ca="1" si="404"/>
        <v>10282.584949565047</v>
      </c>
      <c r="S106" s="8">
        <f t="shared" ca="1" si="404"/>
        <v>10591.062498051999</v>
      </c>
      <c r="T106" s="8">
        <f t="shared" ca="1" si="404"/>
        <v>10908.79437299356</v>
      </c>
      <c r="U106" s="8">
        <f t="shared" ca="1" si="404"/>
        <v>11236.058204183366</v>
      </c>
      <c r="V106" s="8">
        <f t="shared" ca="1" si="404"/>
        <v>11573.139950308867</v>
      </c>
      <c r="W106" s="8">
        <f t="shared" ca="1" si="404"/>
        <v>11920.334148818134</v>
      </c>
      <c r="X106" s="8">
        <f t="shared" ca="1" si="404"/>
        <v>12277.944173282678</v>
      </c>
      <c r="Y106" s="8">
        <f t="shared" ca="1" si="404"/>
        <v>12646.282498481158</v>
      </c>
      <c r="Z106" s="8">
        <f t="shared" ca="1" si="404"/>
        <v>13025.670973435594</v>
      </c>
      <c r="AA106" s="8">
        <f t="shared" ca="1" si="404"/>
        <v>13416.441102638661</v>
      </c>
      <c r="AB106" s="8">
        <f t="shared" ca="1" si="404"/>
        <v>13818.93433571782</v>
      </c>
      <c r="AC106" s="8">
        <f t="shared" ca="1" si="404"/>
        <v>14233.502365789354</v>
      </c>
      <c r="AD106" s="8">
        <f t="shared" ca="1" si="404"/>
        <v>14660.507436763037</v>
      </c>
      <c r="AE106" s="8">
        <f t="shared" ca="1" si="404"/>
        <v>15100.322659865928</v>
      </c>
      <c r="AF106" s="8">
        <f t="shared" ca="1" si="404"/>
        <v>15553.332339661905</v>
      </c>
      <c r="AG106" s="8">
        <f t="shared" ca="1" si="404"/>
        <v>16019.932309851762</v>
      </c>
      <c r="AH106" s="8">
        <f t="shared" ca="1" si="404"/>
        <v>16500.530279147315</v>
      </c>
      <c r="AI106" s="8">
        <f t="shared" ca="1" si="404"/>
        <v>16995.546187521733</v>
      </c>
      <c r="AJ106" s="8">
        <f t="shared" ca="1" si="404"/>
        <v>17505.412573147387</v>
      </c>
      <c r="AK106" s="8">
        <f t="shared" ca="1" si="404"/>
        <v>18030.574950341808</v>
      </c>
      <c r="AL106" s="8">
        <f t="shared" ca="1" si="404"/>
        <v>18571.492198852062</v>
      </c>
      <c r="AM106" s="8">
        <f t="shared" ca="1" si="404"/>
        <v>19128.636964817622</v>
      </c>
    </row>
    <row r="107" spans="1:39" x14ac:dyDescent="0.2">
      <c r="A107" s="4" t="s">
        <v>26</v>
      </c>
      <c r="C107" s="8">
        <f ca="1">SUM(C104:C106)</f>
        <v>226600</v>
      </c>
      <c r="D107" s="8">
        <f t="shared" ref="D107:G107" ca="1" si="405">SUM(D104:D106)</f>
        <v>233398</v>
      </c>
      <c r="E107" s="8">
        <f t="shared" ca="1" si="405"/>
        <v>240399.94</v>
      </c>
      <c r="F107" s="8">
        <f t="shared" ca="1" si="405"/>
        <v>247611.9382</v>
      </c>
      <c r="G107" s="8">
        <f t="shared" ca="1" si="405"/>
        <v>255040.29634600002</v>
      </c>
      <c r="H107" s="8">
        <f t="shared" ref="H107:I107" ca="1" si="406">SUM(H104:H106)</f>
        <v>262691.50523638004</v>
      </c>
      <c r="I107" s="8">
        <f t="shared" ca="1" si="406"/>
        <v>270572.25039347145</v>
      </c>
      <c r="J107" s="8">
        <f t="shared" ref="J107:AM107" ca="1" si="407">SUM(J104:J106)</f>
        <v>278689.41790527559</v>
      </c>
      <c r="K107" s="8">
        <f t="shared" ca="1" si="407"/>
        <v>287050.10044243385</v>
      </c>
      <c r="L107" s="8">
        <f t="shared" ca="1" si="407"/>
        <v>295661.60345570685</v>
      </c>
      <c r="M107" s="8">
        <f t="shared" ca="1" si="407"/>
        <v>304531.45155937807</v>
      </c>
      <c r="N107" s="8">
        <f t="shared" ca="1" si="407"/>
        <v>313667.39510615938</v>
      </c>
      <c r="O107" s="8">
        <f t="shared" ca="1" si="407"/>
        <v>323077.41695934418</v>
      </c>
      <c r="P107" s="8">
        <f t="shared" ca="1" si="407"/>
        <v>332769.73946812452</v>
      </c>
      <c r="Q107" s="8">
        <f t="shared" ca="1" si="407"/>
        <v>342752.83165216824</v>
      </c>
      <c r="R107" s="8">
        <f t="shared" ca="1" si="407"/>
        <v>353035.4166017333</v>
      </c>
      <c r="S107" s="8">
        <f t="shared" ca="1" si="407"/>
        <v>363626.47909978533</v>
      </c>
      <c r="T107" s="8">
        <f t="shared" ca="1" si="407"/>
        <v>374535.27347277891</v>
      </c>
      <c r="U107" s="8">
        <f t="shared" ca="1" si="407"/>
        <v>385771.33167696226</v>
      </c>
      <c r="V107" s="8">
        <f t="shared" ca="1" si="407"/>
        <v>397344.47162727115</v>
      </c>
      <c r="W107" s="8">
        <f t="shared" ca="1" si="407"/>
        <v>409264.80577608931</v>
      </c>
      <c r="X107" s="8">
        <f t="shared" ca="1" si="407"/>
        <v>421542.74994937197</v>
      </c>
      <c r="Y107" s="8">
        <f t="shared" ca="1" si="407"/>
        <v>434189.03244785313</v>
      </c>
      <c r="Z107" s="8">
        <f t="shared" ca="1" si="407"/>
        <v>447214.70342128869</v>
      </c>
      <c r="AA107" s="8">
        <f t="shared" ca="1" si="407"/>
        <v>460631.14452392736</v>
      </c>
      <c r="AB107" s="8">
        <f t="shared" ca="1" si="407"/>
        <v>474450.07885964517</v>
      </c>
      <c r="AC107" s="8">
        <f t="shared" ca="1" si="407"/>
        <v>488683.58122543455</v>
      </c>
      <c r="AD107" s="8">
        <f t="shared" ca="1" si="407"/>
        <v>503344.08866219758</v>
      </c>
      <c r="AE107" s="8">
        <f t="shared" ca="1" si="407"/>
        <v>518444.41132206353</v>
      </c>
      <c r="AF107" s="8">
        <f t="shared" ca="1" si="407"/>
        <v>533997.74366172543</v>
      </c>
      <c r="AG107" s="8">
        <f t="shared" ca="1" si="407"/>
        <v>550017.67597157718</v>
      </c>
      <c r="AH107" s="8">
        <f t="shared" ca="1" si="407"/>
        <v>566518.2062507245</v>
      </c>
      <c r="AI107" s="8">
        <f t="shared" ca="1" si="407"/>
        <v>583513.75243824627</v>
      </c>
      <c r="AJ107" s="8">
        <f t="shared" ca="1" si="407"/>
        <v>601019.1650113936</v>
      </c>
      <c r="AK107" s="8">
        <f t="shared" ca="1" si="407"/>
        <v>619049.73996173544</v>
      </c>
      <c r="AL107" s="8">
        <f t="shared" ca="1" si="407"/>
        <v>637621.23216058745</v>
      </c>
      <c r="AM107" s="8">
        <f t="shared" ca="1" si="407"/>
        <v>656749.86912540509</v>
      </c>
    </row>
    <row r="108" spans="1:39" x14ac:dyDescent="0.2">
      <c r="A108" s="4" t="s">
        <v>27</v>
      </c>
      <c r="C108" s="8">
        <f ca="1">C105*Inputs!$B$173</f>
        <v>0</v>
      </c>
      <c r="D108" s="8">
        <f ca="1">D105*Inputs!$B$173</f>
        <v>0</v>
      </c>
      <c r="E108" s="8">
        <f ca="1">E105*Inputs!$B$173</f>
        <v>0</v>
      </c>
      <c r="F108" s="8">
        <f ca="1">F105*Inputs!$B$173</f>
        <v>0</v>
      </c>
      <c r="G108" s="8">
        <f ca="1">G105*Inputs!$B$173</f>
        <v>0</v>
      </c>
      <c r="H108" s="8">
        <f ca="1">H105*Inputs!$B$173</f>
        <v>0</v>
      </c>
      <c r="I108" s="8">
        <f ca="1">I105*Inputs!$B$173</f>
        <v>0</v>
      </c>
      <c r="J108" s="8">
        <f ca="1">J105*Inputs!$B$173</f>
        <v>0</v>
      </c>
      <c r="K108" s="8">
        <f ca="1">K105*Inputs!$B$173</f>
        <v>0</v>
      </c>
      <c r="L108" s="8">
        <f ca="1">L105*Inputs!$B$173</f>
        <v>0</v>
      </c>
      <c r="M108" s="8">
        <f ca="1">M105*Inputs!$B$173</f>
        <v>0</v>
      </c>
      <c r="N108" s="8">
        <f ca="1">N105*Inputs!$B$173</f>
        <v>0</v>
      </c>
      <c r="O108" s="8">
        <f ca="1">O105*Inputs!$B$173</f>
        <v>0</v>
      </c>
      <c r="P108" s="8">
        <f ca="1">P105*Inputs!$B$173</f>
        <v>0</v>
      </c>
      <c r="Q108" s="8">
        <f ca="1">Q105*Inputs!$B$173</f>
        <v>0</v>
      </c>
      <c r="R108" s="8">
        <f ca="1">R105*Inputs!$B$173</f>
        <v>0</v>
      </c>
      <c r="S108" s="8">
        <f ca="1">S105*Inputs!$B$173</f>
        <v>0</v>
      </c>
      <c r="T108" s="8">
        <f ca="1">T105*Inputs!$B$173</f>
        <v>0</v>
      </c>
      <c r="U108" s="8">
        <f ca="1">U105*Inputs!$B$173</f>
        <v>0</v>
      </c>
      <c r="V108" s="8">
        <f ca="1">V105*Inputs!$B$173</f>
        <v>0</v>
      </c>
      <c r="W108" s="8">
        <f ca="1">W105*Inputs!$B$173</f>
        <v>0</v>
      </c>
      <c r="X108" s="8">
        <f ca="1">X105*Inputs!$B$173</f>
        <v>0</v>
      </c>
      <c r="Y108" s="8">
        <f ca="1">Y105*Inputs!$B$173</f>
        <v>0</v>
      </c>
      <c r="Z108" s="8">
        <f ca="1">Z105*Inputs!$B$173</f>
        <v>0</v>
      </c>
      <c r="AA108" s="8">
        <f ca="1">AA105*Inputs!$B$173</f>
        <v>0</v>
      </c>
      <c r="AB108" s="8">
        <f ca="1">AB105*Inputs!$B$173</f>
        <v>0</v>
      </c>
      <c r="AC108" s="8">
        <f ca="1">AC105*Inputs!$B$173</f>
        <v>0</v>
      </c>
      <c r="AD108" s="8">
        <f ca="1">AD105*Inputs!$B$173</f>
        <v>0</v>
      </c>
      <c r="AE108" s="8">
        <f ca="1">AE105*Inputs!$B$173</f>
        <v>0</v>
      </c>
      <c r="AF108" s="8">
        <f ca="1">AF105*Inputs!$B$173</f>
        <v>0</v>
      </c>
      <c r="AG108" s="8">
        <f ca="1">AG105*Inputs!$B$173</f>
        <v>0</v>
      </c>
      <c r="AH108" s="8">
        <f ca="1">AH105*Inputs!$B$173</f>
        <v>0</v>
      </c>
      <c r="AI108" s="8">
        <f ca="1">AI105*Inputs!$B$173</f>
        <v>0</v>
      </c>
      <c r="AJ108" s="8">
        <f ca="1">AJ105*Inputs!$B$173</f>
        <v>0</v>
      </c>
      <c r="AK108" s="8">
        <f ca="1">AK105*Inputs!$B$173</f>
        <v>0</v>
      </c>
      <c r="AL108" s="8">
        <f ca="1">AL105*Inputs!$B$173</f>
        <v>0</v>
      </c>
      <c r="AM108" s="8">
        <f>AM105*Inputs!$B$173</f>
        <v>0</v>
      </c>
    </row>
    <row r="109" spans="1:39" x14ac:dyDescent="0.2">
      <c r="A109" s="4" t="s">
        <v>34</v>
      </c>
      <c r="C109" s="8">
        <f t="shared" ref="C109:I109" si="408">IFERROR(-IF(C104=0,VLOOKUP($A103,$7:$10,C$1+2,FALSE),0),0)</f>
        <v>0</v>
      </c>
      <c r="D109" s="8">
        <f t="shared" ca="1" si="408"/>
        <v>0</v>
      </c>
      <c r="E109" s="8">
        <f t="shared" ca="1" si="408"/>
        <v>0</v>
      </c>
      <c r="F109" s="8">
        <f t="shared" ca="1" si="408"/>
        <v>0</v>
      </c>
      <c r="G109" s="8">
        <f t="shared" ca="1" si="408"/>
        <v>0</v>
      </c>
      <c r="H109" s="8">
        <f t="shared" ca="1" si="408"/>
        <v>0</v>
      </c>
      <c r="I109" s="8">
        <f t="shared" ca="1" si="408"/>
        <v>0</v>
      </c>
      <c r="J109" s="8">
        <f t="shared" ref="J109:AM109" ca="1" si="409">IFERROR(-IF(J104=0,VLOOKUP($A103,$7:$10,J$1+2,FALSE),0),0)</f>
        <v>0</v>
      </c>
      <c r="K109" s="8">
        <f t="shared" ca="1" si="409"/>
        <v>0</v>
      </c>
      <c r="L109" s="8">
        <f t="shared" ca="1" si="409"/>
        <v>0</v>
      </c>
      <c r="M109" s="8">
        <f t="shared" ca="1" si="409"/>
        <v>0</v>
      </c>
      <c r="N109" s="8">
        <f t="shared" ca="1" si="409"/>
        <v>0</v>
      </c>
      <c r="O109" s="8">
        <f t="shared" ca="1" si="409"/>
        <v>0</v>
      </c>
      <c r="P109" s="8">
        <f t="shared" ca="1" si="409"/>
        <v>0</v>
      </c>
      <c r="Q109" s="8">
        <f t="shared" ca="1" si="409"/>
        <v>0</v>
      </c>
      <c r="R109" s="8">
        <f t="shared" ca="1" si="409"/>
        <v>0</v>
      </c>
      <c r="S109" s="8">
        <f t="shared" ca="1" si="409"/>
        <v>0</v>
      </c>
      <c r="T109" s="8">
        <f t="shared" ca="1" si="409"/>
        <v>0</v>
      </c>
      <c r="U109" s="8">
        <f t="shared" ca="1" si="409"/>
        <v>0</v>
      </c>
      <c r="V109" s="8">
        <f t="shared" ca="1" si="409"/>
        <v>0</v>
      </c>
      <c r="W109" s="8">
        <f t="shared" ca="1" si="409"/>
        <v>0</v>
      </c>
      <c r="X109" s="8">
        <f t="shared" ca="1" si="409"/>
        <v>0</v>
      </c>
      <c r="Y109" s="8">
        <f t="shared" ca="1" si="409"/>
        <v>0</v>
      </c>
      <c r="Z109" s="8">
        <f t="shared" ca="1" si="409"/>
        <v>0</v>
      </c>
      <c r="AA109" s="8">
        <f t="shared" ca="1" si="409"/>
        <v>0</v>
      </c>
      <c r="AB109" s="8">
        <f t="shared" ca="1" si="409"/>
        <v>0</v>
      </c>
      <c r="AC109" s="8">
        <f t="shared" ca="1" si="409"/>
        <v>0</v>
      </c>
      <c r="AD109" s="8">
        <f t="shared" ca="1" si="409"/>
        <v>0</v>
      </c>
      <c r="AE109" s="8">
        <f t="shared" ca="1" si="409"/>
        <v>0</v>
      </c>
      <c r="AF109" s="8">
        <f t="shared" ca="1" si="409"/>
        <v>0</v>
      </c>
      <c r="AG109" s="8">
        <f t="shared" ca="1" si="409"/>
        <v>0</v>
      </c>
      <c r="AH109" s="8">
        <f t="shared" ca="1" si="409"/>
        <v>0</v>
      </c>
      <c r="AI109" s="8">
        <f t="shared" ca="1" si="409"/>
        <v>0</v>
      </c>
      <c r="AJ109" s="8">
        <f t="shared" ca="1" si="409"/>
        <v>0</v>
      </c>
      <c r="AK109" s="8">
        <f t="shared" ca="1" si="409"/>
        <v>0</v>
      </c>
      <c r="AL109" s="8">
        <f t="shared" ca="1" si="409"/>
        <v>0</v>
      </c>
      <c r="AM109" s="8">
        <f t="shared" ca="1" si="409"/>
        <v>0</v>
      </c>
    </row>
    <row r="110" spans="1:39" x14ac:dyDescent="0.2">
      <c r="A110" s="4" t="s">
        <v>54</v>
      </c>
      <c r="C110" s="8">
        <f t="shared" ref="C110:I110" si="410">IFERROR(IF(C104=0,VLOOKUP($A103,$35:$38,C$1+2,FALSE),0),0)</f>
        <v>0</v>
      </c>
      <c r="D110" s="8">
        <f t="shared" ca="1" si="410"/>
        <v>0</v>
      </c>
      <c r="E110" s="8">
        <f t="shared" ca="1" si="410"/>
        <v>0</v>
      </c>
      <c r="F110" s="8">
        <f t="shared" ca="1" si="410"/>
        <v>0</v>
      </c>
      <c r="G110" s="8">
        <f t="shared" ca="1" si="410"/>
        <v>0</v>
      </c>
      <c r="H110" s="8">
        <f t="shared" ca="1" si="410"/>
        <v>0</v>
      </c>
      <c r="I110" s="8">
        <f t="shared" ca="1" si="410"/>
        <v>0</v>
      </c>
      <c r="J110" s="8">
        <f t="shared" ref="J110:AM110" ca="1" si="411">IFERROR(IF(J104=0,VLOOKUP($A103,$35:$38,J$1+2,FALSE),0),0)</f>
        <v>0</v>
      </c>
      <c r="K110" s="8">
        <f t="shared" ca="1" si="411"/>
        <v>0</v>
      </c>
      <c r="L110" s="8">
        <f t="shared" ca="1" si="411"/>
        <v>0</v>
      </c>
      <c r="M110" s="8">
        <f t="shared" ca="1" si="411"/>
        <v>0</v>
      </c>
      <c r="N110" s="8">
        <f t="shared" ca="1" si="411"/>
        <v>0</v>
      </c>
      <c r="O110" s="8">
        <f t="shared" ca="1" si="411"/>
        <v>0</v>
      </c>
      <c r="P110" s="8">
        <f t="shared" ca="1" si="411"/>
        <v>0</v>
      </c>
      <c r="Q110" s="8">
        <f t="shared" ca="1" si="411"/>
        <v>0</v>
      </c>
      <c r="R110" s="8">
        <f t="shared" ca="1" si="411"/>
        <v>0</v>
      </c>
      <c r="S110" s="8">
        <f t="shared" ca="1" si="411"/>
        <v>0</v>
      </c>
      <c r="T110" s="8">
        <f t="shared" ca="1" si="411"/>
        <v>0</v>
      </c>
      <c r="U110" s="8">
        <f t="shared" ca="1" si="411"/>
        <v>0</v>
      </c>
      <c r="V110" s="8">
        <f t="shared" ca="1" si="411"/>
        <v>0</v>
      </c>
      <c r="W110" s="8">
        <f t="shared" ca="1" si="411"/>
        <v>0</v>
      </c>
      <c r="X110" s="8">
        <f t="shared" ca="1" si="411"/>
        <v>0</v>
      </c>
      <c r="Y110" s="8">
        <f t="shared" ca="1" si="411"/>
        <v>0</v>
      </c>
      <c r="Z110" s="8">
        <f t="shared" ca="1" si="411"/>
        <v>0</v>
      </c>
      <c r="AA110" s="8">
        <f t="shared" ca="1" si="411"/>
        <v>0</v>
      </c>
      <c r="AB110" s="8">
        <f t="shared" ca="1" si="411"/>
        <v>0</v>
      </c>
      <c r="AC110" s="8">
        <f t="shared" ca="1" si="411"/>
        <v>0</v>
      </c>
      <c r="AD110" s="8">
        <f t="shared" ca="1" si="411"/>
        <v>0</v>
      </c>
      <c r="AE110" s="8">
        <f t="shared" ca="1" si="411"/>
        <v>0</v>
      </c>
      <c r="AF110" s="8">
        <f t="shared" ca="1" si="411"/>
        <v>0</v>
      </c>
      <c r="AG110" s="8">
        <f t="shared" ca="1" si="411"/>
        <v>0</v>
      </c>
      <c r="AH110" s="8">
        <f t="shared" ca="1" si="411"/>
        <v>0</v>
      </c>
      <c r="AI110" s="8">
        <f t="shared" ca="1" si="411"/>
        <v>0</v>
      </c>
      <c r="AJ110" s="8">
        <f t="shared" ca="1" si="411"/>
        <v>0</v>
      </c>
      <c r="AK110" s="8">
        <f t="shared" ca="1" si="411"/>
        <v>0</v>
      </c>
      <c r="AL110" s="8">
        <f t="shared" ca="1" si="411"/>
        <v>0</v>
      </c>
      <c r="AM110" s="8">
        <f t="shared" ca="1" si="411"/>
        <v>0</v>
      </c>
    </row>
    <row r="111" spans="1:39" x14ac:dyDescent="0.2">
      <c r="A111" s="4" t="s">
        <v>40</v>
      </c>
      <c r="B111" s="16" t="str">
        <f>A103</f>
        <v>Qormi</v>
      </c>
      <c r="C111" s="8">
        <f t="shared" ref="C111:I111" ca="1" si="412">IF(AND(C104&gt;0,C107=0),VLOOKUP($A103,$63:$66,C$1+2,FALSE),0)</f>
        <v>0</v>
      </c>
      <c r="D111" s="8">
        <f t="shared" ca="1" si="412"/>
        <v>0</v>
      </c>
      <c r="E111" s="8">
        <f t="shared" ca="1" si="412"/>
        <v>0</v>
      </c>
      <c r="F111" s="8">
        <f t="shared" ca="1" si="412"/>
        <v>0</v>
      </c>
      <c r="G111" s="8">
        <f t="shared" ca="1" si="412"/>
        <v>0</v>
      </c>
      <c r="H111" s="8">
        <f t="shared" ca="1" si="412"/>
        <v>0</v>
      </c>
      <c r="I111" s="8">
        <f t="shared" ca="1" si="412"/>
        <v>0</v>
      </c>
      <c r="J111" s="8">
        <f t="shared" ref="J111:AM111" ca="1" si="413">IF(AND(J104&gt;0,J107=0),VLOOKUP($A103,$63:$66,J$1+2,FALSE),0)</f>
        <v>0</v>
      </c>
      <c r="K111" s="8">
        <f t="shared" ca="1" si="413"/>
        <v>0</v>
      </c>
      <c r="L111" s="8">
        <f t="shared" ca="1" si="413"/>
        <v>0</v>
      </c>
      <c r="M111" s="8">
        <f t="shared" ca="1" si="413"/>
        <v>0</v>
      </c>
      <c r="N111" s="8">
        <f t="shared" ca="1" si="413"/>
        <v>0</v>
      </c>
      <c r="O111" s="8">
        <f t="shared" ca="1" si="413"/>
        <v>0</v>
      </c>
      <c r="P111" s="8">
        <f t="shared" ca="1" si="413"/>
        <v>0</v>
      </c>
      <c r="Q111" s="8">
        <f t="shared" ca="1" si="413"/>
        <v>0</v>
      </c>
      <c r="R111" s="8">
        <f t="shared" ca="1" si="413"/>
        <v>0</v>
      </c>
      <c r="S111" s="8">
        <f t="shared" ca="1" si="413"/>
        <v>0</v>
      </c>
      <c r="T111" s="8">
        <f t="shared" ca="1" si="413"/>
        <v>0</v>
      </c>
      <c r="U111" s="8">
        <f t="shared" ca="1" si="413"/>
        <v>0</v>
      </c>
      <c r="V111" s="8">
        <f t="shared" ca="1" si="413"/>
        <v>0</v>
      </c>
      <c r="W111" s="8">
        <f t="shared" ca="1" si="413"/>
        <v>0</v>
      </c>
      <c r="X111" s="8">
        <f t="shared" ca="1" si="413"/>
        <v>0</v>
      </c>
      <c r="Y111" s="8">
        <f t="shared" ca="1" si="413"/>
        <v>0</v>
      </c>
      <c r="Z111" s="8">
        <f t="shared" ca="1" si="413"/>
        <v>0</v>
      </c>
      <c r="AA111" s="8">
        <f t="shared" ca="1" si="413"/>
        <v>0</v>
      </c>
      <c r="AB111" s="8">
        <f t="shared" ca="1" si="413"/>
        <v>0</v>
      </c>
      <c r="AC111" s="8">
        <f t="shared" ca="1" si="413"/>
        <v>0</v>
      </c>
      <c r="AD111" s="8">
        <f t="shared" ca="1" si="413"/>
        <v>0</v>
      </c>
      <c r="AE111" s="8">
        <f t="shared" ca="1" si="413"/>
        <v>0</v>
      </c>
      <c r="AF111" s="8">
        <f t="shared" ca="1" si="413"/>
        <v>0</v>
      </c>
      <c r="AG111" s="8">
        <f t="shared" ca="1" si="413"/>
        <v>0</v>
      </c>
      <c r="AH111" s="8">
        <f t="shared" ca="1" si="413"/>
        <v>0</v>
      </c>
      <c r="AI111" s="8">
        <f t="shared" ca="1" si="413"/>
        <v>0</v>
      </c>
      <c r="AJ111" s="8">
        <f t="shared" ca="1" si="413"/>
        <v>0</v>
      </c>
      <c r="AK111" s="8">
        <f t="shared" ca="1" si="413"/>
        <v>0</v>
      </c>
      <c r="AL111" s="8">
        <f t="shared" ca="1" si="413"/>
        <v>0</v>
      </c>
      <c r="AM111" s="8">
        <f t="shared" ca="1" si="413"/>
        <v>0</v>
      </c>
    </row>
    <row r="112" spans="1:39" x14ac:dyDescent="0.2">
      <c r="A112" s="4" t="s">
        <v>41</v>
      </c>
      <c r="C112" s="8">
        <f ca="1">-C105+SUM(C108:C111)</f>
        <v>0</v>
      </c>
      <c r="D112" s="8">
        <f t="shared" ref="D112" ca="1" si="414">-D105+SUM(D108:D111)</f>
        <v>0</v>
      </c>
      <c r="E112" s="8">
        <f t="shared" ref="E112:G112" ca="1" si="415">-E105+SUM(E108:E111)</f>
        <v>0</v>
      </c>
      <c r="F112" s="8">
        <f t="shared" ca="1" si="415"/>
        <v>0</v>
      </c>
      <c r="G112" s="8">
        <f t="shared" ca="1" si="415"/>
        <v>0</v>
      </c>
      <c r="H112" s="8">
        <f t="shared" ref="H112:I112" ca="1" si="416">-H105+SUM(H108:H111)</f>
        <v>0</v>
      </c>
      <c r="I112" s="8">
        <f t="shared" ca="1" si="416"/>
        <v>0</v>
      </c>
      <c r="J112" s="8">
        <f t="shared" ref="J112:AM112" ca="1" si="417">-J105+SUM(J108:J111)</f>
        <v>0</v>
      </c>
      <c r="K112" s="8">
        <f t="shared" ca="1" si="417"/>
        <v>0</v>
      </c>
      <c r="L112" s="8">
        <f t="shared" ca="1" si="417"/>
        <v>0</v>
      </c>
      <c r="M112" s="8">
        <f t="shared" ca="1" si="417"/>
        <v>0</v>
      </c>
      <c r="N112" s="8">
        <f t="shared" ca="1" si="417"/>
        <v>0</v>
      </c>
      <c r="O112" s="8">
        <f t="shared" ca="1" si="417"/>
        <v>0</v>
      </c>
      <c r="P112" s="8">
        <f t="shared" ca="1" si="417"/>
        <v>0</v>
      </c>
      <c r="Q112" s="8">
        <f t="shared" ca="1" si="417"/>
        <v>0</v>
      </c>
      <c r="R112" s="8">
        <f t="shared" ca="1" si="417"/>
        <v>0</v>
      </c>
      <c r="S112" s="8">
        <f t="shared" ca="1" si="417"/>
        <v>0</v>
      </c>
      <c r="T112" s="8">
        <f t="shared" ca="1" si="417"/>
        <v>0</v>
      </c>
      <c r="U112" s="8">
        <f t="shared" ca="1" si="417"/>
        <v>0</v>
      </c>
      <c r="V112" s="8">
        <f t="shared" ca="1" si="417"/>
        <v>0</v>
      </c>
      <c r="W112" s="8">
        <f t="shared" ca="1" si="417"/>
        <v>0</v>
      </c>
      <c r="X112" s="8">
        <f t="shared" ca="1" si="417"/>
        <v>0</v>
      </c>
      <c r="Y112" s="8">
        <f t="shared" ca="1" si="417"/>
        <v>0</v>
      </c>
      <c r="Z112" s="8">
        <f t="shared" ca="1" si="417"/>
        <v>0</v>
      </c>
      <c r="AA112" s="8">
        <f t="shared" ca="1" si="417"/>
        <v>0</v>
      </c>
      <c r="AB112" s="8">
        <f t="shared" ca="1" si="417"/>
        <v>0</v>
      </c>
      <c r="AC112" s="8">
        <f t="shared" ca="1" si="417"/>
        <v>0</v>
      </c>
      <c r="AD112" s="8">
        <f t="shared" ca="1" si="417"/>
        <v>0</v>
      </c>
      <c r="AE112" s="8">
        <f t="shared" ca="1" si="417"/>
        <v>0</v>
      </c>
      <c r="AF112" s="8">
        <f t="shared" ca="1" si="417"/>
        <v>0</v>
      </c>
      <c r="AG112" s="8">
        <f t="shared" ca="1" si="417"/>
        <v>0</v>
      </c>
      <c r="AH112" s="8">
        <f t="shared" ca="1" si="417"/>
        <v>0</v>
      </c>
      <c r="AI112" s="8">
        <f t="shared" ca="1" si="417"/>
        <v>0</v>
      </c>
      <c r="AJ112" s="8">
        <f t="shared" ca="1" si="417"/>
        <v>0</v>
      </c>
      <c r="AK112" s="8">
        <f t="shared" ca="1" si="417"/>
        <v>0</v>
      </c>
      <c r="AL112" s="8">
        <f t="shared" ca="1" si="417"/>
        <v>0</v>
      </c>
      <c r="AM112" s="8">
        <f t="shared" ca="1" si="417"/>
        <v>0</v>
      </c>
    </row>
    <row r="113" spans="1:39" x14ac:dyDescent="0.2">
      <c r="A113" s="4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</row>
    <row r="114" spans="1:39" x14ac:dyDescent="0.2">
      <c r="A114" s="4" t="s">
        <v>87</v>
      </c>
      <c r="C114" s="8">
        <f ca="1">C100+SUM($C112:C112)</f>
        <v>30325.5</v>
      </c>
      <c r="D114" s="8">
        <f ca="1">D100+SUM($C112:D112)</f>
        <v>53777.462499999994</v>
      </c>
      <c r="E114" s="8">
        <f ca="1">E100+SUM($C112:E112)</f>
        <v>57139.486875000017</v>
      </c>
      <c r="F114" s="8">
        <f ca="1">F100+SUM($C112:F112)</f>
        <v>94700.221659424511</v>
      </c>
      <c r="G114" s="8">
        <f ca="1">G100+SUM($C112:G112)</f>
        <v>136857.58117608592</v>
      </c>
      <c r="H114" s="8">
        <f ca="1">H100+SUM($C112:H112)</f>
        <v>192940.55481327066</v>
      </c>
      <c r="I114" s="8">
        <f ca="1">I100+SUM($C112:I112)</f>
        <v>259079.68847966078</v>
      </c>
      <c r="J114" s="8">
        <f ca="1">J100+SUM($C112:J112)</f>
        <v>311159.02647140576</v>
      </c>
      <c r="K114" s="8">
        <f ca="1">K100+SUM($C112:K112)</f>
        <v>446975.96679276077</v>
      </c>
      <c r="L114" s="8">
        <f ca="1">L100+SUM($C112:L112)</f>
        <v>494347.38007362408</v>
      </c>
      <c r="M114" s="8">
        <f ca="1">M100+SUM($C112:M112)</f>
        <v>597505.5965587711</v>
      </c>
      <c r="N114" s="8">
        <f ca="1">N100+SUM($C112:N112)</f>
        <v>706236.15018937679</v>
      </c>
      <c r="O114" s="8">
        <f ca="1">O100+SUM($C112:O112)</f>
        <v>820775.63574042323</v>
      </c>
      <c r="P114" s="8">
        <f ca="1">P100+SUM($C112:P112)</f>
        <v>941369.66856901604</v>
      </c>
      <c r="Q114" s="8">
        <f ca="1">Q100+SUM($C112:Q112)</f>
        <v>1068273.207978379</v>
      </c>
      <c r="R114" s="8">
        <f ca="1">R100+SUM($C112:R112)</f>
        <v>1201750.8917183832</v>
      </c>
      <c r="S114" s="8">
        <f ca="1">S100+SUM($C112:S112)</f>
        <v>1236145.15148322</v>
      </c>
      <c r="T114" s="8">
        <f ca="1">T100+SUM($C112:T112)</f>
        <v>1279429.9371666219</v>
      </c>
      <c r="U114" s="8">
        <f ca="1">U100+SUM($C112:U112)</f>
        <v>1324332.3976486681</v>
      </c>
      <c r="V114" s="8">
        <f ca="1">V100+SUM($C112:V112)</f>
        <v>1370913.8944652632</v>
      </c>
      <c r="W114" s="8">
        <f ca="1">W100+SUM($C112:W112)</f>
        <v>1419238.0721059688</v>
      </c>
      <c r="X114" s="8">
        <f ca="1">X100+SUM($C112:X112)</f>
        <v>1448964.0210951678</v>
      </c>
      <c r="Y114" s="8">
        <f ca="1">Y100+SUM($C112:Y112)</f>
        <v>1479546.775976839</v>
      </c>
      <c r="Z114" s="8">
        <f ca="1">Z100+SUM($C112:Z112)</f>
        <v>1511019.07429463</v>
      </c>
      <c r="AA114" s="8">
        <f ca="1">AA100+SUM($C112:AA112)</f>
        <v>1543415.0092447023</v>
      </c>
      <c r="AB114" s="8">
        <f ca="1">AB100+SUM($C112:AB112)</f>
        <v>1576770.0846257627</v>
      </c>
      <c r="AC114" s="8">
        <f ca="1">AC100+SUM($C112:AC112)</f>
        <v>1611121.2719181646</v>
      </c>
      <c r="AD114" s="8">
        <f ca="1">AD100+SUM($C112:AD112)</f>
        <v>1656367.8071636958</v>
      </c>
      <c r="AE114" s="8">
        <f ca="1">AE100+SUM($C112:AE112)</f>
        <v>1703182.0766442758</v>
      </c>
      <c r="AF114" s="8">
        <f ca="1">AF100+SUM($C112:AF112)</f>
        <v>1751624.3087351602</v>
      </c>
      <c r="AG114" s="8">
        <f ca="1">AG100+SUM($C112:AG112)</f>
        <v>1801757.0670189112</v>
      </c>
      <c r="AH114" s="8">
        <f ca="1">AH100+SUM($C112:AH112)</f>
        <v>1853645.3385117024</v>
      </c>
      <c r="AI114" s="8">
        <f ca="1">AI100+SUM($C112:AI112)</f>
        <v>1907356.6251146924</v>
      </c>
      <c r="AJ114" s="8">
        <f ca="1">AJ100+SUM($C112:AJ112)</f>
        <v>1962961.0384047818</v>
      </c>
      <c r="AK114" s="8">
        <f ca="1">AK100+SUM($C112:AK112)</f>
        <v>2020531.3978830043</v>
      </c>
      <c r="AL114" s="8">
        <f ca="1">AL100+SUM($C112:AL112)</f>
        <v>2080143.3328028899</v>
      </c>
      <c r="AM114" s="8">
        <f ca="1">AM100+SUM($C112:AM112)</f>
        <v>2141875.3877053508</v>
      </c>
    </row>
    <row r="115" spans="1:39" x14ac:dyDescent="0.2">
      <c r="A115" s="4" t="s">
        <v>84</v>
      </c>
      <c r="C115" s="8">
        <f t="shared" ref="C115:I115" ca="1" si="418">MAX(C114+buffer,0)-MAX(C100+buffer,0)</f>
        <v>0</v>
      </c>
      <c r="D115" s="8">
        <f t="shared" ca="1" si="418"/>
        <v>0</v>
      </c>
      <c r="E115" s="8">
        <f t="shared" ca="1" si="418"/>
        <v>0</v>
      </c>
      <c r="F115" s="8">
        <f t="shared" ca="1" si="418"/>
        <v>0</v>
      </c>
      <c r="G115" s="8">
        <f t="shared" ca="1" si="418"/>
        <v>0</v>
      </c>
      <c r="H115" s="8">
        <f t="shared" ca="1" si="418"/>
        <v>0</v>
      </c>
      <c r="I115" s="8">
        <f t="shared" ca="1" si="418"/>
        <v>0</v>
      </c>
      <c r="J115" s="8">
        <f t="shared" ref="J115:AM115" ca="1" si="419">MAX(J114+buffer,0)-MAX(J100+buffer,0)</f>
        <v>0</v>
      </c>
      <c r="K115" s="8">
        <f t="shared" ca="1" si="419"/>
        <v>0</v>
      </c>
      <c r="L115" s="8">
        <f t="shared" ca="1" si="419"/>
        <v>0</v>
      </c>
      <c r="M115" s="8">
        <f t="shared" ca="1" si="419"/>
        <v>0</v>
      </c>
      <c r="N115" s="8">
        <f t="shared" ca="1" si="419"/>
        <v>0</v>
      </c>
      <c r="O115" s="8">
        <f t="shared" ca="1" si="419"/>
        <v>0</v>
      </c>
      <c r="P115" s="8">
        <f t="shared" ca="1" si="419"/>
        <v>0</v>
      </c>
      <c r="Q115" s="8">
        <f t="shared" ca="1" si="419"/>
        <v>0</v>
      </c>
      <c r="R115" s="8">
        <f t="shared" ca="1" si="419"/>
        <v>0</v>
      </c>
      <c r="S115" s="8">
        <f t="shared" ca="1" si="419"/>
        <v>0</v>
      </c>
      <c r="T115" s="8">
        <f t="shared" ca="1" si="419"/>
        <v>0</v>
      </c>
      <c r="U115" s="8">
        <f t="shared" ca="1" si="419"/>
        <v>0</v>
      </c>
      <c r="V115" s="8">
        <f t="shared" ca="1" si="419"/>
        <v>0</v>
      </c>
      <c r="W115" s="8">
        <f t="shared" ca="1" si="419"/>
        <v>0</v>
      </c>
      <c r="X115" s="8">
        <f t="shared" ca="1" si="419"/>
        <v>0</v>
      </c>
      <c r="Y115" s="8">
        <f t="shared" ca="1" si="419"/>
        <v>0</v>
      </c>
      <c r="Z115" s="8">
        <f t="shared" ca="1" si="419"/>
        <v>0</v>
      </c>
      <c r="AA115" s="8">
        <f t="shared" ca="1" si="419"/>
        <v>0</v>
      </c>
      <c r="AB115" s="8">
        <f t="shared" ca="1" si="419"/>
        <v>0</v>
      </c>
      <c r="AC115" s="8">
        <f t="shared" ca="1" si="419"/>
        <v>0</v>
      </c>
      <c r="AD115" s="8">
        <f t="shared" ca="1" si="419"/>
        <v>0</v>
      </c>
      <c r="AE115" s="8">
        <f t="shared" ca="1" si="419"/>
        <v>0</v>
      </c>
      <c r="AF115" s="8">
        <f t="shared" ca="1" si="419"/>
        <v>0</v>
      </c>
      <c r="AG115" s="8">
        <f t="shared" ca="1" si="419"/>
        <v>0</v>
      </c>
      <c r="AH115" s="8">
        <f t="shared" ca="1" si="419"/>
        <v>0</v>
      </c>
      <c r="AI115" s="8">
        <f t="shared" ca="1" si="419"/>
        <v>0</v>
      </c>
      <c r="AJ115" s="8">
        <f t="shared" ca="1" si="419"/>
        <v>0</v>
      </c>
      <c r="AK115" s="8">
        <f t="shared" ca="1" si="419"/>
        <v>0</v>
      </c>
      <c r="AL115" s="8">
        <f t="shared" ca="1" si="419"/>
        <v>0</v>
      </c>
      <c r="AM115" s="8">
        <f t="shared" ca="1" si="419"/>
        <v>0</v>
      </c>
    </row>
    <row r="116" spans="1:39" x14ac:dyDescent="0.2">
      <c r="A116" s="4" t="s">
        <v>85</v>
      </c>
      <c r="C116" s="8">
        <f ca="1">C115*Inputs!$B$159</f>
        <v>0</v>
      </c>
      <c r="D116" s="8">
        <f ca="1">D115*Inputs!$B$159</f>
        <v>0</v>
      </c>
      <c r="E116" s="8">
        <f ca="1">E115*Inputs!$B$159</f>
        <v>0</v>
      </c>
      <c r="F116" s="8">
        <f ca="1">F115*Inputs!$B$159</f>
        <v>0</v>
      </c>
      <c r="G116" s="8">
        <f ca="1">G115*Inputs!$B$159</f>
        <v>0</v>
      </c>
      <c r="H116" s="8">
        <f ca="1">H115*Inputs!$B$159</f>
        <v>0</v>
      </c>
      <c r="I116" s="8">
        <f ca="1">I115*Inputs!$B$159</f>
        <v>0</v>
      </c>
      <c r="J116" s="8">
        <f ca="1">J115*Inputs!$B$159</f>
        <v>0</v>
      </c>
      <c r="K116" s="8">
        <f ca="1">K115*Inputs!$B$159</f>
        <v>0</v>
      </c>
      <c r="L116" s="8">
        <f ca="1">L115*Inputs!$B$159</f>
        <v>0</v>
      </c>
      <c r="M116" s="8">
        <f ca="1">M115*Inputs!$B$159</f>
        <v>0</v>
      </c>
      <c r="N116" s="8">
        <f ca="1">N115*Inputs!$B$159</f>
        <v>0</v>
      </c>
      <c r="O116" s="8">
        <f ca="1">O115*Inputs!$B$159</f>
        <v>0</v>
      </c>
      <c r="P116" s="8">
        <f ca="1">P115*Inputs!$B$159</f>
        <v>0</v>
      </c>
      <c r="Q116" s="8">
        <f ca="1">Q115*Inputs!$B$159</f>
        <v>0</v>
      </c>
      <c r="R116" s="8">
        <f ca="1">R115*Inputs!$B$159</f>
        <v>0</v>
      </c>
      <c r="S116" s="8">
        <f ca="1">S115*Inputs!$B$159</f>
        <v>0</v>
      </c>
      <c r="T116" s="8">
        <f ca="1">T115*Inputs!$B$159</f>
        <v>0</v>
      </c>
      <c r="U116" s="8">
        <f ca="1">U115*Inputs!$B$159</f>
        <v>0</v>
      </c>
      <c r="V116" s="8">
        <f ca="1">V115*Inputs!$B$159</f>
        <v>0</v>
      </c>
      <c r="W116" s="8">
        <f ca="1">W115*Inputs!$B$159</f>
        <v>0</v>
      </c>
      <c r="X116" s="8">
        <f ca="1">X115*Inputs!$B$159</f>
        <v>0</v>
      </c>
      <c r="Y116" s="8">
        <f ca="1">Y115*Inputs!$B$159</f>
        <v>0</v>
      </c>
      <c r="Z116" s="8">
        <f ca="1">Z115*Inputs!$B$159</f>
        <v>0</v>
      </c>
      <c r="AA116" s="8">
        <f ca="1">AA115*Inputs!$B$159</f>
        <v>0</v>
      </c>
      <c r="AB116" s="8">
        <f ca="1">AB115*Inputs!$B$159</f>
        <v>0</v>
      </c>
      <c r="AC116" s="8">
        <f ca="1">AC115*Inputs!$B$159</f>
        <v>0</v>
      </c>
      <c r="AD116" s="8">
        <f ca="1">AD115*Inputs!$B$159</f>
        <v>0</v>
      </c>
      <c r="AE116" s="8">
        <f ca="1">AE115*Inputs!$B$159</f>
        <v>0</v>
      </c>
      <c r="AF116" s="8">
        <f ca="1">AF115*Inputs!$B$159</f>
        <v>0</v>
      </c>
      <c r="AG116" s="8">
        <f ca="1">AG115*Inputs!$B$159</f>
        <v>0</v>
      </c>
      <c r="AH116" s="8">
        <f ca="1">AH115*Inputs!$B$159</f>
        <v>0</v>
      </c>
      <c r="AI116" s="8">
        <f ca="1">AI115*Inputs!$B$159</f>
        <v>0</v>
      </c>
      <c r="AJ116" s="8">
        <f ca="1">AJ115*Inputs!$B$159</f>
        <v>0</v>
      </c>
      <c r="AK116" s="8">
        <f ca="1">AK115*Inputs!$B$159</f>
        <v>0</v>
      </c>
      <c r="AL116" s="8">
        <f ca="1">AL115*Inputs!$B$159</f>
        <v>0</v>
      </c>
      <c r="AM116" s="8">
        <f ca="1">AM115*Inputs!$B$159</f>
        <v>0</v>
      </c>
    </row>
    <row r="117" spans="1:39" x14ac:dyDescent="0.2">
      <c r="A117" s="4" t="s">
        <v>168</v>
      </c>
      <c r="C117" s="8">
        <f ca="1">C114+SUM($C116:C116)</f>
        <v>30325.5</v>
      </c>
      <c r="D117" s="8">
        <f ca="1">D114+SUM($C116:D116)</f>
        <v>53777.462499999994</v>
      </c>
      <c r="E117" s="8">
        <f ca="1">E114+SUM($C116:E116)</f>
        <v>57139.486875000017</v>
      </c>
      <c r="F117" s="8">
        <f ca="1">F114+SUM($C116:F116)</f>
        <v>94700.221659424511</v>
      </c>
      <c r="G117" s="8">
        <f ca="1">G114+SUM($C116:G116)</f>
        <v>136857.58117608592</v>
      </c>
      <c r="H117" s="8">
        <f ca="1">H114+SUM($C116:H116)</f>
        <v>192940.55481327066</v>
      </c>
      <c r="I117" s="8">
        <f ca="1">I114+SUM($C116:I116)</f>
        <v>259079.68847966078</v>
      </c>
      <c r="J117" s="8">
        <f ca="1">J114+SUM($C116:J116)</f>
        <v>311159.02647140576</v>
      </c>
      <c r="K117" s="8">
        <f ca="1">K114+SUM($C116:K116)</f>
        <v>446975.96679276077</v>
      </c>
      <c r="L117" s="8">
        <f ca="1">L114+SUM($C116:L116)</f>
        <v>494347.38007362408</v>
      </c>
      <c r="M117" s="8">
        <f ca="1">M114+SUM($C116:M116)</f>
        <v>597505.5965587711</v>
      </c>
      <c r="N117" s="8">
        <f ca="1">N114+SUM($C116:N116)</f>
        <v>706236.15018937679</v>
      </c>
      <c r="O117" s="8">
        <f ca="1">O114+SUM($C116:O116)</f>
        <v>820775.63574042323</v>
      </c>
      <c r="P117" s="8">
        <f ca="1">P114+SUM($C116:P116)</f>
        <v>941369.66856901604</v>
      </c>
      <c r="Q117" s="8">
        <f ca="1">Q114+SUM($C116:Q116)</f>
        <v>1068273.207978379</v>
      </c>
      <c r="R117" s="8">
        <f ca="1">R114+SUM($C116:R116)</f>
        <v>1201750.8917183832</v>
      </c>
      <c r="S117" s="8">
        <f ca="1">S114+SUM($C116:S116)</f>
        <v>1236145.15148322</v>
      </c>
      <c r="T117" s="8">
        <f ca="1">T114+SUM($C116:T116)</f>
        <v>1279429.9371666219</v>
      </c>
      <c r="U117" s="8">
        <f ca="1">U114+SUM($C116:U116)</f>
        <v>1324332.3976486681</v>
      </c>
      <c r="V117" s="8">
        <f ca="1">V114+SUM($C116:V116)</f>
        <v>1370913.8944652632</v>
      </c>
      <c r="W117" s="8">
        <f ca="1">W114+SUM($C116:W116)</f>
        <v>1419238.0721059688</v>
      </c>
      <c r="X117" s="8">
        <f ca="1">X114+SUM($C116:X116)</f>
        <v>1448964.0210951678</v>
      </c>
      <c r="Y117" s="8">
        <f ca="1">Y114+SUM($C116:Y116)</f>
        <v>1479546.775976839</v>
      </c>
      <c r="Z117" s="8">
        <f ca="1">Z114+SUM($C116:Z116)</f>
        <v>1511019.07429463</v>
      </c>
      <c r="AA117" s="8">
        <f ca="1">AA114+SUM($C116:AA116)</f>
        <v>1543415.0092447023</v>
      </c>
      <c r="AB117" s="8">
        <f ca="1">AB114+SUM($C116:AB116)</f>
        <v>1576770.0846257627</v>
      </c>
      <c r="AC117" s="8">
        <f ca="1">AC114+SUM($C116:AC116)</f>
        <v>1611121.2719181646</v>
      </c>
      <c r="AD117" s="8">
        <f ca="1">AD114+SUM($C116:AD116)</f>
        <v>1656367.8071636958</v>
      </c>
      <c r="AE117" s="8">
        <f ca="1">AE114+SUM($C116:AE116)</f>
        <v>1703182.0766442758</v>
      </c>
      <c r="AF117" s="8">
        <f ca="1">AF114+SUM($C116:AF116)</f>
        <v>1751624.3087351602</v>
      </c>
      <c r="AG117" s="8">
        <f ca="1">AG114+SUM($C116:AG116)</f>
        <v>1801757.0670189112</v>
      </c>
      <c r="AH117" s="8">
        <f ca="1">AH114+SUM($C116:AH116)</f>
        <v>1853645.3385117024</v>
      </c>
      <c r="AI117" s="8">
        <f ca="1">AI114+SUM($C116:AI116)</f>
        <v>1907356.6251146924</v>
      </c>
      <c r="AJ117" s="8">
        <f ca="1">AJ114+SUM($C116:AJ116)</f>
        <v>1962961.0384047818</v>
      </c>
      <c r="AK117" s="8">
        <f ca="1">AK114+SUM($C116:AK116)</f>
        <v>2020531.3978830043</v>
      </c>
      <c r="AL117" s="8">
        <f ca="1">AL114+SUM($C116:AL116)</f>
        <v>2080143.3328028899</v>
      </c>
      <c r="AM117" s="8">
        <f ca="1">AM114+SUM($C116:AM116)</f>
        <v>2141875.3877053508</v>
      </c>
    </row>
    <row r="118" spans="1:39" x14ac:dyDescent="0.2">
      <c r="A118" s="4" t="s">
        <v>21</v>
      </c>
      <c r="C118" s="8">
        <f ca="1">IF(C117&lt;0,C117,0)</f>
        <v>0</v>
      </c>
      <c r="D118" s="8">
        <f ca="1">IF(D117+SUM($C118:C118)&lt;0,-(D117+SUM($C118:C118)),0)</f>
        <v>0</v>
      </c>
      <c r="E118" s="8">
        <f ca="1">IF(E117+SUM($C118:D118)&lt;0,-(E117+SUM($C118:D118)),0)</f>
        <v>0</v>
      </c>
      <c r="F118" s="8">
        <f ca="1">IF(F117+SUM($C118:E118)&lt;0,-(F117+SUM($C118:E118)),0)</f>
        <v>0</v>
      </c>
      <c r="G118" s="8">
        <f ca="1">IF(G117+SUM($C118:F118)&lt;0,-(G117+SUM($C118:F118)),0)</f>
        <v>0</v>
      </c>
      <c r="H118" s="8">
        <f ca="1">IF(H117+SUM($C118:G118)&lt;0,-(H117+SUM($C118:G118)),0)</f>
        <v>0</v>
      </c>
      <c r="I118" s="8">
        <f ca="1">IF(I117+SUM($C118:H118)&lt;0,-(I117+SUM($C118:H118)),0)</f>
        <v>0</v>
      </c>
      <c r="J118" s="8">
        <f ca="1">IF(J117+SUM($C118:I118)&lt;0,-(J117+SUM($C118:I118)),0)</f>
        <v>0</v>
      </c>
      <c r="K118" s="8">
        <f ca="1">IF(K117+SUM($C118:J118)&lt;0,-(K117+SUM($C118:J118)),0)</f>
        <v>0</v>
      </c>
      <c r="L118" s="8">
        <f ca="1">IF(L117+SUM($C118:K118)&lt;0,-(L117+SUM($C118:K118)),0)</f>
        <v>0</v>
      </c>
      <c r="M118" s="8">
        <f ca="1">IF(M117+SUM($C118:L118)&lt;0,-(M117+SUM($C118:L118)),0)</f>
        <v>0</v>
      </c>
      <c r="N118" s="8">
        <f ca="1">IF(N117+SUM($C118:M118)&lt;0,-(N117+SUM($C118:M118)),0)</f>
        <v>0</v>
      </c>
      <c r="O118" s="8">
        <f ca="1">IF(O117+SUM($C118:N118)&lt;0,-(O117+SUM($C118:N118)),0)</f>
        <v>0</v>
      </c>
      <c r="P118" s="8">
        <f ca="1">IF(P117+SUM($C118:O118)&lt;0,-(P117+SUM($C118:O118)),0)</f>
        <v>0</v>
      </c>
      <c r="Q118" s="8">
        <f ca="1">IF(Q117+SUM($C118:P118)&lt;0,-(Q117+SUM($C118:P118)),0)</f>
        <v>0</v>
      </c>
      <c r="R118" s="8">
        <f ca="1">IF(R117+SUM($C118:Q118)&lt;0,-(R117+SUM($C118:Q118)),0)</f>
        <v>0</v>
      </c>
      <c r="S118" s="8">
        <f ca="1">IF(S117+SUM($C118:R118)&lt;0,-(S117+SUM($C118:R118)),0)</f>
        <v>0</v>
      </c>
      <c r="T118" s="8">
        <f ca="1">IF(T117+SUM($C118:S118)&lt;0,-(T117+SUM($C118:S118)),0)</f>
        <v>0</v>
      </c>
      <c r="U118" s="8">
        <f ca="1">IF(U117+SUM($C118:T118)&lt;0,-(U117+SUM($C118:T118)),0)</f>
        <v>0</v>
      </c>
      <c r="V118" s="8">
        <f ca="1">IF(V117+SUM($C118:U118)&lt;0,-(V117+SUM($C118:U118)),0)</f>
        <v>0</v>
      </c>
      <c r="W118" s="8">
        <f ca="1">IF(W117+SUM($C118:V118)&lt;0,-(W117+SUM($C118:V118)),0)</f>
        <v>0</v>
      </c>
      <c r="X118" s="8">
        <f ca="1">IF(X117+SUM($C118:W118)&lt;0,-(X117+SUM($C118:W118)),0)</f>
        <v>0</v>
      </c>
      <c r="Y118" s="8">
        <f ca="1">IF(Y117+SUM($C118:X118)&lt;0,-(Y117+SUM($C118:X118)),0)</f>
        <v>0</v>
      </c>
      <c r="Z118" s="8">
        <f ca="1">IF(Z117+SUM($C118:Y118)&lt;0,-(Z117+SUM($C118:Y118)),0)</f>
        <v>0</v>
      </c>
      <c r="AA118" s="8">
        <f ca="1">IF(AA117+SUM($C118:Z118)&lt;0,-(AA117+SUM($C118:Z118)),0)</f>
        <v>0</v>
      </c>
      <c r="AB118" s="8">
        <f ca="1">IF(AB117+SUM($C118:AA118)&lt;0,-(AB117+SUM($C118:AA118)),0)</f>
        <v>0</v>
      </c>
      <c r="AC118" s="8">
        <f ca="1">IF(AC117+SUM($C118:AB118)&lt;0,-(AC117+SUM($C118:AB118)),0)</f>
        <v>0</v>
      </c>
      <c r="AD118" s="8">
        <f ca="1">IF(AD117+SUM($C118:AC118)&lt;0,-(AD117+SUM($C118:AC118)),0)</f>
        <v>0</v>
      </c>
      <c r="AE118" s="8">
        <f ca="1">IF(AE117+SUM($C118:AD118)&lt;0,-(AE117+SUM($C118:AD118)),0)</f>
        <v>0</v>
      </c>
      <c r="AF118" s="8">
        <f ca="1">IF(AF117+SUM($C118:AE118)&lt;0,-(AF117+SUM($C118:AE118)),0)</f>
        <v>0</v>
      </c>
      <c r="AG118" s="8">
        <f ca="1">IF(AG117+SUM($C118:AF118)&lt;0,-(AG117+SUM($C118:AF118)),0)</f>
        <v>0</v>
      </c>
      <c r="AH118" s="8">
        <f ca="1">IF(AH117+SUM($C118:AG118)&lt;0,-(AH117+SUM($C118:AG118)),0)</f>
        <v>0</v>
      </c>
      <c r="AI118" s="8">
        <f ca="1">IF(AI117+SUM($C118:AH118)&lt;0,-(AI117+SUM($C118:AH118)),0)</f>
        <v>0</v>
      </c>
      <c r="AJ118" s="8">
        <f ca="1">IF(AJ117+SUM($C118:AI118)&lt;0,-(AJ117+SUM($C118:AI118)),0)</f>
        <v>0</v>
      </c>
      <c r="AK118" s="8">
        <f ca="1">IF(AK117+SUM($C118:AJ118)&lt;0,-(AK117+SUM($C118:AJ118)),0)</f>
        <v>0</v>
      </c>
      <c r="AL118" s="8">
        <f ca="1">IF(AL117+SUM($C118:AK118)&lt;0,-(AL117+SUM($C118:AK118)),0)</f>
        <v>0</v>
      </c>
      <c r="AM118" s="8">
        <f ca="1">IF(AM117+SUM($C118:AL118)&lt;0,-(AM117+SUM($C118:AL118)),0)</f>
        <v>0</v>
      </c>
    </row>
    <row r="119" spans="1:39" x14ac:dyDescent="0.2"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</row>
    <row r="120" spans="1:39" x14ac:dyDescent="0.2">
      <c r="A120" s="29" t="str">
        <f>IF(Inputs!$B$175=6,IFERROR(_xlfn.XLOOKUP($B120,Inputs!$B$176:$B$178,Inputs!$A$176:$A$178,,0,1),""),IFERROR(_xlfn.XLOOKUP($B120,Inputs!$C$176:$C$178,Inputs!$A$176:$A$178,,0,1),""))</f>
        <v>Sliema</v>
      </c>
      <c r="B120" s="31">
        <v>3</v>
      </c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</row>
    <row r="121" spans="1:39" x14ac:dyDescent="0.2">
      <c r="A121" s="4" t="s">
        <v>23</v>
      </c>
      <c r="C121" s="8">
        <f>IFERROR(VLOOKUP($A120,$A$54:$H$68,C$1+2,FALSE),0)</f>
        <v>309000</v>
      </c>
      <c r="D121" s="8">
        <f ca="1">C124</f>
        <v>309000</v>
      </c>
      <c r="E121" s="8">
        <f t="shared" ref="E121" ca="1" si="420">D124</f>
        <v>318270</v>
      </c>
      <c r="F121" s="8">
        <f t="shared" ref="F121" ca="1" si="421">E124</f>
        <v>327818.09999999998</v>
      </c>
      <c r="G121" s="8">
        <f t="shared" ref="G121:I121" ca="1" si="422">F124</f>
        <v>337652.64299999998</v>
      </c>
      <c r="H121" s="8">
        <f t="shared" ca="1" si="422"/>
        <v>347782.22229000001</v>
      </c>
      <c r="I121" s="8">
        <f t="shared" ca="1" si="422"/>
        <v>358215.68895869999</v>
      </c>
      <c r="J121" s="8">
        <f t="shared" ref="J121" ca="1" si="423">I124</f>
        <v>368962.15962746099</v>
      </c>
      <c r="K121" s="8">
        <f t="shared" ref="K121" ca="1" si="424">J124</f>
        <v>380031.02441628481</v>
      </c>
      <c r="L121" s="8">
        <f t="shared" ref="L121" ca="1" si="425">K124</f>
        <v>391431.95514877333</v>
      </c>
      <c r="M121" s="8">
        <f t="shared" ref="M121" ca="1" si="426">L124</f>
        <v>403174.9138032365</v>
      </c>
      <c r="N121" s="8">
        <f t="shared" ref="N121" ca="1" si="427">M124</f>
        <v>415270.16121733357</v>
      </c>
      <c r="O121" s="8">
        <f t="shared" ref="O121" ca="1" si="428">N124</f>
        <v>427728.26605385356</v>
      </c>
      <c r="P121" s="8">
        <f t="shared" ref="P121" ca="1" si="429">O124</f>
        <v>440560.11403546919</v>
      </c>
      <c r="Q121" s="8">
        <f t="shared" ref="Q121" ca="1" si="430">P124</f>
        <v>453776.91745653324</v>
      </c>
      <c r="R121" s="8">
        <f t="shared" ref="R121" ca="1" si="431">Q124</f>
        <v>467390.22498022922</v>
      </c>
      <c r="S121" s="8">
        <f t="shared" ref="S121" ca="1" si="432">R124</f>
        <v>481411.9317296361</v>
      </c>
      <c r="T121" s="8">
        <f t="shared" ref="T121" ca="1" si="433">S124</f>
        <v>495854.2896815252</v>
      </c>
      <c r="U121" s="8">
        <f t="shared" ref="U121" ca="1" si="434">T124</f>
        <v>510729.91837197094</v>
      </c>
      <c r="V121" s="8">
        <f t="shared" ref="V121" ca="1" si="435">U124</f>
        <v>526051.81592313002</v>
      </c>
      <c r="W121" s="8">
        <f t="shared" ref="W121" ca="1" si="436">V124</f>
        <v>541833.37040082389</v>
      </c>
      <c r="X121" s="8">
        <f t="shared" ref="X121" ca="1" si="437">W124</f>
        <v>558088.37151284865</v>
      </c>
      <c r="Y121" s="8">
        <f t="shared" ref="Y121" ca="1" si="438">X124</f>
        <v>574831.02265823411</v>
      </c>
      <c r="Z121" s="8">
        <f t="shared" ref="Z121" ca="1" si="439">Y124</f>
        <v>592075.95333798113</v>
      </c>
      <c r="AA121" s="8">
        <f t="shared" ref="AA121" ca="1" si="440">Z124</f>
        <v>609838.23193812056</v>
      </c>
      <c r="AB121" s="8">
        <f t="shared" ref="AB121" ca="1" si="441">AA124</f>
        <v>628133.37889626413</v>
      </c>
      <c r="AC121" s="8">
        <f t="shared" ref="AC121" ca="1" si="442">AB124</f>
        <v>646977.38026315207</v>
      </c>
      <c r="AD121" s="8">
        <f t="shared" ref="AD121" ca="1" si="443">AC124</f>
        <v>666386.70167104667</v>
      </c>
      <c r="AE121" s="8">
        <f t="shared" ref="AE121" ca="1" si="444">AD124</f>
        <v>686378.30272117804</v>
      </c>
      <c r="AF121" s="8">
        <f t="shared" ref="AF121" ca="1" si="445">AE124</f>
        <v>706969.6518028134</v>
      </c>
      <c r="AG121" s="8">
        <f t="shared" ref="AG121" ca="1" si="446">AF124</f>
        <v>728178.74135689775</v>
      </c>
      <c r="AH121" s="8">
        <f t="shared" ref="AH121" ca="1" si="447">AG124</f>
        <v>750024.10359760467</v>
      </c>
      <c r="AI121" s="8">
        <f t="shared" ref="AI121" ca="1" si="448">AH124</f>
        <v>772524.82670553285</v>
      </c>
      <c r="AJ121" s="8">
        <f t="shared" ref="AJ121" ca="1" si="449">AI124</f>
        <v>795700.57150669885</v>
      </c>
      <c r="AK121" s="8">
        <f t="shared" ref="AK121" ca="1" si="450">AJ124</f>
        <v>819571.58865189983</v>
      </c>
      <c r="AL121" s="8">
        <f t="shared" ref="AL121" ca="1" si="451">AK124</f>
        <v>844158.73631145677</v>
      </c>
      <c r="AM121" s="8">
        <f t="shared" ref="AM121" ca="1" si="452">AL124</f>
        <v>869483.49840080051</v>
      </c>
    </row>
    <row r="122" spans="1:39" x14ac:dyDescent="0.2">
      <c r="A122" s="4" t="s">
        <v>24</v>
      </c>
      <c r="C122" s="8">
        <f ca="1">-IF(SUM(C118:D118)&gt;0,C121,0)</f>
        <v>0</v>
      </c>
      <c r="D122" s="8">
        <f ca="1">-IF(E118&gt;0,D121,0)</f>
        <v>0</v>
      </c>
      <c r="E122" s="8">
        <f ca="1">-IF(F118&gt;0,E121,0)</f>
        <v>0</v>
      </c>
      <c r="F122" s="8">
        <f ca="1">-IF(G118&gt;0,F121,0)</f>
        <v>0</v>
      </c>
      <c r="G122" s="8">
        <f t="shared" ref="G122:I122" ca="1" si="453">-IF(H118&gt;0,G121,0)</f>
        <v>0</v>
      </c>
      <c r="H122" s="8">
        <f t="shared" ca="1" si="453"/>
        <v>0</v>
      </c>
      <c r="I122" s="8">
        <f t="shared" ca="1" si="453"/>
        <v>0</v>
      </c>
      <c r="J122" s="8">
        <f t="shared" ref="J122" ca="1" si="454">-IF(K118&gt;0,J121,0)</f>
        <v>0</v>
      </c>
      <c r="K122" s="8">
        <f t="shared" ref="K122" ca="1" si="455">-IF(L118&gt;0,K121,0)</f>
        <v>0</v>
      </c>
      <c r="L122" s="8">
        <f t="shared" ref="L122" ca="1" si="456">-IF(M118&gt;0,L121,0)</f>
        <v>0</v>
      </c>
      <c r="M122" s="8">
        <f t="shared" ref="M122" ca="1" si="457">-IF(N118&gt;0,M121,0)</f>
        <v>0</v>
      </c>
      <c r="N122" s="8">
        <f t="shared" ref="N122" ca="1" si="458">-IF(O118&gt;0,N121,0)</f>
        <v>0</v>
      </c>
      <c r="O122" s="8">
        <f t="shared" ref="O122" ca="1" si="459">-IF(P118&gt;0,O121,0)</f>
        <v>0</v>
      </c>
      <c r="P122" s="8">
        <f t="shared" ref="P122" ca="1" si="460">-IF(Q118&gt;0,P121,0)</f>
        <v>0</v>
      </c>
      <c r="Q122" s="8">
        <f t="shared" ref="Q122" ca="1" si="461">-IF(R118&gt;0,Q121,0)</f>
        <v>0</v>
      </c>
      <c r="R122" s="8">
        <f t="shared" ref="R122" ca="1" si="462">-IF(S118&gt;0,R121,0)</f>
        <v>0</v>
      </c>
      <c r="S122" s="8">
        <f t="shared" ref="S122" ca="1" si="463">-IF(T118&gt;0,S121,0)</f>
        <v>0</v>
      </c>
      <c r="T122" s="8">
        <f t="shared" ref="T122" ca="1" si="464">-IF(U118&gt;0,T121,0)</f>
        <v>0</v>
      </c>
      <c r="U122" s="8">
        <f t="shared" ref="U122" ca="1" si="465">-IF(V118&gt;0,U121,0)</f>
        <v>0</v>
      </c>
      <c r="V122" s="8">
        <f t="shared" ref="V122" ca="1" si="466">-IF(W118&gt;0,V121,0)</f>
        <v>0</v>
      </c>
      <c r="W122" s="8">
        <f t="shared" ref="W122" ca="1" si="467">-IF(X118&gt;0,W121,0)</f>
        <v>0</v>
      </c>
      <c r="X122" s="8">
        <f t="shared" ref="X122" ca="1" si="468">-IF(Y118&gt;0,X121,0)</f>
        <v>0</v>
      </c>
      <c r="Y122" s="8">
        <f t="shared" ref="Y122" ca="1" si="469">-IF(Z118&gt;0,Y121,0)</f>
        <v>0</v>
      </c>
      <c r="Z122" s="8">
        <f t="shared" ref="Z122" ca="1" si="470">-IF(AA118&gt;0,Z121,0)</f>
        <v>0</v>
      </c>
      <c r="AA122" s="8">
        <f t="shared" ref="AA122" ca="1" si="471">-IF(AB118&gt;0,AA121,0)</f>
        <v>0</v>
      </c>
      <c r="AB122" s="8">
        <f t="shared" ref="AB122" ca="1" si="472">-IF(AC118&gt;0,AB121,0)</f>
        <v>0</v>
      </c>
      <c r="AC122" s="8">
        <f t="shared" ref="AC122" ca="1" si="473">-IF(AD118&gt;0,AC121,0)</f>
        <v>0</v>
      </c>
      <c r="AD122" s="8">
        <f t="shared" ref="AD122" ca="1" si="474">-IF(AE118&gt;0,AD121,0)</f>
        <v>0</v>
      </c>
      <c r="AE122" s="8">
        <f t="shared" ref="AE122" ca="1" si="475">-IF(AF118&gt;0,AE121,0)</f>
        <v>0</v>
      </c>
      <c r="AF122" s="8">
        <f t="shared" ref="AF122" ca="1" si="476">-IF(AG118&gt;0,AF121,0)</f>
        <v>0</v>
      </c>
      <c r="AG122" s="8">
        <f t="shared" ref="AG122" ca="1" si="477">-IF(AH118&gt;0,AG121,0)</f>
        <v>0</v>
      </c>
      <c r="AH122" s="8">
        <f t="shared" ref="AH122" ca="1" si="478">-IF(AI118&gt;0,AH121,0)</f>
        <v>0</v>
      </c>
      <c r="AI122" s="8">
        <f t="shared" ref="AI122" ca="1" si="479">-IF(AJ118&gt;0,AI121,0)</f>
        <v>0</v>
      </c>
      <c r="AJ122" s="8">
        <f t="shared" ref="AJ122" ca="1" si="480">-IF(AK118&gt;0,AJ121,0)</f>
        <v>0</v>
      </c>
      <c r="AK122" s="8">
        <f t="shared" ref="AK122" ca="1" si="481">-IF(AL118&gt;0,AK121,0)</f>
        <v>0</v>
      </c>
      <c r="AL122" s="8">
        <f t="shared" ref="AL122" ca="1" si="482">-IF(AM118&gt;0,AL121,0)</f>
        <v>0</v>
      </c>
      <c r="AM122" s="8">
        <f t="shared" ref="AM122" si="483">-IF(AN118&gt;0,AM121,0)</f>
        <v>0</v>
      </c>
    </row>
    <row r="123" spans="1:39" x14ac:dyDescent="0.2">
      <c r="A123" s="4" t="s">
        <v>25</v>
      </c>
      <c r="C123" s="8">
        <v>0</v>
      </c>
      <c r="D123" s="8">
        <f t="shared" ref="D123:G123" ca="1" si="484">SUM(D121:D122)*princ</f>
        <v>9270</v>
      </c>
      <c r="E123" s="8">
        <f t="shared" ca="1" si="484"/>
        <v>9548.1</v>
      </c>
      <c r="F123" s="8">
        <f t="shared" ca="1" si="484"/>
        <v>9834.5429999999997</v>
      </c>
      <c r="G123" s="8">
        <f t="shared" ca="1" si="484"/>
        <v>10129.57929</v>
      </c>
      <c r="H123" s="8">
        <f t="shared" ref="H123:I123" ca="1" si="485">SUM(H121:H122)*princ</f>
        <v>10433.466668699999</v>
      </c>
      <c r="I123" s="8">
        <f t="shared" ca="1" si="485"/>
        <v>10746.470668761</v>
      </c>
      <c r="J123" s="8">
        <f t="shared" ref="J123:AM123" ca="1" si="486">SUM(J121:J122)*princ</f>
        <v>11068.86478882383</v>
      </c>
      <c r="K123" s="8">
        <f t="shared" ca="1" si="486"/>
        <v>11400.930732488543</v>
      </c>
      <c r="L123" s="8">
        <f t="shared" ca="1" si="486"/>
        <v>11742.9586544632</v>
      </c>
      <c r="M123" s="8">
        <f t="shared" ca="1" si="486"/>
        <v>12095.247414097095</v>
      </c>
      <c r="N123" s="8">
        <f t="shared" ca="1" si="486"/>
        <v>12458.104836520008</v>
      </c>
      <c r="O123" s="8">
        <f t="shared" ca="1" si="486"/>
        <v>12831.847981615607</v>
      </c>
      <c r="P123" s="8">
        <f t="shared" ca="1" si="486"/>
        <v>13216.803421064074</v>
      </c>
      <c r="Q123" s="8">
        <f t="shared" ca="1" si="486"/>
        <v>13613.307523695996</v>
      </c>
      <c r="R123" s="8">
        <f t="shared" ca="1" si="486"/>
        <v>14021.706749406876</v>
      </c>
      <c r="S123" s="8">
        <f t="shared" ca="1" si="486"/>
        <v>14442.357951889082</v>
      </c>
      <c r="T123" s="8">
        <f t="shared" ca="1" si="486"/>
        <v>14875.628690445756</v>
      </c>
      <c r="U123" s="8">
        <f t="shared" ca="1" si="486"/>
        <v>15321.897551159127</v>
      </c>
      <c r="V123" s="8">
        <f t="shared" ca="1" si="486"/>
        <v>15781.5544776939</v>
      </c>
      <c r="W123" s="8">
        <f t="shared" ca="1" si="486"/>
        <v>16255.001112024716</v>
      </c>
      <c r="X123" s="8">
        <f t="shared" ca="1" si="486"/>
        <v>16742.651145385458</v>
      </c>
      <c r="Y123" s="8">
        <f t="shared" ca="1" si="486"/>
        <v>17244.930679747024</v>
      </c>
      <c r="Z123" s="8">
        <f t="shared" ca="1" si="486"/>
        <v>17762.278600139434</v>
      </c>
      <c r="AA123" s="8">
        <f t="shared" ca="1" si="486"/>
        <v>18295.146958143618</v>
      </c>
      <c r="AB123" s="8">
        <f t="shared" ca="1" si="486"/>
        <v>18844.001366887922</v>
      </c>
      <c r="AC123" s="8">
        <f t="shared" ca="1" si="486"/>
        <v>19409.32140789456</v>
      </c>
      <c r="AD123" s="8">
        <f t="shared" ca="1" si="486"/>
        <v>19991.601050131398</v>
      </c>
      <c r="AE123" s="8">
        <f t="shared" ca="1" si="486"/>
        <v>20591.349081635341</v>
      </c>
      <c r="AF123" s="8">
        <f t="shared" ca="1" si="486"/>
        <v>21209.089554084403</v>
      </c>
      <c r="AG123" s="8">
        <f t="shared" ca="1" si="486"/>
        <v>21845.362240706931</v>
      </c>
      <c r="AH123" s="8">
        <f t="shared" ca="1" si="486"/>
        <v>22500.723107928141</v>
      </c>
      <c r="AI123" s="8">
        <f t="shared" ca="1" si="486"/>
        <v>23175.744801165984</v>
      </c>
      <c r="AJ123" s="8">
        <f t="shared" ca="1" si="486"/>
        <v>23871.017145200964</v>
      </c>
      <c r="AK123" s="8">
        <f t="shared" ca="1" si="486"/>
        <v>24587.147659556995</v>
      </c>
      <c r="AL123" s="8">
        <f t="shared" ca="1" si="486"/>
        <v>25324.762089343702</v>
      </c>
      <c r="AM123" s="8">
        <f t="shared" ca="1" si="486"/>
        <v>26084.504952024014</v>
      </c>
    </row>
    <row r="124" spans="1:39" x14ac:dyDescent="0.2">
      <c r="A124" s="4" t="s">
        <v>26</v>
      </c>
      <c r="C124" s="8">
        <f ca="1">SUM(C121:C123)</f>
        <v>309000</v>
      </c>
      <c r="D124" s="8">
        <f t="shared" ref="D124:G124" ca="1" si="487">SUM(D121:D123)</f>
        <v>318270</v>
      </c>
      <c r="E124" s="8">
        <f t="shared" ca="1" si="487"/>
        <v>327818.09999999998</v>
      </c>
      <c r="F124" s="8">
        <f t="shared" ca="1" si="487"/>
        <v>337652.64299999998</v>
      </c>
      <c r="G124" s="8">
        <f t="shared" ca="1" si="487"/>
        <v>347782.22229000001</v>
      </c>
      <c r="H124" s="8">
        <f t="shared" ref="H124:I124" ca="1" si="488">SUM(H121:H123)</f>
        <v>358215.68895869999</v>
      </c>
      <c r="I124" s="8">
        <f t="shared" ca="1" si="488"/>
        <v>368962.15962746099</v>
      </c>
      <c r="J124" s="8">
        <f t="shared" ref="J124:AM124" ca="1" si="489">SUM(J121:J123)</f>
        <v>380031.02441628481</v>
      </c>
      <c r="K124" s="8">
        <f t="shared" ca="1" si="489"/>
        <v>391431.95514877333</v>
      </c>
      <c r="L124" s="8">
        <f t="shared" ca="1" si="489"/>
        <v>403174.9138032365</v>
      </c>
      <c r="M124" s="8">
        <f t="shared" ca="1" si="489"/>
        <v>415270.16121733357</v>
      </c>
      <c r="N124" s="8">
        <f t="shared" ca="1" si="489"/>
        <v>427728.26605385356</v>
      </c>
      <c r="O124" s="8">
        <f t="shared" ca="1" si="489"/>
        <v>440560.11403546919</v>
      </c>
      <c r="P124" s="8">
        <f t="shared" ca="1" si="489"/>
        <v>453776.91745653324</v>
      </c>
      <c r="Q124" s="8">
        <f t="shared" ca="1" si="489"/>
        <v>467390.22498022922</v>
      </c>
      <c r="R124" s="8">
        <f t="shared" ca="1" si="489"/>
        <v>481411.9317296361</v>
      </c>
      <c r="S124" s="8">
        <f t="shared" ca="1" si="489"/>
        <v>495854.2896815252</v>
      </c>
      <c r="T124" s="8">
        <f t="shared" ca="1" si="489"/>
        <v>510729.91837197094</v>
      </c>
      <c r="U124" s="8">
        <f t="shared" ca="1" si="489"/>
        <v>526051.81592313002</v>
      </c>
      <c r="V124" s="8">
        <f t="shared" ca="1" si="489"/>
        <v>541833.37040082389</v>
      </c>
      <c r="W124" s="8">
        <f t="shared" ca="1" si="489"/>
        <v>558088.37151284865</v>
      </c>
      <c r="X124" s="8">
        <f t="shared" ca="1" si="489"/>
        <v>574831.02265823411</v>
      </c>
      <c r="Y124" s="8">
        <f t="shared" ca="1" si="489"/>
        <v>592075.95333798113</v>
      </c>
      <c r="Z124" s="8">
        <f t="shared" ca="1" si="489"/>
        <v>609838.23193812056</v>
      </c>
      <c r="AA124" s="8">
        <f t="shared" ca="1" si="489"/>
        <v>628133.37889626413</v>
      </c>
      <c r="AB124" s="8">
        <f t="shared" ca="1" si="489"/>
        <v>646977.38026315207</v>
      </c>
      <c r="AC124" s="8">
        <f t="shared" ca="1" si="489"/>
        <v>666386.70167104667</v>
      </c>
      <c r="AD124" s="8">
        <f t="shared" ca="1" si="489"/>
        <v>686378.30272117804</v>
      </c>
      <c r="AE124" s="8">
        <f t="shared" ca="1" si="489"/>
        <v>706969.6518028134</v>
      </c>
      <c r="AF124" s="8">
        <f t="shared" ca="1" si="489"/>
        <v>728178.74135689775</v>
      </c>
      <c r="AG124" s="8">
        <f t="shared" ca="1" si="489"/>
        <v>750024.10359760467</v>
      </c>
      <c r="AH124" s="8">
        <f t="shared" ca="1" si="489"/>
        <v>772524.82670553285</v>
      </c>
      <c r="AI124" s="8">
        <f t="shared" ca="1" si="489"/>
        <v>795700.57150669885</v>
      </c>
      <c r="AJ124" s="8">
        <f t="shared" ca="1" si="489"/>
        <v>819571.58865189983</v>
      </c>
      <c r="AK124" s="8">
        <f t="shared" ca="1" si="489"/>
        <v>844158.73631145677</v>
      </c>
      <c r="AL124" s="8">
        <f t="shared" ca="1" si="489"/>
        <v>869483.49840080051</v>
      </c>
      <c r="AM124" s="8">
        <f t="shared" ca="1" si="489"/>
        <v>895568.00335282448</v>
      </c>
    </row>
    <row r="125" spans="1:39" x14ac:dyDescent="0.2">
      <c r="A125" s="4" t="s">
        <v>27</v>
      </c>
      <c r="C125" s="8">
        <f ca="1">C122*Inputs!$B$173</f>
        <v>0</v>
      </c>
      <c r="D125" s="8">
        <f ca="1">D122*Inputs!$B$173</f>
        <v>0</v>
      </c>
      <c r="E125" s="8">
        <f ca="1">E122*Inputs!$B$173</f>
        <v>0</v>
      </c>
      <c r="F125" s="8">
        <f ca="1">F122*Inputs!$B$173</f>
        <v>0</v>
      </c>
      <c r="G125" s="8">
        <f ca="1">G122*Inputs!$B$173</f>
        <v>0</v>
      </c>
      <c r="H125" s="8">
        <f ca="1">H122*Inputs!$B$173</f>
        <v>0</v>
      </c>
      <c r="I125" s="8">
        <f ca="1">I122*Inputs!$B$173</f>
        <v>0</v>
      </c>
      <c r="J125" s="8">
        <f ca="1">J122*Inputs!$B$173</f>
        <v>0</v>
      </c>
      <c r="K125" s="8">
        <f ca="1">K122*Inputs!$B$173</f>
        <v>0</v>
      </c>
      <c r="L125" s="8">
        <f ca="1">L122*Inputs!$B$173</f>
        <v>0</v>
      </c>
      <c r="M125" s="8">
        <f ca="1">M122*Inputs!$B$173</f>
        <v>0</v>
      </c>
      <c r="N125" s="8">
        <f ca="1">N122*Inputs!$B$173</f>
        <v>0</v>
      </c>
      <c r="O125" s="8">
        <f ca="1">O122*Inputs!$B$173</f>
        <v>0</v>
      </c>
      <c r="P125" s="8">
        <f ca="1">P122*Inputs!$B$173</f>
        <v>0</v>
      </c>
      <c r="Q125" s="8">
        <f ca="1">Q122*Inputs!$B$173</f>
        <v>0</v>
      </c>
      <c r="R125" s="8">
        <f ca="1">R122*Inputs!$B$173</f>
        <v>0</v>
      </c>
      <c r="S125" s="8">
        <f ca="1">S122*Inputs!$B$173</f>
        <v>0</v>
      </c>
      <c r="T125" s="8">
        <f ca="1">T122*Inputs!$B$173</f>
        <v>0</v>
      </c>
      <c r="U125" s="8">
        <f ca="1">U122*Inputs!$B$173</f>
        <v>0</v>
      </c>
      <c r="V125" s="8">
        <f ca="1">V122*Inputs!$B$173</f>
        <v>0</v>
      </c>
      <c r="W125" s="8">
        <f ca="1">W122*Inputs!$B$173</f>
        <v>0</v>
      </c>
      <c r="X125" s="8">
        <f ca="1">X122*Inputs!$B$173</f>
        <v>0</v>
      </c>
      <c r="Y125" s="8">
        <f ca="1">Y122*Inputs!$B$173</f>
        <v>0</v>
      </c>
      <c r="Z125" s="8">
        <f ca="1">Z122*Inputs!$B$173</f>
        <v>0</v>
      </c>
      <c r="AA125" s="8">
        <f ca="1">AA122*Inputs!$B$173</f>
        <v>0</v>
      </c>
      <c r="AB125" s="8">
        <f ca="1">AB122*Inputs!$B$173</f>
        <v>0</v>
      </c>
      <c r="AC125" s="8">
        <f ca="1">AC122*Inputs!$B$173</f>
        <v>0</v>
      </c>
      <c r="AD125" s="8">
        <f ca="1">AD122*Inputs!$B$173</f>
        <v>0</v>
      </c>
      <c r="AE125" s="8">
        <f ca="1">AE122*Inputs!$B$173</f>
        <v>0</v>
      </c>
      <c r="AF125" s="8">
        <f ca="1">AF122*Inputs!$B$173</f>
        <v>0</v>
      </c>
      <c r="AG125" s="8">
        <f ca="1">AG122*Inputs!$B$173</f>
        <v>0</v>
      </c>
      <c r="AH125" s="8">
        <f ca="1">AH122*Inputs!$B$173</f>
        <v>0</v>
      </c>
      <c r="AI125" s="8">
        <f ca="1">AI122*Inputs!$B$173</f>
        <v>0</v>
      </c>
      <c r="AJ125" s="8">
        <f ca="1">AJ122*Inputs!$B$173</f>
        <v>0</v>
      </c>
      <c r="AK125" s="8">
        <f ca="1">AK122*Inputs!$B$173</f>
        <v>0</v>
      </c>
      <c r="AL125" s="8">
        <f ca="1">AL122*Inputs!$B$173</f>
        <v>0</v>
      </c>
      <c r="AM125" s="8">
        <f>AM122*Inputs!$B$173</f>
        <v>0</v>
      </c>
    </row>
    <row r="126" spans="1:39" x14ac:dyDescent="0.2">
      <c r="A126" s="4" t="s">
        <v>34</v>
      </c>
      <c r="C126" s="8">
        <f t="shared" ref="C126:I126" si="490">IFERROR(-IF(C121=0,VLOOKUP($A120,$7:$10,C$1+2,FALSE),0),0)</f>
        <v>0</v>
      </c>
      <c r="D126" s="8">
        <f t="shared" ca="1" si="490"/>
        <v>0</v>
      </c>
      <c r="E126" s="8">
        <f t="shared" ca="1" si="490"/>
        <v>0</v>
      </c>
      <c r="F126" s="8">
        <f t="shared" ca="1" si="490"/>
        <v>0</v>
      </c>
      <c r="G126" s="8">
        <f t="shared" ca="1" si="490"/>
        <v>0</v>
      </c>
      <c r="H126" s="8">
        <f t="shared" ca="1" si="490"/>
        <v>0</v>
      </c>
      <c r="I126" s="8">
        <f t="shared" ca="1" si="490"/>
        <v>0</v>
      </c>
      <c r="J126" s="8">
        <f t="shared" ref="J126:AM126" ca="1" si="491">IFERROR(-IF(J121=0,VLOOKUP($A120,$7:$10,J$1+2,FALSE),0),0)</f>
        <v>0</v>
      </c>
      <c r="K126" s="8">
        <f t="shared" ca="1" si="491"/>
        <v>0</v>
      </c>
      <c r="L126" s="8">
        <f t="shared" ca="1" si="491"/>
        <v>0</v>
      </c>
      <c r="M126" s="8">
        <f t="shared" ca="1" si="491"/>
        <v>0</v>
      </c>
      <c r="N126" s="8">
        <f t="shared" ca="1" si="491"/>
        <v>0</v>
      </c>
      <c r="O126" s="8">
        <f t="shared" ca="1" si="491"/>
        <v>0</v>
      </c>
      <c r="P126" s="8">
        <f t="shared" ca="1" si="491"/>
        <v>0</v>
      </c>
      <c r="Q126" s="8">
        <f t="shared" ca="1" si="491"/>
        <v>0</v>
      </c>
      <c r="R126" s="8">
        <f t="shared" ca="1" si="491"/>
        <v>0</v>
      </c>
      <c r="S126" s="8">
        <f t="shared" ca="1" si="491"/>
        <v>0</v>
      </c>
      <c r="T126" s="8">
        <f t="shared" ca="1" si="491"/>
        <v>0</v>
      </c>
      <c r="U126" s="8">
        <f t="shared" ca="1" si="491"/>
        <v>0</v>
      </c>
      <c r="V126" s="8">
        <f t="shared" ca="1" si="491"/>
        <v>0</v>
      </c>
      <c r="W126" s="8">
        <f t="shared" ca="1" si="491"/>
        <v>0</v>
      </c>
      <c r="X126" s="8">
        <f t="shared" ca="1" si="491"/>
        <v>0</v>
      </c>
      <c r="Y126" s="8">
        <f t="shared" ca="1" si="491"/>
        <v>0</v>
      </c>
      <c r="Z126" s="8">
        <f t="shared" ca="1" si="491"/>
        <v>0</v>
      </c>
      <c r="AA126" s="8">
        <f t="shared" ca="1" si="491"/>
        <v>0</v>
      </c>
      <c r="AB126" s="8">
        <f t="shared" ca="1" si="491"/>
        <v>0</v>
      </c>
      <c r="AC126" s="8">
        <f t="shared" ca="1" si="491"/>
        <v>0</v>
      </c>
      <c r="AD126" s="8">
        <f t="shared" ca="1" si="491"/>
        <v>0</v>
      </c>
      <c r="AE126" s="8">
        <f t="shared" ca="1" si="491"/>
        <v>0</v>
      </c>
      <c r="AF126" s="8">
        <f t="shared" ca="1" si="491"/>
        <v>0</v>
      </c>
      <c r="AG126" s="8">
        <f t="shared" ca="1" si="491"/>
        <v>0</v>
      </c>
      <c r="AH126" s="8">
        <f t="shared" ca="1" si="491"/>
        <v>0</v>
      </c>
      <c r="AI126" s="8">
        <f t="shared" ca="1" si="491"/>
        <v>0</v>
      </c>
      <c r="AJ126" s="8">
        <f t="shared" ca="1" si="491"/>
        <v>0</v>
      </c>
      <c r="AK126" s="8">
        <f t="shared" ca="1" si="491"/>
        <v>0</v>
      </c>
      <c r="AL126" s="8">
        <f t="shared" ca="1" si="491"/>
        <v>0</v>
      </c>
      <c r="AM126" s="8">
        <f t="shared" ca="1" si="491"/>
        <v>0</v>
      </c>
    </row>
    <row r="127" spans="1:39" x14ac:dyDescent="0.2">
      <c r="A127" s="4" t="s">
        <v>54</v>
      </c>
      <c r="C127" s="8">
        <f t="shared" ref="C127:I127" si="492">IFERROR(IF(C121=0,VLOOKUP($A120,$35:$38,C$1+2,FALSE),0),0)</f>
        <v>0</v>
      </c>
      <c r="D127" s="8">
        <f t="shared" ca="1" si="492"/>
        <v>0</v>
      </c>
      <c r="E127" s="8">
        <f t="shared" ca="1" si="492"/>
        <v>0</v>
      </c>
      <c r="F127" s="8">
        <f t="shared" ca="1" si="492"/>
        <v>0</v>
      </c>
      <c r="G127" s="8">
        <f t="shared" ca="1" si="492"/>
        <v>0</v>
      </c>
      <c r="H127" s="8">
        <f t="shared" ca="1" si="492"/>
        <v>0</v>
      </c>
      <c r="I127" s="8">
        <f t="shared" ca="1" si="492"/>
        <v>0</v>
      </c>
      <c r="J127" s="8">
        <f t="shared" ref="J127:AM127" ca="1" si="493">IFERROR(IF(J121=0,VLOOKUP($A120,$35:$38,J$1+2,FALSE),0),0)</f>
        <v>0</v>
      </c>
      <c r="K127" s="8">
        <f t="shared" ca="1" si="493"/>
        <v>0</v>
      </c>
      <c r="L127" s="8">
        <f t="shared" ca="1" si="493"/>
        <v>0</v>
      </c>
      <c r="M127" s="8">
        <f t="shared" ca="1" si="493"/>
        <v>0</v>
      </c>
      <c r="N127" s="8">
        <f t="shared" ca="1" si="493"/>
        <v>0</v>
      </c>
      <c r="O127" s="8">
        <f t="shared" ca="1" si="493"/>
        <v>0</v>
      </c>
      <c r="P127" s="8">
        <f t="shared" ca="1" si="493"/>
        <v>0</v>
      </c>
      <c r="Q127" s="8">
        <f t="shared" ca="1" si="493"/>
        <v>0</v>
      </c>
      <c r="R127" s="8">
        <f t="shared" ca="1" si="493"/>
        <v>0</v>
      </c>
      <c r="S127" s="8">
        <f t="shared" ca="1" si="493"/>
        <v>0</v>
      </c>
      <c r="T127" s="8">
        <f t="shared" ca="1" si="493"/>
        <v>0</v>
      </c>
      <c r="U127" s="8">
        <f t="shared" ca="1" si="493"/>
        <v>0</v>
      </c>
      <c r="V127" s="8">
        <f t="shared" ca="1" si="493"/>
        <v>0</v>
      </c>
      <c r="W127" s="8">
        <f t="shared" ca="1" si="493"/>
        <v>0</v>
      </c>
      <c r="X127" s="8">
        <f t="shared" ca="1" si="493"/>
        <v>0</v>
      </c>
      <c r="Y127" s="8">
        <f t="shared" ca="1" si="493"/>
        <v>0</v>
      </c>
      <c r="Z127" s="8">
        <f t="shared" ca="1" si="493"/>
        <v>0</v>
      </c>
      <c r="AA127" s="8">
        <f t="shared" ca="1" si="493"/>
        <v>0</v>
      </c>
      <c r="AB127" s="8">
        <f t="shared" ca="1" si="493"/>
        <v>0</v>
      </c>
      <c r="AC127" s="8">
        <f t="shared" ca="1" si="493"/>
        <v>0</v>
      </c>
      <c r="AD127" s="8">
        <f t="shared" ca="1" si="493"/>
        <v>0</v>
      </c>
      <c r="AE127" s="8">
        <f t="shared" ca="1" si="493"/>
        <v>0</v>
      </c>
      <c r="AF127" s="8">
        <f t="shared" ca="1" si="493"/>
        <v>0</v>
      </c>
      <c r="AG127" s="8">
        <f t="shared" ca="1" si="493"/>
        <v>0</v>
      </c>
      <c r="AH127" s="8">
        <f t="shared" ca="1" si="493"/>
        <v>0</v>
      </c>
      <c r="AI127" s="8">
        <f t="shared" ca="1" si="493"/>
        <v>0</v>
      </c>
      <c r="AJ127" s="8">
        <f t="shared" ca="1" si="493"/>
        <v>0</v>
      </c>
      <c r="AK127" s="8">
        <f t="shared" ca="1" si="493"/>
        <v>0</v>
      </c>
      <c r="AL127" s="8">
        <f t="shared" ca="1" si="493"/>
        <v>0</v>
      </c>
      <c r="AM127" s="8">
        <f t="shared" ca="1" si="493"/>
        <v>0</v>
      </c>
    </row>
    <row r="128" spans="1:39" x14ac:dyDescent="0.2">
      <c r="A128" s="4" t="s">
        <v>40</v>
      </c>
      <c r="B128" s="16" t="str">
        <f>A120</f>
        <v>Sliema</v>
      </c>
      <c r="C128" s="8">
        <f t="shared" ref="C128:I128" ca="1" si="494">IF(AND(C121&gt;0,C124=0),VLOOKUP($A120,$63:$66,C$1+2,FALSE),0)</f>
        <v>0</v>
      </c>
      <c r="D128" s="8">
        <f t="shared" ca="1" si="494"/>
        <v>0</v>
      </c>
      <c r="E128" s="8">
        <f t="shared" ca="1" si="494"/>
        <v>0</v>
      </c>
      <c r="F128" s="8">
        <f t="shared" ca="1" si="494"/>
        <v>0</v>
      </c>
      <c r="G128" s="8">
        <f t="shared" ca="1" si="494"/>
        <v>0</v>
      </c>
      <c r="H128" s="8">
        <f t="shared" ca="1" si="494"/>
        <v>0</v>
      </c>
      <c r="I128" s="8">
        <f t="shared" ca="1" si="494"/>
        <v>0</v>
      </c>
      <c r="J128" s="8">
        <f t="shared" ref="J128:AM128" ca="1" si="495">IF(AND(J121&gt;0,J124=0),VLOOKUP($A120,$63:$66,J$1+2,FALSE),0)</f>
        <v>0</v>
      </c>
      <c r="K128" s="8">
        <f t="shared" ca="1" si="495"/>
        <v>0</v>
      </c>
      <c r="L128" s="8">
        <f t="shared" ca="1" si="495"/>
        <v>0</v>
      </c>
      <c r="M128" s="8">
        <f t="shared" ca="1" si="495"/>
        <v>0</v>
      </c>
      <c r="N128" s="8">
        <f t="shared" ca="1" si="495"/>
        <v>0</v>
      </c>
      <c r="O128" s="8">
        <f t="shared" ca="1" si="495"/>
        <v>0</v>
      </c>
      <c r="P128" s="8">
        <f t="shared" ca="1" si="495"/>
        <v>0</v>
      </c>
      <c r="Q128" s="8">
        <f t="shared" ca="1" si="495"/>
        <v>0</v>
      </c>
      <c r="R128" s="8">
        <f t="shared" ca="1" si="495"/>
        <v>0</v>
      </c>
      <c r="S128" s="8">
        <f t="shared" ca="1" si="495"/>
        <v>0</v>
      </c>
      <c r="T128" s="8">
        <f t="shared" ca="1" si="495"/>
        <v>0</v>
      </c>
      <c r="U128" s="8">
        <f t="shared" ca="1" si="495"/>
        <v>0</v>
      </c>
      <c r="V128" s="8">
        <f t="shared" ca="1" si="495"/>
        <v>0</v>
      </c>
      <c r="W128" s="8">
        <f t="shared" ca="1" si="495"/>
        <v>0</v>
      </c>
      <c r="X128" s="8">
        <f t="shared" ca="1" si="495"/>
        <v>0</v>
      </c>
      <c r="Y128" s="8">
        <f t="shared" ca="1" si="495"/>
        <v>0</v>
      </c>
      <c r="Z128" s="8">
        <f t="shared" ca="1" si="495"/>
        <v>0</v>
      </c>
      <c r="AA128" s="8">
        <f t="shared" ca="1" si="495"/>
        <v>0</v>
      </c>
      <c r="AB128" s="8">
        <f t="shared" ca="1" si="495"/>
        <v>0</v>
      </c>
      <c r="AC128" s="8">
        <f t="shared" ca="1" si="495"/>
        <v>0</v>
      </c>
      <c r="AD128" s="8">
        <f t="shared" ca="1" si="495"/>
        <v>0</v>
      </c>
      <c r="AE128" s="8">
        <f t="shared" ca="1" si="495"/>
        <v>0</v>
      </c>
      <c r="AF128" s="8">
        <f t="shared" ca="1" si="495"/>
        <v>0</v>
      </c>
      <c r="AG128" s="8">
        <f t="shared" ca="1" si="495"/>
        <v>0</v>
      </c>
      <c r="AH128" s="8">
        <f t="shared" ca="1" si="495"/>
        <v>0</v>
      </c>
      <c r="AI128" s="8">
        <f t="shared" ca="1" si="495"/>
        <v>0</v>
      </c>
      <c r="AJ128" s="8">
        <f t="shared" ca="1" si="495"/>
        <v>0</v>
      </c>
      <c r="AK128" s="8">
        <f t="shared" ca="1" si="495"/>
        <v>0</v>
      </c>
      <c r="AL128" s="8">
        <f t="shared" ca="1" si="495"/>
        <v>0</v>
      </c>
      <c r="AM128" s="8">
        <f t="shared" ca="1" si="495"/>
        <v>0</v>
      </c>
    </row>
    <row r="129" spans="1:39" x14ac:dyDescent="0.2">
      <c r="A129" s="4" t="s">
        <v>41</v>
      </c>
      <c r="C129" s="8">
        <f ca="1">-C122+SUM(C125:C128)</f>
        <v>0</v>
      </c>
      <c r="D129" s="8">
        <f t="shared" ref="D129" ca="1" si="496">-D122+SUM(D125:D128)</f>
        <v>0</v>
      </c>
      <c r="E129" s="8">
        <f t="shared" ref="E129:G129" ca="1" si="497">-E122+SUM(E125:E128)</f>
        <v>0</v>
      </c>
      <c r="F129" s="8">
        <f t="shared" ca="1" si="497"/>
        <v>0</v>
      </c>
      <c r="G129" s="8">
        <f t="shared" ca="1" si="497"/>
        <v>0</v>
      </c>
      <c r="H129" s="8">
        <f t="shared" ref="H129:I129" ca="1" si="498">-H122+SUM(H125:H128)</f>
        <v>0</v>
      </c>
      <c r="I129" s="8">
        <f t="shared" ca="1" si="498"/>
        <v>0</v>
      </c>
      <c r="J129" s="8">
        <f t="shared" ref="J129:AM129" ca="1" si="499">-J122+SUM(J125:J128)</f>
        <v>0</v>
      </c>
      <c r="K129" s="8">
        <f t="shared" ca="1" si="499"/>
        <v>0</v>
      </c>
      <c r="L129" s="8">
        <f t="shared" ca="1" si="499"/>
        <v>0</v>
      </c>
      <c r="M129" s="8">
        <f t="shared" ca="1" si="499"/>
        <v>0</v>
      </c>
      <c r="N129" s="8">
        <f t="shared" ca="1" si="499"/>
        <v>0</v>
      </c>
      <c r="O129" s="8">
        <f t="shared" ca="1" si="499"/>
        <v>0</v>
      </c>
      <c r="P129" s="8">
        <f t="shared" ca="1" si="499"/>
        <v>0</v>
      </c>
      <c r="Q129" s="8">
        <f t="shared" ca="1" si="499"/>
        <v>0</v>
      </c>
      <c r="R129" s="8">
        <f t="shared" ca="1" si="499"/>
        <v>0</v>
      </c>
      <c r="S129" s="8">
        <f t="shared" ca="1" si="499"/>
        <v>0</v>
      </c>
      <c r="T129" s="8">
        <f t="shared" ca="1" si="499"/>
        <v>0</v>
      </c>
      <c r="U129" s="8">
        <f t="shared" ca="1" si="499"/>
        <v>0</v>
      </c>
      <c r="V129" s="8">
        <f t="shared" ca="1" si="499"/>
        <v>0</v>
      </c>
      <c r="W129" s="8">
        <f t="shared" ca="1" si="499"/>
        <v>0</v>
      </c>
      <c r="X129" s="8">
        <f t="shared" ca="1" si="499"/>
        <v>0</v>
      </c>
      <c r="Y129" s="8">
        <f t="shared" ca="1" si="499"/>
        <v>0</v>
      </c>
      <c r="Z129" s="8">
        <f t="shared" ca="1" si="499"/>
        <v>0</v>
      </c>
      <c r="AA129" s="8">
        <f t="shared" ca="1" si="499"/>
        <v>0</v>
      </c>
      <c r="AB129" s="8">
        <f t="shared" ca="1" si="499"/>
        <v>0</v>
      </c>
      <c r="AC129" s="8">
        <f t="shared" ca="1" si="499"/>
        <v>0</v>
      </c>
      <c r="AD129" s="8">
        <f t="shared" ca="1" si="499"/>
        <v>0</v>
      </c>
      <c r="AE129" s="8">
        <f t="shared" ca="1" si="499"/>
        <v>0</v>
      </c>
      <c r="AF129" s="8">
        <f t="shared" ca="1" si="499"/>
        <v>0</v>
      </c>
      <c r="AG129" s="8">
        <f t="shared" ca="1" si="499"/>
        <v>0</v>
      </c>
      <c r="AH129" s="8">
        <f t="shared" ca="1" si="499"/>
        <v>0</v>
      </c>
      <c r="AI129" s="8">
        <f t="shared" ca="1" si="499"/>
        <v>0</v>
      </c>
      <c r="AJ129" s="8">
        <f t="shared" ca="1" si="499"/>
        <v>0</v>
      </c>
      <c r="AK129" s="8">
        <f t="shared" ca="1" si="499"/>
        <v>0</v>
      </c>
      <c r="AL129" s="8">
        <f t="shared" ca="1" si="499"/>
        <v>0</v>
      </c>
      <c r="AM129" s="8">
        <f t="shared" ca="1" si="499"/>
        <v>0</v>
      </c>
    </row>
    <row r="130" spans="1:39" x14ac:dyDescent="0.2">
      <c r="A130" s="4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</row>
    <row r="131" spans="1:39" x14ac:dyDescent="0.2">
      <c r="A131" s="4" t="s">
        <v>87</v>
      </c>
      <c r="C131" s="8">
        <f ca="1">C117+SUM($C129:C129)</f>
        <v>30325.5</v>
      </c>
      <c r="D131" s="8">
        <f ca="1">D117+SUM($C129:D129)</f>
        <v>53777.462499999994</v>
      </c>
      <c r="E131" s="8">
        <f ca="1">E117+SUM($C129:E129)</f>
        <v>57139.486875000017</v>
      </c>
      <c r="F131" s="8">
        <f ca="1">F117+SUM($C129:F129)</f>
        <v>94700.221659424511</v>
      </c>
      <c r="G131" s="8">
        <f ca="1">G117+SUM($C129:G129)</f>
        <v>136857.58117608592</v>
      </c>
      <c r="H131" s="8">
        <f ca="1">H117+SUM($C129:H129)</f>
        <v>192940.55481327066</v>
      </c>
      <c r="I131" s="8">
        <f ca="1">I117+SUM($C129:I129)</f>
        <v>259079.68847966078</v>
      </c>
      <c r="J131" s="8">
        <f ca="1">J117+SUM($C129:J129)</f>
        <v>311159.02647140576</v>
      </c>
      <c r="K131" s="8">
        <f ca="1">K117+SUM($C129:K129)</f>
        <v>446975.96679276077</v>
      </c>
      <c r="L131" s="8">
        <f ca="1">L117+SUM($C129:L129)</f>
        <v>494347.38007362408</v>
      </c>
      <c r="M131" s="8">
        <f ca="1">M117+SUM($C129:M129)</f>
        <v>597505.5965587711</v>
      </c>
      <c r="N131" s="8">
        <f ca="1">N117+SUM($C129:N129)</f>
        <v>706236.15018937679</v>
      </c>
      <c r="O131" s="8">
        <f ca="1">O117+SUM($C129:O129)</f>
        <v>820775.63574042323</v>
      </c>
      <c r="P131" s="8">
        <f ca="1">P117+SUM($C129:P129)</f>
        <v>941369.66856901604</v>
      </c>
      <c r="Q131" s="8">
        <f ca="1">Q117+SUM($C129:Q129)</f>
        <v>1068273.207978379</v>
      </c>
      <c r="R131" s="8">
        <f ca="1">R117+SUM($C129:R129)</f>
        <v>1201750.8917183832</v>
      </c>
      <c r="S131" s="8">
        <f ca="1">S117+SUM($C129:S129)</f>
        <v>1236145.15148322</v>
      </c>
      <c r="T131" s="8">
        <f ca="1">T117+SUM($C129:T129)</f>
        <v>1279429.9371666219</v>
      </c>
      <c r="U131" s="8">
        <f ca="1">U117+SUM($C129:U129)</f>
        <v>1324332.3976486681</v>
      </c>
      <c r="V131" s="8">
        <f ca="1">V117+SUM($C129:V129)</f>
        <v>1370913.8944652632</v>
      </c>
      <c r="W131" s="8">
        <f ca="1">W117+SUM($C129:W129)</f>
        <v>1419238.0721059688</v>
      </c>
      <c r="X131" s="8">
        <f ca="1">X117+SUM($C129:X129)</f>
        <v>1448964.0210951678</v>
      </c>
      <c r="Y131" s="8">
        <f ca="1">Y117+SUM($C129:Y129)</f>
        <v>1479546.775976839</v>
      </c>
      <c r="Z131" s="8">
        <f ca="1">Z117+SUM($C129:Z129)</f>
        <v>1511019.07429463</v>
      </c>
      <c r="AA131" s="8">
        <f ca="1">AA117+SUM($C129:AA129)</f>
        <v>1543415.0092447023</v>
      </c>
      <c r="AB131" s="8">
        <f ca="1">AB117+SUM($C129:AB129)</f>
        <v>1576770.0846257627</v>
      </c>
      <c r="AC131" s="8">
        <f ca="1">AC117+SUM($C129:AC129)</f>
        <v>1611121.2719181646</v>
      </c>
      <c r="AD131" s="8">
        <f ca="1">AD117+SUM($C129:AD129)</f>
        <v>1656367.8071636958</v>
      </c>
      <c r="AE131" s="8">
        <f ca="1">AE117+SUM($C129:AE129)</f>
        <v>1703182.0766442758</v>
      </c>
      <c r="AF131" s="8">
        <f ca="1">AF117+SUM($C129:AF129)</f>
        <v>1751624.3087351602</v>
      </c>
      <c r="AG131" s="8">
        <f ca="1">AG117+SUM($C129:AG129)</f>
        <v>1801757.0670189112</v>
      </c>
      <c r="AH131" s="8">
        <f ca="1">AH117+SUM($C129:AH129)</f>
        <v>1853645.3385117024</v>
      </c>
      <c r="AI131" s="8">
        <f ca="1">AI117+SUM($C129:AI129)</f>
        <v>1907356.6251146924</v>
      </c>
      <c r="AJ131" s="8">
        <f ca="1">AJ117+SUM($C129:AJ129)</f>
        <v>1962961.0384047818</v>
      </c>
      <c r="AK131" s="8">
        <f ca="1">AK117+SUM($C129:AK129)</f>
        <v>2020531.3978830043</v>
      </c>
      <c r="AL131" s="8">
        <f ca="1">AL117+SUM($C129:AL129)</f>
        <v>2080143.3328028899</v>
      </c>
      <c r="AM131" s="8">
        <f ca="1">AM117+SUM($C129:AM129)</f>
        <v>2141875.3877053508</v>
      </c>
    </row>
    <row r="132" spans="1:39" x14ac:dyDescent="0.2">
      <c r="A132" s="4" t="s">
        <v>84</v>
      </c>
      <c r="C132" s="8">
        <f t="shared" ref="C132:I132" ca="1" si="500">MAX(C131+buffer,0)-MAX(C117+buffer,0)</f>
        <v>0</v>
      </c>
      <c r="D132" s="8">
        <f t="shared" ca="1" si="500"/>
        <v>0</v>
      </c>
      <c r="E132" s="8">
        <f t="shared" ca="1" si="500"/>
        <v>0</v>
      </c>
      <c r="F132" s="8">
        <f t="shared" ca="1" si="500"/>
        <v>0</v>
      </c>
      <c r="G132" s="8">
        <f t="shared" ca="1" si="500"/>
        <v>0</v>
      </c>
      <c r="H132" s="8">
        <f t="shared" ca="1" si="500"/>
        <v>0</v>
      </c>
      <c r="I132" s="8">
        <f t="shared" ca="1" si="500"/>
        <v>0</v>
      </c>
      <c r="J132" s="8">
        <f t="shared" ref="J132:AM132" ca="1" si="501">MAX(J131+buffer,0)-MAX(J117+buffer,0)</f>
        <v>0</v>
      </c>
      <c r="K132" s="8">
        <f t="shared" ca="1" si="501"/>
        <v>0</v>
      </c>
      <c r="L132" s="8">
        <f t="shared" ca="1" si="501"/>
        <v>0</v>
      </c>
      <c r="M132" s="8">
        <f t="shared" ca="1" si="501"/>
        <v>0</v>
      </c>
      <c r="N132" s="8">
        <f t="shared" ca="1" si="501"/>
        <v>0</v>
      </c>
      <c r="O132" s="8">
        <f t="shared" ca="1" si="501"/>
        <v>0</v>
      </c>
      <c r="P132" s="8">
        <f t="shared" ca="1" si="501"/>
        <v>0</v>
      </c>
      <c r="Q132" s="8">
        <f t="shared" ca="1" si="501"/>
        <v>0</v>
      </c>
      <c r="R132" s="8">
        <f t="shared" ca="1" si="501"/>
        <v>0</v>
      </c>
      <c r="S132" s="8">
        <f t="shared" ca="1" si="501"/>
        <v>0</v>
      </c>
      <c r="T132" s="8">
        <f t="shared" ca="1" si="501"/>
        <v>0</v>
      </c>
      <c r="U132" s="8">
        <f t="shared" ca="1" si="501"/>
        <v>0</v>
      </c>
      <c r="V132" s="8">
        <f t="shared" ca="1" si="501"/>
        <v>0</v>
      </c>
      <c r="W132" s="8">
        <f t="shared" ca="1" si="501"/>
        <v>0</v>
      </c>
      <c r="X132" s="8">
        <f t="shared" ca="1" si="501"/>
        <v>0</v>
      </c>
      <c r="Y132" s="8">
        <f t="shared" ca="1" si="501"/>
        <v>0</v>
      </c>
      <c r="Z132" s="8">
        <f t="shared" ca="1" si="501"/>
        <v>0</v>
      </c>
      <c r="AA132" s="8">
        <f t="shared" ca="1" si="501"/>
        <v>0</v>
      </c>
      <c r="AB132" s="8">
        <f t="shared" ca="1" si="501"/>
        <v>0</v>
      </c>
      <c r="AC132" s="8">
        <f t="shared" ca="1" si="501"/>
        <v>0</v>
      </c>
      <c r="AD132" s="8">
        <f t="shared" ca="1" si="501"/>
        <v>0</v>
      </c>
      <c r="AE132" s="8">
        <f t="shared" ca="1" si="501"/>
        <v>0</v>
      </c>
      <c r="AF132" s="8">
        <f t="shared" ca="1" si="501"/>
        <v>0</v>
      </c>
      <c r="AG132" s="8">
        <f t="shared" ca="1" si="501"/>
        <v>0</v>
      </c>
      <c r="AH132" s="8">
        <f t="shared" ca="1" si="501"/>
        <v>0</v>
      </c>
      <c r="AI132" s="8">
        <f t="shared" ca="1" si="501"/>
        <v>0</v>
      </c>
      <c r="AJ132" s="8">
        <f t="shared" ca="1" si="501"/>
        <v>0</v>
      </c>
      <c r="AK132" s="8">
        <f t="shared" ca="1" si="501"/>
        <v>0</v>
      </c>
      <c r="AL132" s="8">
        <f t="shared" ca="1" si="501"/>
        <v>0</v>
      </c>
      <c r="AM132" s="8">
        <f t="shared" ca="1" si="501"/>
        <v>0</v>
      </c>
    </row>
    <row r="133" spans="1:39" x14ac:dyDescent="0.2">
      <c r="A133" s="4" t="s">
        <v>85</v>
      </c>
      <c r="C133" s="8">
        <f ca="1">C132*Inputs!$B$159</f>
        <v>0</v>
      </c>
      <c r="D133" s="8">
        <f ca="1">D132*Inputs!$B$159</f>
        <v>0</v>
      </c>
      <c r="E133" s="8">
        <f ca="1">E132*Inputs!$B$159</f>
        <v>0</v>
      </c>
      <c r="F133" s="8">
        <f ca="1">F132*Inputs!$B$159</f>
        <v>0</v>
      </c>
      <c r="G133" s="8">
        <f ca="1">G132*Inputs!$B$159</f>
        <v>0</v>
      </c>
      <c r="H133" s="8">
        <f ca="1">H132*Inputs!$B$159</f>
        <v>0</v>
      </c>
      <c r="I133" s="8">
        <f ca="1">I132*Inputs!$B$159</f>
        <v>0</v>
      </c>
      <c r="J133" s="8">
        <f ca="1">J132*Inputs!$B$159</f>
        <v>0</v>
      </c>
      <c r="K133" s="8">
        <f ca="1">K132*Inputs!$B$159</f>
        <v>0</v>
      </c>
      <c r="L133" s="8">
        <f ca="1">L132*Inputs!$B$159</f>
        <v>0</v>
      </c>
      <c r="M133" s="8">
        <f ca="1">M132*Inputs!$B$159</f>
        <v>0</v>
      </c>
      <c r="N133" s="8">
        <f ca="1">N132*Inputs!$B$159</f>
        <v>0</v>
      </c>
      <c r="O133" s="8">
        <f ca="1">O132*Inputs!$B$159</f>
        <v>0</v>
      </c>
      <c r="P133" s="8">
        <f ca="1">P132*Inputs!$B$159</f>
        <v>0</v>
      </c>
      <c r="Q133" s="8">
        <f ca="1">Q132*Inputs!$B$159</f>
        <v>0</v>
      </c>
      <c r="R133" s="8">
        <f ca="1">R132*Inputs!$B$159</f>
        <v>0</v>
      </c>
      <c r="S133" s="8">
        <f ca="1">S132*Inputs!$B$159</f>
        <v>0</v>
      </c>
      <c r="T133" s="8">
        <f ca="1">T132*Inputs!$B$159</f>
        <v>0</v>
      </c>
      <c r="U133" s="8">
        <f ca="1">U132*Inputs!$B$159</f>
        <v>0</v>
      </c>
      <c r="V133" s="8">
        <f ca="1">V132*Inputs!$B$159</f>
        <v>0</v>
      </c>
      <c r="W133" s="8">
        <f ca="1">W132*Inputs!$B$159</f>
        <v>0</v>
      </c>
      <c r="X133" s="8">
        <f ca="1">X132*Inputs!$B$159</f>
        <v>0</v>
      </c>
      <c r="Y133" s="8">
        <f ca="1">Y132*Inputs!$B$159</f>
        <v>0</v>
      </c>
      <c r="Z133" s="8">
        <f ca="1">Z132*Inputs!$B$159</f>
        <v>0</v>
      </c>
      <c r="AA133" s="8">
        <f ca="1">AA132*Inputs!$B$159</f>
        <v>0</v>
      </c>
      <c r="AB133" s="8">
        <f ca="1">AB132*Inputs!$B$159</f>
        <v>0</v>
      </c>
      <c r="AC133" s="8">
        <f ca="1">AC132*Inputs!$B$159</f>
        <v>0</v>
      </c>
      <c r="AD133" s="8">
        <f ca="1">AD132*Inputs!$B$159</f>
        <v>0</v>
      </c>
      <c r="AE133" s="8">
        <f ca="1">AE132*Inputs!$B$159</f>
        <v>0</v>
      </c>
      <c r="AF133" s="8">
        <f ca="1">AF132*Inputs!$B$159</f>
        <v>0</v>
      </c>
      <c r="AG133" s="8">
        <f ca="1">AG132*Inputs!$B$159</f>
        <v>0</v>
      </c>
      <c r="AH133" s="8">
        <f ca="1">AH132*Inputs!$B$159</f>
        <v>0</v>
      </c>
      <c r="AI133" s="8">
        <f ca="1">AI132*Inputs!$B$159</f>
        <v>0</v>
      </c>
      <c r="AJ133" s="8">
        <f ca="1">AJ132*Inputs!$B$159</f>
        <v>0</v>
      </c>
      <c r="AK133" s="8">
        <f ca="1">AK132*Inputs!$B$159</f>
        <v>0</v>
      </c>
      <c r="AL133" s="8">
        <f ca="1">AL132*Inputs!$B$159</f>
        <v>0</v>
      </c>
      <c r="AM133" s="8">
        <f ca="1">AM132*Inputs!$B$159</f>
        <v>0</v>
      </c>
    </row>
    <row r="134" spans="1:39" x14ac:dyDescent="0.2">
      <c r="A134" s="4" t="s">
        <v>168</v>
      </c>
      <c r="C134" s="8">
        <f ca="1">C131+SUM($C133:C133)</f>
        <v>30325.5</v>
      </c>
      <c r="D134" s="8">
        <f ca="1">D131+SUM($C133:D133)</f>
        <v>53777.462499999994</v>
      </c>
      <c r="E134" s="8">
        <f ca="1">E131+SUM($C133:E133)</f>
        <v>57139.486875000017</v>
      </c>
      <c r="F134" s="8">
        <f ca="1">F131+SUM($C133:F133)</f>
        <v>94700.221659424511</v>
      </c>
      <c r="G134" s="8">
        <f ca="1">G131+SUM($C133:G133)</f>
        <v>136857.58117608592</v>
      </c>
      <c r="H134" s="8">
        <f ca="1">H131+SUM($C133:H133)</f>
        <v>192940.55481327066</v>
      </c>
      <c r="I134" s="8">
        <f ca="1">I131+SUM($C133:I133)</f>
        <v>259079.68847966078</v>
      </c>
      <c r="J134" s="8">
        <f ca="1">J131+SUM($C133:J133)</f>
        <v>311159.02647140576</v>
      </c>
      <c r="K134" s="8">
        <f ca="1">K131+SUM($C133:K133)</f>
        <v>446975.96679276077</v>
      </c>
      <c r="L134" s="8">
        <f ca="1">L131+SUM($C133:L133)</f>
        <v>494347.38007362408</v>
      </c>
      <c r="M134" s="8">
        <f ca="1">M131+SUM($C133:M133)</f>
        <v>597505.5965587711</v>
      </c>
      <c r="N134" s="8">
        <f ca="1">N131+SUM($C133:N133)</f>
        <v>706236.15018937679</v>
      </c>
      <c r="O134" s="8">
        <f ca="1">O131+SUM($C133:O133)</f>
        <v>820775.63574042323</v>
      </c>
      <c r="P134" s="8">
        <f ca="1">P131+SUM($C133:P133)</f>
        <v>941369.66856901604</v>
      </c>
      <c r="Q134" s="8">
        <f ca="1">Q131+SUM($C133:Q133)</f>
        <v>1068273.207978379</v>
      </c>
      <c r="R134" s="8">
        <f ca="1">R131+SUM($C133:R133)</f>
        <v>1201750.8917183832</v>
      </c>
      <c r="S134" s="8">
        <f ca="1">S131+SUM($C133:S133)</f>
        <v>1236145.15148322</v>
      </c>
      <c r="T134" s="8">
        <f ca="1">T131+SUM($C133:T133)</f>
        <v>1279429.9371666219</v>
      </c>
      <c r="U134" s="8">
        <f ca="1">U131+SUM($C133:U133)</f>
        <v>1324332.3976486681</v>
      </c>
      <c r="V134" s="8">
        <f ca="1">V131+SUM($C133:V133)</f>
        <v>1370913.8944652632</v>
      </c>
      <c r="W134" s="8">
        <f ca="1">W131+SUM($C133:W133)</f>
        <v>1419238.0721059688</v>
      </c>
      <c r="X134" s="8">
        <f ca="1">X131+SUM($C133:X133)</f>
        <v>1448964.0210951678</v>
      </c>
      <c r="Y134" s="8">
        <f ca="1">Y131+SUM($C133:Y133)</f>
        <v>1479546.775976839</v>
      </c>
      <c r="Z134" s="8">
        <f ca="1">Z131+SUM($C133:Z133)</f>
        <v>1511019.07429463</v>
      </c>
      <c r="AA134" s="8">
        <f ca="1">AA131+SUM($C133:AA133)</f>
        <v>1543415.0092447023</v>
      </c>
      <c r="AB134" s="8">
        <f ca="1">AB131+SUM($C133:AB133)</f>
        <v>1576770.0846257627</v>
      </c>
      <c r="AC134" s="8">
        <f ca="1">AC131+SUM($C133:AC133)</f>
        <v>1611121.2719181646</v>
      </c>
      <c r="AD134" s="8">
        <f ca="1">AD131+SUM($C133:AD133)</f>
        <v>1656367.8071636958</v>
      </c>
      <c r="AE134" s="8">
        <f ca="1">AE131+SUM($C133:AE133)</f>
        <v>1703182.0766442758</v>
      </c>
      <c r="AF134" s="8">
        <f ca="1">AF131+SUM($C133:AF133)</f>
        <v>1751624.3087351602</v>
      </c>
      <c r="AG134" s="8">
        <f ca="1">AG131+SUM($C133:AG133)</f>
        <v>1801757.0670189112</v>
      </c>
      <c r="AH134" s="8">
        <f ca="1">AH131+SUM($C133:AH133)</f>
        <v>1853645.3385117024</v>
      </c>
      <c r="AI134" s="8">
        <f ca="1">AI131+SUM($C133:AI133)</f>
        <v>1907356.6251146924</v>
      </c>
      <c r="AJ134" s="8">
        <f ca="1">AJ131+SUM($C133:AJ133)</f>
        <v>1962961.0384047818</v>
      </c>
      <c r="AK134" s="8">
        <f ca="1">AK131+SUM($C133:AK133)</f>
        <v>2020531.3978830043</v>
      </c>
      <c r="AL134" s="8">
        <f ca="1">AL131+SUM($C133:AL133)</f>
        <v>2080143.3328028899</v>
      </c>
      <c r="AM134" s="8">
        <f ca="1">AM131+SUM($C133:AM133)</f>
        <v>2141875.3877053508</v>
      </c>
    </row>
    <row r="135" spans="1:39" x14ac:dyDescent="0.2">
      <c r="A135" s="4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</row>
    <row r="136" spans="1:39" x14ac:dyDescent="0.2">
      <c r="A136" s="4" t="s">
        <v>166</v>
      </c>
      <c r="C136" s="8">
        <f t="shared" ref="C136:I136" ca="1" si="502">C134+buffer</f>
        <v>70325.5</v>
      </c>
      <c r="D136" s="8">
        <f t="shared" ca="1" si="502"/>
        <v>93777.462499999994</v>
      </c>
      <c r="E136" s="8">
        <f t="shared" ca="1" si="502"/>
        <v>97139.486875000017</v>
      </c>
      <c r="F136" s="8">
        <f t="shared" ca="1" si="502"/>
        <v>134700.22165942451</v>
      </c>
      <c r="G136" s="8">
        <f t="shared" ca="1" si="502"/>
        <v>176857.58117608592</v>
      </c>
      <c r="H136" s="8">
        <f t="shared" ca="1" si="502"/>
        <v>232940.55481327066</v>
      </c>
      <c r="I136" s="8">
        <f t="shared" ca="1" si="502"/>
        <v>299079.68847966078</v>
      </c>
      <c r="J136" s="8">
        <f t="shared" ref="J136:AM136" ca="1" si="503">J134+buffer</f>
        <v>351159.02647140576</v>
      </c>
      <c r="K136" s="8">
        <f t="shared" ca="1" si="503"/>
        <v>486975.96679276077</v>
      </c>
      <c r="L136" s="8">
        <f t="shared" ca="1" si="503"/>
        <v>534347.38007362408</v>
      </c>
      <c r="M136" s="8">
        <f t="shared" ca="1" si="503"/>
        <v>637505.5965587711</v>
      </c>
      <c r="N136" s="8">
        <f t="shared" ca="1" si="503"/>
        <v>746236.15018937679</v>
      </c>
      <c r="O136" s="8">
        <f t="shared" ca="1" si="503"/>
        <v>860775.63574042323</v>
      </c>
      <c r="P136" s="8">
        <f t="shared" ca="1" si="503"/>
        <v>981369.66856901604</v>
      </c>
      <c r="Q136" s="8">
        <f t="shared" ca="1" si="503"/>
        <v>1108273.207978379</v>
      </c>
      <c r="R136" s="8">
        <f t="shared" ca="1" si="503"/>
        <v>1241750.8917183832</v>
      </c>
      <c r="S136" s="8">
        <f t="shared" ca="1" si="503"/>
        <v>1276145.15148322</v>
      </c>
      <c r="T136" s="8">
        <f t="shared" ca="1" si="503"/>
        <v>1319429.9371666219</v>
      </c>
      <c r="U136" s="8">
        <f t="shared" ca="1" si="503"/>
        <v>1364332.3976486681</v>
      </c>
      <c r="V136" s="8">
        <f t="shared" ca="1" si="503"/>
        <v>1410913.8944652632</v>
      </c>
      <c r="W136" s="8">
        <f t="shared" ca="1" si="503"/>
        <v>1459238.0721059688</v>
      </c>
      <c r="X136" s="8">
        <f t="shared" ca="1" si="503"/>
        <v>1488964.0210951678</v>
      </c>
      <c r="Y136" s="8">
        <f t="shared" ca="1" si="503"/>
        <v>1519546.775976839</v>
      </c>
      <c r="Z136" s="8">
        <f t="shared" ca="1" si="503"/>
        <v>1551019.07429463</v>
      </c>
      <c r="AA136" s="8">
        <f t="shared" ca="1" si="503"/>
        <v>1583415.0092447023</v>
      </c>
      <c r="AB136" s="8">
        <f t="shared" ca="1" si="503"/>
        <v>1616770.0846257627</v>
      </c>
      <c r="AC136" s="8">
        <f t="shared" ca="1" si="503"/>
        <v>1651121.2719181646</v>
      </c>
      <c r="AD136" s="8">
        <f t="shared" ca="1" si="503"/>
        <v>1696367.8071636958</v>
      </c>
      <c r="AE136" s="8">
        <f t="shared" ca="1" si="503"/>
        <v>1743182.0766442758</v>
      </c>
      <c r="AF136" s="8">
        <f t="shared" ca="1" si="503"/>
        <v>1791624.3087351602</v>
      </c>
      <c r="AG136" s="8">
        <f t="shared" ca="1" si="503"/>
        <v>1841757.0670189112</v>
      </c>
      <c r="AH136" s="8">
        <f t="shared" ca="1" si="503"/>
        <v>1893645.3385117024</v>
      </c>
      <c r="AI136" s="8">
        <f t="shared" ca="1" si="503"/>
        <v>1947356.6251146924</v>
      </c>
      <c r="AJ136" s="8">
        <f t="shared" ca="1" si="503"/>
        <v>2002961.0384047818</v>
      </c>
      <c r="AK136" s="8">
        <f t="shared" ca="1" si="503"/>
        <v>2060531.3978830043</v>
      </c>
      <c r="AL136" s="8">
        <f t="shared" ca="1" si="503"/>
        <v>2120143.3328028899</v>
      </c>
      <c r="AM136" s="8">
        <f t="shared" ca="1" si="503"/>
        <v>2181875.3877053508</v>
      </c>
    </row>
    <row r="137" spans="1:39" x14ac:dyDescent="0.2">
      <c r="A137" s="5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</row>
    <row r="138" spans="1:39" x14ac:dyDescent="0.2">
      <c r="A138" s="34" t="s">
        <v>66</v>
      </c>
      <c r="B138" s="31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</row>
    <row r="139" spans="1:39" x14ac:dyDescent="0.2">
      <c r="A139" s="4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</row>
    <row r="140" spans="1:39" x14ac:dyDescent="0.2">
      <c r="A140" s="20" t="s">
        <v>69</v>
      </c>
      <c r="B140" s="21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</row>
    <row r="141" spans="1:39" x14ac:dyDescent="0.2">
      <c r="A141" s="24" t="str">
        <f>B$94</f>
        <v>Gzira</v>
      </c>
      <c r="B141" s="21"/>
      <c r="C141" s="22">
        <f ca="1">SUM($C88:C88)</f>
        <v>0</v>
      </c>
      <c r="D141" s="22">
        <f ca="1">SUM($C88:D88)</f>
        <v>0</v>
      </c>
      <c r="E141" s="22">
        <f ca="1">SUM($C88:E88)</f>
        <v>0</v>
      </c>
      <c r="F141" s="22">
        <f ca="1">SUM($C88:F88)</f>
        <v>0</v>
      </c>
      <c r="G141" s="22">
        <f ca="1">SUM($C88:G88)</f>
        <v>0</v>
      </c>
      <c r="H141" s="22">
        <f ca="1">SUM($C88:H88)</f>
        <v>0</v>
      </c>
      <c r="I141" s="22">
        <f ca="1">SUM($C88:I88)</f>
        <v>0</v>
      </c>
      <c r="J141" s="22">
        <f ca="1">SUM($C88:J88)</f>
        <v>0</v>
      </c>
      <c r="K141" s="22">
        <f ca="1">SUM($C88:K88)</f>
        <v>0</v>
      </c>
      <c r="L141" s="22">
        <f ca="1">SUM($C88:L88)</f>
        <v>0</v>
      </c>
      <c r="M141" s="22">
        <f ca="1">SUM($C88:M88)</f>
        <v>0</v>
      </c>
      <c r="N141" s="22">
        <f ca="1">SUM($C88:N88)</f>
        <v>0</v>
      </c>
      <c r="O141" s="22">
        <f ca="1">SUM($C88:O88)</f>
        <v>0</v>
      </c>
      <c r="P141" s="22">
        <f ca="1">SUM($C88:P88)</f>
        <v>0</v>
      </c>
      <c r="Q141" s="22">
        <f ca="1">SUM($C88:Q88)</f>
        <v>0</v>
      </c>
      <c r="R141" s="22">
        <f ca="1">SUM($C88:R88)</f>
        <v>0</v>
      </c>
      <c r="S141" s="22">
        <f ca="1">SUM($C88:S88)</f>
        <v>0</v>
      </c>
      <c r="T141" s="22">
        <f ca="1">SUM($C88:T88)</f>
        <v>0</v>
      </c>
      <c r="U141" s="22">
        <f ca="1">SUM($C88:U88)</f>
        <v>0</v>
      </c>
      <c r="V141" s="22">
        <f ca="1">SUM($C88:V88)</f>
        <v>0</v>
      </c>
      <c r="W141" s="22">
        <f ca="1">SUM($C88:W88)</f>
        <v>0</v>
      </c>
      <c r="X141" s="22">
        <f ca="1">SUM($C88:X88)</f>
        <v>0</v>
      </c>
      <c r="Y141" s="22">
        <f ca="1">SUM($C88:Y88)</f>
        <v>0</v>
      </c>
      <c r="Z141" s="22">
        <f ca="1">SUM($C88:Z88)</f>
        <v>0</v>
      </c>
      <c r="AA141" s="22">
        <f ca="1">SUM($C88:AA88)</f>
        <v>0</v>
      </c>
      <c r="AB141" s="22">
        <f ca="1">SUM($C88:AB88)</f>
        <v>0</v>
      </c>
      <c r="AC141" s="22">
        <f ca="1">SUM($C88:AC88)</f>
        <v>0</v>
      </c>
      <c r="AD141" s="22">
        <f ca="1">SUM($C88:AD88)</f>
        <v>0</v>
      </c>
      <c r="AE141" s="22">
        <f ca="1">SUM($C88:AE88)</f>
        <v>0</v>
      </c>
      <c r="AF141" s="22">
        <f ca="1">SUM($C88:AF88)</f>
        <v>0</v>
      </c>
      <c r="AG141" s="22">
        <f ca="1">SUM($C88:AG88)</f>
        <v>0</v>
      </c>
      <c r="AH141" s="22">
        <f ca="1">SUM($C88:AH88)</f>
        <v>0</v>
      </c>
      <c r="AI141" s="22">
        <f ca="1">SUM($C88:AI88)</f>
        <v>0</v>
      </c>
      <c r="AJ141" s="22">
        <f ca="1">SUM($C88:AJ88)</f>
        <v>0</v>
      </c>
      <c r="AK141" s="22">
        <f ca="1">SUM($C88:AK88)</f>
        <v>0</v>
      </c>
      <c r="AL141" s="22">
        <f ca="1">SUM($C88:AL88)</f>
        <v>0</v>
      </c>
      <c r="AM141" s="22">
        <f ca="1">SUM($C88:AM88)</f>
        <v>0</v>
      </c>
    </row>
    <row r="142" spans="1:39" x14ac:dyDescent="0.2">
      <c r="A142" s="24" t="str">
        <f>B$111</f>
        <v>Qormi</v>
      </c>
      <c r="B142" s="21"/>
      <c r="C142" s="22">
        <f ca="1">SUM($C105:C105)</f>
        <v>0</v>
      </c>
      <c r="D142" s="22">
        <f ca="1">SUM($C105:D105)</f>
        <v>0</v>
      </c>
      <c r="E142" s="22">
        <f ca="1">SUM($C105:E105)</f>
        <v>0</v>
      </c>
      <c r="F142" s="22">
        <f ca="1">SUM($C105:F105)</f>
        <v>0</v>
      </c>
      <c r="G142" s="22">
        <f ca="1">SUM($C105:G105)</f>
        <v>0</v>
      </c>
      <c r="H142" s="22">
        <f ca="1">SUM($C105:H105)</f>
        <v>0</v>
      </c>
      <c r="I142" s="22">
        <f ca="1">SUM($C105:I105)</f>
        <v>0</v>
      </c>
      <c r="J142" s="22">
        <f ca="1">SUM($C105:J105)</f>
        <v>0</v>
      </c>
      <c r="K142" s="22">
        <f ca="1">SUM($C105:K105)</f>
        <v>0</v>
      </c>
      <c r="L142" s="22">
        <f ca="1">SUM($C105:L105)</f>
        <v>0</v>
      </c>
      <c r="M142" s="22">
        <f ca="1">SUM($C105:M105)</f>
        <v>0</v>
      </c>
      <c r="N142" s="22">
        <f ca="1">SUM($C105:N105)</f>
        <v>0</v>
      </c>
      <c r="O142" s="22">
        <f ca="1">SUM($C105:O105)</f>
        <v>0</v>
      </c>
      <c r="P142" s="22">
        <f ca="1">SUM($C105:P105)</f>
        <v>0</v>
      </c>
      <c r="Q142" s="22">
        <f ca="1">SUM($C105:Q105)</f>
        <v>0</v>
      </c>
      <c r="R142" s="22">
        <f ca="1">SUM($C105:R105)</f>
        <v>0</v>
      </c>
      <c r="S142" s="22">
        <f ca="1">SUM($C105:S105)</f>
        <v>0</v>
      </c>
      <c r="T142" s="22">
        <f ca="1">SUM($C105:T105)</f>
        <v>0</v>
      </c>
      <c r="U142" s="22">
        <f ca="1">SUM($C105:U105)</f>
        <v>0</v>
      </c>
      <c r="V142" s="22">
        <f ca="1">SUM($C105:V105)</f>
        <v>0</v>
      </c>
      <c r="W142" s="22">
        <f ca="1">SUM($C105:W105)</f>
        <v>0</v>
      </c>
      <c r="X142" s="22">
        <f ca="1">SUM($C105:X105)</f>
        <v>0</v>
      </c>
      <c r="Y142" s="22">
        <f ca="1">SUM($C105:Y105)</f>
        <v>0</v>
      </c>
      <c r="Z142" s="22">
        <f ca="1">SUM($C105:Z105)</f>
        <v>0</v>
      </c>
      <c r="AA142" s="22">
        <f ca="1">SUM($C105:AA105)</f>
        <v>0</v>
      </c>
      <c r="AB142" s="22">
        <f ca="1">SUM($C105:AB105)</f>
        <v>0</v>
      </c>
      <c r="AC142" s="22">
        <f ca="1">SUM($C105:AC105)</f>
        <v>0</v>
      </c>
      <c r="AD142" s="22">
        <f ca="1">SUM($C105:AD105)</f>
        <v>0</v>
      </c>
      <c r="AE142" s="22">
        <f ca="1">SUM($C105:AE105)</f>
        <v>0</v>
      </c>
      <c r="AF142" s="22">
        <f ca="1">SUM($C105:AF105)</f>
        <v>0</v>
      </c>
      <c r="AG142" s="22">
        <f ca="1">SUM($C105:AG105)</f>
        <v>0</v>
      </c>
      <c r="AH142" s="22">
        <f ca="1">SUM($C105:AH105)</f>
        <v>0</v>
      </c>
      <c r="AI142" s="22">
        <f ca="1">SUM($C105:AI105)</f>
        <v>0</v>
      </c>
      <c r="AJ142" s="22">
        <f ca="1">SUM($C105:AJ105)</f>
        <v>0</v>
      </c>
      <c r="AK142" s="22">
        <f ca="1">SUM($C105:AK105)</f>
        <v>0</v>
      </c>
      <c r="AL142" s="22">
        <f ca="1">SUM($C105:AL105)</f>
        <v>0</v>
      </c>
      <c r="AM142" s="22">
        <f ca="1">SUM($C105:AM105)</f>
        <v>0</v>
      </c>
    </row>
    <row r="143" spans="1:39" x14ac:dyDescent="0.2">
      <c r="A143" s="24" t="str">
        <f>B$128</f>
        <v>Sliema</v>
      </c>
      <c r="B143" s="21"/>
      <c r="C143" s="22">
        <f ca="1">SUM($C122:C122)</f>
        <v>0</v>
      </c>
      <c r="D143" s="22">
        <f ca="1">SUM($C122:D122)</f>
        <v>0</v>
      </c>
      <c r="E143" s="22">
        <f ca="1">SUM($C122:E122)</f>
        <v>0</v>
      </c>
      <c r="F143" s="22">
        <f ca="1">SUM($C122:F122)</f>
        <v>0</v>
      </c>
      <c r="G143" s="22">
        <f ca="1">SUM($C122:G122)</f>
        <v>0</v>
      </c>
      <c r="H143" s="22">
        <f ca="1">SUM($C122:H122)</f>
        <v>0</v>
      </c>
      <c r="I143" s="22">
        <f ca="1">SUM($C122:I122)</f>
        <v>0</v>
      </c>
      <c r="J143" s="22">
        <f ca="1">SUM($C122:J122)</f>
        <v>0</v>
      </c>
      <c r="K143" s="22">
        <f ca="1">SUM($C122:K122)</f>
        <v>0</v>
      </c>
      <c r="L143" s="22">
        <f ca="1">SUM($C122:L122)</f>
        <v>0</v>
      </c>
      <c r="M143" s="22">
        <f ca="1">SUM($C122:M122)</f>
        <v>0</v>
      </c>
      <c r="N143" s="22">
        <f ca="1">SUM($C122:N122)</f>
        <v>0</v>
      </c>
      <c r="O143" s="22">
        <f ca="1">SUM($C122:O122)</f>
        <v>0</v>
      </c>
      <c r="P143" s="22">
        <f ca="1">SUM($C122:P122)</f>
        <v>0</v>
      </c>
      <c r="Q143" s="22">
        <f ca="1">SUM($C122:Q122)</f>
        <v>0</v>
      </c>
      <c r="R143" s="22">
        <f ca="1">SUM($C122:R122)</f>
        <v>0</v>
      </c>
      <c r="S143" s="22">
        <f ca="1">SUM($C122:S122)</f>
        <v>0</v>
      </c>
      <c r="T143" s="22">
        <f ca="1">SUM($C122:T122)</f>
        <v>0</v>
      </c>
      <c r="U143" s="22">
        <f ca="1">SUM($C122:U122)</f>
        <v>0</v>
      </c>
      <c r="V143" s="22">
        <f ca="1">SUM($C122:V122)</f>
        <v>0</v>
      </c>
      <c r="W143" s="22">
        <f ca="1">SUM($C122:W122)</f>
        <v>0</v>
      </c>
      <c r="X143" s="22">
        <f ca="1">SUM($C122:X122)</f>
        <v>0</v>
      </c>
      <c r="Y143" s="22">
        <f ca="1">SUM($C122:Y122)</f>
        <v>0</v>
      </c>
      <c r="Z143" s="22">
        <f ca="1">SUM($C122:Z122)</f>
        <v>0</v>
      </c>
      <c r="AA143" s="22">
        <f ca="1">SUM($C122:AA122)</f>
        <v>0</v>
      </c>
      <c r="AB143" s="22">
        <f ca="1">SUM($C122:AB122)</f>
        <v>0</v>
      </c>
      <c r="AC143" s="22">
        <f ca="1">SUM($C122:AC122)</f>
        <v>0</v>
      </c>
      <c r="AD143" s="22">
        <f ca="1">SUM($C122:AD122)</f>
        <v>0</v>
      </c>
      <c r="AE143" s="22">
        <f ca="1">SUM($C122:AE122)</f>
        <v>0</v>
      </c>
      <c r="AF143" s="22">
        <f ca="1">SUM($C122:AF122)</f>
        <v>0</v>
      </c>
      <c r="AG143" s="22">
        <f ca="1">SUM($C122:AG122)</f>
        <v>0</v>
      </c>
      <c r="AH143" s="22">
        <f ca="1">SUM($C122:AH122)</f>
        <v>0</v>
      </c>
      <c r="AI143" s="22">
        <f ca="1">SUM($C122:AI122)</f>
        <v>0</v>
      </c>
      <c r="AJ143" s="22">
        <f ca="1">SUM($C122:AJ122)</f>
        <v>0</v>
      </c>
      <c r="AK143" s="22">
        <f ca="1">SUM($C122:AK122)</f>
        <v>0</v>
      </c>
      <c r="AL143" s="22">
        <f ca="1">SUM($C122:AL122)</f>
        <v>0</v>
      </c>
      <c r="AM143" s="22">
        <f ca="1">SUM($C122:AM122)</f>
        <v>0</v>
      </c>
    </row>
    <row r="144" spans="1:39" x14ac:dyDescent="0.2">
      <c r="A144" s="23"/>
      <c r="B144" s="21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</row>
    <row r="145" spans="1:39" x14ac:dyDescent="0.2">
      <c r="A145" s="20" t="s">
        <v>70</v>
      </c>
      <c r="B145" s="21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</row>
    <row r="146" spans="1:39" x14ac:dyDescent="0.2">
      <c r="A146" s="24" t="str">
        <f>$A$58</f>
        <v>Sliema</v>
      </c>
      <c r="B146" s="21"/>
      <c r="C146" s="22">
        <f ca="1">IFERROR(IF(VLOOKUP($A146,$140:$143,C$1+2,FALSE)=0,C58,0),C58)</f>
        <v>309000</v>
      </c>
      <c r="D146" s="22">
        <f ca="1">IFERROR(IF(VLOOKUP($A146,$140:$143,D$1+2,FALSE)=0,D58,0),D58)</f>
        <v>318270</v>
      </c>
      <c r="E146" s="22">
        <f ca="1">IFERROR(IF(VLOOKUP($A146,$140:$143,E$1+2,FALSE)=0,E58,0),E58)</f>
        <v>327818.10000000003</v>
      </c>
      <c r="F146" s="22">
        <f ca="1">IFERROR(IF(VLOOKUP($A146,$140:$143,F$1+2,FALSE)=0,F58,0),F58)</f>
        <v>337652.64300000004</v>
      </c>
      <c r="G146" s="22">
        <f ca="1">IFERROR(IF(VLOOKUP($A146,$140:$143,G$1+2,FALSE)=0,G58,0),G58)</f>
        <v>347782.22229000006</v>
      </c>
      <c r="H146" s="22">
        <f ca="1">IFERROR(IF(VLOOKUP($A146,$140:$143,H$1+2,FALSE)=0,H58,0),H58)</f>
        <v>358215.68895870005</v>
      </c>
      <c r="I146" s="22">
        <f ca="1">IFERROR(IF(VLOOKUP($A146,$140:$143,I$1+2,FALSE)=0,I58,0),I58)</f>
        <v>368962.15962746105</v>
      </c>
      <c r="J146" s="22">
        <f t="shared" ref="J146:AM146" ca="1" si="504">IFERROR(IF(VLOOKUP($A146,$140:$143,J$1+2,FALSE)=0,J58,0),J58)</f>
        <v>380031.02441628487</v>
      </c>
      <c r="K146" s="22">
        <f t="shared" ca="1" si="504"/>
        <v>391431.95514877344</v>
      </c>
      <c r="L146" s="22">
        <f t="shared" ca="1" si="504"/>
        <v>403174.91380323668</v>
      </c>
      <c r="M146" s="22">
        <f t="shared" ca="1" si="504"/>
        <v>415270.16121733381</v>
      </c>
      <c r="N146" s="22">
        <f t="shared" ca="1" si="504"/>
        <v>427728.26605385385</v>
      </c>
      <c r="O146" s="22">
        <f t="shared" ca="1" si="504"/>
        <v>440560.11403546948</v>
      </c>
      <c r="P146" s="22">
        <f t="shared" ca="1" si="504"/>
        <v>453776.91745653359</v>
      </c>
      <c r="Q146" s="22">
        <f t="shared" ca="1" si="504"/>
        <v>467390.22498022963</v>
      </c>
      <c r="R146" s="22">
        <f t="shared" ca="1" si="504"/>
        <v>481411.9317296365</v>
      </c>
      <c r="S146" s="22">
        <f t="shared" ca="1" si="504"/>
        <v>495854.28968152561</v>
      </c>
      <c r="T146" s="22">
        <f t="shared" ca="1" si="504"/>
        <v>510729.91837197141</v>
      </c>
      <c r="U146" s="22">
        <f t="shared" ca="1" si="504"/>
        <v>526051.81592313061</v>
      </c>
      <c r="V146" s="22">
        <f t="shared" ca="1" si="504"/>
        <v>541833.37040082458</v>
      </c>
      <c r="W146" s="22">
        <f t="shared" ca="1" si="504"/>
        <v>558088.37151284935</v>
      </c>
      <c r="X146" s="22">
        <f t="shared" ca="1" si="504"/>
        <v>574831.02265823481</v>
      </c>
      <c r="Y146" s="22">
        <f t="shared" ca="1" si="504"/>
        <v>592075.95333798183</v>
      </c>
      <c r="Z146" s="22">
        <f t="shared" ca="1" si="504"/>
        <v>609838.23193812126</v>
      </c>
      <c r="AA146" s="22">
        <f t="shared" ca="1" si="504"/>
        <v>628133.37889626494</v>
      </c>
      <c r="AB146" s="22">
        <f t="shared" ca="1" si="504"/>
        <v>646977.38026315288</v>
      </c>
      <c r="AC146" s="22">
        <f t="shared" ca="1" si="504"/>
        <v>666386.70167104749</v>
      </c>
      <c r="AD146" s="22">
        <f t="shared" ca="1" si="504"/>
        <v>686378.30272117897</v>
      </c>
      <c r="AE146" s="22">
        <f t="shared" ca="1" si="504"/>
        <v>706969.65180281433</v>
      </c>
      <c r="AF146" s="22">
        <f t="shared" ca="1" si="504"/>
        <v>728178.7413568988</v>
      </c>
      <c r="AG146" s="22">
        <f t="shared" ca="1" si="504"/>
        <v>750024.10359760583</v>
      </c>
      <c r="AH146" s="22">
        <f t="shared" ca="1" si="504"/>
        <v>772524.82670553401</v>
      </c>
      <c r="AI146" s="22">
        <f t="shared" ca="1" si="504"/>
        <v>795700.57150670001</v>
      </c>
      <c r="AJ146" s="22">
        <f t="shared" ca="1" si="504"/>
        <v>819571.58865190099</v>
      </c>
      <c r="AK146" s="22">
        <f t="shared" ca="1" si="504"/>
        <v>844158.73631145805</v>
      </c>
      <c r="AL146" s="22">
        <f t="shared" ca="1" si="504"/>
        <v>869483.49840080179</v>
      </c>
      <c r="AM146" s="22">
        <f t="shared" ca="1" si="504"/>
        <v>895568.00335282588</v>
      </c>
    </row>
    <row r="147" spans="1:39" x14ac:dyDescent="0.2">
      <c r="A147" s="24" t="str">
        <f>$A$59</f>
        <v>Gzira</v>
      </c>
      <c r="B147" s="21"/>
      <c r="C147" s="22">
        <f ca="1">IFERROR(IF(VLOOKUP($A147,$140:$143,C$1+2,FALSE)=0,C59,0),C59)</f>
        <v>154500</v>
      </c>
      <c r="D147" s="22">
        <f ca="1">IFERROR(IF(VLOOKUP($A147,$140:$143,D$1+2,FALSE)=0,D59,0),D59)</f>
        <v>159135</v>
      </c>
      <c r="E147" s="22">
        <f ca="1">IFERROR(IF(VLOOKUP($A147,$140:$143,E$1+2,FALSE)=0,E59,0),E59)</f>
        <v>163909.05000000002</v>
      </c>
      <c r="F147" s="22">
        <f ca="1">IFERROR(IF(VLOOKUP($A147,$140:$143,F$1+2,FALSE)=0,F59,0),F59)</f>
        <v>168826.32150000002</v>
      </c>
      <c r="G147" s="22">
        <f ca="1">IFERROR(IF(VLOOKUP($A147,$140:$143,G$1+2,FALSE)=0,G59,0),G59)</f>
        <v>173891.11114500003</v>
      </c>
      <c r="H147" s="22">
        <f ca="1">IFERROR(IF(VLOOKUP($A147,$140:$143,H$1+2,FALSE)=0,H59,0),H59)</f>
        <v>179107.84447935002</v>
      </c>
      <c r="I147" s="22">
        <f ca="1">IFERROR(IF(VLOOKUP($A147,$140:$143,I$1+2,FALSE)=0,I59,0),I59)</f>
        <v>184481.07981373052</v>
      </c>
      <c r="J147" s="22">
        <f t="shared" ref="J147:AM147" ca="1" si="505">IFERROR(IF(VLOOKUP($A147,$140:$143,J$1+2,FALSE)=0,J59,0),J59)</f>
        <v>190015.51220814243</v>
      </c>
      <c r="K147" s="22">
        <f t="shared" ca="1" si="505"/>
        <v>195715.97757438672</v>
      </c>
      <c r="L147" s="22">
        <f t="shared" ca="1" si="505"/>
        <v>201587.45690161834</v>
      </c>
      <c r="M147" s="22">
        <f t="shared" ca="1" si="505"/>
        <v>207635.0806086669</v>
      </c>
      <c r="N147" s="22">
        <f t="shared" ca="1" si="505"/>
        <v>213864.13302692692</v>
      </c>
      <c r="O147" s="22">
        <f t="shared" ca="1" si="505"/>
        <v>220280.05701773474</v>
      </c>
      <c r="P147" s="22">
        <f t="shared" ca="1" si="505"/>
        <v>226888.45872826679</v>
      </c>
      <c r="Q147" s="22">
        <f t="shared" ca="1" si="505"/>
        <v>233695.11249011481</v>
      </c>
      <c r="R147" s="22">
        <f t="shared" ca="1" si="505"/>
        <v>240705.96586481825</v>
      </c>
      <c r="S147" s="22">
        <f t="shared" ca="1" si="505"/>
        <v>247927.1448407628</v>
      </c>
      <c r="T147" s="22">
        <f t="shared" ca="1" si="505"/>
        <v>255364.9591859857</v>
      </c>
      <c r="U147" s="22">
        <f t="shared" ca="1" si="505"/>
        <v>263025.9079615653</v>
      </c>
      <c r="V147" s="22">
        <f t="shared" ca="1" si="505"/>
        <v>270916.68520041229</v>
      </c>
      <c r="W147" s="22">
        <f t="shared" ca="1" si="505"/>
        <v>279044.18575642467</v>
      </c>
      <c r="X147" s="22">
        <f t="shared" ca="1" si="505"/>
        <v>287415.51132911741</v>
      </c>
      <c r="Y147" s="22">
        <f t="shared" ca="1" si="505"/>
        <v>296037.97666899092</v>
      </c>
      <c r="Z147" s="22">
        <f t="shared" ca="1" si="505"/>
        <v>304919.11596906063</v>
      </c>
      <c r="AA147" s="22">
        <f t="shared" ca="1" si="505"/>
        <v>314066.68944813247</v>
      </c>
      <c r="AB147" s="22">
        <f t="shared" ca="1" si="505"/>
        <v>323488.69013157644</v>
      </c>
      <c r="AC147" s="22">
        <f t="shared" ca="1" si="505"/>
        <v>333193.35083552374</v>
      </c>
      <c r="AD147" s="22">
        <f t="shared" ca="1" si="505"/>
        <v>343189.15136058949</v>
      </c>
      <c r="AE147" s="22">
        <f t="shared" ca="1" si="505"/>
        <v>353484.82590140717</v>
      </c>
      <c r="AF147" s="22">
        <f t="shared" ca="1" si="505"/>
        <v>364089.3706784494</v>
      </c>
      <c r="AG147" s="22">
        <f t="shared" ca="1" si="505"/>
        <v>375012.05179880292</v>
      </c>
      <c r="AH147" s="22">
        <f t="shared" ca="1" si="505"/>
        <v>386262.41335276701</v>
      </c>
      <c r="AI147" s="22">
        <f t="shared" ca="1" si="505"/>
        <v>397850.28575335001</v>
      </c>
      <c r="AJ147" s="22">
        <f t="shared" ca="1" si="505"/>
        <v>409785.7943259505</v>
      </c>
      <c r="AK147" s="22">
        <f t="shared" ca="1" si="505"/>
        <v>422079.36815572903</v>
      </c>
      <c r="AL147" s="22">
        <f t="shared" ca="1" si="505"/>
        <v>434741.7492004009</v>
      </c>
      <c r="AM147" s="22">
        <f t="shared" ca="1" si="505"/>
        <v>447784.00167641294</v>
      </c>
    </row>
    <row r="148" spans="1:39" x14ac:dyDescent="0.2">
      <c r="A148" s="24" t="str">
        <f>$A$60</f>
        <v>Qormi</v>
      </c>
      <c r="B148" s="21"/>
      <c r="C148" s="22">
        <f ca="1">IFERROR(IF(VLOOKUP($A148,$140:$143,C$1+2,FALSE)=0,C60,0),C60)</f>
        <v>226600</v>
      </c>
      <c r="D148" s="22">
        <f ca="1">IFERROR(IF(VLOOKUP($A148,$140:$143,D$1+2,FALSE)=0,D60,0),D60)</f>
        <v>233398</v>
      </c>
      <c r="E148" s="22">
        <f ca="1">IFERROR(IF(VLOOKUP($A148,$140:$143,E$1+2,FALSE)=0,E60,0),E60)</f>
        <v>240399.94</v>
      </c>
      <c r="F148" s="22">
        <f ca="1">IFERROR(IF(VLOOKUP($A148,$140:$143,F$1+2,FALSE)=0,F60,0),F60)</f>
        <v>247611.9382</v>
      </c>
      <c r="G148" s="22">
        <f ca="1">IFERROR(IF(VLOOKUP($A148,$140:$143,G$1+2,FALSE)=0,G60,0),G60)</f>
        <v>255040.29634600002</v>
      </c>
      <c r="H148" s="22">
        <f ca="1">IFERROR(IF(VLOOKUP($A148,$140:$143,H$1+2,FALSE)=0,H60,0),H60)</f>
        <v>262691.50523638004</v>
      </c>
      <c r="I148" s="22">
        <f ca="1">IFERROR(IF(VLOOKUP($A148,$140:$143,I$1+2,FALSE)=0,I60,0),I60)</f>
        <v>270572.25039347145</v>
      </c>
      <c r="J148" s="22">
        <f t="shared" ref="J148:AM148" ca="1" si="506">IFERROR(IF(VLOOKUP($A148,$140:$143,J$1+2,FALSE)=0,J60,0),J60)</f>
        <v>278689.41790527559</v>
      </c>
      <c r="K148" s="22">
        <f t="shared" ca="1" si="506"/>
        <v>287050.10044243385</v>
      </c>
      <c r="L148" s="22">
        <f t="shared" ca="1" si="506"/>
        <v>295661.60345570685</v>
      </c>
      <c r="M148" s="22">
        <f t="shared" ca="1" si="506"/>
        <v>304531.45155937807</v>
      </c>
      <c r="N148" s="22">
        <f t="shared" ca="1" si="506"/>
        <v>313667.39510615944</v>
      </c>
      <c r="O148" s="22">
        <f t="shared" ca="1" si="506"/>
        <v>323077.41695934423</v>
      </c>
      <c r="P148" s="22">
        <f t="shared" ca="1" si="506"/>
        <v>332769.73946812458</v>
      </c>
      <c r="Q148" s="22">
        <f t="shared" ca="1" si="506"/>
        <v>342752.8316521683</v>
      </c>
      <c r="R148" s="22">
        <f t="shared" ca="1" si="506"/>
        <v>353035.41660173336</v>
      </c>
      <c r="S148" s="22">
        <f t="shared" ca="1" si="506"/>
        <v>363626.47909978539</v>
      </c>
      <c r="T148" s="22">
        <f t="shared" ca="1" si="506"/>
        <v>374535.27347277896</v>
      </c>
      <c r="U148" s="22">
        <f t="shared" ca="1" si="506"/>
        <v>385771.33167696232</v>
      </c>
      <c r="V148" s="22">
        <f t="shared" ca="1" si="506"/>
        <v>397344.47162727121</v>
      </c>
      <c r="W148" s="22">
        <f t="shared" ca="1" si="506"/>
        <v>409264.80577608937</v>
      </c>
      <c r="X148" s="22">
        <f t="shared" ca="1" si="506"/>
        <v>421542.74994937208</v>
      </c>
      <c r="Y148" s="22">
        <f t="shared" ca="1" si="506"/>
        <v>434189.03244785324</v>
      </c>
      <c r="Z148" s="22">
        <f t="shared" ca="1" si="506"/>
        <v>447214.70342128887</v>
      </c>
      <c r="AA148" s="22">
        <f t="shared" ca="1" si="506"/>
        <v>460631.14452392753</v>
      </c>
      <c r="AB148" s="22">
        <f t="shared" ca="1" si="506"/>
        <v>474450.07885964535</v>
      </c>
      <c r="AC148" s="22">
        <f t="shared" ca="1" si="506"/>
        <v>488683.58122543473</v>
      </c>
      <c r="AD148" s="22">
        <f t="shared" ca="1" si="506"/>
        <v>503344.08866219776</v>
      </c>
      <c r="AE148" s="22">
        <f t="shared" ca="1" si="506"/>
        <v>518444.41132206371</v>
      </c>
      <c r="AF148" s="22">
        <f t="shared" ca="1" si="506"/>
        <v>533997.74366172566</v>
      </c>
      <c r="AG148" s="22">
        <f t="shared" ca="1" si="506"/>
        <v>550017.67597157741</v>
      </c>
      <c r="AH148" s="22">
        <f t="shared" ca="1" si="506"/>
        <v>566518.20625072473</v>
      </c>
      <c r="AI148" s="22">
        <f t="shared" ca="1" si="506"/>
        <v>583513.75243824651</v>
      </c>
      <c r="AJ148" s="22">
        <f t="shared" ca="1" si="506"/>
        <v>601019.16501139395</v>
      </c>
      <c r="AK148" s="22">
        <f t="shared" ca="1" si="506"/>
        <v>619049.73996173579</v>
      </c>
      <c r="AL148" s="22">
        <f t="shared" ca="1" si="506"/>
        <v>637621.23216058791</v>
      </c>
      <c r="AM148" s="22">
        <f t="shared" ca="1" si="506"/>
        <v>656749.86912540556</v>
      </c>
    </row>
    <row r="149" spans="1:39" x14ac:dyDescent="0.2"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</row>
    <row r="150" spans="1:39" x14ac:dyDescent="0.2">
      <c r="A150" s="20" t="s">
        <v>67</v>
      </c>
      <c r="B150" s="21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</row>
    <row r="151" spans="1:39" x14ac:dyDescent="0.2">
      <c r="A151" s="24" t="str">
        <f>B$94</f>
        <v>Gzira</v>
      </c>
      <c r="B151" s="21"/>
      <c r="C151" s="22">
        <f ca="1">SUM($C94:C94)</f>
        <v>0</v>
      </c>
      <c r="D151" s="22">
        <f ca="1">SUM($C94:D94)</f>
        <v>0</v>
      </c>
      <c r="E151" s="22">
        <f ca="1">SUM($C94:E94)</f>
        <v>0</v>
      </c>
      <c r="F151" s="22">
        <f ca="1">SUM($C94:F94)</f>
        <v>0</v>
      </c>
      <c r="G151" s="22">
        <f ca="1">SUM($C94:G94)</f>
        <v>0</v>
      </c>
      <c r="H151" s="22">
        <f ca="1">SUM($C94:H94)</f>
        <v>0</v>
      </c>
      <c r="I151" s="22">
        <f ca="1">SUM($C94:I94)</f>
        <v>0</v>
      </c>
      <c r="J151" s="22">
        <f ca="1">SUM($C94:J94)</f>
        <v>0</v>
      </c>
      <c r="K151" s="22">
        <f ca="1">SUM($C94:K94)</f>
        <v>0</v>
      </c>
      <c r="L151" s="22">
        <f ca="1">SUM($C94:L94)</f>
        <v>0</v>
      </c>
      <c r="M151" s="22">
        <f ca="1">SUM($C94:M94)</f>
        <v>0</v>
      </c>
      <c r="N151" s="22">
        <f ca="1">SUM($C94:N94)</f>
        <v>0</v>
      </c>
      <c r="O151" s="22">
        <f ca="1">SUM($C94:O94)</f>
        <v>0</v>
      </c>
      <c r="P151" s="22">
        <f ca="1">SUM($C94:P94)</f>
        <v>0</v>
      </c>
      <c r="Q151" s="22">
        <f ca="1">SUM($C94:Q94)</f>
        <v>0</v>
      </c>
      <c r="R151" s="22">
        <f ca="1">SUM($C94:R94)</f>
        <v>0</v>
      </c>
      <c r="S151" s="22">
        <f ca="1">SUM($C94:S94)</f>
        <v>0</v>
      </c>
      <c r="T151" s="22">
        <f ca="1">SUM($C94:T94)</f>
        <v>0</v>
      </c>
      <c r="U151" s="22">
        <f ca="1">SUM($C94:U94)</f>
        <v>0</v>
      </c>
      <c r="V151" s="22">
        <f ca="1">SUM($C94:V94)</f>
        <v>0</v>
      </c>
      <c r="W151" s="22">
        <f ca="1">SUM($C94:W94)</f>
        <v>0</v>
      </c>
      <c r="X151" s="22">
        <f ca="1">SUM($C94:X94)</f>
        <v>0</v>
      </c>
      <c r="Y151" s="22">
        <f ca="1">SUM($C94:Y94)</f>
        <v>0</v>
      </c>
      <c r="Z151" s="22">
        <f ca="1">SUM($C94:Z94)</f>
        <v>0</v>
      </c>
      <c r="AA151" s="22">
        <f ca="1">SUM($C94:AA94)</f>
        <v>0</v>
      </c>
      <c r="AB151" s="22">
        <f ca="1">SUM($C94:AB94)</f>
        <v>0</v>
      </c>
      <c r="AC151" s="22">
        <f ca="1">SUM($C94:AC94)</f>
        <v>0</v>
      </c>
      <c r="AD151" s="22">
        <f ca="1">SUM($C94:AD94)</f>
        <v>0</v>
      </c>
      <c r="AE151" s="22">
        <f ca="1">SUM($C94:AE94)</f>
        <v>0</v>
      </c>
      <c r="AF151" s="22">
        <f ca="1">SUM($C94:AF94)</f>
        <v>0</v>
      </c>
      <c r="AG151" s="22">
        <f ca="1">SUM($C94:AG94)</f>
        <v>0</v>
      </c>
      <c r="AH151" s="22">
        <f ca="1">SUM($C94:AH94)</f>
        <v>0</v>
      </c>
      <c r="AI151" s="22">
        <f ca="1">SUM($C94:AI94)</f>
        <v>0</v>
      </c>
      <c r="AJ151" s="22">
        <f ca="1">SUM($C94:AJ94)</f>
        <v>0</v>
      </c>
      <c r="AK151" s="22">
        <f ca="1">SUM($C94:AK94)</f>
        <v>0</v>
      </c>
      <c r="AL151" s="22">
        <f ca="1">SUM($C94:AL94)</f>
        <v>0</v>
      </c>
      <c r="AM151" s="22">
        <f ca="1">SUM($C94:AM94)</f>
        <v>0</v>
      </c>
    </row>
    <row r="152" spans="1:39" x14ac:dyDescent="0.2">
      <c r="A152" s="24" t="str">
        <f>B$111</f>
        <v>Qormi</v>
      </c>
      <c r="B152" s="21"/>
      <c r="C152" s="22">
        <f ca="1">SUM($C111:C111)</f>
        <v>0</v>
      </c>
      <c r="D152" s="22">
        <f ca="1">SUM($C111:D111)</f>
        <v>0</v>
      </c>
      <c r="E152" s="22">
        <f ca="1">SUM($C111:E111)</f>
        <v>0</v>
      </c>
      <c r="F152" s="22">
        <f ca="1">SUM($C111:F111)</f>
        <v>0</v>
      </c>
      <c r="G152" s="22">
        <f ca="1">SUM($C111:G111)</f>
        <v>0</v>
      </c>
      <c r="H152" s="22">
        <f ca="1">SUM($C111:H111)</f>
        <v>0</v>
      </c>
      <c r="I152" s="22">
        <f ca="1">SUM($C111:I111)</f>
        <v>0</v>
      </c>
      <c r="J152" s="22">
        <f ca="1">SUM($C111:J111)</f>
        <v>0</v>
      </c>
      <c r="K152" s="22">
        <f ca="1">SUM($C111:K111)</f>
        <v>0</v>
      </c>
      <c r="L152" s="22">
        <f ca="1">SUM($C111:L111)</f>
        <v>0</v>
      </c>
      <c r="M152" s="22">
        <f ca="1">SUM($C111:M111)</f>
        <v>0</v>
      </c>
      <c r="N152" s="22">
        <f ca="1">SUM($C111:N111)</f>
        <v>0</v>
      </c>
      <c r="O152" s="22">
        <f ca="1">SUM($C111:O111)</f>
        <v>0</v>
      </c>
      <c r="P152" s="22">
        <f ca="1">SUM($C111:P111)</f>
        <v>0</v>
      </c>
      <c r="Q152" s="22">
        <f ca="1">SUM($C111:Q111)</f>
        <v>0</v>
      </c>
      <c r="R152" s="22">
        <f ca="1">SUM($C111:R111)</f>
        <v>0</v>
      </c>
      <c r="S152" s="22">
        <f ca="1">SUM($C111:S111)</f>
        <v>0</v>
      </c>
      <c r="T152" s="22">
        <f ca="1">SUM($C111:T111)</f>
        <v>0</v>
      </c>
      <c r="U152" s="22">
        <f ca="1">SUM($C111:U111)</f>
        <v>0</v>
      </c>
      <c r="V152" s="22">
        <f ca="1">SUM($C111:V111)</f>
        <v>0</v>
      </c>
      <c r="W152" s="22">
        <f ca="1">SUM($C111:W111)</f>
        <v>0</v>
      </c>
      <c r="X152" s="22">
        <f ca="1">SUM($C111:X111)</f>
        <v>0</v>
      </c>
      <c r="Y152" s="22">
        <f ca="1">SUM($C111:Y111)</f>
        <v>0</v>
      </c>
      <c r="Z152" s="22">
        <f ca="1">SUM($C111:Z111)</f>
        <v>0</v>
      </c>
      <c r="AA152" s="22">
        <f ca="1">SUM($C111:AA111)</f>
        <v>0</v>
      </c>
      <c r="AB152" s="22">
        <f ca="1">SUM($C111:AB111)</f>
        <v>0</v>
      </c>
      <c r="AC152" s="22">
        <f ca="1">SUM($C111:AC111)</f>
        <v>0</v>
      </c>
      <c r="AD152" s="22">
        <f ca="1">SUM($C111:AD111)</f>
        <v>0</v>
      </c>
      <c r="AE152" s="22">
        <f ca="1">SUM($C111:AE111)</f>
        <v>0</v>
      </c>
      <c r="AF152" s="22">
        <f ca="1">SUM($C111:AF111)</f>
        <v>0</v>
      </c>
      <c r="AG152" s="22">
        <f ca="1">SUM($C111:AG111)</f>
        <v>0</v>
      </c>
      <c r="AH152" s="22">
        <f ca="1">SUM($C111:AH111)</f>
        <v>0</v>
      </c>
      <c r="AI152" s="22">
        <f ca="1">SUM($C111:AI111)</f>
        <v>0</v>
      </c>
      <c r="AJ152" s="22">
        <f ca="1">SUM($C111:AJ111)</f>
        <v>0</v>
      </c>
      <c r="AK152" s="22">
        <f ca="1">SUM($C111:AK111)</f>
        <v>0</v>
      </c>
      <c r="AL152" s="22">
        <f ca="1">SUM($C111:AL111)</f>
        <v>0</v>
      </c>
      <c r="AM152" s="22">
        <f ca="1">SUM($C111:AM111)</f>
        <v>0</v>
      </c>
    </row>
    <row r="153" spans="1:39" x14ac:dyDescent="0.2">
      <c r="A153" s="24" t="str">
        <f>B$128</f>
        <v>Sliema</v>
      </c>
      <c r="B153" s="21"/>
      <c r="C153" s="22">
        <f ca="1">SUM($C128:C128)</f>
        <v>0</v>
      </c>
      <c r="D153" s="22">
        <f ca="1">SUM($C128:D128)</f>
        <v>0</v>
      </c>
      <c r="E153" s="22">
        <f ca="1">SUM($C128:E128)</f>
        <v>0</v>
      </c>
      <c r="F153" s="22">
        <f ca="1">SUM($C128:F128)</f>
        <v>0</v>
      </c>
      <c r="G153" s="22">
        <f ca="1">SUM($C128:G128)</f>
        <v>0</v>
      </c>
      <c r="H153" s="22">
        <f ca="1">SUM($C128:H128)</f>
        <v>0</v>
      </c>
      <c r="I153" s="22">
        <f ca="1">SUM($C128:I128)</f>
        <v>0</v>
      </c>
      <c r="J153" s="22">
        <f ca="1">SUM($C128:J128)</f>
        <v>0</v>
      </c>
      <c r="K153" s="22">
        <f ca="1">SUM($C128:K128)</f>
        <v>0</v>
      </c>
      <c r="L153" s="22">
        <f ca="1">SUM($C128:L128)</f>
        <v>0</v>
      </c>
      <c r="M153" s="22">
        <f ca="1">SUM($C128:M128)</f>
        <v>0</v>
      </c>
      <c r="N153" s="22">
        <f ca="1">SUM($C128:N128)</f>
        <v>0</v>
      </c>
      <c r="O153" s="22">
        <f ca="1">SUM($C128:O128)</f>
        <v>0</v>
      </c>
      <c r="P153" s="22">
        <f ca="1">SUM($C128:P128)</f>
        <v>0</v>
      </c>
      <c r="Q153" s="22">
        <f ca="1">SUM($C128:Q128)</f>
        <v>0</v>
      </c>
      <c r="R153" s="22">
        <f ca="1">SUM($C128:R128)</f>
        <v>0</v>
      </c>
      <c r="S153" s="22">
        <f ca="1">SUM($C128:S128)</f>
        <v>0</v>
      </c>
      <c r="T153" s="22">
        <f ca="1">SUM($C128:T128)</f>
        <v>0</v>
      </c>
      <c r="U153" s="22">
        <f ca="1">SUM($C128:U128)</f>
        <v>0</v>
      </c>
      <c r="V153" s="22">
        <f ca="1">SUM($C128:V128)</f>
        <v>0</v>
      </c>
      <c r="W153" s="22">
        <f ca="1">SUM($C128:W128)</f>
        <v>0</v>
      </c>
      <c r="X153" s="22">
        <f ca="1">SUM($C128:X128)</f>
        <v>0</v>
      </c>
      <c r="Y153" s="22">
        <f ca="1">SUM($C128:Y128)</f>
        <v>0</v>
      </c>
      <c r="Z153" s="22">
        <f ca="1">SUM($C128:Z128)</f>
        <v>0</v>
      </c>
      <c r="AA153" s="22">
        <f ca="1">SUM($C128:AA128)</f>
        <v>0</v>
      </c>
      <c r="AB153" s="22">
        <f ca="1">SUM($C128:AB128)</f>
        <v>0</v>
      </c>
      <c r="AC153" s="22">
        <f ca="1">SUM($C128:AC128)</f>
        <v>0</v>
      </c>
      <c r="AD153" s="22">
        <f ca="1">SUM($C128:AD128)</f>
        <v>0</v>
      </c>
      <c r="AE153" s="22">
        <f ca="1">SUM($C128:AE128)</f>
        <v>0</v>
      </c>
      <c r="AF153" s="22">
        <f ca="1">SUM($C128:AF128)</f>
        <v>0</v>
      </c>
      <c r="AG153" s="22">
        <f ca="1">SUM($C128:AG128)</f>
        <v>0</v>
      </c>
      <c r="AH153" s="22">
        <f ca="1">SUM($C128:AH128)</f>
        <v>0</v>
      </c>
      <c r="AI153" s="22">
        <f ca="1">SUM($C128:AI128)</f>
        <v>0</v>
      </c>
      <c r="AJ153" s="22">
        <f ca="1">SUM($C128:AJ128)</f>
        <v>0</v>
      </c>
      <c r="AK153" s="22">
        <f ca="1">SUM($C128:AK128)</f>
        <v>0</v>
      </c>
      <c r="AL153" s="22">
        <f ca="1">SUM($C128:AL128)</f>
        <v>0</v>
      </c>
      <c r="AM153" s="22">
        <f ca="1">SUM($C128:AM128)</f>
        <v>0</v>
      </c>
    </row>
    <row r="154" spans="1:39" x14ac:dyDescent="0.2">
      <c r="A154" s="23"/>
      <c r="B154" s="21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</row>
    <row r="155" spans="1:39" x14ac:dyDescent="0.2">
      <c r="A155" s="4" t="s">
        <v>55</v>
      </c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</row>
    <row r="156" spans="1:39" x14ac:dyDescent="0.2">
      <c r="A156" s="18" t="str">
        <f>$A$58</f>
        <v>Sliema</v>
      </c>
      <c r="C156" s="8">
        <f ca="1">IFERROR(IF(VLOOKUP($A156,$150:$153,C$1+2,FALSE)=0,C64,0),C64)</f>
        <v>-45437.606462973985</v>
      </c>
      <c r="D156" s="8">
        <f ca="1">IFERROR(IF(VLOOKUP($A156,$150:$153,D$1+2,FALSE)=0,D64,0),D64)</f>
        <v>-40736.443360703342</v>
      </c>
      <c r="E156" s="8">
        <f ca="1">IFERROR(IF(VLOOKUP($A156,$150:$153,E$1+2,FALSE)=0,E64,0),E64)</f>
        <v>-35892.289884070618</v>
      </c>
      <c r="F156" s="8">
        <f ca="1">IFERROR(IF(VLOOKUP($A156,$150:$153,F$1+2,FALSE)=0,F64,0),F64)</f>
        <v>-30900.796844010245</v>
      </c>
      <c r="G156" s="8">
        <f ca="1">IFERROR(IF(VLOOKUP($A156,$150:$153,G$1+2,FALSE)=0,G64,0),G64)</f>
        <v>-25757.48276670936</v>
      </c>
      <c r="H156" s="8">
        <f ca="1">IFERROR(IF(VLOOKUP($A156,$150:$153,H$1+2,FALSE)=0,H64,0),H64)</f>
        <v>-20457.729870040646</v>
      </c>
      <c r="I156" s="8">
        <f ca="1">IFERROR(IF(VLOOKUP($A156,$150:$153,I$1+2,FALSE)=0,I64,0),I64)</f>
        <v>-14996.779917614593</v>
      </c>
      <c r="J156" s="8">
        <f t="shared" ref="J156:AM156" ca="1" si="507">IFERROR(IF(VLOOKUP($A156,$150:$153,J$1+2,FALSE)=0,J64,0),J64)</f>
        <v>-9369.7299467287376</v>
      </c>
      <c r="K156" s="8">
        <f t="shared" ca="1" si="507"/>
        <v>-3571.5278663783029</v>
      </c>
      <c r="L156" s="8">
        <f t="shared" ca="1" si="507"/>
        <v>0</v>
      </c>
      <c r="M156" s="8">
        <f t="shared" ca="1" si="507"/>
        <v>0</v>
      </c>
      <c r="N156" s="8">
        <f t="shared" ca="1" si="507"/>
        <v>0</v>
      </c>
      <c r="O156" s="8">
        <f t="shared" ca="1" si="507"/>
        <v>0</v>
      </c>
      <c r="P156" s="8">
        <f t="shared" ca="1" si="507"/>
        <v>0</v>
      </c>
      <c r="Q156" s="8">
        <f t="shared" ca="1" si="507"/>
        <v>0</v>
      </c>
      <c r="R156" s="8">
        <f t="shared" ca="1" si="507"/>
        <v>0</v>
      </c>
      <c r="S156" s="8">
        <f t="shared" ca="1" si="507"/>
        <v>0</v>
      </c>
      <c r="T156" s="8">
        <f t="shared" ca="1" si="507"/>
        <v>0</v>
      </c>
      <c r="U156" s="8">
        <f t="shared" ca="1" si="507"/>
        <v>0</v>
      </c>
      <c r="V156" s="8">
        <f t="shared" ca="1" si="507"/>
        <v>0</v>
      </c>
      <c r="W156" s="8">
        <f t="shared" ca="1" si="507"/>
        <v>0</v>
      </c>
      <c r="X156" s="8">
        <f t="shared" ca="1" si="507"/>
        <v>0</v>
      </c>
      <c r="Y156" s="8">
        <f t="shared" ca="1" si="507"/>
        <v>0</v>
      </c>
      <c r="Z156" s="8">
        <f t="shared" ca="1" si="507"/>
        <v>0</v>
      </c>
      <c r="AA156" s="8">
        <f t="shared" ca="1" si="507"/>
        <v>0</v>
      </c>
      <c r="AB156" s="8">
        <f t="shared" ca="1" si="507"/>
        <v>0</v>
      </c>
      <c r="AC156" s="8">
        <f t="shared" ca="1" si="507"/>
        <v>0</v>
      </c>
      <c r="AD156" s="8">
        <f t="shared" ca="1" si="507"/>
        <v>0</v>
      </c>
      <c r="AE156" s="8">
        <f t="shared" ca="1" si="507"/>
        <v>0</v>
      </c>
      <c r="AF156" s="8">
        <f t="shared" ca="1" si="507"/>
        <v>0</v>
      </c>
      <c r="AG156" s="8">
        <f t="shared" ca="1" si="507"/>
        <v>0</v>
      </c>
      <c r="AH156" s="8">
        <f t="shared" ca="1" si="507"/>
        <v>0</v>
      </c>
      <c r="AI156" s="8">
        <f t="shared" ca="1" si="507"/>
        <v>0</v>
      </c>
      <c r="AJ156" s="8">
        <f t="shared" ca="1" si="507"/>
        <v>0</v>
      </c>
      <c r="AK156" s="8">
        <f t="shared" ca="1" si="507"/>
        <v>0</v>
      </c>
      <c r="AL156" s="8">
        <f t="shared" ca="1" si="507"/>
        <v>0</v>
      </c>
      <c r="AM156" s="8">
        <f t="shared" ca="1" si="507"/>
        <v>0</v>
      </c>
    </row>
    <row r="157" spans="1:39" x14ac:dyDescent="0.2">
      <c r="A157" s="18" t="str">
        <f>$A$59</f>
        <v>Gzira</v>
      </c>
      <c r="C157" s="8">
        <f ca="1">IFERROR(IF(VLOOKUP($A157,$150:$153,C$1+2,FALSE)=0,C65,0),C65)</f>
        <v>-6249.4443415125261</v>
      </c>
      <c r="D157" s="8">
        <f ca="1">IFERROR(IF(VLOOKUP($A157,$150:$153,D$1+2,FALSE)=0,D65,0),D65)</f>
        <v>-3953.4626671330816</v>
      </c>
      <c r="E157" s="8">
        <f ca="1">IFERROR(IF(VLOOKUP($A157,$150:$153,E$1+2,FALSE)=0,E65,0),E65)</f>
        <v>-1611.1380819997976</v>
      </c>
      <c r="F157" s="8">
        <f ca="1">IFERROR(IF(VLOOKUP($A157,$150:$153,F$1+2,FALSE)=0,F65,0),F65)</f>
        <v>0</v>
      </c>
      <c r="G157" s="8">
        <f ca="1">IFERROR(IF(VLOOKUP($A157,$150:$153,G$1+2,FALSE)=0,G65,0),G65)</f>
        <v>0</v>
      </c>
      <c r="H157" s="8">
        <f ca="1">IFERROR(IF(VLOOKUP($A157,$150:$153,H$1+2,FALSE)=0,H65,0),H65)</f>
        <v>0</v>
      </c>
      <c r="I157" s="8">
        <f ca="1">IFERROR(IF(VLOOKUP($A157,$150:$153,I$1+2,FALSE)=0,I65,0),I65)</f>
        <v>0</v>
      </c>
      <c r="J157" s="8">
        <f t="shared" ref="J157:AM157" ca="1" si="508">IFERROR(IF(VLOOKUP($A157,$150:$153,J$1+2,FALSE)=0,J65,0),J65)</f>
        <v>0</v>
      </c>
      <c r="K157" s="8">
        <f t="shared" ca="1" si="508"/>
        <v>0</v>
      </c>
      <c r="L157" s="8">
        <f t="shared" ca="1" si="508"/>
        <v>0</v>
      </c>
      <c r="M157" s="8">
        <f t="shared" ca="1" si="508"/>
        <v>0</v>
      </c>
      <c r="N157" s="8">
        <f t="shared" ca="1" si="508"/>
        <v>0</v>
      </c>
      <c r="O157" s="8">
        <f t="shared" ca="1" si="508"/>
        <v>0</v>
      </c>
      <c r="P157" s="8">
        <f t="shared" ca="1" si="508"/>
        <v>0</v>
      </c>
      <c r="Q157" s="8">
        <f t="shared" ca="1" si="508"/>
        <v>0</v>
      </c>
      <c r="R157" s="8">
        <f t="shared" ca="1" si="508"/>
        <v>0</v>
      </c>
      <c r="S157" s="8">
        <f t="shared" ca="1" si="508"/>
        <v>0</v>
      </c>
      <c r="T157" s="8">
        <f t="shared" ca="1" si="508"/>
        <v>0</v>
      </c>
      <c r="U157" s="8">
        <f t="shared" ca="1" si="508"/>
        <v>0</v>
      </c>
      <c r="V157" s="8">
        <f t="shared" ca="1" si="508"/>
        <v>0</v>
      </c>
      <c r="W157" s="8">
        <f t="shared" ca="1" si="508"/>
        <v>0</v>
      </c>
      <c r="X157" s="8">
        <f t="shared" ca="1" si="508"/>
        <v>0</v>
      </c>
      <c r="Y157" s="8">
        <f t="shared" ca="1" si="508"/>
        <v>0</v>
      </c>
      <c r="Z157" s="8">
        <f t="shared" ca="1" si="508"/>
        <v>0</v>
      </c>
      <c r="AA157" s="8">
        <f t="shared" ca="1" si="508"/>
        <v>0</v>
      </c>
      <c r="AB157" s="8">
        <f t="shared" ca="1" si="508"/>
        <v>0</v>
      </c>
      <c r="AC157" s="8">
        <f t="shared" ca="1" si="508"/>
        <v>0</v>
      </c>
      <c r="AD157" s="8">
        <f t="shared" ca="1" si="508"/>
        <v>0</v>
      </c>
      <c r="AE157" s="8">
        <f t="shared" ca="1" si="508"/>
        <v>0</v>
      </c>
      <c r="AF157" s="8">
        <f t="shared" ca="1" si="508"/>
        <v>0</v>
      </c>
      <c r="AG157" s="8">
        <f t="shared" ca="1" si="508"/>
        <v>0</v>
      </c>
      <c r="AH157" s="8">
        <f t="shared" ca="1" si="508"/>
        <v>0</v>
      </c>
      <c r="AI157" s="8">
        <f t="shared" ca="1" si="508"/>
        <v>0</v>
      </c>
      <c r="AJ157" s="8">
        <f t="shared" ca="1" si="508"/>
        <v>0</v>
      </c>
      <c r="AK157" s="8">
        <f t="shared" ca="1" si="508"/>
        <v>0</v>
      </c>
      <c r="AL157" s="8">
        <f t="shared" ca="1" si="508"/>
        <v>0</v>
      </c>
      <c r="AM157" s="8">
        <f t="shared" ca="1" si="508"/>
        <v>0</v>
      </c>
    </row>
    <row r="158" spans="1:39" x14ac:dyDescent="0.2">
      <c r="A158" s="18" t="str">
        <f>$A$60</f>
        <v>Qormi</v>
      </c>
      <c r="C158" s="8">
        <f ca="1">IFERROR(IF(VLOOKUP($A158,$150:$153,C$1+2,FALSE)=0,C66,0),C66)</f>
        <v>-12697.714595321995</v>
      </c>
      <c r="D158" s="8">
        <f ca="1">IFERROR(IF(VLOOKUP($A158,$150:$153,D$1+2,FALSE)=0,D66,0),D66)</f>
        <v>-10277.63989987525</v>
      </c>
      <c r="E158" s="8">
        <f ca="1">IFERROR(IF(VLOOKUP($A158,$150:$153,E$1+2,FALSE)=0,E66,0),E66)</f>
        <v>-7733.7495899939004</v>
      </c>
      <c r="F158" s="8">
        <f ca="1">IFERROR(IF(VLOOKUP($A158,$150:$153,F$1+2,FALSE)=0,F66,0),F66)</f>
        <v>-5059.7090238560577</v>
      </c>
      <c r="G158" s="8">
        <f ca="1">IFERROR(IF(VLOOKUP($A158,$150:$153,G$1+2,FALSE)=0,G66,0),G66)</f>
        <v>-2248.8594673418665</v>
      </c>
      <c r="H158" s="8">
        <f ca="1">IFERROR(IF(VLOOKUP($A158,$150:$153,H$1+2,FALSE)=0,H66,0),H66)</f>
        <v>0</v>
      </c>
      <c r="I158" s="8">
        <f ca="1">IFERROR(IF(VLOOKUP($A158,$150:$153,I$1+2,FALSE)=0,I66,0),I66)</f>
        <v>0</v>
      </c>
      <c r="J158" s="8">
        <f t="shared" ref="J158:AM158" ca="1" si="509">IFERROR(IF(VLOOKUP($A158,$150:$153,J$1+2,FALSE)=0,J66,0),J66)</f>
        <v>0</v>
      </c>
      <c r="K158" s="8">
        <f t="shared" ca="1" si="509"/>
        <v>0</v>
      </c>
      <c r="L158" s="8">
        <f t="shared" ca="1" si="509"/>
        <v>0</v>
      </c>
      <c r="M158" s="8">
        <f t="shared" ca="1" si="509"/>
        <v>0</v>
      </c>
      <c r="N158" s="8">
        <f t="shared" ca="1" si="509"/>
        <v>0</v>
      </c>
      <c r="O158" s="8">
        <f t="shared" ca="1" si="509"/>
        <v>0</v>
      </c>
      <c r="P158" s="8">
        <f t="shared" ca="1" si="509"/>
        <v>0</v>
      </c>
      <c r="Q158" s="8">
        <f t="shared" ca="1" si="509"/>
        <v>0</v>
      </c>
      <c r="R158" s="8">
        <f t="shared" ca="1" si="509"/>
        <v>0</v>
      </c>
      <c r="S158" s="8">
        <f t="shared" ca="1" si="509"/>
        <v>0</v>
      </c>
      <c r="T158" s="8">
        <f t="shared" ca="1" si="509"/>
        <v>0</v>
      </c>
      <c r="U158" s="8">
        <f t="shared" ca="1" si="509"/>
        <v>0</v>
      </c>
      <c r="V158" s="8">
        <f t="shared" ca="1" si="509"/>
        <v>0</v>
      </c>
      <c r="W158" s="8">
        <f t="shared" ca="1" si="509"/>
        <v>0</v>
      </c>
      <c r="X158" s="8">
        <f t="shared" ca="1" si="509"/>
        <v>0</v>
      </c>
      <c r="Y158" s="8">
        <f t="shared" ca="1" si="509"/>
        <v>0</v>
      </c>
      <c r="Z158" s="8">
        <f t="shared" ca="1" si="509"/>
        <v>0</v>
      </c>
      <c r="AA158" s="8">
        <f t="shared" ca="1" si="509"/>
        <v>0</v>
      </c>
      <c r="AB158" s="8">
        <f t="shared" ca="1" si="509"/>
        <v>0</v>
      </c>
      <c r="AC158" s="8">
        <f t="shared" ca="1" si="509"/>
        <v>0</v>
      </c>
      <c r="AD158" s="8">
        <f t="shared" ca="1" si="509"/>
        <v>0</v>
      </c>
      <c r="AE158" s="8">
        <f t="shared" ca="1" si="509"/>
        <v>0</v>
      </c>
      <c r="AF158" s="8">
        <f t="shared" ca="1" si="509"/>
        <v>0</v>
      </c>
      <c r="AG158" s="8">
        <f t="shared" ca="1" si="509"/>
        <v>0</v>
      </c>
      <c r="AH158" s="8">
        <f t="shared" ca="1" si="509"/>
        <v>0</v>
      </c>
      <c r="AI158" s="8">
        <f t="shared" ca="1" si="509"/>
        <v>0</v>
      </c>
      <c r="AJ158" s="8">
        <f t="shared" ca="1" si="509"/>
        <v>0</v>
      </c>
      <c r="AK158" s="8">
        <f t="shared" ca="1" si="509"/>
        <v>0</v>
      </c>
      <c r="AL158" s="8">
        <f t="shared" ca="1" si="509"/>
        <v>0</v>
      </c>
      <c r="AM158" s="8">
        <f t="shared" ca="1" si="509"/>
        <v>0</v>
      </c>
    </row>
    <row r="159" spans="1:39" x14ac:dyDescent="0.2"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</row>
    <row r="160" spans="1:39" x14ac:dyDescent="0.2">
      <c r="A160" s="4" t="s">
        <v>68</v>
      </c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</row>
    <row r="161" spans="1:39" x14ac:dyDescent="0.2">
      <c r="A161" s="18" t="str">
        <f t="shared" ref="A161:A173" si="510">A55</f>
        <v>Cash</v>
      </c>
      <c r="C161" s="8">
        <f ca="1">C136</f>
        <v>70325.5</v>
      </c>
      <c r="D161" s="8">
        <f t="shared" ref="D161:G161" ca="1" si="511">D136</f>
        <v>93777.462499999994</v>
      </c>
      <c r="E161" s="8">
        <f t="shared" ca="1" si="511"/>
        <v>97139.486875000017</v>
      </c>
      <c r="F161" s="8">
        <f t="shared" ca="1" si="511"/>
        <v>134700.22165942451</v>
      </c>
      <c r="G161" s="8">
        <f t="shared" ca="1" si="511"/>
        <v>176857.58117608592</v>
      </c>
      <c r="H161" s="8">
        <f t="shared" ref="H161:I161" ca="1" si="512">H136</f>
        <v>232940.55481327066</v>
      </c>
      <c r="I161" s="8">
        <f t="shared" ca="1" si="512"/>
        <v>299079.68847966078</v>
      </c>
      <c r="J161" s="8">
        <f t="shared" ref="J161:AM161" ca="1" si="513">J136</f>
        <v>351159.02647140576</v>
      </c>
      <c r="K161" s="8">
        <f t="shared" ca="1" si="513"/>
        <v>486975.96679276077</v>
      </c>
      <c r="L161" s="8">
        <f t="shared" ca="1" si="513"/>
        <v>534347.38007362408</v>
      </c>
      <c r="M161" s="8">
        <f t="shared" ca="1" si="513"/>
        <v>637505.5965587711</v>
      </c>
      <c r="N161" s="8">
        <f t="shared" ca="1" si="513"/>
        <v>746236.15018937679</v>
      </c>
      <c r="O161" s="8">
        <f t="shared" ca="1" si="513"/>
        <v>860775.63574042323</v>
      </c>
      <c r="P161" s="8">
        <f t="shared" ca="1" si="513"/>
        <v>981369.66856901604</v>
      </c>
      <c r="Q161" s="8">
        <f t="shared" ca="1" si="513"/>
        <v>1108273.207978379</v>
      </c>
      <c r="R161" s="8">
        <f t="shared" ca="1" si="513"/>
        <v>1241750.8917183832</v>
      </c>
      <c r="S161" s="8">
        <f t="shared" ca="1" si="513"/>
        <v>1276145.15148322</v>
      </c>
      <c r="T161" s="8">
        <f t="shared" ca="1" si="513"/>
        <v>1319429.9371666219</v>
      </c>
      <c r="U161" s="8">
        <f t="shared" ca="1" si="513"/>
        <v>1364332.3976486681</v>
      </c>
      <c r="V161" s="8">
        <f t="shared" ca="1" si="513"/>
        <v>1410913.8944652632</v>
      </c>
      <c r="W161" s="8">
        <f t="shared" ca="1" si="513"/>
        <v>1459238.0721059688</v>
      </c>
      <c r="X161" s="8">
        <f t="shared" ca="1" si="513"/>
        <v>1488964.0210951678</v>
      </c>
      <c r="Y161" s="8">
        <f t="shared" ca="1" si="513"/>
        <v>1519546.775976839</v>
      </c>
      <c r="Z161" s="8">
        <f t="shared" ca="1" si="513"/>
        <v>1551019.07429463</v>
      </c>
      <c r="AA161" s="8">
        <f t="shared" ca="1" si="513"/>
        <v>1583415.0092447023</v>
      </c>
      <c r="AB161" s="8">
        <f t="shared" ca="1" si="513"/>
        <v>1616770.0846257627</v>
      </c>
      <c r="AC161" s="8">
        <f t="shared" ca="1" si="513"/>
        <v>1651121.2719181646</v>
      </c>
      <c r="AD161" s="8">
        <f t="shared" ca="1" si="513"/>
        <v>1696367.8071636958</v>
      </c>
      <c r="AE161" s="8">
        <f t="shared" ca="1" si="513"/>
        <v>1743182.0766442758</v>
      </c>
      <c r="AF161" s="8">
        <f t="shared" ca="1" si="513"/>
        <v>1791624.3087351602</v>
      </c>
      <c r="AG161" s="8">
        <f t="shared" ca="1" si="513"/>
        <v>1841757.0670189112</v>
      </c>
      <c r="AH161" s="8">
        <f t="shared" ca="1" si="513"/>
        <v>1893645.3385117024</v>
      </c>
      <c r="AI161" s="8">
        <f t="shared" ca="1" si="513"/>
        <v>1947356.6251146924</v>
      </c>
      <c r="AJ161" s="8">
        <f t="shared" ca="1" si="513"/>
        <v>2002961.0384047818</v>
      </c>
      <c r="AK161" s="8">
        <f t="shared" ca="1" si="513"/>
        <v>2060531.3978830043</v>
      </c>
      <c r="AL161" s="8">
        <f t="shared" ca="1" si="513"/>
        <v>2120143.3328028899</v>
      </c>
      <c r="AM161" s="8">
        <f t="shared" ca="1" si="513"/>
        <v>2181875.3877053508</v>
      </c>
    </row>
    <row r="162" spans="1:39" x14ac:dyDescent="0.2">
      <c r="A162" s="18" t="str">
        <f t="shared" si="510"/>
        <v>Home</v>
      </c>
      <c r="C162" s="8">
        <f t="shared" ref="C162:I162" si="514">C56</f>
        <v>618000</v>
      </c>
      <c r="D162" s="8">
        <f t="shared" si="514"/>
        <v>636540</v>
      </c>
      <c r="E162" s="8">
        <f t="shared" si="514"/>
        <v>655636.20000000007</v>
      </c>
      <c r="F162" s="8">
        <f t="shared" si="514"/>
        <v>675305.28600000008</v>
      </c>
      <c r="G162" s="8">
        <f t="shared" si="514"/>
        <v>695564.44458000013</v>
      </c>
      <c r="H162" s="8">
        <f t="shared" si="514"/>
        <v>716431.3779174001</v>
      </c>
      <c r="I162" s="8">
        <f t="shared" si="514"/>
        <v>737924.3192549221</v>
      </c>
      <c r="J162" s="8">
        <f t="shared" ref="J162:AM162" si="515">J56</f>
        <v>760062.04883256974</v>
      </c>
      <c r="K162" s="8">
        <f t="shared" si="515"/>
        <v>782863.91029754688</v>
      </c>
      <c r="L162" s="8">
        <f t="shared" si="515"/>
        <v>806349.82760647335</v>
      </c>
      <c r="M162" s="8">
        <f t="shared" si="515"/>
        <v>830540.32243466761</v>
      </c>
      <c r="N162" s="8">
        <f t="shared" si="515"/>
        <v>855456.5321077077</v>
      </c>
      <c r="O162" s="8">
        <f t="shared" si="515"/>
        <v>881120.22807093896</v>
      </c>
      <c r="P162" s="8">
        <f t="shared" si="515"/>
        <v>907553.83491306717</v>
      </c>
      <c r="Q162" s="8">
        <f t="shared" si="515"/>
        <v>934780.44996045926</v>
      </c>
      <c r="R162" s="8">
        <f t="shared" si="515"/>
        <v>962823.86345927301</v>
      </c>
      <c r="S162" s="8">
        <f t="shared" si="515"/>
        <v>991708.57936305122</v>
      </c>
      <c r="T162" s="8">
        <f t="shared" si="515"/>
        <v>1021459.8367439428</v>
      </c>
      <c r="U162" s="8">
        <f t="shared" si="515"/>
        <v>1052103.6318462612</v>
      </c>
      <c r="V162" s="8">
        <f t="shared" si="515"/>
        <v>1083666.7408016492</v>
      </c>
      <c r="W162" s="8">
        <f t="shared" si="515"/>
        <v>1116176.7430256987</v>
      </c>
      <c r="X162" s="8">
        <f t="shared" si="515"/>
        <v>1149662.0453164696</v>
      </c>
      <c r="Y162" s="8">
        <f t="shared" si="515"/>
        <v>1184151.9066759637</v>
      </c>
      <c r="Z162" s="8">
        <f t="shared" si="515"/>
        <v>1219676.4638762425</v>
      </c>
      <c r="AA162" s="8">
        <f t="shared" si="515"/>
        <v>1256266.7577925299</v>
      </c>
      <c r="AB162" s="8">
        <f t="shared" si="515"/>
        <v>1293954.7605263058</v>
      </c>
      <c r="AC162" s="8">
        <f t="shared" si="515"/>
        <v>1332773.403342095</v>
      </c>
      <c r="AD162" s="8">
        <f t="shared" si="515"/>
        <v>1372756.6054423579</v>
      </c>
      <c r="AE162" s="8">
        <f t="shared" si="515"/>
        <v>1413939.3036056287</v>
      </c>
      <c r="AF162" s="8">
        <f t="shared" si="515"/>
        <v>1456357.4827137976</v>
      </c>
      <c r="AG162" s="8">
        <f t="shared" si="515"/>
        <v>1500048.2071952117</v>
      </c>
      <c r="AH162" s="8">
        <f t="shared" si="515"/>
        <v>1545049.653411068</v>
      </c>
      <c r="AI162" s="8">
        <f t="shared" si="515"/>
        <v>1591401.1430134</v>
      </c>
      <c r="AJ162" s="8">
        <f t="shared" si="515"/>
        <v>1639143.177303802</v>
      </c>
      <c r="AK162" s="8">
        <f t="shared" si="515"/>
        <v>1688317.4726229161</v>
      </c>
      <c r="AL162" s="8">
        <f t="shared" si="515"/>
        <v>1738966.9968016036</v>
      </c>
      <c r="AM162" s="8">
        <f t="shared" si="515"/>
        <v>1791136.0067056518</v>
      </c>
    </row>
    <row r="163" spans="1:39" x14ac:dyDescent="0.2">
      <c r="A163" s="18" t="str">
        <f t="shared" si="510"/>
        <v>Other property</v>
      </c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</row>
    <row r="164" spans="1:39" x14ac:dyDescent="0.2">
      <c r="A164" s="19" t="str">
        <f t="shared" si="510"/>
        <v>Sliema</v>
      </c>
      <c r="C164" s="8">
        <f t="shared" ref="C164:G164" ca="1" si="516">C146</f>
        <v>309000</v>
      </c>
      <c r="D164" s="8">
        <f t="shared" ca="1" si="516"/>
        <v>318270</v>
      </c>
      <c r="E164" s="8">
        <f t="shared" ca="1" si="516"/>
        <v>327818.10000000003</v>
      </c>
      <c r="F164" s="8">
        <f t="shared" ca="1" si="516"/>
        <v>337652.64300000004</v>
      </c>
      <c r="G164" s="8">
        <f t="shared" ca="1" si="516"/>
        <v>347782.22229000006</v>
      </c>
      <c r="H164" s="8">
        <f t="shared" ref="H164:I164" ca="1" si="517">H146</f>
        <v>358215.68895870005</v>
      </c>
      <c r="I164" s="8">
        <f t="shared" ca="1" si="517"/>
        <v>368962.15962746105</v>
      </c>
      <c r="J164" s="8">
        <f t="shared" ref="J164:AM164" ca="1" si="518">J146</f>
        <v>380031.02441628487</v>
      </c>
      <c r="K164" s="8">
        <f t="shared" ca="1" si="518"/>
        <v>391431.95514877344</v>
      </c>
      <c r="L164" s="8">
        <f t="shared" ca="1" si="518"/>
        <v>403174.91380323668</v>
      </c>
      <c r="M164" s="8">
        <f t="shared" ca="1" si="518"/>
        <v>415270.16121733381</v>
      </c>
      <c r="N164" s="8">
        <f t="shared" ca="1" si="518"/>
        <v>427728.26605385385</v>
      </c>
      <c r="O164" s="8">
        <f t="shared" ca="1" si="518"/>
        <v>440560.11403546948</v>
      </c>
      <c r="P164" s="8">
        <f t="shared" ca="1" si="518"/>
        <v>453776.91745653359</v>
      </c>
      <c r="Q164" s="8">
        <f t="shared" ca="1" si="518"/>
        <v>467390.22498022963</v>
      </c>
      <c r="R164" s="8">
        <f t="shared" ca="1" si="518"/>
        <v>481411.9317296365</v>
      </c>
      <c r="S164" s="8">
        <f t="shared" ca="1" si="518"/>
        <v>495854.28968152561</v>
      </c>
      <c r="T164" s="8">
        <f t="shared" ca="1" si="518"/>
        <v>510729.91837197141</v>
      </c>
      <c r="U164" s="8">
        <f t="shared" ca="1" si="518"/>
        <v>526051.81592313061</v>
      </c>
      <c r="V164" s="8">
        <f t="shared" ca="1" si="518"/>
        <v>541833.37040082458</v>
      </c>
      <c r="W164" s="8">
        <f t="shared" ca="1" si="518"/>
        <v>558088.37151284935</v>
      </c>
      <c r="X164" s="8">
        <f t="shared" ca="1" si="518"/>
        <v>574831.02265823481</v>
      </c>
      <c r="Y164" s="8">
        <f t="shared" ca="1" si="518"/>
        <v>592075.95333798183</v>
      </c>
      <c r="Z164" s="8">
        <f t="shared" ca="1" si="518"/>
        <v>609838.23193812126</v>
      </c>
      <c r="AA164" s="8">
        <f t="shared" ca="1" si="518"/>
        <v>628133.37889626494</v>
      </c>
      <c r="AB164" s="8">
        <f t="shared" ca="1" si="518"/>
        <v>646977.38026315288</v>
      </c>
      <c r="AC164" s="8">
        <f t="shared" ca="1" si="518"/>
        <v>666386.70167104749</v>
      </c>
      <c r="AD164" s="8">
        <f t="shared" ca="1" si="518"/>
        <v>686378.30272117897</v>
      </c>
      <c r="AE164" s="8">
        <f t="shared" ca="1" si="518"/>
        <v>706969.65180281433</v>
      </c>
      <c r="AF164" s="8">
        <f t="shared" ca="1" si="518"/>
        <v>728178.7413568988</v>
      </c>
      <c r="AG164" s="8">
        <f t="shared" ca="1" si="518"/>
        <v>750024.10359760583</v>
      </c>
      <c r="AH164" s="8">
        <f t="shared" ca="1" si="518"/>
        <v>772524.82670553401</v>
      </c>
      <c r="AI164" s="8">
        <f t="shared" ca="1" si="518"/>
        <v>795700.57150670001</v>
      </c>
      <c r="AJ164" s="8">
        <f t="shared" ca="1" si="518"/>
        <v>819571.58865190099</v>
      </c>
      <c r="AK164" s="8">
        <f t="shared" ca="1" si="518"/>
        <v>844158.73631145805</v>
      </c>
      <c r="AL164" s="8">
        <f t="shared" ca="1" si="518"/>
        <v>869483.49840080179</v>
      </c>
      <c r="AM164" s="8">
        <f t="shared" ca="1" si="518"/>
        <v>895568.00335282588</v>
      </c>
    </row>
    <row r="165" spans="1:39" x14ac:dyDescent="0.2">
      <c r="A165" s="19" t="str">
        <f t="shared" si="510"/>
        <v>Gzira</v>
      </c>
      <c r="C165" s="8">
        <f t="shared" ref="C165:G165" ca="1" si="519">C147</f>
        <v>154500</v>
      </c>
      <c r="D165" s="8">
        <f t="shared" ca="1" si="519"/>
        <v>159135</v>
      </c>
      <c r="E165" s="8">
        <f t="shared" ca="1" si="519"/>
        <v>163909.05000000002</v>
      </c>
      <c r="F165" s="8">
        <f t="shared" ca="1" si="519"/>
        <v>168826.32150000002</v>
      </c>
      <c r="G165" s="8">
        <f t="shared" ca="1" si="519"/>
        <v>173891.11114500003</v>
      </c>
      <c r="H165" s="8">
        <f t="shared" ref="H165:I165" ca="1" si="520">H147</f>
        <v>179107.84447935002</v>
      </c>
      <c r="I165" s="8">
        <f t="shared" ca="1" si="520"/>
        <v>184481.07981373052</v>
      </c>
      <c r="J165" s="8">
        <f t="shared" ref="J165:AM165" ca="1" si="521">J147</f>
        <v>190015.51220814243</v>
      </c>
      <c r="K165" s="8">
        <f t="shared" ca="1" si="521"/>
        <v>195715.97757438672</v>
      </c>
      <c r="L165" s="8">
        <f t="shared" ca="1" si="521"/>
        <v>201587.45690161834</v>
      </c>
      <c r="M165" s="8">
        <f t="shared" ca="1" si="521"/>
        <v>207635.0806086669</v>
      </c>
      <c r="N165" s="8">
        <f t="shared" ca="1" si="521"/>
        <v>213864.13302692692</v>
      </c>
      <c r="O165" s="8">
        <f t="shared" ca="1" si="521"/>
        <v>220280.05701773474</v>
      </c>
      <c r="P165" s="8">
        <f t="shared" ca="1" si="521"/>
        <v>226888.45872826679</v>
      </c>
      <c r="Q165" s="8">
        <f t="shared" ca="1" si="521"/>
        <v>233695.11249011481</v>
      </c>
      <c r="R165" s="8">
        <f t="shared" ca="1" si="521"/>
        <v>240705.96586481825</v>
      </c>
      <c r="S165" s="8">
        <f t="shared" ca="1" si="521"/>
        <v>247927.1448407628</v>
      </c>
      <c r="T165" s="8">
        <f t="shared" ca="1" si="521"/>
        <v>255364.9591859857</v>
      </c>
      <c r="U165" s="8">
        <f t="shared" ca="1" si="521"/>
        <v>263025.9079615653</v>
      </c>
      <c r="V165" s="8">
        <f t="shared" ca="1" si="521"/>
        <v>270916.68520041229</v>
      </c>
      <c r="W165" s="8">
        <f t="shared" ca="1" si="521"/>
        <v>279044.18575642467</v>
      </c>
      <c r="X165" s="8">
        <f t="shared" ca="1" si="521"/>
        <v>287415.51132911741</v>
      </c>
      <c r="Y165" s="8">
        <f t="shared" ca="1" si="521"/>
        <v>296037.97666899092</v>
      </c>
      <c r="Z165" s="8">
        <f t="shared" ca="1" si="521"/>
        <v>304919.11596906063</v>
      </c>
      <c r="AA165" s="8">
        <f t="shared" ca="1" si="521"/>
        <v>314066.68944813247</v>
      </c>
      <c r="AB165" s="8">
        <f t="shared" ca="1" si="521"/>
        <v>323488.69013157644</v>
      </c>
      <c r="AC165" s="8">
        <f t="shared" ca="1" si="521"/>
        <v>333193.35083552374</v>
      </c>
      <c r="AD165" s="8">
        <f t="shared" ca="1" si="521"/>
        <v>343189.15136058949</v>
      </c>
      <c r="AE165" s="8">
        <f t="shared" ca="1" si="521"/>
        <v>353484.82590140717</v>
      </c>
      <c r="AF165" s="8">
        <f t="shared" ca="1" si="521"/>
        <v>364089.3706784494</v>
      </c>
      <c r="AG165" s="8">
        <f t="shared" ca="1" si="521"/>
        <v>375012.05179880292</v>
      </c>
      <c r="AH165" s="8">
        <f t="shared" ca="1" si="521"/>
        <v>386262.41335276701</v>
      </c>
      <c r="AI165" s="8">
        <f t="shared" ca="1" si="521"/>
        <v>397850.28575335001</v>
      </c>
      <c r="AJ165" s="8">
        <f t="shared" ca="1" si="521"/>
        <v>409785.7943259505</v>
      </c>
      <c r="AK165" s="8">
        <f t="shared" ca="1" si="521"/>
        <v>422079.36815572903</v>
      </c>
      <c r="AL165" s="8">
        <f t="shared" ca="1" si="521"/>
        <v>434741.7492004009</v>
      </c>
      <c r="AM165" s="8">
        <f t="shared" ca="1" si="521"/>
        <v>447784.00167641294</v>
      </c>
    </row>
    <row r="166" spans="1:39" x14ac:dyDescent="0.2">
      <c r="A166" s="19" t="str">
        <f t="shared" si="510"/>
        <v>Qormi</v>
      </c>
      <c r="C166" s="8">
        <f t="shared" ref="C166:G166" ca="1" si="522">C148</f>
        <v>226600</v>
      </c>
      <c r="D166" s="8">
        <f t="shared" ca="1" si="522"/>
        <v>233398</v>
      </c>
      <c r="E166" s="8">
        <f t="shared" ca="1" si="522"/>
        <v>240399.94</v>
      </c>
      <c r="F166" s="8">
        <f t="shared" ca="1" si="522"/>
        <v>247611.9382</v>
      </c>
      <c r="G166" s="8">
        <f t="shared" ca="1" si="522"/>
        <v>255040.29634600002</v>
      </c>
      <c r="H166" s="8">
        <f t="shared" ref="H166:I166" ca="1" si="523">H148</f>
        <v>262691.50523638004</v>
      </c>
      <c r="I166" s="8">
        <f t="shared" ca="1" si="523"/>
        <v>270572.25039347145</v>
      </c>
      <c r="J166" s="8">
        <f t="shared" ref="J166:AM166" ca="1" si="524">J148</f>
        <v>278689.41790527559</v>
      </c>
      <c r="K166" s="8">
        <f t="shared" ca="1" si="524"/>
        <v>287050.10044243385</v>
      </c>
      <c r="L166" s="8">
        <f t="shared" ca="1" si="524"/>
        <v>295661.60345570685</v>
      </c>
      <c r="M166" s="8">
        <f t="shared" ca="1" si="524"/>
        <v>304531.45155937807</v>
      </c>
      <c r="N166" s="8">
        <f t="shared" ca="1" si="524"/>
        <v>313667.39510615944</v>
      </c>
      <c r="O166" s="8">
        <f t="shared" ca="1" si="524"/>
        <v>323077.41695934423</v>
      </c>
      <c r="P166" s="8">
        <f t="shared" ca="1" si="524"/>
        <v>332769.73946812458</v>
      </c>
      <c r="Q166" s="8">
        <f t="shared" ca="1" si="524"/>
        <v>342752.8316521683</v>
      </c>
      <c r="R166" s="8">
        <f t="shared" ca="1" si="524"/>
        <v>353035.41660173336</v>
      </c>
      <c r="S166" s="8">
        <f t="shared" ca="1" si="524"/>
        <v>363626.47909978539</v>
      </c>
      <c r="T166" s="8">
        <f t="shared" ca="1" si="524"/>
        <v>374535.27347277896</v>
      </c>
      <c r="U166" s="8">
        <f t="shared" ca="1" si="524"/>
        <v>385771.33167696232</v>
      </c>
      <c r="V166" s="8">
        <f t="shared" ca="1" si="524"/>
        <v>397344.47162727121</v>
      </c>
      <c r="W166" s="8">
        <f t="shared" ca="1" si="524"/>
        <v>409264.80577608937</v>
      </c>
      <c r="X166" s="8">
        <f t="shared" ca="1" si="524"/>
        <v>421542.74994937208</v>
      </c>
      <c r="Y166" s="8">
        <f t="shared" ca="1" si="524"/>
        <v>434189.03244785324</v>
      </c>
      <c r="Z166" s="8">
        <f t="shared" ca="1" si="524"/>
        <v>447214.70342128887</v>
      </c>
      <c r="AA166" s="8">
        <f t="shared" ca="1" si="524"/>
        <v>460631.14452392753</v>
      </c>
      <c r="AB166" s="8">
        <f t="shared" ca="1" si="524"/>
        <v>474450.07885964535</v>
      </c>
      <c r="AC166" s="8">
        <f t="shared" ca="1" si="524"/>
        <v>488683.58122543473</v>
      </c>
      <c r="AD166" s="8">
        <f t="shared" ca="1" si="524"/>
        <v>503344.08866219776</v>
      </c>
      <c r="AE166" s="8">
        <f t="shared" ca="1" si="524"/>
        <v>518444.41132206371</v>
      </c>
      <c r="AF166" s="8">
        <f t="shared" ca="1" si="524"/>
        <v>533997.74366172566</v>
      </c>
      <c r="AG166" s="8">
        <f t="shared" ca="1" si="524"/>
        <v>550017.67597157741</v>
      </c>
      <c r="AH166" s="8">
        <f t="shared" ca="1" si="524"/>
        <v>566518.20625072473</v>
      </c>
      <c r="AI166" s="8">
        <f t="shared" ca="1" si="524"/>
        <v>583513.75243824651</v>
      </c>
      <c r="AJ166" s="8">
        <f t="shared" ca="1" si="524"/>
        <v>601019.16501139395</v>
      </c>
      <c r="AK166" s="8">
        <f t="shared" ca="1" si="524"/>
        <v>619049.73996173579</v>
      </c>
      <c r="AL166" s="8">
        <f t="shared" ca="1" si="524"/>
        <v>637621.23216058791</v>
      </c>
      <c r="AM166" s="8">
        <f t="shared" ca="1" si="524"/>
        <v>656749.86912540556</v>
      </c>
    </row>
    <row r="167" spans="1:39" x14ac:dyDescent="0.2">
      <c r="A167" s="18" t="str">
        <f t="shared" si="510"/>
        <v>Stock market equity investments</v>
      </c>
      <c r="C167" s="8">
        <f t="shared" ref="C167:I167" ca="1" si="525">C79</f>
        <v>32400.000000000004</v>
      </c>
      <c r="D167" s="8">
        <f t="shared" ca="1" si="525"/>
        <v>34992.000000000007</v>
      </c>
      <c r="E167" s="8">
        <f t="shared" ca="1" si="525"/>
        <v>37791.360000000008</v>
      </c>
      <c r="F167" s="8">
        <f t="shared" ca="1" si="525"/>
        <v>40814.668800000007</v>
      </c>
      <c r="G167" s="8">
        <f t="shared" ca="1" si="525"/>
        <v>44079.842304000005</v>
      </c>
      <c r="H167" s="8">
        <f t="shared" ca="1" si="525"/>
        <v>47606.229688320003</v>
      </c>
      <c r="I167" s="8">
        <f t="shared" ca="1" si="525"/>
        <v>51414.728063385606</v>
      </c>
      <c r="J167" s="8">
        <f t="shared" ref="J167:AM167" ca="1" si="526">J79</f>
        <v>55527.906308456455</v>
      </c>
      <c r="K167" s="8">
        <f t="shared" ca="1" si="526"/>
        <v>59970.138813132973</v>
      </c>
      <c r="L167" s="8">
        <f t="shared" ca="1" si="526"/>
        <v>64767.74991818361</v>
      </c>
      <c r="M167" s="8">
        <f t="shared" ca="1" si="526"/>
        <v>69949.169911638295</v>
      </c>
      <c r="N167" s="8">
        <f t="shared" ca="1" si="526"/>
        <v>75545.103504569357</v>
      </c>
      <c r="O167" s="8">
        <f t="shared" ca="1" si="526"/>
        <v>81588.711784934902</v>
      </c>
      <c r="P167" s="8">
        <f t="shared" ca="1" si="526"/>
        <v>88115.808727729687</v>
      </c>
      <c r="Q167" s="8">
        <f t="shared" ca="1" si="526"/>
        <v>95165.073425948067</v>
      </c>
      <c r="R167" s="8">
        <f t="shared" ca="1" si="526"/>
        <v>102778.27930002392</v>
      </c>
      <c r="S167" s="8">
        <f t="shared" ca="1" si="526"/>
        <v>111000.54164402583</v>
      </c>
      <c r="T167" s="8">
        <f t="shared" ca="1" si="526"/>
        <v>119880.5849755479</v>
      </c>
      <c r="U167" s="8">
        <f t="shared" ca="1" si="526"/>
        <v>129471.03177359173</v>
      </c>
      <c r="V167" s="8">
        <f t="shared" ca="1" si="526"/>
        <v>139828.71431547907</v>
      </c>
      <c r="W167" s="8">
        <f t="shared" ca="1" si="526"/>
        <v>151015.01146071739</v>
      </c>
      <c r="X167" s="8">
        <f t="shared" ca="1" si="526"/>
        <v>163096.21237757479</v>
      </c>
      <c r="Y167" s="8">
        <f t="shared" ca="1" si="526"/>
        <v>176143.90936778078</v>
      </c>
      <c r="Z167" s="8">
        <f t="shared" ca="1" si="526"/>
        <v>190235.42211720324</v>
      </c>
      <c r="AA167" s="8">
        <f t="shared" ca="1" si="526"/>
        <v>205454.25588657951</v>
      </c>
      <c r="AB167" s="8">
        <f t="shared" ca="1" si="526"/>
        <v>221890.59635750588</v>
      </c>
      <c r="AC167" s="8">
        <f t="shared" ca="1" si="526"/>
        <v>239641.84406610637</v>
      </c>
      <c r="AD167" s="8">
        <f t="shared" ca="1" si="526"/>
        <v>258813.19159139489</v>
      </c>
      <c r="AE167" s="8">
        <f t="shared" ca="1" si="526"/>
        <v>279518.24691870646</v>
      </c>
      <c r="AF167" s="8">
        <f t="shared" ca="1" si="526"/>
        <v>301879.70667220297</v>
      </c>
      <c r="AG167" s="8">
        <f t="shared" ca="1" si="526"/>
        <v>326030.0832059792</v>
      </c>
      <c r="AH167" s="8">
        <f t="shared" ca="1" si="526"/>
        <v>352112.48986245756</v>
      </c>
      <c r="AI167" s="8">
        <f t="shared" ca="1" si="526"/>
        <v>380281.48905145418</v>
      </c>
      <c r="AJ167" s="8">
        <f t="shared" ca="1" si="526"/>
        <v>410704.00817557052</v>
      </c>
      <c r="AK167" s="8">
        <f t="shared" ca="1" si="526"/>
        <v>443560.32882961619</v>
      </c>
      <c r="AL167" s="8">
        <f t="shared" ca="1" si="526"/>
        <v>479045.15513598546</v>
      </c>
      <c r="AM167" s="8">
        <f t="shared" ca="1" si="526"/>
        <v>517368.76754686428</v>
      </c>
    </row>
    <row r="168" spans="1:39" x14ac:dyDescent="0.2">
      <c r="A168" s="18" t="str">
        <f t="shared" si="510"/>
        <v>Home loan</v>
      </c>
      <c r="C168" s="8">
        <f t="shared" ref="C168:I168" si="527">C62</f>
        <v>-41787.691633353177</v>
      </c>
      <c r="D168" s="8">
        <f t="shared" si="527"/>
        <v>-33325.598049266016</v>
      </c>
      <c r="E168" s="8">
        <f t="shared" si="527"/>
        <v>-24606.12179132711</v>
      </c>
      <c r="F168" s="8">
        <f t="shared" si="527"/>
        <v>-15621.434319218446</v>
      </c>
      <c r="G168" s="8">
        <f t="shared" si="527"/>
        <v>-6363.4689800768465</v>
      </c>
      <c r="H168" s="8">
        <f t="shared" si="527"/>
        <v>0</v>
      </c>
      <c r="I168" s="8">
        <f t="shared" si="527"/>
        <v>0</v>
      </c>
      <c r="J168" s="8">
        <f t="shared" ref="J168:AM168" si="528">J62</f>
        <v>0</v>
      </c>
      <c r="K168" s="8">
        <f t="shared" si="528"/>
        <v>0</v>
      </c>
      <c r="L168" s="8">
        <f t="shared" si="528"/>
        <v>0</v>
      </c>
      <c r="M168" s="8">
        <f t="shared" si="528"/>
        <v>0</v>
      </c>
      <c r="N168" s="8">
        <f t="shared" si="528"/>
        <v>0</v>
      </c>
      <c r="O168" s="8">
        <f t="shared" si="528"/>
        <v>0</v>
      </c>
      <c r="P168" s="8">
        <f t="shared" si="528"/>
        <v>0</v>
      </c>
      <c r="Q168" s="8">
        <f t="shared" si="528"/>
        <v>0</v>
      </c>
      <c r="R168" s="8">
        <f t="shared" si="528"/>
        <v>0</v>
      </c>
      <c r="S168" s="8">
        <f t="shared" si="528"/>
        <v>0</v>
      </c>
      <c r="T168" s="8">
        <f t="shared" si="528"/>
        <v>0</v>
      </c>
      <c r="U168" s="8">
        <f t="shared" si="528"/>
        <v>0</v>
      </c>
      <c r="V168" s="8">
        <f t="shared" si="528"/>
        <v>0</v>
      </c>
      <c r="W168" s="8">
        <f t="shared" si="528"/>
        <v>0</v>
      </c>
      <c r="X168" s="8">
        <f t="shared" si="528"/>
        <v>0</v>
      </c>
      <c r="Y168" s="8">
        <f t="shared" si="528"/>
        <v>0</v>
      </c>
      <c r="Z168" s="8">
        <f t="shared" si="528"/>
        <v>0</v>
      </c>
      <c r="AA168" s="8">
        <f t="shared" si="528"/>
        <v>0</v>
      </c>
      <c r="AB168" s="8">
        <f t="shared" si="528"/>
        <v>0</v>
      </c>
      <c r="AC168" s="8">
        <f t="shared" si="528"/>
        <v>0</v>
      </c>
      <c r="AD168" s="8">
        <f t="shared" si="528"/>
        <v>0</v>
      </c>
      <c r="AE168" s="8">
        <f t="shared" si="528"/>
        <v>0</v>
      </c>
      <c r="AF168" s="8">
        <f t="shared" si="528"/>
        <v>0</v>
      </c>
      <c r="AG168" s="8">
        <f t="shared" si="528"/>
        <v>0</v>
      </c>
      <c r="AH168" s="8">
        <f t="shared" si="528"/>
        <v>0</v>
      </c>
      <c r="AI168" s="8">
        <f t="shared" si="528"/>
        <v>0</v>
      </c>
      <c r="AJ168" s="8">
        <f t="shared" si="528"/>
        <v>0</v>
      </c>
      <c r="AK168" s="8">
        <f t="shared" si="528"/>
        <v>0</v>
      </c>
      <c r="AL168" s="8">
        <f t="shared" si="528"/>
        <v>0</v>
      </c>
      <c r="AM168" s="8">
        <f t="shared" si="528"/>
        <v>0</v>
      </c>
    </row>
    <row r="169" spans="1:39" x14ac:dyDescent="0.2">
      <c r="A169" s="18" t="str">
        <f t="shared" si="510"/>
        <v>Other property loans</v>
      </c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</row>
    <row r="170" spans="1:39" x14ac:dyDescent="0.2">
      <c r="A170" s="19" t="str">
        <f t="shared" si="510"/>
        <v>Sliema</v>
      </c>
      <c r="C170" s="8">
        <f ca="1">C156</f>
        <v>-45437.606462973985</v>
      </c>
      <c r="D170" s="8">
        <f t="shared" ref="D170:G170" ca="1" si="529">D156</f>
        <v>-40736.443360703342</v>
      </c>
      <c r="E170" s="8">
        <f t="shared" ca="1" si="529"/>
        <v>-35892.289884070618</v>
      </c>
      <c r="F170" s="8">
        <f t="shared" ca="1" si="529"/>
        <v>-30900.796844010245</v>
      </c>
      <c r="G170" s="8">
        <f t="shared" ca="1" si="529"/>
        <v>-25757.48276670936</v>
      </c>
      <c r="H170" s="8">
        <f t="shared" ref="H170:I170" ca="1" si="530">H156</f>
        <v>-20457.729870040646</v>
      </c>
      <c r="I170" s="8">
        <f t="shared" ca="1" si="530"/>
        <v>-14996.779917614593</v>
      </c>
      <c r="J170" s="8">
        <f t="shared" ref="J170:AM170" ca="1" si="531">J156</f>
        <v>-9369.7299467287376</v>
      </c>
      <c r="K170" s="8">
        <f t="shared" ca="1" si="531"/>
        <v>-3571.5278663783029</v>
      </c>
      <c r="L170" s="8">
        <f t="shared" ca="1" si="531"/>
        <v>0</v>
      </c>
      <c r="M170" s="8">
        <f t="shared" ca="1" si="531"/>
        <v>0</v>
      </c>
      <c r="N170" s="8">
        <f t="shared" ca="1" si="531"/>
        <v>0</v>
      </c>
      <c r="O170" s="8">
        <f t="shared" ca="1" si="531"/>
        <v>0</v>
      </c>
      <c r="P170" s="8">
        <f t="shared" ca="1" si="531"/>
        <v>0</v>
      </c>
      <c r="Q170" s="8">
        <f t="shared" ca="1" si="531"/>
        <v>0</v>
      </c>
      <c r="R170" s="8">
        <f t="shared" ca="1" si="531"/>
        <v>0</v>
      </c>
      <c r="S170" s="8">
        <f t="shared" ca="1" si="531"/>
        <v>0</v>
      </c>
      <c r="T170" s="8">
        <f t="shared" ca="1" si="531"/>
        <v>0</v>
      </c>
      <c r="U170" s="8">
        <f t="shared" ca="1" si="531"/>
        <v>0</v>
      </c>
      <c r="V170" s="8">
        <f t="shared" ca="1" si="531"/>
        <v>0</v>
      </c>
      <c r="W170" s="8">
        <f t="shared" ca="1" si="531"/>
        <v>0</v>
      </c>
      <c r="X170" s="8">
        <f t="shared" ca="1" si="531"/>
        <v>0</v>
      </c>
      <c r="Y170" s="8">
        <f t="shared" ca="1" si="531"/>
        <v>0</v>
      </c>
      <c r="Z170" s="8">
        <f t="shared" ca="1" si="531"/>
        <v>0</v>
      </c>
      <c r="AA170" s="8">
        <f t="shared" ca="1" si="531"/>
        <v>0</v>
      </c>
      <c r="AB170" s="8">
        <f t="shared" ca="1" si="531"/>
        <v>0</v>
      </c>
      <c r="AC170" s="8">
        <f t="shared" ca="1" si="531"/>
        <v>0</v>
      </c>
      <c r="AD170" s="8">
        <f t="shared" ca="1" si="531"/>
        <v>0</v>
      </c>
      <c r="AE170" s="8">
        <f t="shared" ca="1" si="531"/>
        <v>0</v>
      </c>
      <c r="AF170" s="8">
        <f t="shared" ca="1" si="531"/>
        <v>0</v>
      </c>
      <c r="AG170" s="8">
        <f t="shared" ca="1" si="531"/>
        <v>0</v>
      </c>
      <c r="AH170" s="8">
        <f t="shared" ca="1" si="531"/>
        <v>0</v>
      </c>
      <c r="AI170" s="8">
        <f t="shared" ca="1" si="531"/>
        <v>0</v>
      </c>
      <c r="AJ170" s="8">
        <f t="shared" ca="1" si="531"/>
        <v>0</v>
      </c>
      <c r="AK170" s="8">
        <f t="shared" ca="1" si="531"/>
        <v>0</v>
      </c>
      <c r="AL170" s="8">
        <f t="shared" ca="1" si="531"/>
        <v>0</v>
      </c>
      <c r="AM170" s="8">
        <f t="shared" ca="1" si="531"/>
        <v>0</v>
      </c>
    </row>
    <row r="171" spans="1:39" x14ac:dyDescent="0.2">
      <c r="A171" s="19" t="str">
        <f t="shared" si="510"/>
        <v>Gzira</v>
      </c>
      <c r="C171" s="8">
        <f ca="1">C157</f>
        <v>-6249.4443415125261</v>
      </c>
      <c r="D171" s="8">
        <f t="shared" ref="D171:G171" ca="1" si="532">D157</f>
        <v>-3953.4626671330816</v>
      </c>
      <c r="E171" s="8">
        <f t="shared" ca="1" si="532"/>
        <v>-1611.1380819997976</v>
      </c>
      <c r="F171" s="8">
        <f t="shared" ca="1" si="532"/>
        <v>0</v>
      </c>
      <c r="G171" s="8">
        <f t="shared" ca="1" si="532"/>
        <v>0</v>
      </c>
      <c r="H171" s="8">
        <f t="shared" ref="H171:I171" ca="1" si="533">H157</f>
        <v>0</v>
      </c>
      <c r="I171" s="8">
        <f t="shared" ca="1" si="533"/>
        <v>0</v>
      </c>
      <c r="J171" s="8">
        <f t="shared" ref="J171:AM171" ca="1" si="534">J157</f>
        <v>0</v>
      </c>
      <c r="K171" s="8">
        <f t="shared" ca="1" si="534"/>
        <v>0</v>
      </c>
      <c r="L171" s="8">
        <f t="shared" ca="1" si="534"/>
        <v>0</v>
      </c>
      <c r="M171" s="8">
        <f t="shared" ca="1" si="534"/>
        <v>0</v>
      </c>
      <c r="N171" s="8">
        <f t="shared" ca="1" si="534"/>
        <v>0</v>
      </c>
      <c r="O171" s="8">
        <f t="shared" ca="1" si="534"/>
        <v>0</v>
      </c>
      <c r="P171" s="8">
        <f t="shared" ca="1" si="534"/>
        <v>0</v>
      </c>
      <c r="Q171" s="8">
        <f t="shared" ca="1" si="534"/>
        <v>0</v>
      </c>
      <c r="R171" s="8">
        <f t="shared" ca="1" si="534"/>
        <v>0</v>
      </c>
      <c r="S171" s="8">
        <f t="shared" ca="1" si="534"/>
        <v>0</v>
      </c>
      <c r="T171" s="8">
        <f t="shared" ca="1" si="534"/>
        <v>0</v>
      </c>
      <c r="U171" s="8">
        <f t="shared" ca="1" si="534"/>
        <v>0</v>
      </c>
      <c r="V171" s="8">
        <f t="shared" ca="1" si="534"/>
        <v>0</v>
      </c>
      <c r="W171" s="8">
        <f t="shared" ca="1" si="534"/>
        <v>0</v>
      </c>
      <c r="X171" s="8">
        <f t="shared" ca="1" si="534"/>
        <v>0</v>
      </c>
      <c r="Y171" s="8">
        <f t="shared" ca="1" si="534"/>
        <v>0</v>
      </c>
      <c r="Z171" s="8">
        <f t="shared" ca="1" si="534"/>
        <v>0</v>
      </c>
      <c r="AA171" s="8">
        <f t="shared" ca="1" si="534"/>
        <v>0</v>
      </c>
      <c r="AB171" s="8">
        <f t="shared" ca="1" si="534"/>
        <v>0</v>
      </c>
      <c r="AC171" s="8">
        <f t="shared" ca="1" si="534"/>
        <v>0</v>
      </c>
      <c r="AD171" s="8">
        <f t="shared" ca="1" si="534"/>
        <v>0</v>
      </c>
      <c r="AE171" s="8">
        <f t="shared" ca="1" si="534"/>
        <v>0</v>
      </c>
      <c r="AF171" s="8">
        <f t="shared" ca="1" si="534"/>
        <v>0</v>
      </c>
      <c r="AG171" s="8">
        <f t="shared" ca="1" si="534"/>
        <v>0</v>
      </c>
      <c r="AH171" s="8">
        <f t="shared" ca="1" si="534"/>
        <v>0</v>
      </c>
      <c r="AI171" s="8">
        <f t="shared" ca="1" si="534"/>
        <v>0</v>
      </c>
      <c r="AJ171" s="8">
        <f t="shared" ca="1" si="534"/>
        <v>0</v>
      </c>
      <c r="AK171" s="8">
        <f t="shared" ca="1" si="534"/>
        <v>0</v>
      </c>
      <c r="AL171" s="8">
        <f t="shared" ca="1" si="534"/>
        <v>0</v>
      </c>
      <c r="AM171" s="8">
        <f t="shared" ca="1" si="534"/>
        <v>0</v>
      </c>
    </row>
    <row r="172" spans="1:39" x14ac:dyDescent="0.2">
      <c r="A172" s="19" t="str">
        <f t="shared" si="510"/>
        <v>Qormi</v>
      </c>
      <c r="C172" s="8">
        <f ca="1">C158</f>
        <v>-12697.714595321995</v>
      </c>
      <c r="D172" s="8">
        <f t="shared" ref="D172:G172" ca="1" si="535">D158</f>
        <v>-10277.63989987525</v>
      </c>
      <c r="E172" s="8">
        <f t="shared" ca="1" si="535"/>
        <v>-7733.7495899939004</v>
      </c>
      <c r="F172" s="8">
        <f t="shared" ca="1" si="535"/>
        <v>-5059.7090238560577</v>
      </c>
      <c r="G172" s="8">
        <f t="shared" ca="1" si="535"/>
        <v>-2248.8594673418665</v>
      </c>
      <c r="H172" s="8">
        <f t="shared" ref="H172:I172" ca="1" si="536">H158</f>
        <v>0</v>
      </c>
      <c r="I172" s="8">
        <f t="shared" ca="1" si="536"/>
        <v>0</v>
      </c>
      <c r="J172" s="8">
        <f t="shared" ref="J172:AM172" ca="1" si="537">J158</f>
        <v>0</v>
      </c>
      <c r="K172" s="8">
        <f t="shared" ca="1" si="537"/>
        <v>0</v>
      </c>
      <c r="L172" s="8">
        <f t="shared" ca="1" si="537"/>
        <v>0</v>
      </c>
      <c r="M172" s="8">
        <f t="shared" ca="1" si="537"/>
        <v>0</v>
      </c>
      <c r="N172" s="8">
        <f t="shared" ca="1" si="537"/>
        <v>0</v>
      </c>
      <c r="O172" s="8">
        <f t="shared" ca="1" si="537"/>
        <v>0</v>
      </c>
      <c r="P172" s="8">
        <f t="shared" ca="1" si="537"/>
        <v>0</v>
      </c>
      <c r="Q172" s="8">
        <f t="shared" ca="1" si="537"/>
        <v>0</v>
      </c>
      <c r="R172" s="8">
        <f t="shared" ca="1" si="537"/>
        <v>0</v>
      </c>
      <c r="S172" s="8">
        <f t="shared" ca="1" si="537"/>
        <v>0</v>
      </c>
      <c r="T172" s="8">
        <f t="shared" ca="1" si="537"/>
        <v>0</v>
      </c>
      <c r="U172" s="8">
        <f t="shared" ca="1" si="537"/>
        <v>0</v>
      </c>
      <c r="V172" s="8">
        <f t="shared" ca="1" si="537"/>
        <v>0</v>
      </c>
      <c r="W172" s="8">
        <f t="shared" ca="1" si="537"/>
        <v>0</v>
      </c>
      <c r="X172" s="8">
        <f t="shared" ca="1" si="537"/>
        <v>0</v>
      </c>
      <c r="Y172" s="8">
        <f t="shared" ca="1" si="537"/>
        <v>0</v>
      </c>
      <c r="Z172" s="8">
        <f t="shared" ca="1" si="537"/>
        <v>0</v>
      </c>
      <c r="AA172" s="8">
        <f t="shared" ca="1" si="537"/>
        <v>0</v>
      </c>
      <c r="AB172" s="8">
        <f t="shared" ca="1" si="537"/>
        <v>0</v>
      </c>
      <c r="AC172" s="8">
        <f t="shared" ca="1" si="537"/>
        <v>0</v>
      </c>
      <c r="AD172" s="8">
        <f t="shared" ca="1" si="537"/>
        <v>0</v>
      </c>
      <c r="AE172" s="8">
        <f t="shared" ca="1" si="537"/>
        <v>0</v>
      </c>
      <c r="AF172" s="8">
        <f t="shared" ca="1" si="537"/>
        <v>0</v>
      </c>
      <c r="AG172" s="8">
        <f t="shared" ca="1" si="537"/>
        <v>0</v>
      </c>
      <c r="AH172" s="8">
        <f t="shared" ca="1" si="537"/>
        <v>0</v>
      </c>
      <c r="AI172" s="8">
        <f t="shared" ca="1" si="537"/>
        <v>0</v>
      </c>
      <c r="AJ172" s="8">
        <f t="shared" ca="1" si="537"/>
        <v>0</v>
      </c>
      <c r="AK172" s="8">
        <f t="shared" ca="1" si="537"/>
        <v>0</v>
      </c>
      <c r="AL172" s="8">
        <f t="shared" ca="1" si="537"/>
        <v>0</v>
      </c>
      <c r="AM172" s="8">
        <f t="shared" ca="1" si="537"/>
        <v>0</v>
      </c>
    </row>
    <row r="173" spans="1:39" x14ac:dyDescent="0.2">
      <c r="A173" s="18" t="str">
        <f t="shared" si="510"/>
        <v>Other loan</v>
      </c>
      <c r="C173" s="8">
        <f t="shared" ref="C173:I173" si="538">C67</f>
        <v>-3629.9331288130147</v>
      </c>
      <c r="D173" s="8">
        <f t="shared" si="538"/>
        <v>-3237.0413427676731</v>
      </c>
      <c r="E173" s="8">
        <f t="shared" si="538"/>
        <v>-2819.9168510595237</v>
      </c>
      <c r="F173" s="8">
        <f t="shared" si="538"/>
        <v>-2377.0650334277229</v>
      </c>
      <c r="G173" s="8">
        <f t="shared" si="538"/>
        <v>-1906.8990847041773</v>
      </c>
      <c r="H173" s="8">
        <f t="shared" si="538"/>
        <v>-1407.7343290501685</v>
      </c>
      <c r="I173" s="8">
        <f t="shared" si="538"/>
        <v>-877.78218350754105</v>
      </c>
      <c r="J173" s="8">
        <f t="shared" ref="J173:AM173" si="539">J67</f>
        <v>-315.14374923495234</v>
      </c>
      <c r="K173" s="8">
        <f t="shared" si="539"/>
        <v>0</v>
      </c>
      <c r="L173" s="8">
        <f t="shared" si="539"/>
        <v>0</v>
      </c>
      <c r="M173" s="8">
        <f t="shared" si="539"/>
        <v>0</v>
      </c>
      <c r="N173" s="8">
        <f t="shared" si="539"/>
        <v>0</v>
      </c>
      <c r="O173" s="8">
        <f t="shared" si="539"/>
        <v>0</v>
      </c>
      <c r="P173" s="8">
        <f t="shared" si="539"/>
        <v>0</v>
      </c>
      <c r="Q173" s="8">
        <f t="shared" si="539"/>
        <v>0</v>
      </c>
      <c r="R173" s="8">
        <f t="shared" si="539"/>
        <v>0</v>
      </c>
      <c r="S173" s="8">
        <f t="shared" si="539"/>
        <v>0</v>
      </c>
      <c r="T173" s="8">
        <f t="shared" si="539"/>
        <v>0</v>
      </c>
      <c r="U173" s="8">
        <f t="shared" si="539"/>
        <v>0</v>
      </c>
      <c r="V173" s="8">
        <f t="shared" si="539"/>
        <v>0</v>
      </c>
      <c r="W173" s="8">
        <f t="shared" si="539"/>
        <v>0</v>
      </c>
      <c r="X173" s="8">
        <f t="shared" si="539"/>
        <v>0</v>
      </c>
      <c r="Y173" s="8">
        <f t="shared" si="539"/>
        <v>0</v>
      </c>
      <c r="Z173" s="8">
        <f t="shared" si="539"/>
        <v>0</v>
      </c>
      <c r="AA173" s="8">
        <f t="shared" si="539"/>
        <v>0</v>
      </c>
      <c r="AB173" s="8">
        <f t="shared" si="539"/>
        <v>0</v>
      </c>
      <c r="AC173" s="8">
        <f t="shared" si="539"/>
        <v>0</v>
      </c>
      <c r="AD173" s="8">
        <f t="shared" si="539"/>
        <v>0</v>
      </c>
      <c r="AE173" s="8">
        <f t="shared" si="539"/>
        <v>0</v>
      </c>
      <c r="AF173" s="8">
        <f t="shared" si="539"/>
        <v>0</v>
      </c>
      <c r="AG173" s="8">
        <f t="shared" si="539"/>
        <v>0</v>
      </c>
      <c r="AH173" s="8">
        <f t="shared" si="539"/>
        <v>0</v>
      </c>
      <c r="AI173" s="8">
        <f t="shared" si="539"/>
        <v>0</v>
      </c>
      <c r="AJ173" s="8">
        <f t="shared" si="539"/>
        <v>0</v>
      </c>
      <c r="AK173" s="8">
        <f t="shared" si="539"/>
        <v>0</v>
      </c>
      <c r="AL173" s="8">
        <f t="shared" si="539"/>
        <v>0</v>
      </c>
      <c r="AM173" s="8">
        <f t="shared" si="539"/>
        <v>0</v>
      </c>
    </row>
    <row r="174" spans="1:39" x14ac:dyDescent="0.2">
      <c r="A174" s="5"/>
      <c r="C174" s="10">
        <f ca="1">SUM(C160:C173)</f>
        <v>1301023.1098380252</v>
      </c>
      <c r="D174" s="10">
        <f t="shared" ref="D174:G174" ca="1" si="540">SUM(D160:D173)</f>
        <v>1384582.2771802545</v>
      </c>
      <c r="E174" s="10">
        <f t="shared" ca="1" si="540"/>
        <v>1450030.9206765494</v>
      </c>
      <c r="F174" s="10">
        <f t="shared" ca="1" si="540"/>
        <v>1550952.0739389125</v>
      </c>
      <c r="G174" s="10">
        <f t="shared" ca="1" si="540"/>
        <v>1656938.7875422537</v>
      </c>
      <c r="H174" s="10">
        <f t="shared" ref="H174:I174" ca="1" si="541">SUM(H160:H173)</f>
        <v>1775127.73689433</v>
      </c>
      <c r="I174" s="10">
        <f t="shared" ca="1" si="541"/>
        <v>1896559.6635315095</v>
      </c>
      <c r="J174" s="10">
        <f t="shared" ref="J174:AM174" ca="1" si="542">SUM(J160:J173)</f>
        <v>2005800.0624461714</v>
      </c>
      <c r="K174" s="10">
        <f t="shared" ca="1" si="542"/>
        <v>2200436.521202656</v>
      </c>
      <c r="L174" s="10">
        <f t="shared" ca="1" si="542"/>
        <v>2305888.9317588429</v>
      </c>
      <c r="M174" s="10">
        <f t="shared" ca="1" si="542"/>
        <v>2465431.7822904554</v>
      </c>
      <c r="N174" s="10">
        <f t="shared" ca="1" si="542"/>
        <v>2632497.5799885942</v>
      </c>
      <c r="O174" s="10">
        <f t="shared" ca="1" si="542"/>
        <v>2807402.1636088458</v>
      </c>
      <c r="P174" s="10">
        <f t="shared" ca="1" si="542"/>
        <v>2990474.4278627383</v>
      </c>
      <c r="Q174" s="10">
        <f t="shared" ca="1" si="542"/>
        <v>3182056.9004872991</v>
      </c>
      <c r="R174" s="10">
        <f t="shared" ca="1" si="542"/>
        <v>3382506.348673868</v>
      </c>
      <c r="S174" s="10">
        <f t="shared" ca="1" si="542"/>
        <v>3486262.1861123713</v>
      </c>
      <c r="T174" s="10">
        <f t="shared" ca="1" si="542"/>
        <v>3601400.509916849</v>
      </c>
      <c r="U174" s="10">
        <f t="shared" ca="1" si="542"/>
        <v>3720756.1168301795</v>
      </c>
      <c r="V174" s="10">
        <f t="shared" ca="1" si="542"/>
        <v>3844503.8768108995</v>
      </c>
      <c r="W174" s="10">
        <f t="shared" ca="1" si="542"/>
        <v>3972827.1896377481</v>
      </c>
      <c r="X174" s="10">
        <f t="shared" ca="1" si="542"/>
        <v>4085511.5627259365</v>
      </c>
      <c r="Y174" s="10">
        <f t="shared" ca="1" si="542"/>
        <v>4202145.5544754099</v>
      </c>
      <c r="Z174" s="10">
        <f t="shared" ca="1" si="542"/>
        <v>4322903.0116165467</v>
      </c>
      <c r="AA174" s="10">
        <f t="shared" ca="1" si="542"/>
        <v>4447967.2357921377</v>
      </c>
      <c r="AB174" s="10">
        <f t="shared" ca="1" si="542"/>
        <v>4577531.5907639489</v>
      </c>
      <c r="AC174" s="10">
        <f t="shared" ca="1" si="542"/>
        <v>4711800.1530583724</v>
      </c>
      <c r="AD174" s="10">
        <f t="shared" ca="1" si="542"/>
        <v>4860849.146941415</v>
      </c>
      <c r="AE174" s="10">
        <f t="shared" ca="1" si="542"/>
        <v>5015538.5161948958</v>
      </c>
      <c r="AF174" s="10">
        <f t="shared" ca="1" si="542"/>
        <v>5176127.3538182341</v>
      </c>
      <c r="AG174" s="10">
        <f t="shared" ca="1" si="542"/>
        <v>5342889.188788088</v>
      </c>
      <c r="AH174" s="10">
        <f t="shared" ca="1" si="542"/>
        <v>5516112.9280942539</v>
      </c>
      <c r="AI174" s="10">
        <f t="shared" ca="1" si="542"/>
        <v>5696103.8668778427</v>
      </c>
      <c r="AJ174" s="10">
        <f t="shared" ca="1" si="542"/>
        <v>5883184.7718733996</v>
      </c>
      <c r="AK174" s="10">
        <f t="shared" ca="1" si="542"/>
        <v>6077697.0437644599</v>
      </c>
      <c r="AL174" s="10">
        <f t="shared" ca="1" si="542"/>
        <v>6280001.9645022694</v>
      </c>
      <c r="AM174" s="10">
        <f t="shared" ca="1" si="542"/>
        <v>6490482.0361125106</v>
      </c>
    </row>
    <row r="175" spans="1:39" x14ac:dyDescent="0.2"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</row>
    <row r="176" spans="1:39" ht="19" x14ac:dyDescent="0.25">
      <c r="A176" s="30" t="s">
        <v>88</v>
      </c>
      <c r="B176" s="31"/>
      <c r="C176" s="32"/>
      <c r="D176" s="32"/>
      <c r="E176" s="3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  <c r="AE176" s="32"/>
      <c r="AF176" s="32"/>
      <c r="AG176" s="32"/>
      <c r="AH176" s="32"/>
      <c r="AI176" s="32"/>
      <c r="AJ176" s="32"/>
      <c r="AK176" s="32"/>
      <c r="AL176" s="32"/>
      <c r="AM176" s="32"/>
    </row>
    <row r="177" spans="1:39" x14ac:dyDescent="0.2"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</row>
    <row r="178" spans="1:39" x14ac:dyDescent="0.2">
      <c r="A178" s="17" t="s">
        <v>72</v>
      </c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</row>
    <row r="179" spans="1:39" x14ac:dyDescent="0.2">
      <c r="A179" s="4" t="s">
        <v>9</v>
      </c>
      <c r="C179" s="8">
        <f t="shared" ref="C179:I179" ca="1" si="543">C55</f>
        <v>70325.5</v>
      </c>
      <c r="D179" s="8">
        <f t="shared" ca="1" si="543"/>
        <v>93777.462499999994</v>
      </c>
      <c r="E179" s="8">
        <f t="shared" ca="1" si="543"/>
        <v>97139.486875000017</v>
      </c>
      <c r="F179" s="8">
        <f t="shared" ca="1" si="543"/>
        <v>134700.22165942451</v>
      </c>
      <c r="G179" s="8">
        <f t="shared" ca="1" si="543"/>
        <v>176857.58117608592</v>
      </c>
      <c r="H179" s="8">
        <f t="shared" ca="1" si="543"/>
        <v>232940.55481327066</v>
      </c>
      <c r="I179" s="8">
        <f t="shared" ca="1" si="543"/>
        <v>299079.68847966078</v>
      </c>
      <c r="J179" s="8">
        <f t="shared" ref="J179:AM179" ca="1" si="544">J55</f>
        <v>351159.02647140576</v>
      </c>
      <c r="K179" s="8">
        <f t="shared" ca="1" si="544"/>
        <v>486975.96679276077</v>
      </c>
      <c r="L179" s="8">
        <f t="shared" ca="1" si="544"/>
        <v>534347.38007362408</v>
      </c>
      <c r="M179" s="8">
        <f t="shared" ca="1" si="544"/>
        <v>637505.5965587711</v>
      </c>
      <c r="N179" s="8">
        <f t="shared" ca="1" si="544"/>
        <v>746236.15018937679</v>
      </c>
      <c r="O179" s="8">
        <f t="shared" ca="1" si="544"/>
        <v>860775.63574042323</v>
      </c>
      <c r="P179" s="8">
        <f t="shared" ca="1" si="544"/>
        <v>981369.66856901604</v>
      </c>
      <c r="Q179" s="8">
        <f t="shared" ca="1" si="544"/>
        <v>1108273.207978379</v>
      </c>
      <c r="R179" s="8">
        <f t="shared" ca="1" si="544"/>
        <v>1241750.8917183832</v>
      </c>
      <c r="S179" s="8">
        <f t="shared" ca="1" si="544"/>
        <v>1276145.15148322</v>
      </c>
      <c r="T179" s="8">
        <f t="shared" ca="1" si="544"/>
        <v>1319429.9371666219</v>
      </c>
      <c r="U179" s="8">
        <f t="shared" ca="1" si="544"/>
        <v>1364332.3976486681</v>
      </c>
      <c r="V179" s="8">
        <f t="shared" ca="1" si="544"/>
        <v>1410913.8944652632</v>
      </c>
      <c r="W179" s="8">
        <f t="shared" ca="1" si="544"/>
        <v>1459238.0721059688</v>
      </c>
      <c r="X179" s="8">
        <f t="shared" ca="1" si="544"/>
        <v>1488964.0210951678</v>
      </c>
      <c r="Y179" s="8">
        <f t="shared" ca="1" si="544"/>
        <v>1519546.775976839</v>
      </c>
      <c r="Z179" s="8">
        <f t="shared" ca="1" si="544"/>
        <v>1551019.07429463</v>
      </c>
      <c r="AA179" s="8">
        <f t="shared" ca="1" si="544"/>
        <v>1583415.0092447023</v>
      </c>
      <c r="AB179" s="8">
        <f t="shared" ca="1" si="544"/>
        <v>1616770.0846257627</v>
      </c>
      <c r="AC179" s="8">
        <f t="shared" ca="1" si="544"/>
        <v>1651121.2719181646</v>
      </c>
      <c r="AD179" s="8">
        <f t="shared" ca="1" si="544"/>
        <v>1696367.8071636958</v>
      </c>
      <c r="AE179" s="8">
        <f t="shared" ca="1" si="544"/>
        <v>1743182.0766442758</v>
      </c>
      <c r="AF179" s="8">
        <f t="shared" ca="1" si="544"/>
        <v>1791624.3087351602</v>
      </c>
      <c r="AG179" s="8">
        <f t="shared" ca="1" si="544"/>
        <v>1841757.0670189112</v>
      </c>
      <c r="AH179" s="8">
        <f t="shared" ca="1" si="544"/>
        <v>1893645.3385117024</v>
      </c>
      <c r="AI179" s="8">
        <f t="shared" ca="1" si="544"/>
        <v>1947356.6251146924</v>
      </c>
      <c r="AJ179" s="8">
        <f t="shared" ca="1" si="544"/>
        <v>2002961.0384047818</v>
      </c>
      <c r="AK179" s="8">
        <f t="shared" ca="1" si="544"/>
        <v>2060531.3978830043</v>
      </c>
      <c r="AL179" s="8">
        <f t="shared" ca="1" si="544"/>
        <v>2120143.3328028899</v>
      </c>
      <c r="AM179" s="8">
        <f t="shared" ca="1" si="544"/>
        <v>2181875.3877053508</v>
      </c>
    </row>
    <row r="180" spans="1:39" x14ac:dyDescent="0.2">
      <c r="A180" s="4" t="s">
        <v>29</v>
      </c>
      <c r="C180" s="8">
        <f t="shared" ref="C180:I180" ca="1" si="545">C68</f>
        <v>1301023.1098380252</v>
      </c>
      <c r="D180" s="8">
        <f t="shared" ca="1" si="545"/>
        <v>1384582.2771802545</v>
      </c>
      <c r="E180" s="8">
        <f t="shared" ca="1" si="545"/>
        <v>1450030.9206765494</v>
      </c>
      <c r="F180" s="8">
        <f t="shared" ca="1" si="545"/>
        <v>1550952.0739389125</v>
      </c>
      <c r="G180" s="8">
        <f t="shared" ca="1" si="545"/>
        <v>1656938.7875422537</v>
      </c>
      <c r="H180" s="8">
        <f t="shared" ca="1" si="545"/>
        <v>1775127.73689433</v>
      </c>
      <c r="I180" s="8">
        <f t="shared" ca="1" si="545"/>
        <v>1896559.6635315095</v>
      </c>
      <c r="J180" s="8">
        <f t="shared" ref="J180:AM180" ca="1" si="546">J68</f>
        <v>2005800.0624461714</v>
      </c>
      <c r="K180" s="8">
        <f t="shared" ca="1" si="546"/>
        <v>2200436.521202656</v>
      </c>
      <c r="L180" s="8">
        <f t="shared" ca="1" si="546"/>
        <v>2305888.9317588429</v>
      </c>
      <c r="M180" s="8">
        <f t="shared" ca="1" si="546"/>
        <v>2465431.7822904554</v>
      </c>
      <c r="N180" s="8">
        <f t="shared" ca="1" si="546"/>
        <v>2632497.5799885942</v>
      </c>
      <c r="O180" s="8">
        <f t="shared" ca="1" si="546"/>
        <v>2807402.1636088458</v>
      </c>
      <c r="P180" s="8">
        <f t="shared" ca="1" si="546"/>
        <v>2990474.4278627383</v>
      </c>
      <c r="Q180" s="8">
        <f t="shared" ca="1" si="546"/>
        <v>3182056.9004872991</v>
      </c>
      <c r="R180" s="8">
        <f t="shared" ca="1" si="546"/>
        <v>3382506.3486738685</v>
      </c>
      <c r="S180" s="8">
        <f t="shared" ca="1" si="546"/>
        <v>3486262.1861123713</v>
      </c>
      <c r="T180" s="8">
        <f t="shared" ca="1" si="546"/>
        <v>3601400.509916849</v>
      </c>
      <c r="U180" s="8">
        <f t="shared" ca="1" si="546"/>
        <v>3720756.1168301795</v>
      </c>
      <c r="V180" s="8">
        <f t="shared" ca="1" si="546"/>
        <v>3844503.8768108995</v>
      </c>
      <c r="W180" s="8">
        <f t="shared" ca="1" si="546"/>
        <v>3972827.1896377485</v>
      </c>
      <c r="X180" s="8">
        <f t="shared" ca="1" si="546"/>
        <v>4085511.562725937</v>
      </c>
      <c r="Y180" s="8">
        <f t="shared" ca="1" si="546"/>
        <v>4202145.5544754099</v>
      </c>
      <c r="Z180" s="8">
        <f t="shared" ca="1" si="546"/>
        <v>4322903.0116165467</v>
      </c>
      <c r="AA180" s="8">
        <f t="shared" ca="1" si="546"/>
        <v>4447967.2357921377</v>
      </c>
      <c r="AB180" s="8">
        <f t="shared" ca="1" si="546"/>
        <v>4577531.5907639498</v>
      </c>
      <c r="AC180" s="8">
        <f t="shared" ca="1" si="546"/>
        <v>4711800.1530583724</v>
      </c>
      <c r="AD180" s="8">
        <f t="shared" ca="1" si="546"/>
        <v>4860849.146941415</v>
      </c>
      <c r="AE180" s="8">
        <f t="shared" ca="1" si="546"/>
        <v>5015538.5161948968</v>
      </c>
      <c r="AF180" s="8">
        <f t="shared" ca="1" si="546"/>
        <v>5176127.353818235</v>
      </c>
      <c r="AG180" s="8">
        <f t="shared" ca="1" si="546"/>
        <v>5342889.188788089</v>
      </c>
      <c r="AH180" s="8">
        <f t="shared" ca="1" si="546"/>
        <v>5516112.9280942539</v>
      </c>
      <c r="AI180" s="8">
        <f t="shared" ca="1" si="546"/>
        <v>5696103.8668778436</v>
      </c>
      <c r="AJ180" s="8">
        <f t="shared" ca="1" si="546"/>
        <v>5883184.7718734005</v>
      </c>
      <c r="AK180" s="8">
        <f t="shared" ca="1" si="546"/>
        <v>6077697.0437644608</v>
      </c>
      <c r="AL180" s="8">
        <f t="shared" ca="1" si="546"/>
        <v>6280001.9645022703</v>
      </c>
      <c r="AM180" s="8">
        <f t="shared" ca="1" si="546"/>
        <v>6490482.0361125115</v>
      </c>
    </row>
    <row r="181" spans="1:39" x14ac:dyDescent="0.2">
      <c r="A181" s="4" t="s">
        <v>81</v>
      </c>
      <c r="C181" s="12" t="str">
        <f ca="1">IF(COUNTIF(179:179,"&lt;0")&gt;0,"NO","YES!")</f>
        <v>YES!</v>
      </c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</row>
    <row r="182" spans="1:39" x14ac:dyDescent="0.2">
      <c r="A182" s="4" t="s">
        <v>35</v>
      </c>
      <c r="C182" s="12" t="str" cm="1">
        <f t="array" aca="1" ref="C182" ca="1">IFERROR(INDEX($3:$3, MATCH(TRUE, INDEX(179:179&lt;0,0), 0)), "")</f>
        <v/>
      </c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</row>
    <row r="183" spans="1:39" x14ac:dyDescent="0.2">
      <c r="A183" s="4"/>
      <c r="C183" s="12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</row>
    <row r="184" spans="1:39" x14ac:dyDescent="0.2">
      <c r="A184" s="17" t="s">
        <v>73</v>
      </c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</row>
    <row r="185" spans="1:39" x14ac:dyDescent="0.2">
      <c r="A185" s="4" t="s">
        <v>9</v>
      </c>
      <c r="C185" s="8">
        <f t="shared" ref="C185" ca="1" si="547">C161</f>
        <v>70325.5</v>
      </c>
      <c r="D185" s="8">
        <f t="shared" ref="D185:G185" ca="1" si="548">D161</f>
        <v>93777.462499999994</v>
      </c>
      <c r="E185" s="8">
        <f t="shared" ca="1" si="548"/>
        <v>97139.486875000017</v>
      </c>
      <c r="F185" s="8">
        <f t="shared" ca="1" si="548"/>
        <v>134700.22165942451</v>
      </c>
      <c r="G185" s="8">
        <f t="shared" ca="1" si="548"/>
        <v>176857.58117608592</v>
      </c>
      <c r="H185" s="8">
        <f t="shared" ref="H185:I185" ca="1" si="549">H161</f>
        <v>232940.55481327066</v>
      </c>
      <c r="I185" s="8">
        <f t="shared" ca="1" si="549"/>
        <v>299079.68847966078</v>
      </c>
      <c r="J185" s="8">
        <f t="shared" ref="J185:AM185" ca="1" si="550">J161</f>
        <v>351159.02647140576</v>
      </c>
      <c r="K185" s="8">
        <f t="shared" ca="1" si="550"/>
        <v>486975.96679276077</v>
      </c>
      <c r="L185" s="8">
        <f t="shared" ca="1" si="550"/>
        <v>534347.38007362408</v>
      </c>
      <c r="M185" s="8">
        <f t="shared" ca="1" si="550"/>
        <v>637505.5965587711</v>
      </c>
      <c r="N185" s="8">
        <f t="shared" ca="1" si="550"/>
        <v>746236.15018937679</v>
      </c>
      <c r="O185" s="8">
        <f t="shared" ca="1" si="550"/>
        <v>860775.63574042323</v>
      </c>
      <c r="P185" s="8">
        <f t="shared" ca="1" si="550"/>
        <v>981369.66856901604</v>
      </c>
      <c r="Q185" s="8">
        <f t="shared" ca="1" si="550"/>
        <v>1108273.207978379</v>
      </c>
      <c r="R185" s="8">
        <f t="shared" ca="1" si="550"/>
        <v>1241750.8917183832</v>
      </c>
      <c r="S185" s="8">
        <f t="shared" ca="1" si="550"/>
        <v>1276145.15148322</v>
      </c>
      <c r="T185" s="8">
        <f t="shared" ca="1" si="550"/>
        <v>1319429.9371666219</v>
      </c>
      <c r="U185" s="8">
        <f t="shared" ca="1" si="550"/>
        <v>1364332.3976486681</v>
      </c>
      <c r="V185" s="8">
        <f t="shared" ca="1" si="550"/>
        <v>1410913.8944652632</v>
      </c>
      <c r="W185" s="8">
        <f t="shared" ca="1" si="550"/>
        <v>1459238.0721059688</v>
      </c>
      <c r="X185" s="8">
        <f t="shared" ca="1" si="550"/>
        <v>1488964.0210951678</v>
      </c>
      <c r="Y185" s="8">
        <f t="shared" ca="1" si="550"/>
        <v>1519546.775976839</v>
      </c>
      <c r="Z185" s="8">
        <f t="shared" ca="1" si="550"/>
        <v>1551019.07429463</v>
      </c>
      <c r="AA185" s="8">
        <f t="shared" ca="1" si="550"/>
        <v>1583415.0092447023</v>
      </c>
      <c r="AB185" s="8">
        <f t="shared" ca="1" si="550"/>
        <v>1616770.0846257627</v>
      </c>
      <c r="AC185" s="8">
        <f t="shared" ca="1" si="550"/>
        <v>1651121.2719181646</v>
      </c>
      <c r="AD185" s="8">
        <f t="shared" ca="1" si="550"/>
        <v>1696367.8071636958</v>
      </c>
      <c r="AE185" s="8">
        <f t="shared" ca="1" si="550"/>
        <v>1743182.0766442758</v>
      </c>
      <c r="AF185" s="8">
        <f t="shared" ca="1" si="550"/>
        <v>1791624.3087351602</v>
      </c>
      <c r="AG185" s="8">
        <f t="shared" ca="1" si="550"/>
        <v>1841757.0670189112</v>
      </c>
      <c r="AH185" s="8">
        <f t="shared" ca="1" si="550"/>
        <v>1893645.3385117024</v>
      </c>
      <c r="AI185" s="8">
        <f t="shared" ca="1" si="550"/>
        <v>1947356.6251146924</v>
      </c>
      <c r="AJ185" s="8">
        <f t="shared" ca="1" si="550"/>
        <v>2002961.0384047818</v>
      </c>
      <c r="AK185" s="8">
        <f t="shared" ca="1" si="550"/>
        <v>2060531.3978830043</v>
      </c>
      <c r="AL185" s="8">
        <f t="shared" ca="1" si="550"/>
        <v>2120143.3328028899</v>
      </c>
      <c r="AM185" s="8">
        <f t="shared" ca="1" si="550"/>
        <v>2181875.3877053508</v>
      </c>
    </row>
    <row r="186" spans="1:39" x14ac:dyDescent="0.2">
      <c r="A186" s="4" t="s">
        <v>29</v>
      </c>
      <c r="C186" s="8">
        <f t="shared" ref="C186" ca="1" si="551">C174</f>
        <v>1301023.1098380252</v>
      </c>
      <c r="D186" s="8">
        <f t="shared" ref="D186:G186" ca="1" si="552">D174</f>
        <v>1384582.2771802545</v>
      </c>
      <c r="E186" s="8">
        <f t="shared" ca="1" si="552"/>
        <v>1450030.9206765494</v>
      </c>
      <c r="F186" s="8">
        <f t="shared" ca="1" si="552"/>
        <v>1550952.0739389125</v>
      </c>
      <c r="G186" s="8">
        <f t="shared" ca="1" si="552"/>
        <v>1656938.7875422537</v>
      </c>
      <c r="H186" s="8">
        <f t="shared" ref="H186:I186" ca="1" si="553">H174</f>
        <v>1775127.73689433</v>
      </c>
      <c r="I186" s="8">
        <f t="shared" ca="1" si="553"/>
        <v>1896559.6635315095</v>
      </c>
      <c r="J186" s="8">
        <f t="shared" ref="J186:AM186" ca="1" si="554">J174</f>
        <v>2005800.0624461714</v>
      </c>
      <c r="K186" s="8">
        <f t="shared" ca="1" si="554"/>
        <v>2200436.521202656</v>
      </c>
      <c r="L186" s="8">
        <f t="shared" ca="1" si="554"/>
        <v>2305888.9317588429</v>
      </c>
      <c r="M186" s="8">
        <f t="shared" ca="1" si="554"/>
        <v>2465431.7822904554</v>
      </c>
      <c r="N186" s="8">
        <f t="shared" ca="1" si="554"/>
        <v>2632497.5799885942</v>
      </c>
      <c r="O186" s="8">
        <f t="shared" ca="1" si="554"/>
        <v>2807402.1636088458</v>
      </c>
      <c r="P186" s="8">
        <f t="shared" ca="1" si="554"/>
        <v>2990474.4278627383</v>
      </c>
      <c r="Q186" s="8">
        <f t="shared" ca="1" si="554"/>
        <v>3182056.9004872991</v>
      </c>
      <c r="R186" s="8">
        <f t="shared" ca="1" si="554"/>
        <v>3382506.348673868</v>
      </c>
      <c r="S186" s="8">
        <f t="shared" ca="1" si="554"/>
        <v>3486262.1861123713</v>
      </c>
      <c r="T186" s="8">
        <f t="shared" ca="1" si="554"/>
        <v>3601400.509916849</v>
      </c>
      <c r="U186" s="8">
        <f t="shared" ca="1" si="554"/>
        <v>3720756.1168301795</v>
      </c>
      <c r="V186" s="8">
        <f t="shared" ca="1" si="554"/>
        <v>3844503.8768108995</v>
      </c>
      <c r="W186" s="8">
        <f t="shared" ca="1" si="554"/>
        <v>3972827.1896377481</v>
      </c>
      <c r="X186" s="8">
        <f t="shared" ca="1" si="554"/>
        <v>4085511.5627259365</v>
      </c>
      <c r="Y186" s="8">
        <f t="shared" ca="1" si="554"/>
        <v>4202145.5544754099</v>
      </c>
      <c r="Z186" s="8">
        <f t="shared" ca="1" si="554"/>
        <v>4322903.0116165467</v>
      </c>
      <c r="AA186" s="8">
        <f t="shared" ca="1" si="554"/>
        <v>4447967.2357921377</v>
      </c>
      <c r="AB186" s="8">
        <f t="shared" ca="1" si="554"/>
        <v>4577531.5907639489</v>
      </c>
      <c r="AC186" s="8">
        <f t="shared" ca="1" si="554"/>
        <v>4711800.1530583724</v>
      </c>
      <c r="AD186" s="8">
        <f t="shared" ca="1" si="554"/>
        <v>4860849.146941415</v>
      </c>
      <c r="AE186" s="8">
        <f t="shared" ca="1" si="554"/>
        <v>5015538.5161948958</v>
      </c>
      <c r="AF186" s="8">
        <f t="shared" ca="1" si="554"/>
        <v>5176127.3538182341</v>
      </c>
      <c r="AG186" s="8">
        <f t="shared" ca="1" si="554"/>
        <v>5342889.188788088</v>
      </c>
      <c r="AH186" s="8">
        <f t="shared" ca="1" si="554"/>
        <v>5516112.9280942539</v>
      </c>
      <c r="AI186" s="8">
        <f t="shared" ca="1" si="554"/>
        <v>5696103.8668778427</v>
      </c>
      <c r="AJ186" s="8">
        <f t="shared" ca="1" si="554"/>
        <v>5883184.7718733996</v>
      </c>
      <c r="AK186" s="8">
        <f t="shared" ca="1" si="554"/>
        <v>6077697.0437644599</v>
      </c>
      <c r="AL186" s="8">
        <f t="shared" ca="1" si="554"/>
        <v>6280001.9645022694</v>
      </c>
      <c r="AM186" s="8">
        <f t="shared" ca="1" si="554"/>
        <v>6490482.0361125106</v>
      </c>
    </row>
    <row r="187" spans="1:39" x14ac:dyDescent="0.2">
      <c r="A187" s="4" t="s">
        <v>74</v>
      </c>
      <c r="C187" s="12" t="str">
        <f ca="1">IF(COUNTIF(185:185,"&lt;0")&gt;0,"NO","YES!")</f>
        <v>YES!</v>
      </c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</row>
    <row r="188" spans="1:39" x14ac:dyDescent="0.2">
      <c r="A188" s="4" t="s">
        <v>35</v>
      </c>
      <c r="C188" s="12" t="str" cm="1">
        <f t="array" aca="1" ref="C188" ca="1">IFERROR(INDEX($3:$3, MATCH(TRUE, INDEX(185:185&lt;0,0), 0)), "Never")</f>
        <v>Never</v>
      </c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</row>
    <row r="189" spans="1:39" x14ac:dyDescent="0.2">
      <c r="A189" s="4"/>
      <c r="C189" s="8"/>
      <c r="D189" s="8"/>
      <c r="E189" s="27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</row>
    <row r="190" spans="1:39" x14ac:dyDescent="0.2">
      <c r="A190" s="4" t="s">
        <v>31</v>
      </c>
      <c r="C190" s="11" t="s">
        <v>30</v>
      </c>
      <c r="D190" s="25" t="s">
        <v>76</v>
      </c>
      <c r="E190" s="25" t="s">
        <v>75</v>
      </c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</row>
    <row r="191" spans="1:39" x14ac:dyDescent="0.2">
      <c r="A191" s="18" t="s">
        <v>28</v>
      </c>
      <c r="C191" s="8">
        <f ca="1">-SUM(77:77)</f>
        <v>0</v>
      </c>
      <c r="D191" s="25" t="str" cm="1">
        <f t="array" aca="1" ref="D191" ca="1">IFERROR(TEXT(INDEX(2:2, MATCH(TRUE, INDEX(77:77&lt;0,0), 0)), "0000"), "")</f>
        <v/>
      </c>
      <c r="E191" s="26" t="str" cm="1">
        <f t="array" aca="1" ref="E191" ca="1">IFERROR(INDEX(3:3, MATCH(TRUE, INDEX(77:77&lt;0,0), 0)),"")</f>
        <v/>
      </c>
      <c r="F191" s="28" t="s">
        <v>77</v>
      </c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</row>
    <row r="192" spans="1:39" x14ac:dyDescent="0.2">
      <c r="A192" s="18" t="s">
        <v>71</v>
      </c>
      <c r="C192" s="7"/>
      <c r="D192" s="27"/>
      <c r="E192" s="27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</row>
    <row r="193" spans="1:39" x14ac:dyDescent="0.2">
      <c r="A193" s="19" t="str">
        <f>$A$58</f>
        <v>Sliema</v>
      </c>
      <c r="C193" s="8">
        <f ca="1">-IFERROR(MIN(INDEX($141:$143, MATCH(A193, $A$141:$A$143, 0), 0)),0)</f>
        <v>0</v>
      </c>
      <c r="D193" s="25" t="str" cm="1">
        <f t="array" aca="1" ref="D193" ca="1">IFERROR(TEXT(INDEX($2:$2,MATCH(0, $C146:$XFD146, 0) + COLUMN($C146) - 1),"0000"),"")</f>
        <v/>
      </c>
      <c r="E193" s="26" t="str" cm="1">
        <f t="array" aca="1" ref="E193" ca="1">IFERROR(INDEX($3:$3,MATCH(0, $C146:$XFD146, 0) + COLUMN($C146) - 1),"")</f>
        <v/>
      </c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</row>
    <row r="194" spans="1:39" x14ac:dyDescent="0.2">
      <c r="A194" s="19" t="str">
        <f>$A$59</f>
        <v>Gzira</v>
      </c>
      <c r="C194" s="8">
        <f ca="1">-IFERROR(MIN(INDEX($141:$143, MATCH(A194, $A$141:$A$143, 0), 0)),0)</f>
        <v>0</v>
      </c>
      <c r="D194" s="25" t="str" cm="1">
        <f t="array" aca="1" ref="D194" ca="1">IFERROR(TEXT(INDEX($2:$2,MATCH(0, $C147:$XFD147, 0) + COLUMN($C147) - 1),"0000"),"")</f>
        <v/>
      </c>
      <c r="E194" s="26" t="str" cm="1">
        <f t="array" aca="1" ref="E194" ca="1">IFERROR(INDEX($3:$3,MATCH(0, $C147:$XFD147, 0) + COLUMN($C147) - 1),"")</f>
        <v/>
      </c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</row>
    <row r="195" spans="1:39" x14ac:dyDescent="0.2">
      <c r="A195" s="19" t="str">
        <f>$A$60</f>
        <v>Qormi</v>
      </c>
      <c r="C195" s="8">
        <f ca="1">-IFERROR(MIN(INDEX($141:$143, MATCH(A195, $A$141:$A$143, 0), 0)),0)</f>
        <v>0</v>
      </c>
      <c r="D195" s="25" t="str" cm="1">
        <f t="array" aca="1" ref="D195" ca="1">IFERROR(TEXT(INDEX($2:$2,MATCH(0, $C148:$XFD148, 0) + COLUMN($C148) - 1),"0000"),"")</f>
        <v/>
      </c>
      <c r="E195" s="26" t="str" cm="1">
        <f t="array" aca="1" ref="E195" ca="1">IFERROR(INDEX($3:$3,MATCH(0, $C148:$XFD148, 0) + COLUMN($C148) - 1),"")</f>
        <v/>
      </c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</row>
    <row r="196" spans="1:39" x14ac:dyDescent="0.2">
      <c r="A196" s="7"/>
      <c r="C196" s="10">
        <f ca="1">SUM(C193:C195)</f>
        <v>0</v>
      </c>
      <c r="D196" s="27"/>
      <c r="E196" s="27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</row>
    <row r="197" spans="1:39" x14ac:dyDescent="0.2">
      <c r="C197" s="8"/>
      <c r="E197" s="8"/>
      <c r="F197" s="8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</row>
    <row r="198" spans="1:39" x14ac:dyDescent="0.2">
      <c r="A198" s="17" t="s">
        <v>78</v>
      </c>
      <c r="B198" s="2" t="s">
        <v>1</v>
      </c>
      <c r="C198" s="8">
        <f t="shared" ref="C198:I198" si="555">C3</f>
        <v>49</v>
      </c>
      <c r="D198" s="8">
        <f t="shared" si="555"/>
        <v>50</v>
      </c>
      <c r="E198" s="8">
        <f t="shared" si="555"/>
        <v>51</v>
      </c>
      <c r="F198" s="8">
        <f t="shared" si="555"/>
        <v>52</v>
      </c>
      <c r="G198" s="8">
        <f t="shared" si="555"/>
        <v>53</v>
      </c>
      <c r="H198" s="8">
        <f t="shared" si="555"/>
        <v>54</v>
      </c>
      <c r="I198" s="8">
        <f t="shared" si="555"/>
        <v>55</v>
      </c>
      <c r="J198" s="8">
        <f t="shared" ref="J198:AM198" si="556">J3</f>
        <v>56</v>
      </c>
      <c r="K198" s="8">
        <f t="shared" si="556"/>
        <v>57</v>
      </c>
      <c r="L198" s="8">
        <f t="shared" si="556"/>
        <v>58</v>
      </c>
      <c r="M198" s="8">
        <f t="shared" si="556"/>
        <v>59</v>
      </c>
      <c r="N198" s="8">
        <f t="shared" si="556"/>
        <v>60</v>
      </c>
      <c r="O198" s="8">
        <f t="shared" si="556"/>
        <v>61</v>
      </c>
      <c r="P198" s="8">
        <f t="shared" si="556"/>
        <v>62</v>
      </c>
      <c r="Q198" s="8">
        <f t="shared" si="556"/>
        <v>63</v>
      </c>
      <c r="R198" s="8">
        <f t="shared" si="556"/>
        <v>64</v>
      </c>
      <c r="S198" s="8">
        <f t="shared" si="556"/>
        <v>65</v>
      </c>
      <c r="T198" s="8">
        <f t="shared" si="556"/>
        <v>66</v>
      </c>
      <c r="U198" s="8">
        <f t="shared" si="556"/>
        <v>67</v>
      </c>
      <c r="V198" s="8">
        <f t="shared" si="556"/>
        <v>68</v>
      </c>
      <c r="W198" s="8">
        <f t="shared" si="556"/>
        <v>69</v>
      </c>
      <c r="X198" s="8">
        <f t="shared" si="556"/>
        <v>70</v>
      </c>
      <c r="Y198" s="8">
        <f t="shared" si="556"/>
        <v>71</v>
      </c>
      <c r="Z198" s="8">
        <f t="shared" si="556"/>
        <v>72</v>
      </c>
      <c r="AA198" s="8">
        <f t="shared" si="556"/>
        <v>73</v>
      </c>
      <c r="AB198" s="8">
        <f t="shared" si="556"/>
        <v>74</v>
      </c>
      <c r="AC198" s="8">
        <f t="shared" si="556"/>
        <v>75</v>
      </c>
      <c r="AD198" s="8">
        <f t="shared" si="556"/>
        <v>76</v>
      </c>
      <c r="AE198" s="8">
        <f t="shared" si="556"/>
        <v>77</v>
      </c>
      <c r="AF198" s="8">
        <f t="shared" si="556"/>
        <v>78</v>
      </c>
      <c r="AG198" s="8">
        <f t="shared" si="556"/>
        <v>79</v>
      </c>
      <c r="AH198" s="8">
        <f t="shared" si="556"/>
        <v>80</v>
      </c>
      <c r="AI198" s="8">
        <f t="shared" si="556"/>
        <v>81</v>
      </c>
      <c r="AJ198" s="8">
        <f t="shared" si="556"/>
        <v>82</v>
      </c>
      <c r="AK198" s="8">
        <f t="shared" si="556"/>
        <v>83</v>
      </c>
      <c r="AL198" s="8">
        <f t="shared" si="556"/>
        <v>84</v>
      </c>
      <c r="AM198" s="8">
        <f t="shared" si="556"/>
        <v>85</v>
      </c>
    </row>
    <row r="199" spans="1:39" x14ac:dyDescent="0.2">
      <c r="A199" s="4" t="s">
        <v>72</v>
      </c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</row>
    <row r="200" spans="1:39" x14ac:dyDescent="0.2">
      <c r="A200" s="4" t="s">
        <v>9</v>
      </c>
      <c r="C200" s="8">
        <f ca="1">C179</f>
        <v>70325.5</v>
      </c>
      <c r="D200" s="8">
        <f t="shared" ref="D200:G200" ca="1" si="557">D179</f>
        <v>93777.462499999994</v>
      </c>
      <c r="E200" s="8">
        <f t="shared" ca="1" si="557"/>
        <v>97139.486875000017</v>
      </c>
      <c r="F200" s="8">
        <f t="shared" ca="1" si="557"/>
        <v>134700.22165942451</v>
      </c>
      <c r="G200" s="8">
        <f t="shared" ca="1" si="557"/>
        <v>176857.58117608592</v>
      </c>
      <c r="H200" s="8">
        <f t="shared" ref="H200:I200" ca="1" si="558">H179</f>
        <v>232940.55481327066</v>
      </c>
      <c r="I200" s="8">
        <f t="shared" ca="1" si="558"/>
        <v>299079.68847966078</v>
      </c>
      <c r="J200" s="8">
        <f t="shared" ref="J200:AM200" ca="1" si="559">J179</f>
        <v>351159.02647140576</v>
      </c>
      <c r="K200" s="8">
        <f t="shared" ca="1" si="559"/>
        <v>486975.96679276077</v>
      </c>
      <c r="L200" s="8">
        <f t="shared" ca="1" si="559"/>
        <v>534347.38007362408</v>
      </c>
      <c r="M200" s="8">
        <f t="shared" ca="1" si="559"/>
        <v>637505.5965587711</v>
      </c>
      <c r="N200" s="8">
        <f t="shared" ca="1" si="559"/>
        <v>746236.15018937679</v>
      </c>
      <c r="O200" s="8">
        <f t="shared" ca="1" si="559"/>
        <v>860775.63574042323</v>
      </c>
      <c r="P200" s="8">
        <f t="shared" ca="1" si="559"/>
        <v>981369.66856901604</v>
      </c>
      <c r="Q200" s="8">
        <f t="shared" ca="1" si="559"/>
        <v>1108273.207978379</v>
      </c>
      <c r="R200" s="8">
        <f t="shared" ca="1" si="559"/>
        <v>1241750.8917183832</v>
      </c>
      <c r="S200" s="8">
        <f t="shared" ca="1" si="559"/>
        <v>1276145.15148322</v>
      </c>
      <c r="T200" s="8">
        <f t="shared" ca="1" si="559"/>
        <v>1319429.9371666219</v>
      </c>
      <c r="U200" s="8">
        <f t="shared" ca="1" si="559"/>
        <v>1364332.3976486681</v>
      </c>
      <c r="V200" s="8">
        <f t="shared" ca="1" si="559"/>
        <v>1410913.8944652632</v>
      </c>
      <c r="W200" s="8">
        <f t="shared" ca="1" si="559"/>
        <v>1459238.0721059688</v>
      </c>
      <c r="X200" s="8">
        <f t="shared" ca="1" si="559"/>
        <v>1488964.0210951678</v>
      </c>
      <c r="Y200" s="8">
        <f t="shared" ca="1" si="559"/>
        <v>1519546.775976839</v>
      </c>
      <c r="Z200" s="8">
        <f t="shared" ca="1" si="559"/>
        <v>1551019.07429463</v>
      </c>
      <c r="AA200" s="8">
        <f t="shared" ca="1" si="559"/>
        <v>1583415.0092447023</v>
      </c>
      <c r="AB200" s="8">
        <f t="shared" ca="1" si="559"/>
        <v>1616770.0846257627</v>
      </c>
      <c r="AC200" s="8">
        <f t="shared" ca="1" si="559"/>
        <v>1651121.2719181646</v>
      </c>
      <c r="AD200" s="8">
        <f t="shared" ca="1" si="559"/>
        <v>1696367.8071636958</v>
      </c>
      <c r="AE200" s="8">
        <f t="shared" ca="1" si="559"/>
        <v>1743182.0766442758</v>
      </c>
      <c r="AF200" s="8">
        <f t="shared" ca="1" si="559"/>
        <v>1791624.3087351602</v>
      </c>
      <c r="AG200" s="8">
        <f t="shared" ca="1" si="559"/>
        <v>1841757.0670189112</v>
      </c>
      <c r="AH200" s="8">
        <f t="shared" ca="1" si="559"/>
        <v>1893645.3385117024</v>
      </c>
      <c r="AI200" s="8">
        <f t="shared" ca="1" si="559"/>
        <v>1947356.6251146924</v>
      </c>
      <c r="AJ200" s="8">
        <f t="shared" ca="1" si="559"/>
        <v>2002961.0384047818</v>
      </c>
      <c r="AK200" s="8">
        <f t="shared" ca="1" si="559"/>
        <v>2060531.3978830043</v>
      </c>
      <c r="AL200" s="8">
        <f t="shared" ca="1" si="559"/>
        <v>2120143.3328028899</v>
      </c>
      <c r="AM200" s="8">
        <f t="shared" ca="1" si="559"/>
        <v>2181875.3877053508</v>
      </c>
    </row>
    <row r="201" spans="1:39" x14ac:dyDescent="0.2">
      <c r="A201" s="4" t="s">
        <v>29</v>
      </c>
      <c r="C201" s="8">
        <f ca="1">C180</f>
        <v>1301023.1098380252</v>
      </c>
      <c r="D201" s="8">
        <f t="shared" ref="D201:G201" ca="1" si="560">D180</f>
        <v>1384582.2771802545</v>
      </c>
      <c r="E201" s="8">
        <f t="shared" ca="1" si="560"/>
        <v>1450030.9206765494</v>
      </c>
      <c r="F201" s="8">
        <f t="shared" ca="1" si="560"/>
        <v>1550952.0739389125</v>
      </c>
      <c r="G201" s="8">
        <f t="shared" ca="1" si="560"/>
        <v>1656938.7875422537</v>
      </c>
      <c r="H201" s="8">
        <f t="shared" ref="H201:I201" ca="1" si="561">H180</f>
        <v>1775127.73689433</v>
      </c>
      <c r="I201" s="8">
        <f t="shared" ca="1" si="561"/>
        <v>1896559.6635315095</v>
      </c>
      <c r="J201" s="8">
        <f t="shared" ref="J201:AM201" ca="1" si="562">J180</f>
        <v>2005800.0624461714</v>
      </c>
      <c r="K201" s="8">
        <f t="shared" ca="1" si="562"/>
        <v>2200436.521202656</v>
      </c>
      <c r="L201" s="8">
        <f t="shared" ca="1" si="562"/>
        <v>2305888.9317588429</v>
      </c>
      <c r="M201" s="8">
        <f t="shared" ca="1" si="562"/>
        <v>2465431.7822904554</v>
      </c>
      <c r="N201" s="8">
        <f t="shared" ca="1" si="562"/>
        <v>2632497.5799885942</v>
      </c>
      <c r="O201" s="8">
        <f t="shared" ca="1" si="562"/>
        <v>2807402.1636088458</v>
      </c>
      <c r="P201" s="8">
        <f t="shared" ca="1" si="562"/>
        <v>2990474.4278627383</v>
      </c>
      <c r="Q201" s="8">
        <f t="shared" ca="1" si="562"/>
        <v>3182056.9004872991</v>
      </c>
      <c r="R201" s="8">
        <f t="shared" ca="1" si="562"/>
        <v>3382506.3486738685</v>
      </c>
      <c r="S201" s="8">
        <f t="shared" ca="1" si="562"/>
        <v>3486262.1861123713</v>
      </c>
      <c r="T201" s="8">
        <f t="shared" ca="1" si="562"/>
        <v>3601400.509916849</v>
      </c>
      <c r="U201" s="8">
        <f t="shared" ca="1" si="562"/>
        <v>3720756.1168301795</v>
      </c>
      <c r="V201" s="8">
        <f t="shared" ca="1" si="562"/>
        <v>3844503.8768108995</v>
      </c>
      <c r="W201" s="8">
        <f t="shared" ca="1" si="562"/>
        <v>3972827.1896377485</v>
      </c>
      <c r="X201" s="8">
        <f t="shared" ca="1" si="562"/>
        <v>4085511.562725937</v>
      </c>
      <c r="Y201" s="8">
        <f t="shared" ca="1" si="562"/>
        <v>4202145.5544754099</v>
      </c>
      <c r="Z201" s="8">
        <f t="shared" ca="1" si="562"/>
        <v>4322903.0116165467</v>
      </c>
      <c r="AA201" s="8">
        <f t="shared" ca="1" si="562"/>
        <v>4447967.2357921377</v>
      </c>
      <c r="AB201" s="8">
        <f t="shared" ca="1" si="562"/>
        <v>4577531.5907639498</v>
      </c>
      <c r="AC201" s="8">
        <f t="shared" ca="1" si="562"/>
        <v>4711800.1530583724</v>
      </c>
      <c r="AD201" s="8">
        <f t="shared" ca="1" si="562"/>
        <v>4860849.146941415</v>
      </c>
      <c r="AE201" s="8">
        <f t="shared" ca="1" si="562"/>
        <v>5015538.5161948968</v>
      </c>
      <c r="AF201" s="8">
        <f t="shared" ca="1" si="562"/>
        <v>5176127.353818235</v>
      </c>
      <c r="AG201" s="8">
        <f t="shared" ca="1" si="562"/>
        <v>5342889.188788089</v>
      </c>
      <c r="AH201" s="8">
        <f t="shared" ca="1" si="562"/>
        <v>5516112.9280942539</v>
      </c>
      <c r="AI201" s="8">
        <f t="shared" ca="1" si="562"/>
        <v>5696103.8668778436</v>
      </c>
      <c r="AJ201" s="8">
        <f t="shared" ca="1" si="562"/>
        <v>5883184.7718734005</v>
      </c>
      <c r="AK201" s="8">
        <f t="shared" ca="1" si="562"/>
        <v>6077697.0437644608</v>
      </c>
      <c r="AL201" s="8">
        <f t="shared" ca="1" si="562"/>
        <v>6280001.9645022703</v>
      </c>
      <c r="AM201" s="8">
        <f t="shared" ca="1" si="562"/>
        <v>6490482.0361125115</v>
      </c>
    </row>
    <row r="202" spans="1:39" x14ac:dyDescent="0.2">
      <c r="A202" s="4" t="s">
        <v>73</v>
      </c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</row>
    <row r="203" spans="1:39" x14ac:dyDescent="0.2">
      <c r="A203" s="18" t="s">
        <v>9</v>
      </c>
      <c r="C203" s="8">
        <f ca="1">C185</f>
        <v>70325.5</v>
      </c>
      <c r="D203" s="8">
        <f t="shared" ref="D203:G203" ca="1" si="563">D185</f>
        <v>93777.462499999994</v>
      </c>
      <c r="E203" s="8">
        <f t="shared" ca="1" si="563"/>
        <v>97139.486875000017</v>
      </c>
      <c r="F203" s="8">
        <f t="shared" ca="1" si="563"/>
        <v>134700.22165942451</v>
      </c>
      <c r="G203" s="8">
        <f t="shared" ca="1" si="563"/>
        <v>176857.58117608592</v>
      </c>
      <c r="H203" s="8">
        <f t="shared" ref="H203:I203" ca="1" si="564">H185</f>
        <v>232940.55481327066</v>
      </c>
      <c r="I203" s="8">
        <f t="shared" ca="1" si="564"/>
        <v>299079.68847966078</v>
      </c>
      <c r="J203" s="8">
        <f t="shared" ref="J203:AM203" ca="1" si="565">J185</f>
        <v>351159.02647140576</v>
      </c>
      <c r="K203" s="8">
        <f t="shared" ca="1" si="565"/>
        <v>486975.96679276077</v>
      </c>
      <c r="L203" s="8">
        <f t="shared" ca="1" si="565"/>
        <v>534347.38007362408</v>
      </c>
      <c r="M203" s="8">
        <f t="shared" ca="1" si="565"/>
        <v>637505.5965587711</v>
      </c>
      <c r="N203" s="8">
        <f t="shared" ca="1" si="565"/>
        <v>746236.15018937679</v>
      </c>
      <c r="O203" s="8">
        <f t="shared" ca="1" si="565"/>
        <v>860775.63574042323</v>
      </c>
      <c r="P203" s="8">
        <f t="shared" ca="1" si="565"/>
        <v>981369.66856901604</v>
      </c>
      <c r="Q203" s="8">
        <f t="shared" ca="1" si="565"/>
        <v>1108273.207978379</v>
      </c>
      <c r="R203" s="8">
        <f t="shared" ca="1" si="565"/>
        <v>1241750.8917183832</v>
      </c>
      <c r="S203" s="8">
        <f t="shared" ca="1" si="565"/>
        <v>1276145.15148322</v>
      </c>
      <c r="T203" s="8">
        <f t="shared" ca="1" si="565"/>
        <v>1319429.9371666219</v>
      </c>
      <c r="U203" s="8">
        <f t="shared" ca="1" si="565"/>
        <v>1364332.3976486681</v>
      </c>
      <c r="V203" s="8">
        <f t="shared" ca="1" si="565"/>
        <v>1410913.8944652632</v>
      </c>
      <c r="W203" s="8">
        <f t="shared" ca="1" si="565"/>
        <v>1459238.0721059688</v>
      </c>
      <c r="X203" s="8">
        <f t="shared" ca="1" si="565"/>
        <v>1488964.0210951678</v>
      </c>
      <c r="Y203" s="8">
        <f t="shared" ca="1" si="565"/>
        <v>1519546.775976839</v>
      </c>
      <c r="Z203" s="8">
        <f t="shared" ca="1" si="565"/>
        <v>1551019.07429463</v>
      </c>
      <c r="AA203" s="8">
        <f t="shared" ca="1" si="565"/>
        <v>1583415.0092447023</v>
      </c>
      <c r="AB203" s="8">
        <f t="shared" ca="1" si="565"/>
        <v>1616770.0846257627</v>
      </c>
      <c r="AC203" s="8">
        <f t="shared" ca="1" si="565"/>
        <v>1651121.2719181646</v>
      </c>
      <c r="AD203" s="8">
        <f t="shared" ca="1" si="565"/>
        <v>1696367.8071636958</v>
      </c>
      <c r="AE203" s="8">
        <f t="shared" ca="1" si="565"/>
        <v>1743182.0766442758</v>
      </c>
      <c r="AF203" s="8">
        <f t="shared" ca="1" si="565"/>
        <v>1791624.3087351602</v>
      </c>
      <c r="AG203" s="8">
        <f t="shared" ca="1" si="565"/>
        <v>1841757.0670189112</v>
      </c>
      <c r="AH203" s="8">
        <f t="shared" ca="1" si="565"/>
        <v>1893645.3385117024</v>
      </c>
      <c r="AI203" s="8">
        <f t="shared" ca="1" si="565"/>
        <v>1947356.6251146924</v>
      </c>
      <c r="AJ203" s="8">
        <f t="shared" ca="1" si="565"/>
        <v>2002961.0384047818</v>
      </c>
      <c r="AK203" s="8">
        <f t="shared" ca="1" si="565"/>
        <v>2060531.3978830043</v>
      </c>
      <c r="AL203" s="8">
        <f t="shared" ca="1" si="565"/>
        <v>2120143.3328028899</v>
      </c>
      <c r="AM203" s="8">
        <f t="shared" ca="1" si="565"/>
        <v>2181875.3877053508</v>
      </c>
    </row>
    <row r="204" spans="1:39" x14ac:dyDescent="0.2">
      <c r="A204" s="18" t="s">
        <v>29</v>
      </c>
      <c r="C204" s="8">
        <f ca="1">C186</f>
        <v>1301023.1098380252</v>
      </c>
      <c r="D204" s="8">
        <f t="shared" ref="D204:G204" ca="1" si="566">D186</f>
        <v>1384582.2771802545</v>
      </c>
      <c r="E204" s="8">
        <f t="shared" ca="1" si="566"/>
        <v>1450030.9206765494</v>
      </c>
      <c r="F204" s="8">
        <f t="shared" ca="1" si="566"/>
        <v>1550952.0739389125</v>
      </c>
      <c r="G204" s="8">
        <f t="shared" ca="1" si="566"/>
        <v>1656938.7875422537</v>
      </c>
      <c r="H204" s="8">
        <f t="shared" ref="H204:I204" ca="1" si="567">H186</f>
        <v>1775127.73689433</v>
      </c>
      <c r="I204" s="8">
        <f t="shared" ca="1" si="567"/>
        <v>1896559.6635315095</v>
      </c>
      <c r="J204" s="8">
        <f t="shared" ref="J204:AM204" ca="1" si="568">J186</f>
        <v>2005800.0624461714</v>
      </c>
      <c r="K204" s="8">
        <f t="shared" ca="1" si="568"/>
        <v>2200436.521202656</v>
      </c>
      <c r="L204" s="8">
        <f t="shared" ca="1" si="568"/>
        <v>2305888.9317588429</v>
      </c>
      <c r="M204" s="8">
        <f t="shared" ca="1" si="568"/>
        <v>2465431.7822904554</v>
      </c>
      <c r="N204" s="8">
        <f t="shared" ca="1" si="568"/>
        <v>2632497.5799885942</v>
      </c>
      <c r="O204" s="8">
        <f t="shared" ca="1" si="568"/>
        <v>2807402.1636088458</v>
      </c>
      <c r="P204" s="8">
        <f t="shared" ca="1" si="568"/>
        <v>2990474.4278627383</v>
      </c>
      <c r="Q204" s="8">
        <f t="shared" ca="1" si="568"/>
        <v>3182056.9004872991</v>
      </c>
      <c r="R204" s="8">
        <f t="shared" ca="1" si="568"/>
        <v>3382506.348673868</v>
      </c>
      <c r="S204" s="8">
        <f t="shared" ca="1" si="568"/>
        <v>3486262.1861123713</v>
      </c>
      <c r="T204" s="8">
        <f t="shared" ca="1" si="568"/>
        <v>3601400.509916849</v>
      </c>
      <c r="U204" s="8">
        <f t="shared" ca="1" si="568"/>
        <v>3720756.1168301795</v>
      </c>
      <c r="V204" s="8">
        <f t="shared" ca="1" si="568"/>
        <v>3844503.8768108995</v>
      </c>
      <c r="W204" s="8">
        <f t="shared" ca="1" si="568"/>
        <v>3972827.1896377481</v>
      </c>
      <c r="X204" s="8">
        <f t="shared" ca="1" si="568"/>
        <v>4085511.5627259365</v>
      </c>
      <c r="Y204" s="8">
        <f t="shared" ca="1" si="568"/>
        <v>4202145.5544754099</v>
      </c>
      <c r="Z204" s="8">
        <f t="shared" ca="1" si="568"/>
        <v>4322903.0116165467</v>
      </c>
      <c r="AA204" s="8">
        <f t="shared" ca="1" si="568"/>
        <v>4447967.2357921377</v>
      </c>
      <c r="AB204" s="8">
        <f t="shared" ca="1" si="568"/>
        <v>4577531.5907639489</v>
      </c>
      <c r="AC204" s="8">
        <f t="shared" ca="1" si="568"/>
        <v>4711800.1530583724</v>
      </c>
      <c r="AD204" s="8">
        <f t="shared" ca="1" si="568"/>
        <v>4860849.146941415</v>
      </c>
      <c r="AE204" s="8">
        <f t="shared" ca="1" si="568"/>
        <v>5015538.5161948958</v>
      </c>
      <c r="AF204" s="8">
        <f t="shared" ca="1" si="568"/>
        <v>5176127.3538182341</v>
      </c>
      <c r="AG204" s="8">
        <f t="shared" ca="1" si="568"/>
        <v>5342889.188788088</v>
      </c>
      <c r="AH204" s="8">
        <f t="shared" ca="1" si="568"/>
        <v>5516112.9280942539</v>
      </c>
      <c r="AI204" s="8">
        <f t="shared" ca="1" si="568"/>
        <v>5696103.8668778427</v>
      </c>
      <c r="AJ204" s="8">
        <f t="shared" ca="1" si="568"/>
        <v>5883184.7718733996</v>
      </c>
      <c r="AK204" s="8">
        <f t="shared" ca="1" si="568"/>
        <v>6077697.0437644599</v>
      </c>
      <c r="AL204" s="8">
        <f t="shared" ca="1" si="568"/>
        <v>6280001.9645022694</v>
      </c>
      <c r="AM204" s="8">
        <f t="shared" ca="1" si="568"/>
        <v>6490482.0361125106</v>
      </c>
    </row>
    <row r="205" spans="1:39" x14ac:dyDescent="0.2">
      <c r="A205" s="5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</row>
    <row r="206" spans="1:39" x14ac:dyDescent="0.2"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</row>
    <row r="207" spans="1:39" x14ac:dyDescent="0.2"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</row>
    <row r="208" spans="1:39" x14ac:dyDescent="0.2"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</row>
    <row r="209" spans="3:39" x14ac:dyDescent="0.2"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</row>
    <row r="210" spans="3:39" x14ac:dyDescent="0.2"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</row>
    <row r="211" spans="3:39" x14ac:dyDescent="0.2"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</row>
    <row r="212" spans="3:39" x14ac:dyDescent="0.2"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</row>
    <row r="213" spans="3:39" x14ac:dyDescent="0.2"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</row>
    <row r="214" spans="3:39" x14ac:dyDescent="0.2"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</row>
    <row r="215" spans="3:39" x14ac:dyDescent="0.2"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</row>
    <row r="216" spans="3:39" x14ac:dyDescent="0.2"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</row>
    <row r="217" spans="3:39" x14ac:dyDescent="0.2"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</row>
    <row r="218" spans="3:39" x14ac:dyDescent="0.2"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</row>
    <row r="219" spans="3:39" x14ac:dyDescent="0.2"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</row>
    <row r="220" spans="3:39" x14ac:dyDescent="0.2"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</row>
    <row r="221" spans="3:39" x14ac:dyDescent="0.2"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</row>
    <row r="222" spans="3:39" x14ac:dyDescent="0.2"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</row>
    <row r="223" spans="3:39" x14ac:dyDescent="0.2"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</row>
    <row r="224" spans="3:39" x14ac:dyDescent="0.2"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</row>
    <row r="225" spans="3:39" x14ac:dyDescent="0.2"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</row>
    <row r="226" spans="3:39" x14ac:dyDescent="0.2"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</row>
    <row r="227" spans="3:39" x14ac:dyDescent="0.2"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</row>
    <row r="228" spans="3:39" x14ac:dyDescent="0.2"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</row>
    <row r="229" spans="3:39" x14ac:dyDescent="0.2"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</row>
    <row r="230" spans="3:39" x14ac:dyDescent="0.2"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</row>
    <row r="231" spans="3:39" x14ac:dyDescent="0.2"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</row>
    <row r="232" spans="3:39" x14ac:dyDescent="0.2"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</row>
    <row r="233" spans="3:39" x14ac:dyDescent="0.2"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</row>
    <row r="234" spans="3:39" x14ac:dyDescent="0.2"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</row>
    <row r="235" spans="3:39" x14ac:dyDescent="0.2"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</row>
    <row r="236" spans="3:39" x14ac:dyDescent="0.2"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</row>
    <row r="237" spans="3:39" x14ac:dyDescent="0.2"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</row>
    <row r="238" spans="3:39" x14ac:dyDescent="0.2"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</row>
    <row r="239" spans="3:39" x14ac:dyDescent="0.2"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</row>
    <row r="240" spans="3:39" x14ac:dyDescent="0.2"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</row>
    <row r="241" spans="3:39" x14ac:dyDescent="0.2"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</row>
    <row r="242" spans="3:39" x14ac:dyDescent="0.2"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</row>
    <row r="243" spans="3:39" x14ac:dyDescent="0.2"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</row>
    <row r="244" spans="3:39" x14ac:dyDescent="0.2"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</row>
    <row r="245" spans="3:39" x14ac:dyDescent="0.2"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</row>
    <row r="246" spans="3:39" x14ac:dyDescent="0.2"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</row>
    <row r="247" spans="3:39" x14ac:dyDescent="0.2"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</row>
    <row r="248" spans="3:39" x14ac:dyDescent="0.2"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</row>
    <row r="249" spans="3:39" x14ac:dyDescent="0.2"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</row>
    <row r="250" spans="3:39" x14ac:dyDescent="0.2"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</row>
    <row r="251" spans="3:39" x14ac:dyDescent="0.2"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</row>
    <row r="252" spans="3:39" x14ac:dyDescent="0.2"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</row>
    <row r="253" spans="3:39" x14ac:dyDescent="0.2"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</row>
    <row r="254" spans="3:39" x14ac:dyDescent="0.2"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</row>
    <row r="255" spans="3:39" x14ac:dyDescent="0.2"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</row>
    <row r="256" spans="3:39" x14ac:dyDescent="0.2"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</row>
    <row r="257" spans="3:39" x14ac:dyDescent="0.2"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</row>
    <row r="258" spans="3:39" x14ac:dyDescent="0.2"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</row>
    <row r="259" spans="3:39" x14ac:dyDescent="0.2"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</row>
    <row r="260" spans="3:39" x14ac:dyDescent="0.2"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</row>
    <row r="261" spans="3:39" x14ac:dyDescent="0.2"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</row>
    <row r="262" spans="3:39" x14ac:dyDescent="0.2"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</row>
    <row r="263" spans="3:39" x14ac:dyDescent="0.2"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</row>
    <row r="264" spans="3:39" x14ac:dyDescent="0.2"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</row>
    <row r="265" spans="3:39" x14ac:dyDescent="0.2"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</row>
    <row r="266" spans="3:39" x14ac:dyDescent="0.2"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</row>
    <row r="267" spans="3:39" x14ac:dyDescent="0.2"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</row>
    <row r="268" spans="3:39" x14ac:dyDescent="0.2"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</row>
    <row r="269" spans="3:39" x14ac:dyDescent="0.2"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</row>
    <row r="270" spans="3:39" x14ac:dyDescent="0.2"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</row>
    <row r="271" spans="3:39" x14ac:dyDescent="0.2"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</row>
    <row r="272" spans="3:39" x14ac:dyDescent="0.2"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</row>
    <row r="273" spans="3:39" x14ac:dyDescent="0.2"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</row>
    <row r="274" spans="3:39" x14ac:dyDescent="0.2"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</row>
    <row r="275" spans="3:39" x14ac:dyDescent="0.2"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</row>
    <row r="276" spans="3:39" x14ac:dyDescent="0.2"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</row>
    <row r="277" spans="3:39" x14ac:dyDescent="0.2"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</row>
    <row r="278" spans="3:39" x14ac:dyDescent="0.2"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</row>
    <row r="279" spans="3:39" x14ac:dyDescent="0.2"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</row>
    <row r="280" spans="3:39" x14ac:dyDescent="0.2"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</row>
    <row r="281" spans="3:39" x14ac:dyDescent="0.2"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</row>
    <row r="282" spans="3:39" x14ac:dyDescent="0.2"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</row>
    <row r="283" spans="3:39" x14ac:dyDescent="0.2"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</row>
    <row r="284" spans="3:39" x14ac:dyDescent="0.2"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</row>
    <row r="285" spans="3:39" x14ac:dyDescent="0.2"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</row>
    <row r="286" spans="3:39" x14ac:dyDescent="0.2"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</row>
    <row r="287" spans="3:39" x14ac:dyDescent="0.2"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</row>
    <row r="288" spans="3:39" x14ac:dyDescent="0.2"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</row>
    <row r="289" spans="3:39" x14ac:dyDescent="0.2"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</row>
    <row r="290" spans="3:39" x14ac:dyDescent="0.2"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</row>
    <row r="291" spans="3:39" x14ac:dyDescent="0.2"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</row>
    <row r="292" spans="3:39" x14ac:dyDescent="0.2"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</row>
    <row r="293" spans="3:39" x14ac:dyDescent="0.2"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</row>
    <row r="294" spans="3:39" x14ac:dyDescent="0.2"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</row>
    <row r="295" spans="3:39" x14ac:dyDescent="0.2"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</row>
    <row r="296" spans="3:39" x14ac:dyDescent="0.2"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</row>
    <row r="297" spans="3:39" x14ac:dyDescent="0.2"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</row>
    <row r="298" spans="3:39" x14ac:dyDescent="0.2"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</row>
    <row r="299" spans="3:39" x14ac:dyDescent="0.2"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</row>
    <row r="300" spans="3:39" x14ac:dyDescent="0.2"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</row>
    <row r="301" spans="3:39" x14ac:dyDescent="0.2"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</row>
    <row r="302" spans="3:39" x14ac:dyDescent="0.2"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</row>
    <row r="303" spans="3:39" x14ac:dyDescent="0.2"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</row>
    <row r="304" spans="3:39" x14ac:dyDescent="0.2"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</row>
    <row r="305" spans="3:39" x14ac:dyDescent="0.2"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</row>
    <row r="306" spans="3:39" x14ac:dyDescent="0.2"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</row>
    <row r="307" spans="3:39" x14ac:dyDescent="0.2"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</row>
    <row r="308" spans="3:39" x14ac:dyDescent="0.2"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</row>
    <row r="309" spans="3:39" x14ac:dyDescent="0.2"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</row>
    <row r="310" spans="3:39" x14ac:dyDescent="0.2"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</row>
    <row r="311" spans="3:39" x14ac:dyDescent="0.2"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</row>
    <row r="312" spans="3:39" x14ac:dyDescent="0.2"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</row>
    <row r="313" spans="3:39" x14ac:dyDescent="0.2"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</row>
    <row r="314" spans="3:39" x14ac:dyDescent="0.2"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</row>
    <row r="315" spans="3:39" x14ac:dyDescent="0.2"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</row>
    <row r="316" spans="3:39" x14ac:dyDescent="0.2"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</row>
    <row r="317" spans="3:39" x14ac:dyDescent="0.2"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</row>
    <row r="318" spans="3:39" x14ac:dyDescent="0.2"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</row>
    <row r="319" spans="3:39" x14ac:dyDescent="0.2"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</row>
    <row r="320" spans="3:39" x14ac:dyDescent="0.2"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</row>
    <row r="321" spans="3:39" x14ac:dyDescent="0.2"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</row>
    <row r="322" spans="3:39" x14ac:dyDescent="0.2"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</row>
    <row r="323" spans="3:39" x14ac:dyDescent="0.2"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</row>
    <row r="324" spans="3:39" x14ac:dyDescent="0.2"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</row>
    <row r="325" spans="3:39" x14ac:dyDescent="0.2"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</row>
    <row r="326" spans="3:39" x14ac:dyDescent="0.2"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</row>
    <row r="327" spans="3:39" x14ac:dyDescent="0.2"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</row>
    <row r="328" spans="3:39" x14ac:dyDescent="0.2"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</row>
    <row r="329" spans="3:39" x14ac:dyDescent="0.2"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</row>
    <row r="330" spans="3:39" x14ac:dyDescent="0.2"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</row>
    <row r="331" spans="3:39" x14ac:dyDescent="0.2"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</row>
    <row r="332" spans="3:39" x14ac:dyDescent="0.2"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</row>
    <row r="333" spans="3:39" x14ac:dyDescent="0.2"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</row>
    <row r="334" spans="3:39" x14ac:dyDescent="0.2"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</row>
    <row r="335" spans="3:39" x14ac:dyDescent="0.2"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</row>
    <row r="336" spans="3:39" x14ac:dyDescent="0.2"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</row>
    <row r="337" spans="3:39" x14ac:dyDescent="0.2"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</row>
    <row r="338" spans="3:39" x14ac:dyDescent="0.2"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</row>
    <row r="339" spans="3:39" x14ac:dyDescent="0.2"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</row>
    <row r="340" spans="3:39" x14ac:dyDescent="0.2"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</row>
    <row r="341" spans="3:39" x14ac:dyDescent="0.2"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</row>
    <row r="342" spans="3:39" x14ac:dyDescent="0.2"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</row>
    <row r="343" spans="3:39" x14ac:dyDescent="0.2"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</row>
    <row r="344" spans="3:39" x14ac:dyDescent="0.2"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</row>
    <row r="345" spans="3:39" x14ac:dyDescent="0.2"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</row>
    <row r="346" spans="3:39" x14ac:dyDescent="0.2"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</row>
    <row r="347" spans="3:39" x14ac:dyDescent="0.2"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</row>
    <row r="348" spans="3:39" x14ac:dyDescent="0.2"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</row>
    <row r="349" spans="3:39" x14ac:dyDescent="0.2"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</row>
    <row r="350" spans="3:39" x14ac:dyDescent="0.2"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4D0C-8E54-FD49-9F91-8069ED82671C}">
  <sheetPr codeName="Sheet5"/>
  <dimension ref="A1:AM350"/>
  <sheetViews>
    <sheetView zoomScale="110" zoomScaleNormal="110" workbookViewId="0">
      <pane xSplit="1" ySplit="3" topLeftCell="T166" activePane="bottomRight" state="frozen"/>
      <selection activeCell="A32" sqref="A32:XFD33"/>
      <selection pane="topRight" activeCell="A32" sqref="A32:XFD33"/>
      <selection pane="bottomLeft" activeCell="A32" sqref="A32:XFD33"/>
      <selection pane="bottomRight" activeCell="AM203" sqref="AM203"/>
    </sheetView>
  </sheetViews>
  <sheetFormatPr baseColWidth="10" defaultRowHeight="16" x14ac:dyDescent="0.2"/>
  <cols>
    <col min="1" max="1" width="39.33203125" style="2" customWidth="1"/>
    <col min="2" max="2" width="4.33203125" style="7" customWidth="1"/>
    <col min="3" max="39" width="11.83203125" style="2" customWidth="1"/>
    <col min="40" max="78" width="11.83203125" customWidth="1"/>
  </cols>
  <sheetData>
    <row r="1" spans="1:39" x14ac:dyDescent="0.2">
      <c r="B1" s="6">
        <v>0</v>
      </c>
      <c r="C1" s="2">
        <v>1</v>
      </c>
      <c r="D1" s="2">
        <f>C1+1</f>
        <v>2</v>
      </c>
      <c r="E1" s="2">
        <f t="shared" ref="E1:H3" si="0">D1+1</f>
        <v>3</v>
      </c>
      <c r="F1" s="2">
        <f t="shared" si="0"/>
        <v>4</v>
      </c>
      <c r="G1" s="2">
        <f t="shared" si="0"/>
        <v>5</v>
      </c>
      <c r="H1" s="2">
        <f t="shared" si="0"/>
        <v>6</v>
      </c>
      <c r="I1" s="2">
        <f t="shared" ref="I1:I3" si="1">H1+1</f>
        <v>7</v>
      </c>
      <c r="J1" s="2">
        <f t="shared" ref="J1:J3" si="2">I1+1</f>
        <v>8</v>
      </c>
      <c r="K1" s="2">
        <f t="shared" ref="K1:K3" si="3">J1+1</f>
        <v>9</v>
      </c>
      <c r="L1" s="2">
        <f t="shared" ref="L1:L3" si="4">K1+1</f>
        <v>10</v>
      </c>
      <c r="M1" s="2">
        <f t="shared" ref="M1:M3" si="5">L1+1</f>
        <v>11</v>
      </c>
      <c r="N1" s="2">
        <f t="shared" ref="N1:N3" si="6">M1+1</f>
        <v>12</v>
      </c>
      <c r="O1" s="2">
        <f t="shared" ref="O1:O3" si="7">N1+1</f>
        <v>13</v>
      </c>
      <c r="P1" s="2">
        <f t="shared" ref="P1:P3" si="8">O1+1</f>
        <v>14</v>
      </c>
      <c r="Q1" s="2">
        <f t="shared" ref="Q1:Q3" si="9">P1+1</f>
        <v>15</v>
      </c>
      <c r="R1" s="2">
        <f t="shared" ref="R1:R3" si="10">Q1+1</f>
        <v>16</v>
      </c>
      <c r="S1" s="2">
        <f t="shared" ref="S1:S3" si="11">R1+1</f>
        <v>17</v>
      </c>
      <c r="T1" s="2">
        <f t="shared" ref="T1:T3" si="12">S1+1</f>
        <v>18</v>
      </c>
      <c r="U1" s="2">
        <f t="shared" ref="U1:U3" si="13">T1+1</f>
        <v>19</v>
      </c>
      <c r="V1" s="2">
        <f t="shared" ref="V1:V3" si="14">U1+1</f>
        <v>20</v>
      </c>
      <c r="W1" s="2">
        <f t="shared" ref="W1:W3" si="15">V1+1</f>
        <v>21</v>
      </c>
      <c r="X1" s="2">
        <f t="shared" ref="X1:X3" si="16">W1+1</f>
        <v>22</v>
      </c>
      <c r="Y1" s="2">
        <f t="shared" ref="Y1:Y3" si="17">X1+1</f>
        <v>23</v>
      </c>
      <c r="Z1" s="2">
        <f t="shared" ref="Z1:Z3" si="18">Y1+1</f>
        <v>24</v>
      </c>
      <c r="AA1" s="2">
        <f t="shared" ref="AA1:AA3" si="19">Z1+1</f>
        <v>25</v>
      </c>
      <c r="AB1" s="2">
        <f t="shared" ref="AB1:AB3" si="20">AA1+1</f>
        <v>26</v>
      </c>
      <c r="AC1" s="2">
        <f t="shared" ref="AC1:AC3" si="21">AB1+1</f>
        <v>27</v>
      </c>
      <c r="AD1" s="2">
        <f t="shared" ref="AD1:AD3" si="22">AC1+1</f>
        <v>28</v>
      </c>
      <c r="AE1" s="2">
        <f t="shared" ref="AE1:AE3" si="23">AD1+1</f>
        <v>29</v>
      </c>
      <c r="AF1" s="2">
        <f t="shared" ref="AF1:AF3" si="24">AE1+1</f>
        <v>30</v>
      </c>
      <c r="AG1" s="2">
        <f t="shared" ref="AG1:AG3" si="25">AF1+1</f>
        <v>31</v>
      </c>
      <c r="AH1" s="2">
        <f t="shared" ref="AH1:AH3" si="26">AG1+1</f>
        <v>32</v>
      </c>
      <c r="AI1" s="2">
        <f t="shared" ref="AI1:AI3" si="27">AH1+1</f>
        <v>33</v>
      </c>
      <c r="AJ1" s="2">
        <f t="shared" ref="AJ1:AJ3" si="28">AI1+1</f>
        <v>34</v>
      </c>
      <c r="AK1" s="2">
        <f t="shared" ref="AK1:AK3" si="29">AJ1+1</f>
        <v>35</v>
      </c>
      <c r="AL1" s="2">
        <f t="shared" ref="AL1:AL3" si="30">AK1+1</f>
        <v>36</v>
      </c>
      <c r="AM1" s="2">
        <f t="shared" ref="AM1:AM3" si="31">AL1+1</f>
        <v>37</v>
      </c>
    </row>
    <row r="2" spans="1:39" x14ac:dyDescent="0.2">
      <c r="A2" s="12"/>
      <c r="B2" s="6" t="s">
        <v>6</v>
      </c>
      <c r="C2" s="2">
        <f ca="1">YEAR(TODAY())+1</f>
        <v>2027</v>
      </c>
      <c r="D2" s="2">
        <f ca="1">C2+1</f>
        <v>2028</v>
      </c>
      <c r="E2" s="2">
        <f t="shared" ca="1" si="0"/>
        <v>2029</v>
      </c>
      <c r="F2" s="2">
        <f t="shared" ca="1" si="0"/>
        <v>2030</v>
      </c>
      <c r="G2" s="2">
        <f t="shared" ca="1" si="0"/>
        <v>2031</v>
      </c>
      <c r="H2" s="2">
        <f t="shared" ca="1" si="0"/>
        <v>2032</v>
      </c>
      <c r="I2" s="2">
        <f t="shared" ca="1" si="1"/>
        <v>2033</v>
      </c>
      <c r="J2" s="2">
        <f t="shared" ca="1" si="2"/>
        <v>2034</v>
      </c>
      <c r="K2" s="2">
        <f t="shared" ca="1" si="3"/>
        <v>2035</v>
      </c>
      <c r="L2" s="2">
        <f t="shared" ca="1" si="4"/>
        <v>2036</v>
      </c>
      <c r="M2" s="2">
        <f t="shared" ca="1" si="5"/>
        <v>2037</v>
      </c>
      <c r="N2" s="2">
        <f t="shared" ca="1" si="6"/>
        <v>2038</v>
      </c>
      <c r="O2" s="2">
        <f t="shared" ca="1" si="7"/>
        <v>2039</v>
      </c>
      <c r="P2" s="2">
        <f t="shared" ca="1" si="8"/>
        <v>2040</v>
      </c>
      <c r="Q2" s="2">
        <f t="shared" ca="1" si="9"/>
        <v>2041</v>
      </c>
      <c r="R2" s="2">
        <f t="shared" ca="1" si="10"/>
        <v>2042</v>
      </c>
      <c r="S2" s="2">
        <f t="shared" ca="1" si="11"/>
        <v>2043</v>
      </c>
      <c r="T2" s="2">
        <f t="shared" ca="1" si="12"/>
        <v>2044</v>
      </c>
      <c r="U2" s="2">
        <f t="shared" ca="1" si="13"/>
        <v>2045</v>
      </c>
      <c r="V2" s="2">
        <f t="shared" ca="1" si="14"/>
        <v>2046</v>
      </c>
      <c r="W2" s="2">
        <f t="shared" ca="1" si="15"/>
        <v>2047</v>
      </c>
      <c r="X2" s="2">
        <f t="shared" ca="1" si="16"/>
        <v>2048</v>
      </c>
      <c r="Y2" s="2">
        <f t="shared" ca="1" si="17"/>
        <v>2049</v>
      </c>
      <c r="Z2" s="2">
        <f t="shared" ca="1" si="18"/>
        <v>2050</v>
      </c>
      <c r="AA2" s="2">
        <f t="shared" ca="1" si="19"/>
        <v>2051</v>
      </c>
      <c r="AB2" s="2">
        <f t="shared" ca="1" si="20"/>
        <v>2052</v>
      </c>
      <c r="AC2" s="2">
        <f t="shared" ca="1" si="21"/>
        <v>2053</v>
      </c>
      <c r="AD2" s="2">
        <f t="shared" ca="1" si="22"/>
        <v>2054</v>
      </c>
      <c r="AE2" s="2">
        <f t="shared" ca="1" si="23"/>
        <v>2055</v>
      </c>
      <c r="AF2" s="2">
        <f t="shared" ca="1" si="24"/>
        <v>2056</v>
      </c>
      <c r="AG2" s="2">
        <f t="shared" ca="1" si="25"/>
        <v>2057</v>
      </c>
      <c r="AH2" s="2">
        <f t="shared" ca="1" si="26"/>
        <v>2058</v>
      </c>
      <c r="AI2" s="2">
        <f t="shared" ca="1" si="27"/>
        <v>2059</v>
      </c>
      <c r="AJ2" s="2">
        <f t="shared" ca="1" si="28"/>
        <v>2060</v>
      </c>
      <c r="AK2" s="2">
        <f t="shared" ca="1" si="29"/>
        <v>2061</v>
      </c>
      <c r="AL2" s="2">
        <f t="shared" ca="1" si="30"/>
        <v>2062</v>
      </c>
      <c r="AM2" s="2">
        <f t="shared" ca="1" si="31"/>
        <v>2063</v>
      </c>
    </row>
    <row r="3" spans="1:39" x14ac:dyDescent="0.2">
      <c r="A3" s="36"/>
      <c r="B3" s="37">
        <v>54</v>
      </c>
      <c r="C3" s="2">
        <f>Inputs!B4+1</f>
        <v>49</v>
      </c>
      <c r="D3" s="2">
        <f>C3+1</f>
        <v>50</v>
      </c>
      <c r="E3" s="2">
        <f t="shared" si="0"/>
        <v>51</v>
      </c>
      <c r="F3" s="2">
        <f t="shared" si="0"/>
        <v>52</v>
      </c>
      <c r="G3" s="2">
        <f t="shared" si="0"/>
        <v>53</v>
      </c>
      <c r="H3" s="2">
        <f t="shared" si="0"/>
        <v>54</v>
      </c>
      <c r="I3" s="2">
        <f t="shared" si="1"/>
        <v>55</v>
      </c>
      <c r="J3" s="2">
        <f t="shared" si="2"/>
        <v>56</v>
      </c>
      <c r="K3" s="2">
        <f t="shared" si="3"/>
        <v>57</v>
      </c>
      <c r="L3" s="2">
        <f t="shared" si="4"/>
        <v>58</v>
      </c>
      <c r="M3" s="2">
        <f t="shared" si="5"/>
        <v>59</v>
      </c>
      <c r="N3" s="2">
        <f t="shared" si="6"/>
        <v>60</v>
      </c>
      <c r="O3" s="2">
        <f t="shared" si="7"/>
        <v>61</v>
      </c>
      <c r="P3" s="2">
        <f t="shared" si="8"/>
        <v>62</v>
      </c>
      <c r="Q3" s="2">
        <f t="shared" si="9"/>
        <v>63</v>
      </c>
      <c r="R3" s="2">
        <f t="shared" si="10"/>
        <v>64</v>
      </c>
      <c r="S3" s="2">
        <f t="shared" si="11"/>
        <v>65</v>
      </c>
      <c r="T3" s="2">
        <f t="shared" si="12"/>
        <v>66</v>
      </c>
      <c r="U3" s="2">
        <f t="shared" si="13"/>
        <v>67</v>
      </c>
      <c r="V3" s="2">
        <f t="shared" si="14"/>
        <v>68</v>
      </c>
      <c r="W3" s="2">
        <f t="shared" si="15"/>
        <v>69</v>
      </c>
      <c r="X3" s="2">
        <f t="shared" si="16"/>
        <v>70</v>
      </c>
      <c r="Y3" s="2">
        <f t="shared" si="17"/>
        <v>71</v>
      </c>
      <c r="Z3" s="2">
        <f t="shared" si="18"/>
        <v>72</v>
      </c>
      <c r="AA3" s="2">
        <f t="shared" si="19"/>
        <v>73</v>
      </c>
      <c r="AB3" s="2">
        <f t="shared" si="20"/>
        <v>74</v>
      </c>
      <c r="AC3" s="2">
        <f t="shared" si="21"/>
        <v>75</v>
      </c>
      <c r="AD3" s="2">
        <f t="shared" si="22"/>
        <v>76</v>
      </c>
      <c r="AE3" s="2">
        <f t="shared" si="23"/>
        <v>77</v>
      </c>
      <c r="AF3" s="2">
        <f t="shared" si="24"/>
        <v>78</v>
      </c>
      <c r="AG3" s="2">
        <f t="shared" si="25"/>
        <v>79</v>
      </c>
      <c r="AH3" s="2">
        <f t="shared" si="26"/>
        <v>80</v>
      </c>
      <c r="AI3" s="2">
        <f t="shared" si="27"/>
        <v>81</v>
      </c>
      <c r="AJ3" s="2">
        <f t="shared" si="28"/>
        <v>82</v>
      </c>
      <c r="AK3" s="2">
        <f t="shared" si="29"/>
        <v>83</v>
      </c>
      <c r="AL3" s="2">
        <f t="shared" si="30"/>
        <v>84</v>
      </c>
      <c r="AM3" s="2">
        <f t="shared" si="31"/>
        <v>85</v>
      </c>
    </row>
    <row r="4" spans="1:39" ht="19" x14ac:dyDescent="0.25">
      <c r="A4" s="14" t="s">
        <v>17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</row>
    <row r="5" spans="1:39" x14ac:dyDescent="0.2">
      <c r="A5" s="5" t="s">
        <v>51</v>
      </c>
      <c r="B5" s="9"/>
      <c r="C5" s="8">
        <f>IF(AND(Inputs!$B$19&gt;C3,$B$3&gt;C3),Inputs!$B$6*(1+sincr)^B1,0)</f>
        <v>80000</v>
      </c>
      <c r="D5" s="8">
        <f>IF(AND(Inputs!$B$19&gt;D3,$B$3&gt;D3),Inputs!$B$6*(1+sincr)^C1,0)</f>
        <v>82400</v>
      </c>
      <c r="E5" s="8">
        <f>IF(AND(Inputs!$B$19&gt;E3,$B$3&gt;E3),Inputs!$B$6*(1+sincr)^D1,0)</f>
        <v>84872</v>
      </c>
      <c r="F5" s="8">
        <f>IF(AND(Inputs!$B$19&gt;F3,$B$3&gt;F3),Inputs!$B$6*(1+sincr)^E1,0)</f>
        <v>87418.16</v>
      </c>
      <c r="G5" s="8">
        <f>IF(AND(Inputs!$B$19&gt;G3,$B$3&gt;G3),Inputs!$B$6*(1+sincr)^F1,0)</f>
        <v>90040.704799999992</v>
      </c>
      <c r="H5" s="8">
        <f>IF(AND(Inputs!$B$19&gt;H3,$B$3&gt;H3),Inputs!$B$6*(1+sincr)^G1,0)</f>
        <v>0</v>
      </c>
      <c r="I5" s="8">
        <f>IF(AND(Inputs!$B$19&gt;I3,$B$3&gt;I3),Inputs!$B$6*(1+sincr)^H1,0)</f>
        <v>0</v>
      </c>
      <c r="J5" s="8">
        <f>IF(AND(Inputs!$B$19&gt;J3,$B$3&gt;J3),Inputs!$B$6*(1+sincr)^I1,0)</f>
        <v>0</v>
      </c>
      <c r="K5" s="8">
        <f>IF(AND(Inputs!$B$19&gt;K3,$B$3&gt;K3),Inputs!$B$6*(1+sincr)^J1,0)</f>
        <v>0</v>
      </c>
      <c r="L5" s="8">
        <f>IF(AND(Inputs!$B$19&gt;L3,$B$3&gt;L3),Inputs!$B$6*(1+sincr)^K1,0)</f>
        <v>0</v>
      </c>
      <c r="M5" s="8">
        <f>IF(AND(Inputs!$B$19&gt;M3,$B$3&gt;M3),Inputs!$B$6*(1+sincr)^L1,0)</f>
        <v>0</v>
      </c>
      <c r="N5" s="8">
        <f>IF(AND(Inputs!$B$19&gt;N3,$B$3&gt;N3),Inputs!$B$6*(1+sincr)^M1,0)</f>
        <v>0</v>
      </c>
      <c r="O5" s="8">
        <f>IF(AND(Inputs!$B$19&gt;O3,$B$3&gt;O3),Inputs!$B$6*(1+sincr)^N1,0)</f>
        <v>0</v>
      </c>
      <c r="P5" s="8">
        <f>IF(AND(Inputs!$B$19&gt;P3,$B$3&gt;P3),Inputs!$B$6*(1+sincr)^O1,0)</f>
        <v>0</v>
      </c>
      <c r="Q5" s="8">
        <f>IF(AND(Inputs!$B$19&gt;Q3,$B$3&gt;Q3),Inputs!$B$6*(1+sincr)^P1,0)</f>
        <v>0</v>
      </c>
      <c r="R5" s="8">
        <f>IF(AND(Inputs!$B$19&gt;R3,$B$3&gt;R3),Inputs!$B$6*(1+sincr)^Q1,0)</f>
        <v>0</v>
      </c>
      <c r="S5" s="8">
        <f>IF(AND(Inputs!$B$19&gt;S3,$B$3&gt;S3),Inputs!$B$6*(1+sincr)^R1,0)</f>
        <v>0</v>
      </c>
      <c r="T5" s="8">
        <f>IF(AND(Inputs!$B$19&gt;T3,$B$3&gt;T3),Inputs!$B$6*(1+sincr)^S1,0)</f>
        <v>0</v>
      </c>
      <c r="U5" s="8">
        <f>IF(AND(Inputs!$B$19&gt;U3,$B$3&gt;U3),Inputs!$B$6*(1+sincr)^T1,0)</f>
        <v>0</v>
      </c>
      <c r="V5" s="8">
        <f>IF(AND(Inputs!$B$19&gt;V3,$B$3&gt;V3),Inputs!$B$6*(1+sincr)^U1,0)</f>
        <v>0</v>
      </c>
      <c r="W5" s="8">
        <f>IF(AND(Inputs!$B$19&gt;W3,$B$3&gt;W3),Inputs!$B$6*(1+sincr)^V1,0)</f>
        <v>0</v>
      </c>
      <c r="X5" s="8">
        <f>IF(AND(Inputs!$B$19&gt;X3,$B$3&gt;X3),Inputs!$B$6*(1+sincr)^W1,0)</f>
        <v>0</v>
      </c>
      <c r="Y5" s="8">
        <f>IF(AND(Inputs!$B$19&gt;Y3,$B$3&gt;Y3),Inputs!$B$6*(1+sincr)^X1,0)</f>
        <v>0</v>
      </c>
      <c r="Z5" s="8">
        <f>IF(AND(Inputs!$B$19&gt;Z3,$B$3&gt;Z3),Inputs!$B$6*(1+sincr)^Y1,0)</f>
        <v>0</v>
      </c>
      <c r="AA5" s="8">
        <f>IF(AND(Inputs!$B$19&gt;AA3,$B$3&gt;AA3),Inputs!$B$6*(1+sincr)^Z1,0)</f>
        <v>0</v>
      </c>
      <c r="AB5" s="8">
        <f>IF(AND(Inputs!$B$19&gt;AB3,$B$3&gt;AB3),Inputs!$B$6*(1+sincr)^AA1,0)</f>
        <v>0</v>
      </c>
      <c r="AC5" s="8">
        <f>IF(AND(Inputs!$B$19&gt;AC3,$B$3&gt;AC3),Inputs!$B$6*(1+sincr)^AB1,0)</f>
        <v>0</v>
      </c>
      <c r="AD5" s="8">
        <f>IF(AND(Inputs!$B$19&gt;AD3,$B$3&gt;AD3),Inputs!$B$6*(1+sincr)^AC1,0)</f>
        <v>0</v>
      </c>
      <c r="AE5" s="8">
        <f>IF(AND(Inputs!$B$19&gt;AE3,$B$3&gt;AE3),Inputs!$B$6*(1+sincr)^AD1,0)</f>
        <v>0</v>
      </c>
      <c r="AF5" s="8">
        <f>IF(AND(Inputs!$B$19&gt;AF3,$B$3&gt;AF3),Inputs!$B$6*(1+sincr)^AE1,0)</f>
        <v>0</v>
      </c>
      <c r="AG5" s="8">
        <f>IF(AND(Inputs!$B$19&gt;AG3,$B$3&gt;AG3),Inputs!$B$6*(1+sincr)^AF1,0)</f>
        <v>0</v>
      </c>
      <c r="AH5" s="8">
        <f>IF(AND(Inputs!$B$19&gt;AH3,$B$3&gt;AH3),Inputs!$B$6*(1+sincr)^AG1,0)</f>
        <v>0</v>
      </c>
      <c r="AI5" s="8">
        <f>IF(AND(Inputs!$B$19&gt;AI3,$B$3&gt;AI3),Inputs!$B$6*(1+sincr)^AH1,0)</f>
        <v>0</v>
      </c>
      <c r="AJ5" s="8">
        <f>IF(AND(Inputs!$B$19&gt;AJ3,$B$3&gt;AJ3),Inputs!$B$6*(1+sincr)^AI1,0)</f>
        <v>0</v>
      </c>
      <c r="AK5" s="8">
        <f>IF(AND(Inputs!$B$19&gt;AK3,$B$3&gt;AK3),Inputs!$B$6*(1+sincr)^AJ1,0)</f>
        <v>0</v>
      </c>
      <c r="AL5" s="8">
        <f>IF(AND(Inputs!$B$19&gt;AL3,$B$3&gt;AL3),Inputs!$B$6*(1+sincr)^AK1,0)</f>
        <v>0</v>
      </c>
      <c r="AM5" s="8">
        <f>IF(AND(Inputs!$B$19&gt;AM3,$B$3&gt;AM3),Inputs!$B$6*(1+sincr)^AL1,0)</f>
        <v>0</v>
      </c>
    </row>
    <row r="6" spans="1:39" x14ac:dyDescent="0.2">
      <c r="A6" s="5" t="s">
        <v>14</v>
      </c>
      <c r="B6" s="9"/>
      <c r="C6" s="8">
        <f>IF(C$3&lt;=Inputs!$B$81,Inputs!$B$80,0)*(1+inf)^B$1</f>
        <v>2000</v>
      </c>
      <c r="D6" s="8">
        <f>IF(D$3&lt;=Inputs!$B$81,Inputs!$B$80,0)*(1+inf)^C$1</f>
        <v>2050</v>
      </c>
      <c r="E6" s="8">
        <f>IF(E$3&lt;=Inputs!$B$81,Inputs!$B$80,0)*(1+inf)^D$1</f>
        <v>2101.25</v>
      </c>
      <c r="F6" s="8">
        <f>IF(F$3&lt;=Inputs!$B$81,Inputs!$B$80,0)*(1+inf)^E$1</f>
        <v>2153.7812499999995</v>
      </c>
      <c r="G6" s="8">
        <f>IF(G$3&lt;=Inputs!$B$81,Inputs!$B$80,0)*(1+inf)^F$1</f>
        <v>2207.6257812499994</v>
      </c>
      <c r="H6" s="8">
        <f>IF(H$3&lt;=Inputs!$B$81,Inputs!$B$80,0)*(1+inf)^G$1</f>
        <v>2262.8164257812491</v>
      </c>
      <c r="I6" s="8">
        <f>IF(I$3&lt;=Inputs!$B$81,Inputs!$B$80,0)*(1+inf)^H$1</f>
        <v>2319.3868364257805</v>
      </c>
      <c r="J6" s="8">
        <f>IF(J$3&lt;=Inputs!$B$81,Inputs!$B$80,0)*(1+inf)^I$1</f>
        <v>2377.3715073364251</v>
      </c>
      <c r="K6" s="8">
        <f>IF(K$3&lt;=Inputs!$B$81,Inputs!$B$80,0)*(1+inf)^J$1</f>
        <v>2436.8057950198354</v>
      </c>
      <c r="L6" s="8">
        <f>IF(L$3&lt;=Inputs!$B$81,Inputs!$B$80,0)*(1+inf)^K$1</f>
        <v>2497.7259398953311</v>
      </c>
      <c r="M6" s="8">
        <f>IF(M$3&lt;=Inputs!$B$81,Inputs!$B$80,0)*(1+inf)^L$1</f>
        <v>0</v>
      </c>
      <c r="N6" s="8">
        <f>IF(N$3&lt;=Inputs!$B$81,Inputs!$B$80,0)*(1+inf)^M$1</f>
        <v>0</v>
      </c>
      <c r="O6" s="8">
        <f>IF(O$3&lt;=Inputs!$B$81,Inputs!$B$80,0)*(1+inf)^N$1</f>
        <v>0</v>
      </c>
      <c r="P6" s="8">
        <f>IF(P$3&lt;=Inputs!$B$81,Inputs!$B$80,0)*(1+inf)^O$1</f>
        <v>0</v>
      </c>
      <c r="Q6" s="8">
        <f>IF(Q$3&lt;=Inputs!$B$81,Inputs!$B$80,0)*(1+inf)^P$1</f>
        <v>0</v>
      </c>
      <c r="R6" s="8">
        <f>IF(R$3&lt;=Inputs!$B$81,Inputs!$B$80,0)*(1+inf)^Q$1</f>
        <v>0</v>
      </c>
      <c r="S6" s="8">
        <f>IF(S$3&lt;=Inputs!$B$81,Inputs!$B$80,0)*(1+inf)^R$1</f>
        <v>0</v>
      </c>
      <c r="T6" s="8">
        <f>IF(T$3&lt;=Inputs!$B$81,Inputs!$B$80,0)*(1+inf)^S$1</f>
        <v>0</v>
      </c>
      <c r="U6" s="8">
        <f>IF(U$3&lt;=Inputs!$B$81,Inputs!$B$80,0)*(1+inf)^T$1</f>
        <v>0</v>
      </c>
      <c r="V6" s="8">
        <f>IF(V$3&lt;=Inputs!$B$81,Inputs!$B$80,0)*(1+inf)^U$1</f>
        <v>0</v>
      </c>
      <c r="W6" s="8">
        <f>IF(W$3&lt;=Inputs!$B$81,Inputs!$B$80,0)*(1+inf)^V$1</f>
        <v>0</v>
      </c>
      <c r="X6" s="8">
        <f>IF(X$3&lt;=Inputs!$B$81,Inputs!$B$80,0)*(1+inf)^W$1</f>
        <v>0</v>
      </c>
      <c r="Y6" s="8">
        <f>IF(Y$3&lt;=Inputs!$B$81,Inputs!$B$80,0)*(1+inf)^X$1</f>
        <v>0</v>
      </c>
      <c r="Z6" s="8">
        <f>IF(Z$3&lt;=Inputs!$B$81,Inputs!$B$80,0)*(1+inf)^Y$1</f>
        <v>0</v>
      </c>
      <c r="AA6" s="8">
        <f>IF(AA$3&lt;=Inputs!$B$81,Inputs!$B$80,0)*(1+inf)^Z$1</f>
        <v>0</v>
      </c>
      <c r="AB6" s="8">
        <f>IF(AB$3&lt;=Inputs!$B$81,Inputs!$B$80,0)*(1+inf)^AA$1</f>
        <v>0</v>
      </c>
      <c r="AC6" s="8">
        <f>IF(AC$3&lt;=Inputs!$B$81,Inputs!$B$80,0)*(1+inf)^AB$1</f>
        <v>0</v>
      </c>
      <c r="AD6" s="8">
        <f>IF(AD$3&lt;=Inputs!$B$81,Inputs!$B$80,0)*(1+inf)^AC$1</f>
        <v>0</v>
      </c>
      <c r="AE6" s="8">
        <f>IF(AE$3&lt;=Inputs!$B$81,Inputs!$B$80,0)*(1+inf)^AD$1</f>
        <v>0</v>
      </c>
      <c r="AF6" s="8">
        <f>IF(AF$3&lt;=Inputs!$B$81,Inputs!$B$80,0)*(1+inf)^AE$1</f>
        <v>0</v>
      </c>
      <c r="AG6" s="8">
        <f>IF(AG$3&lt;=Inputs!$B$81,Inputs!$B$80,0)*(1+inf)^AF$1</f>
        <v>0</v>
      </c>
      <c r="AH6" s="8">
        <f>IF(AH$3&lt;=Inputs!$B$81,Inputs!$B$80,0)*(1+inf)^AG$1</f>
        <v>0</v>
      </c>
      <c r="AI6" s="8">
        <f>IF(AI$3&lt;=Inputs!$B$81,Inputs!$B$80,0)*(1+inf)^AH$1</f>
        <v>0</v>
      </c>
      <c r="AJ6" s="8">
        <f>IF(AJ$3&lt;=Inputs!$B$81,Inputs!$B$80,0)*(1+inf)^AI$1</f>
        <v>0</v>
      </c>
      <c r="AK6" s="8">
        <f>IF(AK$3&lt;=Inputs!$B$81,Inputs!$B$80,0)*(1+inf)^AJ$1</f>
        <v>0</v>
      </c>
      <c r="AL6" s="8">
        <f>IF(AL$3&lt;=Inputs!$B$81,Inputs!$B$80,0)*(1+inf)^AK$1</f>
        <v>0</v>
      </c>
      <c r="AM6" s="8">
        <f>IF(AM$3&lt;=Inputs!$B$81,Inputs!$B$80,0)*(1+inf)^AL$1</f>
        <v>0</v>
      </c>
    </row>
    <row r="7" spans="1:39" x14ac:dyDescent="0.2">
      <c r="A7" s="5" t="s">
        <v>79</v>
      </c>
      <c r="B7" s="9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</row>
    <row r="8" spans="1:39" x14ac:dyDescent="0.2">
      <c r="A8" s="4" t="str">
        <f>TEXT(Inputs!$B$60,"")</f>
        <v>Sliema</v>
      </c>
      <c r="C8" s="8">
        <f>Inputs!B76</f>
        <v>12000</v>
      </c>
      <c r="D8" s="8">
        <f t="shared" ref="D8:H10" si="32">C8*(1+rinc)</f>
        <v>12360</v>
      </c>
      <c r="E8" s="8">
        <f t="shared" si="32"/>
        <v>12730.800000000001</v>
      </c>
      <c r="F8" s="8">
        <f t="shared" si="32"/>
        <v>13112.724000000002</v>
      </c>
      <c r="G8" s="8">
        <f t="shared" si="32"/>
        <v>13506.105720000003</v>
      </c>
      <c r="H8" s="8">
        <f t="shared" si="32"/>
        <v>13911.288891600003</v>
      </c>
      <c r="I8" s="8">
        <f t="shared" ref="I8:I10" si="33">H8*(1+rinc)</f>
        <v>14328.627558348004</v>
      </c>
      <c r="J8" s="8">
        <f t="shared" ref="J8:J10" si="34">I8*(1+rinc)</f>
        <v>14758.486385098444</v>
      </c>
      <c r="K8" s="8">
        <f t="shared" ref="K8:K10" si="35">J8*(1+rinc)</f>
        <v>15201.240976651397</v>
      </c>
      <c r="L8" s="8">
        <f t="shared" ref="L8:L10" si="36">K8*(1+rinc)</f>
        <v>15657.278205950939</v>
      </c>
      <c r="M8" s="8">
        <f t="shared" ref="M8:M10" si="37">L8*(1+rinc)</f>
        <v>16126.996552129467</v>
      </c>
      <c r="N8" s="8">
        <f t="shared" ref="N8:N10" si="38">M8*(1+rinc)</f>
        <v>16610.806448693351</v>
      </c>
      <c r="O8" s="8">
        <f t="shared" ref="O8:O10" si="39">N8*(1+rinc)</f>
        <v>17109.130642154152</v>
      </c>
      <c r="P8" s="8">
        <f t="shared" ref="P8:P10" si="40">O8*(1+rinc)</f>
        <v>17622.404561418778</v>
      </c>
      <c r="Q8" s="8">
        <f t="shared" ref="Q8:Q10" si="41">P8*(1+rinc)</f>
        <v>18151.076698261342</v>
      </c>
      <c r="R8" s="8">
        <f t="shared" ref="R8:R10" si="42">Q8*(1+rinc)</f>
        <v>18695.608999209184</v>
      </c>
      <c r="S8" s="8">
        <f t="shared" ref="S8:S10" si="43">R8*(1+rinc)</f>
        <v>19256.47726918546</v>
      </c>
      <c r="T8" s="8">
        <f t="shared" ref="T8:T10" si="44">S8*(1+rinc)</f>
        <v>19834.171587261026</v>
      </c>
      <c r="U8" s="8">
        <f t="shared" ref="U8:U10" si="45">T8*(1+rinc)</f>
        <v>20429.196734878857</v>
      </c>
      <c r="V8" s="8">
        <f t="shared" ref="V8:V10" si="46">U8*(1+rinc)</f>
        <v>21042.072636925222</v>
      </c>
      <c r="W8" s="8">
        <f t="shared" ref="W8:W10" si="47">V8*(1+rinc)</f>
        <v>21673.334816032981</v>
      </c>
      <c r="X8" s="8">
        <f t="shared" ref="X8:X10" si="48">W8*(1+rinc)</f>
        <v>22323.53486051397</v>
      </c>
      <c r="Y8" s="8">
        <f t="shared" ref="Y8:Y10" si="49">X8*(1+rinc)</f>
        <v>22993.240906329389</v>
      </c>
      <c r="Z8" s="8">
        <f t="shared" ref="Z8:Z10" si="50">Y8*(1+rinc)</f>
        <v>23683.038133519272</v>
      </c>
      <c r="AA8" s="8">
        <f t="shared" ref="AA8:AA10" si="51">Z8*(1+rinc)</f>
        <v>24393.529277524853</v>
      </c>
      <c r="AB8" s="8">
        <f t="shared" ref="AB8:AB10" si="52">AA8*(1+rinc)</f>
        <v>25125.3351558506</v>
      </c>
      <c r="AC8" s="8">
        <f t="shared" ref="AC8:AC10" si="53">AB8*(1+rinc)</f>
        <v>25879.09521052612</v>
      </c>
      <c r="AD8" s="8">
        <f t="shared" ref="AD8:AD10" si="54">AC8*(1+rinc)</f>
        <v>26655.468066841906</v>
      </c>
      <c r="AE8" s="8">
        <f t="shared" ref="AE8:AE10" si="55">AD8*(1+rinc)</f>
        <v>27455.132108847163</v>
      </c>
      <c r="AF8" s="8">
        <f t="shared" ref="AF8:AF10" si="56">AE8*(1+rinc)</f>
        <v>28278.78607211258</v>
      </c>
      <c r="AG8" s="8">
        <f t="shared" ref="AG8:AG10" si="57">AF8*(1+rinc)</f>
        <v>29127.14965427596</v>
      </c>
      <c r="AH8" s="8">
        <f t="shared" ref="AH8:AH10" si="58">AG8*(1+rinc)</f>
        <v>30000.964143904239</v>
      </c>
      <c r="AI8" s="8">
        <f t="shared" ref="AI8:AI10" si="59">AH8*(1+rinc)</f>
        <v>30900.993068221367</v>
      </c>
      <c r="AJ8" s="8">
        <f t="shared" ref="AJ8:AJ10" si="60">AI8*(1+rinc)</f>
        <v>31828.022860268007</v>
      </c>
      <c r="AK8" s="8">
        <f t="shared" ref="AK8:AK10" si="61">AJ8*(1+rinc)</f>
        <v>32782.863546076049</v>
      </c>
      <c r="AL8" s="8">
        <f t="shared" ref="AL8:AL10" si="62">AK8*(1+rinc)</f>
        <v>33766.349452458329</v>
      </c>
      <c r="AM8" s="8">
        <f t="shared" ref="AM8:AM10" si="63">AL8*(1+rinc)</f>
        <v>34779.339936032084</v>
      </c>
    </row>
    <row r="9" spans="1:39" x14ac:dyDescent="0.2">
      <c r="A9" s="4" t="str">
        <f>TEXT(Inputs!$B$65,"")</f>
        <v>Gzira</v>
      </c>
      <c r="C9" s="8">
        <f>Inputs!B77</f>
        <v>10000</v>
      </c>
      <c r="D9" s="8">
        <f t="shared" si="32"/>
        <v>10300</v>
      </c>
      <c r="E9" s="8">
        <f t="shared" si="32"/>
        <v>10609</v>
      </c>
      <c r="F9" s="8">
        <f t="shared" si="32"/>
        <v>10927.27</v>
      </c>
      <c r="G9" s="8">
        <f t="shared" si="32"/>
        <v>11255.088100000001</v>
      </c>
      <c r="H9" s="8">
        <f t="shared" si="32"/>
        <v>11592.740743</v>
      </c>
      <c r="I9" s="8">
        <f t="shared" si="33"/>
        <v>11940.52296529</v>
      </c>
      <c r="J9" s="8">
        <f t="shared" si="34"/>
        <v>12298.7386542487</v>
      </c>
      <c r="K9" s="8">
        <f t="shared" si="35"/>
        <v>12667.700813876161</v>
      </c>
      <c r="L9" s="8">
        <f t="shared" si="36"/>
        <v>13047.731838292446</v>
      </c>
      <c r="M9" s="8">
        <f t="shared" si="37"/>
        <v>13439.163793441219</v>
      </c>
      <c r="N9" s="8">
        <f t="shared" si="38"/>
        <v>13842.338707244457</v>
      </c>
      <c r="O9" s="8">
        <f t="shared" si="39"/>
        <v>14257.60886846179</v>
      </c>
      <c r="P9" s="8">
        <f t="shared" si="40"/>
        <v>14685.337134515645</v>
      </c>
      <c r="Q9" s="8">
        <f t="shared" si="41"/>
        <v>15125.897248551115</v>
      </c>
      <c r="R9" s="8">
        <f t="shared" si="42"/>
        <v>15579.67416600765</v>
      </c>
      <c r="S9" s="8">
        <f t="shared" si="43"/>
        <v>16047.06439098788</v>
      </c>
      <c r="T9" s="8">
        <f t="shared" si="44"/>
        <v>16528.476322717517</v>
      </c>
      <c r="U9" s="8">
        <f t="shared" si="45"/>
        <v>17024.330612399044</v>
      </c>
      <c r="V9" s="8">
        <f t="shared" si="46"/>
        <v>17535.060530771018</v>
      </c>
      <c r="W9" s="8">
        <f t="shared" si="47"/>
        <v>18061.11234669415</v>
      </c>
      <c r="X9" s="8">
        <f t="shared" si="48"/>
        <v>18602.945717094975</v>
      </c>
      <c r="Y9" s="8">
        <f t="shared" si="49"/>
        <v>19161.034088607827</v>
      </c>
      <c r="Z9" s="8">
        <f t="shared" si="50"/>
        <v>19735.865111266063</v>
      </c>
      <c r="AA9" s="8">
        <f t="shared" si="51"/>
        <v>20327.941064604045</v>
      </c>
      <c r="AB9" s="8">
        <f t="shared" si="52"/>
        <v>20937.779296542169</v>
      </c>
      <c r="AC9" s="8">
        <f t="shared" si="53"/>
        <v>21565.912675438434</v>
      </c>
      <c r="AD9" s="8">
        <f t="shared" si="54"/>
        <v>22212.890055701588</v>
      </c>
      <c r="AE9" s="8">
        <f t="shared" si="55"/>
        <v>22879.276757372634</v>
      </c>
      <c r="AF9" s="8">
        <f t="shared" si="56"/>
        <v>23565.655060093814</v>
      </c>
      <c r="AG9" s="8">
        <f t="shared" si="57"/>
        <v>24272.624711896628</v>
      </c>
      <c r="AH9" s="8">
        <f t="shared" si="58"/>
        <v>25000.803453253528</v>
      </c>
      <c r="AI9" s="8">
        <f t="shared" si="59"/>
        <v>25750.827556851134</v>
      </c>
      <c r="AJ9" s="8">
        <f t="shared" si="60"/>
        <v>26523.35238355667</v>
      </c>
      <c r="AK9" s="8">
        <f t="shared" si="61"/>
        <v>27319.052955063373</v>
      </c>
      <c r="AL9" s="8">
        <f t="shared" si="62"/>
        <v>28138.624543715276</v>
      </c>
      <c r="AM9" s="8">
        <f t="shared" si="63"/>
        <v>28982.783280026735</v>
      </c>
    </row>
    <row r="10" spans="1:39" x14ac:dyDescent="0.2">
      <c r="A10" s="4" t="str">
        <f>TEXT(Inputs!$B$70,"")</f>
        <v>Qormi</v>
      </c>
      <c r="C10" s="8">
        <f>Inputs!B78</f>
        <v>8000</v>
      </c>
      <c r="D10" s="8">
        <f t="shared" si="32"/>
        <v>8240</v>
      </c>
      <c r="E10" s="8">
        <f t="shared" si="32"/>
        <v>8487.2000000000007</v>
      </c>
      <c r="F10" s="8">
        <f t="shared" si="32"/>
        <v>8741.8160000000007</v>
      </c>
      <c r="G10" s="8">
        <f t="shared" si="32"/>
        <v>9004.0704800000003</v>
      </c>
      <c r="H10" s="8">
        <f t="shared" si="32"/>
        <v>9274.1925944000013</v>
      </c>
      <c r="I10" s="8">
        <f t="shared" si="33"/>
        <v>9552.4183722320013</v>
      </c>
      <c r="J10" s="8">
        <f t="shared" si="34"/>
        <v>9838.990923398962</v>
      </c>
      <c r="K10" s="8">
        <f t="shared" si="35"/>
        <v>10134.16065110093</v>
      </c>
      <c r="L10" s="8">
        <f t="shared" si="36"/>
        <v>10438.185470633958</v>
      </c>
      <c r="M10" s="8">
        <f t="shared" si="37"/>
        <v>10751.331034752977</v>
      </c>
      <c r="N10" s="8">
        <f t="shared" si="38"/>
        <v>11073.870965795566</v>
      </c>
      <c r="O10" s="8">
        <f t="shared" si="39"/>
        <v>11406.087094769433</v>
      </c>
      <c r="P10" s="8">
        <f t="shared" si="40"/>
        <v>11748.269707612517</v>
      </c>
      <c r="Q10" s="8">
        <f t="shared" si="41"/>
        <v>12100.717798840893</v>
      </c>
      <c r="R10" s="8">
        <f t="shared" si="42"/>
        <v>12463.739332806121</v>
      </c>
      <c r="S10" s="8">
        <f t="shared" si="43"/>
        <v>12837.651512790304</v>
      </c>
      <c r="T10" s="8">
        <f t="shared" si="44"/>
        <v>13222.781058174014</v>
      </c>
      <c r="U10" s="8">
        <f t="shared" si="45"/>
        <v>13619.464489919235</v>
      </c>
      <c r="V10" s="8">
        <f t="shared" si="46"/>
        <v>14028.048424616813</v>
      </c>
      <c r="W10" s="8">
        <f t="shared" si="47"/>
        <v>14448.889877355317</v>
      </c>
      <c r="X10" s="8">
        <f t="shared" si="48"/>
        <v>14882.356573675977</v>
      </c>
      <c r="Y10" s="8">
        <f t="shared" si="49"/>
        <v>15328.827270886257</v>
      </c>
      <c r="Z10" s="8">
        <f t="shared" si="50"/>
        <v>15788.692089012846</v>
      </c>
      <c r="AA10" s="8">
        <f t="shared" si="51"/>
        <v>16262.352851683232</v>
      </c>
      <c r="AB10" s="8">
        <f t="shared" si="52"/>
        <v>16750.22343723373</v>
      </c>
      <c r="AC10" s="8">
        <f t="shared" si="53"/>
        <v>17252.730140350741</v>
      </c>
      <c r="AD10" s="8">
        <f t="shared" si="54"/>
        <v>17770.312044561262</v>
      </c>
      <c r="AE10" s="8">
        <f t="shared" si="55"/>
        <v>18303.421405898102</v>
      </c>
      <c r="AF10" s="8">
        <f t="shared" si="56"/>
        <v>18852.524048075044</v>
      </c>
      <c r="AG10" s="8">
        <f t="shared" si="57"/>
        <v>19418.099769517295</v>
      </c>
      <c r="AH10" s="8">
        <f t="shared" si="58"/>
        <v>20000.642762602816</v>
      </c>
      <c r="AI10" s="8">
        <f t="shared" si="59"/>
        <v>20600.662045480902</v>
      </c>
      <c r="AJ10" s="8">
        <f t="shared" si="60"/>
        <v>21218.68190684533</v>
      </c>
      <c r="AK10" s="8">
        <f t="shared" si="61"/>
        <v>21855.24236405069</v>
      </c>
      <c r="AL10" s="8">
        <f t="shared" si="62"/>
        <v>22510.899634972211</v>
      </c>
      <c r="AM10" s="8">
        <f t="shared" si="63"/>
        <v>23186.226624021379</v>
      </c>
    </row>
    <row r="11" spans="1:39" x14ac:dyDescent="0.2">
      <c r="A11" s="5" t="s">
        <v>89</v>
      </c>
      <c r="B11" s="9"/>
      <c r="C11" s="8">
        <f>IF(C$3&lt;Inputs!$B$19,0,Inputs!$B$21)*(1+inf)^B$1</f>
        <v>0</v>
      </c>
      <c r="D11" s="8">
        <f>IF(D$3&lt;Inputs!$B$19,0,Inputs!$B$21)*(1+inf)^C$1</f>
        <v>0</v>
      </c>
      <c r="E11" s="8">
        <f>IF(E$3&lt;Inputs!$B$19,0,Inputs!$B$21)*(1+inf)^D$1</f>
        <v>0</v>
      </c>
      <c r="F11" s="8">
        <f>IF(F$3&lt;Inputs!$B$19,0,Inputs!$B$21)*(1+inf)^E$1</f>
        <v>0</v>
      </c>
      <c r="G11" s="8">
        <f>IF(G$3&lt;Inputs!$B$19,0,Inputs!$B$21)*(1+inf)^F$1</f>
        <v>0</v>
      </c>
      <c r="H11" s="8">
        <f>IF(H$3&lt;Inputs!$B$19,0,Inputs!$B$21)*(1+inf)^G$1</f>
        <v>0</v>
      </c>
      <c r="I11" s="8">
        <f>IF(I$3&lt;Inputs!$B$19,0,Inputs!$B$21)*(1+inf)^H$1</f>
        <v>0</v>
      </c>
      <c r="J11" s="8">
        <f>IF(J$3&lt;Inputs!$B$19,0,Inputs!$B$21)*(1+inf)^I$1</f>
        <v>0</v>
      </c>
      <c r="K11" s="8">
        <f>IF(K$3&lt;Inputs!$B$19,0,Inputs!$B$21)*(1+inf)^J$1</f>
        <v>0</v>
      </c>
      <c r="L11" s="8">
        <f>IF(L$3&lt;Inputs!$B$19,0,Inputs!$B$21)*(1+inf)^K$1</f>
        <v>0</v>
      </c>
      <c r="M11" s="8">
        <f>IF(M$3&lt;Inputs!$B$19,0,Inputs!$B$21)*(1+inf)^L$1</f>
        <v>0</v>
      </c>
      <c r="N11" s="8">
        <f>IF(N$3&lt;Inputs!$B$19,0,Inputs!$B$21)*(1+inf)^M$1</f>
        <v>0</v>
      </c>
      <c r="O11" s="8">
        <f>IF(O$3&lt;Inputs!$B$19,0,Inputs!$B$21)*(1+inf)^N$1</f>
        <v>0</v>
      </c>
      <c r="P11" s="8">
        <f>IF(P$3&lt;Inputs!$B$19,0,Inputs!$B$21)*(1+inf)^O$1</f>
        <v>0</v>
      </c>
      <c r="Q11" s="8">
        <f>IF(Q$3&lt;Inputs!$B$19,0,Inputs!$B$21)*(1+inf)^P$1</f>
        <v>0</v>
      </c>
      <c r="R11" s="8">
        <f>IF(R$3&lt;Inputs!$B$19,0,Inputs!$B$21)*(1+inf)^Q$1</f>
        <v>0</v>
      </c>
      <c r="S11" s="8">
        <f>IF(S$3&lt;Inputs!$B$19,0,Inputs!$B$21)*(1+inf)^R$1</f>
        <v>23752.089930569011</v>
      </c>
      <c r="T11" s="8">
        <f>IF(T$3&lt;Inputs!$B$19,0,Inputs!$B$21)*(1+inf)^S$1</f>
        <v>24345.892178833234</v>
      </c>
      <c r="U11" s="8">
        <f>IF(U$3&lt;Inputs!$B$19,0,Inputs!$B$21)*(1+inf)^T$1</f>
        <v>24954.539483304063</v>
      </c>
      <c r="V11" s="8">
        <f>IF(V$3&lt;Inputs!$B$19,0,Inputs!$B$21)*(1+inf)^U$1</f>
        <v>25578.402970386665</v>
      </c>
      <c r="W11" s="8">
        <f>IF(W$3&lt;Inputs!$B$19,0,Inputs!$B$21)*(1+inf)^V$1</f>
        <v>26217.863044646328</v>
      </c>
      <c r="X11" s="8">
        <f>IF(X$3&lt;Inputs!$B$19,0,Inputs!$B$21)*(1+inf)^W$1</f>
        <v>26873.309620762484</v>
      </c>
      <c r="Y11" s="8">
        <f>IF(Y$3&lt;Inputs!$B$19,0,Inputs!$B$21)*(1+inf)^X$1</f>
        <v>27545.142361281545</v>
      </c>
      <c r="Z11" s="8">
        <f>IF(Z$3&lt;Inputs!$B$19,0,Inputs!$B$21)*(1+inf)^Y$1</f>
        <v>28233.770920313586</v>
      </c>
      <c r="AA11" s="8">
        <f>IF(AA$3&lt;Inputs!$B$19,0,Inputs!$B$21)*(1+inf)^Z$1</f>
        <v>28939.615193321424</v>
      </c>
      <c r="AB11" s="8">
        <f>IF(AB$3&lt;Inputs!$B$19,0,Inputs!$B$21)*(1+inf)^AA$1</f>
        <v>29663.105573154455</v>
      </c>
      <c r="AC11" s="8">
        <f>IF(AC$3&lt;Inputs!$B$19,0,Inputs!$B$21)*(1+inf)^AB$1</f>
        <v>30404.683212483313</v>
      </c>
      <c r="AD11" s="8">
        <f>IF(AD$3&lt;Inputs!$B$19,0,Inputs!$B$21)*(1+inf)^AC$1</f>
        <v>31164.800292795393</v>
      </c>
      <c r="AE11" s="8">
        <f>IF(AE$3&lt;Inputs!$B$19,0,Inputs!$B$21)*(1+inf)^AD$1</f>
        <v>31943.920300115278</v>
      </c>
      <c r="AF11" s="8">
        <f>IF(AF$3&lt;Inputs!$B$19,0,Inputs!$B$21)*(1+inf)^AE$1</f>
        <v>32742.518307618164</v>
      </c>
      <c r="AG11" s="8">
        <f>IF(AG$3&lt;Inputs!$B$19,0,Inputs!$B$21)*(1+inf)^AF$1</f>
        <v>33561.08126530861</v>
      </c>
      <c r="AH11" s="8">
        <f>IF(AH$3&lt;Inputs!$B$19,0,Inputs!$B$21)*(1+inf)^AG$1</f>
        <v>34400.108296941333</v>
      </c>
      <c r="AI11" s="8">
        <f>IF(AI$3&lt;Inputs!$B$19,0,Inputs!$B$21)*(1+inf)^AH$1</f>
        <v>35260.111004364859</v>
      </c>
      <c r="AJ11" s="8">
        <f>IF(AJ$3&lt;Inputs!$B$19,0,Inputs!$B$21)*(1+inf)^AI$1</f>
        <v>36141.613779473977</v>
      </c>
      <c r="AK11" s="8">
        <f>IF(AK$3&lt;Inputs!$B$19,0,Inputs!$B$21)*(1+inf)^AJ$1</f>
        <v>37045.154123960827</v>
      </c>
      <c r="AL11" s="8">
        <f>IF(AL$3&lt;Inputs!$B$19,0,Inputs!$B$21)*(1+inf)^AK$1</f>
        <v>37971.28297705984</v>
      </c>
      <c r="AM11" s="8">
        <f>IF(AM$3&lt;Inputs!$B$19,0,Inputs!$B$21)*(1+inf)^AL$1</f>
        <v>38920.565051486345</v>
      </c>
    </row>
    <row r="12" spans="1:39" x14ac:dyDescent="0.2">
      <c r="A12" s="5" t="s">
        <v>90</v>
      </c>
      <c r="B12" s="9"/>
      <c r="C12" s="8">
        <f>MIN(0,MAX(-IF(C11=0,0,(Inputs!$B$19-INDEX(3:3,MATCH(0,5:5,0))))*Inputs!$B$167*(1+inf)^B$1,-C11))</f>
        <v>0</v>
      </c>
      <c r="D12" s="8">
        <f>MIN(0,MAX(-IF(D11=0,0,(Inputs!$B$19-INDEX(3:3,MATCH(0,5:5,0))))*Inputs!$B$167*(1+inf)^C$1,-D11))</f>
        <v>0</v>
      </c>
      <c r="E12" s="8">
        <f>MIN(0,MAX(-IF(E11=0,0,(Inputs!$B$19-INDEX(3:3,MATCH(0,5:5,0))))*Inputs!$B$167*(1+inf)^D$1,-E11))</f>
        <v>0</v>
      </c>
      <c r="F12" s="8">
        <f>MIN(0,MAX(-IF(F11=0,0,(Inputs!$B$19-INDEX(3:3,MATCH(0,5:5,0))))*Inputs!$B$167*(1+inf)^E$1,-F11))</f>
        <v>0</v>
      </c>
      <c r="G12" s="8">
        <f>MIN(0,MAX(-IF(G11=0,0,(Inputs!$B$19-INDEX(3:3,MATCH(0,5:5,0))))*Inputs!$B$167*(1+inf)^F$1,-G11))</f>
        <v>0</v>
      </c>
      <c r="H12" s="8">
        <f>MIN(0,MAX(-IF(H11=0,0,(Inputs!$B$19-INDEX(3:3,MATCH(0,5:5,0))))*Inputs!$B$167*(1+inf)^G$1,-H11))</f>
        <v>0</v>
      </c>
      <c r="I12" s="8">
        <f>MIN(0,MAX(-IF(I11=0,0,(Inputs!$B$19-INDEX(3:3,MATCH(0,5:5,0))))*Inputs!$B$167*(1+inf)^H$1,-I11))</f>
        <v>0</v>
      </c>
      <c r="J12" s="8">
        <f>MIN(0,MAX(-IF(J11=0,0,(Inputs!$B$19-INDEX(3:3,MATCH(0,5:5,0))))*Inputs!$B$167*(1+inf)^I$1,-J11))</f>
        <v>0</v>
      </c>
      <c r="K12" s="8">
        <f>MIN(0,MAX(-IF(K11=0,0,(Inputs!$B$19-INDEX(3:3,MATCH(0,5:5,0))))*Inputs!$B$167*(1+inf)^J$1,-K11))</f>
        <v>0</v>
      </c>
      <c r="L12" s="8">
        <f>MIN(0,MAX(-IF(L11=0,0,(Inputs!$B$19-INDEX(3:3,MATCH(0,5:5,0))))*Inputs!$B$167*(1+inf)^K$1,-L11))</f>
        <v>0</v>
      </c>
      <c r="M12" s="8">
        <f>MIN(0,MAX(-IF(M11=0,0,(Inputs!$B$19-INDEX(3:3,MATCH(0,5:5,0))))*Inputs!$B$167*(1+inf)^L$1,-M11))</f>
        <v>0</v>
      </c>
      <c r="N12" s="8">
        <f>MIN(0,MAX(-IF(N11=0,0,(Inputs!$B$19-INDEX(3:3,MATCH(0,5:5,0))))*Inputs!$B$167*(1+inf)^M$1,-N11))</f>
        <v>0</v>
      </c>
      <c r="O12" s="8">
        <f>MIN(0,MAX(-IF(O11=0,0,(Inputs!$B$19-INDEX(3:3,MATCH(0,5:5,0))))*Inputs!$B$167*(1+inf)^N$1,-O11))</f>
        <v>0</v>
      </c>
      <c r="P12" s="8">
        <f>MIN(0,MAX(-IF(P11=0,0,(Inputs!$B$19-INDEX(3:3,MATCH(0,5:5,0))))*Inputs!$B$167*(1+inf)^O$1,-P11))</f>
        <v>0</v>
      </c>
      <c r="Q12" s="8">
        <f>MIN(0,MAX(-IF(Q11=0,0,(Inputs!$B$19-INDEX(3:3,MATCH(0,5:5,0))))*Inputs!$B$167*(1+inf)^P$1,-Q11))</f>
        <v>0</v>
      </c>
      <c r="R12" s="8">
        <f>MIN(0,MAX(-IF(R11=0,0,(Inputs!$B$19-INDEX(3:3,MATCH(0,5:5,0))))*Inputs!$B$167*(1+inf)^Q$1,-R11))</f>
        <v>0</v>
      </c>
      <c r="S12" s="8">
        <f>MIN(0,MAX(-IF(S11=0,0,(Inputs!$B$19-INDEX(3:3,MATCH(0,5:5,0))))*Inputs!$B$167*(1+inf)^R$1,-S11))</f>
        <v>-4898.8685481798584</v>
      </c>
      <c r="T12" s="8">
        <f>MIN(0,MAX(-IF(T11=0,0,(Inputs!$B$19-INDEX(3:3,MATCH(0,5:5,0))))*Inputs!$B$167*(1+inf)^S$1,-T11))</f>
        <v>-5021.3402618843538</v>
      </c>
      <c r="U12" s="8">
        <f>MIN(0,MAX(-IF(U11=0,0,(Inputs!$B$19-INDEX(3:3,MATCH(0,5:5,0))))*Inputs!$B$167*(1+inf)^T$1,-U11))</f>
        <v>-5146.8737684314628</v>
      </c>
      <c r="V12" s="8">
        <f>MIN(0,MAX(-IF(V11=0,0,(Inputs!$B$19-INDEX(3:3,MATCH(0,5:5,0))))*Inputs!$B$167*(1+inf)^U$1,-V11))</f>
        <v>-5275.5456126422496</v>
      </c>
      <c r="W12" s="8">
        <f>MIN(0,MAX(-IF(W11=0,0,(Inputs!$B$19-INDEX(3:3,MATCH(0,5:5,0))))*Inputs!$B$167*(1+inf)^V$1,-W11))</f>
        <v>-5407.4342529583055</v>
      </c>
      <c r="X12" s="8">
        <f>MIN(0,MAX(-IF(X11=0,0,(Inputs!$B$19-INDEX(3:3,MATCH(0,5:5,0))))*Inputs!$B$167*(1+inf)^W$1,-X11))</f>
        <v>-5542.6201092822621</v>
      </c>
      <c r="Y12" s="8">
        <f>MIN(0,MAX(-IF(Y11=0,0,(Inputs!$B$19-INDEX(3:3,MATCH(0,5:5,0))))*Inputs!$B$167*(1+inf)^X$1,-Y11))</f>
        <v>-5681.1856120143184</v>
      </c>
      <c r="Z12" s="8">
        <f>MIN(0,MAX(-IF(Z11=0,0,(Inputs!$B$19-INDEX(3:3,MATCH(0,5:5,0))))*Inputs!$B$167*(1+inf)^Y$1,-Z11))</f>
        <v>-5823.2152523146769</v>
      </c>
      <c r="AA12" s="8">
        <f>MIN(0,MAX(-IF(AA11=0,0,(Inputs!$B$19-INDEX(3:3,MATCH(0,5:5,0))))*Inputs!$B$167*(1+inf)^Z$1,-AA11))</f>
        <v>-5968.7956336225434</v>
      </c>
      <c r="AB12" s="8">
        <f>MIN(0,MAX(-IF(AB11=0,0,(Inputs!$B$19-INDEX(3:3,MATCH(0,5:5,0))))*Inputs!$B$167*(1+inf)^AA$1,-AB11))</f>
        <v>-6118.015524463106</v>
      </c>
      <c r="AC12" s="8">
        <f>MIN(0,MAX(-IF(AC11=0,0,(Inputs!$B$19-INDEX(3:3,MATCH(0,5:5,0))))*Inputs!$B$167*(1+inf)^AB$1,-AC11))</f>
        <v>-6270.965912574683</v>
      </c>
      <c r="AD12" s="8">
        <f>MIN(0,MAX(-IF(AD11=0,0,(Inputs!$B$19-INDEX(3:3,MATCH(0,5:5,0))))*Inputs!$B$167*(1+inf)^AC$1,-AD11))</f>
        <v>-6427.7400603890501</v>
      </c>
      <c r="AE12" s="8">
        <f>MIN(0,MAX(-IF(AE11=0,0,(Inputs!$B$19-INDEX(3:3,MATCH(0,5:5,0))))*Inputs!$B$167*(1+inf)^AD$1,-AE11))</f>
        <v>-6588.4335618987761</v>
      </c>
      <c r="AF12" s="8">
        <f>MIN(0,MAX(-IF(AF11=0,0,(Inputs!$B$19-INDEX(3:3,MATCH(0,5:5,0))))*Inputs!$B$167*(1+inf)^AE$1,-AF11))</f>
        <v>-6753.1444009462457</v>
      </c>
      <c r="AG12" s="8">
        <f>MIN(0,MAX(-IF(AG11=0,0,(Inputs!$B$19-INDEX(3:3,MATCH(0,5:5,0))))*Inputs!$B$167*(1+inf)^AF$1,-AG11))</f>
        <v>-6921.9730109699003</v>
      </c>
      <c r="AH12" s="8">
        <f>MIN(0,MAX(-IF(AH11=0,0,(Inputs!$B$19-INDEX(3:3,MATCH(0,5:5,0))))*Inputs!$B$167*(1+inf)^AG$1,-AH11))</f>
        <v>-7095.0223362441502</v>
      </c>
      <c r="AI12" s="8">
        <f>MIN(0,MAX(-IF(AI11=0,0,(Inputs!$B$19-INDEX(3:3,MATCH(0,5:5,0))))*Inputs!$B$167*(1+inf)^AH$1,-AI11))</f>
        <v>-7272.3978946502521</v>
      </c>
      <c r="AJ12" s="8">
        <f>MIN(0,MAX(-IF(AJ11=0,0,(Inputs!$B$19-INDEX(3:3,MATCH(0,5:5,0))))*Inputs!$B$167*(1+inf)^AI$1,-AJ11))</f>
        <v>-7454.207842016508</v>
      </c>
      <c r="AK12" s="8">
        <f>MIN(0,MAX(-IF(AK11=0,0,(Inputs!$B$19-INDEX(3:3,MATCH(0,5:5,0))))*Inputs!$B$167*(1+inf)^AJ$1,-AK11))</f>
        <v>-7640.5630380669209</v>
      </c>
      <c r="AL12" s="8">
        <f>MIN(0,MAX(-IF(AL11=0,0,(Inputs!$B$19-INDEX(3:3,MATCH(0,5:5,0))))*Inputs!$B$167*(1+inf)^AK$1,-AL11))</f>
        <v>-7831.5771140185925</v>
      </c>
      <c r="AM12" s="8">
        <f>MIN(0,MAX(-IF(AM11=0,0,(Inputs!$B$19-INDEX(3:3,MATCH(0,5:5,0))))*Inputs!$B$167*(1+inf)^AL$1,-AM11))</f>
        <v>-8027.366541869058</v>
      </c>
    </row>
    <row r="13" spans="1:39" x14ac:dyDescent="0.2">
      <c r="A13" s="5" t="s">
        <v>52</v>
      </c>
      <c r="B13" s="9"/>
      <c r="C13" s="8">
        <f>IF(AND(C$3&gt;=Inputs!$B$152,C$3&lt;=Inputs!$B$153),Inputs!$B$151*(1+inf)^B$1,0)</f>
        <v>0</v>
      </c>
      <c r="D13" s="8">
        <f>IF(AND(D$3&gt;=Inputs!$B$152,D$3&lt;=Inputs!$B$153),Inputs!$B$151*(1+inf)^C$1,0)</f>
        <v>0</v>
      </c>
      <c r="E13" s="8">
        <f>IF(AND(E$3&gt;=Inputs!$B$152,E$3&lt;=Inputs!$B$153),Inputs!$B$151*(1+inf)^D$1,0)</f>
        <v>0</v>
      </c>
      <c r="F13" s="8">
        <f>IF(AND(F$3&gt;=Inputs!$B$152,F$3&lt;=Inputs!$B$153),Inputs!$B$151*(1+inf)^E$1,0)</f>
        <v>0</v>
      </c>
      <c r="G13" s="8">
        <f>IF(AND(G$3&gt;=Inputs!$B$152,G$3&lt;=Inputs!$B$153),Inputs!$B$151*(1+inf)^F$1,0)</f>
        <v>0</v>
      </c>
      <c r="H13" s="8">
        <f>IF(AND(H$3&gt;=Inputs!$B$152,H$3&lt;=Inputs!$B$153),Inputs!$B$151*(1+inf)^G$1,0)</f>
        <v>0</v>
      </c>
      <c r="I13" s="8">
        <f>IF(AND(I$3&gt;=Inputs!$B$152,I$3&lt;=Inputs!$B$153),Inputs!$B$151*(1+inf)^H$1,0)</f>
        <v>0</v>
      </c>
      <c r="J13" s="8">
        <f>IF(AND(J$3&gt;=Inputs!$B$152,J$3&lt;=Inputs!$B$153),Inputs!$B$151*(1+inf)^I$1,0)</f>
        <v>0</v>
      </c>
      <c r="K13" s="8">
        <f>IF(AND(K$3&gt;=Inputs!$B$152,K$3&lt;=Inputs!$B$153),Inputs!$B$151*(1+inf)^J$1,0)</f>
        <v>0</v>
      </c>
      <c r="L13" s="8">
        <f>IF(AND(L$3&gt;=Inputs!$B$152,L$3&lt;=Inputs!$B$153),Inputs!$B$151*(1+inf)^K$1,0)</f>
        <v>14986.355639371985</v>
      </c>
      <c r="M13" s="8">
        <f>IF(AND(M$3&gt;=Inputs!$B$152,M$3&lt;=Inputs!$B$153),Inputs!$B$151*(1+inf)^L$1,0)</f>
        <v>15361.014530356286</v>
      </c>
      <c r="N13" s="8">
        <f>IF(AND(N$3&gt;=Inputs!$B$152,N$3&lt;=Inputs!$B$153),Inputs!$B$151*(1+inf)^M$1,0)</f>
        <v>15745.039893615192</v>
      </c>
      <c r="O13" s="8">
        <f>IF(AND(O$3&gt;=Inputs!$B$152,O$3&lt;=Inputs!$B$153),Inputs!$B$151*(1+inf)^N$1,0)</f>
        <v>16138.66589095557</v>
      </c>
      <c r="P13" s="8">
        <f>IF(AND(P$3&gt;=Inputs!$B$152,P$3&lt;=Inputs!$B$153),Inputs!$B$151*(1+inf)^O$1,0)</f>
        <v>16542.13253822946</v>
      </c>
      <c r="Q13" s="8">
        <f>IF(AND(Q$3&gt;=Inputs!$B$152,Q$3&lt;=Inputs!$B$153),Inputs!$B$151*(1+inf)^P$1,0)</f>
        <v>16955.685851685193</v>
      </c>
      <c r="R13" s="8">
        <f>IF(AND(R$3&gt;=Inputs!$B$152,R$3&lt;=Inputs!$B$153),Inputs!$B$151*(1+inf)^Q$1,0)</f>
        <v>17379.577997977325</v>
      </c>
      <c r="S13" s="8">
        <f>IF(AND(S$3&gt;=Inputs!$B$152,S$3&lt;=Inputs!$B$153),Inputs!$B$151*(1+inf)^R$1,0)</f>
        <v>17814.067447926758</v>
      </c>
      <c r="T13" s="8">
        <f>IF(AND(T$3&gt;=Inputs!$B$152,T$3&lt;=Inputs!$B$153),Inputs!$B$151*(1+inf)^S$1,0)</f>
        <v>18259.419134124924</v>
      </c>
      <c r="U13" s="8">
        <f>IF(AND(U$3&gt;=Inputs!$B$152,U$3&lt;=Inputs!$B$153),Inputs!$B$151*(1+inf)^T$1,0)</f>
        <v>18715.904612478047</v>
      </c>
      <c r="V13" s="8">
        <f>IF(AND(V$3&gt;=Inputs!$B$152,V$3&lt;=Inputs!$B$153),Inputs!$B$151*(1+inf)^U$1,0)</f>
        <v>19183.802227789998</v>
      </c>
      <c r="W13" s="8">
        <f>IF(AND(W$3&gt;=Inputs!$B$152,W$3&lt;=Inputs!$B$153),Inputs!$B$151*(1+inf)^V$1,0)</f>
        <v>19663.397283484748</v>
      </c>
      <c r="X13" s="8">
        <f>IF(AND(X$3&gt;=Inputs!$B$152,X$3&lt;=Inputs!$B$153),Inputs!$B$151*(1+inf)^W$1,0)</f>
        <v>0</v>
      </c>
      <c r="Y13" s="8">
        <f>IF(AND(Y$3&gt;=Inputs!$B$152,Y$3&lt;=Inputs!$B$153),Inputs!$B$151*(1+inf)^X$1,0)</f>
        <v>0</v>
      </c>
      <c r="Z13" s="8">
        <f>IF(AND(Z$3&gt;=Inputs!$B$152,Z$3&lt;=Inputs!$B$153),Inputs!$B$151*(1+inf)^Y$1,0)</f>
        <v>0</v>
      </c>
      <c r="AA13" s="8">
        <f>IF(AND(AA$3&gt;=Inputs!$B$152,AA$3&lt;=Inputs!$B$153),Inputs!$B$151*(1+inf)^Z$1,0)</f>
        <v>0</v>
      </c>
      <c r="AB13" s="8">
        <f>IF(AND(AB$3&gt;=Inputs!$B$152,AB$3&lt;=Inputs!$B$153),Inputs!$B$151*(1+inf)^AA$1,0)</f>
        <v>0</v>
      </c>
      <c r="AC13" s="8">
        <f>IF(AND(AC$3&gt;=Inputs!$B$152,AC$3&lt;=Inputs!$B$153),Inputs!$B$151*(1+inf)^AB$1,0)</f>
        <v>0</v>
      </c>
      <c r="AD13" s="8">
        <f>IF(AND(AD$3&gt;=Inputs!$B$152,AD$3&lt;=Inputs!$B$153),Inputs!$B$151*(1+inf)^AC$1,0)</f>
        <v>0</v>
      </c>
      <c r="AE13" s="8">
        <f>IF(AND(AE$3&gt;=Inputs!$B$152,AE$3&lt;=Inputs!$B$153),Inputs!$B$151*(1+inf)^AD$1,0)</f>
        <v>0</v>
      </c>
      <c r="AF13" s="8">
        <f>IF(AND(AF$3&gt;=Inputs!$B$152,AF$3&lt;=Inputs!$B$153),Inputs!$B$151*(1+inf)^AE$1,0)</f>
        <v>0</v>
      </c>
      <c r="AG13" s="8">
        <f>IF(AND(AG$3&gt;=Inputs!$B$152,AG$3&lt;=Inputs!$B$153),Inputs!$B$151*(1+inf)^AF$1,0)</f>
        <v>0</v>
      </c>
      <c r="AH13" s="8">
        <f>IF(AND(AH$3&gt;=Inputs!$B$152,AH$3&lt;=Inputs!$B$153),Inputs!$B$151*(1+inf)^AG$1,0)</f>
        <v>0</v>
      </c>
      <c r="AI13" s="8">
        <f>IF(AND(AI$3&gt;=Inputs!$B$152,AI$3&lt;=Inputs!$B$153),Inputs!$B$151*(1+inf)^AH$1,0)</f>
        <v>0</v>
      </c>
      <c r="AJ13" s="8">
        <f>IF(AND(AJ$3&gt;=Inputs!$B$152,AJ$3&lt;=Inputs!$B$153),Inputs!$B$151*(1+inf)^AI$1,0)</f>
        <v>0</v>
      </c>
      <c r="AK13" s="8">
        <f>IF(AND(AK$3&gt;=Inputs!$B$152,AK$3&lt;=Inputs!$B$153),Inputs!$B$151*(1+inf)^AJ$1,0)</f>
        <v>0</v>
      </c>
      <c r="AL13" s="8">
        <f>IF(AND(AL$3&gt;=Inputs!$B$152,AL$3&lt;=Inputs!$B$153),Inputs!$B$151*(1+inf)^AK$1,0)</f>
        <v>0</v>
      </c>
      <c r="AM13" s="8">
        <f>IF(AND(AM$3&gt;=Inputs!$B$152,AM$3&lt;=Inputs!$B$153),Inputs!$B$151*(1+inf)^AL$1,0)</f>
        <v>0</v>
      </c>
    </row>
    <row r="14" spans="1:39" x14ac:dyDescent="0.2">
      <c r="A14" s="5" t="s">
        <v>149</v>
      </c>
      <c r="B14" s="9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</row>
    <row r="15" spans="1:39" x14ac:dyDescent="0.2">
      <c r="A15" s="4" t="str">
        <f>TEXT(Inputs!B110,"")</f>
        <v>Inheritance</v>
      </c>
      <c r="B15" s="9"/>
      <c r="C15" s="8">
        <f ca="1">IF(C$2=Inputs!$B112,Inputs!$B111,0)*(1+inf)^B$1</f>
        <v>0</v>
      </c>
      <c r="D15" s="8">
        <f ca="1">IF(D$2=Inputs!$B112,Inputs!$B111,0)*(1+inf)^C$1</f>
        <v>0</v>
      </c>
      <c r="E15" s="8">
        <f ca="1">IF(E$2=Inputs!$B112,Inputs!$B111,0)*(1+inf)^D$1</f>
        <v>0</v>
      </c>
      <c r="F15" s="8">
        <f ca="1">IF(F$2=Inputs!$B112,Inputs!$B111,0)*(1+inf)^E$1</f>
        <v>0</v>
      </c>
      <c r="G15" s="8">
        <f ca="1">IF(G$2=Inputs!$B112,Inputs!$B111,0)*(1+inf)^F$1</f>
        <v>0</v>
      </c>
      <c r="H15" s="8">
        <f ca="1">IF(H$2=Inputs!$B112,Inputs!$B111,0)*(1+inf)^G$1</f>
        <v>0</v>
      </c>
      <c r="I15" s="8">
        <f ca="1">IF(I$2=Inputs!$B112,Inputs!$B111,0)*(1+inf)^H$1</f>
        <v>0</v>
      </c>
      <c r="J15" s="8">
        <f ca="1">IF(J$2=Inputs!$B112,Inputs!$B111,0)*(1+inf)^I$1</f>
        <v>0</v>
      </c>
      <c r="K15" s="8">
        <f ca="1">IF(K$2=Inputs!$B112,Inputs!$B111,0)*(1+inf)^J$1</f>
        <v>60920.144875495884</v>
      </c>
      <c r="L15" s="8">
        <f ca="1">IF(L$2=Inputs!$B112,Inputs!$B111,0)*(1+inf)^K$1</f>
        <v>0</v>
      </c>
      <c r="M15" s="8">
        <f ca="1">IF(M$2=Inputs!$B112,Inputs!$B111,0)*(1+inf)^L$1</f>
        <v>0</v>
      </c>
      <c r="N15" s="8">
        <f ca="1">IF(N$2=Inputs!$B112,Inputs!$B111,0)*(1+inf)^M$1</f>
        <v>0</v>
      </c>
      <c r="O15" s="8">
        <f ca="1">IF(O$2=Inputs!$B112,Inputs!$B111,0)*(1+inf)^N$1</f>
        <v>0</v>
      </c>
      <c r="P15" s="8">
        <f ca="1">IF(P$2=Inputs!$B112,Inputs!$B111,0)*(1+inf)^O$1</f>
        <v>0</v>
      </c>
      <c r="Q15" s="8">
        <f ca="1">IF(Q$2=Inputs!$B112,Inputs!$B111,0)*(1+inf)^P$1</f>
        <v>0</v>
      </c>
      <c r="R15" s="8">
        <f ca="1">IF(R$2=Inputs!$B112,Inputs!$B111,0)*(1+inf)^Q$1</f>
        <v>0</v>
      </c>
      <c r="S15" s="8">
        <f ca="1">IF(S$2=Inputs!$B112,Inputs!$B111,0)*(1+inf)^R$1</f>
        <v>0</v>
      </c>
      <c r="T15" s="8">
        <f ca="1">IF(T$2=Inputs!$B112,Inputs!$B111,0)*(1+inf)^S$1</f>
        <v>0</v>
      </c>
      <c r="U15" s="8">
        <f ca="1">IF(U$2=Inputs!$B112,Inputs!$B111,0)*(1+inf)^T$1</f>
        <v>0</v>
      </c>
      <c r="V15" s="8">
        <f ca="1">IF(V$2=Inputs!$B112,Inputs!$B111,0)*(1+inf)^U$1</f>
        <v>0</v>
      </c>
      <c r="W15" s="8">
        <f ca="1">IF(W$2=Inputs!$B112,Inputs!$B111,0)*(1+inf)^V$1</f>
        <v>0</v>
      </c>
      <c r="X15" s="8">
        <f ca="1">IF(X$2=Inputs!$B112,Inputs!$B111,0)*(1+inf)^W$1</f>
        <v>0</v>
      </c>
      <c r="Y15" s="8">
        <f ca="1">IF(Y$2=Inputs!$B112,Inputs!$B111,0)*(1+inf)^X$1</f>
        <v>0</v>
      </c>
      <c r="Z15" s="8">
        <f ca="1">IF(Z$2=Inputs!$B112,Inputs!$B111,0)*(1+inf)^Y$1</f>
        <v>0</v>
      </c>
      <c r="AA15" s="8">
        <f ca="1">IF(AA$2=Inputs!$B112,Inputs!$B111,0)*(1+inf)^Z$1</f>
        <v>0</v>
      </c>
      <c r="AB15" s="8">
        <f ca="1">IF(AB$2=Inputs!$B112,Inputs!$B111,0)*(1+inf)^AA$1</f>
        <v>0</v>
      </c>
      <c r="AC15" s="8">
        <f ca="1">IF(AC$2=Inputs!$B112,Inputs!$B111,0)*(1+inf)^AB$1</f>
        <v>0</v>
      </c>
      <c r="AD15" s="8">
        <f ca="1">IF(AD$2=Inputs!$B112,Inputs!$B111,0)*(1+inf)^AC$1</f>
        <v>0</v>
      </c>
      <c r="AE15" s="8">
        <f ca="1">IF(AE$2=Inputs!$B112,Inputs!$B111,0)*(1+inf)^AD$1</f>
        <v>0</v>
      </c>
      <c r="AF15" s="8">
        <f ca="1">IF(AF$2=Inputs!$B112,Inputs!$B111,0)*(1+inf)^AE$1</f>
        <v>0</v>
      </c>
      <c r="AG15" s="8">
        <f ca="1">IF(AG$2=Inputs!$B112,Inputs!$B111,0)*(1+inf)^AF$1</f>
        <v>0</v>
      </c>
      <c r="AH15" s="8">
        <f ca="1">IF(AH$2=Inputs!$B112,Inputs!$B111,0)*(1+inf)^AG$1</f>
        <v>0</v>
      </c>
      <c r="AI15" s="8">
        <f ca="1">IF(AI$2=Inputs!$B112,Inputs!$B111,0)*(1+inf)^AH$1</f>
        <v>0</v>
      </c>
      <c r="AJ15" s="8">
        <f ca="1">IF(AJ$2=Inputs!$B112,Inputs!$B111,0)*(1+inf)^AI$1</f>
        <v>0</v>
      </c>
      <c r="AK15" s="8">
        <f ca="1">IF(AK$2=Inputs!$B112,Inputs!$B111,0)*(1+inf)^AJ$1</f>
        <v>0</v>
      </c>
      <c r="AL15" s="8">
        <f ca="1">IF(AL$2=Inputs!$B112,Inputs!$B111,0)*(1+inf)^AK$1</f>
        <v>0</v>
      </c>
      <c r="AM15" s="8">
        <f ca="1">IF(AM$2=Inputs!$B112,Inputs!$B111,0)*(1+inf)^AL$1</f>
        <v>0</v>
      </c>
    </row>
    <row r="16" spans="1:39" x14ac:dyDescent="0.2">
      <c r="A16" s="4" t="str">
        <f>TEXT(Inputs!B115,"")</f>
        <v>Sell Painting</v>
      </c>
      <c r="B16" s="9"/>
      <c r="C16" s="8">
        <f ca="1">IF(C$2=Inputs!$B117,Inputs!$B116,0)*(1+inf)^B$1</f>
        <v>0</v>
      </c>
      <c r="D16" s="8">
        <f ca="1">IF(D$2=Inputs!$B117,Inputs!$B116,0)*(1+inf)^C$1</f>
        <v>0</v>
      </c>
      <c r="E16" s="8">
        <f ca="1">IF(E$2=Inputs!$B117,Inputs!$B116,0)*(1+inf)^D$1</f>
        <v>10506.25</v>
      </c>
      <c r="F16" s="8">
        <f ca="1">IF(F$2=Inputs!$B117,Inputs!$B116,0)*(1+inf)^E$1</f>
        <v>0</v>
      </c>
      <c r="G16" s="8">
        <f ca="1">IF(G$2=Inputs!$B117,Inputs!$B116,0)*(1+inf)^F$1</f>
        <v>0</v>
      </c>
      <c r="H16" s="8">
        <f ca="1">IF(H$2=Inputs!$B117,Inputs!$B116,0)*(1+inf)^G$1</f>
        <v>0</v>
      </c>
      <c r="I16" s="8">
        <f ca="1">IF(I$2=Inputs!$B117,Inputs!$B116,0)*(1+inf)^H$1</f>
        <v>0</v>
      </c>
      <c r="J16" s="8">
        <f ca="1">IF(J$2=Inputs!$B117,Inputs!$B116,0)*(1+inf)^I$1</f>
        <v>0</v>
      </c>
      <c r="K16" s="8">
        <f ca="1">IF(K$2=Inputs!$B117,Inputs!$B116,0)*(1+inf)^J$1</f>
        <v>0</v>
      </c>
      <c r="L16" s="8">
        <f ca="1">IF(L$2=Inputs!$B117,Inputs!$B116,0)*(1+inf)^K$1</f>
        <v>0</v>
      </c>
      <c r="M16" s="8">
        <f ca="1">IF(M$2=Inputs!$B117,Inputs!$B116,0)*(1+inf)^L$1</f>
        <v>0</v>
      </c>
      <c r="N16" s="8">
        <f ca="1">IF(N$2=Inputs!$B117,Inputs!$B116,0)*(1+inf)^M$1</f>
        <v>0</v>
      </c>
      <c r="O16" s="8">
        <f ca="1">IF(O$2=Inputs!$B117,Inputs!$B116,0)*(1+inf)^N$1</f>
        <v>0</v>
      </c>
      <c r="P16" s="8">
        <f ca="1">IF(P$2=Inputs!$B117,Inputs!$B116,0)*(1+inf)^O$1</f>
        <v>0</v>
      </c>
      <c r="Q16" s="8">
        <f ca="1">IF(Q$2=Inputs!$B117,Inputs!$B116,0)*(1+inf)^P$1</f>
        <v>0</v>
      </c>
      <c r="R16" s="8">
        <f ca="1">IF(R$2=Inputs!$B117,Inputs!$B116,0)*(1+inf)^Q$1</f>
        <v>0</v>
      </c>
      <c r="S16" s="8">
        <f ca="1">IF(S$2=Inputs!$B117,Inputs!$B116,0)*(1+inf)^R$1</f>
        <v>0</v>
      </c>
      <c r="T16" s="8">
        <f ca="1">IF(T$2=Inputs!$B117,Inputs!$B116,0)*(1+inf)^S$1</f>
        <v>0</v>
      </c>
      <c r="U16" s="8">
        <f ca="1">IF(U$2=Inputs!$B117,Inputs!$B116,0)*(1+inf)^T$1</f>
        <v>0</v>
      </c>
      <c r="V16" s="8">
        <f ca="1">IF(V$2=Inputs!$B117,Inputs!$B116,0)*(1+inf)^U$1</f>
        <v>0</v>
      </c>
      <c r="W16" s="8">
        <f ca="1">IF(W$2=Inputs!$B117,Inputs!$B116,0)*(1+inf)^V$1</f>
        <v>0</v>
      </c>
      <c r="X16" s="8">
        <f ca="1">IF(X$2=Inputs!$B117,Inputs!$B116,0)*(1+inf)^W$1</f>
        <v>0</v>
      </c>
      <c r="Y16" s="8">
        <f ca="1">IF(Y$2=Inputs!$B117,Inputs!$B116,0)*(1+inf)^X$1</f>
        <v>0</v>
      </c>
      <c r="Z16" s="8">
        <f ca="1">IF(Z$2=Inputs!$B117,Inputs!$B116,0)*(1+inf)^Y$1</f>
        <v>0</v>
      </c>
      <c r="AA16" s="8">
        <f ca="1">IF(AA$2=Inputs!$B117,Inputs!$B116,0)*(1+inf)^Z$1</f>
        <v>0</v>
      </c>
      <c r="AB16" s="8">
        <f ca="1">IF(AB$2=Inputs!$B117,Inputs!$B116,0)*(1+inf)^AA$1</f>
        <v>0</v>
      </c>
      <c r="AC16" s="8">
        <f ca="1">IF(AC$2=Inputs!$B117,Inputs!$B116,0)*(1+inf)^AB$1</f>
        <v>0</v>
      </c>
      <c r="AD16" s="8">
        <f ca="1">IF(AD$2=Inputs!$B117,Inputs!$B116,0)*(1+inf)^AC$1</f>
        <v>0</v>
      </c>
      <c r="AE16" s="8">
        <f ca="1">IF(AE$2=Inputs!$B117,Inputs!$B116,0)*(1+inf)^AD$1</f>
        <v>0</v>
      </c>
      <c r="AF16" s="8">
        <f ca="1">IF(AF$2=Inputs!$B117,Inputs!$B116,0)*(1+inf)^AE$1</f>
        <v>0</v>
      </c>
      <c r="AG16" s="8">
        <f ca="1">IF(AG$2=Inputs!$B117,Inputs!$B116,0)*(1+inf)^AF$1</f>
        <v>0</v>
      </c>
      <c r="AH16" s="8">
        <f ca="1">IF(AH$2=Inputs!$B117,Inputs!$B116,0)*(1+inf)^AG$1</f>
        <v>0</v>
      </c>
      <c r="AI16" s="8">
        <f ca="1">IF(AI$2=Inputs!$B117,Inputs!$B116,0)*(1+inf)^AH$1</f>
        <v>0</v>
      </c>
      <c r="AJ16" s="8">
        <f ca="1">IF(AJ$2=Inputs!$B117,Inputs!$B116,0)*(1+inf)^AI$1</f>
        <v>0</v>
      </c>
      <c r="AK16" s="8">
        <f ca="1">IF(AK$2=Inputs!$B117,Inputs!$B116,0)*(1+inf)^AJ$1</f>
        <v>0</v>
      </c>
      <c r="AL16" s="8">
        <f ca="1">IF(AL$2=Inputs!$B117,Inputs!$B116,0)*(1+inf)^AK$1</f>
        <v>0</v>
      </c>
      <c r="AM16" s="8">
        <f ca="1">IF(AM$2=Inputs!$B117,Inputs!$B116,0)*(1+inf)^AL$1</f>
        <v>0</v>
      </c>
    </row>
    <row r="17" spans="1:39" x14ac:dyDescent="0.2">
      <c r="A17" s="4" t="str">
        <f>TEXT(Inputs!B120,"")</f>
        <v>Sell Jewels</v>
      </c>
      <c r="B17" s="9"/>
      <c r="C17" s="8">
        <f ca="1">IF(C$2=Inputs!$B122,Inputs!$B121,0)*(1+inf)^B$1</f>
        <v>0</v>
      </c>
      <c r="D17" s="8">
        <f ca="1">IF(D$2=Inputs!$B122,Inputs!$B121,0)*(1+inf)^C$1</f>
        <v>0</v>
      </c>
      <c r="E17" s="8">
        <f ca="1">IF(E$2=Inputs!$B122,Inputs!$B121,0)*(1+inf)^D$1</f>
        <v>0</v>
      </c>
      <c r="F17" s="8">
        <f ca="1">IF(F$2=Inputs!$B122,Inputs!$B121,0)*(1+inf)^E$1</f>
        <v>0</v>
      </c>
      <c r="G17" s="8">
        <f ca="1">IF(G$2=Inputs!$B122,Inputs!$B121,0)*(1+inf)^F$1</f>
        <v>0</v>
      </c>
      <c r="H17" s="8">
        <f ca="1">IF(H$2=Inputs!$B122,Inputs!$B121,0)*(1+inf)^G$1</f>
        <v>5657.041064453123</v>
      </c>
      <c r="I17" s="8">
        <f ca="1">IF(I$2=Inputs!$B122,Inputs!$B121,0)*(1+inf)^H$1</f>
        <v>0</v>
      </c>
      <c r="J17" s="8">
        <f ca="1">IF(J$2=Inputs!$B122,Inputs!$B121,0)*(1+inf)^I$1</f>
        <v>0</v>
      </c>
      <c r="K17" s="8">
        <f ca="1">IF(K$2=Inputs!$B122,Inputs!$B121,0)*(1+inf)^J$1</f>
        <v>0</v>
      </c>
      <c r="L17" s="8">
        <f ca="1">IF(L$2=Inputs!$B122,Inputs!$B121,0)*(1+inf)^K$1</f>
        <v>0</v>
      </c>
      <c r="M17" s="8">
        <f ca="1">IF(M$2=Inputs!$B122,Inputs!$B121,0)*(1+inf)^L$1</f>
        <v>0</v>
      </c>
      <c r="N17" s="8">
        <f ca="1">IF(N$2=Inputs!$B122,Inputs!$B121,0)*(1+inf)^M$1</f>
        <v>0</v>
      </c>
      <c r="O17" s="8">
        <f ca="1">IF(O$2=Inputs!$B122,Inputs!$B121,0)*(1+inf)^N$1</f>
        <v>0</v>
      </c>
      <c r="P17" s="8">
        <f ca="1">IF(P$2=Inputs!$B122,Inputs!$B121,0)*(1+inf)^O$1</f>
        <v>0</v>
      </c>
      <c r="Q17" s="8">
        <f ca="1">IF(Q$2=Inputs!$B122,Inputs!$B121,0)*(1+inf)^P$1</f>
        <v>0</v>
      </c>
      <c r="R17" s="8">
        <f ca="1">IF(R$2=Inputs!$B122,Inputs!$B121,0)*(1+inf)^Q$1</f>
        <v>0</v>
      </c>
      <c r="S17" s="8">
        <f ca="1">IF(S$2=Inputs!$B122,Inputs!$B121,0)*(1+inf)^R$1</f>
        <v>0</v>
      </c>
      <c r="T17" s="8">
        <f ca="1">IF(T$2=Inputs!$B122,Inputs!$B121,0)*(1+inf)^S$1</f>
        <v>0</v>
      </c>
      <c r="U17" s="8">
        <f ca="1">IF(U$2=Inputs!$B122,Inputs!$B121,0)*(1+inf)^T$1</f>
        <v>0</v>
      </c>
      <c r="V17" s="8">
        <f ca="1">IF(V$2=Inputs!$B122,Inputs!$B121,0)*(1+inf)^U$1</f>
        <v>0</v>
      </c>
      <c r="W17" s="8">
        <f ca="1">IF(W$2=Inputs!$B122,Inputs!$B121,0)*(1+inf)^V$1</f>
        <v>0</v>
      </c>
      <c r="X17" s="8">
        <f ca="1">IF(X$2=Inputs!$B122,Inputs!$B121,0)*(1+inf)^W$1</f>
        <v>0</v>
      </c>
      <c r="Y17" s="8">
        <f ca="1">IF(Y$2=Inputs!$B122,Inputs!$B121,0)*(1+inf)^X$1</f>
        <v>0</v>
      </c>
      <c r="Z17" s="8">
        <f ca="1">IF(Z$2=Inputs!$B122,Inputs!$B121,0)*(1+inf)^Y$1</f>
        <v>0</v>
      </c>
      <c r="AA17" s="8">
        <f ca="1">IF(AA$2=Inputs!$B122,Inputs!$B121,0)*(1+inf)^Z$1</f>
        <v>0</v>
      </c>
      <c r="AB17" s="8">
        <f ca="1">IF(AB$2=Inputs!$B122,Inputs!$B121,0)*(1+inf)^AA$1</f>
        <v>0</v>
      </c>
      <c r="AC17" s="8">
        <f ca="1">IF(AC$2=Inputs!$B122,Inputs!$B121,0)*(1+inf)^AB$1</f>
        <v>0</v>
      </c>
      <c r="AD17" s="8">
        <f ca="1">IF(AD$2=Inputs!$B122,Inputs!$B121,0)*(1+inf)^AC$1</f>
        <v>0</v>
      </c>
      <c r="AE17" s="8">
        <f ca="1">IF(AE$2=Inputs!$B122,Inputs!$B121,0)*(1+inf)^AD$1</f>
        <v>0</v>
      </c>
      <c r="AF17" s="8">
        <f ca="1">IF(AF$2=Inputs!$B122,Inputs!$B121,0)*(1+inf)^AE$1</f>
        <v>0</v>
      </c>
      <c r="AG17" s="8">
        <f ca="1">IF(AG$2=Inputs!$B122,Inputs!$B121,0)*(1+inf)^AF$1</f>
        <v>0</v>
      </c>
      <c r="AH17" s="8">
        <f ca="1">IF(AH$2=Inputs!$B122,Inputs!$B121,0)*(1+inf)^AG$1</f>
        <v>0</v>
      </c>
      <c r="AI17" s="8">
        <f ca="1">IF(AI$2=Inputs!$B122,Inputs!$B121,0)*(1+inf)^AH$1</f>
        <v>0</v>
      </c>
      <c r="AJ17" s="8">
        <f ca="1">IF(AJ$2=Inputs!$B122,Inputs!$B121,0)*(1+inf)^AI$1</f>
        <v>0</v>
      </c>
      <c r="AK17" s="8">
        <f ca="1">IF(AK$2=Inputs!$B122,Inputs!$B121,0)*(1+inf)^AJ$1</f>
        <v>0</v>
      </c>
      <c r="AL17" s="8">
        <f ca="1">IF(AL$2=Inputs!$B122,Inputs!$B121,0)*(1+inf)^AK$1</f>
        <v>0</v>
      </c>
      <c r="AM17" s="8">
        <f ca="1">IF(AM$2=Inputs!$B122,Inputs!$B121,0)*(1+inf)^AL$1</f>
        <v>0</v>
      </c>
    </row>
    <row r="18" spans="1:39" x14ac:dyDescent="0.2">
      <c r="A18" s="5" t="s">
        <v>8</v>
      </c>
      <c r="C18" s="8">
        <f ca="1">MAX(AVERAGE(C51,C51+SUM(C5:C17)-C48)*Inputs!$B$159,0)</f>
        <v>1485.5</v>
      </c>
      <c r="D18" s="8">
        <f ca="1">MAX(AVERAGE(D51,D51+SUM(D5:D17)-D48)*Inputs!$B$159,0)</f>
        <v>2025.9625000000001</v>
      </c>
      <c r="E18" s="8">
        <f ca="1">MAX(AVERAGE(E51,E51+SUM(E5:E17)-E48)*Inputs!$B$159,0)</f>
        <v>2356.9993750000003</v>
      </c>
      <c r="F18" s="8">
        <f ca="1">MAX(AVERAGE(F51,F51+SUM(F5:F17)-F48)*Inputs!$B$159,0)</f>
        <v>2862.2186238817844</v>
      </c>
      <c r="G18" s="8">
        <f ca="1">MAX(AVERAGE(G51,G51+SUM(G5:G17)-G48)*Inputs!$B$159,0)</f>
        <v>3846.3926275988943</v>
      </c>
      <c r="H18" s="8">
        <f ca="1">MAX(AVERAGE(H51,H51+SUM(H5:H17)-H48)*Inputs!$B$159,0)</f>
        <v>3899.9621724821804</v>
      </c>
      <c r="I18" s="8">
        <f ca="1">MAX(AVERAGE(I51,I51+SUM(I5:I17)-I48)*Inputs!$B$159,0)</f>
        <v>3026.5688547780865</v>
      </c>
      <c r="J18" s="8">
        <f ca="1">MAX(AVERAGE(J51,J51+SUM(J5:J17)-J48)*Inputs!$B$159,0)</f>
        <v>1973.590439820975</v>
      </c>
      <c r="K18" s="8">
        <f ca="1">MAX(AVERAGE(K51,K51+SUM(K5:K17)-K48)*Inputs!$B$159,0)</f>
        <v>1645.3024322672643</v>
      </c>
      <c r="L18" s="8">
        <f ca="1">MAX(AVERAGE(L51,L51+SUM(L5:L17)-L48)*Inputs!$B$159,0)</f>
        <v>1117.792700333802</v>
      </c>
      <c r="M18" s="8">
        <f ca="1">MAX(AVERAGE(M51,M51+SUM(M5:M17)-M48)*Inputs!$B$159,0)</f>
        <v>40.215190401505609</v>
      </c>
      <c r="N18" s="8">
        <f ca="1">MAX(AVERAGE(N51,N51+SUM(N5:N17)-N48)*Inputs!$B$159,0)</f>
        <v>0</v>
      </c>
      <c r="O18" s="8">
        <f ca="1">MAX(AVERAGE(O51,O51+SUM(O5:O17)-O48)*Inputs!$B$159,0)</f>
        <v>0</v>
      </c>
      <c r="P18" s="8">
        <f ca="1">MAX(AVERAGE(P51,P51+SUM(P5:P17)-P48)*Inputs!$B$159,0)</f>
        <v>0</v>
      </c>
      <c r="Q18" s="8">
        <f ca="1">MAX(AVERAGE(Q51,Q51+SUM(Q5:Q17)-Q48)*Inputs!$B$159,0)</f>
        <v>0</v>
      </c>
      <c r="R18" s="8">
        <f ca="1">MAX(AVERAGE(R51,R51+SUM(R5:R17)-R48)*Inputs!$B$159,0)</f>
        <v>0</v>
      </c>
      <c r="S18" s="8">
        <f ca="1">MAX(AVERAGE(S51,S51+SUM(S5:S17)-S48)*Inputs!$B$159,0)</f>
        <v>0</v>
      </c>
      <c r="T18" s="8">
        <f ca="1">MAX(AVERAGE(T51,T51+SUM(T5:T17)-T48)*Inputs!$B$159,0)</f>
        <v>0</v>
      </c>
      <c r="U18" s="8">
        <f ca="1">MAX(AVERAGE(U51,U51+SUM(U5:U17)-U48)*Inputs!$B$159,0)</f>
        <v>0</v>
      </c>
      <c r="V18" s="8">
        <f ca="1">MAX(AVERAGE(V51,V51+SUM(V5:V17)-V48)*Inputs!$B$159,0)</f>
        <v>0</v>
      </c>
      <c r="W18" s="8">
        <f ca="1">MAX(AVERAGE(W51,W51+SUM(W5:W17)-W48)*Inputs!$B$159,0)</f>
        <v>0</v>
      </c>
      <c r="X18" s="8">
        <f ca="1">MAX(AVERAGE(X51,X51+SUM(X5:X17)-X48)*Inputs!$B$159,0)</f>
        <v>0</v>
      </c>
      <c r="Y18" s="8">
        <f ca="1">MAX(AVERAGE(Y51,Y51+SUM(Y5:Y17)-Y48)*Inputs!$B$159,0)</f>
        <v>0</v>
      </c>
      <c r="Z18" s="8">
        <f ca="1">MAX(AVERAGE(Z51,Z51+SUM(Z5:Z17)-Z48)*Inputs!$B$159,0)</f>
        <v>0</v>
      </c>
      <c r="AA18" s="8">
        <f ca="1">MAX(AVERAGE(AA51,AA51+SUM(AA5:AA17)-AA48)*Inputs!$B$159,0)</f>
        <v>0</v>
      </c>
      <c r="AB18" s="8">
        <f ca="1">MAX(AVERAGE(AB51,AB51+SUM(AB5:AB17)-AB48)*Inputs!$B$159,0)</f>
        <v>0</v>
      </c>
      <c r="AC18" s="8">
        <f ca="1">MAX(AVERAGE(AC51,AC51+SUM(AC5:AC17)-AC48)*Inputs!$B$159,0)</f>
        <v>0</v>
      </c>
      <c r="AD18" s="8">
        <f ca="1">MAX(AVERAGE(AD51,AD51+SUM(AD5:AD17)-AD48)*Inputs!$B$159,0)</f>
        <v>0</v>
      </c>
      <c r="AE18" s="8">
        <f ca="1">MAX(AVERAGE(AE51,AE51+SUM(AE5:AE17)-AE48)*Inputs!$B$159,0)</f>
        <v>0</v>
      </c>
      <c r="AF18" s="8">
        <f ca="1">MAX(AVERAGE(AF51,AF51+SUM(AF5:AF17)-AF48)*Inputs!$B$159,0)</f>
        <v>0</v>
      </c>
      <c r="AG18" s="8">
        <f ca="1">MAX(AVERAGE(AG51,AG51+SUM(AG5:AG17)-AG48)*Inputs!$B$159,0)</f>
        <v>0</v>
      </c>
      <c r="AH18" s="8">
        <f ca="1">MAX(AVERAGE(AH51,AH51+SUM(AH5:AH17)-AH48)*Inputs!$B$159,0)</f>
        <v>0</v>
      </c>
      <c r="AI18" s="8">
        <f ca="1">MAX(AVERAGE(AI51,AI51+SUM(AI5:AI17)-AI48)*Inputs!$B$159,0)</f>
        <v>0</v>
      </c>
      <c r="AJ18" s="8">
        <f ca="1">MAX(AVERAGE(AJ51,AJ51+SUM(AJ5:AJ17)-AJ48)*Inputs!$B$159,0)</f>
        <v>0</v>
      </c>
      <c r="AK18" s="8">
        <f ca="1">MAX(AVERAGE(AK51,AK51+SUM(AK5:AK17)-AK48)*Inputs!$B$159,0)</f>
        <v>0</v>
      </c>
      <c r="AL18" s="8">
        <f ca="1">MAX(AVERAGE(AL51,AL51+SUM(AL5:AL17)-AL48)*Inputs!$B$159,0)</f>
        <v>0</v>
      </c>
      <c r="AM18" s="8">
        <f ca="1">MAX(AVERAGE(AM51,AM51+SUM(AM5:AM17)-AM48)*Inputs!$B$159,0)</f>
        <v>0</v>
      </c>
    </row>
    <row r="19" spans="1:39" x14ac:dyDescent="0.2">
      <c r="C19" s="10">
        <f ca="1">SUM(C4:C18)</f>
        <v>113485.5</v>
      </c>
      <c r="D19" s="10">
        <f t="shared" ref="D19:G19" ca="1" si="64">SUM(D4:D18)</f>
        <v>117375.96249999999</v>
      </c>
      <c r="E19" s="10">
        <f t="shared" ca="1" si="64"/>
        <v>131663.49937500001</v>
      </c>
      <c r="F19" s="10">
        <f t="shared" ca="1" si="64"/>
        <v>125215.9698738818</v>
      </c>
      <c r="G19" s="10">
        <f t="shared" ca="1" si="64"/>
        <v>129859.98750884889</v>
      </c>
      <c r="H19" s="10">
        <f t="shared" ref="H19" ca="1" si="65">SUM(H4:H18)</f>
        <v>46598.041891716552</v>
      </c>
      <c r="I19" s="10">
        <f t="shared" ref="I19:AM19" ca="1" si="66">SUM(I4:I18)</f>
        <v>41167.524587073873</v>
      </c>
      <c r="J19" s="10">
        <f t="shared" ca="1" si="66"/>
        <v>41247.177909903505</v>
      </c>
      <c r="K19" s="10">
        <f t="shared" ca="1" si="66"/>
        <v>103005.35554441146</v>
      </c>
      <c r="L19" s="10">
        <f t="shared" ca="1" si="66"/>
        <v>57745.069794478462</v>
      </c>
      <c r="M19" s="10">
        <f t="shared" ca="1" si="66"/>
        <v>55718.72110108145</v>
      </c>
      <c r="N19" s="10">
        <f t="shared" ca="1" si="66"/>
        <v>57272.056015348564</v>
      </c>
      <c r="O19" s="10">
        <f t="shared" ca="1" si="66"/>
        <v>58911.492496340943</v>
      </c>
      <c r="P19" s="10">
        <f t="shared" ca="1" si="66"/>
        <v>60598.143941776398</v>
      </c>
      <c r="Q19" s="10">
        <f t="shared" ca="1" si="66"/>
        <v>62333.377597338549</v>
      </c>
      <c r="R19" s="10">
        <f t="shared" ca="1" si="66"/>
        <v>64118.600496000276</v>
      </c>
      <c r="S19" s="10">
        <f t="shared" ca="1" si="66"/>
        <v>84808.482003279554</v>
      </c>
      <c r="T19" s="10">
        <f t="shared" ca="1" si="66"/>
        <v>87169.400019226363</v>
      </c>
      <c r="U19" s="10">
        <f t="shared" ca="1" si="66"/>
        <v>89596.56216454778</v>
      </c>
      <c r="V19" s="10">
        <f t="shared" ca="1" si="66"/>
        <v>92091.841177847469</v>
      </c>
      <c r="W19" s="10">
        <f t="shared" ca="1" si="66"/>
        <v>94657.163115255215</v>
      </c>
      <c r="X19" s="10">
        <f t="shared" ca="1" si="66"/>
        <v>77139.526662765158</v>
      </c>
      <c r="Y19" s="10">
        <f t="shared" ca="1" si="66"/>
        <v>79347.059015090694</v>
      </c>
      <c r="Z19" s="10">
        <f t="shared" ca="1" si="66"/>
        <v>81618.151001797087</v>
      </c>
      <c r="AA19" s="10">
        <f t="shared" ca="1" si="66"/>
        <v>83954.642753511012</v>
      </c>
      <c r="AB19" s="10">
        <f t="shared" ca="1" si="66"/>
        <v>86358.427938317836</v>
      </c>
      <c r="AC19" s="10">
        <f t="shared" ca="1" si="66"/>
        <v>88831.455326223935</v>
      </c>
      <c r="AD19" s="10">
        <f t="shared" ca="1" si="66"/>
        <v>91375.730399511085</v>
      </c>
      <c r="AE19" s="10">
        <f t="shared" ca="1" si="66"/>
        <v>93993.317010334387</v>
      </c>
      <c r="AF19" s="10">
        <f t="shared" ca="1" si="66"/>
        <v>96686.339086953347</v>
      </c>
      <c r="AG19" s="10">
        <f t="shared" ca="1" si="66"/>
        <v>99456.982390028599</v>
      </c>
      <c r="AH19" s="10">
        <f t="shared" ca="1" si="66"/>
        <v>102307.49632045778</v>
      </c>
      <c r="AI19" s="10">
        <f t="shared" ca="1" si="66"/>
        <v>105240.19578026801</v>
      </c>
      <c r="AJ19" s="10">
        <f t="shared" ca="1" si="66"/>
        <v>108257.46308812748</v>
      </c>
      <c r="AK19" s="10">
        <f t="shared" ca="1" si="66"/>
        <v>111361.74995108401</v>
      </c>
      <c r="AL19" s="10">
        <f t="shared" ca="1" si="66"/>
        <v>114555.57949418707</v>
      </c>
      <c r="AM19" s="10">
        <f t="shared" ca="1" si="66"/>
        <v>117841.54834969746</v>
      </c>
    </row>
    <row r="20" spans="1:39" ht="19" x14ac:dyDescent="0.25">
      <c r="A20" s="14" t="s">
        <v>18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</row>
    <row r="21" spans="1:39" x14ac:dyDescent="0.2">
      <c r="A21" s="5" t="s">
        <v>80</v>
      </c>
      <c r="C21" s="8">
        <f>Inputs!B85</f>
        <v>1000</v>
      </c>
      <c r="D21" s="8">
        <v>0</v>
      </c>
      <c r="E21" s="8">
        <v>0</v>
      </c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  <c r="W21" s="8">
        <v>0</v>
      </c>
      <c r="X21" s="8">
        <v>0</v>
      </c>
      <c r="Y21" s="8">
        <v>0</v>
      </c>
      <c r="Z21" s="8">
        <v>0</v>
      </c>
      <c r="AA21" s="8">
        <v>0</v>
      </c>
      <c r="AB21" s="8">
        <v>0</v>
      </c>
      <c r="AC21" s="8">
        <v>0</v>
      </c>
      <c r="AD21" s="8">
        <v>0</v>
      </c>
      <c r="AE21" s="8">
        <v>0</v>
      </c>
      <c r="AF21" s="8">
        <v>0</v>
      </c>
      <c r="AG21" s="8">
        <v>0</v>
      </c>
      <c r="AH21" s="8">
        <v>0</v>
      </c>
      <c r="AI21" s="8">
        <v>0</v>
      </c>
      <c r="AJ21" s="8">
        <v>0</v>
      </c>
      <c r="AK21" s="8">
        <v>0</v>
      </c>
      <c r="AL21" s="8">
        <v>0</v>
      </c>
      <c r="AM21" s="8">
        <v>0</v>
      </c>
    </row>
    <row r="22" spans="1:39" x14ac:dyDescent="0.2">
      <c r="A22" s="5" t="s">
        <v>13</v>
      </c>
      <c r="C22" s="8">
        <f>MAX(IF(C$1*12&lt;=Inputs!$G$15,12,(Inputs!$G$15-B$1*12)),0)*Inputs!$B$17</f>
        <v>9600</v>
      </c>
      <c r="D22" s="8">
        <f>MAX(IF(D$1*12&lt;=Inputs!$G$15,12,(Inputs!$G$15-C$1*12)),0)*Inputs!$B$17</f>
        <v>9600</v>
      </c>
      <c r="E22" s="8">
        <f>MAX(IF(E$1*12&lt;=Inputs!$G$15,12,(Inputs!$G$15-D$1*12)),0)*Inputs!$B$17</f>
        <v>9600</v>
      </c>
      <c r="F22" s="8">
        <f>MAX(IF(F$1*12&lt;=Inputs!$G$15,12,(Inputs!$G$15-E$1*12)),0)*Inputs!$B$17</f>
        <v>9600</v>
      </c>
      <c r="G22" s="8">
        <f>MAX(IF(G$1*12&lt;=Inputs!$G$15,12,(Inputs!$G$15-F$1*12)),0)*Inputs!$B$17</f>
        <v>9600</v>
      </c>
      <c r="H22" s="8">
        <f>MAX(IF(H$1*12&lt;=Inputs!$G$15,12,(Inputs!$G$15-G$1*12)),0)*Inputs!$B$17</f>
        <v>6435.6231080800517</v>
      </c>
      <c r="I22" s="8">
        <f>MAX(IF(I$1*12&lt;=Inputs!$G$15,12,(Inputs!$G$15-H$1*12)),0)*Inputs!$B$17</f>
        <v>0</v>
      </c>
      <c r="J22" s="8">
        <f>MAX(IF(J$1*12&lt;=Inputs!$G$15,12,(Inputs!$G$15-I$1*12)),0)*Inputs!$B$17</f>
        <v>0</v>
      </c>
      <c r="K22" s="8">
        <f>MAX(IF(K$1*12&lt;=Inputs!$G$15,12,(Inputs!$G$15-J$1*12)),0)*Inputs!$B$17</f>
        <v>0</v>
      </c>
      <c r="L22" s="8">
        <f>MAX(IF(L$1*12&lt;=Inputs!$G$15,12,(Inputs!$G$15-K$1*12)),0)*Inputs!$B$17</f>
        <v>0</v>
      </c>
      <c r="M22" s="8">
        <f>MAX(IF(M$1*12&lt;=Inputs!$G$15,12,(Inputs!$G$15-L$1*12)),0)*Inputs!$B$17</f>
        <v>0</v>
      </c>
      <c r="N22" s="8">
        <f>MAX(IF(N$1*12&lt;=Inputs!$G$15,12,(Inputs!$G$15-M$1*12)),0)*Inputs!$B$17</f>
        <v>0</v>
      </c>
      <c r="O22" s="8">
        <f>MAX(IF(O$1*12&lt;=Inputs!$G$15,12,(Inputs!$G$15-N$1*12)),0)*Inputs!$B$17</f>
        <v>0</v>
      </c>
      <c r="P22" s="8">
        <f>MAX(IF(P$1*12&lt;=Inputs!$G$15,12,(Inputs!$G$15-O$1*12)),0)*Inputs!$B$17</f>
        <v>0</v>
      </c>
      <c r="Q22" s="8">
        <f>MAX(IF(Q$1*12&lt;=Inputs!$G$15,12,(Inputs!$G$15-P$1*12)),0)*Inputs!$B$17</f>
        <v>0</v>
      </c>
      <c r="R22" s="8">
        <f>MAX(IF(R$1*12&lt;=Inputs!$G$15,12,(Inputs!$G$15-Q$1*12)),0)*Inputs!$B$17</f>
        <v>0</v>
      </c>
      <c r="S22" s="8">
        <f>MAX(IF(S$1*12&lt;=Inputs!$G$15,12,(Inputs!$G$15-R$1*12)),0)*Inputs!$B$17</f>
        <v>0</v>
      </c>
      <c r="T22" s="8">
        <f>MAX(IF(T$1*12&lt;=Inputs!$G$15,12,(Inputs!$G$15-S$1*12)),0)*Inputs!$B$17</f>
        <v>0</v>
      </c>
      <c r="U22" s="8">
        <f>MAX(IF(U$1*12&lt;=Inputs!$G$15,12,(Inputs!$G$15-T$1*12)),0)*Inputs!$B$17</f>
        <v>0</v>
      </c>
      <c r="V22" s="8">
        <f>MAX(IF(V$1*12&lt;=Inputs!$G$15,12,(Inputs!$G$15-U$1*12)),0)*Inputs!$B$17</f>
        <v>0</v>
      </c>
      <c r="W22" s="8">
        <f>MAX(IF(W$1*12&lt;=Inputs!$G$15,12,(Inputs!$G$15-V$1*12)),0)*Inputs!$B$17</f>
        <v>0</v>
      </c>
      <c r="X22" s="8">
        <f>MAX(IF(X$1*12&lt;=Inputs!$G$15,12,(Inputs!$G$15-W$1*12)),0)*Inputs!$B$17</f>
        <v>0</v>
      </c>
      <c r="Y22" s="8">
        <f>MAX(IF(Y$1*12&lt;=Inputs!$G$15,12,(Inputs!$G$15-X$1*12)),0)*Inputs!$B$17</f>
        <v>0</v>
      </c>
      <c r="Z22" s="8">
        <f>MAX(IF(Z$1*12&lt;=Inputs!$G$15,12,(Inputs!$G$15-Y$1*12)),0)*Inputs!$B$17</f>
        <v>0</v>
      </c>
      <c r="AA22" s="8">
        <f>MAX(IF(AA$1*12&lt;=Inputs!$G$15,12,(Inputs!$G$15-Z$1*12)),0)*Inputs!$B$17</f>
        <v>0</v>
      </c>
      <c r="AB22" s="8">
        <f>MAX(IF(AB$1*12&lt;=Inputs!$G$15,12,(Inputs!$G$15-AA$1*12)),0)*Inputs!$B$17</f>
        <v>0</v>
      </c>
      <c r="AC22" s="8">
        <f>MAX(IF(AC$1*12&lt;=Inputs!$G$15,12,(Inputs!$G$15-AB$1*12)),0)*Inputs!$B$17</f>
        <v>0</v>
      </c>
      <c r="AD22" s="8">
        <f>MAX(IF(AD$1*12&lt;=Inputs!$G$15,12,(Inputs!$G$15-AC$1*12)),0)*Inputs!$B$17</f>
        <v>0</v>
      </c>
      <c r="AE22" s="8">
        <f>MAX(IF(AE$1*12&lt;=Inputs!$G$15,12,(Inputs!$G$15-AD$1*12)),0)*Inputs!$B$17</f>
        <v>0</v>
      </c>
      <c r="AF22" s="8">
        <f>MAX(IF(AF$1*12&lt;=Inputs!$G$15,12,(Inputs!$G$15-AE$1*12)),0)*Inputs!$B$17</f>
        <v>0</v>
      </c>
      <c r="AG22" s="8">
        <f>MAX(IF(AG$1*12&lt;=Inputs!$G$15,12,(Inputs!$G$15-AF$1*12)),0)*Inputs!$B$17</f>
        <v>0</v>
      </c>
      <c r="AH22" s="8">
        <f>MAX(IF(AH$1*12&lt;=Inputs!$G$15,12,(Inputs!$G$15-AG$1*12)),0)*Inputs!$B$17</f>
        <v>0</v>
      </c>
      <c r="AI22" s="8">
        <f>MAX(IF(AI$1*12&lt;=Inputs!$G$15,12,(Inputs!$G$15-AH$1*12)),0)*Inputs!$B$17</f>
        <v>0</v>
      </c>
      <c r="AJ22" s="8">
        <f>MAX(IF(AJ$1*12&lt;=Inputs!$G$15,12,(Inputs!$G$15-AI$1*12)),0)*Inputs!$B$17</f>
        <v>0</v>
      </c>
      <c r="AK22" s="8">
        <f>MAX(IF(AK$1*12&lt;=Inputs!$G$15,12,(Inputs!$G$15-AJ$1*12)),0)*Inputs!$B$17</f>
        <v>0</v>
      </c>
      <c r="AL22" s="8">
        <f>MAX(IF(AL$1*12&lt;=Inputs!$G$15,12,(Inputs!$G$15-AK$1*12)),0)*Inputs!$B$17</f>
        <v>0</v>
      </c>
      <c r="AM22" s="8">
        <f>MAX(IF(AM$1*12&lt;=Inputs!$G$15,12,(Inputs!$G$15-AL$1*12)),0)*Inputs!$B$17</f>
        <v>0</v>
      </c>
    </row>
    <row r="23" spans="1:39" x14ac:dyDescent="0.2">
      <c r="A23" s="5" t="s">
        <v>57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</row>
    <row r="24" spans="1:39" x14ac:dyDescent="0.2">
      <c r="A24" s="4" t="str">
        <f>TEXT(Inputs!$B$60,"")</f>
        <v>Sliema</v>
      </c>
      <c r="C24" s="8">
        <f>MAX(IF(C$1*12&lt;=Inputs!$G$88,12,(Inputs!$G$88-B$1*12)),0)*Inputs!$B$90</f>
        <v>6000</v>
      </c>
      <c r="D24" s="8">
        <f>MAX(IF(D$1*12&lt;=Inputs!$G$88,12,(Inputs!$G$88-C$1*12)),0)*Inputs!$B$90</f>
        <v>6000</v>
      </c>
      <c r="E24" s="8">
        <f>MAX(IF(E$1*12&lt;=Inputs!$G$88,12,(Inputs!$G$88-D$1*12)),0)*Inputs!$B$90</f>
        <v>6000</v>
      </c>
      <c r="F24" s="8">
        <f>MAX(IF(F$1*12&lt;=Inputs!$G$88,12,(Inputs!$G$88-E$1*12)),0)*Inputs!$B$90</f>
        <v>6000</v>
      </c>
      <c r="G24" s="8">
        <f>MAX(IF(G$1*12&lt;=Inputs!$G$88,12,(Inputs!$G$88-F$1*12)),0)*Inputs!$B$90</f>
        <v>6000</v>
      </c>
      <c r="H24" s="8">
        <f>MAX(IF(H$1*12&lt;=Inputs!$G$88,12,(Inputs!$G$88-G$1*12)),0)*Inputs!$B$90</f>
        <v>6000</v>
      </c>
      <c r="I24" s="8">
        <f>MAX(IF(I$1*12&lt;=Inputs!$G$88,12,(Inputs!$G$88-H$1*12)),0)*Inputs!$B$90</f>
        <v>6000</v>
      </c>
      <c r="J24" s="8">
        <f>MAX(IF(J$1*12&lt;=Inputs!$G$88,12,(Inputs!$G$88-I$1*12)),0)*Inputs!$B$90</f>
        <v>6000</v>
      </c>
      <c r="K24" s="8">
        <f>MAX(IF(K$1*12&lt;=Inputs!$G$88,12,(Inputs!$G$88-J$1*12)),0)*Inputs!$B$90</f>
        <v>6000</v>
      </c>
      <c r="L24" s="8">
        <f>MAX(IF(L$1*12&lt;=Inputs!$G$88,12,(Inputs!$G$88-K$1*12)),0)*Inputs!$B$90</f>
        <v>3608.3050789871932</v>
      </c>
      <c r="M24" s="8">
        <f>MAX(IF(M$1*12&lt;=Inputs!$G$88,12,(Inputs!$G$88-L$1*12)),0)*Inputs!$B$90</f>
        <v>0</v>
      </c>
      <c r="N24" s="8">
        <f>MAX(IF(N$1*12&lt;=Inputs!$G$88,12,(Inputs!$G$88-M$1*12)),0)*Inputs!$B$90</f>
        <v>0</v>
      </c>
      <c r="O24" s="8">
        <f>MAX(IF(O$1*12&lt;=Inputs!$G$88,12,(Inputs!$G$88-N$1*12)),0)*Inputs!$B$90</f>
        <v>0</v>
      </c>
      <c r="P24" s="8">
        <f>MAX(IF(P$1*12&lt;=Inputs!$G$88,12,(Inputs!$G$88-O$1*12)),0)*Inputs!$B$90</f>
        <v>0</v>
      </c>
      <c r="Q24" s="8">
        <f>MAX(IF(Q$1*12&lt;=Inputs!$G$88,12,(Inputs!$G$88-P$1*12)),0)*Inputs!$B$90</f>
        <v>0</v>
      </c>
      <c r="R24" s="8">
        <f>MAX(IF(R$1*12&lt;=Inputs!$G$88,12,(Inputs!$G$88-Q$1*12)),0)*Inputs!$B$90</f>
        <v>0</v>
      </c>
      <c r="S24" s="8">
        <f>MAX(IF(S$1*12&lt;=Inputs!$G$88,12,(Inputs!$G$88-R$1*12)),0)*Inputs!$B$90</f>
        <v>0</v>
      </c>
      <c r="T24" s="8">
        <f>MAX(IF(T$1*12&lt;=Inputs!$G$88,12,(Inputs!$G$88-S$1*12)),0)*Inputs!$B$90</f>
        <v>0</v>
      </c>
      <c r="U24" s="8">
        <f>MAX(IF(U$1*12&lt;=Inputs!$G$88,12,(Inputs!$G$88-T$1*12)),0)*Inputs!$B$90</f>
        <v>0</v>
      </c>
      <c r="V24" s="8">
        <f>MAX(IF(V$1*12&lt;=Inputs!$G$88,12,(Inputs!$G$88-U$1*12)),0)*Inputs!$B$90</f>
        <v>0</v>
      </c>
      <c r="W24" s="8">
        <f>MAX(IF(W$1*12&lt;=Inputs!$G$88,12,(Inputs!$G$88-V$1*12)),0)*Inputs!$B$90</f>
        <v>0</v>
      </c>
      <c r="X24" s="8">
        <f>MAX(IF(X$1*12&lt;=Inputs!$G$88,12,(Inputs!$G$88-W$1*12)),0)*Inputs!$B$90</f>
        <v>0</v>
      </c>
      <c r="Y24" s="8">
        <f>MAX(IF(Y$1*12&lt;=Inputs!$G$88,12,(Inputs!$G$88-X$1*12)),0)*Inputs!$B$90</f>
        <v>0</v>
      </c>
      <c r="Z24" s="8">
        <f>MAX(IF(Z$1*12&lt;=Inputs!$G$88,12,(Inputs!$G$88-Y$1*12)),0)*Inputs!$B$90</f>
        <v>0</v>
      </c>
      <c r="AA24" s="8">
        <f>MAX(IF(AA$1*12&lt;=Inputs!$G$88,12,(Inputs!$G$88-Z$1*12)),0)*Inputs!$B$90</f>
        <v>0</v>
      </c>
      <c r="AB24" s="8">
        <f>MAX(IF(AB$1*12&lt;=Inputs!$G$88,12,(Inputs!$G$88-AA$1*12)),0)*Inputs!$B$90</f>
        <v>0</v>
      </c>
      <c r="AC24" s="8">
        <f>MAX(IF(AC$1*12&lt;=Inputs!$G$88,12,(Inputs!$G$88-AB$1*12)),0)*Inputs!$B$90</f>
        <v>0</v>
      </c>
      <c r="AD24" s="8">
        <f>MAX(IF(AD$1*12&lt;=Inputs!$G$88,12,(Inputs!$G$88-AC$1*12)),0)*Inputs!$B$90</f>
        <v>0</v>
      </c>
      <c r="AE24" s="8">
        <f>MAX(IF(AE$1*12&lt;=Inputs!$G$88,12,(Inputs!$G$88-AD$1*12)),0)*Inputs!$B$90</f>
        <v>0</v>
      </c>
      <c r="AF24" s="8">
        <f>MAX(IF(AF$1*12&lt;=Inputs!$G$88,12,(Inputs!$G$88-AE$1*12)),0)*Inputs!$B$90</f>
        <v>0</v>
      </c>
      <c r="AG24" s="8">
        <f>MAX(IF(AG$1*12&lt;=Inputs!$G$88,12,(Inputs!$G$88-AF$1*12)),0)*Inputs!$B$90</f>
        <v>0</v>
      </c>
      <c r="AH24" s="8">
        <f>MAX(IF(AH$1*12&lt;=Inputs!$G$88,12,(Inputs!$G$88-AG$1*12)),0)*Inputs!$B$90</f>
        <v>0</v>
      </c>
      <c r="AI24" s="8">
        <f>MAX(IF(AI$1*12&lt;=Inputs!$G$88,12,(Inputs!$G$88-AH$1*12)),0)*Inputs!$B$90</f>
        <v>0</v>
      </c>
      <c r="AJ24" s="8">
        <f>MAX(IF(AJ$1*12&lt;=Inputs!$G$88,12,(Inputs!$G$88-AI$1*12)),0)*Inputs!$B$90</f>
        <v>0</v>
      </c>
      <c r="AK24" s="8">
        <f>MAX(IF(AK$1*12&lt;=Inputs!$G$88,12,(Inputs!$G$88-AJ$1*12)),0)*Inputs!$B$90</f>
        <v>0</v>
      </c>
      <c r="AL24" s="8">
        <f>MAX(IF(AL$1*12&lt;=Inputs!$G$88,12,(Inputs!$G$88-AK$1*12)),0)*Inputs!$B$90</f>
        <v>0</v>
      </c>
      <c r="AM24" s="8">
        <f>MAX(IF(AM$1*12&lt;=Inputs!$G$88,12,(Inputs!$G$88-AL$1*12)),0)*Inputs!$B$90</f>
        <v>0</v>
      </c>
    </row>
    <row r="25" spans="1:39" x14ac:dyDescent="0.2">
      <c r="A25" s="4" t="str">
        <f>TEXT(Inputs!$B$65,"")</f>
        <v>Gzira</v>
      </c>
      <c r="C25" s="8">
        <f>MAX(IF(C$1*12&lt;=Inputs!$G$93,12,(Inputs!$G$93-B$1*12)),0)*Inputs!$B$95</f>
        <v>2400</v>
      </c>
      <c r="D25" s="8">
        <f>MAX(IF(D$1*12&lt;=Inputs!$G$93,12,(Inputs!$G$93-C$1*12)),0)*Inputs!$B$95</f>
        <v>2400</v>
      </c>
      <c r="E25" s="8">
        <f>MAX(IF(E$1*12&lt;=Inputs!$G$93,12,(Inputs!$G$93-D$1*12)),0)*Inputs!$B$95</f>
        <v>2400</v>
      </c>
      <c r="F25" s="8">
        <f>MAX(IF(F$1*12&lt;=Inputs!$G$93,12,(Inputs!$G$93-E$1*12)),0)*Inputs!$B$95</f>
        <v>1623.4029019573059</v>
      </c>
      <c r="G25" s="8">
        <f>MAX(IF(G$1*12&lt;=Inputs!$G$93,12,(Inputs!$G$93-F$1*12)),0)*Inputs!$B$95</f>
        <v>0</v>
      </c>
      <c r="H25" s="8">
        <f>MAX(IF(H$1*12&lt;=Inputs!$G$93,12,(Inputs!$G$93-G$1*12)),0)*Inputs!$B$95</f>
        <v>0</v>
      </c>
      <c r="I25" s="8">
        <f>MAX(IF(I$1*12&lt;=Inputs!$G$93,12,(Inputs!$G$93-H$1*12)),0)*Inputs!$B$95</f>
        <v>0</v>
      </c>
      <c r="J25" s="8">
        <f>MAX(IF(J$1*12&lt;=Inputs!$G$93,12,(Inputs!$G$93-I$1*12)),0)*Inputs!$B$95</f>
        <v>0</v>
      </c>
      <c r="K25" s="8">
        <f>MAX(IF(K$1*12&lt;=Inputs!$G$93,12,(Inputs!$G$93-J$1*12)),0)*Inputs!$B$95</f>
        <v>0</v>
      </c>
      <c r="L25" s="8">
        <f>MAX(IF(L$1*12&lt;=Inputs!$G$93,12,(Inputs!$G$93-K$1*12)),0)*Inputs!$B$95</f>
        <v>0</v>
      </c>
      <c r="M25" s="8">
        <f>MAX(IF(M$1*12&lt;=Inputs!$G$93,12,(Inputs!$G$93-L$1*12)),0)*Inputs!$B$95</f>
        <v>0</v>
      </c>
      <c r="N25" s="8">
        <f>MAX(IF(N$1*12&lt;=Inputs!$G$93,12,(Inputs!$G$93-M$1*12)),0)*Inputs!$B$95</f>
        <v>0</v>
      </c>
      <c r="O25" s="8">
        <f>MAX(IF(O$1*12&lt;=Inputs!$G$93,12,(Inputs!$G$93-N$1*12)),0)*Inputs!$B$95</f>
        <v>0</v>
      </c>
      <c r="P25" s="8">
        <f>MAX(IF(P$1*12&lt;=Inputs!$G$93,12,(Inputs!$G$93-O$1*12)),0)*Inputs!$B$95</f>
        <v>0</v>
      </c>
      <c r="Q25" s="8">
        <f>MAX(IF(Q$1*12&lt;=Inputs!$G$93,12,(Inputs!$G$93-P$1*12)),0)*Inputs!$B$95</f>
        <v>0</v>
      </c>
      <c r="R25" s="8">
        <f>MAX(IF(R$1*12&lt;=Inputs!$G$93,12,(Inputs!$G$93-Q$1*12)),0)*Inputs!$B$95</f>
        <v>0</v>
      </c>
      <c r="S25" s="8">
        <f>MAX(IF(S$1*12&lt;=Inputs!$G$93,12,(Inputs!$G$93-R$1*12)),0)*Inputs!$B$95</f>
        <v>0</v>
      </c>
      <c r="T25" s="8">
        <f>MAX(IF(T$1*12&lt;=Inputs!$G$93,12,(Inputs!$G$93-S$1*12)),0)*Inputs!$B$95</f>
        <v>0</v>
      </c>
      <c r="U25" s="8">
        <f>MAX(IF(U$1*12&lt;=Inputs!$G$93,12,(Inputs!$G$93-T$1*12)),0)*Inputs!$B$95</f>
        <v>0</v>
      </c>
      <c r="V25" s="8">
        <f>MAX(IF(V$1*12&lt;=Inputs!$G$93,12,(Inputs!$G$93-U$1*12)),0)*Inputs!$B$95</f>
        <v>0</v>
      </c>
      <c r="W25" s="8">
        <f>MAX(IF(W$1*12&lt;=Inputs!$G$93,12,(Inputs!$G$93-V$1*12)),0)*Inputs!$B$95</f>
        <v>0</v>
      </c>
      <c r="X25" s="8">
        <f>MAX(IF(X$1*12&lt;=Inputs!$G$93,12,(Inputs!$G$93-W$1*12)),0)*Inputs!$B$95</f>
        <v>0</v>
      </c>
      <c r="Y25" s="8">
        <f>MAX(IF(Y$1*12&lt;=Inputs!$G$93,12,(Inputs!$G$93-X$1*12)),0)*Inputs!$B$95</f>
        <v>0</v>
      </c>
      <c r="Z25" s="8">
        <f>MAX(IF(Z$1*12&lt;=Inputs!$G$93,12,(Inputs!$G$93-Y$1*12)),0)*Inputs!$B$95</f>
        <v>0</v>
      </c>
      <c r="AA25" s="8">
        <f>MAX(IF(AA$1*12&lt;=Inputs!$G$93,12,(Inputs!$G$93-Z$1*12)),0)*Inputs!$B$95</f>
        <v>0</v>
      </c>
      <c r="AB25" s="8">
        <f>MAX(IF(AB$1*12&lt;=Inputs!$G$93,12,(Inputs!$G$93-AA$1*12)),0)*Inputs!$B$95</f>
        <v>0</v>
      </c>
      <c r="AC25" s="8">
        <f>MAX(IF(AC$1*12&lt;=Inputs!$G$93,12,(Inputs!$G$93-AB$1*12)),0)*Inputs!$B$95</f>
        <v>0</v>
      </c>
      <c r="AD25" s="8">
        <f>MAX(IF(AD$1*12&lt;=Inputs!$G$93,12,(Inputs!$G$93-AC$1*12)),0)*Inputs!$B$95</f>
        <v>0</v>
      </c>
      <c r="AE25" s="8">
        <f>MAX(IF(AE$1*12&lt;=Inputs!$G$93,12,(Inputs!$G$93-AD$1*12)),0)*Inputs!$B$95</f>
        <v>0</v>
      </c>
      <c r="AF25" s="8">
        <f>MAX(IF(AF$1*12&lt;=Inputs!$G$93,12,(Inputs!$G$93-AE$1*12)),0)*Inputs!$B$95</f>
        <v>0</v>
      </c>
      <c r="AG25" s="8">
        <f>MAX(IF(AG$1*12&lt;=Inputs!$G$93,12,(Inputs!$G$93-AF$1*12)),0)*Inputs!$B$95</f>
        <v>0</v>
      </c>
      <c r="AH25" s="8">
        <f>MAX(IF(AH$1*12&lt;=Inputs!$G$93,12,(Inputs!$G$93-AG$1*12)),0)*Inputs!$B$95</f>
        <v>0</v>
      </c>
      <c r="AI25" s="8">
        <f>MAX(IF(AI$1*12&lt;=Inputs!$G$93,12,(Inputs!$G$93-AH$1*12)),0)*Inputs!$B$95</f>
        <v>0</v>
      </c>
      <c r="AJ25" s="8">
        <f>MAX(IF(AJ$1*12&lt;=Inputs!$G$93,12,(Inputs!$G$93-AI$1*12)),0)*Inputs!$B$95</f>
        <v>0</v>
      </c>
      <c r="AK25" s="8">
        <f>MAX(IF(AK$1*12&lt;=Inputs!$G$93,12,(Inputs!$G$93-AJ$1*12)),0)*Inputs!$B$95</f>
        <v>0</v>
      </c>
      <c r="AL25" s="8">
        <f>MAX(IF(AL$1*12&lt;=Inputs!$G$93,12,(Inputs!$G$93-AK$1*12)),0)*Inputs!$B$95</f>
        <v>0</v>
      </c>
      <c r="AM25" s="8">
        <f>MAX(IF(AM$1*12&lt;=Inputs!$G$93,12,(Inputs!$G$93-AL$1*12)),0)*Inputs!$B$95</f>
        <v>0</v>
      </c>
    </row>
    <row r="26" spans="1:39" x14ac:dyDescent="0.2">
      <c r="A26" s="4" t="str">
        <f>TEXT(Inputs!$B$70,"")</f>
        <v>Qormi</v>
      </c>
      <c r="C26" s="8">
        <f>MAX(IF(C$1*12&lt;=Inputs!$G$98,12,(Inputs!$G$98-B$1*12)),0)*Inputs!$B$100</f>
        <v>3000</v>
      </c>
      <c r="D26" s="8">
        <f>MAX(IF(D$1*12&lt;=Inputs!$G$98,12,(Inputs!$G$98-C$1*12)),0)*Inputs!$B$100</f>
        <v>3000</v>
      </c>
      <c r="E26" s="8">
        <f>MAX(IF(E$1*12&lt;=Inputs!$G$98,12,(Inputs!$G$98-D$1*12)),0)*Inputs!$B$100</f>
        <v>3000</v>
      </c>
      <c r="F26" s="8">
        <f>MAX(IF(F$1*12&lt;=Inputs!$G$98,12,(Inputs!$G$98-E$1*12)),0)*Inputs!$B$100</f>
        <v>3000</v>
      </c>
      <c r="G26" s="8">
        <f>MAX(IF(G$1*12&lt;=Inputs!$G$98,12,(Inputs!$G$98-F$1*12)),0)*Inputs!$B$100</f>
        <v>3000</v>
      </c>
      <c r="H26" s="8">
        <f>MAX(IF(H$1*12&lt;=Inputs!$G$98,12,(Inputs!$G$98-G$1*12)),0)*Inputs!$B$100</f>
        <v>2296.8596856502154</v>
      </c>
      <c r="I26" s="8">
        <f>MAX(IF(I$1*12&lt;=Inputs!$G$98,12,(Inputs!$G$98-H$1*12)),0)*Inputs!$B$100</f>
        <v>0</v>
      </c>
      <c r="J26" s="8">
        <f>MAX(IF(J$1*12&lt;=Inputs!$G$98,12,(Inputs!$G$98-I$1*12)),0)*Inputs!$B$100</f>
        <v>0</v>
      </c>
      <c r="K26" s="8">
        <f>MAX(IF(K$1*12&lt;=Inputs!$G$98,12,(Inputs!$G$98-J$1*12)),0)*Inputs!$B$100</f>
        <v>0</v>
      </c>
      <c r="L26" s="8">
        <f>MAX(IF(L$1*12&lt;=Inputs!$G$98,12,(Inputs!$G$98-K$1*12)),0)*Inputs!$B$100</f>
        <v>0</v>
      </c>
      <c r="M26" s="8">
        <f>MAX(IF(M$1*12&lt;=Inputs!$G$98,12,(Inputs!$G$98-L$1*12)),0)*Inputs!$B$100</f>
        <v>0</v>
      </c>
      <c r="N26" s="8">
        <f>MAX(IF(N$1*12&lt;=Inputs!$G$98,12,(Inputs!$G$98-M$1*12)),0)*Inputs!$B$100</f>
        <v>0</v>
      </c>
      <c r="O26" s="8">
        <f>MAX(IF(O$1*12&lt;=Inputs!$G$98,12,(Inputs!$G$98-N$1*12)),0)*Inputs!$B$100</f>
        <v>0</v>
      </c>
      <c r="P26" s="8">
        <f>MAX(IF(P$1*12&lt;=Inputs!$G$98,12,(Inputs!$G$98-O$1*12)),0)*Inputs!$B$100</f>
        <v>0</v>
      </c>
      <c r="Q26" s="8">
        <f>MAX(IF(Q$1*12&lt;=Inputs!$G$98,12,(Inputs!$G$98-P$1*12)),0)*Inputs!$B$100</f>
        <v>0</v>
      </c>
      <c r="R26" s="8">
        <f>MAX(IF(R$1*12&lt;=Inputs!$G$98,12,(Inputs!$G$98-Q$1*12)),0)*Inputs!$B$100</f>
        <v>0</v>
      </c>
      <c r="S26" s="8">
        <f>MAX(IF(S$1*12&lt;=Inputs!$G$98,12,(Inputs!$G$98-R$1*12)),0)*Inputs!$B$100</f>
        <v>0</v>
      </c>
      <c r="T26" s="8">
        <f>MAX(IF(T$1*12&lt;=Inputs!$G$98,12,(Inputs!$G$98-S$1*12)),0)*Inputs!$B$100</f>
        <v>0</v>
      </c>
      <c r="U26" s="8">
        <f>MAX(IF(U$1*12&lt;=Inputs!$G$98,12,(Inputs!$G$98-T$1*12)),0)*Inputs!$B$100</f>
        <v>0</v>
      </c>
      <c r="V26" s="8">
        <f>MAX(IF(V$1*12&lt;=Inputs!$G$98,12,(Inputs!$G$98-U$1*12)),0)*Inputs!$B$100</f>
        <v>0</v>
      </c>
      <c r="W26" s="8">
        <f>MAX(IF(W$1*12&lt;=Inputs!$G$98,12,(Inputs!$G$98-V$1*12)),0)*Inputs!$B$100</f>
        <v>0</v>
      </c>
      <c r="X26" s="8">
        <f>MAX(IF(X$1*12&lt;=Inputs!$G$98,12,(Inputs!$G$98-W$1*12)),0)*Inputs!$B$100</f>
        <v>0</v>
      </c>
      <c r="Y26" s="8">
        <f>MAX(IF(Y$1*12&lt;=Inputs!$G$98,12,(Inputs!$G$98-X$1*12)),0)*Inputs!$B$100</f>
        <v>0</v>
      </c>
      <c r="Z26" s="8">
        <f>MAX(IF(Z$1*12&lt;=Inputs!$G$98,12,(Inputs!$G$98-Y$1*12)),0)*Inputs!$B$100</f>
        <v>0</v>
      </c>
      <c r="AA26" s="8">
        <f>MAX(IF(AA$1*12&lt;=Inputs!$G$98,12,(Inputs!$G$98-Z$1*12)),0)*Inputs!$B$100</f>
        <v>0</v>
      </c>
      <c r="AB26" s="8">
        <f>MAX(IF(AB$1*12&lt;=Inputs!$G$98,12,(Inputs!$G$98-AA$1*12)),0)*Inputs!$B$100</f>
        <v>0</v>
      </c>
      <c r="AC26" s="8">
        <f>MAX(IF(AC$1*12&lt;=Inputs!$G$98,12,(Inputs!$G$98-AB$1*12)),0)*Inputs!$B$100</f>
        <v>0</v>
      </c>
      <c r="AD26" s="8">
        <f>MAX(IF(AD$1*12&lt;=Inputs!$G$98,12,(Inputs!$G$98-AC$1*12)),0)*Inputs!$B$100</f>
        <v>0</v>
      </c>
      <c r="AE26" s="8">
        <f>MAX(IF(AE$1*12&lt;=Inputs!$G$98,12,(Inputs!$G$98-AD$1*12)),0)*Inputs!$B$100</f>
        <v>0</v>
      </c>
      <c r="AF26" s="8">
        <f>MAX(IF(AF$1*12&lt;=Inputs!$G$98,12,(Inputs!$G$98-AE$1*12)),0)*Inputs!$B$100</f>
        <v>0</v>
      </c>
      <c r="AG26" s="8">
        <f>MAX(IF(AG$1*12&lt;=Inputs!$G$98,12,(Inputs!$G$98-AF$1*12)),0)*Inputs!$B$100</f>
        <v>0</v>
      </c>
      <c r="AH26" s="8">
        <f>MAX(IF(AH$1*12&lt;=Inputs!$G$98,12,(Inputs!$G$98-AG$1*12)),0)*Inputs!$B$100</f>
        <v>0</v>
      </c>
      <c r="AI26" s="8">
        <f>MAX(IF(AI$1*12&lt;=Inputs!$G$98,12,(Inputs!$G$98-AH$1*12)),0)*Inputs!$B$100</f>
        <v>0</v>
      </c>
      <c r="AJ26" s="8">
        <f>MAX(IF(AJ$1*12&lt;=Inputs!$G$98,12,(Inputs!$G$98-AI$1*12)),0)*Inputs!$B$100</f>
        <v>0</v>
      </c>
      <c r="AK26" s="8">
        <f>MAX(IF(AK$1*12&lt;=Inputs!$G$98,12,(Inputs!$G$98-AJ$1*12)),0)*Inputs!$B$100</f>
        <v>0</v>
      </c>
      <c r="AL26" s="8">
        <f>MAX(IF(AL$1*12&lt;=Inputs!$G$98,12,(Inputs!$G$98-AK$1*12)),0)*Inputs!$B$100</f>
        <v>0</v>
      </c>
      <c r="AM26" s="8">
        <f>MAX(IF(AM$1*12&lt;=Inputs!$G$98,12,(Inputs!$G$98-AL$1*12)),0)*Inputs!$B$100</f>
        <v>0</v>
      </c>
    </row>
    <row r="27" spans="1:39" x14ac:dyDescent="0.2">
      <c r="A27" s="5" t="s">
        <v>39</v>
      </c>
      <c r="C27" s="8">
        <f>MAX(IF(C$1*12&lt;=Inputs!$G$103,12,(Inputs!$G$103-B$1*12)),0)*Inputs!$B$105</f>
        <v>600</v>
      </c>
      <c r="D27" s="8">
        <f>MAX(IF(D$1*12&lt;=Inputs!$G$103,12,(Inputs!$G$103-C$1*12)),0)*Inputs!$B$105</f>
        <v>600</v>
      </c>
      <c r="E27" s="8">
        <f>MAX(IF(E$1*12&lt;=Inputs!$G$103,12,(Inputs!$G$103-D$1*12)),0)*Inputs!$B$105</f>
        <v>600</v>
      </c>
      <c r="F27" s="8">
        <f>MAX(IF(F$1*12&lt;=Inputs!$G$103,12,(Inputs!$G$103-E$1*12)),0)*Inputs!$B$105</f>
        <v>600</v>
      </c>
      <c r="G27" s="8">
        <f>MAX(IF(G$1*12&lt;=Inputs!$G$103,12,(Inputs!$G$103-F$1*12)),0)*Inputs!$B$105</f>
        <v>600</v>
      </c>
      <c r="H27" s="8">
        <f>MAX(IF(H$1*12&lt;=Inputs!$G$103,12,(Inputs!$G$103-G$1*12)),0)*Inputs!$B$105</f>
        <v>600</v>
      </c>
      <c r="I27" s="8">
        <f>MAX(IF(I$1*12&lt;=Inputs!$G$103,12,(Inputs!$G$103-H$1*12)),0)*Inputs!$B$105</f>
        <v>600</v>
      </c>
      <c r="J27" s="8">
        <f>MAX(IF(J$1*12&lt;=Inputs!$G$103,12,(Inputs!$G$103-I$1*12)),0)*Inputs!$B$105</f>
        <v>600</v>
      </c>
      <c r="K27" s="8">
        <f>MAX(IF(K$1*12&lt;=Inputs!$G$103,12,(Inputs!$G$103-J$1*12)),0)*Inputs!$B$105</f>
        <v>321.016262575219</v>
      </c>
      <c r="L27" s="8">
        <f>MAX(IF(L$1*12&lt;=Inputs!$G$103,12,(Inputs!$G$103-K$1*12)),0)*Inputs!$B$105</f>
        <v>0</v>
      </c>
      <c r="M27" s="8">
        <f>MAX(IF(M$1*12&lt;=Inputs!$G$103,12,(Inputs!$G$103-L$1*12)),0)*Inputs!$B$105</f>
        <v>0</v>
      </c>
      <c r="N27" s="8">
        <f>MAX(IF(N$1*12&lt;=Inputs!$G$103,12,(Inputs!$G$103-M$1*12)),0)*Inputs!$B$105</f>
        <v>0</v>
      </c>
      <c r="O27" s="8">
        <f>MAX(IF(O$1*12&lt;=Inputs!$G$103,12,(Inputs!$G$103-N$1*12)),0)*Inputs!$B$105</f>
        <v>0</v>
      </c>
      <c r="P27" s="8">
        <f>MAX(IF(P$1*12&lt;=Inputs!$G$103,12,(Inputs!$G$103-O$1*12)),0)*Inputs!$B$105</f>
        <v>0</v>
      </c>
      <c r="Q27" s="8">
        <f>MAX(IF(Q$1*12&lt;=Inputs!$G$103,12,(Inputs!$G$103-P$1*12)),0)*Inputs!$B$105</f>
        <v>0</v>
      </c>
      <c r="R27" s="8">
        <f>MAX(IF(R$1*12&lt;=Inputs!$G$103,12,(Inputs!$G$103-Q$1*12)),0)*Inputs!$B$105</f>
        <v>0</v>
      </c>
      <c r="S27" s="8">
        <f>MAX(IF(S$1*12&lt;=Inputs!$G$103,12,(Inputs!$G$103-R$1*12)),0)*Inputs!$B$105</f>
        <v>0</v>
      </c>
      <c r="T27" s="8">
        <f>MAX(IF(T$1*12&lt;=Inputs!$G$103,12,(Inputs!$G$103-S$1*12)),0)*Inputs!$B$105</f>
        <v>0</v>
      </c>
      <c r="U27" s="8">
        <f>MAX(IF(U$1*12&lt;=Inputs!$G$103,12,(Inputs!$G$103-T$1*12)),0)*Inputs!$B$105</f>
        <v>0</v>
      </c>
      <c r="V27" s="8">
        <f>MAX(IF(V$1*12&lt;=Inputs!$G$103,12,(Inputs!$G$103-U$1*12)),0)*Inputs!$B$105</f>
        <v>0</v>
      </c>
      <c r="W27" s="8">
        <f>MAX(IF(W$1*12&lt;=Inputs!$G$103,12,(Inputs!$G$103-V$1*12)),0)*Inputs!$B$105</f>
        <v>0</v>
      </c>
      <c r="X27" s="8">
        <f>MAX(IF(X$1*12&lt;=Inputs!$G$103,12,(Inputs!$G$103-W$1*12)),0)*Inputs!$B$105</f>
        <v>0</v>
      </c>
      <c r="Y27" s="8">
        <f>MAX(IF(Y$1*12&lt;=Inputs!$G$103,12,(Inputs!$G$103-X$1*12)),0)*Inputs!$B$105</f>
        <v>0</v>
      </c>
      <c r="Z27" s="8">
        <f>MAX(IF(Z$1*12&lt;=Inputs!$G$103,12,(Inputs!$G$103-Y$1*12)),0)*Inputs!$B$105</f>
        <v>0</v>
      </c>
      <c r="AA27" s="8">
        <f>MAX(IF(AA$1*12&lt;=Inputs!$G$103,12,(Inputs!$G$103-Z$1*12)),0)*Inputs!$B$105</f>
        <v>0</v>
      </c>
      <c r="AB27" s="8">
        <f>MAX(IF(AB$1*12&lt;=Inputs!$G$103,12,(Inputs!$G$103-AA$1*12)),0)*Inputs!$B$105</f>
        <v>0</v>
      </c>
      <c r="AC27" s="8">
        <f>MAX(IF(AC$1*12&lt;=Inputs!$G$103,12,(Inputs!$G$103-AB$1*12)),0)*Inputs!$B$105</f>
        <v>0</v>
      </c>
      <c r="AD27" s="8">
        <f>MAX(IF(AD$1*12&lt;=Inputs!$G$103,12,(Inputs!$G$103-AC$1*12)),0)*Inputs!$B$105</f>
        <v>0</v>
      </c>
      <c r="AE27" s="8">
        <f>MAX(IF(AE$1*12&lt;=Inputs!$G$103,12,(Inputs!$G$103-AD$1*12)),0)*Inputs!$B$105</f>
        <v>0</v>
      </c>
      <c r="AF27" s="8">
        <f>MAX(IF(AF$1*12&lt;=Inputs!$G$103,12,(Inputs!$G$103-AE$1*12)),0)*Inputs!$B$105</f>
        <v>0</v>
      </c>
      <c r="AG27" s="8">
        <f>MAX(IF(AG$1*12&lt;=Inputs!$G$103,12,(Inputs!$G$103-AF$1*12)),0)*Inputs!$B$105</f>
        <v>0</v>
      </c>
      <c r="AH27" s="8">
        <f>MAX(IF(AH$1*12&lt;=Inputs!$G$103,12,(Inputs!$G$103-AG$1*12)),0)*Inputs!$B$105</f>
        <v>0</v>
      </c>
      <c r="AI27" s="8">
        <f>MAX(IF(AI$1*12&lt;=Inputs!$G$103,12,(Inputs!$G$103-AH$1*12)),0)*Inputs!$B$105</f>
        <v>0</v>
      </c>
      <c r="AJ27" s="8">
        <f>MAX(IF(AJ$1*12&lt;=Inputs!$G$103,12,(Inputs!$G$103-AI$1*12)),0)*Inputs!$B$105</f>
        <v>0</v>
      </c>
      <c r="AK27" s="8">
        <f>MAX(IF(AK$1*12&lt;=Inputs!$G$103,12,(Inputs!$G$103-AJ$1*12)),0)*Inputs!$B$105</f>
        <v>0</v>
      </c>
      <c r="AL27" s="8">
        <f>MAX(IF(AL$1*12&lt;=Inputs!$G$103,12,(Inputs!$G$103-AK$1*12)),0)*Inputs!$B$105</f>
        <v>0</v>
      </c>
      <c r="AM27" s="8">
        <f>MAX(IF(AM$1*12&lt;=Inputs!$G$103,12,(Inputs!$G$103-AL$1*12)),0)*Inputs!$B$105</f>
        <v>0</v>
      </c>
    </row>
    <row r="28" spans="1:39" x14ac:dyDescent="0.2">
      <c r="A28" s="5" t="s">
        <v>58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</row>
    <row r="29" spans="1:39" x14ac:dyDescent="0.2">
      <c r="A29" s="4" t="str">
        <f>TEXT(Inputs!B33,"")</f>
        <v>John</v>
      </c>
      <c r="B29" s="9"/>
      <c r="C29" s="8">
        <f>IF(Inputs!$B$35&gt;=C$1,Inputs!$B$34,0)*(1+inf)^B$1</f>
        <v>2000</v>
      </c>
      <c r="D29" s="8">
        <f>IF(Inputs!$B$35&gt;=D$1,Inputs!$B$34,0)*(1+inf)^C$1</f>
        <v>2050</v>
      </c>
      <c r="E29" s="8">
        <f>IF(Inputs!$B$35&gt;=E$1,Inputs!$B$34,0)*(1+inf)^D$1</f>
        <v>2101.25</v>
      </c>
      <c r="F29" s="8">
        <f>IF(Inputs!$B$35&gt;=F$1,Inputs!$B$34,0)*(1+inf)^E$1</f>
        <v>0</v>
      </c>
      <c r="G29" s="8">
        <f>IF(Inputs!$B$35&gt;=G$1,Inputs!$B$34,0)*(1+inf)^F$1</f>
        <v>0</v>
      </c>
      <c r="H29" s="8">
        <f>IF(Inputs!$B$35&gt;=H$1,Inputs!$B$34,0)*(1+inf)^G$1</f>
        <v>0</v>
      </c>
      <c r="I29" s="8">
        <f>IF(Inputs!$B$35&gt;=I$1,Inputs!$B$34,0)*(1+inf)^H$1</f>
        <v>0</v>
      </c>
      <c r="J29" s="8">
        <f>IF(Inputs!$B$35&gt;=J$1,Inputs!$B$34,0)*(1+inf)^I$1</f>
        <v>0</v>
      </c>
      <c r="K29" s="8">
        <f>IF(Inputs!$B$35&gt;=K$1,Inputs!$B$34,0)*(1+inf)^J$1</f>
        <v>0</v>
      </c>
      <c r="L29" s="8">
        <f>IF(Inputs!$B$35&gt;=L$1,Inputs!$B$34,0)*(1+inf)^K$1</f>
        <v>0</v>
      </c>
      <c r="M29" s="8">
        <f>IF(Inputs!$B$35&gt;=M$1,Inputs!$B$34,0)*(1+inf)^L$1</f>
        <v>0</v>
      </c>
      <c r="N29" s="8">
        <f>IF(Inputs!$B$35&gt;=N$1,Inputs!$B$34,0)*(1+inf)^M$1</f>
        <v>0</v>
      </c>
      <c r="O29" s="8">
        <f>IF(Inputs!$B$35&gt;=O$1,Inputs!$B$34,0)*(1+inf)^N$1</f>
        <v>0</v>
      </c>
      <c r="P29" s="8">
        <f>IF(Inputs!$B$35&gt;=P$1,Inputs!$B$34,0)*(1+inf)^O$1</f>
        <v>0</v>
      </c>
      <c r="Q29" s="8">
        <f>IF(Inputs!$B$35&gt;=Q$1,Inputs!$B$34,0)*(1+inf)^P$1</f>
        <v>0</v>
      </c>
      <c r="R29" s="8">
        <f>IF(Inputs!$B$35&gt;=R$1,Inputs!$B$34,0)*(1+inf)^Q$1</f>
        <v>0</v>
      </c>
      <c r="S29" s="8">
        <f>IF(Inputs!$B$35&gt;=S$1,Inputs!$B$34,0)*(1+inf)^R$1</f>
        <v>0</v>
      </c>
      <c r="T29" s="8">
        <f>IF(Inputs!$B$35&gt;=T$1,Inputs!$B$34,0)*(1+inf)^S$1</f>
        <v>0</v>
      </c>
      <c r="U29" s="8">
        <f>IF(Inputs!$B$35&gt;=U$1,Inputs!$B$34,0)*(1+inf)^T$1</f>
        <v>0</v>
      </c>
      <c r="V29" s="8">
        <f>IF(Inputs!$B$35&gt;=V$1,Inputs!$B$34,0)*(1+inf)^U$1</f>
        <v>0</v>
      </c>
      <c r="W29" s="8">
        <f>IF(Inputs!$B$35&gt;=W$1,Inputs!$B$34,0)*(1+inf)^V$1</f>
        <v>0</v>
      </c>
      <c r="X29" s="8">
        <f>IF(Inputs!$B$35&gt;=X$1,Inputs!$B$34,0)*(1+inf)^W$1</f>
        <v>0</v>
      </c>
      <c r="Y29" s="8">
        <f>IF(Inputs!$B$35&gt;=Y$1,Inputs!$B$34,0)*(1+inf)^X$1</f>
        <v>0</v>
      </c>
      <c r="Z29" s="8">
        <f>IF(Inputs!$B$35&gt;=Z$1,Inputs!$B$34,0)*(1+inf)^Y$1</f>
        <v>0</v>
      </c>
      <c r="AA29" s="8">
        <f>IF(Inputs!$B$35&gt;=AA$1,Inputs!$B$34,0)*(1+inf)^Z$1</f>
        <v>0</v>
      </c>
      <c r="AB29" s="8">
        <f>IF(Inputs!$B$35&gt;=AB$1,Inputs!$B$34,0)*(1+inf)^AA$1</f>
        <v>0</v>
      </c>
      <c r="AC29" s="8">
        <f>IF(Inputs!$B$35&gt;=AC$1,Inputs!$B$34,0)*(1+inf)^AB$1</f>
        <v>0</v>
      </c>
      <c r="AD29" s="8">
        <f>IF(Inputs!$B$35&gt;=AD$1,Inputs!$B$34,0)*(1+inf)^AC$1</f>
        <v>0</v>
      </c>
      <c r="AE29" s="8">
        <f>IF(Inputs!$B$35&gt;=AE$1,Inputs!$B$34,0)*(1+inf)^AD$1</f>
        <v>0</v>
      </c>
      <c r="AF29" s="8">
        <f>IF(Inputs!$B$35&gt;=AF$1,Inputs!$B$34,0)*(1+inf)^AE$1</f>
        <v>0</v>
      </c>
      <c r="AG29" s="8">
        <f>IF(Inputs!$B$35&gt;=AG$1,Inputs!$B$34,0)*(1+inf)^AF$1</f>
        <v>0</v>
      </c>
      <c r="AH29" s="8">
        <f>IF(Inputs!$B$35&gt;=AH$1,Inputs!$B$34,0)*(1+inf)^AG$1</f>
        <v>0</v>
      </c>
      <c r="AI29" s="8">
        <f>IF(Inputs!$B$35&gt;=AI$1,Inputs!$B$34,0)*(1+inf)^AH$1</f>
        <v>0</v>
      </c>
      <c r="AJ29" s="8">
        <f>IF(Inputs!$B$35&gt;=AJ$1,Inputs!$B$34,0)*(1+inf)^AI$1</f>
        <v>0</v>
      </c>
      <c r="AK29" s="8">
        <f>IF(Inputs!$B$35&gt;=AK$1,Inputs!$B$34,0)*(1+inf)^AJ$1</f>
        <v>0</v>
      </c>
      <c r="AL29" s="8">
        <f>IF(Inputs!$B$35&gt;=AL$1,Inputs!$B$34,0)*(1+inf)^AK$1</f>
        <v>0</v>
      </c>
      <c r="AM29" s="8">
        <f>IF(Inputs!$B$35&gt;=AM$1,Inputs!$B$34,0)*(1+inf)^AL$1</f>
        <v>0</v>
      </c>
    </row>
    <row r="30" spans="1:39" x14ac:dyDescent="0.2">
      <c r="A30" s="4" t="str">
        <f>TEXT(Inputs!B38,"")</f>
        <v>Jack</v>
      </c>
      <c r="B30" s="9"/>
      <c r="C30" s="8">
        <f>IF(Inputs!$B$40&gt;=C$1,Inputs!$B$39,0)*(1+inf)^B$1</f>
        <v>1000</v>
      </c>
      <c r="D30" s="8">
        <f>IF(Inputs!$B$40&gt;=D$1,Inputs!$B$39,0)*(1+inf)^C$1</f>
        <v>1025</v>
      </c>
      <c r="E30" s="8">
        <f>IF(Inputs!$B$40&gt;=E$1,Inputs!$B$39,0)*(1+inf)^D$1</f>
        <v>1050.625</v>
      </c>
      <c r="F30" s="8">
        <f>IF(Inputs!$B$40&gt;=F$1,Inputs!$B$39,0)*(1+inf)^E$1</f>
        <v>1076.8906249999998</v>
      </c>
      <c r="G30" s="8">
        <f>IF(Inputs!$B$40&gt;=G$1,Inputs!$B$39,0)*(1+inf)^F$1</f>
        <v>1103.8128906249997</v>
      </c>
      <c r="H30" s="8">
        <f>IF(Inputs!$B$40&gt;=H$1,Inputs!$B$39,0)*(1+inf)^G$1</f>
        <v>0</v>
      </c>
      <c r="I30" s="8">
        <f>IF(Inputs!$B$40&gt;=I$1,Inputs!$B$39,0)*(1+inf)^H$1</f>
        <v>0</v>
      </c>
      <c r="J30" s="8">
        <f>IF(Inputs!$B$40&gt;=J$1,Inputs!$B$39,0)*(1+inf)^I$1</f>
        <v>0</v>
      </c>
      <c r="K30" s="8">
        <f>IF(Inputs!$B$40&gt;=K$1,Inputs!$B$39,0)*(1+inf)^J$1</f>
        <v>0</v>
      </c>
      <c r="L30" s="8">
        <f>IF(Inputs!$B$40&gt;=L$1,Inputs!$B$39,0)*(1+inf)^K$1</f>
        <v>0</v>
      </c>
      <c r="M30" s="8">
        <f>IF(Inputs!$B$40&gt;=M$1,Inputs!$B$39,0)*(1+inf)^L$1</f>
        <v>0</v>
      </c>
      <c r="N30" s="8">
        <f>IF(Inputs!$B$40&gt;=N$1,Inputs!$B$39,0)*(1+inf)^M$1</f>
        <v>0</v>
      </c>
      <c r="O30" s="8">
        <f>IF(Inputs!$B$40&gt;=O$1,Inputs!$B$39,0)*(1+inf)^N$1</f>
        <v>0</v>
      </c>
      <c r="P30" s="8">
        <f>IF(Inputs!$B$40&gt;=P$1,Inputs!$B$39,0)*(1+inf)^O$1</f>
        <v>0</v>
      </c>
      <c r="Q30" s="8">
        <f>IF(Inputs!$B$40&gt;=Q$1,Inputs!$B$39,0)*(1+inf)^P$1</f>
        <v>0</v>
      </c>
      <c r="R30" s="8">
        <f>IF(Inputs!$B$40&gt;=R$1,Inputs!$B$39,0)*(1+inf)^Q$1</f>
        <v>0</v>
      </c>
      <c r="S30" s="8">
        <f>IF(Inputs!$B$40&gt;=S$1,Inputs!$B$39,0)*(1+inf)^R$1</f>
        <v>0</v>
      </c>
      <c r="T30" s="8">
        <f>IF(Inputs!$B$40&gt;=T$1,Inputs!$B$39,0)*(1+inf)^S$1</f>
        <v>0</v>
      </c>
      <c r="U30" s="8">
        <f>IF(Inputs!$B$40&gt;=U$1,Inputs!$B$39,0)*(1+inf)^T$1</f>
        <v>0</v>
      </c>
      <c r="V30" s="8">
        <f>IF(Inputs!$B$40&gt;=V$1,Inputs!$B$39,0)*(1+inf)^U$1</f>
        <v>0</v>
      </c>
      <c r="W30" s="8">
        <f>IF(Inputs!$B$40&gt;=W$1,Inputs!$B$39,0)*(1+inf)^V$1</f>
        <v>0</v>
      </c>
      <c r="X30" s="8">
        <f>IF(Inputs!$B$40&gt;=X$1,Inputs!$B$39,0)*(1+inf)^W$1</f>
        <v>0</v>
      </c>
      <c r="Y30" s="8">
        <f>IF(Inputs!$B$40&gt;=Y$1,Inputs!$B$39,0)*(1+inf)^X$1</f>
        <v>0</v>
      </c>
      <c r="Z30" s="8">
        <f>IF(Inputs!$B$40&gt;=Z$1,Inputs!$B$39,0)*(1+inf)^Y$1</f>
        <v>0</v>
      </c>
      <c r="AA30" s="8">
        <f>IF(Inputs!$B$40&gt;=AA$1,Inputs!$B$39,0)*(1+inf)^Z$1</f>
        <v>0</v>
      </c>
      <c r="AB30" s="8">
        <f>IF(Inputs!$B$40&gt;=AB$1,Inputs!$B$39,0)*(1+inf)^AA$1</f>
        <v>0</v>
      </c>
      <c r="AC30" s="8">
        <f>IF(Inputs!$B$40&gt;=AC$1,Inputs!$B$39,0)*(1+inf)^AB$1</f>
        <v>0</v>
      </c>
      <c r="AD30" s="8">
        <f>IF(Inputs!$B$40&gt;=AD$1,Inputs!$B$39,0)*(1+inf)^AC$1</f>
        <v>0</v>
      </c>
      <c r="AE30" s="8">
        <f>IF(Inputs!$B$40&gt;=AE$1,Inputs!$B$39,0)*(1+inf)^AD$1</f>
        <v>0</v>
      </c>
      <c r="AF30" s="8">
        <f>IF(Inputs!$B$40&gt;=AF$1,Inputs!$B$39,0)*(1+inf)^AE$1</f>
        <v>0</v>
      </c>
      <c r="AG30" s="8">
        <f>IF(Inputs!$B$40&gt;=AG$1,Inputs!$B$39,0)*(1+inf)^AF$1</f>
        <v>0</v>
      </c>
      <c r="AH30" s="8">
        <f>IF(Inputs!$B$40&gt;=AH$1,Inputs!$B$39,0)*(1+inf)^AG$1</f>
        <v>0</v>
      </c>
      <c r="AI30" s="8">
        <f>IF(Inputs!$B$40&gt;=AI$1,Inputs!$B$39,0)*(1+inf)^AH$1</f>
        <v>0</v>
      </c>
      <c r="AJ30" s="8">
        <f>IF(Inputs!$B$40&gt;=AJ$1,Inputs!$B$39,0)*(1+inf)^AI$1</f>
        <v>0</v>
      </c>
      <c r="AK30" s="8">
        <f>IF(Inputs!$B$40&gt;=AK$1,Inputs!$B$39,0)*(1+inf)^AJ$1</f>
        <v>0</v>
      </c>
      <c r="AL30" s="8">
        <f>IF(Inputs!$B$40&gt;=AL$1,Inputs!$B$39,0)*(1+inf)^AK$1</f>
        <v>0</v>
      </c>
      <c r="AM30" s="8">
        <f>IF(Inputs!$B$40&gt;=AM$1,Inputs!$B$39,0)*(1+inf)^AL$1</f>
        <v>0</v>
      </c>
    </row>
    <row r="31" spans="1:39" x14ac:dyDescent="0.2">
      <c r="A31" s="4" t="str">
        <f>TEXT(Inputs!B43,"")</f>
        <v>Bill</v>
      </c>
      <c r="B31" s="9"/>
      <c r="C31" s="8">
        <f>IF(Inputs!$B$45&gt;=C$1,Inputs!$B$44,0)*(1+inf)^B$1</f>
        <v>4000</v>
      </c>
      <c r="D31" s="8">
        <f>IF(Inputs!$B$45&gt;=D$1,Inputs!$B$44,0)*(1+inf)^C$1</f>
        <v>4100</v>
      </c>
      <c r="E31" s="8">
        <f>IF(Inputs!$B$45&gt;=E$1,Inputs!$B$44,0)*(1+inf)^D$1</f>
        <v>0</v>
      </c>
      <c r="F31" s="8">
        <f>IF(Inputs!$B$45&gt;=F$1,Inputs!$B$44,0)*(1+inf)^E$1</f>
        <v>0</v>
      </c>
      <c r="G31" s="8">
        <f>IF(Inputs!$B$45&gt;=G$1,Inputs!$B$44,0)*(1+inf)^F$1</f>
        <v>0</v>
      </c>
      <c r="H31" s="8">
        <f>IF(Inputs!$B$45&gt;=H$1,Inputs!$B$44,0)*(1+inf)^G$1</f>
        <v>0</v>
      </c>
      <c r="I31" s="8">
        <f>IF(Inputs!$B$45&gt;=I$1,Inputs!$B$44,0)*(1+inf)^H$1</f>
        <v>0</v>
      </c>
      <c r="J31" s="8">
        <f>IF(Inputs!$B$45&gt;=J$1,Inputs!$B$44,0)*(1+inf)^I$1</f>
        <v>0</v>
      </c>
      <c r="K31" s="8">
        <f>IF(Inputs!$B$45&gt;=K$1,Inputs!$B$44,0)*(1+inf)^J$1</f>
        <v>0</v>
      </c>
      <c r="L31" s="8">
        <f>IF(Inputs!$B$45&gt;=L$1,Inputs!$B$44,0)*(1+inf)^K$1</f>
        <v>0</v>
      </c>
      <c r="M31" s="8">
        <f>IF(Inputs!$B$45&gt;=M$1,Inputs!$B$44,0)*(1+inf)^L$1</f>
        <v>0</v>
      </c>
      <c r="N31" s="8">
        <f>IF(Inputs!$B$45&gt;=N$1,Inputs!$B$44,0)*(1+inf)^M$1</f>
        <v>0</v>
      </c>
      <c r="O31" s="8">
        <f>IF(Inputs!$B$45&gt;=O$1,Inputs!$B$44,0)*(1+inf)^N$1</f>
        <v>0</v>
      </c>
      <c r="P31" s="8">
        <f>IF(Inputs!$B$45&gt;=P$1,Inputs!$B$44,0)*(1+inf)^O$1</f>
        <v>0</v>
      </c>
      <c r="Q31" s="8">
        <f>IF(Inputs!$B$45&gt;=Q$1,Inputs!$B$44,0)*(1+inf)^P$1</f>
        <v>0</v>
      </c>
      <c r="R31" s="8">
        <f>IF(Inputs!$B$45&gt;=R$1,Inputs!$B$44,0)*(1+inf)^Q$1</f>
        <v>0</v>
      </c>
      <c r="S31" s="8">
        <f>IF(Inputs!$B$45&gt;=S$1,Inputs!$B$44,0)*(1+inf)^R$1</f>
        <v>0</v>
      </c>
      <c r="T31" s="8">
        <f>IF(Inputs!$B$45&gt;=T$1,Inputs!$B$44,0)*(1+inf)^S$1</f>
        <v>0</v>
      </c>
      <c r="U31" s="8">
        <f>IF(Inputs!$B$45&gt;=U$1,Inputs!$B$44,0)*(1+inf)^T$1</f>
        <v>0</v>
      </c>
      <c r="V31" s="8">
        <f>IF(Inputs!$B$45&gt;=V$1,Inputs!$B$44,0)*(1+inf)^U$1</f>
        <v>0</v>
      </c>
      <c r="W31" s="8">
        <f>IF(Inputs!$B$45&gt;=W$1,Inputs!$B$44,0)*(1+inf)^V$1</f>
        <v>0</v>
      </c>
      <c r="X31" s="8">
        <f>IF(Inputs!$B$45&gt;=X$1,Inputs!$B$44,0)*(1+inf)^W$1</f>
        <v>0</v>
      </c>
      <c r="Y31" s="8">
        <f>IF(Inputs!$B$45&gt;=Y$1,Inputs!$B$44,0)*(1+inf)^X$1</f>
        <v>0</v>
      </c>
      <c r="Z31" s="8">
        <f>IF(Inputs!$B$45&gt;=Z$1,Inputs!$B$44,0)*(1+inf)^Y$1</f>
        <v>0</v>
      </c>
      <c r="AA31" s="8">
        <f>IF(Inputs!$B$45&gt;=AA$1,Inputs!$B$44,0)*(1+inf)^Z$1</f>
        <v>0</v>
      </c>
      <c r="AB31" s="8">
        <f>IF(Inputs!$B$45&gt;=AB$1,Inputs!$B$44,0)*(1+inf)^AA$1</f>
        <v>0</v>
      </c>
      <c r="AC31" s="8">
        <f>IF(Inputs!$B$45&gt;=AC$1,Inputs!$B$44,0)*(1+inf)^AB$1</f>
        <v>0</v>
      </c>
      <c r="AD31" s="8">
        <f>IF(Inputs!$B$45&gt;=AD$1,Inputs!$B$44,0)*(1+inf)^AC$1</f>
        <v>0</v>
      </c>
      <c r="AE31" s="8">
        <f>IF(Inputs!$B$45&gt;=AE$1,Inputs!$B$44,0)*(1+inf)^AD$1</f>
        <v>0</v>
      </c>
      <c r="AF31" s="8">
        <f>IF(Inputs!$B$45&gt;=AF$1,Inputs!$B$44,0)*(1+inf)^AE$1</f>
        <v>0</v>
      </c>
      <c r="AG31" s="8">
        <f>IF(Inputs!$B$45&gt;=AG$1,Inputs!$B$44,0)*(1+inf)^AF$1</f>
        <v>0</v>
      </c>
      <c r="AH31" s="8">
        <f>IF(Inputs!$B$45&gt;=AH$1,Inputs!$B$44,0)*(1+inf)^AG$1</f>
        <v>0</v>
      </c>
      <c r="AI31" s="8">
        <f>IF(Inputs!$B$45&gt;=AI$1,Inputs!$B$44,0)*(1+inf)^AH$1</f>
        <v>0</v>
      </c>
      <c r="AJ31" s="8">
        <f>IF(Inputs!$B$45&gt;=AJ$1,Inputs!$B$44,0)*(1+inf)^AI$1</f>
        <v>0</v>
      </c>
      <c r="AK31" s="8">
        <f>IF(Inputs!$B$45&gt;=AK$1,Inputs!$B$44,0)*(1+inf)^AJ$1</f>
        <v>0</v>
      </c>
      <c r="AL31" s="8">
        <f>IF(Inputs!$B$45&gt;=AL$1,Inputs!$B$44,0)*(1+inf)^AK$1</f>
        <v>0</v>
      </c>
      <c r="AM31" s="8">
        <f>IF(Inputs!$B$45&gt;=AM$1,Inputs!$B$44,0)*(1+inf)^AL$1</f>
        <v>0</v>
      </c>
    </row>
    <row r="32" spans="1:39" x14ac:dyDescent="0.2">
      <c r="A32" s="4" t="s">
        <v>184</v>
      </c>
      <c r="B32" s="9"/>
      <c r="C32" s="8">
        <f>IF(Inputs!$B$50&gt;=C$1,Inputs!$B$49,0)*(1+inf)^B$1</f>
        <v>2500</v>
      </c>
      <c r="D32" s="8">
        <f>IF(Inputs!$B$50&gt;=D$1,Inputs!$B$49,0)*(1+inf)^C$1</f>
        <v>2562.5</v>
      </c>
      <c r="E32" s="8">
        <f>IF(Inputs!$B$50&gt;=E$1,Inputs!$B$49,0)*(1+inf)^D$1</f>
        <v>2626.5625</v>
      </c>
      <c r="F32" s="8">
        <f>IF(Inputs!$B$50&gt;=F$1,Inputs!$B$49,0)*(1+inf)^E$1</f>
        <v>0</v>
      </c>
      <c r="G32" s="8">
        <f>IF(Inputs!$B$50&gt;=G$1,Inputs!$B$49,0)*(1+inf)^F$1</f>
        <v>0</v>
      </c>
      <c r="H32" s="8">
        <f>IF(Inputs!$B$50&gt;=H$1,Inputs!$B$49,0)*(1+inf)^G$1</f>
        <v>0</v>
      </c>
      <c r="I32" s="8">
        <f>IF(Inputs!$B$50&gt;=I$1,Inputs!$B$49,0)*(1+inf)^H$1</f>
        <v>0</v>
      </c>
      <c r="J32" s="8">
        <f>IF(Inputs!$B$50&gt;=J$1,Inputs!$B$49,0)*(1+inf)^I$1</f>
        <v>0</v>
      </c>
      <c r="K32" s="8">
        <f>IF(Inputs!$B$50&gt;=K$1,Inputs!$B$49,0)*(1+inf)^J$1</f>
        <v>0</v>
      </c>
      <c r="L32" s="8">
        <f>IF(Inputs!$B$50&gt;=L$1,Inputs!$B$49,0)*(1+inf)^K$1</f>
        <v>0</v>
      </c>
      <c r="M32" s="8">
        <f>IF(Inputs!$B$50&gt;=M$1,Inputs!$B$49,0)*(1+inf)^L$1</f>
        <v>0</v>
      </c>
      <c r="N32" s="8">
        <f>IF(Inputs!$B$50&gt;=N$1,Inputs!$B$49,0)*(1+inf)^M$1</f>
        <v>0</v>
      </c>
      <c r="O32" s="8">
        <f>IF(Inputs!$B$50&gt;=O$1,Inputs!$B$49,0)*(1+inf)^N$1</f>
        <v>0</v>
      </c>
      <c r="P32" s="8">
        <f>IF(Inputs!$B$50&gt;=P$1,Inputs!$B$49,0)*(1+inf)^O$1</f>
        <v>0</v>
      </c>
      <c r="Q32" s="8">
        <f>IF(Inputs!$B$50&gt;=Q$1,Inputs!$B$49,0)*(1+inf)^P$1</f>
        <v>0</v>
      </c>
      <c r="R32" s="8">
        <f>IF(Inputs!$B$50&gt;=R$1,Inputs!$B$49,0)*(1+inf)^Q$1</f>
        <v>0</v>
      </c>
      <c r="S32" s="8">
        <f>IF(Inputs!$B$50&gt;=S$1,Inputs!$B$49,0)*(1+inf)^R$1</f>
        <v>0</v>
      </c>
      <c r="T32" s="8">
        <f>IF(Inputs!$B$50&gt;=T$1,Inputs!$B$49,0)*(1+inf)^S$1</f>
        <v>0</v>
      </c>
      <c r="U32" s="8">
        <f>IF(Inputs!$B$50&gt;=U$1,Inputs!$B$49,0)*(1+inf)^T$1</f>
        <v>0</v>
      </c>
      <c r="V32" s="8">
        <f>IF(Inputs!$B$50&gt;=V$1,Inputs!$B$49,0)*(1+inf)^U$1</f>
        <v>0</v>
      </c>
      <c r="W32" s="8">
        <f>IF(Inputs!$B$50&gt;=W$1,Inputs!$B$49,0)*(1+inf)^V$1</f>
        <v>0</v>
      </c>
      <c r="X32" s="8">
        <f>IF(Inputs!$B$50&gt;=X$1,Inputs!$B$49,0)*(1+inf)^W$1</f>
        <v>0</v>
      </c>
      <c r="Y32" s="8">
        <f>IF(Inputs!$B$50&gt;=Y$1,Inputs!$B$49,0)*(1+inf)^X$1</f>
        <v>0</v>
      </c>
      <c r="Z32" s="8">
        <f>IF(Inputs!$B$50&gt;=Z$1,Inputs!$B$49,0)*(1+inf)^Y$1</f>
        <v>0</v>
      </c>
      <c r="AA32" s="8">
        <f>IF(Inputs!$B$50&gt;=AA$1,Inputs!$B$49,0)*(1+inf)^Z$1</f>
        <v>0</v>
      </c>
      <c r="AB32" s="8">
        <f>IF(Inputs!$B$50&gt;=AB$1,Inputs!$B$49,0)*(1+inf)^AA$1</f>
        <v>0</v>
      </c>
      <c r="AC32" s="8">
        <f>IF(Inputs!$B$50&gt;=AC$1,Inputs!$B$49,0)*(1+inf)^AB$1</f>
        <v>0</v>
      </c>
      <c r="AD32" s="8">
        <f>IF(Inputs!$B$50&gt;=AD$1,Inputs!$B$49,0)*(1+inf)^AC$1</f>
        <v>0</v>
      </c>
      <c r="AE32" s="8">
        <f>IF(Inputs!$B$50&gt;=AE$1,Inputs!$B$49,0)*(1+inf)^AD$1</f>
        <v>0</v>
      </c>
      <c r="AF32" s="8">
        <f>IF(Inputs!$B$50&gt;=AF$1,Inputs!$B$49,0)*(1+inf)^AE$1</f>
        <v>0</v>
      </c>
      <c r="AG32" s="8">
        <f>IF(Inputs!$B$50&gt;=AG$1,Inputs!$B$49,0)*(1+inf)^AF$1</f>
        <v>0</v>
      </c>
      <c r="AH32" s="8">
        <f>IF(Inputs!$B$50&gt;=AH$1,Inputs!$B$49,0)*(1+inf)^AG$1</f>
        <v>0</v>
      </c>
      <c r="AI32" s="8">
        <f>IF(Inputs!$B$50&gt;=AI$1,Inputs!$B$49,0)*(1+inf)^AH$1</f>
        <v>0</v>
      </c>
      <c r="AJ32" s="8">
        <f>IF(Inputs!$B$50&gt;=AJ$1,Inputs!$B$49,0)*(1+inf)^AI$1</f>
        <v>0</v>
      </c>
      <c r="AK32" s="8">
        <f>IF(Inputs!$B$50&gt;=AK$1,Inputs!$B$49,0)*(1+inf)^AJ$1</f>
        <v>0</v>
      </c>
      <c r="AL32" s="8">
        <f>IF(Inputs!$B$50&gt;=AL$1,Inputs!$B$49,0)*(1+inf)^AK$1</f>
        <v>0</v>
      </c>
      <c r="AM32" s="8">
        <f>IF(Inputs!$B$50&gt;=AM$1,Inputs!$B$49,0)*(1+inf)^AL$1</f>
        <v>0</v>
      </c>
    </row>
    <row r="33" spans="1:39" x14ac:dyDescent="0.2">
      <c r="A33" s="4" t="s">
        <v>185</v>
      </c>
      <c r="B33" s="9"/>
      <c r="C33" s="8">
        <f>IF(Inputs!$B$55&gt;=C$1,Inputs!$B$54,0)*(1+inf)^B$1</f>
        <v>2860</v>
      </c>
      <c r="D33" s="8">
        <f>IF(Inputs!$B$55&gt;=D$1,Inputs!$B$54,0)*(1+inf)^C$1</f>
        <v>2931.4999999999995</v>
      </c>
      <c r="E33" s="8">
        <f>IF(Inputs!$B$55&gt;=E$1,Inputs!$B$54,0)*(1+inf)^D$1</f>
        <v>3004.7874999999999</v>
      </c>
      <c r="F33" s="8">
        <f>IF(Inputs!$B$55&gt;=F$1,Inputs!$B$54,0)*(1+inf)^E$1</f>
        <v>3079.9071874999995</v>
      </c>
      <c r="G33" s="8">
        <f>IF(Inputs!$B$55&gt;=G$1,Inputs!$B$54,0)*(1+inf)^F$1</f>
        <v>3156.9048671874993</v>
      </c>
      <c r="H33" s="8">
        <f>IF(Inputs!$B$55&gt;=H$1,Inputs!$B$54,0)*(1+inf)^G$1</f>
        <v>3235.8274888671867</v>
      </c>
      <c r="I33" s="8">
        <f>IF(Inputs!$B$55&gt;=I$1,Inputs!$B$54,0)*(1+inf)^H$1</f>
        <v>0</v>
      </c>
      <c r="J33" s="8">
        <f>IF(Inputs!$B$55&gt;=J$1,Inputs!$B$54,0)*(1+inf)^I$1</f>
        <v>0</v>
      </c>
      <c r="K33" s="8">
        <f>IF(Inputs!$B$55&gt;=K$1,Inputs!$B$54,0)*(1+inf)^J$1</f>
        <v>0</v>
      </c>
      <c r="L33" s="8">
        <f>IF(Inputs!$B$55&gt;=L$1,Inputs!$B$54,0)*(1+inf)^K$1</f>
        <v>0</v>
      </c>
      <c r="M33" s="8">
        <f>IF(Inputs!$B$55&gt;=M$1,Inputs!$B$54,0)*(1+inf)^L$1</f>
        <v>0</v>
      </c>
      <c r="N33" s="8">
        <f>IF(Inputs!$B$55&gt;=N$1,Inputs!$B$54,0)*(1+inf)^M$1</f>
        <v>0</v>
      </c>
      <c r="O33" s="8">
        <f>IF(Inputs!$B$55&gt;=O$1,Inputs!$B$54,0)*(1+inf)^N$1</f>
        <v>0</v>
      </c>
      <c r="P33" s="8">
        <f>IF(Inputs!$B$55&gt;=P$1,Inputs!$B$54,0)*(1+inf)^O$1</f>
        <v>0</v>
      </c>
      <c r="Q33" s="8">
        <f>IF(Inputs!$B$55&gt;=Q$1,Inputs!$B$54,0)*(1+inf)^P$1</f>
        <v>0</v>
      </c>
      <c r="R33" s="8">
        <f>IF(Inputs!$B$55&gt;=R$1,Inputs!$B$54,0)*(1+inf)^Q$1</f>
        <v>0</v>
      </c>
      <c r="S33" s="8">
        <f>IF(Inputs!$B$55&gt;=S$1,Inputs!$B$54,0)*(1+inf)^R$1</f>
        <v>0</v>
      </c>
      <c r="T33" s="8">
        <f>IF(Inputs!$B$55&gt;=T$1,Inputs!$B$54,0)*(1+inf)^S$1</f>
        <v>0</v>
      </c>
      <c r="U33" s="8">
        <f>IF(Inputs!$B$55&gt;=U$1,Inputs!$B$54,0)*(1+inf)^T$1</f>
        <v>0</v>
      </c>
      <c r="V33" s="8">
        <f>IF(Inputs!$B$55&gt;=V$1,Inputs!$B$54,0)*(1+inf)^U$1</f>
        <v>0</v>
      </c>
      <c r="W33" s="8">
        <f>IF(Inputs!$B$55&gt;=W$1,Inputs!$B$54,0)*(1+inf)^V$1</f>
        <v>0</v>
      </c>
      <c r="X33" s="8">
        <f>IF(Inputs!$B$55&gt;=X$1,Inputs!$B$54,0)*(1+inf)^W$1</f>
        <v>0</v>
      </c>
      <c r="Y33" s="8">
        <f>IF(Inputs!$B$55&gt;=Y$1,Inputs!$B$54,0)*(1+inf)^X$1</f>
        <v>0</v>
      </c>
      <c r="Z33" s="8">
        <f>IF(Inputs!$B$55&gt;=Z$1,Inputs!$B$54,0)*(1+inf)^Y$1</f>
        <v>0</v>
      </c>
      <c r="AA33" s="8">
        <f>IF(Inputs!$B$55&gt;=AA$1,Inputs!$B$54,0)*(1+inf)^Z$1</f>
        <v>0</v>
      </c>
      <c r="AB33" s="8">
        <f>IF(Inputs!$B$55&gt;=AB$1,Inputs!$B$54,0)*(1+inf)^AA$1</f>
        <v>0</v>
      </c>
      <c r="AC33" s="8">
        <f>IF(Inputs!$B$55&gt;=AC$1,Inputs!$B$54,0)*(1+inf)^AB$1</f>
        <v>0</v>
      </c>
      <c r="AD33" s="8">
        <f>IF(Inputs!$B$55&gt;=AD$1,Inputs!$B$54,0)*(1+inf)^AC$1</f>
        <v>0</v>
      </c>
      <c r="AE33" s="8">
        <f>IF(Inputs!$B$55&gt;=AE$1,Inputs!$B$54,0)*(1+inf)^AD$1</f>
        <v>0</v>
      </c>
      <c r="AF33" s="8">
        <f>IF(Inputs!$B$55&gt;=AF$1,Inputs!$B$54,0)*(1+inf)^AE$1</f>
        <v>0</v>
      </c>
      <c r="AG33" s="8">
        <f>IF(Inputs!$B$55&gt;=AG$1,Inputs!$B$54,0)*(1+inf)^AF$1</f>
        <v>0</v>
      </c>
      <c r="AH33" s="8">
        <f>IF(Inputs!$B$55&gt;=AH$1,Inputs!$B$54,0)*(1+inf)^AG$1</f>
        <v>0</v>
      </c>
      <c r="AI33" s="8">
        <f>IF(Inputs!$B$55&gt;=AI$1,Inputs!$B$54,0)*(1+inf)^AH$1</f>
        <v>0</v>
      </c>
      <c r="AJ33" s="8">
        <f>IF(Inputs!$B$55&gt;=AJ$1,Inputs!$B$54,0)*(1+inf)^AI$1</f>
        <v>0</v>
      </c>
      <c r="AK33" s="8">
        <f>IF(Inputs!$B$55&gt;=AK$1,Inputs!$B$54,0)*(1+inf)^AJ$1</f>
        <v>0</v>
      </c>
      <c r="AL33" s="8">
        <f>IF(Inputs!$B$55&gt;=AL$1,Inputs!$B$54,0)*(1+inf)^AK$1</f>
        <v>0</v>
      </c>
      <c r="AM33" s="8">
        <f>IF(Inputs!$B$55&gt;=AM$1,Inputs!$B$54,0)*(1+inf)^AL$1</f>
        <v>0</v>
      </c>
    </row>
    <row r="34" spans="1:39" x14ac:dyDescent="0.2">
      <c r="A34" s="5" t="s">
        <v>5</v>
      </c>
      <c r="B34" s="9"/>
      <c r="C34" s="8">
        <f>Inputs!$B$23*(1+inf)^B$1</f>
        <v>0</v>
      </c>
      <c r="D34" s="8">
        <f>Inputs!$B$23*(1+inf)^C$1</f>
        <v>0</v>
      </c>
      <c r="E34" s="8">
        <f>Inputs!$B$23*(1+inf)^D$1</f>
        <v>0</v>
      </c>
      <c r="F34" s="8">
        <f>Inputs!$B$23*(1+inf)^E$1</f>
        <v>0</v>
      </c>
      <c r="G34" s="8">
        <f>Inputs!$B$23*(1+inf)^F$1</f>
        <v>0</v>
      </c>
      <c r="H34" s="8">
        <f>Inputs!$B$23*(1+inf)^G$1</f>
        <v>0</v>
      </c>
      <c r="I34" s="8">
        <f>Inputs!$B$23*(1+inf)^H$1</f>
        <v>0</v>
      </c>
      <c r="J34" s="8">
        <f>Inputs!$B$23*(1+inf)^I$1</f>
        <v>0</v>
      </c>
      <c r="K34" s="8">
        <f>Inputs!$B$23*(1+inf)^J$1</f>
        <v>0</v>
      </c>
      <c r="L34" s="8">
        <f>Inputs!$B$23*(1+inf)^K$1</f>
        <v>0</v>
      </c>
      <c r="M34" s="8">
        <f>Inputs!$B$23*(1+inf)^L$1</f>
        <v>0</v>
      </c>
      <c r="N34" s="8">
        <f>Inputs!$B$23*(1+inf)^M$1</f>
        <v>0</v>
      </c>
      <c r="O34" s="8">
        <f>Inputs!$B$23*(1+inf)^N$1</f>
        <v>0</v>
      </c>
      <c r="P34" s="8">
        <f>Inputs!$B$23*(1+inf)^O$1</f>
        <v>0</v>
      </c>
      <c r="Q34" s="8">
        <f>Inputs!$B$23*(1+inf)^P$1</f>
        <v>0</v>
      </c>
      <c r="R34" s="8">
        <f>Inputs!$B$23*(1+inf)^Q$1</f>
        <v>0</v>
      </c>
      <c r="S34" s="8">
        <f>Inputs!$B$23*(1+inf)^R$1</f>
        <v>0</v>
      </c>
      <c r="T34" s="8">
        <f>Inputs!$B$23*(1+inf)^S$1</f>
        <v>0</v>
      </c>
      <c r="U34" s="8">
        <f>Inputs!$B$23*(1+inf)^T$1</f>
        <v>0</v>
      </c>
      <c r="V34" s="8">
        <f>Inputs!$B$23*(1+inf)^U$1</f>
        <v>0</v>
      </c>
      <c r="W34" s="8">
        <f>Inputs!$B$23*(1+inf)^V$1</f>
        <v>0</v>
      </c>
      <c r="X34" s="8">
        <f>Inputs!$B$23*(1+inf)^W$1</f>
        <v>0</v>
      </c>
      <c r="Y34" s="8">
        <f>Inputs!$B$23*(1+inf)^X$1</f>
        <v>0</v>
      </c>
      <c r="Z34" s="8">
        <f>Inputs!$B$23*(1+inf)^Y$1</f>
        <v>0</v>
      </c>
      <c r="AA34" s="8">
        <f>Inputs!$B$23*(1+inf)^Z$1</f>
        <v>0</v>
      </c>
      <c r="AB34" s="8">
        <f>Inputs!$B$23*(1+inf)^AA$1</f>
        <v>0</v>
      </c>
      <c r="AC34" s="8">
        <f>Inputs!$B$23*(1+inf)^AB$1</f>
        <v>0</v>
      </c>
      <c r="AD34" s="8">
        <f>Inputs!$B$23*(1+inf)^AC$1</f>
        <v>0</v>
      </c>
      <c r="AE34" s="8">
        <f>Inputs!$B$23*(1+inf)^AD$1</f>
        <v>0</v>
      </c>
      <c r="AF34" s="8">
        <f>Inputs!$B$23*(1+inf)^AE$1</f>
        <v>0</v>
      </c>
      <c r="AG34" s="8">
        <f>Inputs!$B$23*(1+inf)^AF$1</f>
        <v>0</v>
      </c>
      <c r="AH34" s="8">
        <f>Inputs!$B$23*(1+inf)^AG$1</f>
        <v>0</v>
      </c>
      <c r="AI34" s="8">
        <f>Inputs!$B$23*(1+inf)^AH$1</f>
        <v>0</v>
      </c>
      <c r="AJ34" s="8">
        <f>Inputs!$B$23*(1+inf)^AI$1</f>
        <v>0</v>
      </c>
      <c r="AK34" s="8">
        <f>Inputs!$B$23*(1+inf)^AJ$1</f>
        <v>0</v>
      </c>
      <c r="AL34" s="8">
        <f>Inputs!$B$23*(1+inf)^AK$1</f>
        <v>0</v>
      </c>
      <c r="AM34" s="8">
        <f>Inputs!$B$23*(1+inf)^AL$1</f>
        <v>0</v>
      </c>
    </row>
    <row r="35" spans="1:39" x14ac:dyDescent="0.2">
      <c r="A35" s="5" t="s">
        <v>59</v>
      </c>
      <c r="B35" s="9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</row>
    <row r="36" spans="1:39" x14ac:dyDescent="0.2">
      <c r="A36" s="4" t="str">
        <f>TEXT(Inputs!$B$60,"")</f>
        <v>Sliema</v>
      </c>
      <c r="B36" s="9"/>
      <c r="C36" s="8">
        <f>Inputs!$B62*(1+inf)^B$1</f>
        <v>5000</v>
      </c>
      <c r="D36" s="8">
        <f>Inputs!$B62*(1+inf)^C$1</f>
        <v>5125</v>
      </c>
      <c r="E36" s="8">
        <f>Inputs!$B62*(1+inf)^D$1</f>
        <v>5253.125</v>
      </c>
      <c r="F36" s="8">
        <f>Inputs!$B62*(1+inf)^E$1</f>
        <v>5384.4531249999991</v>
      </c>
      <c r="G36" s="8">
        <f>Inputs!$B62*(1+inf)^F$1</f>
        <v>5519.0644531249991</v>
      </c>
      <c r="H36" s="8">
        <f>Inputs!$B62*(1+inf)^G$1</f>
        <v>5657.041064453123</v>
      </c>
      <c r="I36" s="8">
        <f>Inputs!$B62*(1+inf)^H$1</f>
        <v>5798.4670910644509</v>
      </c>
      <c r="J36" s="8">
        <f>Inputs!$B62*(1+inf)^I$1</f>
        <v>5943.4287683410621</v>
      </c>
      <c r="K36" s="8">
        <f>Inputs!$B62*(1+inf)^J$1</f>
        <v>6092.0144875495889</v>
      </c>
      <c r="L36" s="8">
        <f>Inputs!$B62*(1+inf)^K$1</f>
        <v>6244.3148497383272</v>
      </c>
      <c r="M36" s="8">
        <f>Inputs!$B62*(1+inf)^L$1</f>
        <v>6400.4227209817855</v>
      </c>
      <c r="N36" s="8">
        <f>Inputs!$B62*(1+inf)^M$1</f>
        <v>6560.4332890063297</v>
      </c>
      <c r="O36" s="8">
        <f>Inputs!$B62*(1+inf)^N$1</f>
        <v>6724.4441212314878</v>
      </c>
      <c r="P36" s="8">
        <f>Inputs!$B62*(1+inf)^O$1</f>
        <v>6892.5552242622744</v>
      </c>
      <c r="Q36" s="8">
        <f>Inputs!$B62*(1+inf)^P$1</f>
        <v>7064.8691048688306</v>
      </c>
      <c r="R36" s="8">
        <f>Inputs!$B62*(1+inf)^Q$1</f>
        <v>7241.4908324905527</v>
      </c>
      <c r="S36" s="8">
        <f>Inputs!$B62*(1+inf)^R$1</f>
        <v>7422.5281033028159</v>
      </c>
      <c r="T36" s="8">
        <f>Inputs!$B62*(1+inf)^S$1</f>
        <v>7608.0913058853848</v>
      </c>
      <c r="U36" s="8">
        <f>Inputs!$B62*(1+inf)^T$1</f>
        <v>7798.2935885325196</v>
      </c>
      <c r="V36" s="8">
        <f>Inputs!$B62*(1+inf)^U$1</f>
        <v>7993.2509282458332</v>
      </c>
      <c r="W36" s="8">
        <f>Inputs!$B62*(1+inf)^V$1</f>
        <v>8193.0822014519781</v>
      </c>
      <c r="X36" s="8">
        <f>Inputs!$B62*(1+inf)^W$1</f>
        <v>8397.9092564882758</v>
      </c>
      <c r="Y36" s="8">
        <f>Inputs!$B62*(1+inf)^X$1</f>
        <v>8607.8569879004826</v>
      </c>
      <c r="Z36" s="8">
        <f>Inputs!$B62*(1+inf)^Y$1</f>
        <v>8823.0534125979957</v>
      </c>
      <c r="AA36" s="8">
        <f>Inputs!$B62*(1+inf)^Z$1</f>
        <v>9043.6297479129444</v>
      </c>
      <c r="AB36" s="8">
        <f>Inputs!$B62*(1+inf)^AA$1</f>
        <v>9269.7204916107676</v>
      </c>
      <c r="AC36" s="8">
        <f>Inputs!$B62*(1+inf)^AB$1</f>
        <v>9501.4635039010354</v>
      </c>
      <c r="AD36" s="8">
        <f>Inputs!$B62*(1+inf)^AC$1</f>
        <v>9739.0000914985612</v>
      </c>
      <c r="AE36" s="8">
        <f>Inputs!$B62*(1+inf)^AD$1</f>
        <v>9982.4750937860244</v>
      </c>
      <c r="AF36" s="8">
        <f>Inputs!$B62*(1+inf)^AE$1</f>
        <v>10232.036971130676</v>
      </c>
      <c r="AG36" s="8">
        <f>Inputs!$B62*(1+inf)^AF$1</f>
        <v>10487.83789540894</v>
      </c>
      <c r="AH36" s="8">
        <f>Inputs!$B62*(1+inf)^AG$1</f>
        <v>10750.033842794166</v>
      </c>
      <c r="AI36" s="8">
        <f>Inputs!$B62*(1+inf)^AH$1</f>
        <v>11018.784688864018</v>
      </c>
      <c r="AJ36" s="8">
        <f>Inputs!$B62*(1+inf)^AI$1</f>
        <v>11294.254306085619</v>
      </c>
      <c r="AK36" s="8">
        <f>Inputs!$B62*(1+inf)^AJ$1</f>
        <v>11576.610663737758</v>
      </c>
      <c r="AL36" s="8">
        <f>Inputs!$B62*(1+inf)^AK$1</f>
        <v>11866.025930331201</v>
      </c>
      <c r="AM36" s="8">
        <f>Inputs!$B62*(1+inf)^AL$1</f>
        <v>12162.676578589482</v>
      </c>
    </row>
    <row r="37" spans="1:39" x14ac:dyDescent="0.2">
      <c r="A37" s="4" t="str">
        <f>TEXT(Inputs!$B$65,"")</f>
        <v>Gzira</v>
      </c>
      <c r="B37" s="9"/>
      <c r="C37" s="8">
        <f>Inputs!$B67*(1+inf)^B$1</f>
        <v>2000</v>
      </c>
      <c r="D37" s="8">
        <f>Inputs!$B67*(1+inf)^C$1</f>
        <v>2050</v>
      </c>
      <c r="E37" s="8">
        <f>Inputs!$B67*(1+inf)^D$1</f>
        <v>2101.25</v>
      </c>
      <c r="F37" s="8">
        <f>Inputs!$B67*(1+inf)^E$1</f>
        <v>2153.7812499999995</v>
      </c>
      <c r="G37" s="8">
        <f>Inputs!$B67*(1+inf)^F$1</f>
        <v>2207.6257812499994</v>
      </c>
      <c r="H37" s="8">
        <f>Inputs!$B67*(1+inf)^G$1</f>
        <v>2262.8164257812491</v>
      </c>
      <c r="I37" s="8">
        <f>Inputs!$B67*(1+inf)^H$1</f>
        <v>2319.3868364257805</v>
      </c>
      <c r="J37" s="8">
        <f>Inputs!$B67*(1+inf)^I$1</f>
        <v>2377.3715073364251</v>
      </c>
      <c r="K37" s="8">
        <f>Inputs!$B67*(1+inf)^J$1</f>
        <v>2436.8057950198354</v>
      </c>
      <c r="L37" s="8">
        <f>Inputs!$B67*(1+inf)^K$1</f>
        <v>2497.7259398953311</v>
      </c>
      <c r="M37" s="8">
        <f>Inputs!$B67*(1+inf)^L$1</f>
        <v>2560.169088392714</v>
      </c>
      <c r="N37" s="8">
        <f>Inputs!$B67*(1+inf)^M$1</f>
        <v>2624.1733156025321</v>
      </c>
      <c r="O37" s="8">
        <f>Inputs!$B67*(1+inf)^N$1</f>
        <v>2689.7776484925948</v>
      </c>
      <c r="P37" s="8">
        <f>Inputs!$B67*(1+inf)^O$1</f>
        <v>2757.0220897049098</v>
      </c>
      <c r="Q37" s="8">
        <f>Inputs!$B67*(1+inf)^P$1</f>
        <v>2825.9476419475322</v>
      </c>
      <c r="R37" s="8">
        <f>Inputs!$B67*(1+inf)^Q$1</f>
        <v>2896.596332996221</v>
      </c>
      <c r="S37" s="8">
        <f>Inputs!$B67*(1+inf)^R$1</f>
        <v>2969.0112413211264</v>
      </c>
      <c r="T37" s="8">
        <f>Inputs!$B67*(1+inf)^S$1</f>
        <v>3043.2365223541542</v>
      </c>
      <c r="U37" s="8">
        <f>Inputs!$B67*(1+inf)^T$1</f>
        <v>3119.3174354130078</v>
      </c>
      <c r="V37" s="8">
        <f>Inputs!$B67*(1+inf)^U$1</f>
        <v>3197.3003712983332</v>
      </c>
      <c r="W37" s="8">
        <f>Inputs!$B67*(1+inf)^V$1</f>
        <v>3277.2328805807911</v>
      </c>
      <c r="X37" s="8">
        <f>Inputs!$B67*(1+inf)^W$1</f>
        <v>3359.1637025953105</v>
      </c>
      <c r="Y37" s="8">
        <f>Inputs!$B67*(1+inf)^X$1</f>
        <v>3443.1427951601931</v>
      </c>
      <c r="Z37" s="8">
        <f>Inputs!$B67*(1+inf)^Y$1</f>
        <v>3529.2213650391982</v>
      </c>
      <c r="AA37" s="8">
        <f>Inputs!$B67*(1+inf)^Z$1</f>
        <v>3617.451899165178</v>
      </c>
      <c r="AB37" s="8">
        <f>Inputs!$B67*(1+inf)^AA$1</f>
        <v>3707.8881966443068</v>
      </c>
      <c r="AC37" s="8">
        <f>Inputs!$B67*(1+inf)^AB$1</f>
        <v>3800.5854015604141</v>
      </c>
      <c r="AD37" s="8">
        <f>Inputs!$B67*(1+inf)^AC$1</f>
        <v>3895.6000365994241</v>
      </c>
      <c r="AE37" s="8">
        <f>Inputs!$B67*(1+inf)^AD$1</f>
        <v>3992.9900375144098</v>
      </c>
      <c r="AF37" s="8">
        <f>Inputs!$B67*(1+inf)^AE$1</f>
        <v>4092.8147884522705</v>
      </c>
      <c r="AG37" s="8">
        <f>Inputs!$B67*(1+inf)^AF$1</f>
        <v>4195.1351581635763</v>
      </c>
      <c r="AH37" s="8">
        <f>Inputs!$B67*(1+inf)^AG$1</f>
        <v>4300.0135371176666</v>
      </c>
      <c r="AI37" s="8">
        <f>Inputs!$B67*(1+inf)^AH$1</f>
        <v>4407.5138755456073</v>
      </c>
      <c r="AJ37" s="8">
        <f>Inputs!$B67*(1+inf)^AI$1</f>
        <v>4517.7017224342471</v>
      </c>
      <c r="AK37" s="8">
        <f>Inputs!$B67*(1+inf)^AJ$1</f>
        <v>4630.6442654951034</v>
      </c>
      <c r="AL37" s="8">
        <f>Inputs!$B67*(1+inf)^AK$1</f>
        <v>4746.41037213248</v>
      </c>
      <c r="AM37" s="8">
        <f>Inputs!$B67*(1+inf)^AL$1</f>
        <v>4865.0706314357931</v>
      </c>
    </row>
    <row r="38" spans="1:39" x14ac:dyDescent="0.2">
      <c r="A38" s="4" t="str">
        <f>TEXT(Inputs!$B$70,"")</f>
        <v>Qormi</v>
      </c>
      <c r="B38" s="9"/>
      <c r="C38" s="8">
        <f>Inputs!$B72*(1+inf)^B$1</f>
        <v>1200</v>
      </c>
      <c r="D38" s="8">
        <f>Inputs!$B72*(1+inf)^C$1</f>
        <v>1230</v>
      </c>
      <c r="E38" s="8">
        <f>Inputs!$B72*(1+inf)^D$1</f>
        <v>1260.75</v>
      </c>
      <c r="F38" s="8">
        <f>Inputs!$B72*(1+inf)^E$1</f>
        <v>1292.26875</v>
      </c>
      <c r="G38" s="8">
        <f>Inputs!$B72*(1+inf)^F$1</f>
        <v>1324.5754687499998</v>
      </c>
      <c r="H38" s="8">
        <f>Inputs!$B72*(1+inf)^G$1</f>
        <v>1357.6898554687496</v>
      </c>
      <c r="I38" s="8">
        <f>Inputs!$B72*(1+inf)^H$1</f>
        <v>1391.6321018554681</v>
      </c>
      <c r="J38" s="8">
        <f>Inputs!$B72*(1+inf)^I$1</f>
        <v>1426.422904401855</v>
      </c>
      <c r="K38" s="8">
        <f>Inputs!$B72*(1+inf)^J$1</f>
        <v>1462.0834770119013</v>
      </c>
      <c r="L38" s="8">
        <f>Inputs!$B72*(1+inf)^K$1</f>
        <v>1498.6355639371984</v>
      </c>
      <c r="M38" s="8">
        <f>Inputs!$B72*(1+inf)^L$1</f>
        <v>1536.1014530356285</v>
      </c>
      <c r="N38" s="8">
        <f>Inputs!$B72*(1+inf)^M$1</f>
        <v>1574.5039893615192</v>
      </c>
      <c r="O38" s="8">
        <f>Inputs!$B72*(1+inf)^N$1</f>
        <v>1613.8665890955569</v>
      </c>
      <c r="P38" s="8">
        <f>Inputs!$B72*(1+inf)^O$1</f>
        <v>1654.2132538229459</v>
      </c>
      <c r="Q38" s="8">
        <f>Inputs!$B72*(1+inf)^P$1</f>
        <v>1695.5685851685193</v>
      </c>
      <c r="R38" s="8">
        <f>Inputs!$B72*(1+inf)^Q$1</f>
        <v>1737.9577997977326</v>
      </c>
      <c r="S38" s="8">
        <f>Inputs!$B72*(1+inf)^R$1</f>
        <v>1781.4067447926757</v>
      </c>
      <c r="T38" s="8">
        <f>Inputs!$B72*(1+inf)^S$1</f>
        <v>1825.9419134124923</v>
      </c>
      <c r="U38" s="8">
        <f>Inputs!$B72*(1+inf)^T$1</f>
        <v>1871.5904612478048</v>
      </c>
      <c r="V38" s="8">
        <f>Inputs!$B72*(1+inf)^U$1</f>
        <v>1918.380222779</v>
      </c>
      <c r="W38" s="8">
        <f>Inputs!$B72*(1+inf)^V$1</f>
        <v>1966.3397283484746</v>
      </c>
      <c r="X38" s="8">
        <f>Inputs!$B72*(1+inf)^W$1</f>
        <v>2015.4982215571863</v>
      </c>
      <c r="Y38" s="8">
        <f>Inputs!$B72*(1+inf)^X$1</f>
        <v>2065.8856770961161</v>
      </c>
      <c r="Z38" s="8">
        <f>Inputs!$B72*(1+inf)^Y$1</f>
        <v>2117.5328190235191</v>
      </c>
      <c r="AA38" s="8">
        <f>Inputs!$B72*(1+inf)^Z$1</f>
        <v>2170.4711394991068</v>
      </c>
      <c r="AB38" s="8">
        <f>Inputs!$B72*(1+inf)^AA$1</f>
        <v>2224.7329179865842</v>
      </c>
      <c r="AC38" s="8">
        <f>Inputs!$B72*(1+inf)^AB$1</f>
        <v>2280.3512409362484</v>
      </c>
      <c r="AD38" s="8">
        <f>Inputs!$B72*(1+inf)^AC$1</f>
        <v>2337.3600219596547</v>
      </c>
      <c r="AE38" s="8">
        <f>Inputs!$B72*(1+inf)^AD$1</f>
        <v>2395.7940225086459</v>
      </c>
      <c r="AF38" s="8">
        <f>Inputs!$B72*(1+inf)^AE$1</f>
        <v>2455.6888730713622</v>
      </c>
      <c r="AG38" s="8">
        <f>Inputs!$B72*(1+inf)^AF$1</f>
        <v>2517.0810948981457</v>
      </c>
      <c r="AH38" s="8">
        <f>Inputs!$B72*(1+inf)^AG$1</f>
        <v>2580.0081222705999</v>
      </c>
      <c r="AI38" s="8">
        <f>Inputs!$B72*(1+inf)^AH$1</f>
        <v>2644.5083253273642</v>
      </c>
      <c r="AJ38" s="8">
        <f>Inputs!$B72*(1+inf)^AI$1</f>
        <v>2710.6210334605485</v>
      </c>
      <c r="AK38" s="8">
        <f>Inputs!$B72*(1+inf)^AJ$1</f>
        <v>2778.3865592970619</v>
      </c>
      <c r="AL38" s="8">
        <f>Inputs!$B72*(1+inf)^AK$1</f>
        <v>2847.8462232794882</v>
      </c>
      <c r="AM38" s="8">
        <f>Inputs!$B72*(1+inf)^AL$1</f>
        <v>2919.0423788614758</v>
      </c>
    </row>
    <row r="39" spans="1:39" x14ac:dyDescent="0.2">
      <c r="A39" s="5" t="s">
        <v>16</v>
      </c>
      <c r="B39" s="9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</row>
    <row r="40" spans="1:39" x14ac:dyDescent="0.2">
      <c r="A40" s="4" t="s">
        <v>60</v>
      </c>
      <c r="B40" s="9"/>
      <c r="C40" s="8">
        <f>Inputs!$B$25*(1+inf)^B$1</f>
        <v>50000</v>
      </c>
      <c r="D40" s="8">
        <f>Inputs!$B$25*(1+inf)^C$1</f>
        <v>51249.999999999993</v>
      </c>
      <c r="E40" s="8">
        <f>Inputs!$B$25*(1+inf)^D$1</f>
        <v>52531.249999999993</v>
      </c>
      <c r="F40" s="8">
        <f>Inputs!$B$25*(1+inf)^E$1</f>
        <v>53844.531249999993</v>
      </c>
      <c r="G40" s="8">
        <f>Inputs!$B$25*(1+inf)^F$1</f>
        <v>55190.644531249985</v>
      </c>
      <c r="H40" s="8">
        <f>Inputs!$B$25*(1+inf)^G$1</f>
        <v>56570.410644531235</v>
      </c>
      <c r="I40" s="8">
        <f>Inputs!$B$25*(1+inf)^H$1</f>
        <v>57984.670910644512</v>
      </c>
      <c r="J40" s="8">
        <f>Inputs!$B$25*(1+inf)^I$1</f>
        <v>59434.287683410628</v>
      </c>
      <c r="K40" s="8">
        <f>Inputs!$B$25*(1+inf)^J$1</f>
        <v>60920.144875495884</v>
      </c>
      <c r="L40" s="8">
        <f>Inputs!$B$25*(1+inf)^K$1</f>
        <v>62443.14849738327</v>
      </c>
      <c r="M40" s="8">
        <f>Inputs!$B$25*(1+inf)^L$1</f>
        <v>64004.227209817851</v>
      </c>
      <c r="N40" s="8">
        <f>Inputs!$B$25*(1+inf)^M$1</f>
        <v>65604.332890063306</v>
      </c>
      <c r="O40" s="8">
        <f>Inputs!$B$25*(1+inf)^N$1</f>
        <v>67244.44121231488</v>
      </c>
      <c r="P40" s="8">
        <f>Inputs!$B$25*(1+inf)^O$1</f>
        <v>68925.55224262274</v>
      </c>
      <c r="Q40" s="8">
        <f>Inputs!$B$25*(1+inf)^P$1</f>
        <v>70648.691048688299</v>
      </c>
      <c r="R40" s="8">
        <f>Inputs!$B$25*(1+inf)^Q$1</f>
        <v>72414.908324905526</v>
      </c>
      <c r="S40" s="8">
        <f>Inputs!$B$25*(1+inf)^R$1</f>
        <v>74225.28103302815</v>
      </c>
      <c r="T40" s="8">
        <f>Inputs!$B$25*(1+inf)^S$1</f>
        <v>76080.913058853854</v>
      </c>
      <c r="U40" s="8">
        <f>Inputs!$B$25*(1+inf)^T$1</f>
        <v>77982.935885325205</v>
      </c>
      <c r="V40" s="8">
        <f>Inputs!$B$25*(1+inf)^U$1</f>
        <v>79932.509282458326</v>
      </c>
      <c r="W40" s="8">
        <f>Inputs!$B$25*(1+inf)^V$1</f>
        <v>81930.82201451977</v>
      </c>
      <c r="X40" s="8">
        <f>Inputs!$B$25*(1+inf)^W$1</f>
        <v>83979.092564882769</v>
      </c>
      <c r="Y40" s="8">
        <f>Inputs!$B$25*(1+inf)^X$1</f>
        <v>86078.569879004834</v>
      </c>
      <c r="Z40" s="8">
        <f>Inputs!$B$25*(1+inf)^Y$1</f>
        <v>88230.534125979961</v>
      </c>
      <c r="AA40" s="8">
        <f>Inputs!$B$25*(1+inf)^Z$1</f>
        <v>90436.29747912944</v>
      </c>
      <c r="AB40" s="8">
        <f>Inputs!$B$25*(1+inf)^AA$1</f>
        <v>92697.204916107672</v>
      </c>
      <c r="AC40" s="8">
        <f>Inputs!$B$25*(1+inf)^AB$1</f>
        <v>95014.635039010347</v>
      </c>
      <c r="AD40" s="8">
        <f>Inputs!$B$25*(1+inf)^AC$1</f>
        <v>97390.000914985605</v>
      </c>
      <c r="AE40" s="8">
        <f>Inputs!$B$25*(1+inf)^AD$1</f>
        <v>99824.750937860241</v>
      </c>
      <c r="AF40" s="8">
        <f>Inputs!$B$25*(1+inf)^AE$1</f>
        <v>102320.36971130676</v>
      </c>
      <c r="AG40" s="8">
        <f>Inputs!$B$25*(1+inf)^AF$1</f>
        <v>104878.37895408941</v>
      </c>
      <c r="AH40" s="8">
        <f>Inputs!$B$25*(1+inf)^AG$1</f>
        <v>107500.33842794166</v>
      </c>
      <c r="AI40" s="8">
        <f>Inputs!$B$25*(1+inf)^AH$1</f>
        <v>110187.84688864018</v>
      </c>
      <c r="AJ40" s="8">
        <f>Inputs!$B$25*(1+inf)^AI$1</f>
        <v>112942.54306085619</v>
      </c>
      <c r="AK40" s="8">
        <f>Inputs!$B$25*(1+inf)^AJ$1</f>
        <v>115766.10663737758</v>
      </c>
      <c r="AL40" s="8">
        <f>Inputs!$B$25*(1+inf)^AK$1</f>
        <v>118660.25930331201</v>
      </c>
      <c r="AM40" s="8">
        <f>Inputs!$B$25*(1+inf)^AL$1</f>
        <v>121626.76578589482</v>
      </c>
    </row>
    <row r="41" spans="1:39" x14ac:dyDescent="0.2">
      <c r="A41" s="4" t="str">
        <f>"Adjustment "&amp;Inputs!A147</f>
        <v>Adjustment from now to 65</v>
      </c>
      <c r="B41" s="9"/>
      <c r="C41" s="8">
        <f>IF(C$3&lt;=65,Inputs!$B$147*C$40,0)</f>
        <v>0</v>
      </c>
      <c r="D41" s="8">
        <f>IF(D$3&lt;=65,Inputs!$B$147*D$40,0)</f>
        <v>0</v>
      </c>
      <c r="E41" s="8">
        <f>IF(E$3&lt;=65,Inputs!$B$147*E$40,0)</f>
        <v>0</v>
      </c>
      <c r="F41" s="8">
        <f>IF(F$3&lt;=65,Inputs!$B$147*F$40,0)</f>
        <v>0</v>
      </c>
      <c r="G41" s="8">
        <f>IF(G$3&lt;=65,Inputs!$B$147*G$40,0)</f>
        <v>0</v>
      </c>
      <c r="H41" s="8">
        <f>IF(H$3&lt;=65,Inputs!$B$147*H$40,0)</f>
        <v>0</v>
      </c>
      <c r="I41" s="8">
        <f>IF(I$3&lt;=65,Inputs!$B$147*I$40,0)</f>
        <v>0</v>
      </c>
      <c r="J41" s="8">
        <f>IF(J$3&lt;=65,Inputs!$B$147*J$40,0)</f>
        <v>0</v>
      </c>
      <c r="K41" s="8">
        <f>IF(K$3&lt;=65,Inputs!$B$147*K$40,0)</f>
        <v>0</v>
      </c>
      <c r="L41" s="8">
        <f>IF(L$3&lt;=65,Inputs!$B$147*L$40,0)</f>
        <v>0</v>
      </c>
      <c r="M41" s="8">
        <f>IF(M$3&lt;=65,Inputs!$B$147*M$40,0)</f>
        <v>0</v>
      </c>
      <c r="N41" s="8">
        <f>IF(N$3&lt;=65,Inputs!$B$147*N$40,0)</f>
        <v>0</v>
      </c>
      <c r="O41" s="8">
        <f>IF(O$3&lt;=65,Inputs!$B$147*O$40,0)</f>
        <v>0</v>
      </c>
      <c r="P41" s="8">
        <f>IF(P$3&lt;=65,Inputs!$B$147*P$40,0)</f>
        <v>0</v>
      </c>
      <c r="Q41" s="8">
        <f>IF(Q$3&lt;=65,Inputs!$B$147*Q$40,0)</f>
        <v>0</v>
      </c>
      <c r="R41" s="8">
        <f>IF(R$3&lt;=65,Inputs!$B$147*R$40,0)</f>
        <v>0</v>
      </c>
      <c r="S41" s="8">
        <f>IF(S$3&lt;=65,Inputs!$B$147*S$40,0)</f>
        <v>0</v>
      </c>
      <c r="T41" s="8">
        <f>IF(T$3&lt;=65,Inputs!$B$147*T$40,0)</f>
        <v>0</v>
      </c>
      <c r="U41" s="8">
        <f>IF(U$3&lt;=65,Inputs!$B$147*U$40,0)</f>
        <v>0</v>
      </c>
      <c r="V41" s="8">
        <f>IF(V$3&lt;=65,Inputs!$B$147*V$40,0)</f>
        <v>0</v>
      </c>
      <c r="W41" s="8">
        <f>IF(W$3&lt;=65,Inputs!$B$147*W$40,0)</f>
        <v>0</v>
      </c>
      <c r="X41" s="8">
        <f>IF(X$3&lt;=65,Inputs!$B$147*X$40,0)</f>
        <v>0</v>
      </c>
      <c r="Y41" s="8">
        <f>IF(Y$3&lt;=65,Inputs!$B$147*Y$40,0)</f>
        <v>0</v>
      </c>
      <c r="Z41" s="8">
        <f>IF(Z$3&lt;=65,Inputs!$B$147*Z$40,0)</f>
        <v>0</v>
      </c>
      <c r="AA41" s="8">
        <f>IF(AA$3&lt;=65,Inputs!$B$147*AA$40,0)</f>
        <v>0</v>
      </c>
      <c r="AB41" s="8">
        <f>IF(AB$3&lt;=65,Inputs!$B$147*AB$40,0)</f>
        <v>0</v>
      </c>
      <c r="AC41" s="8">
        <f>IF(AC$3&lt;=65,Inputs!$B$147*AC$40,0)</f>
        <v>0</v>
      </c>
      <c r="AD41" s="8">
        <f>IF(AD$3&lt;=65,Inputs!$B$147*AD$40,0)</f>
        <v>0</v>
      </c>
      <c r="AE41" s="8">
        <f>IF(AE$3&lt;=65,Inputs!$B$147*AE$40,0)</f>
        <v>0</v>
      </c>
      <c r="AF41" s="8">
        <f>IF(AF$3&lt;=65,Inputs!$B$147*AF$40,0)</f>
        <v>0</v>
      </c>
      <c r="AG41" s="8">
        <f>IF(AG$3&lt;=65,Inputs!$B$147*AG$40,0)</f>
        <v>0</v>
      </c>
      <c r="AH41" s="8">
        <f>IF(AH$3&lt;=65,Inputs!$B$147*AH$40,0)</f>
        <v>0</v>
      </c>
      <c r="AI41" s="8">
        <f>IF(AI$3&lt;=65,Inputs!$B$147*AI$40,0)</f>
        <v>0</v>
      </c>
      <c r="AJ41" s="8">
        <f>IF(AJ$3&lt;=65,Inputs!$B$147*AJ$40,0)</f>
        <v>0</v>
      </c>
      <c r="AK41" s="8">
        <f>IF(AK$3&lt;=65,Inputs!$B$147*AK$40,0)</f>
        <v>0</v>
      </c>
      <c r="AL41" s="8">
        <f>IF(AL$3&lt;=65,Inputs!$B$147*AL$40,0)</f>
        <v>0</v>
      </c>
      <c r="AM41" s="8">
        <f>IF(AM$3&lt;=65,Inputs!$B$147*AM$40,0)</f>
        <v>0</v>
      </c>
    </row>
    <row r="42" spans="1:39" x14ac:dyDescent="0.2">
      <c r="A42" s="4" t="str">
        <f>"Adjustment "&amp;Inputs!A148</f>
        <v>Adjustment from 66-75</v>
      </c>
      <c r="B42" s="9"/>
      <c r="C42" s="8">
        <f>IF(AND(C$3&gt;65,C$3&lt;=75),Inputs!$B$148*C40,0)</f>
        <v>0</v>
      </c>
      <c r="D42" s="8">
        <f>IF(AND(D$3&gt;65,D$3&lt;=75),Inputs!$B$148*D40,0)</f>
        <v>0</v>
      </c>
      <c r="E42" s="8">
        <f>IF(AND(E$3&gt;65,E$3&lt;=75),Inputs!$B$148*E40,0)</f>
        <v>0</v>
      </c>
      <c r="F42" s="8">
        <f>IF(AND(F$3&gt;65,F$3&lt;=75),Inputs!$B$148*F40,0)</f>
        <v>0</v>
      </c>
      <c r="G42" s="8">
        <f>IF(AND(G$3&gt;65,G$3&lt;=75),Inputs!$B$148*G40,0)</f>
        <v>0</v>
      </c>
      <c r="H42" s="8">
        <f>IF(AND(H$3&gt;65,H$3&lt;=75),Inputs!$B$148*H40,0)</f>
        <v>0</v>
      </c>
      <c r="I42" s="8">
        <f>IF(AND(I$3&gt;65,I$3&lt;=75),Inputs!$B$148*I40,0)</f>
        <v>0</v>
      </c>
      <c r="J42" s="8">
        <f>IF(AND(J$3&gt;65,J$3&lt;=75),Inputs!$B$148*J40,0)</f>
        <v>0</v>
      </c>
      <c r="K42" s="8">
        <f>IF(AND(K$3&gt;65,K$3&lt;=75),Inputs!$B$148*K40,0)</f>
        <v>0</v>
      </c>
      <c r="L42" s="8">
        <f>IF(AND(L$3&gt;65,L$3&lt;=75),Inputs!$B$148*L40,0)</f>
        <v>0</v>
      </c>
      <c r="M42" s="8">
        <f>IF(AND(M$3&gt;65,M$3&lt;=75),Inputs!$B$148*M40,0)</f>
        <v>0</v>
      </c>
      <c r="N42" s="8">
        <f>IF(AND(N$3&gt;65,N$3&lt;=75),Inputs!$B$148*N40,0)</f>
        <v>0</v>
      </c>
      <c r="O42" s="8">
        <f>IF(AND(O$3&gt;65,O$3&lt;=75),Inputs!$B$148*O40,0)</f>
        <v>0</v>
      </c>
      <c r="P42" s="8">
        <f>IF(AND(P$3&gt;65,P$3&lt;=75),Inputs!$B$148*P40,0)</f>
        <v>0</v>
      </c>
      <c r="Q42" s="8">
        <f>IF(AND(Q$3&gt;65,Q$3&lt;=75),Inputs!$B$148*Q40,0)</f>
        <v>0</v>
      </c>
      <c r="R42" s="8">
        <f>IF(AND(R$3&gt;65,R$3&lt;=75),Inputs!$B$148*R40,0)</f>
        <v>0</v>
      </c>
      <c r="S42" s="8">
        <f>IF(AND(S$3&gt;65,S$3&lt;=75),Inputs!$B$148*S40,0)</f>
        <v>0</v>
      </c>
      <c r="T42" s="8">
        <f>IF(AND(T$3&gt;65,T$3&lt;=75),Inputs!$B$148*T40,0)</f>
        <v>-7608.0913058853857</v>
      </c>
      <c r="U42" s="8">
        <f>IF(AND(U$3&gt;65,U$3&lt;=75),Inputs!$B$148*U40,0)</f>
        <v>-7798.2935885325205</v>
      </c>
      <c r="V42" s="8">
        <f>IF(AND(V$3&gt;65,V$3&lt;=75),Inputs!$B$148*V40,0)</f>
        <v>-7993.2509282458332</v>
      </c>
      <c r="W42" s="8">
        <f>IF(AND(W$3&gt;65,W$3&lt;=75),Inputs!$B$148*W40,0)</f>
        <v>-8193.0822014519781</v>
      </c>
      <c r="X42" s="8">
        <f>IF(AND(X$3&gt;65,X$3&lt;=75),Inputs!$B$148*X40,0)</f>
        <v>-8397.9092564882776</v>
      </c>
      <c r="Y42" s="8">
        <f>IF(AND(Y$3&gt;65,Y$3&lt;=75),Inputs!$B$148*Y40,0)</f>
        <v>-8607.8569879004845</v>
      </c>
      <c r="Z42" s="8">
        <f>IF(AND(Z$3&gt;65,Z$3&lt;=75),Inputs!$B$148*Z40,0)</f>
        <v>-8823.0534125979957</v>
      </c>
      <c r="AA42" s="8">
        <f>IF(AND(AA$3&gt;65,AA$3&lt;=75),Inputs!$B$148*AA40,0)</f>
        <v>-9043.6297479129444</v>
      </c>
      <c r="AB42" s="8">
        <f>IF(AND(AB$3&gt;65,AB$3&lt;=75),Inputs!$B$148*AB40,0)</f>
        <v>-9269.7204916107676</v>
      </c>
      <c r="AC42" s="8">
        <f>IF(AND(AC$3&gt;65,AC$3&lt;=75),Inputs!$B$148*AC40,0)</f>
        <v>-9501.4635039010354</v>
      </c>
      <c r="AD42" s="8">
        <f>IF(AND(AD$3&gt;65,AD$3&lt;=75),Inputs!$B$148*AD40,0)</f>
        <v>0</v>
      </c>
      <c r="AE42" s="8">
        <f>IF(AND(AE$3&gt;65,AE$3&lt;=75),Inputs!$B$148*AE40,0)</f>
        <v>0</v>
      </c>
      <c r="AF42" s="8">
        <f>IF(AND(AF$3&gt;65,AF$3&lt;=75),Inputs!$B$148*AF40,0)</f>
        <v>0</v>
      </c>
      <c r="AG42" s="8">
        <f>IF(AND(AG$3&gt;65,AG$3&lt;=75),Inputs!$B$148*AG40,0)</f>
        <v>0</v>
      </c>
      <c r="AH42" s="8">
        <f>IF(AND(AH$3&gt;65,AH$3&lt;=75),Inputs!$B$148*AH40,0)</f>
        <v>0</v>
      </c>
      <c r="AI42" s="8">
        <f>IF(AND(AI$3&gt;65,AI$3&lt;=75),Inputs!$B$148*AI40,0)</f>
        <v>0</v>
      </c>
      <c r="AJ42" s="8">
        <f>IF(AND(AJ$3&gt;65,AJ$3&lt;=75),Inputs!$B$148*AJ40,0)</f>
        <v>0</v>
      </c>
      <c r="AK42" s="8">
        <f>IF(AND(AK$3&gt;65,AK$3&lt;=75),Inputs!$B$148*AK40,0)</f>
        <v>0</v>
      </c>
      <c r="AL42" s="8">
        <f>IF(AND(AL$3&gt;65,AL$3&lt;=75),Inputs!$B$148*AL40,0)</f>
        <v>0</v>
      </c>
      <c r="AM42" s="8">
        <f>IF(AND(AM$3&gt;65,AM$3&lt;=75),Inputs!$B$148*AM40,0)</f>
        <v>0</v>
      </c>
    </row>
    <row r="43" spans="1:39" x14ac:dyDescent="0.2">
      <c r="A43" s="4" t="str">
        <f>"Adjustment "&amp;Inputs!A149</f>
        <v>Adjustment from age 76</v>
      </c>
      <c r="B43" s="9"/>
      <c r="C43" s="8">
        <f>IF(C$3&gt;75,Inputs!$B$149*C$40,0)</f>
        <v>0</v>
      </c>
      <c r="D43" s="8">
        <f>IF(D$3&gt;75,Inputs!$B$149*D$40,0)</f>
        <v>0</v>
      </c>
      <c r="E43" s="8">
        <f>IF(E$3&gt;75,Inputs!$B$149*E$40,0)</f>
        <v>0</v>
      </c>
      <c r="F43" s="8">
        <f>IF(F$3&gt;75,Inputs!$B$149*F$40,0)</f>
        <v>0</v>
      </c>
      <c r="G43" s="8">
        <f>IF(G$3&gt;75,Inputs!$B$149*G$40,0)</f>
        <v>0</v>
      </c>
      <c r="H43" s="8">
        <f>IF(H$3&gt;75,Inputs!$B$149*H$40,0)</f>
        <v>0</v>
      </c>
      <c r="I43" s="8">
        <f>IF(I$3&gt;75,Inputs!$B$149*I$40,0)</f>
        <v>0</v>
      </c>
      <c r="J43" s="8">
        <f>IF(J$3&gt;75,Inputs!$B$149*J$40,0)</f>
        <v>0</v>
      </c>
      <c r="K43" s="8">
        <f>IF(K$3&gt;75,Inputs!$B$149*K$40,0)</f>
        <v>0</v>
      </c>
      <c r="L43" s="8">
        <f>IF(L$3&gt;75,Inputs!$B$149*L$40,0)</f>
        <v>0</v>
      </c>
      <c r="M43" s="8">
        <f>IF(M$3&gt;75,Inputs!$B$149*M$40,0)</f>
        <v>0</v>
      </c>
      <c r="N43" s="8">
        <f>IF(N$3&gt;75,Inputs!$B$149*N$40,0)</f>
        <v>0</v>
      </c>
      <c r="O43" s="8">
        <f>IF(O$3&gt;75,Inputs!$B$149*O$40,0)</f>
        <v>0</v>
      </c>
      <c r="P43" s="8">
        <f>IF(P$3&gt;75,Inputs!$B$149*P$40,0)</f>
        <v>0</v>
      </c>
      <c r="Q43" s="8">
        <f>IF(Q$3&gt;75,Inputs!$B$149*Q$40,0)</f>
        <v>0</v>
      </c>
      <c r="R43" s="8">
        <f>IF(R$3&gt;75,Inputs!$B$149*R$40,0)</f>
        <v>0</v>
      </c>
      <c r="S43" s="8">
        <f>IF(S$3&gt;75,Inputs!$B$149*S$40,0)</f>
        <v>0</v>
      </c>
      <c r="T43" s="8">
        <f>IF(T$3&gt;75,Inputs!$B$149*T$40,0)</f>
        <v>0</v>
      </c>
      <c r="U43" s="8">
        <f>IF(U$3&gt;75,Inputs!$B$149*U$40,0)</f>
        <v>0</v>
      </c>
      <c r="V43" s="8">
        <f>IF(V$3&gt;75,Inputs!$B$149*V$40,0)</f>
        <v>0</v>
      </c>
      <c r="W43" s="8">
        <f>IF(W$3&gt;75,Inputs!$B$149*W$40,0)</f>
        <v>0</v>
      </c>
      <c r="X43" s="8">
        <f>IF(X$3&gt;75,Inputs!$B$149*X$40,0)</f>
        <v>0</v>
      </c>
      <c r="Y43" s="8">
        <f>IF(Y$3&gt;75,Inputs!$B$149*Y$40,0)</f>
        <v>0</v>
      </c>
      <c r="Z43" s="8">
        <f>IF(Z$3&gt;75,Inputs!$B$149*Z$40,0)</f>
        <v>0</v>
      </c>
      <c r="AA43" s="8">
        <f>IF(AA$3&gt;75,Inputs!$B$149*AA$40,0)</f>
        <v>0</v>
      </c>
      <c r="AB43" s="8">
        <f>IF(AB$3&gt;75,Inputs!$B$149*AB$40,0)</f>
        <v>0</v>
      </c>
      <c r="AC43" s="8">
        <f>IF(AC$3&gt;75,Inputs!$B$149*AC$40,0)</f>
        <v>0</v>
      </c>
      <c r="AD43" s="8">
        <f>IF(AD$3&gt;75,Inputs!$B$149*AD$40,0)</f>
        <v>-19478.000182997122</v>
      </c>
      <c r="AE43" s="8">
        <f>IF(AE$3&gt;75,Inputs!$B$149*AE$40,0)</f>
        <v>-19964.950187572049</v>
      </c>
      <c r="AF43" s="8">
        <f>IF(AF$3&gt;75,Inputs!$B$149*AF$40,0)</f>
        <v>-20464.073942261355</v>
      </c>
      <c r="AG43" s="8">
        <f>IF(AG$3&gt;75,Inputs!$B$149*AG$40,0)</f>
        <v>-20975.675790817884</v>
      </c>
      <c r="AH43" s="8">
        <f>IF(AH$3&gt;75,Inputs!$B$149*AH$40,0)</f>
        <v>-21500.067685588336</v>
      </c>
      <c r="AI43" s="8">
        <f>IF(AI$3&gt;75,Inputs!$B$149*AI$40,0)</f>
        <v>-22037.569377728039</v>
      </c>
      <c r="AJ43" s="8">
        <f>IF(AJ$3&gt;75,Inputs!$B$149*AJ$40,0)</f>
        <v>-22588.508612171237</v>
      </c>
      <c r="AK43" s="8">
        <f>IF(AK$3&gt;75,Inputs!$B$149*AK$40,0)</f>
        <v>-23153.22132747552</v>
      </c>
      <c r="AL43" s="8">
        <f>IF(AL$3&gt;75,Inputs!$B$149*AL$40,0)</f>
        <v>-23732.051860662403</v>
      </c>
      <c r="AM43" s="8">
        <f>IF(AM$3&gt;75,Inputs!$B$149*AM$40,0)</f>
        <v>-24325.353157178964</v>
      </c>
    </row>
    <row r="44" spans="1:39" x14ac:dyDescent="0.2">
      <c r="A44" s="5" t="s">
        <v>64</v>
      </c>
      <c r="B44" s="9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</row>
    <row r="45" spans="1:39" x14ac:dyDescent="0.2">
      <c r="A45" s="4" t="str">
        <f>TEXT(Inputs!$B$127,"")</f>
        <v>Wedding</v>
      </c>
      <c r="B45" s="9"/>
      <c r="C45" s="8">
        <f ca="1">IF(C$2=Inputs!$B129,Inputs!$B128,0)*(1+inf)^B$1</f>
        <v>0</v>
      </c>
      <c r="D45" s="8">
        <f ca="1">IF(D$2=Inputs!$B129,Inputs!$B128,0)*(1+inf)^C$1</f>
        <v>0</v>
      </c>
      <c r="E45" s="8">
        <f ca="1">IF(E$2=Inputs!$B129,Inputs!$B128,0)*(1+inf)^D$1</f>
        <v>0</v>
      </c>
      <c r="F45" s="8">
        <f ca="1">IF(F$2=Inputs!$B129,Inputs!$B128,0)*(1+inf)^E$1</f>
        <v>0</v>
      </c>
      <c r="G45" s="8">
        <f ca="1">IF(G$2=Inputs!$B129,Inputs!$B128,0)*(1+inf)^F$1</f>
        <v>0</v>
      </c>
      <c r="H45" s="8">
        <f ca="1">IF(H$2=Inputs!$B129,Inputs!$B128,0)*(1+inf)^G$1</f>
        <v>0</v>
      </c>
      <c r="I45" s="8">
        <f ca="1">IF(I$2=Inputs!$B129,Inputs!$B128,0)*(1+inf)^H$1</f>
        <v>0</v>
      </c>
      <c r="J45" s="8">
        <f ca="1">IF(J$2=Inputs!$B129,Inputs!$B128,0)*(1+inf)^I$1</f>
        <v>0</v>
      </c>
      <c r="K45" s="8">
        <f ca="1">IF(K$2=Inputs!$B129,Inputs!$B128,0)*(1+inf)^J$1</f>
        <v>0</v>
      </c>
      <c r="L45" s="8">
        <f ca="1">IF(L$2=Inputs!$B129,Inputs!$B128,0)*(1+inf)^K$1</f>
        <v>49954.518797906618</v>
      </c>
      <c r="M45" s="8">
        <f ca="1">IF(M$2=Inputs!$B129,Inputs!$B128,0)*(1+inf)^L$1</f>
        <v>0</v>
      </c>
      <c r="N45" s="8">
        <f ca="1">IF(N$2=Inputs!$B129,Inputs!$B128,0)*(1+inf)^M$1</f>
        <v>0</v>
      </c>
      <c r="O45" s="8">
        <f ca="1">IF(O$2=Inputs!$B129,Inputs!$B128,0)*(1+inf)^N$1</f>
        <v>0</v>
      </c>
      <c r="P45" s="8">
        <f ca="1">IF(P$2=Inputs!$B129,Inputs!$B128,0)*(1+inf)^O$1</f>
        <v>0</v>
      </c>
      <c r="Q45" s="8">
        <f ca="1">IF(Q$2=Inputs!$B129,Inputs!$B128,0)*(1+inf)^P$1</f>
        <v>0</v>
      </c>
      <c r="R45" s="8">
        <f ca="1">IF(R$2=Inputs!$B129,Inputs!$B128,0)*(1+inf)^Q$1</f>
        <v>0</v>
      </c>
      <c r="S45" s="8">
        <f ca="1">IF(S$2=Inputs!$B129,Inputs!$B128,0)*(1+inf)^R$1</f>
        <v>0</v>
      </c>
      <c r="T45" s="8">
        <f ca="1">IF(T$2=Inputs!$B129,Inputs!$B128,0)*(1+inf)^S$1</f>
        <v>0</v>
      </c>
      <c r="U45" s="8">
        <f ca="1">IF(U$2=Inputs!$B129,Inputs!$B128,0)*(1+inf)^T$1</f>
        <v>0</v>
      </c>
      <c r="V45" s="8">
        <f ca="1">IF(V$2=Inputs!$B129,Inputs!$B128,0)*(1+inf)^U$1</f>
        <v>0</v>
      </c>
      <c r="W45" s="8">
        <f ca="1">IF(W$2=Inputs!$B129,Inputs!$B128,0)*(1+inf)^V$1</f>
        <v>0</v>
      </c>
      <c r="X45" s="8">
        <f ca="1">IF(X$2=Inputs!$B129,Inputs!$B128,0)*(1+inf)^W$1</f>
        <v>0</v>
      </c>
      <c r="Y45" s="8">
        <f ca="1">IF(Y$2=Inputs!$B129,Inputs!$B128,0)*(1+inf)^X$1</f>
        <v>0</v>
      </c>
      <c r="Z45" s="8">
        <f ca="1">IF(Z$2=Inputs!$B129,Inputs!$B128,0)*(1+inf)^Y$1</f>
        <v>0</v>
      </c>
      <c r="AA45" s="8">
        <f ca="1">IF(AA$2=Inputs!$B129,Inputs!$B128,0)*(1+inf)^Z$1</f>
        <v>0</v>
      </c>
      <c r="AB45" s="8">
        <f ca="1">IF(AB$2=Inputs!$B129,Inputs!$B128,0)*(1+inf)^AA$1</f>
        <v>0</v>
      </c>
      <c r="AC45" s="8">
        <f ca="1">IF(AC$2=Inputs!$B129,Inputs!$B128,0)*(1+inf)^AB$1</f>
        <v>0</v>
      </c>
      <c r="AD45" s="8">
        <f ca="1">IF(AD$2=Inputs!$B129,Inputs!$B128,0)*(1+inf)^AC$1</f>
        <v>0</v>
      </c>
      <c r="AE45" s="8">
        <f ca="1">IF(AE$2=Inputs!$B129,Inputs!$B128,0)*(1+inf)^AD$1</f>
        <v>0</v>
      </c>
      <c r="AF45" s="8">
        <f ca="1">IF(AF$2=Inputs!$B129,Inputs!$B128,0)*(1+inf)^AE$1</f>
        <v>0</v>
      </c>
      <c r="AG45" s="8">
        <f ca="1">IF(AG$2=Inputs!$B129,Inputs!$B128,0)*(1+inf)^AF$1</f>
        <v>0</v>
      </c>
      <c r="AH45" s="8">
        <f ca="1">IF(AH$2=Inputs!$B129,Inputs!$B128,0)*(1+inf)^AG$1</f>
        <v>0</v>
      </c>
      <c r="AI45" s="8">
        <f ca="1">IF(AI$2=Inputs!$B129,Inputs!$B128,0)*(1+inf)^AH$1</f>
        <v>0</v>
      </c>
      <c r="AJ45" s="8">
        <f ca="1">IF(AJ$2=Inputs!$B129,Inputs!$B128,0)*(1+inf)^AI$1</f>
        <v>0</v>
      </c>
      <c r="AK45" s="8">
        <f ca="1">IF(AK$2=Inputs!$B129,Inputs!$B128,0)*(1+inf)^AJ$1</f>
        <v>0</v>
      </c>
      <c r="AL45" s="8">
        <f ca="1">IF(AL$2=Inputs!$B129,Inputs!$B128,0)*(1+inf)^AK$1</f>
        <v>0</v>
      </c>
      <c r="AM45" s="8">
        <f ca="1">IF(AM$2=Inputs!$B129,Inputs!$B128,0)*(1+inf)^AL$1</f>
        <v>0</v>
      </c>
    </row>
    <row r="46" spans="1:39" x14ac:dyDescent="0.2">
      <c r="A46" s="4" t="str">
        <f>TEXT(Inputs!$B$132,"")</f>
        <v>New Car</v>
      </c>
      <c r="B46" s="9"/>
      <c r="C46" s="8">
        <f ca="1">IF(C$2=Inputs!$B134,Inputs!$B133,0)*(1+inf)^B$1</f>
        <v>0</v>
      </c>
      <c r="D46" s="8">
        <f ca="1">IF(D$2=Inputs!$B134,Inputs!$B133,0)*(1+inf)^C$1</f>
        <v>0</v>
      </c>
      <c r="E46" s="8">
        <f ca="1">IF(E$2=Inputs!$B134,Inputs!$B133,0)*(1+inf)^D$1</f>
        <v>36771.875</v>
      </c>
      <c r="F46" s="8">
        <f ca="1">IF(F$2=Inputs!$B134,Inputs!$B133,0)*(1+inf)^E$1</f>
        <v>0</v>
      </c>
      <c r="G46" s="8">
        <f ca="1">IF(G$2=Inputs!$B134,Inputs!$B133,0)*(1+inf)^F$1</f>
        <v>0</v>
      </c>
      <c r="H46" s="8">
        <f ca="1">IF(H$2=Inputs!$B134,Inputs!$B133,0)*(1+inf)^G$1</f>
        <v>0</v>
      </c>
      <c r="I46" s="8">
        <f ca="1">IF(I$2=Inputs!$B134,Inputs!$B133,0)*(1+inf)^H$1</f>
        <v>0</v>
      </c>
      <c r="J46" s="8">
        <f ca="1">IF(J$2=Inputs!$B134,Inputs!$B133,0)*(1+inf)^I$1</f>
        <v>0</v>
      </c>
      <c r="K46" s="8">
        <f ca="1">IF(K$2=Inputs!$B134,Inputs!$B133,0)*(1+inf)^J$1</f>
        <v>0</v>
      </c>
      <c r="L46" s="8">
        <f ca="1">IF(L$2=Inputs!$B134,Inputs!$B133,0)*(1+inf)^K$1</f>
        <v>0</v>
      </c>
      <c r="M46" s="8">
        <f ca="1">IF(M$2=Inputs!$B134,Inputs!$B133,0)*(1+inf)^L$1</f>
        <v>0</v>
      </c>
      <c r="N46" s="8">
        <f ca="1">IF(N$2=Inputs!$B134,Inputs!$B133,0)*(1+inf)^M$1</f>
        <v>0</v>
      </c>
      <c r="O46" s="8">
        <f ca="1">IF(O$2=Inputs!$B134,Inputs!$B133,0)*(1+inf)^N$1</f>
        <v>0</v>
      </c>
      <c r="P46" s="8">
        <f ca="1">IF(P$2=Inputs!$B134,Inputs!$B133,0)*(1+inf)^O$1</f>
        <v>0</v>
      </c>
      <c r="Q46" s="8">
        <f ca="1">IF(Q$2=Inputs!$B134,Inputs!$B133,0)*(1+inf)^P$1</f>
        <v>0</v>
      </c>
      <c r="R46" s="8">
        <f ca="1">IF(R$2=Inputs!$B134,Inputs!$B133,0)*(1+inf)^Q$1</f>
        <v>0</v>
      </c>
      <c r="S46" s="8">
        <f ca="1">IF(S$2=Inputs!$B134,Inputs!$B133,0)*(1+inf)^R$1</f>
        <v>0</v>
      </c>
      <c r="T46" s="8">
        <f ca="1">IF(T$2=Inputs!$B134,Inputs!$B133,0)*(1+inf)^S$1</f>
        <v>0</v>
      </c>
      <c r="U46" s="8">
        <f ca="1">IF(U$2=Inputs!$B134,Inputs!$B133,0)*(1+inf)^T$1</f>
        <v>0</v>
      </c>
      <c r="V46" s="8">
        <f ca="1">IF(V$2=Inputs!$B134,Inputs!$B133,0)*(1+inf)^U$1</f>
        <v>0</v>
      </c>
      <c r="W46" s="8">
        <f ca="1">IF(W$2=Inputs!$B134,Inputs!$B133,0)*(1+inf)^V$1</f>
        <v>0</v>
      </c>
      <c r="X46" s="8">
        <f ca="1">IF(X$2=Inputs!$B134,Inputs!$B133,0)*(1+inf)^W$1</f>
        <v>0</v>
      </c>
      <c r="Y46" s="8">
        <f ca="1">IF(Y$2=Inputs!$B134,Inputs!$B133,0)*(1+inf)^X$1</f>
        <v>0</v>
      </c>
      <c r="Z46" s="8">
        <f ca="1">IF(Z$2=Inputs!$B134,Inputs!$B133,0)*(1+inf)^Y$1</f>
        <v>0</v>
      </c>
      <c r="AA46" s="8">
        <f ca="1">IF(AA$2=Inputs!$B134,Inputs!$B133,0)*(1+inf)^Z$1</f>
        <v>0</v>
      </c>
      <c r="AB46" s="8">
        <f ca="1">IF(AB$2=Inputs!$B134,Inputs!$B133,0)*(1+inf)^AA$1</f>
        <v>0</v>
      </c>
      <c r="AC46" s="8">
        <f ca="1">IF(AC$2=Inputs!$B134,Inputs!$B133,0)*(1+inf)^AB$1</f>
        <v>0</v>
      </c>
      <c r="AD46" s="8">
        <f ca="1">IF(AD$2=Inputs!$B134,Inputs!$B133,0)*(1+inf)^AC$1</f>
        <v>0</v>
      </c>
      <c r="AE46" s="8">
        <f ca="1">IF(AE$2=Inputs!$B134,Inputs!$B133,0)*(1+inf)^AD$1</f>
        <v>0</v>
      </c>
      <c r="AF46" s="8">
        <f ca="1">IF(AF$2=Inputs!$B134,Inputs!$B133,0)*(1+inf)^AE$1</f>
        <v>0</v>
      </c>
      <c r="AG46" s="8">
        <f ca="1">IF(AG$2=Inputs!$B134,Inputs!$B133,0)*(1+inf)^AF$1</f>
        <v>0</v>
      </c>
      <c r="AH46" s="8">
        <f ca="1">IF(AH$2=Inputs!$B134,Inputs!$B133,0)*(1+inf)^AG$1</f>
        <v>0</v>
      </c>
      <c r="AI46" s="8">
        <f ca="1">IF(AI$2=Inputs!$B134,Inputs!$B133,0)*(1+inf)^AH$1</f>
        <v>0</v>
      </c>
      <c r="AJ46" s="8">
        <f ca="1">IF(AJ$2=Inputs!$B134,Inputs!$B133,0)*(1+inf)^AI$1</f>
        <v>0</v>
      </c>
      <c r="AK46" s="8">
        <f ca="1">IF(AK$2=Inputs!$B134,Inputs!$B133,0)*(1+inf)^AJ$1</f>
        <v>0</v>
      </c>
      <c r="AL46" s="8">
        <f ca="1">IF(AL$2=Inputs!$B134,Inputs!$B133,0)*(1+inf)^AK$1</f>
        <v>0</v>
      </c>
      <c r="AM46" s="8">
        <f ca="1">IF(AM$2=Inputs!$B134,Inputs!$B133,0)*(1+inf)^AL$1</f>
        <v>0</v>
      </c>
    </row>
    <row r="47" spans="1:39" x14ac:dyDescent="0.2">
      <c r="A47" s="4" t="str">
        <f>TEXT(Inputs!$B$137,"")</f>
        <v>New AC</v>
      </c>
      <c r="B47" s="9"/>
      <c r="C47" s="8">
        <f ca="1">IF(C$2=Inputs!$B139,Inputs!$B138,0)*(1+inf)^B$1</f>
        <v>0</v>
      </c>
      <c r="D47" s="8">
        <f ca="1">IF(D$2=Inputs!$B139,Inputs!$B138,0)*(1+inf)^C$1</f>
        <v>0</v>
      </c>
      <c r="E47" s="8">
        <f ca="1">IF(E$2=Inputs!$B139,Inputs!$B138,0)*(1+inf)^D$1</f>
        <v>0</v>
      </c>
      <c r="F47" s="8">
        <f ca="1">IF(F$2=Inputs!$B139,Inputs!$B138,0)*(1+inf)^E$1</f>
        <v>0</v>
      </c>
      <c r="G47" s="8">
        <f ca="1">IF(G$2=Inputs!$B139,Inputs!$B138,0)*(1+inf)^F$1</f>
        <v>0</v>
      </c>
      <c r="H47" s="8">
        <f ca="1">IF(H$2=Inputs!$B139,Inputs!$B138,0)*(1+inf)^G$1</f>
        <v>0</v>
      </c>
      <c r="I47" s="8">
        <f ca="1">IF(I$2=Inputs!$B139,Inputs!$B138,0)*(1+inf)^H$1</f>
        <v>0</v>
      </c>
      <c r="J47" s="8">
        <f ca="1">IF(J$2=Inputs!$B139,Inputs!$B138,0)*(1+inf)^I$1</f>
        <v>17830.286305023186</v>
      </c>
      <c r="K47" s="8">
        <f ca="1">IF(K$2=Inputs!$B139,Inputs!$B138,0)*(1+inf)^J$1</f>
        <v>0</v>
      </c>
      <c r="L47" s="8">
        <f ca="1">IF(L$2=Inputs!$B139,Inputs!$B138,0)*(1+inf)^K$1</f>
        <v>0</v>
      </c>
      <c r="M47" s="8">
        <f ca="1">IF(M$2=Inputs!$B139,Inputs!$B138,0)*(1+inf)^L$1</f>
        <v>0</v>
      </c>
      <c r="N47" s="8">
        <f ca="1">IF(N$2=Inputs!$B139,Inputs!$B138,0)*(1+inf)^M$1</f>
        <v>0</v>
      </c>
      <c r="O47" s="8">
        <f ca="1">IF(O$2=Inputs!$B139,Inputs!$B138,0)*(1+inf)^N$1</f>
        <v>0</v>
      </c>
      <c r="P47" s="8">
        <f ca="1">IF(P$2=Inputs!$B139,Inputs!$B138,0)*(1+inf)^O$1</f>
        <v>0</v>
      </c>
      <c r="Q47" s="8">
        <f ca="1">IF(Q$2=Inputs!$B139,Inputs!$B138,0)*(1+inf)^P$1</f>
        <v>0</v>
      </c>
      <c r="R47" s="8">
        <f ca="1">IF(R$2=Inputs!$B139,Inputs!$B138,0)*(1+inf)^Q$1</f>
        <v>0</v>
      </c>
      <c r="S47" s="8">
        <f ca="1">IF(S$2=Inputs!$B139,Inputs!$B138,0)*(1+inf)^R$1</f>
        <v>0</v>
      </c>
      <c r="T47" s="8">
        <f ca="1">IF(T$2=Inputs!$B139,Inputs!$B138,0)*(1+inf)^S$1</f>
        <v>0</v>
      </c>
      <c r="U47" s="8">
        <f ca="1">IF(U$2=Inputs!$B139,Inputs!$B138,0)*(1+inf)^T$1</f>
        <v>0</v>
      </c>
      <c r="V47" s="8">
        <f ca="1">IF(V$2=Inputs!$B139,Inputs!$B138,0)*(1+inf)^U$1</f>
        <v>0</v>
      </c>
      <c r="W47" s="8">
        <f ca="1">IF(W$2=Inputs!$B139,Inputs!$B138,0)*(1+inf)^V$1</f>
        <v>0</v>
      </c>
      <c r="X47" s="8">
        <f ca="1">IF(X$2=Inputs!$B139,Inputs!$B138,0)*(1+inf)^W$1</f>
        <v>0</v>
      </c>
      <c r="Y47" s="8">
        <f ca="1">IF(Y$2=Inputs!$B139,Inputs!$B138,0)*(1+inf)^X$1</f>
        <v>0</v>
      </c>
      <c r="Z47" s="8">
        <f ca="1">IF(Z$2=Inputs!$B139,Inputs!$B138,0)*(1+inf)^Y$1</f>
        <v>0</v>
      </c>
      <c r="AA47" s="8">
        <f ca="1">IF(AA$2=Inputs!$B139,Inputs!$B138,0)*(1+inf)^Z$1</f>
        <v>0</v>
      </c>
      <c r="AB47" s="8">
        <f ca="1">IF(AB$2=Inputs!$B139,Inputs!$B138,0)*(1+inf)^AA$1</f>
        <v>0</v>
      </c>
      <c r="AC47" s="8">
        <f ca="1">IF(AC$2=Inputs!$B139,Inputs!$B138,0)*(1+inf)^AB$1</f>
        <v>0</v>
      </c>
      <c r="AD47" s="8">
        <f ca="1">IF(AD$2=Inputs!$B139,Inputs!$B138,0)*(1+inf)^AC$1</f>
        <v>0</v>
      </c>
      <c r="AE47" s="8">
        <f ca="1">IF(AE$2=Inputs!$B139,Inputs!$B138,0)*(1+inf)^AD$1</f>
        <v>0</v>
      </c>
      <c r="AF47" s="8">
        <f ca="1">IF(AF$2=Inputs!$B139,Inputs!$B138,0)*(1+inf)^AE$1</f>
        <v>0</v>
      </c>
      <c r="AG47" s="8">
        <f ca="1">IF(AG$2=Inputs!$B139,Inputs!$B138,0)*(1+inf)^AF$1</f>
        <v>0</v>
      </c>
      <c r="AH47" s="8">
        <f ca="1">IF(AH$2=Inputs!$B139,Inputs!$B138,0)*(1+inf)^AG$1</f>
        <v>0</v>
      </c>
      <c r="AI47" s="8">
        <f ca="1">IF(AI$2=Inputs!$B139,Inputs!$B138,0)*(1+inf)^AH$1</f>
        <v>0</v>
      </c>
      <c r="AJ47" s="8">
        <f ca="1">IF(AJ$2=Inputs!$B139,Inputs!$B138,0)*(1+inf)^AI$1</f>
        <v>0</v>
      </c>
      <c r="AK47" s="8">
        <f ca="1">IF(AK$2=Inputs!$B139,Inputs!$B138,0)*(1+inf)^AJ$1</f>
        <v>0</v>
      </c>
      <c r="AL47" s="8">
        <f ca="1">IF(AL$2=Inputs!$B139,Inputs!$B138,0)*(1+inf)^AK$1</f>
        <v>0</v>
      </c>
      <c r="AM47" s="8">
        <f ca="1">IF(AM$2=Inputs!$B139,Inputs!$B138,0)*(1+inf)^AL$1</f>
        <v>0</v>
      </c>
    </row>
    <row r="48" spans="1:39" x14ac:dyDescent="0.2">
      <c r="A48" s="5"/>
      <c r="C48" s="10">
        <f t="shared" ref="C48:G48" ca="1" si="67">SUM(C20:C47)</f>
        <v>93160</v>
      </c>
      <c r="D48" s="10">
        <f t="shared" ca="1" si="67"/>
        <v>93924</v>
      </c>
      <c r="E48" s="10">
        <f t="shared" ca="1" si="67"/>
        <v>128301.47499999999</v>
      </c>
      <c r="F48" s="10">
        <f t="shared" ca="1" si="67"/>
        <v>87655.235089457303</v>
      </c>
      <c r="G48" s="10">
        <f t="shared" ca="1" si="67"/>
        <v>87702.627992187481</v>
      </c>
      <c r="H48" s="10">
        <f t="shared" ref="H48" ca="1" si="68">SUM(H20:H47)</f>
        <v>84416.268272831803</v>
      </c>
      <c r="I48" s="10">
        <f t="shared" ref="I48:AM48" ca="1" si="69">SUM(I20:I47)</f>
        <v>74094.156939990207</v>
      </c>
      <c r="J48" s="10">
        <f t="shared" ca="1" si="69"/>
        <v>93611.797168513149</v>
      </c>
      <c r="K48" s="10">
        <f t="shared" ca="1" si="69"/>
        <v>77232.064897652424</v>
      </c>
      <c r="L48" s="10">
        <f t="shared" ca="1" si="69"/>
        <v>126246.64872784793</v>
      </c>
      <c r="M48" s="10">
        <f t="shared" ca="1" si="69"/>
        <v>74500.920472227983</v>
      </c>
      <c r="N48" s="10">
        <f t="shared" ca="1" si="69"/>
        <v>76363.443484033691</v>
      </c>
      <c r="O48" s="10">
        <f t="shared" ca="1" si="69"/>
        <v>78272.529571134524</v>
      </c>
      <c r="P48" s="10">
        <f t="shared" ca="1" si="69"/>
        <v>80229.342810412869</v>
      </c>
      <c r="Q48" s="10">
        <f t="shared" ca="1" si="69"/>
        <v>82235.076380673185</v>
      </c>
      <c r="R48" s="10">
        <f t="shared" ca="1" si="69"/>
        <v>84290.953290190024</v>
      </c>
      <c r="S48" s="10">
        <f t="shared" ca="1" si="69"/>
        <v>86398.227122444776</v>
      </c>
      <c r="T48" s="10">
        <f t="shared" ca="1" si="69"/>
        <v>80950.091494620501</v>
      </c>
      <c r="U48" s="10">
        <f t="shared" ca="1" si="69"/>
        <v>82973.843781986012</v>
      </c>
      <c r="V48" s="10">
        <f t="shared" ca="1" si="69"/>
        <v>85048.18987653566</v>
      </c>
      <c r="W48" s="10">
        <f t="shared" ca="1" si="69"/>
        <v>87174.394623449029</v>
      </c>
      <c r="X48" s="10">
        <f t="shared" ca="1" si="69"/>
        <v>89353.754489035273</v>
      </c>
      <c r="Y48" s="10">
        <f t="shared" ca="1" si="69"/>
        <v>91587.598351261142</v>
      </c>
      <c r="Z48" s="10">
        <f t="shared" ca="1" si="69"/>
        <v>93877.288310042684</v>
      </c>
      <c r="AA48" s="10">
        <f t="shared" ca="1" si="69"/>
        <v>96224.220517793729</v>
      </c>
      <c r="AB48" s="10">
        <f t="shared" ca="1" si="69"/>
        <v>98629.82603073855</v>
      </c>
      <c r="AC48" s="10">
        <f t="shared" ca="1" si="69"/>
        <v>101095.57168150702</v>
      </c>
      <c r="AD48" s="10">
        <f t="shared" ca="1" si="69"/>
        <v>93883.960882046114</v>
      </c>
      <c r="AE48" s="10">
        <f t="shared" ca="1" si="69"/>
        <v>96231.059904097274</v>
      </c>
      <c r="AF48" s="10">
        <f t="shared" ca="1" si="69"/>
        <v>98636.836401699707</v>
      </c>
      <c r="AG48" s="10">
        <f t="shared" ca="1" si="69"/>
        <v>101102.75731174219</v>
      </c>
      <c r="AH48" s="10">
        <f t="shared" ca="1" si="69"/>
        <v>103630.32624453575</v>
      </c>
      <c r="AI48" s="10">
        <f t="shared" ca="1" si="69"/>
        <v>106221.08440064912</v>
      </c>
      <c r="AJ48" s="10">
        <f t="shared" ca="1" si="69"/>
        <v>108876.61151066537</v>
      </c>
      <c r="AK48" s="10">
        <f t="shared" ca="1" si="69"/>
        <v>111598.52679843198</v>
      </c>
      <c r="AL48" s="10">
        <f t="shared" ca="1" si="69"/>
        <v>114388.48996839277</v>
      </c>
      <c r="AM48" s="10">
        <f t="shared" ca="1" si="69"/>
        <v>117248.20221760261</v>
      </c>
    </row>
    <row r="49" spans="1:39" x14ac:dyDescent="0.2">
      <c r="A49" s="5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</row>
    <row r="50" spans="1:39" ht="19" x14ac:dyDescent="0.25">
      <c r="A50" s="14" t="s">
        <v>19</v>
      </c>
      <c r="C50" s="8">
        <f t="shared" ref="C50:G50" ca="1" si="70">C19-C48</f>
        <v>20325.5</v>
      </c>
      <c r="D50" s="8">
        <f t="shared" ca="1" si="70"/>
        <v>23451.962499999994</v>
      </c>
      <c r="E50" s="8">
        <f t="shared" ca="1" si="70"/>
        <v>3362.0243750000227</v>
      </c>
      <c r="F50" s="8">
        <f t="shared" ca="1" si="70"/>
        <v>37560.734784424494</v>
      </c>
      <c r="G50" s="8">
        <f t="shared" ca="1" si="70"/>
        <v>42157.35951666141</v>
      </c>
      <c r="H50" s="8">
        <f t="shared" ref="H50" ca="1" si="71">H19-H48</f>
        <v>-37818.226381115252</v>
      </c>
      <c r="I50" s="8">
        <f t="shared" ref="I50:AM50" ca="1" si="72">I19-I48</f>
        <v>-32926.632352916335</v>
      </c>
      <c r="J50" s="8">
        <f t="shared" ca="1" si="72"/>
        <v>-52364.619258609644</v>
      </c>
      <c r="K50" s="8">
        <f t="shared" ca="1" si="72"/>
        <v>25773.290646759036</v>
      </c>
      <c r="L50" s="8">
        <f t="shared" ca="1" si="72"/>
        <v>-68501.57893336947</v>
      </c>
      <c r="M50" s="8">
        <f t="shared" ca="1" si="72"/>
        <v>-18782.199371146533</v>
      </c>
      <c r="N50" s="8">
        <f t="shared" ca="1" si="72"/>
        <v>-19091.387468685127</v>
      </c>
      <c r="O50" s="8">
        <f t="shared" ca="1" si="72"/>
        <v>-19361.037074793581</v>
      </c>
      <c r="P50" s="8">
        <f t="shared" ca="1" si="72"/>
        <v>-19631.198868636471</v>
      </c>
      <c r="Q50" s="8">
        <f t="shared" ca="1" si="72"/>
        <v>-19901.698783334636</v>
      </c>
      <c r="R50" s="8">
        <f t="shared" ca="1" si="72"/>
        <v>-20172.352794189748</v>
      </c>
      <c r="S50" s="8">
        <f t="shared" ca="1" si="72"/>
        <v>-1589.7451191652217</v>
      </c>
      <c r="T50" s="8">
        <f t="shared" ca="1" si="72"/>
        <v>6219.3085246058617</v>
      </c>
      <c r="U50" s="8">
        <f t="shared" ca="1" si="72"/>
        <v>6622.7183825617685</v>
      </c>
      <c r="V50" s="8">
        <f t="shared" ca="1" si="72"/>
        <v>7043.6513013118092</v>
      </c>
      <c r="W50" s="8">
        <f t="shared" ca="1" si="72"/>
        <v>7482.7684918061859</v>
      </c>
      <c r="X50" s="8">
        <f t="shared" ca="1" si="72"/>
        <v>-12214.227826270115</v>
      </c>
      <c r="Y50" s="8">
        <f t="shared" ca="1" si="72"/>
        <v>-12240.539336170448</v>
      </c>
      <c r="Z50" s="8">
        <f t="shared" ca="1" si="72"/>
        <v>-12259.137308245598</v>
      </c>
      <c r="AA50" s="8">
        <f t="shared" ca="1" si="72"/>
        <v>-12269.577764282716</v>
      </c>
      <c r="AB50" s="8">
        <f t="shared" ca="1" si="72"/>
        <v>-12271.398092420714</v>
      </c>
      <c r="AC50" s="8">
        <f t="shared" ca="1" si="72"/>
        <v>-12264.116355283084</v>
      </c>
      <c r="AD50" s="8">
        <f t="shared" ca="1" si="72"/>
        <v>-2508.2304825350293</v>
      </c>
      <c r="AE50" s="8">
        <f t="shared" ca="1" si="72"/>
        <v>-2237.7428937628865</v>
      </c>
      <c r="AF50" s="8">
        <f t="shared" ca="1" si="72"/>
        <v>-1950.4973147463606</v>
      </c>
      <c r="AG50" s="8">
        <f t="shared" ca="1" si="72"/>
        <v>-1645.7749217135861</v>
      </c>
      <c r="AH50" s="8">
        <f t="shared" ca="1" si="72"/>
        <v>-1322.8299240779743</v>
      </c>
      <c r="AI50" s="8">
        <f t="shared" ca="1" si="72"/>
        <v>-980.88862038111256</v>
      </c>
      <c r="AJ50" s="8">
        <f t="shared" ca="1" si="72"/>
        <v>-619.14842253789539</v>
      </c>
      <c r="AK50" s="8">
        <f t="shared" ca="1" si="72"/>
        <v>-236.7768473479664</v>
      </c>
      <c r="AL50" s="8">
        <f t="shared" ca="1" si="72"/>
        <v>167.08952579430479</v>
      </c>
      <c r="AM50" s="8">
        <f t="shared" ca="1" si="72"/>
        <v>593.34613209485542</v>
      </c>
    </row>
    <row r="51" spans="1:39" x14ac:dyDescent="0.2">
      <c r="A51" s="5" t="s">
        <v>10</v>
      </c>
      <c r="C51" s="8">
        <f>Inputs!B8</f>
        <v>50000</v>
      </c>
      <c r="D51" s="8">
        <f ca="1">C52</f>
        <v>70325.5</v>
      </c>
      <c r="E51" s="8">
        <f t="shared" ref="E51:H51" ca="1" si="73">D52</f>
        <v>93777.462499999994</v>
      </c>
      <c r="F51" s="8">
        <f t="shared" ca="1" si="73"/>
        <v>97139.486875000017</v>
      </c>
      <c r="G51" s="8">
        <f t="shared" ca="1" si="73"/>
        <v>134700.22165942451</v>
      </c>
      <c r="H51" s="8">
        <f t="shared" ca="1" si="73"/>
        <v>176857.58117608592</v>
      </c>
      <c r="I51" s="8">
        <f t="shared" ref="I51" ca="1" si="74">H52</f>
        <v>139039.35479497066</v>
      </c>
      <c r="J51" s="8">
        <f t="shared" ref="J51" ca="1" si="75">I52</f>
        <v>106112.72244205432</v>
      </c>
      <c r="K51" s="8">
        <f t="shared" ref="K51" ca="1" si="76">J52</f>
        <v>53748.103183444677</v>
      </c>
      <c r="L51" s="8">
        <f t="shared" ref="L51" ca="1" si="77">K52</f>
        <v>79521.393830203713</v>
      </c>
      <c r="M51" s="8">
        <f t="shared" ref="M51" ca="1" si="78">L52</f>
        <v>11019.814896834243</v>
      </c>
      <c r="N51" s="8">
        <f t="shared" ref="N51" ca="1" si="79">M52</f>
        <v>-7762.38447431229</v>
      </c>
      <c r="O51" s="8">
        <f t="shared" ref="O51" ca="1" si="80">N52</f>
        <v>-26853.771942997417</v>
      </c>
      <c r="P51" s="8">
        <f t="shared" ref="P51" ca="1" si="81">O52</f>
        <v>-46214.809017790998</v>
      </c>
      <c r="Q51" s="8">
        <f t="shared" ref="Q51" ca="1" si="82">P52</f>
        <v>-65846.007886427469</v>
      </c>
      <c r="R51" s="8">
        <f t="shared" ref="R51" ca="1" si="83">Q52</f>
        <v>-85747.706669762105</v>
      </c>
      <c r="S51" s="8">
        <f t="shared" ref="S51" ca="1" si="84">R52</f>
        <v>-105920.05946395185</v>
      </c>
      <c r="T51" s="8">
        <f t="shared" ref="T51" ca="1" si="85">S52</f>
        <v>-107509.80458311707</v>
      </c>
      <c r="U51" s="8">
        <f t="shared" ref="U51" ca="1" si="86">T52</f>
        <v>-101290.49605851121</v>
      </c>
      <c r="V51" s="8">
        <f t="shared" ref="V51" ca="1" si="87">U52</f>
        <v>-94667.777675949445</v>
      </c>
      <c r="W51" s="8">
        <f t="shared" ref="W51" ca="1" si="88">V52</f>
        <v>-87624.126374637635</v>
      </c>
      <c r="X51" s="8">
        <f t="shared" ref="X51" ca="1" si="89">W52</f>
        <v>-80141.357882831449</v>
      </c>
      <c r="Y51" s="8">
        <f t="shared" ref="Y51" ca="1" si="90">X52</f>
        <v>-92355.585709101564</v>
      </c>
      <c r="Z51" s="8">
        <f t="shared" ref="Z51" ca="1" si="91">Y52</f>
        <v>-104596.12504527201</v>
      </c>
      <c r="AA51" s="8">
        <f t="shared" ref="AA51" ca="1" si="92">Z52</f>
        <v>-116855.26235351761</v>
      </c>
      <c r="AB51" s="8">
        <f t="shared" ref="AB51" ca="1" si="93">AA52</f>
        <v>-129124.84011780033</v>
      </c>
      <c r="AC51" s="8">
        <f t="shared" ref="AC51" ca="1" si="94">AB52</f>
        <v>-141396.23821022105</v>
      </c>
      <c r="AD51" s="8">
        <f t="shared" ref="AD51" ca="1" si="95">AC52</f>
        <v>-153660.35456550412</v>
      </c>
      <c r="AE51" s="8">
        <f t="shared" ref="AE51" ca="1" si="96">AD52</f>
        <v>-156168.58504803915</v>
      </c>
      <c r="AF51" s="8">
        <f t="shared" ref="AF51" ca="1" si="97">AE52</f>
        <v>-158406.32794180204</v>
      </c>
      <c r="AG51" s="8">
        <f t="shared" ref="AG51" ca="1" si="98">AF52</f>
        <v>-160356.82525654841</v>
      </c>
      <c r="AH51" s="8">
        <f t="shared" ref="AH51" ca="1" si="99">AG52</f>
        <v>-162002.60017826199</v>
      </c>
      <c r="AI51" s="8">
        <f t="shared" ref="AI51" ca="1" si="100">AH52</f>
        <v>-163325.43010233995</v>
      </c>
      <c r="AJ51" s="8">
        <f t="shared" ref="AJ51" ca="1" si="101">AI52</f>
        <v>-164306.31872272107</v>
      </c>
      <c r="AK51" s="8">
        <f t="shared" ref="AK51" ca="1" si="102">AJ52</f>
        <v>-164925.46714525897</v>
      </c>
      <c r="AL51" s="8">
        <f t="shared" ref="AL51" ca="1" si="103">AK52</f>
        <v>-165162.24399260693</v>
      </c>
      <c r="AM51" s="8">
        <f t="shared" ref="AM51" ca="1" si="104">AL52</f>
        <v>-164995.15446681262</v>
      </c>
    </row>
    <row r="52" spans="1:39" x14ac:dyDescent="0.2">
      <c r="A52" s="5" t="s">
        <v>11</v>
      </c>
      <c r="C52" s="10">
        <f ca="1">SUM(C50:C51)</f>
        <v>70325.5</v>
      </c>
      <c r="D52" s="10">
        <f t="shared" ref="D52:G52" ca="1" si="105">SUM(D50:D51)</f>
        <v>93777.462499999994</v>
      </c>
      <c r="E52" s="10">
        <f t="shared" ca="1" si="105"/>
        <v>97139.486875000017</v>
      </c>
      <c r="F52" s="10">
        <f t="shared" ca="1" si="105"/>
        <v>134700.22165942451</v>
      </c>
      <c r="G52" s="10">
        <f t="shared" ca="1" si="105"/>
        <v>176857.58117608592</v>
      </c>
      <c r="H52" s="10">
        <f t="shared" ref="H52" ca="1" si="106">SUM(H50:H51)</f>
        <v>139039.35479497066</v>
      </c>
      <c r="I52" s="10">
        <f t="shared" ref="I52:AM52" ca="1" si="107">SUM(I50:I51)</f>
        <v>106112.72244205432</v>
      </c>
      <c r="J52" s="10">
        <f t="shared" ca="1" si="107"/>
        <v>53748.103183444677</v>
      </c>
      <c r="K52" s="10">
        <f t="shared" ca="1" si="107"/>
        <v>79521.393830203713</v>
      </c>
      <c r="L52" s="10">
        <f t="shared" ca="1" si="107"/>
        <v>11019.814896834243</v>
      </c>
      <c r="M52" s="10">
        <f t="shared" ca="1" si="107"/>
        <v>-7762.38447431229</v>
      </c>
      <c r="N52" s="10">
        <f t="shared" ca="1" si="107"/>
        <v>-26853.771942997417</v>
      </c>
      <c r="O52" s="10">
        <f t="shared" ca="1" si="107"/>
        <v>-46214.809017790998</v>
      </c>
      <c r="P52" s="10">
        <f t="shared" ca="1" si="107"/>
        <v>-65846.007886427469</v>
      </c>
      <c r="Q52" s="10">
        <f t="shared" ca="1" si="107"/>
        <v>-85747.706669762105</v>
      </c>
      <c r="R52" s="10">
        <f t="shared" ca="1" si="107"/>
        <v>-105920.05946395185</v>
      </c>
      <c r="S52" s="10">
        <f t="shared" ca="1" si="107"/>
        <v>-107509.80458311707</v>
      </c>
      <c r="T52" s="10">
        <f t="shared" ca="1" si="107"/>
        <v>-101290.49605851121</v>
      </c>
      <c r="U52" s="10">
        <f t="shared" ca="1" si="107"/>
        <v>-94667.777675949445</v>
      </c>
      <c r="V52" s="10">
        <f t="shared" ca="1" si="107"/>
        <v>-87624.126374637635</v>
      </c>
      <c r="W52" s="10">
        <f t="shared" ca="1" si="107"/>
        <v>-80141.357882831449</v>
      </c>
      <c r="X52" s="10">
        <f t="shared" ca="1" si="107"/>
        <v>-92355.585709101564</v>
      </c>
      <c r="Y52" s="10">
        <f t="shared" ca="1" si="107"/>
        <v>-104596.12504527201</v>
      </c>
      <c r="Z52" s="10">
        <f t="shared" ca="1" si="107"/>
        <v>-116855.26235351761</v>
      </c>
      <c r="AA52" s="10">
        <f t="shared" ca="1" si="107"/>
        <v>-129124.84011780033</v>
      </c>
      <c r="AB52" s="10">
        <f t="shared" ca="1" si="107"/>
        <v>-141396.23821022105</v>
      </c>
      <c r="AC52" s="10">
        <f t="shared" ca="1" si="107"/>
        <v>-153660.35456550412</v>
      </c>
      <c r="AD52" s="10">
        <f t="shared" ca="1" si="107"/>
        <v>-156168.58504803915</v>
      </c>
      <c r="AE52" s="10">
        <f t="shared" ca="1" si="107"/>
        <v>-158406.32794180204</v>
      </c>
      <c r="AF52" s="10">
        <f t="shared" ca="1" si="107"/>
        <v>-160356.82525654841</v>
      </c>
      <c r="AG52" s="10">
        <f t="shared" ca="1" si="107"/>
        <v>-162002.60017826199</v>
      </c>
      <c r="AH52" s="10">
        <f t="shared" ca="1" si="107"/>
        <v>-163325.43010233995</v>
      </c>
      <c r="AI52" s="10">
        <f t="shared" ca="1" si="107"/>
        <v>-164306.31872272107</v>
      </c>
      <c r="AJ52" s="10">
        <f t="shared" ca="1" si="107"/>
        <v>-164925.46714525897</v>
      </c>
      <c r="AK52" s="10">
        <f t="shared" ca="1" si="107"/>
        <v>-165162.24399260693</v>
      </c>
      <c r="AL52" s="10">
        <f t="shared" ca="1" si="107"/>
        <v>-164995.15446681262</v>
      </c>
      <c r="AM52" s="10">
        <f t="shared" ca="1" si="107"/>
        <v>-164401.80833471776</v>
      </c>
    </row>
    <row r="53" spans="1:39" x14ac:dyDescent="0.2"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</row>
    <row r="54" spans="1:39" ht="19" x14ac:dyDescent="0.25">
      <c r="A54" s="30" t="s">
        <v>82</v>
      </c>
      <c r="B54" s="31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</row>
    <row r="55" spans="1:39" x14ac:dyDescent="0.2">
      <c r="A55" s="5" t="s">
        <v>9</v>
      </c>
      <c r="C55" s="8">
        <f t="shared" ref="C55:G55" ca="1" si="108">C52</f>
        <v>70325.5</v>
      </c>
      <c r="D55" s="8">
        <f t="shared" ca="1" si="108"/>
        <v>93777.462499999994</v>
      </c>
      <c r="E55" s="8">
        <f t="shared" ca="1" si="108"/>
        <v>97139.486875000017</v>
      </c>
      <c r="F55" s="8">
        <f t="shared" ca="1" si="108"/>
        <v>134700.22165942451</v>
      </c>
      <c r="G55" s="8">
        <f t="shared" ca="1" si="108"/>
        <v>176857.58117608592</v>
      </c>
      <c r="H55" s="8">
        <f t="shared" ref="H55" ca="1" si="109">H52</f>
        <v>139039.35479497066</v>
      </c>
      <c r="I55" s="8">
        <f t="shared" ref="I55:AM55" ca="1" si="110">I52</f>
        <v>106112.72244205432</v>
      </c>
      <c r="J55" s="8">
        <f t="shared" ca="1" si="110"/>
        <v>53748.103183444677</v>
      </c>
      <c r="K55" s="8">
        <f t="shared" ca="1" si="110"/>
        <v>79521.393830203713</v>
      </c>
      <c r="L55" s="8">
        <f t="shared" ca="1" si="110"/>
        <v>11019.814896834243</v>
      </c>
      <c r="M55" s="8">
        <f t="shared" ca="1" si="110"/>
        <v>-7762.38447431229</v>
      </c>
      <c r="N55" s="8">
        <f t="shared" ca="1" si="110"/>
        <v>-26853.771942997417</v>
      </c>
      <c r="O55" s="8">
        <f t="shared" ca="1" si="110"/>
        <v>-46214.809017790998</v>
      </c>
      <c r="P55" s="8">
        <f t="shared" ca="1" si="110"/>
        <v>-65846.007886427469</v>
      </c>
      <c r="Q55" s="8">
        <f t="shared" ca="1" si="110"/>
        <v>-85747.706669762105</v>
      </c>
      <c r="R55" s="8">
        <f t="shared" ca="1" si="110"/>
        <v>-105920.05946395185</v>
      </c>
      <c r="S55" s="8">
        <f t="shared" ca="1" si="110"/>
        <v>-107509.80458311707</v>
      </c>
      <c r="T55" s="8">
        <f t="shared" ca="1" si="110"/>
        <v>-101290.49605851121</v>
      </c>
      <c r="U55" s="8">
        <f t="shared" ca="1" si="110"/>
        <v>-94667.777675949445</v>
      </c>
      <c r="V55" s="8">
        <f t="shared" ca="1" si="110"/>
        <v>-87624.126374637635</v>
      </c>
      <c r="W55" s="8">
        <f t="shared" ca="1" si="110"/>
        <v>-80141.357882831449</v>
      </c>
      <c r="X55" s="8">
        <f t="shared" ca="1" si="110"/>
        <v>-92355.585709101564</v>
      </c>
      <c r="Y55" s="8">
        <f t="shared" ca="1" si="110"/>
        <v>-104596.12504527201</v>
      </c>
      <c r="Z55" s="8">
        <f t="shared" ca="1" si="110"/>
        <v>-116855.26235351761</v>
      </c>
      <c r="AA55" s="8">
        <f t="shared" ca="1" si="110"/>
        <v>-129124.84011780033</v>
      </c>
      <c r="AB55" s="8">
        <f t="shared" ca="1" si="110"/>
        <v>-141396.23821022105</v>
      </c>
      <c r="AC55" s="8">
        <f t="shared" ca="1" si="110"/>
        <v>-153660.35456550412</v>
      </c>
      <c r="AD55" s="8">
        <f t="shared" ca="1" si="110"/>
        <v>-156168.58504803915</v>
      </c>
      <c r="AE55" s="8">
        <f t="shared" ca="1" si="110"/>
        <v>-158406.32794180204</v>
      </c>
      <c r="AF55" s="8">
        <f t="shared" ca="1" si="110"/>
        <v>-160356.82525654841</v>
      </c>
      <c r="AG55" s="8">
        <f t="shared" ca="1" si="110"/>
        <v>-162002.60017826199</v>
      </c>
      <c r="AH55" s="8">
        <f t="shared" ca="1" si="110"/>
        <v>-163325.43010233995</v>
      </c>
      <c r="AI55" s="8">
        <f t="shared" ca="1" si="110"/>
        <v>-164306.31872272107</v>
      </c>
      <c r="AJ55" s="8">
        <f t="shared" ca="1" si="110"/>
        <v>-164925.46714525897</v>
      </c>
      <c r="AK55" s="8">
        <f t="shared" ca="1" si="110"/>
        <v>-165162.24399260693</v>
      </c>
      <c r="AL55" s="8">
        <f t="shared" ca="1" si="110"/>
        <v>-164995.15446681262</v>
      </c>
      <c r="AM55" s="8">
        <f t="shared" ca="1" si="110"/>
        <v>-164401.80833471776</v>
      </c>
    </row>
    <row r="56" spans="1:39" x14ac:dyDescent="0.2">
      <c r="A56" s="5" t="s">
        <v>7</v>
      </c>
      <c r="C56" s="8">
        <f>Inputs!B12*(1+princ)</f>
        <v>618000</v>
      </c>
      <c r="D56" s="8">
        <f t="shared" ref="D56:H56" si="111">C56*(1+princ)</f>
        <v>636540</v>
      </c>
      <c r="E56" s="8">
        <f t="shared" si="111"/>
        <v>655636.20000000007</v>
      </c>
      <c r="F56" s="8">
        <f t="shared" si="111"/>
        <v>675305.28600000008</v>
      </c>
      <c r="G56" s="8">
        <f t="shared" si="111"/>
        <v>695564.44458000013</v>
      </c>
      <c r="H56" s="8">
        <f t="shared" si="111"/>
        <v>716431.3779174001</v>
      </c>
      <c r="I56" s="8">
        <f t="shared" ref="I56" si="112">H56*(1+princ)</f>
        <v>737924.3192549221</v>
      </c>
      <c r="J56" s="8">
        <f t="shared" ref="J56" si="113">I56*(1+princ)</f>
        <v>760062.04883256974</v>
      </c>
      <c r="K56" s="8">
        <f t="shared" ref="K56" si="114">J56*(1+princ)</f>
        <v>782863.91029754688</v>
      </c>
      <c r="L56" s="8">
        <f t="shared" ref="L56" si="115">K56*(1+princ)</f>
        <v>806349.82760647335</v>
      </c>
      <c r="M56" s="8">
        <f t="shared" ref="M56" si="116">L56*(1+princ)</f>
        <v>830540.32243466761</v>
      </c>
      <c r="N56" s="8">
        <f t="shared" ref="N56" si="117">M56*(1+princ)</f>
        <v>855456.5321077077</v>
      </c>
      <c r="O56" s="8">
        <f t="shared" ref="O56" si="118">N56*(1+princ)</f>
        <v>881120.22807093896</v>
      </c>
      <c r="P56" s="8">
        <f t="shared" ref="P56" si="119">O56*(1+princ)</f>
        <v>907553.83491306717</v>
      </c>
      <c r="Q56" s="8">
        <f t="shared" ref="Q56" si="120">P56*(1+princ)</f>
        <v>934780.44996045926</v>
      </c>
      <c r="R56" s="8">
        <f t="shared" ref="R56" si="121">Q56*(1+princ)</f>
        <v>962823.86345927301</v>
      </c>
      <c r="S56" s="8">
        <f t="shared" ref="S56" si="122">R56*(1+princ)</f>
        <v>991708.57936305122</v>
      </c>
      <c r="T56" s="8">
        <f t="shared" ref="T56" si="123">S56*(1+princ)</f>
        <v>1021459.8367439428</v>
      </c>
      <c r="U56" s="8">
        <f t="shared" ref="U56" si="124">T56*(1+princ)</f>
        <v>1052103.6318462612</v>
      </c>
      <c r="V56" s="8">
        <f t="shared" ref="V56" si="125">U56*(1+princ)</f>
        <v>1083666.7408016492</v>
      </c>
      <c r="W56" s="8">
        <f t="shared" ref="W56" si="126">V56*(1+princ)</f>
        <v>1116176.7430256987</v>
      </c>
      <c r="X56" s="8">
        <f t="shared" ref="X56" si="127">W56*(1+princ)</f>
        <v>1149662.0453164696</v>
      </c>
      <c r="Y56" s="8">
        <f t="shared" ref="Y56" si="128">X56*(1+princ)</f>
        <v>1184151.9066759637</v>
      </c>
      <c r="Z56" s="8">
        <f t="shared" ref="Z56" si="129">Y56*(1+princ)</f>
        <v>1219676.4638762425</v>
      </c>
      <c r="AA56" s="8">
        <f t="shared" ref="AA56" si="130">Z56*(1+princ)</f>
        <v>1256266.7577925299</v>
      </c>
      <c r="AB56" s="8">
        <f t="shared" ref="AB56" si="131">AA56*(1+princ)</f>
        <v>1293954.7605263058</v>
      </c>
      <c r="AC56" s="8">
        <f t="shared" ref="AC56" si="132">AB56*(1+princ)</f>
        <v>1332773.403342095</v>
      </c>
      <c r="AD56" s="8">
        <f t="shared" ref="AD56" si="133">AC56*(1+princ)</f>
        <v>1372756.6054423579</v>
      </c>
      <c r="AE56" s="8">
        <f t="shared" ref="AE56" si="134">AD56*(1+princ)</f>
        <v>1413939.3036056287</v>
      </c>
      <c r="AF56" s="8">
        <f t="shared" ref="AF56" si="135">AE56*(1+princ)</f>
        <v>1456357.4827137976</v>
      </c>
      <c r="AG56" s="8">
        <f t="shared" ref="AG56" si="136">AF56*(1+princ)</f>
        <v>1500048.2071952117</v>
      </c>
      <c r="AH56" s="8">
        <f t="shared" ref="AH56" si="137">AG56*(1+princ)</f>
        <v>1545049.653411068</v>
      </c>
      <c r="AI56" s="8">
        <f t="shared" ref="AI56" si="138">AH56*(1+princ)</f>
        <v>1591401.1430134</v>
      </c>
      <c r="AJ56" s="8">
        <f t="shared" ref="AJ56" si="139">AI56*(1+princ)</f>
        <v>1639143.177303802</v>
      </c>
      <c r="AK56" s="8">
        <f t="shared" ref="AK56" si="140">AJ56*(1+princ)</f>
        <v>1688317.4726229161</v>
      </c>
      <c r="AL56" s="8">
        <f t="shared" ref="AL56" si="141">AK56*(1+princ)</f>
        <v>1738966.9968016036</v>
      </c>
      <c r="AM56" s="8">
        <f t="shared" ref="AM56" si="142">AL56*(1+princ)</f>
        <v>1791136.0067056518</v>
      </c>
    </row>
    <row r="57" spans="1:39" x14ac:dyDescent="0.2">
      <c r="A57" s="5" t="s">
        <v>56</v>
      </c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</row>
    <row r="58" spans="1:39" x14ac:dyDescent="0.2">
      <c r="A58" s="4" t="str">
        <f>TEXT(Inputs!$B$60,"")</f>
        <v>Sliema</v>
      </c>
      <c r="C58" s="8">
        <f>Inputs!B61*(1+princ)</f>
        <v>309000</v>
      </c>
      <c r="D58" s="8">
        <f t="shared" ref="D58:H60" si="143">C58*(1+princ)</f>
        <v>318270</v>
      </c>
      <c r="E58" s="8">
        <f t="shared" si="143"/>
        <v>327818.10000000003</v>
      </c>
      <c r="F58" s="8">
        <f t="shared" si="143"/>
        <v>337652.64300000004</v>
      </c>
      <c r="G58" s="8">
        <f t="shared" si="143"/>
        <v>347782.22229000006</v>
      </c>
      <c r="H58" s="8">
        <f t="shared" si="143"/>
        <v>358215.68895870005</v>
      </c>
      <c r="I58" s="8">
        <f t="shared" ref="I58:I60" si="144">H58*(1+princ)</f>
        <v>368962.15962746105</v>
      </c>
      <c r="J58" s="8">
        <f t="shared" ref="J58:J60" si="145">I58*(1+princ)</f>
        <v>380031.02441628487</v>
      </c>
      <c r="K58" s="8">
        <f t="shared" ref="K58:K60" si="146">J58*(1+princ)</f>
        <v>391431.95514877344</v>
      </c>
      <c r="L58" s="8">
        <f t="shared" ref="L58:L60" si="147">K58*(1+princ)</f>
        <v>403174.91380323668</v>
      </c>
      <c r="M58" s="8">
        <f t="shared" ref="M58:M60" si="148">L58*(1+princ)</f>
        <v>415270.16121733381</v>
      </c>
      <c r="N58" s="8">
        <f t="shared" ref="N58:N60" si="149">M58*(1+princ)</f>
        <v>427728.26605385385</v>
      </c>
      <c r="O58" s="8">
        <f t="shared" ref="O58:O60" si="150">N58*(1+princ)</f>
        <v>440560.11403546948</v>
      </c>
      <c r="P58" s="8">
        <f t="shared" ref="P58:P60" si="151">O58*(1+princ)</f>
        <v>453776.91745653359</v>
      </c>
      <c r="Q58" s="8">
        <f t="shared" ref="Q58:Q60" si="152">P58*(1+princ)</f>
        <v>467390.22498022963</v>
      </c>
      <c r="R58" s="8">
        <f t="shared" ref="R58:R60" si="153">Q58*(1+princ)</f>
        <v>481411.9317296365</v>
      </c>
      <c r="S58" s="8">
        <f t="shared" ref="S58:S60" si="154">R58*(1+princ)</f>
        <v>495854.28968152561</v>
      </c>
      <c r="T58" s="8">
        <f t="shared" ref="T58:T60" si="155">S58*(1+princ)</f>
        <v>510729.91837197141</v>
      </c>
      <c r="U58" s="8">
        <f t="shared" ref="U58:U60" si="156">T58*(1+princ)</f>
        <v>526051.81592313061</v>
      </c>
      <c r="V58" s="8">
        <f t="shared" ref="V58:V60" si="157">U58*(1+princ)</f>
        <v>541833.37040082458</v>
      </c>
      <c r="W58" s="8">
        <f t="shared" ref="W58:W60" si="158">V58*(1+princ)</f>
        <v>558088.37151284935</v>
      </c>
      <c r="X58" s="8">
        <f t="shared" ref="X58:X60" si="159">W58*(1+princ)</f>
        <v>574831.02265823481</v>
      </c>
      <c r="Y58" s="8">
        <f t="shared" ref="Y58:Y60" si="160">X58*(1+princ)</f>
        <v>592075.95333798183</v>
      </c>
      <c r="Z58" s="8">
        <f t="shared" ref="Z58:Z60" si="161">Y58*(1+princ)</f>
        <v>609838.23193812126</v>
      </c>
      <c r="AA58" s="8">
        <f t="shared" ref="AA58:AA60" si="162">Z58*(1+princ)</f>
        <v>628133.37889626494</v>
      </c>
      <c r="AB58" s="8">
        <f t="shared" ref="AB58:AB60" si="163">AA58*(1+princ)</f>
        <v>646977.38026315288</v>
      </c>
      <c r="AC58" s="8">
        <f t="shared" ref="AC58:AC60" si="164">AB58*(1+princ)</f>
        <v>666386.70167104749</v>
      </c>
      <c r="AD58" s="8">
        <f t="shared" ref="AD58:AD60" si="165">AC58*(1+princ)</f>
        <v>686378.30272117897</v>
      </c>
      <c r="AE58" s="8">
        <f t="shared" ref="AE58:AE60" si="166">AD58*(1+princ)</f>
        <v>706969.65180281433</v>
      </c>
      <c r="AF58" s="8">
        <f t="shared" ref="AF58:AF60" si="167">AE58*(1+princ)</f>
        <v>728178.7413568988</v>
      </c>
      <c r="AG58" s="8">
        <f t="shared" ref="AG58:AG60" si="168">AF58*(1+princ)</f>
        <v>750024.10359760583</v>
      </c>
      <c r="AH58" s="8">
        <f t="shared" ref="AH58:AH60" si="169">AG58*(1+princ)</f>
        <v>772524.82670553401</v>
      </c>
      <c r="AI58" s="8">
        <f t="shared" ref="AI58:AI60" si="170">AH58*(1+princ)</f>
        <v>795700.57150670001</v>
      </c>
      <c r="AJ58" s="8">
        <f t="shared" ref="AJ58:AJ60" si="171">AI58*(1+princ)</f>
        <v>819571.58865190099</v>
      </c>
      <c r="AK58" s="8">
        <f t="shared" ref="AK58:AK60" si="172">AJ58*(1+princ)</f>
        <v>844158.73631145805</v>
      </c>
      <c r="AL58" s="8">
        <f t="shared" ref="AL58:AL60" si="173">AK58*(1+princ)</f>
        <v>869483.49840080179</v>
      </c>
      <c r="AM58" s="8">
        <f t="shared" ref="AM58:AM60" si="174">AL58*(1+princ)</f>
        <v>895568.00335282588</v>
      </c>
    </row>
    <row r="59" spans="1:39" x14ac:dyDescent="0.2">
      <c r="A59" s="4" t="str">
        <f>TEXT(Inputs!$B$65,"")</f>
        <v>Gzira</v>
      </c>
      <c r="C59" s="8">
        <f>Inputs!B66*(1+princ)</f>
        <v>154500</v>
      </c>
      <c r="D59" s="8">
        <f t="shared" si="143"/>
        <v>159135</v>
      </c>
      <c r="E59" s="8">
        <f t="shared" si="143"/>
        <v>163909.05000000002</v>
      </c>
      <c r="F59" s="8">
        <f t="shared" si="143"/>
        <v>168826.32150000002</v>
      </c>
      <c r="G59" s="8">
        <f t="shared" si="143"/>
        <v>173891.11114500003</v>
      </c>
      <c r="H59" s="8">
        <f t="shared" si="143"/>
        <v>179107.84447935002</v>
      </c>
      <c r="I59" s="8">
        <f t="shared" si="144"/>
        <v>184481.07981373052</v>
      </c>
      <c r="J59" s="8">
        <f t="shared" si="145"/>
        <v>190015.51220814243</v>
      </c>
      <c r="K59" s="8">
        <f t="shared" si="146"/>
        <v>195715.97757438672</v>
      </c>
      <c r="L59" s="8">
        <f t="shared" si="147"/>
        <v>201587.45690161834</v>
      </c>
      <c r="M59" s="8">
        <f t="shared" si="148"/>
        <v>207635.0806086669</v>
      </c>
      <c r="N59" s="8">
        <f t="shared" si="149"/>
        <v>213864.13302692692</v>
      </c>
      <c r="O59" s="8">
        <f t="shared" si="150"/>
        <v>220280.05701773474</v>
      </c>
      <c r="P59" s="8">
        <f t="shared" si="151"/>
        <v>226888.45872826679</v>
      </c>
      <c r="Q59" s="8">
        <f t="shared" si="152"/>
        <v>233695.11249011481</v>
      </c>
      <c r="R59" s="8">
        <f t="shared" si="153"/>
        <v>240705.96586481825</v>
      </c>
      <c r="S59" s="8">
        <f t="shared" si="154"/>
        <v>247927.1448407628</v>
      </c>
      <c r="T59" s="8">
        <f t="shared" si="155"/>
        <v>255364.9591859857</v>
      </c>
      <c r="U59" s="8">
        <f t="shared" si="156"/>
        <v>263025.9079615653</v>
      </c>
      <c r="V59" s="8">
        <f t="shared" si="157"/>
        <v>270916.68520041229</v>
      </c>
      <c r="W59" s="8">
        <f t="shared" si="158"/>
        <v>279044.18575642467</v>
      </c>
      <c r="X59" s="8">
        <f t="shared" si="159"/>
        <v>287415.51132911741</v>
      </c>
      <c r="Y59" s="8">
        <f t="shared" si="160"/>
        <v>296037.97666899092</v>
      </c>
      <c r="Z59" s="8">
        <f t="shared" si="161"/>
        <v>304919.11596906063</v>
      </c>
      <c r="AA59" s="8">
        <f t="shared" si="162"/>
        <v>314066.68944813247</v>
      </c>
      <c r="AB59" s="8">
        <f t="shared" si="163"/>
        <v>323488.69013157644</v>
      </c>
      <c r="AC59" s="8">
        <f t="shared" si="164"/>
        <v>333193.35083552374</v>
      </c>
      <c r="AD59" s="8">
        <f t="shared" si="165"/>
        <v>343189.15136058949</v>
      </c>
      <c r="AE59" s="8">
        <f t="shared" si="166"/>
        <v>353484.82590140717</v>
      </c>
      <c r="AF59" s="8">
        <f t="shared" si="167"/>
        <v>364089.3706784494</v>
      </c>
      <c r="AG59" s="8">
        <f t="shared" si="168"/>
        <v>375012.05179880292</v>
      </c>
      <c r="AH59" s="8">
        <f t="shared" si="169"/>
        <v>386262.41335276701</v>
      </c>
      <c r="AI59" s="8">
        <f t="shared" si="170"/>
        <v>397850.28575335001</v>
      </c>
      <c r="AJ59" s="8">
        <f t="shared" si="171"/>
        <v>409785.7943259505</v>
      </c>
      <c r="AK59" s="8">
        <f t="shared" si="172"/>
        <v>422079.36815572903</v>
      </c>
      <c r="AL59" s="8">
        <f t="shared" si="173"/>
        <v>434741.7492004009</v>
      </c>
      <c r="AM59" s="8">
        <f t="shared" si="174"/>
        <v>447784.00167641294</v>
      </c>
    </row>
    <row r="60" spans="1:39" x14ac:dyDescent="0.2">
      <c r="A60" s="4" t="str">
        <f>TEXT(Inputs!$B$70,"")</f>
        <v>Qormi</v>
      </c>
      <c r="C60" s="8">
        <f>Inputs!B71*(1+princ)</f>
        <v>226600</v>
      </c>
      <c r="D60" s="8">
        <f t="shared" si="143"/>
        <v>233398</v>
      </c>
      <c r="E60" s="8">
        <f t="shared" si="143"/>
        <v>240399.94</v>
      </c>
      <c r="F60" s="8">
        <f t="shared" si="143"/>
        <v>247611.9382</v>
      </c>
      <c r="G60" s="8">
        <f t="shared" si="143"/>
        <v>255040.29634600002</v>
      </c>
      <c r="H60" s="8">
        <f t="shared" si="143"/>
        <v>262691.50523638004</v>
      </c>
      <c r="I60" s="8">
        <f t="shared" si="144"/>
        <v>270572.25039347145</v>
      </c>
      <c r="J60" s="8">
        <f t="shared" si="145"/>
        <v>278689.41790527559</v>
      </c>
      <c r="K60" s="8">
        <f t="shared" si="146"/>
        <v>287050.10044243385</v>
      </c>
      <c r="L60" s="8">
        <f t="shared" si="147"/>
        <v>295661.60345570685</v>
      </c>
      <c r="M60" s="8">
        <f t="shared" si="148"/>
        <v>304531.45155937807</v>
      </c>
      <c r="N60" s="8">
        <f t="shared" si="149"/>
        <v>313667.39510615944</v>
      </c>
      <c r="O60" s="8">
        <f t="shared" si="150"/>
        <v>323077.41695934423</v>
      </c>
      <c r="P60" s="8">
        <f t="shared" si="151"/>
        <v>332769.73946812458</v>
      </c>
      <c r="Q60" s="8">
        <f t="shared" si="152"/>
        <v>342752.8316521683</v>
      </c>
      <c r="R60" s="8">
        <f t="shared" si="153"/>
        <v>353035.41660173336</v>
      </c>
      <c r="S60" s="8">
        <f t="shared" si="154"/>
        <v>363626.47909978539</v>
      </c>
      <c r="T60" s="8">
        <f t="shared" si="155"/>
        <v>374535.27347277896</v>
      </c>
      <c r="U60" s="8">
        <f t="shared" si="156"/>
        <v>385771.33167696232</v>
      </c>
      <c r="V60" s="8">
        <f t="shared" si="157"/>
        <v>397344.47162727121</v>
      </c>
      <c r="W60" s="8">
        <f t="shared" si="158"/>
        <v>409264.80577608937</v>
      </c>
      <c r="X60" s="8">
        <f t="shared" si="159"/>
        <v>421542.74994937208</v>
      </c>
      <c r="Y60" s="8">
        <f t="shared" si="160"/>
        <v>434189.03244785324</v>
      </c>
      <c r="Z60" s="8">
        <f t="shared" si="161"/>
        <v>447214.70342128887</v>
      </c>
      <c r="AA60" s="8">
        <f t="shared" si="162"/>
        <v>460631.14452392753</v>
      </c>
      <c r="AB60" s="8">
        <f t="shared" si="163"/>
        <v>474450.07885964535</v>
      </c>
      <c r="AC60" s="8">
        <f t="shared" si="164"/>
        <v>488683.58122543473</v>
      </c>
      <c r="AD60" s="8">
        <f t="shared" si="165"/>
        <v>503344.08866219776</v>
      </c>
      <c r="AE60" s="8">
        <f t="shared" si="166"/>
        <v>518444.41132206371</v>
      </c>
      <c r="AF60" s="8">
        <f t="shared" si="167"/>
        <v>533997.74366172566</v>
      </c>
      <c r="AG60" s="8">
        <f t="shared" si="168"/>
        <v>550017.67597157741</v>
      </c>
      <c r="AH60" s="8">
        <f t="shared" si="169"/>
        <v>566518.20625072473</v>
      </c>
      <c r="AI60" s="8">
        <f t="shared" si="170"/>
        <v>583513.75243824651</v>
      </c>
      <c r="AJ60" s="8">
        <f t="shared" si="171"/>
        <v>601019.16501139395</v>
      </c>
      <c r="AK60" s="8">
        <f t="shared" si="172"/>
        <v>619049.73996173579</v>
      </c>
      <c r="AL60" s="8">
        <f t="shared" si="173"/>
        <v>637621.23216058791</v>
      </c>
      <c r="AM60" s="8">
        <f t="shared" si="174"/>
        <v>656749.86912540556</v>
      </c>
    </row>
    <row r="61" spans="1:39" x14ac:dyDescent="0.2">
      <c r="A61" s="5" t="s">
        <v>12</v>
      </c>
      <c r="C61" s="8">
        <f>Inputs!B10*(1+stinc)</f>
        <v>32400.000000000004</v>
      </c>
      <c r="D61" s="8">
        <f>C61*(1+stinc)</f>
        <v>34992.000000000007</v>
      </c>
      <c r="E61" s="8">
        <f t="shared" ref="E61:H61" si="175">D61*(1+stinc)</f>
        <v>37791.360000000008</v>
      </c>
      <c r="F61" s="8">
        <f t="shared" si="175"/>
        <v>40814.668800000014</v>
      </c>
      <c r="G61" s="8">
        <f t="shared" si="175"/>
        <v>44079.84230400002</v>
      </c>
      <c r="H61" s="8">
        <f t="shared" si="175"/>
        <v>47606.229688320025</v>
      </c>
      <c r="I61" s="8">
        <f t="shared" ref="I61" si="176">H61*(1+stinc)</f>
        <v>51414.728063385628</v>
      </c>
      <c r="J61" s="8">
        <f t="shared" ref="J61" si="177">I61*(1+stinc)</f>
        <v>55527.906308456484</v>
      </c>
      <c r="K61" s="8">
        <f t="shared" ref="K61" si="178">J61*(1+stinc)</f>
        <v>59970.13881313301</v>
      </c>
      <c r="L61" s="8">
        <f t="shared" ref="L61" si="179">K61*(1+stinc)</f>
        <v>64767.749918183654</v>
      </c>
      <c r="M61" s="8">
        <f t="shared" ref="M61" si="180">L61*(1+stinc)</f>
        <v>69949.169911638353</v>
      </c>
      <c r="N61" s="8">
        <f t="shared" ref="N61" si="181">M61*(1+stinc)</f>
        <v>75545.10350456943</v>
      </c>
      <c r="O61" s="8">
        <f t="shared" ref="O61" si="182">N61*(1+stinc)</f>
        <v>81588.711784934989</v>
      </c>
      <c r="P61" s="8">
        <f t="shared" ref="P61" si="183">O61*(1+stinc)</f>
        <v>88115.808727729789</v>
      </c>
      <c r="Q61" s="8">
        <f t="shared" ref="Q61" si="184">P61*(1+stinc)</f>
        <v>95165.073425948183</v>
      </c>
      <c r="R61" s="8">
        <f t="shared" ref="R61" si="185">Q61*(1+stinc)</f>
        <v>102778.27930002405</v>
      </c>
      <c r="S61" s="8">
        <f t="shared" ref="S61" si="186">R61*(1+stinc)</f>
        <v>111000.54164402599</v>
      </c>
      <c r="T61" s="8">
        <f t="shared" ref="T61" si="187">S61*(1+stinc)</f>
        <v>119880.58497554807</v>
      </c>
      <c r="U61" s="8">
        <f t="shared" ref="U61" si="188">T61*(1+stinc)</f>
        <v>129471.03177359192</v>
      </c>
      <c r="V61" s="8">
        <f t="shared" ref="V61" si="189">U61*(1+stinc)</f>
        <v>139828.71431547927</v>
      </c>
      <c r="W61" s="8">
        <f t="shared" ref="W61" si="190">V61*(1+stinc)</f>
        <v>151015.01146071762</v>
      </c>
      <c r="X61" s="8">
        <f t="shared" ref="X61" si="191">W61*(1+stinc)</f>
        <v>163096.21237757505</v>
      </c>
      <c r="Y61" s="8">
        <f t="shared" ref="Y61" si="192">X61*(1+stinc)</f>
        <v>176143.90936778107</v>
      </c>
      <c r="Z61" s="8">
        <f t="shared" ref="Z61" si="193">Y61*(1+stinc)</f>
        <v>190235.42211720356</v>
      </c>
      <c r="AA61" s="8">
        <f t="shared" ref="AA61" si="194">Z61*(1+stinc)</f>
        <v>205454.25588657986</v>
      </c>
      <c r="AB61" s="8">
        <f t="shared" ref="AB61" si="195">AA61*(1+stinc)</f>
        <v>221890.59635750626</v>
      </c>
      <c r="AC61" s="8">
        <f t="shared" ref="AC61" si="196">AB61*(1+stinc)</f>
        <v>239641.84406610677</v>
      </c>
      <c r="AD61" s="8">
        <f t="shared" ref="AD61" si="197">AC61*(1+stinc)</f>
        <v>258813.19159139533</v>
      </c>
      <c r="AE61" s="8">
        <f t="shared" ref="AE61" si="198">AD61*(1+stinc)</f>
        <v>279518.24691870698</v>
      </c>
      <c r="AF61" s="8">
        <f t="shared" ref="AF61" si="199">AE61*(1+stinc)</f>
        <v>301879.70667220355</v>
      </c>
      <c r="AG61" s="8">
        <f t="shared" ref="AG61" si="200">AF61*(1+stinc)</f>
        <v>326030.08320597984</v>
      </c>
      <c r="AH61" s="8">
        <f t="shared" ref="AH61" si="201">AG61*(1+stinc)</f>
        <v>352112.48986245826</v>
      </c>
      <c r="AI61" s="8">
        <f t="shared" ref="AI61" si="202">AH61*(1+stinc)</f>
        <v>380281.48905145493</v>
      </c>
      <c r="AJ61" s="8">
        <f t="shared" ref="AJ61" si="203">AI61*(1+stinc)</f>
        <v>410704.00817557133</v>
      </c>
      <c r="AK61" s="8">
        <f t="shared" ref="AK61" si="204">AJ61*(1+stinc)</f>
        <v>443560.32882961706</v>
      </c>
      <c r="AL61" s="8">
        <f t="shared" ref="AL61" si="205">AK61*(1+stinc)</f>
        <v>479045.15513598645</v>
      </c>
      <c r="AM61" s="8">
        <f t="shared" ref="AM61" si="206">AL61*(1+stinc)</f>
        <v>517368.76754686539</v>
      </c>
    </row>
    <row r="62" spans="1:39" x14ac:dyDescent="0.2">
      <c r="A62" s="5" t="s">
        <v>2</v>
      </c>
      <c r="C62" s="8">
        <f>-MAX(FV(Inputs!$B16/12,C$1*12,Inputs!$B17,-Inputs!$B15),0)</f>
        <v>-41787.691633353177</v>
      </c>
      <c r="D62" s="8">
        <f>-MAX(FV(Inputs!$B16/12,D$1*12,Inputs!$B17,-Inputs!$B15),0)</f>
        <v>-33325.598049266016</v>
      </c>
      <c r="E62" s="8">
        <f>-MAX(FV(Inputs!$B16/12,E$1*12,Inputs!$B17,-Inputs!$B15),0)</f>
        <v>-24606.12179132711</v>
      </c>
      <c r="F62" s="8">
        <f>-MAX(FV(Inputs!$B16/12,F$1*12,Inputs!$B17,-Inputs!$B15),0)</f>
        <v>-15621.434319218446</v>
      </c>
      <c r="G62" s="8">
        <f>-MAX(FV(Inputs!$B16/12,G$1*12,Inputs!$B17,-Inputs!$B15),0)</f>
        <v>-6363.4689800768465</v>
      </c>
      <c r="H62" s="8">
        <f>-MAX(FV(Inputs!$B16/12,H$1*12,Inputs!$B17,-Inputs!$B15),0)</f>
        <v>0</v>
      </c>
      <c r="I62" s="8">
        <f>-MAX(FV(Inputs!$B16/12,I$1*12,Inputs!$B17,-Inputs!$B15),0)</f>
        <v>0</v>
      </c>
      <c r="J62" s="8">
        <f>-MAX(FV(Inputs!$B16/12,J$1*12,Inputs!$B17,-Inputs!$B15),0)</f>
        <v>0</v>
      </c>
      <c r="K62" s="8">
        <f>-MAX(FV(Inputs!$B16/12,K$1*12,Inputs!$B17,-Inputs!$B15),0)</f>
        <v>0</v>
      </c>
      <c r="L62" s="8">
        <f>-MAX(FV(Inputs!$B16/12,L$1*12,Inputs!$B17,-Inputs!$B15),0)</f>
        <v>0</v>
      </c>
      <c r="M62" s="8">
        <f>-MAX(FV(Inputs!$B16/12,M$1*12,Inputs!$B17,-Inputs!$B15),0)</f>
        <v>0</v>
      </c>
      <c r="N62" s="8">
        <f>-MAX(FV(Inputs!$B16/12,N$1*12,Inputs!$B17,-Inputs!$B15),0)</f>
        <v>0</v>
      </c>
      <c r="O62" s="8">
        <f>-MAX(FV(Inputs!$B16/12,O$1*12,Inputs!$B17,-Inputs!$B15),0)</f>
        <v>0</v>
      </c>
      <c r="P62" s="8">
        <f>-MAX(FV(Inputs!$B16/12,P$1*12,Inputs!$B17,-Inputs!$B15),0)</f>
        <v>0</v>
      </c>
      <c r="Q62" s="8">
        <f>-MAX(FV(Inputs!$B16/12,Q$1*12,Inputs!$B17,-Inputs!$B15),0)</f>
        <v>0</v>
      </c>
      <c r="R62" s="8">
        <f>-MAX(FV(Inputs!$B16/12,R$1*12,Inputs!$B17,-Inputs!$B15),0)</f>
        <v>0</v>
      </c>
      <c r="S62" s="8">
        <f>-MAX(FV(Inputs!$B16/12,S$1*12,Inputs!$B17,-Inputs!$B15),0)</f>
        <v>0</v>
      </c>
      <c r="T62" s="8">
        <f>-MAX(FV(Inputs!$B16/12,T$1*12,Inputs!$B17,-Inputs!$B15),0)</f>
        <v>0</v>
      </c>
      <c r="U62" s="8">
        <f>-MAX(FV(Inputs!$B16/12,U$1*12,Inputs!$B17,-Inputs!$B15),0)</f>
        <v>0</v>
      </c>
      <c r="V62" s="8">
        <f>-MAX(FV(Inputs!$B16/12,V$1*12,Inputs!$B17,-Inputs!$B15),0)</f>
        <v>0</v>
      </c>
      <c r="W62" s="8">
        <f>-MAX(FV(Inputs!$B16/12,W$1*12,Inputs!$B17,-Inputs!$B15),0)</f>
        <v>0</v>
      </c>
      <c r="X62" s="8">
        <f>-MAX(FV(Inputs!$B16/12,X$1*12,Inputs!$B17,-Inputs!$B15),0)</f>
        <v>0</v>
      </c>
      <c r="Y62" s="8">
        <f>-MAX(FV(Inputs!$B16/12,Y$1*12,Inputs!$B17,-Inputs!$B15),0)</f>
        <v>0</v>
      </c>
      <c r="Z62" s="8">
        <f>-MAX(FV(Inputs!$B16/12,Z$1*12,Inputs!$B17,-Inputs!$B15),0)</f>
        <v>0</v>
      </c>
      <c r="AA62" s="8">
        <f>-MAX(FV(Inputs!$B16/12,AA$1*12,Inputs!$B17,-Inputs!$B15),0)</f>
        <v>0</v>
      </c>
      <c r="AB62" s="8">
        <f>-MAX(FV(Inputs!$B16/12,AB$1*12,Inputs!$B17,-Inputs!$B15),0)</f>
        <v>0</v>
      </c>
      <c r="AC62" s="8">
        <f>-MAX(FV(Inputs!$B16/12,AC$1*12,Inputs!$B17,-Inputs!$B15),0)</f>
        <v>0</v>
      </c>
      <c r="AD62" s="8">
        <f>-MAX(FV(Inputs!$B16/12,AD$1*12,Inputs!$B17,-Inputs!$B15),0)</f>
        <v>0</v>
      </c>
      <c r="AE62" s="8">
        <f>-MAX(FV(Inputs!$B16/12,AE$1*12,Inputs!$B17,-Inputs!$B15),0)</f>
        <v>0</v>
      </c>
      <c r="AF62" s="8">
        <f>-MAX(FV(Inputs!$B16/12,AF$1*12,Inputs!$B17,-Inputs!$B15),0)</f>
        <v>0</v>
      </c>
      <c r="AG62" s="8">
        <f>-MAX(FV(Inputs!$B16/12,AG$1*12,Inputs!$B17,-Inputs!$B15),0)</f>
        <v>0</v>
      </c>
      <c r="AH62" s="8">
        <f>-MAX(FV(Inputs!$B16/12,AH$1*12,Inputs!$B17,-Inputs!$B15),0)</f>
        <v>0</v>
      </c>
      <c r="AI62" s="8">
        <f>-MAX(FV(Inputs!$B16/12,AI$1*12,Inputs!$B17,-Inputs!$B15),0)</f>
        <v>0</v>
      </c>
      <c r="AJ62" s="8">
        <f>-MAX(FV(Inputs!$B16/12,AJ$1*12,Inputs!$B17,-Inputs!$B15),0)</f>
        <v>0</v>
      </c>
      <c r="AK62" s="8">
        <f>-MAX(FV(Inputs!$B16/12,AK$1*12,Inputs!$B17,-Inputs!$B15),0)</f>
        <v>0</v>
      </c>
      <c r="AL62" s="8">
        <f>-MAX(FV(Inputs!$B16/12,AL$1*12,Inputs!$B17,-Inputs!$B15),0)</f>
        <v>0</v>
      </c>
      <c r="AM62" s="8">
        <f>-MAX(FV(Inputs!$B16/12,AM$1*12,Inputs!$B17,-Inputs!$B15),0)</f>
        <v>0</v>
      </c>
    </row>
    <row r="63" spans="1:39" x14ac:dyDescent="0.2">
      <c r="A63" s="5" t="s">
        <v>65</v>
      </c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</row>
    <row r="64" spans="1:39" x14ac:dyDescent="0.2">
      <c r="A64" s="4" t="str">
        <f>TEXT(Inputs!$B$60,"")</f>
        <v>Sliema</v>
      </c>
      <c r="C64" s="8">
        <f>-MAX(FV(Inputs!$B89/12,C$1*12,Inputs!$B90,-Inputs!$B88),0)</f>
        <v>-45437.606462973985</v>
      </c>
      <c r="D64" s="8">
        <f>-MAX(FV(Inputs!$B89/12,D$1*12,Inputs!$B90,-Inputs!$B88),0)</f>
        <v>-40736.443360703342</v>
      </c>
      <c r="E64" s="8">
        <f>-MAX(FV(Inputs!$B89/12,E$1*12,Inputs!$B90,-Inputs!$B88),0)</f>
        <v>-35892.289884070618</v>
      </c>
      <c r="F64" s="8">
        <f>-MAX(FV(Inputs!$B89/12,F$1*12,Inputs!$B90,-Inputs!$B88),0)</f>
        <v>-30900.796844010245</v>
      </c>
      <c r="G64" s="8">
        <f>-MAX(FV(Inputs!$B89/12,G$1*12,Inputs!$B90,-Inputs!$B88),0)</f>
        <v>-25757.48276670936</v>
      </c>
      <c r="H64" s="8">
        <f>-MAX(FV(Inputs!$B89/12,H$1*12,Inputs!$B90,-Inputs!$B88),0)</f>
        <v>-20457.729870040646</v>
      </c>
      <c r="I64" s="8">
        <f>-MAX(FV(Inputs!$B89/12,I$1*12,Inputs!$B90,-Inputs!$B88),0)</f>
        <v>-14996.779917614593</v>
      </c>
      <c r="J64" s="8">
        <f>-MAX(FV(Inputs!$B89/12,J$1*12,Inputs!$B90,-Inputs!$B88),0)</f>
        <v>-9369.7299467287376</v>
      </c>
      <c r="K64" s="8">
        <f>-MAX(FV(Inputs!$B89/12,K$1*12,Inputs!$B90,-Inputs!$B88),0)</f>
        <v>-3571.5278663783029</v>
      </c>
      <c r="L64" s="8">
        <f>-MAX(FV(Inputs!$B89/12,L$1*12,Inputs!$B90,-Inputs!$B88),0)</f>
        <v>0</v>
      </c>
      <c r="M64" s="8">
        <f>-MAX(FV(Inputs!$B89/12,M$1*12,Inputs!$B90,-Inputs!$B88),0)</f>
        <v>0</v>
      </c>
      <c r="N64" s="8">
        <f>-MAX(FV(Inputs!$B89/12,N$1*12,Inputs!$B90,-Inputs!$B88),0)</f>
        <v>0</v>
      </c>
      <c r="O64" s="8">
        <f>-MAX(FV(Inputs!$B89/12,O$1*12,Inputs!$B90,-Inputs!$B88),0)</f>
        <v>0</v>
      </c>
      <c r="P64" s="8">
        <f>-MAX(FV(Inputs!$B89/12,P$1*12,Inputs!$B90,-Inputs!$B88),0)</f>
        <v>0</v>
      </c>
      <c r="Q64" s="8">
        <f>-MAX(FV(Inputs!$B89/12,Q$1*12,Inputs!$B90,-Inputs!$B88),0)</f>
        <v>0</v>
      </c>
      <c r="R64" s="8">
        <f>-MAX(FV(Inputs!$B89/12,R$1*12,Inputs!$B90,-Inputs!$B88),0)</f>
        <v>0</v>
      </c>
      <c r="S64" s="8">
        <f>-MAX(FV(Inputs!$B89/12,S$1*12,Inputs!$B90,-Inputs!$B88),0)</f>
        <v>0</v>
      </c>
      <c r="T64" s="8">
        <f>-MAX(FV(Inputs!$B89/12,T$1*12,Inputs!$B90,-Inputs!$B88),0)</f>
        <v>0</v>
      </c>
      <c r="U64" s="8">
        <f>-MAX(FV(Inputs!$B89/12,U$1*12,Inputs!$B90,-Inputs!$B88),0)</f>
        <v>0</v>
      </c>
      <c r="V64" s="8">
        <f>-MAX(FV(Inputs!$B89/12,V$1*12,Inputs!$B90,-Inputs!$B88),0)</f>
        <v>0</v>
      </c>
      <c r="W64" s="8">
        <f>-MAX(FV(Inputs!$B89/12,W$1*12,Inputs!$B90,-Inputs!$B88),0)</f>
        <v>0</v>
      </c>
      <c r="X64" s="8">
        <f>-MAX(FV(Inputs!$B89/12,X$1*12,Inputs!$B90,-Inputs!$B88),0)</f>
        <v>0</v>
      </c>
      <c r="Y64" s="8">
        <f>-MAX(FV(Inputs!$B89/12,Y$1*12,Inputs!$B90,-Inputs!$B88),0)</f>
        <v>0</v>
      </c>
      <c r="Z64" s="8">
        <f>-MAX(FV(Inputs!$B89/12,Z$1*12,Inputs!$B90,-Inputs!$B88),0)</f>
        <v>0</v>
      </c>
      <c r="AA64" s="8">
        <f>-MAX(FV(Inputs!$B89/12,AA$1*12,Inputs!$B90,-Inputs!$B88),0)</f>
        <v>0</v>
      </c>
      <c r="AB64" s="8">
        <f>-MAX(FV(Inputs!$B89/12,AB$1*12,Inputs!$B90,-Inputs!$B88),0)</f>
        <v>0</v>
      </c>
      <c r="AC64" s="8">
        <f>-MAX(FV(Inputs!$B89/12,AC$1*12,Inputs!$B90,-Inputs!$B88),0)</f>
        <v>0</v>
      </c>
      <c r="AD64" s="8">
        <f>-MAX(FV(Inputs!$B89/12,AD$1*12,Inputs!$B90,-Inputs!$B88),0)</f>
        <v>0</v>
      </c>
      <c r="AE64" s="8">
        <f>-MAX(FV(Inputs!$B89/12,AE$1*12,Inputs!$B90,-Inputs!$B88),0)</f>
        <v>0</v>
      </c>
      <c r="AF64" s="8">
        <f>-MAX(FV(Inputs!$B89/12,AF$1*12,Inputs!$B90,-Inputs!$B88),0)</f>
        <v>0</v>
      </c>
      <c r="AG64" s="8">
        <f>-MAX(FV(Inputs!$B89/12,AG$1*12,Inputs!$B90,-Inputs!$B88),0)</f>
        <v>0</v>
      </c>
      <c r="AH64" s="8">
        <f>-MAX(FV(Inputs!$B89/12,AH$1*12,Inputs!$B90,-Inputs!$B88),0)</f>
        <v>0</v>
      </c>
      <c r="AI64" s="8">
        <f>-MAX(FV(Inputs!$B89/12,AI$1*12,Inputs!$B90,-Inputs!$B88),0)</f>
        <v>0</v>
      </c>
      <c r="AJ64" s="8">
        <f>-MAX(FV(Inputs!$B89/12,AJ$1*12,Inputs!$B90,-Inputs!$B88),0)</f>
        <v>0</v>
      </c>
      <c r="AK64" s="8">
        <f>-MAX(FV(Inputs!$B89/12,AK$1*12,Inputs!$B90,-Inputs!$B88),0)</f>
        <v>0</v>
      </c>
      <c r="AL64" s="8">
        <f>-MAX(FV(Inputs!$B89/12,AL$1*12,Inputs!$B90,-Inputs!$B88),0)</f>
        <v>0</v>
      </c>
      <c r="AM64" s="8">
        <f>-MAX(FV(Inputs!$B89/12,AM$1*12,Inputs!$B90,-Inputs!$B88),0)</f>
        <v>0</v>
      </c>
    </row>
    <row r="65" spans="1:39" x14ac:dyDescent="0.2">
      <c r="A65" s="4" t="str">
        <f>TEXT(Inputs!$B$65,"")</f>
        <v>Gzira</v>
      </c>
      <c r="C65" s="8">
        <f>-MAX(FV(Inputs!$B94/12,C$1*12,Inputs!$B95,-Inputs!$B93),0)</f>
        <v>-6249.4443415125261</v>
      </c>
      <c r="D65" s="8">
        <f>-MAX(FV(Inputs!$B94/12,D$1*12,Inputs!$B95,-Inputs!$B93),0)</f>
        <v>-3953.4626671330816</v>
      </c>
      <c r="E65" s="8">
        <f>-MAX(FV(Inputs!$B94/12,E$1*12,Inputs!$B95,-Inputs!$B93),0)</f>
        <v>-1611.1380819997976</v>
      </c>
      <c r="F65" s="8">
        <f>-MAX(FV(Inputs!$B94/12,F$1*12,Inputs!$B95,-Inputs!$B93),0)</f>
        <v>0</v>
      </c>
      <c r="G65" s="8">
        <f>-MAX(FV(Inputs!$B94/12,G$1*12,Inputs!$B95,-Inputs!$B93),0)</f>
        <v>0</v>
      </c>
      <c r="H65" s="8">
        <f>-MAX(FV(Inputs!$B94/12,H$1*12,Inputs!$B95,-Inputs!$B93),0)</f>
        <v>0</v>
      </c>
      <c r="I65" s="8">
        <f>-MAX(FV(Inputs!$B94/12,I$1*12,Inputs!$B95,-Inputs!$B93),0)</f>
        <v>0</v>
      </c>
      <c r="J65" s="8">
        <f>-MAX(FV(Inputs!$B94/12,J$1*12,Inputs!$B95,-Inputs!$B93),0)</f>
        <v>0</v>
      </c>
      <c r="K65" s="8">
        <f>-MAX(FV(Inputs!$B94/12,K$1*12,Inputs!$B95,-Inputs!$B93),0)</f>
        <v>0</v>
      </c>
      <c r="L65" s="8">
        <f>-MAX(FV(Inputs!$B94/12,L$1*12,Inputs!$B95,-Inputs!$B93),0)</f>
        <v>0</v>
      </c>
      <c r="M65" s="8">
        <f>-MAX(FV(Inputs!$B94/12,M$1*12,Inputs!$B95,-Inputs!$B93),0)</f>
        <v>0</v>
      </c>
      <c r="N65" s="8">
        <f>-MAX(FV(Inputs!$B94/12,N$1*12,Inputs!$B95,-Inputs!$B93),0)</f>
        <v>0</v>
      </c>
      <c r="O65" s="8">
        <f>-MAX(FV(Inputs!$B94/12,O$1*12,Inputs!$B95,-Inputs!$B93),0)</f>
        <v>0</v>
      </c>
      <c r="P65" s="8">
        <f>-MAX(FV(Inputs!$B94/12,P$1*12,Inputs!$B95,-Inputs!$B93),0)</f>
        <v>0</v>
      </c>
      <c r="Q65" s="8">
        <f>-MAX(FV(Inputs!$B94/12,Q$1*12,Inputs!$B95,-Inputs!$B93),0)</f>
        <v>0</v>
      </c>
      <c r="R65" s="8">
        <f>-MAX(FV(Inputs!$B94/12,R$1*12,Inputs!$B95,-Inputs!$B93),0)</f>
        <v>0</v>
      </c>
      <c r="S65" s="8">
        <f>-MAX(FV(Inputs!$B94/12,S$1*12,Inputs!$B95,-Inputs!$B93),0)</f>
        <v>0</v>
      </c>
      <c r="T65" s="8">
        <f>-MAX(FV(Inputs!$B94/12,T$1*12,Inputs!$B95,-Inputs!$B93),0)</f>
        <v>0</v>
      </c>
      <c r="U65" s="8">
        <f>-MAX(FV(Inputs!$B94/12,U$1*12,Inputs!$B95,-Inputs!$B93),0)</f>
        <v>0</v>
      </c>
      <c r="V65" s="8">
        <f>-MAX(FV(Inputs!$B94/12,V$1*12,Inputs!$B95,-Inputs!$B93),0)</f>
        <v>0</v>
      </c>
      <c r="W65" s="8">
        <f>-MAX(FV(Inputs!$B94/12,W$1*12,Inputs!$B95,-Inputs!$B93),0)</f>
        <v>0</v>
      </c>
      <c r="X65" s="8">
        <f>-MAX(FV(Inputs!$B94/12,X$1*12,Inputs!$B95,-Inputs!$B93),0)</f>
        <v>0</v>
      </c>
      <c r="Y65" s="8">
        <f>-MAX(FV(Inputs!$B94/12,Y$1*12,Inputs!$B95,-Inputs!$B93),0)</f>
        <v>0</v>
      </c>
      <c r="Z65" s="8">
        <f>-MAX(FV(Inputs!$B94/12,Z$1*12,Inputs!$B95,-Inputs!$B93),0)</f>
        <v>0</v>
      </c>
      <c r="AA65" s="8">
        <f>-MAX(FV(Inputs!$B94/12,AA$1*12,Inputs!$B95,-Inputs!$B93),0)</f>
        <v>0</v>
      </c>
      <c r="AB65" s="8">
        <f>-MAX(FV(Inputs!$B94/12,AB$1*12,Inputs!$B95,-Inputs!$B93),0)</f>
        <v>0</v>
      </c>
      <c r="AC65" s="8">
        <f>-MAX(FV(Inputs!$B94/12,AC$1*12,Inputs!$B95,-Inputs!$B93),0)</f>
        <v>0</v>
      </c>
      <c r="AD65" s="8">
        <f>-MAX(FV(Inputs!$B94/12,AD$1*12,Inputs!$B95,-Inputs!$B93),0)</f>
        <v>0</v>
      </c>
      <c r="AE65" s="8">
        <f>-MAX(FV(Inputs!$B94/12,AE$1*12,Inputs!$B95,-Inputs!$B93),0)</f>
        <v>0</v>
      </c>
      <c r="AF65" s="8">
        <f>-MAX(FV(Inputs!$B94/12,AF$1*12,Inputs!$B95,-Inputs!$B93),0)</f>
        <v>0</v>
      </c>
      <c r="AG65" s="8">
        <f>-MAX(FV(Inputs!$B94/12,AG$1*12,Inputs!$B95,-Inputs!$B93),0)</f>
        <v>0</v>
      </c>
      <c r="AH65" s="8">
        <f>-MAX(FV(Inputs!$B94/12,AH$1*12,Inputs!$B95,-Inputs!$B93),0)</f>
        <v>0</v>
      </c>
      <c r="AI65" s="8">
        <f>-MAX(FV(Inputs!$B94/12,AI$1*12,Inputs!$B95,-Inputs!$B93),0)</f>
        <v>0</v>
      </c>
      <c r="AJ65" s="8">
        <f>-MAX(FV(Inputs!$B94/12,AJ$1*12,Inputs!$B95,-Inputs!$B93),0)</f>
        <v>0</v>
      </c>
      <c r="AK65" s="8">
        <f>-MAX(FV(Inputs!$B94/12,AK$1*12,Inputs!$B95,-Inputs!$B93),0)</f>
        <v>0</v>
      </c>
      <c r="AL65" s="8">
        <f>-MAX(FV(Inputs!$B94/12,AL$1*12,Inputs!$B95,-Inputs!$B93),0)</f>
        <v>0</v>
      </c>
      <c r="AM65" s="8">
        <f>-MAX(FV(Inputs!$B94/12,AM$1*12,Inputs!$B95,-Inputs!$B93),0)</f>
        <v>0</v>
      </c>
    </row>
    <row r="66" spans="1:39" x14ac:dyDescent="0.2">
      <c r="A66" s="4" t="str">
        <f>TEXT(Inputs!$B$70,"")</f>
        <v>Qormi</v>
      </c>
      <c r="C66" s="8">
        <f>-MAX(FV(Inputs!$B99/12,C$1*12,Inputs!$B100,-Inputs!$B98),0)</f>
        <v>-12697.714595321995</v>
      </c>
      <c r="D66" s="8">
        <f>-MAX(FV(Inputs!$B99/12,D$1*12,Inputs!$B100,-Inputs!$B98),0)</f>
        <v>-10277.63989987525</v>
      </c>
      <c r="E66" s="8">
        <f>-MAX(FV(Inputs!$B99/12,E$1*12,Inputs!$B100,-Inputs!$B98),0)</f>
        <v>-7733.7495899939004</v>
      </c>
      <c r="F66" s="8">
        <f>-MAX(FV(Inputs!$B99/12,F$1*12,Inputs!$B100,-Inputs!$B98),0)</f>
        <v>-5059.7090238560577</v>
      </c>
      <c r="G66" s="8">
        <f>-MAX(FV(Inputs!$B99/12,G$1*12,Inputs!$B100,-Inputs!$B98),0)</f>
        <v>-2248.8594673418665</v>
      </c>
      <c r="H66" s="8">
        <f>-MAX(FV(Inputs!$B99/12,H$1*12,Inputs!$B100,-Inputs!$B98),0)</f>
        <v>0</v>
      </c>
      <c r="I66" s="8">
        <f>-MAX(FV(Inputs!$B99/12,I$1*12,Inputs!$B100,-Inputs!$B98),0)</f>
        <v>0</v>
      </c>
      <c r="J66" s="8">
        <f>-MAX(FV(Inputs!$B99/12,J$1*12,Inputs!$B100,-Inputs!$B98),0)</f>
        <v>0</v>
      </c>
      <c r="K66" s="8">
        <f>-MAX(FV(Inputs!$B99/12,K$1*12,Inputs!$B100,-Inputs!$B98),0)</f>
        <v>0</v>
      </c>
      <c r="L66" s="8">
        <f>-MAX(FV(Inputs!$B99/12,L$1*12,Inputs!$B100,-Inputs!$B98),0)</f>
        <v>0</v>
      </c>
      <c r="M66" s="8">
        <f>-MAX(FV(Inputs!$B99/12,M$1*12,Inputs!$B100,-Inputs!$B98),0)</f>
        <v>0</v>
      </c>
      <c r="N66" s="8">
        <f>-MAX(FV(Inputs!$B99/12,N$1*12,Inputs!$B100,-Inputs!$B98),0)</f>
        <v>0</v>
      </c>
      <c r="O66" s="8">
        <f>-MAX(FV(Inputs!$B99/12,O$1*12,Inputs!$B100,-Inputs!$B98),0)</f>
        <v>0</v>
      </c>
      <c r="P66" s="8">
        <f>-MAX(FV(Inputs!$B99/12,P$1*12,Inputs!$B100,-Inputs!$B98),0)</f>
        <v>0</v>
      </c>
      <c r="Q66" s="8">
        <f>-MAX(FV(Inputs!$B99/12,Q$1*12,Inputs!$B100,-Inputs!$B98),0)</f>
        <v>0</v>
      </c>
      <c r="R66" s="8">
        <f>-MAX(FV(Inputs!$B99/12,R$1*12,Inputs!$B100,-Inputs!$B98),0)</f>
        <v>0</v>
      </c>
      <c r="S66" s="8">
        <f>-MAX(FV(Inputs!$B99/12,S$1*12,Inputs!$B100,-Inputs!$B98),0)</f>
        <v>0</v>
      </c>
      <c r="T66" s="8">
        <f>-MAX(FV(Inputs!$B99/12,T$1*12,Inputs!$B100,-Inputs!$B98),0)</f>
        <v>0</v>
      </c>
      <c r="U66" s="8">
        <f>-MAX(FV(Inputs!$B99/12,U$1*12,Inputs!$B100,-Inputs!$B98),0)</f>
        <v>0</v>
      </c>
      <c r="V66" s="8">
        <f>-MAX(FV(Inputs!$B99/12,V$1*12,Inputs!$B100,-Inputs!$B98),0)</f>
        <v>0</v>
      </c>
      <c r="W66" s="8">
        <f>-MAX(FV(Inputs!$B99/12,W$1*12,Inputs!$B100,-Inputs!$B98),0)</f>
        <v>0</v>
      </c>
      <c r="X66" s="8">
        <f>-MAX(FV(Inputs!$B99/12,X$1*12,Inputs!$B100,-Inputs!$B98),0)</f>
        <v>0</v>
      </c>
      <c r="Y66" s="8">
        <f>-MAX(FV(Inputs!$B99/12,Y$1*12,Inputs!$B100,-Inputs!$B98),0)</f>
        <v>0</v>
      </c>
      <c r="Z66" s="8">
        <f>-MAX(FV(Inputs!$B99/12,Z$1*12,Inputs!$B100,-Inputs!$B98),0)</f>
        <v>0</v>
      </c>
      <c r="AA66" s="8">
        <f>-MAX(FV(Inputs!$B99/12,AA$1*12,Inputs!$B100,-Inputs!$B98),0)</f>
        <v>0</v>
      </c>
      <c r="AB66" s="8">
        <f>-MAX(FV(Inputs!$B99/12,AB$1*12,Inputs!$B100,-Inputs!$B98),0)</f>
        <v>0</v>
      </c>
      <c r="AC66" s="8">
        <f>-MAX(FV(Inputs!$B99/12,AC$1*12,Inputs!$B100,-Inputs!$B98),0)</f>
        <v>0</v>
      </c>
      <c r="AD66" s="8">
        <f>-MAX(FV(Inputs!$B99/12,AD$1*12,Inputs!$B100,-Inputs!$B98),0)</f>
        <v>0</v>
      </c>
      <c r="AE66" s="8">
        <f>-MAX(FV(Inputs!$B99/12,AE$1*12,Inputs!$B100,-Inputs!$B98),0)</f>
        <v>0</v>
      </c>
      <c r="AF66" s="8">
        <f>-MAX(FV(Inputs!$B99/12,AF$1*12,Inputs!$B100,-Inputs!$B98),0)</f>
        <v>0</v>
      </c>
      <c r="AG66" s="8">
        <f>-MAX(FV(Inputs!$B99/12,AG$1*12,Inputs!$B100,-Inputs!$B98),0)</f>
        <v>0</v>
      </c>
      <c r="AH66" s="8">
        <f>-MAX(FV(Inputs!$B99/12,AH$1*12,Inputs!$B100,-Inputs!$B98),0)</f>
        <v>0</v>
      </c>
      <c r="AI66" s="8">
        <f>-MAX(FV(Inputs!$B99/12,AI$1*12,Inputs!$B100,-Inputs!$B98),0)</f>
        <v>0</v>
      </c>
      <c r="AJ66" s="8">
        <f>-MAX(FV(Inputs!$B99/12,AJ$1*12,Inputs!$B100,-Inputs!$B98),0)</f>
        <v>0</v>
      </c>
      <c r="AK66" s="8">
        <f>-MAX(FV(Inputs!$B99/12,AK$1*12,Inputs!$B100,-Inputs!$B98),0)</f>
        <v>0</v>
      </c>
      <c r="AL66" s="8">
        <f>-MAX(FV(Inputs!$B99/12,AL$1*12,Inputs!$B100,-Inputs!$B98),0)</f>
        <v>0</v>
      </c>
      <c r="AM66" s="8">
        <f>-MAX(FV(Inputs!$B99/12,AM$1*12,Inputs!$B100,-Inputs!$B98),0)</f>
        <v>0</v>
      </c>
    </row>
    <row r="67" spans="1:39" x14ac:dyDescent="0.2">
      <c r="A67" s="5" t="s">
        <v>38</v>
      </c>
      <c r="C67" s="8">
        <f>-MAX(FV(Inputs!$B104/12,C$1*12,Inputs!$B105,-Inputs!$B103),0)</f>
        <v>-3629.9331288130147</v>
      </c>
      <c r="D67" s="8">
        <f>-MAX(FV(Inputs!$B104/12,D$1*12,Inputs!$B105,-Inputs!$B103),0)</f>
        <v>-3237.0413427676731</v>
      </c>
      <c r="E67" s="8">
        <f>-MAX(FV(Inputs!$B104/12,E$1*12,Inputs!$B105,-Inputs!$B103),0)</f>
        <v>-2819.9168510595237</v>
      </c>
      <c r="F67" s="8">
        <f>-MAX(FV(Inputs!$B104/12,F$1*12,Inputs!$B105,-Inputs!$B103),0)</f>
        <v>-2377.0650334277229</v>
      </c>
      <c r="G67" s="8">
        <f>-MAX(FV(Inputs!$B104/12,G$1*12,Inputs!$B105,-Inputs!$B103),0)</f>
        <v>-1906.8990847041773</v>
      </c>
      <c r="H67" s="8">
        <f>-MAX(FV(Inputs!$B104/12,H$1*12,Inputs!$B105,-Inputs!$B103),0)</f>
        <v>-1407.7343290501685</v>
      </c>
      <c r="I67" s="8">
        <f>-MAX(FV(Inputs!$B104/12,I$1*12,Inputs!$B105,-Inputs!$B103),0)</f>
        <v>-877.78218350754105</v>
      </c>
      <c r="J67" s="8">
        <f>-MAX(FV(Inputs!$B104/12,J$1*12,Inputs!$B105,-Inputs!$B103),0)</f>
        <v>-315.14374923495234</v>
      </c>
      <c r="K67" s="8">
        <f>-MAX(FV(Inputs!$B104/12,K$1*12,Inputs!$B105,-Inputs!$B103),0)</f>
        <v>0</v>
      </c>
      <c r="L67" s="8">
        <f>-MAX(FV(Inputs!$B104/12,L$1*12,Inputs!$B105,-Inputs!$B103),0)</f>
        <v>0</v>
      </c>
      <c r="M67" s="8">
        <f>-MAX(FV(Inputs!$B104/12,M$1*12,Inputs!$B105,-Inputs!$B103),0)</f>
        <v>0</v>
      </c>
      <c r="N67" s="8">
        <f>-MAX(FV(Inputs!$B104/12,N$1*12,Inputs!$B105,-Inputs!$B103),0)</f>
        <v>0</v>
      </c>
      <c r="O67" s="8">
        <f>-MAX(FV(Inputs!$B104/12,O$1*12,Inputs!$B105,-Inputs!$B103),0)</f>
        <v>0</v>
      </c>
      <c r="P67" s="8">
        <f>-MAX(FV(Inputs!$B104/12,P$1*12,Inputs!$B105,-Inputs!$B103),0)</f>
        <v>0</v>
      </c>
      <c r="Q67" s="8">
        <f>-MAX(FV(Inputs!$B104/12,Q$1*12,Inputs!$B105,-Inputs!$B103),0)</f>
        <v>0</v>
      </c>
      <c r="R67" s="8">
        <f>-MAX(FV(Inputs!$B104/12,R$1*12,Inputs!$B105,-Inputs!$B103),0)</f>
        <v>0</v>
      </c>
      <c r="S67" s="8">
        <f>-MAX(FV(Inputs!$B104/12,S$1*12,Inputs!$B105,-Inputs!$B103),0)</f>
        <v>0</v>
      </c>
      <c r="T67" s="8">
        <f>-MAX(FV(Inputs!$B104/12,T$1*12,Inputs!$B105,-Inputs!$B103),0)</f>
        <v>0</v>
      </c>
      <c r="U67" s="8">
        <f>-MAX(FV(Inputs!$B104/12,U$1*12,Inputs!$B105,-Inputs!$B103),0)</f>
        <v>0</v>
      </c>
      <c r="V67" s="8">
        <f>-MAX(FV(Inputs!$B104/12,V$1*12,Inputs!$B105,-Inputs!$B103),0)</f>
        <v>0</v>
      </c>
      <c r="W67" s="8">
        <f>-MAX(FV(Inputs!$B104/12,W$1*12,Inputs!$B105,-Inputs!$B103),0)</f>
        <v>0</v>
      </c>
      <c r="X67" s="8">
        <f>-MAX(FV(Inputs!$B104/12,X$1*12,Inputs!$B105,-Inputs!$B103),0)</f>
        <v>0</v>
      </c>
      <c r="Y67" s="8">
        <f>-MAX(FV(Inputs!$B104/12,Y$1*12,Inputs!$B105,-Inputs!$B103),0)</f>
        <v>0</v>
      </c>
      <c r="Z67" s="8">
        <f>-MAX(FV(Inputs!$B104/12,Z$1*12,Inputs!$B105,-Inputs!$B103),0)</f>
        <v>0</v>
      </c>
      <c r="AA67" s="8">
        <f>-MAX(FV(Inputs!$B104/12,AA$1*12,Inputs!$B105,-Inputs!$B103),0)</f>
        <v>0</v>
      </c>
      <c r="AB67" s="8">
        <f>-MAX(FV(Inputs!$B104/12,AB$1*12,Inputs!$B105,-Inputs!$B103),0)</f>
        <v>0</v>
      </c>
      <c r="AC67" s="8">
        <f>-MAX(FV(Inputs!$B104/12,AC$1*12,Inputs!$B105,-Inputs!$B103),0)</f>
        <v>0</v>
      </c>
      <c r="AD67" s="8">
        <f>-MAX(FV(Inputs!$B104/12,AD$1*12,Inputs!$B105,-Inputs!$B103),0)</f>
        <v>0</v>
      </c>
      <c r="AE67" s="8">
        <f>-MAX(FV(Inputs!$B104/12,AE$1*12,Inputs!$B105,-Inputs!$B103),0)</f>
        <v>0</v>
      </c>
      <c r="AF67" s="8">
        <f>-MAX(FV(Inputs!$B104/12,AF$1*12,Inputs!$B105,-Inputs!$B103),0)</f>
        <v>0</v>
      </c>
      <c r="AG67" s="8">
        <f>-MAX(FV(Inputs!$B104/12,AG$1*12,Inputs!$B105,-Inputs!$B103),0)</f>
        <v>0</v>
      </c>
      <c r="AH67" s="8">
        <f>-MAX(FV(Inputs!$B104/12,AH$1*12,Inputs!$B105,-Inputs!$B103),0)</f>
        <v>0</v>
      </c>
      <c r="AI67" s="8">
        <f>-MAX(FV(Inputs!$B104/12,AI$1*12,Inputs!$B105,-Inputs!$B103),0)</f>
        <v>0</v>
      </c>
      <c r="AJ67" s="8">
        <f>-MAX(FV(Inputs!$B104/12,AJ$1*12,Inputs!$B105,-Inputs!$B103),0)</f>
        <v>0</v>
      </c>
      <c r="AK67" s="8">
        <f>-MAX(FV(Inputs!$B104/12,AK$1*12,Inputs!$B105,-Inputs!$B103),0)</f>
        <v>0</v>
      </c>
      <c r="AL67" s="8">
        <f>-MAX(FV(Inputs!$B104/12,AL$1*12,Inputs!$B105,-Inputs!$B103),0)</f>
        <v>0</v>
      </c>
      <c r="AM67" s="8">
        <f>-MAX(FV(Inputs!$B104/12,AM$1*12,Inputs!$B105,-Inputs!$B103),0)</f>
        <v>0</v>
      </c>
    </row>
    <row r="68" spans="1:39" x14ac:dyDescent="0.2">
      <c r="A68" s="5"/>
      <c r="C68" s="10">
        <f t="shared" ref="C68:G68" ca="1" si="207">SUM(C54:C67)</f>
        <v>1301023.1098380252</v>
      </c>
      <c r="D68" s="10">
        <f t="shared" ca="1" si="207"/>
        <v>1384582.2771802545</v>
      </c>
      <c r="E68" s="10">
        <f t="shared" ca="1" si="207"/>
        <v>1450030.9206765494</v>
      </c>
      <c r="F68" s="10">
        <f t="shared" ca="1" si="207"/>
        <v>1550952.0739389125</v>
      </c>
      <c r="G68" s="10">
        <f t="shared" ca="1" si="207"/>
        <v>1656938.7875422537</v>
      </c>
      <c r="H68" s="10">
        <f t="shared" ref="H68" ca="1" si="208">SUM(H54:H67)</f>
        <v>1681226.5368760303</v>
      </c>
      <c r="I68" s="10">
        <f t="shared" ref="I68:AM68" ca="1" si="209">SUM(I54:I67)</f>
        <v>1703592.6974939031</v>
      </c>
      <c r="J68" s="10">
        <f t="shared" ca="1" si="209"/>
        <v>1708389.1391582103</v>
      </c>
      <c r="K68" s="10">
        <f t="shared" ca="1" si="209"/>
        <v>1792981.9482400995</v>
      </c>
      <c r="L68" s="10">
        <f t="shared" ca="1" si="209"/>
        <v>1782561.366582053</v>
      </c>
      <c r="M68" s="10">
        <f t="shared" ca="1" si="209"/>
        <v>1820163.8012573724</v>
      </c>
      <c r="N68" s="10">
        <f t="shared" ca="1" si="209"/>
        <v>1859407.6578562199</v>
      </c>
      <c r="O68" s="10">
        <f t="shared" ca="1" si="209"/>
        <v>1900411.7188506315</v>
      </c>
      <c r="P68" s="10">
        <f t="shared" ca="1" si="209"/>
        <v>1943258.7514072948</v>
      </c>
      <c r="Q68" s="10">
        <f t="shared" ca="1" si="209"/>
        <v>1988035.9858391578</v>
      </c>
      <c r="R68" s="10">
        <f t="shared" ca="1" si="209"/>
        <v>2034835.3974915333</v>
      </c>
      <c r="S68" s="10">
        <f t="shared" ca="1" si="209"/>
        <v>2102607.2300460339</v>
      </c>
      <c r="T68" s="10">
        <f t="shared" ca="1" si="209"/>
        <v>2180680.0766917155</v>
      </c>
      <c r="U68" s="10">
        <f t="shared" ca="1" si="209"/>
        <v>2261755.941505562</v>
      </c>
      <c r="V68" s="10">
        <f t="shared" ca="1" si="209"/>
        <v>2345965.8559709988</v>
      </c>
      <c r="W68" s="10">
        <f t="shared" ca="1" si="209"/>
        <v>2433447.7596489484</v>
      </c>
      <c r="X68" s="10">
        <f t="shared" ca="1" si="209"/>
        <v>2504191.9559216676</v>
      </c>
      <c r="Y68" s="10">
        <f t="shared" ca="1" si="209"/>
        <v>2578002.6534532988</v>
      </c>
      <c r="Z68" s="10">
        <f t="shared" ca="1" si="209"/>
        <v>2655028.6749683991</v>
      </c>
      <c r="AA68" s="10">
        <f t="shared" ca="1" si="209"/>
        <v>2735427.3864296344</v>
      </c>
      <c r="AB68" s="10">
        <f t="shared" ca="1" si="209"/>
        <v>2819365.2679279656</v>
      </c>
      <c r="AC68" s="10">
        <f t="shared" ca="1" si="209"/>
        <v>2907018.5265747034</v>
      </c>
      <c r="AD68" s="10">
        <f t="shared" ca="1" si="209"/>
        <v>3008312.7547296807</v>
      </c>
      <c r="AE68" s="10">
        <f t="shared" ca="1" si="209"/>
        <v>3113950.1116088191</v>
      </c>
      <c r="AF68" s="10">
        <f t="shared" ca="1" si="209"/>
        <v>3224146.2198265269</v>
      </c>
      <c r="AG68" s="10">
        <f t="shared" ca="1" si="209"/>
        <v>3339129.5215909155</v>
      </c>
      <c r="AH68" s="10">
        <f t="shared" ca="1" si="209"/>
        <v>3459142.1594802123</v>
      </c>
      <c r="AI68" s="10">
        <f t="shared" ca="1" si="209"/>
        <v>3584440.9230404301</v>
      </c>
      <c r="AJ68" s="10">
        <f t="shared" ca="1" si="209"/>
        <v>3715298.2663233597</v>
      </c>
      <c r="AK68" s="10">
        <f t="shared" ca="1" si="209"/>
        <v>3852003.4018888492</v>
      </c>
      <c r="AL68" s="10">
        <f t="shared" ca="1" si="209"/>
        <v>3994863.477232568</v>
      </c>
      <c r="AM68" s="10">
        <f t="shared" ca="1" si="209"/>
        <v>4144204.8400724437</v>
      </c>
    </row>
    <row r="69" spans="1:39" x14ac:dyDescent="0.2">
      <c r="A69" s="5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</row>
    <row r="70" spans="1:39" x14ac:dyDescent="0.2">
      <c r="A70" s="35" t="s">
        <v>87</v>
      </c>
      <c r="C70" s="8">
        <f t="shared" ref="C70:H70" ca="1" si="210">C55-buffer</f>
        <v>30325.5</v>
      </c>
      <c r="D70" s="8">
        <f t="shared" ca="1" si="210"/>
        <v>53777.462499999994</v>
      </c>
      <c r="E70" s="8">
        <f t="shared" ca="1" si="210"/>
        <v>57139.486875000017</v>
      </c>
      <c r="F70" s="8">
        <f t="shared" ca="1" si="210"/>
        <v>94700.221659424511</v>
      </c>
      <c r="G70" s="8">
        <f t="shared" ca="1" si="210"/>
        <v>136857.58117608592</v>
      </c>
      <c r="H70" s="8">
        <f t="shared" ca="1" si="210"/>
        <v>99039.354794970655</v>
      </c>
      <c r="I70" s="8">
        <f t="shared" ref="I70:AM70" ca="1" si="211">I55-buffer</f>
        <v>66112.722442054321</v>
      </c>
      <c r="J70" s="8">
        <f t="shared" ca="1" si="211"/>
        <v>13748.103183444677</v>
      </c>
      <c r="K70" s="8">
        <f t="shared" ca="1" si="211"/>
        <v>39521.393830203713</v>
      </c>
      <c r="L70" s="8">
        <f t="shared" ca="1" si="211"/>
        <v>-28980.185103165757</v>
      </c>
      <c r="M70" s="8">
        <f t="shared" ca="1" si="211"/>
        <v>-47762.38447431229</v>
      </c>
      <c r="N70" s="8">
        <f t="shared" ca="1" si="211"/>
        <v>-66853.771942997409</v>
      </c>
      <c r="O70" s="8">
        <f t="shared" ca="1" si="211"/>
        <v>-86214.809017791005</v>
      </c>
      <c r="P70" s="8">
        <f t="shared" ca="1" si="211"/>
        <v>-105846.00788642747</v>
      </c>
      <c r="Q70" s="8">
        <f t="shared" ca="1" si="211"/>
        <v>-125747.7066697621</v>
      </c>
      <c r="R70" s="8">
        <f t="shared" ca="1" si="211"/>
        <v>-145920.05946395185</v>
      </c>
      <c r="S70" s="8">
        <f t="shared" ca="1" si="211"/>
        <v>-147509.80458311707</v>
      </c>
      <c r="T70" s="8">
        <f t="shared" ca="1" si="211"/>
        <v>-141290.4960585112</v>
      </c>
      <c r="U70" s="8">
        <f t="shared" ca="1" si="211"/>
        <v>-134667.77767594944</v>
      </c>
      <c r="V70" s="8">
        <f t="shared" ca="1" si="211"/>
        <v>-127624.12637463764</v>
      </c>
      <c r="W70" s="8">
        <f t="shared" ca="1" si="211"/>
        <v>-120141.35788283145</v>
      </c>
      <c r="X70" s="8">
        <f t="shared" ca="1" si="211"/>
        <v>-132355.58570910158</v>
      </c>
      <c r="Y70" s="8">
        <f t="shared" ca="1" si="211"/>
        <v>-144596.125045272</v>
      </c>
      <c r="Z70" s="8">
        <f t="shared" ca="1" si="211"/>
        <v>-156855.26235351761</v>
      </c>
      <c r="AA70" s="8">
        <f t="shared" ca="1" si="211"/>
        <v>-169124.84011780034</v>
      </c>
      <c r="AB70" s="8">
        <f t="shared" ca="1" si="211"/>
        <v>-181396.23821022105</v>
      </c>
      <c r="AC70" s="8">
        <f t="shared" ca="1" si="211"/>
        <v>-193660.35456550412</v>
      </c>
      <c r="AD70" s="8">
        <f t="shared" ca="1" si="211"/>
        <v>-196168.58504803915</v>
      </c>
      <c r="AE70" s="8">
        <f t="shared" ca="1" si="211"/>
        <v>-198406.32794180204</v>
      </c>
      <c r="AF70" s="8">
        <f t="shared" ca="1" si="211"/>
        <v>-200356.82525654841</v>
      </c>
      <c r="AG70" s="8">
        <f t="shared" ca="1" si="211"/>
        <v>-202002.60017826199</v>
      </c>
      <c r="AH70" s="8">
        <f t="shared" ca="1" si="211"/>
        <v>-203325.43010233995</v>
      </c>
      <c r="AI70" s="8">
        <f t="shared" ca="1" si="211"/>
        <v>-204306.31872272107</v>
      </c>
      <c r="AJ70" s="8">
        <f t="shared" ca="1" si="211"/>
        <v>-204925.46714525897</v>
      </c>
      <c r="AK70" s="8">
        <f t="shared" ca="1" si="211"/>
        <v>-205162.24399260693</v>
      </c>
      <c r="AL70" s="8">
        <f t="shared" ca="1" si="211"/>
        <v>-204995.15446681262</v>
      </c>
      <c r="AM70" s="8">
        <f t="shared" ca="1" si="211"/>
        <v>-204401.80833471776</v>
      </c>
    </row>
    <row r="71" spans="1:39" x14ac:dyDescent="0.2">
      <c r="A71" s="2" t="s">
        <v>21</v>
      </c>
      <c r="C71" s="8">
        <f ca="1">IF(C70&lt;0,-C70,0)</f>
        <v>0</v>
      </c>
      <c r="D71" s="8">
        <f ca="1">IF(D70+SUM($C71:C71)&lt;0,-(D70+SUM($C71:C71)),0)</f>
        <v>0</v>
      </c>
      <c r="E71" s="8">
        <f ca="1">IF(E70+SUM($C71:D71)&lt;0,-(E70+SUM($C71:D71)),0)</f>
        <v>0</v>
      </c>
      <c r="F71" s="8">
        <f ca="1">IF(F70+SUM($C71:E71)&lt;0,-(F70+SUM($C71:E71)),0)</f>
        <v>0</v>
      </c>
      <c r="G71" s="8">
        <f ca="1">IF(G70+SUM($C71:F71)&lt;0,-(G70+SUM($C71:F71)),0)</f>
        <v>0</v>
      </c>
      <c r="H71" s="8">
        <f ca="1">IF(H70+SUM($C71:G71)&lt;0,-(H70+SUM($C71:G71)),0)</f>
        <v>0</v>
      </c>
      <c r="I71" s="8">
        <f ca="1">IF(I70+SUM($C71:H71)&lt;0,-(I70+SUM($C71:H71)),0)</f>
        <v>0</v>
      </c>
      <c r="J71" s="8">
        <f ca="1">IF(J70+SUM($C71:I71)&lt;0,-(J70+SUM($C71:I71)),0)</f>
        <v>0</v>
      </c>
      <c r="K71" s="8">
        <f ca="1">IF(K70+SUM($C71:J71)&lt;0,-(K70+SUM($C71:J71)),0)</f>
        <v>0</v>
      </c>
      <c r="L71" s="8">
        <f ca="1">IF(L70+SUM($C71:K71)&lt;0,-(L70+SUM($C71:K71)),0)</f>
        <v>28980.185103165757</v>
      </c>
      <c r="M71" s="8">
        <f ca="1">IF(M70+SUM($C71:L71)&lt;0,-(M70+SUM($C71:L71)),0)</f>
        <v>18782.199371146533</v>
      </c>
      <c r="N71" s="8">
        <f ca="1">IF(N70+SUM($C71:M71)&lt;0,-(N70+SUM($C71:M71)),0)</f>
        <v>19091.38746868512</v>
      </c>
      <c r="O71" s="8">
        <f ca="1">IF(O70+SUM($C71:N71)&lt;0,-(O70+SUM($C71:N71)),0)</f>
        <v>19361.037074793596</v>
      </c>
      <c r="P71" s="8">
        <f ca="1">IF(P70+SUM($C71:O71)&lt;0,-(P70+SUM($C71:O71)),0)</f>
        <v>19631.198868636464</v>
      </c>
      <c r="Q71" s="8">
        <f ca="1">IF(Q70+SUM($C71:P71)&lt;0,-(Q70+SUM($C71:P71)),0)</f>
        <v>19901.698783334636</v>
      </c>
      <c r="R71" s="8">
        <f ca="1">IF(R70+SUM($C71:Q71)&lt;0,-(R70+SUM($C71:Q71)),0)</f>
        <v>20172.352794189748</v>
      </c>
      <c r="S71" s="8">
        <f ca="1">IF(S70+SUM($C71:R71)&lt;0,-(S70+SUM($C71:R71)),0)</f>
        <v>1589.7451191652217</v>
      </c>
      <c r="T71" s="8">
        <f ca="1">IF(T70+SUM($C71:S71)&lt;0,-(T70+SUM($C71:S71)),0)</f>
        <v>0</v>
      </c>
      <c r="U71" s="8">
        <f ca="1">IF(U70+SUM($C71:T71)&lt;0,-(U70+SUM($C71:T71)),0)</f>
        <v>0</v>
      </c>
      <c r="V71" s="8">
        <f ca="1">IF(V70+SUM($C71:U71)&lt;0,-(V70+SUM($C71:U71)),0)</f>
        <v>0</v>
      </c>
      <c r="W71" s="8">
        <f ca="1">IF(W70+SUM($C71:V71)&lt;0,-(W70+SUM($C71:V71)),0)</f>
        <v>0</v>
      </c>
      <c r="X71" s="8">
        <f ca="1">IF(X70+SUM($C71:W71)&lt;0,-(X70+SUM($C71:W71)),0)</f>
        <v>0</v>
      </c>
      <c r="Y71" s="8">
        <f ca="1">IF(Y70+SUM($C71:X71)&lt;0,-(Y70+SUM($C71:X71)),0)</f>
        <v>0</v>
      </c>
      <c r="Z71" s="8">
        <f ca="1">IF(Z70+SUM($C71:Y71)&lt;0,-(Z70+SUM($C71:Y71)),0)</f>
        <v>9345.4577704005351</v>
      </c>
      <c r="AA71" s="8">
        <f ca="1">IF(AA70+SUM($C71:Z71)&lt;0,-(AA70+SUM($C71:Z71)),0)</f>
        <v>12269.577764282731</v>
      </c>
      <c r="AB71" s="8">
        <f ca="1">IF(AB70+SUM($C71:AA71)&lt;0,-(AB70+SUM($C71:AA71)),0)</f>
        <v>12271.398092420714</v>
      </c>
      <c r="AC71" s="8">
        <f ca="1">IF(AC70+SUM($C71:AB71)&lt;0,-(AC70+SUM($C71:AB71)),0)</f>
        <v>12264.116355283069</v>
      </c>
      <c r="AD71" s="8">
        <f ca="1">IF(AD70+SUM($C71:AC71)&lt;0,-(AD70+SUM($C71:AC71)),0)</f>
        <v>2508.2304825350293</v>
      </c>
      <c r="AE71" s="8">
        <f ca="1">IF(AE70+SUM($C71:AD71)&lt;0,-(AE70+SUM($C71:AD71)),0)</f>
        <v>2237.7428937628865</v>
      </c>
      <c r="AF71" s="8">
        <f ca="1">IF(AF70+SUM($C71:AE71)&lt;0,-(AF70+SUM($C71:AE71)),0)</f>
        <v>1950.4973147463752</v>
      </c>
      <c r="AG71" s="8">
        <f ca="1">IF(AG70+SUM($C71:AF71)&lt;0,-(AG70+SUM($C71:AF71)),0)</f>
        <v>1645.7749217135715</v>
      </c>
      <c r="AH71" s="8">
        <f ca="1">IF(AH70+SUM($C71:AG71)&lt;0,-(AH70+SUM($C71:AG71)),0)</f>
        <v>1322.8299240779597</v>
      </c>
      <c r="AI71" s="8">
        <f ca="1">IF(AI70+SUM($C71:AH71)&lt;0,-(AI70+SUM($C71:AH71)),0)</f>
        <v>980.88862038112711</v>
      </c>
      <c r="AJ71" s="8">
        <f ca="1">IF(AJ70+SUM($C71:AI71)&lt;0,-(AJ70+SUM($C71:AI71)),0)</f>
        <v>619.14842253789539</v>
      </c>
      <c r="AK71" s="8">
        <f ca="1">IF(AK70+SUM($C71:AJ71)&lt;0,-(AK70+SUM($C71:AJ71)),0)</f>
        <v>236.7768473479664</v>
      </c>
      <c r="AL71" s="8">
        <f ca="1">IF(AL70+SUM($C71:AK71)&lt;0,-(AL70+SUM($C71:AK71)),0)</f>
        <v>0</v>
      </c>
      <c r="AM71" s="8">
        <f ca="1">IF(AM70+SUM($C71:AL71)&lt;0,-(AM70+SUM($C71:AL71)),0)</f>
        <v>0</v>
      </c>
    </row>
    <row r="72" spans="1:39" x14ac:dyDescent="0.2"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</row>
    <row r="73" spans="1:39" ht="19" x14ac:dyDescent="0.25">
      <c r="A73" s="30" t="s">
        <v>22</v>
      </c>
      <c r="B73" s="31"/>
      <c r="C73" s="32"/>
      <c r="D73" s="33"/>
      <c r="E73" s="3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</row>
    <row r="74" spans="1:39" x14ac:dyDescent="0.2">
      <c r="A74" s="1"/>
      <c r="C74" s="8"/>
      <c r="D74" s="13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</row>
    <row r="75" spans="1:39" x14ac:dyDescent="0.2">
      <c r="A75" s="29" t="s">
        <v>28</v>
      </c>
      <c r="B75" s="31"/>
      <c r="C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</row>
    <row r="76" spans="1:39" x14ac:dyDescent="0.2">
      <c r="A76" s="4" t="s">
        <v>23</v>
      </c>
      <c r="C76" s="8">
        <f>C61</f>
        <v>32400.000000000004</v>
      </c>
      <c r="D76" s="8">
        <f t="shared" ref="D76:H76" ca="1" si="212">C79</f>
        <v>32400.000000000004</v>
      </c>
      <c r="E76" s="8">
        <f t="shared" ca="1" si="212"/>
        <v>34992.000000000007</v>
      </c>
      <c r="F76" s="8">
        <f t="shared" ca="1" si="212"/>
        <v>37791.360000000008</v>
      </c>
      <c r="G76" s="8">
        <f t="shared" ca="1" si="212"/>
        <v>40814.668800000007</v>
      </c>
      <c r="H76" s="8">
        <f t="shared" ca="1" si="212"/>
        <v>44079.842304000005</v>
      </c>
      <c r="I76" s="8">
        <f t="shared" ref="I76" ca="1" si="213">H79</f>
        <v>47606.229688320003</v>
      </c>
      <c r="J76" s="8">
        <f t="shared" ref="J76" ca="1" si="214">I79</f>
        <v>51414.728063385606</v>
      </c>
      <c r="K76" s="8">
        <f t="shared" ref="K76" ca="1" si="215">J79</f>
        <v>55527.906308456455</v>
      </c>
      <c r="L76" s="8">
        <f t="shared" ref="L76" ca="1" si="216">K79</f>
        <v>59970.138813132973</v>
      </c>
      <c r="M76" s="8">
        <f t="shared" ref="M76" ca="1" si="217">L79</f>
        <v>31821.855274584646</v>
      </c>
      <c r="N76" s="8">
        <f t="shared" ref="N76" ca="1" si="218">M79</f>
        <v>13015.208621984832</v>
      </c>
      <c r="O76" s="8">
        <f t="shared" ref="O76" ca="1" si="219">N79</f>
        <v>0</v>
      </c>
      <c r="P76" s="8">
        <f t="shared" ref="P76" ca="1" si="220">O79</f>
        <v>0</v>
      </c>
      <c r="Q76" s="8">
        <f t="shared" ref="Q76" ca="1" si="221">P79</f>
        <v>0</v>
      </c>
      <c r="R76" s="8">
        <f t="shared" ref="R76" ca="1" si="222">Q79</f>
        <v>0</v>
      </c>
      <c r="S76" s="8">
        <f t="shared" ref="S76" ca="1" si="223">R79</f>
        <v>0</v>
      </c>
      <c r="T76" s="8">
        <f t="shared" ref="T76" ca="1" si="224">S79</f>
        <v>0</v>
      </c>
      <c r="U76" s="8">
        <f t="shared" ref="U76" ca="1" si="225">T79</f>
        <v>0</v>
      </c>
      <c r="V76" s="8">
        <f t="shared" ref="V76" ca="1" si="226">U79</f>
        <v>0</v>
      </c>
      <c r="W76" s="8">
        <f t="shared" ref="W76" ca="1" si="227">V79</f>
        <v>0</v>
      </c>
      <c r="X76" s="8">
        <f t="shared" ref="X76" ca="1" si="228">W79</f>
        <v>0</v>
      </c>
      <c r="Y76" s="8">
        <f t="shared" ref="Y76" ca="1" si="229">X79</f>
        <v>0</v>
      </c>
      <c r="Z76" s="8">
        <f t="shared" ref="Z76" ca="1" si="230">Y79</f>
        <v>0</v>
      </c>
      <c r="AA76" s="8">
        <f t="shared" ref="AA76" ca="1" si="231">Z79</f>
        <v>0</v>
      </c>
      <c r="AB76" s="8">
        <f t="shared" ref="AB76" ca="1" si="232">AA79</f>
        <v>0</v>
      </c>
      <c r="AC76" s="8">
        <f t="shared" ref="AC76" ca="1" si="233">AB79</f>
        <v>0</v>
      </c>
      <c r="AD76" s="8">
        <f t="shared" ref="AD76" ca="1" si="234">AC79</f>
        <v>0</v>
      </c>
      <c r="AE76" s="8">
        <f t="shared" ref="AE76" ca="1" si="235">AD79</f>
        <v>0</v>
      </c>
      <c r="AF76" s="8">
        <f t="shared" ref="AF76" ca="1" si="236">AE79</f>
        <v>0</v>
      </c>
      <c r="AG76" s="8">
        <f t="shared" ref="AG76" ca="1" si="237">AF79</f>
        <v>0</v>
      </c>
      <c r="AH76" s="8">
        <f t="shared" ref="AH76" ca="1" si="238">AG79</f>
        <v>0</v>
      </c>
      <c r="AI76" s="8">
        <f t="shared" ref="AI76" ca="1" si="239">AH79</f>
        <v>0</v>
      </c>
      <c r="AJ76" s="8">
        <f t="shared" ref="AJ76" ca="1" si="240">AI79</f>
        <v>0</v>
      </c>
      <c r="AK76" s="8">
        <f t="shared" ref="AK76" ca="1" si="241">AJ79</f>
        <v>0</v>
      </c>
      <c r="AL76" s="8">
        <f t="shared" ref="AL76" ca="1" si="242">AK79</f>
        <v>0</v>
      </c>
      <c r="AM76" s="8">
        <f t="shared" ref="AM76" ca="1" si="243">AL79</f>
        <v>0</v>
      </c>
    </row>
    <row r="77" spans="1:39" x14ac:dyDescent="0.2">
      <c r="A77" s="4" t="s">
        <v>24</v>
      </c>
      <c r="C77" s="8">
        <f ca="1">-MIN( IF(C76&gt;C71/ (1 - Inputs!$B$171), C71/ (1 - Inputs!$B$171), C76), C76/ (1 - Inputs!$B$171) )</f>
        <v>0</v>
      </c>
      <c r="D77" s="8">
        <f ca="1">-MIN( IF(D76&gt;D71/ (1 - Inputs!$B$171), D71/ (1 - Inputs!$B$171), D76), D76/ (1 - Inputs!$B$171) )</f>
        <v>0</v>
      </c>
      <c r="E77" s="8">
        <f ca="1">-MIN( IF(E76&gt;E71/ (1 - Inputs!$B$171), E71/ (1 - Inputs!$B$171), E76), E76/ (1 - Inputs!$B$171) )</f>
        <v>0</v>
      </c>
      <c r="F77" s="8">
        <f ca="1">-MIN( IF(F76&gt;F71/ (1 - Inputs!$B$171), F71/ (1 - Inputs!$B$171), F76), F76/ (1 - Inputs!$B$171) )</f>
        <v>0</v>
      </c>
      <c r="G77" s="8">
        <f ca="1">-MIN( IF(G76&gt;G71/ (1 - Inputs!$B$171), G71/ (1 - Inputs!$B$171), G76), G76/ (1 - Inputs!$B$171) )</f>
        <v>0</v>
      </c>
      <c r="H77" s="8">
        <f ca="1">-MIN( IF(H76&gt;H71/ (1 - Inputs!$B$171), H71/ (1 - Inputs!$B$171), H76), H76/ (1 - Inputs!$B$171) )</f>
        <v>0</v>
      </c>
      <c r="I77" s="8">
        <f ca="1">-MIN( IF(I76&gt;I71/ (1 - Inputs!$B$171), I71/ (1 - Inputs!$B$171), I76), I76/ (1 - Inputs!$B$171) )</f>
        <v>0</v>
      </c>
      <c r="J77" s="8">
        <f ca="1">-MIN( IF(J76&gt;J71/ (1 - Inputs!$B$171), J71/ (1 - Inputs!$B$171), J76), J76/ (1 - Inputs!$B$171) )</f>
        <v>0</v>
      </c>
      <c r="K77" s="8">
        <f ca="1">-MIN( IF(K76&gt;K71/ (1 - Inputs!$B$171), K71/ (1 - Inputs!$B$171), K76), K76/ (1 - Inputs!$B$171) )</f>
        <v>0</v>
      </c>
      <c r="L77" s="8">
        <f ca="1">-MIN( IF(L76&gt;L71/ (1 - Inputs!$B$171), L71/ (1 - Inputs!$B$171), L76), L76/ (1 - Inputs!$B$171) )</f>
        <v>-30505.458003332376</v>
      </c>
      <c r="M77" s="8">
        <f ca="1">-MIN( IF(M76&gt;M71/ (1 - Inputs!$B$171), M71/ (1 - Inputs!$B$171), M76), M76/ (1 - Inputs!$B$171) )</f>
        <v>-19770.736180154247</v>
      </c>
      <c r="N77" s="8">
        <f ca="1">-MIN( IF(N76&gt;N71/ (1 - Inputs!$B$171), N71/ (1 - Inputs!$B$171), N76), N76/ (1 - Inputs!$B$171) )</f>
        <v>-13015.208621984832</v>
      </c>
      <c r="O77" s="8">
        <f ca="1">-MIN( IF(O76&gt;O71/ (1 - Inputs!$B$171), O71/ (1 - Inputs!$B$171), O76), O76/ (1 - Inputs!$B$171) )</f>
        <v>0</v>
      </c>
      <c r="P77" s="8">
        <f ca="1">-MIN( IF(P76&gt;P71/ (1 - Inputs!$B$171), P71/ (1 - Inputs!$B$171), P76), P76/ (1 - Inputs!$B$171) )</f>
        <v>0</v>
      </c>
      <c r="Q77" s="8">
        <f ca="1">-MIN( IF(Q76&gt;Q71/ (1 - Inputs!$B$171), Q71/ (1 - Inputs!$B$171), Q76), Q76/ (1 - Inputs!$B$171) )</f>
        <v>0</v>
      </c>
      <c r="R77" s="8">
        <f ca="1">-MIN( IF(R76&gt;R71/ (1 - Inputs!$B$171), R71/ (1 - Inputs!$B$171), R76), R76/ (1 - Inputs!$B$171) )</f>
        <v>0</v>
      </c>
      <c r="S77" s="8">
        <f ca="1">-MIN( IF(S76&gt;S71/ (1 - Inputs!$B$171), S71/ (1 - Inputs!$B$171), S76), S76/ (1 - Inputs!$B$171) )</f>
        <v>0</v>
      </c>
      <c r="T77" s="8">
        <f ca="1">-MIN( IF(T76&gt;T71/ (1 - Inputs!$B$171), T71/ (1 - Inputs!$B$171), T76), T76/ (1 - Inputs!$B$171) )</f>
        <v>0</v>
      </c>
      <c r="U77" s="8">
        <f ca="1">-MIN( IF(U76&gt;U71/ (1 - Inputs!$B$171), U71/ (1 - Inputs!$B$171), U76), U76/ (1 - Inputs!$B$171) )</f>
        <v>0</v>
      </c>
      <c r="V77" s="8">
        <f ca="1">-MIN( IF(V76&gt;V71/ (1 - Inputs!$B$171), V71/ (1 - Inputs!$B$171), V76), V76/ (1 - Inputs!$B$171) )</f>
        <v>0</v>
      </c>
      <c r="W77" s="8">
        <f ca="1">-MIN( IF(W76&gt;W71/ (1 - Inputs!$B$171), W71/ (1 - Inputs!$B$171), W76), W76/ (1 - Inputs!$B$171) )</f>
        <v>0</v>
      </c>
      <c r="X77" s="8">
        <f ca="1">-MIN( IF(X76&gt;X71/ (1 - Inputs!$B$171), X71/ (1 - Inputs!$B$171), X76), X76/ (1 - Inputs!$B$171) )</f>
        <v>0</v>
      </c>
      <c r="Y77" s="8">
        <f ca="1">-MIN( IF(Y76&gt;Y71/ (1 - Inputs!$B$171), Y71/ (1 - Inputs!$B$171), Y76), Y76/ (1 - Inputs!$B$171) )</f>
        <v>0</v>
      </c>
      <c r="Z77" s="8">
        <f ca="1">-MIN( IF(Z76&gt;Z71/ (1 - Inputs!$B$171), Z71/ (1 - Inputs!$B$171), Z76), Z76/ (1 - Inputs!$B$171) )</f>
        <v>0</v>
      </c>
      <c r="AA77" s="8">
        <f ca="1">-MIN( IF(AA76&gt;AA71/ (1 - Inputs!$B$171), AA71/ (1 - Inputs!$B$171), AA76), AA76/ (1 - Inputs!$B$171) )</f>
        <v>0</v>
      </c>
      <c r="AB77" s="8">
        <f ca="1">-MIN( IF(AB76&gt;AB71/ (1 - Inputs!$B$171), AB71/ (1 - Inputs!$B$171), AB76), AB76/ (1 - Inputs!$B$171) )</f>
        <v>0</v>
      </c>
      <c r="AC77" s="8">
        <f ca="1">-MIN( IF(AC76&gt;AC71/ (1 - Inputs!$B$171), AC71/ (1 - Inputs!$B$171), AC76), AC76/ (1 - Inputs!$B$171) )</f>
        <v>0</v>
      </c>
      <c r="AD77" s="8">
        <f ca="1">-MIN( IF(AD76&gt;AD71/ (1 - Inputs!$B$171), AD71/ (1 - Inputs!$B$171), AD76), AD76/ (1 - Inputs!$B$171) )</f>
        <v>0</v>
      </c>
      <c r="AE77" s="8">
        <f ca="1">-MIN( IF(AE76&gt;AE71/ (1 - Inputs!$B$171), AE71/ (1 - Inputs!$B$171), AE76), AE76/ (1 - Inputs!$B$171) )</f>
        <v>0</v>
      </c>
      <c r="AF77" s="8">
        <f ca="1">-MIN( IF(AF76&gt;AF71/ (1 - Inputs!$B$171), AF71/ (1 - Inputs!$B$171), AF76), AF76/ (1 - Inputs!$B$171) )</f>
        <v>0</v>
      </c>
      <c r="AG77" s="8">
        <f ca="1">-MIN( IF(AG76&gt;AG71/ (1 - Inputs!$B$171), AG71/ (1 - Inputs!$B$171), AG76), AG76/ (1 - Inputs!$B$171) )</f>
        <v>0</v>
      </c>
      <c r="AH77" s="8">
        <f ca="1">-MIN( IF(AH76&gt;AH71/ (1 - Inputs!$B$171), AH71/ (1 - Inputs!$B$171), AH76), AH76/ (1 - Inputs!$B$171) )</f>
        <v>0</v>
      </c>
      <c r="AI77" s="8">
        <f ca="1">-MIN( IF(AI76&gt;AI71/ (1 - Inputs!$B$171), AI71/ (1 - Inputs!$B$171), AI76), AI76/ (1 - Inputs!$B$171) )</f>
        <v>0</v>
      </c>
      <c r="AJ77" s="8">
        <f ca="1">-MIN( IF(AJ76&gt;AJ71/ (1 - Inputs!$B$171), AJ71/ (1 - Inputs!$B$171), AJ76), AJ76/ (1 - Inputs!$B$171) )</f>
        <v>0</v>
      </c>
      <c r="AK77" s="8">
        <f ca="1">-MIN( IF(AK76&gt;AK71/ (1 - Inputs!$B$171), AK71/ (1 - Inputs!$B$171), AK76), AK76/ (1 - Inputs!$B$171) )</f>
        <v>0</v>
      </c>
      <c r="AL77" s="8">
        <f ca="1">-MIN( IF(AL76&gt;AL71/ (1 - Inputs!$B$171), AL71/ (1 - Inputs!$B$171), AL76), AL76/ (1 - Inputs!$B$171) )</f>
        <v>0</v>
      </c>
      <c r="AM77" s="8">
        <f ca="1">-MIN( IF(AM76&gt;AM71/ (1 - Inputs!$B$171), AM71/ (1 - Inputs!$B$171), AM76), AM76/ (1 - Inputs!$B$171) )</f>
        <v>0</v>
      </c>
    </row>
    <row r="78" spans="1:39" x14ac:dyDescent="0.2">
      <c r="A78" s="4" t="s">
        <v>25</v>
      </c>
      <c r="C78" s="8">
        <v>0</v>
      </c>
      <c r="D78" s="8">
        <f t="shared" ref="D78:G78" ca="1" si="244">SUM(D76:D77)*stinc</f>
        <v>2592.0000000000005</v>
      </c>
      <c r="E78" s="8">
        <f t="shared" ca="1" si="244"/>
        <v>2799.3600000000006</v>
      </c>
      <c r="F78" s="8">
        <f t="shared" ca="1" si="244"/>
        <v>3023.3088000000007</v>
      </c>
      <c r="G78" s="8">
        <f t="shared" ca="1" si="244"/>
        <v>3265.1735040000008</v>
      </c>
      <c r="H78" s="8">
        <f t="shared" ref="H78" ca="1" si="245">SUM(H76:H77)*stinc</f>
        <v>3526.3873843200004</v>
      </c>
      <c r="I78" s="8">
        <f t="shared" ref="I78:AM78" ca="1" si="246">SUM(I76:I77)*stinc</f>
        <v>3808.4983750656002</v>
      </c>
      <c r="J78" s="8">
        <f t="shared" ca="1" si="246"/>
        <v>4113.1782450708488</v>
      </c>
      <c r="K78" s="8">
        <f t="shared" ca="1" si="246"/>
        <v>4442.2325046765163</v>
      </c>
      <c r="L78" s="8">
        <f t="shared" ca="1" si="246"/>
        <v>2357.1744647840478</v>
      </c>
      <c r="M78" s="8">
        <f t="shared" ca="1" si="246"/>
        <v>964.08952755443204</v>
      </c>
      <c r="N78" s="8">
        <f t="shared" ca="1" si="246"/>
        <v>0</v>
      </c>
      <c r="O78" s="8">
        <f t="shared" ca="1" si="246"/>
        <v>0</v>
      </c>
      <c r="P78" s="8">
        <f t="shared" ca="1" si="246"/>
        <v>0</v>
      </c>
      <c r="Q78" s="8">
        <f t="shared" ca="1" si="246"/>
        <v>0</v>
      </c>
      <c r="R78" s="8">
        <f t="shared" ca="1" si="246"/>
        <v>0</v>
      </c>
      <c r="S78" s="8">
        <f t="shared" ca="1" si="246"/>
        <v>0</v>
      </c>
      <c r="T78" s="8">
        <f t="shared" ca="1" si="246"/>
        <v>0</v>
      </c>
      <c r="U78" s="8">
        <f t="shared" ca="1" si="246"/>
        <v>0</v>
      </c>
      <c r="V78" s="8">
        <f t="shared" ca="1" si="246"/>
        <v>0</v>
      </c>
      <c r="W78" s="8">
        <f t="shared" ca="1" si="246"/>
        <v>0</v>
      </c>
      <c r="X78" s="8">
        <f t="shared" ca="1" si="246"/>
        <v>0</v>
      </c>
      <c r="Y78" s="8">
        <f t="shared" ca="1" si="246"/>
        <v>0</v>
      </c>
      <c r="Z78" s="8">
        <f t="shared" ca="1" si="246"/>
        <v>0</v>
      </c>
      <c r="AA78" s="8">
        <f t="shared" ca="1" si="246"/>
        <v>0</v>
      </c>
      <c r="AB78" s="8">
        <f t="shared" ca="1" si="246"/>
        <v>0</v>
      </c>
      <c r="AC78" s="8">
        <f t="shared" ca="1" si="246"/>
        <v>0</v>
      </c>
      <c r="AD78" s="8">
        <f t="shared" ca="1" si="246"/>
        <v>0</v>
      </c>
      <c r="AE78" s="8">
        <f t="shared" ca="1" si="246"/>
        <v>0</v>
      </c>
      <c r="AF78" s="8">
        <f t="shared" ca="1" si="246"/>
        <v>0</v>
      </c>
      <c r="AG78" s="8">
        <f t="shared" ca="1" si="246"/>
        <v>0</v>
      </c>
      <c r="AH78" s="8">
        <f t="shared" ca="1" si="246"/>
        <v>0</v>
      </c>
      <c r="AI78" s="8">
        <f t="shared" ca="1" si="246"/>
        <v>0</v>
      </c>
      <c r="AJ78" s="8">
        <f t="shared" ca="1" si="246"/>
        <v>0</v>
      </c>
      <c r="AK78" s="8">
        <f t="shared" ca="1" si="246"/>
        <v>0</v>
      </c>
      <c r="AL78" s="8">
        <f t="shared" ca="1" si="246"/>
        <v>0</v>
      </c>
      <c r="AM78" s="8">
        <f t="shared" ca="1" si="246"/>
        <v>0</v>
      </c>
    </row>
    <row r="79" spans="1:39" x14ac:dyDescent="0.2">
      <c r="A79" s="4" t="s">
        <v>26</v>
      </c>
      <c r="C79" s="8">
        <f ca="1">SUM(C76:C78)</f>
        <v>32400.000000000004</v>
      </c>
      <c r="D79" s="8">
        <f ca="1">SUM(D76:D78)</f>
        <v>34992.000000000007</v>
      </c>
      <c r="E79" s="8">
        <f t="shared" ref="E79:G79" ca="1" si="247">SUM(E76:E78)</f>
        <v>37791.360000000008</v>
      </c>
      <c r="F79" s="8">
        <f t="shared" ca="1" si="247"/>
        <v>40814.668800000007</v>
      </c>
      <c r="G79" s="8">
        <f t="shared" ca="1" si="247"/>
        <v>44079.842304000005</v>
      </c>
      <c r="H79" s="8">
        <f t="shared" ref="H79" ca="1" si="248">SUM(H76:H78)</f>
        <v>47606.229688320003</v>
      </c>
      <c r="I79" s="8">
        <f t="shared" ref="I79:AM79" ca="1" si="249">SUM(I76:I78)</f>
        <v>51414.728063385606</v>
      </c>
      <c r="J79" s="8">
        <f t="shared" ca="1" si="249"/>
        <v>55527.906308456455</v>
      </c>
      <c r="K79" s="8">
        <f t="shared" ca="1" si="249"/>
        <v>59970.138813132973</v>
      </c>
      <c r="L79" s="8">
        <f t="shared" ca="1" si="249"/>
        <v>31821.855274584646</v>
      </c>
      <c r="M79" s="8">
        <f t="shared" ca="1" si="249"/>
        <v>13015.208621984832</v>
      </c>
      <c r="N79" s="8">
        <f t="shared" ca="1" si="249"/>
        <v>0</v>
      </c>
      <c r="O79" s="8">
        <f t="shared" ca="1" si="249"/>
        <v>0</v>
      </c>
      <c r="P79" s="8">
        <f t="shared" ca="1" si="249"/>
        <v>0</v>
      </c>
      <c r="Q79" s="8">
        <f t="shared" ca="1" si="249"/>
        <v>0</v>
      </c>
      <c r="R79" s="8">
        <f t="shared" ca="1" si="249"/>
        <v>0</v>
      </c>
      <c r="S79" s="8">
        <f t="shared" ca="1" si="249"/>
        <v>0</v>
      </c>
      <c r="T79" s="8">
        <f t="shared" ca="1" si="249"/>
        <v>0</v>
      </c>
      <c r="U79" s="8">
        <f t="shared" ca="1" si="249"/>
        <v>0</v>
      </c>
      <c r="V79" s="8">
        <f t="shared" ca="1" si="249"/>
        <v>0</v>
      </c>
      <c r="W79" s="8">
        <f t="shared" ca="1" si="249"/>
        <v>0</v>
      </c>
      <c r="X79" s="8">
        <f t="shared" ca="1" si="249"/>
        <v>0</v>
      </c>
      <c r="Y79" s="8">
        <f t="shared" ca="1" si="249"/>
        <v>0</v>
      </c>
      <c r="Z79" s="8">
        <f t="shared" ca="1" si="249"/>
        <v>0</v>
      </c>
      <c r="AA79" s="8">
        <f t="shared" ca="1" si="249"/>
        <v>0</v>
      </c>
      <c r="AB79" s="8">
        <f t="shared" ca="1" si="249"/>
        <v>0</v>
      </c>
      <c r="AC79" s="8">
        <f t="shared" ca="1" si="249"/>
        <v>0</v>
      </c>
      <c r="AD79" s="8">
        <f t="shared" ca="1" si="249"/>
        <v>0</v>
      </c>
      <c r="AE79" s="8">
        <f t="shared" ca="1" si="249"/>
        <v>0</v>
      </c>
      <c r="AF79" s="8">
        <f t="shared" ca="1" si="249"/>
        <v>0</v>
      </c>
      <c r="AG79" s="8">
        <f t="shared" ca="1" si="249"/>
        <v>0</v>
      </c>
      <c r="AH79" s="8">
        <f t="shared" ca="1" si="249"/>
        <v>0</v>
      </c>
      <c r="AI79" s="8">
        <f t="shared" ca="1" si="249"/>
        <v>0</v>
      </c>
      <c r="AJ79" s="8">
        <f t="shared" ca="1" si="249"/>
        <v>0</v>
      </c>
      <c r="AK79" s="8">
        <f t="shared" ca="1" si="249"/>
        <v>0</v>
      </c>
      <c r="AL79" s="8">
        <f t="shared" ca="1" si="249"/>
        <v>0</v>
      </c>
      <c r="AM79" s="8">
        <f t="shared" ca="1" si="249"/>
        <v>0</v>
      </c>
    </row>
    <row r="80" spans="1:39" x14ac:dyDescent="0.2">
      <c r="A80" s="4" t="s">
        <v>27</v>
      </c>
      <c r="C80" s="8">
        <f ca="1">C77*Inputs!$B$171</f>
        <v>0</v>
      </c>
      <c r="D80" s="8">
        <f ca="1">D77*Inputs!$B$171</f>
        <v>0</v>
      </c>
      <c r="E80" s="8">
        <f ca="1">E77*Inputs!$B$171</f>
        <v>0</v>
      </c>
      <c r="F80" s="8">
        <f ca="1">F77*Inputs!$B$171</f>
        <v>0</v>
      </c>
      <c r="G80" s="8">
        <f ca="1">G77*Inputs!$B$171</f>
        <v>0</v>
      </c>
      <c r="H80" s="8">
        <f ca="1">H77*Inputs!$B$171</f>
        <v>0</v>
      </c>
      <c r="I80" s="8">
        <f ca="1">I77*Inputs!$B$171</f>
        <v>0</v>
      </c>
      <c r="J80" s="8">
        <f ca="1">J77*Inputs!$B$171</f>
        <v>0</v>
      </c>
      <c r="K80" s="8">
        <f ca="1">K77*Inputs!$B$171</f>
        <v>0</v>
      </c>
      <c r="L80" s="8">
        <f ca="1">L77*Inputs!$B$171</f>
        <v>-1525.2729001666189</v>
      </c>
      <c r="M80" s="8">
        <f ca="1">M77*Inputs!$B$171</f>
        <v>-988.53680900771235</v>
      </c>
      <c r="N80" s="8">
        <f ca="1">N77*Inputs!$B$171</f>
        <v>-650.7604310992416</v>
      </c>
      <c r="O80" s="8">
        <f ca="1">O77*Inputs!$B$171</f>
        <v>0</v>
      </c>
      <c r="P80" s="8">
        <f ca="1">P77*Inputs!$B$171</f>
        <v>0</v>
      </c>
      <c r="Q80" s="8">
        <f ca="1">Q77*Inputs!$B$171</f>
        <v>0</v>
      </c>
      <c r="R80" s="8">
        <f ca="1">R77*Inputs!$B$171</f>
        <v>0</v>
      </c>
      <c r="S80" s="8">
        <f ca="1">S77*Inputs!$B$171</f>
        <v>0</v>
      </c>
      <c r="T80" s="8">
        <f ca="1">T77*Inputs!$B$171</f>
        <v>0</v>
      </c>
      <c r="U80" s="8">
        <f ca="1">U77*Inputs!$B$171</f>
        <v>0</v>
      </c>
      <c r="V80" s="8">
        <f ca="1">V77*Inputs!$B$171</f>
        <v>0</v>
      </c>
      <c r="W80" s="8">
        <f ca="1">W77*Inputs!$B$171</f>
        <v>0</v>
      </c>
      <c r="X80" s="8">
        <f ca="1">X77*Inputs!$B$171</f>
        <v>0</v>
      </c>
      <c r="Y80" s="8">
        <f ca="1">Y77*Inputs!$B$171</f>
        <v>0</v>
      </c>
      <c r="Z80" s="8">
        <f ca="1">Z77*Inputs!$B$171</f>
        <v>0</v>
      </c>
      <c r="AA80" s="8">
        <f ca="1">AA77*Inputs!$B$171</f>
        <v>0</v>
      </c>
      <c r="AB80" s="8">
        <f ca="1">AB77*Inputs!$B$171</f>
        <v>0</v>
      </c>
      <c r="AC80" s="8">
        <f ca="1">AC77*Inputs!$B$171</f>
        <v>0</v>
      </c>
      <c r="AD80" s="8">
        <f ca="1">AD77*Inputs!$B$171</f>
        <v>0</v>
      </c>
      <c r="AE80" s="8">
        <f ca="1">AE77*Inputs!$B$171</f>
        <v>0</v>
      </c>
      <c r="AF80" s="8">
        <f ca="1">AF77*Inputs!$B$171</f>
        <v>0</v>
      </c>
      <c r="AG80" s="8">
        <f ca="1">AG77*Inputs!$B$171</f>
        <v>0</v>
      </c>
      <c r="AH80" s="8">
        <f ca="1">AH77*Inputs!$B$171</f>
        <v>0</v>
      </c>
      <c r="AI80" s="8">
        <f ca="1">AI77*Inputs!$B$171</f>
        <v>0</v>
      </c>
      <c r="AJ80" s="8">
        <f ca="1">AJ77*Inputs!$B$171</f>
        <v>0</v>
      </c>
      <c r="AK80" s="8">
        <f ca="1">AK77*Inputs!$B$171</f>
        <v>0</v>
      </c>
      <c r="AL80" s="8">
        <f ca="1">AL77*Inputs!$B$171</f>
        <v>0</v>
      </c>
      <c r="AM80" s="8">
        <f ca="1">AM77*Inputs!$B$171</f>
        <v>0</v>
      </c>
    </row>
    <row r="81" spans="1:39" x14ac:dyDescent="0.2">
      <c r="A81" s="4" t="s">
        <v>41</v>
      </c>
      <c r="C81" s="8">
        <f ca="1">-C77+C80</f>
        <v>0</v>
      </c>
      <c r="D81" s="8">
        <f t="shared" ref="D81:G81" ca="1" si="250">-D77+D80</f>
        <v>0</v>
      </c>
      <c r="E81" s="8">
        <f t="shared" ca="1" si="250"/>
        <v>0</v>
      </c>
      <c r="F81" s="8">
        <f t="shared" ca="1" si="250"/>
        <v>0</v>
      </c>
      <c r="G81" s="8">
        <f t="shared" ca="1" si="250"/>
        <v>0</v>
      </c>
      <c r="H81" s="8">
        <f t="shared" ref="H81" ca="1" si="251">-H77+H80</f>
        <v>0</v>
      </c>
      <c r="I81" s="8">
        <f t="shared" ref="I81:AM81" ca="1" si="252">-I77+I80</f>
        <v>0</v>
      </c>
      <c r="J81" s="8">
        <f t="shared" ca="1" si="252"/>
        <v>0</v>
      </c>
      <c r="K81" s="8">
        <f t="shared" ca="1" si="252"/>
        <v>0</v>
      </c>
      <c r="L81" s="8">
        <f t="shared" ca="1" si="252"/>
        <v>28980.185103165757</v>
      </c>
      <c r="M81" s="8">
        <f t="shared" ca="1" si="252"/>
        <v>18782.199371146533</v>
      </c>
      <c r="N81" s="8">
        <f t="shared" ca="1" si="252"/>
        <v>12364.448190885591</v>
      </c>
      <c r="O81" s="8">
        <f t="shared" ca="1" si="252"/>
        <v>0</v>
      </c>
      <c r="P81" s="8">
        <f t="shared" ca="1" si="252"/>
        <v>0</v>
      </c>
      <c r="Q81" s="8">
        <f t="shared" ca="1" si="252"/>
        <v>0</v>
      </c>
      <c r="R81" s="8">
        <f t="shared" ca="1" si="252"/>
        <v>0</v>
      </c>
      <c r="S81" s="8">
        <f t="shared" ca="1" si="252"/>
        <v>0</v>
      </c>
      <c r="T81" s="8">
        <f t="shared" ca="1" si="252"/>
        <v>0</v>
      </c>
      <c r="U81" s="8">
        <f t="shared" ca="1" si="252"/>
        <v>0</v>
      </c>
      <c r="V81" s="8">
        <f t="shared" ca="1" si="252"/>
        <v>0</v>
      </c>
      <c r="W81" s="8">
        <f t="shared" ca="1" si="252"/>
        <v>0</v>
      </c>
      <c r="X81" s="8">
        <f t="shared" ca="1" si="252"/>
        <v>0</v>
      </c>
      <c r="Y81" s="8">
        <f t="shared" ca="1" si="252"/>
        <v>0</v>
      </c>
      <c r="Z81" s="8">
        <f t="shared" ca="1" si="252"/>
        <v>0</v>
      </c>
      <c r="AA81" s="8">
        <f t="shared" ca="1" si="252"/>
        <v>0</v>
      </c>
      <c r="AB81" s="8">
        <f t="shared" ca="1" si="252"/>
        <v>0</v>
      </c>
      <c r="AC81" s="8">
        <f t="shared" ca="1" si="252"/>
        <v>0</v>
      </c>
      <c r="AD81" s="8">
        <f t="shared" ca="1" si="252"/>
        <v>0</v>
      </c>
      <c r="AE81" s="8">
        <f t="shared" ca="1" si="252"/>
        <v>0</v>
      </c>
      <c r="AF81" s="8">
        <f t="shared" ca="1" si="252"/>
        <v>0</v>
      </c>
      <c r="AG81" s="8">
        <f t="shared" ca="1" si="252"/>
        <v>0</v>
      </c>
      <c r="AH81" s="8">
        <f t="shared" ca="1" si="252"/>
        <v>0</v>
      </c>
      <c r="AI81" s="8">
        <f t="shared" ca="1" si="252"/>
        <v>0</v>
      </c>
      <c r="AJ81" s="8">
        <f t="shared" ca="1" si="252"/>
        <v>0</v>
      </c>
      <c r="AK81" s="8">
        <f t="shared" ca="1" si="252"/>
        <v>0</v>
      </c>
      <c r="AL81" s="8">
        <f t="shared" ca="1" si="252"/>
        <v>0</v>
      </c>
      <c r="AM81" s="8">
        <f t="shared" ca="1" si="252"/>
        <v>0</v>
      </c>
    </row>
    <row r="82" spans="1:39" x14ac:dyDescent="0.2">
      <c r="A82" s="5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</row>
    <row r="83" spans="1:39" x14ac:dyDescent="0.2">
      <c r="A83" s="4" t="s">
        <v>87</v>
      </c>
      <c r="C83" s="8">
        <f ca="1">C70+SUM($C81:C81)</f>
        <v>30325.5</v>
      </c>
      <c r="D83" s="8">
        <f ca="1">D70+SUM($C81:D81)</f>
        <v>53777.462499999994</v>
      </c>
      <c r="E83" s="8">
        <f ca="1">E70+SUM($C81:E81)</f>
        <v>57139.486875000017</v>
      </c>
      <c r="F83" s="8">
        <f ca="1">F70+SUM($C81:F81)</f>
        <v>94700.221659424511</v>
      </c>
      <c r="G83" s="8">
        <f ca="1">G70+SUM($C81:G81)</f>
        <v>136857.58117608592</v>
      </c>
      <c r="H83" s="8">
        <f ca="1">H70+SUM($C81:H81)</f>
        <v>99039.354794970655</v>
      </c>
      <c r="I83" s="8">
        <f ca="1">I70+SUM($C81:I81)</f>
        <v>66112.722442054321</v>
      </c>
      <c r="J83" s="8">
        <f ca="1">J70+SUM($C81:J81)</f>
        <v>13748.103183444677</v>
      </c>
      <c r="K83" s="8">
        <f ca="1">K70+SUM($C81:K81)</f>
        <v>39521.393830203713</v>
      </c>
      <c r="L83" s="8">
        <f ca="1">L70+SUM($C81:L81)</f>
        <v>0</v>
      </c>
      <c r="M83" s="8">
        <f ca="1">M70+SUM($C81:M81)</f>
        <v>0</v>
      </c>
      <c r="N83" s="8">
        <f ca="1">N70+SUM($C81:N81)</f>
        <v>-6726.9392777995308</v>
      </c>
      <c r="O83" s="8">
        <f ca="1">O70+SUM($C81:O81)</f>
        <v>-26087.976352593127</v>
      </c>
      <c r="P83" s="8">
        <f ca="1">P70+SUM($C81:P81)</f>
        <v>-45719.175221229591</v>
      </c>
      <c r="Q83" s="8">
        <f ca="1">Q70+SUM($C81:Q81)</f>
        <v>-65620.874004564219</v>
      </c>
      <c r="R83" s="8">
        <f ca="1">R70+SUM($C81:R81)</f>
        <v>-85793.226798753982</v>
      </c>
      <c r="S83" s="8">
        <f ca="1">S70+SUM($C81:S81)</f>
        <v>-87382.971917919203</v>
      </c>
      <c r="T83" s="8">
        <f ca="1">T70+SUM($C81:T81)</f>
        <v>-81163.663393313327</v>
      </c>
      <c r="U83" s="8">
        <f ca="1">U70+SUM($C81:U81)</f>
        <v>-74540.945010751573</v>
      </c>
      <c r="V83" s="8">
        <f ca="1">V70+SUM($C81:V81)</f>
        <v>-67497.293709439749</v>
      </c>
      <c r="W83" s="8">
        <f ca="1">W70+SUM($C81:W81)</f>
        <v>-60014.525217633571</v>
      </c>
      <c r="X83" s="8">
        <f ca="1">X70+SUM($C81:X81)</f>
        <v>-72228.753043903707</v>
      </c>
      <c r="Y83" s="8">
        <f ca="1">Y70+SUM($C81:Y81)</f>
        <v>-84469.292380074126</v>
      </c>
      <c r="Z83" s="8">
        <f ca="1">Z70+SUM($C81:Z81)</f>
        <v>-96728.429688319738</v>
      </c>
      <c r="AA83" s="8">
        <f ca="1">AA70+SUM($C81:AA81)</f>
        <v>-108998.00745260247</v>
      </c>
      <c r="AB83" s="8">
        <f ca="1">AB70+SUM($C81:AB81)</f>
        <v>-121269.40554502318</v>
      </c>
      <c r="AC83" s="8">
        <f ca="1">AC70+SUM($C81:AC81)</f>
        <v>-133533.52190030625</v>
      </c>
      <c r="AD83" s="8">
        <f ca="1">AD70+SUM($C81:AD81)</f>
        <v>-136041.75238284128</v>
      </c>
      <c r="AE83" s="8">
        <f ca="1">AE70+SUM($C81:AE81)</f>
        <v>-138279.49527660417</v>
      </c>
      <c r="AF83" s="8">
        <f ca="1">AF70+SUM($C81:AF81)</f>
        <v>-140229.99259135054</v>
      </c>
      <c r="AG83" s="8">
        <f ca="1">AG70+SUM($C81:AG81)</f>
        <v>-141875.76751306411</v>
      </c>
      <c r="AH83" s="8">
        <f ca="1">AH70+SUM($C81:AH81)</f>
        <v>-143198.59743714207</v>
      </c>
      <c r="AI83" s="8">
        <f ca="1">AI70+SUM($C81:AI81)</f>
        <v>-144179.4860575232</v>
      </c>
      <c r="AJ83" s="8">
        <f ca="1">AJ70+SUM($C81:AJ81)</f>
        <v>-144798.6344800611</v>
      </c>
      <c r="AK83" s="8">
        <f ca="1">AK70+SUM($C81:AK81)</f>
        <v>-145035.41132740906</v>
      </c>
      <c r="AL83" s="8">
        <f ca="1">AL70+SUM($C81:AL81)</f>
        <v>-144868.32180161474</v>
      </c>
      <c r="AM83" s="8">
        <f ca="1">AM70+SUM($C81:AM81)</f>
        <v>-144274.97566951989</v>
      </c>
    </row>
    <row r="84" spans="1:39" x14ac:dyDescent="0.2">
      <c r="A84" s="4" t="s">
        <v>21</v>
      </c>
      <c r="C84" s="8">
        <f ca="1">IF(C83&lt;0,C83,0)</f>
        <v>0</v>
      </c>
      <c r="D84" s="8">
        <f ca="1">IF(D83+SUM($C84:C84)&lt;0,-(D83+SUM($C84:C84)),0)</f>
        <v>0</v>
      </c>
      <c r="E84" s="8">
        <f ca="1">IF(E83+SUM($C84:D84)&lt;0,-(E83+SUM($C84:D84)),0)</f>
        <v>0</v>
      </c>
      <c r="F84" s="8">
        <f ca="1">IF(F83+SUM($C84:E84)&lt;0,-(F83+SUM($C84:E84)),0)</f>
        <v>0</v>
      </c>
      <c r="G84" s="8">
        <f ca="1">IF(G83+SUM($C84:F84)&lt;0,-(G83+SUM($C84:F84)),0)</f>
        <v>0</v>
      </c>
      <c r="H84" s="8">
        <f ca="1">IF(H83+SUM($C84:G84)&lt;0,-(H83+SUM($C84:G84)),0)</f>
        <v>0</v>
      </c>
      <c r="I84" s="8">
        <f ca="1">IF(I83+SUM($C84:H84)&lt;0,-(I83+SUM($C84:H84)),0)</f>
        <v>0</v>
      </c>
      <c r="J84" s="8">
        <f ca="1">IF(J83+SUM($C84:I84)&lt;0,-(J83+SUM($C84:I84)),0)</f>
        <v>0</v>
      </c>
      <c r="K84" s="8">
        <f ca="1">IF(K83+SUM($C84:J84)&lt;0,-(K83+SUM($C84:J84)),0)</f>
        <v>0</v>
      </c>
      <c r="L84" s="8">
        <f ca="1">IF(L83+SUM($C84:K84)&lt;0,-(L83+SUM($C84:K84)),0)</f>
        <v>0</v>
      </c>
      <c r="M84" s="8">
        <f ca="1">IF(M83+SUM($C84:L84)&lt;0,-(M83+SUM($C84:L84)),0)</f>
        <v>0</v>
      </c>
      <c r="N84" s="8">
        <f ca="1">IF(N83+SUM($C84:M84)&lt;0,-(N83+SUM($C84:M84)),0)</f>
        <v>6726.9392777995308</v>
      </c>
      <c r="O84" s="8">
        <f ca="1">IF(O83+SUM($C84:N84)&lt;0,-(O83+SUM($C84:N84)),0)</f>
        <v>19361.037074793596</v>
      </c>
      <c r="P84" s="8">
        <f ca="1">IF(P83+SUM($C84:O84)&lt;0,-(P83+SUM($C84:O84)),0)</f>
        <v>19631.198868636464</v>
      </c>
      <c r="Q84" s="8">
        <f ca="1">IF(Q83+SUM($C84:P84)&lt;0,-(Q83+SUM($C84:P84)),0)</f>
        <v>19901.698783334628</v>
      </c>
      <c r="R84" s="8">
        <f ca="1">IF(R83+SUM($C84:Q84)&lt;0,-(R83+SUM($C84:Q84)),0)</f>
        <v>20172.352794189763</v>
      </c>
      <c r="S84" s="8">
        <f ca="1">IF(S83+SUM($C84:R84)&lt;0,-(S83+SUM($C84:R84)),0)</f>
        <v>1589.7451191652217</v>
      </c>
      <c r="T84" s="8">
        <f ca="1">IF(T83+SUM($C84:S84)&lt;0,-(T83+SUM($C84:S84)),0)</f>
        <v>0</v>
      </c>
      <c r="U84" s="8">
        <f ca="1">IF(U83+SUM($C84:T84)&lt;0,-(U83+SUM($C84:T84)),0)</f>
        <v>0</v>
      </c>
      <c r="V84" s="8">
        <f ca="1">IF(V83+SUM($C84:U84)&lt;0,-(V83+SUM($C84:U84)),0)</f>
        <v>0</v>
      </c>
      <c r="W84" s="8">
        <f ca="1">IF(W83+SUM($C84:V84)&lt;0,-(W83+SUM($C84:V84)),0)</f>
        <v>0</v>
      </c>
      <c r="X84" s="8">
        <f ca="1">IF(X83+SUM($C84:W84)&lt;0,-(X83+SUM($C84:W84)),0)</f>
        <v>0</v>
      </c>
      <c r="Y84" s="8">
        <f ca="1">IF(Y83+SUM($C84:X84)&lt;0,-(Y83+SUM($C84:X84)),0)</f>
        <v>0</v>
      </c>
      <c r="Z84" s="8">
        <f ca="1">IF(Z83+SUM($C84:Y84)&lt;0,-(Z83+SUM($C84:Y84)),0)</f>
        <v>9345.4577704005351</v>
      </c>
      <c r="AA84" s="8">
        <f ca="1">IF(AA83+SUM($C84:Z84)&lt;0,-(AA83+SUM($C84:Z84)),0)</f>
        <v>12269.577764282731</v>
      </c>
      <c r="AB84" s="8">
        <f ca="1">IF(AB83+SUM($C84:AA84)&lt;0,-(AB83+SUM($C84:AA84)),0)</f>
        <v>12271.398092420714</v>
      </c>
      <c r="AC84" s="8">
        <f ca="1">IF(AC83+SUM($C84:AB84)&lt;0,-(AC83+SUM($C84:AB84)),0)</f>
        <v>12264.116355283069</v>
      </c>
      <c r="AD84" s="8">
        <f ca="1">IF(AD83+SUM($C84:AC84)&lt;0,-(AD83+SUM($C84:AC84)),0)</f>
        <v>2508.2304825350293</v>
      </c>
      <c r="AE84" s="8">
        <f ca="1">IF(AE83+SUM($C84:AD84)&lt;0,-(AE83+SUM($C84:AD84)),0)</f>
        <v>2237.7428937628865</v>
      </c>
      <c r="AF84" s="8">
        <f ca="1">IF(AF83+SUM($C84:AE84)&lt;0,-(AF83+SUM($C84:AE84)),0)</f>
        <v>1950.4973147463752</v>
      </c>
      <c r="AG84" s="8">
        <f ca="1">IF(AG83+SUM($C84:AF84)&lt;0,-(AG83+SUM($C84:AF84)),0)</f>
        <v>1645.7749217135715</v>
      </c>
      <c r="AH84" s="8">
        <f ca="1">IF(AH83+SUM($C84:AG84)&lt;0,-(AH83+SUM($C84:AG84)),0)</f>
        <v>1322.8299240779597</v>
      </c>
      <c r="AI84" s="8">
        <f ca="1">IF(AI83+SUM($C84:AH84)&lt;0,-(AI83+SUM($C84:AH84)),0)</f>
        <v>980.88862038112711</v>
      </c>
      <c r="AJ84" s="8">
        <f ca="1">IF(AJ83+SUM($C84:AI84)&lt;0,-(AJ83+SUM($C84:AI84)),0)</f>
        <v>619.14842253789539</v>
      </c>
      <c r="AK84" s="8">
        <f ca="1">IF(AK83+SUM($C84:AJ84)&lt;0,-(AK83+SUM($C84:AJ84)),0)</f>
        <v>236.7768473479664</v>
      </c>
      <c r="AL84" s="8">
        <f ca="1">IF(AL83+SUM($C84:AK84)&lt;0,-(AL83+SUM($C84:AK84)),0)</f>
        <v>0</v>
      </c>
      <c r="AM84" s="8">
        <f ca="1">IF(AM83+SUM($C84:AL84)&lt;0,-(AM83+SUM($C84:AL84)),0)</f>
        <v>0</v>
      </c>
    </row>
    <row r="85" spans="1:39" x14ac:dyDescent="0.2">
      <c r="A85" s="4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</row>
    <row r="86" spans="1:39" x14ac:dyDescent="0.2">
      <c r="A86" s="29" t="str">
        <f>IF(Inputs!$B$175=6,IFERROR(_xlfn.XLOOKUP($B86,Inputs!$B$176:$B$178,Inputs!$A$176:$A$178,,0,1),""),IFERROR(_xlfn.XLOOKUP($B86,Inputs!$C$176:$C$178,Inputs!$A$176:$A$178,,0,1),""))</f>
        <v>Gzira</v>
      </c>
      <c r="B86" s="31">
        <v>1</v>
      </c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</row>
    <row r="87" spans="1:39" x14ac:dyDescent="0.2">
      <c r="A87" s="4" t="s">
        <v>23</v>
      </c>
      <c r="C87" s="8">
        <f>IFERROR(VLOOKUP($A86,$A$54:$H$68,C$1+2,FALSE),0)</f>
        <v>154500</v>
      </c>
      <c r="D87" s="8">
        <f ca="1">C90</f>
        <v>154500</v>
      </c>
      <c r="E87" s="8">
        <f t="shared" ref="E87:H87" ca="1" si="253">D90</f>
        <v>159135</v>
      </c>
      <c r="F87" s="8">
        <f t="shared" ca="1" si="253"/>
        <v>163909.04999999999</v>
      </c>
      <c r="G87" s="8">
        <f t="shared" ca="1" si="253"/>
        <v>168826.32149999999</v>
      </c>
      <c r="H87" s="8">
        <f t="shared" ca="1" si="253"/>
        <v>173891.111145</v>
      </c>
      <c r="I87" s="8">
        <f t="shared" ref="I87" ca="1" si="254">H90</f>
        <v>179107.84447934999</v>
      </c>
      <c r="J87" s="8">
        <f t="shared" ref="J87" ca="1" si="255">I90</f>
        <v>184481.0798137305</v>
      </c>
      <c r="K87" s="8">
        <f t="shared" ref="K87" ca="1" si="256">J90</f>
        <v>190015.51220814241</v>
      </c>
      <c r="L87" s="8">
        <f t="shared" ref="L87" ca="1" si="257">K90</f>
        <v>195715.97757438666</v>
      </c>
      <c r="M87" s="8">
        <f t="shared" ref="M87" ca="1" si="258">L90</f>
        <v>201587.45690161825</v>
      </c>
      <c r="N87" s="8">
        <f t="shared" ref="N87" ca="1" si="259">M90</f>
        <v>0</v>
      </c>
      <c r="O87" s="8">
        <f t="shared" ref="O87" ca="1" si="260">N90</f>
        <v>0</v>
      </c>
      <c r="P87" s="8">
        <f t="shared" ref="P87" ca="1" si="261">O90</f>
        <v>0</v>
      </c>
      <c r="Q87" s="8">
        <f t="shared" ref="Q87" ca="1" si="262">P90</f>
        <v>0</v>
      </c>
      <c r="R87" s="8">
        <f t="shared" ref="R87" ca="1" si="263">Q90</f>
        <v>0</v>
      </c>
      <c r="S87" s="8">
        <f t="shared" ref="S87" ca="1" si="264">R90</f>
        <v>0</v>
      </c>
      <c r="T87" s="8">
        <f t="shared" ref="T87" ca="1" si="265">S90</f>
        <v>0</v>
      </c>
      <c r="U87" s="8">
        <f t="shared" ref="U87" ca="1" si="266">T90</f>
        <v>0</v>
      </c>
      <c r="V87" s="8">
        <f t="shared" ref="V87" ca="1" si="267">U90</f>
        <v>0</v>
      </c>
      <c r="W87" s="8">
        <f t="shared" ref="W87" ca="1" si="268">V90</f>
        <v>0</v>
      </c>
      <c r="X87" s="8">
        <f t="shared" ref="X87" ca="1" si="269">W90</f>
        <v>0</v>
      </c>
      <c r="Y87" s="8">
        <f t="shared" ref="Y87" ca="1" si="270">X90</f>
        <v>0</v>
      </c>
      <c r="Z87" s="8">
        <f t="shared" ref="Z87" ca="1" si="271">Y90</f>
        <v>0</v>
      </c>
      <c r="AA87" s="8">
        <f t="shared" ref="AA87" ca="1" si="272">Z90</f>
        <v>0</v>
      </c>
      <c r="AB87" s="8">
        <f t="shared" ref="AB87" ca="1" si="273">AA90</f>
        <v>0</v>
      </c>
      <c r="AC87" s="8">
        <f t="shared" ref="AC87" ca="1" si="274">AB90</f>
        <v>0</v>
      </c>
      <c r="AD87" s="8">
        <f t="shared" ref="AD87" ca="1" si="275">AC90</f>
        <v>0</v>
      </c>
      <c r="AE87" s="8">
        <f t="shared" ref="AE87" ca="1" si="276">AD90</f>
        <v>0</v>
      </c>
      <c r="AF87" s="8">
        <f t="shared" ref="AF87" ca="1" si="277">AE90</f>
        <v>0</v>
      </c>
      <c r="AG87" s="8">
        <f t="shared" ref="AG87" ca="1" si="278">AF90</f>
        <v>0</v>
      </c>
      <c r="AH87" s="8">
        <f t="shared" ref="AH87" ca="1" si="279">AG90</f>
        <v>0</v>
      </c>
      <c r="AI87" s="8">
        <f t="shared" ref="AI87" ca="1" si="280">AH90</f>
        <v>0</v>
      </c>
      <c r="AJ87" s="8">
        <f t="shared" ref="AJ87" ca="1" si="281">AI90</f>
        <v>0</v>
      </c>
      <c r="AK87" s="8">
        <f t="shared" ref="AK87" ca="1" si="282">AJ90</f>
        <v>0</v>
      </c>
      <c r="AL87" s="8">
        <f t="shared" ref="AL87" ca="1" si="283">AK90</f>
        <v>0</v>
      </c>
      <c r="AM87" s="8">
        <f t="shared" ref="AM87" ca="1" si="284">AL90</f>
        <v>0</v>
      </c>
    </row>
    <row r="88" spans="1:39" x14ac:dyDescent="0.2">
      <c r="A88" s="4" t="s">
        <v>24</v>
      </c>
      <c r="C88" s="8">
        <f ca="1">-IF(SUM(C84:D84)&gt;0,C87,0)</f>
        <v>0</v>
      </c>
      <c r="D88" s="8">
        <f ca="1">-IF(E84&gt;0,D87,0)</f>
        <v>0</v>
      </c>
      <c r="E88" s="8">
        <f ca="1">-IF(F84&gt;0,E87,0)</f>
        <v>0</v>
      </c>
      <c r="F88" s="8">
        <f ca="1">-IF(G84&gt;0,F87,0)</f>
        <v>0</v>
      </c>
      <c r="G88" s="8">
        <f t="shared" ref="G88:H88" ca="1" si="285">-IF(H84&gt;0,G87,0)</f>
        <v>0</v>
      </c>
      <c r="H88" s="8">
        <f t="shared" ca="1" si="285"/>
        <v>0</v>
      </c>
      <c r="I88" s="8">
        <f t="shared" ref="I88" ca="1" si="286">-IF(J84&gt;0,I87,0)</f>
        <v>0</v>
      </c>
      <c r="J88" s="8">
        <f t="shared" ref="J88" ca="1" si="287">-IF(K84&gt;0,J87,0)</f>
        <v>0</v>
      </c>
      <c r="K88" s="8">
        <f t="shared" ref="K88" ca="1" si="288">-IF(L84&gt;0,K87,0)</f>
        <v>0</v>
      </c>
      <c r="L88" s="8">
        <f t="shared" ref="L88" ca="1" si="289">-IF(M84&gt;0,L87,0)</f>
        <v>0</v>
      </c>
      <c r="M88" s="8">
        <f t="shared" ref="M88" ca="1" si="290">-IF(N84&gt;0,M87,0)</f>
        <v>-201587.45690161825</v>
      </c>
      <c r="N88" s="8">
        <f t="shared" ref="N88" ca="1" si="291">-IF(O84&gt;0,N87,0)</f>
        <v>0</v>
      </c>
      <c r="O88" s="8">
        <f t="shared" ref="O88" ca="1" si="292">-IF(P84&gt;0,O87,0)</f>
        <v>0</v>
      </c>
      <c r="P88" s="8">
        <f t="shared" ref="P88" ca="1" si="293">-IF(Q84&gt;0,P87,0)</f>
        <v>0</v>
      </c>
      <c r="Q88" s="8">
        <f t="shared" ref="Q88" ca="1" si="294">-IF(R84&gt;0,Q87,0)</f>
        <v>0</v>
      </c>
      <c r="R88" s="8">
        <f t="shared" ref="R88" ca="1" si="295">-IF(S84&gt;0,R87,0)</f>
        <v>0</v>
      </c>
      <c r="S88" s="8">
        <f t="shared" ref="S88" ca="1" si="296">-IF(T84&gt;0,S87,0)</f>
        <v>0</v>
      </c>
      <c r="T88" s="8">
        <f t="shared" ref="T88" ca="1" si="297">-IF(U84&gt;0,T87,0)</f>
        <v>0</v>
      </c>
      <c r="U88" s="8">
        <f t="shared" ref="U88" ca="1" si="298">-IF(V84&gt;0,U87,0)</f>
        <v>0</v>
      </c>
      <c r="V88" s="8">
        <f t="shared" ref="V88" ca="1" si="299">-IF(W84&gt;0,V87,0)</f>
        <v>0</v>
      </c>
      <c r="W88" s="8">
        <f t="shared" ref="W88" ca="1" si="300">-IF(X84&gt;0,W87,0)</f>
        <v>0</v>
      </c>
      <c r="X88" s="8">
        <f t="shared" ref="X88" ca="1" si="301">-IF(Y84&gt;0,X87,0)</f>
        <v>0</v>
      </c>
      <c r="Y88" s="8">
        <f t="shared" ref="Y88" ca="1" si="302">-IF(Z84&gt;0,Y87,0)</f>
        <v>0</v>
      </c>
      <c r="Z88" s="8">
        <f t="shared" ref="Z88" ca="1" si="303">-IF(AA84&gt;0,Z87,0)</f>
        <v>0</v>
      </c>
      <c r="AA88" s="8">
        <f t="shared" ref="AA88" ca="1" si="304">-IF(AB84&gt;0,AA87,0)</f>
        <v>0</v>
      </c>
      <c r="AB88" s="8">
        <f t="shared" ref="AB88" ca="1" si="305">-IF(AC84&gt;0,AB87,0)</f>
        <v>0</v>
      </c>
      <c r="AC88" s="8">
        <f t="shared" ref="AC88" ca="1" si="306">-IF(AD84&gt;0,AC87,0)</f>
        <v>0</v>
      </c>
      <c r="AD88" s="8">
        <f t="shared" ref="AD88" ca="1" si="307">-IF(AE84&gt;0,AD87,0)</f>
        <v>0</v>
      </c>
      <c r="AE88" s="8">
        <f t="shared" ref="AE88" ca="1" si="308">-IF(AF84&gt;0,AE87,0)</f>
        <v>0</v>
      </c>
      <c r="AF88" s="8">
        <f t="shared" ref="AF88" ca="1" si="309">-IF(AG84&gt;0,AF87,0)</f>
        <v>0</v>
      </c>
      <c r="AG88" s="8">
        <f t="shared" ref="AG88" ca="1" si="310">-IF(AH84&gt;0,AG87,0)</f>
        <v>0</v>
      </c>
      <c r="AH88" s="8">
        <f t="shared" ref="AH88" ca="1" si="311">-IF(AI84&gt;0,AH87,0)</f>
        <v>0</v>
      </c>
      <c r="AI88" s="8">
        <f t="shared" ref="AI88" ca="1" si="312">-IF(AJ84&gt;0,AI87,0)</f>
        <v>0</v>
      </c>
      <c r="AJ88" s="8">
        <f t="shared" ref="AJ88" ca="1" si="313">-IF(AK84&gt;0,AJ87,0)</f>
        <v>0</v>
      </c>
      <c r="AK88" s="8">
        <f t="shared" ref="AK88" ca="1" si="314">-IF(AL84&gt;0,AK87,0)</f>
        <v>0</v>
      </c>
      <c r="AL88" s="8">
        <f t="shared" ref="AL88" ca="1" si="315">-IF(AM84&gt;0,AL87,0)</f>
        <v>0</v>
      </c>
      <c r="AM88" s="8">
        <f t="shared" ref="AM88" si="316">-IF(AN84&gt;0,AM87,0)</f>
        <v>0</v>
      </c>
    </row>
    <row r="89" spans="1:39" x14ac:dyDescent="0.2">
      <c r="A89" s="4" t="s">
        <v>25</v>
      </c>
      <c r="C89" s="8">
        <v>0</v>
      </c>
      <c r="D89" s="8">
        <f t="shared" ref="D89:G89" ca="1" si="317">SUM(D87:D88)*princ</f>
        <v>4635</v>
      </c>
      <c r="E89" s="8">
        <f t="shared" ca="1" si="317"/>
        <v>4774.05</v>
      </c>
      <c r="F89" s="8">
        <f t="shared" ca="1" si="317"/>
        <v>4917.2714999999998</v>
      </c>
      <c r="G89" s="8">
        <f t="shared" ca="1" si="317"/>
        <v>5064.7896449999998</v>
      </c>
      <c r="H89" s="8">
        <f t="shared" ref="H89" ca="1" si="318">SUM(H87:H88)*princ</f>
        <v>5216.7333343499995</v>
      </c>
      <c r="I89" s="8">
        <f t="shared" ref="I89:AM89" ca="1" si="319">SUM(I87:I88)*princ</f>
        <v>5373.2353343804998</v>
      </c>
      <c r="J89" s="8">
        <f t="shared" ca="1" si="319"/>
        <v>5534.4323944119151</v>
      </c>
      <c r="K89" s="8">
        <f t="shared" ca="1" si="319"/>
        <v>5700.4653662442715</v>
      </c>
      <c r="L89" s="8">
        <f t="shared" ca="1" si="319"/>
        <v>5871.4793272316001</v>
      </c>
      <c r="M89" s="8">
        <f t="shared" ca="1" si="319"/>
        <v>0</v>
      </c>
      <c r="N89" s="8">
        <f t="shared" ca="1" si="319"/>
        <v>0</v>
      </c>
      <c r="O89" s="8">
        <f t="shared" ca="1" si="319"/>
        <v>0</v>
      </c>
      <c r="P89" s="8">
        <f t="shared" ca="1" si="319"/>
        <v>0</v>
      </c>
      <c r="Q89" s="8">
        <f t="shared" ca="1" si="319"/>
        <v>0</v>
      </c>
      <c r="R89" s="8">
        <f t="shared" ca="1" si="319"/>
        <v>0</v>
      </c>
      <c r="S89" s="8">
        <f t="shared" ca="1" si="319"/>
        <v>0</v>
      </c>
      <c r="T89" s="8">
        <f t="shared" ca="1" si="319"/>
        <v>0</v>
      </c>
      <c r="U89" s="8">
        <f t="shared" ca="1" si="319"/>
        <v>0</v>
      </c>
      <c r="V89" s="8">
        <f t="shared" ca="1" si="319"/>
        <v>0</v>
      </c>
      <c r="W89" s="8">
        <f t="shared" ca="1" si="319"/>
        <v>0</v>
      </c>
      <c r="X89" s="8">
        <f t="shared" ca="1" si="319"/>
        <v>0</v>
      </c>
      <c r="Y89" s="8">
        <f t="shared" ca="1" si="319"/>
        <v>0</v>
      </c>
      <c r="Z89" s="8">
        <f t="shared" ca="1" si="319"/>
        <v>0</v>
      </c>
      <c r="AA89" s="8">
        <f t="shared" ca="1" si="319"/>
        <v>0</v>
      </c>
      <c r="AB89" s="8">
        <f t="shared" ca="1" si="319"/>
        <v>0</v>
      </c>
      <c r="AC89" s="8">
        <f t="shared" ca="1" si="319"/>
        <v>0</v>
      </c>
      <c r="AD89" s="8">
        <f t="shared" ca="1" si="319"/>
        <v>0</v>
      </c>
      <c r="AE89" s="8">
        <f t="shared" ca="1" si="319"/>
        <v>0</v>
      </c>
      <c r="AF89" s="8">
        <f t="shared" ca="1" si="319"/>
        <v>0</v>
      </c>
      <c r="AG89" s="8">
        <f t="shared" ca="1" si="319"/>
        <v>0</v>
      </c>
      <c r="AH89" s="8">
        <f t="shared" ca="1" si="319"/>
        <v>0</v>
      </c>
      <c r="AI89" s="8">
        <f t="shared" ca="1" si="319"/>
        <v>0</v>
      </c>
      <c r="AJ89" s="8">
        <f t="shared" ca="1" si="319"/>
        <v>0</v>
      </c>
      <c r="AK89" s="8">
        <f t="shared" ca="1" si="319"/>
        <v>0</v>
      </c>
      <c r="AL89" s="8">
        <f t="shared" ca="1" si="319"/>
        <v>0</v>
      </c>
      <c r="AM89" s="8">
        <f t="shared" ca="1" si="319"/>
        <v>0</v>
      </c>
    </row>
    <row r="90" spans="1:39" x14ac:dyDescent="0.2">
      <c r="A90" s="4" t="s">
        <v>26</v>
      </c>
      <c r="C90" s="8">
        <f ca="1">SUM(C87:C89)</f>
        <v>154500</v>
      </c>
      <c r="D90" s="8">
        <f t="shared" ref="D90:G90" ca="1" si="320">SUM(D87:D89)</f>
        <v>159135</v>
      </c>
      <c r="E90" s="8">
        <f t="shared" ca="1" si="320"/>
        <v>163909.04999999999</v>
      </c>
      <c r="F90" s="8">
        <f t="shared" ca="1" si="320"/>
        <v>168826.32149999999</v>
      </c>
      <c r="G90" s="8">
        <f t="shared" ca="1" si="320"/>
        <v>173891.111145</v>
      </c>
      <c r="H90" s="8">
        <f t="shared" ref="H90" ca="1" si="321">SUM(H87:H89)</f>
        <v>179107.84447934999</v>
      </c>
      <c r="I90" s="8">
        <f t="shared" ref="I90:AM90" ca="1" si="322">SUM(I87:I89)</f>
        <v>184481.0798137305</v>
      </c>
      <c r="J90" s="8">
        <f t="shared" ca="1" si="322"/>
        <v>190015.51220814241</v>
      </c>
      <c r="K90" s="8">
        <f t="shared" ca="1" si="322"/>
        <v>195715.97757438666</v>
      </c>
      <c r="L90" s="8">
        <f t="shared" ca="1" si="322"/>
        <v>201587.45690161825</v>
      </c>
      <c r="M90" s="8">
        <f t="shared" ca="1" si="322"/>
        <v>0</v>
      </c>
      <c r="N90" s="8">
        <f t="shared" ca="1" si="322"/>
        <v>0</v>
      </c>
      <c r="O90" s="8">
        <f t="shared" ca="1" si="322"/>
        <v>0</v>
      </c>
      <c r="P90" s="8">
        <f t="shared" ca="1" si="322"/>
        <v>0</v>
      </c>
      <c r="Q90" s="8">
        <f t="shared" ca="1" si="322"/>
        <v>0</v>
      </c>
      <c r="R90" s="8">
        <f t="shared" ca="1" si="322"/>
        <v>0</v>
      </c>
      <c r="S90" s="8">
        <f t="shared" ca="1" si="322"/>
        <v>0</v>
      </c>
      <c r="T90" s="8">
        <f t="shared" ca="1" si="322"/>
        <v>0</v>
      </c>
      <c r="U90" s="8">
        <f t="shared" ca="1" si="322"/>
        <v>0</v>
      </c>
      <c r="V90" s="8">
        <f t="shared" ca="1" si="322"/>
        <v>0</v>
      </c>
      <c r="W90" s="8">
        <f t="shared" ca="1" si="322"/>
        <v>0</v>
      </c>
      <c r="X90" s="8">
        <f t="shared" ca="1" si="322"/>
        <v>0</v>
      </c>
      <c r="Y90" s="8">
        <f t="shared" ca="1" si="322"/>
        <v>0</v>
      </c>
      <c r="Z90" s="8">
        <f t="shared" ca="1" si="322"/>
        <v>0</v>
      </c>
      <c r="AA90" s="8">
        <f t="shared" ca="1" si="322"/>
        <v>0</v>
      </c>
      <c r="AB90" s="8">
        <f t="shared" ca="1" si="322"/>
        <v>0</v>
      </c>
      <c r="AC90" s="8">
        <f t="shared" ca="1" si="322"/>
        <v>0</v>
      </c>
      <c r="AD90" s="8">
        <f t="shared" ca="1" si="322"/>
        <v>0</v>
      </c>
      <c r="AE90" s="8">
        <f t="shared" ca="1" si="322"/>
        <v>0</v>
      </c>
      <c r="AF90" s="8">
        <f t="shared" ca="1" si="322"/>
        <v>0</v>
      </c>
      <c r="AG90" s="8">
        <f t="shared" ca="1" si="322"/>
        <v>0</v>
      </c>
      <c r="AH90" s="8">
        <f t="shared" ca="1" si="322"/>
        <v>0</v>
      </c>
      <c r="AI90" s="8">
        <f t="shared" ca="1" si="322"/>
        <v>0</v>
      </c>
      <c r="AJ90" s="8">
        <f t="shared" ca="1" si="322"/>
        <v>0</v>
      </c>
      <c r="AK90" s="8">
        <f t="shared" ca="1" si="322"/>
        <v>0</v>
      </c>
      <c r="AL90" s="8">
        <f t="shared" ca="1" si="322"/>
        <v>0</v>
      </c>
      <c r="AM90" s="8">
        <f t="shared" ca="1" si="322"/>
        <v>0</v>
      </c>
    </row>
    <row r="91" spans="1:39" x14ac:dyDescent="0.2">
      <c r="A91" s="4" t="s">
        <v>27</v>
      </c>
      <c r="C91" s="8">
        <f ca="1">C88*Inputs!$B$173</f>
        <v>0</v>
      </c>
      <c r="D91" s="8">
        <f ca="1">D88*Inputs!$B$173</f>
        <v>0</v>
      </c>
      <c r="E91" s="8">
        <f ca="1">E88*Inputs!$B$173</f>
        <v>0</v>
      </c>
      <c r="F91" s="8">
        <f ca="1">F88*Inputs!$B$173</f>
        <v>0</v>
      </c>
      <c r="G91" s="8">
        <f ca="1">G88*Inputs!$B$173</f>
        <v>0</v>
      </c>
      <c r="H91" s="8">
        <f ca="1">H88*Inputs!$B$173</f>
        <v>0</v>
      </c>
      <c r="I91" s="8">
        <f ca="1">I88*Inputs!$B$173</f>
        <v>0</v>
      </c>
      <c r="J91" s="8">
        <f ca="1">J88*Inputs!$B$173</f>
        <v>0</v>
      </c>
      <c r="K91" s="8">
        <f ca="1">K88*Inputs!$B$173</f>
        <v>0</v>
      </c>
      <c r="L91" s="8">
        <f ca="1">L88*Inputs!$B$173</f>
        <v>0</v>
      </c>
      <c r="M91" s="8">
        <f ca="1">M88*Inputs!$B$173</f>
        <v>-30238.118535242735</v>
      </c>
      <c r="N91" s="8">
        <f ca="1">N88*Inputs!$B$173</f>
        <v>0</v>
      </c>
      <c r="O91" s="8">
        <f ca="1">O88*Inputs!$B$173</f>
        <v>0</v>
      </c>
      <c r="P91" s="8">
        <f ca="1">P88*Inputs!$B$173</f>
        <v>0</v>
      </c>
      <c r="Q91" s="8">
        <f ca="1">Q88*Inputs!$B$173</f>
        <v>0</v>
      </c>
      <c r="R91" s="8">
        <f ca="1">R88*Inputs!$B$173</f>
        <v>0</v>
      </c>
      <c r="S91" s="8">
        <f ca="1">S88*Inputs!$B$173</f>
        <v>0</v>
      </c>
      <c r="T91" s="8">
        <f ca="1">T88*Inputs!$B$173</f>
        <v>0</v>
      </c>
      <c r="U91" s="8">
        <f ca="1">U88*Inputs!$B$173</f>
        <v>0</v>
      </c>
      <c r="V91" s="8">
        <f ca="1">V88*Inputs!$B$173</f>
        <v>0</v>
      </c>
      <c r="W91" s="8">
        <f ca="1">W88*Inputs!$B$173</f>
        <v>0</v>
      </c>
      <c r="X91" s="8">
        <f ca="1">X88*Inputs!$B$173</f>
        <v>0</v>
      </c>
      <c r="Y91" s="8">
        <f ca="1">Y88*Inputs!$B$173</f>
        <v>0</v>
      </c>
      <c r="Z91" s="8">
        <f ca="1">Z88*Inputs!$B$173</f>
        <v>0</v>
      </c>
      <c r="AA91" s="8">
        <f ca="1">AA88*Inputs!$B$173</f>
        <v>0</v>
      </c>
      <c r="AB91" s="8">
        <f ca="1">AB88*Inputs!$B$173</f>
        <v>0</v>
      </c>
      <c r="AC91" s="8">
        <f ca="1">AC88*Inputs!$B$173</f>
        <v>0</v>
      </c>
      <c r="AD91" s="8">
        <f ca="1">AD88*Inputs!$B$173</f>
        <v>0</v>
      </c>
      <c r="AE91" s="8">
        <f ca="1">AE88*Inputs!$B$173</f>
        <v>0</v>
      </c>
      <c r="AF91" s="8">
        <f ca="1">AF88*Inputs!$B$173</f>
        <v>0</v>
      </c>
      <c r="AG91" s="8">
        <f ca="1">AG88*Inputs!$B$173</f>
        <v>0</v>
      </c>
      <c r="AH91" s="8">
        <f ca="1">AH88*Inputs!$B$173</f>
        <v>0</v>
      </c>
      <c r="AI91" s="8">
        <f ca="1">AI88*Inputs!$B$173</f>
        <v>0</v>
      </c>
      <c r="AJ91" s="8">
        <f ca="1">AJ88*Inputs!$B$173</f>
        <v>0</v>
      </c>
      <c r="AK91" s="8">
        <f ca="1">AK88*Inputs!$B$173</f>
        <v>0</v>
      </c>
      <c r="AL91" s="8">
        <f ca="1">AL88*Inputs!$B$173</f>
        <v>0</v>
      </c>
      <c r="AM91" s="8">
        <f>AM88*Inputs!$B$173</f>
        <v>0</v>
      </c>
    </row>
    <row r="92" spans="1:39" x14ac:dyDescent="0.2">
      <c r="A92" s="4" t="s">
        <v>34</v>
      </c>
      <c r="C92" s="8">
        <f t="shared" ref="C92:H92" si="323">IFERROR(-IF(C87=0,VLOOKUP($A86,$7:$10,C$1+2,FALSE),0),0)</f>
        <v>0</v>
      </c>
      <c r="D92" s="8">
        <f t="shared" ca="1" si="323"/>
        <v>0</v>
      </c>
      <c r="E92" s="8">
        <f t="shared" ca="1" si="323"/>
        <v>0</v>
      </c>
      <c r="F92" s="8">
        <f t="shared" ca="1" si="323"/>
        <v>0</v>
      </c>
      <c r="G92" s="8">
        <f t="shared" ca="1" si="323"/>
        <v>0</v>
      </c>
      <c r="H92" s="8">
        <f t="shared" ca="1" si="323"/>
        <v>0</v>
      </c>
      <c r="I92" s="8">
        <f t="shared" ref="I92:AM92" ca="1" si="324">IFERROR(-IF(I87=0,VLOOKUP($A86,$7:$10,I$1+2,FALSE),0),0)</f>
        <v>0</v>
      </c>
      <c r="J92" s="8">
        <f t="shared" ca="1" si="324"/>
        <v>0</v>
      </c>
      <c r="K92" s="8">
        <f t="shared" ca="1" si="324"/>
        <v>0</v>
      </c>
      <c r="L92" s="8">
        <f t="shared" ca="1" si="324"/>
        <v>0</v>
      </c>
      <c r="M92" s="8">
        <f t="shared" ca="1" si="324"/>
        <v>0</v>
      </c>
      <c r="N92" s="8">
        <f t="shared" ca="1" si="324"/>
        <v>-13842.338707244457</v>
      </c>
      <c r="O92" s="8">
        <f t="shared" ca="1" si="324"/>
        <v>-14257.60886846179</v>
      </c>
      <c r="P92" s="8">
        <f t="shared" ca="1" si="324"/>
        <v>-14685.337134515645</v>
      </c>
      <c r="Q92" s="8">
        <f t="shared" ca="1" si="324"/>
        <v>-15125.897248551115</v>
      </c>
      <c r="R92" s="8">
        <f t="shared" ca="1" si="324"/>
        <v>-15579.67416600765</v>
      </c>
      <c r="S92" s="8">
        <f t="shared" ca="1" si="324"/>
        <v>-16047.06439098788</v>
      </c>
      <c r="T92" s="8">
        <f t="shared" ca="1" si="324"/>
        <v>-16528.476322717517</v>
      </c>
      <c r="U92" s="8">
        <f t="shared" ca="1" si="324"/>
        <v>-17024.330612399044</v>
      </c>
      <c r="V92" s="8">
        <f t="shared" ca="1" si="324"/>
        <v>-17535.060530771018</v>
      </c>
      <c r="W92" s="8">
        <f t="shared" ca="1" si="324"/>
        <v>-18061.11234669415</v>
      </c>
      <c r="X92" s="8">
        <f t="shared" ca="1" si="324"/>
        <v>-18602.945717094975</v>
      </c>
      <c r="Y92" s="8">
        <f t="shared" ca="1" si="324"/>
        <v>-19161.034088607827</v>
      </c>
      <c r="Z92" s="8">
        <f t="shared" ca="1" si="324"/>
        <v>-19735.865111266063</v>
      </c>
      <c r="AA92" s="8">
        <f t="shared" ca="1" si="324"/>
        <v>-20327.941064604045</v>
      </c>
      <c r="AB92" s="8">
        <f t="shared" ca="1" si="324"/>
        <v>-20937.779296542169</v>
      </c>
      <c r="AC92" s="8">
        <f t="shared" ca="1" si="324"/>
        <v>-21565.912675438434</v>
      </c>
      <c r="AD92" s="8">
        <f t="shared" ca="1" si="324"/>
        <v>-22212.890055701588</v>
      </c>
      <c r="AE92" s="8">
        <f t="shared" ca="1" si="324"/>
        <v>-22879.276757372634</v>
      </c>
      <c r="AF92" s="8">
        <f t="shared" ca="1" si="324"/>
        <v>-23565.655060093814</v>
      </c>
      <c r="AG92" s="8">
        <f t="shared" ca="1" si="324"/>
        <v>-24272.624711896628</v>
      </c>
      <c r="AH92" s="8">
        <f t="shared" ca="1" si="324"/>
        <v>-25000.803453253528</v>
      </c>
      <c r="AI92" s="8">
        <f t="shared" ca="1" si="324"/>
        <v>-25750.827556851134</v>
      </c>
      <c r="AJ92" s="8">
        <f t="shared" ca="1" si="324"/>
        <v>-26523.35238355667</v>
      </c>
      <c r="AK92" s="8">
        <f t="shared" ca="1" si="324"/>
        <v>-27319.052955063373</v>
      </c>
      <c r="AL92" s="8">
        <f t="shared" ca="1" si="324"/>
        <v>-28138.624543715276</v>
      </c>
      <c r="AM92" s="8">
        <f t="shared" ca="1" si="324"/>
        <v>-28982.783280026735</v>
      </c>
    </row>
    <row r="93" spans="1:39" x14ac:dyDescent="0.2">
      <c r="A93" s="4" t="s">
        <v>54</v>
      </c>
      <c r="C93" s="8">
        <f t="shared" ref="C93:H93" si="325">IFERROR(IF(C87=0,VLOOKUP($A86,$35:$38,C$1+2,FALSE),0),0)</f>
        <v>0</v>
      </c>
      <c r="D93" s="8">
        <f t="shared" ca="1" si="325"/>
        <v>0</v>
      </c>
      <c r="E93" s="8">
        <f t="shared" ca="1" si="325"/>
        <v>0</v>
      </c>
      <c r="F93" s="8">
        <f t="shared" ca="1" si="325"/>
        <v>0</v>
      </c>
      <c r="G93" s="8">
        <f t="shared" ca="1" si="325"/>
        <v>0</v>
      </c>
      <c r="H93" s="8">
        <f t="shared" ca="1" si="325"/>
        <v>0</v>
      </c>
      <c r="I93" s="8">
        <f t="shared" ref="I93:AM93" ca="1" si="326">IFERROR(IF(I87=0,VLOOKUP($A86,$35:$38,I$1+2,FALSE),0),0)</f>
        <v>0</v>
      </c>
      <c r="J93" s="8">
        <f t="shared" ca="1" si="326"/>
        <v>0</v>
      </c>
      <c r="K93" s="8">
        <f t="shared" ca="1" si="326"/>
        <v>0</v>
      </c>
      <c r="L93" s="8">
        <f t="shared" ca="1" si="326"/>
        <v>0</v>
      </c>
      <c r="M93" s="8">
        <f t="shared" ca="1" si="326"/>
        <v>0</v>
      </c>
      <c r="N93" s="8">
        <f t="shared" ca="1" si="326"/>
        <v>2624.1733156025321</v>
      </c>
      <c r="O93" s="8">
        <f t="shared" ca="1" si="326"/>
        <v>2689.7776484925948</v>
      </c>
      <c r="P93" s="8">
        <f t="shared" ca="1" si="326"/>
        <v>2757.0220897049098</v>
      </c>
      <c r="Q93" s="8">
        <f t="shared" ca="1" si="326"/>
        <v>2825.9476419475322</v>
      </c>
      <c r="R93" s="8">
        <f t="shared" ca="1" si="326"/>
        <v>2896.596332996221</v>
      </c>
      <c r="S93" s="8">
        <f t="shared" ca="1" si="326"/>
        <v>2969.0112413211264</v>
      </c>
      <c r="T93" s="8">
        <f t="shared" ca="1" si="326"/>
        <v>3043.2365223541542</v>
      </c>
      <c r="U93" s="8">
        <f t="shared" ca="1" si="326"/>
        <v>3119.3174354130078</v>
      </c>
      <c r="V93" s="8">
        <f t="shared" ca="1" si="326"/>
        <v>3197.3003712983332</v>
      </c>
      <c r="W93" s="8">
        <f t="shared" ca="1" si="326"/>
        <v>3277.2328805807911</v>
      </c>
      <c r="X93" s="8">
        <f t="shared" ca="1" si="326"/>
        <v>3359.1637025953105</v>
      </c>
      <c r="Y93" s="8">
        <f t="shared" ca="1" si="326"/>
        <v>3443.1427951601931</v>
      </c>
      <c r="Z93" s="8">
        <f t="shared" ca="1" si="326"/>
        <v>3529.2213650391982</v>
      </c>
      <c r="AA93" s="8">
        <f t="shared" ca="1" si="326"/>
        <v>3617.451899165178</v>
      </c>
      <c r="AB93" s="8">
        <f t="shared" ca="1" si="326"/>
        <v>3707.8881966443068</v>
      </c>
      <c r="AC93" s="8">
        <f t="shared" ca="1" si="326"/>
        <v>3800.5854015604141</v>
      </c>
      <c r="AD93" s="8">
        <f t="shared" ca="1" si="326"/>
        <v>3895.6000365994241</v>
      </c>
      <c r="AE93" s="8">
        <f t="shared" ca="1" si="326"/>
        <v>3992.9900375144098</v>
      </c>
      <c r="AF93" s="8">
        <f t="shared" ca="1" si="326"/>
        <v>4092.8147884522705</v>
      </c>
      <c r="AG93" s="8">
        <f t="shared" ca="1" si="326"/>
        <v>4195.1351581635763</v>
      </c>
      <c r="AH93" s="8">
        <f t="shared" ca="1" si="326"/>
        <v>4300.0135371176666</v>
      </c>
      <c r="AI93" s="8">
        <f t="shared" ca="1" si="326"/>
        <v>4407.5138755456073</v>
      </c>
      <c r="AJ93" s="8">
        <f t="shared" ca="1" si="326"/>
        <v>4517.7017224342471</v>
      </c>
      <c r="AK93" s="8">
        <f t="shared" ca="1" si="326"/>
        <v>4630.6442654951034</v>
      </c>
      <c r="AL93" s="8">
        <f t="shared" ca="1" si="326"/>
        <v>4746.41037213248</v>
      </c>
      <c r="AM93" s="8">
        <f t="shared" ca="1" si="326"/>
        <v>4865.0706314357931</v>
      </c>
    </row>
    <row r="94" spans="1:39" x14ac:dyDescent="0.2">
      <c r="A94" s="4" t="s">
        <v>40</v>
      </c>
      <c r="B94" s="16" t="str">
        <f>A86</f>
        <v>Gzira</v>
      </c>
      <c r="C94" s="8">
        <f t="shared" ref="C94:H94" ca="1" si="327">IF(AND(C87&gt;0,C90=0),VLOOKUP($A86,$63:$66,C$1+2,FALSE),0)</f>
        <v>0</v>
      </c>
      <c r="D94" s="8">
        <f t="shared" ca="1" si="327"/>
        <v>0</v>
      </c>
      <c r="E94" s="8">
        <f t="shared" ca="1" si="327"/>
        <v>0</v>
      </c>
      <c r="F94" s="8">
        <f t="shared" ca="1" si="327"/>
        <v>0</v>
      </c>
      <c r="G94" s="8">
        <f t="shared" ca="1" si="327"/>
        <v>0</v>
      </c>
      <c r="H94" s="8">
        <f t="shared" ca="1" si="327"/>
        <v>0</v>
      </c>
      <c r="I94" s="8">
        <f t="shared" ref="I94:AM94" ca="1" si="328">IF(AND(I87&gt;0,I90=0),VLOOKUP($A86,$63:$66,I$1+2,FALSE),0)</f>
        <v>0</v>
      </c>
      <c r="J94" s="8">
        <f t="shared" ca="1" si="328"/>
        <v>0</v>
      </c>
      <c r="K94" s="8">
        <f t="shared" ca="1" si="328"/>
        <v>0</v>
      </c>
      <c r="L94" s="8">
        <f t="shared" ca="1" si="328"/>
        <v>0</v>
      </c>
      <c r="M94" s="8">
        <f t="shared" ca="1" si="328"/>
        <v>0</v>
      </c>
      <c r="N94" s="8">
        <f t="shared" ca="1" si="328"/>
        <v>0</v>
      </c>
      <c r="O94" s="8">
        <f t="shared" ca="1" si="328"/>
        <v>0</v>
      </c>
      <c r="P94" s="8">
        <f t="shared" ca="1" si="328"/>
        <v>0</v>
      </c>
      <c r="Q94" s="8">
        <f t="shared" ca="1" si="328"/>
        <v>0</v>
      </c>
      <c r="R94" s="8">
        <f t="shared" ca="1" si="328"/>
        <v>0</v>
      </c>
      <c r="S94" s="8">
        <f t="shared" ca="1" si="328"/>
        <v>0</v>
      </c>
      <c r="T94" s="8">
        <f t="shared" ca="1" si="328"/>
        <v>0</v>
      </c>
      <c r="U94" s="8">
        <f t="shared" ca="1" si="328"/>
        <v>0</v>
      </c>
      <c r="V94" s="8">
        <f t="shared" ca="1" si="328"/>
        <v>0</v>
      </c>
      <c r="W94" s="8">
        <f t="shared" ca="1" si="328"/>
        <v>0</v>
      </c>
      <c r="X94" s="8">
        <f t="shared" ca="1" si="328"/>
        <v>0</v>
      </c>
      <c r="Y94" s="8">
        <f t="shared" ca="1" si="328"/>
        <v>0</v>
      </c>
      <c r="Z94" s="8">
        <f t="shared" ca="1" si="328"/>
        <v>0</v>
      </c>
      <c r="AA94" s="8">
        <f t="shared" ca="1" si="328"/>
        <v>0</v>
      </c>
      <c r="AB94" s="8">
        <f t="shared" ca="1" si="328"/>
        <v>0</v>
      </c>
      <c r="AC94" s="8">
        <f t="shared" ca="1" si="328"/>
        <v>0</v>
      </c>
      <c r="AD94" s="8">
        <f t="shared" ca="1" si="328"/>
        <v>0</v>
      </c>
      <c r="AE94" s="8">
        <f t="shared" ca="1" si="328"/>
        <v>0</v>
      </c>
      <c r="AF94" s="8">
        <f t="shared" ca="1" si="328"/>
        <v>0</v>
      </c>
      <c r="AG94" s="8">
        <f t="shared" ca="1" si="328"/>
        <v>0</v>
      </c>
      <c r="AH94" s="8">
        <f t="shared" ca="1" si="328"/>
        <v>0</v>
      </c>
      <c r="AI94" s="8">
        <f t="shared" ca="1" si="328"/>
        <v>0</v>
      </c>
      <c r="AJ94" s="8">
        <f t="shared" ca="1" si="328"/>
        <v>0</v>
      </c>
      <c r="AK94" s="8">
        <f t="shared" ca="1" si="328"/>
        <v>0</v>
      </c>
      <c r="AL94" s="8">
        <f t="shared" ca="1" si="328"/>
        <v>0</v>
      </c>
      <c r="AM94" s="8">
        <f t="shared" ca="1" si="328"/>
        <v>0</v>
      </c>
    </row>
    <row r="95" spans="1:39" x14ac:dyDescent="0.2">
      <c r="A95" s="4" t="s">
        <v>41</v>
      </c>
      <c r="C95" s="8">
        <f ca="1">-C88+SUM(C91:C94)</f>
        <v>0</v>
      </c>
      <c r="D95" s="8">
        <f t="shared" ref="D95" ca="1" si="329">-D88+SUM(D91:D94)</f>
        <v>0</v>
      </c>
      <c r="E95" s="8">
        <f t="shared" ref="E95:G95" ca="1" si="330">-E88+SUM(E91:E94)</f>
        <v>0</v>
      </c>
      <c r="F95" s="8">
        <f t="shared" ca="1" si="330"/>
        <v>0</v>
      </c>
      <c r="G95" s="8">
        <f t="shared" ca="1" si="330"/>
        <v>0</v>
      </c>
      <c r="H95" s="8">
        <f t="shared" ref="H95" ca="1" si="331">-H88+SUM(H91:H94)</f>
        <v>0</v>
      </c>
      <c r="I95" s="8">
        <f t="shared" ref="I95:AM95" ca="1" si="332">-I88+SUM(I91:I94)</f>
        <v>0</v>
      </c>
      <c r="J95" s="8">
        <f t="shared" ca="1" si="332"/>
        <v>0</v>
      </c>
      <c r="K95" s="8">
        <f t="shared" ca="1" si="332"/>
        <v>0</v>
      </c>
      <c r="L95" s="8">
        <f t="shared" ca="1" si="332"/>
        <v>0</v>
      </c>
      <c r="M95" s="8">
        <f t="shared" ca="1" si="332"/>
        <v>171349.33836637551</v>
      </c>
      <c r="N95" s="8">
        <f t="shared" ca="1" si="332"/>
        <v>-11218.165391641924</v>
      </c>
      <c r="O95" s="8">
        <f t="shared" ca="1" si="332"/>
        <v>-11567.831219969195</v>
      </c>
      <c r="P95" s="8">
        <f t="shared" ca="1" si="332"/>
        <v>-11928.315044810735</v>
      </c>
      <c r="Q95" s="8">
        <f t="shared" ca="1" si="332"/>
        <v>-12299.949606603583</v>
      </c>
      <c r="R95" s="8">
        <f t="shared" ca="1" si="332"/>
        <v>-12683.077833011428</v>
      </c>
      <c r="S95" s="8">
        <f t="shared" ca="1" si="332"/>
        <v>-13078.053149666754</v>
      </c>
      <c r="T95" s="8">
        <f t="shared" ca="1" si="332"/>
        <v>-13485.239800363363</v>
      </c>
      <c r="U95" s="8">
        <f t="shared" ca="1" si="332"/>
        <v>-13905.013176986036</v>
      </c>
      <c r="V95" s="8">
        <f t="shared" ca="1" si="332"/>
        <v>-14337.760159472684</v>
      </c>
      <c r="W95" s="8">
        <f t="shared" ca="1" si="332"/>
        <v>-14783.879466113358</v>
      </c>
      <c r="X95" s="8">
        <f t="shared" ca="1" si="332"/>
        <v>-15243.782014499666</v>
      </c>
      <c r="Y95" s="8">
        <f t="shared" ca="1" si="332"/>
        <v>-15717.891293447634</v>
      </c>
      <c r="Z95" s="8">
        <f t="shared" ca="1" si="332"/>
        <v>-16206.643746226864</v>
      </c>
      <c r="AA95" s="8">
        <f t="shared" ca="1" si="332"/>
        <v>-16710.489165438867</v>
      </c>
      <c r="AB95" s="8">
        <f t="shared" ca="1" si="332"/>
        <v>-17229.891099897861</v>
      </c>
      <c r="AC95" s="8">
        <f t="shared" ca="1" si="332"/>
        <v>-17765.327273878022</v>
      </c>
      <c r="AD95" s="8">
        <f t="shared" ca="1" si="332"/>
        <v>-18317.290019102162</v>
      </c>
      <c r="AE95" s="8">
        <f t="shared" ca="1" si="332"/>
        <v>-18886.286719858224</v>
      </c>
      <c r="AF95" s="8">
        <f t="shared" ca="1" si="332"/>
        <v>-19472.840271641544</v>
      </c>
      <c r="AG95" s="8">
        <f t="shared" ca="1" si="332"/>
        <v>-20077.489553733052</v>
      </c>
      <c r="AH95" s="8">
        <f t="shared" ca="1" si="332"/>
        <v>-20700.789916135862</v>
      </c>
      <c r="AI95" s="8">
        <f t="shared" ca="1" si="332"/>
        <v>-21343.313681305528</v>
      </c>
      <c r="AJ95" s="8">
        <f t="shared" ca="1" si="332"/>
        <v>-22005.650661122425</v>
      </c>
      <c r="AK95" s="8">
        <f t="shared" ca="1" si="332"/>
        <v>-22688.40868956827</v>
      </c>
      <c r="AL95" s="8">
        <f t="shared" ca="1" si="332"/>
        <v>-23392.214171582797</v>
      </c>
      <c r="AM95" s="8">
        <f t="shared" ca="1" si="332"/>
        <v>-24117.712648590943</v>
      </c>
    </row>
    <row r="96" spans="1:39" x14ac:dyDescent="0.2">
      <c r="A96" s="4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</row>
    <row r="97" spans="1:39" x14ac:dyDescent="0.2">
      <c r="A97" s="4" t="s">
        <v>87</v>
      </c>
      <c r="C97" s="8">
        <f ca="1">C83+SUM($C95:C95)</f>
        <v>30325.5</v>
      </c>
      <c r="D97" s="8">
        <f ca="1">D83+SUM($C95:D95)</f>
        <v>53777.462499999994</v>
      </c>
      <c r="E97" s="8">
        <f ca="1">E83+SUM($C95:E95)</f>
        <v>57139.486875000017</v>
      </c>
      <c r="F97" s="8">
        <f ca="1">F83+SUM($C95:F95)</f>
        <v>94700.221659424511</v>
      </c>
      <c r="G97" s="8">
        <f ca="1">G83+SUM($C95:G95)</f>
        <v>136857.58117608592</v>
      </c>
      <c r="H97" s="8">
        <f ca="1">H83+SUM($C95:H95)</f>
        <v>99039.354794970655</v>
      </c>
      <c r="I97" s="8">
        <f ca="1">I83+SUM($C95:I95)</f>
        <v>66112.722442054321</v>
      </c>
      <c r="J97" s="8">
        <f ca="1">J83+SUM($C95:J95)</f>
        <v>13748.103183444677</v>
      </c>
      <c r="K97" s="8">
        <f ca="1">K83+SUM($C95:K95)</f>
        <v>39521.393830203713</v>
      </c>
      <c r="L97" s="8">
        <f ca="1">L83+SUM($C95:L95)</f>
        <v>0</v>
      </c>
      <c r="M97" s="8">
        <f ca="1">M83+SUM($C95:M95)</f>
        <v>171349.33836637551</v>
      </c>
      <c r="N97" s="8">
        <f ca="1">N83+SUM($C95:N95)</f>
        <v>153404.23369693404</v>
      </c>
      <c r="O97" s="8">
        <f ca="1">O83+SUM($C95:O95)</f>
        <v>122475.36540217124</v>
      </c>
      <c r="P97" s="8">
        <f ca="1">P83+SUM($C95:P95)</f>
        <v>90915.85148872406</v>
      </c>
      <c r="Q97" s="8">
        <f ca="1">Q83+SUM($C95:Q95)</f>
        <v>58714.203098785845</v>
      </c>
      <c r="R97" s="8">
        <f ca="1">R83+SUM($C95:R95)</f>
        <v>25858.772471584656</v>
      </c>
      <c r="S97" s="8">
        <f ca="1">S83+SUM($C95:S95)</f>
        <v>11190.974202752681</v>
      </c>
      <c r="T97" s="8">
        <f ca="1">T83+SUM($C95:T95)</f>
        <v>3925.0429269952001</v>
      </c>
      <c r="U97" s="8">
        <f ca="1">U83+SUM($C95:U95)</f>
        <v>-3357.2518674290768</v>
      </c>
      <c r="V97" s="8">
        <f ca="1">V83+SUM($C95:V95)</f>
        <v>-10651.360725589941</v>
      </c>
      <c r="W97" s="8">
        <f ca="1">W83+SUM($C95:W95)</f>
        <v>-17952.47169989712</v>
      </c>
      <c r="X97" s="8">
        <f ca="1">X83+SUM($C95:X95)</f>
        <v>-45410.481540666922</v>
      </c>
      <c r="Y97" s="8">
        <f ca="1">Y83+SUM($C95:Y95)</f>
        <v>-73368.912170284981</v>
      </c>
      <c r="Z97" s="8">
        <f ca="1">Z83+SUM($C95:Z95)</f>
        <v>-101834.69322475744</v>
      </c>
      <c r="AA97" s="8">
        <f ca="1">AA83+SUM($C95:AA95)</f>
        <v>-130814.76015447905</v>
      </c>
      <c r="AB97" s="8">
        <f ca="1">AB83+SUM($C95:AB95)</f>
        <v>-160316.04934679763</v>
      </c>
      <c r="AC97" s="8">
        <f ca="1">AC83+SUM($C95:AC95)</f>
        <v>-190345.49297595871</v>
      </c>
      <c r="AD97" s="8">
        <f ca="1">AD83+SUM($C95:AD95)</f>
        <v>-211171.0134775959</v>
      </c>
      <c r="AE97" s="8">
        <f ca="1">AE83+SUM($C95:AE95)</f>
        <v>-232295.043091217</v>
      </c>
      <c r="AF97" s="8">
        <f ca="1">AF83+SUM($C95:AF95)</f>
        <v>-253718.38067760493</v>
      </c>
      <c r="AG97" s="8">
        <f ca="1">AG83+SUM($C95:AG95)</f>
        <v>-275441.64515305159</v>
      </c>
      <c r="AH97" s="8">
        <f ca="1">AH83+SUM($C95:AH95)</f>
        <v>-297465.26499326539</v>
      </c>
      <c r="AI97" s="8">
        <f ca="1">AI83+SUM($C95:AI95)</f>
        <v>-319789.46729495202</v>
      </c>
      <c r="AJ97" s="8">
        <f ca="1">AJ83+SUM($C95:AJ95)</f>
        <v>-342414.26637861237</v>
      </c>
      <c r="AK97" s="8">
        <f ca="1">AK83+SUM($C95:AK95)</f>
        <v>-365339.45191552863</v>
      </c>
      <c r="AL97" s="8">
        <f ca="1">AL83+SUM($C95:AL95)</f>
        <v>-388564.57656131708</v>
      </c>
      <c r="AM97" s="8">
        <f ca="1">AM83+SUM($C95:AM95)</f>
        <v>-412088.94307781314</v>
      </c>
    </row>
    <row r="98" spans="1:39" x14ac:dyDescent="0.2">
      <c r="A98" s="4" t="s">
        <v>84</v>
      </c>
      <c r="C98" s="8">
        <f t="shared" ref="C98:H98" ca="1" si="333">MAX(C97+buffer,0)-MAX(C$83+buffer,0)</f>
        <v>0</v>
      </c>
      <c r="D98" s="8">
        <f t="shared" ca="1" si="333"/>
        <v>0</v>
      </c>
      <c r="E98" s="8">
        <f t="shared" ca="1" si="333"/>
        <v>0</v>
      </c>
      <c r="F98" s="8">
        <f t="shared" ca="1" si="333"/>
        <v>0</v>
      </c>
      <c r="G98" s="8">
        <f t="shared" ca="1" si="333"/>
        <v>0</v>
      </c>
      <c r="H98" s="8">
        <f t="shared" ca="1" si="333"/>
        <v>0</v>
      </c>
      <c r="I98" s="8">
        <f t="shared" ref="I98:AM98" ca="1" si="334">MAX(I97+buffer,0)-MAX(I$83+buffer,0)</f>
        <v>0</v>
      </c>
      <c r="J98" s="8">
        <f t="shared" ca="1" si="334"/>
        <v>0</v>
      </c>
      <c r="K98" s="8">
        <f t="shared" ca="1" si="334"/>
        <v>0</v>
      </c>
      <c r="L98" s="8">
        <f t="shared" ca="1" si="334"/>
        <v>0</v>
      </c>
      <c r="M98" s="8">
        <f t="shared" ca="1" si="334"/>
        <v>171349.33836637551</v>
      </c>
      <c r="N98" s="8">
        <f t="shared" ca="1" si="334"/>
        <v>160131.17297473358</v>
      </c>
      <c r="O98" s="8">
        <f t="shared" ca="1" si="334"/>
        <v>148563.34175476438</v>
      </c>
      <c r="P98" s="8">
        <f t="shared" ca="1" si="334"/>
        <v>130915.85148872406</v>
      </c>
      <c r="Q98" s="8">
        <f t="shared" ca="1" si="334"/>
        <v>98714.203098785845</v>
      </c>
      <c r="R98" s="8">
        <f t="shared" ca="1" si="334"/>
        <v>65858.772471584656</v>
      </c>
      <c r="S98" s="8">
        <f t="shared" ca="1" si="334"/>
        <v>51190.974202752681</v>
      </c>
      <c r="T98" s="8">
        <f t="shared" ca="1" si="334"/>
        <v>43925.0429269952</v>
      </c>
      <c r="U98" s="8">
        <f t="shared" ca="1" si="334"/>
        <v>36642.748132570923</v>
      </c>
      <c r="V98" s="8">
        <f t="shared" ca="1" si="334"/>
        <v>29348.639274410059</v>
      </c>
      <c r="W98" s="8">
        <f t="shared" ca="1" si="334"/>
        <v>22047.52830010288</v>
      </c>
      <c r="X98" s="8">
        <f t="shared" ca="1" si="334"/>
        <v>0</v>
      </c>
      <c r="Y98" s="8">
        <f t="shared" ca="1" si="334"/>
        <v>0</v>
      </c>
      <c r="Z98" s="8">
        <f t="shared" ca="1" si="334"/>
        <v>0</v>
      </c>
      <c r="AA98" s="8">
        <f t="shared" ca="1" si="334"/>
        <v>0</v>
      </c>
      <c r="AB98" s="8">
        <f t="shared" ca="1" si="334"/>
        <v>0</v>
      </c>
      <c r="AC98" s="8">
        <f t="shared" ca="1" si="334"/>
        <v>0</v>
      </c>
      <c r="AD98" s="8">
        <f t="shared" ca="1" si="334"/>
        <v>0</v>
      </c>
      <c r="AE98" s="8">
        <f t="shared" ca="1" si="334"/>
        <v>0</v>
      </c>
      <c r="AF98" s="8">
        <f t="shared" ca="1" si="334"/>
        <v>0</v>
      </c>
      <c r="AG98" s="8">
        <f t="shared" ca="1" si="334"/>
        <v>0</v>
      </c>
      <c r="AH98" s="8">
        <f t="shared" ca="1" si="334"/>
        <v>0</v>
      </c>
      <c r="AI98" s="8">
        <f t="shared" ca="1" si="334"/>
        <v>0</v>
      </c>
      <c r="AJ98" s="8">
        <f t="shared" ca="1" si="334"/>
        <v>0</v>
      </c>
      <c r="AK98" s="8">
        <f t="shared" ca="1" si="334"/>
        <v>0</v>
      </c>
      <c r="AL98" s="8">
        <f t="shared" ca="1" si="334"/>
        <v>0</v>
      </c>
      <c r="AM98" s="8">
        <f t="shared" ca="1" si="334"/>
        <v>0</v>
      </c>
    </row>
    <row r="99" spans="1:39" x14ac:dyDescent="0.2">
      <c r="A99" s="4" t="s">
        <v>85</v>
      </c>
      <c r="C99" s="8">
        <f ca="1">C98*Inputs!$B$159</f>
        <v>0</v>
      </c>
      <c r="D99" s="8">
        <f ca="1">D98*Inputs!$B$159</f>
        <v>0</v>
      </c>
      <c r="E99" s="8">
        <f ca="1">E98*Inputs!$B$159</f>
        <v>0</v>
      </c>
      <c r="F99" s="8">
        <f ca="1">F98*Inputs!$B$159</f>
        <v>0</v>
      </c>
      <c r="G99" s="8">
        <f ca="1">G98*Inputs!$B$159</f>
        <v>0</v>
      </c>
      <c r="H99" s="8">
        <f ca="1">H98*Inputs!$B$159</f>
        <v>0</v>
      </c>
      <c r="I99" s="8">
        <f ca="1">I98*Inputs!$B$159</f>
        <v>0</v>
      </c>
      <c r="J99" s="8">
        <f ca="1">J98*Inputs!$B$159</f>
        <v>0</v>
      </c>
      <c r="K99" s="8">
        <f ca="1">K98*Inputs!$B$159</f>
        <v>0</v>
      </c>
      <c r="L99" s="8">
        <f ca="1">L98*Inputs!$B$159</f>
        <v>0</v>
      </c>
      <c r="M99" s="8">
        <f ca="1">M98*Inputs!$B$159</f>
        <v>4283.7334591593881</v>
      </c>
      <c r="N99" s="8">
        <f ca="1">N98*Inputs!$B$159</f>
        <v>4003.2793243683395</v>
      </c>
      <c r="O99" s="8">
        <f ca="1">O98*Inputs!$B$159</f>
        <v>3714.0835438691097</v>
      </c>
      <c r="P99" s="8">
        <f ca="1">P98*Inputs!$B$159</f>
        <v>3272.8962872181019</v>
      </c>
      <c r="Q99" s="8">
        <f ca="1">Q98*Inputs!$B$159</f>
        <v>2467.8550774696464</v>
      </c>
      <c r="R99" s="8">
        <f ca="1">R98*Inputs!$B$159</f>
        <v>1646.4693117896165</v>
      </c>
      <c r="S99" s="8">
        <f ca="1">S98*Inputs!$B$159</f>
        <v>1279.7743550688172</v>
      </c>
      <c r="T99" s="8">
        <f ca="1">T98*Inputs!$B$159</f>
        <v>1098.12607317488</v>
      </c>
      <c r="U99" s="8">
        <f ca="1">U98*Inputs!$B$159</f>
        <v>916.06870331427308</v>
      </c>
      <c r="V99" s="8">
        <f ca="1">V98*Inputs!$B$159</f>
        <v>733.71598186025153</v>
      </c>
      <c r="W99" s="8">
        <f ca="1">W98*Inputs!$B$159</f>
        <v>551.18820750257203</v>
      </c>
      <c r="X99" s="8">
        <f ca="1">X98*Inputs!$B$159</f>
        <v>0</v>
      </c>
      <c r="Y99" s="8">
        <f ca="1">Y98*Inputs!$B$159</f>
        <v>0</v>
      </c>
      <c r="Z99" s="8">
        <f ca="1">Z98*Inputs!$B$159</f>
        <v>0</v>
      </c>
      <c r="AA99" s="8">
        <f ca="1">AA98*Inputs!$B$159</f>
        <v>0</v>
      </c>
      <c r="AB99" s="8">
        <f ca="1">AB98*Inputs!$B$159</f>
        <v>0</v>
      </c>
      <c r="AC99" s="8">
        <f ca="1">AC98*Inputs!$B$159</f>
        <v>0</v>
      </c>
      <c r="AD99" s="8">
        <f ca="1">AD98*Inputs!$B$159</f>
        <v>0</v>
      </c>
      <c r="AE99" s="8">
        <f ca="1">AE98*Inputs!$B$159</f>
        <v>0</v>
      </c>
      <c r="AF99" s="8">
        <f ca="1">AF98*Inputs!$B$159</f>
        <v>0</v>
      </c>
      <c r="AG99" s="8">
        <f ca="1">AG98*Inputs!$B$159</f>
        <v>0</v>
      </c>
      <c r="AH99" s="8">
        <f ca="1">AH98*Inputs!$B$159</f>
        <v>0</v>
      </c>
      <c r="AI99" s="8">
        <f ca="1">AI98*Inputs!$B$159</f>
        <v>0</v>
      </c>
      <c r="AJ99" s="8">
        <f ca="1">AJ98*Inputs!$B$159</f>
        <v>0</v>
      </c>
      <c r="AK99" s="8">
        <f ca="1">AK98*Inputs!$B$159</f>
        <v>0</v>
      </c>
      <c r="AL99" s="8">
        <f ca="1">AL98*Inputs!$B$159</f>
        <v>0</v>
      </c>
      <c r="AM99" s="8">
        <f ca="1">AM98*Inputs!$B$159</f>
        <v>0</v>
      </c>
    </row>
    <row r="100" spans="1:39" x14ac:dyDescent="0.2">
      <c r="A100" s="4" t="s">
        <v>168</v>
      </c>
      <c r="C100" s="8">
        <f ca="1">C97+SUM($C99:C99)</f>
        <v>30325.5</v>
      </c>
      <c r="D100" s="8">
        <f ca="1">D97+SUM($C99:D99)</f>
        <v>53777.462499999994</v>
      </c>
      <c r="E100" s="8">
        <f ca="1">E97+SUM($C99:E99)</f>
        <v>57139.486875000017</v>
      </c>
      <c r="F100" s="8">
        <f ca="1">F97+SUM($C99:F99)</f>
        <v>94700.221659424511</v>
      </c>
      <c r="G100" s="8">
        <f ca="1">G97+SUM($C99:G99)</f>
        <v>136857.58117608592</v>
      </c>
      <c r="H100" s="8">
        <f ca="1">H97+SUM($C99:H99)</f>
        <v>99039.354794970655</v>
      </c>
      <c r="I100" s="8">
        <f ca="1">I97+SUM($C99:I99)</f>
        <v>66112.722442054321</v>
      </c>
      <c r="J100" s="8">
        <f ca="1">J97+SUM($C99:J99)</f>
        <v>13748.103183444677</v>
      </c>
      <c r="K100" s="8">
        <f ca="1">K97+SUM($C99:K99)</f>
        <v>39521.393830203713</v>
      </c>
      <c r="L100" s="8">
        <f ca="1">L97+SUM($C99:L99)</f>
        <v>0</v>
      </c>
      <c r="M100" s="8">
        <f ca="1">M97+SUM($C99:M99)</f>
        <v>175633.07182553489</v>
      </c>
      <c r="N100" s="8">
        <f ca="1">N97+SUM($C99:N99)</f>
        <v>161691.24648046176</v>
      </c>
      <c r="O100" s="8">
        <f ca="1">O97+SUM($C99:O99)</f>
        <v>134476.46172956808</v>
      </c>
      <c r="P100" s="8">
        <f ca="1">P97+SUM($C99:P99)</f>
        <v>106189.844103339</v>
      </c>
      <c r="Q100" s="8">
        <f ca="1">Q97+SUM($C99:Q99)</f>
        <v>76456.050790870431</v>
      </c>
      <c r="R100" s="8">
        <f ca="1">R97+SUM($C99:R99)</f>
        <v>45247.089475458859</v>
      </c>
      <c r="S100" s="8">
        <f ca="1">S97+SUM($C99:S99)</f>
        <v>31859.065561695701</v>
      </c>
      <c r="T100" s="8">
        <f ca="1">T97+SUM($C99:T99)</f>
        <v>25691.260359113101</v>
      </c>
      <c r="U100" s="8">
        <f ca="1">U97+SUM($C99:U99)</f>
        <v>19325.034268003095</v>
      </c>
      <c r="V100" s="8">
        <f ca="1">V97+SUM($C99:V99)</f>
        <v>12764.641391702484</v>
      </c>
      <c r="W100" s="8">
        <f ca="1">W97+SUM($C99:W99)</f>
        <v>6014.718624897876</v>
      </c>
      <c r="X100" s="8">
        <f ca="1">X97+SUM($C99:X99)</f>
        <v>-21443.291215871926</v>
      </c>
      <c r="Y100" s="8">
        <f ca="1">Y97+SUM($C99:Y99)</f>
        <v>-49401.721845489985</v>
      </c>
      <c r="Z100" s="8">
        <f ca="1">Z97+SUM($C99:Z99)</f>
        <v>-77867.502899962448</v>
      </c>
      <c r="AA100" s="8">
        <f ca="1">AA97+SUM($C99:AA99)</f>
        <v>-106847.56982968406</v>
      </c>
      <c r="AB100" s="8">
        <f ca="1">AB97+SUM($C99:AB99)</f>
        <v>-136348.85902200264</v>
      </c>
      <c r="AC100" s="8">
        <f ca="1">AC97+SUM($C99:AC99)</f>
        <v>-166378.30265116371</v>
      </c>
      <c r="AD100" s="8">
        <f ca="1">AD97+SUM($C99:AD99)</f>
        <v>-187203.82315280091</v>
      </c>
      <c r="AE100" s="8">
        <f ca="1">AE97+SUM($C99:AE99)</f>
        <v>-208327.852766422</v>
      </c>
      <c r="AF100" s="8">
        <f ca="1">AF97+SUM($C99:AF99)</f>
        <v>-229751.19035280994</v>
      </c>
      <c r="AG100" s="8">
        <f ca="1">AG97+SUM($C99:AG99)</f>
        <v>-251474.4548282566</v>
      </c>
      <c r="AH100" s="8">
        <f ca="1">AH97+SUM($C99:AH99)</f>
        <v>-273498.07466847042</v>
      </c>
      <c r="AI100" s="8">
        <f ca="1">AI97+SUM($C99:AI99)</f>
        <v>-295822.27697015705</v>
      </c>
      <c r="AJ100" s="8">
        <f ca="1">AJ97+SUM($C99:AJ99)</f>
        <v>-318447.07605381741</v>
      </c>
      <c r="AK100" s="8">
        <f ca="1">AK97+SUM($C99:AK99)</f>
        <v>-341372.26159073366</v>
      </c>
      <c r="AL100" s="8">
        <f ca="1">AL97+SUM($C99:AL99)</f>
        <v>-364597.38623652211</v>
      </c>
      <c r="AM100" s="8">
        <f ca="1">AM97+SUM($C99:AM99)</f>
        <v>-388121.75275301817</v>
      </c>
    </row>
    <row r="101" spans="1:39" x14ac:dyDescent="0.2">
      <c r="A101" s="4" t="s">
        <v>21</v>
      </c>
      <c r="C101" s="8">
        <f ca="1">IF(C100&lt;0,C97,0)</f>
        <v>0</v>
      </c>
      <c r="D101" s="8">
        <f ca="1">IF(D100+SUM($C101:C101)&lt;0,-(D100+SUM($C101:C101)),0)</f>
        <v>0</v>
      </c>
      <c r="E101" s="8">
        <f ca="1">IF(E100+SUM($C101:D101)&lt;0,-(E100+SUM($C101:D101)),0)</f>
        <v>0</v>
      </c>
      <c r="F101" s="8">
        <f ca="1">IF(F100+SUM($C101:E101)&lt;0,-(F100+SUM($C101:E101)),0)</f>
        <v>0</v>
      </c>
      <c r="G101" s="8">
        <f ca="1">IF(G100+SUM($C101:F101)&lt;0,-(G100+SUM($C101:F101)),0)</f>
        <v>0</v>
      </c>
      <c r="H101" s="8">
        <f ca="1">IF(H100+SUM($C101:G101)&lt;0,-(H100+SUM($C101:G101)),0)</f>
        <v>0</v>
      </c>
      <c r="I101" s="8">
        <f ca="1">IF(I100+SUM($C101:H101)&lt;0,-(I100+SUM($C101:H101)),0)</f>
        <v>0</v>
      </c>
      <c r="J101" s="8">
        <f ca="1">IF(J100+SUM($C101:I101)&lt;0,-(J100+SUM($C101:I101)),0)</f>
        <v>0</v>
      </c>
      <c r="K101" s="8">
        <f ca="1">IF(K100+SUM($C101:J101)&lt;0,-(K100+SUM($C101:J101)),0)</f>
        <v>0</v>
      </c>
      <c r="L101" s="8">
        <f ca="1">IF(L100+SUM($C101:K101)&lt;0,-(L100+SUM($C101:K101)),0)</f>
        <v>0</v>
      </c>
      <c r="M101" s="8">
        <f ca="1">IF(M100+SUM($C101:L101)&lt;0,-(M100+SUM($C101:L101)),0)</f>
        <v>0</v>
      </c>
      <c r="N101" s="8">
        <f ca="1">IF(N100+SUM($C101:M101)&lt;0,-(N100+SUM($C101:M101)),0)</f>
        <v>0</v>
      </c>
      <c r="O101" s="8">
        <f ca="1">IF(O100+SUM($C101:N101)&lt;0,-(O100+SUM($C101:N101)),0)</f>
        <v>0</v>
      </c>
      <c r="P101" s="8">
        <f ca="1">IF(P100+SUM($C101:O101)&lt;0,-(P100+SUM($C101:O101)),0)</f>
        <v>0</v>
      </c>
      <c r="Q101" s="8">
        <f ca="1">IF(Q100+SUM($C101:P101)&lt;0,-(Q100+SUM($C101:P101)),0)</f>
        <v>0</v>
      </c>
      <c r="R101" s="8">
        <f ca="1">IF(R100+SUM($C101:Q101)&lt;0,-(R100+SUM($C101:Q101)),0)</f>
        <v>0</v>
      </c>
      <c r="S101" s="8">
        <f ca="1">IF(S100+SUM($C101:R101)&lt;0,-(S100+SUM($C101:R101)),0)</f>
        <v>0</v>
      </c>
      <c r="T101" s="8">
        <f ca="1">IF(T100+SUM($C101:S101)&lt;0,-(T100+SUM($C101:S101)),0)</f>
        <v>0</v>
      </c>
      <c r="U101" s="8">
        <f ca="1">IF(U100+SUM($C101:T101)&lt;0,-(U100+SUM($C101:T101)),0)</f>
        <v>0</v>
      </c>
      <c r="V101" s="8">
        <f ca="1">IF(V100+SUM($C101:U101)&lt;0,-(V100+SUM($C101:U101)),0)</f>
        <v>0</v>
      </c>
      <c r="W101" s="8">
        <f ca="1">IF(W100+SUM($C101:V101)&lt;0,-(W100+SUM($C101:V101)),0)</f>
        <v>0</v>
      </c>
      <c r="X101" s="8">
        <f ca="1">IF(X100+SUM($C101:W101)&lt;0,-(X100+SUM($C101:W101)),0)</f>
        <v>21443.291215871926</v>
      </c>
      <c r="Y101" s="8">
        <f ca="1">IF(Y100+SUM($C101:X101)&lt;0,-(Y100+SUM($C101:X101)),0)</f>
        <v>27958.430629618058</v>
      </c>
      <c r="Z101" s="8">
        <f ca="1">IF(Z100+SUM($C101:Y101)&lt;0,-(Z100+SUM($C101:Y101)),0)</f>
        <v>28465.781054472463</v>
      </c>
      <c r="AA101" s="8">
        <f ca="1">IF(AA100+SUM($C101:Z101)&lt;0,-(AA100+SUM($C101:Z101)),0)</f>
        <v>28980.066929721608</v>
      </c>
      <c r="AB101" s="8">
        <f ca="1">IF(AB100+SUM($C101:AA101)&lt;0,-(AB100+SUM($C101:AA101)),0)</f>
        <v>29501.289192318582</v>
      </c>
      <c r="AC101" s="8">
        <f ca="1">IF(AC100+SUM($C101:AB101)&lt;0,-(AC100+SUM($C101:AB101)),0)</f>
        <v>30029.443629161076</v>
      </c>
      <c r="AD101" s="8">
        <f ca="1">IF(AD100+SUM($C101:AC101)&lt;0,-(AD100+SUM($C101:AC101)),0)</f>
        <v>20825.520501637191</v>
      </c>
      <c r="AE101" s="8">
        <f ca="1">IF(AE100+SUM($C101:AD101)&lt;0,-(AE100+SUM($C101:AD101)),0)</f>
        <v>21124.029613621096</v>
      </c>
      <c r="AF101" s="8">
        <f ca="1">IF(AF100+SUM($C101:AE101)&lt;0,-(AF100+SUM($C101:AE101)),0)</f>
        <v>21423.337586387934</v>
      </c>
      <c r="AG101" s="8">
        <f ca="1">IF(AG100+SUM($C101:AF101)&lt;0,-(AG100+SUM($C101:AF101)),0)</f>
        <v>21723.26447544666</v>
      </c>
      <c r="AH101" s="8">
        <f ca="1">IF(AH100+SUM($C101:AG101)&lt;0,-(AH100+SUM($C101:AG101)),0)</f>
        <v>22023.619840213825</v>
      </c>
      <c r="AI101" s="8">
        <f ca="1">IF(AI100+SUM($C101:AH101)&lt;0,-(AI100+SUM($C101:AH101)),0)</f>
        <v>22324.20230168663</v>
      </c>
      <c r="AJ101" s="8">
        <f ca="1">IF(AJ100+SUM($C101:AI101)&lt;0,-(AJ100+SUM($C101:AI101)),0)</f>
        <v>22624.799083660357</v>
      </c>
      <c r="AK101" s="8">
        <f ca="1">IF(AK100+SUM($C101:AJ101)&lt;0,-(AK100+SUM($C101:AJ101)),0)</f>
        <v>22925.185536916251</v>
      </c>
      <c r="AL101" s="8">
        <f ca="1">IF(AL100+SUM($C101:AK101)&lt;0,-(AL100+SUM($C101:AK101)),0)</f>
        <v>23225.124645788455</v>
      </c>
      <c r="AM101" s="8">
        <f ca="1">IF(AM100+SUM($C101:AL101)&lt;0,-(AM100+SUM($C101:AL101)),0)</f>
        <v>23524.366516496055</v>
      </c>
    </row>
    <row r="102" spans="1:39" x14ac:dyDescent="0.2"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</row>
    <row r="103" spans="1:39" x14ac:dyDescent="0.2">
      <c r="A103" s="29" t="str">
        <f>IF(Inputs!$B$175=6,IFERROR(_xlfn.XLOOKUP($B103,Inputs!$B$176:$B$178,Inputs!$A$176:$A$178,,0,1),""),IFERROR(_xlfn.XLOOKUP($B103,Inputs!$C$176:$C$178,Inputs!$A$176:$A$178,,0,1),""))</f>
        <v>Qormi</v>
      </c>
      <c r="B103" s="31">
        <v>2</v>
      </c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</row>
    <row r="104" spans="1:39" x14ac:dyDescent="0.2">
      <c r="A104" s="4" t="s">
        <v>23</v>
      </c>
      <c r="C104" s="8">
        <f>IFERROR(VLOOKUP($A103,$A$54:$H$68,C$1+2,FALSE),0)</f>
        <v>226600</v>
      </c>
      <c r="D104" s="8">
        <f ca="1">C107</f>
        <v>226600</v>
      </c>
      <c r="E104" s="8">
        <f t="shared" ref="E104:H104" ca="1" si="335">D107</f>
        <v>233398</v>
      </c>
      <c r="F104" s="8">
        <f t="shared" ca="1" si="335"/>
        <v>240399.94</v>
      </c>
      <c r="G104" s="8">
        <f t="shared" ca="1" si="335"/>
        <v>247611.9382</v>
      </c>
      <c r="H104" s="8">
        <f t="shared" ca="1" si="335"/>
        <v>255040.29634600002</v>
      </c>
      <c r="I104" s="8">
        <f t="shared" ref="I104" ca="1" si="336">H107</f>
        <v>262691.50523638004</v>
      </c>
      <c r="J104" s="8">
        <f t="shared" ref="J104" ca="1" si="337">I107</f>
        <v>270572.25039347145</v>
      </c>
      <c r="K104" s="8">
        <f t="shared" ref="K104" ca="1" si="338">J107</f>
        <v>278689.41790527559</v>
      </c>
      <c r="L104" s="8">
        <f t="shared" ref="L104" ca="1" si="339">K107</f>
        <v>287050.10044243385</v>
      </c>
      <c r="M104" s="8">
        <f t="shared" ref="M104" ca="1" si="340">L107</f>
        <v>295661.60345570685</v>
      </c>
      <c r="N104" s="8">
        <f t="shared" ref="N104" ca="1" si="341">M107</f>
        <v>304531.45155937807</v>
      </c>
      <c r="O104" s="8">
        <f t="shared" ref="O104" ca="1" si="342">N107</f>
        <v>313667.39510615938</v>
      </c>
      <c r="P104" s="8">
        <f t="shared" ref="P104" ca="1" si="343">O107</f>
        <v>323077.41695934418</v>
      </c>
      <c r="Q104" s="8">
        <f t="shared" ref="Q104" ca="1" si="344">P107</f>
        <v>332769.73946812452</v>
      </c>
      <c r="R104" s="8">
        <f t="shared" ref="R104" ca="1" si="345">Q107</f>
        <v>342752.83165216824</v>
      </c>
      <c r="S104" s="8">
        <f t="shared" ref="S104" ca="1" si="346">R107</f>
        <v>353035.4166017333</v>
      </c>
      <c r="T104" s="8">
        <f t="shared" ref="T104" ca="1" si="347">S107</f>
        <v>363626.47909978533</v>
      </c>
      <c r="U104" s="8">
        <f t="shared" ref="U104" ca="1" si="348">T107</f>
        <v>374535.27347277891</v>
      </c>
      <c r="V104" s="8">
        <f t="shared" ref="V104" ca="1" si="349">U107</f>
        <v>385771.33167696226</v>
      </c>
      <c r="W104" s="8">
        <f t="shared" ref="W104" ca="1" si="350">V107</f>
        <v>397344.47162727115</v>
      </c>
      <c r="X104" s="8">
        <f t="shared" ref="X104" ca="1" si="351">W107</f>
        <v>0</v>
      </c>
      <c r="Y104" s="8">
        <f t="shared" ref="Y104" ca="1" si="352">X107</f>
        <v>0</v>
      </c>
      <c r="Z104" s="8">
        <f t="shared" ref="Z104" ca="1" si="353">Y107</f>
        <v>0</v>
      </c>
      <c r="AA104" s="8">
        <f t="shared" ref="AA104" ca="1" si="354">Z107</f>
        <v>0</v>
      </c>
      <c r="AB104" s="8">
        <f t="shared" ref="AB104" ca="1" si="355">AA107</f>
        <v>0</v>
      </c>
      <c r="AC104" s="8">
        <f t="shared" ref="AC104" ca="1" si="356">AB107</f>
        <v>0</v>
      </c>
      <c r="AD104" s="8">
        <f t="shared" ref="AD104" ca="1" si="357">AC107</f>
        <v>0</v>
      </c>
      <c r="AE104" s="8">
        <f t="shared" ref="AE104" ca="1" si="358">AD107</f>
        <v>0</v>
      </c>
      <c r="AF104" s="8">
        <f t="shared" ref="AF104" ca="1" si="359">AE107</f>
        <v>0</v>
      </c>
      <c r="AG104" s="8">
        <f t="shared" ref="AG104" ca="1" si="360">AF107</f>
        <v>0</v>
      </c>
      <c r="AH104" s="8">
        <f t="shared" ref="AH104" ca="1" si="361">AG107</f>
        <v>0</v>
      </c>
      <c r="AI104" s="8">
        <f t="shared" ref="AI104" ca="1" si="362">AH107</f>
        <v>0</v>
      </c>
      <c r="AJ104" s="8">
        <f t="shared" ref="AJ104" ca="1" si="363">AI107</f>
        <v>0</v>
      </c>
      <c r="AK104" s="8">
        <f t="shared" ref="AK104" ca="1" si="364">AJ107</f>
        <v>0</v>
      </c>
      <c r="AL104" s="8">
        <f t="shared" ref="AL104" ca="1" si="365">AK107</f>
        <v>0</v>
      </c>
      <c r="AM104" s="8">
        <f t="shared" ref="AM104" ca="1" si="366">AL107</f>
        <v>0</v>
      </c>
    </row>
    <row r="105" spans="1:39" x14ac:dyDescent="0.2">
      <c r="A105" s="4" t="s">
        <v>24</v>
      </c>
      <c r="C105" s="8">
        <f ca="1">-IF(SUM(C101:D101)&gt;0,C104,0)</f>
        <v>0</v>
      </c>
      <c r="D105" s="8">
        <f ca="1">-IF(E101&gt;0,D104,0)</f>
        <v>0</v>
      </c>
      <c r="E105" s="8">
        <f ca="1">-IF(F101&gt;0,E104,0)</f>
        <v>0</v>
      </c>
      <c r="F105" s="8">
        <f ca="1">-IF(G101&gt;0,F104,0)</f>
        <v>0</v>
      </c>
      <c r="G105" s="8">
        <f t="shared" ref="G105:H105" ca="1" si="367">-IF(H101&gt;0,G104,0)</f>
        <v>0</v>
      </c>
      <c r="H105" s="8">
        <f t="shared" ca="1" si="367"/>
        <v>0</v>
      </c>
      <c r="I105" s="8">
        <f t="shared" ref="I105" ca="1" si="368">-IF(J101&gt;0,I104,0)</f>
        <v>0</v>
      </c>
      <c r="J105" s="8">
        <f t="shared" ref="J105" ca="1" si="369">-IF(K101&gt;0,J104,0)</f>
        <v>0</v>
      </c>
      <c r="K105" s="8">
        <f t="shared" ref="K105" ca="1" si="370">-IF(L101&gt;0,K104,0)</f>
        <v>0</v>
      </c>
      <c r="L105" s="8">
        <f t="shared" ref="L105" ca="1" si="371">-IF(M101&gt;0,L104,0)</f>
        <v>0</v>
      </c>
      <c r="M105" s="8">
        <f t="shared" ref="M105" ca="1" si="372">-IF(N101&gt;0,M104,0)</f>
        <v>0</v>
      </c>
      <c r="N105" s="8">
        <f t="shared" ref="N105" ca="1" si="373">-IF(O101&gt;0,N104,0)</f>
        <v>0</v>
      </c>
      <c r="O105" s="8">
        <f t="shared" ref="O105" ca="1" si="374">-IF(P101&gt;0,O104,0)</f>
        <v>0</v>
      </c>
      <c r="P105" s="8">
        <f t="shared" ref="P105" ca="1" si="375">-IF(Q101&gt;0,P104,0)</f>
        <v>0</v>
      </c>
      <c r="Q105" s="8">
        <f t="shared" ref="Q105" ca="1" si="376">-IF(R101&gt;0,Q104,0)</f>
        <v>0</v>
      </c>
      <c r="R105" s="8">
        <f t="shared" ref="R105" ca="1" si="377">-IF(S101&gt;0,R104,0)</f>
        <v>0</v>
      </c>
      <c r="S105" s="8">
        <f t="shared" ref="S105" ca="1" si="378">-IF(T101&gt;0,S104,0)</f>
        <v>0</v>
      </c>
      <c r="T105" s="8">
        <f t="shared" ref="T105" ca="1" si="379">-IF(U101&gt;0,T104,0)</f>
        <v>0</v>
      </c>
      <c r="U105" s="8">
        <f t="shared" ref="U105" ca="1" si="380">-IF(V101&gt;0,U104,0)</f>
        <v>0</v>
      </c>
      <c r="V105" s="8">
        <f t="shared" ref="V105" ca="1" si="381">-IF(W101&gt;0,V104,0)</f>
        <v>0</v>
      </c>
      <c r="W105" s="8">
        <f t="shared" ref="W105" ca="1" si="382">-IF(X101&gt;0,W104,0)</f>
        <v>-397344.47162727115</v>
      </c>
      <c r="X105" s="8">
        <f t="shared" ref="X105" ca="1" si="383">-IF(Y101&gt;0,X104,0)</f>
        <v>0</v>
      </c>
      <c r="Y105" s="8">
        <f t="shared" ref="Y105" ca="1" si="384">-IF(Z101&gt;0,Y104,0)</f>
        <v>0</v>
      </c>
      <c r="Z105" s="8">
        <f t="shared" ref="Z105" ca="1" si="385">-IF(AA101&gt;0,Z104,0)</f>
        <v>0</v>
      </c>
      <c r="AA105" s="8">
        <f t="shared" ref="AA105" ca="1" si="386">-IF(AB101&gt;0,AA104,0)</f>
        <v>0</v>
      </c>
      <c r="AB105" s="8">
        <f t="shared" ref="AB105" ca="1" si="387">-IF(AC101&gt;0,AB104,0)</f>
        <v>0</v>
      </c>
      <c r="AC105" s="8">
        <f t="shared" ref="AC105" ca="1" si="388">-IF(AD101&gt;0,AC104,0)</f>
        <v>0</v>
      </c>
      <c r="AD105" s="8">
        <f t="shared" ref="AD105" ca="1" si="389">-IF(AE101&gt;0,AD104,0)</f>
        <v>0</v>
      </c>
      <c r="AE105" s="8">
        <f t="shared" ref="AE105" ca="1" si="390">-IF(AF101&gt;0,AE104,0)</f>
        <v>0</v>
      </c>
      <c r="AF105" s="8">
        <f t="shared" ref="AF105" ca="1" si="391">-IF(AG101&gt;0,AF104,0)</f>
        <v>0</v>
      </c>
      <c r="AG105" s="8">
        <f t="shared" ref="AG105" ca="1" si="392">-IF(AH101&gt;0,AG104,0)</f>
        <v>0</v>
      </c>
      <c r="AH105" s="8">
        <f t="shared" ref="AH105" ca="1" si="393">-IF(AI101&gt;0,AH104,0)</f>
        <v>0</v>
      </c>
      <c r="AI105" s="8">
        <f t="shared" ref="AI105" ca="1" si="394">-IF(AJ101&gt;0,AI104,0)</f>
        <v>0</v>
      </c>
      <c r="AJ105" s="8">
        <f t="shared" ref="AJ105" ca="1" si="395">-IF(AK101&gt;0,AJ104,0)</f>
        <v>0</v>
      </c>
      <c r="AK105" s="8">
        <f t="shared" ref="AK105" ca="1" si="396">-IF(AL101&gt;0,AK104,0)</f>
        <v>0</v>
      </c>
      <c r="AL105" s="8">
        <f t="shared" ref="AL105" ca="1" si="397">-IF(AM101&gt;0,AL104,0)</f>
        <v>0</v>
      </c>
      <c r="AM105" s="8">
        <f t="shared" ref="AM105" si="398">-IF(AN101&gt;0,AM104,0)</f>
        <v>0</v>
      </c>
    </row>
    <row r="106" spans="1:39" x14ac:dyDescent="0.2">
      <c r="A106" s="4" t="s">
        <v>25</v>
      </c>
      <c r="C106" s="8">
        <v>0</v>
      </c>
      <c r="D106" s="8">
        <f t="shared" ref="D106:G106" ca="1" si="399">SUM(D104:D105)*princ</f>
        <v>6798</v>
      </c>
      <c r="E106" s="8">
        <f t="shared" ca="1" si="399"/>
        <v>7001.94</v>
      </c>
      <c r="F106" s="8">
        <f t="shared" ca="1" si="399"/>
        <v>7211.9982</v>
      </c>
      <c r="G106" s="8">
        <f t="shared" ca="1" si="399"/>
        <v>7428.3581459999996</v>
      </c>
      <c r="H106" s="8">
        <f t="shared" ref="H106" ca="1" si="400">SUM(H104:H105)*princ</f>
        <v>7651.2088903800004</v>
      </c>
      <c r="I106" s="8">
        <f t="shared" ref="I106:AM106" ca="1" si="401">SUM(I104:I105)*princ</f>
        <v>7880.7451570914009</v>
      </c>
      <c r="J106" s="8">
        <f t="shared" ca="1" si="401"/>
        <v>8117.167511804143</v>
      </c>
      <c r="K106" s="8">
        <f t="shared" ca="1" si="401"/>
        <v>8360.6825371582672</v>
      </c>
      <c r="L106" s="8">
        <f t="shared" ca="1" si="401"/>
        <v>8611.5030132730153</v>
      </c>
      <c r="M106" s="8">
        <f t="shared" ca="1" si="401"/>
        <v>8869.8481036712055</v>
      </c>
      <c r="N106" s="8">
        <f t="shared" ca="1" si="401"/>
        <v>9135.9435467813419</v>
      </c>
      <c r="O106" s="8">
        <f t="shared" ca="1" si="401"/>
        <v>9410.0218531847804</v>
      </c>
      <c r="P106" s="8">
        <f t="shared" ca="1" si="401"/>
        <v>9692.3225087803257</v>
      </c>
      <c r="Q106" s="8">
        <f t="shared" ca="1" si="401"/>
        <v>9983.092184043735</v>
      </c>
      <c r="R106" s="8">
        <f t="shared" ca="1" si="401"/>
        <v>10282.584949565047</v>
      </c>
      <c r="S106" s="8">
        <f t="shared" ca="1" si="401"/>
        <v>10591.062498051999</v>
      </c>
      <c r="T106" s="8">
        <f t="shared" ca="1" si="401"/>
        <v>10908.79437299356</v>
      </c>
      <c r="U106" s="8">
        <f t="shared" ca="1" si="401"/>
        <v>11236.058204183366</v>
      </c>
      <c r="V106" s="8">
        <f t="shared" ca="1" si="401"/>
        <v>11573.139950308867</v>
      </c>
      <c r="W106" s="8">
        <f t="shared" ca="1" si="401"/>
        <v>0</v>
      </c>
      <c r="X106" s="8">
        <f t="shared" ca="1" si="401"/>
        <v>0</v>
      </c>
      <c r="Y106" s="8">
        <f t="shared" ca="1" si="401"/>
        <v>0</v>
      </c>
      <c r="Z106" s="8">
        <f t="shared" ca="1" si="401"/>
        <v>0</v>
      </c>
      <c r="AA106" s="8">
        <f t="shared" ca="1" si="401"/>
        <v>0</v>
      </c>
      <c r="AB106" s="8">
        <f t="shared" ca="1" si="401"/>
        <v>0</v>
      </c>
      <c r="AC106" s="8">
        <f t="shared" ca="1" si="401"/>
        <v>0</v>
      </c>
      <c r="AD106" s="8">
        <f t="shared" ca="1" si="401"/>
        <v>0</v>
      </c>
      <c r="AE106" s="8">
        <f t="shared" ca="1" si="401"/>
        <v>0</v>
      </c>
      <c r="AF106" s="8">
        <f t="shared" ca="1" si="401"/>
        <v>0</v>
      </c>
      <c r="AG106" s="8">
        <f t="shared" ca="1" si="401"/>
        <v>0</v>
      </c>
      <c r="AH106" s="8">
        <f t="shared" ca="1" si="401"/>
        <v>0</v>
      </c>
      <c r="AI106" s="8">
        <f t="shared" ca="1" si="401"/>
        <v>0</v>
      </c>
      <c r="AJ106" s="8">
        <f t="shared" ca="1" si="401"/>
        <v>0</v>
      </c>
      <c r="AK106" s="8">
        <f t="shared" ca="1" si="401"/>
        <v>0</v>
      </c>
      <c r="AL106" s="8">
        <f t="shared" ca="1" si="401"/>
        <v>0</v>
      </c>
      <c r="AM106" s="8">
        <f t="shared" ca="1" si="401"/>
        <v>0</v>
      </c>
    </row>
    <row r="107" spans="1:39" x14ac:dyDescent="0.2">
      <c r="A107" s="4" t="s">
        <v>26</v>
      </c>
      <c r="C107" s="8">
        <f ca="1">SUM(C104:C106)</f>
        <v>226600</v>
      </c>
      <c r="D107" s="8">
        <f t="shared" ref="D107:G107" ca="1" si="402">SUM(D104:D106)</f>
        <v>233398</v>
      </c>
      <c r="E107" s="8">
        <f t="shared" ca="1" si="402"/>
        <v>240399.94</v>
      </c>
      <c r="F107" s="8">
        <f t="shared" ca="1" si="402"/>
        <v>247611.9382</v>
      </c>
      <c r="G107" s="8">
        <f t="shared" ca="1" si="402"/>
        <v>255040.29634600002</v>
      </c>
      <c r="H107" s="8">
        <f t="shared" ref="H107" ca="1" si="403">SUM(H104:H106)</f>
        <v>262691.50523638004</v>
      </c>
      <c r="I107" s="8">
        <f t="shared" ref="I107:AM107" ca="1" si="404">SUM(I104:I106)</f>
        <v>270572.25039347145</v>
      </c>
      <c r="J107" s="8">
        <f t="shared" ca="1" si="404"/>
        <v>278689.41790527559</v>
      </c>
      <c r="K107" s="8">
        <f t="shared" ca="1" si="404"/>
        <v>287050.10044243385</v>
      </c>
      <c r="L107" s="8">
        <f t="shared" ca="1" si="404"/>
        <v>295661.60345570685</v>
      </c>
      <c r="M107" s="8">
        <f t="shared" ca="1" si="404"/>
        <v>304531.45155937807</v>
      </c>
      <c r="N107" s="8">
        <f t="shared" ca="1" si="404"/>
        <v>313667.39510615938</v>
      </c>
      <c r="O107" s="8">
        <f t="shared" ca="1" si="404"/>
        <v>323077.41695934418</v>
      </c>
      <c r="P107" s="8">
        <f t="shared" ca="1" si="404"/>
        <v>332769.73946812452</v>
      </c>
      <c r="Q107" s="8">
        <f t="shared" ca="1" si="404"/>
        <v>342752.83165216824</v>
      </c>
      <c r="R107" s="8">
        <f t="shared" ca="1" si="404"/>
        <v>353035.4166017333</v>
      </c>
      <c r="S107" s="8">
        <f t="shared" ca="1" si="404"/>
        <v>363626.47909978533</v>
      </c>
      <c r="T107" s="8">
        <f t="shared" ca="1" si="404"/>
        <v>374535.27347277891</v>
      </c>
      <c r="U107" s="8">
        <f t="shared" ca="1" si="404"/>
        <v>385771.33167696226</v>
      </c>
      <c r="V107" s="8">
        <f t="shared" ca="1" si="404"/>
        <v>397344.47162727115</v>
      </c>
      <c r="W107" s="8">
        <f t="shared" ca="1" si="404"/>
        <v>0</v>
      </c>
      <c r="X107" s="8">
        <f t="shared" ca="1" si="404"/>
        <v>0</v>
      </c>
      <c r="Y107" s="8">
        <f t="shared" ca="1" si="404"/>
        <v>0</v>
      </c>
      <c r="Z107" s="8">
        <f t="shared" ca="1" si="404"/>
        <v>0</v>
      </c>
      <c r="AA107" s="8">
        <f t="shared" ca="1" si="404"/>
        <v>0</v>
      </c>
      <c r="AB107" s="8">
        <f t="shared" ca="1" si="404"/>
        <v>0</v>
      </c>
      <c r="AC107" s="8">
        <f t="shared" ca="1" si="404"/>
        <v>0</v>
      </c>
      <c r="AD107" s="8">
        <f t="shared" ca="1" si="404"/>
        <v>0</v>
      </c>
      <c r="AE107" s="8">
        <f t="shared" ca="1" si="404"/>
        <v>0</v>
      </c>
      <c r="AF107" s="8">
        <f t="shared" ca="1" si="404"/>
        <v>0</v>
      </c>
      <c r="AG107" s="8">
        <f t="shared" ca="1" si="404"/>
        <v>0</v>
      </c>
      <c r="AH107" s="8">
        <f t="shared" ca="1" si="404"/>
        <v>0</v>
      </c>
      <c r="AI107" s="8">
        <f t="shared" ca="1" si="404"/>
        <v>0</v>
      </c>
      <c r="AJ107" s="8">
        <f t="shared" ca="1" si="404"/>
        <v>0</v>
      </c>
      <c r="AK107" s="8">
        <f t="shared" ca="1" si="404"/>
        <v>0</v>
      </c>
      <c r="AL107" s="8">
        <f t="shared" ca="1" si="404"/>
        <v>0</v>
      </c>
      <c r="AM107" s="8">
        <f t="shared" ca="1" si="404"/>
        <v>0</v>
      </c>
    </row>
    <row r="108" spans="1:39" x14ac:dyDescent="0.2">
      <c r="A108" s="4" t="s">
        <v>27</v>
      </c>
      <c r="C108" s="8">
        <f ca="1">C105*Inputs!$B$173</f>
        <v>0</v>
      </c>
      <c r="D108" s="8">
        <f ca="1">D105*Inputs!$B$173</f>
        <v>0</v>
      </c>
      <c r="E108" s="8">
        <f ca="1">E105*Inputs!$B$173</f>
        <v>0</v>
      </c>
      <c r="F108" s="8">
        <f ca="1">F105*Inputs!$B$173</f>
        <v>0</v>
      </c>
      <c r="G108" s="8">
        <f ca="1">G105*Inputs!$B$173</f>
        <v>0</v>
      </c>
      <c r="H108" s="8">
        <f ca="1">H105*Inputs!$B$173</f>
        <v>0</v>
      </c>
      <c r="I108" s="8">
        <f ca="1">I105*Inputs!$B$173</f>
        <v>0</v>
      </c>
      <c r="J108" s="8">
        <f ca="1">J105*Inputs!$B$173</f>
        <v>0</v>
      </c>
      <c r="K108" s="8">
        <f ca="1">K105*Inputs!$B$173</f>
        <v>0</v>
      </c>
      <c r="L108" s="8">
        <f ca="1">L105*Inputs!$B$173</f>
        <v>0</v>
      </c>
      <c r="M108" s="8">
        <f ca="1">M105*Inputs!$B$173</f>
        <v>0</v>
      </c>
      <c r="N108" s="8">
        <f ca="1">N105*Inputs!$B$173</f>
        <v>0</v>
      </c>
      <c r="O108" s="8">
        <f ca="1">O105*Inputs!$B$173</f>
        <v>0</v>
      </c>
      <c r="P108" s="8">
        <f ca="1">P105*Inputs!$B$173</f>
        <v>0</v>
      </c>
      <c r="Q108" s="8">
        <f ca="1">Q105*Inputs!$B$173</f>
        <v>0</v>
      </c>
      <c r="R108" s="8">
        <f ca="1">R105*Inputs!$B$173</f>
        <v>0</v>
      </c>
      <c r="S108" s="8">
        <f ca="1">S105*Inputs!$B$173</f>
        <v>0</v>
      </c>
      <c r="T108" s="8">
        <f ca="1">T105*Inputs!$B$173</f>
        <v>0</v>
      </c>
      <c r="U108" s="8">
        <f ca="1">U105*Inputs!$B$173</f>
        <v>0</v>
      </c>
      <c r="V108" s="8">
        <f ca="1">V105*Inputs!$B$173</f>
        <v>0</v>
      </c>
      <c r="W108" s="8">
        <f ca="1">W105*Inputs!$B$173</f>
        <v>-59601.670744090668</v>
      </c>
      <c r="X108" s="8">
        <f ca="1">X105*Inputs!$B$173</f>
        <v>0</v>
      </c>
      <c r="Y108" s="8">
        <f ca="1">Y105*Inputs!$B$173</f>
        <v>0</v>
      </c>
      <c r="Z108" s="8">
        <f ca="1">Z105*Inputs!$B$173</f>
        <v>0</v>
      </c>
      <c r="AA108" s="8">
        <f ca="1">AA105*Inputs!$B$173</f>
        <v>0</v>
      </c>
      <c r="AB108" s="8">
        <f ca="1">AB105*Inputs!$B$173</f>
        <v>0</v>
      </c>
      <c r="AC108" s="8">
        <f ca="1">AC105*Inputs!$B$173</f>
        <v>0</v>
      </c>
      <c r="AD108" s="8">
        <f ca="1">AD105*Inputs!$B$173</f>
        <v>0</v>
      </c>
      <c r="AE108" s="8">
        <f ca="1">AE105*Inputs!$B$173</f>
        <v>0</v>
      </c>
      <c r="AF108" s="8">
        <f ca="1">AF105*Inputs!$B$173</f>
        <v>0</v>
      </c>
      <c r="AG108" s="8">
        <f ca="1">AG105*Inputs!$B$173</f>
        <v>0</v>
      </c>
      <c r="AH108" s="8">
        <f ca="1">AH105*Inputs!$B$173</f>
        <v>0</v>
      </c>
      <c r="AI108" s="8">
        <f ca="1">AI105*Inputs!$B$173</f>
        <v>0</v>
      </c>
      <c r="AJ108" s="8">
        <f ca="1">AJ105*Inputs!$B$173</f>
        <v>0</v>
      </c>
      <c r="AK108" s="8">
        <f ca="1">AK105*Inputs!$B$173</f>
        <v>0</v>
      </c>
      <c r="AL108" s="8">
        <f ca="1">AL105*Inputs!$B$173</f>
        <v>0</v>
      </c>
      <c r="AM108" s="8">
        <f>AM105*Inputs!$B$173</f>
        <v>0</v>
      </c>
    </row>
    <row r="109" spans="1:39" x14ac:dyDescent="0.2">
      <c r="A109" s="4" t="s">
        <v>34</v>
      </c>
      <c r="C109" s="8">
        <f t="shared" ref="C109:H109" si="405">IFERROR(-IF(C104=0,VLOOKUP($A103,$7:$10,C$1+2,FALSE),0),0)</f>
        <v>0</v>
      </c>
      <c r="D109" s="8">
        <f t="shared" ca="1" si="405"/>
        <v>0</v>
      </c>
      <c r="E109" s="8">
        <f t="shared" ca="1" si="405"/>
        <v>0</v>
      </c>
      <c r="F109" s="8">
        <f t="shared" ca="1" si="405"/>
        <v>0</v>
      </c>
      <c r="G109" s="8">
        <f t="shared" ca="1" si="405"/>
        <v>0</v>
      </c>
      <c r="H109" s="8">
        <f t="shared" ca="1" si="405"/>
        <v>0</v>
      </c>
      <c r="I109" s="8">
        <f t="shared" ref="I109:AM109" ca="1" si="406">IFERROR(-IF(I104=0,VLOOKUP($A103,$7:$10,I$1+2,FALSE),0),0)</f>
        <v>0</v>
      </c>
      <c r="J109" s="8">
        <f t="shared" ca="1" si="406"/>
        <v>0</v>
      </c>
      <c r="K109" s="8">
        <f t="shared" ca="1" si="406"/>
        <v>0</v>
      </c>
      <c r="L109" s="8">
        <f t="shared" ca="1" si="406"/>
        <v>0</v>
      </c>
      <c r="M109" s="8">
        <f t="shared" ca="1" si="406"/>
        <v>0</v>
      </c>
      <c r="N109" s="8">
        <f t="shared" ca="1" si="406"/>
        <v>0</v>
      </c>
      <c r="O109" s="8">
        <f t="shared" ca="1" si="406"/>
        <v>0</v>
      </c>
      <c r="P109" s="8">
        <f t="shared" ca="1" si="406"/>
        <v>0</v>
      </c>
      <c r="Q109" s="8">
        <f t="shared" ca="1" si="406"/>
        <v>0</v>
      </c>
      <c r="R109" s="8">
        <f t="shared" ca="1" si="406"/>
        <v>0</v>
      </c>
      <c r="S109" s="8">
        <f t="shared" ca="1" si="406"/>
        <v>0</v>
      </c>
      <c r="T109" s="8">
        <f t="shared" ca="1" si="406"/>
        <v>0</v>
      </c>
      <c r="U109" s="8">
        <f t="shared" ca="1" si="406"/>
        <v>0</v>
      </c>
      <c r="V109" s="8">
        <f t="shared" ca="1" si="406"/>
        <v>0</v>
      </c>
      <c r="W109" s="8">
        <f t="shared" ca="1" si="406"/>
        <v>0</v>
      </c>
      <c r="X109" s="8">
        <f t="shared" ca="1" si="406"/>
        <v>-14882.356573675977</v>
      </c>
      <c r="Y109" s="8">
        <f t="shared" ca="1" si="406"/>
        <v>-15328.827270886257</v>
      </c>
      <c r="Z109" s="8">
        <f t="shared" ca="1" si="406"/>
        <v>-15788.692089012846</v>
      </c>
      <c r="AA109" s="8">
        <f t="shared" ca="1" si="406"/>
        <v>-16262.352851683232</v>
      </c>
      <c r="AB109" s="8">
        <f t="shared" ca="1" si="406"/>
        <v>-16750.22343723373</v>
      </c>
      <c r="AC109" s="8">
        <f t="shared" ca="1" si="406"/>
        <v>-17252.730140350741</v>
      </c>
      <c r="AD109" s="8">
        <f t="shared" ca="1" si="406"/>
        <v>-17770.312044561262</v>
      </c>
      <c r="AE109" s="8">
        <f t="shared" ca="1" si="406"/>
        <v>-18303.421405898102</v>
      </c>
      <c r="AF109" s="8">
        <f t="shared" ca="1" si="406"/>
        <v>-18852.524048075044</v>
      </c>
      <c r="AG109" s="8">
        <f t="shared" ca="1" si="406"/>
        <v>-19418.099769517295</v>
      </c>
      <c r="AH109" s="8">
        <f t="shared" ca="1" si="406"/>
        <v>-20000.642762602816</v>
      </c>
      <c r="AI109" s="8">
        <f t="shared" ca="1" si="406"/>
        <v>-20600.662045480902</v>
      </c>
      <c r="AJ109" s="8">
        <f t="shared" ca="1" si="406"/>
        <v>-21218.68190684533</v>
      </c>
      <c r="AK109" s="8">
        <f t="shared" ca="1" si="406"/>
        <v>-21855.24236405069</v>
      </c>
      <c r="AL109" s="8">
        <f t="shared" ca="1" si="406"/>
        <v>-22510.899634972211</v>
      </c>
      <c r="AM109" s="8">
        <f t="shared" ca="1" si="406"/>
        <v>-23186.226624021379</v>
      </c>
    </row>
    <row r="110" spans="1:39" x14ac:dyDescent="0.2">
      <c r="A110" s="4" t="s">
        <v>54</v>
      </c>
      <c r="C110" s="8">
        <f t="shared" ref="C110:H110" si="407">IFERROR(IF(C104=0,VLOOKUP($A103,$35:$38,C$1+2,FALSE),0),0)</f>
        <v>0</v>
      </c>
      <c r="D110" s="8">
        <f t="shared" ca="1" si="407"/>
        <v>0</v>
      </c>
      <c r="E110" s="8">
        <f t="shared" ca="1" si="407"/>
        <v>0</v>
      </c>
      <c r="F110" s="8">
        <f t="shared" ca="1" si="407"/>
        <v>0</v>
      </c>
      <c r="G110" s="8">
        <f t="shared" ca="1" si="407"/>
        <v>0</v>
      </c>
      <c r="H110" s="8">
        <f t="shared" ca="1" si="407"/>
        <v>0</v>
      </c>
      <c r="I110" s="8">
        <f t="shared" ref="I110:AM110" ca="1" si="408">IFERROR(IF(I104=0,VLOOKUP($A103,$35:$38,I$1+2,FALSE),0),0)</f>
        <v>0</v>
      </c>
      <c r="J110" s="8">
        <f t="shared" ca="1" si="408"/>
        <v>0</v>
      </c>
      <c r="K110" s="8">
        <f t="shared" ca="1" si="408"/>
        <v>0</v>
      </c>
      <c r="L110" s="8">
        <f t="shared" ca="1" si="408"/>
        <v>0</v>
      </c>
      <c r="M110" s="8">
        <f t="shared" ca="1" si="408"/>
        <v>0</v>
      </c>
      <c r="N110" s="8">
        <f t="shared" ca="1" si="408"/>
        <v>0</v>
      </c>
      <c r="O110" s="8">
        <f t="shared" ca="1" si="408"/>
        <v>0</v>
      </c>
      <c r="P110" s="8">
        <f t="shared" ca="1" si="408"/>
        <v>0</v>
      </c>
      <c r="Q110" s="8">
        <f t="shared" ca="1" si="408"/>
        <v>0</v>
      </c>
      <c r="R110" s="8">
        <f t="shared" ca="1" si="408"/>
        <v>0</v>
      </c>
      <c r="S110" s="8">
        <f t="shared" ca="1" si="408"/>
        <v>0</v>
      </c>
      <c r="T110" s="8">
        <f t="shared" ca="1" si="408"/>
        <v>0</v>
      </c>
      <c r="U110" s="8">
        <f t="shared" ca="1" si="408"/>
        <v>0</v>
      </c>
      <c r="V110" s="8">
        <f t="shared" ca="1" si="408"/>
        <v>0</v>
      </c>
      <c r="W110" s="8">
        <f t="shared" ca="1" si="408"/>
        <v>0</v>
      </c>
      <c r="X110" s="8">
        <f t="shared" ca="1" si="408"/>
        <v>2015.4982215571863</v>
      </c>
      <c r="Y110" s="8">
        <f t="shared" ca="1" si="408"/>
        <v>2065.8856770961161</v>
      </c>
      <c r="Z110" s="8">
        <f t="shared" ca="1" si="408"/>
        <v>2117.5328190235191</v>
      </c>
      <c r="AA110" s="8">
        <f t="shared" ca="1" si="408"/>
        <v>2170.4711394991068</v>
      </c>
      <c r="AB110" s="8">
        <f t="shared" ca="1" si="408"/>
        <v>2224.7329179865842</v>
      </c>
      <c r="AC110" s="8">
        <f t="shared" ca="1" si="408"/>
        <v>2280.3512409362484</v>
      </c>
      <c r="AD110" s="8">
        <f t="shared" ca="1" si="408"/>
        <v>2337.3600219596547</v>
      </c>
      <c r="AE110" s="8">
        <f t="shared" ca="1" si="408"/>
        <v>2395.7940225086459</v>
      </c>
      <c r="AF110" s="8">
        <f t="shared" ca="1" si="408"/>
        <v>2455.6888730713622</v>
      </c>
      <c r="AG110" s="8">
        <f t="shared" ca="1" si="408"/>
        <v>2517.0810948981457</v>
      </c>
      <c r="AH110" s="8">
        <f t="shared" ca="1" si="408"/>
        <v>2580.0081222705999</v>
      </c>
      <c r="AI110" s="8">
        <f t="shared" ca="1" si="408"/>
        <v>2644.5083253273642</v>
      </c>
      <c r="AJ110" s="8">
        <f t="shared" ca="1" si="408"/>
        <v>2710.6210334605485</v>
      </c>
      <c r="AK110" s="8">
        <f t="shared" ca="1" si="408"/>
        <v>2778.3865592970619</v>
      </c>
      <c r="AL110" s="8">
        <f t="shared" ca="1" si="408"/>
        <v>2847.8462232794882</v>
      </c>
      <c r="AM110" s="8">
        <f t="shared" ca="1" si="408"/>
        <v>2919.0423788614758</v>
      </c>
    </row>
    <row r="111" spans="1:39" x14ac:dyDescent="0.2">
      <c r="A111" s="4" t="s">
        <v>40</v>
      </c>
      <c r="B111" s="16" t="str">
        <f>A103</f>
        <v>Qormi</v>
      </c>
      <c r="C111" s="8">
        <f t="shared" ref="C111:H111" ca="1" si="409">IF(AND(C104&gt;0,C107=0),VLOOKUP($A103,$63:$66,C$1+2,FALSE),0)</f>
        <v>0</v>
      </c>
      <c r="D111" s="8">
        <f t="shared" ca="1" si="409"/>
        <v>0</v>
      </c>
      <c r="E111" s="8">
        <f t="shared" ca="1" si="409"/>
        <v>0</v>
      </c>
      <c r="F111" s="8">
        <f t="shared" ca="1" si="409"/>
        <v>0</v>
      </c>
      <c r="G111" s="8">
        <f t="shared" ca="1" si="409"/>
        <v>0</v>
      </c>
      <c r="H111" s="8">
        <f t="shared" ca="1" si="409"/>
        <v>0</v>
      </c>
      <c r="I111" s="8">
        <f t="shared" ref="I111:AM111" ca="1" si="410">IF(AND(I104&gt;0,I107=0),VLOOKUP($A103,$63:$66,I$1+2,FALSE),0)</f>
        <v>0</v>
      </c>
      <c r="J111" s="8">
        <f t="shared" ca="1" si="410"/>
        <v>0</v>
      </c>
      <c r="K111" s="8">
        <f t="shared" ca="1" si="410"/>
        <v>0</v>
      </c>
      <c r="L111" s="8">
        <f t="shared" ca="1" si="410"/>
        <v>0</v>
      </c>
      <c r="M111" s="8">
        <f t="shared" ca="1" si="410"/>
        <v>0</v>
      </c>
      <c r="N111" s="8">
        <f t="shared" ca="1" si="410"/>
        <v>0</v>
      </c>
      <c r="O111" s="8">
        <f t="shared" ca="1" si="410"/>
        <v>0</v>
      </c>
      <c r="P111" s="8">
        <f t="shared" ca="1" si="410"/>
        <v>0</v>
      </c>
      <c r="Q111" s="8">
        <f t="shared" ca="1" si="410"/>
        <v>0</v>
      </c>
      <c r="R111" s="8">
        <f t="shared" ca="1" si="410"/>
        <v>0</v>
      </c>
      <c r="S111" s="8">
        <f t="shared" ca="1" si="410"/>
        <v>0</v>
      </c>
      <c r="T111" s="8">
        <f t="shared" ca="1" si="410"/>
        <v>0</v>
      </c>
      <c r="U111" s="8">
        <f t="shared" ca="1" si="410"/>
        <v>0</v>
      </c>
      <c r="V111" s="8">
        <f t="shared" ca="1" si="410"/>
        <v>0</v>
      </c>
      <c r="W111" s="8">
        <f t="shared" ca="1" si="410"/>
        <v>0</v>
      </c>
      <c r="X111" s="8">
        <f t="shared" ca="1" si="410"/>
        <v>0</v>
      </c>
      <c r="Y111" s="8">
        <f t="shared" ca="1" si="410"/>
        <v>0</v>
      </c>
      <c r="Z111" s="8">
        <f t="shared" ca="1" si="410"/>
        <v>0</v>
      </c>
      <c r="AA111" s="8">
        <f t="shared" ca="1" si="410"/>
        <v>0</v>
      </c>
      <c r="AB111" s="8">
        <f t="shared" ca="1" si="410"/>
        <v>0</v>
      </c>
      <c r="AC111" s="8">
        <f t="shared" ca="1" si="410"/>
        <v>0</v>
      </c>
      <c r="AD111" s="8">
        <f t="shared" ca="1" si="410"/>
        <v>0</v>
      </c>
      <c r="AE111" s="8">
        <f t="shared" ca="1" si="410"/>
        <v>0</v>
      </c>
      <c r="AF111" s="8">
        <f t="shared" ca="1" si="410"/>
        <v>0</v>
      </c>
      <c r="AG111" s="8">
        <f t="shared" ca="1" si="410"/>
        <v>0</v>
      </c>
      <c r="AH111" s="8">
        <f t="shared" ca="1" si="410"/>
        <v>0</v>
      </c>
      <c r="AI111" s="8">
        <f t="shared" ca="1" si="410"/>
        <v>0</v>
      </c>
      <c r="AJ111" s="8">
        <f t="shared" ca="1" si="410"/>
        <v>0</v>
      </c>
      <c r="AK111" s="8">
        <f t="shared" ca="1" si="410"/>
        <v>0</v>
      </c>
      <c r="AL111" s="8">
        <f t="shared" ca="1" si="410"/>
        <v>0</v>
      </c>
      <c r="AM111" s="8">
        <f t="shared" ca="1" si="410"/>
        <v>0</v>
      </c>
    </row>
    <row r="112" spans="1:39" x14ac:dyDescent="0.2">
      <c r="A112" s="4" t="s">
        <v>41</v>
      </c>
      <c r="C112" s="8">
        <f ca="1">-C105+SUM(C108:C111)</f>
        <v>0</v>
      </c>
      <c r="D112" s="8">
        <f t="shared" ref="D112" ca="1" si="411">-D105+SUM(D108:D111)</f>
        <v>0</v>
      </c>
      <c r="E112" s="8">
        <f t="shared" ref="E112:G112" ca="1" si="412">-E105+SUM(E108:E111)</f>
        <v>0</v>
      </c>
      <c r="F112" s="8">
        <f t="shared" ca="1" si="412"/>
        <v>0</v>
      </c>
      <c r="G112" s="8">
        <f t="shared" ca="1" si="412"/>
        <v>0</v>
      </c>
      <c r="H112" s="8">
        <f t="shared" ref="H112" ca="1" si="413">-H105+SUM(H108:H111)</f>
        <v>0</v>
      </c>
      <c r="I112" s="8">
        <f t="shared" ref="I112:AM112" ca="1" si="414">-I105+SUM(I108:I111)</f>
        <v>0</v>
      </c>
      <c r="J112" s="8">
        <f t="shared" ca="1" si="414"/>
        <v>0</v>
      </c>
      <c r="K112" s="8">
        <f t="shared" ca="1" si="414"/>
        <v>0</v>
      </c>
      <c r="L112" s="8">
        <f t="shared" ca="1" si="414"/>
        <v>0</v>
      </c>
      <c r="M112" s="8">
        <f t="shared" ca="1" si="414"/>
        <v>0</v>
      </c>
      <c r="N112" s="8">
        <f t="shared" ca="1" si="414"/>
        <v>0</v>
      </c>
      <c r="O112" s="8">
        <f t="shared" ca="1" si="414"/>
        <v>0</v>
      </c>
      <c r="P112" s="8">
        <f t="shared" ca="1" si="414"/>
        <v>0</v>
      </c>
      <c r="Q112" s="8">
        <f t="shared" ca="1" si="414"/>
        <v>0</v>
      </c>
      <c r="R112" s="8">
        <f t="shared" ca="1" si="414"/>
        <v>0</v>
      </c>
      <c r="S112" s="8">
        <f t="shared" ca="1" si="414"/>
        <v>0</v>
      </c>
      <c r="T112" s="8">
        <f t="shared" ca="1" si="414"/>
        <v>0</v>
      </c>
      <c r="U112" s="8">
        <f t="shared" ca="1" si="414"/>
        <v>0</v>
      </c>
      <c r="V112" s="8">
        <f t="shared" ca="1" si="414"/>
        <v>0</v>
      </c>
      <c r="W112" s="8">
        <f t="shared" ca="1" si="414"/>
        <v>337742.80088318046</v>
      </c>
      <c r="X112" s="8">
        <f t="shared" ca="1" si="414"/>
        <v>-12866.85835211879</v>
      </c>
      <c r="Y112" s="8">
        <f t="shared" ca="1" si="414"/>
        <v>-13262.941593790141</v>
      </c>
      <c r="Z112" s="8">
        <f t="shared" ca="1" si="414"/>
        <v>-13671.159269989326</v>
      </c>
      <c r="AA112" s="8">
        <f t="shared" ca="1" si="414"/>
        <v>-14091.881712184126</v>
      </c>
      <c r="AB112" s="8">
        <f t="shared" ca="1" si="414"/>
        <v>-14525.490519247145</v>
      </c>
      <c r="AC112" s="8">
        <f t="shared" ca="1" si="414"/>
        <v>-14972.378899414492</v>
      </c>
      <c r="AD112" s="8">
        <f t="shared" ca="1" si="414"/>
        <v>-15432.952022601607</v>
      </c>
      <c r="AE112" s="8">
        <f t="shared" ca="1" si="414"/>
        <v>-15907.627383389456</v>
      </c>
      <c r="AF112" s="8">
        <f t="shared" ca="1" si="414"/>
        <v>-16396.835175003682</v>
      </c>
      <c r="AG112" s="8">
        <f t="shared" ca="1" si="414"/>
        <v>-16901.01867461915</v>
      </c>
      <c r="AH112" s="8">
        <f t="shared" ca="1" si="414"/>
        <v>-17420.634640332217</v>
      </c>
      <c r="AI112" s="8">
        <f t="shared" ca="1" si="414"/>
        <v>-17956.153720153539</v>
      </c>
      <c r="AJ112" s="8">
        <f t="shared" ca="1" si="414"/>
        <v>-18508.06087338478</v>
      </c>
      <c r="AK112" s="8">
        <f t="shared" ca="1" si="414"/>
        <v>-19076.855804753628</v>
      </c>
      <c r="AL112" s="8">
        <f t="shared" ca="1" si="414"/>
        <v>-19663.053411692723</v>
      </c>
      <c r="AM112" s="8">
        <f t="shared" ca="1" si="414"/>
        <v>-20267.184245159904</v>
      </c>
    </row>
    <row r="113" spans="1:39" x14ac:dyDescent="0.2">
      <c r="A113" s="4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</row>
    <row r="114" spans="1:39" x14ac:dyDescent="0.2">
      <c r="A114" s="4" t="s">
        <v>87</v>
      </c>
      <c r="C114" s="8">
        <f ca="1">C100+SUM($C112:C112)</f>
        <v>30325.5</v>
      </c>
      <c r="D114" s="8">
        <f ca="1">D100+SUM($C112:D112)</f>
        <v>53777.462499999994</v>
      </c>
      <c r="E114" s="8">
        <f ca="1">E100+SUM($C112:E112)</f>
        <v>57139.486875000017</v>
      </c>
      <c r="F114" s="8">
        <f ca="1">F100+SUM($C112:F112)</f>
        <v>94700.221659424511</v>
      </c>
      <c r="G114" s="8">
        <f ca="1">G100+SUM($C112:G112)</f>
        <v>136857.58117608592</v>
      </c>
      <c r="H114" s="8">
        <f ca="1">H100+SUM($C112:H112)</f>
        <v>99039.354794970655</v>
      </c>
      <c r="I114" s="8">
        <f ca="1">I100+SUM($C112:I112)</f>
        <v>66112.722442054321</v>
      </c>
      <c r="J114" s="8">
        <f ca="1">J100+SUM($C112:J112)</f>
        <v>13748.103183444677</v>
      </c>
      <c r="K114" s="8">
        <f ca="1">K100+SUM($C112:K112)</f>
        <v>39521.393830203713</v>
      </c>
      <c r="L114" s="8">
        <f ca="1">L100+SUM($C112:L112)</f>
        <v>0</v>
      </c>
      <c r="M114" s="8">
        <f ca="1">M100+SUM($C112:M112)</f>
        <v>175633.07182553489</v>
      </c>
      <c r="N114" s="8">
        <f ca="1">N100+SUM($C112:N112)</f>
        <v>161691.24648046176</v>
      </c>
      <c r="O114" s="8">
        <f ca="1">O100+SUM($C112:O112)</f>
        <v>134476.46172956808</v>
      </c>
      <c r="P114" s="8">
        <f ca="1">P100+SUM($C112:P112)</f>
        <v>106189.844103339</v>
      </c>
      <c r="Q114" s="8">
        <f ca="1">Q100+SUM($C112:Q112)</f>
        <v>76456.050790870431</v>
      </c>
      <c r="R114" s="8">
        <f ca="1">R100+SUM($C112:R112)</f>
        <v>45247.089475458859</v>
      </c>
      <c r="S114" s="8">
        <f ca="1">S100+SUM($C112:S112)</f>
        <v>31859.065561695701</v>
      </c>
      <c r="T114" s="8">
        <f ca="1">T100+SUM($C112:T112)</f>
        <v>25691.260359113101</v>
      </c>
      <c r="U114" s="8">
        <f ca="1">U100+SUM($C112:U112)</f>
        <v>19325.034268003095</v>
      </c>
      <c r="V114" s="8">
        <f ca="1">V100+SUM($C112:V112)</f>
        <v>12764.641391702484</v>
      </c>
      <c r="W114" s="8">
        <f ca="1">W100+SUM($C112:W112)</f>
        <v>343757.51950807835</v>
      </c>
      <c r="X114" s="8">
        <f ca="1">X100+SUM($C112:X112)</f>
        <v>303432.65131518972</v>
      </c>
      <c r="Y114" s="8">
        <f ca="1">Y100+SUM($C112:Y112)</f>
        <v>262211.27909178153</v>
      </c>
      <c r="Z114" s="8">
        <f ca="1">Z100+SUM($C112:Z112)</f>
        <v>220074.33876731971</v>
      </c>
      <c r="AA114" s="8">
        <f ca="1">AA100+SUM($C112:AA112)</f>
        <v>177002.39012541401</v>
      </c>
      <c r="AB114" s="8">
        <f ca="1">AB100+SUM($C112:AB112)</f>
        <v>132975.61041384828</v>
      </c>
      <c r="AC114" s="8">
        <f ca="1">AC100+SUM($C112:AC112)</f>
        <v>87973.787885272701</v>
      </c>
      <c r="AD114" s="8">
        <f ca="1">AD100+SUM($C112:AD112)</f>
        <v>51715.315361033892</v>
      </c>
      <c r="AE114" s="8">
        <f ca="1">AE100+SUM($C112:AE112)</f>
        <v>14683.658364023344</v>
      </c>
      <c r="AF114" s="8">
        <f ca="1">AF100+SUM($C112:AF112)</f>
        <v>-23136.514397368272</v>
      </c>
      <c r="AG114" s="8">
        <f ca="1">AG100+SUM($C112:AG112)</f>
        <v>-61760.797547434078</v>
      </c>
      <c r="AH114" s="8">
        <f ca="1">AH100+SUM($C112:AH112)</f>
        <v>-101205.05202798013</v>
      </c>
      <c r="AI114" s="8">
        <f ca="1">AI100+SUM($C112:AI112)</f>
        <v>-141485.40804982028</v>
      </c>
      <c r="AJ114" s="8">
        <f ca="1">AJ100+SUM($C112:AJ112)</f>
        <v>-182618.26800686543</v>
      </c>
      <c r="AK114" s="8">
        <f ca="1">AK100+SUM($C112:AK112)</f>
        <v>-224620.30934853532</v>
      </c>
      <c r="AL114" s="8">
        <f ca="1">AL100+SUM($C112:AL112)</f>
        <v>-267508.4874060165</v>
      </c>
      <c r="AM114" s="8">
        <f ca="1">AM100+SUM($C112:AM112)</f>
        <v>-311300.03816767246</v>
      </c>
    </row>
    <row r="115" spans="1:39" x14ac:dyDescent="0.2">
      <c r="A115" s="4" t="s">
        <v>84</v>
      </c>
      <c r="C115" s="8">
        <f t="shared" ref="C115:H115" ca="1" si="415">MAX(C114+buffer,0)-MAX(C100+buffer,0)</f>
        <v>0</v>
      </c>
      <c r="D115" s="8">
        <f t="shared" ca="1" si="415"/>
        <v>0</v>
      </c>
      <c r="E115" s="8">
        <f t="shared" ca="1" si="415"/>
        <v>0</v>
      </c>
      <c r="F115" s="8">
        <f t="shared" ca="1" si="415"/>
        <v>0</v>
      </c>
      <c r="G115" s="8">
        <f t="shared" ca="1" si="415"/>
        <v>0</v>
      </c>
      <c r="H115" s="8">
        <f t="shared" ca="1" si="415"/>
        <v>0</v>
      </c>
      <c r="I115" s="8">
        <f t="shared" ref="I115:AM115" ca="1" si="416">MAX(I114+buffer,0)-MAX(I100+buffer,0)</f>
        <v>0</v>
      </c>
      <c r="J115" s="8">
        <f t="shared" ca="1" si="416"/>
        <v>0</v>
      </c>
      <c r="K115" s="8">
        <f t="shared" ca="1" si="416"/>
        <v>0</v>
      </c>
      <c r="L115" s="8">
        <f t="shared" ca="1" si="416"/>
        <v>0</v>
      </c>
      <c r="M115" s="8">
        <f t="shared" ca="1" si="416"/>
        <v>0</v>
      </c>
      <c r="N115" s="8">
        <f t="shared" ca="1" si="416"/>
        <v>0</v>
      </c>
      <c r="O115" s="8">
        <f t="shared" ca="1" si="416"/>
        <v>0</v>
      </c>
      <c r="P115" s="8">
        <f t="shared" ca="1" si="416"/>
        <v>0</v>
      </c>
      <c r="Q115" s="8">
        <f t="shared" ca="1" si="416"/>
        <v>0</v>
      </c>
      <c r="R115" s="8">
        <f t="shared" ca="1" si="416"/>
        <v>0</v>
      </c>
      <c r="S115" s="8">
        <f t="shared" ca="1" si="416"/>
        <v>0</v>
      </c>
      <c r="T115" s="8">
        <f t="shared" ca="1" si="416"/>
        <v>0</v>
      </c>
      <c r="U115" s="8">
        <f t="shared" ca="1" si="416"/>
        <v>0</v>
      </c>
      <c r="V115" s="8">
        <f t="shared" ca="1" si="416"/>
        <v>0</v>
      </c>
      <c r="W115" s="8">
        <f t="shared" ca="1" si="416"/>
        <v>337742.80088318046</v>
      </c>
      <c r="X115" s="8">
        <f t="shared" ca="1" si="416"/>
        <v>324875.94253106165</v>
      </c>
      <c r="Y115" s="8">
        <f t="shared" ca="1" si="416"/>
        <v>302211.27909178153</v>
      </c>
      <c r="Z115" s="8">
        <f t="shared" ca="1" si="416"/>
        <v>260074.33876731971</v>
      </c>
      <c r="AA115" s="8">
        <f t="shared" ca="1" si="416"/>
        <v>217002.39012541401</v>
      </c>
      <c r="AB115" s="8">
        <f t="shared" ca="1" si="416"/>
        <v>172975.61041384828</v>
      </c>
      <c r="AC115" s="8">
        <f t="shared" ca="1" si="416"/>
        <v>127973.7878852727</v>
      </c>
      <c r="AD115" s="8">
        <f t="shared" ca="1" si="416"/>
        <v>91715.315361033892</v>
      </c>
      <c r="AE115" s="8">
        <f t="shared" ca="1" si="416"/>
        <v>54683.658364023344</v>
      </c>
      <c r="AF115" s="8">
        <f t="shared" ca="1" si="416"/>
        <v>16863.485602631728</v>
      </c>
      <c r="AG115" s="8">
        <f t="shared" ca="1" si="416"/>
        <v>0</v>
      </c>
      <c r="AH115" s="8">
        <f t="shared" ca="1" si="416"/>
        <v>0</v>
      </c>
      <c r="AI115" s="8">
        <f t="shared" ca="1" si="416"/>
        <v>0</v>
      </c>
      <c r="AJ115" s="8">
        <f t="shared" ca="1" si="416"/>
        <v>0</v>
      </c>
      <c r="AK115" s="8">
        <f t="shared" ca="1" si="416"/>
        <v>0</v>
      </c>
      <c r="AL115" s="8">
        <f t="shared" ca="1" si="416"/>
        <v>0</v>
      </c>
      <c r="AM115" s="8">
        <f t="shared" ca="1" si="416"/>
        <v>0</v>
      </c>
    </row>
    <row r="116" spans="1:39" x14ac:dyDescent="0.2">
      <c r="A116" s="4" t="s">
        <v>85</v>
      </c>
      <c r="C116" s="8">
        <f ca="1">C115*Inputs!$B$159</f>
        <v>0</v>
      </c>
      <c r="D116" s="8">
        <f ca="1">D115*Inputs!$B$159</f>
        <v>0</v>
      </c>
      <c r="E116" s="8">
        <f ca="1">E115*Inputs!$B$159</f>
        <v>0</v>
      </c>
      <c r="F116" s="8">
        <f ca="1">F115*Inputs!$B$159</f>
        <v>0</v>
      </c>
      <c r="G116" s="8">
        <f ca="1">G115*Inputs!$B$159</f>
        <v>0</v>
      </c>
      <c r="H116" s="8">
        <f ca="1">H115*Inputs!$B$159</f>
        <v>0</v>
      </c>
      <c r="I116" s="8">
        <f ca="1">I115*Inputs!$B$159</f>
        <v>0</v>
      </c>
      <c r="J116" s="8">
        <f ca="1">J115*Inputs!$B$159</f>
        <v>0</v>
      </c>
      <c r="K116" s="8">
        <f ca="1">K115*Inputs!$B$159</f>
        <v>0</v>
      </c>
      <c r="L116" s="8">
        <f ca="1">L115*Inputs!$B$159</f>
        <v>0</v>
      </c>
      <c r="M116" s="8">
        <f ca="1">M115*Inputs!$B$159</f>
        <v>0</v>
      </c>
      <c r="N116" s="8">
        <f ca="1">N115*Inputs!$B$159</f>
        <v>0</v>
      </c>
      <c r="O116" s="8">
        <f ca="1">O115*Inputs!$B$159</f>
        <v>0</v>
      </c>
      <c r="P116" s="8">
        <f ca="1">P115*Inputs!$B$159</f>
        <v>0</v>
      </c>
      <c r="Q116" s="8">
        <f ca="1">Q115*Inputs!$B$159</f>
        <v>0</v>
      </c>
      <c r="R116" s="8">
        <f ca="1">R115*Inputs!$B$159</f>
        <v>0</v>
      </c>
      <c r="S116" s="8">
        <f ca="1">S115*Inputs!$B$159</f>
        <v>0</v>
      </c>
      <c r="T116" s="8">
        <f ca="1">T115*Inputs!$B$159</f>
        <v>0</v>
      </c>
      <c r="U116" s="8">
        <f ca="1">U115*Inputs!$B$159</f>
        <v>0</v>
      </c>
      <c r="V116" s="8">
        <f ca="1">V115*Inputs!$B$159</f>
        <v>0</v>
      </c>
      <c r="W116" s="8">
        <f ca="1">W115*Inputs!$B$159</f>
        <v>8443.5700220795115</v>
      </c>
      <c r="X116" s="8">
        <f ca="1">X115*Inputs!$B$159</f>
        <v>8121.8985632765416</v>
      </c>
      <c r="Y116" s="8">
        <f ca="1">Y115*Inputs!$B$159</f>
        <v>7555.2819772945386</v>
      </c>
      <c r="Z116" s="8">
        <f ca="1">Z115*Inputs!$B$159</f>
        <v>6501.8584691829928</v>
      </c>
      <c r="AA116" s="8">
        <f ca="1">AA115*Inputs!$B$159</f>
        <v>5425.0597531353505</v>
      </c>
      <c r="AB116" s="8">
        <f ca="1">AB115*Inputs!$B$159</f>
        <v>4324.3902603462075</v>
      </c>
      <c r="AC116" s="8">
        <f ca="1">AC115*Inputs!$B$159</f>
        <v>3199.3446971318176</v>
      </c>
      <c r="AD116" s="8">
        <f ca="1">AD115*Inputs!$B$159</f>
        <v>2292.8828840258475</v>
      </c>
      <c r="AE116" s="8">
        <f ca="1">AE115*Inputs!$B$159</f>
        <v>1367.0914591005837</v>
      </c>
      <c r="AF116" s="8">
        <f ca="1">AF115*Inputs!$B$159</f>
        <v>421.58714006579322</v>
      </c>
      <c r="AG116" s="8">
        <f ca="1">AG115*Inputs!$B$159</f>
        <v>0</v>
      </c>
      <c r="AH116" s="8">
        <f ca="1">AH115*Inputs!$B$159</f>
        <v>0</v>
      </c>
      <c r="AI116" s="8">
        <f ca="1">AI115*Inputs!$B$159</f>
        <v>0</v>
      </c>
      <c r="AJ116" s="8">
        <f ca="1">AJ115*Inputs!$B$159</f>
        <v>0</v>
      </c>
      <c r="AK116" s="8">
        <f ca="1">AK115*Inputs!$B$159</f>
        <v>0</v>
      </c>
      <c r="AL116" s="8">
        <f ca="1">AL115*Inputs!$B$159</f>
        <v>0</v>
      </c>
      <c r="AM116" s="8">
        <f ca="1">AM115*Inputs!$B$159</f>
        <v>0</v>
      </c>
    </row>
    <row r="117" spans="1:39" x14ac:dyDescent="0.2">
      <c r="A117" s="4" t="s">
        <v>168</v>
      </c>
      <c r="C117" s="8">
        <f ca="1">C114+SUM($C116:C116)</f>
        <v>30325.5</v>
      </c>
      <c r="D117" s="8">
        <f ca="1">D114+SUM($C116:D116)</f>
        <v>53777.462499999994</v>
      </c>
      <c r="E117" s="8">
        <f ca="1">E114+SUM($C116:E116)</f>
        <v>57139.486875000017</v>
      </c>
      <c r="F117" s="8">
        <f ca="1">F114+SUM($C116:F116)</f>
        <v>94700.221659424511</v>
      </c>
      <c r="G117" s="8">
        <f ca="1">G114+SUM($C116:G116)</f>
        <v>136857.58117608592</v>
      </c>
      <c r="H117" s="8">
        <f ca="1">H114+SUM($C116:H116)</f>
        <v>99039.354794970655</v>
      </c>
      <c r="I117" s="8">
        <f ca="1">I114+SUM($C116:I116)</f>
        <v>66112.722442054321</v>
      </c>
      <c r="J117" s="8">
        <f ca="1">J114+SUM($C116:J116)</f>
        <v>13748.103183444677</v>
      </c>
      <c r="K117" s="8">
        <f ca="1">K114+SUM($C116:K116)</f>
        <v>39521.393830203713</v>
      </c>
      <c r="L117" s="8">
        <f ca="1">L114+SUM($C116:L116)</f>
        <v>0</v>
      </c>
      <c r="M117" s="8">
        <f ca="1">M114+SUM($C116:M116)</f>
        <v>175633.07182553489</v>
      </c>
      <c r="N117" s="8">
        <f ca="1">N114+SUM($C116:N116)</f>
        <v>161691.24648046176</v>
      </c>
      <c r="O117" s="8">
        <f ca="1">O114+SUM($C116:O116)</f>
        <v>134476.46172956808</v>
      </c>
      <c r="P117" s="8">
        <f ca="1">P114+SUM($C116:P116)</f>
        <v>106189.844103339</v>
      </c>
      <c r="Q117" s="8">
        <f ca="1">Q114+SUM($C116:Q116)</f>
        <v>76456.050790870431</v>
      </c>
      <c r="R117" s="8">
        <f ca="1">R114+SUM($C116:R116)</f>
        <v>45247.089475458859</v>
      </c>
      <c r="S117" s="8">
        <f ca="1">S114+SUM($C116:S116)</f>
        <v>31859.065561695701</v>
      </c>
      <c r="T117" s="8">
        <f ca="1">T114+SUM($C116:T116)</f>
        <v>25691.260359113101</v>
      </c>
      <c r="U117" s="8">
        <f ca="1">U114+SUM($C116:U116)</f>
        <v>19325.034268003095</v>
      </c>
      <c r="V117" s="8">
        <f ca="1">V114+SUM($C116:V116)</f>
        <v>12764.641391702484</v>
      </c>
      <c r="W117" s="8">
        <f ca="1">W114+SUM($C116:W116)</f>
        <v>352201.08953015786</v>
      </c>
      <c r="X117" s="8">
        <f ca="1">X114+SUM($C116:X116)</f>
        <v>319998.1199005458</v>
      </c>
      <c r="Y117" s="8">
        <f ca="1">Y114+SUM($C116:Y116)</f>
        <v>286332.02965443209</v>
      </c>
      <c r="Z117" s="8">
        <f ca="1">Z114+SUM($C116:Z116)</f>
        <v>250696.94779915331</v>
      </c>
      <c r="AA117" s="8">
        <f ca="1">AA114+SUM($C116:AA116)</f>
        <v>213050.05891038294</v>
      </c>
      <c r="AB117" s="8">
        <f ca="1">AB114+SUM($C116:AB116)</f>
        <v>173347.66945916342</v>
      </c>
      <c r="AC117" s="8">
        <f ca="1">AC114+SUM($C116:AC116)</f>
        <v>131545.19162771967</v>
      </c>
      <c r="AD117" s="8">
        <f ca="1">AD114+SUM($C116:AD116)</f>
        <v>97579.6019875067</v>
      </c>
      <c r="AE117" s="8">
        <f ca="1">AE114+SUM($C116:AE116)</f>
        <v>61915.036449596737</v>
      </c>
      <c r="AF117" s="8">
        <f ca="1">AF114+SUM($C116:AF116)</f>
        <v>24516.450828270914</v>
      </c>
      <c r="AG117" s="8">
        <f ca="1">AG114+SUM($C116:AG116)</f>
        <v>-14107.832321794893</v>
      </c>
      <c r="AH117" s="8">
        <f ca="1">AH114+SUM($C116:AH116)</f>
        <v>-53552.086802340942</v>
      </c>
      <c r="AI117" s="8">
        <f ca="1">AI114+SUM($C116:AI116)</f>
        <v>-93832.442824181097</v>
      </c>
      <c r="AJ117" s="8">
        <f ca="1">AJ114+SUM($C116:AJ116)</f>
        <v>-134965.30278122623</v>
      </c>
      <c r="AK117" s="8">
        <f ca="1">AK114+SUM($C116:AK116)</f>
        <v>-176967.34412289615</v>
      </c>
      <c r="AL117" s="8">
        <f ca="1">AL114+SUM($C116:AL116)</f>
        <v>-219855.52218037733</v>
      </c>
      <c r="AM117" s="8">
        <f ca="1">AM114+SUM($C116:AM116)</f>
        <v>-263647.07294203329</v>
      </c>
    </row>
    <row r="118" spans="1:39" x14ac:dyDescent="0.2">
      <c r="A118" s="4" t="s">
        <v>21</v>
      </c>
      <c r="C118" s="8">
        <f ca="1">IF(C117&lt;0,C117,0)</f>
        <v>0</v>
      </c>
      <c r="D118" s="8">
        <f ca="1">IF(D117+SUM($C118:C118)&lt;0,-(D117+SUM($C118:C118)),0)</f>
        <v>0</v>
      </c>
      <c r="E118" s="8">
        <f ca="1">IF(E117+SUM($C118:D118)&lt;0,-(E117+SUM($C118:D118)),0)</f>
        <v>0</v>
      </c>
      <c r="F118" s="8">
        <f ca="1">IF(F117+SUM($C118:E118)&lt;0,-(F117+SUM($C118:E118)),0)</f>
        <v>0</v>
      </c>
      <c r="G118" s="8">
        <f ca="1">IF(G117+SUM($C118:F118)&lt;0,-(G117+SUM($C118:F118)),0)</f>
        <v>0</v>
      </c>
      <c r="H118" s="8">
        <f ca="1">IF(H117+SUM($C118:G118)&lt;0,-(H117+SUM($C118:G118)),0)</f>
        <v>0</v>
      </c>
      <c r="I118" s="8">
        <f ca="1">IF(I117+SUM($C118:H118)&lt;0,-(I117+SUM($C118:H118)),0)</f>
        <v>0</v>
      </c>
      <c r="J118" s="8">
        <f ca="1">IF(J117+SUM($C118:I118)&lt;0,-(J117+SUM($C118:I118)),0)</f>
        <v>0</v>
      </c>
      <c r="K118" s="8">
        <f ca="1">IF(K117+SUM($C118:J118)&lt;0,-(K117+SUM($C118:J118)),0)</f>
        <v>0</v>
      </c>
      <c r="L118" s="8">
        <f ca="1">IF(L117+SUM($C118:K118)&lt;0,-(L117+SUM($C118:K118)),0)</f>
        <v>0</v>
      </c>
      <c r="M118" s="8">
        <f ca="1">IF(M117+SUM($C118:L118)&lt;0,-(M117+SUM($C118:L118)),0)</f>
        <v>0</v>
      </c>
      <c r="N118" s="8">
        <f ca="1">IF(N117+SUM($C118:M118)&lt;0,-(N117+SUM($C118:M118)),0)</f>
        <v>0</v>
      </c>
      <c r="O118" s="8">
        <f ca="1">IF(O117+SUM($C118:N118)&lt;0,-(O117+SUM($C118:N118)),0)</f>
        <v>0</v>
      </c>
      <c r="P118" s="8">
        <f ca="1">IF(P117+SUM($C118:O118)&lt;0,-(P117+SUM($C118:O118)),0)</f>
        <v>0</v>
      </c>
      <c r="Q118" s="8">
        <f ca="1">IF(Q117+SUM($C118:P118)&lt;0,-(Q117+SUM($C118:P118)),0)</f>
        <v>0</v>
      </c>
      <c r="R118" s="8">
        <f ca="1">IF(R117+SUM($C118:Q118)&lt;0,-(R117+SUM($C118:Q118)),0)</f>
        <v>0</v>
      </c>
      <c r="S118" s="8">
        <f ca="1">IF(S117+SUM($C118:R118)&lt;0,-(S117+SUM($C118:R118)),0)</f>
        <v>0</v>
      </c>
      <c r="T118" s="8">
        <f ca="1">IF(T117+SUM($C118:S118)&lt;0,-(T117+SUM($C118:S118)),0)</f>
        <v>0</v>
      </c>
      <c r="U118" s="8">
        <f ca="1">IF(U117+SUM($C118:T118)&lt;0,-(U117+SUM($C118:T118)),0)</f>
        <v>0</v>
      </c>
      <c r="V118" s="8">
        <f ca="1">IF(V117+SUM($C118:U118)&lt;0,-(V117+SUM($C118:U118)),0)</f>
        <v>0</v>
      </c>
      <c r="W118" s="8">
        <f ca="1">IF(W117+SUM($C118:V118)&lt;0,-(W117+SUM($C118:V118)),0)</f>
        <v>0</v>
      </c>
      <c r="X118" s="8">
        <f ca="1">IF(X117+SUM($C118:W118)&lt;0,-(X117+SUM($C118:W118)),0)</f>
        <v>0</v>
      </c>
      <c r="Y118" s="8">
        <f ca="1">IF(Y117+SUM($C118:X118)&lt;0,-(Y117+SUM($C118:X118)),0)</f>
        <v>0</v>
      </c>
      <c r="Z118" s="8">
        <f ca="1">IF(Z117+SUM($C118:Y118)&lt;0,-(Z117+SUM($C118:Y118)),0)</f>
        <v>0</v>
      </c>
      <c r="AA118" s="8">
        <f ca="1">IF(AA117+SUM($C118:Z118)&lt;0,-(AA117+SUM($C118:Z118)),0)</f>
        <v>0</v>
      </c>
      <c r="AB118" s="8">
        <f ca="1">IF(AB117+SUM($C118:AA118)&lt;0,-(AB117+SUM($C118:AA118)),0)</f>
        <v>0</v>
      </c>
      <c r="AC118" s="8">
        <f ca="1">IF(AC117+SUM($C118:AB118)&lt;0,-(AC117+SUM($C118:AB118)),0)</f>
        <v>0</v>
      </c>
      <c r="AD118" s="8">
        <f ca="1">IF(AD117+SUM($C118:AC118)&lt;0,-(AD117+SUM($C118:AC118)),0)</f>
        <v>0</v>
      </c>
      <c r="AE118" s="8">
        <f ca="1">IF(AE117+SUM($C118:AD118)&lt;0,-(AE117+SUM($C118:AD118)),0)</f>
        <v>0</v>
      </c>
      <c r="AF118" s="8">
        <f ca="1">IF(AF117+SUM($C118:AE118)&lt;0,-(AF117+SUM($C118:AE118)),0)</f>
        <v>0</v>
      </c>
      <c r="AG118" s="8">
        <f ca="1">IF(AG117+SUM($C118:AF118)&lt;0,-(AG117+SUM($C118:AF118)),0)</f>
        <v>14107.832321794893</v>
      </c>
      <c r="AH118" s="8">
        <f ca="1">IF(AH117+SUM($C118:AG118)&lt;0,-(AH117+SUM($C118:AG118)),0)</f>
        <v>39444.254480546049</v>
      </c>
      <c r="AI118" s="8">
        <f ca="1">IF(AI117+SUM($C118:AH118)&lt;0,-(AI117+SUM($C118:AH118)),0)</f>
        <v>40280.356021840154</v>
      </c>
      <c r="AJ118" s="8">
        <f ca="1">IF(AJ117+SUM($C118:AI118)&lt;0,-(AJ117+SUM($C118:AI118)),0)</f>
        <v>41132.859957045133</v>
      </c>
      <c r="AK118" s="8">
        <f ca="1">IF(AK117+SUM($C118:AJ118)&lt;0,-(AK117+SUM($C118:AJ118)),0)</f>
        <v>42002.041341669916</v>
      </c>
      <c r="AL118" s="8">
        <f ca="1">IF(AL117+SUM($C118:AK118)&lt;0,-(AL117+SUM($C118:AK118)),0)</f>
        <v>42888.178057481186</v>
      </c>
      <c r="AM118" s="8">
        <f ca="1">IF(AM117+SUM($C118:AL118)&lt;0,-(AM117+SUM($C118:AL118)),0)</f>
        <v>43791.550761655963</v>
      </c>
    </row>
    <row r="119" spans="1:39" x14ac:dyDescent="0.2"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</row>
    <row r="120" spans="1:39" x14ac:dyDescent="0.2">
      <c r="A120" s="29" t="str">
        <f>IF(Inputs!$B$175=6,IFERROR(_xlfn.XLOOKUP($B120,Inputs!$B$176:$B$178,Inputs!$A$176:$A$178,,0,1),""),IFERROR(_xlfn.XLOOKUP($B120,Inputs!$C$176:$C$178,Inputs!$A$176:$A$178,,0,1),""))</f>
        <v>Sliema</v>
      </c>
      <c r="B120" s="31">
        <v>3</v>
      </c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</row>
    <row r="121" spans="1:39" x14ac:dyDescent="0.2">
      <c r="A121" s="4" t="s">
        <v>23</v>
      </c>
      <c r="C121" s="8">
        <f>IFERROR(VLOOKUP($A120,$A$54:$H$68,C$1+2,FALSE),0)</f>
        <v>309000</v>
      </c>
      <c r="D121" s="8">
        <f ca="1">C124</f>
        <v>309000</v>
      </c>
      <c r="E121" s="8">
        <f t="shared" ref="E121:H121" ca="1" si="417">D124</f>
        <v>318270</v>
      </c>
      <c r="F121" s="8">
        <f t="shared" ca="1" si="417"/>
        <v>327818.09999999998</v>
      </c>
      <c r="G121" s="8">
        <f t="shared" ca="1" si="417"/>
        <v>337652.64299999998</v>
      </c>
      <c r="H121" s="8">
        <f t="shared" ca="1" si="417"/>
        <v>347782.22229000001</v>
      </c>
      <c r="I121" s="8">
        <f t="shared" ref="I121" ca="1" si="418">H124</f>
        <v>358215.68895869999</v>
      </c>
      <c r="J121" s="8">
        <f t="shared" ref="J121" ca="1" si="419">I124</f>
        <v>368962.15962746099</v>
      </c>
      <c r="K121" s="8">
        <f t="shared" ref="K121" ca="1" si="420">J124</f>
        <v>380031.02441628481</v>
      </c>
      <c r="L121" s="8">
        <f t="shared" ref="L121" ca="1" si="421">K124</f>
        <v>391431.95514877333</v>
      </c>
      <c r="M121" s="8">
        <f t="shared" ref="M121" ca="1" si="422">L124</f>
        <v>403174.9138032365</v>
      </c>
      <c r="N121" s="8">
        <f t="shared" ref="N121" ca="1" si="423">M124</f>
        <v>415270.16121733357</v>
      </c>
      <c r="O121" s="8">
        <f t="shared" ref="O121" ca="1" si="424">N124</f>
        <v>427728.26605385356</v>
      </c>
      <c r="P121" s="8">
        <f t="shared" ref="P121" ca="1" si="425">O124</f>
        <v>440560.11403546919</v>
      </c>
      <c r="Q121" s="8">
        <f t="shared" ref="Q121" ca="1" si="426">P124</f>
        <v>453776.91745653324</v>
      </c>
      <c r="R121" s="8">
        <f t="shared" ref="R121" ca="1" si="427">Q124</f>
        <v>467390.22498022922</v>
      </c>
      <c r="S121" s="8">
        <f t="shared" ref="S121" ca="1" si="428">R124</f>
        <v>481411.9317296361</v>
      </c>
      <c r="T121" s="8">
        <f t="shared" ref="T121" ca="1" si="429">S124</f>
        <v>495854.2896815252</v>
      </c>
      <c r="U121" s="8">
        <f t="shared" ref="U121" ca="1" si="430">T124</f>
        <v>510729.91837197094</v>
      </c>
      <c r="V121" s="8">
        <f t="shared" ref="V121" ca="1" si="431">U124</f>
        <v>526051.81592313002</v>
      </c>
      <c r="W121" s="8">
        <f t="shared" ref="W121" ca="1" si="432">V124</f>
        <v>541833.37040082389</v>
      </c>
      <c r="X121" s="8">
        <f t="shared" ref="X121" ca="1" si="433">W124</f>
        <v>558088.37151284865</v>
      </c>
      <c r="Y121" s="8">
        <f t="shared" ref="Y121" ca="1" si="434">X124</f>
        <v>574831.02265823411</v>
      </c>
      <c r="Z121" s="8">
        <f t="shared" ref="Z121" ca="1" si="435">Y124</f>
        <v>592075.95333798113</v>
      </c>
      <c r="AA121" s="8">
        <f t="shared" ref="AA121" ca="1" si="436">Z124</f>
        <v>609838.23193812056</v>
      </c>
      <c r="AB121" s="8">
        <f t="shared" ref="AB121" ca="1" si="437">AA124</f>
        <v>628133.37889626413</v>
      </c>
      <c r="AC121" s="8">
        <f t="shared" ref="AC121" ca="1" si="438">AB124</f>
        <v>646977.38026315207</v>
      </c>
      <c r="AD121" s="8">
        <f t="shared" ref="AD121" ca="1" si="439">AC124</f>
        <v>666386.70167104667</v>
      </c>
      <c r="AE121" s="8">
        <f t="shared" ref="AE121" ca="1" si="440">AD124</f>
        <v>686378.30272117804</v>
      </c>
      <c r="AF121" s="8">
        <f t="shared" ref="AF121" ca="1" si="441">AE124</f>
        <v>706969.6518028134</v>
      </c>
      <c r="AG121" s="8">
        <f t="shared" ref="AG121" ca="1" si="442">AF124</f>
        <v>0</v>
      </c>
      <c r="AH121" s="8">
        <f t="shared" ref="AH121" ca="1" si="443">AG124</f>
        <v>0</v>
      </c>
      <c r="AI121" s="8">
        <f t="shared" ref="AI121" ca="1" si="444">AH124</f>
        <v>0</v>
      </c>
      <c r="AJ121" s="8">
        <f t="shared" ref="AJ121" ca="1" si="445">AI124</f>
        <v>0</v>
      </c>
      <c r="AK121" s="8">
        <f t="shared" ref="AK121" ca="1" si="446">AJ124</f>
        <v>0</v>
      </c>
      <c r="AL121" s="8">
        <f t="shared" ref="AL121" ca="1" si="447">AK124</f>
        <v>0</v>
      </c>
      <c r="AM121" s="8">
        <f t="shared" ref="AM121" ca="1" si="448">AL124</f>
        <v>0</v>
      </c>
    </row>
    <row r="122" spans="1:39" x14ac:dyDescent="0.2">
      <c r="A122" s="4" t="s">
        <v>24</v>
      </c>
      <c r="C122" s="8">
        <f ca="1">-IF(SUM(C118:D118)&gt;0,C121,0)</f>
        <v>0</v>
      </c>
      <c r="D122" s="8">
        <f ca="1">-IF(E118&gt;0,D121,0)</f>
        <v>0</v>
      </c>
      <c r="E122" s="8">
        <f ca="1">-IF(F118&gt;0,E121,0)</f>
        <v>0</v>
      </c>
      <c r="F122" s="8">
        <f ca="1">-IF(G118&gt;0,F121,0)</f>
        <v>0</v>
      </c>
      <c r="G122" s="8">
        <f t="shared" ref="G122:H122" ca="1" si="449">-IF(H118&gt;0,G121,0)</f>
        <v>0</v>
      </c>
      <c r="H122" s="8">
        <f t="shared" ca="1" si="449"/>
        <v>0</v>
      </c>
      <c r="I122" s="8">
        <f t="shared" ref="I122" ca="1" si="450">-IF(J118&gt;0,I121,0)</f>
        <v>0</v>
      </c>
      <c r="J122" s="8">
        <f t="shared" ref="J122" ca="1" si="451">-IF(K118&gt;0,J121,0)</f>
        <v>0</v>
      </c>
      <c r="K122" s="8">
        <f t="shared" ref="K122" ca="1" si="452">-IF(L118&gt;0,K121,0)</f>
        <v>0</v>
      </c>
      <c r="L122" s="8">
        <f t="shared" ref="L122" ca="1" si="453">-IF(M118&gt;0,L121,0)</f>
        <v>0</v>
      </c>
      <c r="M122" s="8">
        <f t="shared" ref="M122" ca="1" si="454">-IF(N118&gt;0,M121,0)</f>
        <v>0</v>
      </c>
      <c r="N122" s="8">
        <f t="shared" ref="N122" ca="1" si="455">-IF(O118&gt;0,N121,0)</f>
        <v>0</v>
      </c>
      <c r="O122" s="8">
        <f t="shared" ref="O122" ca="1" si="456">-IF(P118&gt;0,O121,0)</f>
        <v>0</v>
      </c>
      <c r="P122" s="8">
        <f t="shared" ref="P122" ca="1" si="457">-IF(Q118&gt;0,P121,0)</f>
        <v>0</v>
      </c>
      <c r="Q122" s="8">
        <f t="shared" ref="Q122" ca="1" si="458">-IF(R118&gt;0,Q121,0)</f>
        <v>0</v>
      </c>
      <c r="R122" s="8">
        <f t="shared" ref="R122" ca="1" si="459">-IF(S118&gt;0,R121,0)</f>
        <v>0</v>
      </c>
      <c r="S122" s="8">
        <f t="shared" ref="S122" ca="1" si="460">-IF(T118&gt;0,S121,0)</f>
        <v>0</v>
      </c>
      <c r="T122" s="8">
        <f t="shared" ref="T122" ca="1" si="461">-IF(U118&gt;0,T121,0)</f>
        <v>0</v>
      </c>
      <c r="U122" s="8">
        <f t="shared" ref="U122" ca="1" si="462">-IF(V118&gt;0,U121,0)</f>
        <v>0</v>
      </c>
      <c r="V122" s="8">
        <f t="shared" ref="V122" ca="1" si="463">-IF(W118&gt;0,V121,0)</f>
        <v>0</v>
      </c>
      <c r="W122" s="8">
        <f t="shared" ref="W122" ca="1" si="464">-IF(X118&gt;0,W121,0)</f>
        <v>0</v>
      </c>
      <c r="X122" s="8">
        <f t="shared" ref="X122" ca="1" si="465">-IF(Y118&gt;0,X121,0)</f>
        <v>0</v>
      </c>
      <c r="Y122" s="8">
        <f t="shared" ref="Y122" ca="1" si="466">-IF(Z118&gt;0,Y121,0)</f>
        <v>0</v>
      </c>
      <c r="Z122" s="8">
        <f t="shared" ref="Z122" ca="1" si="467">-IF(AA118&gt;0,Z121,0)</f>
        <v>0</v>
      </c>
      <c r="AA122" s="8">
        <f t="shared" ref="AA122" ca="1" si="468">-IF(AB118&gt;0,AA121,0)</f>
        <v>0</v>
      </c>
      <c r="AB122" s="8">
        <f t="shared" ref="AB122" ca="1" si="469">-IF(AC118&gt;0,AB121,0)</f>
        <v>0</v>
      </c>
      <c r="AC122" s="8">
        <f t="shared" ref="AC122" ca="1" si="470">-IF(AD118&gt;0,AC121,0)</f>
        <v>0</v>
      </c>
      <c r="AD122" s="8">
        <f t="shared" ref="AD122" ca="1" si="471">-IF(AE118&gt;0,AD121,0)</f>
        <v>0</v>
      </c>
      <c r="AE122" s="8">
        <f t="shared" ref="AE122" ca="1" si="472">-IF(AF118&gt;0,AE121,0)</f>
        <v>0</v>
      </c>
      <c r="AF122" s="8">
        <f t="shared" ref="AF122" ca="1" si="473">-IF(AG118&gt;0,AF121,0)</f>
        <v>-706969.6518028134</v>
      </c>
      <c r="AG122" s="8">
        <f t="shared" ref="AG122" ca="1" si="474">-IF(AH118&gt;0,AG121,0)</f>
        <v>0</v>
      </c>
      <c r="AH122" s="8">
        <f t="shared" ref="AH122" ca="1" si="475">-IF(AI118&gt;0,AH121,0)</f>
        <v>0</v>
      </c>
      <c r="AI122" s="8">
        <f t="shared" ref="AI122" ca="1" si="476">-IF(AJ118&gt;0,AI121,0)</f>
        <v>0</v>
      </c>
      <c r="AJ122" s="8">
        <f t="shared" ref="AJ122" ca="1" si="477">-IF(AK118&gt;0,AJ121,0)</f>
        <v>0</v>
      </c>
      <c r="AK122" s="8">
        <f t="shared" ref="AK122" ca="1" si="478">-IF(AL118&gt;0,AK121,0)</f>
        <v>0</v>
      </c>
      <c r="AL122" s="8">
        <f t="shared" ref="AL122" ca="1" si="479">-IF(AM118&gt;0,AL121,0)</f>
        <v>0</v>
      </c>
      <c r="AM122" s="8">
        <f t="shared" ref="AM122" si="480">-IF(AN118&gt;0,AM121,0)</f>
        <v>0</v>
      </c>
    </row>
    <row r="123" spans="1:39" x14ac:dyDescent="0.2">
      <c r="A123" s="4" t="s">
        <v>25</v>
      </c>
      <c r="C123" s="8">
        <v>0</v>
      </c>
      <c r="D123" s="8">
        <f t="shared" ref="D123:G123" ca="1" si="481">SUM(D121:D122)*princ</f>
        <v>9270</v>
      </c>
      <c r="E123" s="8">
        <f t="shared" ca="1" si="481"/>
        <v>9548.1</v>
      </c>
      <c r="F123" s="8">
        <f t="shared" ca="1" si="481"/>
        <v>9834.5429999999997</v>
      </c>
      <c r="G123" s="8">
        <f t="shared" ca="1" si="481"/>
        <v>10129.57929</v>
      </c>
      <c r="H123" s="8">
        <f t="shared" ref="H123" ca="1" si="482">SUM(H121:H122)*princ</f>
        <v>10433.466668699999</v>
      </c>
      <c r="I123" s="8">
        <f t="shared" ref="I123:AM123" ca="1" si="483">SUM(I121:I122)*princ</f>
        <v>10746.470668761</v>
      </c>
      <c r="J123" s="8">
        <f t="shared" ca="1" si="483"/>
        <v>11068.86478882383</v>
      </c>
      <c r="K123" s="8">
        <f t="shared" ca="1" si="483"/>
        <v>11400.930732488543</v>
      </c>
      <c r="L123" s="8">
        <f t="shared" ca="1" si="483"/>
        <v>11742.9586544632</v>
      </c>
      <c r="M123" s="8">
        <f t="shared" ca="1" si="483"/>
        <v>12095.247414097095</v>
      </c>
      <c r="N123" s="8">
        <f t="shared" ca="1" si="483"/>
        <v>12458.104836520008</v>
      </c>
      <c r="O123" s="8">
        <f t="shared" ca="1" si="483"/>
        <v>12831.847981615607</v>
      </c>
      <c r="P123" s="8">
        <f t="shared" ca="1" si="483"/>
        <v>13216.803421064074</v>
      </c>
      <c r="Q123" s="8">
        <f t="shared" ca="1" si="483"/>
        <v>13613.307523695996</v>
      </c>
      <c r="R123" s="8">
        <f t="shared" ca="1" si="483"/>
        <v>14021.706749406876</v>
      </c>
      <c r="S123" s="8">
        <f t="shared" ca="1" si="483"/>
        <v>14442.357951889082</v>
      </c>
      <c r="T123" s="8">
        <f t="shared" ca="1" si="483"/>
        <v>14875.628690445756</v>
      </c>
      <c r="U123" s="8">
        <f t="shared" ca="1" si="483"/>
        <v>15321.897551159127</v>
      </c>
      <c r="V123" s="8">
        <f t="shared" ca="1" si="483"/>
        <v>15781.5544776939</v>
      </c>
      <c r="W123" s="8">
        <f t="shared" ca="1" si="483"/>
        <v>16255.001112024716</v>
      </c>
      <c r="X123" s="8">
        <f t="shared" ca="1" si="483"/>
        <v>16742.651145385458</v>
      </c>
      <c r="Y123" s="8">
        <f t="shared" ca="1" si="483"/>
        <v>17244.930679747024</v>
      </c>
      <c r="Z123" s="8">
        <f t="shared" ca="1" si="483"/>
        <v>17762.278600139434</v>
      </c>
      <c r="AA123" s="8">
        <f t="shared" ca="1" si="483"/>
        <v>18295.146958143618</v>
      </c>
      <c r="AB123" s="8">
        <f t="shared" ca="1" si="483"/>
        <v>18844.001366887922</v>
      </c>
      <c r="AC123" s="8">
        <f t="shared" ca="1" si="483"/>
        <v>19409.32140789456</v>
      </c>
      <c r="AD123" s="8">
        <f t="shared" ca="1" si="483"/>
        <v>19991.601050131398</v>
      </c>
      <c r="AE123" s="8">
        <f t="shared" ca="1" si="483"/>
        <v>20591.349081635341</v>
      </c>
      <c r="AF123" s="8">
        <f t="shared" ca="1" si="483"/>
        <v>0</v>
      </c>
      <c r="AG123" s="8">
        <f t="shared" ca="1" si="483"/>
        <v>0</v>
      </c>
      <c r="AH123" s="8">
        <f t="shared" ca="1" si="483"/>
        <v>0</v>
      </c>
      <c r="AI123" s="8">
        <f t="shared" ca="1" si="483"/>
        <v>0</v>
      </c>
      <c r="AJ123" s="8">
        <f t="shared" ca="1" si="483"/>
        <v>0</v>
      </c>
      <c r="AK123" s="8">
        <f t="shared" ca="1" si="483"/>
        <v>0</v>
      </c>
      <c r="AL123" s="8">
        <f t="shared" ca="1" si="483"/>
        <v>0</v>
      </c>
      <c r="AM123" s="8">
        <f t="shared" ca="1" si="483"/>
        <v>0</v>
      </c>
    </row>
    <row r="124" spans="1:39" x14ac:dyDescent="0.2">
      <c r="A124" s="4" t="s">
        <v>26</v>
      </c>
      <c r="C124" s="8">
        <f ca="1">SUM(C121:C123)</f>
        <v>309000</v>
      </c>
      <c r="D124" s="8">
        <f t="shared" ref="D124:G124" ca="1" si="484">SUM(D121:D123)</f>
        <v>318270</v>
      </c>
      <c r="E124" s="8">
        <f t="shared" ca="1" si="484"/>
        <v>327818.09999999998</v>
      </c>
      <c r="F124" s="8">
        <f t="shared" ca="1" si="484"/>
        <v>337652.64299999998</v>
      </c>
      <c r="G124" s="8">
        <f t="shared" ca="1" si="484"/>
        <v>347782.22229000001</v>
      </c>
      <c r="H124" s="8">
        <f t="shared" ref="H124" ca="1" si="485">SUM(H121:H123)</f>
        <v>358215.68895869999</v>
      </c>
      <c r="I124" s="8">
        <f t="shared" ref="I124:AM124" ca="1" si="486">SUM(I121:I123)</f>
        <v>368962.15962746099</v>
      </c>
      <c r="J124" s="8">
        <f t="shared" ca="1" si="486"/>
        <v>380031.02441628481</v>
      </c>
      <c r="K124" s="8">
        <f t="shared" ca="1" si="486"/>
        <v>391431.95514877333</v>
      </c>
      <c r="L124" s="8">
        <f t="shared" ca="1" si="486"/>
        <v>403174.9138032365</v>
      </c>
      <c r="M124" s="8">
        <f t="shared" ca="1" si="486"/>
        <v>415270.16121733357</v>
      </c>
      <c r="N124" s="8">
        <f t="shared" ca="1" si="486"/>
        <v>427728.26605385356</v>
      </c>
      <c r="O124" s="8">
        <f t="shared" ca="1" si="486"/>
        <v>440560.11403546919</v>
      </c>
      <c r="P124" s="8">
        <f t="shared" ca="1" si="486"/>
        <v>453776.91745653324</v>
      </c>
      <c r="Q124" s="8">
        <f t="shared" ca="1" si="486"/>
        <v>467390.22498022922</v>
      </c>
      <c r="R124" s="8">
        <f t="shared" ca="1" si="486"/>
        <v>481411.9317296361</v>
      </c>
      <c r="S124" s="8">
        <f t="shared" ca="1" si="486"/>
        <v>495854.2896815252</v>
      </c>
      <c r="T124" s="8">
        <f t="shared" ca="1" si="486"/>
        <v>510729.91837197094</v>
      </c>
      <c r="U124" s="8">
        <f t="shared" ca="1" si="486"/>
        <v>526051.81592313002</v>
      </c>
      <c r="V124" s="8">
        <f t="shared" ca="1" si="486"/>
        <v>541833.37040082389</v>
      </c>
      <c r="W124" s="8">
        <f t="shared" ca="1" si="486"/>
        <v>558088.37151284865</v>
      </c>
      <c r="X124" s="8">
        <f t="shared" ca="1" si="486"/>
        <v>574831.02265823411</v>
      </c>
      <c r="Y124" s="8">
        <f t="shared" ca="1" si="486"/>
        <v>592075.95333798113</v>
      </c>
      <c r="Z124" s="8">
        <f t="shared" ca="1" si="486"/>
        <v>609838.23193812056</v>
      </c>
      <c r="AA124" s="8">
        <f t="shared" ca="1" si="486"/>
        <v>628133.37889626413</v>
      </c>
      <c r="AB124" s="8">
        <f t="shared" ca="1" si="486"/>
        <v>646977.38026315207</v>
      </c>
      <c r="AC124" s="8">
        <f t="shared" ca="1" si="486"/>
        <v>666386.70167104667</v>
      </c>
      <c r="AD124" s="8">
        <f t="shared" ca="1" si="486"/>
        <v>686378.30272117804</v>
      </c>
      <c r="AE124" s="8">
        <f t="shared" ca="1" si="486"/>
        <v>706969.6518028134</v>
      </c>
      <c r="AF124" s="8">
        <f t="shared" ca="1" si="486"/>
        <v>0</v>
      </c>
      <c r="AG124" s="8">
        <f t="shared" ca="1" si="486"/>
        <v>0</v>
      </c>
      <c r="AH124" s="8">
        <f t="shared" ca="1" si="486"/>
        <v>0</v>
      </c>
      <c r="AI124" s="8">
        <f t="shared" ca="1" si="486"/>
        <v>0</v>
      </c>
      <c r="AJ124" s="8">
        <f t="shared" ca="1" si="486"/>
        <v>0</v>
      </c>
      <c r="AK124" s="8">
        <f t="shared" ca="1" si="486"/>
        <v>0</v>
      </c>
      <c r="AL124" s="8">
        <f t="shared" ca="1" si="486"/>
        <v>0</v>
      </c>
      <c r="AM124" s="8">
        <f t="shared" ca="1" si="486"/>
        <v>0</v>
      </c>
    </row>
    <row r="125" spans="1:39" x14ac:dyDescent="0.2">
      <c r="A125" s="4" t="s">
        <v>27</v>
      </c>
      <c r="C125" s="8">
        <f ca="1">C122*Inputs!$B$173</f>
        <v>0</v>
      </c>
      <c r="D125" s="8">
        <f ca="1">D122*Inputs!$B$173</f>
        <v>0</v>
      </c>
      <c r="E125" s="8">
        <f ca="1">E122*Inputs!$B$173</f>
        <v>0</v>
      </c>
      <c r="F125" s="8">
        <f ca="1">F122*Inputs!$B$173</f>
        <v>0</v>
      </c>
      <c r="G125" s="8">
        <f ca="1">G122*Inputs!$B$173</f>
        <v>0</v>
      </c>
      <c r="H125" s="8">
        <f ca="1">H122*Inputs!$B$173</f>
        <v>0</v>
      </c>
      <c r="I125" s="8">
        <f ca="1">I122*Inputs!$B$173</f>
        <v>0</v>
      </c>
      <c r="J125" s="8">
        <f ca="1">J122*Inputs!$B$173</f>
        <v>0</v>
      </c>
      <c r="K125" s="8">
        <f ca="1">K122*Inputs!$B$173</f>
        <v>0</v>
      </c>
      <c r="L125" s="8">
        <f ca="1">L122*Inputs!$B$173</f>
        <v>0</v>
      </c>
      <c r="M125" s="8">
        <f ca="1">M122*Inputs!$B$173</f>
        <v>0</v>
      </c>
      <c r="N125" s="8">
        <f ca="1">N122*Inputs!$B$173</f>
        <v>0</v>
      </c>
      <c r="O125" s="8">
        <f ca="1">O122*Inputs!$B$173</f>
        <v>0</v>
      </c>
      <c r="P125" s="8">
        <f ca="1">P122*Inputs!$B$173</f>
        <v>0</v>
      </c>
      <c r="Q125" s="8">
        <f ca="1">Q122*Inputs!$B$173</f>
        <v>0</v>
      </c>
      <c r="R125" s="8">
        <f ca="1">R122*Inputs!$B$173</f>
        <v>0</v>
      </c>
      <c r="S125" s="8">
        <f ca="1">S122*Inputs!$B$173</f>
        <v>0</v>
      </c>
      <c r="T125" s="8">
        <f ca="1">T122*Inputs!$B$173</f>
        <v>0</v>
      </c>
      <c r="U125" s="8">
        <f ca="1">U122*Inputs!$B$173</f>
        <v>0</v>
      </c>
      <c r="V125" s="8">
        <f ca="1">V122*Inputs!$B$173</f>
        <v>0</v>
      </c>
      <c r="W125" s="8">
        <f ca="1">W122*Inputs!$B$173</f>
        <v>0</v>
      </c>
      <c r="X125" s="8">
        <f ca="1">X122*Inputs!$B$173</f>
        <v>0</v>
      </c>
      <c r="Y125" s="8">
        <f ca="1">Y122*Inputs!$B$173</f>
        <v>0</v>
      </c>
      <c r="Z125" s="8">
        <f ca="1">Z122*Inputs!$B$173</f>
        <v>0</v>
      </c>
      <c r="AA125" s="8">
        <f ca="1">AA122*Inputs!$B$173</f>
        <v>0</v>
      </c>
      <c r="AB125" s="8">
        <f ca="1">AB122*Inputs!$B$173</f>
        <v>0</v>
      </c>
      <c r="AC125" s="8">
        <f ca="1">AC122*Inputs!$B$173</f>
        <v>0</v>
      </c>
      <c r="AD125" s="8">
        <f ca="1">AD122*Inputs!$B$173</f>
        <v>0</v>
      </c>
      <c r="AE125" s="8">
        <f ca="1">AE122*Inputs!$B$173</f>
        <v>0</v>
      </c>
      <c r="AF125" s="8">
        <f ca="1">AF122*Inputs!$B$173</f>
        <v>-106045.447770422</v>
      </c>
      <c r="AG125" s="8">
        <f ca="1">AG122*Inputs!$B$173</f>
        <v>0</v>
      </c>
      <c r="AH125" s="8">
        <f ca="1">AH122*Inputs!$B$173</f>
        <v>0</v>
      </c>
      <c r="AI125" s="8">
        <f ca="1">AI122*Inputs!$B$173</f>
        <v>0</v>
      </c>
      <c r="AJ125" s="8">
        <f ca="1">AJ122*Inputs!$B$173</f>
        <v>0</v>
      </c>
      <c r="AK125" s="8">
        <f ca="1">AK122*Inputs!$B$173</f>
        <v>0</v>
      </c>
      <c r="AL125" s="8">
        <f ca="1">AL122*Inputs!$B$173</f>
        <v>0</v>
      </c>
      <c r="AM125" s="8">
        <f>AM122*Inputs!$B$173</f>
        <v>0</v>
      </c>
    </row>
    <row r="126" spans="1:39" x14ac:dyDescent="0.2">
      <c r="A126" s="4" t="s">
        <v>34</v>
      </c>
      <c r="C126" s="8">
        <f t="shared" ref="C126:H126" si="487">IFERROR(-IF(C121=0,VLOOKUP($A120,$7:$10,C$1+2,FALSE),0),0)</f>
        <v>0</v>
      </c>
      <c r="D126" s="8">
        <f t="shared" ca="1" si="487"/>
        <v>0</v>
      </c>
      <c r="E126" s="8">
        <f t="shared" ca="1" si="487"/>
        <v>0</v>
      </c>
      <c r="F126" s="8">
        <f t="shared" ca="1" si="487"/>
        <v>0</v>
      </c>
      <c r="G126" s="8">
        <f t="shared" ca="1" si="487"/>
        <v>0</v>
      </c>
      <c r="H126" s="8">
        <f t="shared" ca="1" si="487"/>
        <v>0</v>
      </c>
      <c r="I126" s="8">
        <f t="shared" ref="I126:AM126" ca="1" si="488">IFERROR(-IF(I121=0,VLOOKUP($A120,$7:$10,I$1+2,FALSE),0),0)</f>
        <v>0</v>
      </c>
      <c r="J126" s="8">
        <f t="shared" ca="1" si="488"/>
        <v>0</v>
      </c>
      <c r="K126" s="8">
        <f t="shared" ca="1" si="488"/>
        <v>0</v>
      </c>
      <c r="L126" s="8">
        <f t="shared" ca="1" si="488"/>
        <v>0</v>
      </c>
      <c r="M126" s="8">
        <f t="shared" ca="1" si="488"/>
        <v>0</v>
      </c>
      <c r="N126" s="8">
        <f t="shared" ca="1" si="488"/>
        <v>0</v>
      </c>
      <c r="O126" s="8">
        <f t="shared" ca="1" si="488"/>
        <v>0</v>
      </c>
      <c r="P126" s="8">
        <f t="shared" ca="1" si="488"/>
        <v>0</v>
      </c>
      <c r="Q126" s="8">
        <f t="shared" ca="1" si="488"/>
        <v>0</v>
      </c>
      <c r="R126" s="8">
        <f t="shared" ca="1" si="488"/>
        <v>0</v>
      </c>
      <c r="S126" s="8">
        <f t="shared" ca="1" si="488"/>
        <v>0</v>
      </c>
      <c r="T126" s="8">
        <f t="shared" ca="1" si="488"/>
        <v>0</v>
      </c>
      <c r="U126" s="8">
        <f t="shared" ca="1" si="488"/>
        <v>0</v>
      </c>
      <c r="V126" s="8">
        <f t="shared" ca="1" si="488"/>
        <v>0</v>
      </c>
      <c r="W126" s="8">
        <f t="shared" ca="1" si="488"/>
        <v>0</v>
      </c>
      <c r="X126" s="8">
        <f t="shared" ca="1" si="488"/>
        <v>0</v>
      </c>
      <c r="Y126" s="8">
        <f t="shared" ca="1" si="488"/>
        <v>0</v>
      </c>
      <c r="Z126" s="8">
        <f t="shared" ca="1" si="488"/>
        <v>0</v>
      </c>
      <c r="AA126" s="8">
        <f t="shared" ca="1" si="488"/>
        <v>0</v>
      </c>
      <c r="AB126" s="8">
        <f t="shared" ca="1" si="488"/>
        <v>0</v>
      </c>
      <c r="AC126" s="8">
        <f t="shared" ca="1" si="488"/>
        <v>0</v>
      </c>
      <c r="AD126" s="8">
        <f t="shared" ca="1" si="488"/>
        <v>0</v>
      </c>
      <c r="AE126" s="8">
        <f t="shared" ca="1" si="488"/>
        <v>0</v>
      </c>
      <c r="AF126" s="8">
        <f t="shared" ca="1" si="488"/>
        <v>0</v>
      </c>
      <c r="AG126" s="8">
        <f t="shared" ca="1" si="488"/>
        <v>-29127.14965427596</v>
      </c>
      <c r="AH126" s="8">
        <f t="shared" ca="1" si="488"/>
        <v>-30000.964143904239</v>
      </c>
      <c r="AI126" s="8">
        <f t="shared" ca="1" si="488"/>
        <v>-30900.993068221367</v>
      </c>
      <c r="AJ126" s="8">
        <f t="shared" ca="1" si="488"/>
        <v>-31828.022860268007</v>
      </c>
      <c r="AK126" s="8">
        <f t="shared" ca="1" si="488"/>
        <v>-32782.863546076049</v>
      </c>
      <c r="AL126" s="8">
        <f t="shared" ca="1" si="488"/>
        <v>-33766.349452458329</v>
      </c>
      <c r="AM126" s="8">
        <f t="shared" ca="1" si="488"/>
        <v>-34779.339936032084</v>
      </c>
    </row>
    <row r="127" spans="1:39" x14ac:dyDescent="0.2">
      <c r="A127" s="4" t="s">
        <v>54</v>
      </c>
      <c r="C127" s="8">
        <f t="shared" ref="C127:H127" si="489">IFERROR(IF(C121=0,VLOOKUP($A120,$35:$38,C$1+2,FALSE),0),0)</f>
        <v>0</v>
      </c>
      <c r="D127" s="8">
        <f t="shared" ca="1" si="489"/>
        <v>0</v>
      </c>
      <c r="E127" s="8">
        <f t="shared" ca="1" si="489"/>
        <v>0</v>
      </c>
      <c r="F127" s="8">
        <f t="shared" ca="1" si="489"/>
        <v>0</v>
      </c>
      <c r="G127" s="8">
        <f t="shared" ca="1" si="489"/>
        <v>0</v>
      </c>
      <c r="H127" s="8">
        <f t="shared" ca="1" si="489"/>
        <v>0</v>
      </c>
      <c r="I127" s="8">
        <f t="shared" ref="I127:AM127" ca="1" si="490">IFERROR(IF(I121=0,VLOOKUP($A120,$35:$38,I$1+2,FALSE),0),0)</f>
        <v>0</v>
      </c>
      <c r="J127" s="8">
        <f t="shared" ca="1" si="490"/>
        <v>0</v>
      </c>
      <c r="K127" s="8">
        <f t="shared" ca="1" si="490"/>
        <v>0</v>
      </c>
      <c r="L127" s="8">
        <f t="shared" ca="1" si="490"/>
        <v>0</v>
      </c>
      <c r="M127" s="8">
        <f t="shared" ca="1" si="490"/>
        <v>0</v>
      </c>
      <c r="N127" s="8">
        <f t="shared" ca="1" si="490"/>
        <v>0</v>
      </c>
      <c r="O127" s="8">
        <f t="shared" ca="1" si="490"/>
        <v>0</v>
      </c>
      <c r="P127" s="8">
        <f t="shared" ca="1" si="490"/>
        <v>0</v>
      </c>
      <c r="Q127" s="8">
        <f t="shared" ca="1" si="490"/>
        <v>0</v>
      </c>
      <c r="R127" s="8">
        <f t="shared" ca="1" si="490"/>
        <v>0</v>
      </c>
      <c r="S127" s="8">
        <f t="shared" ca="1" si="490"/>
        <v>0</v>
      </c>
      <c r="T127" s="8">
        <f t="shared" ca="1" si="490"/>
        <v>0</v>
      </c>
      <c r="U127" s="8">
        <f t="shared" ca="1" si="490"/>
        <v>0</v>
      </c>
      <c r="V127" s="8">
        <f t="shared" ca="1" si="490"/>
        <v>0</v>
      </c>
      <c r="W127" s="8">
        <f t="shared" ca="1" si="490"/>
        <v>0</v>
      </c>
      <c r="X127" s="8">
        <f t="shared" ca="1" si="490"/>
        <v>0</v>
      </c>
      <c r="Y127" s="8">
        <f t="shared" ca="1" si="490"/>
        <v>0</v>
      </c>
      <c r="Z127" s="8">
        <f t="shared" ca="1" si="490"/>
        <v>0</v>
      </c>
      <c r="AA127" s="8">
        <f t="shared" ca="1" si="490"/>
        <v>0</v>
      </c>
      <c r="AB127" s="8">
        <f t="shared" ca="1" si="490"/>
        <v>0</v>
      </c>
      <c r="AC127" s="8">
        <f t="shared" ca="1" si="490"/>
        <v>0</v>
      </c>
      <c r="AD127" s="8">
        <f t="shared" ca="1" si="490"/>
        <v>0</v>
      </c>
      <c r="AE127" s="8">
        <f t="shared" ca="1" si="490"/>
        <v>0</v>
      </c>
      <c r="AF127" s="8">
        <f t="shared" ca="1" si="490"/>
        <v>0</v>
      </c>
      <c r="AG127" s="8">
        <f t="shared" ca="1" si="490"/>
        <v>10487.83789540894</v>
      </c>
      <c r="AH127" s="8">
        <f t="shared" ca="1" si="490"/>
        <v>10750.033842794166</v>
      </c>
      <c r="AI127" s="8">
        <f t="shared" ca="1" si="490"/>
        <v>11018.784688864018</v>
      </c>
      <c r="AJ127" s="8">
        <f t="shared" ca="1" si="490"/>
        <v>11294.254306085619</v>
      </c>
      <c r="AK127" s="8">
        <f t="shared" ca="1" si="490"/>
        <v>11576.610663737758</v>
      </c>
      <c r="AL127" s="8">
        <f t="shared" ca="1" si="490"/>
        <v>11866.025930331201</v>
      </c>
      <c r="AM127" s="8">
        <f t="shared" ca="1" si="490"/>
        <v>12162.676578589482</v>
      </c>
    </row>
    <row r="128" spans="1:39" x14ac:dyDescent="0.2">
      <c r="A128" s="4" t="s">
        <v>40</v>
      </c>
      <c r="B128" s="16" t="str">
        <f>A120</f>
        <v>Sliema</v>
      </c>
      <c r="C128" s="8">
        <f t="shared" ref="C128:H128" ca="1" si="491">IF(AND(C121&gt;0,C124=0),VLOOKUP($A120,$63:$66,C$1+2,FALSE),0)</f>
        <v>0</v>
      </c>
      <c r="D128" s="8">
        <f t="shared" ca="1" si="491"/>
        <v>0</v>
      </c>
      <c r="E128" s="8">
        <f t="shared" ca="1" si="491"/>
        <v>0</v>
      </c>
      <c r="F128" s="8">
        <f t="shared" ca="1" si="491"/>
        <v>0</v>
      </c>
      <c r="G128" s="8">
        <f t="shared" ca="1" si="491"/>
        <v>0</v>
      </c>
      <c r="H128" s="8">
        <f t="shared" ca="1" si="491"/>
        <v>0</v>
      </c>
      <c r="I128" s="8">
        <f t="shared" ref="I128:AM128" ca="1" si="492">IF(AND(I121&gt;0,I124=0),VLOOKUP($A120,$63:$66,I$1+2,FALSE),0)</f>
        <v>0</v>
      </c>
      <c r="J128" s="8">
        <f t="shared" ca="1" si="492"/>
        <v>0</v>
      </c>
      <c r="K128" s="8">
        <f t="shared" ca="1" si="492"/>
        <v>0</v>
      </c>
      <c r="L128" s="8">
        <f t="shared" ca="1" si="492"/>
        <v>0</v>
      </c>
      <c r="M128" s="8">
        <f t="shared" ca="1" si="492"/>
        <v>0</v>
      </c>
      <c r="N128" s="8">
        <f t="shared" ca="1" si="492"/>
        <v>0</v>
      </c>
      <c r="O128" s="8">
        <f t="shared" ca="1" si="492"/>
        <v>0</v>
      </c>
      <c r="P128" s="8">
        <f t="shared" ca="1" si="492"/>
        <v>0</v>
      </c>
      <c r="Q128" s="8">
        <f t="shared" ca="1" si="492"/>
        <v>0</v>
      </c>
      <c r="R128" s="8">
        <f t="shared" ca="1" si="492"/>
        <v>0</v>
      </c>
      <c r="S128" s="8">
        <f t="shared" ca="1" si="492"/>
        <v>0</v>
      </c>
      <c r="T128" s="8">
        <f t="shared" ca="1" si="492"/>
        <v>0</v>
      </c>
      <c r="U128" s="8">
        <f t="shared" ca="1" si="492"/>
        <v>0</v>
      </c>
      <c r="V128" s="8">
        <f t="shared" ca="1" si="492"/>
        <v>0</v>
      </c>
      <c r="W128" s="8">
        <f t="shared" ca="1" si="492"/>
        <v>0</v>
      </c>
      <c r="X128" s="8">
        <f t="shared" ca="1" si="492"/>
        <v>0</v>
      </c>
      <c r="Y128" s="8">
        <f t="shared" ca="1" si="492"/>
        <v>0</v>
      </c>
      <c r="Z128" s="8">
        <f t="shared" ca="1" si="492"/>
        <v>0</v>
      </c>
      <c r="AA128" s="8">
        <f t="shared" ca="1" si="492"/>
        <v>0</v>
      </c>
      <c r="AB128" s="8">
        <f t="shared" ca="1" si="492"/>
        <v>0</v>
      </c>
      <c r="AC128" s="8">
        <f t="shared" ca="1" si="492"/>
        <v>0</v>
      </c>
      <c r="AD128" s="8">
        <f t="shared" ca="1" si="492"/>
        <v>0</v>
      </c>
      <c r="AE128" s="8">
        <f t="shared" ca="1" si="492"/>
        <v>0</v>
      </c>
      <c r="AF128" s="8">
        <f t="shared" ca="1" si="492"/>
        <v>0</v>
      </c>
      <c r="AG128" s="8">
        <f t="shared" ca="1" si="492"/>
        <v>0</v>
      </c>
      <c r="AH128" s="8">
        <f t="shared" ca="1" si="492"/>
        <v>0</v>
      </c>
      <c r="AI128" s="8">
        <f t="shared" ca="1" si="492"/>
        <v>0</v>
      </c>
      <c r="AJ128" s="8">
        <f t="shared" ca="1" si="492"/>
        <v>0</v>
      </c>
      <c r="AK128" s="8">
        <f t="shared" ca="1" si="492"/>
        <v>0</v>
      </c>
      <c r="AL128" s="8">
        <f t="shared" ca="1" si="492"/>
        <v>0</v>
      </c>
      <c r="AM128" s="8">
        <f t="shared" ca="1" si="492"/>
        <v>0</v>
      </c>
    </row>
    <row r="129" spans="1:39" x14ac:dyDescent="0.2">
      <c r="A129" s="4" t="s">
        <v>41</v>
      </c>
      <c r="C129" s="8">
        <f ca="1">-C122+SUM(C125:C128)</f>
        <v>0</v>
      </c>
      <c r="D129" s="8">
        <f t="shared" ref="D129" ca="1" si="493">-D122+SUM(D125:D128)</f>
        <v>0</v>
      </c>
      <c r="E129" s="8">
        <f t="shared" ref="E129:G129" ca="1" si="494">-E122+SUM(E125:E128)</f>
        <v>0</v>
      </c>
      <c r="F129" s="8">
        <f t="shared" ca="1" si="494"/>
        <v>0</v>
      </c>
      <c r="G129" s="8">
        <f t="shared" ca="1" si="494"/>
        <v>0</v>
      </c>
      <c r="H129" s="8">
        <f t="shared" ref="H129" ca="1" si="495">-H122+SUM(H125:H128)</f>
        <v>0</v>
      </c>
      <c r="I129" s="8">
        <f t="shared" ref="I129:AM129" ca="1" si="496">-I122+SUM(I125:I128)</f>
        <v>0</v>
      </c>
      <c r="J129" s="8">
        <f t="shared" ca="1" si="496"/>
        <v>0</v>
      </c>
      <c r="K129" s="8">
        <f t="shared" ca="1" si="496"/>
        <v>0</v>
      </c>
      <c r="L129" s="8">
        <f t="shared" ca="1" si="496"/>
        <v>0</v>
      </c>
      <c r="M129" s="8">
        <f t="shared" ca="1" si="496"/>
        <v>0</v>
      </c>
      <c r="N129" s="8">
        <f t="shared" ca="1" si="496"/>
        <v>0</v>
      </c>
      <c r="O129" s="8">
        <f t="shared" ca="1" si="496"/>
        <v>0</v>
      </c>
      <c r="P129" s="8">
        <f t="shared" ca="1" si="496"/>
        <v>0</v>
      </c>
      <c r="Q129" s="8">
        <f t="shared" ca="1" si="496"/>
        <v>0</v>
      </c>
      <c r="R129" s="8">
        <f t="shared" ca="1" si="496"/>
        <v>0</v>
      </c>
      <c r="S129" s="8">
        <f t="shared" ca="1" si="496"/>
        <v>0</v>
      </c>
      <c r="T129" s="8">
        <f t="shared" ca="1" si="496"/>
        <v>0</v>
      </c>
      <c r="U129" s="8">
        <f t="shared" ca="1" si="496"/>
        <v>0</v>
      </c>
      <c r="V129" s="8">
        <f t="shared" ca="1" si="496"/>
        <v>0</v>
      </c>
      <c r="W129" s="8">
        <f t="shared" ca="1" si="496"/>
        <v>0</v>
      </c>
      <c r="X129" s="8">
        <f t="shared" ca="1" si="496"/>
        <v>0</v>
      </c>
      <c r="Y129" s="8">
        <f t="shared" ca="1" si="496"/>
        <v>0</v>
      </c>
      <c r="Z129" s="8">
        <f t="shared" ca="1" si="496"/>
        <v>0</v>
      </c>
      <c r="AA129" s="8">
        <f t="shared" ca="1" si="496"/>
        <v>0</v>
      </c>
      <c r="AB129" s="8">
        <f t="shared" ca="1" si="496"/>
        <v>0</v>
      </c>
      <c r="AC129" s="8">
        <f t="shared" ca="1" si="496"/>
        <v>0</v>
      </c>
      <c r="AD129" s="8">
        <f t="shared" ca="1" si="496"/>
        <v>0</v>
      </c>
      <c r="AE129" s="8">
        <f t="shared" ca="1" si="496"/>
        <v>0</v>
      </c>
      <c r="AF129" s="8">
        <f t="shared" ca="1" si="496"/>
        <v>600924.20403239143</v>
      </c>
      <c r="AG129" s="8">
        <f t="shared" ca="1" si="496"/>
        <v>-18639.311758867021</v>
      </c>
      <c r="AH129" s="8">
        <f t="shared" ca="1" si="496"/>
        <v>-19250.930301110071</v>
      </c>
      <c r="AI129" s="8">
        <f t="shared" ca="1" si="496"/>
        <v>-19882.208379357347</v>
      </c>
      <c r="AJ129" s="8">
        <f t="shared" ca="1" si="496"/>
        <v>-20533.768554182388</v>
      </c>
      <c r="AK129" s="8">
        <f t="shared" ca="1" si="496"/>
        <v>-21206.252882338289</v>
      </c>
      <c r="AL129" s="8">
        <f t="shared" ca="1" si="496"/>
        <v>-21900.323522127128</v>
      </c>
      <c r="AM129" s="8">
        <f t="shared" ca="1" si="496"/>
        <v>-22616.663357442601</v>
      </c>
    </row>
    <row r="130" spans="1:39" x14ac:dyDescent="0.2">
      <c r="A130" s="4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</row>
    <row r="131" spans="1:39" x14ac:dyDescent="0.2">
      <c r="A131" s="4" t="s">
        <v>87</v>
      </c>
      <c r="C131" s="8">
        <f ca="1">C117+SUM($C129:C129)</f>
        <v>30325.5</v>
      </c>
      <c r="D131" s="8">
        <f ca="1">D117+SUM($C129:D129)</f>
        <v>53777.462499999994</v>
      </c>
      <c r="E131" s="8">
        <f ca="1">E117+SUM($C129:E129)</f>
        <v>57139.486875000017</v>
      </c>
      <c r="F131" s="8">
        <f ca="1">F117+SUM($C129:F129)</f>
        <v>94700.221659424511</v>
      </c>
      <c r="G131" s="8">
        <f ca="1">G117+SUM($C129:G129)</f>
        <v>136857.58117608592</v>
      </c>
      <c r="H131" s="8">
        <f ca="1">H117+SUM($C129:H129)</f>
        <v>99039.354794970655</v>
      </c>
      <c r="I131" s="8">
        <f ca="1">I117+SUM($C129:I129)</f>
        <v>66112.722442054321</v>
      </c>
      <c r="J131" s="8">
        <f ca="1">J117+SUM($C129:J129)</f>
        <v>13748.103183444677</v>
      </c>
      <c r="K131" s="8">
        <f ca="1">K117+SUM($C129:K129)</f>
        <v>39521.393830203713</v>
      </c>
      <c r="L131" s="8">
        <f ca="1">L117+SUM($C129:L129)</f>
        <v>0</v>
      </c>
      <c r="M131" s="8">
        <f ca="1">M117+SUM($C129:M129)</f>
        <v>175633.07182553489</v>
      </c>
      <c r="N131" s="8">
        <f ca="1">N117+SUM($C129:N129)</f>
        <v>161691.24648046176</v>
      </c>
      <c r="O131" s="8">
        <f ca="1">O117+SUM($C129:O129)</f>
        <v>134476.46172956808</v>
      </c>
      <c r="P131" s="8">
        <f ca="1">P117+SUM($C129:P129)</f>
        <v>106189.844103339</v>
      </c>
      <c r="Q131" s="8">
        <f ca="1">Q117+SUM($C129:Q129)</f>
        <v>76456.050790870431</v>
      </c>
      <c r="R131" s="8">
        <f ca="1">R117+SUM($C129:R129)</f>
        <v>45247.089475458859</v>
      </c>
      <c r="S131" s="8">
        <f ca="1">S117+SUM($C129:S129)</f>
        <v>31859.065561695701</v>
      </c>
      <c r="T131" s="8">
        <f ca="1">T117+SUM($C129:T129)</f>
        <v>25691.260359113101</v>
      </c>
      <c r="U131" s="8">
        <f ca="1">U117+SUM($C129:U129)</f>
        <v>19325.034268003095</v>
      </c>
      <c r="V131" s="8">
        <f ca="1">V117+SUM($C129:V129)</f>
        <v>12764.641391702484</v>
      </c>
      <c r="W131" s="8">
        <f ca="1">W117+SUM($C129:W129)</f>
        <v>352201.08953015786</v>
      </c>
      <c r="X131" s="8">
        <f ca="1">X117+SUM($C129:X129)</f>
        <v>319998.1199005458</v>
      </c>
      <c r="Y131" s="8">
        <f ca="1">Y117+SUM($C129:Y129)</f>
        <v>286332.02965443209</v>
      </c>
      <c r="Z131" s="8">
        <f ca="1">Z117+SUM($C129:Z129)</f>
        <v>250696.94779915331</v>
      </c>
      <c r="AA131" s="8">
        <f ca="1">AA117+SUM($C129:AA129)</f>
        <v>213050.05891038294</v>
      </c>
      <c r="AB131" s="8">
        <f ca="1">AB117+SUM($C129:AB129)</f>
        <v>173347.66945916342</v>
      </c>
      <c r="AC131" s="8">
        <f ca="1">AC117+SUM($C129:AC129)</f>
        <v>131545.19162771967</v>
      </c>
      <c r="AD131" s="8">
        <f ca="1">AD117+SUM($C129:AD129)</f>
        <v>97579.6019875067</v>
      </c>
      <c r="AE131" s="8">
        <f ca="1">AE117+SUM($C129:AE129)</f>
        <v>61915.036449596737</v>
      </c>
      <c r="AF131" s="8">
        <f ca="1">AF117+SUM($C129:AF129)</f>
        <v>625440.6548606623</v>
      </c>
      <c r="AG131" s="8">
        <f ca="1">AG117+SUM($C129:AG129)</f>
        <v>568177.05995172949</v>
      </c>
      <c r="AH131" s="8">
        <f ca="1">AH117+SUM($C129:AH129)</f>
        <v>509481.87517007347</v>
      </c>
      <c r="AI131" s="8">
        <f ca="1">AI117+SUM($C129:AI129)</f>
        <v>449319.31076887593</v>
      </c>
      <c r="AJ131" s="8">
        <f ca="1">AJ117+SUM($C129:AJ129)</f>
        <v>387652.68225764844</v>
      </c>
      <c r="AK131" s="8">
        <f ca="1">AK117+SUM($C129:AK129)</f>
        <v>324444.38803364022</v>
      </c>
      <c r="AL131" s="8">
        <f ca="1">AL117+SUM($C129:AL129)</f>
        <v>259655.88645403192</v>
      </c>
      <c r="AM131" s="8">
        <f ca="1">AM117+SUM($C129:AM129)</f>
        <v>193247.67233493336</v>
      </c>
    </row>
    <row r="132" spans="1:39" x14ac:dyDescent="0.2">
      <c r="A132" s="4" t="s">
        <v>84</v>
      </c>
      <c r="C132" s="8">
        <f t="shared" ref="C132:H132" ca="1" si="497">MAX(C131+buffer,0)-MAX(C117+buffer,0)</f>
        <v>0</v>
      </c>
      <c r="D132" s="8">
        <f t="shared" ca="1" si="497"/>
        <v>0</v>
      </c>
      <c r="E132" s="8">
        <f t="shared" ca="1" si="497"/>
        <v>0</v>
      </c>
      <c r="F132" s="8">
        <f t="shared" ca="1" si="497"/>
        <v>0</v>
      </c>
      <c r="G132" s="8">
        <f t="shared" ca="1" si="497"/>
        <v>0</v>
      </c>
      <c r="H132" s="8">
        <f t="shared" ca="1" si="497"/>
        <v>0</v>
      </c>
      <c r="I132" s="8">
        <f t="shared" ref="I132:AM132" ca="1" si="498">MAX(I131+buffer,0)-MAX(I117+buffer,0)</f>
        <v>0</v>
      </c>
      <c r="J132" s="8">
        <f t="shared" ca="1" si="498"/>
        <v>0</v>
      </c>
      <c r="K132" s="8">
        <f t="shared" ca="1" si="498"/>
        <v>0</v>
      </c>
      <c r="L132" s="8">
        <f t="shared" ca="1" si="498"/>
        <v>0</v>
      </c>
      <c r="M132" s="8">
        <f t="shared" ca="1" si="498"/>
        <v>0</v>
      </c>
      <c r="N132" s="8">
        <f t="shared" ca="1" si="498"/>
        <v>0</v>
      </c>
      <c r="O132" s="8">
        <f t="shared" ca="1" si="498"/>
        <v>0</v>
      </c>
      <c r="P132" s="8">
        <f t="shared" ca="1" si="498"/>
        <v>0</v>
      </c>
      <c r="Q132" s="8">
        <f t="shared" ca="1" si="498"/>
        <v>0</v>
      </c>
      <c r="R132" s="8">
        <f t="shared" ca="1" si="498"/>
        <v>0</v>
      </c>
      <c r="S132" s="8">
        <f t="shared" ca="1" si="498"/>
        <v>0</v>
      </c>
      <c r="T132" s="8">
        <f t="shared" ca="1" si="498"/>
        <v>0</v>
      </c>
      <c r="U132" s="8">
        <f t="shared" ca="1" si="498"/>
        <v>0</v>
      </c>
      <c r="V132" s="8">
        <f t="shared" ca="1" si="498"/>
        <v>0</v>
      </c>
      <c r="W132" s="8">
        <f t="shared" ca="1" si="498"/>
        <v>0</v>
      </c>
      <c r="X132" s="8">
        <f t="shared" ca="1" si="498"/>
        <v>0</v>
      </c>
      <c r="Y132" s="8">
        <f t="shared" ca="1" si="498"/>
        <v>0</v>
      </c>
      <c r="Z132" s="8">
        <f t="shared" ca="1" si="498"/>
        <v>0</v>
      </c>
      <c r="AA132" s="8">
        <f t="shared" ca="1" si="498"/>
        <v>0</v>
      </c>
      <c r="AB132" s="8">
        <f t="shared" ca="1" si="498"/>
        <v>0</v>
      </c>
      <c r="AC132" s="8">
        <f t="shared" ca="1" si="498"/>
        <v>0</v>
      </c>
      <c r="AD132" s="8">
        <f t="shared" ca="1" si="498"/>
        <v>0</v>
      </c>
      <c r="AE132" s="8">
        <f t="shared" ca="1" si="498"/>
        <v>0</v>
      </c>
      <c r="AF132" s="8">
        <f t="shared" ca="1" si="498"/>
        <v>600924.20403239143</v>
      </c>
      <c r="AG132" s="8">
        <f t="shared" ca="1" si="498"/>
        <v>582284.89227352443</v>
      </c>
      <c r="AH132" s="8">
        <f t="shared" ca="1" si="498"/>
        <v>549481.87517007347</v>
      </c>
      <c r="AI132" s="8">
        <f t="shared" ca="1" si="498"/>
        <v>489319.31076887593</v>
      </c>
      <c r="AJ132" s="8">
        <f t="shared" ca="1" si="498"/>
        <v>427652.68225764844</v>
      </c>
      <c r="AK132" s="8">
        <f t="shared" ca="1" si="498"/>
        <v>364444.38803364022</v>
      </c>
      <c r="AL132" s="8">
        <f t="shared" ca="1" si="498"/>
        <v>299655.88645403192</v>
      </c>
      <c r="AM132" s="8">
        <f t="shared" ca="1" si="498"/>
        <v>233247.67233493336</v>
      </c>
    </row>
    <row r="133" spans="1:39" x14ac:dyDescent="0.2">
      <c r="A133" s="4" t="s">
        <v>85</v>
      </c>
      <c r="C133" s="8">
        <f ca="1">C132*Inputs!$B$159</f>
        <v>0</v>
      </c>
      <c r="D133" s="8">
        <f ca="1">D132*Inputs!$B$159</f>
        <v>0</v>
      </c>
      <c r="E133" s="8">
        <f ca="1">E132*Inputs!$B$159</f>
        <v>0</v>
      </c>
      <c r="F133" s="8">
        <f ca="1">F132*Inputs!$B$159</f>
        <v>0</v>
      </c>
      <c r="G133" s="8">
        <f ca="1">G132*Inputs!$B$159</f>
        <v>0</v>
      </c>
      <c r="H133" s="8">
        <f ca="1">H132*Inputs!$B$159</f>
        <v>0</v>
      </c>
      <c r="I133" s="8">
        <f ca="1">I132*Inputs!$B$159</f>
        <v>0</v>
      </c>
      <c r="J133" s="8">
        <f ca="1">J132*Inputs!$B$159</f>
        <v>0</v>
      </c>
      <c r="K133" s="8">
        <f ca="1">K132*Inputs!$B$159</f>
        <v>0</v>
      </c>
      <c r="L133" s="8">
        <f ca="1">L132*Inputs!$B$159</f>
        <v>0</v>
      </c>
      <c r="M133" s="8">
        <f ca="1">M132*Inputs!$B$159</f>
        <v>0</v>
      </c>
      <c r="N133" s="8">
        <f ca="1">N132*Inputs!$B$159</f>
        <v>0</v>
      </c>
      <c r="O133" s="8">
        <f ca="1">O132*Inputs!$B$159</f>
        <v>0</v>
      </c>
      <c r="P133" s="8">
        <f ca="1">P132*Inputs!$B$159</f>
        <v>0</v>
      </c>
      <c r="Q133" s="8">
        <f ca="1">Q132*Inputs!$B$159</f>
        <v>0</v>
      </c>
      <c r="R133" s="8">
        <f ca="1">R132*Inputs!$B$159</f>
        <v>0</v>
      </c>
      <c r="S133" s="8">
        <f ca="1">S132*Inputs!$B$159</f>
        <v>0</v>
      </c>
      <c r="T133" s="8">
        <f ca="1">T132*Inputs!$B$159</f>
        <v>0</v>
      </c>
      <c r="U133" s="8">
        <f ca="1">U132*Inputs!$B$159</f>
        <v>0</v>
      </c>
      <c r="V133" s="8">
        <f ca="1">V132*Inputs!$B$159</f>
        <v>0</v>
      </c>
      <c r="W133" s="8">
        <f ca="1">W132*Inputs!$B$159</f>
        <v>0</v>
      </c>
      <c r="X133" s="8">
        <f ca="1">X132*Inputs!$B$159</f>
        <v>0</v>
      </c>
      <c r="Y133" s="8">
        <f ca="1">Y132*Inputs!$B$159</f>
        <v>0</v>
      </c>
      <c r="Z133" s="8">
        <f ca="1">Z132*Inputs!$B$159</f>
        <v>0</v>
      </c>
      <c r="AA133" s="8">
        <f ca="1">AA132*Inputs!$B$159</f>
        <v>0</v>
      </c>
      <c r="AB133" s="8">
        <f ca="1">AB132*Inputs!$B$159</f>
        <v>0</v>
      </c>
      <c r="AC133" s="8">
        <f ca="1">AC132*Inputs!$B$159</f>
        <v>0</v>
      </c>
      <c r="AD133" s="8">
        <f ca="1">AD132*Inputs!$B$159</f>
        <v>0</v>
      </c>
      <c r="AE133" s="8">
        <f ca="1">AE132*Inputs!$B$159</f>
        <v>0</v>
      </c>
      <c r="AF133" s="8">
        <f ca="1">AF132*Inputs!$B$159</f>
        <v>15023.105100809786</v>
      </c>
      <c r="AG133" s="8">
        <f ca="1">AG132*Inputs!$B$159</f>
        <v>14557.122306838111</v>
      </c>
      <c r="AH133" s="8">
        <f ca="1">AH132*Inputs!$B$159</f>
        <v>13737.046879251837</v>
      </c>
      <c r="AI133" s="8">
        <f ca="1">AI132*Inputs!$B$159</f>
        <v>12232.982769221899</v>
      </c>
      <c r="AJ133" s="8">
        <f ca="1">AJ132*Inputs!$B$159</f>
        <v>10691.317056441212</v>
      </c>
      <c r="AK133" s="8">
        <f ca="1">AK132*Inputs!$B$159</f>
        <v>9111.1097008410052</v>
      </c>
      <c r="AL133" s="8">
        <f ca="1">AL132*Inputs!$B$159</f>
        <v>7491.3971613507983</v>
      </c>
      <c r="AM133" s="8">
        <f ca="1">AM132*Inputs!$B$159</f>
        <v>5831.1918083733344</v>
      </c>
    </row>
    <row r="134" spans="1:39" x14ac:dyDescent="0.2">
      <c r="A134" s="4" t="s">
        <v>168</v>
      </c>
      <c r="C134" s="8">
        <f ca="1">C131+SUM($C133:C133)</f>
        <v>30325.5</v>
      </c>
      <c r="D134" s="8">
        <f ca="1">D131+SUM($C133:D133)</f>
        <v>53777.462499999994</v>
      </c>
      <c r="E134" s="8">
        <f ca="1">E131+SUM($C133:E133)</f>
        <v>57139.486875000017</v>
      </c>
      <c r="F134" s="8">
        <f ca="1">F131+SUM($C133:F133)</f>
        <v>94700.221659424511</v>
      </c>
      <c r="G134" s="8">
        <f ca="1">G131+SUM($C133:G133)</f>
        <v>136857.58117608592</v>
      </c>
      <c r="H134" s="8">
        <f ca="1">H131+SUM($C133:H133)</f>
        <v>99039.354794970655</v>
      </c>
      <c r="I134" s="8">
        <f ca="1">I131+SUM($C133:I133)</f>
        <v>66112.722442054321</v>
      </c>
      <c r="J134" s="8">
        <f ca="1">J131+SUM($C133:J133)</f>
        <v>13748.103183444677</v>
      </c>
      <c r="K134" s="8">
        <f ca="1">K131+SUM($C133:K133)</f>
        <v>39521.393830203713</v>
      </c>
      <c r="L134" s="8">
        <f ca="1">L131+SUM($C133:L133)</f>
        <v>0</v>
      </c>
      <c r="M134" s="8">
        <f ca="1">M131+SUM($C133:M133)</f>
        <v>175633.07182553489</v>
      </c>
      <c r="N134" s="8">
        <f ca="1">N131+SUM($C133:N133)</f>
        <v>161691.24648046176</v>
      </c>
      <c r="O134" s="8">
        <f ca="1">O131+SUM($C133:O133)</f>
        <v>134476.46172956808</v>
      </c>
      <c r="P134" s="8">
        <f ca="1">P131+SUM($C133:P133)</f>
        <v>106189.844103339</v>
      </c>
      <c r="Q134" s="8">
        <f ca="1">Q131+SUM($C133:Q133)</f>
        <v>76456.050790870431</v>
      </c>
      <c r="R134" s="8">
        <f ca="1">R131+SUM($C133:R133)</f>
        <v>45247.089475458859</v>
      </c>
      <c r="S134" s="8">
        <f ca="1">S131+SUM($C133:S133)</f>
        <v>31859.065561695701</v>
      </c>
      <c r="T134" s="8">
        <f ca="1">T131+SUM($C133:T133)</f>
        <v>25691.260359113101</v>
      </c>
      <c r="U134" s="8">
        <f ca="1">U131+SUM($C133:U133)</f>
        <v>19325.034268003095</v>
      </c>
      <c r="V134" s="8">
        <f ca="1">V131+SUM($C133:V133)</f>
        <v>12764.641391702484</v>
      </c>
      <c r="W134" s="8">
        <f ca="1">W131+SUM($C133:W133)</f>
        <v>352201.08953015786</v>
      </c>
      <c r="X134" s="8">
        <f ca="1">X131+SUM($C133:X133)</f>
        <v>319998.1199005458</v>
      </c>
      <c r="Y134" s="8">
        <f ca="1">Y131+SUM($C133:Y133)</f>
        <v>286332.02965443209</v>
      </c>
      <c r="Z134" s="8">
        <f ca="1">Z131+SUM($C133:Z133)</f>
        <v>250696.94779915331</v>
      </c>
      <c r="AA134" s="8">
        <f ca="1">AA131+SUM($C133:AA133)</f>
        <v>213050.05891038294</v>
      </c>
      <c r="AB134" s="8">
        <f ca="1">AB131+SUM($C133:AB133)</f>
        <v>173347.66945916342</v>
      </c>
      <c r="AC134" s="8">
        <f ca="1">AC131+SUM($C133:AC133)</f>
        <v>131545.19162771967</v>
      </c>
      <c r="AD134" s="8">
        <f ca="1">AD131+SUM($C133:AD133)</f>
        <v>97579.6019875067</v>
      </c>
      <c r="AE134" s="8">
        <f ca="1">AE131+SUM($C133:AE133)</f>
        <v>61915.036449596737</v>
      </c>
      <c r="AF134" s="8">
        <f ca="1">AF131+SUM($C133:AF133)</f>
        <v>640463.75996147213</v>
      </c>
      <c r="AG134" s="8">
        <f ca="1">AG131+SUM($C133:AG133)</f>
        <v>597757.28735937737</v>
      </c>
      <c r="AH134" s="8">
        <f ca="1">AH131+SUM($C133:AH133)</f>
        <v>552799.14945697319</v>
      </c>
      <c r="AI134" s="8">
        <f ca="1">AI131+SUM($C133:AI133)</f>
        <v>504869.56782499759</v>
      </c>
      <c r="AJ134" s="8">
        <f ca="1">AJ131+SUM($C133:AJ133)</f>
        <v>453894.25637021125</v>
      </c>
      <c r="AK134" s="8">
        <f ca="1">AK131+SUM($C133:AK133)</f>
        <v>399797.07184704405</v>
      </c>
      <c r="AL134" s="8">
        <f ca="1">AL131+SUM($C133:AL133)</f>
        <v>342499.96742878656</v>
      </c>
      <c r="AM134" s="8">
        <f ca="1">AM131+SUM($C133:AM133)</f>
        <v>281922.94511806133</v>
      </c>
    </row>
    <row r="135" spans="1:39" x14ac:dyDescent="0.2">
      <c r="A135" s="4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</row>
    <row r="136" spans="1:39" x14ac:dyDescent="0.2">
      <c r="A136" s="4" t="s">
        <v>166</v>
      </c>
      <c r="C136" s="8">
        <f t="shared" ref="C136:H136" ca="1" si="499">C134+buffer</f>
        <v>70325.5</v>
      </c>
      <c r="D136" s="8">
        <f t="shared" ca="1" si="499"/>
        <v>93777.462499999994</v>
      </c>
      <c r="E136" s="8">
        <f t="shared" ca="1" si="499"/>
        <v>97139.486875000017</v>
      </c>
      <c r="F136" s="8">
        <f t="shared" ca="1" si="499"/>
        <v>134700.22165942451</v>
      </c>
      <c r="G136" s="8">
        <f t="shared" ca="1" si="499"/>
        <v>176857.58117608592</v>
      </c>
      <c r="H136" s="8">
        <f t="shared" ca="1" si="499"/>
        <v>139039.35479497066</v>
      </c>
      <c r="I136" s="8">
        <f t="shared" ref="I136:AM136" ca="1" si="500">I134+buffer</f>
        <v>106112.72244205432</v>
      </c>
      <c r="J136" s="8">
        <f t="shared" ca="1" si="500"/>
        <v>53748.103183444677</v>
      </c>
      <c r="K136" s="8">
        <f t="shared" ca="1" si="500"/>
        <v>79521.393830203713</v>
      </c>
      <c r="L136" s="8">
        <f t="shared" ca="1" si="500"/>
        <v>40000</v>
      </c>
      <c r="M136" s="8">
        <f t="shared" ca="1" si="500"/>
        <v>215633.07182553489</v>
      </c>
      <c r="N136" s="8">
        <f t="shared" ca="1" si="500"/>
        <v>201691.24648046176</v>
      </c>
      <c r="O136" s="8">
        <f t="shared" ca="1" si="500"/>
        <v>174476.46172956808</v>
      </c>
      <c r="P136" s="8">
        <f t="shared" ca="1" si="500"/>
        <v>146189.84410333901</v>
      </c>
      <c r="Q136" s="8">
        <f t="shared" ca="1" si="500"/>
        <v>116456.05079087043</v>
      </c>
      <c r="R136" s="8">
        <f t="shared" ca="1" si="500"/>
        <v>85247.089475458866</v>
      </c>
      <c r="S136" s="8">
        <f t="shared" ca="1" si="500"/>
        <v>71859.065561695694</v>
      </c>
      <c r="T136" s="8">
        <f t="shared" ca="1" si="500"/>
        <v>65691.260359113105</v>
      </c>
      <c r="U136" s="8">
        <f t="shared" ca="1" si="500"/>
        <v>59325.034268003095</v>
      </c>
      <c r="V136" s="8">
        <f t="shared" ca="1" si="500"/>
        <v>52764.641391702484</v>
      </c>
      <c r="W136" s="8">
        <f t="shared" ca="1" si="500"/>
        <v>392201.08953015786</v>
      </c>
      <c r="X136" s="8">
        <f t="shared" ca="1" si="500"/>
        <v>359998.1199005458</v>
      </c>
      <c r="Y136" s="8">
        <f t="shared" ca="1" si="500"/>
        <v>326332.02965443209</v>
      </c>
      <c r="Z136" s="8">
        <f t="shared" ca="1" si="500"/>
        <v>290696.94779915328</v>
      </c>
      <c r="AA136" s="8">
        <f t="shared" ca="1" si="500"/>
        <v>253050.05891038294</v>
      </c>
      <c r="AB136" s="8">
        <f t="shared" ca="1" si="500"/>
        <v>213347.66945916342</v>
      </c>
      <c r="AC136" s="8">
        <f t="shared" ca="1" si="500"/>
        <v>171545.19162771967</v>
      </c>
      <c r="AD136" s="8">
        <f t="shared" ca="1" si="500"/>
        <v>137579.6019875067</v>
      </c>
      <c r="AE136" s="8">
        <f t="shared" ca="1" si="500"/>
        <v>101915.03644959674</v>
      </c>
      <c r="AF136" s="8">
        <f t="shared" ca="1" si="500"/>
        <v>680463.75996147213</v>
      </c>
      <c r="AG136" s="8">
        <f t="shared" ca="1" si="500"/>
        <v>637757.28735937737</v>
      </c>
      <c r="AH136" s="8">
        <f t="shared" ca="1" si="500"/>
        <v>592799.14945697319</v>
      </c>
      <c r="AI136" s="8">
        <f t="shared" ca="1" si="500"/>
        <v>544869.56782499759</v>
      </c>
      <c r="AJ136" s="8">
        <f t="shared" ca="1" si="500"/>
        <v>493894.25637021125</v>
      </c>
      <c r="AK136" s="8">
        <f t="shared" ca="1" si="500"/>
        <v>439797.07184704405</v>
      </c>
      <c r="AL136" s="8">
        <f t="shared" ca="1" si="500"/>
        <v>382499.96742878656</v>
      </c>
      <c r="AM136" s="8">
        <f t="shared" ca="1" si="500"/>
        <v>321922.94511806133</v>
      </c>
    </row>
    <row r="137" spans="1:39" x14ac:dyDescent="0.2">
      <c r="A137" s="5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</row>
    <row r="138" spans="1:39" x14ac:dyDescent="0.2">
      <c r="A138" s="34" t="s">
        <v>66</v>
      </c>
      <c r="B138" s="31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</row>
    <row r="139" spans="1:39" x14ac:dyDescent="0.2">
      <c r="A139" s="4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</row>
    <row r="140" spans="1:39" x14ac:dyDescent="0.2">
      <c r="A140" s="20" t="s">
        <v>69</v>
      </c>
      <c r="B140" s="21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</row>
    <row r="141" spans="1:39" x14ac:dyDescent="0.2">
      <c r="A141" s="24" t="str">
        <f>B$94</f>
        <v>Gzira</v>
      </c>
      <c r="B141" s="21"/>
      <c r="C141" s="22">
        <f ca="1">SUM($C88:C88)</f>
        <v>0</v>
      </c>
      <c r="D141" s="22">
        <f ca="1">SUM($C88:D88)</f>
        <v>0</v>
      </c>
      <c r="E141" s="22">
        <f ca="1">SUM($C88:E88)</f>
        <v>0</v>
      </c>
      <c r="F141" s="22">
        <f ca="1">SUM($C88:F88)</f>
        <v>0</v>
      </c>
      <c r="G141" s="22">
        <f ca="1">SUM($C88:G88)</f>
        <v>0</v>
      </c>
      <c r="H141" s="22">
        <f ca="1">SUM($C88:H88)</f>
        <v>0</v>
      </c>
      <c r="I141" s="22">
        <f ca="1">SUM($C88:I88)</f>
        <v>0</v>
      </c>
      <c r="J141" s="22">
        <f ca="1">SUM($C88:J88)</f>
        <v>0</v>
      </c>
      <c r="K141" s="22">
        <f ca="1">SUM($C88:K88)</f>
        <v>0</v>
      </c>
      <c r="L141" s="22">
        <f ca="1">SUM($C88:L88)</f>
        <v>0</v>
      </c>
      <c r="M141" s="22">
        <f ca="1">SUM($C88:M88)</f>
        <v>-201587.45690161825</v>
      </c>
      <c r="N141" s="22">
        <f ca="1">SUM($C88:N88)</f>
        <v>-201587.45690161825</v>
      </c>
      <c r="O141" s="22">
        <f ca="1">SUM($C88:O88)</f>
        <v>-201587.45690161825</v>
      </c>
      <c r="P141" s="22">
        <f ca="1">SUM($C88:P88)</f>
        <v>-201587.45690161825</v>
      </c>
      <c r="Q141" s="22">
        <f ca="1">SUM($C88:Q88)</f>
        <v>-201587.45690161825</v>
      </c>
      <c r="R141" s="22">
        <f ca="1">SUM($C88:R88)</f>
        <v>-201587.45690161825</v>
      </c>
      <c r="S141" s="22">
        <f ca="1">SUM($C88:S88)</f>
        <v>-201587.45690161825</v>
      </c>
      <c r="T141" s="22">
        <f ca="1">SUM($C88:T88)</f>
        <v>-201587.45690161825</v>
      </c>
      <c r="U141" s="22">
        <f ca="1">SUM($C88:U88)</f>
        <v>-201587.45690161825</v>
      </c>
      <c r="V141" s="22">
        <f ca="1">SUM($C88:V88)</f>
        <v>-201587.45690161825</v>
      </c>
      <c r="W141" s="22">
        <f ca="1">SUM($C88:W88)</f>
        <v>-201587.45690161825</v>
      </c>
      <c r="X141" s="22">
        <f ca="1">SUM($C88:X88)</f>
        <v>-201587.45690161825</v>
      </c>
      <c r="Y141" s="22">
        <f ca="1">SUM($C88:Y88)</f>
        <v>-201587.45690161825</v>
      </c>
      <c r="Z141" s="22">
        <f ca="1">SUM($C88:Z88)</f>
        <v>-201587.45690161825</v>
      </c>
      <c r="AA141" s="22">
        <f ca="1">SUM($C88:AA88)</f>
        <v>-201587.45690161825</v>
      </c>
      <c r="AB141" s="22">
        <f ca="1">SUM($C88:AB88)</f>
        <v>-201587.45690161825</v>
      </c>
      <c r="AC141" s="22">
        <f ca="1">SUM($C88:AC88)</f>
        <v>-201587.45690161825</v>
      </c>
      <c r="AD141" s="22">
        <f ca="1">SUM($C88:AD88)</f>
        <v>-201587.45690161825</v>
      </c>
      <c r="AE141" s="22">
        <f ca="1">SUM($C88:AE88)</f>
        <v>-201587.45690161825</v>
      </c>
      <c r="AF141" s="22">
        <f ca="1">SUM($C88:AF88)</f>
        <v>-201587.45690161825</v>
      </c>
      <c r="AG141" s="22">
        <f ca="1">SUM($C88:AG88)</f>
        <v>-201587.45690161825</v>
      </c>
      <c r="AH141" s="22">
        <f ca="1">SUM($C88:AH88)</f>
        <v>-201587.45690161825</v>
      </c>
      <c r="AI141" s="22">
        <f ca="1">SUM($C88:AI88)</f>
        <v>-201587.45690161825</v>
      </c>
      <c r="AJ141" s="22">
        <f ca="1">SUM($C88:AJ88)</f>
        <v>-201587.45690161825</v>
      </c>
      <c r="AK141" s="22">
        <f ca="1">SUM($C88:AK88)</f>
        <v>-201587.45690161825</v>
      </c>
      <c r="AL141" s="22">
        <f ca="1">SUM($C88:AL88)</f>
        <v>-201587.45690161825</v>
      </c>
      <c r="AM141" s="22">
        <f ca="1">SUM($C88:AM88)</f>
        <v>-201587.45690161825</v>
      </c>
    </row>
    <row r="142" spans="1:39" x14ac:dyDescent="0.2">
      <c r="A142" s="24" t="str">
        <f>B$111</f>
        <v>Qormi</v>
      </c>
      <c r="B142" s="21"/>
      <c r="C142" s="22">
        <f ca="1">SUM($C105:C105)</f>
        <v>0</v>
      </c>
      <c r="D142" s="22">
        <f ca="1">SUM($C105:D105)</f>
        <v>0</v>
      </c>
      <c r="E142" s="22">
        <f ca="1">SUM($C105:E105)</f>
        <v>0</v>
      </c>
      <c r="F142" s="22">
        <f ca="1">SUM($C105:F105)</f>
        <v>0</v>
      </c>
      <c r="G142" s="22">
        <f ca="1">SUM($C105:G105)</f>
        <v>0</v>
      </c>
      <c r="H142" s="22">
        <f ca="1">SUM($C105:H105)</f>
        <v>0</v>
      </c>
      <c r="I142" s="22">
        <f ca="1">SUM($C105:I105)</f>
        <v>0</v>
      </c>
      <c r="J142" s="22">
        <f ca="1">SUM($C105:J105)</f>
        <v>0</v>
      </c>
      <c r="K142" s="22">
        <f ca="1">SUM($C105:K105)</f>
        <v>0</v>
      </c>
      <c r="L142" s="22">
        <f ca="1">SUM($C105:L105)</f>
        <v>0</v>
      </c>
      <c r="M142" s="22">
        <f ca="1">SUM($C105:M105)</f>
        <v>0</v>
      </c>
      <c r="N142" s="22">
        <f ca="1">SUM($C105:N105)</f>
        <v>0</v>
      </c>
      <c r="O142" s="22">
        <f ca="1">SUM($C105:O105)</f>
        <v>0</v>
      </c>
      <c r="P142" s="22">
        <f ca="1">SUM($C105:P105)</f>
        <v>0</v>
      </c>
      <c r="Q142" s="22">
        <f ca="1">SUM($C105:Q105)</f>
        <v>0</v>
      </c>
      <c r="R142" s="22">
        <f ca="1">SUM($C105:R105)</f>
        <v>0</v>
      </c>
      <c r="S142" s="22">
        <f ca="1">SUM($C105:S105)</f>
        <v>0</v>
      </c>
      <c r="T142" s="22">
        <f ca="1">SUM($C105:T105)</f>
        <v>0</v>
      </c>
      <c r="U142" s="22">
        <f ca="1">SUM($C105:U105)</f>
        <v>0</v>
      </c>
      <c r="V142" s="22">
        <f ca="1">SUM($C105:V105)</f>
        <v>0</v>
      </c>
      <c r="W142" s="22">
        <f ca="1">SUM($C105:W105)</f>
        <v>-397344.47162727115</v>
      </c>
      <c r="X142" s="22">
        <f ca="1">SUM($C105:X105)</f>
        <v>-397344.47162727115</v>
      </c>
      <c r="Y142" s="22">
        <f ca="1">SUM($C105:Y105)</f>
        <v>-397344.47162727115</v>
      </c>
      <c r="Z142" s="22">
        <f ca="1">SUM($C105:Z105)</f>
        <v>-397344.47162727115</v>
      </c>
      <c r="AA142" s="22">
        <f ca="1">SUM($C105:AA105)</f>
        <v>-397344.47162727115</v>
      </c>
      <c r="AB142" s="22">
        <f ca="1">SUM($C105:AB105)</f>
        <v>-397344.47162727115</v>
      </c>
      <c r="AC142" s="22">
        <f ca="1">SUM($C105:AC105)</f>
        <v>-397344.47162727115</v>
      </c>
      <c r="AD142" s="22">
        <f ca="1">SUM($C105:AD105)</f>
        <v>-397344.47162727115</v>
      </c>
      <c r="AE142" s="22">
        <f ca="1">SUM($C105:AE105)</f>
        <v>-397344.47162727115</v>
      </c>
      <c r="AF142" s="22">
        <f ca="1">SUM($C105:AF105)</f>
        <v>-397344.47162727115</v>
      </c>
      <c r="AG142" s="22">
        <f ca="1">SUM($C105:AG105)</f>
        <v>-397344.47162727115</v>
      </c>
      <c r="AH142" s="22">
        <f ca="1">SUM($C105:AH105)</f>
        <v>-397344.47162727115</v>
      </c>
      <c r="AI142" s="22">
        <f ca="1">SUM($C105:AI105)</f>
        <v>-397344.47162727115</v>
      </c>
      <c r="AJ142" s="22">
        <f ca="1">SUM($C105:AJ105)</f>
        <v>-397344.47162727115</v>
      </c>
      <c r="AK142" s="22">
        <f ca="1">SUM($C105:AK105)</f>
        <v>-397344.47162727115</v>
      </c>
      <c r="AL142" s="22">
        <f ca="1">SUM($C105:AL105)</f>
        <v>-397344.47162727115</v>
      </c>
      <c r="AM142" s="22">
        <f ca="1">SUM($C105:AM105)</f>
        <v>-397344.47162727115</v>
      </c>
    </row>
    <row r="143" spans="1:39" x14ac:dyDescent="0.2">
      <c r="A143" s="24" t="str">
        <f>B$128</f>
        <v>Sliema</v>
      </c>
      <c r="B143" s="21"/>
      <c r="C143" s="22">
        <f ca="1">SUM($C122:C122)</f>
        <v>0</v>
      </c>
      <c r="D143" s="22">
        <f ca="1">SUM($C122:D122)</f>
        <v>0</v>
      </c>
      <c r="E143" s="22">
        <f ca="1">SUM($C122:E122)</f>
        <v>0</v>
      </c>
      <c r="F143" s="22">
        <f ca="1">SUM($C122:F122)</f>
        <v>0</v>
      </c>
      <c r="G143" s="22">
        <f ca="1">SUM($C122:G122)</f>
        <v>0</v>
      </c>
      <c r="H143" s="22">
        <f ca="1">SUM($C122:H122)</f>
        <v>0</v>
      </c>
      <c r="I143" s="22">
        <f ca="1">SUM($C122:I122)</f>
        <v>0</v>
      </c>
      <c r="J143" s="22">
        <f ca="1">SUM($C122:J122)</f>
        <v>0</v>
      </c>
      <c r="K143" s="22">
        <f ca="1">SUM($C122:K122)</f>
        <v>0</v>
      </c>
      <c r="L143" s="22">
        <f ca="1">SUM($C122:L122)</f>
        <v>0</v>
      </c>
      <c r="M143" s="22">
        <f ca="1">SUM($C122:M122)</f>
        <v>0</v>
      </c>
      <c r="N143" s="22">
        <f ca="1">SUM($C122:N122)</f>
        <v>0</v>
      </c>
      <c r="O143" s="22">
        <f ca="1">SUM($C122:O122)</f>
        <v>0</v>
      </c>
      <c r="P143" s="22">
        <f ca="1">SUM($C122:P122)</f>
        <v>0</v>
      </c>
      <c r="Q143" s="22">
        <f ca="1">SUM($C122:Q122)</f>
        <v>0</v>
      </c>
      <c r="R143" s="22">
        <f ca="1">SUM($C122:R122)</f>
        <v>0</v>
      </c>
      <c r="S143" s="22">
        <f ca="1">SUM($C122:S122)</f>
        <v>0</v>
      </c>
      <c r="T143" s="22">
        <f ca="1">SUM($C122:T122)</f>
        <v>0</v>
      </c>
      <c r="U143" s="22">
        <f ca="1">SUM($C122:U122)</f>
        <v>0</v>
      </c>
      <c r="V143" s="22">
        <f ca="1">SUM($C122:V122)</f>
        <v>0</v>
      </c>
      <c r="W143" s="22">
        <f ca="1">SUM($C122:W122)</f>
        <v>0</v>
      </c>
      <c r="X143" s="22">
        <f ca="1">SUM($C122:X122)</f>
        <v>0</v>
      </c>
      <c r="Y143" s="22">
        <f ca="1">SUM($C122:Y122)</f>
        <v>0</v>
      </c>
      <c r="Z143" s="22">
        <f ca="1">SUM($C122:Z122)</f>
        <v>0</v>
      </c>
      <c r="AA143" s="22">
        <f ca="1">SUM($C122:AA122)</f>
        <v>0</v>
      </c>
      <c r="AB143" s="22">
        <f ca="1">SUM($C122:AB122)</f>
        <v>0</v>
      </c>
      <c r="AC143" s="22">
        <f ca="1">SUM($C122:AC122)</f>
        <v>0</v>
      </c>
      <c r="AD143" s="22">
        <f ca="1">SUM($C122:AD122)</f>
        <v>0</v>
      </c>
      <c r="AE143" s="22">
        <f ca="1">SUM($C122:AE122)</f>
        <v>0</v>
      </c>
      <c r="AF143" s="22">
        <f ca="1">SUM($C122:AF122)</f>
        <v>-706969.6518028134</v>
      </c>
      <c r="AG143" s="22">
        <f ca="1">SUM($C122:AG122)</f>
        <v>-706969.6518028134</v>
      </c>
      <c r="AH143" s="22">
        <f ca="1">SUM($C122:AH122)</f>
        <v>-706969.6518028134</v>
      </c>
      <c r="AI143" s="22">
        <f ca="1">SUM($C122:AI122)</f>
        <v>-706969.6518028134</v>
      </c>
      <c r="AJ143" s="22">
        <f ca="1">SUM($C122:AJ122)</f>
        <v>-706969.6518028134</v>
      </c>
      <c r="AK143" s="22">
        <f ca="1">SUM($C122:AK122)</f>
        <v>-706969.6518028134</v>
      </c>
      <c r="AL143" s="22">
        <f ca="1">SUM($C122:AL122)</f>
        <v>-706969.6518028134</v>
      </c>
      <c r="AM143" s="22">
        <f ca="1">SUM($C122:AM122)</f>
        <v>-706969.6518028134</v>
      </c>
    </row>
    <row r="144" spans="1:39" x14ac:dyDescent="0.2">
      <c r="A144" s="23"/>
      <c r="B144" s="21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</row>
    <row r="145" spans="1:39" x14ac:dyDescent="0.2">
      <c r="A145" s="20" t="s">
        <v>70</v>
      </c>
      <c r="B145" s="21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</row>
    <row r="146" spans="1:39" x14ac:dyDescent="0.2">
      <c r="A146" s="24" t="str">
        <f>$A$58</f>
        <v>Sliema</v>
      </c>
      <c r="B146" s="21"/>
      <c r="C146" s="22">
        <f ca="1">IFERROR(IF(VLOOKUP($A146,$140:$143,C$1+2,FALSE)=0,C58,0),C58)</f>
        <v>309000</v>
      </c>
      <c r="D146" s="22">
        <f ca="1">IFERROR(IF(VLOOKUP($A146,$140:$143,D$1+2,FALSE)=0,D58,0),D58)</f>
        <v>318270</v>
      </c>
      <c r="E146" s="22">
        <f ca="1">IFERROR(IF(VLOOKUP($A146,$140:$143,E$1+2,FALSE)=0,E58,0),E58)</f>
        <v>327818.10000000003</v>
      </c>
      <c r="F146" s="22">
        <f ca="1">IFERROR(IF(VLOOKUP($A146,$140:$143,F$1+2,FALSE)=0,F58,0),F58)</f>
        <v>337652.64300000004</v>
      </c>
      <c r="G146" s="22">
        <f ca="1">IFERROR(IF(VLOOKUP($A146,$140:$143,G$1+2,FALSE)=0,G58,0),G58)</f>
        <v>347782.22229000006</v>
      </c>
      <c r="H146" s="22">
        <f ca="1">IFERROR(IF(VLOOKUP($A146,$140:$143,H$1+2,FALSE)=0,H58,0),H58)</f>
        <v>358215.68895870005</v>
      </c>
      <c r="I146" s="22">
        <f t="shared" ref="I146:AM146" ca="1" si="501">IFERROR(IF(VLOOKUP($A146,$140:$143,I$1+2,FALSE)=0,I58,0),I58)</f>
        <v>368962.15962746105</v>
      </c>
      <c r="J146" s="22">
        <f t="shared" ca="1" si="501"/>
        <v>380031.02441628487</v>
      </c>
      <c r="K146" s="22">
        <f t="shared" ca="1" si="501"/>
        <v>391431.95514877344</v>
      </c>
      <c r="L146" s="22">
        <f t="shared" ca="1" si="501"/>
        <v>403174.91380323668</v>
      </c>
      <c r="M146" s="22">
        <f t="shared" ca="1" si="501"/>
        <v>415270.16121733381</v>
      </c>
      <c r="N146" s="22">
        <f t="shared" ca="1" si="501"/>
        <v>427728.26605385385</v>
      </c>
      <c r="O146" s="22">
        <f t="shared" ca="1" si="501"/>
        <v>440560.11403546948</v>
      </c>
      <c r="P146" s="22">
        <f t="shared" ca="1" si="501"/>
        <v>453776.91745653359</v>
      </c>
      <c r="Q146" s="22">
        <f t="shared" ca="1" si="501"/>
        <v>467390.22498022963</v>
      </c>
      <c r="R146" s="22">
        <f t="shared" ca="1" si="501"/>
        <v>481411.9317296365</v>
      </c>
      <c r="S146" s="22">
        <f t="shared" ca="1" si="501"/>
        <v>495854.28968152561</v>
      </c>
      <c r="T146" s="22">
        <f t="shared" ca="1" si="501"/>
        <v>510729.91837197141</v>
      </c>
      <c r="U146" s="22">
        <f t="shared" ca="1" si="501"/>
        <v>526051.81592313061</v>
      </c>
      <c r="V146" s="22">
        <f t="shared" ca="1" si="501"/>
        <v>541833.37040082458</v>
      </c>
      <c r="W146" s="22">
        <f t="shared" ca="1" si="501"/>
        <v>558088.37151284935</v>
      </c>
      <c r="X146" s="22">
        <f t="shared" ca="1" si="501"/>
        <v>574831.02265823481</v>
      </c>
      <c r="Y146" s="22">
        <f t="shared" ca="1" si="501"/>
        <v>592075.95333798183</v>
      </c>
      <c r="Z146" s="22">
        <f t="shared" ca="1" si="501"/>
        <v>609838.23193812126</v>
      </c>
      <c r="AA146" s="22">
        <f t="shared" ca="1" si="501"/>
        <v>628133.37889626494</v>
      </c>
      <c r="AB146" s="22">
        <f t="shared" ca="1" si="501"/>
        <v>646977.38026315288</v>
      </c>
      <c r="AC146" s="22">
        <f t="shared" ca="1" si="501"/>
        <v>666386.70167104749</v>
      </c>
      <c r="AD146" s="22">
        <f t="shared" ca="1" si="501"/>
        <v>686378.30272117897</v>
      </c>
      <c r="AE146" s="22">
        <f t="shared" ca="1" si="501"/>
        <v>706969.65180281433</v>
      </c>
      <c r="AF146" s="22">
        <f t="shared" ca="1" si="501"/>
        <v>0</v>
      </c>
      <c r="AG146" s="22">
        <f t="shared" ca="1" si="501"/>
        <v>0</v>
      </c>
      <c r="AH146" s="22">
        <f t="shared" ca="1" si="501"/>
        <v>0</v>
      </c>
      <c r="AI146" s="22">
        <f t="shared" ca="1" si="501"/>
        <v>0</v>
      </c>
      <c r="AJ146" s="22">
        <f t="shared" ca="1" si="501"/>
        <v>0</v>
      </c>
      <c r="AK146" s="22">
        <f t="shared" ca="1" si="501"/>
        <v>0</v>
      </c>
      <c r="AL146" s="22">
        <f t="shared" ca="1" si="501"/>
        <v>0</v>
      </c>
      <c r="AM146" s="22">
        <f t="shared" ca="1" si="501"/>
        <v>0</v>
      </c>
    </row>
    <row r="147" spans="1:39" x14ac:dyDescent="0.2">
      <c r="A147" s="24" t="str">
        <f>$A$59</f>
        <v>Gzira</v>
      </c>
      <c r="B147" s="21"/>
      <c r="C147" s="22">
        <f ca="1">IFERROR(IF(VLOOKUP($A147,$140:$143,C$1+2,FALSE)=0,C59,0),C59)</f>
        <v>154500</v>
      </c>
      <c r="D147" s="22">
        <f ca="1">IFERROR(IF(VLOOKUP($A147,$140:$143,D$1+2,FALSE)=0,D59,0),D59)</f>
        <v>159135</v>
      </c>
      <c r="E147" s="22">
        <f ca="1">IFERROR(IF(VLOOKUP($A147,$140:$143,E$1+2,FALSE)=0,E59,0),E59)</f>
        <v>163909.05000000002</v>
      </c>
      <c r="F147" s="22">
        <f ca="1">IFERROR(IF(VLOOKUP($A147,$140:$143,F$1+2,FALSE)=0,F59,0),F59)</f>
        <v>168826.32150000002</v>
      </c>
      <c r="G147" s="22">
        <f ca="1">IFERROR(IF(VLOOKUP($A147,$140:$143,G$1+2,FALSE)=0,G59,0),G59)</f>
        <v>173891.11114500003</v>
      </c>
      <c r="H147" s="22">
        <f ca="1">IFERROR(IF(VLOOKUP($A147,$140:$143,H$1+2,FALSE)=0,H59,0),H59)</f>
        <v>179107.84447935002</v>
      </c>
      <c r="I147" s="22">
        <f t="shared" ref="I147:AM147" ca="1" si="502">IFERROR(IF(VLOOKUP($A147,$140:$143,I$1+2,FALSE)=0,I59,0),I59)</f>
        <v>184481.07981373052</v>
      </c>
      <c r="J147" s="22">
        <f t="shared" ca="1" si="502"/>
        <v>190015.51220814243</v>
      </c>
      <c r="K147" s="22">
        <f t="shared" ca="1" si="502"/>
        <v>195715.97757438672</v>
      </c>
      <c r="L147" s="22">
        <f t="shared" ca="1" si="502"/>
        <v>201587.45690161834</v>
      </c>
      <c r="M147" s="22">
        <f t="shared" ca="1" si="502"/>
        <v>0</v>
      </c>
      <c r="N147" s="22">
        <f t="shared" ca="1" si="502"/>
        <v>0</v>
      </c>
      <c r="O147" s="22">
        <f t="shared" ca="1" si="502"/>
        <v>0</v>
      </c>
      <c r="P147" s="22">
        <f t="shared" ca="1" si="502"/>
        <v>0</v>
      </c>
      <c r="Q147" s="22">
        <f t="shared" ca="1" si="502"/>
        <v>0</v>
      </c>
      <c r="R147" s="22">
        <f t="shared" ca="1" si="502"/>
        <v>0</v>
      </c>
      <c r="S147" s="22">
        <f t="shared" ca="1" si="502"/>
        <v>0</v>
      </c>
      <c r="T147" s="22">
        <f t="shared" ca="1" si="502"/>
        <v>0</v>
      </c>
      <c r="U147" s="22">
        <f t="shared" ca="1" si="502"/>
        <v>0</v>
      </c>
      <c r="V147" s="22">
        <f t="shared" ca="1" si="502"/>
        <v>0</v>
      </c>
      <c r="W147" s="22">
        <f t="shared" ca="1" si="502"/>
        <v>0</v>
      </c>
      <c r="X147" s="22">
        <f t="shared" ca="1" si="502"/>
        <v>0</v>
      </c>
      <c r="Y147" s="22">
        <f t="shared" ca="1" si="502"/>
        <v>0</v>
      </c>
      <c r="Z147" s="22">
        <f t="shared" ca="1" si="502"/>
        <v>0</v>
      </c>
      <c r="AA147" s="22">
        <f t="shared" ca="1" si="502"/>
        <v>0</v>
      </c>
      <c r="AB147" s="22">
        <f t="shared" ca="1" si="502"/>
        <v>0</v>
      </c>
      <c r="AC147" s="22">
        <f t="shared" ca="1" si="502"/>
        <v>0</v>
      </c>
      <c r="AD147" s="22">
        <f t="shared" ca="1" si="502"/>
        <v>0</v>
      </c>
      <c r="AE147" s="22">
        <f t="shared" ca="1" si="502"/>
        <v>0</v>
      </c>
      <c r="AF147" s="22">
        <f t="shared" ca="1" si="502"/>
        <v>0</v>
      </c>
      <c r="AG147" s="22">
        <f t="shared" ca="1" si="502"/>
        <v>0</v>
      </c>
      <c r="AH147" s="22">
        <f t="shared" ca="1" si="502"/>
        <v>0</v>
      </c>
      <c r="AI147" s="22">
        <f t="shared" ca="1" si="502"/>
        <v>0</v>
      </c>
      <c r="AJ147" s="22">
        <f t="shared" ca="1" si="502"/>
        <v>0</v>
      </c>
      <c r="AK147" s="22">
        <f t="shared" ca="1" si="502"/>
        <v>0</v>
      </c>
      <c r="AL147" s="22">
        <f t="shared" ca="1" si="502"/>
        <v>0</v>
      </c>
      <c r="AM147" s="22">
        <f t="shared" ca="1" si="502"/>
        <v>0</v>
      </c>
    </row>
    <row r="148" spans="1:39" x14ac:dyDescent="0.2">
      <c r="A148" s="24" t="str">
        <f>$A$60</f>
        <v>Qormi</v>
      </c>
      <c r="B148" s="21"/>
      <c r="C148" s="22">
        <f ca="1">IFERROR(IF(VLOOKUP($A148,$140:$143,C$1+2,FALSE)=0,C60,0),C60)</f>
        <v>226600</v>
      </c>
      <c r="D148" s="22">
        <f ca="1">IFERROR(IF(VLOOKUP($A148,$140:$143,D$1+2,FALSE)=0,D60,0),D60)</f>
        <v>233398</v>
      </c>
      <c r="E148" s="22">
        <f ca="1">IFERROR(IF(VLOOKUP($A148,$140:$143,E$1+2,FALSE)=0,E60,0),E60)</f>
        <v>240399.94</v>
      </c>
      <c r="F148" s="22">
        <f ca="1">IFERROR(IF(VLOOKUP($A148,$140:$143,F$1+2,FALSE)=0,F60,0),F60)</f>
        <v>247611.9382</v>
      </c>
      <c r="G148" s="22">
        <f ca="1">IFERROR(IF(VLOOKUP($A148,$140:$143,G$1+2,FALSE)=0,G60,0),G60)</f>
        <v>255040.29634600002</v>
      </c>
      <c r="H148" s="22">
        <f ca="1">IFERROR(IF(VLOOKUP($A148,$140:$143,H$1+2,FALSE)=0,H60,0),H60)</f>
        <v>262691.50523638004</v>
      </c>
      <c r="I148" s="22">
        <f t="shared" ref="I148:AM148" ca="1" si="503">IFERROR(IF(VLOOKUP($A148,$140:$143,I$1+2,FALSE)=0,I60,0),I60)</f>
        <v>270572.25039347145</v>
      </c>
      <c r="J148" s="22">
        <f t="shared" ca="1" si="503"/>
        <v>278689.41790527559</v>
      </c>
      <c r="K148" s="22">
        <f t="shared" ca="1" si="503"/>
        <v>287050.10044243385</v>
      </c>
      <c r="L148" s="22">
        <f t="shared" ca="1" si="503"/>
        <v>295661.60345570685</v>
      </c>
      <c r="M148" s="22">
        <f t="shared" ca="1" si="503"/>
        <v>304531.45155937807</v>
      </c>
      <c r="N148" s="22">
        <f t="shared" ca="1" si="503"/>
        <v>313667.39510615944</v>
      </c>
      <c r="O148" s="22">
        <f t="shared" ca="1" si="503"/>
        <v>323077.41695934423</v>
      </c>
      <c r="P148" s="22">
        <f t="shared" ca="1" si="503"/>
        <v>332769.73946812458</v>
      </c>
      <c r="Q148" s="22">
        <f t="shared" ca="1" si="503"/>
        <v>342752.8316521683</v>
      </c>
      <c r="R148" s="22">
        <f t="shared" ca="1" si="503"/>
        <v>353035.41660173336</v>
      </c>
      <c r="S148" s="22">
        <f t="shared" ca="1" si="503"/>
        <v>363626.47909978539</v>
      </c>
      <c r="T148" s="22">
        <f t="shared" ca="1" si="503"/>
        <v>374535.27347277896</v>
      </c>
      <c r="U148" s="22">
        <f t="shared" ca="1" si="503"/>
        <v>385771.33167696232</v>
      </c>
      <c r="V148" s="22">
        <f t="shared" ca="1" si="503"/>
        <v>397344.47162727121</v>
      </c>
      <c r="W148" s="22">
        <f t="shared" ca="1" si="503"/>
        <v>0</v>
      </c>
      <c r="X148" s="22">
        <f t="shared" ca="1" si="503"/>
        <v>0</v>
      </c>
      <c r="Y148" s="22">
        <f t="shared" ca="1" si="503"/>
        <v>0</v>
      </c>
      <c r="Z148" s="22">
        <f t="shared" ca="1" si="503"/>
        <v>0</v>
      </c>
      <c r="AA148" s="22">
        <f t="shared" ca="1" si="503"/>
        <v>0</v>
      </c>
      <c r="AB148" s="22">
        <f t="shared" ca="1" si="503"/>
        <v>0</v>
      </c>
      <c r="AC148" s="22">
        <f t="shared" ca="1" si="503"/>
        <v>0</v>
      </c>
      <c r="AD148" s="22">
        <f t="shared" ca="1" si="503"/>
        <v>0</v>
      </c>
      <c r="AE148" s="22">
        <f t="shared" ca="1" si="503"/>
        <v>0</v>
      </c>
      <c r="AF148" s="22">
        <f t="shared" ca="1" si="503"/>
        <v>0</v>
      </c>
      <c r="AG148" s="22">
        <f t="shared" ca="1" si="503"/>
        <v>0</v>
      </c>
      <c r="AH148" s="22">
        <f t="shared" ca="1" si="503"/>
        <v>0</v>
      </c>
      <c r="AI148" s="22">
        <f t="shared" ca="1" si="503"/>
        <v>0</v>
      </c>
      <c r="AJ148" s="22">
        <f t="shared" ca="1" si="503"/>
        <v>0</v>
      </c>
      <c r="AK148" s="22">
        <f t="shared" ca="1" si="503"/>
        <v>0</v>
      </c>
      <c r="AL148" s="22">
        <f t="shared" ca="1" si="503"/>
        <v>0</v>
      </c>
      <c r="AM148" s="22">
        <f t="shared" ca="1" si="503"/>
        <v>0</v>
      </c>
    </row>
    <row r="149" spans="1:39" x14ac:dyDescent="0.2"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</row>
    <row r="150" spans="1:39" x14ac:dyDescent="0.2">
      <c r="A150" s="20" t="s">
        <v>67</v>
      </c>
      <c r="B150" s="21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</row>
    <row r="151" spans="1:39" x14ac:dyDescent="0.2">
      <c r="A151" s="24" t="str">
        <f>B$94</f>
        <v>Gzira</v>
      </c>
      <c r="B151" s="21"/>
      <c r="C151" s="22">
        <f ca="1">SUM($C94:C94)</f>
        <v>0</v>
      </c>
      <c r="D151" s="22">
        <f ca="1">SUM($C94:D94)</f>
        <v>0</v>
      </c>
      <c r="E151" s="22">
        <f ca="1">SUM($C94:E94)</f>
        <v>0</v>
      </c>
      <c r="F151" s="22">
        <f ca="1">SUM($C94:F94)</f>
        <v>0</v>
      </c>
      <c r="G151" s="22">
        <f ca="1">SUM($C94:G94)</f>
        <v>0</v>
      </c>
      <c r="H151" s="22">
        <f ca="1">SUM($C94:H94)</f>
        <v>0</v>
      </c>
      <c r="I151" s="22">
        <f ca="1">SUM($C94:I94)</f>
        <v>0</v>
      </c>
      <c r="J151" s="22">
        <f ca="1">SUM($C94:J94)</f>
        <v>0</v>
      </c>
      <c r="K151" s="22">
        <f ca="1">SUM($C94:K94)</f>
        <v>0</v>
      </c>
      <c r="L151" s="22">
        <f ca="1">SUM($C94:L94)</f>
        <v>0</v>
      </c>
      <c r="M151" s="22">
        <f ca="1">SUM($C94:M94)</f>
        <v>0</v>
      </c>
      <c r="N151" s="22">
        <f ca="1">SUM($C94:N94)</f>
        <v>0</v>
      </c>
      <c r="O151" s="22">
        <f ca="1">SUM($C94:O94)</f>
        <v>0</v>
      </c>
      <c r="P151" s="22">
        <f ca="1">SUM($C94:P94)</f>
        <v>0</v>
      </c>
      <c r="Q151" s="22">
        <f ca="1">SUM($C94:Q94)</f>
        <v>0</v>
      </c>
      <c r="R151" s="22">
        <f ca="1">SUM($C94:R94)</f>
        <v>0</v>
      </c>
      <c r="S151" s="22">
        <f ca="1">SUM($C94:S94)</f>
        <v>0</v>
      </c>
      <c r="T151" s="22">
        <f ca="1">SUM($C94:T94)</f>
        <v>0</v>
      </c>
      <c r="U151" s="22">
        <f ca="1">SUM($C94:U94)</f>
        <v>0</v>
      </c>
      <c r="V151" s="22">
        <f ca="1">SUM($C94:V94)</f>
        <v>0</v>
      </c>
      <c r="W151" s="22">
        <f ca="1">SUM($C94:W94)</f>
        <v>0</v>
      </c>
      <c r="X151" s="22">
        <f ca="1">SUM($C94:X94)</f>
        <v>0</v>
      </c>
      <c r="Y151" s="22">
        <f ca="1">SUM($C94:Y94)</f>
        <v>0</v>
      </c>
      <c r="Z151" s="22">
        <f ca="1">SUM($C94:Z94)</f>
        <v>0</v>
      </c>
      <c r="AA151" s="22">
        <f ca="1">SUM($C94:AA94)</f>
        <v>0</v>
      </c>
      <c r="AB151" s="22">
        <f ca="1">SUM($C94:AB94)</f>
        <v>0</v>
      </c>
      <c r="AC151" s="22">
        <f ca="1">SUM($C94:AC94)</f>
        <v>0</v>
      </c>
      <c r="AD151" s="22">
        <f ca="1">SUM($C94:AD94)</f>
        <v>0</v>
      </c>
      <c r="AE151" s="22">
        <f ca="1">SUM($C94:AE94)</f>
        <v>0</v>
      </c>
      <c r="AF151" s="22">
        <f ca="1">SUM($C94:AF94)</f>
        <v>0</v>
      </c>
      <c r="AG151" s="22">
        <f ca="1">SUM($C94:AG94)</f>
        <v>0</v>
      </c>
      <c r="AH151" s="22">
        <f ca="1">SUM($C94:AH94)</f>
        <v>0</v>
      </c>
      <c r="AI151" s="22">
        <f ca="1">SUM($C94:AI94)</f>
        <v>0</v>
      </c>
      <c r="AJ151" s="22">
        <f ca="1">SUM($C94:AJ94)</f>
        <v>0</v>
      </c>
      <c r="AK151" s="22">
        <f ca="1">SUM($C94:AK94)</f>
        <v>0</v>
      </c>
      <c r="AL151" s="22">
        <f ca="1">SUM($C94:AL94)</f>
        <v>0</v>
      </c>
      <c r="AM151" s="22">
        <f ca="1">SUM($C94:AM94)</f>
        <v>0</v>
      </c>
    </row>
    <row r="152" spans="1:39" x14ac:dyDescent="0.2">
      <c r="A152" s="24" t="str">
        <f>B$111</f>
        <v>Qormi</v>
      </c>
      <c r="B152" s="21"/>
      <c r="C152" s="22">
        <f ca="1">SUM($C111:C111)</f>
        <v>0</v>
      </c>
      <c r="D152" s="22">
        <f ca="1">SUM($C111:D111)</f>
        <v>0</v>
      </c>
      <c r="E152" s="22">
        <f ca="1">SUM($C111:E111)</f>
        <v>0</v>
      </c>
      <c r="F152" s="22">
        <f ca="1">SUM($C111:F111)</f>
        <v>0</v>
      </c>
      <c r="G152" s="22">
        <f ca="1">SUM($C111:G111)</f>
        <v>0</v>
      </c>
      <c r="H152" s="22">
        <f ca="1">SUM($C111:H111)</f>
        <v>0</v>
      </c>
      <c r="I152" s="22">
        <f ca="1">SUM($C111:I111)</f>
        <v>0</v>
      </c>
      <c r="J152" s="22">
        <f ca="1">SUM($C111:J111)</f>
        <v>0</v>
      </c>
      <c r="K152" s="22">
        <f ca="1">SUM($C111:K111)</f>
        <v>0</v>
      </c>
      <c r="L152" s="22">
        <f ca="1">SUM($C111:L111)</f>
        <v>0</v>
      </c>
      <c r="M152" s="22">
        <f ca="1">SUM($C111:M111)</f>
        <v>0</v>
      </c>
      <c r="N152" s="22">
        <f ca="1">SUM($C111:N111)</f>
        <v>0</v>
      </c>
      <c r="O152" s="22">
        <f ca="1">SUM($C111:O111)</f>
        <v>0</v>
      </c>
      <c r="P152" s="22">
        <f ca="1">SUM($C111:P111)</f>
        <v>0</v>
      </c>
      <c r="Q152" s="22">
        <f ca="1">SUM($C111:Q111)</f>
        <v>0</v>
      </c>
      <c r="R152" s="22">
        <f ca="1">SUM($C111:R111)</f>
        <v>0</v>
      </c>
      <c r="S152" s="22">
        <f ca="1">SUM($C111:S111)</f>
        <v>0</v>
      </c>
      <c r="T152" s="22">
        <f ca="1">SUM($C111:T111)</f>
        <v>0</v>
      </c>
      <c r="U152" s="22">
        <f ca="1">SUM($C111:U111)</f>
        <v>0</v>
      </c>
      <c r="V152" s="22">
        <f ca="1">SUM($C111:V111)</f>
        <v>0</v>
      </c>
      <c r="W152" s="22">
        <f ca="1">SUM($C111:W111)</f>
        <v>0</v>
      </c>
      <c r="X152" s="22">
        <f ca="1">SUM($C111:X111)</f>
        <v>0</v>
      </c>
      <c r="Y152" s="22">
        <f ca="1">SUM($C111:Y111)</f>
        <v>0</v>
      </c>
      <c r="Z152" s="22">
        <f ca="1">SUM($C111:Z111)</f>
        <v>0</v>
      </c>
      <c r="AA152" s="22">
        <f ca="1">SUM($C111:AA111)</f>
        <v>0</v>
      </c>
      <c r="AB152" s="22">
        <f ca="1">SUM($C111:AB111)</f>
        <v>0</v>
      </c>
      <c r="AC152" s="22">
        <f ca="1">SUM($C111:AC111)</f>
        <v>0</v>
      </c>
      <c r="AD152" s="22">
        <f ca="1">SUM($C111:AD111)</f>
        <v>0</v>
      </c>
      <c r="AE152" s="22">
        <f ca="1">SUM($C111:AE111)</f>
        <v>0</v>
      </c>
      <c r="AF152" s="22">
        <f ca="1">SUM($C111:AF111)</f>
        <v>0</v>
      </c>
      <c r="AG152" s="22">
        <f ca="1">SUM($C111:AG111)</f>
        <v>0</v>
      </c>
      <c r="AH152" s="22">
        <f ca="1">SUM($C111:AH111)</f>
        <v>0</v>
      </c>
      <c r="AI152" s="22">
        <f ca="1">SUM($C111:AI111)</f>
        <v>0</v>
      </c>
      <c r="AJ152" s="22">
        <f ca="1">SUM($C111:AJ111)</f>
        <v>0</v>
      </c>
      <c r="AK152" s="22">
        <f ca="1">SUM($C111:AK111)</f>
        <v>0</v>
      </c>
      <c r="AL152" s="22">
        <f ca="1">SUM($C111:AL111)</f>
        <v>0</v>
      </c>
      <c r="AM152" s="22">
        <f ca="1">SUM($C111:AM111)</f>
        <v>0</v>
      </c>
    </row>
    <row r="153" spans="1:39" x14ac:dyDescent="0.2">
      <c r="A153" s="24" t="str">
        <f>B$128</f>
        <v>Sliema</v>
      </c>
      <c r="B153" s="21"/>
      <c r="C153" s="22">
        <f ca="1">SUM($C128:C128)</f>
        <v>0</v>
      </c>
      <c r="D153" s="22">
        <f ca="1">SUM($C128:D128)</f>
        <v>0</v>
      </c>
      <c r="E153" s="22">
        <f ca="1">SUM($C128:E128)</f>
        <v>0</v>
      </c>
      <c r="F153" s="22">
        <f ca="1">SUM($C128:F128)</f>
        <v>0</v>
      </c>
      <c r="G153" s="22">
        <f ca="1">SUM($C128:G128)</f>
        <v>0</v>
      </c>
      <c r="H153" s="22">
        <f ca="1">SUM($C128:H128)</f>
        <v>0</v>
      </c>
      <c r="I153" s="22">
        <f ca="1">SUM($C128:I128)</f>
        <v>0</v>
      </c>
      <c r="J153" s="22">
        <f ca="1">SUM($C128:J128)</f>
        <v>0</v>
      </c>
      <c r="K153" s="22">
        <f ca="1">SUM($C128:K128)</f>
        <v>0</v>
      </c>
      <c r="L153" s="22">
        <f ca="1">SUM($C128:L128)</f>
        <v>0</v>
      </c>
      <c r="M153" s="22">
        <f ca="1">SUM($C128:M128)</f>
        <v>0</v>
      </c>
      <c r="N153" s="22">
        <f ca="1">SUM($C128:N128)</f>
        <v>0</v>
      </c>
      <c r="O153" s="22">
        <f ca="1">SUM($C128:O128)</f>
        <v>0</v>
      </c>
      <c r="P153" s="22">
        <f ca="1">SUM($C128:P128)</f>
        <v>0</v>
      </c>
      <c r="Q153" s="22">
        <f ca="1">SUM($C128:Q128)</f>
        <v>0</v>
      </c>
      <c r="R153" s="22">
        <f ca="1">SUM($C128:R128)</f>
        <v>0</v>
      </c>
      <c r="S153" s="22">
        <f ca="1">SUM($C128:S128)</f>
        <v>0</v>
      </c>
      <c r="T153" s="22">
        <f ca="1">SUM($C128:T128)</f>
        <v>0</v>
      </c>
      <c r="U153" s="22">
        <f ca="1">SUM($C128:U128)</f>
        <v>0</v>
      </c>
      <c r="V153" s="22">
        <f ca="1">SUM($C128:V128)</f>
        <v>0</v>
      </c>
      <c r="W153" s="22">
        <f ca="1">SUM($C128:W128)</f>
        <v>0</v>
      </c>
      <c r="X153" s="22">
        <f ca="1">SUM($C128:X128)</f>
        <v>0</v>
      </c>
      <c r="Y153" s="22">
        <f ca="1">SUM($C128:Y128)</f>
        <v>0</v>
      </c>
      <c r="Z153" s="22">
        <f ca="1">SUM($C128:Z128)</f>
        <v>0</v>
      </c>
      <c r="AA153" s="22">
        <f ca="1">SUM($C128:AA128)</f>
        <v>0</v>
      </c>
      <c r="AB153" s="22">
        <f ca="1">SUM($C128:AB128)</f>
        <v>0</v>
      </c>
      <c r="AC153" s="22">
        <f ca="1">SUM($C128:AC128)</f>
        <v>0</v>
      </c>
      <c r="AD153" s="22">
        <f ca="1">SUM($C128:AD128)</f>
        <v>0</v>
      </c>
      <c r="AE153" s="22">
        <f ca="1">SUM($C128:AE128)</f>
        <v>0</v>
      </c>
      <c r="AF153" s="22">
        <f ca="1">SUM($C128:AF128)</f>
        <v>0</v>
      </c>
      <c r="AG153" s="22">
        <f ca="1">SUM($C128:AG128)</f>
        <v>0</v>
      </c>
      <c r="AH153" s="22">
        <f ca="1">SUM($C128:AH128)</f>
        <v>0</v>
      </c>
      <c r="AI153" s="22">
        <f ca="1">SUM($C128:AI128)</f>
        <v>0</v>
      </c>
      <c r="AJ153" s="22">
        <f ca="1">SUM($C128:AJ128)</f>
        <v>0</v>
      </c>
      <c r="AK153" s="22">
        <f ca="1">SUM($C128:AK128)</f>
        <v>0</v>
      </c>
      <c r="AL153" s="22">
        <f ca="1">SUM($C128:AL128)</f>
        <v>0</v>
      </c>
      <c r="AM153" s="22">
        <f ca="1">SUM($C128:AM128)</f>
        <v>0</v>
      </c>
    </row>
    <row r="154" spans="1:39" x14ac:dyDescent="0.2">
      <c r="A154" s="23"/>
      <c r="B154" s="21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</row>
    <row r="155" spans="1:39" x14ac:dyDescent="0.2">
      <c r="A155" s="4" t="s">
        <v>55</v>
      </c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</row>
    <row r="156" spans="1:39" x14ac:dyDescent="0.2">
      <c r="A156" s="18" t="str">
        <f>$A$58</f>
        <v>Sliema</v>
      </c>
      <c r="C156" s="8">
        <f ca="1">IFERROR(IF(VLOOKUP($A156,$150:$153,C$1+2,FALSE)=0,C64,0),C64)</f>
        <v>-45437.606462973985</v>
      </c>
      <c r="D156" s="8">
        <f ca="1">IFERROR(IF(VLOOKUP($A156,$150:$153,D$1+2,FALSE)=0,D64,0),D64)</f>
        <v>-40736.443360703342</v>
      </c>
      <c r="E156" s="8">
        <f ca="1">IFERROR(IF(VLOOKUP($A156,$150:$153,E$1+2,FALSE)=0,E64,0),E64)</f>
        <v>-35892.289884070618</v>
      </c>
      <c r="F156" s="8">
        <f ca="1">IFERROR(IF(VLOOKUP($A156,$150:$153,F$1+2,FALSE)=0,F64,0),F64)</f>
        <v>-30900.796844010245</v>
      </c>
      <c r="G156" s="8">
        <f ca="1">IFERROR(IF(VLOOKUP($A156,$150:$153,G$1+2,FALSE)=0,G64,0),G64)</f>
        <v>-25757.48276670936</v>
      </c>
      <c r="H156" s="8">
        <f ca="1">IFERROR(IF(VLOOKUP($A156,$150:$153,H$1+2,FALSE)=0,H64,0),H64)</f>
        <v>-20457.729870040646</v>
      </c>
      <c r="I156" s="8">
        <f t="shared" ref="I156:AM156" ca="1" si="504">IFERROR(IF(VLOOKUP($A156,$150:$153,I$1+2,FALSE)=0,I64,0),I64)</f>
        <v>-14996.779917614593</v>
      </c>
      <c r="J156" s="8">
        <f t="shared" ca="1" si="504"/>
        <v>-9369.7299467287376</v>
      </c>
      <c r="K156" s="8">
        <f t="shared" ca="1" si="504"/>
        <v>-3571.5278663783029</v>
      </c>
      <c r="L156" s="8">
        <f t="shared" ca="1" si="504"/>
        <v>0</v>
      </c>
      <c r="M156" s="8">
        <f t="shared" ca="1" si="504"/>
        <v>0</v>
      </c>
      <c r="N156" s="8">
        <f t="shared" ca="1" si="504"/>
        <v>0</v>
      </c>
      <c r="O156" s="8">
        <f t="shared" ca="1" si="504"/>
        <v>0</v>
      </c>
      <c r="P156" s="8">
        <f t="shared" ca="1" si="504"/>
        <v>0</v>
      </c>
      <c r="Q156" s="8">
        <f t="shared" ca="1" si="504"/>
        <v>0</v>
      </c>
      <c r="R156" s="8">
        <f t="shared" ca="1" si="504"/>
        <v>0</v>
      </c>
      <c r="S156" s="8">
        <f t="shared" ca="1" si="504"/>
        <v>0</v>
      </c>
      <c r="T156" s="8">
        <f t="shared" ca="1" si="504"/>
        <v>0</v>
      </c>
      <c r="U156" s="8">
        <f t="shared" ca="1" si="504"/>
        <v>0</v>
      </c>
      <c r="V156" s="8">
        <f t="shared" ca="1" si="504"/>
        <v>0</v>
      </c>
      <c r="W156" s="8">
        <f t="shared" ca="1" si="504"/>
        <v>0</v>
      </c>
      <c r="X156" s="8">
        <f t="shared" ca="1" si="504"/>
        <v>0</v>
      </c>
      <c r="Y156" s="8">
        <f t="shared" ca="1" si="504"/>
        <v>0</v>
      </c>
      <c r="Z156" s="8">
        <f t="shared" ca="1" si="504"/>
        <v>0</v>
      </c>
      <c r="AA156" s="8">
        <f t="shared" ca="1" si="504"/>
        <v>0</v>
      </c>
      <c r="AB156" s="8">
        <f t="shared" ca="1" si="504"/>
        <v>0</v>
      </c>
      <c r="AC156" s="8">
        <f t="shared" ca="1" si="504"/>
        <v>0</v>
      </c>
      <c r="AD156" s="8">
        <f t="shared" ca="1" si="504"/>
        <v>0</v>
      </c>
      <c r="AE156" s="8">
        <f t="shared" ca="1" si="504"/>
        <v>0</v>
      </c>
      <c r="AF156" s="8">
        <f t="shared" ca="1" si="504"/>
        <v>0</v>
      </c>
      <c r="AG156" s="8">
        <f t="shared" ca="1" si="504"/>
        <v>0</v>
      </c>
      <c r="AH156" s="8">
        <f t="shared" ca="1" si="504"/>
        <v>0</v>
      </c>
      <c r="AI156" s="8">
        <f t="shared" ca="1" si="504"/>
        <v>0</v>
      </c>
      <c r="AJ156" s="8">
        <f t="shared" ca="1" si="504"/>
        <v>0</v>
      </c>
      <c r="AK156" s="8">
        <f t="shared" ca="1" si="504"/>
        <v>0</v>
      </c>
      <c r="AL156" s="8">
        <f t="shared" ca="1" si="504"/>
        <v>0</v>
      </c>
      <c r="AM156" s="8">
        <f t="shared" ca="1" si="504"/>
        <v>0</v>
      </c>
    </row>
    <row r="157" spans="1:39" x14ac:dyDescent="0.2">
      <c r="A157" s="18" t="str">
        <f>$A$59</f>
        <v>Gzira</v>
      </c>
      <c r="C157" s="8">
        <f ca="1">IFERROR(IF(VLOOKUP($A157,$150:$153,C$1+2,FALSE)=0,C65,0),C65)</f>
        <v>-6249.4443415125261</v>
      </c>
      <c r="D157" s="8">
        <f ca="1">IFERROR(IF(VLOOKUP($A157,$150:$153,D$1+2,FALSE)=0,D65,0),D65)</f>
        <v>-3953.4626671330816</v>
      </c>
      <c r="E157" s="8">
        <f ca="1">IFERROR(IF(VLOOKUP($A157,$150:$153,E$1+2,FALSE)=0,E65,0),E65)</f>
        <v>-1611.1380819997976</v>
      </c>
      <c r="F157" s="8">
        <f ca="1">IFERROR(IF(VLOOKUP($A157,$150:$153,F$1+2,FALSE)=0,F65,0),F65)</f>
        <v>0</v>
      </c>
      <c r="G157" s="8">
        <f ca="1">IFERROR(IF(VLOOKUP($A157,$150:$153,G$1+2,FALSE)=0,G65,0),G65)</f>
        <v>0</v>
      </c>
      <c r="H157" s="8">
        <f ca="1">IFERROR(IF(VLOOKUP($A157,$150:$153,H$1+2,FALSE)=0,H65,0),H65)</f>
        <v>0</v>
      </c>
      <c r="I157" s="8">
        <f t="shared" ref="I157:AM157" ca="1" si="505">IFERROR(IF(VLOOKUP($A157,$150:$153,I$1+2,FALSE)=0,I65,0),I65)</f>
        <v>0</v>
      </c>
      <c r="J157" s="8">
        <f t="shared" ca="1" si="505"/>
        <v>0</v>
      </c>
      <c r="K157" s="8">
        <f t="shared" ca="1" si="505"/>
        <v>0</v>
      </c>
      <c r="L157" s="8">
        <f t="shared" ca="1" si="505"/>
        <v>0</v>
      </c>
      <c r="M157" s="8">
        <f t="shared" ca="1" si="505"/>
        <v>0</v>
      </c>
      <c r="N157" s="8">
        <f t="shared" ca="1" si="505"/>
        <v>0</v>
      </c>
      <c r="O157" s="8">
        <f t="shared" ca="1" si="505"/>
        <v>0</v>
      </c>
      <c r="P157" s="8">
        <f t="shared" ca="1" si="505"/>
        <v>0</v>
      </c>
      <c r="Q157" s="8">
        <f t="shared" ca="1" si="505"/>
        <v>0</v>
      </c>
      <c r="R157" s="8">
        <f t="shared" ca="1" si="505"/>
        <v>0</v>
      </c>
      <c r="S157" s="8">
        <f t="shared" ca="1" si="505"/>
        <v>0</v>
      </c>
      <c r="T157" s="8">
        <f t="shared" ca="1" si="505"/>
        <v>0</v>
      </c>
      <c r="U157" s="8">
        <f t="shared" ca="1" si="505"/>
        <v>0</v>
      </c>
      <c r="V157" s="8">
        <f t="shared" ca="1" si="505"/>
        <v>0</v>
      </c>
      <c r="W157" s="8">
        <f t="shared" ca="1" si="505"/>
        <v>0</v>
      </c>
      <c r="X157" s="8">
        <f t="shared" ca="1" si="505"/>
        <v>0</v>
      </c>
      <c r="Y157" s="8">
        <f t="shared" ca="1" si="505"/>
        <v>0</v>
      </c>
      <c r="Z157" s="8">
        <f t="shared" ca="1" si="505"/>
        <v>0</v>
      </c>
      <c r="AA157" s="8">
        <f t="shared" ca="1" si="505"/>
        <v>0</v>
      </c>
      <c r="AB157" s="8">
        <f t="shared" ca="1" si="505"/>
        <v>0</v>
      </c>
      <c r="AC157" s="8">
        <f t="shared" ca="1" si="505"/>
        <v>0</v>
      </c>
      <c r="AD157" s="8">
        <f t="shared" ca="1" si="505"/>
        <v>0</v>
      </c>
      <c r="AE157" s="8">
        <f t="shared" ca="1" si="505"/>
        <v>0</v>
      </c>
      <c r="AF157" s="8">
        <f t="shared" ca="1" si="505"/>
        <v>0</v>
      </c>
      <c r="AG157" s="8">
        <f t="shared" ca="1" si="505"/>
        <v>0</v>
      </c>
      <c r="AH157" s="8">
        <f t="shared" ca="1" si="505"/>
        <v>0</v>
      </c>
      <c r="AI157" s="8">
        <f t="shared" ca="1" si="505"/>
        <v>0</v>
      </c>
      <c r="AJ157" s="8">
        <f t="shared" ca="1" si="505"/>
        <v>0</v>
      </c>
      <c r="AK157" s="8">
        <f t="shared" ca="1" si="505"/>
        <v>0</v>
      </c>
      <c r="AL157" s="8">
        <f t="shared" ca="1" si="505"/>
        <v>0</v>
      </c>
      <c r="AM157" s="8">
        <f t="shared" ca="1" si="505"/>
        <v>0</v>
      </c>
    </row>
    <row r="158" spans="1:39" x14ac:dyDescent="0.2">
      <c r="A158" s="18" t="str">
        <f>$A$60</f>
        <v>Qormi</v>
      </c>
      <c r="C158" s="8">
        <f ca="1">IFERROR(IF(VLOOKUP($A158,$150:$153,C$1+2,FALSE)=0,C66,0),C66)</f>
        <v>-12697.714595321995</v>
      </c>
      <c r="D158" s="8">
        <f ca="1">IFERROR(IF(VLOOKUP($A158,$150:$153,D$1+2,FALSE)=0,D66,0),D66)</f>
        <v>-10277.63989987525</v>
      </c>
      <c r="E158" s="8">
        <f ca="1">IFERROR(IF(VLOOKUP($A158,$150:$153,E$1+2,FALSE)=0,E66,0),E66)</f>
        <v>-7733.7495899939004</v>
      </c>
      <c r="F158" s="8">
        <f ca="1">IFERROR(IF(VLOOKUP($A158,$150:$153,F$1+2,FALSE)=0,F66,0),F66)</f>
        <v>-5059.7090238560577</v>
      </c>
      <c r="G158" s="8">
        <f ca="1">IFERROR(IF(VLOOKUP($A158,$150:$153,G$1+2,FALSE)=0,G66,0),G66)</f>
        <v>-2248.8594673418665</v>
      </c>
      <c r="H158" s="8">
        <f ca="1">IFERROR(IF(VLOOKUP($A158,$150:$153,H$1+2,FALSE)=0,H66,0),H66)</f>
        <v>0</v>
      </c>
      <c r="I158" s="8">
        <f t="shared" ref="I158:AM158" ca="1" si="506">IFERROR(IF(VLOOKUP($A158,$150:$153,I$1+2,FALSE)=0,I66,0),I66)</f>
        <v>0</v>
      </c>
      <c r="J158" s="8">
        <f t="shared" ca="1" si="506"/>
        <v>0</v>
      </c>
      <c r="K158" s="8">
        <f t="shared" ca="1" si="506"/>
        <v>0</v>
      </c>
      <c r="L158" s="8">
        <f t="shared" ca="1" si="506"/>
        <v>0</v>
      </c>
      <c r="M158" s="8">
        <f t="shared" ca="1" si="506"/>
        <v>0</v>
      </c>
      <c r="N158" s="8">
        <f t="shared" ca="1" si="506"/>
        <v>0</v>
      </c>
      <c r="O158" s="8">
        <f t="shared" ca="1" si="506"/>
        <v>0</v>
      </c>
      <c r="P158" s="8">
        <f t="shared" ca="1" si="506"/>
        <v>0</v>
      </c>
      <c r="Q158" s="8">
        <f t="shared" ca="1" si="506"/>
        <v>0</v>
      </c>
      <c r="R158" s="8">
        <f t="shared" ca="1" si="506"/>
        <v>0</v>
      </c>
      <c r="S158" s="8">
        <f t="shared" ca="1" si="506"/>
        <v>0</v>
      </c>
      <c r="T158" s="8">
        <f t="shared" ca="1" si="506"/>
        <v>0</v>
      </c>
      <c r="U158" s="8">
        <f t="shared" ca="1" si="506"/>
        <v>0</v>
      </c>
      <c r="V158" s="8">
        <f t="shared" ca="1" si="506"/>
        <v>0</v>
      </c>
      <c r="W158" s="8">
        <f t="shared" ca="1" si="506"/>
        <v>0</v>
      </c>
      <c r="X158" s="8">
        <f t="shared" ca="1" si="506"/>
        <v>0</v>
      </c>
      <c r="Y158" s="8">
        <f t="shared" ca="1" si="506"/>
        <v>0</v>
      </c>
      <c r="Z158" s="8">
        <f t="shared" ca="1" si="506"/>
        <v>0</v>
      </c>
      <c r="AA158" s="8">
        <f t="shared" ca="1" si="506"/>
        <v>0</v>
      </c>
      <c r="AB158" s="8">
        <f t="shared" ca="1" si="506"/>
        <v>0</v>
      </c>
      <c r="AC158" s="8">
        <f t="shared" ca="1" si="506"/>
        <v>0</v>
      </c>
      <c r="AD158" s="8">
        <f t="shared" ca="1" si="506"/>
        <v>0</v>
      </c>
      <c r="AE158" s="8">
        <f t="shared" ca="1" si="506"/>
        <v>0</v>
      </c>
      <c r="AF158" s="8">
        <f t="shared" ca="1" si="506"/>
        <v>0</v>
      </c>
      <c r="AG158" s="8">
        <f t="shared" ca="1" si="506"/>
        <v>0</v>
      </c>
      <c r="AH158" s="8">
        <f t="shared" ca="1" si="506"/>
        <v>0</v>
      </c>
      <c r="AI158" s="8">
        <f t="shared" ca="1" si="506"/>
        <v>0</v>
      </c>
      <c r="AJ158" s="8">
        <f t="shared" ca="1" si="506"/>
        <v>0</v>
      </c>
      <c r="AK158" s="8">
        <f t="shared" ca="1" si="506"/>
        <v>0</v>
      </c>
      <c r="AL158" s="8">
        <f t="shared" ca="1" si="506"/>
        <v>0</v>
      </c>
      <c r="AM158" s="8">
        <f t="shared" ca="1" si="506"/>
        <v>0</v>
      </c>
    </row>
    <row r="159" spans="1:39" x14ac:dyDescent="0.2"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</row>
    <row r="160" spans="1:39" x14ac:dyDescent="0.2">
      <c r="A160" s="4" t="s">
        <v>68</v>
      </c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</row>
    <row r="161" spans="1:39" x14ac:dyDescent="0.2">
      <c r="A161" s="18" t="str">
        <f t="shared" ref="A161:A173" si="507">A55</f>
        <v>Cash</v>
      </c>
      <c r="C161" s="8">
        <f ca="1">C136</f>
        <v>70325.5</v>
      </c>
      <c r="D161" s="8">
        <f t="shared" ref="D161:G161" ca="1" si="508">D136</f>
        <v>93777.462499999994</v>
      </c>
      <c r="E161" s="8">
        <f t="shared" ca="1" si="508"/>
        <v>97139.486875000017</v>
      </c>
      <c r="F161" s="8">
        <f t="shared" ca="1" si="508"/>
        <v>134700.22165942451</v>
      </c>
      <c r="G161" s="8">
        <f t="shared" ca="1" si="508"/>
        <v>176857.58117608592</v>
      </c>
      <c r="H161" s="8">
        <f t="shared" ref="H161" ca="1" si="509">H136</f>
        <v>139039.35479497066</v>
      </c>
      <c r="I161" s="8">
        <f t="shared" ref="I161:AM161" ca="1" si="510">I136</f>
        <v>106112.72244205432</v>
      </c>
      <c r="J161" s="8">
        <f t="shared" ca="1" si="510"/>
        <v>53748.103183444677</v>
      </c>
      <c r="K161" s="8">
        <f t="shared" ca="1" si="510"/>
        <v>79521.393830203713</v>
      </c>
      <c r="L161" s="8">
        <f t="shared" ca="1" si="510"/>
        <v>40000</v>
      </c>
      <c r="M161" s="8">
        <f t="shared" ca="1" si="510"/>
        <v>215633.07182553489</v>
      </c>
      <c r="N161" s="8">
        <f t="shared" ca="1" si="510"/>
        <v>201691.24648046176</v>
      </c>
      <c r="O161" s="8">
        <f t="shared" ca="1" si="510"/>
        <v>174476.46172956808</v>
      </c>
      <c r="P161" s="8">
        <f t="shared" ca="1" si="510"/>
        <v>146189.84410333901</v>
      </c>
      <c r="Q161" s="8">
        <f t="shared" ca="1" si="510"/>
        <v>116456.05079087043</v>
      </c>
      <c r="R161" s="8">
        <f t="shared" ca="1" si="510"/>
        <v>85247.089475458866</v>
      </c>
      <c r="S161" s="8">
        <f t="shared" ca="1" si="510"/>
        <v>71859.065561695694</v>
      </c>
      <c r="T161" s="8">
        <f t="shared" ca="1" si="510"/>
        <v>65691.260359113105</v>
      </c>
      <c r="U161" s="8">
        <f t="shared" ca="1" si="510"/>
        <v>59325.034268003095</v>
      </c>
      <c r="V161" s="8">
        <f t="shared" ca="1" si="510"/>
        <v>52764.641391702484</v>
      </c>
      <c r="W161" s="8">
        <f t="shared" ca="1" si="510"/>
        <v>392201.08953015786</v>
      </c>
      <c r="X161" s="8">
        <f t="shared" ca="1" si="510"/>
        <v>359998.1199005458</v>
      </c>
      <c r="Y161" s="8">
        <f t="shared" ca="1" si="510"/>
        <v>326332.02965443209</v>
      </c>
      <c r="Z161" s="8">
        <f t="shared" ca="1" si="510"/>
        <v>290696.94779915328</v>
      </c>
      <c r="AA161" s="8">
        <f t="shared" ca="1" si="510"/>
        <v>253050.05891038294</v>
      </c>
      <c r="AB161" s="8">
        <f t="shared" ca="1" si="510"/>
        <v>213347.66945916342</v>
      </c>
      <c r="AC161" s="8">
        <f t="shared" ca="1" si="510"/>
        <v>171545.19162771967</v>
      </c>
      <c r="AD161" s="8">
        <f t="shared" ca="1" si="510"/>
        <v>137579.6019875067</v>
      </c>
      <c r="AE161" s="8">
        <f t="shared" ca="1" si="510"/>
        <v>101915.03644959674</v>
      </c>
      <c r="AF161" s="8">
        <f t="shared" ca="1" si="510"/>
        <v>680463.75996147213</v>
      </c>
      <c r="AG161" s="8">
        <f t="shared" ca="1" si="510"/>
        <v>637757.28735937737</v>
      </c>
      <c r="AH161" s="8">
        <f t="shared" ca="1" si="510"/>
        <v>592799.14945697319</v>
      </c>
      <c r="AI161" s="8">
        <f t="shared" ca="1" si="510"/>
        <v>544869.56782499759</v>
      </c>
      <c r="AJ161" s="8">
        <f t="shared" ca="1" si="510"/>
        <v>493894.25637021125</v>
      </c>
      <c r="AK161" s="8">
        <f t="shared" ca="1" si="510"/>
        <v>439797.07184704405</v>
      </c>
      <c r="AL161" s="8">
        <f t="shared" ca="1" si="510"/>
        <v>382499.96742878656</v>
      </c>
      <c r="AM161" s="8">
        <f t="shared" ca="1" si="510"/>
        <v>321922.94511806133</v>
      </c>
    </row>
    <row r="162" spans="1:39" x14ac:dyDescent="0.2">
      <c r="A162" s="18" t="str">
        <f t="shared" si="507"/>
        <v>Home</v>
      </c>
      <c r="C162" s="8">
        <f t="shared" ref="C162:H162" si="511">C56</f>
        <v>618000</v>
      </c>
      <c r="D162" s="8">
        <f t="shared" si="511"/>
        <v>636540</v>
      </c>
      <c r="E162" s="8">
        <f t="shared" si="511"/>
        <v>655636.20000000007</v>
      </c>
      <c r="F162" s="8">
        <f t="shared" si="511"/>
        <v>675305.28600000008</v>
      </c>
      <c r="G162" s="8">
        <f t="shared" si="511"/>
        <v>695564.44458000013</v>
      </c>
      <c r="H162" s="8">
        <f t="shared" si="511"/>
        <v>716431.3779174001</v>
      </c>
      <c r="I162" s="8">
        <f t="shared" ref="I162:AM162" si="512">I56</f>
        <v>737924.3192549221</v>
      </c>
      <c r="J162" s="8">
        <f t="shared" si="512"/>
        <v>760062.04883256974</v>
      </c>
      <c r="K162" s="8">
        <f t="shared" si="512"/>
        <v>782863.91029754688</v>
      </c>
      <c r="L162" s="8">
        <f t="shared" si="512"/>
        <v>806349.82760647335</v>
      </c>
      <c r="M162" s="8">
        <f t="shared" si="512"/>
        <v>830540.32243466761</v>
      </c>
      <c r="N162" s="8">
        <f t="shared" si="512"/>
        <v>855456.5321077077</v>
      </c>
      <c r="O162" s="8">
        <f t="shared" si="512"/>
        <v>881120.22807093896</v>
      </c>
      <c r="P162" s="8">
        <f t="shared" si="512"/>
        <v>907553.83491306717</v>
      </c>
      <c r="Q162" s="8">
        <f t="shared" si="512"/>
        <v>934780.44996045926</v>
      </c>
      <c r="R162" s="8">
        <f t="shared" si="512"/>
        <v>962823.86345927301</v>
      </c>
      <c r="S162" s="8">
        <f t="shared" si="512"/>
        <v>991708.57936305122</v>
      </c>
      <c r="T162" s="8">
        <f t="shared" si="512"/>
        <v>1021459.8367439428</v>
      </c>
      <c r="U162" s="8">
        <f t="shared" si="512"/>
        <v>1052103.6318462612</v>
      </c>
      <c r="V162" s="8">
        <f t="shared" si="512"/>
        <v>1083666.7408016492</v>
      </c>
      <c r="W162" s="8">
        <f t="shared" si="512"/>
        <v>1116176.7430256987</v>
      </c>
      <c r="X162" s="8">
        <f t="shared" si="512"/>
        <v>1149662.0453164696</v>
      </c>
      <c r="Y162" s="8">
        <f t="shared" si="512"/>
        <v>1184151.9066759637</v>
      </c>
      <c r="Z162" s="8">
        <f t="shared" si="512"/>
        <v>1219676.4638762425</v>
      </c>
      <c r="AA162" s="8">
        <f t="shared" si="512"/>
        <v>1256266.7577925299</v>
      </c>
      <c r="AB162" s="8">
        <f t="shared" si="512"/>
        <v>1293954.7605263058</v>
      </c>
      <c r="AC162" s="8">
        <f t="shared" si="512"/>
        <v>1332773.403342095</v>
      </c>
      <c r="AD162" s="8">
        <f t="shared" si="512"/>
        <v>1372756.6054423579</v>
      </c>
      <c r="AE162" s="8">
        <f t="shared" si="512"/>
        <v>1413939.3036056287</v>
      </c>
      <c r="AF162" s="8">
        <f t="shared" si="512"/>
        <v>1456357.4827137976</v>
      </c>
      <c r="AG162" s="8">
        <f t="shared" si="512"/>
        <v>1500048.2071952117</v>
      </c>
      <c r="AH162" s="8">
        <f t="shared" si="512"/>
        <v>1545049.653411068</v>
      </c>
      <c r="AI162" s="8">
        <f t="shared" si="512"/>
        <v>1591401.1430134</v>
      </c>
      <c r="AJ162" s="8">
        <f t="shared" si="512"/>
        <v>1639143.177303802</v>
      </c>
      <c r="AK162" s="8">
        <f t="shared" si="512"/>
        <v>1688317.4726229161</v>
      </c>
      <c r="AL162" s="8">
        <f t="shared" si="512"/>
        <v>1738966.9968016036</v>
      </c>
      <c r="AM162" s="8">
        <f t="shared" si="512"/>
        <v>1791136.0067056518</v>
      </c>
    </row>
    <row r="163" spans="1:39" x14ac:dyDescent="0.2">
      <c r="A163" s="18" t="str">
        <f t="shared" si="507"/>
        <v>Other property</v>
      </c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</row>
    <row r="164" spans="1:39" x14ac:dyDescent="0.2">
      <c r="A164" s="19" t="str">
        <f t="shared" si="507"/>
        <v>Sliema</v>
      </c>
      <c r="C164" s="8">
        <f t="shared" ref="C164:G166" ca="1" si="513">C146</f>
        <v>309000</v>
      </c>
      <c r="D164" s="8">
        <f t="shared" ca="1" si="513"/>
        <v>318270</v>
      </c>
      <c r="E164" s="8">
        <f t="shared" ca="1" si="513"/>
        <v>327818.10000000003</v>
      </c>
      <c r="F164" s="8">
        <f t="shared" ca="1" si="513"/>
        <v>337652.64300000004</v>
      </c>
      <c r="G164" s="8">
        <f t="shared" ca="1" si="513"/>
        <v>347782.22229000006</v>
      </c>
      <c r="H164" s="8">
        <f t="shared" ref="H164" ca="1" si="514">H146</f>
        <v>358215.68895870005</v>
      </c>
      <c r="I164" s="8">
        <f t="shared" ref="I164:AM164" ca="1" si="515">I146</f>
        <v>368962.15962746105</v>
      </c>
      <c r="J164" s="8">
        <f t="shared" ca="1" si="515"/>
        <v>380031.02441628487</v>
      </c>
      <c r="K164" s="8">
        <f t="shared" ca="1" si="515"/>
        <v>391431.95514877344</v>
      </c>
      <c r="L164" s="8">
        <f t="shared" ca="1" si="515"/>
        <v>403174.91380323668</v>
      </c>
      <c r="M164" s="8">
        <f t="shared" ca="1" si="515"/>
        <v>415270.16121733381</v>
      </c>
      <c r="N164" s="8">
        <f t="shared" ca="1" si="515"/>
        <v>427728.26605385385</v>
      </c>
      <c r="O164" s="8">
        <f t="shared" ca="1" si="515"/>
        <v>440560.11403546948</v>
      </c>
      <c r="P164" s="8">
        <f t="shared" ca="1" si="515"/>
        <v>453776.91745653359</v>
      </c>
      <c r="Q164" s="8">
        <f t="shared" ca="1" si="515"/>
        <v>467390.22498022963</v>
      </c>
      <c r="R164" s="8">
        <f t="shared" ca="1" si="515"/>
        <v>481411.9317296365</v>
      </c>
      <c r="S164" s="8">
        <f t="shared" ca="1" si="515"/>
        <v>495854.28968152561</v>
      </c>
      <c r="T164" s="8">
        <f t="shared" ca="1" si="515"/>
        <v>510729.91837197141</v>
      </c>
      <c r="U164" s="8">
        <f t="shared" ca="1" si="515"/>
        <v>526051.81592313061</v>
      </c>
      <c r="V164" s="8">
        <f t="shared" ca="1" si="515"/>
        <v>541833.37040082458</v>
      </c>
      <c r="W164" s="8">
        <f t="shared" ca="1" si="515"/>
        <v>558088.37151284935</v>
      </c>
      <c r="X164" s="8">
        <f t="shared" ca="1" si="515"/>
        <v>574831.02265823481</v>
      </c>
      <c r="Y164" s="8">
        <f t="shared" ca="1" si="515"/>
        <v>592075.95333798183</v>
      </c>
      <c r="Z164" s="8">
        <f t="shared" ca="1" si="515"/>
        <v>609838.23193812126</v>
      </c>
      <c r="AA164" s="8">
        <f t="shared" ca="1" si="515"/>
        <v>628133.37889626494</v>
      </c>
      <c r="AB164" s="8">
        <f t="shared" ca="1" si="515"/>
        <v>646977.38026315288</v>
      </c>
      <c r="AC164" s="8">
        <f t="shared" ca="1" si="515"/>
        <v>666386.70167104749</v>
      </c>
      <c r="AD164" s="8">
        <f t="shared" ca="1" si="515"/>
        <v>686378.30272117897</v>
      </c>
      <c r="AE164" s="8">
        <f t="shared" ca="1" si="515"/>
        <v>706969.65180281433</v>
      </c>
      <c r="AF164" s="8">
        <f t="shared" ca="1" si="515"/>
        <v>0</v>
      </c>
      <c r="AG164" s="8">
        <f t="shared" ca="1" si="515"/>
        <v>0</v>
      </c>
      <c r="AH164" s="8">
        <f t="shared" ca="1" si="515"/>
        <v>0</v>
      </c>
      <c r="AI164" s="8">
        <f t="shared" ca="1" si="515"/>
        <v>0</v>
      </c>
      <c r="AJ164" s="8">
        <f t="shared" ca="1" si="515"/>
        <v>0</v>
      </c>
      <c r="AK164" s="8">
        <f t="shared" ca="1" si="515"/>
        <v>0</v>
      </c>
      <c r="AL164" s="8">
        <f t="shared" ca="1" si="515"/>
        <v>0</v>
      </c>
      <c r="AM164" s="8">
        <f t="shared" ca="1" si="515"/>
        <v>0</v>
      </c>
    </row>
    <row r="165" spans="1:39" x14ac:dyDescent="0.2">
      <c r="A165" s="19" t="str">
        <f t="shared" si="507"/>
        <v>Gzira</v>
      </c>
      <c r="C165" s="8">
        <f t="shared" ca="1" si="513"/>
        <v>154500</v>
      </c>
      <c r="D165" s="8">
        <f t="shared" ca="1" si="513"/>
        <v>159135</v>
      </c>
      <c r="E165" s="8">
        <f t="shared" ca="1" si="513"/>
        <v>163909.05000000002</v>
      </c>
      <c r="F165" s="8">
        <f t="shared" ca="1" si="513"/>
        <v>168826.32150000002</v>
      </c>
      <c r="G165" s="8">
        <f t="shared" ca="1" si="513"/>
        <v>173891.11114500003</v>
      </c>
      <c r="H165" s="8">
        <f t="shared" ref="H165" ca="1" si="516">H147</f>
        <v>179107.84447935002</v>
      </c>
      <c r="I165" s="8">
        <f t="shared" ref="I165:AM165" ca="1" si="517">I147</f>
        <v>184481.07981373052</v>
      </c>
      <c r="J165" s="8">
        <f t="shared" ca="1" si="517"/>
        <v>190015.51220814243</v>
      </c>
      <c r="K165" s="8">
        <f t="shared" ca="1" si="517"/>
        <v>195715.97757438672</v>
      </c>
      <c r="L165" s="8">
        <f t="shared" ca="1" si="517"/>
        <v>201587.45690161834</v>
      </c>
      <c r="M165" s="8">
        <f t="shared" ca="1" si="517"/>
        <v>0</v>
      </c>
      <c r="N165" s="8">
        <f t="shared" ca="1" si="517"/>
        <v>0</v>
      </c>
      <c r="O165" s="8">
        <f t="shared" ca="1" si="517"/>
        <v>0</v>
      </c>
      <c r="P165" s="8">
        <f t="shared" ca="1" si="517"/>
        <v>0</v>
      </c>
      <c r="Q165" s="8">
        <f t="shared" ca="1" si="517"/>
        <v>0</v>
      </c>
      <c r="R165" s="8">
        <f t="shared" ca="1" si="517"/>
        <v>0</v>
      </c>
      <c r="S165" s="8">
        <f t="shared" ca="1" si="517"/>
        <v>0</v>
      </c>
      <c r="T165" s="8">
        <f t="shared" ca="1" si="517"/>
        <v>0</v>
      </c>
      <c r="U165" s="8">
        <f t="shared" ca="1" si="517"/>
        <v>0</v>
      </c>
      <c r="V165" s="8">
        <f t="shared" ca="1" si="517"/>
        <v>0</v>
      </c>
      <c r="W165" s="8">
        <f t="shared" ca="1" si="517"/>
        <v>0</v>
      </c>
      <c r="X165" s="8">
        <f t="shared" ca="1" si="517"/>
        <v>0</v>
      </c>
      <c r="Y165" s="8">
        <f t="shared" ca="1" si="517"/>
        <v>0</v>
      </c>
      <c r="Z165" s="8">
        <f t="shared" ca="1" si="517"/>
        <v>0</v>
      </c>
      <c r="AA165" s="8">
        <f t="shared" ca="1" si="517"/>
        <v>0</v>
      </c>
      <c r="AB165" s="8">
        <f t="shared" ca="1" si="517"/>
        <v>0</v>
      </c>
      <c r="AC165" s="8">
        <f t="shared" ca="1" si="517"/>
        <v>0</v>
      </c>
      <c r="AD165" s="8">
        <f t="shared" ca="1" si="517"/>
        <v>0</v>
      </c>
      <c r="AE165" s="8">
        <f t="shared" ca="1" si="517"/>
        <v>0</v>
      </c>
      <c r="AF165" s="8">
        <f t="shared" ca="1" si="517"/>
        <v>0</v>
      </c>
      <c r="AG165" s="8">
        <f t="shared" ca="1" si="517"/>
        <v>0</v>
      </c>
      <c r="AH165" s="8">
        <f t="shared" ca="1" si="517"/>
        <v>0</v>
      </c>
      <c r="AI165" s="8">
        <f t="shared" ca="1" si="517"/>
        <v>0</v>
      </c>
      <c r="AJ165" s="8">
        <f t="shared" ca="1" si="517"/>
        <v>0</v>
      </c>
      <c r="AK165" s="8">
        <f t="shared" ca="1" si="517"/>
        <v>0</v>
      </c>
      <c r="AL165" s="8">
        <f t="shared" ca="1" si="517"/>
        <v>0</v>
      </c>
      <c r="AM165" s="8">
        <f t="shared" ca="1" si="517"/>
        <v>0</v>
      </c>
    </row>
    <row r="166" spans="1:39" x14ac:dyDescent="0.2">
      <c r="A166" s="19" t="str">
        <f t="shared" si="507"/>
        <v>Qormi</v>
      </c>
      <c r="C166" s="8">
        <f t="shared" ca="1" si="513"/>
        <v>226600</v>
      </c>
      <c r="D166" s="8">
        <f t="shared" ca="1" si="513"/>
        <v>233398</v>
      </c>
      <c r="E166" s="8">
        <f t="shared" ca="1" si="513"/>
        <v>240399.94</v>
      </c>
      <c r="F166" s="8">
        <f t="shared" ca="1" si="513"/>
        <v>247611.9382</v>
      </c>
      <c r="G166" s="8">
        <f t="shared" ca="1" si="513"/>
        <v>255040.29634600002</v>
      </c>
      <c r="H166" s="8">
        <f t="shared" ref="H166" ca="1" si="518">H148</f>
        <v>262691.50523638004</v>
      </c>
      <c r="I166" s="8">
        <f t="shared" ref="I166:AM166" ca="1" si="519">I148</f>
        <v>270572.25039347145</v>
      </c>
      <c r="J166" s="8">
        <f t="shared" ca="1" si="519"/>
        <v>278689.41790527559</v>
      </c>
      <c r="K166" s="8">
        <f t="shared" ca="1" si="519"/>
        <v>287050.10044243385</v>
      </c>
      <c r="L166" s="8">
        <f t="shared" ca="1" si="519"/>
        <v>295661.60345570685</v>
      </c>
      <c r="M166" s="8">
        <f t="shared" ca="1" si="519"/>
        <v>304531.45155937807</v>
      </c>
      <c r="N166" s="8">
        <f t="shared" ca="1" si="519"/>
        <v>313667.39510615944</v>
      </c>
      <c r="O166" s="8">
        <f t="shared" ca="1" si="519"/>
        <v>323077.41695934423</v>
      </c>
      <c r="P166" s="8">
        <f t="shared" ca="1" si="519"/>
        <v>332769.73946812458</v>
      </c>
      <c r="Q166" s="8">
        <f t="shared" ca="1" si="519"/>
        <v>342752.8316521683</v>
      </c>
      <c r="R166" s="8">
        <f t="shared" ca="1" si="519"/>
        <v>353035.41660173336</v>
      </c>
      <c r="S166" s="8">
        <f t="shared" ca="1" si="519"/>
        <v>363626.47909978539</v>
      </c>
      <c r="T166" s="8">
        <f t="shared" ca="1" si="519"/>
        <v>374535.27347277896</v>
      </c>
      <c r="U166" s="8">
        <f t="shared" ca="1" si="519"/>
        <v>385771.33167696232</v>
      </c>
      <c r="V166" s="8">
        <f t="shared" ca="1" si="519"/>
        <v>397344.47162727121</v>
      </c>
      <c r="W166" s="8">
        <f t="shared" ca="1" si="519"/>
        <v>0</v>
      </c>
      <c r="X166" s="8">
        <f t="shared" ca="1" si="519"/>
        <v>0</v>
      </c>
      <c r="Y166" s="8">
        <f t="shared" ca="1" si="519"/>
        <v>0</v>
      </c>
      <c r="Z166" s="8">
        <f t="shared" ca="1" si="519"/>
        <v>0</v>
      </c>
      <c r="AA166" s="8">
        <f t="shared" ca="1" si="519"/>
        <v>0</v>
      </c>
      <c r="AB166" s="8">
        <f t="shared" ca="1" si="519"/>
        <v>0</v>
      </c>
      <c r="AC166" s="8">
        <f t="shared" ca="1" si="519"/>
        <v>0</v>
      </c>
      <c r="AD166" s="8">
        <f t="shared" ca="1" si="519"/>
        <v>0</v>
      </c>
      <c r="AE166" s="8">
        <f t="shared" ca="1" si="519"/>
        <v>0</v>
      </c>
      <c r="AF166" s="8">
        <f t="shared" ca="1" si="519"/>
        <v>0</v>
      </c>
      <c r="AG166" s="8">
        <f t="shared" ca="1" si="519"/>
        <v>0</v>
      </c>
      <c r="AH166" s="8">
        <f t="shared" ca="1" si="519"/>
        <v>0</v>
      </c>
      <c r="AI166" s="8">
        <f t="shared" ca="1" si="519"/>
        <v>0</v>
      </c>
      <c r="AJ166" s="8">
        <f t="shared" ca="1" si="519"/>
        <v>0</v>
      </c>
      <c r="AK166" s="8">
        <f t="shared" ca="1" si="519"/>
        <v>0</v>
      </c>
      <c r="AL166" s="8">
        <f t="shared" ca="1" si="519"/>
        <v>0</v>
      </c>
      <c r="AM166" s="8">
        <f t="shared" ca="1" si="519"/>
        <v>0</v>
      </c>
    </row>
    <row r="167" spans="1:39" x14ac:dyDescent="0.2">
      <c r="A167" s="18" t="str">
        <f t="shared" si="507"/>
        <v>Stock market equity investments</v>
      </c>
      <c r="C167" s="8">
        <f t="shared" ref="C167:H167" ca="1" si="520">C79</f>
        <v>32400.000000000004</v>
      </c>
      <c r="D167" s="8">
        <f t="shared" ca="1" si="520"/>
        <v>34992.000000000007</v>
      </c>
      <c r="E167" s="8">
        <f t="shared" ca="1" si="520"/>
        <v>37791.360000000008</v>
      </c>
      <c r="F167" s="8">
        <f t="shared" ca="1" si="520"/>
        <v>40814.668800000007</v>
      </c>
      <c r="G167" s="8">
        <f t="shared" ca="1" si="520"/>
        <v>44079.842304000005</v>
      </c>
      <c r="H167" s="8">
        <f t="shared" ca="1" si="520"/>
        <v>47606.229688320003</v>
      </c>
      <c r="I167" s="8">
        <f t="shared" ref="I167:AM167" ca="1" si="521">I79</f>
        <v>51414.728063385606</v>
      </c>
      <c r="J167" s="8">
        <f t="shared" ca="1" si="521"/>
        <v>55527.906308456455</v>
      </c>
      <c r="K167" s="8">
        <f t="shared" ca="1" si="521"/>
        <v>59970.138813132973</v>
      </c>
      <c r="L167" s="8">
        <f t="shared" ca="1" si="521"/>
        <v>31821.855274584646</v>
      </c>
      <c r="M167" s="8">
        <f t="shared" ca="1" si="521"/>
        <v>13015.208621984832</v>
      </c>
      <c r="N167" s="8">
        <f t="shared" ca="1" si="521"/>
        <v>0</v>
      </c>
      <c r="O167" s="8">
        <f t="shared" ca="1" si="521"/>
        <v>0</v>
      </c>
      <c r="P167" s="8">
        <f t="shared" ca="1" si="521"/>
        <v>0</v>
      </c>
      <c r="Q167" s="8">
        <f t="shared" ca="1" si="521"/>
        <v>0</v>
      </c>
      <c r="R167" s="8">
        <f t="shared" ca="1" si="521"/>
        <v>0</v>
      </c>
      <c r="S167" s="8">
        <f t="shared" ca="1" si="521"/>
        <v>0</v>
      </c>
      <c r="T167" s="8">
        <f t="shared" ca="1" si="521"/>
        <v>0</v>
      </c>
      <c r="U167" s="8">
        <f t="shared" ca="1" si="521"/>
        <v>0</v>
      </c>
      <c r="V167" s="8">
        <f t="shared" ca="1" si="521"/>
        <v>0</v>
      </c>
      <c r="W167" s="8">
        <f t="shared" ca="1" si="521"/>
        <v>0</v>
      </c>
      <c r="X167" s="8">
        <f t="shared" ca="1" si="521"/>
        <v>0</v>
      </c>
      <c r="Y167" s="8">
        <f t="shared" ca="1" si="521"/>
        <v>0</v>
      </c>
      <c r="Z167" s="8">
        <f t="shared" ca="1" si="521"/>
        <v>0</v>
      </c>
      <c r="AA167" s="8">
        <f t="shared" ca="1" si="521"/>
        <v>0</v>
      </c>
      <c r="AB167" s="8">
        <f t="shared" ca="1" si="521"/>
        <v>0</v>
      </c>
      <c r="AC167" s="8">
        <f t="shared" ca="1" si="521"/>
        <v>0</v>
      </c>
      <c r="AD167" s="8">
        <f t="shared" ca="1" si="521"/>
        <v>0</v>
      </c>
      <c r="AE167" s="8">
        <f t="shared" ca="1" si="521"/>
        <v>0</v>
      </c>
      <c r="AF167" s="8">
        <f t="shared" ca="1" si="521"/>
        <v>0</v>
      </c>
      <c r="AG167" s="8">
        <f t="shared" ca="1" si="521"/>
        <v>0</v>
      </c>
      <c r="AH167" s="8">
        <f t="shared" ca="1" si="521"/>
        <v>0</v>
      </c>
      <c r="AI167" s="8">
        <f t="shared" ca="1" si="521"/>
        <v>0</v>
      </c>
      <c r="AJ167" s="8">
        <f t="shared" ca="1" si="521"/>
        <v>0</v>
      </c>
      <c r="AK167" s="8">
        <f t="shared" ca="1" si="521"/>
        <v>0</v>
      </c>
      <c r="AL167" s="8">
        <f t="shared" ca="1" si="521"/>
        <v>0</v>
      </c>
      <c r="AM167" s="8">
        <f t="shared" ca="1" si="521"/>
        <v>0</v>
      </c>
    </row>
    <row r="168" spans="1:39" x14ac:dyDescent="0.2">
      <c r="A168" s="18" t="str">
        <f t="shared" si="507"/>
        <v>Home loan</v>
      </c>
      <c r="C168" s="8">
        <f t="shared" ref="C168:H168" si="522">C62</f>
        <v>-41787.691633353177</v>
      </c>
      <c r="D168" s="8">
        <f t="shared" si="522"/>
        <v>-33325.598049266016</v>
      </c>
      <c r="E168" s="8">
        <f t="shared" si="522"/>
        <v>-24606.12179132711</v>
      </c>
      <c r="F168" s="8">
        <f t="shared" si="522"/>
        <v>-15621.434319218446</v>
      </c>
      <c r="G168" s="8">
        <f t="shared" si="522"/>
        <v>-6363.4689800768465</v>
      </c>
      <c r="H168" s="8">
        <f t="shared" si="522"/>
        <v>0</v>
      </c>
      <c r="I168" s="8">
        <f t="shared" ref="I168:AM168" si="523">I62</f>
        <v>0</v>
      </c>
      <c r="J168" s="8">
        <f t="shared" si="523"/>
        <v>0</v>
      </c>
      <c r="K168" s="8">
        <f t="shared" si="523"/>
        <v>0</v>
      </c>
      <c r="L168" s="8">
        <f t="shared" si="523"/>
        <v>0</v>
      </c>
      <c r="M168" s="8">
        <f t="shared" si="523"/>
        <v>0</v>
      </c>
      <c r="N168" s="8">
        <f t="shared" si="523"/>
        <v>0</v>
      </c>
      <c r="O168" s="8">
        <f t="shared" si="523"/>
        <v>0</v>
      </c>
      <c r="P168" s="8">
        <f t="shared" si="523"/>
        <v>0</v>
      </c>
      <c r="Q168" s="8">
        <f t="shared" si="523"/>
        <v>0</v>
      </c>
      <c r="R168" s="8">
        <f t="shared" si="523"/>
        <v>0</v>
      </c>
      <c r="S168" s="8">
        <f t="shared" si="523"/>
        <v>0</v>
      </c>
      <c r="T168" s="8">
        <f t="shared" si="523"/>
        <v>0</v>
      </c>
      <c r="U168" s="8">
        <f t="shared" si="523"/>
        <v>0</v>
      </c>
      <c r="V168" s="8">
        <f t="shared" si="523"/>
        <v>0</v>
      </c>
      <c r="W168" s="8">
        <f t="shared" si="523"/>
        <v>0</v>
      </c>
      <c r="X168" s="8">
        <f t="shared" si="523"/>
        <v>0</v>
      </c>
      <c r="Y168" s="8">
        <f t="shared" si="523"/>
        <v>0</v>
      </c>
      <c r="Z168" s="8">
        <f t="shared" si="523"/>
        <v>0</v>
      </c>
      <c r="AA168" s="8">
        <f t="shared" si="523"/>
        <v>0</v>
      </c>
      <c r="AB168" s="8">
        <f t="shared" si="523"/>
        <v>0</v>
      </c>
      <c r="AC168" s="8">
        <f t="shared" si="523"/>
        <v>0</v>
      </c>
      <c r="AD168" s="8">
        <f t="shared" si="523"/>
        <v>0</v>
      </c>
      <c r="AE168" s="8">
        <f t="shared" si="523"/>
        <v>0</v>
      </c>
      <c r="AF168" s="8">
        <f t="shared" si="523"/>
        <v>0</v>
      </c>
      <c r="AG168" s="8">
        <f t="shared" si="523"/>
        <v>0</v>
      </c>
      <c r="AH168" s="8">
        <f t="shared" si="523"/>
        <v>0</v>
      </c>
      <c r="AI168" s="8">
        <f t="shared" si="523"/>
        <v>0</v>
      </c>
      <c r="AJ168" s="8">
        <f t="shared" si="523"/>
        <v>0</v>
      </c>
      <c r="AK168" s="8">
        <f t="shared" si="523"/>
        <v>0</v>
      </c>
      <c r="AL168" s="8">
        <f t="shared" si="523"/>
        <v>0</v>
      </c>
      <c r="AM168" s="8">
        <f t="shared" si="523"/>
        <v>0</v>
      </c>
    </row>
    <row r="169" spans="1:39" x14ac:dyDescent="0.2">
      <c r="A169" s="18" t="str">
        <f t="shared" si="507"/>
        <v>Other property loans</v>
      </c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</row>
    <row r="170" spans="1:39" x14ac:dyDescent="0.2">
      <c r="A170" s="19" t="str">
        <f t="shared" si="507"/>
        <v>Sliema</v>
      </c>
      <c r="C170" s="8">
        <f ca="1">C156</f>
        <v>-45437.606462973985</v>
      </c>
      <c r="D170" s="8">
        <f t="shared" ref="D170:G172" ca="1" si="524">D156</f>
        <v>-40736.443360703342</v>
      </c>
      <c r="E170" s="8">
        <f t="shared" ca="1" si="524"/>
        <v>-35892.289884070618</v>
      </c>
      <c r="F170" s="8">
        <f t="shared" ca="1" si="524"/>
        <v>-30900.796844010245</v>
      </c>
      <c r="G170" s="8">
        <f t="shared" ca="1" si="524"/>
        <v>-25757.48276670936</v>
      </c>
      <c r="H170" s="8">
        <f t="shared" ref="H170" ca="1" si="525">H156</f>
        <v>-20457.729870040646</v>
      </c>
      <c r="I170" s="8">
        <f t="shared" ref="I170:AM170" ca="1" si="526">I156</f>
        <v>-14996.779917614593</v>
      </c>
      <c r="J170" s="8">
        <f t="shared" ca="1" si="526"/>
        <v>-9369.7299467287376</v>
      </c>
      <c r="K170" s="8">
        <f t="shared" ca="1" si="526"/>
        <v>-3571.5278663783029</v>
      </c>
      <c r="L170" s="8">
        <f t="shared" ca="1" si="526"/>
        <v>0</v>
      </c>
      <c r="M170" s="8">
        <f t="shared" ca="1" si="526"/>
        <v>0</v>
      </c>
      <c r="N170" s="8">
        <f t="shared" ca="1" si="526"/>
        <v>0</v>
      </c>
      <c r="O170" s="8">
        <f t="shared" ca="1" si="526"/>
        <v>0</v>
      </c>
      <c r="P170" s="8">
        <f t="shared" ca="1" si="526"/>
        <v>0</v>
      </c>
      <c r="Q170" s="8">
        <f t="shared" ca="1" si="526"/>
        <v>0</v>
      </c>
      <c r="R170" s="8">
        <f t="shared" ca="1" si="526"/>
        <v>0</v>
      </c>
      <c r="S170" s="8">
        <f t="shared" ca="1" si="526"/>
        <v>0</v>
      </c>
      <c r="T170" s="8">
        <f t="shared" ca="1" si="526"/>
        <v>0</v>
      </c>
      <c r="U170" s="8">
        <f t="shared" ca="1" si="526"/>
        <v>0</v>
      </c>
      <c r="V170" s="8">
        <f t="shared" ca="1" si="526"/>
        <v>0</v>
      </c>
      <c r="W170" s="8">
        <f t="shared" ca="1" si="526"/>
        <v>0</v>
      </c>
      <c r="X170" s="8">
        <f t="shared" ca="1" si="526"/>
        <v>0</v>
      </c>
      <c r="Y170" s="8">
        <f t="shared" ca="1" si="526"/>
        <v>0</v>
      </c>
      <c r="Z170" s="8">
        <f t="shared" ca="1" si="526"/>
        <v>0</v>
      </c>
      <c r="AA170" s="8">
        <f t="shared" ca="1" si="526"/>
        <v>0</v>
      </c>
      <c r="AB170" s="8">
        <f t="shared" ca="1" si="526"/>
        <v>0</v>
      </c>
      <c r="AC170" s="8">
        <f t="shared" ca="1" si="526"/>
        <v>0</v>
      </c>
      <c r="AD170" s="8">
        <f t="shared" ca="1" si="526"/>
        <v>0</v>
      </c>
      <c r="AE170" s="8">
        <f t="shared" ca="1" si="526"/>
        <v>0</v>
      </c>
      <c r="AF170" s="8">
        <f t="shared" ca="1" si="526"/>
        <v>0</v>
      </c>
      <c r="AG170" s="8">
        <f t="shared" ca="1" si="526"/>
        <v>0</v>
      </c>
      <c r="AH170" s="8">
        <f t="shared" ca="1" si="526"/>
        <v>0</v>
      </c>
      <c r="AI170" s="8">
        <f t="shared" ca="1" si="526"/>
        <v>0</v>
      </c>
      <c r="AJ170" s="8">
        <f t="shared" ca="1" si="526"/>
        <v>0</v>
      </c>
      <c r="AK170" s="8">
        <f t="shared" ca="1" si="526"/>
        <v>0</v>
      </c>
      <c r="AL170" s="8">
        <f t="shared" ca="1" si="526"/>
        <v>0</v>
      </c>
      <c r="AM170" s="8">
        <f t="shared" ca="1" si="526"/>
        <v>0</v>
      </c>
    </row>
    <row r="171" spans="1:39" x14ac:dyDescent="0.2">
      <c r="A171" s="19" t="str">
        <f t="shared" si="507"/>
        <v>Gzira</v>
      </c>
      <c r="C171" s="8">
        <f ca="1">C157</f>
        <v>-6249.4443415125261</v>
      </c>
      <c r="D171" s="8">
        <f t="shared" ca="1" si="524"/>
        <v>-3953.4626671330816</v>
      </c>
      <c r="E171" s="8">
        <f t="shared" ca="1" si="524"/>
        <v>-1611.1380819997976</v>
      </c>
      <c r="F171" s="8">
        <f t="shared" ca="1" si="524"/>
        <v>0</v>
      </c>
      <c r="G171" s="8">
        <f t="shared" ca="1" si="524"/>
        <v>0</v>
      </c>
      <c r="H171" s="8">
        <f t="shared" ref="H171" ca="1" si="527">H157</f>
        <v>0</v>
      </c>
      <c r="I171" s="8">
        <f t="shared" ref="I171:AM171" ca="1" si="528">I157</f>
        <v>0</v>
      </c>
      <c r="J171" s="8">
        <f t="shared" ca="1" si="528"/>
        <v>0</v>
      </c>
      <c r="K171" s="8">
        <f t="shared" ca="1" si="528"/>
        <v>0</v>
      </c>
      <c r="L171" s="8">
        <f t="shared" ca="1" si="528"/>
        <v>0</v>
      </c>
      <c r="M171" s="8">
        <f t="shared" ca="1" si="528"/>
        <v>0</v>
      </c>
      <c r="N171" s="8">
        <f t="shared" ca="1" si="528"/>
        <v>0</v>
      </c>
      <c r="O171" s="8">
        <f t="shared" ca="1" si="528"/>
        <v>0</v>
      </c>
      <c r="P171" s="8">
        <f t="shared" ca="1" si="528"/>
        <v>0</v>
      </c>
      <c r="Q171" s="8">
        <f t="shared" ca="1" si="528"/>
        <v>0</v>
      </c>
      <c r="R171" s="8">
        <f t="shared" ca="1" si="528"/>
        <v>0</v>
      </c>
      <c r="S171" s="8">
        <f t="shared" ca="1" si="528"/>
        <v>0</v>
      </c>
      <c r="T171" s="8">
        <f t="shared" ca="1" si="528"/>
        <v>0</v>
      </c>
      <c r="U171" s="8">
        <f t="shared" ca="1" si="528"/>
        <v>0</v>
      </c>
      <c r="V171" s="8">
        <f t="shared" ca="1" si="528"/>
        <v>0</v>
      </c>
      <c r="W171" s="8">
        <f t="shared" ca="1" si="528"/>
        <v>0</v>
      </c>
      <c r="X171" s="8">
        <f t="shared" ca="1" si="528"/>
        <v>0</v>
      </c>
      <c r="Y171" s="8">
        <f t="shared" ca="1" si="528"/>
        <v>0</v>
      </c>
      <c r="Z171" s="8">
        <f t="shared" ca="1" si="528"/>
        <v>0</v>
      </c>
      <c r="AA171" s="8">
        <f t="shared" ca="1" si="528"/>
        <v>0</v>
      </c>
      <c r="AB171" s="8">
        <f t="shared" ca="1" si="528"/>
        <v>0</v>
      </c>
      <c r="AC171" s="8">
        <f t="shared" ca="1" si="528"/>
        <v>0</v>
      </c>
      <c r="AD171" s="8">
        <f t="shared" ca="1" si="528"/>
        <v>0</v>
      </c>
      <c r="AE171" s="8">
        <f t="shared" ca="1" si="528"/>
        <v>0</v>
      </c>
      <c r="AF171" s="8">
        <f t="shared" ca="1" si="528"/>
        <v>0</v>
      </c>
      <c r="AG171" s="8">
        <f t="shared" ca="1" si="528"/>
        <v>0</v>
      </c>
      <c r="AH171" s="8">
        <f t="shared" ca="1" si="528"/>
        <v>0</v>
      </c>
      <c r="AI171" s="8">
        <f t="shared" ca="1" si="528"/>
        <v>0</v>
      </c>
      <c r="AJ171" s="8">
        <f t="shared" ca="1" si="528"/>
        <v>0</v>
      </c>
      <c r="AK171" s="8">
        <f t="shared" ca="1" si="528"/>
        <v>0</v>
      </c>
      <c r="AL171" s="8">
        <f t="shared" ca="1" si="528"/>
        <v>0</v>
      </c>
      <c r="AM171" s="8">
        <f t="shared" ca="1" si="528"/>
        <v>0</v>
      </c>
    </row>
    <row r="172" spans="1:39" x14ac:dyDescent="0.2">
      <c r="A172" s="19" t="str">
        <f t="shared" si="507"/>
        <v>Qormi</v>
      </c>
      <c r="C172" s="8">
        <f ca="1">C158</f>
        <v>-12697.714595321995</v>
      </c>
      <c r="D172" s="8">
        <f t="shared" ca="1" si="524"/>
        <v>-10277.63989987525</v>
      </c>
      <c r="E172" s="8">
        <f t="shared" ca="1" si="524"/>
        <v>-7733.7495899939004</v>
      </c>
      <c r="F172" s="8">
        <f t="shared" ca="1" si="524"/>
        <v>-5059.7090238560577</v>
      </c>
      <c r="G172" s="8">
        <f t="shared" ca="1" si="524"/>
        <v>-2248.8594673418665</v>
      </c>
      <c r="H172" s="8">
        <f t="shared" ref="H172" ca="1" si="529">H158</f>
        <v>0</v>
      </c>
      <c r="I172" s="8">
        <f t="shared" ref="I172:AM172" ca="1" si="530">I158</f>
        <v>0</v>
      </c>
      <c r="J172" s="8">
        <f t="shared" ca="1" si="530"/>
        <v>0</v>
      </c>
      <c r="K172" s="8">
        <f t="shared" ca="1" si="530"/>
        <v>0</v>
      </c>
      <c r="L172" s="8">
        <f t="shared" ca="1" si="530"/>
        <v>0</v>
      </c>
      <c r="M172" s="8">
        <f t="shared" ca="1" si="530"/>
        <v>0</v>
      </c>
      <c r="N172" s="8">
        <f t="shared" ca="1" si="530"/>
        <v>0</v>
      </c>
      <c r="O172" s="8">
        <f t="shared" ca="1" si="530"/>
        <v>0</v>
      </c>
      <c r="P172" s="8">
        <f t="shared" ca="1" si="530"/>
        <v>0</v>
      </c>
      <c r="Q172" s="8">
        <f t="shared" ca="1" si="530"/>
        <v>0</v>
      </c>
      <c r="R172" s="8">
        <f t="shared" ca="1" si="530"/>
        <v>0</v>
      </c>
      <c r="S172" s="8">
        <f t="shared" ca="1" si="530"/>
        <v>0</v>
      </c>
      <c r="T172" s="8">
        <f t="shared" ca="1" si="530"/>
        <v>0</v>
      </c>
      <c r="U172" s="8">
        <f t="shared" ca="1" si="530"/>
        <v>0</v>
      </c>
      <c r="V172" s="8">
        <f t="shared" ca="1" si="530"/>
        <v>0</v>
      </c>
      <c r="W172" s="8">
        <f t="shared" ca="1" si="530"/>
        <v>0</v>
      </c>
      <c r="X172" s="8">
        <f t="shared" ca="1" si="530"/>
        <v>0</v>
      </c>
      <c r="Y172" s="8">
        <f t="shared" ca="1" si="530"/>
        <v>0</v>
      </c>
      <c r="Z172" s="8">
        <f t="shared" ca="1" si="530"/>
        <v>0</v>
      </c>
      <c r="AA172" s="8">
        <f t="shared" ca="1" si="530"/>
        <v>0</v>
      </c>
      <c r="AB172" s="8">
        <f t="shared" ca="1" si="530"/>
        <v>0</v>
      </c>
      <c r="AC172" s="8">
        <f t="shared" ca="1" si="530"/>
        <v>0</v>
      </c>
      <c r="AD172" s="8">
        <f t="shared" ca="1" si="530"/>
        <v>0</v>
      </c>
      <c r="AE172" s="8">
        <f t="shared" ca="1" si="530"/>
        <v>0</v>
      </c>
      <c r="AF172" s="8">
        <f t="shared" ca="1" si="530"/>
        <v>0</v>
      </c>
      <c r="AG172" s="8">
        <f t="shared" ca="1" si="530"/>
        <v>0</v>
      </c>
      <c r="AH172" s="8">
        <f t="shared" ca="1" si="530"/>
        <v>0</v>
      </c>
      <c r="AI172" s="8">
        <f t="shared" ca="1" si="530"/>
        <v>0</v>
      </c>
      <c r="AJ172" s="8">
        <f t="shared" ca="1" si="530"/>
        <v>0</v>
      </c>
      <c r="AK172" s="8">
        <f t="shared" ca="1" si="530"/>
        <v>0</v>
      </c>
      <c r="AL172" s="8">
        <f t="shared" ca="1" si="530"/>
        <v>0</v>
      </c>
      <c r="AM172" s="8">
        <f t="shared" ca="1" si="530"/>
        <v>0</v>
      </c>
    </row>
    <row r="173" spans="1:39" x14ac:dyDescent="0.2">
      <c r="A173" s="18" t="str">
        <f t="shared" si="507"/>
        <v>Other loan</v>
      </c>
      <c r="C173" s="8">
        <f t="shared" ref="C173:H173" si="531">C67</f>
        <v>-3629.9331288130147</v>
      </c>
      <c r="D173" s="8">
        <f t="shared" si="531"/>
        <v>-3237.0413427676731</v>
      </c>
      <c r="E173" s="8">
        <f t="shared" si="531"/>
        <v>-2819.9168510595237</v>
      </c>
      <c r="F173" s="8">
        <f t="shared" si="531"/>
        <v>-2377.0650334277229</v>
      </c>
      <c r="G173" s="8">
        <f t="shared" si="531"/>
        <v>-1906.8990847041773</v>
      </c>
      <c r="H173" s="8">
        <f t="shared" si="531"/>
        <v>-1407.7343290501685</v>
      </c>
      <c r="I173" s="8">
        <f t="shared" ref="I173:AM173" si="532">I67</f>
        <v>-877.78218350754105</v>
      </c>
      <c r="J173" s="8">
        <f t="shared" si="532"/>
        <v>-315.14374923495234</v>
      </c>
      <c r="K173" s="8">
        <f t="shared" si="532"/>
        <v>0</v>
      </c>
      <c r="L173" s="8">
        <f t="shared" si="532"/>
        <v>0</v>
      </c>
      <c r="M173" s="8">
        <f t="shared" si="532"/>
        <v>0</v>
      </c>
      <c r="N173" s="8">
        <f t="shared" si="532"/>
        <v>0</v>
      </c>
      <c r="O173" s="8">
        <f t="shared" si="532"/>
        <v>0</v>
      </c>
      <c r="P173" s="8">
        <f t="shared" si="532"/>
        <v>0</v>
      </c>
      <c r="Q173" s="8">
        <f t="shared" si="532"/>
        <v>0</v>
      </c>
      <c r="R173" s="8">
        <f t="shared" si="532"/>
        <v>0</v>
      </c>
      <c r="S173" s="8">
        <f t="shared" si="532"/>
        <v>0</v>
      </c>
      <c r="T173" s="8">
        <f t="shared" si="532"/>
        <v>0</v>
      </c>
      <c r="U173" s="8">
        <f t="shared" si="532"/>
        <v>0</v>
      </c>
      <c r="V173" s="8">
        <f t="shared" si="532"/>
        <v>0</v>
      </c>
      <c r="W173" s="8">
        <f t="shared" si="532"/>
        <v>0</v>
      </c>
      <c r="X173" s="8">
        <f t="shared" si="532"/>
        <v>0</v>
      </c>
      <c r="Y173" s="8">
        <f t="shared" si="532"/>
        <v>0</v>
      </c>
      <c r="Z173" s="8">
        <f t="shared" si="532"/>
        <v>0</v>
      </c>
      <c r="AA173" s="8">
        <f t="shared" si="532"/>
        <v>0</v>
      </c>
      <c r="AB173" s="8">
        <f t="shared" si="532"/>
        <v>0</v>
      </c>
      <c r="AC173" s="8">
        <f t="shared" si="532"/>
        <v>0</v>
      </c>
      <c r="AD173" s="8">
        <f t="shared" si="532"/>
        <v>0</v>
      </c>
      <c r="AE173" s="8">
        <f t="shared" si="532"/>
        <v>0</v>
      </c>
      <c r="AF173" s="8">
        <f t="shared" si="532"/>
        <v>0</v>
      </c>
      <c r="AG173" s="8">
        <f t="shared" si="532"/>
        <v>0</v>
      </c>
      <c r="AH173" s="8">
        <f t="shared" si="532"/>
        <v>0</v>
      </c>
      <c r="AI173" s="8">
        <f t="shared" si="532"/>
        <v>0</v>
      </c>
      <c r="AJ173" s="8">
        <f t="shared" si="532"/>
        <v>0</v>
      </c>
      <c r="AK173" s="8">
        <f t="shared" si="532"/>
        <v>0</v>
      </c>
      <c r="AL173" s="8">
        <f t="shared" si="532"/>
        <v>0</v>
      </c>
      <c r="AM173" s="8">
        <f t="shared" si="532"/>
        <v>0</v>
      </c>
    </row>
    <row r="174" spans="1:39" x14ac:dyDescent="0.2">
      <c r="A174" s="5"/>
      <c r="C174" s="10">
        <f ca="1">SUM(C160:C173)</f>
        <v>1301023.1098380252</v>
      </c>
      <c r="D174" s="10">
        <f t="shared" ref="D174:G174" ca="1" si="533">SUM(D160:D173)</f>
        <v>1384582.2771802545</v>
      </c>
      <c r="E174" s="10">
        <f t="shared" ca="1" si="533"/>
        <v>1450030.9206765494</v>
      </c>
      <c r="F174" s="10">
        <f t="shared" ca="1" si="533"/>
        <v>1550952.0739389125</v>
      </c>
      <c r="G174" s="10">
        <f t="shared" ca="1" si="533"/>
        <v>1656938.7875422537</v>
      </c>
      <c r="H174" s="10">
        <f t="shared" ref="H174" ca="1" si="534">SUM(H160:H173)</f>
        <v>1681226.5368760303</v>
      </c>
      <c r="I174" s="10">
        <f t="shared" ref="I174:AM174" ca="1" si="535">SUM(I160:I173)</f>
        <v>1703592.6974939031</v>
      </c>
      <c r="J174" s="10">
        <f t="shared" ca="1" si="535"/>
        <v>1708389.1391582103</v>
      </c>
      <c r="K174" s="10">
        <f t="shared" ca="1" si="535"/>
        <v>1792981.9482400992</v>
      </c>
      <c r="L174" s="10">
        <f t="shared" ca="1" si="535"/>
        <v>1778595.65704162</v>
      </c>
      <c r="M174" s="10">
        <f t="shared" ca="1" si="535"/>
        <v>1778990.2156588992</v>
      </c>
      <c r="N174" s="10">
        <f t="shared" ca="1" si="535"/>
        <v>1798543.4397481827</v>
      </c>
      <c r="O174" s="10">
        <f t="shared" ca="1" si="535"/>
        <v>1819234.2207953206</v>
      </c>
      <c r="P174" s="10">
        <f t="shared" ca="1" si="535"/>
        <v>1840290.3359410642</v>
      </c>
      <c r="Q174" s="10">
        <f t="shared" ca="1" si="535"/>
        <v>1861379.5573837273</v>
      </c>
      <c r="R174" s="10">
        <f t="shared" ca="1" si="535"/>
        <v>1882518.3012661017</v>
      </c>
      <c r="S174" s="10">
        <f t="shared" ca="1" si="535"/>
        <v>1923048.4137060579</v>
      </c>
      <c r="T174" s="10">
        <f t="shared" ca="1" si="535"/>
        <v>1972416.2889478065</v>
      </c>
      <c r="U174" s="10">
        <f t="shared" ca="1" si="535"/>
        <v>2023251.8137143573</v>
      </c>
      <c r="V174" s="10">
        <f t="shared" ca="1" si="535"/>
        <v>2075609.2242214475</v>
      </c>
      <c r="W174" s="10">
        <f t="shared" ca="1" si="535"/>
        <v>2066466.2040687059</v>
      </c>
      <c r="X174" s="10">
        <f t="shared" ca="1" si="535"/>
        <v>2084491.1878752504</v>
      </c>
      <c r="Y174" s="10">
        <f t="shared" ca="1" si="535"/>
        <v>2102559.8896683776</v>
      </c>
      <c r="Z174" s="10">
        <f t="shared" ca="1" si="535"/>
        <v>2120211.6436135173</v>
      </c>
      <c r="AA174" s="10">
        <f t="shared" ca="1" si="535"/>
        <v>2137450.1955991779</v>
      </c>
      <c r="AB174" s="10">
        <f t="shared" ca="1" si="535"/>
        <v>2154279.8102486222</v>
      </c>
      <c r="AC174" s="10">
        <f t="shared" ca="1" si="535"/>
        <v>2170705.2966408622</v>
      </c>
      <c r="AD174" s="10">
        <f t="shared" ca="1" si="535"/>
        <v>2196714.5101510435</v>
      </c>
      <c r="AE174" s="10">
        <f t="shared" ca="1" si="535"/>
        <v>2222823.99185804</v>
      </c>
      <c r="AF174" s="10">
        <f t="shared" ca="1" si="535"/>
        <v>2136821.24267527</v>
      </c>
      <c r="AG174" s="10">
        <f t="shared" ca="1" si="535"/>
        <v>2137805.494554589</v>
      </c>
      <c r="AH174" s="10">
        <f t="shared" ca="1" si="535"/>
        <v>2137848.8028680412</v>
      </c>
      <c r="AI174" s="10">
        <f t="shared" ca="1" si="535"/>
        <v>2136270.7108383975</v>
      </c>
      <c r="AJ174" s="10">
        <f t="shared" ca="1" si="535"/>
        <v>2133037.4336740132</v>
      </c>
      <c r="AK174" s="10">
        <f t="shared" ca="1" si="535"/>
        <v>2128114.54446996</v>
      </c>
      <c r="AL174" s="10">
        <f t="shared" ca="1" si="535"/>
        <v>2121466.9642303903</v>
      </c>
      <c r="AM174" s="10">
        <f t="shared" ca="1" si="535"/>
        <v>2113058.9518237133</v>
      </c>
    </row>
    <row r="175" spans="1:39" x14ac:dyDescent="0.2"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</row>
    <row r="176" spans="1:39" ht="19" x14ac:dyDescent="0.25">
      <c r="A176" s="30" t="s">
        <v>88</v>
      </c>
      <c r="B176" s="31"/>
      <c r="C176" s="32"/>
      <c r="D176" s="32"/>
      <c r="E176" s="3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  <c r="AE176" s="32"/>
      <c r="AF176" s="32"/>
      <c r="AG176" s="32"/>
      <c r="AH176" s="32"/>
      <c r="AI176" s="32"/>
      <c r="AJ176" s="32"/>
      <c r="AK176" s="32"/>
      <c r="AL176" s="32"/>
      <c r="AM176" s="32"/>
    </row>
    <row r="177" spans="1:39" x14ac:dyDescent="0.2"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</row>
    <row r="178" spans="1:39" x14ac:dyDescent="0.2">
      <c r="A178" s="17" t="s">
        <v>72</v>
      </c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</row>
    <row r="179" spans="1:39" x14ac:dyDescent="0.2">
      <c r="A179" s="4" t="s">
        <v>9</v>
      </c>
      <c r="C179" s="8">
        <f t="shared" ref="C179:H179" ca="1" si="536">C55</f>
        <v>70325.5</v>
      </c>
      <c r="D179" s="8">
        <f t="shared" ca="1" si="536"/>
        <v>93777.462499999994</v>
      </c>
      <c r="E179" s="8">
        <f t="shared" ca="1" si="536"/>
        <v>97139.486875000017</v>
      </c>
      <c r="F179" s="8">
        <f t="shared" ca="1" si="536"/>
        <v>134700.22165942451</v>
      </c>
      <c r="G179" s="8">
        <f t="shared" ca="1" si="536"/>
        <v>176857.58117608592</v>
      </c>
      <c r="H179" s="8">
        <f t="shared" ca="1" si="536"/>
        <v>139039.35479497066</v>
      </c>
      <c r="I179" s="8">
        <f t="shared" ref="I179:AM179" ca="1" si="537">I55</f>
        <v>106112.72244205432</v>
      </c>
      <c r="J179" s="8">
        <f t="shared" ca="1" si="537"/>
        <v>53748.103183444677</v>
      </c>
      <c r="K179" s="8">
        <f t="shared" ca="1" si="537"/>
        <v>79521.393830203713</v>
      </c>
      <c r="L179" s="8">
        <f t="shared" ca="1" si="537"/>
        <v>11019.814896834243</v>
      </c>
      <c r="M179" s="8">
        <f t="shared" ca="1" si="537"/>
        <v>-7762.38447431229</v>
      </c>
      <c r="N179" s="8">
        <f t="shared" ca="1" si="537"/>
        <v>-26853.771942997417</v>
      </c>
      <c r="O179" s="8">
        <f t="shared" ca="1" si="537"/>
        <v>-46214.809017790998</v>
      </c>
      <c r="P179" s="8">
        <f t="shared" ca="1" si="537"/>
        <v>-65846.007886427469</v>
      </c>
      <c r="Q179" s="8">
        <f t="shared" ca="1" si="537"/>
        <v>-85747.706669762105</v>
      </c>
      <c r="R179" s="8">
        <f t="shared" ca="1" si="537"/>
        <v>-105920.05946395185</v>
      </c>
      <c r="S179" s="8">
        <f t="shared" ca="1" si="537"/>
        <v>-107509.80458311707</v>
      </c>
      <c r="T179" s="8">
        <f t="shared" ca="1" si="537"/>
        <v>-101290.49605851121</v>
      </c>
      <c r="U179" s="8">
        <f t="shared" ca="1" si="537"/>
        <v>-94667.777675949445</v>
      </c>
      <c r="V179" s="8">
        <f t="shared" ca="1" si="537"/>
        <v>-87624.126374637635</v>
      </c>
      <c r="W179" s="8">
        <f t="shared" ca="1" si="537"/>
        <v>-80141.357882831449</v>
      </c>
      <c r="X179" s="8">
        <f t="shared" ca="1" si="537"/>
        <v>-92355.585709101564</v>
      </c>
      <c r="Y179" s="8">
        <f t="shared" ca="1" si="537"/>
        <v>-104596.12504527201</v>
      </c>
      <c r="Z179" s="8">
        <f t="shared" ca="1" si="537"/>
        <v>-116855.26235351761</v>
      </c>
      <c r="AA179" s="8">
        <f t="shared" ca="1" si="537"/>
        <v>-129124.84011780033</v>
      </c>
      <c r="AB179" s="8">
        <f t="shared" ca="1" si="537"/>
        <v>-141396.23821022105</v>
      </c>
      <c r="AC179" s="8">
        <f t="shared" ca="1" si="537"/>
        <v>-153660.35456550412</v>
      </c>
      <c r="AD179" s="8">
        <f t="shared" ca="1" si="537"/>
        <v>-156168.58504803915</v>
      </c>
      <c r="AE179" s="8">
        <f t="shared" ca="1" si="537"/>
        <v>-158406.32794180204</v>
      </c>
      <c r="AF179" s="8">
        <f t="shared" ca="1" si="537"/>
        <v>-160356.82525654841</v>
      </c>
      <c r="AG179" s="8">
        <f t="shared" ca="1" si="537"/>
        <v>-162002.60017826199</v>
      </c>
      <c r="AH179" s="8">
        <f t="shared" ca="1" si="537"/>
        <v>-163325.43010233995</v>
      </c>
      <c r="AI179" s="8">
        <f t="shared" ca="1" si="537"/>
        <v>-164306.31872272107</v>
      </c>
      <c r="AJ179" s="8">
        <f t="shared" ca="1" si="537"/>
        <v>-164925.46714525897</v>
      </c>
      <c r="AK179" s="8">
        <f t="shared" ca="1" si="537"/>
        <v>-165162.24399260693</v>
      </c>
      <c r="AL179" s="8">
        <f t="shared" ca="1" si="537"/>
        <v>-164995.15446681262</v>
      </c>
      <c r="AM179" s="8">
        <f t="shared" ca="1" si="537"/>
        <v>-164401.80833471776</v>
      </c>
    </row>
    <row r="180" spans="1:39" x14ac:dyDescent="0.2">
      <c r="A180" s="4" t="s">
        <v>29</v>
      </c>
      <c r="C180" s="8">
        <f t="shared" ref="C180:H180" ca="1" si="538">C68</f>
        <v>1301023.1098380252</v>
      </c>
      <c r="D180" s="8">
        <f t="shared" ca="1" si="538"/>
        <v>1384582.2771802545</v>
      </c>
      <c r="E180" s="8">
        <f t="shared" ca="1" si="538"/>
        <v>1450030.9206765494</v>
      </c>
      <c r="F180" s="8">
        <f t="shared" ca="1" si="538"/>
        <v>1550952.0739389125</v>
      </c>
      <c r="G180" s="8">
        <f t="shared" ca="1" si="538"/>
        <v>1656938.7875422537</v>
      </c>
      <c r="H180" s="8">
        <f t="shared" ca="1" si="538"/>
        <v>1681226.5368760303</v>
      </c>
      <c r="I180" s="8">
        <f t="shared" ref="I180:AM180" ca="1" si="539">I68</f>
        <v>1703592.6974939031</v>
      </c>
      <c r="J180" s="8">
        <f t="shared" ca="1" si="539"/>
        <v>1708389.1391582103</v>
      </c>
      <c r="K180" s="8">
        <f t="shared" ca="1" si="539"/>
        <v>1792981.9482400995</v>
      </c>
      <c r="L180" s="8">
        <f t="shared" ca="1" si="539"/>
        <v>1782561.366582053</v>
      </c>
      <c r="M180" s="8">
        <f t="shared" ca="1" si="539"/>
        <v>1820163.8012573724</v>
      </c>
      <c r="N180" s="8">
        <f t="shared" ca="1" si="539"/>
        <v>1859407.6578562199</v>
      </c>
      <c r="O180" s="8">
        <f t="shared" ca="1" si="539"/>
        <v>1900411.7188506315</v>
      </c>
      <c r="P180" s="8">
        <f t="shared" ca="1" si="539"/>
        <v>1943258.7514072948</v>
      </c>
      <c r="Q180" s="8">
        <f t="shared" ca="1" si="539"/>
        <v>1988035.9858391578</v>
      </c>
      <c r="R180" s="8">
        <f t="shared" ca="1" si="539"/>
        <v>2034835.3974915333</v>
      </c>
      <c r="S180" s="8">
        <f t="shared" ca="1" si="539"/>
        <v>2102607.2300460339</v>
      </c>
      <c r="T180" s="8">
        <f t="shared" ca="1" si="539"/>
        <v>2180680.0766917155</v>
      </c>
      <c r="U180" s="8">
        <f t="shared" ca="1" si="539"/>
        <v>2261755.941505562</v>
      </c>
      <c r="V180" s="8">
        <f t="shared" ca="1" si="539"/>
        <v>2345965.8559709988</v>
      </c>
      <c r="W180" s="8">
        <f t="shared" ca="1" si="539"/>
        <v>2433447.7596489484</v>
      </c>
      <c r="X180" s="8">
        <f t="shared" ca="1" si="539"/>
        <v>2504191.9559216676</v>
      </c>
      <c r="Y180" s="8">
        <f t="shared" ca="1" si="539"/>
        <v>2578002.6534532988</v>
      </c>
      <c r="Z180" s="8">
        <f t="shared" ca="1" si="539"/>
        <v>2655028.6749683991</v>
      </c>
      <c r="AA180" s="8">
        <f t="shared" ca="1" si="539"/>
        <v>2735427.3864296344</v>
      </c>
      <c r="AB180" s="8">
        <f t="shared" ca="1" si="539"/>
        <v>2819365.2679279656</v>
      </c>
      <c r="AC180" s="8">
        <f t="shared" ca="1" si="539"/>
        <v>2907018.5265747034</v>
      </c>
      <c r="AD180" s="8">
        <f t="shared" ca="1" si="539"/>
        <v>3008312.7547296807</v>
      </c>
      <c r="AE180" s="8">
        <f t="shared" ca="1" si="539"/>
        <v>3113950.1116088191</v>
      </c>
      <c r="AF180" s="8">
        <f t="shared" ca="1" si="539"/>
        <v>3224146.2198265269</v>
      </c>
      <c r="AG180" s="8">
        <f t="shared" ca="1" si="539"/>
        <v>3339129.5215909155</v>
      </c>
      <c r="AH180" s="8">
        <f t="shared" ca="1" si="539"/>
        <v>3459142.1594802123</v>
      </c>
      <c r="AI180" s="8">
        <f t="shared" ca="1" si="539"/>
        <v>3584440.9230404301</v>
      </c>
      <c r="AJ180" s="8">
        <f t="shared" ca="1" si="539"/>
        <v>3715298.2663233597</v>
      </c>
      <c r="AK180" s="8">
        <f t="shared" ca="1" si="539"/>
        <v>3852003.4018888492</v>
      </c>
      <c r="AL180" s="8">
        <f t="shared" ca="1" si="539"/>
        <v>3994863.477232568</v>
      </c>
      <c r="AM180" s="8">
        <f t="shared" ca="1" si="539"/>
        <v>4144204.8400724437</v>
      </c>
    </row>
    <row r="181" spans="1:39" x14ac:dyDescent="0.2">
      <c r="A181" s="4" t="s">
        <v>81</v>
      </c>
      <c r="C181" s="12" t="str">
        <f ca="1">IF(COUNTIF(179:179,"&lt;0")&gt;0,"NO","YES!")</f>
        <v>NO</v>
      </c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</row>
    <row r="182" spans="1:39" x14ac:dyDescent="0.2">
      <c r="A182" s="4" t="s">
        <v>35</v>
      </c>
      <c r="C182" s="12" cm="1">
        <f t="array" aca="1" ref="C182" ca="1">IFERROR(INDEX($3:$3, MATCH(TRUE, INDEX(179:179&lt;0,0), 0)), "")</f>
        <v>59</v>
      </c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</row>
    <row r="183" spans="1:39" x14ac:dyDescent="0.2">
      <c r="A183" s="4"/>
      <c r="C183" s="12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</row>
    <row r="184" spans="1:39" x14ac:dyDescent="0.2">
      <c r="A184" s="17" t="s">
        <v>73</v>
      </c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</row>
    <row r="185" spans="1:39" x14ac:dyDescent="0.2">
      <c r="A185" s="4" t="s">
        <v>9</v>
      </c>
      <c r="C185" s="8">
        <f t="shared" ref="C185:G185" ca="1" si="540">C161</f>
        <v>70325.5</v>
      </c>
      <c r="D185" s="8">
        <f t="shared" ca="1" si="540"/>
        <v>93777.462499999994</v>
      </c>
      <c r="E185" s="8">
        <f t="shared" ca="1" si="540"/>
        <v>97139.486875000017</v>
      </c>
      <c r="F185" s="8">
        <f t="shared" ca="1" si="540"/>
        <v>134700.22165942451</v>
      </c>
      <c r="G185" s="8">
        <f t="shared" ca="1" si="540"/>
        <v>176857.58117608592</v>
      </c>
      <c r="H185" s="8">
        <f t="shared" ref="H185" ca="1" si="541">H161</f>
        <v>139039.35479497066</v>
      </c>
      <c r="I185" s="8">
        <f t="shared" ref="I185:AM185" ca="1" si="542">I161</f>
        <v>106112.72244205432</v>
      </c>
      <c r="J185" s="8">
        <f t="shared" ca="1" si="542"/>
        <v>53748.103183444677</v>
      </c>
      <c r="K185" s="8">
        <f t="shared" ca="1" si="542"/>
        <v>79521.393830203713</v>
      </c>
      <c r="L185" s="8">
        <f t="shared" ca="1" si="542"/>
        <v>40000</v>
      </c>
      <c r="M185" s="8">
        <f t="shared" ca="1" si="542"/>
        <v>215633.07182553489</v>
      </c>
      <c r="N185" s="8">
        <f t="shared" ca="1" si="542"/>
        <v>201691.24648046176</v>
      </c>
      <c r="O185" s="8">
        <f t="shared" ca="1" si="542"/>
        <v>174476.46172956808</v>
      </c>
      <c r="P185" s="8">
        <f t="shared" ca="1" si="542"/>
        <v>146189.84410333901</v>
      </c>
      <c r="Q185" s="8">
        <f t="shared" ca="1" si="542"/>
        <v>116456.05079087043</v>
      </c>
      <c r="R185" s="8">
        <f t="shared" ca="1" si="542"/>
        <v>85247.089475458866</v>
      </c>
      <c r="S185" s="8">
        <f t="shared" ca="1" si="542"/>
        <v>71859.065561695694</v>
      </c>
      <c r="T185" s="8">
        <f t="shared" ca="1" si="542"/>
        <v>65691.260359113105</v>
      </c>
      <c r="U185" s="8">
        <f t="shared" ca="1" si="542"/>
        <v>59325.034268003095</v>
      </c>
      <c r="V185" s="8">
        <f t="shared" ca="1" si="542"/>
        <v>52764.641391702484</v>
      </c>
      <c r="W185" s="8">
        <f t="shared" ca="1" si="542"/>
        <v>392201.08953015786</v>
      </c>
      <c r="X185" s="8">
        <f t="shared" ca="1" si="542"/>
        <v>359998.1199005458</v>
      </c>
      <c r="Y185" s="8">
        <f t="shared" ca="1" si="542"/>
        <v>326332.02965443209</v>
      </c>
      <c r="Z185" s="8">
        <f t="shared" ca="1" si="542"/>
        <v>290696.94779915328</v>
      </c>
      <c r="AA185" s="8">
        <f t="shared" ca="1" si="542"/>
        <v>253050.05891038294</v>
      </c>
      <c r="AB185" s="8">
        <f t="shared" ca="1" si="542"/>
        <v>213347.66945916342</v>
      </c>
      <c r="AC185" s="8">
        <f t="shared" ca="1" si="542"/>
        <v>171545.19162771967</v>
      </c>
      <c r="AD185" s="8">
        <f t="shared" ca="1" si="542"/>
        <v>137579.6019875067</v>
      </c>
      <c r="AE185" s="8">
        <f t="shared" ca="1" si="542"/>
        <v>101915.03644959674</v>
      </c>
      <c r="AF185" s="8">
        <f t="shared" ca="1" si="542"/>
        <v>680463.75996147213</v>
      </c>
      <c r="AG185" s="8">
        <f t="shared" ca="1" si="542"/>
        <v>637757.28735937737</v>
      </c>
      <c r="AH185" s="8">
        <f t="shared" ca="1" si="542"/>
        <v>592799.14945697319</v>
      </c>
      <c r="AI185" s="8">
        <f t="shared" ca="1" si="542"/>
        <v>544869.56782499759</v>
      </c>
      <c r="AJ185" s="8">
        <f t="shared" ca="1" si="542"/>
        <v>493894.25637021125</v>
      </c>
      <c r="AK185" s="8">
        <f t="shared" ca="1" si="542"/>
        <v>439797.07184704405</v>
      </c>
      <c r="AL185" s="8">
        <f t="shared" ca="1" si="542"/>
        <v>382499.96742878656</v>
      </c>
      <c r="AM185" s="8">
        <f t="shared" ca="1" si="542"/>
        <v>321922.94511806133</v>
      </c>
    </row>
    <row r="186" spans="1:39" x14ac:dyDescent="0.2">
      <c r="A186" s="4" t="s">
        <v>29</v>
      </c>
      <c r="C186" s="8">
        <f t="shared" ref="C186:G186" ca="1" si="543">C174</f>
        <v>1301023.1098380252</v>
      </c>
      <c r="D186" s="8">
        <f t="shared" ca="1" si="543"/>
        <v>1384582.2771802545</v>
      </c>
      <c r="E186" s="8">
        <f t="shared" ca="1" si="543"/>
        <v>1450030.9206765494</v>
      </c>
      <c r="F186" s="8">
        <f t="shared" ca="1" si="543"/>
        <v>1550952.0739389125</v>
      </c>
      <c r="G186" s="8">
        <f t="shared" ca="1" si="543"/>
        <v>1656938.7875422537</v>
      </c>
      <c r="H186" s="8">
        <f t="shared" ref="H186" ca="1" si="544">H174</f>
        <v>1681226.5368760303</v>
      </c>
      <c r="I186" s="8">
        <f t="shared" ref="I186:AM186" ca="1" si="545">I174</f>
        <v>1703592.6974939031</v>
      </c>
      <c r="J186" s="8">
        <f t="shared" ca="1" si="545"/>
        <v>1708389.1391582103</v>
      </c>
      <c r="K186" s="8">
        <f t="shared" ca="1" si="545"/>
        <v>1792981.9482400992</v>
      </c>
      <c r="L186" s="8">
        <f t="shared" ca="1" si="545"/>
        <v>1778595.65704162</v>
      </c>
      <c r="M186" s="8">
        <f t="shared" ca="1" si="545"/>
        <v>1778990.2156588992</v>
      </c>
      <c r="N186" s="8">
        <f t="shared" ca="1" si="545"/>
        <v>1798543.4397481827</v>
      </c>
      <c r="O186" s="8">
        <f t="shared" ca="1" si="545"/>
        <v>1819234.2207953206</v>
      </c>
      <c r="P186" s="8">
        <f t="shared" ca="1" si="545"/>
        <v>1840290.3359410642</v>
      </c>
      <c r="Q186" s="8">
        <f t="shared" ca="1" si="545"/>
        <v>1861379.5573837273</v>
      </c>
      <c r="R186" s="8">
        <f t="shared" ca="1" si="545"/>
        <v>1882518.3012661017</v>
      </c>
      <c r="S186" s="8">
        <f t="shared" ca="1" si="545"/>
        <v>1923048.4137060579</v>
      </c>
      <c r="T186" s="8">
        <f t="shared" ca="1" si="545"/>
        <v>1972416.2889478065</v>
      </c>
      <c r="U186" s="8">
        <f t="shared" ca="1" si="545"/>
        <v>2023251.8137143573</v>
      </c>
      <c r="V186" s="8">
        <f t="shared" ca="1" si="545"/>
        <v>2075609.2242214475</v>
      </c>
      <c r="W186" s="8">
        <f t="shared" ca="1" si="545"/>
        <v>2066466.2040687059</v>
      </c>
      <c r="X186" s="8">
        <f t="shared" ca="1" si="545"/>
        <v>2084491.1878752504</v>
      </c>
      <c r="Y186" s="8">
        <f t="shared" ca="1" si="545"/>
        <v>2102559.8896683776</v>
      </c>
      <c r="Z186" s="8">
        <f t="shared" ca="1" si="545"/>
        <v>2120211.6436135173</v>
      </c>
      <c r="AA186" s="8">
        <f t="shared" ca="1" si="545"/>
        <v>2137450.1955991779</v>
      </c>
      <c r="AB186" s="8">
        <f t="shared" ca="1" si="545"/>
        <v>2154279.8102486222</v>
      </c>
      <c r="AC186" s="8">
        <f t="shared" ca="1" si="545"/>
        <v>2170705.2966408622</v>
      </c>
      <c r="AD186" s="8">
        <f t="shared" ca="1" si="545"/>
        <v>2196714.5101510435</v>
      </c>
      <c r="AE186" s="8">
        <f t="shared" ca="1" si="545"/>
        <v>2222823.99185804</v>
      </c>
      <c r="AF186" s="8">
        <f t="shared" ca="1" si="545"/>
        <v>2136821.24267527</v>
      </c>
      <c r="AG186" s="8">
        <f t="shared" ca="1" si="545"/>
        <v>2137805.494554589</v>
      </c>
      <c r="AH186" s="8">
        <f t="shared" ca="1" si="545"/>
        <v>2137848.8028680412</v>
      </c>
      <c r="AI186" s="8">
        <f t="shared" ca="1" si="545"/>
        <v>2136270.7108383975</v>
      </c>
      <c r="AJ186" s="8">
        <f t="shared" ca="1" si="545"/>
        <v>2133037.4336740132</v>
      </c>
      <c r="AK186" s="8">
        <f t="shared" ca="1" si="545"/>
        <v>2128114.54446996</v>
      </c>
      <c r="AL186" s="8">
        <f t="shared" ca="1" si="545"/>
        <v>2121466.9642303903</v>
      </c>
      <c r="AM186" s="8">
        <f t="shared" ca="1" si="545"/>
        <v>2113058.9518237133</v>
      </c>
    </row>
    <row r="187" spans="1:39" x14ac:dyDescent="0.2">
      <c r="A187" s="4" t="s">
        <v>74</v>
      </c>
      <c r="C187" s="12" t="str">
        <f ca="1">IF(COUNTIF(185:185,"&lt;0")&gt;0,"NO","YES!")</f>
        <v>YES!</v>
      </c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</row>
    <row r="188" spans="1:39" x14ac:dyDescent="0.2">
      <c r="A188" s="4" t="s">
        <v>35</v>
      </c>
      <c r="C188" s="12" t="str" cm="1">
        <f t="array" aca="1" ref="C188" ca="1">IFERROR(INDEX($3:$3, MATCH(TRUE, INDEX(185:185&lt;0,0), 0)), "Never")</f>
        <v>Never</v>
      </c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</row>
    <row r="189" spans="1:39" x14ac:dyDescent="0.2">
      <c r="A189" s="4"/>
      <c r="C189" s="8"/>
      <c r="D189" s="8"/>
      <c r="E189" s="27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</row>
    <row r="190" spans="1:39" x14ac:dyDescent="0.2">
      <c r="A190" s="4" t="s">
        <v>31</v>
      </c>
      <c r="C190" s="11" t="s">
        <v>30</v>
      </c>
      <c r="D190" s="25" t="s">
        <v>76</v>
      </c>
      <c r="E190" s="25" t="s">
        <v>75</v>
      </c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</row>
    <row r="191" spans="1:39" x14ac:dyDescent="0.2">
      <c r="A191" s="18" t="s">
        <v>28</v>
      </c>
      <c r="C191" s="8">
        <f ca="1">-SUM(77:77)</f>
        <v>63291.402805471458</v>
      </c>
      <c r="D191" s="25" t="str" cm="1">
        <f t="array" aca="1" ref="D191" ca="1">IFERROR(TEXT(INDEX(2:2, MATCH(TRUE, INDEX(77:77&lt;0,0), 0)), "0000"), "")</f>
        <v>2036</v>
      </c>
      <c r="E191" s="26" cm="1">
        <f t="array" aca="1" ref="E191" ca="1">IFERROR(INDEX(3:3, MATCH(TRUE, INDEX(77:77&lt;0,0), 0)),"")</f>
        <v>58</v>
      </c>
      <c r="F191" s="28" t="s">
        <v>77</v>
      </c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</row>
    <row r="192" spans="1:39" x14ac:dyDescent="0.2">
      <c r="A192" s="18" t="s">
        <v>71</v>
      </c>
      <c r="C192" s="7"/>
      <c r="D192" s="27"/>
      <c r="E192" s="27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</row>
    <row r="193" spans="1:39" x14ac:dyDescent="0.2">
      <c r="A193" s="19" t="str">
        <f>$A$58</f>
        <v>Sliema</v>
      </c>
      <c r="C193" s="8">
        <f ca="1">-IFERROR(MIN(INDEX($141:$143, MATCH(A193, $A$141:$A$143, 0), 0)),0)</f>
        <v>706969.6518028134</v>
      </c>
      <c r="D193" s="25" t="str" cm="1">
        <f t="array" aca="1" ref="D193" ca="1">IFERROR(TEXT(INDEX($2:$2,MATCH(0, $C146:$XFD146, 0) + COLUMN($C146) - 1),"0000"),"")</f>
        <v>2056</v>
      </c>
      <c r="E193" s="26" cm="1">
        <f t="array" aca="1" ref="E193" ca="1">IFERROR(INDEX($3:$3,MATCH(0, $C146:$XFD146, 0) + COLUMN($C146) - 1),"")</f>
        <v>78</v>
      </c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</row>
    <row r="194" spans="1:39" x14ac:dyDescent="0.2">
      <c r="A194" s="19" t="str">
        <f>$A$59</f>
        <v>Gzira</v>
      </c>
      <c r="C194" s="8">
        <f ca="1">-IFERROR(MIN(INDEX($141:$143, MATCH(A194, $A$141:$A$143, 0), 0)),0)</f>
        <v>201587.45690161825</v>
      </c>
      <c r="D194" s="25" t="str" cm="1">
        <f t="array" aca="1" ref="D194" ca="1">IFERROR(TEXT(INDEX($2:$2,MATCH(0, $C147:$XFD147, 0) + COLUMN($C147) - 1),"0000"),"")</f>
        <v>2037</v>
      </c>
      <c r="E194" s="26" cm="1">
        <f t="array" aca="1" ref="E194" ca="1">IFERROR(INDEX($3:$3,MATCH(0, $C147:$XFD147, 0) + COLUMN($C147) - 1),"")</f>
        <v>59</v>
      </c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</row>
    <row r="195" spans="1:39" x14ac:dyDescent="0.2">
      <c r="A195" s="19" t="str">
        <f>$A$60</f>
        <v>Qormi</v>
      </c>
      <c r="C195" s="8">
        <f ca="1">-IFERROR(MIN(INDEX($141:$143, MATCH(A195, $A$141:$A$143, 0), 0)),0)</f>
        <v>397344.47162727115</v>
      </c>
      <c r="D195" s="25" t="str" cm="1">
        <f t="array" aca="1" ref="D195" ca="1">IFERROR(TEXT(INDEX($2:$2,MATCH(0, $C148:$XFD148, 0) + COLUMN($C148) - 1),"0000"),"")</f>
        <v>2047</v>
      </c>
      <c r="E195" s="26" cm="1">
        <f t="array" aca="1" ref="E195" ca="1">IFERROR(INDEX($3:$3,MATCH(0, $C148:$XFD148, 0) + COLUMN($C148) - 1),"")</f>
        <v>69</v>
      </c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</row>
    <row r="196" spans="1:39" x14ac:dyDescent="0.2">
      <c r="A196" s="7"/>
      <c r="C196" s="10">
        <f ca="1">SUM(C193:C195)</f>
        <v>1305901.5803317027</v>
      </c>
      <c r="D196" s="27"/>
      <c r="E196" s="27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</row>
    <row r="197" spans="1:39" x14ac:dyDescent="0.2">
      <c r="C197" s="8"/>
      <c r="E197" s="8"/>
      <c r="F197" s="8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</row>
    <row r="198" spans="1:39" x14ac:dyDescent="0.2">
      <c r="A198" s="17" t="s">
        <v>78</v>
      </c>
      <c r="B198" s="2" t="s">
        <v>1</v>
      </c>
      <c r="C198" s="8">
        <f t="shared" ref="C198:H198" si="546">C3</f>
        <v>49</v>
      </c>
      <c r="D198" s="8">
        <f t="shared" si="546"/>
        <v>50</v>
      </c>
      <c r="E198" s="8">
        <f t="shared" si="546"/>
        <v>51</v>
      </c>
      <c r="F198" s="8">
        <f t="shared" si="546"/>
        <v>52</v>
      </c>
      <c r="G198" s="8">
        <f t="shared" si="546"/>
        <v>53</v>
      </c>
      <c r="H198" s="8">
        <f t="shared" si="546"/>
        <v>54</v>
      </c>
      <c r="I198" s="8">
        <f t="shared" ref="I198:AM198" si="547">I3</f>
        <v>55</v>
      </c>
      <c r="J198" s="8">
        <f t="shared" si="547"/>
        <v>56</v>
      </c>
      <c r="K198" s="8">
        <f t="shared" si="547"/>
        <v>57</v>
      </c>
      <c r="L198" s="8">
        <f t="shared" si="547"/>
        <v>58</v>
      </c>
      <c r="M198" s="8">
        <f t="shared" si="547"/>
        <v>59</v>
      </c>
      <c r="N198" s="8">
        <f t="shared" si="547"/>
        <v>60</v>
      </c>
      <c r="O198" s="8">
        <f t="shared" si="547"/>
        <v>61</v>
      </c>
      <c r="P198" s="8">
        <f t="shared" si="547"/>
        <v>62</v>
      </c>
      <c r="Q198" s="8">
        <f t="shared" si="547"/>
        <v>63</v>
      </c>
      <c r="R198" s="8">
        <f t="shared" si="547"/>
        <v>64</v>
      </c>
      <c r="S198" s="8">
        <f t="shared" si="547"/>
        <v>65</v>
      </c>
      <c r="T198" s="8">
        <f t="shared" si="547"/>
        <v>66</v>
      </c>
      <c r="U198" s="8">
        <f t="shared" si="547"/>
        <v>67</v>
      </c>
      <c r="V198" s="8">
        <f t="shared" si="547"/>
        <v>68</v>
      </c>
      <c r="W198" s="8">
        <f t="shared" si="547"/>
        <v>69</v>
      </c>
      <c r="X198" s="8">
        <f t="shared" si="547"/>
        <v>70</v>
      </c>
      <c r="Y198" s="8">
        <f t="shared" si="547"/>
        <v>71</v>
      </c>
      <c r="Z198" s="8">
        <f t="shared" si="547"/>
        <v>72</v>
      </c>
      <c r="AA198" s="8">
        <f t="shared" si="547"/>
        <v>73</v>
      </c>
      <c r="AB198" s="8">
        <f t="shared" si="547"/>
        <v>74</v>
      </c>
      <c r="AC198" s="8">
        <f t="shared" si="547"/>
        <v>75</v>
      </c>
      <c r="AD198" s="8">
        <f t="shared" si="547"/>
        <v>76</v>
      </c>
      <c r="AE198" s="8">
        <f t="shared" si="547"/>
        <v>77</v>
      </c>
      <c r="AF198" s="8">
        <f t="shared" si="547"/>
        <v>78</v>
      </c>
      <c r="AG198" s="8">
        <f t="shared" si="547"/>
        <v>79</v>
      </c>
      <c r="AH198" s="8">
        <f t="shared" si="547"/>
        <v>80</v>
      </c>
      <c r="AI198" s="8">
        <f t="shared" si="547"/>
        <v>81</v>
      </c>
      <c r="AJ198" s="8">
        <f t="shared" si="547"/>
        <v>82</v>
      </c>
      <c r="AK198" s="8">
        <f t="shared" si="547"/>
        <v>83</v>
      </c>
      <c r="AL198" s="8">
        <f t="shared" si="547"/>
        <v>84</v>
      </c>
      <c r="AM198" s="8">
        <f t="shared" si="547"/>
        <v>85</v>
      </c>
    </row>
    <row r="199" spans="1:39" x14ac:dyDescent="0.2">
      <c r="A199" s="4" t="s">
        <v>72</v>
      </c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</row>
    <row r="200" spans="1:39" x14ac:dyDescent="0.2">
      <c r="A200" s="4" t="s">
        <v>9</v>
      </c>
      <c r="C200" s="8">
        <f ca="1">C179</f>
        <v>70325.5</v>
      </c>
      <c r="D200" s="8">
        <f t="shared" ref="D200:G201" ca="1" si="548">D179</f>
        <v>93777.462499999994</v>
      </c>
      <c r="E200" s="8">
        <f t="shared" ca="1" si="548"/>
        <v>97139.486875000017</v>
      </c>
      <c r="F200" s="8">
        <f t="shared" ca="1" si="548"/>
        <v>134700.22165942451</v>
      </c>
      <c r="G200" s="8">
        <f t="shared" ca="1" si="548"/>
        <v>176857.58117608592</v>
      </c>
      <c r="H200" s="8">
        <f t="shared" ref="H200" ca="1" si="549">H179</f>
        <v>139039.35479497066</v>
      </c>
      <c r="I200" s="8">
        <f t="shared" ref="I200:AM200" ca="1" si="550">I179</f>
        <v>106112.72244205432</v>
      </c>
      <c r="J200" s="8">
        <f t="shared" ca="1" si="550"/>
        <v>53748.103183444677</v>
      </c>
      <c r="K200" s="8">
        <f t="shared" ca="1" si="550"/>
        <v>79521.393830203713</v>
      </c>
      <c r="L200" s="8">
        <f t="shared" ca="1" si="550"/>
        <v>11019.814896834243</v>
      </c>
      <c r="M200" s="8">
        <f t="shared" ca="1" si="550"/>
        <v>-7762.38447431229</v>
      </c>
      <c r="N200" s="8">
        <f t="shared" ca="1" si="550"/>
        <v>-26853.771942997417</v>
      </c>
      <c r="O200" s="8">
        <f t="shared" ca="1" si="550"/>
        <v>-46214.809017790998</v>
      </c>
      <c r="P200" s="8">
        <f t="shared" ca="1" si="550"/>
        <v>-65846.007886427469</v>
      </c>
      <c r="Q200" s="8">
        <f t="shared" ca="1" si="550"/>
        <v>-85747.706669762105</v>
      </c>
      <c r="R200" s="8">
        <f t="shared" ca="1" si="550"/>
        <v>-105920.05946395185</v>
      </c>
      <c r="S200" s="8">
        <f t="shared" ca="1" si="550"/>
        <v>-107509.80458311707</v>
      </c>
      <c r="T200" s="8">
        <f t="shared" ca="1" si="550"/>
        <v>-101290.49605851121</v>
      </c>
      <c r="U200" s="8">
        <f t="shared" ca="1" si="550"/>
        <v>-94667.777675949445</v>
      </c>
      <c r="V200" s="8">
        <f t="shared" ca="1" si="550"/>
        <v>-87624.126374637635</v>
      </c>
      <c r="W200" s="8">
        <f t="shared" ca="1" si="550"/>
        <v>-80141.357882831449</v>
      </c>
      <c r="X200" s="8">
        <f t="shared" ca="1" si="550"/>
        <v>-92355.585709101564</v>
      </c>
      <c r="Y200" s="8">
        <f t="shared" ca="1" si="550"/>
        <v>-104596.12504527201</v>
      </c>
      <c r="Z200" s="8">
        <f t="shared" ca="1" si="550"/>
        <v>-116855.26235351761</v>
      </c>
      <c r="AA200" s="8">
        <f t="shared" ca="1" si="550"/>
        <v>-129124.84011780033</v>
      </c>
      <c r="AB200" s="8">
        <f t="shared" ca="1" si="550"/>
        <v>-141396.23821022105</v>
      </c>
      <c r="AC200" s="8">
        <f t="shared" ca="1" si="550"/>
        <v>-153660.35456550412</v>
      </c>
      <c r="AD200" s="8">
        <f t="shared" ca="1" si="550"/>
        <v>-156168.58504803915</v>
      </c>
      <c r="AE200" s="8">
        <f t="shared" ca="1" si="550"/>
        <v>-158406.32794180204</v>
      </c>
      <c r="AF200" s="8">
        <f t="shared" ca="1" si="550"/>
        <v>-160356.82525654841</v>
      </c>
      <c r="AG200" s="8">
        <f t="shared" ca="1" si="550"/>
        <v>-162002.60017826199</v>
      </c>
      <c r="AH200" s="8">
        <f t="shared" ca="1" si="550"/>
        <v>-163325.43010233995</v>
      </c>
      <c r="AI200" s="8">
        <f t="shared" ca="1" si="550"/>
        <v>-164306.31872272107</v>
      </c>
      <c r="AJ200" s="8">
        <f t="shared" ca="1" si="550"/>
        <v>-164925.46714525897</v>
      </c>
      <c r="AK200" s="8">
        <f t="shared" ca="1" si="550"/>
        <v>-165162.24399260693</v>
      </c>
      <c r="AL200" s="8">
        <f t="shared" ca="1" si="550"/>
        <v>-164995.15446681262</v>
      </c>
      <c r="AM200" s="8">
        <f t="shared" ca="1" si="550"/>
        <v>-164401.80833471776</v>
      </c>
    </row>
    <row r="201" spans="1:39" x14ac:dyDescent="0.2">
      <c r="A201" s="4" t="s">
        <v>29</v>
      </c>
      <c r="C201" s="8">
        <f ca="1">C180</f>
        <v>1301023.1098380252</v>
      </c>
      <c r="D201" s="8">
        <f t="shared" ca="1" si="548"/>
        <v>1384582.2771802545</v>
      </c>
      <c r="E201" s="8">
        <f t="shared" ca="1" si="548"/>
        <v>1450030.9206765494</v>
      </c>
      <c r="F201" s="8">
        <f t="shared" ca="1" si="548"/>
        <v>1550952.0739389125</v>
      </c>
      <c r="G201" s="8">
        <f t="shared" ca="1" si="548"/>
        <v>1656938.7875422537</v>
      </c>
      <c r="H201" s="8">
        <f t="shared" ref="H201" ca="1" si="551">H180</f>
        <v>1681226.5368760303</v>
      </c>
      <c r="I201" s="8">
        <f t="shared" ref="I201:AM201" ca="1" si="552">I180</f>
        <v>1703592.6974939031</v>
      </c>
      <c r="J201" s="8">
        <f t="shared" ca="1" si="552"/>
        <v>1708389.1391582103</v>
      </c>
      <c r="K201" s="8">
        <f t="shared" ca="1" si="552"/>
        <v>1792981.9482400995</v>
      </c>
      <c r="L201" s="8">
        <f t="shared" ca="1" si="552"/>
        <v>1782561.366582053</v>
      </c>
      <c r="M201" s="8">
        <f t="shared" ca="1" si="552"/>
        <v>1820163.8012573724</v>
      </c>
      <c r="N201" s="8">
        <f t="shared" ca="1" si="552"/>
        <v>1859407.6578562199</v>
      </c>
      <c r="O201" s="8">
        <f t="shared" ca="1" si="552"/>
        <v>1900411.7188506315</v>
      </c>
      <c r="P201" s="8">
        <f t="shared" ca="1" si="552"/>
        <v>1943258.7514072948</v>
      </c>
      <c r="Q201" s="8">
        <f t="shared" ca="1" si="552"/>
        <v>1988035.9858391578</v>
      </c>
      <c r="R201" s="8">
        <f t="shared" ca="1" si="552"/>
        <v>2034835.3974915333</v>
      </c>
      <c r="S201" s="8">
        <f t="shared" ca="1" si="552"/>
        <v>2102607.2300460339</v>
      </c>
      <c r="T201" s="8">
        <f t="shared" ca="1" si="552"/>
        <v>2180680.0766917155</v>
      </c>
      <c r="U201" s="8">
        <f t="shared" ca="1" si="552"/>
        <v>2261755.941505562</v>
      </c>
      <c r="V201" s="8">
        <f t="shared" ca="1" si="552"/>
        <v>2345965.8559709988</v>
      </c>
      <c r="W201" s="8">
        <f t="shared" ca="1" si="552"/>
        <v>2433447.7596489484</v>
      </c>
      <c r="X201" s="8">
        <f t="shared" ca="1" si="552"/>
        <v>2504191.9559216676</v>
      </c>
      <c r="Y201" s="8">
        <f t="shared" ca="1" si="552"/>
        <v>2578002.6534532988</v>
      </c>
      <c r="Z201" s="8">
        <f t="shared" ca="1" si="552"/>
        <v>2655028.6749683991</v>
      </c>
      <c r="AA201" s="8">
        <f t="shared" ca="1" si="552"/>
        <v>2735427.3864296344</v>
      </c>
      <c r="AB201" s="8">
        <f t="shared" ca="1" si="552"/>
        <v>2819365.2679279656</v>
      </c>
      <c r="AC201" s="8">
        <f t="shared" ca="1" si="552"/>
        <v>2907018.5265747034</v>
      </c>
      <c r="AD201" s="8">
        <f t="shared" ca="1" si="552"/>
        <v>3008312.7547296807</v>
      </c>
      <c r="AE201" s="8">
        <f t="shared" ca="1" si="552"/>
        <v>3113950.1116088191</v>
      </c>
      <c r="AF201" s="8">
        <f t="shared" ca="1" si="552"/>
        <v>3224146.2198265269</v>
      </c>
      <c r="AG201" s="8">
        <f t="shared" ca="1" si="552"/>
        <v>3339129.5215909155</v>
      </c>
      <c r="AH201" s="8">
        <f t="shared" ca="1" si="552"/>
        <v>3459142.1594802123</v>
      </c>
      <c r="AI201" s="8">
        <f t="shared" ca="1" si="552"/>
        <v>3584440.9230404301</v>
      </c>
      <c r="AJ201" s="8">
        <f t="shared" ca="1" si="552"/>
        <v>3715298.2663233597</v>
      </c>
      <c r="AK201" s="8">
        <f t="shared" ca="1" si="552"/>
        <v>3852003.4018888492</v>
      </c>
      <c r="AL201" s="8">
        <f t="shared" ca="1" si="552"/>
        <v>3994863.477232568</v>
      </c>
      <c r="AM201" s="8">
        <f t="shared" ca="1" si="552"/>
        <v>4144204.8400724437</v>
      </c>
    </row>
    <row r="202" spans="1:39" x14ac:dyDescent="0.2">
      <c r="A202" s="4" t="s">
        <v>73</v>
      </c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</row>
    <row r="203" spans="1:39" x14ac:dyDescent="0.2">
      <c r="A203" s="18" t="s">
        <v>9</v>
      </c>
      <c r="C203" s="8">
        <f ca="1">C185</f>
        <v>70325.5</v>
      </c>
      <c r="D203" s="8">
        <f t="shared" ref="D203:G204" ca="1" si="553">D185</f>
        <v>93777.462499999994</v>
      </c>
      <c r="E203" s="8">
        <f t="shared" ca="1" si="553"/>
        <v>97139.486875000017</v>
      </c>
      <c r="F203" s="8">
        <f t="shared" ca="1" si="553"/>
        <v>134700.22165942451</v>
      </c>
      <c r="G203" s="8">
        <f t="shared" ca="1" si="553"/>
        <v>176857.58117608592</v>
      </c>
      <c r="H203" s="8">
        <f t="shared" ref="H203" ca="1" si="554">H185</f>
        <v>139039.35479497066</v>
      </c>
      <c r="I203" s="8">
        <f t="shared" ref="I203:AM203" ca="1" si="555">I185</f>
        <v>106112.72244205432</v>
      </c>
      <c r="J203" s="8">
        <f t="shared" ca="1" si="555"/>
        <v>53748.103183444677</v>
      </c>
      <c r="K203" s="8">
        <f t="shared" ca="1" si="555"/>
        <v>79521.393830203713</v>
      </c>
      <c r="L203" s="8">
        <f t="shared" ca="1" si="555"/>
        <v>40000</v>
      </c>
      <c r="M203" s="8">
        <f t="shared" ca="1" si="555"/>
        <v>215633.07182553489</v>
      </c>
      <c r="N203" s="8">
        <f t="shared" ca="1" si="555"/>
        <v>201691.24648046176</v>
      </c>
      <c r="O203" s="8">
        <f t="shared" ca="1" si="555"/>
        <v>174476.46172956808</v>
      </c>
      <c r="P203" s="8">
        <f t="shared" ca="1" si="555"/>
        <v>146189.84410333901</v>
      </c>
      <c r="Q203" s="8">
        <f t="shared" ca="1" si="555"/>
        <v>116456.05079087043</v>
      </c>
      <c r="R203" s="8">
        <f t="shared" ca="1" si="555"/>
        <v>85247.089475458866</v>
      </c>
      <c r="S203" s="8">
        <f t="shared" ca="1" si="555"/>
        <v>71859.065561695694</v>
      </c>
      <c r="T203" s="8">
        <f t="shared" ca="1" si="555"/>
        <v>65691.260359113105</v>
      </c>
      <c r="U203" s="8">
        <f t="shared" ca="1" si="555"/>
        <v>59325.034268003095</v>
      </c>
      <c r="V203" s="8">
        <f t="shared" ca="1" si="555"/>
        <v>52764.641391702484</v>
      </c>
      <c r="W203" s="8">
        <f t="shared" ca="1" si="555"/>
        <v>392201.08953015786</v>
      </c>
      <c r="X203" s="8">
        <f t="shared" ca="1" si="555"/>
        <v>359998.1199005458</v>
      </c>
      <c r="Y203" s="8">
        <f t="shared" ca="1" si="555"/>
        <v>326332.02965443209</v>
      </c>
      <c r="Z203" s="8">
        <f t="shared" ca="1" si="555"/>
        <v>290696.94779915328</v>
      </c>
      <c r="AA203" s="8">
        <f t="shared" ca="1" si="555"/>
        <v>253050.05891038294</v>
      </c>
      <c r="AB203" s="8">
        <f t="shared" ca="1" si="555"/>
        <v>213347.66945916342</v>
      </c>
      <c r="AC203" s="8">
        <f t="shared" ca="1" si="555"/>
        <v>171545.19162771967</v>
      </c>
      <c r="AD203" s="8">
        <f t="shared" ca="1" si="555"/>
        <v>137579.6019875067</v>
      </c>
      <c r="AE203" s="8">
        <f t="shared" ca="1" si="555"/>
        <v>101915.03644959674</v>
      </c>
      <c r="AF203" s="8">
        <f t="shared" ca="1" si="555"/>
        <v>680463.75996147213</v>
      </c>
      <c r="AG203" s="8">
        <f t="shared" ca="1" si="555"/>
        <v>637757.28735937737</v>
      </c>
      <c r="AH203" s="8">
        <f t="shared" ca="1" si="555"/>
        <v>592799.14945697319</v>
      </c>
      <c r="AI203" s="8">
        <f t="shared" ca="1" si="555"/>
        <v>544869.56782499759</v>
      </c>
      <c r="AJ203" s="8">
        <f t="shared" ca="1" si="555"/>
        <v>493894.25637021125</v>
      </c>
      <c r="AK203" s="8">
        <f t="shared" ca="1" si="555"/>
        <v>439797.07184704405</v>
      </c>
      <c r="AL203" s="8">
        <f t="shared" ca="1" si="555"/>
        <v>382499.96742878656</v>
      </c>
      <c r="AM203" s="8">
        <f t="shared" ca="1" si="555"/>
        <v>321922.94511806133</v>
      </c>
    </row>
    <row r="204" spans="1:39" x14ac:dyDescent="0.2">
      <c r="A204" s="18" t="s">
        <v>29</v>
      </c>
      <c r="C204" s="8">
        <f ca="1">C186</f>
        <v>1301023.1098380252</v>
      </c>
      <c r="D204" s="8">
        <f t="shared" ca="1" si="553"/>
        <v>1384582.2771802545</v>
      </c>
      <c r="E204" s="8">
        <f t="shared" ca="1" si="553"/>
        <v>1450030.9206765494</v>
      </c>
      <c r="F204" s="8">
        <f t="shared" ca="1" si="553"/>
        <v>1550952.0739389125</v>
      </c>
      <c r="G204" s="8">
        <f t="shared" ca="1" si="553"/>
        <v>1656938.7875422537</v>
      </c>
      <c r="H204" s="8">
        <f t="shared" ref="H204" ca="1" si="556">H186</f>
        <v>1681226.5368760303</v>
      </c>
      <c r="I204" s="8">
        <f t="shared" ref="I204:AM204" ca="1" si="557">I186</f>
        <v>1703592.6974939031</v>
      </c>
      <c r="J204" s="8">
        <f t="shared" ca="1" si="557"/>
        <v>1708389.1391582103</v>
      </c>
      <c r="K204" s="8">
        <f t="shared" ca="1" si="557"/>
        <v>1792981.9482400992</v>
      </c>
      <c r="L204" s="8">
        <f t="shared" ca="1" si="557"/>
        <v>1778595.65704162</v>
      </c>
      <c r="M204" s="8">
        <f t="shared" ca="1" si="557"/>
        <v>1778990.2156588992</v>
      </c>
      <c r="N204" s="8">
        <f t="shared" ca="1" si="557"/>
        <v>1798543.4397481827</v>
      </c>
      <c r="O204" s="8">
        <f t="shared" ca="1" si="557"/>
        <v>1819234.2207953206</v>
      </c>
      <c r="P204" s="8">
        <f t="shared" ca="1" si="557"/>
        <v>1840290.3359410642</v>
      </c>
      <c r="Q204" s="8">
        <f t="shared" ca="1" si="557"/>
        <v>1861379.5573837273</v>
      </c>
      <c r="R204" s="8">
        <f t="shared" ca="1" si="557"/>
        <v>1882518.3012661017</v>
      </c>
      <c r="S204" s="8">
        <f t="shared" ca="1" si="557"/>
        <v>1923048.4137060579</v>
      </c>
      <c r="T204" s="8">
        <f t="shared" ca="1" si="557"/>
        <v>1972416.2889478065</v>
      </c>
      <c r="U204" s="8">
        <f t="shared" ca="1" si="557"/>
        <v>2023251.8137143573</v>
      </c>
      <c r="V204" s="8">
        <f t="shared" ca="1" si="557"/>
        <v>2075609.2242214475</v>
      </c>
      <c r="W204" s="8">
        <f t="shared" ca="1" si="557"/>
        <v>2066466.2040687059</v>
      </c>
      <c r="X204" s="8">
        <f t="shared" ca="1" si="557"/>
        <v>2084491.1878752504</v>
      </c>
      <c r="Y204" s="8">
        <f t="shared" ca="1" si="557"/>
        <v>2102559.8896683776</v>
      </c>
      <c r="Z204" s="8">
        <f t="shared" ca="1" si="557"/>
        <v>2120211.6436135173</v>
      </c>
      <c r="AA204" s="8">
        <f t="shared" ca="1" si="557"/>
        <v>2137450.1955991779</v>
      </c>
      <c r="AB204" s="8">
        <f t="shared" ca="1" si="557"/>
        <v>2154279.8102486222</v>
      </c>
      <c r="AC204" s="8">
        <f t="shared" ca="1" si="557"/>
        <v>2170705.2966408622</v>
      </c>
      <c r="AD204" s="8">
        <f t="shared" ca="1" si="557"/>
        <v>2196714.5101510435</v>
      </c>
      <c r="AE204" s="8">
        <f t="shared" ca="1" si="557"/>
        <v>2222823.99185804</v>
      </c>
      <c r="AF204" s="8">
        <f t="shared" ca="1" si="557"/>
        <v>2136821.24267527</v>
      </c>
      <c r="AG204" s="8">
        <f t="shared" ca="1" si="557"/>
        <v>2137805.494554589</v>
      </c>
      <c r="AH204" s="8">
        <f t="shared" ca="1" si="557"/>
        <v>2137848.8028680412</v>
      </c>
      <c r="AI204" s="8">
        <f t="shared" ca="1" si="557"/>
        <v>2136270.7108383975</v>
      </c>
      <c r="AJ204" s="8">
        <f t="shared" ca="1" si="557"/>
        <v>2133037.4336740132</v>
      </c>
      <c r="AK204" s="8">
        <f t="shared" ca="1" si="557"/>
        <v>2128114.54446996</v>
      </c>
      <c r="AL204" s="8">
        <f t="shared" ca="1" si="557"/>
        <v>2121466.9642303903</v>
      </c>
      <c r="AM204" s="8">
        <f t="shared" ca="1" si="557"/>
        <v>2113058.9518237133</v>
      </c>
    </row>
    <row r="205" spans="1:39" x14ac:dyDescent="0.2">
      <c r="A205" s="5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</row>
    <row r="206" spans="1:39" x14ac:dyDescent="0.2"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</row>
    <row r="207" spans="1:39" x14ac:dyDescent="0.2"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</row>
    <row r="208" spans="1:39" x14ac:dyDescent="0.2"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</row>
    <row r="209" spans="3:39" x14ac:dyDescent="0.2"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</row>
    <row r="210" spans="3:39" x14ac:dyDescent="0.2"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</row>
    <row r="211" spans="3:39" x14ac:dyDescent="0.2"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</row>
    <row r="212" spans="3:39" x14ac:dyDescent="0.2"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</row>
    <row r="213" spans="3:39" x14ac:dyDescent="0.2"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</row>
    <row r="214" spans="3:39" x14ac:dyDescent="0.2"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</row>
    <row r="215" spans="3:39" x14ac:dyDescent="0.2"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</row>
    <row r="216" spans="3:39" x14ac:dyDescent="0.2"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</row>
    <row r="217" spans="3:39" x14ac:dyDescent="0.2"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</row>
    <row r="218" spans="3:39" x14ac:dyDescent="0.2"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</row>
    <row r="219" spans="3:39" x14ac:dyDescent="0.2"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</row>
    <row r="220" spans="3:39" x14ac:dyDescent="0.2"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</row>
    <row r="221" spans="3:39" x14ac:dyDescent="0.2"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</row>
    <row r="222" spans="3:39" x14ac:dyDescent="0.2"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</row>
    <row r="223" spans="3:39" x14ac:dyDescent="0.2"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</row>
    <row r="224" spans="3:39" x14ac:dyDescent="0.2"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</row>
    <row r="225" spans="3:39" x14ac:dyDescent="0.2"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</row>
    <row r="226" spans="3:39" x14ac:dyDescent="0.2"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</row>
    <row r="227" spans="3:39" x14ac:dyDescent="0.2"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</row>
    <row r="228" spans="3:39" x14ac:dyDescent="0.2"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</row>
    <row r="229" spans="3:39" x14ac:dyDescent="0.2"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</row>
    <row r="230" spans="3:39" x14ac:dyDescent="0.2"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</row>
    <row r="231" spans="3:39" x14ac:dyDescent="0.2"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</row>
    <row r="232" spans="3:39" x14ac:dyDescent="0.2"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</row>
    <row r="233" spans="3:39" x14ac:dyDescent="0.2"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</row>
    <row r="234" spans="3:39" x14ac:dyDescent="0.2"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</row>
    <row r="235" spans="3:39" x14ac:dyDescent="0.2"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</row>
    <row r="236" spans="3:39" x14ac:dyDescent="0.2"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</row>
    <row r="237" spans="3:39" x14ac:dyDescent="0.2"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</row>
    <row r="238" spans="3:39" x14ac:dyDescent="0.2"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</row>
    <row r="239" spans="3:39" x14ac:dyDescent="0.2"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</row>
    <row r="240" spans="3:39" x14ac:dyDescent="0.2"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</row>
    <row r="241" spans="3:39" x14ac:dyDescent="0.2"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</row>
    <row r="242" spans="3:39" x14ac:dyDescent="0.2"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</row>
    <row r="243" spans="3:39" x14ac:dyDescent="0.2"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</row>
    <row r="244" spans="3:39" x14ac:dyDescent="0.2"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</row>
    <row r="245" spans="3:39" x14ac:dyDescent="0.2"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</row>
    <row r="246" spans="3:39" x14ac:dyDescent="0.2"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</row>
    <row r="247" spans="3:39" x14ac:dyDescent="0.2"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</row>
    <row r="248" spans="3:39" x14ac:dyDescent="0.2"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</row>
    <row r="249" spans="3:39" x14ac:dyDescent="0.2"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</row>
    <row r="250" spans="3:39" x14ac:dyDescent="0.2"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</row>
    <row r="251" spans="3:39" x14ac:dyDescent="0.2"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</row>
    <row r="252" spans="3:39" x14ac:dyDescent="0.2"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</row>
    <row r="253" spans="3:39" x14ac:dyDescent="0.2"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</row>
    <row r="254" spans="3:39" x14ac:dyDescent="0.2"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</row>
    <row r="255" spans="3:39" x14ac:dyDescent="0.2"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</row>
    <row r="256" spans="3:39" x14ac:dyDescent="0.2"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</row>
    <row r="257" spans="3:39" x14ac:dyDescent="0.2"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</row>
    <row r="258" spans="3:39" x14ac:dyDescent="0.2"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</row>
    <row r="259" spans="3:39" x14ac:dyDescent="0.2"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</row>
    <row r="260" spans="3:39" x14ac:dyDescent="0.2"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</row>
    <row r="261" spans="3:39" x14ac:dyDescent="0.2"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</row>
    <row r="262" spans="3:39" x14ac:dyDescent="0.2"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</row>
    <row r="263" spans="3:39" x14ac:dyDescent="0.2"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</row>
    <row r="264" spans="3:39" x14ac:dyDescent="0.2"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</row>
    <row r="265" spans="3:39" x14ac:dyDescent="0.2"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</row>
    <row r="266" spans="3:39" x14ac:dyDescent="0.2"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</row>
    <row r="267" spans="3:39" x14ac:dyDescent="0.2"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</row>
    <row r="268" spans="3:39" x14ac:dyDescent="0.2"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</row>
    <row r="269" spans="3:39" x14ac:dyDescent="0.2"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</row>
    <row r="270" spans="3:39" x14ac:dyDescent="0.2"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</row>
    <row r="271" spans="3:39" x14ac:dyDescent="0.2"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</row>
    <row r="272" spans="3:39" x14ac:dyDescent="0.2"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</row>
    <row r="273" spans="3:39" x14ac:dyDescent="0.2"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</row>
    <row r="274" spans="3:39" x14ac:dyDescent="0.2"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</row>
    <row r="275" spans="3:39" x14ac:dyDescent="0.2"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</row>
    <row r="276" spans="3:39" x14ac:dyDescent="0.2"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</row>
    <row r="277" spans="3:39" x14ac:dyDescent="0.2"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</row>
    <row r="278" spans="3:39" x14ac:dyDescent="0.2"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</row>
    <row r="279" spans="3:39" x14ac:dyDescent="0.2"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</row>
    <row r="280" spans="3:39" x14ac:dyDescent="0.2"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</row>
    <row r="281" spans="3:39" x14ac:dyDescent="0.2"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</row>
    <row r="282" spans="3:39" x14ac:dyDescent="0.2"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</row>
    <row r="283" spans="3:39" x14ac:dyDescent="0.2"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</row>
    <row r="284" spans="3:39" x14ac:dyDescent="0.2"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</row>
    <row r="285" spans="3:39" x14ac:dyDescent="0.2"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</row>
    <row r="286" spans="3:39" x14ac:dyDescent="0.2"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</row>
    <row r="287" spans="3:39" x14ac:dyDescent="0.2"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</row>
    <row r="288" spans="3:39" x14ac:dyDescent="0.2"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</row>
    <row r="289" spans="3:39" x14ac:dyDescent="0.2"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</row>
    <row r="290" spans="3:39" x14ac:dyDescent="0.2"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</row>
    <row r="291" spans="3:39" x14ac:dyDescent="0.2"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</row>
    <row r="292" spans="3:39" x14ac:dyDescent="0.2"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</row>
    <row r="293" spans="3:39" x14ac:dyDescent="0.2"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</row>
    <row r="294" spans="3:39" x14ac:dyDescent="0.2"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</row>
    <row r="295" spans="3:39" x14ac:dyDescent="0.2"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</row>
    <row r="296" spans="3:39" x14ac:dyDescent="0.2"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</row>
    <row r="297" spans="3:39" x14ac:dyDescent="0.2"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</row>
    <row r="298" spans="3:39" x14ac:dyDescent="0.2"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</row>
    <row r="299" spans="3:39" x14ac:dyDescent="0.2"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</row>
    <row r="300" spans="3:39" x14ac:dyDescent="0.2"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</row>
    <row r="301" spans="3:39" x14ac:dyDescent="0.2"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</row>
    <row r="302" spans="3:39" x14ac:dyDescent="0.2"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</row>
    <row r="303" spans="3:39" x14ac:dyDescent="0.2"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</row>
    <row r="304" spans="3:39" x14ac:dyDescent="0.2"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</row>
    <row r="305" spans="3:39" x14ac:dyDescent="0.2"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</row>
    <row r="306" spans="3:39" x14ac:dyDescent="0.2"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</row>
    <row r="307" spans="3:39" x14ac:dyDescent="0.2"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</row>
    <row r="308" spans="3:39" x14ac:dyDescent="0.2"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</row>
    <row r="309" spans="3:39" x14ac:dyDescent="0.2"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</row>
    <row r="310" spans="3:39" x14ac:dyDescent="0.2"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</row>
    <row r="311" spans="3:39" x14ac:dyDescent="0.2"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</row>
    <row r="312" spans="3:39" x14ac:dyDescent="0.2"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</row>
    <row r="313" spans="3:39" x14ac:dyDescent="0.2"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</row>
    <row r="314" spans="3:39" x14ac:dyDescent="0.2"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</row>
    <row r="315" spans="3:39" x14ac:dyDescent="0.2"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</row>
    <row r="316" spans="3:39" x14ac:dyDescent="0.2"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</row>
    <row r="317" spans="3:39" x14ac:dyDescent="0.2"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</row>
    <row r="318" spans="3:39" x14ac:dyDescent="0.2"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</row>
    <row r="319" spans="3:39" x14ac:dyDescent="0.2"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</row>
    <row r="320" spans="3:39" x14ac:dyDescent="0.2"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</row>
    <row r="321" spans="3:39" x14ac:dyDescent="0.2"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</row>
    <row r="322" spans="3:39" x14ac:dyDescent="0.2"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</row>
    <row r="323" spans="3:39" x14ac:dyDescent="0.2"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</row>
    <row r="324" spans="3:39" x14ac:dyDescent="0.2"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</row>
    <row r="325" spans="3:39" x14ac:dyDescent="0.2"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</row>
    <row r="326" spans="3:39" x14ac:dyDescent="0.2"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</row>
    <row r="327" spans="3:39" x14ac:dyDescent="0.2"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</row>
    <row r="328" spans="3:39" x14ac:dyDescent="0.2"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</row>
    <row r="329" spans="3:39" x14ac:dyDescent="0.2"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</row>
    <row r="330" spans="3:39" x14ac:dyDescent="0.2"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</row>
    <row r="331" spans="3:39" x14ac:dyDescent="0.2"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</row>
    <row r="332" spans="3:39" x14ac:dyDescent="0.2"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</row>
    <row r="333" spans="3:39" x14ac:dyDescent="0.2"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</row>
    <row r="334" spans="3:39" x14ac:dyDescent="0.2"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</row>
    <row r="335" spans="3:39" x14ac:dyDescent="0.2"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</row>
    <row r="336" spans="3:39" x14ac:dyDescent="0.2"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</row>
    <row r="337" spans="3:39" x14ac:dyDescent="0.2"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</row>
    <row r="338" spans="3:39" x14ac:dyDescent="0.2"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</row>
    <row r="339" spans="3:39" x14ac:dyDescent="0.2"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</row>
    <row r="340" spans="3:39" x14ac:dyDescent="0.2"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</row>
    <row r="341" spans="3:39" x14ac:dyDescent="0.2"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</row>
    <row r="342" spans="3:39" x14ac:dyDescent="0.2"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</row>
    <row r="343" spans="3:39" x14ac:dyDescent="0.2"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</row>
    <row r="344" spans="3:39" x14ac:dyDescent="0.2"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</row>
    <row r="345" spans="3:39" x14ac:dyDescent="0.2"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</row>
    <row r="346" spans="3:39" x14ac:dyDescent="0.2"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</row>
    <row r="347" spans="3:39" x14ac:dyDescent="0.2"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</row>
    <row r="348" spans="3:39" x14ac:dyDescent="0.2"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</row>
    <row r="349" spans="3:39" x14ac:dyDescent="0.2"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</row>
    <row r="350" spans="3:39" x14ac:dyDescent="0.2"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Inputs</vt:lpstr>
      <vt:lpstr>Output</vt:lpstr>
      <vt:lpstr>RetNorm_Engine</vt:lpstr>
      <vt:lpstr>RetEarly_Engine</vt:lpstr>
      <vt:lpstr>buffer</vt:lpstr>
      <vt:lpstr>EndAge</vt:lpstr>
      <vt:lpstr>inf</vt:lpstr>
      <vt:lpstr>princ</vt:lpstr>
      <vt:lpstr>RetAge</vt:lpstr>
      <vt:lpstr>rinc</vt:lpstr>
      <vt:lpstr>sincr</vt:lpstr>
      <vt:lpstr>stinc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Kenneth Bonnici</dc:creator>
  <cp:lastModifiedBy>Kenneth Bonnici</cp:lastModifiedBy>
  <dcterms:created xsi:type="dcterms:W3CDTF">2026-01-26T20:28:02Z</dcterms:created>
  <dcterms:modified xsi:type="dcterms:W3CDTF">2026-03-26T17:01:51Z</dcterms:modified>
</cp:coreProperties>
</file>