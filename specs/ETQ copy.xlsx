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kennethbonnici/Projects/ETQ/specs/"/>
    </mc:Choice>
  </mc:AlternateContent>
  <xr:revisionPtr revIDLastSave="0" documentId="13_ncr:1_{A71F02ED-FDF8-8E47-9D6A-0E701A517574}" xr6:coauthVersionLast="47" xr6:coauthVersionMax="47" xr10:uidLastSave="{00000000-0000-0000-0000-000000000000}"/>
  <bookViews>
    <workbookView xWindow="38400" yWindow="600" windowWidth="38400" windowHeight="19880" xr2:uid="{66CD462A-5593-B541-B64D-6AAD48C341ED}"/>
  </bookViews>
  <sheets>
    <sheet name="Inputs" sheetId="3" r:id="rId1"/>
    <sheet name="Output" sheetId="6" r:id="rId2"/>
    <sheet name="RetNorm_Engine" sheetId="4" r:id="rId3"/>
    <sheet name="RetEarly_Engine" sheetId="8" r:id="rId4"/>
  </sheets>
  <definedNames>
    <definedName name="A1inc">Inputs!$B$89</definedName>
    <definedName name="A2inc">Inputs!$B$94</definedName>
    <definedName name="A3inc">Inputs!$B$99</definedName>
    <definedName name="A4inc">Inputs!$B$104</definedName>
    <definedName name="A5inc">Inputs!$B$109</definedName>
    <definedName name="AgeRange">RetNorm_Engine!$C$3:INDEX(RetNorm_Engine!$C$3:$XFD$3, COUNTA(RetNorm_Engine!$C$3:$XFD$3))</definedName>
    <definedName name="AssVar">Inputs!$A$307:$C$316</definedName>
    <definedName name="buffer">Inputs!$B$279</definedName>
    <definedName name="ChartCash_Early" localSheetId="3">RetEarly_Engine!$C$381:INDEX(RetEarly_Engine!$C$381:$XFD$381, COUNTA(RetEarly_Engine!$C$381:$XFD$381))</definedName>
    <definedName name="ChartCash_Norm">RetNorm_Engine!$C$381:INDEX(RetNorm_Engine!$C$381:$XFD$381, COUNTA(RetNorm_Engine!$C$381:$XFD$381))</definedName>
    <definedName name="ChartNW_Early" localSheetId="3">RetEarly_Engine!$C$382:INDEX(RetEarly_Engine!$C$382:$XFD$382, COUNTA(RetEarly_Engine!$C$382:$XFD$382))</definedName>
    <definedName name="ChartNW_Norm">RetNorm_Engine!$C$382:INDEX(RetNorm_Engine!$C$382:$XFD$382, COUNTA(RetNorm_Engine!$C$382:$XFD$382))</definedName>
    <definedName name="DCoth">Inputs!$B$287</definedName>
    <definedName name="DCprop">Inputs!$B$285</definedName>
    <definedName name="EndAge">Inputs!$B$254</definedName>
    <definedName name="inf">Inputs!$B$265</definedName>
    <definedName name="legacy">Inputs!$B$281</definedName>
    <definedName name="MthOff">Inputs!$B$303</definedName>
    <definedName name="MthRem">Inputs!$B$302</definedName>
    <definedName name="princ">Inputs!$B$267</definedName>
    <definedName name="ProRate">Inputs!$B$304</definedName>
    <definedName name="RetAge">Inputs!$B$19</definedName>
    <definedName name="rinc">Inputs!$B$275</definedName>
    <definedName name="sincr">Inputs!$B$273</definedName>
    <definedName name="stinc">Inputs!$B$271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85" i="8" l="1"/>
  <c r="AL385" i="8"/>
  <c r="AK385" i="8"/>
  <c r="AJ385" i="8"/>
  <c r="AI385" i="8"/>
  <c r="AH385" i="8"/>
  <c r="AG385" i="8"/>
  <c r="AF385" i="8"/>
  <c r="AE385" i="8"/>
  <c r="AD385" i="8"/>
  <c r="AC385" i="8"/>
  <c r="AB385" i="8"/>
  <c r="AA385" i="8"/>
  <c r="Z385" i="8"/>
  <c r="Y385" i="8"/>
  <c r="X385" i="8"/>
  <c r="W385" i="8"/>
  <c r="V385" i="8"/>
  <c r="U385" i="8"/>
  <c r="T385" i="8"/>
  <c r="S385" i="8"/>
  <c r="R385" i="8"/>
  <c r="Q385" i="8"/>
  <c r="P385" i="8"/>
  <c r="O385" i="8"/>
  <c r="N385" i="8"/>
  <c r="M385" i="8"/>
  <c r="L385" i="8"/>
  <c r="K385" i="8"/>
  <c r="J385" i="8"/>
  <c r="I385" i="8"/>
  <c r="H385" i="8"/>
  <c r="G385" i="8"/>
  <c r="F385" i="8"/>
  <c r="E385" i="8"/>
  <c r="D385" i="8"/>
  <c r="C385" i="8"/>
  <c r="AM384" i="8"/>
  <c r="AL384" i="8"/>
  <c r="AK384" i="8"/>
  <c r="AJ384" i="8"/>
  <c r="AI384" i="8"/>
  <c r="AH384" i="8"/>
  <c r="AG384" i="8"/>
  <c r="AF384" i="8"/>
  <c r="AE384" i="8"/>
  <c r="AD384" i="8"/>
  <c r="AC384" i="8"/>
  <c r="AB384" i="8"/>
  <c r="AA384" i="8"/>
  <c r="Z384" i="8"/>
  <c r="Y384" i="8"/>
  <c r="X384" i="8"/>
  <c r="W384" i="8"/>
  <c r="V384" i="8"/>
  <c r="U384" i="8"/>
  <c r="T384" i="8"/>
  <c r="S384" i="8"/>
  <c r="R384" i="8"/>
  <c r="Q384" i="8"/>
  <c r="P384" i="8"/>
  <c r="O384" i="8"/>
  <c r="N384" i="8"/>
  <c r="M384" i="8"/>
  <c r="L384" i="8"/>
  <c r="K384" i="8"/>
  <c r="J384" i="8"/>
  <c r="I384" i="8"/>
  <c r="H384" i="8"/>
  <c r="G384" i="8"/>
  <c r="F384" i="8"/>
  <c r="E384" i="8"/>
  <c r="D384" i="8"/>
  <c r="C384" i="8"/>
  <c r="AM376" i="8"/>
  <c r="AL376" i="8"/>
  <c r="AK376" i="8"/>
  <c r="AJ376" i="8"/>
  <c r="AI376" i="8"/>
  <c r="AH376" i="8"/>
  <c r="AG376" i="8"/>
  <c r="AF376" i="8"/>
  <c r="AE376" i="8"/>
  <c r="AD376" i="8"/>
  <c r="AC376" i="8"/>
  <c r="AB376" i="8"/>
  <c r="AA376" i="8"/>
  <c r="Z376" i="8"/>
  <c r="Y376" i="8"/>
  <c r="X376" i="8"/>
  <c r="W376" i="8"/>
  <c r="V376" i="8"/>
  <c r="U376" i="8"/>
  <c r="T376" i="8"/>
  <c r="S376" i="8"/>
  <c r="R376" i="8"/>
  <c r="Q376" i="8"/>
  <c r="P376" i="8"/>
  <c r="O376" i="8"/>
  <c r="N376" i="8"/>
  <c r="M376" i="8"/>
  <c r="L376" i="8"/>
  <c r="K376" i="8"/>
  <c r="J376" i="8"/>
  <c r="I376" i="8"/>
  <c r="H376" i="8"/>
  <c r="G376" i="8"/>
  <c r="F376" i="8"/>
  <c r="E376" i="8"/>
  <c r="D376" i="8"/>
  <c r="C376" i="8"/>
  <c r="A363" i="8"/>
  <c r="A362" i="8"/>
  <c r="A361" i="8"/>
  <c r="A360" i="8"/>
  <c r="A359" i="8"/>
  <c r="A358" i="8"/>
  <c r="A352" i="8"/>
  <c r="A351" i="8"/>
  <c r="A350" i="8"/>
  <c r="A349" i="8"/>
  <c r="A348" i="8"/>
  <c r="A347" i="8"/>
  <c r="A346" i="8"/>
  <c r="A345" i="8"/>
  <c r="A337" i="8"/>
  <c r="A336" i="8"/>
  <c r="AM269" i="8"/>
  <c r="A267" i="8"/>
  <c r="AM252" i="8"/>
  <c r="A250" i="8"/>
  <c r="AM235" i="8"/>
  <c r="A233" i="8"/>
  <c r="AM218" i="8"/>
  <c r="A216" i="8"/>
  <c r="B207" i="8"/>
  <c r="AM201" i="8"/>
  <c r="A199" i="8"/>
  <c r="AM184" i="8"/>
  <c r="A182" i="8"/>
  <c r="AM170" i="8"/>
  <c r="AM167" i="8"/>
  <c r="A165" i="8"/>
  <c r="AM150" i="8"/>
  <c r="A148" i="8"/>
  <c r="B139" i="8"/>
  <c r="AM136" i="8"/>
  <c r="AM133" i="8"/>
  <c r="A131" i="8"/>
  <c r="B122" i="8"/>
  <c r="AM116" i="8"/>
  <c r="A114" i="8"/>
  <c r="A94" i="8"/>
  <c r="A93" i="8"/>
  <c r="A92" i="8"/>
  <c r="A91" i="8"/>
  <c r="A90" i="8"/>
  <c r="A89" i="8"/>
  <c r="A357" i="8" s="1"/>
  <c r="A88" i="8"/>
  <c r="A356" i="8" s="1"/>
  <c r="A87" i="8"/>
  <c r="A355" i="8" s="1"/>
  <c r="A86" i="8"/>
  <c r="A354" i="8" s="1"/>
  <c r="A85" i="8"/>
  <c r="A353" i="8" s="1"/>
  <c r="A81" i="8"/>
  <c r="A309" i="8" s="1"/>
  <c r="A80" i="8"/>
  <c r="A308" i="8" s="1"/>
  <c r="A79" i="8"/>
  <c r="A307" i="8" s="1"/>
  <c r="A78" i="8"/>
  <c r="A306" i="8" s="1"/>
  <c r="A77" i="8"/>
  <c r="A305" i="8" s="1"/>
  <c r="A75" i="8"/>
  <c r="A74" i="8"/>
  <c r="A73" i="8"/>
  <c r="A72" i="8"/>
  <c r="A71" i="8"/>
  <c r="C64" i="8"/>
  <c r="A59" i="8"/>
  <c r="A58" i="8"/>
  <c r="A57" i="8"/>
  <c r="AJ55" i="8"/>
  <c r="AI55" i="8"/>
  <c r="AH55" i="8"/>
  <c r="AF55" i="8"/>
  <c r="AE55" i="8"/>
  <c r="AD55" i="8"/>
  <c r="AC55" i="8"/>
  <c r="AB55" i="8"/>
  <c r="AA55" i="8"/>
  <c r="Z55" i="8"/>
  <c r="Y55" i="8"/>
  <c r="X55" i="8"/>
  <c r="W55" i="8"/>
  <c r="V55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/>
  <c r="C55" i="8"/>
  <c r="A55" i="8"/>
  <c r="AM54" i="8"/>
  <c r="AL54" i="8"/>
  <c r="AK54" i="8"/>
  <c r="AJ54" i="8"/>
  <c r="AI54" i="8"/>
  <c r="AH54" i="8"/>
  <c r="AG54" i="8"/>
  <c r="AF54" i="8"/>
  <c r="AE54" i="8"/>
  <c r="AD54" i="8"/>
  <c r="AC54" i="8"/>
  <c r="X54" i="8"/>
  <c r="W54" i="8"/>
  <c r="V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A54" i="8"/>
  <c r="AM53" i="8"/>
  <c r="AL53" i="8"/>
  <c r="AK53" i="8"/>
  <c r="AJ53" i="8"/>
  <c r="AI53" i="8"/>
  <c r="AH53" i="8"/>
  <c r="AG53" i="8"/>
  <c r="AF53" i="8"/>
  <c r="AE53" i="8"/>
  <c r="AD53" i="8"/>
  <c r="AC53" i="8"/>
  <c r="AB53" i="8"/>
  <c r="AA53" i="8"/>
  <c r="Z53" i="8"/>
  <c r="Y53" i="8"/>
  <c r="X53" i="8"/>
  <c r="W53" i="8"/>
  <c r="V53" i="8"/>
  <c r="U53" i="8"/>
  <c r="T53" i="8"/>
  <c r="S53" i="8"/>
  <c r="P53" i="8"/>
  <c r="K53" i="8"/>
  <c r="J53" i="8"/>
  <c r="H53" i="8"/>
  <c r="G53" i="8"/>
  <c r="A53" i="8"/>
  <c r="AM52" i="8"/>
  <c r="AM55" i="8" s="1"/>
  <c r="AL52" i="8"/>
  <c r="AL55" i="8" s="1"/>
  <c r="AK52" i="8"/>
  <c r="AK55" i="8" s="1"/>
  <c r="AJ52" i="8"/>
  <c r="AI52" i="8"/>
  <c r="AH52" i="8"/>
  <c r="AG52" i="8"/>
  <c r="AG55" i="8" s="1"/>
  <c r="AF52" i="8"/>
  <c r="AE52" i="8"/>
  <c r="AD52" i="8"/>
  <c r="AC52" i="8"/>
  <c r="AB52" i="8"/>
  <c r="AB54" i="8" s="1"/>
  <c r="AA52" i="8"/>
  <c r="AA54" i="8" s="1"/>
  <c r="Z52" i="8"/>
  <c r="Z54" i="8" s="1"/>
  <c r="Y52" i="8"/>
  <c r="Y54" i="8" s="1"/>
  <c r="X52" i="8"/>
  <c r="W52" i="8"/>
  <c r="V52" i="8"/>
  <c r="U52" i="8"/>
  <c r="U54" i="8" s="1"/>
  <c r="T52" i="8"/>
  <c r="S52" i="8"/>
  <c r="R52" i="8"/>
  <c r="R53" i="8" s="1"/>
  <c r="Q52" i="8"/>
  <c r="Q53" i="8" s="1"/>
  <c r="P52" i="8"/>
  <c r="O52" i="8"/>
  <c r="O53" i="8" s="1"/>
  <c r="N52" i="8"/>
  <c r="N53" i="8" s="1"/>
  <c r="M52" i="8"/>
  <c r="M53" i="8" s="1"/>
  <c r="L52" i="8"/>
  <c r="L53" i="8" s="1"/>
  <c r="K52" i="8"/>
  <c r="J52" i="8"/>
  <c r="I52" i="8"/>
  <c r="I53" i="8" s="1"/>
  <c r="H52" i="8"/>
  <c r="G52" i="8"/>
  <c r="F52" i="8"/>
  <c r="F53" i="8" s="1"/>
  <c r="E52" i="8"/>
  <c r="E53" i="8" s="1"/>
  <c r="D52" i="8"/>
  <c r="D53" i="8" s="1"/>
  <c r="AM50" i="8"/>
  <c r="AL50" i="8"/>
  <c r="AK50" i="8"/>
  <c r="AJ50" i="8"/>
  <c r="AI50" i="8"/>
  <c r="AH50" i="8"/>
  <c r="AG50" i="8"/>
  <c r="AF50" i="8"/>
  <c r="AE50" i="8"/>
  <c r="AD50" i="8"/>
  <c r="AC50" i="8"/>
  <c r="AB50" i="8"/>
  <c r="AA50" i="8"/>
  <c r="Z50" i="8"/>
  <c r="Y50" i="8"/>
  <c r="X50" i="8"/>
  <c r="W50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A50" i="8"/>
  <c r="AM49" i="8"/>
  <c r="AL49" i="8"/>
  <c r="AK49" i="8"/>
  <c r="AJ49" i="8"/>
  <c r="AI49" i="8"/>
  <c r="AH49" i="8"/>
  <c r="AG49" i="8"/>
  <c r="AF49" i="8"/>
  <c r="AE49" i="8"/>
  <c r="AD49" i="8"/>
  <c r="AC49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A49" i="8"/>
  <c r="AM48" i="8"/>
  <c r="AL48" i="8"/>
  <c r="AK48" i="8"/>
  <c r="AJ48" i="8"/>
  <c r="AI48" i="8"/>
  <c r="AH48" i="8"/>
  <c r="AG48" i="8"/>
  <c r="AF48" i="8"/>
  <c r="AE48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A48" i="8"/>
  <c r="AM47" i="8"/>
  <c r="AL47" i="8"/>
  <c r="AK47" i="8"/>
  <c r="AJ47" i="8"/>
  <c r="AI47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A47" i="8"/>
  <c r="AM46" i="8"/>
  <c r="AL46" i="8"/>
  <c r="AK46" i="8"/>
  <c r="AJ46" i="8"/>
  <c r="AI46" i="8"/>
  <c r="AH46" i="8"/>
  <c r="AG46" i="8"/>
  <c r="AF46" i="8"/>
  <c r="AE46" i="8"/>
  <c r="AD46" i="8"/>
  <c r="AC46" i="8"/>
  <c r="AB46" i="8"/>
  <c r="AA46" i="8"/>
  <c r="Z46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A46" i="8"/>
  <c r="AM43" i="8"/>
  <c r="AL43" i="8"/>
  <c r="AK43" i="8"/>
  <c r="AJ43" i="8"/>
  <c r="AI43" i="8"/>
  <c r="AH43" i="8"/>
  <c r="AG43" i="8"/>
  <c r="AF43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A43" i="8"/>
  <c r="AM42" i="8"/>
  <c r="AL42" i="8"/>
  <c r="AK42" i="8"/>
  <c r="AJ42" i="8"/>
  <c r="AI42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A42" i="8"/>
  <c r="AM41" i="8"/>
  <c r="AL41" i="8"/>
  <c r="AK41" i="8"/>
  <c r="AJ41" i="8"/>
  <c r="AI41" i="8"/>
  <c r="AH41" i="8"/>
  <c r="AG41" i="8"/>
  <c r="AF41" i="8"/>
  <c r="AE41" i="8"/>
  <c r="AD41" i="8"/>
  <c r="AC41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A41" i="8"/>
  <c r="AM40" i="8"/>
  <c r="AL40" i="8"/>
  <c r="AK40" i="8"/>
  <c r="AJ40" i="8"/>
  <c r="AI40" i="8"/>
  <c r="AH40" i="8"/>
  <c r="AG40" i="8"/>
  <c r="AF40" i="8"/>
  <c r="AE40" i="8"/>
  <c r="AD40" i="8"/>
  <c r="AC40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A40" i="8"/>
  <c r="AM39" i="8"/>
  <c r="AL39" i="8"/>
  <c r="AK39" i="8"/>
  <c r="AJ39" i="8"/>
  <c r="AI39" i="8"/>
  <c r="AH39" i="8"/>
  <c r="AG39" i="8"/>
  <c r="AF39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A39" i="8"/>
  <c r="A36" i="8"/>
  <c r="A35" i="8"/>
  <c r="A34" i="8"/>
  <c r="A33" i="8"/>
  <c r="A32" i="8"/>
  <c r="A31" i="8"/>
  <c r="A30" i="8"/>
  <c r="A29" i="8"/>
  <c r="A28" i="8"/>
  <c r="A27" i="8"/>
  <c r="C24" i="8"/>
  <c r="A19" i="8"/>
  <c r="A18" i="8"/>
  <c r="A17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R14" i="8"/>
  <c r="Q14" i="8"/>
  <c r="N14" i="8"/>
  <c r="M14" i="8"/>
  <c r="L14" i="8"/>
  <c r="K14" i="8"/>
  <c r="J14" i="8"/>
  <c r="E14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S14" i="8" s="1"/>
  <c r="R13" i="8"/>
  <c r="Q13" i="8"/>
  <c r="P13" i="8"/>
  <c r="P14" i="8" s="1"/>
  <c r="O13" i="8"/>
  <c r="O14" i="8" s="1"/>
  <c r="N13" i="8"/>
  <c r="M13" i="8"/>
  <c r="L13" i="8"/>
  <c r="K13" i="8"/>
  <c r="J13" i="8"/>
  <c r="I13" i="8"/>
  <c r="I14" i="8" s="1"/>
  <c r="H13" i="8"/>
  <c r="H14" i="8" s="1"/>
  <c r="G13" i="8"/>
  <c r="G14" i="8" s="1"/>
  <c r="F13" i="8"/>
  <c r="F14" i="8" s="1"/>
  <c r="E13" i="8"/>
  <c r="D13" i="8"/>
  <c r="D14" i="8" s="1"/>
  <c r="A12" i="8"/>
  <c r="A11" i="8"/>
  <c r="A10" i="8"/>
  <c r="A9" i="8"/>
  <c r="A8" i="8"/>
  <c r="AM6" i="8"/>
  <c r="AL6" i="8"/>
  <c r="AK6" i="8"/>
  <c r="AJ6" i="8"/>
  <c r="AI6" i="8"/>
  <c r="AH6" i="8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AM5" i="8"/>
  <c r="AL5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A48" i="4"/>
  <c r="A330" i="8" l="1"/>
  <c r="A300" i="8"/>
  <c r="A339" i="8"/>
  <c r="A332" i="8"/>
  <c r="AM204" i="8"/>
  <c r="A312" i="8"/>
  <c r="A288" i="8"/>
  <c r="A329" i="8"/>
  <c r="A342" i="8"/>
  <c r="A303" i="8"/>
  <c r="AM119" i="8"/>
  <c r="A313" i="8"/>
  <c r="A289" i="8"/>
  <c r="A341" i="8"/>
  <c r="A302" i="8"/>
  <c r="A333" i="8"/>
  <c r="B156" i="8"/>
  <c r="AM153" i="8"/>
  <c r="AM238" i="8"/>
  <c r="A340" i="8"/>
  <c r="A301" i="8"/>
  <c r="A331" i="8"/>
  <c r="A317" i="8"/>
  <c r="A293" i="8"/>
  <c r="B275" i="8"/>
  <c r="B190" i="8"/>
  <c r="B224" i="8"/>
  <c r="AM221" i="8"/>
  <c r="B241" i="8"/>
  <c r="A343" i="8"/>
  <c r="A304" i="8"/>
  <c r="AM187" i="8"/>
  <c r="B258" i="8"/>
  <c r="B173" i="8"/>
  <c r="AM272" i="8"/>
  <c r="AM255" i="8"/>
  <c r="A349" i="4"/>
  <c r="A348" i="4"/>
  <c r="A347" i="4"/>
  <c r="A346" i="4"/>
  <c r="A345" i="4"/>
  <c r="A350" i="4"/>
  <c r="AM269" i="4"/>
  <c r="AM252" i="4"/>
  <c r="AM235" i="4"/>
  <c r="AM218" i="4"/>
  <c r="AM201" i="4"/>
  <c r="AM184" i="4"/>
  <c r="AM167" i="4"/>
  <c r="AM150" i="4"/>
  <c r="AM133" i="4"/>
  <c r="C316" i="3"/>
  <c r="C315" i="3"/>
  <c r="C314" i="3"/>
  <c r="C313" i="3"/>
  <c r="C312" i="3"/>
  <c r="C311" i="3" a="1"/>
  <c r="C311" i="3" s="1"/>
  <c r="C310" i="3" a="1"/>
  <c r="C310" i="3" s="1"/>
  <c r="C309" i="3" a="1"/>
  <c r="C309" i="3" s="1"/>
  <c r="C308" i="3" a="1"/>
  <c r="C308" i="3" s="1"/>
  <c r="C307" i="3" a="1"/>
  <c r="C307" i="3" s="1"/>
  <c r="A36" i="4"/>
  <c r="A35" i="4"/>
  <c r="A34" i="4"/>
  <c r="A33" i="4"/>
  <c r="A32" i="4"/>
  <c r="G167" i="3"/>
  <c r="G168" i="3" s="1"/>
  <c r="A171" i="3"/>
  <c r="A166" i="3"/>
  <c r="A161" i="3"/>
  <c r="A156" i="3"/>
  <c r="A151" i="3"/>
  <c r="G172" i="3"/>
  <c r="G173" i="3" s="1"/>
  <c r="G162" i="3"/>
  <c r="G163" i="3" s="1"/>
  <c r="G157" i="3"/>
  <c r="G158" i="3" s="1"/>
  <c r="G152" i="3"/>
  <c r="G153" i="3" s="1"/>
  <c r="A362" i="4"/>
  <c r="A361" i="4"/>
  <c r="A360" i="4"/>
  <c r="A359" i="4"/>
  <c r="A358" i="4"/>
  <c r="A94" i="4"/>
  <c r="A93" i="4"/>
  <c r="A92" i="4"/>
  <c r="A91" i="4"/>
  <c r="A90" i="4"/>
  <c r="B316" i="3"/>
  <c r="B315" i="3"/>
  <c r="B314" i="3"/>
  <c r="B313" i="3"/>
  <c r="B312" i="3"/>
  <c r="B311" i="3"/>
  <c r="B310" i="3"/>
  <c r="B309" i="3"/>
  <c r="B308" i="3"/>
  <c r="B307" i="3"/>
  <c r="A294" i="3"/>
  <c r="A311" i="3" s="1"/>
  <c r="A293" i="3"/>
  <c r="A310" i="3" s="1"/>
  <c r="A292" i="3"/>
  <c r="A309" i="3" s="1"/>
  <c r="A291" i="3"/>
  <c r="A308" i="3" s="1"/>
  <c r="A290" i="3"/>
  <c r="A307" i="3" s="1"/>
  <c r="A71" i="4"/>
  <c r="A72" i="4"/>
  <c r="A73" i="4"/>
  <c r="A74" i="4"/>
  <c r="A75" i="4"/>
  <c r="A81" i="4"/>
  <c r="A309" i="4" s="1"/>
  <c r="A333" i="4" s="1"/>
  <c r="A80" i="4"/>
  <c r="A308" i="4" s="1"/>
  <c r="A332" i="4" s="1"/>
  <c r="A79" i="4"/>
  <c r="A307" i="4" s="1"/>
  <c r="A331" i="4" s="1"/>
  <c r="A78" i="4"/>
  <c r="A306" i="4" s="1"/>
  <c r="A330" i="4" s="1"/>
  <c r="A77" i="4"/>
  <c r="A305" i="4" s="1"/>
  <c r="A329" i="4" s="1"/>
  <c r="A299" i="3"/>
  <c r="A316" i="3" s="1"/>
  <c r="A298" i="3"/>
  <c r="A315" i="3" s="1"/>
  <c r="A297" i="3"/>
  <c r="A314" i="3" s="1"/>
  <c r="A296" i="3"/>
  <c r="A313" i="3" s="1"/>
  <c r="A295" i="3"/>
  <c r="A312" i="3" s="1"/>
  <c r="F295" i="3"/>
  <c r="F299" i="3"/>
  <c r="F298" i="3"/>
  <c r="F297" i="3"/>
  <c r="F296" i="3"/>
  <c r="AM385" i="4"/>
  <c r="AL385" i="4"/>
  <c r="AK385" i="4"/>
  <c r="AJ385" i="4"/>
  <c r="AI385" i="4"/>
  <c r="AH385" i="4"/>
  <c r="AG385" i="4"/>
  <c r="AF385" i="4"/>
  <c r="AE385" i="4"/>
  <c r="AD385" i="4"/>
  <c r="AC385" i="4"/>
  <c r="AB385" i="4"/>
  <c r="AA385" i="4"/>
  <c r="Z385" i="4"/>
  <c r="Y385" i="4"/>
  <c r="X385" i="4"/>
  <c r="W385" i="4"/>
  <c r="V385" i="4"/>
  <c r="U385" i="4"/>
  <c r="T385" i="4"/>
  <c r="S385" i="4"/>
  <c r="R385" i="4"/>
  <c r="Q385" i="4"/>
  <c r="P385" i="4"/>
  <c r="O385" i="4"/>
  <c r="N385" i="4"/>
  <c r="M385" i="4"/>
  <c r="L385" i="4"/>
  <c r="K385" i="4"/>
  <c r="J385" i="4"/>
  <c r="I385" i="4"/>
  <c r="H385" i="4"/>
  <c r="G385" i="4"/>
  <c r="F385" i="4"/>
  <c r="E385" i="4"/>
  <c r="D385" i="4"/>
  <c r="AM384" i="4"/>
  <c r="AL384" i="4"/>
  <c r="AK384" i="4"/>
  <c r="AJ384" i="4"/>
  <c r="AI384" i="4"/>
  <c r="AH384" i="4"/>
  <c r="AG384" i="4"/>
  <c r="AF384" i="4"/>
  <c r="AE384" i="4"/>
  <c r="AD384" i="4"/>
  <c r="AC384" i="4"/>
  <c r="AB384" i="4"/>
  <c r="AA384" i="4"/>
  <c r="Z384" i="4"/>
  <c r="Y384" i="4"/>
  <c r="X384" i="4"/>
  <c r="W384" i="4"/>
  <c r="V384" i="4"/>
  <c r="U384" i="4"/>
  <c r="T384" i="4"/>
  <c r="S384" i="4"/>
  <c r="R384" i="4"/>
  <c r="Q384" i="4"/>
  <c r="P384" i="4"/>
  <c r="O384" i="4"/>
  <c r="N384" i="4"/>
  <c r="M384" i="4"/>
  <c r="L384" i="4"/>
  <c r="K384" i="4"/>
  <c r="J384" i="4"/>
  <c r="I384" i="4"/>
  <c r="H384" i="4"/>
  <c r="G384" i="4"/>
  <c r="F384" i="4"/>
  <c r="E384" i="4"/>
  <c r="D384" i="4"/>
  <c r="C385" i="4"/>
  <c r="C384" i="4"/>
  <c r="B302" i="3"/>
  <c r="A295" i="8" l="1"/>
  <c r="A319" i="8"/>
  <c r="A315" i="8"/>
  <c r="A291" i="8"/>
  <c r="A325" i="8"/>
  <c r="A321" i="8"/>
  <c r="A297" i="8"/>
  <c r="C35" i="8"/>
  <c r="C34" i="8"/>
  <c r="C29" i="8"/>
  <c r="C36" i="8"/>
  <c r="C28" i="8"/>
  <c r="C27" i="8"/>
  <c r="C31" i="8"/>
  <c r="C33" i="8"/>
  <c r="C30" i="8"/>
  <c r="C32" i="8"/>
  <c r="C37" i="8"/>
  <c r="A327" i="8"/>
  <c r="A320" i="8"/>
  <c r="A296" i="8"/>
  <c r="A328" i="8"/>
  <c r="A316" i="8"/>
  <c r="A292" i="8"/>
  <c r="A318" i="8"/>
  <c r="A294" i="8"/>
  <c r="A324" i="8"/>
  <c r="A290" i="8"/>
  <c r="A314" i="8"/>
  <c r="A326" i="8"/>
  <c r="C36" i="4"/>
  <c r="C35" i="4"/>
  <c r="C34" i="4"/>
  <c r="C33" i="4"/>
  <c r="C32" i="4"/>
  <c r="B303" i="3"/>
  <c r="B304" i="3"/>
  <c r="C3" i="8"/>
  <c r="C2" i="8"/>
  <c r="C20" i="8" s="1"/>
  <c r="C3" i="4"/>
  <c r="C2" i="4"/>
  <c r="A43" i="4"/>
  <c r="A42" i="4"/>
  <c r="A363" i="4"/>
  <c r="A352" i="4"/>
  <c r="A351" i="4"/>
  <c r="A337" i="4"/>
  <c r="A336" i="4"/>
  <c r="AM116" i="4"/>
  <c r="A89" i="4"/>
  <c r="A357" i="4" s="1"/>
  <c r="A88" i="4"/>
  <c r="A356" i="4" s="1"/>
  <c r="A87" i="4"/>
  <c r="A355" i="4" s="1"/>
  <c r="A86" i="4"/>
  <c r="A354" i="4" s="1"/>
  <c r="A85" i="4"/>
  <c r="A353" i="4" s="1"/>
  <c r="A301" i="4"/>
  <c r="A325" i="4" s="1"/>
  <c r="C64" i="4"/>
  <c r="A59" i="4"/>
  <c r="A58" i="4"/>
  <c r="A57" i="4"/>
  <c r="A55" i="4"/>
  <c r="A54" i="4"/>
  <c r="A53" i="4"/>
  <c r="D52" i="4"/>
  <c r="D50" i="4"/>
  <c r="A50" i="4"/>
  <c r="D49" i="4"/>
  <c r="A49" i="4"/>
  <c r="D48" i="4"/>
  <c r="D47" i="4"/>
  <c r="A47" i="4"/>
  <c r="D46" i="4"/>
  <c r="A46" i="4"/>
  <c r="A41" i="4"/>
  <c r="A40" i="4"/>
  <c r="A39" i="4"/>
  <c r="A31" i="4"/>
  <c r="A30" i="4"/>
  <c r="A29" i="4"/>
  <c r="A28" i="4"/>
  <c r="A27" i="4"/>
  <c r="C24" i="4"/>
  <c r="A19" i="4"/>
  <c r="A18" i="4"/>
  <c r="A17" i="4"/>
  <c r="A12" i="4"/>
  <c r="A11" i="4"/>
  <c r="A10" i="4"/>
  <c r="A9" i="4"/>
  <c r="A8" i="4"/>
  <c r="F294" i="3"/>
  <c r="F293" i="3"/>
  <c r="G147" i="3"/>
  <c r="A146" i="3"/>
  <c r="G142" i="3"/>
  <c r="A141" i="3"/>
  <c r="A117" i="3"/>
  <c r="A116" i="3"/>
  <c r="AM95" i="8" l="1"/>
  <c r="AM363" i="8" s="1"/>
  <c r="AD95" i="8"/>
  <c r="AD363" i="8" s="1"/>
  <c r="R95" i="8"/>
  <c r="R363" i="8" s="1"/>
  <c r="F95" i="8"/>
  <c r="F363" i="8" s="1"/>
  <c r="AE94" i="8"/>
  <c r="S94" i="8"/>
  <c r="G94" i="8"/>
  <c r="AG93" i="8"/>
  <c r="U93" i="8"/>
  <c r="I93" i="8"/>
  <c r="AI92" i="8"/>
  <c r="W92" i="8"/>
  <c r="K92" i="8"/>
  <c r="AK91" i="8"/>
  <c r="Y91" i="8"/>
  <c r="M91" i="8"/>
  <c r="AM90" i="8"/>
  <c r="AA90" i="8"/>
  <c r="O90" i="8"/>
  <c r="C90" i="8"/>
  <c r="AC89" i="8"/>
  <c r="Q89" i="8"/>
  <c r="E89" i="8"/>
  <c r="AE88" i="8"/>
  <c r="S88" i="8"/>
  <c r="G88" i="8"/>
  <c r="AG87" i="8"/>
  <c r="U87" i="8"/>
  <c r="I87" i="8"/>
  <c r="AI86" i="8"/>
  <c r="W86" i="8"/>
  <c r="K86" i="8"/>
  <c r="AK85" i="8"/>
  <c r="Y85" i="8"/>
  <c r="M85" i="8"/>
  <c r="AC95" i="8"/>
  <c r="AC363" i="8" s="1"/>
  <c r="Q95" i="8"/>
  <c r="Q363" i="8" s="1"/>
  <c r="E95" i="8"/>
  <c r="E363" i="8" s="1"/>
  <c r="AD94" i="8"/>
  <c r="R94" i="8"/>
  <c r="F94" i="8"/>
  <c r="AF93" i="8"/>
  <c r="T93" i="8"/>
  <c r="H93" i="8"/>
  <c r="AH92" i="8"/>
  <c r="V92" i="8"/>
  <c r="J92" i="8"/>
  <c r="AJ91" i="8"/>
  <c r="X91" i="8"/>
  <c r="L91" i="8"/>
  <c r="AL90" i="8"/>
  <c r="Z90" i="8"/>
  <c r="N90" i="8"/>
  <c r="AB89" i="8"/>
  <c r="P89" i="8"/>
  <c r="D89" i="8"/>
  <c r="AD88" i="8"/>
  <c r="R88" i="8"/>
  <c r="F88" i="8"/>
  <c r="AF87" i="8"/>
  <c r="T87" i="8"/>
  <c r="H87" i="8"/>
  <c r="AH86" i="8"/>
  <c r="V86" i="8"/>
  <c r="J86" i="8"/>
  <c r="AJ85" i="8"/>
  <c r="X85" i="8"/>
  <c r="L85" i="8"/>
  <c r="AB95" i="8"/>
  <c r="AB363" i="8" s="1"/>
  <c r="P95" i="8"/>
  <c r="P363" i="8" s="1"/>
  <c r="D95" i="8"/>
  <c r="D363" i="8" s="1"/>
  <c r="AC94" i="8"/>
  <c r="Q94" i="8"/>
  <c r="E94" i="8"/>
  <c r="AE93" i="8"/>
  <c r="S93" i="8"/>
  <c r="G93" i="8"/>
  <c r="AG92" i="8"/>
  <c r="U92" i="8"/>
  <c r="I92" i="8"/>
  <c r="AI91" i="8"/>
  <c r="W91" i="8"/>
  <c r="K91" i="8"/>
  <c r="AK90" i="8"/>
  <c r="Y90" i="8"/>
  <c r="M90" i="8"/>
  <c r="AM89" i="8"/>
  <c r="AA89" i="8"/>
  <c r="O89" i="8"/>
  <c r="C89" i="8"/>
  <c r="AC88" i="8"/>
  <c r="Q88" i="8"/>
  <c r="E88" i="8"/>
  <c r="AE87" i="8"/>
  <c r="S87" i="8"/>
  <c r="G87" i="8"/>
  <c r="AG86" i="8"/>
  <c r="U86" i="8"/>
  <c r="I86" i="8"/>
  <c r="AI85" i="8"/>
  <c r="W85" i="8"/>
  <c r="K85" i="8"/>
  <c r="AI95" i="8"/>
  <c r="AI363" i="8" s="1"/>
  <c r="W95" i="8"/>
  <c r="W363" i="8" s="1"/>
  <c r="K95" i="8"/>
  <c r="K363" i="8" s="1"/>
  <c r="AJ94" i="8"/>
  <c r="X94" i="8"/>
  <c r="L94" i="8"/>
  <c r="AL93" i="8"/>
  <c r="Z93" i="8"/>
  <c r="N93" i="8"/>
  <c r="AB92" i="8"/>
  <c r="P92" i="8"/>
  <c r="D92" i="8"/>
  <c r="AD91" i="8"/>
  <c r="R91" i="8"/>
  <c r="F91" i="8"/>
  <c r="AF90" i="8"/>
  <c r="T90" i="8"/>
  <c r="H90" i="8"/>
  <c r="AH89" i="8"/>
  <c r="V89" i="8"/>
  <c r="J89" i="8"/>
  <c r="AJ88" i="8"/>
  <c r="X88" i="8"/>
  <c r="L88" i="8"/>
  <c r="AL87" i="8"/>
  <c r="Z87" i="8"/>
  <c r="N87" i="8"/>
  <c r="AB86" i="8"/>
  <c r="P86" i="8"/>
  <c r="D86" i="8"/>
  <c r="AD85" i="8"/>
  <c r="R85" i="8"/>
  <c r="F85" i="8"/>
  <c r="AF95" i="8"/>
  <c r="AF363" i="8" s="1"/>
  <c r="M95" i="8"/>
  <c r="M363" i="8" s="1"/>
  <c r="AG94" i="8"/>
  <c r="N94" i="8"/>
  <c r="AI93" i="8"/>
  <c r="P93" i="8"/>
  <c r="AL92" i="8"/>
  <c r="S92" i="8"/>
  <c r="U91" i="8"/>
  <c r="D91" i="8"/>
  <c r="W90" i="8"/>
  <c r="F90" i="8"/>
  <c r="Z89" i="8"/>
  <c r="I89" i="8"/>
  <c r="AB88" i="8"/>
  <c r="K88" i="8"/>
  <c r="AD87" i="8"/>
  <c r="M87" i="8"/>
  <c r="AJ86" i="8"/>
  <c r="Q86" i="8"/>
  <c r="AL85" i="8"/>
  <c r="S85" i="8"/>
  <c r="AJ37" i="8"/>
  <c r="X37" i="8"/>
  <c r="L37" i="8"/>
  <c r="AK36" i="8"/>
  <c r="Y36" i="8"/>
  <c r="M36" i="8"/>
  <c r="AM35" i="8"/>
  <c r="AA35" i="8"/>
  <c r="O35" i="8"/>
  <c r="AE95" i="8"/>
  <c r="AE363" i="8" s="1"/>
  <c r="L95" i="8"/>
  <c r="L363" i="8" s="1"/>
  <c r="AF94" i="8"/>
  <c r="M94" i="8"/>
  <c r="AH93" i="8"/>
  <c r="O93" i="8"/>
  <c r="AK92" i="8"/>
  <c r="R92" i="8"/>
  <c r="AM91" i="8"/>
  <c r="T91" i="8"/>
  <c r="C91" i="8"/>
  <c r="V90" i="8"/>
  <c r="E90" i="8"/>
  <c r="Y89" i="8"/>
  <c r="H89" i="8"/>
  <c r="AA88" i="8"/>
  <c r="J88" i="8"/>
  <c r="AC87" i="8"/>
  <c r="L87" i="8"/>
  <c r="AF86" i="8"/>
  <c r="O86" i="8"/>
  <c r="AH85" i="8"/>
  <c r="Q85" i="8"/>
  <c r="AA95" i="8"/>
  <c r="AA363" i="8" s="1"/>
  <c r="J95" i="8"/>
  <c r="J363" i="8" s="1"/>
  <c r="AB94" i="8"/>
  <c r="K94" i="8"/>
  <c r="AD93" i="8"/>
  <c r="M93" i="8"/>
  <c r="AJ92" i="8"/>
  <c r="Q92" i="8"/>
  <c r="AL91" i="8"/>
  <c r="S91" i="8"/>
  <c r="U90" i="8"/>
  <c r="D90" i="8"/>
  <c r="X89" i="8"/>
  <c r="G89" i="8"/>
  <c r="Z88" i="8"/>
  <c r="I88" i="8"/>
  <c r="AB87" i="8"/>
  <c r="K87" i="8"/>
  <c r="AE86" i="8"/>
  <c r="N86" i="8"/>
  <c r="AG85" i="8"/>
  <c r="P85" i="8"/>
  <c r="V95" i="8"/>
  <c r="V363" i="8" s="1"/>
  <c r="C95" i="8"/>
  <c r="C363" i="8" s="1"/>
  <c r="W94" i="8"/>
  <c r="D94" i="8"/>
  <c r="Y93" i="8"/>
  <c r="F93" i="8"/>
  <c r="AC92" i="8"/>
  <c r="L92" i="8"/>
  <c r="AE91" i="8"/>
  <c r="N91" i="8"/>
  <c r="AG90" i="8"/>
  <c r="P90" i="8"/>
  <c r="AJ89" i="8"/>
  <c r="S89" i="8"/>
  <c r="AL88" i="8"/>
  <c r="U88" i="8"/>
  <c r="W87" i="8"/>
  <c r="D87" i="8"/>
  <c r="Z86" i="8"/>
  <c r="G86" i="8"/>
  <c r="AB85" i="8"/>
  <c r="I85" i="8"/>
  <c r="T95" i="8"/>
  <c r="T363" i="8" s="1"/>
  <c r="AA94" i="8"/>
  <c r="L93" i="8"/>
  <c r="Z92" i="8"/>
  <c r="J91" i="8"/>
  <c r="AB90" i="8"/>
  <c r="AK89" i="8"/>
  <c r="L89" i="8"/>
  <c r="V88" i="8"/>
  <c r="AJ87" i="8"/>
  <c r="F87" i="8"/>
  <c r="T86" i="8"/>
  <c r="AE85" i="8"/>
  <c r="E85" i="8"/>
  <c r="AH37" i="8"/>
  <c r="U37" i="8"/>
  <c r="H37" i="8"/>
  <c r="AF36" i="8"/>
  <c r="S36" i="8"/>
  <c r="F36" i="8"/>
  <c r="AE35" i="8"/>
  <c r="R35" i="8"/>
  <c r="E35" i="8"/>
  <c r="AD34" i="8"/>
  <c r="R34" i="8"/>
  <c r="F34" i="8"/>
  <c r="AF33" i="8"/>
  <c r="T33" i="8"/>
  <c r="H33" i="8"/>
  <c r="AH32" i="8"/>
  <c r="V32" i="8"/>
  <c r="J32" i="8"/>
  <c r="AJ31" i="8"/>
  <c r="X31" i="8"/>
  <c r="L31" i="8"/>
  <c r="AL30" i="8"/>
  <c r="Z30" i="8"/>
  <c r="N30" i="8"/>
  <c r="AB29" i="8"/>
  <c r="P29" i="8"/>
  <c r="D29" i="8"/>
  <c r="AD28" i="8"/>
  <c r="R28" i="8"/>
  <c r="F28" i="8"/>
  <c r="AF27" i="8"/>
  <c r="T27" i="8"/>
  <c r="H27" i="8"/>
  <c r="AF89" i="8"/>
  <c r="AE37" i="8"/>
  <c r="AC36" i="8"/>
  <c r="AB35" i="8"/>
  <c r="AM34" i="8"/>
  <c r="S32" i="8"/>
  <c r="U31" i="8"/>
  <c r="W30" i="8"/>
  <c r="K30" i="8"/>
  <c r="M29" i="8"/>
  <c r="AA28" i="8"/>
  <c r="AC27" i="8"/>
  <c r="E27" i="8"/>
  <c r="I95" i="8"/>
  <c r="I363" i="8" s="1"/>
  <c r="AC91" i="8"/>
  <c r="AE89" i="8"/>
  <c r="Y87" i="8"/>
  <c r="V85" i="8"/>
  <c r="AB36" i="8"/>
  <c r="Z35" i="8"/>
  <c r="AL34" i="8"/>
  <c r="AD32" i="8"/>
  <c r="AF31" i="8"/>
  <c r="V30" i="8"/>
  <c r="X29" i="8"/>
  <c r="Z28" i="8"/>
  <c r="S95" i="8"/>
  <c r="S363" i="8" s="1"/>
  <c r="Z94" i="8"/>
  <c r="AM93" i="8"/>
  <c r="K93" i="8"/>
  <c r="Y92" i="8"/>
  <c r="AH91" i="8"/>
  <c r="I91" i="8"/>
  <c r="X90" i="8"/>
  <c r="AI89" i="8"/>
  <c r="K89" i="8"/>
  <c r="T88" i="8"/>
  <c r="AI87" i="8"/>
  <c r="E87" i="8"/>
  <c r="S86" i="8"/>
  <c r="AC85" i="8"/>
  <c r="D85" i="8"/>
  <c r="AG37" i="8"/>
  <c r="T37" i="8"/>
  <c r="G37" i="8"/>
  <c r="AE36" i="8"/>
  <c r="R36" i="8"/>
  <c r="E36" i="8"/>
  <c r="AD35" i="8"/>
  <c r="Q35" i="8"/>
  <c r="D35" i="8"/>
  <c r="AC34" i="8"/>
  <c r="Q34" i="8"/>
  <c r="E34" i="8"/>
  <c r="AE33" i="8"/>
  <c r="S33" i="8"/>
  <c r="G33" i="8"/>
  <c r="AG32" i="8"/>
  <c r="U32" i="8"/>
  <c r="I32" i="8"/>
  <c r="AI31" i="8"/>
  <c r="W31" i="8"/>
  <c r="K31" i="8"/>
  <c r="AK30" i="8"/>
  <c r="Y30" i="8"/>
  <c r="M30" i="8"/>
  <c r="AM29" i="8"/>
  <c r="AA29" i="8"/>
  <c r="O29" i="8"/>
  <c r="AC28" i="8"/>
  <c r="Q28" i="8"/>
  <c r="E28" i="8"/>
  <c r="AE27" i="8"/>
  <c r="S27" i="8"/>
  <c r="G27" i="8"/>
  <c r="E37" i="8"/>
  <c r="O34" i="8"/>
  <c r="Q33" i="8"/>
  <c r="AE32" i="8"/>
  <c r="AG31" i="8"/>
  <c r="AI30" i="8"/>
  <c r="Y29" i="8"/>
  <c r="O28" i="8"/>
  <c r="Q27" i="8"/>
  <c r="AK95" i="8"/>
  <c r="AK363" i="8" s="1"/>
  <c r="AC93" i="8"/>
  <c r="E91" i="8"/>
  <c r="AM88" i="8"/>
  <c r="AM86" i="8"/>
  <c r="AD37" i="8"/>
  <c r="O36" i="8"/>
  <c r="M35" i="8"/>
  <c r="Z34" i="8"/>
  <c r="AB33" i="8"/>
  <c r="D33" i="8"/>
  <c r="F32" i="8"/>
  <c r="H31" i="8"/>
  <c r="AJ29" i="8"/>
  <c r="L29" i="8"/>
  <c r="O95" i="8"/>
  <c r="O363" i="8" s="1"/>
  <c r="Y94" i="8"/>
  <c r="AK93" i="8"/>
  <c r="J93" i="8"/>
  <c r="X92" i="8"/>
  <c r="AG91" i="8"/>
  <c r="H91" i="8"/>
  <c r="S90" i="8"/>
  <c r="AG89" i="8"/>
  <c r="F89" i="8"/>
  <c r="P88" i="8"/>
  <c r="AH87" i="8"/>
  <c r="C87" i="8"/>
  <c r="R86" i="8"/>
  <c r="AA85" i="8"/>
  <c r="C85" i="8"/>
  <c r="AF37" i="8"/>
  <c r="S37" i="8"/>
  <c r="F37" i="8"/>
  <c r="AD36" i="8"/>
  <c r="Q36" i="8"/>
  <c r="D36" i="8"/>
  <c r="AC35" i="8"/>
  <c r="P35" i="8"/>
  <c r="AB34" i="8"/>
  <c r="P34" i="8"/>
  <c r="D34" i="8"/>
  <c r="AD33" i="8"/>
  <c r="R33" i="8"/>
  <c r="F33" i="8"/>
  <c r="AF32" i="8"/>
  <c r="T32" i="8"/>
  <c r="H32" i="8"/>
  <c r="AH31" i="8"/>
  <c r="V31" i="8"/>
  <c r="J31" i="8"/>
  <c r="AJ30" i="8"/>
  <c r="X30" i="8"/>
  <c r="L30" i="8"/>
  <c r="AL29" i="8"/>
  <c r="Z29" i="8"/>
  <c r="N29" i="8"/>
  <c r="AB28" i="8"/>
  <c r="P28" i="8"/>
  <c r="D28" i="8"/>
  <c r="AD27" i="8"/>
  <c r="R27" i="8"/>
  <c r="F27" i="8"/>
  <c r="AL95" i="8"/>
  <c r="AL363" i="8" s="1"/>
  <c r="N95" i="8"/>
  <c r="N363" i="8" s="1"/>
  <c r="V94" i="8"/>
  <c r="AJ93" i="8"/>
  <c r="E93" i="8"/>
  <c r="T92" i="8"/>
  <c r="AF91" i="8"/>
  <c r="G91" i="8"/>
  <c r="R90" i="8"/>
  <c r="O88" i="8"/>
  <c r="AA87" i="8"/>
  <c r="M86" i="8"/>
  <c r="Z85" i="8"/>
  <c r="R37" i="8"/>
  <c r="P36" i="8"/>
  <c r="N35" i="8"/>
  <c r="AA34" i="8"/>
  <c r="AC33" i="8"/>
  <c r="E33" i="8"/>
  <c r="G32" i="8"/>
  <c r="I31" i="8"/>
  <c r="AK29" i="8"/>
  <c r="AM28" i="8"/>
  <c r="U94" i="8"/>
  <c r="O92" i="8"/>
  <c r="Q90" i="8"/>
  <c r="N88" i="8"/>
  <c r="L86" i="8"/>
  <c r="D37" i="8"/>
  <c r="N34" i="8"/>
  <c r="P33" i="8"/>
  <c r="R32" i="8"/>
  <c r="T31" i="8"/>
  <c r="J30" i="8"/>
  <c r="AL28" i="8"/>
  <c r="Q37" i="8"/>
  <c r="AH30" i="8"/>
  <c r="D93" i="8"/>
  <c r="AJ95" i="8"/>
  <c r="AJ363" i="8" s="1"/>
  <c r="H95" i="8"/>
  <c r="H363" i="8" s="1"/>
  <c r="T94" i="8"/>
  <c r="AB93" i="8"/>
  <c r="C93" i="8"/>
  <c r="N92" i="8"/>
  <c r="AB91" i="8"/>
  <c r="L90" i="8"/>
  <c r="AD89" i="8"/>
  <c r="AK88" i="8"/>
  <c r="M88" i="8"/>
  <c r="X87" i="8"/>
  <c r="AL86" i="8"/>
  <c r="H86" i="8"/>
  <c r="U85" i="8"/>
  <c r="AH95" i="8"/>
  <c r="AH363" i="8" s="1"/>
  <c r="G95" i="8"/>
  <c r="G363" i="8" s="1"/>
  <c r="P94" i="8"/>
  <c r="AA93" i="8"/>
  <c r="M92" i="8"/>
  <c r="AA91" i="8"/>
  <c r="AJ90" i="8"/>
  <c r="K90" i="8"/>
  <c r="W89" i="8"/>
  <c r="AI88" i="8"/>
  <c r="H88" i="8"/>
  <c r="V87" i="8"/>
  <c r="AK86" i="8"/>
  <c r="F86" i="8"/>
  <c r="T85" i="8"/>
  <c r="AB37" i="8"/>
  <c r="O37" i="8"/>
  <c r="AM36" i="8"/>
  <c r="Z36" i="8"/>
  <c r="L36" i="8"/>
  <c r="AK35" i="8"/>
  <c r="X35" i="8"/>
  <c r="K35" i="8"/>
  <c r="AJ34" i="8"/>
  <c r="X34" i="8"/>
  <c r="L34" i="8"/>
  <c r="AL33" i="8"/>
  <c r="Z33" i="8"/>
  <c r="N33" i="8"/>
  <c r="AB32" i="8"/>
  <c r="P32" i="8"/>
  <c r="D32" i="8"/>
  <c r="AD31" i="8"/>
  <c r="R31" i="8"/>
  <c r="F31" i="8"/>
  <c r="AF30" i="8"/>
  <c r="T30" i="8"/>
  <c r="H30" i="8"/>
  <c r="AH29" i="8"/>
  <c r="V29" i="8"/>
  <c r="J29" i="8"/>
  <c r="AJ28" i="8"/>
  <c r="X28" i="8"/>
  <c r="L28" i="8"/>
  <c r="AL27" i="8"/>
  <c r="Z27" i="8"/>
  <c r="N27" i="8"/>
  <c r="AG95" i="8"/>
  <c r="AG363" i="8" s="1"/>
  <c r="AM94" i="8"/>
  <c r="O94" i="8"/>
  <c r="X93" i="8"/>
  <c r="AM92" i="8"/>
  <c r="H92" i="8"/>
  <c r="Z91" i="8"/>
  <c r="AI90" i="8"/>
  <c r="J90" i="8"/>
  <c r="U89" i="8"/>
  <c r="AH88" i="8"/>
  <c r="D88" i="8"/>
  <c r="R87" i="8"/>
  <c r="AD86" i="8"/>
  <c r="E86" i="8"/>
  <c r="O85" i="8"/>
  <c r="AA37" i="8"/>
  <c r="N37" i="8"/>
  <c r="AL36" i="8"/>
  <c r="X36" i="8"/>
  <c r="K36" i="8"/>
  <c r="AJ35" i="8"/>
  <c r="W35" i="8"/>
  <c r="J35" i="8"/>
  <c r="AI34" i="8"/>
  <c r="W34" i="8"/>
  <c r="K34" i="8"/>
  <c r="AK33" i="8"/>
  <c r="Y33" i="8"/>
  <c r="M33" i="8"/>
  <c r="AI94" i="8"/>
  <c r="AF92" i="8"/>
  <c r="O91" i="8"/>
  <c r="N89" i="8"/>
  <c r="P87" i="8"/>
  <c r="N85" i="8"/>
  <c r="AI37" i="8"/>
  <c r="AJ36" i="8"/>
  <c r="H36" i="8"/>
  <c r="S35" i="8"/>
  <c r="Y34" i="8"/>
  <c r="AJ33" i="8"/>
  <c r="J33" i="8"/>
  <c r="Y32" i="8"/>
  <c r="AM31" i="8"/>
  <c r="O31" i="8"/>
  <c r="AC30" i="8"/>
  <c r="E30" i="8"/>
  <c r="T29" i="8"/>
  <c r="AI28" i="8"/>
  <c r="M28" i="8"/>
  <c r="AG27" i="8"/>
  <c r="K27" i="8"/>
  <c r="AL35" i="8"/>
  <c r="T34" i="8"/>
  <c r="Q32" i="8"/>
  <c r="AF28" i="8"/>
  <c r="Y27" i="8"/>
  <c r="AA36" i="8"/>
  <c r="AA33" i="8"/>
  <c r="AC31" i="8"/>
  <c r="AI29" i="8"/>
  <c r="H28" i="8"/>
  <c r="F92" i="8"/>
  <c r="AA86" i="8"/>
  <c r="AH35" i="8"/>
  <c r="N32" i="8"/>
  <c r="R30" i="8"/>
  <c r="G28" i="8"/>
  <c r="Z95" i="8"/>
  <c r="Z363" i="8" s="1"/>
  <c r="W88" i="8"/>
  <c r="V36" i="8"/>
  <c r="W33" i="8"/>
  <c r="V27" i="8"/>
  <c r="J37" i="8"/>
  <c r="V35" i="8"/>
  <c r="O33" i="8"/>
  <c r="S31" i="8"/>
  <c r="E29" i="8"/>
  <c r="Q93" i="8"/>
  <c r="AK87" i="8"/>
  <c r="I37" i="8"/>
  <c r="AF34" i="8"/>
  <c r="Q31" i="8"/>
  <c r="M27" i="8"/>
  <c r="AK94" i="8"/>
  <c r="AK37" i="8"/>
  <c r="AE34" i="8"/>
  <c r="AH27" i="8"/>
  <c r="AH94" i="8"/>
  <c r="AE92" i="8"/>
  <c r="M89" i="8"/>
  <c r="O87" i="8"/>
  <c r="J85" i="8"/>
  <c r="AC37" i="8"/>
  <c r="AI36" i="8"/>
  <c r="G36" i="8"/>
  <c r="L35" i="8"/>
  <c r="V34" i="8"/>
  <c r="AI33" i="8"/>
  <c r="I33" i="8"/>
  <c r="X32" i="8"/>
  <c r="AL31" i="8"/>
  <c r="N31" i="8"/>
  <c r="AB30" i="8"/>
  <c r="D30" i="8"/>
  <c r="S29" i="8"/>
  <c r="AH28" i="8"/>
  <c r="K28" i="8"/>
  <c r="AB27" i="8"/>
  <c r="J27" i="8"/>
  <c r="AG36" i="8"/>
  <c r="AG33" i="8"/>
  <c r="U30" i="8"/>
  <c r="I28" i="8"/>
  <c r="W37" i="8"/>
  <c r="S34" i="8"/>
  <c r="O32" i="8"/>
  <c r="S30" i="8"/>
  <c r="K29" i="8"/>
  <c r="X27" i="8"/>
  <c r="C94" i="8"/>
  <c r="Y88" i="8"/>
  <c r="M34" i="8"/>
  <c r="AB31" i="8"/>
  <c r="AG29" i="8"/>
  <c r="Y28" i="8"/>
  <c r="E92" i="8"/>
  <c r="Y86" i="8"/>
  <c r="AG35" i="8"/>
  <c r="AK32" i="8"/>
  <c r="AA31" i="8"/>
  <c r="AF29" i="8"/>
  <c r="W28" i="8"/>
  <c r="N36" i="8"/>
  <c r="E32" i="8"/>
  <c r="AC29" i="8"/>
  <c r="O27" i="8"/>
  <c r="Q91" i="8"/>
  <c r="J36" i="8"/>
  <c r="AA32" i="8"/>
  <c r="AI27" i="8"/>
  <c r="P91" i="8"/>
  <c r="AF85" i="8"/>
  <c r="T35" i="8"/>
  <c r="K33" i="8"/>
  <c r="F30" i="8"/>
  <c r="J94" i="8"/>
  <c r="AD92" i="8"/>
  <c r="AH90" i="8"/>
  <c r="J87" i="8"/>
  <c r="H85" i="8"/>
  <c r="Z37" i="8"/>
  <c r="AH36" i="8"/>
  <c r="I35" i="8"/>
  <c r="U34" i="8"/>
  <c r="AH33" i="8"/>
  <c r="W32" i="8"/>
  <c r="AK31" i="8"/>
  <c r="M31" i="8"/>
  <c r="AA30" i="8"/>
  <c r="R29" i="8"/>
  <c r="AG28" i="8"/>
  <c r="J28" i="8"/>
  <c r="AA27" i="8"/>
  <c r="I27" i="8"/>
  <c r="Y37" i="8"/>
  <c r="H35" i="8"/>
  <c r="AE31" i="8"/>
  <c r="Q29" i="8"/>
  <c r="D27" i="8"/>
  <c r="AI35" i="8"/>
  <c r="AM32" i="8"/>
  <c r="E31" i="8"/>
  <c r="AE28" i="8"/>
  <c r="AC90" i="8"/>
  <c r="F35" i="8"/>
  <c r="X33" i="8"/>
  <c r="AL32" i="8"/>
  <c r="D31" i="8"/>
  <c r="I29" i="8"/>
  <c r="W27" i="8"/>
  <c r="I90" i="8"/>
  <c r="P37" i="8"/>
  <c r="J34" i="8"/>
  <c r="M32" i="8"/>
  <c r="Q30" i="8"/>
  <c r="H29" i="8"/>
  <c r="AG34" i="8"/>
  <c r="AC32" i="8"/>
  <c r="I30" i="8"/>
  <c r="T28" i="8"/>
  <c r="AL94" i="8"/>
  <c r="AL37" i="8"/>
  <c r="S28" i="8"/>
  <c r="R89" i="8"/>
  <c r="I36" i="8"/>
  <c r="AM33" i="8"/>
  <c r="AD30" i="8"/>
  <c r="I94" i="8"/>
  <c r="AA92" i="8"/>
  <c r="AE90" i="8"/>
  <c r="AG88" i="8"/>
  <c r="G85" i="8"/>
  <c r="G31" i="8"/>
  <c r="W36" i="8"/>
  <c r="W29" i="8"/>
  <c r="N28" i="8"/>
  <c r="H94" i="8"/>
  <c r="G92" i="8"/>
  <c r="AD90" i="8"/>
  <c r="AF88" i="8"/>
  <c r="AC86" i="8"/>
  <c r="G35" i="8"/>
  <c r="V37" i="8"/>
  <c r="L33" i="8"/>
  <c r="AK28" i="8"/>
  <c r="G30" i="8"/>
  <c r="P31" i="8"/>
  <c r="Y95" i="8"/>
  <c r="Y363" i="8" s="1"/>
  <c r="W93" i="8"/>
  <c r="C92" i="8"/>
  <c r="G90" i="8"/>
  <c r="C88" i="8"/>
  <c r="X86" i="8"/>
  <c r="M37" i="8"/>
  <c r="U36" i="8"/>
  <c r="AF35" i="8"/>
  <c r="AK34" i="8"/>
  <c r="I34" i="8"/>
  <c r="V33" i="8"/>
  <c r="AJ32" i="8"/>
  <c r="L32" i="8"/>
  <c r="Z31" i="8"/>
  <c r="P30" i="8"/>
  <c r="AE29" i="8"/>
  <c r="G29" i="8"/>
  <c r="V28" i="8"/>
  <c r="AM27" i="8"/>
  <c r="U27" i="8"/>
  <c r="X95" i="8"/>
  <c r="X363" i="8" s="1"/>
  <c r="V93" i="8"/>
  <c r="C86" i="8"/>
  <c r="K37" i="8"/>
  <c r="T36" i="8"/>
  <c r="Y35" i="8"/>
  <c r="AH34" i="8"/>
  <c r="H34" i="8"/>
  <c r="U33" i="8"/>
  <c r="AI32" i="8"/>
  <c r="K32" i="8"/>
  <c r="Y31" i="8"/>
  <c r="AM30" i="8"/>
  <c r="O30" i="8"/>
  <c r="AD29" i="8"/>
  <c r="F29" i="8"/>
  <c r="U28" i="8"/>
  <c r="AK27" i="8"/>
  <c r="P27" i="8"/>
  <c r="U95" i="8"/>
  <c r="U363" i="8" s="1"/>
  <c r="R93" i="8"/>
  <c r="V91" i="8"/>
  <c r="AL89" i="8"/>
  <c r="AM87" i="8"/>
  <c r="AM37" i="8"/>
  <c r="G34" i="8"/>
  <c r="AG30" i="8"/>
  <c r="AJ27" i="8"/>
  <c r="T89" i="8"/>
  <c r="AM85" i="8"/>
  <c r="U35" i="8"/>
  <c r="AE30" i="8"/>
  <c r="Q87" i="8"/>
  <c r="Z32" i="8"/>
  <c r="U29" i="8"/>
  <c r="L27" i="8"/>
  <c r="C83" i="4"/>
  <c r="C351" i="4" s="1"/>
  <c r="C75" i="8"/>
  <c r="C47" i="8"/>
  <c r="C82" i="8"/>
  <c r="C81" i="8"/>
  <c r="C74" i="8"/>
  <c r="C73" i="8"/>
  <c r="C80" i="8"/>
  <c r="C72" i="8"/>
  <c r="C78" i="8"/>
  <c r="C49" i="8"/>
  <c r="C42" i="8"/>
  <c r="C40" i="8"/>
  <c r="C77" i="8"/>
  <c r="C10" i="8"/>
  <c r="D10" i="8" s="1"/>
  <c r="E10" i="8" s="1"/>
  <c r="F10" i="8" s="1"/>
  <c r="G10" i="8" s="1"/>
  <c r="H10" i="8" s="1"/>
  <c r="I10" i="8" s="1"/>
  <c r="J10" i="8" s="1"/>
  <c r="K10" i="8" s="1"/>
  <c r="L10" i="8" s="1"/>
  <c r="M10" i="8" s="1"/>
  <c r="N10" i="8" s="1"/>
  <c r="O10" i="8" s="1"/>
  <c r="P10" i="8" s="1"/>
  <c r="Q10" i="8" s="1"/>
  <c r="R10" i="8" s="1"/>
  <c r="S10" i="8" s="1"/>
  <c r="T10" i="8" s="1"/>
  <c r="U10" i="8" s="1"/>
  <c r="V10" i="8" s="1"/>
  <c r="W10" i="8" s="1"/>
  <c r="X10" i="8" s="1"/>
  <c r="Y10" i="8" s="1"/>
  <c r="Z10" i="8" s="1"/>
  <c r="AA10" i="8" s="1"/>
  <c r="AB10" i="8" s="1"/>
  <c r="AC10" i="8" s="1"/>
  <c r="AD10" i="8" s="1"/>
  <c r="AE10" i="8" s="1"/>
  <c r="AF10" i="8" s="1"/>
  <c r="AG10" i="8" s="1"/>
  <c r="AH10" i="8" s="1"/>
  <c r="AI10" i="8" s="1"/>
  <c r="AJ10" i="8" s="1"/>
  <c r="AK10" i="8" s="1"/>
  <c r="AL10" i="8" s="1"/>
  <c r="AM10" i="8" s="1"/>
  <c r="C79" i="8"/>
  <c r="C48" i="8"/>
  <c r="C41" i="8"/>
  <c r="C9" i="8"/>
  <c r="D9" i="8" s="1"/>
  <c r="E9" i="8" s="1"/>
  <c r="F9" i="8" s="1"/>
  <c r="G9" i="8" s="1"/>
  <c r="H9" i="8" s="1"/>
  <c r="I9" i="8" s="1"/>
  <c r="J9" i="8" s="1"/>
  <c r="K9" i="8" s="1"/>
  <c r="L9" i="8" s="1"/>
  <c r="M9" i="8" s="1"/>
  <c r="N9" i="8" s="1"/>
  <c r="O9" i="8" s="1"/>
  <c r="P9" i="8" s="1"/>
  <c r="Q9" i="8" s="1"/>
  <c r="R9" i="8" s="1"/>
  <c r="S9" i="8" s="1"/>
  <c r="T9" i="8" s="1"/>
  <c r="U9" i="8" s="1"/>
  <c r="V9" i="8" s="1"/>
  <c r="W9" i="8" s="1"/>
  <c r="X9" i="8" s="1"/>
  <c r="Y9" i="8" s="1"/>
  <c r="Z9" i="8" s="1"/>
  <c r="AA9" i="8" s="1"/>
  <c r="AB9" i="8" s="1"/>
  <c r="AC9" i="8" s="1"/>
  <c r="AD9" i="8" s="1"/>
  <c r="AE9" i="8" s="1"/>
  <c r="AF9" i="8" s="1"/>
  <c r="AG9" i="8" s="1"/>
  <c r="AH9" i="8" s="1"/>
  <c r="AI9" i="8" s="1"/>
  <c r="AJ9" i="8" s="1"/>
  <c r="AK9" i="8" s="1"/>
  <c r="AL9" i="8" s="1"/>
  <c r="AM9" i="8" s="1"/>
  <c r="C71" i="8"/>
  <c r="C39" i="8"/>
  <c r="C15" i="8"/>
  <c r="C5" i="8"/>
  <c r="C12" i="8"/>
  <c r="D12" i="8" s="1"/>
  <c r="E12" i="8" s="1"/>
  <c r="F12" i="8" s="1"/>
  <c r="G12" i="8" s="1"/>
  <c r="H12" i="8" s="1"/>
  <c r="I12" i="8" s="1"/>
  <c r="J12" i="8" s="1"/>
  <c r="K12" i="8" s="1"/>
  <c r="L12" i="8" s="1"/>
  <c r="M12" i="8" s="1"/>
  <c r="N12" i="8" s="1"/>
  <c r="O12" i="8" s="1"/>
  <c r="P12" i="8" s="1"/>
  <c r="Q12" i="8" s="1"/>
  <c r="R12" i="8" s="1"/>
  <c r="S12" i="8" s="1"/>
  <c r="T12" i="8" s="1"/>
  <c r="U12" i="8" s="1"/>
  <c r="V12" i="8" s="1"/>
  <c r="W12" i="8" s="1"/>
  <c r="X12" i="8" s="1"/>
  <c r="Y12" i="8" s="1"/>
  <c r="Z12" i="8" s="1"/>
  <c r="AA12" i="8" s="1"/>
  <c r="AB12" i="8" s="1"/>
  <c r="AC12" i="8" s="1"/>
  <c r="AD12" i="8" s="1"/>
  <c r="AE12" i="8" s="1"/>
  <c r="AF12" i="8" s="1"/>
  <c r="AG12" i="8" s="1"/>
  <c r="AH12" i="8" s="1"/>
  <c r="AI12" i="8" s="1"/>
  <c r="AJ12" i="8" s="1"/>
  <c r="AK12" i="8" s="1"/>
  <c r="AL12" i="8" s="1"/>
  <c r="AM12" i="8" s="1"/>
  <c r="C13" i="8"/>
  <c r="C14" i="8" s="1"/>
  <c r="C46" i="8"/>
  <c r="C11" i="8"/>
  <c r="D11" i="8" s="1"/>
  <c r="E11" i="8" s="1"/>
  <c r="F11" i="8" s="1"/>
  <c r="G11" i="8" s="1"/>
  <c r="H11" i="8" s="1"/>
  <c r="I11" i="8" s="1"/>
  <c r="J11" i="8" s="1"/>
  <c r="K11" i="8" s="1"/>
  <c r="L11" i="8" s="1"/>
  <c r="M11" i="8" s="1"/>
  <c r="N11" i="8" s="1"/>
  <c r="O11" i="8" s="1"/>
  <c r="P11" i="8" s="1"/>
  <c r="Q11" i="8" s="1"/>
  <c r="R11" i="8" s="1"/>
  <c r="S11" i="8" s="1"/>
  <c r="T11" i="8" s="1"/>
  <c r="U11" i="8" s="1"/>
  <c r="V11" i="8" s="1"/>
  <c r="W11" i="8" s="1"/>
  <c r="X11" i="8" s="1"/>
  <c r="Y11" i="8" s="1"/>
  <c r="Z11" i="8" s="1"/>
  <c r="AA11" i="8" s="1"/>
  <c r="AB11" i="8" s="1"/>
  <c r="AC11" i="8" s="1"/>
  <c r="AD11" i="8" s="1"/>
  <c r="AE11" i="8" s="1"/>
  <c r="AF11" i="8" s="1"/>
  <c r="AG11" i="8" s="1"/>
  <c r="AH11" i="8" s="1"/>
  <c r="AI11" i="8" s="1"/>
  <c r="AJ11" i="8" s="1"/>
  <c r="AK11" i="8" s="1"/>
  <c r="AL11" i="8" s="1"/>
  <c r="AM11" i="8" s="1"/>
  <c r="C43" i="8"/>
  <c r="C6" i="8"/>
  <c r="C8" i="8"/>
  <c r="D8" i="8" s="1"/>
  <c r="C52" i="8"/>
  <c r="C53" i="8" s="1"/>
  <c r="C50" i="8"/>
  <c r="C83" i="8"/>
  <c r="C351" i="8" s="1"/>
  <c r="C59" i="8"/>
  <c r="C69" i="8"/>
  <c r="C337" i="8" s="1"/>
  <c r="C57" i="8"/>
  <c r="C19" i="8"/>
  <c r="C58" i="8"/>
  <c r="C18" i="8"/>
  <c r="C60" i="8"/>
  <c r="C25" i="8"/>
  <c r="C44" i="8"/>
  <c r="C17" i="8"/>
  <c r="C60" i="4"/>
  <c r="C69" i="4"/>
  <c r="C337" i="4" s="1"/>
  <c r="C44" i="4"/>
  <c r="C25" i="4"/>
  <c r="C20" i="4"/>
  <c r="C31" i="4"/>
  <c r="D34" i="4"/>
  <c r="D35" i="4"/>
  <c r="D33" i="4"/>
  <c r="D36" i="4"/>
  <c r="D32" i="4"/>
  <c r="D31" i="4"/>
  <c r="C94" i="4"/>
  <c r="C93" i="4"/>
  <c r="C92" i="4"/>
  <c r="C91" i="4"/>
  <c r="C90" i="4"/>
  <c r="C80" i="4"/>
  <c r="D80" i="4" s="1"/>
  <c r="E80" i="4" s="1"/>
  <c r="F80" i="4" s="1"/>
  <c r="G80" i="4" s="1"/>
  <c r="H80" i="4" s="1"/>
  <c r="I80" i="4" s="1"/>
  <c r="J80" i="4" s="1"/>
  <c r="K80" i="4" s="1"/>
  <c r="L80" i="4" s="1"/>
  <c r="M80" i="4" s="1"/>
  <c r="N80" i="4" s="1"/>
  <c r="O80" i="4" s="1"/>
  <c r="P80" i="4" s="1"/>
  <c r="Q80" i="4" s="1"/>
  <c r="R80" i="4" s="1"/>
  <c r="S80" i="4" s="1"/>
  <c r="T80" i="4" s="1"/>
  <c r="U80" i="4" s="1"/>
  <c r="V80" i="4" s="1"/>
  <c r="W80" i="4" s="1"/>
  <c r="X80" i="4" s="1"/>
  <c r="Y80" i="4" s="1"/>
  <c r="Z80" i="4" s="1"/>
  <c r="AA80" i="4" s="1"/>
  <c r="AB80" i="4" s="1"/>
  <c r="AC80" i="4" s="1"/>
  <c r="AD80" i="4" s="1"/>
  <c r="AE80" i="4" s="1"/>
  <c r="AF80" i="4" s="1"/>
  <c r="AG80" i="4" s="1"/>
  <c r="AH80" i="4" s="1"/>
  <c r="AI80" i="4" s="1"/>
  <c r="AJ80" i="4" s="1"/>
  <c r="AK80" i="4" s="1"/>
  <c r="AL80" i="4" s="1"/>
  <c r="AM80" i="4" s="1"/>
  <c r="C81" i="4"/>
  <c r="D81" i="4" s="1"/>
  <c r="E81" i="4" s="1"/>
  <c r="F81" i="4" s="1"/>
  <c r="G81" i="4" s="1"/>
  <c r="H81" i="4" s="1"/>
  <c r="I81" i="4" s="1"/>
  <c r="J81" i="4" s="1"/>
  <c r="K81" i="4" s="1"/>
  <c r="L81" i="4" s="1"/>
  <c r="M81" i="4" s="1"/>
  <c r="N81" i="4" s="1"/>
  <c r="O81" i="4" s="1"/>
  <c r="P81" i="4" s="1"/>
  <c r="Q81" i="4" s="1"/>
  <c r="R81" i="4" s="1"/>
  <c r="S81" i="4" s="1"/>
  <c r="T81" i="4" s="1"/>
  <c r="U81" i="4" s="1"/>
  <c r="V81" i="4" s="1"/>
  <c r="W81" i="4" s="1"/>
  <c r="X81" i="4" s="1"/>
  <c r="Y81" i="4" s="1"/>
  <c r="Z81" i="4" s="1"/>
  <c r="AA81" i="4" s="1"/>
  <c r="AB81" i="4" s="1"/>
  <c r="AC81" i="4" s="1"/>
  <c r="AD81" i="4" s="1"/>
  <c r="AE81" i="4" s="1"/>
  <c r="AF81" i="4" s="1"/>
  <c r="AG81" i="4" s="1"/>
  <c r="AH81" i="4" s="1"/>
  <c r="AI81" i="4" s="1"/>
  <c r="AJ81" i="4" s="1"/>
  <c r="AK81" i="4" s="1"/>
  <c r="AL81" i="4" s="1"/>
  <c r="AM81" i="4" s="1"/>
  <c r="C78" i="4"/>
  <c r="D78" i="4" s="1"/>
  <c r="E78" i="4" s="1"/>
  <c r="F78" i="4" s="1"/>
  <c r="G78" i="4" s="1"/>
  <c r="H78" i="4" s="1"/>
  <c r="I78" i="4" s="1"/>
  <c r="J78" i="4" s="1"/>
  <c r="K78" i="4" s="1"/>
  <c r="L78" i="4" s="1"/>
  <c r="M78" i="4" s="1"/>
  <c r="N78" i="4" s="1"/>
  <c r="O78" i="4" s="1"/>
  <c r="P78" i="4" s="1"/>
  <c r="Q78" i="4" s="1"/>
  <c r="R78" i="4" s="1"/>
  <c r="S78" i="4" s="1"/>
  <c r="T78" i="4" s="1"/>
  <c r="U78" i="4" s="1"/>
  <c r="V78" i="4" s="1"/>
  <c r="W78" i="4" s="1"/>
  <c r="X78" i="4" s="1"/>
  <c r="Y78" i="4" s="1"/>
  <c r="Z78" i="4" s="1"/>
  <c r="AA78" i="4" s="1"/>
  <c r="AB78" i="4" s="1"/>
  <c r="AC78" i="4" s="1"/>
  <c r="AD78" i="4" s="1"/>
  <c r="AE78" i="4" s="1"/>
  <c r="AF78" i="4" s="1"/>
  <c r="AG78" i="4" s="1"/>
  <c r="AH78" i="4" s="1"/>
  <c r="AI78" i="4" s="1"/>
  <c r="AJ78" i="4" s="1"/>
  <c r="AK78" i="4" s="1"/>
  <c r="AL78" i="4" s="1"/>
  <c r="AM78" i="4" s="1"/>
  <c r="C79" i="4"/>
  <c r="C77" i="4"/>
  <c r="C30" i="4"/>
  <c r="C85" i="4"/>
  <c r="C89" i="4"/>
  <c r="C95" i="4"/>
  <c r="C363" i="4" s="1"/>
  <c r="C87" i="4"/>
  <c r="C88" i="4"/>
  <c r="C86" i="4"/>
  <c r="C82" i="4"/>
  <c r="D30" i="4"/>
  <c r="C74" i="4"/>
  <c r="D74" i="4" s="1"/>
  <c r="E74" i="4" s="1"/>
  <c r="F74" i="4" s="1"/>
  <c r="G74" i="4" s="1"/>
  <c r="H74" i="4" s="1"/>
  <c r="I74" i="4" s="1"/>
  <c r="J74" i="4" s="1"/>
  <c r="K74" i="4" s="1"/>
  <c r="L74" i="4" s="1"/>
  <c r="M74" i="4" s="1"/>
  <c r="N74" i="4" s="1"/>
  <c r="O74" i="4" s="1"/>
  <c r="P74" i="4" s="1"/>
  <c r="Q74" i="4" s="1"/>
  <c r="R74" i="4" s="1"/>
  <c r="S74" i="4" s="1"/>
  <c r="T74" i="4" s="1"/>
  <c r="U74" i="4" s="1"/>
  <c r="V74" i="4" s="1"/>
  <c r="W74" i="4" s="1"/>
  <c r="X74" i="4" s="1"/>
  <c r="Y74" i="4" s="1"/>
  <c r="Z74" i="4" s="1"/>
  <c r="AA74" i="4" s="1"/>
  <c r="AB74" i="4" s="1"/>
  <c r="AC74" i="4" s="1"/>
  <c r="AD74" i="4" s="1"/>
  <c r="AE74" i="4" s="1"/>
  <c r="AF74" i="4" s="1"/>
  <c r="AG74" i="4" s="1"/>
  <c r="AH74" i="4" s="1"/>
  <c r="AI74" i="4" s="1"/>
  <c r="AJ74" i="4" s="1"/>
  <c r="AK74" i="4" s="1"/>
  <c r="AL74" i="4" s="1"/>
  <c r="AM74" i="4" s="1"/>
  <c r="C75" i="4"/>
  <c r="D75" i="4" s="1"/>
  <c r="E75" i="4" s="1"/>
  <c r="F75" i="4" s="1"/>
  <c r="G75" i="4" s="1"/>
  <c r="H75" i="4" s="1"/>
  <c r="I75" i="4" s="1"/>
  <c r="J75" i="4" s="1"/>
  <c r="K75" i="4" s="1"/>
  <c r="L75" i="4" s="1"/>
  <c r="M75" i="4" s="1"/>
  <c r="N75" i="4" s="1"/>
  <c r="O75" i="4" s="1"/>
  <c r="P75" i="4" s="1"/>
  <c r="Q75" i="4" s="1"/>
  <c r="R75" i="4" s="1"/>
  <c r="S75" i="4" s="1"/>
  <c r="T75" i="4" s="1"/>
  <c r="U75" i="4" s="1"/>
  <c r="V75" i="4" s="1"/>
  <c r="W75" i="4" s="1"/>
  <c r="X75" i="4" s="1"/>
  <c r="Y75" i="4" s="1"/>
  <c r="Z75" i="4" s="1"/>
  <c r="AA75" i="4" s="1"/>
  <c r="AB75" i="4" s="1"/>
  <c r="AC75" i="4" s="1"/>
  <c r="AD75" i="4" s="1"/>
  <c r="AE75" i="4" s="1"/>
  <c r="AF75" i="4" s="1"/>
  <c r="AG75" i="4" s="1"/>
  <c r="AH75" i="4" s="1"/>
  <c r="AI75" i="4" s="1"/>
  <c r="AJ75" i="4" s="1"/>
  <c r="AK75" i="4" s="1"/>
  <c r="AL75" i="4" s="1"/>
  <c r="AM75" i="4" s="1"/>
  <c r="C72" i="4"/>
  <c r="D72" i="4" s="1"/>
  <c r="E72" i="4" s="1"/>
  <c r="F72" i="4" s="1"/>
  <c r="G72" i="4" s="1"/>
  <c r="H72" i="4" s="1"/>
  <c r="I72" i="4" s="1"/>
  <c r="J72" i="4" s="1"/>
  <c r="K72" i="4" s="1"/>
  <c r="L72" i="4" s="1"/>
  <c r="M72" i="4" s="1"/>
  <c r="N72" i="4" s="1"/>
  <c r="O72" i="4" s="1"/>
  <c r="P72" i="4" s="1"/>
  <c r="Q72" i="4" s="1"/>
  <c r="R72" i="4" s="1"/>
  <c r="S72" i="4" s="1"/>
  <c r="T72" i="4" s="1"/>
  <c r="U72" i="4" s="1"/>
  <c r="V72" i="4" s="1"/>
  <c r="W72" i="4" s="1"/>
  <c r="X72" i="4" s="1"/>
  <c r="Y72" i="4" s="1"/>
  <c r="Z72" i="4" s="1"/>
  <c r="AA72" i="4" s="1"/>
  <c r="AB72" i="4" s="1"/>
  <c r="AC72" i="4" s="1"/>
  <c r="AD72" i="4" s="1"/>
  <c r="AE72" i="4" s="1"/>
  <c r="AF72" i="4" s="1"/>
  <c r="AG72" i="4" s="1"/>
  <c r="AH72" i="4" s="1"/>
  <c r="AI72" i="4" s="1"/>
  <c r="AJ72" i="4" s="1"/>
  <c r="AK72" i="4" s="1"/>
  <c r="AL72" i="4" s="1"/>
  <c r="AM72" i="4" s="1"/>
  <c r="C73" i="4"/>
  <c r="D73" i="4" s="1"/>
  <c r="E73" i="4" s="1"/>
  <c r="F73" i="4" s="1"/>
  <c r="G73" i="4" s="1"/>
  <c r="H73" i="4" s="1"/>
  <c r="I73" i="4" s="1"/>
  <c r="J73" i="4" s="1"/>
  <c r="K73" i="4" s="1"/>
  <c r="L73" i="4" s="1"/>
  <c r="M73" i="4" s="1"/>
  <c r="N73" i="4" s="1"/>
  <c r="O73" i="4" s="1"/>
  <c r="P73" i="4" s="1"/>
  <c r="Q73" i="4" s="1"/>
  <c r="R73" i="4" s="1"/>
  <c r="S73" i="4" s="1"/>
  <c r="T73" i="4" s="1"/>
  <c r="U73" i="4" s="1"/>
  <c r="V73" i="4" s="1"/>
  <c r="W73" i="4" s="1"/>
  <c r="X73" i="4" s="1"/>
  <c r="Y73" i="4" s="1"/>
  <c r="Z73" i="4" s="1"/>
  <c r="AA73" i="4" s="1"/>
  <c r="AB73" i="4" s="1"/>
  <c r="AC73" i="4" s="1"/>
  <c r="AD73" i="4" s="1"/>
  <c r="AE73" i="4" s="1"/>
  <c r="AF73" i="4" s="1"/>
  <c r="AG73" i="4" s="1"/>
  <c r="AH73" i="4" s="1"/>
  <c r="AI73" i="4" s="1"/>
  <c r="AJ73" i="4" s="1"/>
  <c r="AK73" i="4" s="1"/>
  <c r="AL73" i="4" s="1"/>
  <c r="AM73" i="4" s="1"/>
  <c r="C71" i="4"/>
  <c r="D71" i="4" s="1"/>
  <c r="E71" i="4" s="1"/>
  <c r="F71" i="4" s="1"/>
  <c r="G71" i="4" s="1"/>
  <c r="H71" i="4" s="1"/>
  <c r="I71" i="4" s="1"/>
  <c r="J71" i="4" s="1"/>
  <c r="K71" i="4" s="1"/>
  <c r="L71" i="4" s="1"/>
  <c r="M71" i="4" s="1"/>
  <c r="N71" i="4" s="1"/>
  <c r="O71" i="4" s="1"/>
  <c r="P71" i="4" s="1"/>
  <c r="Q71" i="4" s="1"/>
  <c r="R71" i="4" s="1"/>
  <c r="S71" i="4" s="1"/>
  <c r="T71" i="4" s="1"/>
  <c r="U71" i="4" s="1"/>
  <c r="V71" i="4" s="1"/>
  <c r="W71" i="4" s="1"/>
  <c r="X71" i="4" s="1"/>
  <c r="Y71" i="4" s="1"/>
  <c r="Z71" i="4" s="1"/>
  <c r="AA71" i="4" s="1"/>
  <c r="AB71" i="4" s="1"/>
  <c r="AC71" i="4" s="1"/>
  <c r="AD71" i="4" s="1"/>
  <c r="AE71" i="4" s="1"/>
  <c r="AF71" i="4" s="1"/>
  <c r="AG71" i="4" s="1"/>
  <c r="AH71" i="4" s="1"/>
  <c r="AI71" i="4" s="1"/>
  <c r="AJ71" i="4" s="1"/>
  <c r="AK71" i="4" s="1"/>
  <c r="AL71" i="4" s="1"/>
  <c r="AM71" i="4" s="1"/>
  <c r="C50" i="4"/>
  <c r="C52" i="4"/>
  <c r="C48" i="4"/>
  <c r="C49" i="4"/>
  <c r="C46" i="4"/>
  <c r="C47" i="4"/>
  <c r="C43" i="4"/>
  <c r="C41" i="4"/>
  <c r="C42" i="4"/>
  <c r="C39" i="4"/>
  <c r="C40" i="4"/>
  <c r="C13" i="4"/>
  <c r="C14" i="4" s="1"/>
  <c r="C15" i="4"/>
  <c r="C11" i="4"/>
  <c r="D11" i="4" s="1"/>
  <c r="E11" i="4" s="1"/>
  <c r="F11" i="4" s="1"/>
  <c r="G11" i="4" s="1"/>
  <c r="H11" i="4" s="1"/>
  <c r="I11" i="4" s="1"/>
  <c r="J11" i="4" s="1"/>
  <c r="K11" i="4" s="1"/>
  <c r="L11" i="4" s="1"/>
  <c r="M11" i="4" s="1"/>
  <c r="N11" i="4" s="1"/>
  <c r="O11" i="4" s="1"/>
  <c r="P11" i="4" s="1"/>
  <c r="Q11" i="4" s="1"/>
  <c r="R11" i="4" s="1"/>
  <c r="S11" i="4" s="1"/>
  <c r="T11" i="4" s="1"/>
  <c r="U11" i="4" s="1"/>
  <c r="V11" i="4" s="1"/>
  <c r="W11" i="4" s="1"/>
  <c r="X11" i="4" s="1"/>
  <c r="Y11" i="4" s="1"/>
  <c r="Z11" i="4" s="1"/>
  <c r="AA11" i="4" s="1"/>
  <c r="AB11" i="4" s="1"/>
  <c r="AC11" i="4" s="1"/>
  <c r="AD11" i="4" s="1"/>
  <c r="AE11" i="4" s="1"/>
  <c r="AF11" i="4" s="1"/>
  <c r="AG11" i="4" s="1"/>
  <c r="AH11" i="4" s="1"/>
  <c r="AI11" i="4" s="1"/>
  <c r="AJ11" i="4" s="1"/>
  <c r="AK11" i="4" s="1"/>
  <c r="AL11" i="4" s="1"/>
  <c r="AM11" i="4" s="1"/>
  <c r="C12" i="4"/>
  <c r="D12" i="4" s="1"/>
  <c r="E12" i="4" s="1"/>
  <c r="F12" i="4" s="1"/>
  <c r="G12" i="4" s="1"/>
  <c r="H12" i="4" s="1"/>
  <c r="I12" i="4" s="1"/>
  <c r="J12" i="4" s="1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C8" i="4"/>
  <c r="D8" i="4" s="1"/>
  <c r="E8" i="4" s="1"/>
  <c r="F8" i="4" s="1"/>
  <c r="G8" i="4" s="1"/>
  <c r="C10" i="4"/>
  <c r="D10" i="4" s="1"/>
  <c r="E10" i="4" s="1"/>
  <c r="F10" i="4" s="1"/>
  <c r="G10" i="4" s="1"/>
  <c r="H10" i="4" s="1"/>
  <c r="I10" i="4" s="1"/>
  <c r="J10" i="4" s="1"/>
  <c r="K10" i="4" s="1"/>
  <c r="L10" i="4" s="1"/>
  <c r="M10" i="4" s="1"/>
  <c r="N10" i="4" s="1"/>
  <c r="O10" i="4" s="1"/>
  <c r="P10" i="4" s="1"/>
  <c r="Q10" i="4" s="1"/>
  <c r="R10" i="4" s="1"/>
  <c r="S10" i="4" s="1"/>
  <c r="T10" i="4" s="1"/>
  <c r="U10" i="4" s="1"/>
  <c r="V10" i="4" s="1"/>
  <c r="W10" i="4" s="1"/>
  <c r="X10" i="4" s="1"/>
  <c r="Y10" i="4" s="1"/>
  <c r="Z10" i="4" s="1"/>
  <c r="AA10" i="4" s="1"/>
  <c r="AB10" i="4" s="1"/>
  <c r="AC10" i="4" s="1"/>
  <c r="AD10" i="4" s="1"/>
  <c r="AE10" i="4" s="1"/>
  <c r="AF10" i="4" s="1"/>
  <c r="AG10" i="4" s="1"/>
  <c r="AH10" i="4" s="1"/>
  <c r="AI10" i="4" s="1"/>
  <c r="AJ10" i="4" s="1"/>
  <c r="AK10" i="4" s="1"/>
  <c r="AL10" i="4" s="1"/>
  <c r="AM10" i="4" s="1"/>
  <c r="C9" i="4"/>
  <c r="D9" i="4" s="1"/>
  <c r="E9" i="4" s="1"/>
  <c r="F9" i="4" s="1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C6" i="4"/>
  <c r="G143" i="3"/>
  <c r="G148" i="3"/>
  <c r="A339" i="4"/>
  <c r="A300" i="4"/>
  <c r="A324" i="4" s="1"/>
  <c r="A343" i="4"/>
  <c r="A304" i="4"/>
  <c r="A328" i="4" s="1"/>
  <c r="A302" i="4"/>
  <c r="A326" i="4" s="1"/>
  <c r="A341" i="4"/>
  <c r="A340" i="4"/>
  <c r="A342" i="4"/>
  <c r="A303" i="4"/>
  <c r="A327" i="4" s="1"/>
  <c r="D80" i="8" l="1"/>
  <c r="E80" i="8" s="1"/>
  <c r="F80" i="8" s="1"/>
  <c r="G80" i="8" s="1"/>
  <c r="H80" i="8" s="1"/>
  <c r="I80" i="8" s="1"/>
  <c r="J80" i="8" s="1"/>
  <c r="K80" i="8" s="1"/>
  <c r="L80" i="8" s="1"/>
  <c r="M80" i="8" s="1"/>
  <c r="N80" i="8" s="1"/>
  <c r="O80" i="8" s="1"/>
  <c r="P80" i="8" s="1"/>
  <c r="Q80" i="8" s="1"/>
  <c r="R80" i="8" s="1"/>
  <c r="S80" i="8" s="1"/>
  <c r="T80" i="8" s="1"/>
  <c r="U80" i="8" s="1"/>
  <c r="V80" i="8" s="1"/>
  <c r="W80" i="8" s="1"/>
  <c r="X80" i="8" s="1"/>
  <c r="Y80" i="8" s="1"/>
  <c r="Z80" i="8" s="1"/>
  <c r="AA80" i="8" s="1"/>
  <c r="AB80" i="8" s="1"/>
  <c r="AC80" i="8" s="1"/>
  <c r="AD80" i="8" s="1"/>
  <c r="AE80" i="8" s="1"/>
  <c r="AF80" i="8" s="1"/>
  <c r="AG80" i="8" s="1"/>
  <c r="AH80" i="8" s="1"/>
  <c r="AI80" i="8" s="1"/>
  <c r="AJ80" i="8" s="1"/>
  <c r="AK80" i="8" s="1"/>
  <c r="AL80" i="8" s="1"/>
  <c r="AM80" i="8" s="1"/>
  <c r="C234" i="8"/>
  <c r="D74" i="8"/>
  <c r="E74" i="8" s="1"/>
  <c r="F74" i="8" s="1"/>
  <c r="G74" i="8" s="1"/>
  <c r="H74" i="8" s="1"/>
  <c r="I74" i="8" s="1"/>
  <c r="J74" i="8" s="1"/>
  <c r="K74" i="8" s="1"/>
  <c r="L74" i="8" s="1"/>
  <c r="M74" i="8" s="1"/>
  <c r="N74" i="8" s="1"/>
  <c r="O74" i="8" s="1"/>
  <c r="P74" i="8" s="1"/>
  <c r="Q74" i="8" s="1"/>
  <c r="R74" i="8" s="1"/>
  <c r="S74" i="8" s="1"/>
  <c r="T74" i="8" s="1"/>
  <c r="U74" i="8" s="1"/>
  <c r="V74" i="8" s="1"/>
  <c r="W74" i="8" s="1"/>
  <c r="X74" i="8" s="1"/>
  <c r="Y74" i="8" s="1"/>
  <c r="Z74" i="8" s="1"/>
  <c r="AA74" i="8" s="1"/>
  <c r="AB74" i="8" s="1"/>
  <c r="AC74" i="8" s="1"/>
  <c r="AD74" i="8" s="1"/>
  <c r="AE74" i="8" s="1"/>
  <c r="AF74" i="8" s="1"/>
  <c r="AG74" i="8" s="1"/>
  <c r="AH74" i="8" s="1"/>
  <c r="AI74" i="8" s="1"/>
  <c r="AJ74" i="8" s="1"/>
  <c r="AK74" i="8" s="1"/>
  <c r="AL74" i="8" s="1"/>
  <c r="AM74" i="8" s="1"/>
  <c r="C166" i="8"/>
  <c r="D71" i="8"/>
  <c r="E71" i="8" s="1"/>
  <c r="F71" i="8" s="1"/>
  <c r="G71" i="8" s="1"/>
  <c r="H71" i="8" s="1"/>
  <c r="I71" i="8" s="1"/>
  <c r="J71" i="8" s="1"/>
  <c r="K71" i="8" s="1"/>
  <c r="L71" i="8" s="1"/>
  <c r="M71" i="8" s="1"/>
  <c r="N71" i="8" s="1"/>
  <c r="O71" i="8" s="1"/>
  <c r="P71" i="8" s="1"/>
  <c r="Q71" i="8" s="1"/>
  <c r="R71" i="8" s="1"/>
  <c r="S71" i="8" s="1"/>
  <c r="T71" i="8" s="1"/>
  <c r="U71" i="8" s="1"/>
  <c r="V71" i="8" s="1"/>
  <c r="W71" i="8" s="1"/>
  <c r="X71" i="8" s="1"/>
  <c r="Y71" i="8" s="1"/>
  <c r="Z71" i="8" s="1"/>
  <c r="AA71" i="8" s="1"/>
  <c r="AB71" i="8" s="1"/>
  <c r="AC71" i="8" s="1"/>
  <c r="AD71" i="8" s="1"/>
  <c r="AE71" i="8" s="1"/>
  <c r="AF71" i="8" s="1"/>
  <c r="AG71" i="8" s="1"/>
  <c r="AH71" i="8" s="1"/>
  <c r="AI71" i="8" s="1"/>
  <c r="AJ71" i="8" s="1"/>
  <c r="AK71" i="8" s="1"/>
  <c r="AL71" i="8" s="1"/>
  <c r="AM71" i="8" s="1"/>
  <c r="C268" i="8"/>
  <c r="D73" i="8"/>
  <c r="E73" i="8" s="1"/>
  <c r="F73" i="8" s="1"/>
  <c r="G73" i="8" s="1"/>
  <c r="H73" i="8" s="1"/>
  <c r="I73" i="8" s="1"/>
  <c r="J73" i="8" s="1"/>
  <c r="K73" i="8" s="1"/>
  <c r="L73" i="8" s="1"/>
  <c r="M73" i="8" s="1"/>
  <c r="N73" i="8" s="1"/>
  <c r="O73" i="8" s="1"/>
  <c r="P73" i="8" s="1"/>
  <c r="Q73" i="8" s="1"/>
  <c r="R73" i="8" s="1"/>
  <c r="S73" i="8" s="1"/>
  <c r="T73" i="8" s="1"/>
  <c r="U73" i="8" s="1"/>
  <c r="V73" i="8" s="1"/>
  <c r="W73" i="8" s="1"/>
  <c r="X73" i="8" s="1"/>
  <c r="Y73" i="8" s="1"/>
  <c r="Z73" i="8" s="1"/>
  <c r="AA73" i="8" s="1"/>
  <c r="AB73" i="8" s="1"/>
  <c r="AC73" i="8" s="1"/>
  <c r="AD73" i="8" s="1"/>
  <c r="AE73" i="8" s="1"/>
  <c r="AF73" i="8" s="1"/>
  <c r="AG73" i="8" s="1"/>
  <c r="AH73" i="8" s="1"/>
  <c r="AI73" i="8" s="1"/>
  <c r="AJ73" i="8" s="1"/>
  <c r="AK73" i="8" s="1"/>
  <c r="AL73" i="8" s="1"/>
  <c r="AM73" i="8" s="1"/>
  <c r="C251" i="8"/>
  <c r="E8" i="8"/>
  <c r="D81" i="8"/>
  <c r="E81" i="8" s="1"/>
  <c r="F81" i="8" s="1"/>
  <c r="G81" i="8" s="1"/>
  <c r="H81" i="8" s="1"/>
  <c r="I81" i="8" s="1"/>
  <c r="J81" i="8" s="1"/>
  <c r="K81" i="8" s="1"/>
  <c r="L81" i="8" s="1"/>
  <c r="M81" i="8" s="1"/>
  <c r="N81" i="8" s="1"/>
  <c r="O81" i="8" s="1"/>
  <c r="P81" i="8" s="1"/>
  <c r="Q81" i="8" s="1"/>
  <c r="R81" i="8" s="1"/>
  <c r="S81" i="8" s="1"/>
  <c r="T81" i="8" s="1"/>
  <c r="U81" i="8" s="1"/>
  <c r="V81" i="8" s="1"/>
  <c r="W81" i="8" s="1"/>
  <c r="X81" i="8" s="1"/>
  <c r="Y81" i="8" s="1"/>
  <c r="Z81" i="8" s="1"/>
  <c r="AA81" i="8" s="1"/>
  <c r="AB81" i="8" s="1"/>
  <c r="AC81" i="8" s="1"/>
  <c r="AD81" i="8" s="1"/>
  <c r="AE81" i="8" s="1"/>
  <c r="AF81" i="8" s="1"/>
  <c r="AG81" i="8" s="1"/>
  <c r="AH81" i="8" s="1"/>
  <c r="AI81" i="8" s="1"/>
  <c r="AJ81" i="8" s="1"/>
  <c r="AK81" i="8" s="1"/>
  <c r="AL81" i="8" s="1"/>
  <c r="AM81" i="8" s="1"/>
  <c r="C183" i="8"/>
  <c r="D79" i="8"/>
  <c r="E79" i="8" s="1"/>
  <c r="F79" i="8" s="1"/>
  <c r="G79" i="8" s="1"/>
  <c r="H79" i="8" s="1"/>
  <c r="I79" i="8" s="1"/>
  <c r="J79" i="8" s="1"/>
  <c r="K79" i="8" s="1"/>
  <c r="L79" i="8" s="1"/>
  <c r="M79" i="8" s="1"/>
  <c r="N79" i="8" s="1"/>
  <c r="O79" i="8" s="1"/>
  <c r="P79" i="8" s="1"/>
  <c r="Q79" i="8" s="1"/>
  <c r="R79" i="8" s="1"/>
  <c r="S79" i="8" s="1"/>
  <c r="T79" i="8" s="1"/>
  <c r="U79" i="8" s="1"/>
  <c r="V79" i="8" s="1"/>
  <c r="W79" i="8" s="1"/>
  <c r="X79" i="8" s="1"/>
  <c r="Y79" i="8" s="1"/>
  <c r="Z79" i="8" s="1"/>
  <c r="AA79" i="8" s="1"/>
  <c r="AB79" i="8" s="1"/>
  <c r="AC79" i="8" s="1"/>
  <c r="AD79" i="8" s="1"/>
  <c r="AE79" i="8" s="1"/>
  <c r="AF79" i="8" s="1"/>
  <c r="AG79" i="8" s="1"/>
  <c r="AH79" i="8" s="1"/>
  <c r="AI79" i="8" s="1"/>
  <c r="AJ79" i="8" s="1"/>
  <c r="AK79" i="8" s="1"/>
  <c r="AL79" i="8" s="1"/>
  <c r="AM79" i="8" s="1"/>
  <c r="C115" i="8"/>
  <c r="D77" i="8"/>
  <c r="E77" i="8" s="1"/>
  <c r="F77" i="8" s="1"/>
  <c r="G77" i="8" s="1"/>
  <c r="H77" i="8" s="1"/>
  <c r="I77" i="8" s="1"/>
  <c r="J77" i="8" s="1"/>
  <c r="K77" i="8" s="1"/>
  <c r="L77" i="8" s="1"/>
  <c r="M77" i="8" s="1"/>
  <c r="N77" i="8" s="1"/>
  <c r="O77" i="8" s="1"/>
  <c r="P77" i="8" s="1"/>
  <c r="Q77" i="8" s="1"/>
  <c r="R77" i="8" s="1"/>
  <c r="S77" i="8" s="1"/>
  <c r="T77" i="8" s="1"/>
  <c r="U77" i="8" s="1"/>
  <c r="V77" i="8" s="1"/>
  <c r="W77" i="8" s="1"/>
  <c r="X77" i="8" s="1"/>
  <c r="Y77" i="8" s="1"/>
  <c r="Z77" i="8" s="1"/>
  <c r="AA77" i="8" s="1"/>
  <c r="AB77" i="8" s="1"/>
  <c r="AC77" i="8" s="1"/>
  <c r="AD77" i="8" s="1"/>
  <c r="AE77" i="8" s="1"/>
  <c r="AF77" i="8" s="1"/>
  <c r="AG77" i="8" s="1"/>
  <c r="AH77" i="8" s="1"/>
  <c r="AI77" i="8" s="1"/>
  <c r="AJ77" i="8" s="1"/>
  <c r="AK77" i="8" s="1"/>
  <c r="AL77" i="8" s="1"/>
  <c r="AM77" i="8" s="1"/>
  <c r="C149" i="8"/>
  <c r="D75" i="8"/>
  <c r="E75" i="8" s="1"/>
  <c r="F75" i="8" s="1"/>
  <c r="G75" i="8" s="1"/>
  <c r="H75" i="8" s="1"/>
  <c r="I75" i="8" s="1"/>
  <c r="J75" i="8" s="1"/>
  <c r="K75" i="8" s="1"/>
  <c r="L75" i="8" s="1"/>
  <c r="M75" i="8" s="1"/>
  <c r="N75" i="8" s="1"/>
  <c r="O75" i="8" s="1"/>
  <c r="P75" i="8" s="1"/>
  <c r="Q75" i="8" s="1"/>
  <c r="R75" i="8" s="1"/>
  <c r="S75" i="8" s="1"/>
  <c r="T75" i="8" s="1"/>
  <c r="U75" i="8" s="1"/>
  <c r="V75" i="8" s="1"/>
  <c r="W75" i="8" s="1"/>
  <c r="X75" i="8" s="1"/>
  <c r="Y75" i="8" s="1"/>
  <c r="Z75" i="8" s="1"/>
  <c r="AA75" i="8" s="1"/>
  <c r="AB75" i="8" s="1"/>
  <c r="AC75" i="8" s="1"/>
  <c r="AD75" i="8" s="1"/>
  <c r="AE75" i="8" s="1"/>
  <c r="AF75" i="8" s="1"/>
  <c r="AG75" i="8" s="1"/>
  <c r="AH75" i="8" s="1"/>
  <c r="AI75" i="8" s="1"/>
  <c r="AJ75" i="8" s="1"/>
  <c r="AK75" i="8" s="1"/>
  <c r="AL75" i="8" s="1"/>
  <c r="AM75" i="8" s="1"/>
  <c r="C200" i="8"/>
  <c r="AH14" i="8"/>
  <c r="V14" i="8"/>
  <c r="AC14" i="8"/>
  <c r="Y14" i="8"/>
  <c r="W14" i="8"/>
  <c r="AM14" i="8"/>
  <c r="AJ14" i="8"/>
  <c r="AD14" i="8"/>
  <c r="AK14" i="8"/>
  <c r="AI14" i="8"/>
  <c r="AF14" i="8"/>
  <c r="AB14" i="8"/>
  <c r="AA14" i="8"/>
  <c r="AE14" i="8"/>
  <c r="U14" i="8"/>
  <c r="X14" i="8"/>
  <c r="AL14" i="8"/>
  <c r="T14" i="8"/>
  <c r="AG14" i="8"/>
  <c r="Z14" i="8"/>
  <c r="C61" i="8"/>
  <c r="C21" i="8" s="1"/>
  <c r="C22" i="8" s="1"/>
  <c r="C63" i="8" s="1"/>
  <c r="C65" i="8" s="1"/>
  <c r="C104" i="8"/>
  <c r="D78" i="8"/>
  <c r="E78" i="8" s="1"/>
  <c r="F78" i="8" s="1"/>
  <c r="G78" i="8" s="1"/>
  <c r="H78" i="8" s="1"/>
  <c r="I78" i="8" s="1"/>
  <c r="J78" i="8" s="1"/>
  <c r="K78" i="8" s="1"/>
  <c r="L78" i="8" s="1"/>
  <c r="M78" i="8" s="1"/>
  <c r="N78" i="8" s="1"/>
  <c r="O78" i="8" s="1"/>
  <c r="P78" i="8" s="1"/>
  <c r="Q78" i="8" s="1"/>
  <c r="R78" i="8" s="1"/>
  <c r="S78" i="8" s="1"/>
  <c r="T78" i="8" s="1"/>
  <c r="U78" i="8" s="1"/>
  <c r="V78" i="8" s="1"/>
  <c r="W78" i="8" s="1"/>
  <c r="X78" i="8" s="1"/>
  <c r="Y78" i="8" s="1"/>
  <c r="Z78" i="8" s="1"/>
  <c r="AA78" i="8" s="1"/>
  <c r="AB78" i="8" s="1"/>
  <c r="AC78" i="8" s="1"/>
  <c r="AD78" i="8" s="1"/>
  <c r="AE78" i="8" s="1"/>
  <c r="AF78" i="8" s="1"/>
  <c r="AG78" i="8" s="1"/>
  <c r="AH78" i="8" s="1"/>
  <c r="AI78" i="8" s="1"/>
  <c r="AJ78" i="8" s="1"/>
  <c r="AK78" i="8" s="1"/>
  <c r="AL78" i="8" s="1"/>
  <c r="AM78" i="8" s="1"/>
  <c r="C132" i="8"/>
  <c r="D72" i="8"/>
  <c r="E72" i="8" s="1"/>
  <c r="F72" i="8" s="1"/>
  <c r="G72" i="8" s="1"/>
  <c r="H72" i="8" s="1"/>
  <c r="I72" i="8" s="1"/>
  <c r="J72" i="8" s="1"/>
  <c r="K72" i="8" s="1"/>
  <c r="L72" i="8" s="1"/>
  <c r="M72" i="8" s="1"/>
  <c r="N72" i="8" s="1"/>
  <c r="O72" i="8" s="1"/>
  <c r="P72" i="8" s="1"/>
  <c r="Q72" i="8" s="1"/>
  <c r="R72" i="8" s="1"/>
  <c r="S72" i="8" s="1"/>
  <c r="T72" i="8" s="1"/>
  <c r="U72" i="8" s="1"/>
  <c r="V72" i="8" s="1"/>
  <c r="W72" i="8" s="1"/>
  <c r="X72" i="8" s="1"/>
  <c r="Y72" i="8" s="1"/>
  <c r="Z72" i="8" s="1"/>
  <c r="AA72" i="8" s="1"/>
  <c r="AB72" i="8" s="1"/>
  <c r="AC72" i="8" s="1"/>
  <c r="AD72" i="8" s="1"/>
  <c r="AE72" i="8" s="1"/>
  <c r="AF72" i="8" s="1"/>
  <c r="AG72" i="8" s="1"/>
  <c r="AH72" i="8" s="1"/>
  <c r="AI72" i="8" s="1"/>
  <c r="AJ72" i="8" s="1"/>
  <c r="AK72" i="8" s="1"/>
  <c r="AL72" i="8" s="1"/>
  <c r="AM72" i="8" s="1"/>
  <c r="C217" i="8"/>
  <c r="D79" i="4"/>
  <c r="E79" i="4" s="1"/>
  <c r="F79" i="4" s="1"/>
  <c r="G79" i="4" s="1"/>
  <c r="H79" i="4" s="1"/>
  <c r="I79" i="4" s="1"/>
  <c r="J79" i="4" s="1"/>
  <c r="K79" i="4" s="1"/>
  <c r="L79" i="4" s="1"/>
  <c r="M79" i="4" s="1"/>
  <c r="N79" i="4" s="1"/>
  <c r="O79" i="4" s="1"/>
  <c r="P79" i="4" s="1"/>
  <c r="Q79" i="4" s="1"/>
  <c r="R79" i="4" s="1"/>
  <c r="S79" i="4" s="1"/>
  <c r="T79" i="4" s="1"/>
  <c r="U79" i="4" s="1"/>
  <c r="V79" i="4" s="1"/>
  <c r="W79" i="4" s="1"/>
  <c r="X79" i="4" s="1"/>
  <c r="Y79" i="4" s="1"/>
  <c r="Z79" i="4" s="1"/>
  <c r="AA79" i="4" s="1"/>
  <c r="AB79" i="4" s="1"/>
  <c r="AC79" i="4" s="1"/>
  <c r="AD79" i="4" s="1"/>
  <c r="AE79" i="4" s="1"/>
  <c r="AF79" i="4" s="1"/>
  <c r="AG79" i="4" s="1"/>
  <c r="AH79" i="4" s="1"/>
  <c r="AI79" i="4" s="1"/>
  <c r="AJ79" i="4" s="1"/>
  <c r="AK79" i="4" s="1"/>
  <c r="AL79" i="4" s="1"/>
  <c r="AM79" i="4" s="1"/>
  <c r="D77" i="4"/>
  <c r="E77" i="4" s="1"/>
  <c r="F77" i="4" s="1"/>
  <c r="G77" i="4" s="1"/>
  <c r="H77" i="4" s="1"/>
  <c r="I77" i="4" s="1"/>
  <c r="J77" i="4" s="1"/>
  <c r="K77" i="4" s="1"/>
  <c r="L77" i="4" s="1"/>
  <c r="M77" i="4" s="1"/>
  <c r="N77" i="4" s="1"/>
  <c r="O77" i="4" s="1"/>
  <c r="P77" i="4" s="1"/>
  <c r="Q77" i="4" s="1"/>
  <c r="R77" i="4" s="1"/>
  <c r="S77" i="4" s="1"/>
  <c r="T77" i="4" s="1"/>
  <c r="U77" i="4" s="1"/>
  <c r="V77" i="4" s="1"/>
  <c r="W77" i="4" s="1"/>
  <c r="X77" i="4" s="1"/>
  <c r="Y77" i="4" s="1"/>
  <c r="Z77" i="4" s="1"/>
  <c r="AA77" i="4" s="1"/>
  <c r="AB77" i="4" s="1"/>
  <c r="AC77" i="4" s="1"/>
  <c r="AD77" i="4" s="1"/>
  <c r="AE77" i="4" s="1"/>
  <c r="AF77" i="4" s="1"/>
  <c r="AG77" i="4" s="1"/>
  <c r="AH77" i="4" s="1"/>
  <c r="AI77" i="4" s="1"/>
  <c r="AJ77" i="4" s="1"/>
  <c r="AK77" i="4" s="1"/>
  <c r="AL77" i="4" s="1"/>
  <c r="AM77" i="4" s="1"/>
  <c r="C104" i="4"/>
  <c r="H8" i="4"/>
  <c r="V3" i="6"/>
  <c r="B3" i="4"/>
  <c r="C5" i="4" s="1"/>
  <c r="AA3" i="6"/>
  <c r="AA2" i="6"/>
  <c r="A136" i="3"/>
  <c r="A131" i="3"/>
  <c r="A126" i="3"/>
  <c r="C188" i="8" l="1"/>
  <c r="C189" i="8"/>
  <c r="C138" i="8"/>
  <c r="C137" i="8"/>
  <c r="D64" i="8"/>
  <c r="C68" i="8"/>
  <c r="C205" i="8"/>
  <c r="C206" i="8"/>
  <c r="C273" i="8"/>
  <c r="C274" i="8"/>
  <c r="F8" i="8"/>
  <c r="C154" i="8"/>
  <c r="C155" i="8"/>
  <c r="C172" i="8"/>
  <c r="C171" i="8"/>
  <c r="C223" i="8"/>
  <c r="C222" i="8"/>
  <c r="C256" i="8"/>
  <c r="C257" i="8"/>
  <c r="C121" i="8"/>
  <c r="C120" i="8"/>
  <c r="C240" i="8"/>
  <c r="C239" i="8"/>
  <c r="I8" i="4"/>
  <c r="F292" i="3"/>
  <c r="F291" i="3"/>
  <c r="F290" i="3"/>
  <c r="A115" i="3"/>
  <c r="A114" i="3"/>
  <c r="A113" i="3"/>
  <c r="G132" i="3"/>
  <c r="G137" i="3"/>
  <c r="G127" i="3"/>
  <c r="D1" i="8"/>
  <c r="G15" i="3"/>
  <c r="G8" i="8" l="1"/>
  <c r="C369" i="8"/>
  <c r="C378" i="8" s="1"/>
  <c r="C96" i="8"/>
  <c r="C370" i="8" s="1"/>
  <c r="C379" i="8" s="1"/>
  <c r="C98" i="8"/>
  <c r="C291" i="3"/>
  <c r="C296" i="3"/>
  <c r="C295" i="3"/>
  <c r="C299" i="3"/>
  <c r="C297" i="3"/>
  <c r="C290" i="3"/>
  <c r="C298" i="3"/>
  <c r="C293" i="3"/>
  <c r="C294" i="3"/>
  <c r="C292" i="3"/>
  <c r="C27" i="4"/>
  <c r="D27" i="4"/>
  <c r="C29" i="4"/>
  <c r="D29" i="4"/>
  <c r="C28" i="4"/>
  <c r="D28" i="4"/>
  <c r="C53" i="4"/>
  <c r="C55" i="4"/>
  <c r="C54" i="4"/>
  <c r="C59" i="4"/>
  <c r="C58" i="4"/>
  <c r="C17" i="4"/>
  <c r="C19" i="4"/>
  <c r="C57" i="4"/>
  <c r="C18" i="4"/>
  <c r="J8" i="4"/>
  <c r="G138" i="3"/>
  <c r="G133" i="3"/>
  <c r="G128" i="3"/>
  <c r="E1" i="8"/>
  <c r="D3" i="8"/>
  <c r="D2" i="8"/>
  <c r="D20" i="8" s="1"/>
  <c r="C99" i="8" l="1"/>
  <c r="C105" i="8" s="1"/>
  <c r="D83" i="8"/>
  <c r="D351" i="8" s="1"/>
  <c r="D59" i="8"/>
  <c r="D58" i="8"/>
  <c r="D60" i="8"/>
  <c r="D18" i="8"/>
  <c r="D17" i="8"/>
  <c r="D25" i="8"/>
  <c r="D69" i="8"/>
  <c r="D337" i="8" s="1"/>
  <c r="D57" i="8"/>
  <c r="D44" i="8"/>
  <c r="D19" i="8"/>
  <c r="D82" i="8"/>
  <c r="H8" i="8"/>
  <c r="A233" i="4"/>
  <c r="AM238" i="4" s="1"/>
  <c r="A165" i="4"/>
  <c r="AM170" i="4" s="1"/>
  <c r="A216" i="4"/>
  <c r="AM221" i="4" s="1"/>
  <c r="A199" i="4"/>
  <c r="AM204" i="4" s="1"/>
  <c r="A114" i="4"/>
  <c r="AM119" i="4" s="1"/>
  <c r="A182" i="4"/>
  <c r="AM187" i="4" s="1"/>
  <c r="A148" i="4"/>
  <c r="AM153" i="4" s="1"/>
  <c r="A267" i="4"/>
  <c r="AM272" i="4" s="1"/>
  <c r="A131" i="4"/>
  <c r="AM136" i="4" s="1"/>
  <c r="A250" i="4"/>
  <c r="AM255" i="4" s="1"/>
  <c r="K8" i="4"/>
  <c r="F1" i="8"/>
  <c r="E3" i="8"/>
  <c r="E2" i="8"/>
  <c r="E20" i="8" s="1"/>
  <c r="G177" i="3"/>
  <c r="D1" i="4"/>
  <c r="E82" i="8" l="1"/>
  <c r="D61" i="8"/>
  <c r="D21" i="8" s="1"/>
  <c r="D22" i="8" s="1"/>
  <c r="D63" i="8" s="1"/>
  <c r="D65" i="8" s="1"/>
  <c r="E60" i="8"/>
  <c r="E59" i="8"/>
  <c r="E18" i="8"/>
  <c r="E17" i="8"/>
  <c r="E83" i="8"/>
  <c r="E351" i="8" s="1"/>
  <c r="E44" i="8"/>
  <c r="E58" i="8"/>
  <c r="E69" i="8"/>
  <c r="E337" i="8" s="1"/>
  <c r="E25" i="8"/>
  <c r="E19" i="8"/>
  <c r="E57" i="8"/>
  <c r="I8" i="8"/>
  <c r="C108" i="8"/>
  <c r="C109" i="8" s="1"/>
  <c r="C111" i="8" s="1"/>
  <c r="C107" i="8"/>
  <c r="E35" i="4"/>
  <c r="E32" i="4"/>
  <c r="E34" i="4"/>
  <c r="E33" i="4"/>
  <c r="E36" i="4"/>
  <c r="E31" i="4"/>
  <c r="D93" i="4"/>
  <c r="D86" i="4"/>
  <c r="D91" i="4"/>
  <c r="D87" i="4"/>
  <c r="D85" i="4"/>
  <c r="D94" i="4"/>
  <c r="D90" i="4"/>
  <c r="D92" i="4"/>
  <c r="D95" i="4"/>
  <c r="D363" i="4" s="1"/>
  <c r="D89" i="4"/>
  <c r="D88" i="4"/>
  <c r="B190" i="4"/>
  <c r="C183" i="4"/>
  <c r="B258" i="4"/>
  <c r="C251" i="4"/>
  <c r="B207" i="4"/>
  <c r="C200" i="4"/>
  <c r="B224" i="4"/>
  <c r="C217" i="4"/>
  <c r="B241" i="4"/>
  <c r="C234" i="4"/>
  <c r="E30" i="4"/>
  <c r="E27" i="4"/>
  <c r="E29" i="4"/>
  <c r="E28" i="4"/>
  <c r="C37" i="4"/>
  <c r="D37" i="4"/>
  <c r="E37" i="4"/>
  <c r="B139" i="4"/>
  <c r="C132" i="4"/>
  <c r="B156" i="4"/>
  <c r="C149" i="4"/>
  <c r="B275" i="4"/>
  <c r="C268" i="4"/>
  <c r="B173" i="4"/>
  <c r="C166" i="4"/>
  <c r="B122" i="4"/>
  <c r="C115" i="4"/>
  <c r="E52" i="4"/>
  <c r="E50" i="4"/>
  <c r="D43" i="4"/>
  <c r="D39" i="4"/>
  <c r="E49" i="4"/>
  <c r="D40" i="4"/>
  <c r="D42" i="4"/>
  <c r="E48" i="4"/>
  <c r="D41" i="4"/>
  <c r="E47" i="4"/>
  <c r="E46" i="4"/>
  <c r="L8" i="4"/>
  <c r="G1" i="8"/>
  <c r="C376" i="4"/>
  <c r="F3" i="8"/>
  <c r="F2" i="8"/>
  <c r="F20" i="8" s="1"/>
  <c r="G178" i="3"/>
  <c r="G16" i="3"/>
  <c r="D2" i="4"/>
  <c r="D83" i="4" s="1"/>
  <c r="D351" i="4" s="1"/>
  <c r="E1" i="4"/>
  <c r="D3" i="4"/>
  <c r="C112" i="8" l="1"/>
  <c r="D68" i="8"/>
  <c r="E64" i="8"/>
  <c r="F60" i="8"/>
  <c r="F44" i="8"/>
  <c r="F69" i="8"/>
  <c r="F337" i="8" s="1"/>
  <c r="F17" i="8"/>
  <c r="F83" i="8"/>
  <c r="F351" i="8" s="1"/>
  <c r="F25" i="8"/>
  <c r="F57" i="8"/>
  <c r="F58" i="8"/>
  <c r="F19" i="8"/>
  <c r="F18" i="8"/>
  <c r="F59" i="8"/>
  <c r="C350" i="8"/>
  <c r="D104" i="8"/>
  <c r="J8" i="8"/>
  <c r="E61" i="8"/>
  <c r="F82" i="8"/>
  <c r="D60" i="4"/>
  <c r="D69" i="4"/>
  <c r="D337" i="4" s="1"/>
  <c r="D44" i="4"/>
  <c r="D25" i="4"/>
  <c r="D20" i="4"/>
  <c r="C61" i="4"/>
  <c r="C21" i="4" s="1"/>
  <c r="C22" i="4" s="1"/>
  <c r="C63" i="4" s="1"/>
  <c r="C65" i="4" s="1"/>
  <c r="D82" i="4"/>
  <c r="F33" i="4"/>
  <c r="F36" i="4"/>
  <c r="F35" i="4"/>
  <c r="F34" i="4"/>
  <c r="F31" i="4"/>
  <c r="F32" i="4"/>
  <c r="E93" i="4"/>
  <c r="E95" i="4"/>
  <c r="E363" i="4" s="1"/>
  <c r="E88" i="4"/>
  <c r="E89" i="4"/>
  <c r="E91" i="4"/>
  <c r="E86" i="4"/>
  <c r="E90" i="4"/>
  <c r="E85" i="4"/>
  <c r="E87" i="4"/>
  <c r="E94" i="4"/>
  <c r="E92" i="4"/>
  <c r="A294" i="4"/>
  <c r="A318" i="4"/>
  <c r="C240" i="4"/>
  <c r="C239" i="4"/>
  <c r="A295" i="4"/>
  <c r="A319" i="4"/>
  <c r="C222" i="4"/>
  <c r="C223" i="4"/>
  <c r="A293" i="4"/>
  <c r="A317" i="4"/>
  <c r="C256" i="4"/>
  <c r="C257" i="4"/>
  <c r="A296" i="4"/>
  <c r="A320" i="4"/>
  <c r="C188" i="4"/>
  <c r="C189" i="4"/>
  <c r="C206" i="4"/>
  <c r="C205" i="4"/>
  <c r="A292" i="4"/>
  <c r="A316" i="4"/>
  <c r="A297" i="4"/>
  <c r="A321" i="4"/>
  <c r="F30" i="4"/>
  <c r="F28" i="4"/>
  <c r="F29" i="4"/>
  <c r="F27" i="4"/>
  <c r="F37" i="4"/>
  <c r="C137" i="4"/>
  <c r="C138" i="4"/>
  <c r="A313" i="4"/>
  <c r="A289" i="4"/>
  <c r="C120" i="4"/>
  <c r="C121" i="4"/>
  <c r="A288" i="4"/>
  <c r="A312" i="4"/>
  <c r="C172" i="4"/>
  <c r="C171" i="4"/>
  <c r="A291" i="4"/>
  <c r="A315" i="4"/>
  <c r="C273" i="4"/>
  <c r="C274" i="4"/>
  <c r="C155" i="4"/>
  <c r="C154" i="4"/>
  <c r="A314" i="4"/>
  <c r="A290" i="4"/>
  <c r="D55" i="4"/>
  <c r="D15" i="4"/>
  <c r="D13" i="4"/>
  <c r="D14" i="4" s="1"/>
  <c r="D5" i="4"/>
  <c r="D6" i="4"/>
  <c r="D54" i="4"/>
  <c r="D53" i="4"/>
  <c r="F52" i="4"/>
  <c r="F50" i="4"/>
  <c r="E42" i="4"/>
  <c r="E43" i="4"/>
  <c r="E41" i="4"/>
  <c r="F49" i="4"/>
  <c r="F48" i="4"/>
  <c r="F47" i="4"/>
  <c r="F46" i="4"/>
  <c r="E39" i="4"/>
  <c r="E40" i="4"/>
  <c r="M8" i="4"/>
  <c r="D18" i="4"/>
  <c r="D58" i="4"/>
  <c r="D19" i="4"/>
  <c r="D59" i="4"/>
  <c r="D57" i="4"/>
  <c r="D17" i="4"/>
  <c r="H1" i="8"/>
  <c r="G2" i="8"/>
  <c r="G3" i="8"/>
  <c r="D376" i="4"/>
  <c r="E2" i="4"/>
  <c r="E83" i="4" s="1"/>
  <c r="E351" i="4" s="1"/>
  <c r="E3" i="4"/>
  <c r="F1" i="4"/>
  <c r="G20" i="8" l="1"/>
  <c r="G82" i="8"/>
  <c r="F61" i="8"/>
  <c r="E21" i="8"/>
  <c r="E22" i="8" s="1"/>
  <c r="E63" i="8" s="1"/>
  <c r="E65" i="8" s="1"/>
  <c r="D369" i="8"/>
  <c r="D378" i="8" s="1"/>
  <c r="D96" i="8"/>
  <c r="D370" i="8" s="1"/>
  <c r="D379" i="8" s="1"/>
  <c r="D98" i="8"/>
  <c r="K8" i="8"/>
  <c r="G60" i="8"/>
  <c r="G44" i="8"/>
  <c r="G59" i="8"/>
  <c r="G57" i="8"/>
  <c r="G17" i="8"/>
  <c r="G25" i="8"/>
  <c r="G83" i="8"/>
  <c r="G351" i="8" s="1"/>
  <c r="G19" i="8"/>
  <c r="G58" i="8"/>
  <c r="G18" i="8"/>
  <c r="G69" i="8"/>
  <c r="G337" i="8" s="1"/>
  <c r="E60" i="4"/>
  <c r="E69" i="4"/>
  <c r="E337" i="4" s="1"/>
  <c r="E44" i="4"/>
  <c r="E25" i="4"/>
  <c r="E20" i="4"/>
  <c r="D61" i="4"/>
  <c r="D64" i="4"/>
  <c r="C68" i="4"/>
  <c r="C96" i="4" s="1"/>
  <c r="E82" i="4"/>
  <c r="G33" i="4"/>
  <c r="G32" i="4"/>
  <c r="G31" i="4"/>
  <c r="G35" i="4"/>
  <c r="G34" i="4"/>
  <c r="G36" i="4"/>
  <c r="F94" i="4"/>
  <c r="F85" i="4"/>
  <c r="F86" i="4"/>
  <c r="F88" i="4"/>
  <c r="F87" i="4"/>
  <c r="F92" i="4"/>
  <c r="F95" i="4"/>
  <c r="F363" i="4" s="1"/>
  <c r="F89" i="4"/>
  <c r="F93" i="4"/>
  <c r="F91" i="4"/>
  <c r="F90" i="4"/>
  <c r="G30" i="4"/>
  <c r="G28" i="4"/>
  <c r="G27" i="4"/>
  <c r="G29" i="4"/>
  <c r="G37" i="4"/>
  <c r="H3" i="8"/>
  <c r="G50" i="4"/>
  <c r="F43" i="4"/>
  <c r="G49" i="4"/>
  <c r="F41" i="4"/>
  <c r="G47" i="4"/>
  <c r="G46" i="4"/>
  <c r="F42" i="4"/>
  <c r="G52" i="4"/>
  <c r="G48" i="4"/>
  <c r="F40" i="4"/>
  <c r="F39" i="4"/>
  <c r="E55" i="4"/>
  <c r="E54" i="4"/>
  <c r="E13" i="4"/>
  <c r="E14" i="4" s="1"/>
  <c r="E15" i="4"/>
  <c r="E6" i="4"/>
  <c r="E5" i="4"/>
  <c r="E53" i="4"/>
  <c r="E58" i="4"/>
  <c r="E57" i="4"/>
  <c r="E19" i="4"/>
  <c r="E18" i="4"/>
  <c r="E59" i="4"/>
  <c r="E17" i="4"/>
  <c r="N8" i="4"/>
  <c r="H2" i="8"/>
  <c r="H20" i="8" s="1"/>
  <c r="I1" i="8"/>
  <c r="E376" i="4"/>
  <c r="F2" i="4"/>
  <c r="F83" i="4" s="1"/>
  <c r="F351" i="4" s="1"/>
  <c r="G1" i="4"/>
  <c r="F3" i="4"/>
  <c r="H59" i="8" l="1"/>
  <c r="H83" i="8"/>
  <c r="H351" i="8" s="1"/>
  <c r="H57" i="8"/>
  <c r="H69" i="8"/>
  <c r="H337" i="8" s="1"/>
  <c r="H60" i="8"/>
  <c r="H25" i="8"/>
  <c r="H44" i="8"/>
  <c r="H58" i="8"/>
  <c r="H19" i="8"/>
  <c r="H17" i="8"/>
  <c r="H18" i="8"/>
  <c r="F64" i="8"/>
  <c r="F21" i="8" s="1"/>
  <c r="F22" i="8" s="1"/>
  <c r="F63" i="8" s="1"/>
  <c r="F65" i="8" s="1"/>
  <c r="E68" i="8"/>
  <c r="L8" i="8"/>
  <c r="D99" i="8"/>
  <c r="D105" i="8" s="1"/>
  <c r="G61" i="8"/>
  <c r="H82" i="8"/>
  <c r="F60" i="4"/>
  <c r="F69" i="4"/>
  <c r="F337" i="4" s="1"/>
  <c r="F44" i="4"/>
  <c r="F25" i="4"/>
  <c r="F20" i="4"/>
  <c r="E61" i="4"/>
  <c r="C98" i="4"/>
  <c r="C99" i="4" s="1"/>
  <c r="C105" i="4" s="1"/>
  <c r="C107" i="4" s="1"/>
  <c r="D21" i="4"/>
  <c r="D22" i="4" s="1"/>
  <c r="D63" i="4" s="1"/>
  <c r="D65" i="4" s="1"/>
  <c r="F82" i="4"/>
  <c r="H36" i="4"/>
  <c r="H32" i="4"/>
  <c r="H34" i="4"/>
  <c r="H31" i="4"/>
  <c r="H35" i="4"/>
  <c r="H33" i="4"/>
  <c r="G90" i="4"/>
  <c r="G87" i="4"/>
  <c r="G93" i="4"/>
  <c r="G86" i="4"/>
  <c r="G89" i="4"/>
  <c r="G91" i="4"/>
  <c r="G92" i="4"/>
  <c r="G95" i="4"/>
  <c r="G363" i="4" s="1"/>
  <c r="G94" i="4"/>
  <c r="G88" i="4"/>
  <c r="G85" i="4"/>
  <c r="H30" i="4"/>
  <c r="H27" i="4"/>
  <c r="H28" i="4"/>
  <c r="H29" i="4"/>
  <c r="H37" i="4"/>
  <c r="F54" i="4"/>
  <c r="F13" i="4"/>
  <c r="F14" i="4" s="1"/>
  <c r="F55" i="4"/>
  <c r="F15" i="4"/>
  <c r="F6" i="4"/>
  <c r="F5" i="4"/>
  <c r="F53" i="4"/>
  <c r="G42" i="4"/>
  <c r="H49" i="4"/>
  <c r="G43" i="4"/>
  <c r="H47" i="4"/>
  <c r="G41" i="4"/>
  <c r="H52" i="4"/>
  <c r="G39" i="4"/>
  <c r="H46" i="4"/>
  <c r="H50" i="4"/>
  <c r="G40" i="4"/>
  <c r="H48" i="4"/>
  <c r="I3" i="8"/>
  <c r="F17" i="4"/>
  <c r="F57" i="4"/>
  <c r="F58" i="4"/>
  <c r="F18" i="4"/>
  <c r="F19" i="4"/>
  <c r="F59" i="4"/>
  <c r="O8" i="4"/>
  <c r="I2" i="8"/>
  <c r="I20" i="8" s="1"/>
  <c r="J1" i="8"/>
  <c r="H1" i="4"/>
  <c r="F376" i="4"/>
  <c r="G2" i="4"/>
  <c r="G83" i="4" s="1"/>
  <c r="G351" i="4" s="1"/>
  <c r="G3" i="4"/>
  <c r="I82" i="8" l="1"/>
  <c r="D108" i="8"/>
  <c r="D109" i="8" s="1"/>
  <c r="D111" i="8" s="1"/>
  <c r="D106" i="8"/>
  <c r="D107" i="8" s="1"/>
  <c r="H61" i="8"/>
  <c r="M8" i="8"/>
  <c r="I58" i="8"/>
  <c r="I57" i="8"/>
  <c r="I69" i="8"/>
  <c r="I337" i="8" s="1"/>
  <c r="I83" i="8"/>
  <c r="I351" i="8" s="1"/>
  <c r="I60" i="8"/>
  <c r="I25" i="8"/>
  <c r="I19" i="8"/>
  <c r="I44" i="8"/>
  <c r="I18" i="8"/>
  <c r="I17" i="8"/>
  <c r="I59" i="8"/>
  <c r="E369" i="8"/>
  <c r="E378" i="8" s="1"/>
  <c r="E96" i="8"/>
  <c r="E370" i="8" s="1"/>
  <c r="E379" i="8" s="1"/>
  <c r="E98" i="8"/>
  <c r="F68" i="8"/>
  <c r="G64" i="8"/>
  <c r="G21" i="8" s="1"/>
  <c r="G22" i="8" s="1"/>
  <c r="G63" i="8" s="1"/>
  <c r="G65" i="8" s="1"/>
  <c r="G60" i="4"/>
  <c r="G69" i="4"/>
  <c r="G337" i="4" s="1"/>
  <c r="G44" i="4"/>
  <c r="C108" i="4"/>
  <c r="C109" i="4" s="1"/>
  <c r="C111" i="4" s="1"/>
  <c r="C112" i="4" s="1"/>
  <c r="G25" i="4"/>
  <c r="G20" i="4"/>
  <c r="F61" i="4"/>
  <c r="E64" i="4"/>
  <c r="E21" i="4" s="1"/>
  <c r="E22" i="4" s="1"/>
  <c r="E63" i="4" s="1"/>
  <c r="E65" i="4" s="1"/>
  <c r="D68" i="4"/>
  <c r="D96" i="4" s="1"/>
  <c r="G82" i="4"/>
  <c r="I35" i="4"/>
  <c r="I34" i="4"/>
  <c r="I33" i="4"/>
  <c r="I36" i="4"/>
  <c r="I32" i="4"/>
  <c r="I31" i="4"/>
  <c r="H94" i="4"/>
  <c r="H92" i="4"/>
  <c r="H89" i="4"/>
  <c r="H95" i="4"/>
  <c r="H363" i="4" s="1"/>
  <c r="H91" i="4"/>
  <c r="H88" i="4"/>
  <c r="H86" i="4"/>
  <c r="H90" i="4"/>
  <c r="H87" i="4"/>
  <c r="H85" i="4"/>
  <c r="H93" i="4"/>
  <c r="I30" i="4"/>
  <c r="I29" i="4"/>
  <c r="I27" i="4"/>
  <c r="I28" i="4"/>
  <c r="I37" i="4"/>
  <c r="H3" i="4"/>
  <c r="H376" i="4" s="1"/>
  <c r="G6" i="4"/>
  <c r="G13" i="4"/>
  <c r="G14" i="4" s="1"/>
  <c r="G5" i="4"/>
  <c r="G54" i="4"/>
  <c r="G55" i="4"/>
  <c r="G15" i="4"/>
  <c r="G53" i="4"/>
  <c r="J3" i="8"/>
  <c r="I49" i="4"/>
  <c r="H41" i="4"/>
  <c r="I48" i="4"/>
  <c r="H40" i="4"/>
  <c r="I47" i="4"/>
  <c r="I52" i="4"/>
  <c r="H43" i="4"/>
  <c r="H39" i="4"/>
  <c r="I46" i="4"/>
  <c r="I50" i="4"/>
  <c r="H42" i="4"/>
  <c r="C350" i="4"/>
  <c r="D104" i="4"/>
  <c r="P8" i="4"/>
  <c r="H2" i="4"/>
  <c r="H83" i="4" s="1"/>
  <c r="H351" i="4" s="1"/>
  <c r="G57" i="4"/>
  <c r="G19" i="4"/>
  <c r="G58" i="4"/>
  <c r="G18" i="4"/>
  <c r="G17" i="4"/>
  <c r="G59" i="4"/>
  <c r="J2" i="8"/>
  <c r="K1" i="8"/>
  <c r="I1" i="4"/>
  <c r="G376" i="4"/>
  <c r="J82" i="8" l="1"/>
  <c r="J20" i="8"/>
  <c r="D350" i="8"/>
  <c r="E104" i="8"/>
  <c r="D112" i="8"/>
  <c r="C116" i="8" s="1"/>
  <c r="E99" i="8"/>
  <c r="N8" i="8"/>
  <c r="G68" i="8"/>
  <c r="H64" i="8"/>
  <c r="H21" i="8" s="1"/>
  <c r="H22" i="8" s="1"/>
  <c r="H63" i="8" s="1"/>
  <c r="H65" i="8" s="1"/>
  <c r="I61" i="8"/>
  <c r="J58" i="8"/>
  <c r="J69" i="8"/>
  <c r="J337" i="8" s="1"/>
  <c r="J60" i="8"/>
  <c r="J25" i="8"/>
  <c r="J83" i="8"/>
  <c r="J351" i="8" s="1"/>
  <c r="J44" i="8"/>
  <c r="J18" i="8"/>
  <c r="J17" i="8"/>
  <c r="J57" i="8"/>
  <c r="J19" i="8"/>
  <c r="J59" i="8"/>
  <c r="F369" i="8"/>
  <c r="F378" i="8" s="1"/>
  <c r="F96" i="8"/>
  <c r="F370" i="8" s="1"/>
  <c r="F379" i="8" s="1"/>
  <c r="F98" i="8"/>
  <c r="H60" i="4"/>
  <c r="H69" i="4"/>
  <c r="H337" i="4" s="1"/>
  <c r="H44" i="4"/>
  <c r="H25" i="4"/>
  <c r="H20" i="4"/>
  <c r="D98" i="4"/>
  <c r="D99" i="4" s="1"/>
  <c r="D105" i="4" s="1"/>
  <c r="D106" i="4" s="1"/>
  <c r="G61" i="4"/>
  <c r="H82" i="4"/>
  <c r="J36" i="4"/>
  <c r="J35" i="4"/>
  <c r="J34" i="4"/>
  <c r="J33" i="4"/>
  <c r="J31" i="4"/>
  <c r="J32" i="4"/>
  <c r="I3" i="4"/>
  <c r="I13" i="4" s="1"/>
  <c r="I14" i="4" s="1"/>
  <c r="I90" i="4"/>
  <c r="I86" i="4"/>
  <c r="I95" i="4"/>
  <c r="I363" i="4" s="1"/>
  <c r="I85" i="4"/>
  <c r="I93" i="4"/>
  <c r="I87" i="4"/>
  <c r="I94" i="4"/>
  <c r="I88" i="4"/>
  <c r="I91" i="4"/>
  <c r="I92" i="4"/>
  <c r="I89" i="4"/>
  <c r="J30" i="4"/>
  <c r="J27" i="4"/>
  <c r="J28" i="4"/>
  <c r="J29" i="4"/>
  <c r="J37" i="4"/>
  <c r="K3" i="8"/>
  <c r="H53" i="4"/>
  <c r="H13" i="4"/>
  <c r="H14" i="4" s="1"/>
  <c r="H55" i="4"/>
  <c r="H5" i="4"/>
  <c r="H15" i="4"/>
  <c r="H54" i="4"/>
  <c r="H6" i="4"/>
  <c r="J48" i="4"/>
  <c r="J52" i="4"/>
  <c r="I41" i="4"/>
  <c r="J50" i="4"/>
  <c r="I39" i="4"/>
  <c r="I40" i="4"/>
  <c r="J49" i="4"/>
  <c r="I43" i="4"/>
  <c r="J46" i="4"/>
  <c r="J47" i="4"/>
  <c r="I42" i="4"/>
  <c r="I2" i="4"/>
  <c r="I83" i="4" s="1"/>
  <c r="I351" i="4" s="1"/>
  <c r="H59" i="4"/>
  <c r="H58" i="4"/>
  <c r="H18" i="4"/>
  <c r="H57" i="4"/>
  <c r="H17" i="4"/>
  <c r="H19" i="4"/>
  <c r="Q8" i="4"/>
  <c r="F64" i="4"/>
  <c r="E68" i="4"/>
  <c r="K2" i="8"/>
  <c r="K20" i="8" s="1"/>
  <c r="J1" i="4"/>
  <c r="L1" i="8"/>
  <c r="E105" i="8" l="1"/>
  <c r="I64" i="8"/>
  <c r="I21" i="8" s="1"/>
  <c r="I22" i="8" s="1"/>
  <c r="I63" i="8" s="1"/>
  <c r="I65" i="8" s="1"/>
  <c r="H68" i="8"/>
  <c r="G369" i="8"/>
  <c r="G378" i="8" s="1"/>
  <c r="G98" i="8"/>
  <c r="G96" i="8"/>
  <c r="G370" i="8" s="1"/>
  <c r="G379" i="8" s="1"/>
  <c r="O8" i="8"/>
  <c r="F99" i="8"/>
  <c r="J61" i="8"/>
  <c r="E106" i="8"/>
  <c r="E107" i="8" s="1"/>
  <c r="K57" i="8"/>
  <c r="K69" i="8"/>
  <c r="K337" i="8" s="1"/>
  <c r="K83" i="8"/>
  <c r="K351" i="8" s="1"/>
  <c r="K44" i="8"/>
  <c r="K18" i="8"/>
  <c r="K58" i="8"/>
  <c r="K25" i="8"/>
  <c r="K17" i="8"/>
  <c r="K19" i="8"/>
  <c r="K59" i="8"/>
  <c r="K60" i="8"/>
  <c r="C288" i="8"/>
  <c r="C307" i="8" s="1"/>
  <c r="C347" i="8" s="1"/>
  <c r="C119" i="8"/>
  <c r="C118" i="8"/>
  <c r="E108" i="8"/>
  <c r="E109" i="8" s="1"/>
  <c r="K82" i="8"/>
  <c r="I60" i="4"/>
  <c r="I69" i="4"/>
  <c r="I337" i="4" s="1"/>
  <c r="I44" i="4"/>
  <c r="I25" i="4"/>
  <c r="I20" i="4"/>
  <c r="H61" i="4"/>
  <c r="F21" i="4"/>
  <c r="F22" i="4" s="1"/>
  <c r="F63" i="4" s="1"/>
  <c r="F65" i="4" s="1"/>
  <c r="I82" i="4"/>
  <c r="K34" i="4"/>
  <c r="K31" i="4"/>
  <c r="K32" i="4"/>
  <c r="K36" i="4"/>
  <c r="K35" i="4"/>
  <c r="K33" i="4"/>
  <c r="I5" i="4"/>
  <c r="I376" i="4"/>
  <c r="I55" i="4"/>
  <c r="I53" i="4"/>
  <c r="J3" i="4"/>
  <c r="J15" i="4" s="1"/>
  <c r="I6" i="4"/>
  <c r="I54" i="4"/>
  <c r="I15" i="4"/>
  <c r="J85" i="4"/>
  <c r="J91" i="4"/>
  <c r="J90" i="4"/>
  <c r="J95" i="4"/>
  <c r="J363" i="4" s="1"/>
  <c r="J93" i="4"/>
  <c r="J92" i="4"/>
  <c r="J88" i="4"/>
  <c r="J94" i="4"/>
  <c r="J89" i="4"/>
  <c r="J86" i="4"/>
  <c r="J87" i="4"/>
  <c r="K30" i="4"/>
  <c r="K29" i="4"/>
  <c r="K28" i="4"/>
  <c r="K27" i="4"/>
  <c r="K37" i="4"/>
  <c r="L3" i="8"/>
  <c r="K48" i="4"/>
  <c r="J40" i="4"/>
  <c r="K47" i="4"/>
  <c r="J39" i="4"/>
  <c r="K52" i="4"/>
  <c r="K50" i="4"/>
  <c r="K46" i="4"/>
  <c r="J41" i="4"/>
  <c r="J42" i="4"/>
  <c r="J43" i="4"/>
  <c r="K49" i="4"/>
  <c r="D108" i="4"/>
  <c r="D109" i="4" s="1"/>
  <c r="D111" i="4" s="1"/>
  <c r="E96" i="4"/>
  <c r="E98" i="4"/>
  <c r="D107" i="4"/>
  <c r="R8" i="4"/>
  <c r="J2" i="4"/>
  <c r="J83" i="4" s="1"/>
  <c r="J351" i="4" s="1"/>
  <c r="I18" i="4"/>
  <c r="I17" i="4"/>
  <c r="I59" i="4"/>
  <c r="I57" i="4"/>
  <c r="I58" i="4"/>
  <c r="I19" i="4"/>
  <c r="L2" i="8"/>
  <c r="L20" i="8" s="1"/>
  <c r="M1" i="8"/>
  <c r="K1" i="4"/>
  <c r="L82" i="8" l="1"/>
  <c r="K61" i="8"/>
  <c r="E111" i="8"/>
  <c r="E350" i="8"/>
  <c r="F104" i="8"/>
  <c r="F105" i="8"/>
  <c r="P8" i="8"/>
  <c r="G99" i="8"/>
  <c r="H369" i="8"/>
  <c r="H378" i="8" s="1"/>
  <c r="H98" i="8"/>
  <c r="H96" i="8"/>
  <c r="H370" i="8" s="1"/>
  <c r="H379" i="8" s="1"/>
  <c r="D115" i="8"/>
  <c r="C122" i="8"/>
  <c r="L57" i="8"/>
  <c r="L69" i="8"/>
  <c r="L337" i="8" s="1"/>
  <c r="L60" i="8"/>
  <c r="L83" i="8"/>
  <c r="L351" i="8" s="1"/>
  <c r="L44" i="8"/>
  <c r="L19" i="8"/>
  <c r="L58" i="8"/>
  <c r="L59" i="8"/>
  <c r="L18" i="8"/>
  <c r="L25" i="8"/>
  <c r="L17" i="8"/>
  <c r="I68" i="8"/>
  <c r="J64" i="8"/>
  <c r="J21" i="8" s="1"/>
  <c r="J22" i="8" s="1"/>
  <c r="J63" i="8" s="1"/>
  <c r="J65" i="8" s="1"/>
  <c r="J60" i="4"/>
  <c r="J69" i="4"/>
  <c r="J337" i="4" s="1"/>
  <c r="J44" i="4"/>
  <c r="J25" i="4"/>
  <c r="J20" i="4"/>
  <c r="I61" i="4"/>
  <c r="G64" i="4"/>
  <c r="F68" i="4"/>
  <c r="F96" i="4" s="1"/>
  <c r="J82" i="4"/>
  <c r="J13" i="4"/>
  <c r="J14" i="4" s="1"/>
  <c r="K3" i="4"/>
  <c r="K54" i="4" s="1"/>
  <c r="J55" i="4"/>
  <c r="L36" i="4"/>
  <c r="L32" i="4"/>
  <c r="L31" i="4"/>
  <c r="L34" i="4"/>
  <c r="L35" i="4"/>
  <c r="L33" i="4"/>
  <c r="J53" i="4"/>
  <c r="J6" i="4"/>
  <c r="J5" i="4"/>
  <c r="J54" i="4"/>
  <c r="J376" i="4"/>
  <c r="K85" i="4"/>
  <c r="K91" i="4"/>
  <c r="K95" i="4"/>
  <c r="K363" i="4" s="1"/>
  <c r="K92" i="4"/>
  <c r="K90" i="4"/>
  <c r="K89" i="4"/>
  <c r="K88" i="4"/>
  <c r="K94" i="4"/>
  <c r="K86" i="4"/>
  <c r="K87" i="4"/>
  <c r="K93" i="4"/>
  <c r="L30" i="4"/>
  <c r="L28" i="4"/>
  <c r="L27" i="4"/>
  <c r="L29" i="4"/>
  <c r="L37" i="4"/>
  <c r="L47" i="4"/>
  <c r="L50" i="4"/>
  <c r="K39" i="4"/>
  <c r="L49" i="4"/>
  <c r="L46" i="4"/>
  <c r="L48" i="4"/>
  <c r="L52" i="4"/>
  <c r="K40" i="4"/>
  <c r="K41" i="4"/>
  <c r="K43" i="4"/>
  <c r="K42" i="4"/>
  <c r="M3" i="8"/>
  <c r="D112" i="4"/>
  <c r="D350" i="4"/>
  <c r="E104" i="4"/>
  <c r="E99" i="4"/>
  <c r="J58" i="4"/>
  <c r="J59" i="4"/>
  <c r="J57" i="4"/>
  <c r="J17" i="4"/>
  <c r="J19" i="4"/>
  <c r="J18" i="4"/>
  <c r="K2" i="4"/>
  <c r="K83" i="4" s="1"/>
  <c r="K351" i="4" s="1"/>
  <c r="S8" i="4"/>
  <c r="M2" i="8"/>
  <c r="N1" i="8"/>
  <c r="L1" i="4"/>
  <c r="M82" i="8" l="1"/>
  <c r="M20" i="8"/>
  <c r="Q8" i="8"/>
  <c r="I369" i="8"/>
  <c r="I378" i="8" s="1"/>
  <c r="I96" i="8"/>
  <c r="I370" i="8" s="1"/>
  <c r="I379" i="8" s="1"/>
  <c r="I98" i="8"/>
  <c r="C312" i="8"/>
  <c r="C331" i="8" s="1"/>
  <c r="C360" i="8" s="1"/>
  <c r="F106" i="8"/>
  <c r="F107" i="8" s="1"/>
  <c r="L61" i="8"/>
  <c r="D120" i="8"/>
  <c r="D121" i="8"/>
  <c r="M69" i="8"/>
  <c r="M337" i="8" s="1"/>
  <c r="M83" i="8"/>
  <c r="M351" i="8" s="1"/>
  <c r="M58" i="8"/>
  <c r="M44" i="8"/>
  <c r="M19" i="8"/>
  <c r="M59" i="8"/>
  <c r="M17" i="8"/>
  <c r="M57" i="8"/>
  <c r="M25" i="8"/>
  <c r="M18" i="8"/>
  <c r="M60" i="8"/>
  <c r="H99" i="8"/>
  <c r="E112" i="8"/>
  <c r="D116" i="8" s="1"/>
  <c r="J68" i="8"/>
  <c r="K64" i="8"/>
  <c r="K21" i="8" s="1"/>
  <c r="K22" i="8" s="1"/>
  <c r="K63" i="8" s="1"/>
  <c r="K65" i="8" s="1"/>
  <c r="F108" i="8"/>
  <c r="F109" i="8" s="1"/>
  <c r="C123" i="8"/>
  <c r="K60" i="4"/>
  <c r="K69" i="4"/>
  <c r="K337" i="4" s="1"/>
  <c r="K44" i="4"/>
  <c r="K25" i="4"/>
  <c r="K20" i="4"/>
  <c r="F98" i="4"/>
  <c r="F99" i="4" s="1"/>
  <c r="J61" i="4"/>
  <c r="G21" i="4"/>
  <c r="G22" i="4" s="1"/>
  <c r="G63" i="4" s="1"/>
  <c r="G65" i="4" s="1"/>
  <c r="K82" i="4"/>
  <c r="L3" i="4"/>
  <c r="L6" i="4" s="1"/>
  <c r="K376" i="4"/>
  <c r="K55" i="4"/>
  <c r="K13" i="4"/>
  <c r="K14" i="4" s="1"/>
  <c r="K15" i="4"/>
  <c r="K6" i="4"/>
  <c r="K5" i="4"/>
  <c r="K53" i="4"/>
  <c r="M34" i="4"/>
  <c r="M36" i="4"/>
  <c r="M32" i="4"/>
  <c r="M35" i="4"/>
  <c r="M33" i="4"/>
  <c r="M31" i="4"/>
  <c r="C116" i="4"/>
  <c r="C119" i="4" s="1"/>
  <c r="L85" i="4"/>
  <c r="L86" i="4"/>
  <c r="L93" i="4"/>
  <c r="L92" i="4"/>
  <c r="L95" i="4"/>
  <c r="L363" i="4" s="1"/>
  <c r="L88" i="4"/>
  <c r="L90" i="4"/>
  <c r="L87" i="4"/>
  <c r="L94" i="4"/>
  <c r="L91" i="4"/>
  <c r="L89" i="4"/>
  <c r="M30" i="4"/>
  <c r="M28" i="4"/>
  <c r="M27" i="4"/>
  <c r="M29" i="4"/>
  <c r="M37" i="4"/>
  <c r="E105" i="4"/>
  <c r="E106" i="4" s="1"/>
  <c r="M47" i="4"/>
  <c r="L39" i="4"/>
  <c r="M46" i="4"/>
  <c r="M50" i="4"/>
  <c r="M49" i="4"/>
  <c r="L42" i="4"/>
  <c r="L43" i="4"/>
  <c r="M52" i="4"/>
  <c r="L40" i="4"/>
  <c r="L41" i="4"/>
  <c r="M48" i="4"/>
  <c r="N3" i="8"/>
  <c r="K18" i="4"/>
  <c r="K59" i="4"/>
  <c r="K17" i="4"/>
  <c r="K19" i="4"/>
  <c r="K58" i="4"/>
  <c r="K57" i="4"/>
  <c r="L2" i="4"/>
  <c r="L83" i="4" s="1"/>
  <c r="L351" i="4" s="1"/>
  <c r="T8" i="4"/>
  <c r="N2" i="8"/>
  <c r="N20" i="8" s="1"/>
  <c r="O1" i="8"/>
  <c r="M1" i="4"/>
  <c r="C369" i="4"/>
  <c r="F350" i="8" l="1"/>
  <c r="G104" i="8"/>
  <c r="J369" i="8"/>
  <c r="J378" i="8" s="1"/>
  <c r="J96" i="8"/>
  <c r="J370" i="8" s="1"/>
  <c r="J379" i="8" s="1"/>
  <c r="J98" i="8"/>
  <c r="D119" i="8"/>
  <c r="D288" i="8"/>
  <c r="D307" i="8" s="1"/>
  <c r="D347" i="8" s="1"/>
  <c r="K68" i="8"/>
  <c r="L64" i="8"/>
  <c r="L21" i="8" s="1"/>
  <c r="L22" i="8" s="1"/>
  <c r="L63" i="8" s="1"/>
  <c r="L65" i="8" s="1"/>
  <c r="I99" i="8"/>
  <c r="N83" i="8"/>
  <c r="N351" i="8" s="1"/>
  <c r="N58" i="8"/>
  <c r="N44" i="8"/>
  <c r="N19" i="8"/>
  <c r="N18" i="8"/>
  <c r="N57" i="8"/>
  <c r="N59" i="8"/>
  <c r="N25" i="8"/>
  <c r="N60" i="8"/>
  <c r="N69" i="8"/>
  <c r="N337" i="8" s="1"/>
  <c r="N17" i="8"/>
  <c r="C125" i="8"/>
  <c r="M61" i="8"/>
  <c r="R8" i="8"/>
  <c r="F111" i="8"/>
  <c r="D117" i="8"/>
  <c r="D118" i="8" s="1"/>
  <c r="N82" i="8"/>
  <c r="L60" i="4"/>
  <c r="L69" i="4"/>
  <c r="L337" i="4" s="1"/>
  <c r="L44" i="4"/>
  <c r="L25" i="4"/>
  <c r="L20" i="4"/>
  <c r="K61" i="4"/>
  <c r="H64" i="4"/>
  <c r="G68" i="4"/>
  <c r="L13" i="4"/>
  <c r="L14" i="4" s="1"/>
  <c r="L55" i="4"/>
  <c r="L5" i="4"/>
  <c r="L53" i="4"/>
  <c r="L15" i="4"/>
  <c r="L54" i="4"/>
  <c r="M3" i="4"/>
  <c r="M376" i="4" s="1"/>
  <c r="L376" i="4"/>
  <c r="L82" i="4"/>
  <c r="N36" i="4"/>
  <c r="N33" i="4"/>
  <c r="N32" i="4"/>
  <c r="N31" i="4"/>
  <c r="N35" i="4"/>
  <c r="N34" i="4"/>
  <c r="C118" i="4"/>
  <c r="C122" i="4" s="1"/>
  <c r="C288" i="4"/>
  <c r="C307" i="4" s="1"/>
  <c r="C347" i="4" s="1"/>
  <c r="M95" i="4"/>
  <c r="M363" i="4" s="1"/>
  <c r="M91" i="4"/>
  <c r="M87" i="4"/>
  <c r="M94" i="4"/>
  <c r="M90" i="4"/>
  <c r="M86" i="4"/>
  <c r="M85" i="4"/>
  <c r="M93" i="4"/>
  <c r="M92" i="4"/>
  <c r="M89" i="4"/>
  <c r="M88" i="4"/>
  <c r="N30" i="4"/>
  <c r="N27" i="4"/>
  <c r="N28" i="4"/>
  <c r="N29" i="4"/>
  <c r="N37" i="4"/>
  <c r="O3" i="8"/>
  <c r="N46" i="4"/>
  <c r="N49" i="4"/>
  <c r="M39" i="4"/>
  <c r="M42" i="4"/>
  <c r="M40" i="4"/>
  <c r="N48" i="4"/>
  <c r="N52" i="4"/>
  <c r="N47" i="4"/>
  <c r="M43" i="4"/>
  <c r="N50" i="4"/>
  <c r="M41" i="4"/>
  <c r="E107" i="4"/>
  <c r="U8" i="4"/>
  <c r="E108" i="4"/>
  <c r="E109" i="4" s="1"/>
  <c r="L19" i="4"/>
  <c r="L57" i="4"/>
  <c r="L59" i="4"/>
  <c r="L17" i="4"/>
  <c r="L18" i="4"/>
  <c r="L58" i="4"/>
  <c r="M2" i="4"/>
  <c r="M83" i="4" s="1"/>
  <c r="M351" i="4" s="1"/>
  <c r="O2" i="8"/>
  <c r="O20" i="8" s="1"/>
  <c r="P1" i="8"/>
  <c r="N1" i="4"/>
  <c r="C370" i="4"/>
  <c r="C379" i="4" s="1"/>
  <c r="C378" i="4"/>
  <c r="D369" i="4"/>
  <c r="D370" i="4"/>
  <c r="D379" i="4" s="1"/>
  <c r="O82" i="8" l="1"/>
  <c r="N61" i="8"/>
  <c r="K369" i="8"/>
  <c r="K378" i="8" s="1"/>
  <c r="K96" i="8"/>
  <c r="K370" i="8" s="1"/>
  <c r="K379" i="8" s="1"/>
  <c r="K98" i="8"/>
  <c r="L68" i="8"/>
  <c r="M64" i="8"/>
  <c r="M21" i="8" s="1"/>
  <c r="M22" i="8" s="1"/>
  <c r="M63" i="8" s="1"/>
  <c r="M65" i="8" s="1"/>
  <c r="F112" i="8"/>
  <c r="E115" i="8"/>
  <c r="D122" i="8"/>
  <c r="S8" i="8"/>
  <c r="J99" i="8"/>
  <c r="O83" i="8"/>
  <c r="O351" i="8" s="1"/>
  <c r="O58" i="8"/>
  <c r="O44" i="8"/>
  <c r="O60" i="8"/>
  <c r="O19" i="8"/>
  <c r="O59" i="8"/>
  <c r="O18" i="8"/>
  <c r="O69" i="8"/>
  <c r="O337" i="8" s="1"/>
  <c r="O57" i="8"/>
  <c r="O17" i="8"/>
  <c r="O25" i="8"/>
  <c r="C126" i="8"/>
  <c r="C127" i="8" s="1"/>
  <c r="C128" i="8" s="1"/>
  <c r="G105" i="8"/>
  <c r="M60" i="4"/>
  <c r="M69" i="4"/>
  <c r="M337" i="4" s="1"/>
  <c r="M44" i="4"/>
  <c r="M25" i="4"/>
  <c r="M20" i="4"/>
  <c r="L61" i="4"/>
  <c r="G98" i="4"/>
  <c r="G99" i="4" s="1"/>
  <c r="G96" i="4"/>
  <c r="H21" i="4"/>
  <c r="H22" i="4" s="1"/>
  <c r="H63" i="4" s="1"/>
  <c r="H65" i="4" s="1"/>
  <c r="M13" i="4"/>
  <c r="M14" i="4" s="1"/>
  <c r="M15" i="4"/>
  <c r="M54" i="4"/>
  <c r="M6" i="4"/>
  <c r="M55" i="4"/>
  <c r="M5" i="4"/>
  <c r="M53" i="4"/>
  <c r="N3" i="4"/>
  <c r="O3" i="4" s="1"/>
  <c r="O55" i="4" s="1"/>
  <c r="M82" i="4"/>
  <c r="O34" i="4"/>
  <c r="O35" i="4"/>
  <c r="O32" i="4"/>
  <c r="O33" i="4"/>
  <c r="O36" i="4"/>
  <c r="O31" i="4"/>
  <c r="D115" i="4"/>
  <c r="D121" i="4" s="1"/>
  <c r="N92" i="4"/>
  <c r="N88" i="4"/>
  <c r="N95" i="4"/>
  <c r="N363" i="4" s="1"/>
  <c r="N91" i="4"/>
  <c r="N87" i="4"/>
  <c r="N86" i="4"/>
  <c r="N85" i="4"/>
  <c r="N94" i="4"/>
  <c r="N90" i="4"/>
  <c r="N93" i="4"/>
  <c r="N89" i="4"/>
  <c r="O30" i="4"/>
  <c r="O27" i="4"/>
  <c r="O29" i="4"/>
  <c r="O28" i="4"/>
  <c r="O37" i="4"/>
  <c r="N376" i="4"/>
  <c r="N13" i="4"/>
  <c r="N14" i="4" s="1"/>
  <c r="O46" i="4"/>
  <c r="O49" i="4"/>
  <c r="N42" i="4"/>
  <c r="N41" i="4"/>
  <c r="N39" i="4"/>
  <c r="O52" i="4"/>
  <c r="O47" i="4"/>
  <c r="N40" i="4"/>
  <c r="N43" i="4"/>
  <c r="O48" i="4"/>
  <c r="O50" i="4"/>
  <c r="P3" i="8"/>
  <c r="E111" i="4"/>
  <c r="E350" i="4"/>
  <c r="F104" i="4"/>
  <c r="C312" i="4"/>
  <c r="C331" i="4" s="1"/>
  <c r="V8" i="4"/>
  <c r="M59" i="4"/>
  <c r="M58" i="4"/>
  <c r="M19" i="4"/>
  <c r="M17" i="4"/>
  <c r="M18" i="4"/>
  <c r="M57" i="4"/>
  <c r="N2" i="4"/>
  <c r="N83" i="4" s="1"/>
  <c r="N351" i="4" s="1"/>
  <c r="C123" i="4"/>
  <c r="P2" i="8"/>
  <c r="O1" i="4"/>
  <c r="Q1" i="8"/>
  <c r="P3" i="4"/>
  <c r="O376" i="4"/>
  <c r="D378" i="4"/>
  <c r="E369" i="4"/>
  <c r="E378" i="4" s="1"/>
  <c r="E370" i="4"/>
  <c r="E379" i="4" s="1"/>
  <c r="P82" i="8" l="1"/>
  <c r="P20" i="8"/>
  <c r="G106" i="8"/>
  <c r="G107" i="8" s="1"/>
  <c r="E116" i="8"/>
  <c r="E117" i="8" s="1"/>
  <c r="E118" i="8" s="1"/>
  <c r="C129" i="8"/>
  <c r="E119" i="8"/>
  <c r="E288" i="8"/>
  <c r="E307" i="8" s="1"/>
  <c r="E347" i="8" s="1"/>
  <c r="G108" i="8"/>
  <c r="G109" i="8" s="1"/>
  <c r="O61" i="8"/>
  <c r="K99" i="8"/>
  <c r="E120" i="8"/>
  <c r="E121" i="8"/>
  <c r="L369" i="8"/>
  <c r="L378" i="8" s="1"/>
  <c r="L96" i="8"/>
  <c r="L370" i="8" s="1"/>
  <c r="L379" i="8" s="1"/>
  <c r="L98" i="8"/>
  <c r="T8" i="8"/>
  <c r="P60" i="8"/>
  <c r="P44" i="8"/>
  <c r="P83" i="8"/>
  <c r="P351" i="8" s="1"/>
  <c r="P18" i="8"/>
  <c r="P57" i="8"/>
  <c r="P59" i="8"/>
  <c r="P17" i="8"/>
  <c r="P69" i="8"/>
  <c r="P337" i="8" s="1"/>
  <c r="P25" i="8"/>
  <c r="P19" i="8"/>
  <c r="P58" i="8"/>
  <c r="M68" i="8"/>
  <c r="N64" i="8"/>
  <c r="N21" i="8" s="1"/>
  <c r="N22" i="8" s="1"/>
  <c r="N63" i="8" s="1"/>
  <c r="N65" i="8" s="1"/>
  <c r="D312" i="8"/>
  <c r="D331" i="8" s="1"/>
  <c r="D360" i="8" s="1"/>
  <c r="D123" i="8"/>
  <c r="N60" i="4"/>
  <c r="N69" i="4"/>
  <c r="N337" i="4" s="1"/>
  <c r="N44" i="4"/>
  <c r="N25" i="4"/>
  <c r="N20" i="4"/>
  <c r="M61" i="4"/>
  <c r="N54" i="4"/>
  <c r="N53" i="4"/>
  <c r="I64" i="4"/>
  <c r="H68" i="4"/>
  <c r="H369" i="4" s="1"/>
  <c r="H378" i="4" s="1"/>
  <c r="O53" i="4"/>
  <c r="N5" i="4"/>
  <c r="N15" i="4"/>
  <c r="O13" i="4"/>
  <c r="O14" i="4" s="1"/>
  <c r="O5" i="4"/>
  <c r="O15" i="4"/>
  <c r="O6" i="4"/>
  <c r="N6" i="4"/>
  <c r="O54" i="4"/>
  <c r="N55" i="4"/>
  <c r="N82" i="4"/>
  <c r="F105" i="4"/>
  <c r="F106" i="4" s="1"/>
  <c r="D120" i="4"/>
  <c r="P36" i="4"/>
  <c r="P34" i="4"/>
  <c r="P35" i="4"/>
  <c r="P33" i="4"/>
  <c r="P32" i="4"/>
  <c r="P31" i="4"/>
  <c r="O92" i="4"/>
  <c r="O93" i="4"/>
  <c r="O89" i="4"/>
  <c r="O85" i="4"/>
  <c r="O88" i="4"/>
  <c r="O91" i="4"/>
  <c r="O95" i="4"/>
  <c r="O363" i="4" s="1"/>
  <c r="O87" i="4"/>
  <c r="O86" i="4"/>
  <c r="O94" i="4"/>
  <c r="O90" i="4"/>
  <c r="P30" i="4"/>
  <c r="P29" i="4"/>
  <c r="P28" i="4"/>
  <c r="P27" i="4"/>
  <c r="P37" i="4"/>
  <c r="Q3" i="8"/>
  <c r="P52" i="4"/>
  <c r="P53" i="4" s="1"/>
  <c r="P46" i="4"/>
  <c r="O40" i="4"/>
  <c r="O41" i="4"/>
  <c r="P50" i="4"/>
  <c r="P47" i="4"/>
  <c r="O42" i="4"/>
  <c r="O43" i="4"/>
  <c r="P48" i="4"/>
  <c r="O39" i="4"/>
  <c r="P49" i="4"/>
  <c r="P55" i="4"/>
  <c r="P54" i="4"/>
  <c r="P6" i="4"/>
  <c r="P15" i="4"/>
  <c r="P13" i="4"/>
  <c r="P14" i="4" s="1"/>
  <c r="P5" i="4"/>
  <c r="C125" i="4"/>
  <c r="W8" i="4"/>
  <c r="N19" i="4"/>
  <c r="N59" i="4"/>
  <c r="N18" i="4"/>
  <c r="N58" i="4"/>
  <c r="N17" i="4"/>
  <c r="N57" i="4"/>
  <c r="O2" i="4"/>
  <c r="O83" i="4" s="1"/>
  <c r="O351" i="4" s="1"/>
  <c r="E112" i="4"/>
  <c r="D116" i="4" s="1"/>
  <c r="D119" i="4" s="1"/>
  <c r="Q2" i="8"/>
  <c r="Q20" i="8" s="1"/>
  <c r="R1" i="8"/>
  <c r="P1" i="4"/>
  <c r="P376" i="4"/>
  <c r="Q3" i="4"/>
  <c r="F369" i="4"/>
  <c r="F378" i="4" s="1"/>
  <c r="F370" i="4"/>
  <c r="F379" i="4" s="1"/>
  <c r="G350" i="8" l="1"/>
  <c r="H104" i="8"/>
  <c r="F115" i="8"/>
  <c r="E122" i="8"/>
  <c r="G111" i="8"/>
  <c r="L99" i="8"/>
  <c r="U8" i="8"/>
  <c r="P61" i="8"/>
  <c r="Q60" i="8"/>
  <c r="Q59" i="8"/>
  <c r="Q83" i="8"/>
  <c r="Q351" i="8" s="1"/>
  <c r="Q18" i="8"/>
  <c r="Q58" i="8"/>
  <c r="Q17" i="8"/>
  <c r="Q57" i="8"/>
  <c r="Q25" i="8"/>
  <c r="Q69" i="8"/>
  <c r="Q337" i="8" s="1"/>
  <c r="Q44" i="8"/>
  <c r="Q19" i="8"/>
  <c r="D125" i="8"/>
  <c r="H105" i="8"/>
  <c r="N68" i="8"/>
  <c r="O64" i="8"/>
  <c r="O21" i="8" s="1"/>
  <c r="O22" i="8" s="1"/>
  <c r="O63" i="8" s="1"/>
  <c r="O65" i="8" s="1"/>
  <c r="M369" i="8"/>
  <c r="M378" i="8" s="1"/>
  <c r="M98" i="8"/>
  <c r="M96" i="8"/>
  <c r="M370" i="8" s="1"/>
  <c r="M379" i="8" s="1"/>
  <c r="Q82" i="8"/>
  <c r="O60" i="4"/>
  <c r="O69" i="4"/>
  <c r="O337" i="4" s="1"/>
  <c r="O44" i="4"/>
  <c r="O25" i="4"/>
  <c r="O20" i="4"/>
  <c r="N61" i="4"/>
  <c r="H98" i="4"/>
  <c r="H99" i="4" s="1"/>
  <c r="H96" i="4"/>
  <c r="H370" i="4" s="1"/>
  <c r="H379" i="4" s="1"/>
  <c r="I21" i="4"/>
  <c r="I22" i="4" s="1"/>
  <c r="I63" i="4" s="1"/>
  <c r="I65" i="4" s="1"/>
  <c r="O82" i="4"/>
  <c r="Q34" i="4"/>
  <c r="Q31" i="4"/>
  <c r="Q33" i="4"/>
  <c r="Q36" i="4"/>
  <c r="Q35" i="4"/>
  <c r="Q32" i="4"/>
  <c r="P93" i="4"/>
  <c r="P92" i="4"/>
  <c r="P88" i="4"/>
  <c r="P94" i="4"/>
  <c r="P91" i="4"/>
  <c r="P90" i="4"/>
  <c r="P85" i="4"/>
  <c r="P86" i="4"/>
  <c r="P95" i="4"/>
  <c r="P363" i="4" s="1"/>
  <c r="P89" i="4"/>
  <c r="P87" i="4"/>
  <c r="D288" i="4"/>
  <c r="D307" i="4" s="1"/>
  <c r="D347" i="4" s="1"/>
  <c r="D117" i="4"/>
  <c r="D118" i="4" s="1"/>
  <c r="D122" i="4" s="1"/>
  <c r="P351" i="4"/>
  <c r="Q30" i="4"/>
  <c r="Q29" i="4"/>
  <c r="Q28" i="4"/>
  <c r="Q27" i="4"/>
  <c r="Q37" i="4"/>
  <c r="R3" i="8"/>
  <c r="Q55" i="4"/>
  <c r="Q15" i="4"/>
  <c r="Q6" i="4"/>
  <c r="Q13" i="4"/>
  <c r="Q14" i="4" s="1"/>
  <c r="Q5" i="4"/>
  <c r="Q54" i="4"/>
  <c r="Q52" i="4"/>
  <c r="Q53" i="4" s="1"/>
  <c r="Q50" i="4"/>
  <c r="P43" i="4"/>
  <c r="Q46" i="4"/>
  <c r="P40" i="4"/>
  <c r="Q48" i="4"/>
  <c r="Q47" i="4"/>
  <c r="P41" i="4"/>
  <c r="P39" i="4"/>
  <c r="Q49" i="4"/>
  <c r="P42" i="4"/>
  <c r="F108" i="4"/>
  <c r="F109" i="4" s="1"/>
  <c r="F107" i="4"/>
  <c r="X8" i="4"/>
  <c r="O59" i="4"/>
  <c r="O58" i="4"/>
  <c r="O57" i="4"/>
  <c r="O17" i="4"/>
  <c r="O19" i="4"/>
  <c r="O18" i="4"/>
  <c r="P2" i="4"/>
  <c r="P83" i="4" s="1"/>
  <c r="C126" i="4"/>
  <c r="C127" i="4" s="1"/>
  <c r="C128" i="4" s="1"/>
  <c r="C129" i="4" s="1"/>
  <c r="R2" i="8"/>
  <c r="R20" i="8" s="1"/>
  <c r="S1" i="8"/>
  <c r="Q1" i="4"/>
  <c r="Q376" i="4"/>
  <c r="R3" i="4"/>
  <c r="G370" i="4"/>
  <c r="G379" i="4" s="1"/>
  <c r="G369" i="4"/>
  <c r="H106" i="8" l="1"/>
  <c r="H107" i="8" s="1"/>
  <c r="Q61" i="8"/>
  <c r="V8" i="8"/>
  <c r="R60" i="8"/>
  <c r="R44" i="8"/>
  <c r="R69" i="8"/>
  <c r="R337" i="8" s="1"/>
  <c r="R59" i="8"/>
  <c r="R83" i="8"/>
  <c r="R351" i="8" s="1"/>
  <c r="R17" i="8"/>
  <c r="R57" i="8"/>
  <c r="R58" i="8"/>
  <c r="R25" i="8"/>
  <c r="R18" i="8"/>
  <c r="R19" i="8"/>
  <c r="P64" i="8"/>
  <c r="P21" i="8" s="1"/>
  <c r="P22" i="8" s="1"/>
  <c r="P63" i="8" s="1"/>
  <c r="P65" i="8" s="1"/>
  <c r="O68" i="8"/>
  <c r="N369" i="8"/>
  <c r="N378" i="8" s="1"/>
  <c r="N96" i="8"/>
  <c r="N370" i="8" s="1"/>
  <c r="N379" i="8" s="1"/>
  <c r="N98" i="8"/>
  <c r="H108" i="8"/>
  <c r="H109" i="8" s="1"/>
  <c r="D126" i="8"/>
  <c r="D127" i="8" s="1"/>
  <c r="D128" i="8" s="1"/>
  <c r="G112" i="8"/>
  <c r="F116" i="8" s="1"/>
  <c r="F117" i="8" s="1"/>
  <c r="F118" i="8" s="1"/>
  <c r="R82" i="8"/>
  <c r="E123" i="8"/>
  <c r="E312" i="8"/>
  <c r="E331" i="8" s="1"/>
  <c r="E360" i="8" s="1"/>
  <c r="M99" i="8"/>
  <c r="F120" i="8"/>
  <c r="F121" i="8"/>
  <c r="P60" i="4"/>
  <c r="P69" i="4"/>
  <c r="P337" i="4" s="1"/>
  <c r="P44" i="4"/>
  <c r="P25" i="4"/>
  <c r="P20" i="4"/>
  <c r="O61" i="4"/>
  <c r="I68" i="4"/>
  <c r="I369" i="4" s="1"/>
  <c r="I378" i="4" s="1"/>
  <c r="J64" i="4"/>
  <c r="P82" i="4"/>
  <c r="R36" i="4"/>
  <c r="R34" i="4"/>
  <c r="R33" i="4"/>
  <c r="R31" i="4"/>
  <c r="R32" i="4"/>
  <c r="R35" i="4"/>
  <c r="Q91" i="4"/>
  <c r="Q85" i="4"/>
  <c r="Q92" i="4"/>
  <c r="Q89" i="4"/>
  <c r="Q93" i="4"/>
  <c r="Q95" i="4"/>
  <c r="Q363" i="4" s="1"/>
  <c r="Q87" i="4"/>
  <c r="Q90" i="4"/>
  <c r="Q94" i="4"/>
  <c r="Q88" i="4"/>
  <c r="Q86" i="4"/>
  <c r="R30" i="4"/>
  <c r="R29" i="4"/>
  <c r="R28" i="4"/>
  <c r="R27" i="4"/>
  <c r="R37" i="4"/>
  <c r="S3" i="8"/>
  <c r="R54" i="4"/>
  <c r="R55" i="4"/>
  <c r="R15" i="4"/>
  <c r="R13" i="4"/>
  <c r="R14" i="4" s="1"/>
  <c r="R6" i="4"/>
  <c r="R5" i="4"/>
  <c r="R52" i="4"/>
  <c r="R53" i="4" s="1"/>
  <c r="R50" i="4"/>
  <c r="Q42" i="4"/>
  <c r="Q40" i="4"/>
  <c r="R48" i="4"/>
  <c r="Q41" i="4"/>
  <c r="R47" i="4"/>
  <c r="Q43" i="4"/>
  <c r="R46" i="4"/>
  <c r="Q39" i="4"/>
  <c r="R49" i="4"/>
  <c r="F111" i="4"/>
  <c r="F350" i="4"/>
  <c r="G104" i="4"/>
  <c r="E115" i="4"/>
  <c r="Y8" i="4"/>
  <c r="P18" i="4"/>
  <c r="P58" i="4"/>
  <c r="P57" i="4"/>
  <c r="P17" i="4"/>
  <c r="P59" i="4"/>
  <c r="P19" i="4"/>
  <c r="Q2" i="4"/>
  <c r="Q83" i="4" s="1"/>
  <c r="Q351" i="4" s="1"/>
  <c r="S2" i="8"/>
  <c r="S20" i="8" s="1"/>
  <c r="T1" i="8"/>
  <c r="R1" i="4"/>
  <c r="R376" i="4"/>
  <c r="S3" i="4"/>
  <c r="G378" i="4"/>
  <c r="H350" i="8" l="1"/>
  <c r="I104" i="8"/>
  <c r="S82" i="8"/>
  <c r="H111" i="8"/>
  <c r="G115" i="8"/>
  <c r="F122" i="8"/>
  <c r="N99" i="8"/>
  <c r="E125" i="8"/>
  <c r="F119" i="8"/>
  <c r="F288" i="8"/>
  <c r="F307" i="8" s="1"/>
  <c r="F347" i="8" s="1"/>
  <c r="O369" i="8"/>
  <c r="O378" i="8" s="1"/>
  <c r="O98" i="8"/>
  <c r="O96" i="8"/>
  <c r="O370" i="8" s="1"/>
  <c r="O379" i="8" s="1"/>
  <c r="D129" i="8"/>
  <c r="C133" i="8" s="1"/>
  <c r="R61" i="8"/>
  <c r="W8" i="8"/>
  <c r="P68" i="8"/>
  <c r="Q64" i="8"/>
  <c r="Q21" i="8" s="1"/>
  <c r="Q22" i="8" s="1"/>
  <c r="Q63" i="8" s="1"/>
  <c r="Q65" i="8" s="1"/>
  <c r="S60" i="8"/>
  <c r="S44" i="8"/>
  <c r="S59" i="8"/>
  <c r="S83" i="8"/>
  <c r="S351" i="8" s="1"/>
  <c r="S17" i="8"/>
  <c r="S69" i="8"/>
  <c r="S337" i="8" s="1"/>
  <c r="S57" i="8"/>
  <c r="S58" i="8"/>
  <c r="S25" i="8"/>
  <c r="S18" i="8"/>
  <c r="S19" i="8"/>
  <c r="I105" i="8"/>
  <c r="Q60" i="4"/>
  <c r="Q69" i="4"/>
  <c r="Q337" i="4" s="1"/>
  <c r="Q44" i="4"/>
  <c r="Q25" i="4"/>
  <c r="Q20" i="4"/>
  <c r="P61" i="4"/>
  <c r="J21" i="4"/>
  <c r="J22" i="4" s="1"/>
  <c r="J63" i="4" s="1"/>
  <c r="J65" i="4" s="1"/>
  <c r="I96" i="4"/>
  <c r="I370" i="4" s="1"/>
  <c r="I379" i="4" s="1"/>
  <c r="I98" i="4"/>
  <c r="I99" i="4" s="1"/>
  <c r="Q82" i="4"/>
  <c r="G105" i="4"/>
  <c r="G106" i="4" s="1"/>
  <c r="S31" i="4"/>
  <c r="S35" i="4"/>
  <c r="S33" i="4"/>
  <c r="S36" i="4"/>
  <c r="S32" i="4"/>
  <c r="S34" i="4"/>
  <c r="R91" i="4"/>
  <c r="R94" i="4"/>
  <c r="R93" i="4"/>
  <c r="R85" i="4"/>
  <c r="R90" i="4"/>
  <c r="R95" i="4"/>
  <c r="R363" i="4" s="1"/>
  <c r="R87" i="4"/>
  <c r="R86" i="4"/>
  <c r="R88" i="4"/>
  <c r="R89" i="4"/>
  <c r="R92" i="4"/>
  <c r="D312" i="4"/>
  <c r="S30" i="4"/>
  <c r="S27" i="4"/>
  <c r="S29" i="4"/>
  <c r="S28" i="4"/>
  <c r="S37" i="4"/>
  <c r="S50" i="4"/>
  <c r="R43" i="4"/>
  <c r="S49" i="4"/>
  <c r="R41" i="4"/>
  <c r="S48" i="4"/>
  <c r="S52" i="4"/>
  <c r="S53" i="4" s="1"/>
  <c r="R39" i="4"/>
  <c r="S47" i="4"/>
  <c r="S46" i="4"/>
  <c r="R40" i="4"/>
  <c r="R42" i="4"/>
  <c r="T3" i="8"/>
  <c r="S55" i="4"/>
  <c r="S13" i="4"/>
  <c r="S54" i="4"/>
  <c r="S15" i="4"/>
  <c r="S5" i="4"/>
  <c r="S6" i="4"/>
  <c r="Z8" i="4"/>
  <c r="E120" i="4"/>
  <c r="E121" i="4"/>
  <c r="D123" i="4"/>
  <c r="Q58" i="4"/>
  <c r="Q57" i="4"/>
  <c r="Q17" i="4"/>
  <c r="Q59" i="4"/>
  <c r="Q19" i="4"/>
  <c r="Q18" i="4"/>
  <c r="R2" i="4"/>
  <c r="R83" i="4" s="1"/>
  <c r="R351" i="4" s="1"/>
  <c r="F112" i="4"/>
  <c r="E116" i="4" s="1"/>
  <c r="E119" i="4" s="1"/>
  <c r="T2" i="8"/>
  <c r="T20" i="8" s="1"/>
  <c r="U1" i="8"/>
  <c r="S1" i="4"/>
  <c r="T3" i="4"/>
  <c r="S376" i="4"/>
  <c r="F123" i="8" l="1"/>
  <c r="S61" i="8"/>
  <c r="F125" i="8"/>
  <c r="T59" i="8"/>
  <c r="T83" i="8"/>
  <c r="T351" i="8" s="1"/>
  <c r="T60" i="8"/>
  <c r="T57" i="8"/>
  <c r="T58" i="8"/>
  <c r="T25" i="8"/>
  <c r="T69" i="8"/>
  <c r="T337" i="8" s="1"/>
  <c r="T44" i="8"/>
  <c r="T19" i="8"/>
  <c r="T18" i="8"/>
  <c r="T17" i="8"/>
  <c r="T82" i="8"/>
  <c r="F312" i="8"/>
  <c r="F331" i="8" s="1"/>
  <c r="F360" i="8" s="1"/>
  <c r="C289" i="8"/>
  <c r="C306" i="8" s="1"/>
  <c r="C346" i="8" s="1"/>
  <c r="C136" i="8"/>
  <c r="C135" i="8"/>
  <c r="G121" i="8"/>
  <c r="G120" i="8"/>
  <c r="I108" i="8"/>
  <c r="I109" i="8" s="1"/>
  <c r="I106" i="8"/>
  <c r="I107" i="8" s="1"/>
  <c r="O99" i="8"/>
  <c r="Q68" i="8"/>
  <c r="R64" i="8"/>
  <c r="R21" i="8" s="1"/>
  <c r="R22" i="8" s="1"/>
  <c r="R63" i="8" s="1"/>
  <c r="R65" i="8" s="1"/>
  <c r="X8" i="8"/>
  <c r="P369" i="8"/>
  <c r="P378" i="8" s="1"/>
  <c r="P98" i="8"/>
  <c r="P96" i="8"/>
  <c r="P370" i="8" s="1"/>
  <c r="P379" i="8" s="1"/>
  <c r="E126" i="8"/>
  <c r="E127" i="8" s="1"/>
  <c r="E128" i="8" s="1"/>
  <c r="H112" i="8"/>
  <c r="G116" i="8" s="1"/>
  <c r="R60" i="4"/>
  <c r="R69" i="4"/>
  <c r="R337" i="4" s="1"/>
  <c r="R44" i="4"/>
  <c r="R25" i="4"/>
  <c r="R20" i="4"/>
  <c r="Q61" i="4"/>
  <c r="K64" i="4"/>
  <c r="J68" i="4"/>
  <c r="R82" i="4"/>
  <c r="T34" i="4"/>
  <c r="T31" i="4"/>
  <c r="T35" i="4"/>
  <c r="T36" i="4"/>
  <c r="T32" i="4"/>
  <c r="T33" i="4"/>
  <c r="S94" i="4"/>
  <c r="S95" i="4"/>
  <c r="S363" i="4" s="1"/>
  <c r="S92" i="4"/>
  <c r="S89" i="4"/>
  <c r="S86" i="4"/>
  <c r="S93" i="4"/>
  <c r="S88" i="4"/>
  <c r="S87" i="4"/>
  <c r="S90" i="4"/>
  <c r="S91" i="4"/>
  <c r="S85" i="4"/>
  <c r="D331" i="4"/>
  <c r="E288" i="4"/>
  <c r="E307" i="4" s="1"/>
  <c r="E347" i="4" s="1"/>
  <c r="E117" i="4"/>
  <c r="E118" i="4" s="1"/>
  <c r="E122" i="4" s="1"/>
  <c r="T30" i="4"/>
  <c r="T28" i="4"/>
  <c r="T29" i="4"/>
  <c r="T27" i="4"/>
  <c r="T37" i="4"/>
  <c r="U3" i="8"/>
  <c r="T55" i="4"/>
  <c r="T13" i="4"/>
  <c r="T6" i="4"/>
  <c r="T15" i="4"/>
  <c r="T5" i="4"/>
  <c r="S42" i="4"/>
  <c r="T49" i="4"/>
  <c r="S43" i="4"/>
  <c r="T47" i="4"/>
  <c r="T50" i="4"/>
  <c r="T48" i="4"/>
  <c r="T46" i="4"/>
  <c r="S40" i="4"/>
  <c r="S39" i="4"/>
  <c r="T52" i="4"/>
  <c r="T54" i="4" s="1"/>
  <c r="S41" i="4"/>
  <c r="S14" i="4"/>
  <c r="R17" i="4"/>
  <c r="R57" i="4"/>
  <c r="R58" i="4"/>
  <c r="R59" i="4"/>
  <c r="R19" i="4"/>
  <c r="R18" i="4"/>
  <c r="S2" i="4"/>
  <c r="S83" i="4" s="1"/>
  <c r="S351" i="4" s="1"/>
  <c r="G108" i="4"/>
  <c r="G109" i="4" s="1"/>
  <c r="D125" i="4"/>
  <c r="G107" i="4"/>
  <c r="AA8" i="4"/>
  <c r="U2" i="8"/>
  <c r="U20" i="8" s="1"/>
  <c r="T1" i="4"/>
  <c r="V1" i="8"/>
  <c r="T376" i="4"/>
  <c r="U3" i="4"/>
  <c r="I111" i="8" l="1"/>
  <c r="E129" i="8"/>
  <c r="Y8" i="8"/>
  <c r="S64" i="8"/>
  <c r="S21" i="8" s="1"/>
  <c r="S22" i="8" s="1"/>
  <c r="S63" i="8" s="1"/>
  <c r="S65" i="8" s="1"/>
  <c r="R68" i="8"/>
  <c r="Q369" i="8"/>
  <c r="Q378" i="8" s="1"/>
  <c r="Q96" i="8"/>
  <c r="Q370" i="8" s="1"/>
  <c r="Q379" i="8" s="1"/>
  <c r="Q98" i="8"/>
  <c r="D132" i="8"/>
  <c r="C139" i="8"/>
  <c r="T61" i="8"/>
  <c r="I350" i="8"/>
  <c r="J104" i="8"/>
  <c r="U82" i="8"/>
  <c r="U58" i="8"/>
  <c r="U83" i="8"/>
  <c r="U351" i="8" s="1"/>
  <c r="U59" i="8"/>
  <c r="U57" i="8"/>
  <c r="U25" i="8"/>
  <c r="U69" i="8"/>
  <c r="U337" i="8" s="1"/>
  <c r="U19" i="8"/>
  <c r="U60" i="8"/>
  <c r="U18" i="8"/>
  <c r="U17" i="8"/>
  <c r="U44" i="8"/>
  <c r="G119" i="8"/>
  <c r="G288" i="8"/>
  <c r="G307" i="8" s="1"/>
  <c r="G347" i="8" s="1"/>
  <c r="P99" i="8"/>
  <c r="G117" i="8"/>
  <c r="G118" i="8" s="1"/>
  <c r="F126" i="8"/>
  <c r="F127" i="8" s="1"/>
  <c r="F128" i="8" s="1"/>
  <c r="S60" i="4"/>
  <c r="S69" i="4"/>
  <c r="S337" i="4" s="1"/>
  <c r="S44" i="4"/>
  <c r="S25" i="4"/>
  <c r="S20" i="4"/>
  <c r="R61" i="4"/>
  <c r="J96" i="4"/>
  <c r="J370" i="4" s="1"/>
  <c r="J379" i="4" s="1"/>
  <c r="J98" i="4"/>
  <c r="J99" i="4" s="1"/>
  <c r="J369" i="4"/>
  <c r="J378" i="4" s="1"/>
  <c r="K21" i="4"/>
  <c r="K22" i="4" s="1"/>
  <c r="K63" i="4" s="1"/>
  <c r="K65" i="4" s="1"/>
  <c r="S82" i="4"/>
  <c r="U33" i="4"/>
  <c r="U34" i="4"/>
  <c r="U35" i="4"/>
  <c r="U36" i="4"/>
  <c r="U32" i="4"/>
  <c r="U31" i="4"/>
  <c r="T95" i="4"/>
  <c r="T363" i="4" s="1"/>
  <c r="T86" i="4"/>
  <c r="T94" i="4"/>
  <c r="T91" i="4"/>
  <c r="T93" i="4"/>
  <c r="T90" i="4"/>
  <c r="T87" i="4"/>
  <c r="T89" i="4"/>
  <c r="T88" i="4"/>
  <c r="T85" i="4"/>
  <c r="T92" i="4"/>
  <c r="F115" i="4"/>
  <c r="U30" i="4"/>
  <c r="U28" i="4"/>
  <c r="U29" i="4"/>
  <c r="U27" i="4"/>
  <c r="U37" i="4"/>
  <c r="T14" i="4"/>
  <c r="T53" i="4"/>
  <c r="U49" i="4"/>
  <c r="T41" i="4"/>
  <c r="U48" i="4"/>
  <c r="T40" i="4"/>
  <c r="T43" i="4"/>
  <c r="U50" i="4"/>
  <c r="U47" i="4"/>
  <c r="T39" i="4"/>
  <c r="U46" i="4"/>
  <c r="U52" i="4"/>
  <c r="U54" i="4" s="1"/>
  <c r="T42" i="4"/>
  <c r="U13" i="4"/>
  <c r="U14" i="4" s="1"/>
  <c r="U55" i="4"/>
  <c r="U6" i="4"/>
  <c r="U53" i="4"/>
  <c r="U15" i="4"/>
  <c r="U5" i="4"/>
  <c r="V3" i="8"/>
  <c r="G350" i="4"/>
  <c r="H104" i="4"/>
  <c r="AB8" i="4"/>
  <c r="S57" i="4"/>
  <c r="S19" i="4"/>
  <c r="S59" i="4"/>
  <c r="S18" i="4"/>
  <c r="S58" i="4"/>
  <c r="S17" i="4"/>
  <c r="T2" i="4"/>
  <c r="T83" i="4" s="1"/>
  <c r="T351" i="4" s="1"/>
  <c r="D126" i="4"/>
  <c r="D127" i="4" s="1"/>
  <c r="D128" i="4" s="1"/>
  <c r="G111" i="4"/>
  <c r="V2" i="8"/>
  <c r="V20" i="8" s="1"/>
  <c r="U1" i="4"/>
  <c r="W1" i="8"/>
  <c r="U376" i="4"/>
  <c r="V3" i="4"/>
  <c r="D133" i="8" l="1"/>
  <c r="V82" i="8"/>
  <c r="F129" i="8"/>
  <c r="S68" i="8"/>
  <c r="T64" i="8"/>
  <c r="T21" i="8" s="1"/>
  <c r="T22" i="8" s="1"/>
  <c r="T63" i="8" s="1"/>
  <c r="T65" i="8" s="1"/>
  <c r="D136" i="8"/>
  <c r="D289" i="8"/>
  <c r="D306" i="8" s="1"/>
  <c r="D346" i="8" s="1"/>
  <c r="C313" i="8"/>
  <c r="C330" i="8" s="1"/>
  <c r="C359" i="8" s="1"/>
  <c r="C140" i="8"/>
  <c r="U61" i="8"/>
  <c r="D137" i="8"/>
  <c r="D138" i="8"/>
  <c r="D134" i="8"/>
  <c r="D135" i="8" s="1"/>
  <c r="Q99" i="8"/>
  <c r="H115" i="8"/>
  <c r="G122" i="8"/>
  <c r="G123" i="8" s="1"/>
  <c r="J105" i="8"/>
  <c r="Z8" i="8"/>
  <c r="V58" i="8"/>
  <c r="V57" i="8"/>
  <c r="V25" i="8"/>
  <c r="V69" i="8"/>
  <c r="V337" i="8" s="1"/>
  <c r="V59" i="8"/>
  <c r="V60" i="8"/>
  <c r="V18" i="8"/>
  <c r="V17" i="8"/>
  <c r="V19" i="8"/>
  <c r="V83" i="8"/>
  <c r="V351" i="8" s="1"/>
  <c r="V44" i="8"/>
  <c r="R369" i="8"/>
  <c r="R378" i="8" s="1"/>
  <c r="R96" i="8"/>
  <c r="R370" i="8" s="1"/>
  <c r="R379" i="8" s="1"/>
  <c r="R98" i="8"/>
  <c r="I112" i="8"/>
  <c r="H116" i="8" s="1"/>
  <c r="T60" i="4"/>
  <c r="T69" i="4"/>
  <c r="T337" i="4" s="1"/>
  <c r="T44" i="4"/>
  <c r="T25" i="4"/>
  <c r="T20" i="4"/>
  <c r="S61" i="4"/>
  <c r="K68" i="4"/>
  <c r="L64" i="4"/>
  <c r="T82" i="4"/>
  <c r="H105" i="4"/>
  <c r="H106" i="4" s="1"/>
  <c r="V32" i="4"/>
  <c r="V35" i="4"/>
  <c r="V33" i="4"/>
  <c r="V36" i="4"/>
  <c r="V34" i="4"/>
  <c r="V31" i="4"/>
  <c r="U90" i="4"/>
  <c r="U89" i="4"/>
  <c r="U88" i="4"/>
  <c r="U93" i="4"/>
  <c r="U85" i="4"/>
  <c r="U94" i="4"/>
  <c r="U86" i="4"/>
  <c r="U91" i="4"/>
  <c r="U95" i="4"/>
  <c r="U363" i="4" s="1"/>
  <c r="U92" i="4"/>
  <c r="U87" i="4"/>
  <c r="E123" i="4"/>
  <c r="E125" i="4" s="1"/>
  <c r="E126" i="4" s="1"/>
  <c r="E127" i="4" s="1"/>
  <c r="E128" i="4" s="1"/>
  <c r="E312" i="4"/>
  <c r="F121" i="4"/>
  <c r="F120" i="4"/>
  <c r="V30" i="4"/>
  <c r="V27" i="4"/>
  <c r="V29" i="4"/>
  <c r="V28" i="4"/>
  <c r="V37" i="4"/>
  <c r="V55" i="4"/>
  <c r="V13" i="4"/>
  <c r="V14" i="4" s="1"/>
  <c r="V15" i="4"/>
  <c r="V6" i="4"/>
  <c r="V53" i="4"/>
  <c r="V5" i="4"/>
  <c r="W3" i="8"/>
  <c r="V48" i="4"/>
  <c r="U43" i="4"/>
  <c r="V47" i="4"/>
  <c r="U41" i="4"/>
  <c r="V46" i="4"/>
  <c r="U42" i="4"/>
  <c r="V50" i="4"/>
  <c r="U39" i="4"/>
  <c r="V49" i="4"/>
  <c r="U40" i="4"/>
  <c r="V52" i="4"/>
  <c r="V54" i="4" s="1"/>
  <c r="AC8" i="4"/>
  <c r="T59" i="4"/>
  <c r="T57" i="4"/>
  <c r="T19" i="4"/>
  <c r="T58" i="4"/>
  <c r="T18" i="4"/>
  <c r="T17" i="4"/>
  <c r="U2" i="4"/>
  <c r="U83" i="4" s="1"/>
  <c r="U351" i="4" s="1"/>
  <c r="G112" i="4"/>
  <c r="F116" i="4" s="1"/>
  <c r="F119" i="4" s="1"/>
  <c r="W2" i="8"/>
  <c r="X1" i="8"/>
  <c r="V1" i="4"/>
  <c r="V376" i="4"/>
  <c r="W3" i="4"/>
  <c r="W82" i="8" l="1"/>
  <c r="W20" i="8"/>
  <c r="E132" i="8"/>
  <c r="E133" i="8" s="1"/>
  <c r="D139" i="8"/>
  <c r="G125" i="8"/>
  <c r="J106" i="8"/>
  <c r="J107" i="8" s="1"/>
  <c r="C142" i="8"/>
  <c r="J108" i="8"/>
  <c r="J109" i="8" s="1"/>
  <c r="V61" i="8"/>
  <c r="U64" i="8"/>
  <c r="U21" i="8" s="1"/>
  <c r="U22" i="8" s="1"/>
  <c r="U63" i="8" s="1"/>
  <c r="U65" i="8" s="1"/>
  <c r="T68" i="8"/>
  <c r="H121" i="8"/>
  <c r="H120" i="8"/>
  <c r="H117" i="8"/>
  <c r="H118" i="8" s="1"/>
  <c r="R99" i="8"/>
  <c r="S369" i="8"/>
  <c r="S378" i="8" s="1"/>
  <c r="S96" i="8"/>
  <c r="S370" i="8" s="1"/>
  <c r="S379" i="8" s="1"/>
  <c r="S98" i="8"/>
  <c r="H119" i="8"/>
  <c r="H288" i="8"/>
  <c r="H307" i="8" s="1"/>
  <c r="H347" i="8" s="1"/>
  <c r="G312" i="8"/>
  <c r="G331" i="8" s="1"/>
  <c r="G360" i="8" s="1"/>
  <c r="W57" i="8"/>
  <c r="W69" i="8"/>
  <c r="W337" i="8" s="1"/>
  <c r="W58" i="8"/>
  <c r="W59" i="8"/>
  <c r="W60" i="8"/>
  <c r="W18" i="8"/>
  <c r="W44" i="8"/>
  <c r="W25" i="8"/>
  <c r="W17" i="8"/>
  <c r="W19" i="8"/>
  <c r="W83" i="8"/>
  <c r="W351" i="8" s="1"/>
  <c r="AA8" i="8"/>
  <c r="U60" i="4"/>
  <c r="U69" i="4"/>
  <c r="U337" i="4" s="1"/>
  <c r="U44" i="4"/>
  <c r="U25" i="4"/>
  <c r="U20" i="4"/>
  <c r="T61" i="4"/>
  <c r="L21" i="4"/>
  <c r="L22" i="4" s="1"/>
  <c r="L63" i="4" s="1"/>
  <c r="L65" i="4" s="1"/>
  <c r="K96" i="4"/>
  <c r="K370" i="4" s="1"/>
  <c r="K379" i="4" s="1"/>
  <c r="K98" i="4"/>
  <c r="K99" i="4" s="1"/>
  <c r="K369" i="4"/>
  <c r="K378" i="4" s="1"/>
  <c r="U82" i="4"/>
  <c r="W33" i="4"/>
  <c r="W32" i="4"/>
  <c r="W36" i="4"/>
  <c r="W34" i="4"/>
  <c r="W31" i="4"/>
  <c r="W35" i="4"/>
  <c r="V95" i="4"/>
  <c r="V363" i="4" s="1"/>
  <c r="V91" i="4"/>
  <c r="V85" i="4"/>
  <c r="V92" i="4"/>
  <c r="V90" i="4"/>
  <c r="V94" i="4"/>
  <c r="V88" i="4"/>
  <c r="V93" i="4"/>
  <c r="V87" i="4"/>
  <c r="V86" i="4"/>
  <c r="V89" i="4"/>
  <c r="E331" i="4"/>
  <c r="F288" i="4"/>
  <c r="F307" i="4" s="1"/>
  <c r="F347" i="4" s="1"/>
  <c r="F117" i="4"/>
  <c r="F118" i="4" s="1"/>
  <c r="F122" i="4" s="1"/>
  <c r="W30" i="4"/>
  <c r="W27" i="4"/>
  <c r="W28" i="4"/>
  <c r="W29" i="4"/>
  <c r="W37" i="4"/>
  <c r="W48" i="4"/>
  <c r="V40" i="4"/>
  <c r="W47" i="4"/>
  <c r="V39" i="4"/>
  <c r="W52" i="4"/>
  <c r="W54" i="4" s="1"/>
  <c r="V41" i="4"/>
  <c r="W49" i="4"/>
  <c r="W50" i="4"/>
  <c r="V42" i="4"/>
  <c r="V43" i="4"/>
  <c r="W46" i="4"/>
  <c r="X3" i="8"/>
  <c r="W6" i="4"/>
  <c r="W55" i="4"/>
  <c r="W53" i="4"/>
  <c r="W5" i="4"/>
  <c r="W15" i="4"/>
  <c r="W13" i="4"/>
  <c r="W14" i="4" s="1"/>
  <c r="AD8" i="4"/>
  <c r="U18" i="4"/>
  <c r="U19" i="4"/>
  <c r="U57" i="4"/>
  <c r="U58" i="4"/>
  <c r="U59" i="4"/>
  <c r="U17" i="4"/>
  <c r="V2" i="4"/>
  <c r="V83" i="4" s="1"/>
  <c r="V351" i="4" s="1"/>
  <c r="H108" i="4"/>
  <c r="H109" i="4" s="1"/>
  <c r="H107" i="4"/>
  <c r="X2" i="8"/>
  <c r="Y1" i="8"/>
  <c r="W1" i="4"/>
  <c r="X3" i="4"/>
  <c r="W376" i="4"/>
  <c r="E289" i="8" l="1"/>
  <c r="E306" i="8" s="1"/>
  <c r="E346" i="8" s="1"/>
  <c r="E136" i="8"/>
  <c r="X82" i="8"/>
  <c r="X20" i="8"/>
  <c r="I115" i="8"/>
  <c r="H122" i="8"/>
  <c r="H312" i="8" s="1"/>
  <c r="H331" i="8" s="1"/>
  <c r="H360" i="8" s="1"/>
  <c r="J350" i="8"/>
  <c r="K104" i="8"/>
  <c r="C143" i="8"/>
  <c r="C144" i="8" s="1"/>
  <c r="C145" i="8" s="1"/>
  <c r="T369" i="8"/>
  <c r="T378" i="8" s="1"/>
  <c r="T98" i="8"/>
  <c r="T96" i="8"/>
  <c r="T370" i="8" s="1"/>
  <c r="T379" i="8" s="1"/>
  <c r="AB8" i="8"/>
  <c r="U68" i="8"/>
  <c r="V64" i="8"/>
  <c r="V21" i="8" s="1"/>
  <c r="V22" i="8" s="1"/>
  <c r="V63" i="8" s="1"/>
  <c r="V65" i="8" s="1"/>
  <c r="W61" i="8"/>
  <c r="S99" i="8"/>
  <c r="X57" i="8"/>
  <c r="X69" i="8"/>
  <c r="X337" i="8" s="1"/>
  <c r="X60" i="8"/>
  <c r="X59" i="8"/>
  <c r="X19" i="8"/>
  <c r="X44" i="8"/>
  <c r="X17" i="8"/>
  <c r="X58" i="8"/>
  <c r="X18" i="8"/>
  <c r="X25" i="8"/>
  <c r="X83" i="8"/>
  <c r="X351" i="8" s="1"/>
  <c r="G126" i="8"/>
  <c r="G127" i="8" s="1"/>
  <c r="G128" i="8" s="1"/>
  <c r="J111" i="8"/>
  <c r="D313" i="8"/>
  <c r="D330" i="8" s="1"/>
  <c r="D359" i="8" s="1"/>
  <c r="E137" i="8"/>
  <c r="E138" i="8"/>
  <c r="E134" i="8"/>
  <c r="E135" i="8" s="1"/>
  <c r="F132" i="8" s="1"/>
  <c r="D140" i="8"/>
  <c r="V60" i="4"/>
  <c r="V69" i="4"/>
  <c r="V337" i="4" s="1"/>
  <c r="V44" i="4"/>
  <c r="V25" i="4"/>
  <c r="V20" i="4"/>
  <c r="U61" i="4"/>
  <c r="M64" i="4"/>
  <c r="L68" i="4"/>
  <c r="V82" i="4"/>
  <c r="X31" i="4"/>
  <c r="X35" i="4"/>
  <c r="X33" i="4"/>
  <c r="X32" i="4"/>
  <c r="X34" i="4"/>
  <c r="X36" i="4"/>
  <c r="W92" i="4"/>
  <c r="W90" i="4"/>
  <c r="W87" i="4"/>
  <c r="W91" i="4"/>
  <c r="W95" i="4"/>
  <c r="W363" i="4" s="1"/>
  <c r="W89" i="4"/>
  <c r="W94" i="4"/>
  <c r="W88" i="4"/>
  <c r="W85" i="4"/>
  <c r="W86" i="4"/>
  <c r="W93" i="4"/>
  <c r="X30" i="4"/>
  <c r="X27" i="4"/>
  <c r="X29" i="4"/>
  <c r="X28" i="4"/>
  <c r="X37" i="4"/>
  <c r="Y3" i="8"/>
  <c r="X47" i="4"/>
  <c r="X50" i="4"/>
  <c r="W41" i="4"/>
  <c r="W42" i="4"/>
  <c r="X48" i="4"/>
  <c r="X52" i="4"/>
  <c r="X54" i="4" s="1"/>
  <c r="X49" i="4"/>
  <c r="X46" i="4"/>
  <c r="W39" i="4"/>
  <c r="W43" i="4"/>
  <c r="W40" i="4"/>
  <c r="X15" i="4"/>
  <c r="X5" i="4"/>
  <c r="X53" i="4"/>
  <c r="X6" i="4"/>
  <c r="X13" i="4"/>
  <c r="X14" i="4" s="1"/>
  <c r="X55" i="4"/>
  <c r="G115" i="4"/>
  <c r="H111" i="4"/>
  <c r="AE8" i="4"/>
  <c r="V58" i="4"/>
  <c r="V17" i="4"/>
  <c r="V19" i="4"/>
  <c r="V57" i="4"/>
  <c r="V18" i="4"/>
  <c r="V59" i="4"/>
  <c r="W2" i="4"/>
  <c r="W83" i="4" s="1"/>
  <c r="W351" i="4" s="1"/>
  <c r="H350" i="4"/>
  <c r="I104" i="4"/>
  <c r="Y2" i="8"/>
  <c r="X1" i="4"/>
  <c r="Z1" i="8"/>
  <c r="Y3" i="4"/>
  <c r="X376" i="4"/>
  <c r="H123" i="8" l="1"/>
  <c r="Y82" i="8"/>
  <c r="Y20" i="8"/>
  <c r="E139" i="8"/>
  <c r="E140" i="8" s="1"/>
  <c r="E142" i="8" s="1"/>
  <c r="X61" i="8"/>
  <c r="G129" i="8"/>
  <c r="F133" i="8" s="1"/>
  <c r="AC8" i="8"/>
  <c r="F138" i="8"/>
  <c r="F137" i="8"/>
  <c r="F134" i="8"/>
  <c r="T99" i="8"/>
  <c r="C146" i="8"/>
  <c r="H125" i="8"/>
  <c r="K105" i="8"/>
  <c r="V68" i="8"/>
  <c r="W64" i="8"/>
  <c r="W21" i="8" s="1"/>
  <c r="W22" i="8" s="1"/>
  <c r="W63" i="8" s="1"/>
  <c r="W65" i="8" s="1"/>
  <c r="D142" i="8"/>
  <c r="U369" i="8"/>
  <c r="U378" i="8" s="1"/>
  <c r="U98" i="8"/>
  <c r="U96" i="8"/>
  <c r="U370" i="8" s="1"/>
  <c r="U379" i="8" s="1"/>
  <c r="Y69" i="8"/>
  <c r="Y337" i="8" s="1"/>
  <c r="Y83" i="8"/>
  <c r="Y351" i="8" s="1"/>
  <c r="Y59" i="8"/>
  <c r="Y57" i="8"/>
  <c r="Y19" i="8"/>
  <c r="Y17" i="8"/>
  <c r="Y58" i="8"/>
  <c r="Y60" i="8"/>
  <c r="Y25" i="8"/>
  <c r="Y18" i="8"/>
  <c r="Y44" i="8"/>
  <c r="J112" i="8"/>
  <c r="I116" i="8" s="1"/>
  <c r="I117" i="8" s="1"/>
  <c r="I118" i="8" s="1"/>
  <c r="I121" i="8"/>
  <c r="I120" i="8"/>
  <c r="W60" i="4"/>
  <c r="W69" i="4"/>
  <c r="W337" i="4" s="1"/>
  <c r="W44" i="4"/>
  <c r="W25" i="4"/>
  <c r="W20" i="4"/>
  <c r="V61" i="4"/>
  <c r="L96" i="4"/>
  <c r="L370" i="4" s="1"/>
  <c r="L379" i="4" s="1"/>
  <c r="L98" i="4"/>
  <c r="L99" i="4" s="1"/>
  <c r="L369" i="4"/>
  <c r="L378" i="4" s="1"/>
  <c r="M21" i="4"/>
  <c r="M22" i="4" s="1"/>
  <c r="M63" i="4" s="1"/>
  <c r="M65" i="4" s="1"/>
  <c r="W82" i="4"/>
  <c r="I105" i="4"/>
  <c r="Y36" i="4"/>
  <c r="Y32" i="4"/>
  <c r="Y34" i="4"/>
  <c r="Y33" i="4"/>
  <c r="Y31" i="4"/>
  <c r="Y35" i="4"/>
  <c r="X93" i="4"/>
  <c r="X92" i="4"/>
  <c r="X85" i="4"/>
  <c r="X91" i="4"/>
  <c r="X87" i="4"/>
  <c r="X90" i="4"/>
  <c r="X95" i="4"/>
  <c r="X363" i="4" s="1"/>
  <c r="X89" i="4"/>
  <c r="X94" i="4"/>
  <c r="X86" i="4"/>
  <c r="X88" i="4"/>
  <c r="F312" i="4"/>
  <c r="Y30" i="4"/>
  <c r="Y27" i="4"/>
  <c r="Y28" i="4"/>
  <c r="Y29" i="4"/>
  <c r="Y37" i="4"/>
  <c r="Y53" i="4"/>
  <c r="Y5" i="4"/>
  <c r="Y15" i="4"/>
  <c r="Y13" i="4"/>
  <c r="Y14" i="4" s="1"/>
  <c r="Y6" i="4"/>
  <c r="Y55" i="4"/>
  <c r="Z3" i="8"/>
  <c r="Y47" i="4"/>
  <c r="X39" i="4"/>
  <c r="Y46" i="4"/>
  <c r="Y52" i="4"/>
  <c r="Y54" i="4" s="1"/>
  <c r="X40" i="4"/>
  <c r="X42" i="4"/>
  <c r="Y48" i="4"/>
  <c r="X43" i="4"/>
  <c r="Y49" i="4"/>
  <c r="Y50" i="4"/>
  <c r="X41" i="4"/>
  <c r="H112" i="4"/>
  <c r="G116" i="4" s="1"/>
  <c r="G119" i="4" s="1"/>
  <c r="AF8" i="4"/>
  <c r="W57" i="4"/>
  <c r="W18" i="4"/>
  <c r="W19" i="4"/>
  <c r="W17" i="4"/>
  <c r="W58" i="4"/>
  <c r="W59" i="4"/>
  <c r="X2" i="4"/>
  <c r="X83" i="4" s="1"/>
  <c r="X351" i="4" s="1"/>
  <c r="F123" i="4"/>
  <c r="G121" i="4"/>
  <c r="G120" i="4"/>
  <c r="Z2" i="8"/>
  <c r="AA1" i="8"/>
  <c r="Y1" i="4"/>
  <c r="Y376" i="4"/>
  <c r="Z3" i="4"/>
  <c r="E313" i="8" l="1"/>
  <c r="E330" i="8" s="1"/>
  <c r="E359" i="8" s="1"/>
  <c r="Z82" i="8"/>
  <c r="Z20" i="8"/>
  <c r="J115" i="8"/>
  <c r="I122" i="8"/>
  <c r="I312" i="8" s="1"/>
  <c r="I331" i="8" s="1"/>
  <c r="I360" i="8" s="1"/>
  <c r="E143" i="8"/>
  <c r="E144" i="8" s="1"/>
  <c r="D143" i="8"/>
  <c r="D144" i="8" s="1"/>
  <c r="AD8" i="8"/>
  <c r="V369" i="8"/>
  <c r="V378" i="8" s="1"/>
  <c r="V98" i="8"/>
  <c r="V96" i="8"/>
  <c r="V370" i="8" s="1"/>
  <c r="V379" i="8" s="1"/>
  <c r="Y61" i="8"/>
  <c r="H126" i="8"/>
  <c r="H127" i="8" s="1"/>
  <c r="H128" i="8" s="1"/>
  <c r="U99" i="8"/>
  <c r="Z83" i="8"/>
  <c r="Z351" i="8" s="1"/>
  <c r="Z69" i="8"/>
  <c r="Z337" i="8" s="1"/>
  <c r="Z44" i="8"/>
  <c r="Z19" i="8"/>
  <c r="Z18" i="8"/>
  <c r="Z60" i="8"/>
  <c r="Z57" i="8"/>
  <c r="Z59" i="8"/>
  <c r="Z25" i="8"/>
  <c r="Z17" i="8"/>
  <c r="Z58" i="8"/>
  <c r="K108" i="8"/>
  <c r="K109" i="8" s="1"/>
  <c r="F136" i="8"/>
  <c r="F289" i="8"/>
  <c r="F306" i="8" s="1"/>
  <c r="F346" i="8" s="1"/>
  <c r="W68" i="8"/>
  <c r="X64" i="8"/>
  <c r="X21" i="8" s="1"/>
  <c r="X22" i="8" s="1"/>
  <c r="X63" i="8" s="1"/>
  <c r="X65" i="8" s="1"/>
  <c r="K106" i="8"/>
  <c r="K107" i="8" s="1"/>
  <c r="F135" i="8"/>
  <c r="I119" i="8"/>
  <c r="I288" i="8"/>
  <c r="I307" i="8" s="1"/>
  <c r="I347" i="8" s="1"/>
  <c r="X60" i="4"/>
  <c r="X69" i="4"/>
  <c r="X337" i="4" s="1"/>
  <c r="X44" i="4"/>
  <c r="X25" i="4"/>
  <c r="X20" i="4"/>
  <c r="W61" i="4"/>
  <c r="N64" i="4"/>
  <c r="M68" i="4"/>
  <c r="I106" i="4"/>
  <c r="X82" i="4"/>
  <c r="Z31" i="4"/>
  <c r="Z33" i="4"/>
  <c r="Z32" i="4"/>
  <c r="Z36" i="4"/>
  <c r="Z35" i="4"/>
  <c r="Z34" i="4"/>
  <c r="Y93" i="4"/>
  <c r="Y89" i="4"/>
  <c r="Y94" i="4"/>
  <c r="Y90" i="4"/>
  <c r="Y86" i="4"/>
  <c r="Y85" i="4"/>
  <c r="Y92" i="4"/>
  <c r="Y88" i="4"/>
  <c r="Y95" i="4"/>
  <c r="Y363" i="4" s="1"/>
  <c r="Y91" i="4"/>
  <c r="Y87" i="4"/>
  <c r="F331" i="4"/>
  <c r="G288" i="4"/>
  <c r="G307" i="4" s="1"/>
  <c r="G347" i="4" s="1"/>
  <c r="G117" i="4"/>
  <c r="G118" i="4" s="1"/>
  <c r="G122" i="4" s="1"/>
  <c r="Z30" i="4"/>
  <c r="Z29" i="4"/>
  <c r="Z28" i="4"/>
  <c r="Z27" i="4"/>
  <c r="Z37" i="4"/>
  <c r="Z53" i="4"/>
  <c r="Z55" i="4"/>
  <c r="Z5" i="4"/>
  <c r="Z15" i="4"/>
  <c r="Z13" i="4"/>
  <c r="Z14" i="4" s="1"/>
  <c r="Z6" i="4"/>
  <c r="Z46" i="4"/>
  <c r="Z49" i="4"/>
  <c r="Z52" i="4"/>
  <c r="Z54" i="4" s="1"/>
  <c r="Z47" i="4"/>
  <c r="Y39" i="4"/>
  <c r="Z48" i="4"/>
  <c r="Y43" i="4"/>
  <c r="Y40" i="4"/>
  <c r="Z50" i="4"/>
  <c r="Y41" i="4"/>
  <c r="Y42" i="4"/>
  <c r="AA3" i="8"/>
  <c r="AG8" i="4"/>
  <c r="I108" i="4"/>
  <c r="I109" i="4" s="1"/>
  <c r="F125" i="4"/>
  <c r="X19" i="4"/>
  <c r="X57" i="4"/>
  <c r="X18" i="4"/>
  <c r="X59" i="4"/>
  <c r="X17" i="4"/>
  <c r="X58" i="4"/>
  <c r="Y2" i="4"/>
  <c r="Y83" i="4" s="1"/>
  <c r="Y351" i="4" s="1"/>
  <c r="AA2" i="8"/>
  <c r="Z1" i="4"/>
  <c r="AB1" i="8"/>
  <c r="Z376" i="4"/>
  <c r="AA3" i="4"/>
  <c r="I123" i="8" l="1"/>
  <c r="AA82" i="8"/>
  <c r="AA20" i="8"/>
  <c r="E145" i="8"/>
  <c r="D145" i="8"/>
  <c r="D146" i="8" s="1"/>
  <c r="C150" i="8" s="1"/>
  <c r="H129" i="8"/>
  <c r="G133" i="8" s="1"/>
  <c r="K111" i="8"/>
  <c r="X68" i="8"/>
  <c r="Y64" i="8"/>
  <c r="Y21" i="8" s="1"/>
  <c r="Y22" i="8" s="1"/>
  <c r="Y63" i="8" s="1"/>
  <c r="Y65" i="8" s="1"/>
  <c r="W369" i="8"/>
  <c r="W378" i="8" s="1"/>
  <c r="W96" i="8"/>
  <c r="W370" i="8" s="1"/>
  <c r="W379" i="8" s="1"/>
  <c r="W98" i="8"/>
  <c r="V99" i="8"/>
  <c r="AE8" i="8"/>
  <c r="K350" i="8"/>
  <c r="L104" i="8"/>
  <c r="Z61" i="8"/>
  <c r="I125" i="8"/>
  <c r="AA83" i="8"/>
  <c r="AA351" i="8" s="1"/>
  <c r="AA69" i="8"/>
  <c r="AA337" i="8" s="1"/>
  <c r="AA58" i="8"/>
  <c r="AA19" i="8"/>
  <c r="AA18" i="8"/>
  <c r="AA60" i="8"/>
  <c r="AA44" i="8"/>
  <c r="AA57" i="8"/>
  <c r="AA59" i="8"/>
  <c r="AA25" i="8"/>
  <c r="AA17" i="8"/>
  <c r="G132" i="8"/>
  <c r="F139" i="8"/>
  <c r="J121" i="8"/>
  <c r="J120" i="8"/>
  <c r="Y60" i="4"/>
  <c r="Y69" i="4"/>
  <c r="Y337" i="4" s="1"/>
  <c r="Y44" i="4"/>
  <c r="Y25" i="4"/>
  <c r="Y20" i="4"/>
  <c r="X61" i="4"/>
  <c r="M98" i="4"/>
  <c r="M99" i="4" s="1"/>
  <c r="M96" i="4"/>
  <c r="M370" i="4" s="1"/>
  <c r="M379" i="4" s="1"/>
  <c r="M369" i="4"/>
  <c r="M378" i="4" s="1"/>
  <c r="N21" i="4"/>
  <c r="N22" i="4" s="1"/>
  <c r="N63" i="4" s="1"/>
  <c r="N65" i="4" s="1"/>
  <c r="I107" i="4"/>
  <c r="J104" i="4" s="1"/>
  <c r="J105" i="4" s="1"/>
  <c r="Y82" i="4"/>
  <c r="AA34" i="4"/>
  <c r="AA36" i="4"/>
  <c r="AA35" i="4"/>
  <c r="AA33" i="4"/>
  <c r="AA31" i="4"/>
  <c r="AA32" i="4"/>
  <c r="Z90" i="4"/>
  <c r="Z95" i="4"/>
  <c r="Z363" i="4" s="1"/>
  <c r="Z91" i="4"/>
  <c r="Z87" i="4"/>
  <c r="Z86" i="4"/>
  <c r="Z94" i="4"/>
  <c r="Z89" i="4"/>
  <c r="Z93" i="4"/>
  <c r="Z85" i="4"/>
  <c r="Z88" i="4"/>
  <c r="Z92" i="4"/>
  <c r="AA30" i="4"/>
  <c r="AA28" i="4"/>
  <c r="AA29" i="4"/>
  <c r="AA27" i="4"/>
  <c r="AA37" i="4"/>
  <c r="AB3" i="8"/>
  <c r="AA46" i="4"/>
  <c r="AA52" i="4"/>
  <c r="AA54" i="4" s="1"/>
  <c r="AA47" i="4"/>
  <c r="Z39" i="4"/>
  <c r="AA50" i="4"/>
  <c r="Z42" i="4"/>
  <c r="AA48" i="4"/>
  <c r="Z43" i="4"/>
  <c r="Z40" i="4"/>
  <c r="AA49" i="4"/>
  <c r="Z41" i="4"/>
  <c r="AA53" i="4"/>
  <c r="AA55" i="4"/>
  <c r="AA5" i="4"/>
  <c r="AA6" i="4"/>
  <c r="AA15" i="4"/>
  <c r="AA13" i="4"/>
  <c r="AA14" i="4" s="1"/>
  <c r="H115" i="4"/>
  <c r="I111" i="4"/>
  <c r="F126" i="4"/>
  <c r="F127" i="4" s="1"/>
  <c r="F128" i="4" s="1"/>
  <c r="Y59" i="4"/>
  <c r="Y18" i="4"/>
  <c r="Y58" i="4"/>
  <c r="Y17" i="4"/>
  <c r="Y19" i="4"/>
  <c r="Y57" i="4"/>
  <c r="Z2" i="4"/>
  <c r="Z83" i="4" s="1"/>
  <c r="Z351" i="4" s="1"/>
  <c r="AH8" i="4"/>
  <c r="AB2" i="8"/>
  <c r="AB20" i="8" s="1"/>
  <c r="AC1" i="8"/>
  <c r="AA1" i="4"/>
  <c r="AB3" i="4"/>
  <c r="AA376" i="4"/>
  <c r="E146" i="8" l="1"/>
  <c r="AA61" i="8"/>
  <c r="W99" i="8"/>
  <c r="K112" i="8"/>
  <c r="J116" i="8" s="1"/>
  <c r="I126" i="8"/>
  <c r="I127" i="8" s="1"/>
  <c r="I128" i="8" s="1"/>
  <c r="Y68" i="8"/>
  <c r="Z64" i="8"/>
  <c r="Z21" i="8" s="1"/>
  <c r="Z22" i="8" s="1"/>
  <c r="Z63" i="8" s="1"/>
  <c r="Z65" i="8" s="1"/>
  <c r="C290" i="8"/>
  <c r="C305" i="8" s="1"/>
  <c r="C345" i="8" s="1"/>
  <c r="C153" i="8"/>
  <c r="C152" i="8"/>
  <c r="G136" i="8"/>
  <c r="G289" i="8"/>
  <c r="G306" i="8" s="1"/>
  <c r="G346" i="8" s="1"/>
  <c r="AB69" i="8"/>
  <c r="AB337" i="8" s="1"/>
  <c r="AB58" i="8"/>
  <c r="AB44" i="8"/>
  <c r="AB18" i="8"/>
  <c r="AB17" i="8"/>
  <c r="AB60" i="8"/>
  <c r="AB25" i="8"/>
  <c r="AB59" i="8"/>
  <c r="AB19" i="8"/>
  <c r="AB83" i="8"/>
  <c r="AB351" i="8" s="1"/>
  <c r="AB57" i="8"/>
  <c r="L105" i="8"/>
  <c r="L106" i="8" s="1"/>
  <c r="X369" i="8"/>
  <c r="X378" i="8" s="1"/>
  <c r="X96" i="8"/>
  <c r="X370" i="8" s="1"/>
  <c r="X379" i="8" s="1"/>
  <c r="X98" i="8"/>
  <c r="F313" i="8"/>
  <c r="F330" i="8" s="1"/>
  <c r="F359" i="8" s="1"/>
  <c r="F140" i="8"/>
  <c r="G138" i="8"/>
  <c r="G134" i="8"/>
  <c r="G135" i="8" s="1"/>
  <c r="G137" i="8"/>
  <c r="AF8" i="8"/>
  <c r="AB82" i="8"/>
  <c r="Z60" i="4"/>
  <c r="Z69" i="4"/>
  <c r="Z337" i="4" s="1"/>
  <c r="Z44" i="4"/>
  <c r="Z25" i="4"/>
  <c r="Z20" i="4"/>
  <c r="Y61" i="4"/>
  <c r="N68" i="4"/>
  <c r="O64" i="4"/>
  <c r="I350" i="4"/>
  <c r="Z82" i="4"/>
  <c r="J106" i="4"/>
  <c r="AB31" i="4"/>
  <c r="AB35" i="4"/>
  <c r="AB33" i="4"/>
  <c r="AB34" i="4"/>
  <c r="AB32" i="4"/>
  <c r="AB36" i="4"/>
  <c r="AA92" i="4"/>
  <c r="AA93" i="4"/>
  <c r="AA89" i="4"/>
  <c r="AA85" i="4"/>
  <c r="AA88" i="4"/>
  <c r="AA95" i="4"/>
  <c r="AA363" i="4" s="1"/>
  <c r="AA91" i="4"/>
  <c r="AA87" i="4"/>
  <c r="AA86" i="4"/>
  <c r="AA94" i="4"/>
  <c r="AA90" i="4"/>
  <c r="G123" i="4"/>
  <c r="G125" i="4" s="1"/>
  <c r="G126" i="4" s="1"/>
  <c r="G127" i="4" s="1"/>
  <c r="G128" i="4" s="1"/>
  <c r="G312" i="4"/>
  <c r="AB30" i="4"/>
  <c r="AB29" i="4"/>
  <c r="AB27" i="4"/>
  <c r="AB28" i="4"/>
  <c r="AB37" i="4"/>
  <c r="AC3" i="8"/>
  <c r="AB55" i="4"/>
  <c r="AB6" i="4"/>
  <c r="AB13" i="4"/>
  <c r="AB14" i="4" s="1"/>
  <c r="AB5" i="4"/>
  <c r="AB53" i="4"/>
  <c r="AB15" i="4"/>
  <c r="AB52" i="4"/>
  <c r="AB54" i="4" s="1"/>
  <c r="AA39" i="4"/>
  <c r="AB50" i="4"/>
  <c r="AA42" i="4"/>
  <c r="AA43" i="4"/>
  <c r="AB49" i="4"/>
  <c r="AB48" i="4"/>
  <c r="AB47" i="4"/>
  <c r="AA41" i="4"/>
  <c r="AA40" i="4"/>
  <c r="AB46" i="4"/>
  <c r="H120" i="4"/>
  <c r="H121" i="4"/>
  <c r="I112" i="4"/>
  <c r="H116" i="4" s="1"/>
  <c r="J108" i="4"/>
  <c r="J109" i="4" s="1"/>
  <c r="Z19" i="4"/>
  <c r="Z59" i="4"/>
  <c r="Z18" i="4"/>
  <c r="Z58" i="4"/>
  <c r="Z17" i="4"/>
  <c r="Z57" i="4"/>
  <c r="AA2" i="4"/>
  <c r="AA83" i="4" s="1"/>
  <c r="AA351" i="4" s="1"/>
  <c r="AI8" i="4"/>
  <c r="AC2" i="8"/>
  <c r="AC20" i="8" s="1"/>
  <c r="AB1" i="4"/>
  <c r="AD1" i="8"/>
  <c r="AB376" i="4"/>
  <c r="AC3" i="4"/>
  <c r="H132" i="8" l="1"/>
  <c r="G139" i="8"/>
  <c r="G140" i="8" s="1"/>
  <c r="G142" i="8" s="1"/>
  <c r="AC82" i="8"/>
  <c r="I129" i="8"/>
  <c r="H133" i="8" s="1"/>
  <c r="H134" i="8" s="1"/>
  <c r="H135" i="8" s="1"/>
  <c r="Z68" i="8"/>
  <c r="AA64" i="8"/>
  <c r="AA21" i="8" s="1"/>
  <c r="AA22" i="8" s="1"/>
  <c r="AA63" i="8" s="1"/>
  <c r="AA65" i="8" s="1"/>
  <c r="AB61" i="8"/>
  <c r="Y369" i="8"/>
  <c r="Y378" i="8" s="1"/>
  <c r="Y98" i="8"/>
  <c r="Y96" i="8"/>
  <c r="Y370" i="8" s="1"/>
  <c r="Y379" i="8" s="1"/>
  <c r="F142" i="8"/>
  <c r="X99" i="8"/>
  <c r="L108" i="8"/>
  <c r="L109" i="8" s="1"/>
  <c r="J119" i="8"/>
  <c r="J288" i="8"/>
  <c r="J307" i="8" s="1"/>
  <c r="J347" i="8" s="1"/>
  <c r="J117" i="8"/>
  <c r="J118" i="8" s="1"/>
  <c r="AG8" i="8"/>
  <c r="L107" i="8"/>
  <c r="D149" i="8"/>
  <c r="D150" i="8" s="1"/>
  <c r="C156" i="8"/>
  <c r="H137" i="8"/>
  <c r="H138" i="8"/>
  <c r="AC60" i="8"/>
  <c r="AC69" i="8"/>
  <c r="AC337" i="8" s="1"/>
  <c r="AC58" i="8"/>
  <c r="AC44" i="8"/>
  <c r="AC18" i="8"/>
  <c r="AC17" i="8"/>
  <c r="AC83" i="8"/>
  <c r="AC351" i="8" s="1"/>
  <c r="AC25" i="8"/>
  <c r="AC19" i="8"/>
  <c r="AC59" i="8"/>
  <c r="AC57" i="8"/>
  <c r="AA60" i="4"/>
  <c r="AA69" i="4"/>
  <c r="AA337" i="4" s="1"/>
  <c r="AA44" i="4"/>
  <c r="AA25" i="4"/>
  <c r="AA20" i="4"/>
  <c r="Z61" i="4"/>
  <c r="O21" i="4"/>
  <c r="O22" i="4" s="1"/>
  <c r="O63" i="4" s="1"/>
  <c r="O65" i="4" s="1"/>
  <c r="N98" i="4"/>
  <c r="N99" i="4" s="1"/>
  <c r="N96" i="4"/>
  <c r="N370" i="4" s="1"/>
  <c r="N379" i="4" s="1"/>
  <c r="N369" i="4"/>
  <c r="N378" i="4" s="1"/>
  <c r="J107" i="4"/>
  <c r="K104" i="4" s="1"/>
  <c r="AA82" i="4"/>
  <c r="AC35" i="4"/>
  <c r="AC33" i="4"/>
  <c r="AC36" i="4"/>
  <c r="AC34" i="4"/>
  <c r="AC31" i="4"/>
  <c r="AC32" i="4"/>
  <c r="H288" i="4"/>
  <c r="H307" i="4" s="1"/>
  <c r="H347" i="4" s="1"/>
  <c r="H119" i="4"/>
  <c r="AB90" i="4"/>
  <c r="AB89" i="4"/>
  <c r="AB92" i="4"/>
  <c r="AB87" i="4"/>
  <c r="AB86" i="4"/>
  <c r="AB85" i="4"/>
  <c r="AB91" i="4"/>
  <c r="AB94" i="4"/>
  <c r="AB95" i="4"/>
  <c r="AB363" i="4" s="1"/>
  <c r="AB88" i="4"/>
  <c r="AB93" i="4"/>
  <c r="G331" i="4"/>
  <c r="H117" i="4"/>
  <c r="H118" i="4" s="1"/>
  <c r="H122" i="4" s="1"/>
  <c r="AC30" i="4"/>
  <c r="AC29" i="4"/>
  <c r="AC28" i="4"/>
  <c r="AC27" i="4"/>
  <c r="AC37" i="4"/>
  <c r="AD3" i="8"/>
  <c r="AC55" i="4"/>
  <c r="AC6" i="4"/>
  <c r="AC53" i="4"/>
  <c r="AC13" i="4"/>
  <c r="AC14" i="4" s="1"/>
  <c r="AC5" i="4"/>
  <c r="AC15" i="4"/>
  <c r="AC52" i="4"/>
  <c r="AC54" i="4" s="1"/>
  <c r="AC50" i="4"/>
  <c r="AB43" i="4"/>
  <c r="AB42" i="4"/>
  <c r="AC49" i="4"/>
  <c r="AB41" i="4"/>
  <c r="AB39" i="4"/>
  <c r="AC48" i="4"/>
  <c r="AC47" i="4"/>
  <c r="AB40" i="4"/>
  <c r="AC46" i="4"/>
  <c r="J111" i="4"/>
  <c r="AA59" i="4"/>
  <c r="AA58" i="4"/>
  <c r="AA18" i="4"/>
  <c r="AA17" i="4"/>
  <c r="AA19" i="4"/>
  <c r="AA57" i="4"/>
  <c r="AB2" i="4"/>
  <c r="AB83" i="4" s="1"/>
  <c r="AB351" i="4" s="1"/>
  <c r="AJ8" i="4"/>
  <c r="AD2" i="8"/>
  <c r="AC1" i="4"/>
  <c r="AE1" i="8"/>
  <c r="AD3" i="4"/>
  <c r="AC376" i="4"/>
  <c r="D153" i="8" l="1"/>
  <c r="D290" i="8"/>
  <c r="D305" i="8" s="1"/>
  <c r="D345" i="8" s="1"/>
  <c r="AD82" i="8"/>
  <c r="AD20" i="8"/>
  <c r="G313" i="8"/>
  <c r="G330" i="8" s="1"/>
  <c r="G359" i="8" s="1"/>
  <c r="I132" i="8"/>
  <c r="I137" i="8" s="1"/>
  <c r="H139" i="8"/>
  <c r="H313" i="8" s="1"/>
  <c r="H330" i="8" s="1"/>
  <c r="H359" i="8" s="1"/>
  <c r="K115" i="8"/>
  <c r="J122" i="8"/>
  <c r="J312" i="8" s="1"/>
  <c r="J331" i="8" s="1"/>
  <c r="J360" i="8" s="1"/>
  <c r="L111" i="8"/>
  <c r="Y99" i="8"/>
  <c r="C314" i="8"/>
  <c r="C329" i="8" s="1"/>
  <c r="C358" i="8" s="1"/>
  <c r="C157" i="8"/>
  <c r="D154" i="8"/>
  <c r="D155" i="8"/>
  <c r="D151" i="8"/>
  <c r="D152" i="8" s="1"/>
  <c r="AH8" i="8"/>
  <c r="Z369" i="8"/>
  <c r="Z378" i="8" s="1"/>
  <c r="Z96" i="8"/>
  <c r="Z370" i="8" s="1"/>
  <c r="Z379" i="8" s="1"/>
  <c r="Z98" i="8"/>
  <c r="L350" i="8"/>
  <c r="M104" i="8"/>
  <c r="F143" i="8"/>
  <c r="F144" i="8" s="1"/>
  <c r="G145" i="8" s="1"/>
  <c r="H136" i="8"/>
  <c r="H289" i="8"/>
  <c r="H306" i="8" s="1"/>
  <c r="H346" i="8" s="1"/>
  <c r="AC61" i="8"/>
  <c r="G143" i="8"/>
  <c r="G144" i="8" s="1"/>
  <c r="AB64" i="8"/>
  <c r="AB21" i="8" s="1"/>
  <c r="AB22" i="8" s="1"/>
  <c r="AB63" i="8" s="1"/>
  <c r="AB65" i="8" s="1"/>
  <c r="AA68" i="8"/>
  <c r="AD60" i="8"/>
  <c r="AD44" i="8"/>
  <c r="AD59" i="8"/>
  <c r="AD69" i="8"/>
  <c r="AD337" i="8" s="1"/>
  <c r="AD83" i="8"/>
  <c r="AD351" i="8" s="1"/>
  <c r="AD17" i="8"/>
  <c r="AD57" i="8"/>
  <c r="AD18" i="8"/>
  <c r="AD19" i="8"/>
  <c r="AD58" i="8"/>
  <c r="AD25" i="8"/>
  <c r="AB60" i="4"/>
  <c r="AB69" i="4"/>
  <c r="AB337" i="4" s="1"/>
  <c r="AB44" i="4"/>
  <c r="AB25" i="4"/>
  <c r="AB20" i="4"/>
  <c r="AA61" i="4"/>
  <c r="P64" i="4"/>
  <c r="O68" i="4"/>
  <c r="J350" i="4"/>
  <c r="AB82" i="4"/>
  <c r="K105" i="4"/>
  <c r="K106" i="4" s="1"/>
  <c r="AD31" i="4"/>
  <c r="AD36" i="4"/>
  <c r="AD32" i="4"/>
  <c r="AD34" i="4"/>
  <c r="AD35" i="4"/>
  <c r="AD33" i="4"/>
  <c r="AC92" i="4"/>
  <c r="AC93" i="4"/>
  <c r="AC86" i="4"/>
  <c r="AC95" i="4"/>
  <c r="AC363" i="4" s="1"/>
  <c r="AC90" i="4"/>
  <c r="AC89" i="4"/>
  <c r="AC88" i="4"/>
  <c r="AC91" i="4"/>
  <c r="AC87" i="4"/>
  <c r="AC94" i="4"/>
  <c r="AC85" i="4"/>
  <c r="AD30" i="4"/>
  <c r="AD28" i="4"/>
  <c r="AD27" i="4"/>
  <c r="AD29" i="4"/>
  <c r="AD37" i="4"/>
  <c r="AE3" i="8"/>
  <c r="AD15" i="4"/>
  <c r="AD53" i="4"/>
  <c r="AD5" i="4"/>
  <c r="AD13" i="4"/>
  <c r="AD14" i="4" s="1"/>
  <c r="AD6" i="4"/>
  <c r="AD52" i="4"/>
  <c r="AD55" i="4" s="1"/>
  <c r="AD50" i="4"/>
  <c r="AC42" i="4"/>
  <c r="AD49" i="4"/>
  <c r="AD46" i="4"/>
  <c r="AC40" i="4"/>
  <c r="AC43" i="4"/>
  <c r="AC41" i="4"/>
  <c r="AD47" i="4"/>
  <c r="AC39" i="4"/>
  <c r="AD48" i="4"/>
  <c r="I115" i="4"/>
  <c r="H312" i="4"/>
  <c r="AK8" i="4"/>
  <c r="AB18" i="4"/>
  <c r="AB58" i="4"/>
  <c r="AB17" i="4"/>
  <c r="AB59" i="4"/>
  <c r="AB19" i="4"/>
  <c r="AB57" i="4"/>
  <c r="AC2" i="4"/>
  <c r="AC83" i="4" s="1"/>
  <c r="AC351" i="4" s="1"/>
  <c r="J112" i="4"/>
  <c r="I116" i="4" s="1"/>
  <c r="AE2" i="8"/>
  <c r="AF1" i="8"/>
  <c r="AD1" i="4"/>
  <c r="AE3" i="4"/>
  <c r="AD376" i="4"/>
  <c r="I138" i="8" l="1"/>
  <c r="AE82" i="8"/>
  <c r="AE20" i="8"/>
  <c r="H140" i="8"/>
  <c r="E149" i="8"/>
  <c r="D156" i="8"/>
  <c r="AI8" i="8"/>
  <c r="Z99" i="8"/>
  <c r="AD61" i="8"/>
  <c r="L112" i="8"/>
  <c r="K116" i="8" s="1"/>
  <c r="AB68" i="8"/>
  <c r="AC64" i="8"/>
  <c r="AC21" i="8" s="1"/>
  <c r="AC22" i="8" s="1"/>
  <c r="AC63" i="8" s="1"/>
  <c r="AC65" i="8" s="1"/>
  <c r="AA369" i="8"/>
  <c r="AA378" i="8" s="1"/>
  <c r="AA98" i="8"/>
  <c r="AA96" i="8"/>
  <c r="AA370" i="8" s="1"/>
  <c r="AA379" i="8" s="1"/>
  <c r="H142" i="8"/>
  <c r="F145" i="8"/>
  <c r="M105" i="8"/>
  <c r="K121" i="8"/>
  <c r="K120" i="8"/>
  <c r="AE60" i="8"/>
  <c r="AE44" i="8"/>
  <c r="AE59" i="8"/>
  <c r="AE17" i="8"/>
  <c r="AE25" i="8"/>
  <c r="AE83" i="8"/>
  <c r="AE351" i="8" s="1"/>
  <c r="AE57" i="8"/>
  <c r="AE58" i="8"/>
  <c r="AE19" i="8"/>
  <c r="AE18" i="8"/>
  <c r="AE69" i="8"/>
  <c r="AE337" i="8" s="1"/>
  <c r="C159" i="8"/>
  <c r="J123" i="8"/>
  <c r="AC60" i="4"/>
  <c r="AC69" i="4"/>
  <c r="AC337" i="4" s="1"/>
  <c r="AC44" i="4"/>
  <c r="AC25" i="4"/>
  <c r="AC20" i="4"/>
  <c r="AB61" i="4"/>
  <c r="O98" i="4"/>
  <c r="O99" i="4" s="1"/>
  <c r="O96" i="4"/>
  <c r="O370" i="4" s="1"/>
  <c r="O379" i="4" s="1"/>
  <c r="O369" i="4"/>
  <c r="O378" i="4" s="1"/>
  <c r="P21" i="4"/>
  <c r="P22" i="4" s="1"/>
  <c r="P63" i="4" s="1"/>
  <c r="P65" i="4" s="1"/>
  <c r="AC82" i="4"/>
  <c r="AE36" i="4"/>
  <c r="AE32" i="4"/>
  <c r="AE31" i="4"/>
  <c r="AE35" i="4"/>
  <c r="AE34" i="4"/>
  <c r="AE33" i="4"/>
  <c r="I288" i="4"/>
  <c r="I307" i="4" s="1"/>
  <c r="I347" i="4" s="1"/>
  <c r="I119" i="4"/>
  <c r="AD90" i="4"/>
  <c r="AD94" i="4"/>
  <c r="AD91" i="4"/>
  <c r="AD93" i="4"/>
  <c r="AD86" i="4"/>
  <c r="AD92" i="4"/>
  <c r="AD88" i="4"/>
  <c r="AD89" i="4"/>
  <c r="AD87" i="4"/>
  <c r="AD95" i="4"/>
  <c r="AD363" i="4" s="1"/>
  <c r="AD85" i="4"/>
  <c r="H331" i="4"/>
  <c r="I117" i="4"/>
  <c r="I118" i="4" s="1"/>
  <c r="J115" i="4" s="1"/>
  <c r="AE30" i="4"/>
  <c r="AE27" i="4"/>
  <c r="AE29" i="4"/>
  <c r="AE28" i="4"/>
  <c r="AE37" i="4"/>
  <c r="AD54" i="4"/>
  <c r="AE50" i="4"/>
  <c r="AD43" i="4"/>
  <c r="AE49" i="4"/>
  <c r="AD41" i="4"/>
  <c r="AE46" i="4"/>
  <c r="AD40" i="4"/>
  <c r="AD39" i="4"/>
  <c r="AE48" i="4"/>
  <c r="AD42" i="4"/>
  <c r="AE52" i="4"/>
  <c r="AE55" i="4" s="1"/>
  <c r="AE47" i="4"/>
  <c r="AF3" i="8"/>
  <c r="AE54" i="4"/>
  <c r="AE15" i="4"/>
  <c r="AE53" i="4"/>
  <c r="AE13" i="4"/>
  <c r="AE14" i="4" s="1"/>
  <c r="AE5" i="4"/>
  <c r="AE6" i="4"/>
  <c r="H123" i="4"/>
  <c r="H125" i="4" s="1"/>
  <c r="AL8" i="4"/>
  <c r="K108" i="4"/>
  <c r="K109" i="4" s="1"/>
  <c r="K107" i="4"/>
  <c r="I121" i="4"/>
  <c r="I120" i="4"/>
  <c r="AC58" i="4"/>
  <c r="AC57" i="4"/>
  <c r="AC59" i="4"/>
  <c r="AC17" i="4"/>
  <c r="AC19" i="4"/>
  <c r="AC18" i="4"/>
  <c r="AD2" i="4"/>
  <c r="AD83" i="4" s="1"/>
  <c r="AD351" i="4" s="1"/>
  <c r="AF2" i="8"/>
  <c r="AF20" i="8" s="1"/>
  <c r="AE1" i="4"/>
  <c r="AG1" i="8"/>
  <c r="AE376" i="4"/>
  <c r="AF3" i="4"/>
  <c r="K117" i="8" l="1"/>
  <c r="K118" i="8" s="1"/>
  <c r="AE61" i="8"/>
  <c r="M108" i="8"/>
  <c r="M109" i="8" s="1"/>
  <c r="J125" i="8"/>
  <c r="AJ8" i="8"/>
  <c r="F146" i="8"/>
  <c r="C160" i="8"/>
  <c r="C161" i="8" s="1"/>
  <c r="C162" i="8" s="1"/>
  <c r="AA99" i="8"/>
  <c r="AF59" i="8"/>
  <c r="AF83" i="8"/>
  <c r="AF351" i="8" s="1"/>
  <c r="AF60" i="8"/>
  <c r="AF44" i="8"/>
  <c r="AF25" i="8"/>
  <c r="AF58" i="8"/>
  <c r="AF19" i="8"/>
  <c r="AF18" i="8"/>
  <c r="AF17" i="8"/>
  <c r="AF69" i="8"/>
  <c r="AF337" i="8" s="1"/>
  <c r="AF57" i="8"/>
  <c r="M106" i="8"/>
  <c r="M107" i="8" s="1"/>
  <c r="AC68" i="8"/>
  <c r="AD64" i="8"/>
  <c r="AD21" i="8" s="1"/>
  <c r="AD22" i="8" s="1"/>
  <c r="AD63" i="8" s="1"/>
  <c r="AD65" i="8" s="1"/>
  <c r="AF82" i="8"/>
  <c r="H143" i="8"/>
  <c r="H144" i="8" s="1"/>
  <c r="H145" i="8" s="1"/>
  <c r="AB369" i="8"/>
  <c r="AB378" i="8" s="1"/>
  <c r="AB98" i="8"/>
  <c r="AB96" i="8"/>
  <c r="AB370" i="8" s="1"/>
  <c r="AB379" i="8" s="1"/>
  <c r="D314" i="8"/>
  <c r="D329" i="8" s="1"/>
  <c r="D358" i="8" s="1"/>
  <c r="D157" i="8"/>
  <c r="K119" i="8"/>
  <c r="K288" i="8"/>
  <c r="K307" i="8" s="1"/>
  <c r="K347" i="8" s="1"/>
  <c r="E154" i="8"/>
  <c r="E155" i="8"/>
  <c r="AD60" i="4"/>
  <c r="AD69" i="4"/>
  <c r="AD337" i="4" s="1"/>
  <c r="AD44" i="4"/>
  <c r="AD25" i="4"/>
  <c r="AD20" i="4"/>
  <c r="AC61" i="4"/>
  <c r="Q64" i="4"/>
  <c r="P68" i="4"/>
  <c r="AD82" i="4"/>
  <c r="AF31" i="4"/>
  <c r="AF35" i="4"/>
  <c r="AF34" i="4"/>
  <c r="AF33" i="4"/>
  <c r="AF36" i="4"/>
  <c r="AF32" i="4"/>
  <c r="AE95" i="4"/>
  <c r="AE363" i="4" s="1"/>
  <c r="AE93" i="4"/>
  <c r="AE87" i="4"/>
  <c r="AE88" i="4"/>
  <c r="AE91" i="4"/>
  <c r="AE89" i="4"/>
  <c r="AE92" i="4"/>
  <c r="AE94" i="4"/>
  <c r="AE85" i="4"/>
  <c r="AE86" i="4"/>
  <c r="AE90" i="4"/>
  <c r="I122" i="4"/>
  <c r="I312" i="4" s="1"/>
  <c r="AF30" i="4"/>
  <c r="AF29" i="4"/>
  <c r="AF28" i="4"/>
  <c r="AF27" i="4"/>
  <c r="AF37" i="4"/>
  <c r="AG3" i="8"/>
  <c r="AF53" i="4"/>
  <c r="AF13" i="4"/>
  <c r="AF14" i="4" s="1"/>
  <c r="AF15" i="4"/>
  <c r="AF54" i="4"/>
  <c r="AF5" i="4"/>
  <c r="AF6" i="4"/>
  <c r="AE42" i="4"/>
  <c r="AF49" i="4"/>
  <c r="AF50" i="4"/>
  <c r="AF46" i="4"/>
  <c r="AE40" i="4"/>
  <c r="AF48" i="4"/>
  <c r="AF47" i="4"/>
  <c r="AE39" i="4"/>
  <c r="AE43" i="4"/>
  <c r="AE41" i="4"/>
  <c r="AF52" i="4"/>
  <c r="AF55" i="4" s="1"/>
  <c r="K111" i="4"/>
  <c r="J120" i="4"/>
  <c r="J121" i="4"/>
  <c r="AM8" i="4"/>
  <c r="K350" i="4"/>
  <c r="L104" i="4"/>
  <c r="AD17" i="4"/>
  <c r="AD57" i="4"/>
  <c r="AD59" i="4"/>
  <c r="AD58" i="4"/>
  <c r="AD19" i="4"/>
  <c r="AD18" i="4"/>
  <c r="AE2" i="4"/>
  <c r="AE83" i="4" s="1"/>
  <c r="AE351" i="4" s="1"/>
  <c r="H126" i="4"/>
  <c r="H127" i="4" s="1"/>
  <c r="H128" i="4" s="1"/>
  <c r="AG2" i="8"/>
  <c r="AG20" i="8" s="1"/>
  <c r="AH1" i="8"/>
  <c r="AF1" i="4"/>
  <c r="AF376" i="4"/>
  <c r="AG3" i="4"/>
  <c r="L115" i="8" l="1"/>
  <c r="K122" i="8"/>
  <c r="K312" i="8" s="1"/>
  <c r="K331" i="8" s="1"/>
  <c r="K360" i="8" s="1"/>
  <c r="AG82" i="8"/>
  <c r="M111" i="8"/>
  <c r="AG58" i="8"/>
  <c r="AG60" i="8"/>
  <c r="AG44" i="8"/>
  <c r="AG25" i="8"/>
  <c r="AG57" i="8"/>
  <c r="AG83" i="8"/>
  <c r="AG351" i="8" s="1"/>
  <c r="AG19" i="8"/>
  <c r="AG59" i="8"/>
  <c r="AG18" i="8"/>
  <c r="AG17" i="8"/>
  <c r="AG69" i="8"/>
  <c r="AG337" i="8" s="1"/>
  <c r="C163" i="8"/>
  <c r="E150" i="8"/>
  <c r="G146" i="8"/>
  <c r="F150" i="8" s="1"/>
  <c r="AF61" i="8"/>
  <c r="AD68" i="8"/>
  <c r="AE64" i="8"/>
  <c r="AE21" i="8" s="1"/>
  <c r="AE22" i="8" s="1"/>
  <c r="AE63" i="8" s="1"/>
  <c r="AE65" i="8" s="1"/>
  <c r="M350" i="8"/>
  <c r="N104" i="8"/>
  <c r="AC369" i="8"/>
  <c r="AC378" i="8" s="1"/>
  <c r="AC96" i="8"/>
  <c r="AC370" i="8" s="1"/>
  <c r="AC379" i="8" s="1"/>
  <c r="AC98" i="8"/>
  <c r="AK8" i="8"/>
  <c r="J126" i="8"/>
  <c r="J127" i="8" s="1"/>
  <c r="J128" i="8" s="1"/>
  <c r="D159" i="8"/>
  <c r="AB99" i="8"/>
  <c r="AE60" i="4"/>
  <c r="AE69" i="4"/>
  <c r="AE337" i="4" s="1"/>
  <c r="AE44" i="4"/>
  <c r="AE25" i="4"/>
  <c r="AE20" i="4"/>
  <c r="AD61" i="4"/>
  <c r="P96" i="4"/>
  <c r="P370" i="4" s="1"/>
  <c r="P379" i="4" s="1"/>
  <c r="P98" i="4"/>
  <c r="P99" i="4" s="1"/>
  <c r="P369" i="4"/>
  <c r="P378" i="4" s="1"/>
  <c r="Q21" i="4"/>
  <c r="Q22" i="4" s="1"/>
  <c r="Q63" i="4" s="1"/>
  <c r="Q65" i="4" s="1"/>
  <c r="AE82" i="4"/>
  <c r="L105" i="4"/>
  <c r="L106" i="4" s="1"/>
  <c r="AG33" i="4"/>
  <c r="AG31" i="4"/>
  <c r="AG34" i="4"/>
  <c r="AG36" i="4"/>
  <c r="AG32" i="4"/>
  <c r="AG35" i="4"/>
  <c r="AF91" i="4"/>
  <c r="AF85" i="4"/>
  <c r="AF94" i="4"/>
  <c r="AF92" i="4"/>
  <c r="AF89" i="4"/>
  <c r="AF88" i="4"/>
  <c r="AF90" i="4"/>
  <c r="AF87" i="4"/>
  <c r="AF93" i="4"/>
  <c r="AF95" i="4"/>
  <c r="AF363" i="4" s="1"/>
  <c r="AF86" i="4"/>
  <c r="I331" i="4"/>
  <c r="AG30" i="4"/>
  <c r="AG28" i="4"/>
  <c r="AG27" i="4"/>
  <c r="AG29" i="4"/>
  <c r="AG37" i="4"/>
  <c r="AH3" i="8"/>
  <c r="AG49" i="4"/>
  <c r="AF41" i="4"/>
  <c r="AG48" i="4"/>
  <c r="AF40" i="4"/>
  <c r="AF39" i="4"/>
  <c r="AG52" i="4"/>
  <c r="AG55" i="4" s="1"/>
  <c r="AG46" i="4"/>
  <c r="AG47" i="4"/>
  <c r="AF42" i="4"/>
  <c r="AG50" i="4"/>
  <c r="AF43" i="4"/>
  <c r="AG53" i="4"/>
  <c r="AG54" i="4"/>
  <c r="AG13" i="4"/>
  <c r="AG14" i="4" s="1"/>
  <c r="AG5" i="4"/>
  <c r="AG15" i="4"/>
  <c r="AG6" i="4"/>
  <c r="K112" i="4"/>
  <c r="J116" i="4" s="1"/>
  <c r="AE57" i="4"/>
  <c r="AE19" i="4"/>
  <c r="AE59" i="4"/>
  <c r="AE58" i="4"/>
  <c r="AE17" i="4"/>
  <c r="AE18" i="4"/>
  <c r="AF2" i="4"/>
  <c r="AF83" i="4" s="1"/>
  <c r="AF351" i="4" s="1"/>
  <c r="I123" i="4"/>
  <c r="AH2" i="8"/>
  <c r="AH20" i="8" s="1"/>
  <c r="AG1" i="4"/>
  <c r="AI1" i="8"/>
  <c r="AG376" i="4"/>
  <c r="AH3" i="4"/>
  <c r="K123" i="8" l="1"/>
  <c r="K125" i="8" s="1"/>
  <c r="AH82" i="8"/>
  <c r="L121" i="8"/>
  <c r="L120" i="8"/>
  <c r="H146" i="8"/>
  <c r="G150" i="8" s="1"/>
  <c r="G153" i="8" s="1"/>
  <c r="F153" i="8"/>
  <c r="J129" i="8"/>
  <c r="I133" i="8" s="1"/>
  <c r="E153" i="8"/>
  <c r="F290" i="8"/>
  <c r="F305" i="8" s="1"/>
  <c r="F345" i="8" s="1"/>
  <c r="E290" i="8"/>
  <c r="E305" i="8" s="1"/>
  <c r="E345" i="8" s="1"/>
  <c r="E151" i="8"/>
  <c r="E152" i="8" s="1"/>
  <c r="AG61" i="8"/>
  <c r="AC99" i="8"/>
  <c r="AH58" i="8"/>
  <c r="AH60" i="8"/>
  <c r="AH44" i="8"/>
  <c r="AH25" i="8"/>
  <c r="AH57" i="8"/>
  <c r="AH83" i="8"/>
  <c r="AH351" i="8" s="1"/>
  <c r="AH59" i="8"/>
  <c r="AH19" i="8"/>
  <c r="AH18" i="8"/>
  <c r="AH17" i="8"/>
  <c r="AH69" i="8"/>
  <c r="AH337" i="8" s="1"/>
  <c r="AL8" i="8"/>
  <c r="M112" i="8"/>
  <c r="L116" i="8" s="1"/>
  <c r="N105" i="8"/>
  <c r="AE68" i="8"/>
  <c r="AF64" i="8"/>
  <c r="AF21" i="8" s="1"/>
  <c r="AF22" i="8" s="1"/>
  <c r="AF63" i="8" s="1"/>
  <c r="AF65" i="8" s="1"/>
  <c r="D160" i="8"/>
  <c r="D161" i="8" s="1"/>
  <c r="D162" i="8" s="1"/>
  <c r="AD369" i="8"/>
  <c r="AD378" i="8" s="1"/>
  <c r="AD96" i="8"/>
  <c r="AD370" i="8" s="1"/>
  <c r="AD379" i="8" s="1"/>
  <c r="AD98" i="8"/>
  <c r="K126" i="8"/>
  <c r="K127" i="8" s="1"/>
  <c r="K128" i="8" s="1"/>
  <c r="AF60" i="4"/>
  <c r="AF69" i="4"/>
  <c r="AF337" i="4" s="1"/>
  <c r="AF44" i="4"/>
  <c r="AF25" i="4"/>
  <c r="AF20" i="4"/>
  <c r="AE61" i="4"/>
  <c r="R64" i="4"/>
  <c r="Q68" i="4"/>
  <c r="AF82" i="4"/>
  <c r="AH35" i="4"/>
  <c r="AH36" i="4"/>
  <c r="AH31" i="4"/>
  <c r="AH34" i="4"/>
  <c r="AH33" i="4"/>
  <c r="AH32" i="4"/>
  <c r="J288" i="4"/>
  <c r="J307" i="4" s="1"/>
  <c r="J347" i="4" s="1"/>
  <c r="J119" i="4"/>
  <c r="AG88" i="4"/>
  <c r="AG93" i="4"/>
  <c r="AG92" i="4"/>
  <c r="AG85" i="4"/>
  <c r="AG91" i="4"/>
  <c r="AG89" i="4"/>
  <c r="AG87" i="4"/>
  <c r="AG90" i="4"/>
  <c r="AG94" i="4"/>
  <c r="AG86" i="4"/>
  <c r="AG95" i="4"/>
  <c r="AG363" i="4" s="1"/>
  <c r="J117" i="4"/>
  <c r="J118" i="4" s="1"/>
  <c r="J122" i="4" s="1"/>
  <c r="AH30" i="4"/>
  <c r="AH29" i="4"/>
  <c r="AH28" i="4"/>
  <c r="AH27" i="4"/>
  <c r="AH37" i="4"/>
  <c r="AI3" i="8"/>
  <c r="AH13" i="4"/>
  <c r="AH14" i="4" s="1"/>
  <c r="AH53" i="4"/>
  <c r="AH15" i="4"/>
  <c r="AH54" i="4"/>
  <c r="AH6" i="4"/>
  <c r="AH5" i="4"/>
  <c r="AH48" i="4"/>
  <c r="AH49" i="4"/>
  <c r="AG43" i="4"/>
  <c r="AG39" i="4"/>
  <c r="AH52" i="4"/>
  <c r="AH55" i="4" s="1"/>
  <c r="AH46" i="4"/>
  <c r="AG40" i="4"/>
  <c r="AG42" i="4"/>
  <c r="AG41" i="4"/>
  <c r="AH50" i="4"/>
  <c r="AH47" i="4"/>
  <c r="L108" i="4"/>
  <c r="L109" i="4" s="1"/>
  <c r="L107" i="4"/>
  <c r="I125" i="4"/>
  <c r="AF59" i="4"/>
  <c r="AF58" i="4"/>
  <c r="AF17" i="4"/>
  <c r="AF57" i="4"/>
  <c r="AF18" i="4"/>
  <c r="AF19" i="4"/>
  <c r="AG2" i="4"/>
  <c r="AG83" i="4" s="1"/>
  <c r="AG351" i="4" s="1"/>
  <c r="AI2" i="8"/>
  <c r="AI20" i="8" s="1"/>
  <c r="AJ1" i="8"/>
  <c r="AH1" i="4"/>
  <c r="AI3" i="4"/>
  <c r="AH376" i="4"/>
  <c r="G290" i="8" l="1"/>
  <c r="G305" i="8" s="1"/>
  <c r="G345" i="8" s="1"/>
  <c r="F149" i="8"/>
  <c r="E156" i="8"/>
  <c r="E157" i="8" s="1"/>
  <c r="D163" i="8"/>
  <c r="C167" i="8" s="1"/>
  <c r="AE369" i="8"/>
  <c r="AE378" i="8" s="1"/>
  <c r="AE96" i="8"/>
  <c r="AE370" i="8" s="1"/>
  <c r="AE379" i="8" s="1"/>
  <c r="AE98" i="8"/>
  <c r="K129" i="8"/>
  <c r="AI57" i="8"/>
  <c r="AI69" i="8"/>
  <c r="AI337" i="8" s="1"/>
  <c r="AI60" i="8"/>
  <c r="AI83" i="8"/>
  <c r="AI351" i="8" s="1"/>
  <c r="AI59" i="8"/>
  <c r="AI18" i="8"/>
  <c r="AI17" i="8"/>
  <c r="AI19" i="8"/>
  <c r="AI25" i="8"/>
  <c r="AI44" i="8"/>
  <c r="AI58" i="8"/>
  <c r="AG64" i="8"/>
  <c r="AG21" i="8" s="1"/>
  <c r="AG22" i="8" s="1"/>
  <c r="AG63" i="8" s="1"/>
  <c r="AG65" i="8" s="1"/>
  <c r="AF68" i="8"/>
  <c r="AI82" i="8"/>
  <c r="AD99" i="8"/>
  <c r="L119" i="8"/>
  <c r="L288" i="8"/>
  <c r="L307" i="8" s="1"/>
  <c r="L347" i="8" s="1"/>
  <c r="L117" i="8"/>
  <c r="L118" i="8" s="1"/>
  <c r="N108" i="8"/>
  <c r="N109" i="8" s="1"/>
  <c r="AH61" i="8"/>
  <c r="N106" i="8"/>
  <c r="N107" i="8" s="1"/>
  <c r="I136" i="8"/>
  <c r="I289" i="8"/>
  <c r="I306" i="8" s="1"/>
  <c r="I346" i="8" s="1"/>
  <c r="I134" i="8"/>
  <c r="I135" i="8" s="1"/>
  <c r="AM8" i="8"/>
  <c r="AG60" i="4"/>
  <c r="AG69" i="4"/>
  <c r="AG337" i="4" s="1"/>
  <c r="AG44" i="4"/>
  <c r="AG25" i="4"/>
  <c r="AG20" i="4"/>
  <c r="AF61" i="4"/>
  <c r="Q98" i="4"/>
  <c r="Q99" i="4" s="1"/>
  <c r="Q96" i="4"/>
  <c r="Q370" i="4" s="1"/>
  <c r="Q379" i="4" s="1"/>
  <c r="Q369" i="4"/>
  <c r="Q378" i="4" s="1"/>
  <c r="R21" i="4"/>
  <c r="R22" i="4" s="1"/>
  <c r="R63" i="4" s="1"/>
  <c r="R65" i="4" s="1"/>
  <c r="AG82" i="4"/>
  <c r="AI34" i="4"/>
  <c r="AI36" i="4"/>
  <c r="AI35" i="4"/>
  <c r="AI31" i="4"/>
  <c r="AI33" i="4"/>
  <c r="AI32" i="4"/>
  <c r="AH94" i="4"/>
  <c r="AH90" i="4"/>
  <c r="AH95" i="4"/>
  <c r="AH363" i="4" s="1"/>
  <c r="AH89" i="4"/>
  <c r="AH88" i="4"/>
  <c r="AH87" i="4"/>
  <c r="AH92" i="4"/>
  <c r="AH86" i="4"/>
  <c r="AH91" i="4"/>
  <c r="AH85" i="4"/>
  <c r="AH93" i="4"/>
  <c r="AI30" i="4"/>
  <c r="AI28" i="4"/>
  <c r="AI27" i="4"/>
  <c r="AI29" i="4"/>
  <c r="AI37" i="4"/>
  <c r="AJ3" i="8"/>
  <c r="AI48" i="4"/>
  <c r="AH40" i="4"/>
  <c r="AI47" i="4"/>
  <c r="AH39" i="4"/>
  <c r="AI52" i="4"/>
  <c r="AI55" i="4" s="1"/>
  <c r="AH43" i="4"/>
  <c r="AI46" i="4"/>
  <c r="AI49" i="4"/>
  <c r="AH42" i="4"/>
  <c r="AH41" i="4"/>
  <c r="AI50" i="4"/>
  <c r="AI53" i="4"/>
  <c r="AI6" i="4"/>
  <c r="AI13" i="4"/>
  <c r="AI14" i="4" s="1"/>
  <c r="AI54" i="4"/>
  <c r="AI15" i="4"/>
  <c r="AI5" i="4"/>
  <c r="L350" i="4"/>
  <c r="M104" i="4"/>
  <c r="L111" i="4"/>
  <c r="K115" i="4"/>
  <c r="J312" i="4"/>
  <c r="AG18" i="4"/>
  <c r="AG58" i="4"/>
  <c r="AG57" i="4"/>
  <c r="AG17" i="4"/>
  <c r="AG19" i="4"/>
  <c r="AG59" i="4"/>
  <c r="AH2" i="4"/>
  <c r="AH83" i="4" s="1"/>
  <c r="AH351" i="4" s="1"/>
  <c r="I126" i="4"/>
  <c r="I127" i="4" s="1"/>
  <c r="I128" i="4" s="1"/>
  <c r="AJ2" i="8"/>
  <c r="AJ20" i="8" s="1"/>
  <c r="AK1" i="8"/>
  <c r="AI1" i="4"/>
  <c r="AI376" i="4"/>
  <c r="AJ3" i="4"/>
  <c r="AI61" i="8" l="1"/>
  <c r="J132" i="8"/>
  <c r="I139" i="8"/>
  <c r="I313" i="8" s="1"/>
  <c r="I330" i="8" s="1"/>
  <c r="I359" i="8" s="1"/>
  <c r="N350" i="8"/>
  <c r="O104" i="8"/>
  <c r="I140" i="8"/>
  <c r="N111" i="8"/>
  <c r="J133" i="8"/>
  <c r="M115" i="8"/>
  <c r="L122" i="8"/>
  <c r="AE99" i="8"/>
  <c r="C291" i="8"/>
  <c r="C303" i="8" s="1"/>
  <c r="C342" i="8" s="1"/>
  <c r="C170" i="8"/>
  <c r="C169" i="8"/>
  <c r="AJ57" i="8"/>
  <c r="AJ69" i="8"/>
  <c r="AJ337" i="8" s="1"/>
  <c r="AJ60" i="8"/>
  <c r="AJ83" i="8"/>
  <c r="AJ351" i="8" s="1"/>
  <c r="AJ59" i="8"/>
  <c r="AJ19" i="8"/>
  <c r="AJ58" i="8"/>
  <c r="AJ25" i="8"/>
  <c r="AJ17" i="8"/>
  <c r="AJ18" i="8"/>
  <c r="AJ44" i="8"/>
  <c r="AJ82" i="8"/>
  <c r="E159" i="8"/>
  <c r="AF369" i="8"/>
  <c r="AF378" i="8" s="1"/>
  <c r="AF96" i="8"/>
  <c r="AF370" i="8" s="1"/>
  <c r="AF379" i="8" s="1"/>
  <c r="AF98" i="8"/>
  <c r="AG68" i="8"/>
  <c r="AH64" i="8"/>
  <c r="AH21" i="8" s="1"/>
  <c r="AH22" i="8" s="1"/>
  <c r="AH63" i="8" s="1"/>
  <c r="AH65" i="8" s="1"/>
  <c r="E314" i="8"/>
  <c r="E329" i="8" s="1"/>
  <c r="E358" i="8" s="1"/>
  <c r="F155" i="8"/>
  <c r="F154" i="8"/>
  <c r="F151" i="8"/>
  <c r="F152" i="8" s="1"/>
  <c r="AH60" i="4"/>
  <c r="AH69" i="4"/>
  <c r="AH337" i="4" s="1"/>
  <c r="AH44" i="4"/>
  <c r="AH25" i="4"/>
  <c r="AH20" i="4"/>
  <c r="AG61" i="4"/>
  <c r="R68" i="4"/>
  <c r="S64" i="4"/>
  <c r="AH82" i="4"/>
  <c r="M105" i="4"/>
  <c r="M106" i="4" s="1"/>
  <c r="AJ36" i="4"/>
  <c r="AJ34" i="4"/>
  <c r="AJ35" i="4"/>
  <c r="AJ32" i="4"/>
  <c r="AJ31" i="4"/>
  <c r="AJ33" i="4"/>
  <c r="AI95" i="4"/>
  <c r="AI363" i="4" s="1"/>
  <c r="AI91" i="4"/>
  <c r="AI90" i="4"/>
  <c r="AI92" i="4"/>
  <c r="AI87" i="4"/>
  <c r="AI88" i="4"/>
  <c r="AI86" i="4"/>
  <c r="AI94" i="4"/>
  <c r="AI85" i="4"/>
  <c r="AI89" i="4"/>
  <c r="AI93" i="4"/>
  <c r="J331" i="4"/>
  <c r="AJ30" i="4"/>
  <c r="AJ29" i="4"/>
  <c r="AJ28" i="4"/>
  <c r="AJ27" i="4"/>
  <c r="AJ37" i="4"/>
  <c r="AJ54" i="4"/>
  <c r="AJ15" i="4"/>
  <c r="AJ5" i="4"/>
  <c r="AJ13" i="4"/>
  <c r="AJ14" i="4" s="1"/>
  <c r="AJ53" i="4"/>
  <c r="AJ6" i="4"/>
  <c r="AK3" i="8"/>
  <c r="AJ47" i="4"/>
  <c r="AJ50" i="4"/>
  <c r="AI43" i="4"/>
  <c r="AJ48" i="4"/>
  <c r="AI41" i="4"/>
  <c r="AJ52" i="4"/>
  <c r="AJ55" i="4" s="1"/>
  <c r="AI42" i="4"/>
  <c r="AJ46" i="4"/>
  <c r="AJ49" i="4"/>
  <c r="AI40" i="4"/>
  <c r="AI39" i="4"/>
  <c r="L112" i="4"/>
  <c r="K116" i="4" s="1"/>
  <c r="J123" i="4"/>
  <c r="AH58" i="4"/>
  <c r="AH57" i="4"/>
  <c r="AH19" i="4"/>
  <c r="AH18" i="4"/>
  <c r="AH17" i="4"/>
  <c r="AH59" i="4"/>
  <c r="AI2" i="4"/>
  <c r="AI83" i="4" s="1"/>
  <c r="AI351" i="4" s="1"/>
  <c r="K120" i="4"/>
  <c r="K121" i="4"/>
  <c r="AK2" i="8"/>
  <c r="AK20" i="8" s="1"/>
  <c r="AJ1" i="4"/>
  <c r="AL1" i="8"/>
  <c r="AJ376" i="4"/>
  <c r="AK3" i="4"/>
  <c r="AK82" i="8" l="1"/>
  <c r="G149" i="8"/>
  <c r="F156" i="8"/>
  <c r="L312" i="8"/>
  <c r="L331" i="8" s="1"/>
  <c r="L360" i="8" s="1"/>
  <c r="L123" i="8"/>
  <c r="M121" i="8"/>
  <c r="M120" i="8"/>
  <c r="F157" i="8"/>
  <c r="J136" i="8"/>
  <c r="J289" i="8"/>
  <c r="J306" i="8" s="1"/>
  <c r="J346" i="8" s="1"/>
  <c r="N112" i="8"/>
  <c r="M116" i="8" s="1"/>
  <c r="M117" i="8" s="1"/>
  <c r="M118" i="8" s="1"/>
  <c r="N115" i="8" s="1"/>
  <c r="E160" i="8"/>
  <c r="E161" i="8" s="1"/>
  <c r="E162" i="8" s="1"/>
  <c r="AH68" i="8"/>
  <c r="AI64" i="8"/>
  <c r="AI21" i="8" s="1"/>
  <c r="AI22" i="8" s="1"/>
  <c r="AI63" i="8" s="1"/>
  <c r="AI65" i="8" s="1"/>
  <c r="D166" i="8"/>
  <c r="C173" i="8"/>
  <c r="I142" i="8"/>
  <c r="AG369" i="8"/>
  <c r="AG378" i="8" s="1"/>
  <c r="AG98" i="8"/>
  <c r="AG96" i="8"/>
  <c r="AG370" i="8" s="1"/>
  <c r="AG379" i="8" s="1"/>
  <c r="AJ61" i="8"/>
  <c r="O105" i="8"/>
  <c r="AF99" i="8"/>
  <c r="AK69" i="8"/>
  <c r="AK337" i="8" s="1"/>
  <c r="AK83" i="8"/>
  <c r="AK351" i="8" s="1"/>
  <c r="AK59" i="8"/>
  <c r="AK60" i="8"/>
  <c r="AK57" i="8"/>
  <c r="AK58" i="8"/>
  <c r="AK19" i="8"/>
  <c r="AK17" i="8"/>
  <c r="AK44" i="8"/>
  <c r="AK18" i="8"/>
  <c r="AK25" i="8"/>
  <c r="J138" i="8"/>
  <c r="J137" i="8"/>
  <c r="J134" i="8"/>
  <c r="J135" i="8" s="1"/>
  <c r="AI60" i="4"/>
  <c r="AI69" i="4"/>
  <c r="AI337" i="4" s="1"/>
  <c r="AI44" i="4"/>
  <c r="AI25" i="4"/>
  <c r="AI20" i="4"/>
  <c r="AH61" i="4"/>
  <c r="S21" i="4"/>
  <c r="S22" i="4" s="1"/>
  <c r="S63" i="4" s="1"/>
  <c r="S65" i="4" s="1"/>
  <c r="R96" i="4"/>
  <c r="R370" i="4" s="1"/>
  <c r="R379" i="4" s="1"/>
  <c r="R98" i="4"/>
  <c r="R99" i="4" s="1"/>
  <c r="R369" i="4"/>
  <c r="R378" i="4" s="1"/>
  <c r="AI82" i="4"/>
  <c r="AK33" i="4"/>
  <c r="AK31" i="4"/>
  <c r="AK36" i="4"/>
  <c r="AK32" i="4"/>
  <c r="AK35" i="4"/>
  <c r="AK34" i="4"/>
  <c r="K288" i="4"/>
  <c r="K307" i="4" s="1"/>
  <c r="K347" i="4" s="1"/>
  <c r="K119" i="4"/>
  <c r="AJ87" i="4"/>
  <c r="AJ91" i="4"/>
  <c r="AJ92" i="4"/>
  <c r="AJ86" i="4"/>
  <c r="AJ88" i="4"/>
  <c r="AJ90" i="4"/>
  <c r="AJ94" i="4"/>
  <c r="AJ89" i="4"/>
  <c r="AJ85" i="4"/>
  <c r="AJ95" i="4"/>
  <c r="AJ363" i="4" s="1"/>
  <c r="AJ93" i="4"/>
  <c r="K117" i="4"/>
  <c r="K118" i="4" s="1"/>
  <c r="K122" i="4" s="1"/>
  <c r="AK30" i="4"/>
  <c r="AK29" i="4"/>
  <c r="AK27" i="4"/>
  <c r="AK28" i="4"/>
  <c r="AK37" i="4"/>
  <c r="AK47" i="4"/>
  <c r="AJ39" i="4"/>
  <c r="AK46" i="4"/>
  <c r="AK48" i="4"/>
  <c r="AJ41" i="4"/>
  <c r="AK49" i="4"/>
  <c r="AJ40" i="4"/>
  <c r="AK52" i="4"/>
  <c r="AK55" i="4" s="1"/>
  <c r="AK50" i="4"/>
  <c r="AJ42" i="4"/>
  <c r="AJ43" i="4"/>
  <c r="AK53" i="4"/>
  <c r="AK54" i="4"/>
  <c r="AK5" i="4"/>
  <c r="AK6" i="4"/>
  <c r="AK15" i="4"/>
  <c r="AK13" i="4"/>
  <c r="AK14" i="4" s="1"/>
  <c r="AL3" i="8"/>
  <c r="M108" i="4"/>
  <c r="M109" i="4" s="1"/>
  <c r="M107" i="4"/>
  <c r="J125" i="4"/>
  <c r="AI58" i="4"/>
  <c r="AI19" i="4"/>
  <c r="AI17" i="4"/>
  <c r="AI57" i="4"/>
  <c r="AI59" i="4"/>
  <c r="AI18" i="4"/>
  <c r="AJ2" i="4"/>
  <c r="AJ83" i="4" s="1"/>
  <c r="AJ351" i="4" s="1"/>
  <c r="AL2" i="8"/>
  <c r="AL20" i="8" s="1"/>
  <c r="AM1" i="8"/>
  <c r="AK1" i="4"/>
  <c r="AL3" i="4"/>
  <c r="AK376" i="4"/>
  <c r="AK61" i="8" l="1"/>
  <c r="K132" i="8"/>
  <c r="J139" i="8"/>
  <c r="J313" i="8" s="1"/>
  <c r="J330" i="8" s="1"/>
  <c r="J359" i="8" s="1"/>
  <c r="E163" i="8"/>
  <c r="D167" i="8" s="1"/>
  <c r="AL83" i="8"/>
  <c r="AL351" i="8" s="1"/>
  <c r="AL59" i="8"/>
  <c r="AL57" i="8"/>
  <c r="AL18" i="8"/>
  <c r="AL19" i="8"/>
  <c r="AL58" i="8"/>
  <c r="AL69" i="8"/>
  <c r="AL337" i="8" s="1"/>
  <c r="AL44" i="8"/>
  <c r="AL60" i="8"/>
  <c r="AL25" i="8"/>
  <c r="AL17" i="8"/>
  <c r="I143" i="8"/>
  <c r="I144" i="8" s="1"/>
  <c r="I145" i="8" s="1"/>
  <c r="D172" i="8"/>
  <c r="D171" i="8"/>
  <c r="D168" i="8"/>
  <c r="N120" i="8"/>
  <c r="N121" i="8"/>
  <c r="O108" i="8"/>
  <c r="O109" i="8" s="1"/>
  <c r="AH369" i="8"/>
  <c r="AH378" i="8" s="1"/>
  <c r="AH98" i="8"/>
  <c r="AH96" i="8"/>
  <c r="AH370" i="8" s="1"/>
  <c r="AH379" i="8" s="1"/>
  <c r="M122" i="8"/>
  <c r="M312" i="8" s="1"/>
  <c r="M331" i="8" s="1"/>
  <c r="M360" i="8" s="1"/>
  <c r="AL82" i="8"/>
  <c r="C315" i="8"/>
  <c r="C327" i="8" s="1"/>
  <c r="C356" i="8" s="1"/>
  <c r="C174" i="8"/>
  <c r="F159" i="8"/>
  <c r="O106" i="8"/>
  <c r="O107" i="8" s="1"/>
  <c r="AG99" i="8"/>
  <c r="L125" i="8"/>
  <c r="M119" i="8"/>
  <c r="M123" i="8" s="1"/>
  <c r="M288" i="8"/>
  <c r="M307" i="8" s="1"/>
  <c r="M347" i="8" s="1"/>
  <c r="F314" i="8"/>
  <c r="F329" i="8" s="1"/>
  <c r="F358" i="8" s="1"/>
  <c r="AI68" i="8"/>
  <c r="AJ64" i="8"/>
  <c r="AJ21" i="8" s="1"/>
  <c r="AJ22" i="8" s="1"/>
  <c r="AJ63" i="8" s="1"/>
  <c r="AJ65" i="8" s="1"/>
  <c r="G155" i="8"/>
  <c r="G154" i="8"/>
  <c r="G151" i="8"/>
  <c r="G152" i="8" s="1"/>
  <c r="AJ60" i="4"/>
  <c r="AJ69" i="4"/>
  <c r="AJ337" i="4" s="1"/>
  <c r="AJ44" i="4"/>
  <c r="AJ25" i="4"/>
  <c r="AJ20" i="4"/>
  <c r="AI61" i="4"/>
  <c r="S68" i="4"/>
  <c r="T64" i="4"/>
  <c r="AJ82" i="4"/>
  <c r="AL33" i="4"/>
  <c r="AL32" i="4"/>
  <c r="AL31" i="4"/>
  <c r="AL35" i="4"/>
  <c r="AL34" i="4"/>
  <c r="AL36" i="4"/>
  <c r="AK89" i="4"/>
  <c r="AK94" i="4"/>
  <c r="AK90" i="4"/>
  <c r="AK86" i="4"/>
  <c r="AK93" i="4"/>
  <c r="AK85" i="4"/>
  <c r="AK92" i="4"/>
  <c r="AK88" i="4"/>
  <c r="AK87" i="4"/>
  <c r="AK91" i="4"/>
  <c r="AK95" i="4"/>
  <c r="AK363" i="4" s="1"/>
  <c r="AL30" i="4"/>
  <c r="AL27" i="4"/>
  <c r="AL28" i="4"/>
  <c r="AL29" i="4"/>
  <c r="AL37" i="4"/>
  <c r="AM3" i="8"/>
  <c r="AL53" i="4"/>
  <c r="AL54" i="4"/>
  <c r="AL5" i="4"/>
  <c r="AL6" i="4"/>
  <c r="AL15" i="4"/>
  <c r="AL13" i="4"/>
  <c r="AL14" i="4" s="1"/>
  <c r="AL46" i="4"/>
  <c r="AL49" i="4"/>
  <c r="AK41" i="4"/>
  <c r="AL50" i="4"/>
  <c r="AL52" i="4"/>
  <c r="AL55" i="4" s="1"/>
  <c r="AK42" i="4"/>
  <c r="AL48" i="4"/>
  <c r="AK40" i="4"/>
  <c r="AL47" i="4"/>
  <c r="AK43" i="4"/>
  <c r="AK39" i="4"/>
  <c r="M111" i="4"/>
  <c r="M350" i="4"/>
  <c r="N104" i="4"/>
  <c r="AJ19" i="4"/>
  <c r="AJ57" i="4"/>
  <c r="AJ59" i="4"/>
  <c r="AJ18" i="4"/>
  <c r="AJ17" i="4"/>
  <c r="AJ58" i="4"/>
  <c r="AK2" i="4"/>
  <c r="AK83" i="4" s="1"/>
  <c r="AK351" i="4" s="1"/>
  <c r="L115" i="4"/>
  <c r="K312" i="4"/>
  <c r="J126" i="4"/>
  <c r="J127" i="4" s="1"/>
  <c r="J128" i="4" s="1"/>
  <c r="AM2" i="8"/>
  <c r="AM20" i="8" s="1"/>
  <c r="AL1" i="4"/>
  <c r="AL376" i="4"/>
  <c r="AM3" i="4"/>
  <c r="O350" i="8" l="1"/>
  <c r="P104" i="8"/>
  <c r="H149" i="8"/>
  <c r="G156" i="8"/>
  <c r="L126" i="8"/>
  <c r="L127" i="8" s="1"/>
  <c r="L128" i="8" s="1"/>
  <c r="AH99" i="8"/>
  <c r="O111" i="8"/>
  <c r="I146" i="8"/>
  <c r="H150" i="8" s="1"/>
  <c r="F160" i="8"/>
  <c r="F161" i="8" s="1"/>
  <c r="F162" i="8" s="1"/>
  <c r="AL61" i="8"/>
  <c r="D170" i="8"/>
  <c r="D291" i="8"/>
  <c r="D303" i="8" s="1"/>
  <c r="D342" i="8" s="1"/>
  <c r="AJ68" i="8"/>
  <c r="AK64" i="8"/>
  <c r="AK21" i="8" s="1"/>
  <c r="AK22" i="8" s="1"/>
  <c r="AK63" i="8" s="1"/>
  <c r="AK65" i="8" s="1"/>
  <c r="C176" i="8"/>
  <c r="AI369" i="8"/>
  <c r="AI378" i="8" s="1"/>
  <c r="AI98" i="8"/>
  <c r="AI96" i="8"/>
  <c r="AI370" i="8" s="1"/>
  <c r="AI379" i="8" s="1"/>
  <c r="AM82" i="8"/>
  <c r="K137" i="8"/>
  <c r="K138" i="8"/>
  <c r="AM83" i="8"/>
  <c r="AM351" i="8" s="1"/>
  <c r="AM57" i="8"/>
  <c r="AM19" i="8"/>
  <c r="AM58" i="8"/>
  <c r="AM18" i="8"/>
  <c r="AM69" i="8"/>
  <c r="AM337" i="8" s="1"/>
  <c r="AM44" i="8"/>
  <c r="AM60" i="8"/>
  <c r="AM59" i="8"/>
  <c r="AM25" i="8"/>
  <c r="AM17" i="8"/>
  <c r="M125" i="8"/>
  <c r="D169" i="8"/>
  <c r="J140" i="8"/>
  <c r="AK60" i="4"/>
  <c r="AK69" i="4"/>
  <c r="AK337" i="4" s="1"/>
  <c r="AK44" i="4"/>
  <c r="AK25" i="4"/>
  <c r="AK20" i="4"/>
  <c r="AJ61" i="4"/>
  <c r="T21" i="4"/>
  <c r="T22" i="4" s="1"/>
  <c r="T63" i="4" s="1"/>
  <c r="T65" i="4" s="1"/>
  <c r="S98" i="4"/>
  <c r="S99" i="4" s="1"/>
  <c r="S96" i="4"/>
  <c r="S370" i="4" s="1"/>
  <c r="S379" i="4" s="1"/>
  <c r="S369" i="4"/>
  <c r="S378" i="4" s="1"/>
  <c r="AK82" i="4"/>
  <c r="N105" i="4"/>
  <c r="N106" i="4" s="1"/>
  <c r="AM35" i="4"/>
  <c r="AM34" i="4"/>
  <c r="AM33" i="4"/>
  <c r="AM32" i="4"/>
  <c r="AM36" i="4"/>
  <c r="AM31" i="4"/>
  <c r="AL94" i="4"/>
  <c r="AL86" i="4"/>
  <c r="AL95" i="4"/>
  <c r="AL363" i="4" s="1"/>
  <c r="AL91" i="4"/>
  <c r="AL87" i="4"/>
  <c r="AL90" i="4"/>
  <c r="AL93" i="4"/>
  <c r="AL89" i="4"/>
  <c r="AL85" i="4"/>
  <c r="AL92" i="4"/>
  <c r="AL88" i="4"/>
  <c r="K331" i="4"/>
  <c r="AM30" i="4"/>
  <c r="AM27" i="4"/>
  <c r="AM28" i="4"/>
  <c r="AM29" i="4"/>
  <c r="AM37" i="4"/>
  <c r="AM53" i="4"/>
  <c r="AM54" i="4"/>
  <c r="AM5" i="4"/>
  <c r="AM6" i="4"/>
  <c r="AM15" i="4"/>
  <c r="AM13" i="4"/>
  <c r="AM14" i="4" s="1"/>
  <c r="AM46" i="4"/>
  <c r="AL40" i="4"/>
  <c r="AL41" i="4"/>
  <c r="AM47" i="4"/>
  <c r="AM48" i="4"/>
  <c r="AM50" i="4"/>
  <c r="AM49" i="4"/>
  <c r="AL42" i="4"/>
  <c r="AM52" i="4"/>
  <c r="AM55" i="4" s="1"/>
  <c r="AL43" i="4"/>
  <c r="AL39" i="4"/>
  <c r="AK59" i="4"/>
  <c r="AK57" i="4"/>
  <c r="AK19" i="4"/>
  <c r="AK18" i="4"/>
  <c r="AK17" i="4"/>
  <c r="AK58" i="4"/>
  <c r="AL2" i="4"/>
  <c r="AL83" i="4" s="1"/>
  <c r="AL351" i="4" s="1"/>
  <c r="L121" i="4"/>
  <c r="L120" i="4"/>
  <c r="M112" i="4"/>
  <c r="L116" i="4" s="1"/>
  <c r="K123" i="4"/>
  <c r="AM1" i="4"/>
  <c r="AM376" i="4"/>
  <c r="F163" i="8" l="1"/>
  <c r="E166" i="8"/>
  <c r="D173" i="8"/>
  <c r="H153" i="8"/>
  <c r="H290" i="8"/>
  <c r="H305" i="8" s="1"/>
  <c r="H345" i="8" s="1"/>
  <c r="M126" i="8"/>
  <c r="M127" i="8" s="1"/>
  <c r="M128" i="8" s="1"/>
  <c r="C177" i="8"/>
  <c r="C178" i="8" s="1"/>
  <c r="C179" i="8" s="1"/>
  <c r="O112" i="8"/>
  <c r="N116" i="8" s="1"/>
  <c r="AJ369" i="8"/>
  <c r="AJ378" i="8" s="1"/>
  <c r="AJ98" i="8"/>
  <c r="AJ96" i="8"/>
  <c r="AJ370" i="8" s="1"/>
  <c r="AJ379" i="8" s="1"/>
  <c r="L129" i="8"/>
  <c r="K133" i="8" s="1"/>
  <c r="AM61" i="8"/>
  <c r="G314" i="8"/>
  <c r="G329" i="8" s="1"/>
  <c r="G358" i="8" s="1"/>
  <c r="H154" i="8"/>
  <c r="H151" i="8"/>
  <c r="H152" i="8" s="1"/>
  <c r="H155" i="8"/>
  <c r="AK68" i="8"/>
  <c r="AL64" i="8"/>
  <c r="AL21" i="8" s="1"/>
  <c r="AL22" i="8" s="1"/>
  <c r="AL63" i="8" s="1"/>
  <c r="AL65" i="8" s="1"/>
  <c r="AI99" i="8"/>
  <c r="P105" i="8"/>
  <c r="P106" i="8" s="1"/>
  <c r="P107" i="8" s="1"/>
  <c r="J142" i="8"/>
  <c r="G157" i="8"/>
  <c r="AL60" i="4"/>
  <c r="AL69" i="4"/>
  <c r="AL337" i="4" s="1"/>
  <c r="AL44" i="4"/>
  <c r="AL25" i="4"/>
  <c r="AL20" i="4"/>
  <c r="AK61" i="4"/>
  <c r="T68" i="4"/>
  <c r="U64" i="4"/>
  <c r="AL82" i="4"/>
  <c r="L288" i="4"/>
  <c r="L307" i="4" s="1"/>
  <c r="L347" i="4" s="1"/>
  <c r="L119" i="4"/>
  <c r="AM93" i="4"/>
  <c r="AM89" i="4"/>
  <c r="AM85" i="4"/>
  <c r="AM88" i="4"/>
  <c r="AM92" i="4"/>
  <c r="AM90" i="4"/>
  <c r="AM94" i="4"/>
  <c r="AM87" i="4"/>
  <c r="AM86" i="4"/>
  <c r="AM91" i="4"/>
  <c r="AM95" i="4"/>
  <c r="AM363" i="4" s="1"/>
  <c r="L117" i="4"/>
  <c r="L118" i="4" s="1"/>
  <c r="AM39" i="4"/>
  <c r="AM41" i="4"/>
  <c r="AM43" i="4"/>
  <c r="AM40" i="4"/>
  <c r="AM42" i="4"/>
  <c r="K125" i="4"/>
  <c r="N107" i="4"/>
  <c r="AL19" i="4"/>
  <c r="AL59" i="4"/>
  <c r="AL18" i="4"/>
  <c r="AL17" i="4"/>
  <c r="AL57" i="4"/>
  <c r="AL58" i="4"/>
  <c r="AM2" i="4"/>
  <c r="AM83" i="4" s="1"/>
  <c r="AM351" i="4" s="1"/>
  <c r="N108" i="4"/>
  <c r="N109" i="4" s="1"/>
  <c r="E167" i="8" l="1"/>
  <c r="P350" i="8"/>
  <c r="Q104" i="8"/>
  <c r="M129" i="8"/>
  <c r="C180" i="8"/>
  <c r="I149" i="8"/>
  <c r="H156" i="8"/>
  <c r="H314" i="8" s="1"/>
  <c r="H329" i="8" s="1"/>
  <c r="H358" i="8" s="1"/>
  <c r="AL68" i="8"/>
  <c r="AM64" i="8"/>
  <c r="AM21" i="8" s="1"/>
  <c r="AM22" i="8" s="1"/>
  <c r="AM63" i="8" s="1"/>
  <c r="AM65" i="8" s="1"/>
  <c r="AM68" i="8" s="1"/>
  <c r="AK369" i="8"/>
  <c r="AK378" i="8" s="1"/>
  <c r="AK98" i="8"/>
  <c r="AK96" i="8"/>
  <c r="AK370" i="8" s="1"/>
  <c r="AK379" i="8" s="1"/>
  <c r="N119" i="8"/>
  <c r="N288" i="8"/>
  <c r="N307" i="8" s="1"/>
  <c r="N347" i="8" s="1"/>
  <c r="N117" i="8"/>
  <c r="N118" i="8" s="1"/>
  <c r="AJ99" i="8"/>
  <c r="G159" i="8"/>
  <c r="D315" i="8"/>
  <c r="D327" i="8" s="1"/>
  <c r="D356" i="8" s="1"/>
  <c r="D174" i="8"/>
  <c r="E171" i="8"/>
  <c r="E168" i="8"/>
  <c r="E169" i="8" s="1"/>
  <c r="F166" i="8" s="1"/>
  <c r="E172" i="8"/>
  <c r="J143" i="8"/>
  <c r="J144" i="8" s="1"/>
  <c r="J145" i="8" s="1"/>
  <c r="K136" i="8"/>
  <c r="K289" i="8"/>
  <c r="K306" i="8" s="1"/>
  <c r="K346" i="8" s="1"/>
  <c r="K134" i="8"/>
  <c r="K135" i="8" s="1"/>
  <c r="P108" i="8"/>
  <c r="P109" i="8" s="1"/>
  <c r="E170" i="8"/>
  <c r="E291" i="8"/>
  <c r="E303" i="8" s="1"/>
  <c r="E342" i="8" s="1"/>
  <c r="AM60" i="4"/>
  <c r="AM69" i="4"/>
  <c r="AM337" i="4" s="1"/>
  <c r="AM44" i="4"/>
  <c r="AM25" i="4"/>
  <c r="AM20" i="4"/>
  <c r="AL61" i="4"/>
  <c r="U21" i="4"/>
  <c r="U22" i="4" s="1"/>
  <c r="U63" i="4" s="1"/>
  <c r="U65" i="4" s="1"/>
  <c r="T96" i="4"/>
  <c r="T370" i="4" s="1"/>
  <c r="T379" i="4" s="1"/>
  <c r="T98" i="4"/>
  <c r="T99" i="4" s="1"/>
  <c r="T369" i="4"/>
  <c r="T378" i="4" s="1"/>
  <c r="AM82" i="4"/>
  <c r="M115" i="4"/>
  <c r="M120" i="4" s="1"/>
  <c r="L122" i="4"/>
  <c r="L312" i="4" s="1"/>
  <c r="N111" i="4"/>
  <c r="O104" i="4"/>
  <c r="N350" i="4"/>
  <c r="AM59" i="4"/>
  <c r="AM58" i="4"/>
  <c r="AM19" i="4"/>
  <c r="AM18" i="4"/>
  <c r="AM17" i="4"/>
  <c r="AM57" i="4"/>
  <c r="K126" i="4"/>
  <c r="K127" i="4" s="1"/>
  <c r="K128" i="4" s="1"/>
  <c r="H157" i="8" l="1"/>
  <c r="L132" i="8"/>
  <c r="L133" i="8" s="1"/>
  <c r="K139" i="8"/>
  <c r="K313" i="8" s="1"/>
  <c r="K330" i="8" s="1"/>
  <c r="K359" i="8" s="1"/>
  <c r="O115" i="8"/>
  <c r="N122" i="8"/>
  <c r="N312" i="8" s="1"/>
  <c r="N331" i="8" s="1"/>
  <c r="N360" i="8" s="1"/>
  <c r="K140" i="8"/>
  <c r="N123" i="8"/>
  <c r="G160" i="8"/>
  <c r="G161" i="8" s="1"/>
  <c r="G162" i="8" s="1"/>
  <c r="AL369" i="8"/>
  <c r="AL378" i="8" s="1"/>
  <c r="AL96" i="8"/>
  <c r="AL370" i="8" s="1"/>
  <c r="AL379" i="8" s="1"/>
  <c r="AL98" i="8"/>
  <c r="H159" i="8"/>
  <c r="AM369" i="8"/>
  <c r="AM378" i="8" s="1"/>
  <c r="AM96" i="8"/>
  <c r="AM370" i="8" s="1"/>
  <c r="AM379" i="8" s="1"/>
  <c r="AM98" i="8"/>
  <c r="J146" i="8"/>
  <c r="I150" i="8" s="1"/>
  <c r="E173" i="8"/>
  <c r="I154" i="8"/>
  <c r="I155" i="8"/>
  <c r="F171" i="8"/>
  <c r="F172" i="8"/>
  <c r="P111" i="8"/>
  <c r="D176" i="8"/>
  <c r="AK99" i="8"/>
  <c r="Q105" i="8"/>
  <c r="AM61" i="4"/>
  <c r="U68" i="4"/>
  <c r="V64" i="4"/>
  <c r="O105" i="4"/>
  <c r="O106" i="4" s="1"/>
  <c r="L331" i="4"/>
  <c r="M121" i="4"/>
  <c r="L123" i="4"/>
  <c r="L125" i="4" s="1"/>
  <c r="L126" i="4" s="1"/>
  <c r="L127" i="4" s="1"/>
  <c r="L128" i="4" s="1"/>
  <c r="N112" i="4"/>
  <c r="M116" i="4" s="1"/>
  <c r="G163" i="8" l="1"/>
  <c r="F167" i="8" s="1"/>
  <c r="D177" i="8"/>
  <c r="D178" i="8" s="1"/>
  <c r="D179" i="8" s="1"/>
  <c r="P112" i="8"/>
  <c r="O116" i="8" s="1"/>
  <c r="O117" i="8" s="1"/>
  <c r="Q108" i="8"/>
  <c r="Q109" i="8" s="1"/>
  <c r="O120" i="8"/>
  <c r="O121" i="8"/>
  <c r="E315" i="8"/>
  <c r="E327" i="8" s="1"/>
  <c r="E356" i="8" s="1"/>
  <c r="N125" i="8"/>
  <c r="I153" i="8"/>
  <c r="I290" i="8"/>
  <c r="I305" i="8" s="1"/>
  <c r="I345" i="8" s="1"/>
  <c r="K142" i="8"/>
  <c r="Q106" i="8"/>
  <c r="Q107" i="8" s="1"/>
  <c r="H160" i="8"/>
  <c r="H161" i="8" s="1"/>
  <c r="H162" i="8"/>
  <c r="L138" i="8"/>
  <c r="L137" i="8"/>
  <c r="L134" i="8"/>
  <c r="L135" i="8" s="1"/>
  <c r="I151" i="8"/>
  <c r="I152" i="8" s="1"/>
  <c r="L136" i="8"/>
  <c r="L289" i="8"/>
  <c r="L306" i="8" s="1"/>
  <c r="L346" i="8" s="1"/>
  <c r="AL99" i="8"/>
  <c r="AM99" i="8" s="1"/>
  <c r="E174" i="8"/>
  <c r="V21" i="4"/>
  <c r="V22" i="4" s="1"/>
  <c r="V63" i="4" s="1"/>
  <c r="V65" i="4" s="1"/>
  <c r="U98" i="4"/>
  <c r="U99" i="4" s="1"/>
  <c r="U96" i="4"/>
  <c r="U370" i="4" s="1"/>
  <c r="U379" i="4" s="1"/>
  <c r="U369" i="4"/>
  <c r="U378" i="4" s="1"/>
  <c r="M288" i="4"/>
  <c r="M307" i="4" s="1"/>
  <c r="M347" i="4" s="1"/>
  <c r="M119" i="4"/>
  <c r="M117" i="4"/>
  <c r="M118" i="4" s="1"/>
  <c r="M122" i="4" s="1"/>
  <c r="O108" i="4"/>
  <c r="O109" i="4" s="1"/>
  <c r="O107" i="4"/>
  <c r="M132" i="8" l="1"/>
  <c r="L139" i="8"/>
  <c r="L313" i="8" s="1"/>
  <c r="L330" i="8" s="1"/>
  <c r="L359" i="8" s="1"/>
  <c r="L140" i="8"/>
  <c r="L142" i="8" s="1"/>
  <c r="Q111" i="8"/>
  <c r="D180" i="8"/>
  <c r="C184" i="8" s="1"/>
  <c r="Q350" i="8"/>
  <c r="R104" i="8"/>
  <c r="H163" i="8"/>
  <c r="G167" i="8" s="1"/>
  <c r="G291" i="8" s="1"/>
  <c r="G303" i="8" s="1"/>
  <c r="G342" i="8" s="1"/>
  <c r="M137" i="8"/>
  <c r="M138" i="8"/>
  <c r="E176" i="8"/>
  <c r="K143" i="8"/>
  <c r="K144" i="8" s="1"/>
  <c r="K145" i="8" s="1"/>
  <c r="O118" i="8"/>
  <c r="J149" i="8"/>
  <c r="I156" i="8"/>
  <c r="I314" i="8" s="1"/>
  <c r="I329" i="8" s="1"/>
  <c r="I358" i="8" s="1"/>
  <c r="O119" i="8"/>
  <c r="O288" i="8"/>
  <c r="O307" i="8" s="1"/>
  <c r="O347" i="8" s="1"/>
  <c r="N126" i="8"/>
  <c r="N127" i="8" s="1"/>
  <c r="N128" i="8" s="1"/>
  <c r="F170" i="8"/>
  <c r="F291" i="8"/>
  <c r="F303" i="8" s="1"/>
  <c r="F342" i="8" s="1"/>
  <c r="F168" i="8"/>
  <c r="F169" i="8" s="1"/>
  <c r="W64" i="4"/>
  <c r="V68" i="4"/>
  <c r="N115" i="4"/>
  <c r="M312" i="4"/>
  <c r="O111" i="4"/>
  <c r="P104" i="4"/>
  <c r="O350" i="4"/>
  <c r="N129" i="8" l="1"/>
  <c r="M133" i="8" s="1"/>
  <c r="G170" i="8"/>
  <c r="G166" i="8"/>
  <c r="F173" i="8"/>
  <c r="E177" i="8"/>
  <c r="E178" i="8" s="1"/>
  <c r="E179" i="8" s="1"/>
  <c r="C292" i="8"/>
  <c r="C309" i="8" s="1"/>
  <c r="C349" i="8" s="1"/>
  <c r="C187" i="8"/>
  <c r="C186" i="8"/>
  <c r="J155" i="8"/>
  <c r="J154" i="8"/>
  <c r="K146" i="8"/>
  <c r="J150" i="8" s="1"/>
  <c r="R105" i="8"/>
  <c r="R106" i="8" s="1"/>
  <c r="Q112" i="8"/>
  <c r="P115" i="8"/>
  <c r="O122" i="8"/>
  <c r="O312" i="8" s="1"/>
  <c r="O331" i="8" s="1"/>
  <c r="O360" i="8" s="1"/>
  <c r="L143" i="8"/>
  <c r="L144" i="8" s="1"/>
  <c r="L145" i="8" s="1"/>
  <c r="I157" i="8"/>
  <c r="V98" i="4"/>
  <c r="V99" i="4" s="1"/>
  <c r="V96" i="4"/>
  <c r="V370" i="4" s="1"/>
  <c r="V379" i="4" s="1"/>
  <c r="V369" i="4"/>
  <c r="V378" i="4" s="1"/>
  <c r="W21" i="4"/>
  <c r="W22" i="4" s="1"/>
  <c r="W63" i="4" s="1"/>
  <c r="W65" i="4" s="1"/>
  <c r="P105" i="4"/>
  <c r="P106" i="4" s="1"/>
  <c r="M331" i="4"/>
  <c r="M123" i="4"/>
  <c r="M125" i="4" s="1"/>
  <c r="O112" i="4"/>
  <c r="N116" i="4" s="1"/>
  <c r="N121" i="4"/>
  <c r="N120" i="4"/>
  <c r="I159" i="8" l="1"/>
  <c r="P121" i="8"/>
  <c r="P120" i="8"/>
  <c r="D183" i="8"/>
  <c r="C190" i="8"/>
  <c r="P116" i="8"/>
  <c r="J153" i="8"/>
  <c r="J290" i="8"/>
  <c r="J305" i="8" s="1"/>
  <c r="J345" i="8" s="1"/>
  <c r="R108" i="8"/>
  <c r="R109" i="8" s="1"/>
  <c r="R107" i="8"/>
  <c r="J151" i="8"/>
  <c r="J152" i="8" s="1"/>
  <c r="E180" i="8"/>
  <c r="D184" i="8" s="1"/>
  <c r="L146" i="8"/>
  <c r="K150" i="8" s="1"/>
  <c r="K290" i="8" s="1"/>
  <c r="K305" i="8" s="1"/>
  <c r="K345" i="8" s="1"/>
  <c r="O123" i="8"/>
  <c r="F315" i="8"/>
  <c r="F327" i="8" s="1"/>
  <c r="F356" i="8" s="1"/>
  <c r="F174" i="8"/>
  <c r="M136" i="8"/>
  <c r="M289" i="8"/>
  <c r="M306" i="8" s="1"/>
  <c r="M346" i="8" s="1"/>
  <c r="M134" i="8"/>
  <c r="M135" i="8" s="1"/>
  <c r="G171" i="8"/>
  <c r="G172" i="8"/>
  <c r="G168" i="8"/>
  <c r="G169" i="8" s="1"/>
  <c r="H166" i="8" s="1"/>
  <c r="W68" i="4"/>
  <c r="X64" i="4"/>
  <c r="N288" i="4"/>
  <c r="N307" i="4" s="1"/>
  <c r="N347" i="4" s="1"/>
  <c r="N119" i="4"/>
  <c r="N117" i="4"/>
  <c r="N118" i="4" s="1"/>
  <c r="N122" i="4" s="1"/>
  <c r="P108" i="4"/>
  <c r="P109" i="4" s="1"/>
  <c r="M126" i="4"/>
  <c r="M127" i="4" s="1"/>
  <c r="M128" i="4" s="1"/>
  <c r="P107" i="4"/>
  <c r="K149" i="8" l="1"/>
  <c r="J156" i="8"/>
  <c r="J314" i="8" s="1"/>
  <c r="J329" i="8" s="1"/>
  <c r="J358" i="8" s="1"/>
  <c r="P119" i="8"/>
  <c r="P288" i="8"/>
  <c r="P307" i="8" s="1"/>
  <c r="P347" i="8" s="1"/>
  <c r="R350" i="8"/>
  <c r="S104" i="8"/>
  <c r="D188" i="8"/>
  <c r="D189" i="8"/>
  <c r="D185" i="8"/>
  <c r="D186" i="8" s="1"/>
  <c r="H171" i="8"/>
  <c r="H172" i="8"/>
  <c r="C316" i="8"/>
  <c r="C333" i="8" s="1"/>
  <c r="C362" i="8" s="1"/>
  <c r="R111" i="8"/>
  <c r="P117" i="8"/>
  <c r="O125" i="8"/>
  <c r="P118" i="8"/>
  <c r="N132" i="8"/>
  <c r="M139" i="8"/>
  <c r="I160" i="8"/>
  <c r="I161" i="8" s="1"/>
  <c r="I162" i="8" s="1"/>
  <c r="F176" i="8"/>
  <c r="K153" i="8"/>
  <c r="G173" i="8"/>
  <c r="D187" i="8"/>
  <c r="D292" i="8"/>
  <c r="D309" i="8" s="1"/>
  <c r="D349" i="8" s="1"/>
  <c r="C191" i="8"/>
  <c r="X21" i="4"/>
  <c r="X22" i="4" s="1"/>
  <c r="X63" i="4" s="1"/>
  <c r="X65" i="4" s="1"/>
  <c r="W98" i="4"/>
  <c r="W99" i="4" s="1"/>
  <c r="W96" i="4"/>
  <c r="W370" i="4" s="1"/>
  <c r="W379" i="4" s="1"/>
  <c r="W369" i="4"/>
  <c r="W378" i="4" s="1"/>
  <c r="O115" i="4"/>
  <c r="N312" i="4"/>
  <c r="Q104" i="4"/>
  <c r="P350" i="4"/>
  <c r="P111" i="4"/>
  <c r="E183" i="8" l="1"/>
  <c r="D190" i="8"/>
  <c r="D191" i="8"/>
  <c r="D193" i="8" s="1"/>
  <c r="I163" i="8"/>
  <c r="H167" i="8" s="1"/>
  <c r="Q115" i="8"/>
  <c r="P122" i="8"/>
  <c r="P312" i="8" s="1"/>
  <c r="P331" i="8" s="1"/>
  <c r="P360" i="8" s="1"/>
  <c r="G315" i="8"/>
  <c r="G327" i="8" s="1"/>
  <c r="G356" i="8" s="1"/>
  <c r="D316" i="8"/>
  <c r="D333" i="8" s="1"/>
  <c r="D362" i="8" s="1"/>
  <c r="R112" i="8"/>
  <c r="N137" i="8"/>
  <c r="N138" i="8"/>
  <c r="S105" i="8"/>
  <c r="F177" i="8"/>
  <c r="F178" i="8" s="1"/>
  <c r="F179" i="8" s="1"/>
  <c r="C193" i="8"/>
  <c r="E188" i="8"/>
  <c r="E189" i="8"/>
  <c r="K155" i="8"/>
  <c r="K154" i="8"/>
  <c r="K151" i="8"/>
  <c r="K152" i="8" s="1"/>
  <c r="G174" i="8"/>
  <c r="O126" i="8"/>
  <c r="O127" i="8" s="1"/>
  <c r="O128" i="8" s="1"/>
  <c r="M313" i="8"/>
  <c r="M330" i="8" s="1"/>
  <c r="M359" i="8" s="1"/>
  <c r="M140" i="8"/>
  <c r="J157" i="8"/>
  <c r="Y64" i="4"/>
  <c r="X68" i="4"/>
  <c r="Q105" i="4"/>
  <c r="Q106" i="4" s="1"/>
  <c r="N331" i="4"/>
  <c r="N123" i="4"/>
  <c r="N125" i="4" s="1"/>
  <c r="N126" i="4" s="1"/>
  <c r="N127" i="4" s="1"/>
  <c r="N128" i="4" s="1"/>
  <c r="O120" i="4"/>
  <c r="O121" i="4"/>
  <c r="P112" i="4"/>
  <c r="O116" i="4" s="1"/>
  <c r="O129" i="8" l="1"/>
  <c r="N133" i="8" s="1"/>
  <c r="L149" i="8"/>
  <c r="K156" i="8"/>
  <c r="K314" i="8" s="1"/>
  <c r="K329" i="8" s="1"/>
  <c r="K358" i="8" s="1"/>
  <c r="F180" i="8"/>
  <c r="E184" i="8" s="1"/>
  <c r="K157" i="8"/>
  <c r="D194" i="8"/>
  <c r="D195" i="8" s="1"/>
  <c r="C194" i="8"/>
  <c r="C195" i="8" s="1"/>
  <c r="C196" i="8" s="1"/>
  <c r="Q120" i="8"/>
  <c r="Q121" i="8"/>
  <c r="J159" i="8"/>
  <c r="H170" i="8"/>
  <c r="H291" i="8"/>
  <c r="H303" i="8" s="1"/>
  <c r="H342" i="8" s="1"/>
  <c r="H168" i="8"/>
  <c r="H169" i="8" s="1"/>
  <c r="G176" i="8"/>
  <c r="M142" i="8"/>
  <c r="S108" i="8"/>
  <c r="S109" i="8" s="1"/>
  <c r="S106" i="8"/>
  <c r="S107" i="8" s="1"/>
  <c r="P123" i="8"/>
  <c r="Q116" i="8"/>
  <c r="Q117" i="8" s="1"/>
  <c r="Q118" i="8" s="1"/>
  <c r="X96" i="4"/>
  <c r="X370" i="4" s="1"/>
  <c r="X379" i="4" s="1"/>
  <c r="X98" i="4"/>
  <c r="X99" i="4" s="1"/>
  <c r="X369" i="4"/>
  <c r="X378" i="4" s="1"/>
  <c r="Y21" i="4"/>
  <c r="Y22" i="4" s="1"/>
  <c r="Y63" i="4" s="1"/>
  <c r="Y65" i="4" s="1"/>
  <c r="O288" i="4"/>
  <c r="O307" i="4" s="1"/>
  <c r="O347" i="4" s="1"/>
  <c r="O119" i="4"/>
  <c r="O117" i="4"/>
  <c r="O118" i="4" s="1"/>
  <c r="O122" i="4" s="1"/>
  <c r="Q108" i="4"/>
  <c r="Q109" i="4" s="1"/>
  <c r="Q107" i="4"/>
  <c r="S350" i="8" l="1"/>
  <c r="T104" i="8"/>
  <c r="R115" i="8"/>
  <c r="Q122" i="8"/>
  <c r="Q312" i="8" s="1"/>
  <c r="Q331" i="8" s="1"/>
  <c r="Q360" i="8" s="1"/>
  <c r="C197" i="8"/>
  <c r="I166" i="8"/>
  <c r="H173" i="8"/>
  <c r="S111" i="8"/>
  <c r="D196" i="8"/>
  <c r="K159" i="8"/>
  <c r="J160" i="8"/>
  <c r="J161" i="8" s="1"/>
  <c r="J162" i="8" s="1"/>
  <c r="L155" i="8"/>
  <c r="L154" i="8"/>
  <c r="G177" i="8"/>
  <c r="G178" i="8" s="1"/>
  <c r="G179" i="8" s="1"/>
  <c r="E187" i="8"/>
  <c r="E292" i="8"/>
  <c r="E309" i="8" s="1"/>
  <c r="E349" i="8" s="1"/>
  <c r="E185" i="8"/>
  <c r="E186" i="8" s="1"/>
  <c r="N136" i="8"/>
  <c r="N289" i="8"/>
  <c r="N306" i="8" s="1"/>
  <c r="N346" i="8" s="1"/>
  <c r="N134" i="8"/>
  <c r="N135" i="8" s="1"/>
  <c r="M143" i="8"/>
  <c r="M144" i="8" s="1"/>
  <c r="M145" i="8" s="1"/>
  <c r="Q119" i="8"/>
  <c r="Q123" i="8" s="1"/>
  <c r="Q288" i="8"/>
  <c r="Q307" i="8" s="1"/>
  <c r="Q347" i="8" s="1"/>
  <c r="P125" i="8"/>
  <c r="Y68" i="4"/>
  <c r="Z64" i="4"/>
  <c r="Q111" i="4"/>
  <c r="P115" i="4"/>
  <c r="O312" i="4"/>
  <c r="Q350" i="4"/>
  <c r="R104" i="4"/>
  <c r="M146" i="8" l="1"/>
  <c r="L150" i="8" s="1"/>
  <c r="F183" i="8"/>
  <c r="E190" i="8"/>
  <c r="G180" i="8"/>
  <c r="F184" i="8" s="1"/>
  <c r="O132" i="8"/>
  <c r="N139" i="8"/>
  <c r="Q125" i="8"/>
  <c r="D197" i="8"/>
  <c r="C201" i="8" s="1"/>
  <c r="J163" i="8"/>
  <c r="I167" i="8" s="1"/>
  <c r="I168" i="8" s="1"/>
  <c r="P126" i="8"/>
  <c r="P127" i="8" s="1"/>
  <c r="P128" i="8" s="1"/>
  <c r="R120" i="8"/>
  <c r="R121" i="8"/>
  <c r="I171" i="8"/>
  <c r="I172" i="8"/>
  <c r="T105" i="8"/>
  <c r="S112" i="8"/>
  <c r="R116" i="8" s="1"/>
  <c r="R117" i="8" s="1"/>
  <c r="R118" i="8" s="1"/>
  <c r="H315" i="8"/>
  <c r="H327" i="8" s="1"/>
  <c r="H356" i="8" s="1"/>
  <c r="H174" i="8"/>
  <c r="K160" i="8"/>
  <c r="K161" i="8" s="1"/>
  <c r="K162" i="8" s="1"/>
  <c r="Z21" i="4"/>
  <c r="Z22" i="4" s="1"/>
  <c r="Z63" i="4" s="1"/>
  <c r="Z65" i="4" s="1"/>
  <c r="Y96" i="4"/>
  <c r="Y370" i="4" s="1"/>
  <c r="Y379" i="4" s="1"/>
  <c r="Y98" i="4"/>
  <c r="Y99" i="4" s="1"/>
  <c r="Y369" i="4"/>
  <c r="Y378" i="4" s="1"/>
  <c r="R105" i="4"/>
  <c r="R106" i="4" s="1"/>
  <c r="O331" i="4"/>
  <c r="O123" i="4"/>
  <c r="P120" i="4"/>
  <c r="P121" i="4"/>
  <c r="Q112" i="4"/>
  <c r="P116" i="4" s="1"/>
  <c r="I169" i="8" l="1"/>
  <c r="J166" i="8" s="1"/>
  <c r="K163" i="8"/>
  <c r="J167" i="8" s="1"/>
  <c r="J168" i="8" s="1"/>
  <c r="J169" i="8" s="1"/>
  <c r="K166" i="8" s="1"/>
  <c r="P129" i="8"/>
  <c r="O133" i="8" s="1"/>
  <c r="O134" i="8" s="1"/>
  <c r="O135" i="8" s="1"/>
  <c r="P132" i="8" s="1"/>
  <c r="S115" i="8"/>
  <c r="R122" i="8"/>
  <c r="R312" i="8" s="1"/>
  <c r="R331" i="8" s="1"/>
  <c r="R360" i="8" s="1"/>
  <c r="C293" i="8"/>
  <c r="C304" i="8" s="1"/>
  <c r="C343" i="8" s="1"/>
  <c r="C204" i="8"/>
  <c r="C203" i="8"/>
  <c r="I173" i="8"/>
  <c r="I315" i="8" s="1"/>
  <c r="I327" i="8" s="1"/>
  <c r="I356" i="8" s="1"/>
  <c r="J172" i="8"/>
  <c r="J171" i="8"/>
  <c r="Q126" i="8"/>
  <c r="Q127" i="8" s="1"/>
  <c r="Q128" i="8" s="1"/>
  <c r="H176" i="8"/>
  <c r="O137" i="8"/>
  <c r="O138" i="8"/>
  <c r="R119" i="8"/>
  <c r="R288" i="8"/>
  <c r="R307" i="8" s="1"/>
  <c r="R347" i="8" s="1"/>
  <c r="T108" i="8"/>
  <c r="T109" i="8"/>
  <c r="F189" i="8"/>
  <c r="F188" i="8"/>
  <c r="F185" i="8"/>
  <c r="F186" i="8" s="1"/>
  <c r="N313" i="8"/>
  <c r="N330" i="8" s="1"/>
  <c r="N359" i="8" s="1"/>
  <c r="N140" i="8"/>
  <c r="F187" i="8"/>
  <c r="F292" i="8"/>
  <c r="F309" i="8" s="1"/>
  <c r="F349" i="8" s="1"/>
  <c r="T106" i="8"/>
  <c r="T107" i="8" s="1"/>
  <c r="E316" i="8"/>
  <c r="E333" i="8" s="1"/>
  <c r="E362" i="8" s="1"/>
  <c r="E191" i="8"/>
  <c r="I170" i="8"/>
  <c r="I291" i="8"/>
  <c r="I303" i="8" s="1"/>
  <c r="I342" i="8" s="1"/>
  <c r="L153" i="8"/>
  <c r="L290" i="8"/>
  <c r="L305" i="8" s="1"/>
  <c r="L345" i="8" s="1"/>
  <c r="L151" i="8"/>
  <c r="L152" i="8" s="1"/>
  <c r="Z68" i="4"/>
  <c r="AA64" i="4"/>
  <c r="P288" i="4"/>
  <c r="P307" i="4" s="1"/>
  <c r="P347" i="4" s="1"/>
  <c r="P119" i="4"/>
  <c r="P117" i="4"/>
  <c r="P118" i="4" s="1"/>
  <c r="P122" i="4" s="1"/>
  <c r="O125" i="4"/>
  <c r="R108" i="4"/>
  <c r="R109" i="4" s="1"/>
  <c r="R107" i="4"/>
  <c r="R123" i="8" l="1"/>
  <c r="I174" i="8"/>
  <c r="R125" i="8"/>
  <c r="I176" i="8"/>
  <c r="G183" i="8"/>
  <c r="F190" i="8"/>
  <c r="Q129" i="8"/>
  <c r="P133" i="8" s="1"/>
  <c r="K172" i="8"/>
  <c r="K171" i="8"/>
  <c r="D200" i="8"/>
  <c r="C207" i="8"/>
  <c r="S120" i="8"/>
  <c r="S121" i="8"/>
  <c r="O136" i="8"/>
  <c r="O289" i="8"/>
  <c r="O306" i="8" s="1"/>
  <c r="O346" i="8" s="1"/>
  <c r="M149" i="8"/>
  <c r="L156" i="8"/>
  <c r="L314" i="8" s="1"/>
  <c r="L329" i="8" s="1"/>
  <c r="L358" i="8" s="1"/>
  <c r="P137" i="8"/>
  <c r="P138" i="8"/>
  <c r="H177" i="8"/>
  <c r="H178" i="8" s="1"/>
  <c r="H179" i="8" s="1"/>
  <c r="T350" i="8"/>
  <c r="U104" i="8"/>
  <c r="O139" i="8"/>
  <c r="O313" i="8" s="1"/>
  <c r="O330" i="8" s="1"/>
  <c r="O359" i="8" s="1"/>
  <c r="T111" i="8"/>
  <c r="E193" i="8"/>
  <c r="N142" i="8"/>
  <c r="J173" i="8"/>
  <c r="J315" i="8" s="1"/>
  <c r="J327" i="8" s="1"/>
  <c r="J356" i="8" s="1"/>
  <c r="J170" i="8"/>
  <c r="J291" i="8"/>
  <c r="J303" i="8" s="1"/>
  <c r="J342" i="8" s="1"/>
  <c r="AA21" i="4"/>
  <c r="AA22" i="4" s="1"/>
  <c r="AA63" i="4" s="1"/>
  <c r="AA65" i="4" s="1"/>
  <c r="Z98" i="4"/>
  <c r="Z99" i="4" s="1"/>
  <c r="Z96" i="4"/>
  <c r="Z370" i="4" s="1"/>
  <c r="Z379" i="4" s="1"/>
  <c r="Z369" i="4"/>
  <c r="Z378" i="4" s="1"/>
  <c r="Q115" i="4"/>
  <c r="P312" i="4"/>
  <c r="R350" i="4"/>
  <c r="S104" i="4"/>
  <c r="R111" i="4"/>
  <c r="O126" i="4"/>
  <c r="O127" i="4" s="1"/>
  <c r="O128" i="4" s="1"/>
  <c r="J174" i="8" l="1"/>
  <c r="O140" i="8"/>
  <c r="O142" i="8" s="1"/>
  <c r="J176" i="8"/>
  <c r="P136" i="8"/>
  <c r="P289" i="8"/>
  <c r="P306" i="8" s="1"/>
  <c r="P346" i="8" s="1"/>
  <c r="H180" i="8"/>
  <c r="G184" i="8" s="1"/>
  <c r="F316" i="8"/>
  <c r="F333" i="8" s="1"/>
  <c r="F362" i="8" s="1"/>
  <c r="E194" i="8"/>
  <c r="E195" i="8" s="1"/>
  <c r="E196" i="8" s="1"/>
  <c r="G189" i="8"/>
  <c r="G188" i="8"/>
  <c r="P134" i="8"/>
  <c r="P135" i="8" s="1"/>
  <c r="C317" i="8"/>
  <c r="C328" i="8" s="1"/>
  <c r="C357" i="8" s="1"/>
  <c r="F191" i="8"/>
  <c r="T112" i="8"/>
  <c r="S116" i="8" s="1"/>
  <c r="U105" i="8"/>
  <c r="U106" i="8" s="1"/>
  <c r="L157" i="8"/>
  <c r="D206" i="8"/>
  <c r="D205" i="8"/>
  <c r="C208" i="8"/>
  <c r="N143" i="8"/>
  <c r="N144" i="8" s="1"/>
  <c r="N145" i="8" s="1"/>
  <c r="I177" i="8"/>
  <c r="I178" i="8" s="1"/>
  <c r="I179" i="8" s="1"/>
  <c r="M155" i="8"/>
  <c r="M154" i="8"/>
  <c r="R126" i="8"/>
  <c r="R127" i="8" s="1"/>
  <c r="R128" i="8" s="1"/>
  <c r="AB64" i="4"/>
  <c r="AA68" i="4"/>
  <c r="S105" i="4"/>
  <c r="S106" i="4" s="1"/>
  <c r="P331" i="4"/>
  <c r="Q120" i="4"/>
  <c r="Q121" i="4"/>
  <c r="P123" i="4"/>
  <c r="P125" i="4" s="1"/>
  <c r="P126" i="4" s="1"/>
  <c r="P127" i="4" s="1"/>
  <c r="P128" i="4" s="1"/>
  <c r="R112" i="4"/>
  <c r="Q116" i="4" s="1"/>
  <c r="Q132" i="8" l="1"/>
  <c r="P139" i="8"/>
  <c r="R129" i="8"/>
  <c r="Q133" i="8" s="1"/>
  <c r="I180" i="8"/>
  <c r="H184" i="8" s="1"/>
  <c r="H292" i="8" s="1"/>
  <c r="H309" i="8" s="1"/>
  <c r="H349" i="8" s="1"/>
  <c r="N146" i="8"/>
  <c r="M150" i="8" s="1"/>
  <c r="E197" i="8"/>
  <c r="D201" i="8" s="1"/>
  <c r="J177" i="8"/>
  <c r="J178" i="8" s="1"/>
  <c r="J179" i="8" s="1"/>
  <c r="S119" i="8"/>
  <c r="S288" i="8"/>
  <c r="S307" i="8" s="1"/>
  <c r="S347" i="8" s="1"/>
  <c r="S117" i="8"/>
  <c r="S118" i="8" s="1"/>
  <c r="G187" i="8"/>
  <c r="G292" i="8"/>
  <c r="G309" i="8" s="1"/>
  <c r="G349" i="8" s="1"/>
  <c r="F193" i="8"/>
  <c r="G185" i="8"/>
  <c r="G186" i="8" s="1"/>
  <c r="L159" i="8"/>
  <c r="U108" i="8"/>
  <c r="U109" i="8" s="1"/>
  <c r="U111" i="8" s="1"/>
  <c r="C210" i="8"/>
  <c r="O143" i="8"/>
  <c r="O144" i="8" s="1"/>
  <c r="O145" i="8" s="1"/>
  <c r="U107" i="8"/>
  <c r="AA96" i="4"/>
  <c r="AA370" i="4" s="1"/>
  <c r="AA379" i="4" s="1"/>
  <c r="AA98" i="4"/>
  <c r="AA99" i="4" s="1"/>
  <c r="AA369" i="4"/>
  <c r="AA378" i="4" s="1"/>
  <c r="AB21" i="4"/>
  <c r="AB22" i="4" s="1"/>
  <c r="AB63" i="4" s="1"/>
  <c r="AB65" i="4" s="1"/>
  <c r="Q288" i="4"/>
  <c r="Q307" i="4" s="1"/>
  <c r="Q347" i="4" s="1"/>
  <c r="Q119" i="4"/>
  <c r="Q117" i="4"/>
  <c r="Q118" i="4" s="1"/>
  <c r="Q122" i="4" s="1"/>
  <c r="S107" i="4"/>
  <c r="S108" i="4"/>
  <c r="S109" i="4" s="1"/>
  <c r="O146" i="8" l="1"/>
  <c r="C211" i="8"/>
  <c r="C212" i="8" s="1"/>
  <c r="C213" i="8" s="1"/>
  <c r="M153" i="8"/>
  <c r="M290" i="8"/>
  <c r="M305" i="8" s="1"/>
  <c r="M345" i="8" s="1"/>
  <c r="M151" i="8"/>
  <c r="M152" i="8" s="1"/>
  <c r="J180" i="8"/>
  <c r="H183" i="8"/>
  <c r="G190" i="8"/>
  <c r="G191" i="8" s="1"/>
  <c r="H187" i="8"/>
  <c r="T115" i="8"/>
  <c r="S122" i="8"/>
  <c r="S312" i="8" s="1"/>
  <c r="S331" i="8" s="1"/>
  <c r="S360" i="8" s="1"/>
  <c r="U350" i="8"/>
  <c r="V104" i="8"/>
  <c r="L160" i="8"/>
  <c r="L161" i="8" s="1"/>
  <c r="L162" i="8" s="1"/>
  <c r="Q136" i="8"/>
  <c r="Q289" i="8"/>
  <c r="Q306" i="8" s="1"/>
  <c r="Q346" i="8" s="1"/>
  <c r="P313" i="8"/>
  <c r="P330" i="8" s="1"/>
  <c r="P359" i="8" s="1"/>
  <c r="P140" i="8"/>
  <c r="U112" i="8"/>
  <c r="T116" i="8" s="1"/>
  <c r="D204" i="8"/>
  <c r="D293" i="8"/>
  <c r="D304" i="8" s="1"/>
  <c r="D343" i="8" s="1"/>
  <c r="D202" i="8"/>
  <c r="D203" i="8" s="1"/>
  <c r="F194" i="8"/>
  <c r="F195" i="8" s="1"/>
  <c r="F196" i="8" s="1"/>
  <c r="Q137" i="8"/>
  <c r="Q138" i="8"/>
  <c r="Q134" i="8"/>
  <c r="Q135" i="8" s="1"/>
  <c r="AC64" i="4"/>
  <c r="AB68" i="4"/>
  <c r="R115" i="4"/>
  <c r="Q312" i="4"/>
  <c r="S111" i="4"/>
  <c r="S350" i="4"/>
  <c r="T104" i="4"/>
  <c r="F197" i="8" l="1"/>
  <c r="E201" i="8" s="1"/>
  <c r="G193" i="8"/>
  <c r="N149" i="8"/>
  <c r="M156" i="8"/>
  <c r="M314" i="8" s="1"/>
  <c r="M329" i="8" s="1"/>
  <c r="M358" i="8" s="1"/>
  <c r="R132" i="8"/>
  <c r="Q139" i="8"/>
  <c r="Q313" i="8" s="1"/>
  <c r="Q330" i="8" s="1"/>
  <c r="Q359" i="8" s="1"/>
  <c r="L163" i="8"/>
  <c r="K167" i="8" s="1"/>
  <c r="C214" i="8"/>
  <c r="T121" i="8"/>
  <c r="T120" i="8"/>
  <c r="T117" i="8"/>
  <c r="T118" i="8" s="1"/>
  <c r="V105" i="8"/>
  <c r="V106" i="8" s="1"/>
  <c r="V107" i="8" s="1"/>
  <c r="P142" i="8"/>
  <c r="T119" i="8"/>
  <c r="T288" i="8"/>
  <c r="T307" i="8" s="1"/>
  <c r="T347" i="8" s="1"/>
  <c r="G316" i="8"/>
  <c r="G333" i="8" s="1"/>
  <c r="G362" i="8" s="1"/>
  <c r="E200" i="8"/>
  <c r="D207" i="8"/>
  <c r="H189" i="8"/>
  <c r="H188" i="8"/>
  <c r="H185" i="8"/>
  <c r="H186" i="8" s="1"/>
  <c r="S123" i="8"/>
  <c r="AB96" i="4"/>
  <c r="AB370" i="4" s="1"/>
  <c r="AB379" i="4" s="1"/>
  <c r="AB98" i="4"/>
  <c r="AB99" i="4" s="1"/>
  <c r="AB369" i="4"/>
  <c r="AB378" i="4" s="1"/>
  <c r="AC21" i="4"/>
  <c r="AC22" i="4" s="1"/>
  <c r="AC63" i="4" s="1"/>
  <c r="AC65" i="4" s="1"/>
  <c r="T105" i="4"/>
  <c r="T106" i="4" s="1"/>
  <c r="Q331" i="4"/>
  <c r="Q123" i="4"/>
  <c r="Q125" i="4" s="1"/>
  <c r="R120" i="4"/>
  <c r="R121" i="4"/>
  <c r="S112" i="4"/>
  <c r="R116" i="4" s="1"/>
  <c r="Q140" i="8" l="1"/>
  <c r="Q142" i="8" s="1"/>
  <c r="Q143" i="8"/>
  <c r="Q144" i="8" s="1"/>
  <c r="U115" i="8"/>
  <c r="T122" i="8"/>
  <c r="T312" i="8" s="1"/>
  <c r="T331" i="8" s="1"/>
  <c r="T360" i="8" s="1"/>
  <c r="I183" i="8"/>
  <c r="I184" i="8" s="1"/>
  <c r="H190" i="8"/>
  <c r="H191" i="8" s="1"/>
  <c r="T123" i="8"/>
  <c r="T125" i="8" s="1"/>
  <c r="V350" i="8"/>
  <c r="W104" i="8"/>
  <c r="N155" i="8"/>
  <c r="N154" i="8"/>
  <c r="R137" i="8"/>
  <c r="R138" i="8"/>
  <c r="G194" i="8"/>
  <c r="G195" i="8" s="1"/>
  <c r="G196" i="8" s="1"/>
  <c r="E205" i="8"/>
  <c r="E202" i="8"/>
  <c r="E203" i="8" s="1"/>
  <c r="E206" i="8"/>
  <c r="N150" i="8"/>
  <c r="P143" i="8"/>
  <c r="P144" i="8" s="1"/>
  <c r="K170" i="8"/>
  <c r="K291" i="8"/>
  <c r="K303" i="8" s="1"/>
  <c r="K342" i="8" s="1"/>
  <c r="K168" i="8"/>
  <c r="K169" i="8" s="1"/>
  <c r="S125" i="8"/>
  <c r="D317" i="8"/>
  <c r="D328" i="8" s="1"/>
  <c r="D357" i="8" s="1"/>
  <c r="D208" i="8"/>
  <c r="V108" i="8"/>
  <c r="V109" i="8" s="1"/>
  <c r="V111" i="8" s="1"/>
  <c r="M157" i="8"/>
  <c r="E204" i="8"/>
  <c r="E293" i="8"/>
  <c r="E304" i="8" s="1"/>
  <c r="E343" i="8" s="1"/>
  <c r="AD64" i="4"/>
  <c r="AC68" i="4"/>
  <c r="R288" i="4"/>
  <c r="R307" i="4" s="1"/>
  <c r="R347" i="4" s="1"/>
  <c r="R119" i="4"/>
  <c r="R117" i="4"/>
  <c r="R118" i="4" s="1"/>
  <c r="R122" i="4" s="1"/>
  <c r="T108" i="4"/>
  <c r="T109" i="4" s="1"/>
  <c r="T111" i="4" s="1"/>
  <c r="T107" i="4"/>
  <c r="Q126" i="4"/>
  <c r="Q127" i="4" s="1"/>
  <c r="Q128" i="4" s="1"/>
  <c r="Q145" i="8" l="1"/>
  <c r="I292" i="8"/>
  <c r="I309" i="8" s="1"/>
  <c r="I349" i="8" s="1"/>
  <c r="I187" i="8"/>
  <c r="P145" i="8"/>
  <c r="P146" i="8" s="1"/>
  <c r="F200" i="8"/>
  <c r="E207" i="8"/>
  <c r="E317" i="8" s="1"/>
  <c r="E328" i="8" s="1"/>
  <c r="E357" i="8" s="1"/>
  <c r="E208" i="8"/>
  <c r="E210" i="8" s="1"/>
  <c r="T126" i="8"/>
  <c r="T127" i="8" s="1"/>
  <c r="G197" i="8"/>
  <c r="F201" i="8" s="1"/>
  <c r="L166" i="8"/>
  <c r="K173" i="8"/>
  <c r="K315" i="8" s="1"/>
  <c r="K327" i="8" s="1"/>
  <c r="K356" i="8" s="1"/>
  <c r="M159" i="8"/>
  <c r="H193" i="8"/>
  <c r="V112" i="8"/>
  <c r="U116" i="8" s="1"/>
  <c r="U117" i="8" s="1"/>
  <c r="U118" i="8" s="1"/>
  <c r="H316" i="8"/>
  <c r="H333" i="8" s="1"/>
  <c r="H362" i="8" s="1"/>
  <c r="I188" i="8"/>
  <c r="I189" i="8"/>
  <c r="I185" i="8"/>
  <c r="I186" i="8" s="1"/>
  <c r="F206" i="8"/>
  <c r="F205" i="8"/>
  <c r="N153" i="8"/>
  <c r="N290" i="8"/>
  <c r="N305" i="8" s="1"/>
  <c r="N345" i="8" s="1"/>
  <c r="W105" i="8"/>
  <c r="D210" i="8"/>
  <c r="N151" i="8"/>
  <c r="N152" i="8" s="1"/>
  <c r="U120" i="8"/>
  <c r="U121" i="8"/>
  <c r="S126" i="8"/>
  <c r="S127" i="8" s="1"/>
  <c r="AC98" i="4"/>
  <c r="AC99" i="4" s="1"/>
  <c r="AC96" i="4"/>
  <c r="AC370" i="4" s="1"/>
  <c r="AC379" i="4" s="1"/>
  <c r="AC369" i="4"/>
  <c r="AC378" i="4" s="1"/>
  <c r="AD21" i="4"/>
  <c r="AD22" i="4" s="1"/>
  <c r="AD63" i="4" s="1"/>
  <c r="AD65" i="4" s="1"/>
  <c r="S115" i="4"/>
  <c r="R312" i="4"/>
  <c r="T112" i="4"/>
  <c r="S116" i="4" s="1"/>
  <c r="T350" i="4"/>
  <c r="U104" i="4"/>
  <c r="T128" i="8" l="1"/>
  <c r="V115" i="8"/>
  <c r="U122" i="8"/>
  <c r="U312" i="8" s="1"/>
  <c r="U331" i="8" s="1"/>
  <c r="U360" i="8" s="1"/>
  <c r="J183" i="8"/>
  <c r="I190" i="8"/>
  <c r="I316" i="8" s="1"/>
  <c r="I333" i="8" s="1"/>
  <c r="I362" i="8" s="1"/>
  <c r="O149" i="8"/>
  <c r="N156" i="8"/>
  <c r="N314" i="8" s="1"/>
  <c r="N329" i="8" s="1"/>
  <c r="N358" i="8" s="1"/>
  <c r="H194" i="8"/>
  <c r="H195" i="8" s="1"/>
  <c r="H196" i="8" s="1"/>
  <c r="I191" i="8"/>
  <c r="W108" i="8"/>
  <c r="W109" i="8" s="1"/>
  <c r="W111" i="8" s="1"/>
  <c r="F204" i="8"/>
  <c r="F293" i="8"/>
  <c r="F304" i="8" s="1"/>
  <c r="F343" i="8" s="1"/>
  <c r="Q146" i="8"/>
  <c r="U119" i="8"/>
  <c r="U288" i="8"/>
  <c r="U307" i="8" s="1"/>
  <c r="U347" i="8" s="1"/>
  <c r="M160" i="8"/>
  <c r="M161" i="8" s="1"/>
  <c r="M162" i="8" s="1"/>
  <c r="K174" i="8"/>
  <c r="W106" i="8"/>
  <c r="W107" i="8" s="1"/>
  <c r="L172" i="8"/>
  <c r="L171" i="8"/>
  <c r="S128" i="8"/>
  <c r="E211" i="8"/>
  <c r="E212" i="8" s="1"/>
  <c r="F202" i="8"/>
  <c r="F203" i="8" s="1"/>
  <c r="D211" i="8"/>
  <c r="D212" i="8" s="1"/>
  <c r="AD68" i="4"/>
  <c r="AE64" i="4"/>
  <c r="U105" i="4"/>
  <c r="U106" i="4" s="1"/>
  <c r="S288" i="4"/>
  <c r="S307" i="4" s="1"/>
  <c r="S347" i="4" s="1"/>
  <c r="S119" i="4"/>
  <c r="R331" i="4"/>
  <c r="R123" i="4"/>
  <c r="R125" i="4" s="1"/>
  <c r="R126" i="4" s="1"/>
  <c r="R127" i="4" s="1"/>
  <c r="R128" i="4" s="1"/>
  <c r="S117" i="4"/>
  <c r="S118" i="4" s="1"/>
  <c r="S122" i="4" s="1"/>
  <c r="S120" i="4"/>
  <c r="S121" i="4"/>
  <c r="U123" i="8" l="1"/>
  <c r="E213" i="8"/>
  <c r="U125" i="8"/>
  <c r="G200" i="8"/>
  <c r="F207" i="8"/>
  <c r="F208" i="8" s="1"/>
  <c r="H197" i="8"/>
  <c r="G201" i="8" s="1"/>
  <c r="D213" i="8"/>
  <c r="W350" i="8"/>
  <c r="X104" i="8"/>
  <c r="K176" i="8"/>
  <c r="O154" i="8"/>
  <c r="O155" i="8"/>
  <c r="S129" i="8"/>
  <c r="O150" i="8"/>
  <c r="O151" i="8" s="1"/>
  <c r="N157" i="8"/>
  <c r="I193" i="8"/>
  <c r="M163" i="8"/>
  <c r="L167" i="8" s="1"/>
  <c r="J188" i="8"/>
  <c r="J189" i="8"/>
  <c r="W112" i="8"/>
  <c r="V116" i="8" s="1"/>
  <c r="V121" i="8"/>
  <c r="V120" i="8"/>
  <c r="AE21" i="4"/>
  <c r="AE22" i="4" s="1"/>
  <c r="AE63" i="4" s="1"/>
  <c r="AE65" i="4" s="1"/>
  <c r="AD96" i="4"/>
  <c r="AD370" i="4" s="1"/>
  <c r="AD379" i="4" s="1"/>
  <c r="AD98" i="4"/>
  <c r="AD99" i="4" s="1"/>
  <c r="AD369" i="4"/>
  <c r="AD378" i="4" s="1"/>
  <c r="U108" i="4"/>
  <c r="U109" i="4" s="1"/>
  <c r="U111" i="4" s="1"/>
  <c r="U107" i="4"/>
  <c r="T115" i="4"/>
  <c r="S312" i="4"/>
  <c r="F210" i="8" l="1"/>
  <c r="R133" i="8"/>
  <c r="T129" i="8"/>
  <c r="V119" i="8"/>
  <c r="V288" i="8"/>
  <c r="V307" i="8" s="1"/>
  <c r="V347" i="8" s="1"/>
  <c r="G204" i="8"/>
  <c r="G293" i="8"/>
  <c r="G304" i="8" s="1"/>
  <c r="G343" i="8" s="1"/>
  <c r="G206" i="8"/>
  <c r="G205" i="8"/>
  <c r="G202" i="8"/>
  <c r="G203" i="8" s="1"/>
  <c r="I194" i="8"/>
  <c r="I195" i="8" s="1"/>
  <c r="I196" i="8" s="1"/>
  <c r="X105" i="8"/>
  <c r="D214" i="8"/>
  <c r="F317" i="8"/>
  <c r="F328" i="8" s="1"/>
  <c r="F357" i="8" s="1"/>
  <c r="V117" i="8"/>
  <c r="V118" i="8" s="1"/>
  <c r="L170" i="8"/>
  <c r="L291" i="8"/>
  <c r="L303" i="8" s="1"/>
  <c r="L342" i="8" s="1"/>
  <c r="L168" i="8"/>
  <c r="L169" i="8" s="1"/>
  <c r="U126" i="8"/>
  <c r="U127" i="8" s="1"/>
  <c r="U128" i="8" s="1"/>
  <c r="N159" i="8"/>
  <c r="O153" i="8"/>
  <c r="O290" i="8"/>
  <c r="O305" i="8" s="1"/>
  <c r="O345" i="8" s="1"/>
  <c r="O152" i="8"/>
  <c r="K177" i="8"/>
  <c r="K178" i="8" s="1"/>
  <c r="K179" i="8" s="1"/>
  <c r="AF64" i="4"/>
  <c r="AE68" i="4"/>
  <c r="S331" i="4"/>
  <c r="S123" i="4"/>
  <c r="S125" i="4" s="1"/>
  <c r="U350" i="4"/>
  <c r="V104" i="4"/>
  <c r="T121" i="4"/>
  <c r="T120" i="4"/>
  <c r="U112" i="4"/>
  <c r="T116" i="4" s="1"/>
  <c r="H200" i="8" l="1"/>
  <c r="G207" i="8"/>
  <c r="M166" i="8"/>
  <c r="L173" i="8"/>
  <c r="L315" i="8" s="1"/>
  <c r="L327" i="8" s="1"/>
  <c r="L356" i="8" s="1"/>
  <c r="K180" i="8"/>
  <c r="J184" i="8" s="1"/>
  <c r="W115" i="8"/>
  <c r="V122" i="8"/>
  <c r="V312" i="8" s="1"/>
  <c r="V331" i="8" s="1"/>
  <c r="V360" i="8" s="1"/>
  <c r="P149" i="8"/>
  <c r="O156" i="8"/>
  <c r="O314" i="8" s="1"/>
  <c r="O329" i="8" s="1"/>
  <c r="O358" i="8" s="1"/>
  <c r="U129" i="8"/>
  <c r="T133" i="8" s="1"/>
  <c r="C218" i="8"/>
  <c r="E214" i="8"/>
  <c r="D218" i="8" s="1"/>
  <c r="X108" i="8"/>
  <c r="X109" i="8" s="1"/>
  <c r="X111" i="8" s="1"/>
  <c r="X106" i="8"/>
  <c r="X107" i="8" s="1"/>
  <c r="R136" i="8"/>
  <c r="R289" i="8"/>
  <c r="R306" i="8" s="1"/>
  <c r="R346" i="8" s="1"/>
  <c r="R134" i="8"/>
  <c r="R135" i="8" s="1"/>
  <c r="N160" i="8"/>
  <c r="N161" i="8" s="1"/>
  <c r="N162" i="8"/>
  <c r="I197" i="8"/>
  <c r="H201" i="8" s="1"/>
  <c r="F211" i="8"/>
  <c r="F212" i="8" s="1"/>
  <c r="F213" i="8" s="1"/>
  <c r="AE96" i="4"/>
  <c r="AE370" i="4" s="1"/>
  <c r="AE379" i="4" s="1"/>
  <c r="AE98" i="4"/>
  <c r="AE99" i="4" s="1"/>
  <c r="AE369" i="4"/>
  <c r="AE378" i="4" s="1"/>
  <c r="AF21" i="4"/>
  <c r="AF22" i="4" s="1"/>
  <c r="AF63" i="4" s="1"/>
  <c r="AF65" i="4" s="1"/>
  <c r="V105" i="4"/>
  <c r="V106" i="4" s="1"/>
  <c r="T288" i="4"/>
  <c r="T307" i="4" s="1"/>
  <c r="T347" i="4" s="1"/>
  <c r="T119" i="4"/>
  <c r="T117" i="4"/>
  <c r="T118" i="4" s="1"/>
  <c r="T122" i="4" s="1"/>
  <c r="S126" i="4"/>
  <c r="S127" i="4" s="1"/>
  <c r="S128" i="4" s="1"/>
  <c r="F214" i="8" l="1"/>
  <c r="E218" i="8" s="1"/>
  <c r="X350" i="8"/>
  <c r="Y104" i="8"/>
  <c r="X112" i="8"/>
  <c r="W116" i="8" s="1"/>
  <c r="W117" i="8" s="1"/>
  <c r="W118" i="8" s="1"/>
  <c r="W121" i="8"/>
  <c r="W120" i="8"/>
  <c r="V123" i="8"/>
  <c r="N163" i="8"/>
  <c r="M167" i="8" s="1"/>
  <c r="M172" i="8"/>
  <c r="M171" i="8"/>
  <c r="M168" i="8"/>
  <c r="M169" i="8" s="1"/>
  <c r="G317" i="8"/>
  <c r="G328" i="8" s="1"/>
  <c r="G357" i="8" s="1"/>
  <c r="H204" i="8"/>
  <c r="H293" i="8"/>
  <c r="H304" i="8" s="1"/>
  <c r="H343" i="8" s="1"/>
  <c r="T136" i="8"/>
  <c r="L174" i="8"/>
  <c r="J187" i="8"/>
  <c r="J292" i="8"/>
  <c r="J309" i="8" s="1"/>
  <c r="J349" i="8" s="1"/>
  <c r="J185" i="8"/>
  <c r="J186" i="8" s="1"/>
  <c r="D221" i="8"/>
  <c r="S132" i="8"/>
  <c r="R139" i="8"/>
  <c r="H206" i="8"/>
  <c r="H205" i="8"/>
  <c r="H202" i="8"/>
  <c r="H203" i="8" s="1"/>
  <c r="G208" i="8"/>
  <c r="E294" i="8"/>
  <c r="E301" i="8" s="1"/>
  <c r="E340" i="8" s="1"/>
  <c r="D294" i="8"/>
  <c r="D301" i="8" s="1"/>
  <c r="D340" i="8" s="1"/>
  <c r="C294" i="8"/>
  <c r="C301" i="8" s="1"/>
  <c r="C340" i="8" s="1"/>
  <c r="C221" i="8"/>
  <c r="C220" i="8"/>
  <c r="P154" i="8"/>
  <c r="P155" i="8"/>
  <c r="P150" i="8"/>
  <c r="P151" i="8" s="1"/>
  <c r="O157" i="8"/>
  <c r="AG64" i="4"/>
  <c r="AF68" i="4"/>
  <c r="U115" i="4"/>
  <c r="T312" i="4"/>
  <c r="V108" i="4"/>
  <c r="V109" i="4" s="1"/>
  <c r="V111" i="4" s="1"/>
  <c r="V107" i="4"/>
  <c r="K183" i="8" l="1"/>
  <c r="J190" i="8"/>
  <c r="J316" i="8" s="1"/>
  <c r="J333" i="8" s="1"/>
  <c r="J362" i="8" s="1"/>
  <c r="I200" i="8"/>
  <c r="H207" i="8"/>
  <c r="H317" i="8" s="1"/>
  <c r="H328" i="8" s="1"/>
  <c r="H357" i="8" s="1"/>
  <c r="N166" i="8"/>
  <c r="M173" i="8"/>
  <c r="M315" i="8" s="1"/>
  <c r="M327" i="8" s="1"/>
  <c r="M356" i="8" s="1"/>
  <c r="X115" i="8"/>
  <c r="W122" i="8"/>
  <c r="W312" i="8" s="1"/>
  <c r="W331" i="8" s="1"/>
  <c r="W360" i="8" s="1"/>
  <c r="H208" i="8"/>
  <c r="H210" i="8" s="1"/>
  <c r="O159" i="8"/>
  <c r="V125" i="8"/>
  <c r="R313" i="8"/>
  <c r="R330" i="8" s="1"/>
  <c r="R359" i="8" s="1"/>
  <c r="R140" i="8"/>
  <c r="W119" i="8"/>
  <c r="W288" i="8"/>
  <c r="W307" i="8" s="1"/>
  <c r="W347" i="8" s="1"/>
  <c r="D217" i="8"/>
  <c r="C224" i="8"/>
  <c r="C225" i="8" s="1"/>
  <c r="P153" i="8"/>
  <c r="P290" i="8"/>
  <c r="P305" i="8" s="1"/>
  <c r="P345" i="8" s="1"/>
  <c r="Y105" i="8"/>
  <c r="Y106" i="8" s="1"/>
  <c r="L176" i="8"/>
  <c r="S138" i="8"/>
  <c r="S137" i="8"/>
  <c r="S133" i="8"/>
  <c r="P152" i="8"/>
  <c r="G210" i="8"/>
  <c r="M170" i="8"/>
  <c r="M291" i="8"/>
  <c r="M303" i="8" s="1"/>
  <c r="M342" i="8" s="1"/>
  <c r="E221" i="8"/>
  <c r="AF98" i="4"/>
  <c r="AF99" i="4" s="1"/>
  <c r="AF96" i="4"/>
  <c r="AF370" i="4" s="1"/>
  <c r="AF379" i="4" s="1"/>
  <c r="AF369" i="4"/>
  <c r="AF378" i="4" s="1"/>
  <c r="AG21" i="4"/>
  <c r="AG22" i="4" s="1"/>
  <c r="AG63" i="4" s="1"/>
  <c r="AG65" i="4" s="1"/>
  <c r="T331" i="4"/>
  <c r="T123" i="4"/>
  <c r="T125" i="4" s="1"/>
  <c r="V112" i="4"/>
  <c r="U116" i="4" s="1"/>
  <c r="U120" i="4"/>
  <c r="U121" i="4"/>
  <c r="V350" i="4"/>
  <c r="W104" i="4"/>
  <c r="M174" i="8" l="1"/>
  <c r="W123" i="8"/>
  <c r="W125" i="8" s="1"/>
  <c r="H211" i="8"/>
  <c r="H212" i="8" s="1"/>
  <c r="C227" i="8"/>
  <c r="M176" i="8"/>
  <c r="Y108" i="8"/>
  <c r="Y109" i="8" s="1"/>
  <c r="Y111" i="8" s="1"/>
  <c r="N172" i="8"/>
  <c r="N171" i="8"/>
  <c r="G211" i="8"/>
  <c r="G212" i="8" s="1"/>
  <c r="H213" i="8" s="1"/>
  <c r="I206" i="8"/>
  <c r="I205" i="8"/>
  <c r="D223" i="8"/>
  <c r="D222" i="8"/>
  <c r="D219" i="8"/>
  <c r="D220" i="8" s="1"/>
  <c r="L177" i="8"/>
  <c r="L178" i="8" s="1"/>
  <c r="L179" i="8" s="1"/>
  <c r="X121" i="8"/>
  <c r="X120" i="8"/>
  <c r="R142" i="8"/>
  <c r="C318" i="8"/>
  <c r="C325" i="8" s="1"/>
  <c r="C354" i="8" s="1"/>
  <c r="Y107" i="8"/>
  <c r="V126" i="8"/>
  <c r="V127" i="8" s="1"/>
  <c r="V128" i="8" s="1"/>
  <c r="S136" i="8"/>
  <c r="S289" i="8"/>
  <c r="S306" i="8" s="1"/>
  <c r="S346" i="8" s="1"/>
  <c r="T289" i="8"/>
  <c r="T306" i="8" s="1"/>
  <c r="T346" i="8" s="1"/>
  <c r="S134" i="8"/>
  <c r="S135" i="8" s="1"/>
  <c r="O160" i="8"/>
  <c r="O161" i="8" s="1"/>
  <c r="O162" i="8" s="1"/>
  <c r="K189" i="8"/>
  <c r="K188" i="8"/>
  <c r="Q149" i="8"/>
  <c r="P156" i="8"/>
  <c r="P314" i="8" s="1"/>
  <c r="P329" i="8" s="1"/>
  <c r="P358" i="8" s="1"/>
  <c r="J191" i="8"/>
  <c r="AH64" i="4"/>
  <c r="AG68" i="4"/>
  <c r="W105" i="4"/>
  <c r="W106" i="4" s="1"/>
  <c r="U288" i="4"/>
  <c r="U307" i="4" s="1"/>
  <c r="U347" i="4" s="1"/>
  <c r="U119" i="4"/>
  <c r="U117" i="4"/>
  <c r="U118" i="4" s="1"/>
  <c r="U122" i="4" s="1"/>
  <c r="T126" i="4"/>
  <c r="T127" i="4" s="1"/>
  <c r="T128" i="4" s="1"/>
  <c r="G213" i="8" l="1"/>
  <c r="V129" i="8"/>
  <c r="U133" i="8" s="1"/>
  <c r="Y112" i="8"/>
  <c r="X116" i="8" s="1"/>
  <c r="E217" i="8"/>
  <c r="D224" i="8"/>
  <c r="Y350" i="8"/>
  <c r="Z104" i="8"/>
  <c r="G214" i="8"/>
  <c r="F218" i="8" s="1"/>
  <c r="C228" i="8"/>
  <c r="C229" i="8" s="1"/>
  <c r="C230" i="8" s="1"/>
  <c r="Q155" i="8"/>
  <c r="Q154" i="8"/>
  <c r="L180" i="8"/>
  <c r="K184" i="8" s="1"/>
  <c r="R143" i="8"/>
  <c r="R144" i="8" s="1"/>
  <c r="R145" i="8" s="1"/>
  <c r="W126" i="8"/>
  <c r="W127" i="8" s="1"/>
  <c r="W128" i="8" s="1"/>
  <c r="M177" i="8"/>
  <c r="M178" i="8" s="1"/>
  <c r="M179" i="8" s="1"/>
  <c r="O163" i="8"/>
  <c r="N167" i="8" s="1"/>
  <c r="T132" i="8"/>
  <c r="S139" i="8"/>
  <c r="J193" i="8"/>
  <c r="P157" i="8"/>
  <c r="AG96" i="4"/>
  <c r="AG370" i="4" s="1"/>
  <c r="AG379" i="4" s="1"/>
  <c r="AG98" i="4"/>
  <c r="AG99" i="4" s="1"/>
  <c r="AG369" i="4"/>
  <c r="AG378" i="4" s="1"/>
  <c r="AH21" i="4"/>
  <c r="AH22" i="4" s="1"/>
  <c r="AH63" i="4" s="1"/>
  <c r="AH65" i="4" s="1"/>
  <c r="V115" i="4"/>
  <c r="U312" i="4"/>
  <c r="W108" i="4"/>
  <c r="W109" i="4" s="1"/>
  <c r="W111" i="4" s="1"/>
  <c r="W107" i="4"/>
  <c r="R146" i="8" l="1"/>
  <c r="Q150" i="8" s="1"/>
  <c r="C231" i="8"/>
  <c r="W129" i="8"/>
  <c r="V133" i="8" s="1"/>
  <c r="E222" i="8"/>
  <c r="E223" i="8"/>
  <c r="E219" i="8"/>
  <c r="E220" i="8" s="1"/>
  <c r="F221" i="8"/>
  <c r="F294" i="8"/>
  <c r="F301" i="8" s="1"/>
  <c r="F340" i="8" s="1"/>
  <c r="X119" i="8"/>
  <c r="X288" i="8"/>
  <c r="X307" i="8" s="1"/>
  <c r="X347" i="8" s="1"/>
  <c r="X117" i="8"/>
  <c r="X118" i="8" s="1"/>
  <c r="P159" i="8"/>
  <c r="J194" i="8"/>
  <c r="J195" i="8" s="1"/>
  <c r="J196" i="8" s="1"/>
  <c r="Z105" i="8"/>
  <c r="Z106" i="8" s="1"/>
  <c r="S313" i="8"/>
  <c r="S330" i="8" s="1"/>
  <c r="S359" i="8" s="1"/>
  <c r="S140" i="8"/>
  <c r="D318" i="8"/>
  <c r="D325" i="8" s="1"/>
  <c r="D354" i="8" s="1"/>
  <c r="U136" i="8"/>
  <c r="U289" i="8"/>
  <c r="U306" i="8" s="1"/>
  <c r="U346" i="8" s="1"/>
  <c r="K187" i="8"/>
  <c r="K292" i="8"/>
  <c r="K309" i="8" s="1"/>
  <c r="K349" i="8" s="1"/>
  <c r="K185" i="8"/>
  <c r="K186" i="8" s="1"/>
  <c r="N170" i="8"/>
  <c r="N291" i="8"/>
  <c r="N303" i="8" s="1"/>
  <c r="N342" i="8" s="1"/>
  <c r="N168" i="8"/>
  <c r="N169" i="8" s="1"/>
  <c r="M180" i="8"/>
  <c r="D225" i="8"/>
  <c r="T138" i="8"/>
  <c r="T137" i="8"/>
  <c r="T134" i="8"/>
  <c r="T135" i="8" s="1"/>
  <c r="H214" i="8"/>
  <c r="G218" i="8" s="1"/>
  <c r="AI64" i="4"/>
  <c r="AH68" i="4"/>
  <c r="U331" i="4"/>
  <c r="V120" i="4"/>
  <c r="V121" i="4"/>
  <c r="U123" i="4"/>
  <c r="U125" i="4" s="1"/>
  <c r="W112" i="4"/>
  <c r="V116" i="4" s="1"/>
  <c r="W350" i="4"/>
  <c r="X104" i="4"/>
  <c r="U132" i="8" l="1"/>
  <c r="T139" i="8"/>
  <c r="T313" i="8" s="1"/>
  <c r="T330" i="8" s="1"/>
  <c r="T359" i="8" s="1"/>
  <c r="F217" i="8"/>
  <c r="E224" i="8"/>
  <c r="E225" i="8" s="1"/>
  <c r="O166" i="8"/>
  <c r="N173" i="8"/>
  <c r="J197" i="8"/>
  <c r="I201" i="8" s="1"/>
  <c r="P160" i="8"/>
  <c r="P161" i="8" s="1"/>
  <c r="P162" i="8" s="1"/>
  <c r="V136" i="8"/>
  <c r="V289" i="8"/>
  <c r="V306" i="8" s="1"/>
  <c r="V346" i="8" s="1"/>
  <c r="L183" i="8"/>
  <c r="L184" i="8" s="1"/>
  <c r="K190" i="8"/>
  <c r="K316" i="8" s="1"/>
  <c r="K333" i="8" s="1"/>
  <c r="K362" i="8" s="1"/>
  <c r="Z108" i="8"/>
  <c r="Z109" i="8" s="1"/>
  <c r="Z111" i="8" s="1"/>
  <c r="T140" i="8"/>
  <c r="Z107" i="8"/>
  <c r="D227" i="8"/>
  <c r="Y115" i="8"/>
  <c r="X122" i="8"/>
  <c r="X312" i="8" s="1"/>
  <c r="X331" i="8" s="1"/>
  <c r="X360" i="8" s="1"/>
  <c r="G294" i="8"/>
  <c r="G301" i="8" s="1"/>
  <c r="G340" i="8" s="1"/>
  <c r="Q153" i="8"/>
  <c r="Q290" i="8"/>
  <c r="Q305" i="8" s="1"/>
  <c r="Q345" i="8" s="1"/>
  <c r="Q151" i="8"/>
  <c r="Q152" i="8" s="1"/>
  <c r="G221" i="8"/>
  <c r="S142" i="8"/>
  <c r="AH96" i="4"/>
  <c r="AH370" i="4" s="1"/>
  <c r="AH379" i="4" s="1"/>
  <c r="AH98" i="4"/>
  <c r="AH99" i="4" s="1"/>
  <c r="AH369" i="4"/>
  <c r="AH378" i="4" s="1"/>
  <c r="AI21" i="4"/>
  <c r="AI22" i="4" s="1"/>
  <c r="AI63" i="4" s="1"/>
  <c r="AI65" i="4" s="1"/>
  <c r="X105" i="4"/>
  <c r="V288" i="4"/>
  <c r="V307" i="4" s="1"/>
  <c r="V347" i="4" s="1"/>
  <c r="V119" i="4"/>
  <c r="V117" i="4"/>
  <c r="V118" i="4" s="1"/>
  <c r="V122" i="4" s="1"/>
  <c r="U126" i="4"/>
  <c r="U127" i="4" s="1"/>
  <c r="U128" i="4" s="1"/>
  <c r="L187" i="8" l="1"/>
  <c r="L292" i="8"/>
  <c r="L309" i="8" s="1"/>
  <c r="L349" i="8" s="1"/>
  <c r="E227" i="8"/>
  <c r="F223" i="8"/>
  <c r="F222" i="8"/>
  <c r="F219" i="8"/>
  <c r="F220" i="8" s="1"/>
  <c r="P163" i="8"/>
  <c r="O167" i="8" s="1"/>
  <c r="O168" i="8" s="1"/>
  <c r="O169" i="8" s="1"/>
  <c r="D228" i="8"/>
  <c r="D229" i="8" s="1"/>
  <c r="D230" i="8" s="1"/>
  <c r="R149" i="8"/>
  <c r="Q156" i="8"/>
  <c r="Q314" i="8" s="1"/>
  <c r="Q329" i="8" s="1"/>
  <c r="Q358" i="8" s="1"/>
  <c r="O172" i="8"/>
  <c r="O171" i="8"/>
  <c r="L189" i="8"/>
  <c r="L188" i="8"/>
  <c r="L185" i="8"/>
  <c r="L186" i="8" s="1"/>
  <c r="M183" i="8" s="1"/>
  <c r="E318" i="8"/>
  <c r="E325" i="8" s="1"/>
  <c r="E354" i="8" s="1"/>
  <c r="Z350" i="8"/>
  <c r="AA104" i="8"/>
  <c r="Z112" i="8"/>
  <c r="Y116" i="8" s="1"/>
  <c r="U138" i="8"/>
  <c r="U137" i="8"/>
  <c r="U134" i="8"/>
  <c r="U135" i="8" s="1"/>
  <c r="V132" i="8" s="1"/>
  <c r="N315" i="8"/>
  <c r="N327" i="8" s="1"/>
  <c r="N356" i="8" s="1"/>
  <c r="N174" i="8"/>
  <c r="S143" i="8"/>
  <c r="S144" i="8" s="1"/>
  <c r="S145" i="8" s="1"/>
  <c r="X123" i="8"/>
  <c r="T142" i="8"/>
  <c r="K191" i="8"/>
  <c r="Y121" i="8"/>
  <c r="Y120" i="8"/>
  <c r="I204" i="8"/>
  <c r="I293" i="8"/>
  <c r="I304" i="8" s="1"/>
  <c r="I343" i="8" s="1"/>
  <c r="I202" i="8"/>
  <c r="I203" i="8" s="1"/>
  <c r="AJ64" i="4"/>
  <c r="AI68" i="4"/>
  <c r="X106" i="4"/>
  <c r="W115" i="4"/>
  <c r="V312" i="4"/>
  <c r="X108" i="4"/>
  <c r="X109" i="4" s="1"/>
  <c r="X111" i="4" s="1"/>
  <c r="P166" i="8" l="1"/>
  <c r="O173" i="8"/>
  <c r="O315" i="8" s="1"/>
  <c r="O327" i="8" s="1"/>
  <c r="O356" i="8" s="1"/>
  <c r="D231" i="8"/>
  <c r="C235" i="8" s="1"/>
  <c r="G217" i="8"/>
  <c r="F224" i="8"/>
  <c r="S146" i="8"/>
  <c r="R150" i="8" s="1"/>
  <c r="T143" i="8"/>
  <c r="T144" i="8" s="1"/>
  <c r="T145" i="8" s="1"/>
  <c r="F225" i="8"/>
  <c r="R155" i="8"/>
  <c r="R154" i="8"/>
  <c r="R151" i="8"/>
  <c r="E228" i="8"/>
  <c r="E229" i="8" s="1"/>
  <c r="E230" i="8" s="1"/>
  <c r="Y119" i="8"/>
  <c r="Y288" i="8"/>
  <c r="Y307" i="8" s="1"/>
  <c r="Y347" i="8" s="1"/>
  <c r="M189" i="8"/>
  <c r="M188" i="8"/>
  <c r="U139" i="8"/>
  <c r="U313" i="8" s="1"/>
  <c r="U330" i="8" s="1"/>
  <c r="U359" i="8" s="1"/>
  <c r="X125" i="8"/>
  <c r="N176" i="8"/>
  <c r="L190" i="8"/>
  <c r="L316" i="8" s="1"/>
  <c r="L333" i="8" s="1"/>
  <c r="L362" i="8" s="1"/>
  <c r="K193" i="8"/>
  <c r="AA105" i="8"/>
  <c r="Q157" i="8"/>
  <c r="V138" i="8"/>
  <c r="V137" i="8"/>
  <c r="V134" i="8"/>
  <c r="V135" i="8" s="1"/>
  <c r="J200" i="8"/>
  <c r="I207" i="8"/>
  <c r="O170" i="8"/>
  <c r="O174" i="8" s="1"/>
  <c r="O291" i="8"/>
  <c r="O303" i="8" s="1"/>
  <c r="O342" i="8" s="1"/>
  <c r="Y117" i="8"/>
  <c r="Y118" i="8" s="1"/>
  <c r="U140" i="8"/>
  <c r="AI98" i="4"/>
  <c r="AI99" i="4" s="1"/>
  <c r="AI96" i="4"/>
  <c r="AI370" i="4" s="1"/>
  <c r="AI379" i="4" s="1"/>
  <c r="AI369" i="4"/>
  <c r="AI378" i="4" s="1"/>
  <c r="AJ21" i="4"/>
  <c r="AJ22" i="4" s="1"/>
  <c r="AJ63" i="4" s="1"/>
  <c r="AJ65" i="4" s="1"/>
  <c r="X107" i="4"/>
  <c r="X350" i="4" s="1"/>
  <c r="V331" i="4"/>
  <c r="V123" i="4"/>
  <c r="X112" i="4"/>
  <c r="W116" i="4" s="1"/>
  <c r="W120" i="4"/>
  <c r="W121" i="4"/>
  <c r="T146" i="8" l="1"/>
  <c r="Z115" i="8"/>
  <c r="Y122" i="8"/>
  <c r="O176" i="8"/>
  <c r="W132" i="8"/>
  <c r="V139" i="8"/>
  <c r="V313" i="8" s="1"/>
  <c r="V330" i="8" s="1"/>
  <c r="V359" i="8" s="1"/>
  <c r="F227" i="8"/>
  <c r="N177" i="8"/>
  <c r="N178" i="8" s="1"/>
  <c r="N179" i="8" s="1"/>
  <c r="K194" i="8"/>
  <c r="K195" i="8" s="1"/>
  <c r="K196" i="8" s="1"/>
  <c r="R153" i="8"/>
  <c r="R290" i="8"/>
  <c r="R305" i="8" s="1"/>
  <c r="R345" i="8" s="1"/>
  <c r="Q159" i="8"/>
  <c r="F318" i="8"/>
  <c r="F325" i="8" s="1"/>
  <c r="F354" i="8" s="1"/>
  <c r="L191" i="8"/>
  <c r="X126" i="8"/>
  <c r="X127" i="8" s="1"/>
  <c r="X128" i="8" s="1"/>
  <c r="G222" i="8"/>
  <c r="G223" i="8"/>
  <c r="G219" i="8"/>
  <c r="G220" i="8" s="1"/>
  <c r="AA108" i="8"/>
  <c r="AA109" i="8" s="1"/>
  <c r="AA111" i="8" s="1"/>
  <c r="AA106" i="8"/>
  <c r="AA107" i="8" s="1"/>
  <c r="R152" i="8"/>
  <c r="C295" i="8"/>
  <c r="C308" i="8" s="1"/>
  <c r="C348" i="8" s="1"/>
  <c r="C238" i="8"/>
  <c r="C237" i="8"/>
  <c r="J206" i="8"/>
  <c r="J205" i="8"/>
  <c r="E231" i="8"/>
  <c r="D235" i="8" s="1"/>
  <c r="D295" i="8" s="1"/>
  <c r="D308" i="8" s="1"/>
  <c r="D348" i="8" s="1"/>
  <c r="U142" i="8"/>
  <c r="I317" i="8"/>
  <c r="I328" i="8" s="1"/>
  <c r="I357" i="8" s="1"/>
  <c r="I208" i="8"/>
  <c r="P172" i="8"/>
  <c r="P171" i="8"/>
  <c r="AK64" i="4"/>
  <c r="AJ68" i="4"/>
  <c r="Y104" i="4"/>
  <c r="Y105" i="4" s="1"/>
  <c r="Y108" i="4" s="1"/>
  <c r="Y109" i="4" s="1"/>
  <c r="Y111" i="4" s="1"/>
  <c r="W288" i="4"/>
  <c r="W307" i="4" s="1"/>
  <c r="W347" i="4" s="1"/>
  <c r="W119" i="4"/>
  <c r="W117" i="4"/>
  <c r="W118" i="4" s="1"/>
  <c r="W122" i="4" s="1"/>
  <c r="V125" i="4"/>
  <c r="AA350" i="8" l="1"/>
  <c r="AB104" i="8"/>
  <c r="H217" i="8"/>
  <c r="G224" i="8"/>
  <c r="G225" i="8" s="1"/>
  <c r="N180" i="8"/>
  <c r="M184" i="8" s="1"/>
  <c r="L193" i="8"/>
  <c r="S149" i="8"/>
  <c r="S150" i="8" s="1"/>
  <c r="R156" i="8"/>
  <c r="R314" i="8" s="1"/>
  <c r="R329" i="8" s="1"/>
  <c r="R358" i="8" s="1"/>
  <c r="W137" i="8"/>
  <c r="W138" i="8"/>
  <c r="O177" i="8"/>
  <c r="O178" i="8" s="1"/>
  <c r="O179" i="8" s="1"/>
  <c r="X129" i="8"/>
  <c r="W133" i="8" s="1"/>
  <c r="W134" i="8" s="1"/>
  <c r="K197" i="8"/>
  <c r="J201" i="8" s="1"/>
  <c r="Y312" i="8"/>
  <c r="Y331" i="8" s="1"/>
  <c r="Y360" i="8" s="1"/>
  <c r="Y123" i="8"/>
  <c r="Q160" i="8"/>
  <c r="Q161" i="8" s="1"/>
  <c r="Q162" i="8" s="1"/>
  <c r="Z120" i="8"/>
  <c r="Z117" i="8"/>
  <c r="Z121" i="8"/>
  <c r="F228" i="8"/>
  <c r="F229" i="8" s="1"/>
  <c r="F230" i="8" s="1"/>
  <c r="U143" i="8"/>
  <c r="U144" i="8" s="1"/>
  <c r="U145" i="8" s="1"/>
  <c r="V140" i="8"/>
  <c r="D238" i="8"/>
  <c r="D234" i="8"/>
  <c r="C241" i="8"/>
  <c r="C242" i="8" s="1"/>
  <c r="AA112" i="8"/>
  <c r="Z116" i="8" s="1"/>
  <c r="I210" i="8"/>
  <c r="Y106" i="4"/>
  <c r="Y107" i="4" s="1"/>
  <c r="Y350" i="4" s="1"/>
  <c r="AJ98" i="4"/>
  <c r="AJ99" i="4" s="1"/>
  <c r="AJ96" i="4"/>
  <c r="AJ370" i="4" s="1"/>
  <c r="AJ379" i="4" s="1"/>
  <c r="AJ369" i="4"/>
  <c r="AJ378" i="4" s="1"/>
  <c r="AK21" i="4"/>
  <c r="AK22" i="4" s="1"/>
  <c r="AK63" i="4" s="1"/>
  <c r="AK65" i="4" s="1"/>
  <c r="W312" i="4"/>
  <c r="X115" i="4"/>
  <c r="W123" i="4"/>
  <c r="W125" i="4" s="1"/>
  <c r="Y112" i="4"/>
  <c r="X116" i="4" s="1"/>
  <c r="V126" i="4"/>
  <c r="V127" i="4" s="1"/>
  <c r="V128" i="4" s="1"/>
  <c r="U146" i="8" l="1"/>
  <c r="T150" i="8" s="1"/>
  <c r="O180" i="8"/>
  <c r="C244" i="8"/>
  <c r="M187" i="8"/>
  <c r="M292" i="8"/>
  <c r="M309" i="8" s="1"/>
  <c r="M349" i="8" s="1"/>
  <c r="M185" i="8"/>
  <c r="M186" i="8" s="1"/>
  <c r="Q163" i="8"/>
  <c r="P167" i="8" s="1"/>
  <c r="L194" i="8"/>
  <c r="L195" i="8" s="1"/>
  <c r="L196" i="8" s="1"/>
  <c r="Z119" i="8"/>
  <c r="Z288" i="8"/>
  <c r="Z307" i="8" s="1"/>
  <c r="Z347" i="8" s="1"/>
  <c r="G318" i="8"/>
  <c r="G325" i="8" s="1"/>
  <c r="G354" i="8" s="1"/>
  <c r="W136" i="8"/>
  <c r="W289" i="8"/>
  <c r="W306" i="8" s="1"/>
  <c r="W346" i="8" s="1"/>
  <c r="S153" i="8"/>
  <c r="S290" i="8"/>
  <c r="S305" i="8" s="1"/>
  <c r="S345" i="8" s="1"/>
  <c r="G227" i="8"/>
  <c r="F231" i="8"/>
  <c r="E235" i="8" s="1"/>
  <c r="Y125" i="8"/>
  <c r="W135" i="8"/>
  <c r="H222" i="8"/>
  <c r="H223" i="8"/>
  <c r="AB105" i="8"/>
  <c r="D239" i="8"/>
  <c r="D240" i="8"/>
  <c r="D236" i="8"/>
  <c r="D237" i="8" s="1"/>
  <c r="I211" i="8"/>
  <c r="I212" i="8" s="1"/>
  <c r="I213" i="8" s="1"/>
  <c r="J204" i="8"/>
  <c r="J293" i="8"/>
  <c r="J304" i="8" s="1"/>
  <c r="J343" i="8" s="1"/>
  <c r="J202" i="8"/>
  <c r="J203" i="8" s="1"/>
  <c r="V142" i="8"/>
  <c r="C319" i="8"/>
  <c r="C332" i="8" s="1"/>
  <c r="C361" i="8" s="1"/>
  <c r="Z118" i="8"/>
  <c r="S155" i="8"/>
  <c r="S154" i="8"/>
  <c r="S151" i="8"/>
  <c r="S152" i="8" s="1"/>
  <c r="R157" i="8"/>
  <c r="AK68" i="4"/>
  <c r="AL64" i="4"/>
  <c r="Z104" i="4"/>
  <c r="Z105" i="4" s="1"/>
  <c r="Z106" i="4" s="1"/>
  <c r="X288" i="4"/>
  <c r="X307" i="4" s="1"/>
  <c r="X347" i="4" s="1"/>
  <c r="X119" i="4"/>
  <c r="W331" i="4"/>
  <c r="X121" i="4"/>
  <c r="X120" i="4"/>
  <c r="X117" i="4"/>
  <c r="X118" i="4" s="1"/>
  <c r="X122" i="4" s="1"/>
  <c r="W126" i="4"/>
  <c r="W127" i="4" s="1"/>
  <c r="W128" i="4" s="1"/>
  <c r="I214" i="8" l="1"/>
  <c r="H218" i="8" s="1"/>
  <c r="E234" i="8"/>
  <c r="D241" i="8"/>
  <c r="W140" i="8"/>
  <c r="K200" i="8"/>
  <c r="J207" i="8"/>
  <c r="J317" i="8" s="1"/>
  <c r="J328" i="8" s="1"/>
  <c r="J357" i="8" s="1"/>
  <c r="T149" i="8"/>
  <c r="S156" i="8"/>
  <c r="D242" i="8"/>
  <c r="AA115" i="8"/>
  <c r="Z122" i="8"/>
  <c r="X132" i="8"/>
  <c r="W139" i="8"/>
  <c r="W313" i="8" s="1"/>
  <c r="W330" i="8" s="1"/>
  <c r="W359" i="8" s="1"/>
  <c r="C245" i="8"/>
  <c r="C246" i="8" s="1"/>
  <c r="C247" i="8" s="1"/>
  <c r="N183" i="8"/>
  <c r="N184" i="8" s="1"/>
  <c r="M190" i="8"/>
  <c r="L197" i="8"/>
  <c r="K201" i="8" s="1"/>
  <c r="G228" i="8"/>
  <c r="G229" i="8" s="1"/>
  <c r="G230" i="8" s="1"/>
  <c r="V143" i="8"/>
  <c r="V144" i="8" s="1"/>
  <c r="V145" i="8" s="1"/>
  <c r="P170" i="8"/>
  <c r="P291" i="8"/>
  <c r="P303" i="8" s="1"/>
  <c r="P342" i="8" s="1"/>
  <c r="P168" i="8"/>
  <c r="P169" i="8" s="1"/>
  <c r="R159" i="8"/>
  <c r="Y126" i="8"/>
  <c r="Y127" i="8" s="1"/>
  <c r="Y128" i="8" s="1"/>
  <c r="AB108" i="8"/>
  <c r="AB109" i="8" s="1"/>
  <c r="AB111" i="8" s="1"/>
  <c r="T153" i="8"/>
  <c r="T290" i="8"/>
  <c r="T305" i="8" s="1"/>
  <c r="T345" i="8" s="1"/>
  <c r="E238" i="8"/>
  <c r="E295" i="8"/>
  <c r="E308" i="8" s="1"/>
  <c r="E348" i="8" s="1"/>
  <c r="AB106" i="8"/>
  <c r="AB107" i="8" s="1"/>
  <c r="AL21" i="4"/>
  <c r="AL22" i="4" s="1"/>
  <c r="AL63" i="4" s="1"/>
  <c r="AL65" i="4" s="1"/>
  <c r="AK98" i="4"/>
  <c r="AK99" i="4" s="1"/>
  <c r="AK96" i="4"/>
  <c r="AK370" i="4" s="1"/>
  <c r="AK379" i="4" s="1"/>
  <c r="AK369" i="4"/>
  <c r="AK378" i="4" s="1"/>
  <c r="Z107" i="4"/>
  <c r="Z350" i="4" s="1"/>
  <c r="Y115" i="4"/>
  <c r="X312" i="4"/>
  <c r="Z108" i="4"/>
  <c r="Z109" i="4" s="1"/>
  <c r="Z111" i="4" s="1"/>
  <c r="N187" i="8" l="1"/>
  <c r="N292" i="8"/>
  <c r="N309" i="8" s="1"/>
  <c r="N349" i="8" s="1"/>
  <c r="Q166" i="8"/>
  <c r="P173" i="8"/>
  <c r="G231" i="8"/>
  <c r="F235" i="8" s="1"/>
  <c r="C248" i="8"/>
  <c r="V146" i="8"/>
  <c r="U150" i="8" s="1"/>
  <c r="K204" i="8"/>
  <c r="K293" i="8"/>
  <c r="K304" i="8" s="1"/>
  <c r="K343" i="8" s="1"/>
  <c r="D244" i="8"/>
  <c r="T154" i="8"/>
  <c r="T155" i="8"/>
  <c r="T151" i="8"/>
  <c r="T152" i="8" s="1"/>
  <c r="S314" i="8"/>
  <c r="S329" i="8" s="1"/>
  <c r="S358" i="8" s="1"/>
  <c r="S157" i="8"/>
  <c r="K205" i="8"/>
  <c r="K206" i="8"/>
  <c r="K202" i="8"/>
  <c r="K203" i="8" s="1"/>
  <c r="L200" i="8" s="1"/>
  <c r="D319" i="8"/>
  <c r="D332" i="8" s="1"/>
  <c r="D361" i="8" s="1"/>
  <c r="E239" i="8"/>
  <c r="E240" i="8"/>
  <c r="E236" i="8"/>
  <c r="E237" i="8" s="1"/>
  <c r="N188" i="8"/>
  <c r="N189" i="8"/>
  <c r="N185" i="8"/>
  <c r="N186" i="8" s="1"/>
  <c r="O183" i="8" s="1"/>
  <c r="Y129" i="8"/>
  <c r="X133" i="8" s="1"/>
  <c r="X134" i="8" s="1"/>
  <c r="X135" i="8" s="1"/>
  <c r="X137" i="8"/>
  <c r="X138" i="8"/>
  <c r="H221" i="8"/>
  <c r="H294" i="8"/>
  <c r="H301" i="8" s="1"/>
  <c r="H340" i="8" s="1"/>
  <c r="H219" i="8"/>
  <c r="H220" i="8"/>
  <c r="AB350" i="8"/>
  <c r="AC104" i="8"/>
  <c r="AB112" i="8"/>
  <c r="AA116" i="8" s="1"/>
  <c r="Z312" i="8"/>
  <c r="Z331" i="8" s="1"/>
  <c r="Z360" i="8" s="1"/>
  <c r="Z123" i="8"/>
  <c r="M316" i="8"/>
  <c r="M333" i="8" s="1"/>
  <c r="M362" i="8" s="1"/>
  <c r="M191" i="8"/>
  <c r="W142" i="8"/>
  <c r="R160" i="8"/>
  <c r="R161" i="8" s="1"/>
  <c r="R162" i="8" s="1"/>
  <c r="AA120" i="8"/>
  <c r="AA121" i="8"/>
  <c r="J208" i="8"/>
  <c r="AL68" i="4"/>
  <c r="AM64" i="4"/>
  <c r="X331" i="4"/>
  <c r="AA104" i="4"/>
  <c r="Z112" i="4"/>
  <c r="Y116" i="4" s="1"/>
  <c r="X123" i="4"/>
  <c r="Y120" i="4"/>
  <c r="Y121" i="4"/>
  <c r="U149" i="8" l="1"/>
  <c r="T156" i="8"/>
  <c r="T314" i="8" s="1"/>
  <c r="T329" i="8" s="1"/>
  <c r="T358" i="8" s="1"/>
  <c r="F234" i="8"/>
  <c r="E241" i="8"/>
  <c r="E242" i="8" s="1"/>
  <c r="Y132" i="8"/>
  <c r="X139" i="8"/>
  <c r="X313" i="8" s="1"/>
  <c r="X330" i="8" s="1"/>
  <c r="X359" i="8" s="1"/>
  <c r="N190" i="8"/>
  <c r="N316" i="8" s="1"/>
  <c r="N333" i="8" s="1"/>
  <c r="N362" i="8" s="1"/>
  <c r="AA119" i="8"/>
  <c r="AA288" i="8"/>
  <c r="AA307" i="8" s="1"/>
  <c r="AA347" i="8" s="1"/>
  <c r="L205" i="8"/>
  <c r="L206" i="8"/>
  <c r="U153" i="8"/>
  <c r="U290" i="8"/>
  <c r="U305" i="8" s="1"/>
  <c r="U345" i="8" s="1"/>
  <c r="W143" i="8"/>
  <c r="W144" i="8" s="1"/>
  <c r="W145" i="8" s="1"/>
  <c r="AC105" i="8"/>
  <c r="AC106" i="8" s="1"/>
  <c r="AC107" i="8" s="1"/>
  <c r="R163" i="8"/>
  <c r="Q167" i="8" s="1"/>
  <c r="Q168" i="8" s="1"/>
  <c r="Q169" i="8" s="1"/>
  <c r="R166" i="8" s="1"/>
  <c r="I217" i="8"/>
  <c r="H224" i="8"/>
  <c r="O188" i="8"/>
  <c r="O189" i="8"/>
  <c r="F238" i="8"/>
  <c r="F295" i="8"/>
  <c r="F308" i="8" s="1"/>
  <c r="F348" i="8" s="1"/>
  <c r="M193" i="8"/>
  <c r="D245" i="8"/>
  <c r="D246" i="8" s="1"/>
  <c r="D247" i="8" s="1"/>
  <c r="S159" i="8"/>
  <c r="J210" i="8"/>
  <c r="Z125" i="8"/>
  <c r="X136" i="8"/>
  <c r="X289" i="8"/>
  <c r="X306" i="8" s="1"/>
  <c r="X346" i="8" s="1"/>
  <c r="K207" i="8"/>
  <c r="P315" i="8"/>
  <c r="P327" i="8" s="1"/>
  <c r="P356" i="8" s="1"/>
  <c r="P174" i="8"/>
  <c r="AA117" i="8"/>
  <c r="AA118" i="8" s="1"/>
  <c r="Q171" i="8"/>
  <c r="Q172" i="8"/>
  <c r="AM21" i="4"/>
  <c r="AM22" i="4" s="1"/>
  <c r="AM63" i="4" s="1"/>
  <c r="AM65" i="4" s="1"/>
  <c r="AM68" i="4" s="1"/>
  <c r="AL96" i="4"/>
  <c r="AL370" i="4" s="1"/>
  <c r="AL379" i="4" s="1"/>
  <c r="AL98" i="4"/>
  <c r="AL99" i="4" s="1"/>
  <c r="AL369" i="4"/>
  <c r="AL378" i="4" s="1"/>
  <c r="AA105" i="4"/>
  <c r="Y288" i="4"/>
  <c r="Y307" i="4" s="1"/>
  <c r="Y347" i="4" s="1"/>
  <c r="Y119" i="4"/>
  <c r="Y117" i="4"/>
  <c r="Y118" i="4" s="1"/>
  <c r="Y122" i="4" s="1"/>
  <c r="X125" i="4"/>
  <c r="T157" i="8" l="1"/>
  <c r="X140" i="8"/>
  <c r="D248" i="8"/>
  <c r="C252" i="8" s="1"/>
  <c r="X142" i="8"/>
  <c r="AC350" i="8"/>
  <c r="AD104" i="8"/>
  <c r="E244" i="8"/>
  <c r="W146" i="8"/>
  <c r="V150" i="8" s="1"/>
  <c r="P176" i="8"/>
  <c r="Y137" i="8"/>
  <c r="Y138" i="8"/>
  <c r="R172" i="8"/>
  <c r="R171" i="8"/>
  <c r="Q173" i="8"/>
  <c r="Q315" i="8" s="1"/>
  <c r="Q327" i="8" s="1"/>
  <c r="Q356" i="8" s="1"/>
  <c r="T159" i="8"/>
  <c r="H318" i="8"/>
  <c r="H325" i="8" s="1"/>
  <c r="H354" i="8" s="1"/>
  <c r="H225" i="8"/>
  <c r="E319" i="8"/>
  <c r="E332" i="8" s="1"/>
  <c r="E361" i="8" s="1"/>
  <c r="F239" i="8"/>
  <c r="F240" i="8"/>
  <c r="F236" i="8"/>
  <c r="F237" i="8" s="1"/>
  <c r="J211" i="8"/>
  <c r="J212" i="8" s="1"/>
  <c r="J213" i="8" s="1"/>
  <c r="AB115" i="8"/>
  <c r="AA122" i="8"/>
  <c r="S160" i="8"/>
  <c r="S161" i="8" s="1"/>
  <c r="S162" i="8" s="1"/>
  <c r="I222" i="8"/>
  <c r="I223" i="8"/>
  <c r="Q170" i="8"/>
  <c r="Q291" i="8"/>
  <c r="Q303" i="8" s="1"/>
  <c r="Q342" i="8" s="1"/>
  <c r="N191" i="8"/>
  <c r="K317" i="8"/>
  <c r="K328" i="8" s="1"/>
  <c r="K357" i="8" s="1"/>
  <c r="K208" i="8"/>
  <c r="Z126" i="8"/>
  <c r="Z127" i="8" s="1"/>
  <c r="Z128" i="8" s="1"/>
  <c r="M194" i="8"/>
  <c r="M195" i="8" s="1"/>
  <c r="M196" i="8" s="1"/>
  <c r="AC108" i="8"/>
  <c r="AC109" i="8" s="1"/>
  <c r="AC111" i="8" s="1"/>
  <c r="U154" i="8"/>
  <c r="U155" i="8"/>
  <c r="U151" i="8"/>
  <c r="U152" i="8" s="1"/>
  <c r="V149" i="8" s="1"/>
  <c r="AM96" i="4"/>
  <c r="AM370" i="4" s="1"/>
  <c r="AM379" i="4" s="1"/>
  <c r="AM98" i="4"/>
  <c r="AM99" i="4" s="1"/>
  <c r="AM369" i="4"/>
  <c r="AM378" i="4" s="1"/>
  <c r="AA108" i="4"/>
  <c r="AA109" i="4" s="1"/>
  <c r="AA111" i="4" s="1"/>
  <c r="AA112" i="4" s="1"/>
  <c r="Z116" i="4" s="1"/>
  <c r="AA106" i="4"/>
  <c r="X126" i="4"/>
  <c r="X127" i="4" s="1"/>
  <c r="X128" i="4" s="1"/>
  <c r="Z115" i="4"/>
  <c r="Y312" i="4"/>
  <c r="Q174" i="8" l="1"/>
  <c r="S163" i="8"/>
  <c r="R167" i="8" s="1"/>
  <c r="G234" i="8"/>
  <c r="F241" i="8"/>
  <c r="AC112" i="8"/>
  <c r="AB116" i="8" s="1"/>
  <c r="AB117" i="8" s="1"/>
  <c r="J214" i="8"/>
  <c r="I218" i="8" s="1"/>
  <c r="Z129" i="8"/>
  <c r="Y133" i="8" s="1"/>
  <c r="H227" i="8"/>
  <c r="X143" i="8"/>
  <c r="X144" i="8" s="1"/>
  <c r="X145" i="8" s="1"/>
  <c r="AD105" i="8"/>
  <c r="E245" i="8"/>
  <c r="E246" i="8" s="1"/>
  <c r="E247" i="8" s="1"/>
  <c r="T160" i="8"/>
  <c r="T161" i="8" s="1"/>
  <c r="T162" i="8" s="1"/>
  <c r="M197" i="8"/>
  <c r="L201" i="8" s="1"/>
  <c r="K210" i="8"/>
  <c r="Q176" i="8"/>
  <c r="U156" i="8"/>
  <c r="U314" i="8" s="1"/>
  <c r="U329" i="8" s="1"/>
  <c r="U358" i="8" s="1"/>
  <c r="AA312" i="8"/>
  <c r="AA331" i="8" s="1"/>
  <c r="AA360" i="8" s="1"/>
  <c r="AA123" i="8"/>
  <c r="P177" i="8"/>
  <c r="P178" i="8" s="1"/>
  <c r="P179" i="8" s="1"/>
  <c r="V154" i="8"/>
  <c r="V155" i="8"/>
  <c r="V151" i="8"/>
  <c r="V152" i="8" s="1"/>
  <c r="W149" i="8" s="1"/>
  <c r="N193" i="8"/>
  <c r="AB121" i="8"/>
  <c r="AB120" i="8"/>
  <c r="V153" i="8"/>
  <c r="V290" i="8"/>
  <c r="V305" i="8" s="1"/>
  <c r="V345" i="8" s="1"/>
  <c r="C255" i="8"/>
  <c r="C296" i="8"/>
  <c r="C302" i="8" s="1"/>
  <c r="C341" i="8" s="1"/>
  <c r="C254" i="8"/>
  <c r="AA107" i="4"/>
  <c r="AA350" i="4" s="1"/>
  <c r="Z288" i="4"/>
  <c r="Z307" i="4" s="1"/>
  <c r="Z347" i="4" s="1"/>
  <c r="Z119" i="4"/>
  <c r="Y331" i="4"/>
  <c r="Z117" i="4"/>
  <c r="Z118" i="4" s="1"/>
  <c r="Z122" i="4" s="1"/>
  <c r="Y123" i="4"/>
  <c r="Y125" i="4" s="1"/>
  <c r="Z121" i="4"/>
  <c r="Z120" i="4"/>
  <c r="U157" i="8" l="1"/>
  <c r="E248" i="8"/>
  <c r="D252" i="8" s="1"/>
  <c r="P180" i="8"/>
  <c r="O184" i="8" s="1"/>
  <c r="T163" i="8"/>
  <c r="AD107" i="8"/>
  <c r="V157" i="8"/>
  <c r="V159" i="8" s="1"/>
  <c r="W154" i="8"/>
  <c r="W155" i="8"/>
  <c r="G239" i="8"/>
  <c r="G240" i="8"/>
  <c r="I221" i="8"/>
  <c r="I294" i="8"/>
  <c r="I301" i="8" s="1"/>
  <c r="I340" i="8" s="1"/>
  <c r="I219" i="8"/>
  <c r="I220" i="8" s="1"/>
  <c r="D251" i="8"/>
  <c r="C258" i="8"/>
  <c r="N194" i="8"/>
  <c r="N195" i="8" s="1"/>
  <c r="N196" i="8" s="1"/>
  <c r="K211" i="8"/>
  <c r="K212" i="8" s="1"/>
  <c r="K213" i="8" s="1"/>
  <c r="R170" i="8"/>
  <c r="R291" i="8"/>
  <c r="R303" i="8" s="1"/>
  <c r="R342" i="8" s="1"/>
  <c r="R168" i="8"/>
  <c r="R169" i="8" s="1"/>
  <c r="U159" i="8"/>
  <c r="AB119" i="8"/>
  <c r="AB288" i="8"/>
  <c r="AB307" i="8" s="1"/>
  <c r="AB347" i="8" s="1"/>
  <c r="AB118" i="8"/>
  <c r="AD106" i="8"/>
  <c r="X146" i="8"/>
  <c r="W150" i="8" s="1"/>
  <c r="W151" i="8" s="1"/>
  <c r="W152" i="8" s="1"/>
  <c r="V156" i="8"/>
  <c r="V314" i="8" s="1"/>
  <c r="V329" i="8" s="1"/>
  <c r="V358" i="8" s="1"/>
  <c r="L204" i="8"/>
  <c r="L293" i="8"/>
  <c r="L304" i="8" s="1"/>
  <c r="L343" i="8" s="1"/>
  <c r="L202" i="8"/>
  <c r="L203" i="8" s="1"/>
  <c r="Y136" i="8"/>
  <c r="Y289" i="8"/>
  <c r="Y306" i="8" s="1"/>
  <c r="Y346" i="8" s="1"/>
  <c r="Y134" i="8"/>
  <c r="Y135" i="8" s="1"/>
  <c r="AA125" i="8"/>
  <c r="AD108" i="8"/>
  <c r="AD109" i="8" s="1"/>
  <c r="AD111" i="8" s="1"/>
  <c r="F319" i="8"/>
  <c r="F332" i="8" s="1"/>
  <c r="F361" i="8" s="1"/>
  <c r="Q177" i="8"/>
  <c r="Q178" i="8" s="1"/>
  <c r="Q179" i="8" s="1"/>
  <c r="H228" i="8"/>
  <c r="H229" i="8" s="1"/>
  <c r="H230" i="8" s="1"/>
  <c r="F242" i="8"/>
  <c r="AB104" i="4"/>
  <c r="AB105" i="4" s="1"/>
  <c r="AB108" i="4" s="1"/>
  <c r="AB109" i="4" s="1"/>
  <c r="AB111" i="4" s="1"/>
  <c r="AA115" i="4"/>
  <c r="Z312" i="4"/>
  <c r="Y126" i="4"/>
  <c r="Y127" i="4" s="1"/>
  <c r="Y128" i="4" s="1"/>
  <c r="N197" i="8" l="1"/>
  <c r="H231" i="8"/>
  <c r="G235" i="8" s="1"/>
  <c r="Q180" i="8"/>
  <c r="AD112" i="8"/>
  <c r="AC116" i="8" s="1"/>
  <c r="Z132" i="8"/>
  <c r="Y139" i="8"/>
  <c r="S166" i="8"/>
  <c r="R173" i="8"/>
  <c r="M200" i="8"/>
  <c r="L207" i="8"/>
  <c r="X149" i="8"/>
  <c r="W156" i="8"/>
  <c r="W314" i="8" s="1"/>
  <c r="W329" i="8" s="1"/>
  <c r="W358" i="8" s="1"/>
  <c r="AC115" i="8"/>
  <c r="AB122" i="8"/>
  <c r="K214" i="8"/>
  <c r="J218" i="8" s="1"/>
  <c r="AB106" i="4"/>
  <c r="AB107" i="4" s="1"/>
  <c r="V160" i="8"/>
  <c r="V161" i="8" s="1"/>
  <c r="V162" i="8" s="1"/>
  <c r="F244" i="8"/>
  <c r="C320" i="8"/>
  <c r="C326" i="8" s="1"/>
  <c r="C355" i="8" s="1"/>
  <c r="AD350" i="8"/>
  <c r="AE104" i="8"/>
  <c r="D256" i="8"/>
  <c r="D257" i="8"/>
  <c r="D253" i="8"/>
  <c r="D254" i="8" s="1"/>
  <c r="U160" i="8"/>
  <c r="U161" i="8" s="1"/>
  <c r="U162" i="8" s="1"/>
  <c r="J217" i="8"/>
  <c r="I224" i="8"/>
  <c r="I318" i="8" s="1"/>
  <c r="I325" i="8" s="1"/>
  <c r="I354" i="8" s="1"/>
  <c r="O187" i="8"/>
  <c r="O292" i="8"/>
  <c r="O309" i="8" s="1"/>
  <c r="O349" i="8" s="1"/>
  <c r="O185" i="8"/>
  <c r="O186" i="8" s="1"/>
  <c r="AA126" i="8"/>
  <c r="AA127" i="8" s="1"/>
  <c r="AA128" i="8" s="1"/>
  <c r="W153" i="8"/>
  <c r="W290" i="8"/>
  <c r="W305" i="8" s="1"/>
  <c r="W345" i="8" s="1"/>
  <c r="C259" i="8"/>
  <c r="D255" i="8"/>
  <c r="D296" i="8"/>
  <c r="D302" i="8" s="1"/>
  <c r="D341" i="8" s="1"/>
  <c r="Z331" i="4"/>
  <c r="Z123" i="4"/>
  <c r="Z125" i="4" s="1"/>
  <c r="AB112" i="4"/>
  <c r="AA116" i="4" s="1"/>
  <c r="AA120" i="4"/>
  <c r="AA121" i="4"/>
  <c r="M201" i="8" l="1"/>
  <c r="W157" i="8"/>
  <c r="W159" i="8" s="1"/>
  <c r="AA129" i="8"/>
  <c r="Z133" i="8" s="1"/>
  <c r="AC104" i="4"/>
  <c r="AC105" i="4" s="1"/>
  <c r="AC106" i="4" s="1"/>
  <c r="AB350" i="4"/>
  <c r="E251" i="8"/>
  <c r="D258" i="8"/>
  <c r="D259" i="8" s="1"/>
  <c r="D261" i="8" s="1"/>
  <c r="AB312" i="8"/>
  <c r="AB331" i="8" s="1"/>
  <c r="AB360" i="8" s="1"/>
  <c r="AB123" i="8"/>
  <c r="AC119" i="8"/>
  <c r="AC288" i="8"/>
  <c r="AC307" i="8" s="1"/>
  <c r="AC347" i="8" s="1"/>
  <c r="AE105" i="8"/>
  <c r="AE106" i="8" s="1"/>
  <c r="AE107" i="8" s="1"/>
  <c r="AC121" i="8"/>
  <c r="AC120" i="8"/>
  <c r="AC117" i="8"/>
  <c r="AC118" i="8" s="1"/>
  <c r="P183" i="8"/>
  <c r="O190" i="8"/>
  <c r="G238" i="8"/>
  <c r="G295" i="8"/>
  <c r="G308" i="8" s="1"/>
  <c r="G348" i="8" s="1"/>
  <c r="G236" i="8"/>
  <c r="G237" i="8" s="1"/>
  <c r="U163" i="8"/>
  <c r="T167" i="8" s="1"/>
  <c r="Z137" i="8"/>
  <c r="Z138" i="8"/>
  <c r="Z134" i="8"/>
  <c r="Z135" i="8" s="1"/>
  <c r="Y313" i="8"/>
  <c r="Y330" i="8" s="1"/>
  <c r="Y359" i="8" s="1"/>
  <c r="Y140" i="8"/>
  <c r="J223" i="8"/>
  <c r="J222" i="8"/>
  <c r="J219" i="8"/>
  <c r="J220" i="8" s="1"/>
  <c r="L317" i="8"/>
  <c r="L328" i="8" s="1"/>
  <c r="L357" i="8" s="1"/>
  <c r="L208" i="8"/>
  <c r="S171" i="8"/>
  <c r="S172" i="8"/>
  <c r="J221" i="8"/>
  <c r="J294" i="8"/>
  <c r="J301" i="8" s="1"/>
  <c r="J340" i="8" s="1"/>
  <c r="C261" i="8"/>
  <c r="X155" i="8"/>
  <c r="X154" i="8"/>
  <c r="S167" i="8"/>
  <c r="F245" i="8"/>
  <c r="F246" i="8" s="1"/>
  <c r="F247" i="8" s="1"/>
  <c r="M205" i="8"/>
  <c r="M202" i="8"/>
  <c r="M203" i="8" s="1"/>
  <c r="M206" i="8"/>
  <c r="M204" i="8"/>
  <c r="M293" i="8"/>
  <c r="M304" i="8" s="1"/>
  <c r="M343" i="8" s="1"/>
  <c r="R315" i="8"/>
  <c r="R327" i="8" s="1"/>
  <c r="R356" i="8" s="1"/>
  <c r="R174" i="8"/>
  <c r="I225" i="8"/>
  <c r="AA288" i="4"/>
  <c r="AA307" i="4" s="1"/>
  <c r="AA347" i="4" s="1"/>
  <c r="AA119" i="4"/>
  <c r="AA117" i="4"/>
  <c r="AA118" i="4" s="1"/>
  <c r="AA122" i="4" s="1"/>
  <c r="Z126" i="4"/>
  <c r="Z127" i="4" s="1"/>
  <c r="Z128" i="4" s="1"/>
  <c r="V163" i="8" l="1"/>
  <c r="U167" i="8" s="1"/>
  <c r="N200" i="8"/>
  <c r="M207" i="8"/>
  <c r="M317" i="8" s="1"/>
  <c r="M328" i="8" s="1"/>
  <c r="M357" i="8" s="1"/>
  <c r="F248" i="8"/>
  <c r="E252" i="8" s="1"/>
  <c r="AE350" i="8"/>
  <c r="AF104" i="8"/>
  <c r="AC123" i="8"/>
  <c r="AC125" i="8" s="1"/>
  <c r="K217" i="8"/>
  <c r="J224" i="8"/>
  <c r="J318" i="8" s="1"/>
  <c r="J325" i="8" s="1"/>
  <c r="J354" i="8" s="1"/>
  <c r="S169" i="8"/>
  <c r="D262" i="8"/>
  <c r="D263" i="8" s="1"/>
  <c r="AD115" i="8"/>
  <c r="AC122" i="8"/>
  <c r="AC312" i="8" s="1"/>
  <c r="AC331" i="8" s="1"/>
  <c r="AC360" i="8" s="1"/>
  <c r="AA132" i="8"/>
  <c r="Z139" i="8"/>
  <c r="Z313" i="8" s="1"/>
  <c r="Z330" i="8" s="1"/>
  <c r="Z359" i="8" s="1"/>
  <c r="U170" i="8"/>
  <c r="U291" i="8"/>
  <c r="U303" i="8" s="1"/>
  <c r="U342" i="8" s="1"/>
  <c r="D320" i="8"/>
  <c r="D326" i="8" s="1"/>
  <c r="D355" i="8" s="1"/>
  <c r="H234" i="8"/>
  <c r="G241" i="8"/>
  <c r="AB125" i="8"/>
  <c r="E256" i="8"/>
  <c r="E257" i="8"/>
  <c r="E253" i="8"/>
  <c r="AE108" i="8"/>
  <c r="AE109" i="8" s="1"/>
  <c r="AE111" i="8" s="1"/>
  <c r="R176" i="8"/>
  <c r="Y142" i="8"/>
  <c r="P189" i="8"/>
  <c r="P188" i="8"/>
  <c r="P185" i="8"/>
  <c r="T170" i="8"/>
  <c r="T291" i="8"/>
  <c r="T303" i="8" s="1"/>
  <c r="T342" i="8" s="1"/>
  <c r="Z136" i="8"/>
  <c r="Z140" i="8" s="1"/>
  <c r="Z289" i="8"/>
  <c r="Z306" i="8" s="1"/>
  <c r="Z346" i="8" s="1"/>
  <c r="S170" i="8"/>
  <c r="S291" i="8"/>
  <c r="S303" i="8" s="1"/>
  <c r="S342" i="8" s="1"/>
  <c r="P184" i="8"/>
  <c r="L210" i="8"/>
  <c r="S168" i="8"/>
  <c r="C262" i="8"/>
  <c r="C263" i="8" s="1"/>
  <c r="I227" i="8"/>
  <c r="O316" i="8"/>
  <c r="O333" i="8" s="1"/>
  <c r="O362" i="8" s="1"/>
  <c r="O191" i="8"/>
  <c r="W160" i="8"/>
  <c r="W161" i="8" s="1"/>
  <c r="W162" i="8" s="1"/>
  <c r="AC108" i="4"/>
  <c r="AC109" i="4" s="1"/>
  <c r="AC111" i="4" s="1"/>
  <c r="AB115" i="4"/>
  <c r="AA312" i="4"/>
  <c r="AC107" i="4"/>
  <c r="D264" i="8" l="1"/>
  <c r="P186" i="8"/>
  <c r="P190" i="8" s="1"/>
  <c r="P316" i="8" s="1"/>
  <c r="P333" i="8" s="1"/>
  <c r="P362" i="8" s="1"/>
  <c r="AE112" i="8"/>
  <c r="AD116" i="8" s="1"/>
  <c r="AD117" i="8" s="1"/>
  <c r="AD118" i="8" s="1"/>
  <c r="Q183" i="8"/>
  <c r="Z142" i="8"/>
  <c r="W163" i="8"/>
  <c r="V167" i="8" s="1"/>
  <c r="AC126" i="8"/>
  <c r="AC127" i="8" s="1"/>
  <c r="AC128" i="8" s="1"/>
  <c r="H240" i="8"/>
  <c r="H239" i="8"/>
  <c r="T166" i="8"/>
  <c r="S173" i="8"/>
  <c r="S315" i="8" s="1"/>
  <c r="S327" i="8" s="1"/>
  <c r="S356" i="8" s="1"/>
  <c r="O193" i="8"/>
  <c r="J225" i="8"/>
  <c r="AF105" i="8"/>
  <c r="E255" i="8"/>
  <c r="E296" i="8"/>
  <c r="E302" i="8" s="1"/>
  <c r="E341" i="8" s="1"/>
  <c r="K223" i="8"/>
  <c r="K222" i="8"/>
  <c r="AD121" i="8"/>
  <c r="AD120" i="8"/>
  <c r="P187" i="8"/>
  <c r="P292" i="8"/>
  <c r="P309" i="8" s="1"/>
  <c r="P349" i="8" s="1"/>
  <c r="AA138" i="8"/>
  <c r="AA137" i="8"/>
  <c r="C264" i="8"/>
  <c r="AB126" i="8"/>
  <c r="AB127" i="8" s="1"/>
  <c r="AB128" i="8" s="1"/>
  <c r="N206" i="8"/>
  <c r="N205" i="8"/>
  <c r="L211" i="8"/>
  <c r="L212" i="8" s="1"/>
  <c r="L213" i="8" s="1"/>
  <c r="E254" i="8"/>
  <c r="I228" i="8"/>
  <c r="I229" i="8" s="1"/>
  <c r="I230" i="8" s="1"/>
  <c r="Y143" i="8"/>
  <c r="Y144" i="8" s="1"/>
  <c r="Y145" i="8" s="1"/>
  <c r="R177" i="8"/>
  <c r="R178" i="8" s="1"/>
  <c r="R179" i="8" s="1"/>
  <c r="G319" i="8"/>
  <c r="G332" i="8" s="1"/>
  <c r="G361" i="8" s="1"/>
  <c r="G242" i="8"/>
  <c r="M208" i="8"/>
  <c r="AA331" i="4"/>
  <c r="AC112" i="4"/>
  <c r="AB116" i="4" s="1"/>
  <c r="AC350" i="4"/>
  <c r="AD104" i="4"/>
  <c r="AB121" i="4"/>
  <c r="AB120" i="4"/>
  <c r="AA123" i="4"/>
  <c r="P191" i="8" l="1"/>
  <c r="R180" i="8"/>
  <c r="Q184" i="8" s="1"/>
  <c r="P193" i="8"/>
  <c r="AE115" i="8"/>
  <c r="AD122" i="8"/>
  <c r="AD312" i="8" s="1"/>
  <c r="AD331" i="8" s="1"/>
  <c r="AD360" i="8" s="1"/>
  <c r="I231" i="8"/>
  <c r="H235" i="8" s="1"/>
  <c r="L214" i="8"/>
  <c r="K218" i="8" s="1"/>
  <c r="AB129" i="8"/>
  <c r="AA133" i="8" s="1"/>
  <c r="Z143" i="8"/>
  <c r="Z144" i="8" s="1"/>
  <c r="Z145" i="8" s="1"/>
  <c r="F251" i="8"/>
  <c r="E258" i="8"/>
  <c r="E259" i="8" s="1"/>
  <c r="O194" i="8"/>
  <c r="O195" i="8" s="1"/>
  <c r="O196" i="8" s="1"/>
  <c r="AF108" i="8"/>
  <c r="AF109" i="8" s="1"/>
  <c r="AF111" i="8" s="1"/>
  <c r="Q189" i="8"/>
  <c r="Q188" i="8"/>
  <c r="Q185" i="8"/>
  <c r="Q186" i="8" s="1"/>
  <c r="AF106" i="8"/>
  <c r="AF107" i="8" s="1"/>
  <c r="G244" i="8"/>
  <c r="S174" i="8"/>
  <c r="T171" i="8"/>
  <c r="T172" i="8"/>
  <c r="T168" i="8"/>
  <c r="T169" i="8" s="1"/>
  <c r="U166" i="8" s="1"/>
  <c r="C265" i="8"/>
  <c r="D265" i="8" s="1"/>
  <c r="C269" i="8" s="1"/>
  <c r="J227" i="8"/>
  <c r="AD119" i="8"/>
  <c r="AD288" i="8"/>
  <c r="AD307" i="8" s="1"/>
  <c r="AD347" i="8" s="1"/>
  <c r="V170" i="8"/>
  <c r="V291" i="8"/>
  <c r="V303" i="8" s="1"/>
  <c r="V342" i="8" s="1"/>
  <c r="M210" i="8"/>
  <c r="Y146" i="8"/>
  <c r="X150" i="8" s="1"/>
  <c r="AD105" i="4"/>
  <c r="AD106" i="4" s="1"/>
  <c r="AB288" i="4"/>
  <c r="AB307" i="4" s="1"/>
  <c r="AB347" i="4" s="1"/>
  <c r="AB119" i="4"/>
  <c r="AB117" i="4"/>
  <c r="AB118" i="4" s="1"/>
  <c r="AB122" i="4" s="1"/>
  <c r="AA125" i="4"/>
  <c r="AD123" i="8" l="1"/>
  <c r="AC129" i="8"/>
  <c r="E261" i="8"/>
  <c r="Z146" i="8"/>
  <c r="R183" i="8"/>
  <c r="Q190" i="8"/>
  <c r="Q316" i="8" s="1"/>
  <c r="Q333" i="8" s="1"/>
  <c r="Q362" i="8" s="1"/>
  <c r="AD125" i="8"/>
  <c r="K221" i="8"/>
  <c r="K294" i="8"/>
  <c r="K301" i="8" s="1"/>
  <c r="K340" i="8" s="1"/>
  <c r="K219" i="8"/>
  <c r="K220" i="8" s="1"/>
  <c r="AF112" i="8"/>
  <c r="AE116" i="8" s="1"/>
  <c r="AE117" i="8" s="1"/>
  <c r="S176" i="8"/>
  <c r="O197" i="8"/>
  <c r="N201" i="8" s="1"/>
  <c r="AF350" i="8"/>
  <c r="AG104" i="8"/>
  <c r="F257" i="8"/>
  <c r="F256" i="8"/>
  <c r="J228" i="8"/>
  <c r="J229" i="8" s="1"/>
  <c r="J230" i="8" s="1"/>
  <c r="G245" i="8"/>
  <c r="G246" i="8" s="1"/>
  <c r="G247" i="8" s="1"/>
  <c r="C272" i="8"/>
  <c r="C297" i="8"/>
  <c r="C300" i="8" s="1"/>
  <c r="C339" i="8" s="1"/>
  <c r="C271" i="8"/>
  <c r="U171" i="8"/>
  <c r="U168" i="8"/>
  <c r="U169" i="8" s="1"/>
  <c r="U172" i="8"/>
  <c r="AA136" i="8"/>
  <c r="AA289" i="8"/>
  <c r="AA306" i="8" s="1"/>
  <c r="AA346" i="8" s="1"/>
  <c r="AA134" i="8"/>
  <c r="AA135" i="8" s="1"/>
  <c r="H238" i="8"/>
  <c r="H295" i="8"/>
  <c r="H308" i="8" s="1"/>
  <c r="H348" i="8" s="1"/>
  <c r="H236" i="8"/>
  <c r="H237" i="8" s="1"/>
  <c r="E320" i="8"/>
  <c r="E326" i="8" s="1"/>
  <c r="E355" i="8" s="1"/>
  <c r="AE120" i="8"/>
  <c r="AE121" i="8"/>
  <c r="P194" i="8"/>
  <c r="P195" i="8" s="1"/>
  <c r="P196" i="8" s="1"/>
  <c r="X153" i="8"/>
  <c r="X290" i="8"/>
  <c r="X305" i="8" s="1"/>
  <c r="X345" i="8" s="1"/>
  <c r="X151" i="8"/>
  <c r="X152" i="8" s="1"/>
  <c r="M211" i="8"/>
  <c r="M212" i="8" s="1"/>
  <c r="M213" i="8" s="1"/>
  <c r="T173" i="8"/>
  <c r="T315" i="8" s="1"/>
  <c r="T327" i="8" s="1"/>
  <c r="T356" i="8" s="1"/>
  <c r="Q187" i="8"/>
  <c r="Q292" i="8"/>
  <c r="Q309" i="8" s="1"/>
  <c r="Q349" i="8" s="1"/>
  <c r="AC115" i="4"/>
  <c r="AC121" i="4" s="1"/>
  <c r="AB312" i="4"/>
  <c r="AD108" i="4"/>
  <c r="AD109" i="4" s="1"/>
  <c r="AD111" i="4" s="1"/>
  <c r="AD107" i="4"/>
  <c r="AA126" i="4"/>
  <c r="AA127" i="4" s="1"/>
  <c r="AA128" i="4" s="1"/>
  <c r="Q191" i="8" l="1"/>
  <c r="V166" i="8"/>
  <c r="V171" i="8" s="1"/>
  <c r="U173" i="8"/>
  <c r="U315" i="8" s="1"/>
  <c r="U327" i="8" s="1"/>
  <c r="U356" i="8" s="1"/>
  <c r="AE118" i="8"/>
  <c r="Y149" i="8"/>
  <c r="X156" i="8"/>
  <c r="X314" i="8" s="1"/>
  <c r="X329" i="8" s="1"/>
  <c r="X358" i="8" s="1"/>
  <c r="M214" i="8"/>
  <c r="L218" i="8" s="1"/>
  <c r="I234" i="8"/>
  <c r="H241" i="8"/>
  <c r="H319" i="8" s="1"/>
  <c r="H332" i="8" s="1"/>
  <c r="H361" i="8" s="1"/>
  <c r="L217" i="8"/>
  <c r="K224" i="8"/>
  <c r="K318" i="8" s="1"/>
  <c r="K325" i="8" s="1"/>
  <c r="K354" i="8" s="1"/>
  <c r="H242" i="8"/>
  <c r="P197" i="8"/>
  <c r="J231" i="8"/>
  <c r="I235" i="8" s="1"/>
  <c r="AD126" i="8"/>
  <c r="AD127" i="8" s="1"/>
  <c r="AD128" i="8" s="1"/>
  <c r="G248" i="8"/>
  <c r="F252" i="8" s="1"/>
  <c r="N204" i="8"/>
  <c r="N293" i="8"/>
  <c r="N304" i="8" s="1"/>
  <c r="N343" i="8" s="1"/>
  <c r="N202" i="8"/>
  <c r="N203" i="8" s="1"/>
  <c r="AB132" i="8"/>
  <c r="AA139" i="8"/>
  <c r="AA313" i="8" s="1"/>
  <c r="AA330" i="8" s="1"/>
  <c r="AA359" i="8" s="1"/>
  <c r="S177" i="8"/>
  <c r="S178" i="8" s="1"/>
  <c r="S179" i="8" s="1"/>
  <c r="V172" i="8"/>
  <c r="R189" i="8"/>
  <c r="R188" i="8"/>
  <c r="AE119" i="8"/>
  <c r="AE288" i="8"/>
  <c r="AE307" i="8" s="1"/>
  <c r="AE347" i="8" s="1"/>
  <c r="Y150" i="8"/>
  <c r="D268" i="8"/>
  <c r="C275" i="8"/>
  <c r="Q193" i="8"/>
  <c r="T174" i="8"/>
  <c r="AG105" i="8"/>
  <c r="AG106" i="8" s="1"/>
  <c r="E262" i="8"/>
  <c r="E263" i="8" s="1"/>
  <c r="E264" i="8" s="1"/>
  <c r="AB331" i="4"/>
  <c r="AB123" i="4"/>
  <c r="AB125" i="4" s="1"/>
  <c r="AB126" i="4" s="1"/>
  <c r="AB127" i="4" s="1"/>
  <c r="AB128" i="4" s="1"/>
  <c r="AC120" i="4"/>
  <c r="AD112" i="4"/>
  <c r="AC116" i="4" s="1"/>
  <c r="AD350" i="4"/>
  <c r="AE104" i="4"/>
  <c r="U174" i="8" l="1"/>
  <c r="V168" i="8"/>
  <c r="V169" i="8" s="1"/>
  <c r="K225" i="8"/>
  <c r="K227" i="8" s="1"/>
  <c r="AF115" i="8"/>
  <c r="AE122" i="8"/>
  <c r="AE312" i="8" s="1"/>
  <c r="AE331" i="8" s="1"/>
  <c r="AE360" i="8" s="1"/>
  <c r="X157" i="8"/>
  <c r="X159" i="8" s="1"/>
  <c r="W166" i="8"/>
  <c r="V173" i="8"/>
  <c r="V315" i="8" s="1"/>
  <c r="V327" i="8" s="1"/>
  <c r="V356" i="8" s="1"/>
  <c r="S180" i="8"/>
  <c r="R184" i="8" s="1"/>
  <c r="O200" i="8"/>
  <c r="O201" i="8" s="1"/>
  <c r="N207" i="8"/>
  <c r="N317" i="8" s="1"/>
  <c r="N328" i="8" s="1"/>
  <c r="N357" i="8" s="1"/>
  <c r="N208" i="8"/>
  <c r="E265" i="8"/>
  <c r="D269" i="8" s="1"/>
  <c r="D270" i="8" s="1"/>
  <c r="AD129" i="8"/>
  <c r="AB138" i="8"/>
  <c r="AB137" i="8"/>
  <c r="AB133" i="8"/>
  <c r="AB134" i="8" s="1"/>
  <c r="H244" i="8"/>
  <c r="F255" i="8"/>
  <c r="F296" i="8"/>
  <c r="F302" i="8" s="1"/>
  <c r="F341" i="8" s="1"/>
  <c r="F253" i="8"/>
  <c r="F254" i="8" s="1"/>
  <c r="I240" i="8"/>
  <c r="I239" i="8"/>
  <c r="I236" i="8"/>
  <c r="I237" i="8" s="1"/>
  <c r="AG108" i="8"/>
  <c r="AG109" i="8" s="1"/>
  <c r="AG111" i="8" s="1"/>
  <c r="C321" i="8"/>
  <c r="C324" i="8" s="1"/>
  <c r="C353" i="8" s="1"/>
  <c r="T176" i="8"/>
  <c r="U176" i="8"/>
  <c r="L222" i="8"/>
  <c r="L223" i="8"/>
  <c r="L219" i="8"/>
  <c r="L220" i="8" s="1"/>
  <c r="I238" i="8"/>
  <c r="I295" i="8"/>
  <c r="I308" i="8" s="1"/>
  <c r="I348" i="8" s="1"/>
  <c r="L221" i="8"/>
  <c r="L294" i="8"/>
  <c r="L301" i="8" s="1"/>
  <c r="L340" i="8" s="1"/>
  <c r="C276" i="8"/>
  <c r="Y153" i="8"/>
  <c r="Y290" i="8"/>
  <c r="Y305" i="8" s="1"/>
  <c r="Y345" i="8" s="1"/>
  <c r="AG107" i="8"/>
  <c r="Q194" i="8"/>
  <c r="Q195" i="8" s="1"/>
  <c r="Q196" i="8" s="1"/>
  <c r="AA140" i="8"/>
  <c r="D273" i="8"/>
  <c r="D274" i="8"/>
  <c r="Y154" i="8"/>
  <c r="Y155" i="8"/>
  <c r="Y151" i="8"/>
  <c r="Y152" i="8" s="1"/>
  <c r="AE105" i="4"/>
  <c r="AC288" i="4"/>
  <c r="AC307" i="4" s="1"/>
  <c r="AC347" i="4" s="1"/>
  <c r="AC119" i="4"/>
  <c r="AC117" i="4"/>
  <c r="AC118" i="4" s="1"/>
  <c r="AC122" i="4" s="1"/>
  <c r="V174" i="8" l="1"/>
  <c r="O293" i="8"/>
  <c r="O304" i="8" s="1"/>
  <c r="O343" i="8" s="1"/>
  <c r="O204" i="8"/>
  <c r="J234" i="8"/>
  <c r="I241" i="8"/>
  <c r="I319" i="8" s="1"/>
  <c r="I332" i="8" s="1"/>
  <c r="I361" i="8" s="1"/>
  <c r="Z149" i="8"/>
  <c r="Y156" i="8"/>
  <c r="Y314" i="8" s="1"/>
  <c r="Y329" i="8" s="1"/>
  <c r="Y358" i="8" s="1"/>
  <c r="AF120" i="8"/>
  <c r="AF121" i="8"/>
  <c r="AE123" i="8"/>
  <c r="AE125" i="8" s="1"/>
  <c r="AE126" i="8" s="1"/>
  <c r="AE127" i="8" s="1"/>
  <c r="AE128" i="8" s="1"/>
  <c r="M217" i="8"/>
  <c r="L224" i="8"/>
  <c r="L318" i="8" s="1"/>
  <c r="L325" i="8" s="1"/>
  <c r="L354" i="8" s="1"/>
  <c r="Q197" i="8"/>
  <c r="G251" i="8"/>
  <c r="F258" i="8"/>
  <c r="AG112" i="8"/>
  <c r="AF116" i="8" s="1"/>
  <c r="J239" i="8"/>
  <c r="J240" i="8"/>
  <c r="K228" i="8"/>
  <c r="K229" i="8" s="1"/>
  <c r="K230" i="8" s="1"/>
  <c r="H245" i="8"/>
  <c r="H246" i="8" s="1"/>
  <c r="H247" i="8" s="1"/>
  <c r="N210" i="8"/>
  <c r="Z155" i="8"/>
  <c r="Z154" i="8"/>
  <c r="AG350" i="8"/>
  <c r="AH104" i="8"/>
  <c r="AA142" i="8"/>
  <c r="X160" i="8"/>
  <c r="X161" i="8" s="1"/>
  <c r="X162" i="8" s="1"/>
  <c r="AB136" i="8"/>
  <c r="AB289" i="8"/>
  <c r="AB306" i="8" s="1"/>
  <c r="AB346" i="8" s="1"/>
  <c r="O205" i="8"/>
  <c r="O206" i="8"/>
  <c r="O202" i="8"/>
  <c r="O203" i="8" s="1"/>
  <c r="P200" i="8" s="1"/>
  <c r="D271" i="8"/>
  <c r="V176" i="8"/>
  <c r="AB135" i="8"/>
  <c r="R187" i="8"/>
  <c r="R292" i="8"/>
  <c r="R309" i="8" s="1"/>
  <c r="R349" i="8" s="1"/>
  <c r="R185" i="8"/>
  <c r="R186" i="8" s="1"/>
  <c r="D272" i="8"/>
  <c r="D297" i="8"/>
  <c r="D300" i="8" s="1"/>
  <c r="D339" i="8" s="1"/>
  <c r="U177" i="8"/>
  <c r="U178" i="8" s="1"/>
  <c r="C278" i="8"/>
  <c r="T177" i="8"/>
  <c r="T178" i="8" s="1"/>
  <c r="U179" i="8" s="1"/>
  <c r="W171" i="8"/>
  <c r="W172" i="8"/>
  <c r="AE106" i="4"/>
  <c r="AD115" i="4"/>
  <c r="AC312" i="4"/>
  <c r="AE108" i="4"/>
  <c r="AE109" i="4" s="1"/>
  <c r="AE111" i="4" s="1"/>
  <c r="I242" i="8" l="1"/>
  <c r="I244" i="8" s="1"/>
  <c r="P201" i="8"/>
  <c r="Y157" i="8"/>
  <c r="Y159" i="8" s="1"/>
  <c r="Y160" i="8" s="1"/>
  <c r="Y161" i="8" s="1"/>
  <c r="Y162" i="8" s="1"/>
  <c r="X163" i="8"/>
  <c r="W167" i="8" s="1"/>
  <c r="K231" i="8"/>
  <c r="J235" i="8" s="1"/>
  <c r="AE129" i="8"/>
  <c r="P206" i="8"/>
  <c r="P205" i="8"/>
  <c r="P202" i="8"/>
  <c r="P203" i="8" s="1"/>
  <c r="G256" i="8"/>
  <c r="G257" i="8"/>
  <c r="AA143" i="8"/>
  <c r="AA144" i="8" s="1"/>
  <c r="AA145" i="8" s="1"/>
  <c r="AH105" i="8"/>
  <c r="I245" i="8"/>
  <c r="I246" i="8" s="1"/>
  <c r="I247" i="8" s="1"/>
  <c r="T179" i="8"/>
  <c r="AC132" i="8"/>
  <c r="AB139" i="8"/>
  <c r="P204" i="8"/>
  <c r="P293" i="8"/>
  <c r="P304" i="8" s="1"/>
  <c r="P343" i="8" s="1"/>
  <c r="H248" i="8"/>
  <c r="G252" i="8" s="1"/>
  <c r="C279" i="8"/>
  <c r="C280" i="8" s="1"/>
  <c r="C281" i="8" s="1"/>
  <c r="C283" i="8" s="1"/>
  <c r="C336" i="8" s="1"/>
  <c r="V177" i="8"/>
  <c r="V178" i="8" s="1"/>
  <c r="V179" i="8" s="1"/>
  <c r="S183" i="8"/>
  <c r="R190" i="8"/>
  <c r="O207" i="8"/>
  <c r="O317" i="8" s="1"/>
  <c r="O328" i="8" s="1"/>
  <c r="O357" i="8" s="1"/>
  <c r="F320" i="8"/>
  <c r="F326" i="8" s="1"/>
  <c r="F355" i="8" s="1"/>
  <c r="F259" i="8"/>
  <c r="M222" i="8"/>
  <c r="M223" i="8"/>
  <c r="AF119" i="8"/>
  <c r="AF288" i="8"/>
  <c r="AF307" i="8" s="1"/>
  <c r="AF347" i="8" s="1"/>
  <c r="AF117" i="8"/>
  <c r="AF118" i="8" s="1"/>
  <c r="N211" i="8"/>
  <c r="N212" i="8" s="1"/>
  <c r="N213" i="8" s="1"/>
  <c r="E268" i="8"/>
  <c r="D275" i="8"/>
  <c r="L225" i="8"/>
  <c r="AE107" i="4"/>
  <c r="AE350" i="4" s="1"/>
  <c r="AC331" i="4"/>
  <c r="AE112" i="4"/>
  <c r="AD116" i="4" s="1"/>
  <c r="AC123" i="4"/>
  <c r="AD120" i="4"/>
  <c r="AD121" i="4"/>
  <c r="N214" i="8" l="1"/>
  <c r="M218" i="8" s="1"/>
  <c r="AA146" i="8"/>
  <c r="Z150" i="8" s="1"/>
  <c r="C364" i="8"/>
  <c r="C374" i="8" s="1"/>
  <c r="C382" i="8" s="1"/>
  <c r="C373" i="8"/>
  <c r="C381" i="8" s="1"/>
  <c r="Q200" i="8"/>
  <c r="P207" i="8"/>
  <c r="P317" i="8" s="1"/>
  <c r="P328" i="8" s="1"/>
  <c r="P357" i="8" s="1"/>
  <c r="AH108" i="8"/>
  <c r="AH109" i="8" s="1"/>
  <c r="AH111" i="8" s="1"/>
  <c r="AH106" i="8"/>
  <c r="AH107" i="8" s="1"/>
  <c r="L227" i="8"/>
  <c r="D321" i="8"/>
  <c r="D324" i="8" s="1"/>
  <c r="D353" i="8" s="1"/>
  <c r="D276" i="8"/>
  <c r="AG115" i="8"/>
  <c r="AF122" i="8"/>
  <c r="S189" i="8"/>
  <c r="S188" i="8"/>
  <c r="T180" i="8"/>
  <c r="W170" i="8"/>
  <c r="W291" i="8"/>
  <c r="W303" i="8" s="1"/>
  <c r="W342" i="8" s="1"/>
  <c r="W168" i="8"/>
  <c r="W169" i="8" s="1"/>
  <c r="G255" i="8"/>
  <c r="G296" i="8"/>
  <c r="G302" i="8" s="1"/>
  <c r="G341" i="8" s="1"/>
  <c r="Y163" i="8"/>
  <c r="G253" i="8"/>
  <c r="G254" i="8" s="1"/>
  <c r="F261" i="8"/>
  <c r="J238" i="8"/>
  <c r="J295" i="8"/>
  <c r="J308" i="8" s="1"/>
  <c r="J348" i="8" s="1"/>
  <c r="J236" i="8"/>
  <c r="J237" i="8" s="1"/>
  <c r="I248" i="8"/>
  <c r="H252" i="8" s="1"/>
  <c r="E274" i="8"/>
  <c r="E273" i="8"/>
  <c r="AB313" i="8"/>
  <c r="AB330" i="8" s="1"/>
  <c r="AB359" i="8" s="1"/>
  <c r="AB140" i="8"/>
  <c r="R316" i="8"/>
  <c r="R333" i="8" s="1"/>
  <c r="R362" i="8" s="1"/>
  <c r="R191" i="8"/>
  <c r="AC138" i="8"/>
  <c r="AC137" i="8"/>
  <c r="AC133" i="8"/>
  <c r="O208" i="8"/>
  <c r="AF104" i="4"/>
  <c r="AF105" i="4" s="1"/>
  <c r="AD288" i="4"/>
  <c r="AD307" i="4" s="1"/>
  <c r="AD347" i="4" s="1"/>
  <c r="AD119" i="4"/>
  <c r="AD117" i="4"/>
  <c r="AD118" i="4" s="1"/>
  <c r="AD122" i="4" s="1"/>
  <c r="AF108" i="4"/>
  <c r="AF109" i="4" s="1"/>
  <c r="AF111" i="4" s="1"/>
  <c r="AC125" i="4"/>
  <c r="AF106" i="4" l="1"/>
  <c r="AH112" i="8"/>
  <c r="AG116" i="8" s="1"/>
  <c r="K234" i="8"/>
  <c r="J241" i="8"/>
  <c r="J319" i="8" s="1"/>
  <c r="J332" i="8" s="1"/>
  <c r="J361" i="8" s="1"/>
  <c r="H251" i="8"/>
  <c r="G258" i="8"/>
  <c r="AC136" i="8"/>
  <c r="AC289" i="8"/>
  <c r="AC306" i="8" s="1"/>
  <c r="AC346" i="8" s="1"/>
  <c r="Q206" i="8"/>
  <c r="Q205" i="8"/>
  <c r="AC134" i="8"/>
  <c r="AC135" i="8" s="1"/>
  <c r="AG120" i="8"/>
  <c r="AG121" i="8"/>
  <c r="AG117" i="8"/>
  <c r="AG118" i="8" s="1"/>
  <c r="AH350" i="8"/>
  <c r="AI104" i="8"/>
  <c r="F262" i="8"/>
  <c r="F263" i="8" s="1"/>
  <c r="F264" i="8" s="1"/>
  <c r="X166" i="8"/>
  <c r="X167" i="8" s="1"/>
  <c r="W173" i="8"/>
  <c r="W315" i="8" s="1"/>
  <c r="W327" i="8" s="1"/>
  <c r="W356" i="8" s="1"/>
  <c r="P208" i="8"/>
  <c r="AF312" i="8"/>
  <c r="AF331" i="8" s="1"/>
  <c r="AF360" i="8" s="1"/>
  <c r="AF123" i="8"/>
  <c r="AB142" i="8"/>
  <c r="Z153" i="8"/>
  <c r="Z290" i="8"/>
  <c r="Z305" i="8" s="1"/>
  <c r="Z345" i="8" s="1"/>
  <c r="Z151" i="8"/>
  <c r="Z152" i="8" s="1"/>
  <c r="L228" i="8"/>
  <c r="L229" i="8" s="1"/>
  <c r="L230" i="8"/>
  <c r="H255" i="8"/>
  <c r="H296" i="8"/>
  <c r="H302" i="8" s="1"/>
  <c r="H341" i="8" s="1"/>
  <c r="D278" i="8"/>
  <c r="S184" i="8"/>
  <c r="U180" i="8"/>
  <c r="M221" i="8"/>
  <c r="M294" i="8"/>
  <c r="M301" i="8" s="1"/>
  <c r="M340" i="8" s="1"/>
  <c r="M219" i="8"/>
  <c r="M220" i="8" s="1"/>
  <c r="R193" i="8"/>
  <c r="O210" i="8"/>
  <c r="AF107" i="4"/>
  <c r="AF350" i="4" s="1"/>
  <c r="AE115" i="4"/>
  <c r="AD312" i="4"/>
  <c r="AF112" i="4"/>
  <c r="AE116" i="4" s="1"/>
  <c r="AC126" i="4"/>
  <c r="AC127" i="4" s="1"/>
  <c r="AC128" i="4" s="1"/>
  <c r="X291" i="8" l="1"/>
  <c r="X303" i="8" s="1"/>
  <c r="X342" i="8" s="1"/>
  <c r="X170" i="8"/>
  <c r="J242" i="8"/>
  <c r="J244" i="8" s="1"/>
  <c r="AH115" i="8"/>
  <c r="AG122" i="8"/>
  <c r="AG312" i="8" s="1"/>
  <c r="AG331" i="8" s="1"/>
  <c r="AG360" i="8" s="1"/>
  <c r="AA149" i="8"/>
  <c r="Z156" i="8"/>
  <c r="F265" i="8"/>
  <c r="E269" i="8" s="1"/>
  <c r="N217" i="8"/>
  <c r="M224" i="8"/>
  <c r="M318" i="8" s="1"/>
  <c r="M325" i="8" s="1"/>
  <c r="M354" i="8" s="1"/>
  <c r="H256" i="8"/>
  <c r="H257" i="8"/>
  <c r="H253" i="8"/>
  <c r="H254" i="8" s="1"/>
  <c r="R194" i="8"/>
  <c r="R195" i="8" s="1"/>
  <c r="R196" i="8" s="1"/>
  <c r="AD132" i="8"/>
  <c r="AC139" i="8"/>
  <c r="G320" i="8"/>
  <c r="G326" i="8" s="1"/>
  <c r="G355" i="8" s="1"/>
  <c r="G259" i="8"/>
  <c r="L231" i="8"/>
  <c r="K235" i="8" s="1"/>
  <c r="P210" i="8"/>
  <c r="AG119" i="8"/>
  <c r="AG123" i="8" s="1"/>
  <c r="AG288" i="8"/>
  <c r="AG307" i="8" s="1"/>
  <c r="AG347" i="8" s="1"/>
  <c r="AF125" i="8"/>
  <c r="X168" i="8"/>
  <c r="X169" i="8" s="1"/>
  <c r="X171" i="8"/>
  <c r="X172" i="8"/>
  <c r="V180" i="8"/>
  <c r="K239" i="8"/>
  <c r="K240" i="8"/>
  <c r="S187" i="8"/>
  <c r="S292" i="8"/>
  <c r="S309" i="8" s="1"/>
  <c r="S349" i="8" s="1"/>
  <c r="S185" i="8"/>
  <c r="S186" i="8" s="1"/>
  <c r="D279" i="8"/>
  <c r="D280" i="8" s="1"/>
  <c r="D281" i="8" s="1"/>
  <c r="D283" i="8" s="1"/>
  <c r="D336" i="8" s="1"/>
  <c r="O211" i="8"/>
  <c r="O212" i="8" s="1"/>
  <c r="O213" i="8" s="1"/>
  <c r="AB143" i="8"/>
  <c r="AB144" i="8" s="1"/>
  <c r="AB145" i="8" s="1"/>
  <c r="AI105" i="8"/>
  <c r="W174" i="8"/>
  <c r="AG104" i="4"/>
  <c r="AG105" i="4" s="1"/>
  <c r="AG106" i="4" s="1"/>
  <c r="AE288" i="4"/>
  <c r="AE307" i="4" s="1"/>
  <c r="AE347" i="4" s="1"/>
  <c r="AE119" i="4"/>
  <c r="AD331" i="4"/>
  <c r="AD123" i="4"/>
  <c r="AD125" i="4" s="1"/>
  <c r="AD126" i="4" s="1"/>
  <c r="AD127" i="4" s="1"/>
  <c r="AD128" i="4" s="1"/>
  <c r="AE117" i="4"/>
  <c r="AE118" i="4" s="1"/>
  <c r="AE122" i="4" s="1"/>
  <c r="AE120" i="4"/>
  <c r="AE121" i="4"/>
  <c r="M225" i="8" l="1"/>
  <c r="Y166" i="8"/>
  <c r="X173" i="8"/>
  <c r="X315" i="8" s="1"/>
  <c r="X327" i="8" s="1"/>
  <c r="X356" i="8" s="1"/>
  <c r="AG125" i="8"/>
  <c r="O214" i="8"/>
  <c r="N218" i="8" s="1"/>
  <c r="I251" i="8"/>
  <c r="H258" i="8"/>
  <c r="H320" i="8" s="1"/>
  <c r="H326" i="8" s="1"/>
  <c r="H355" i="8" s="1"/>
  <c r="R197" i="8"/>
  <c r="Q201" i="8" s="1"/>
  <c r="P211" i="8"/>
  <c r="P212" i="8" s="1"/>
  <c r="P213" i="8" s="1"/>
  <c r="N223" i="8"/>
  <c r="N222" i="8"/>
  <c r="Z314" i="8"/>
  <c r="Z329" i="8" s="1"/>
  <c r="Z358" i="8" s="1"/>
  <c r="Z157" i="8"/>
  <c r="AC313" i="8"/>
  <c r="AC330" i="8" s="1"/>
  <c r="AC359" i="8" s="1"/>
  <c r="AC140" i="8"/>
  <c r="E272" i="8"/>
  <c r="E297" i="8"/>
  <c r="E300" i="8" s="1"/>
  <c r="E339" i="8" s="1"/>
  <c r="E270" i="8"/>
  <c r="E271" i="8" s="1"/>
  <c r="J245" i="8"/>
  <c r="J246" i="8" s="1"/>
  <c r="J247" i="8" s="1"/>
  <c r="AA155" i="8"/>
  <c r="AA154" i="8"/>
  <c r="M227" i="8"/>
  <c r="AB146" i="8"/>
  <c r="AA150" i="8" s="1"/>
  <c r="AA151" i="8" s="1"/>
  <c r="AA152" i="8" s="1"/>
  <c r="AB149" i="8" s="1"/>
  <c r="G261" i="8"/>
  <c r="K238" i="8"/>
  <c r="K295" i="8"/>
  <c r="K308" i="8" s="1"/>
  <c r="K348" i="8" s="1"/>
  <c r="W176" i="8"/>
  <c r="D364" i="8"/>
  <c r="D374" i="8" s="1"/>
  <c r="D382" i="8" s="1"/>
  <c r="D373" i="8"/>
  <c r="D381" i="8" s="1"/>
  <c r="AD137" i="8"/>
  <c r="AD138" i="8"/>
  <c r="AD133" i="8"/>
  <c r="AI108" i="8"/>
  <c r="AI109" i="8" s="1"/>
  <c r="AI111" i="8" s="1"/>
  <c r="AI106" i="8"/>
  <c r="AI107" i="8" s="1"/>
  <c r="AF126" i="8"/>
  <c r="AF127" i="8" s="1"/>
  <c r="AF128" i="8" s="1"/>
  <c r="T183" i="8"/>
  <c r="S190" i="8"/>
  <c r="K236" i="8"/>
  <c r="K237" i="8" s="1"/>
  <c r="AH121" i="8"/>
  <c r="AH120" i="8"/>
  <c r="AF115" i="4"/>
  <c r="AE312" i="4"/>
  <c r="AG108" i="4"/>
  <c r="AG109" i="4" s="1"/>
  <c r="AG111" i="4" s="1"/>
  <c r="AG107" i="4"/>
  <c r="P214" i="8" l="1"/>
  <c r="L234" i="8"/>
  <c r="K241" i="8"/>
  <c r="AF129" i="8"/>
  <c r="AI350" i="8"/>
  <c r="AJ104" i="8"/>
  <c r="I257" i="8"/>
  <c r="I256" i="8"/>
  <c r="AD136" i="8"/>
  <c r="AD289" i="8"/>
  <c r="AD306" i="8" s="1"/>
  <c r="AD346" i="8" s="1"/>
  <c r="N219" i="8"/>
  <c r="N220" i="8" s="1"/>
  <c r="AG126" i="8"/>
  <c r="AG127" i="8" s="1"/>
  <c r="AG128" i="8" s="1"/>
  <c r="AC142" i="8"/>
  <c r="G262" i="8"/>
  <c r="G263" i="8" s="1"/>
  <c r="G264" i="8" s="1"/>
  <c r="J248" i="8"/>
  <c r="I252" i="8" s="1"/>
  <c r="H259" i="8"/>
  <c r="Q204" i="8"/>
  <c r="Q293" i="8"/>
  <c r="Q304" i="8" s="1"/>
  <c r="Q343" i="8" s="1"/>
  <c r="Q202" i="8"/>
  <c r="Q203" i="8" s="1"/>
  <c r="AB155" i="8"/>
  <c r="AB154" i="8"/>
  <c r="AI112" i="8"/>
  <c r="AH116" i="8" s="1"/>
  <c r="Z159" i="8"/>
  <c r="S316" i="8"/>
  <c r="S333" i="8" s="1"/>
  <c r="S362" i="8" s="1"/>
  <c r="S191" i="8"/>
  <c r="F268" i="8"/>
  <c r="E275" i="8"/>
  <c r="E276" i="8" s="1"/>
  <c r="M228" i="8"/>
  <c r="M229" i="8" s="1"/>
  <c r="M230" i="8" s="1"/>
  <c r="AA156" i="8"/>
  <c r="AA314" i="8" s="1"/>
  <c r="AA329" i="8" s="1"/>
  <c r="AA358" i="8" s="1"/>
  <c r="AD134" i="8"/>
  <c r="AD135" i="8" s="1"/>
  <c r="T188" i="8"/>
  <c r="T189" i="8"/>
  <c r="T184" i="8"/>
  <c r="Y172" i="8"/>
  <c r="Y171" i="8"/>
  <c r="W177" i="8"/>
  <c r="W178" i="8" s="1"/>
  <c r="W179" i="8" s="1"/>
  <c r="N221" i="8"/>
  <c r="N294" i="8"/>
  <c r="N301" i="8" s="1"/>
  <c r="N340" i="8" s="1"/>
  <c r="AA153" i="8"/>
  <c r="AA290" i="8"/>
  <c r="AA305" i="8" s="1"/>
  <c r="AA345" i="8" s="1"/>
  <c r="X174" i="8"/>
  <c r="AE331" i="4"/>
  <c r="AE123" i="4"/>
  <c r="AE125" i="4" s="1"/>
  <c r="AG350" i="4"/>
  <c r="AH104" i="4"/>
  <c r="AG112" i="4"/>
  <c r="AF116" i="4" s="1"/>
  <c r="AF121" i="4"/>
  <c r="AF120" i="4"/>
  <c r="AA157" i="8" l="1"/>
  <c r="AA159" i="8" s="1"/>
  <c r="O217" i="8"/>
  <c r="O218" i="8" s="1"/>
  <c r="N224" i="8"/>
  <c r="N318" i="8" s="1"/>
  <c r="N325" i="8" s="1"/>
  <c r="N354" i="8" s="1"/>
  <c r="R200" i="8"/>
  <c r="Q207" i="8"/>
  <c r="M231" i="8"/>
  <c r="L235" i="8" s="1"/>
  <c r="N225" i="8"/>
  <c r="E278" i="8"/>
  <c r="G265" i="8"/>
  <c r="F269" i="8" s="1"/>
  <c r="F270" i="8" s="1"/>
  <c r="F271" i="8" s="1"/>
  <c r="AC143" i="8"/>
  <c r="AC144" i="8" s="1"/>
  <c r="AC145" i="8" s="1"/>
  <c r="W180" i="8"/>
  <c r="Z160" i="8"/>
  <c r="Z161" i="8" s="1"/>
  <c r="Z162" i="8" s="1"/>
  <c r="K319" i="8"/>
  <c r="K332" i="8" s="1"/>
  <c r="K361" i="8" s="1"/>
  <c r="K242" i="8"/>
  <c r="AJ105" i="8"/>
  <c r="AH119" i="8"/>
  <c r="AH288" i="8"/>
  <c r="AH307" i="8" s="1"/>
  <c r="AH347" i="8" s="1"/>
  <c r="AH117" i="8"/>
  <c r="AH118" i="8" s="1"/>
  <c r="H261" i="8"/>
  <c r="L239" i="8"/>
  <c r="L240" i="8"/>
  <c r="AG129" i="8"/>
  <c r="AE132" i="8"/>
  <c r="AE133" i="8" s="1"/>
  <c r="AD139" i="8"/>
  <c r="AD313" i="8" s="1"/>
  <c r="AD330" i="8" s="1"/>
  <c r="AD359" i="8" s="1"/>
  <c r="I255" i="8"/>
  <c r="I296" i="8"/>
  <c r="I302" i="8" s="1"/>
  <c r="I341" i="8" s="1"/>
  <c r="T187" i="8"/>
  <c r="T292" i="8"/>
  <c r="T309" i="8" s="1"/>
  <c r="T349" i="8" s="1"/>
  <c r="F274" i="8"/>
  <c r="F273" i="8"/>
  <c r="I253" i="8"/>
  <c r="I254" i="8" s="1"/>
  <c r="T185" i="8"/>
  <c r="T186" i="8" s="1"/>
  <c r="E321" i="8"/>
  <c r="E324" i="8" s="1"/>
  <c r="E353" i="8" s="1"/>
  <c r="S193" i="8"/>
  <c r="X176" i="8"/>
  <c r="AH105" i="4"/>
  <c r="AH106" i="4" s="1"/>
  <c r="AF288" i="4"/>
  <c r="AF307" i="4" s="1"/>
  <c r="AF347" i="4" s="1"/>
  <c r="AF119" i="4"/>
  <c r="AF117" i="4"/>
  <c r="AF118" i="4" s="1"/>
  <c r="AF122" i="4" s="1"/>
  <c r="AE126" i="4"/>
  <c r="AE127" i="4" s="1"/>
  <c r="AE128" i="4" s="1"/>
  <c r="O221" i="8" l="1"/>
  <c r="O294" i="8"/>
  <c r="O301" i="8" s="1"/>
  <c r="O340" i="8" s="1"/>
  <c r="G268" i="8"/>
  <c r="F275" i="8"/>
  <c r="U183" i="8"/>
  <c r="T190" i="8"/>
  <c r="AE136" i="8"/>
  <c r="AE289" i="8"/>
  <c r="AE306" i="8" s="1"/>
  <c r="AE346" i="8" s="1"/>
  <c r="J251" i="8"/>
  <c r="I258" i="8"/>
  <c r="AH123" i="8"/>
  <c r="K244" i="8"/>
  <c r="N227" i="8"/>
  <c r="AD140" i="8"/>
  <c r="E279" i="8"/>
  <c r="E280" i="8" s="1"/>
  <c r="E281" i="8" s="1"/>
  <c r="E283" i="8" s="1"/>
  <c r="E336" i="8" s="1"/>
  <c r="H262" i="8"/>
  <c r="H263" i="8" s="1"/>
  <c r="H264" i="8" s="1"/>
  <c r="Z163" i="8"/>
  <c r="Y167" i="8" s="1"/>
  <c r="AI115" i="8"/>
  <c r="AH122" i="8"/>
  <c r="AH312" i="8" s="1"/>
  <c r="AH331" i="8" s="1"/>
  <c r="AH360" i="8" s="1"/>
  <c r="Q317" i="8"/>
  <c r="Q328" i="8" s="1"/>
  <c r="Q357" i="8" s="1"/>
  <c r="Q208" i="8"/>
  <c r="AE137" i="8"/>
  <c r="AE138" i="8"/>
  <c r="AE134" i="8"/>
  <c r="AE135" i="8" s="1"/>
  <c r="AC146" i="8"/>
  <c r="AB150" i="8" s="1"/>
  <c r="X177" i="8"/>
  <c r="X178" i="8" s="1"/>
  <c r="X179" i="8" s="1"/>
  <c r="AJ108" i="8"/>
  <c r="AJ109" i="8" s="1"/>
  <c r="AJ111" i="8" s="1"/>
  <c r="F272" i="8"/>
  <c r="F276" i="8" s="1"/>
  <c r="F297" i="8"/>
  <c r="F300" i="8" s="1"/>
  <c r="F339" i="8" s="1"/>
  <c r="L238" i="8"/>
  <c r="L295" i="8"/>
  <c r="L308" i="8" s="1"/>
  <c r="L348" i="8" s="1"/>
  <c r="R206" i="8"/>
  <c r="R205" i="8"/>
  <c r="AJ106" i="8"/>
  <c r="AJ107" i="8" s="1"/>
  <c r="AA160" i="8"/>
  <c r="AA161" i="8" s="1"/>
  <c r="AA162" i="8" s="1"/>
  <c r="O223" i="8"/>
  <c r="O222" i="8"/>
  <c r="O219" i="8"/>
  <c r="O220" i="8" s="1"/>
  <c r="L236" i="8"/>
  <c r="L237" i="8" s="1"/>
  <c r="S194" i="8"/>
  <c r="S195" i="8" s="1"/>
  <c r="S196" i="8" s="1"/>
  <c r="AG115" i="4"/>
  <c r="AF312" i="4"/>
  <c r="AH108" i="4"/>
  <c r="AH109" i="4" s="1"/>
  <c r="AH111" i="4" s="1"/>
  <c r="AH107" i="4"/>
  <c r="AF132" i="8" l="1"/>
  <c r="AE139" i="8"/>
  <c r="AE313" i="8" s="1"/>
  <c r="AE330" i="8" s="1"/>
  <c r="AE359" i="8" s="1"/>
  <c r="S197" i="8"/>
  <c r="R201" i="8" s="1"/>
  <c r="AJ350" i="8"/>
  <c r="AK104" i="8"/>
  <c r="F278" i="8"/>
  <c r="AE140" i="8"/>
  <c r="P217" i="8"/>
  <c r="O224" i="8"/>
  <c r="O318" i="8" s="1"/>
  <c r="O325" i="8" s="1"/>
  <c r="O354" i="8" s="1"/>
  <c r="AA163" i="8"/>
  <c r="Y170" i="8"/>
  <c r="Y291" i="8"/>
  <c r="Y303" i="8" s="1"/>
  <c r="Y342" i="8" s="1"/>
  <c r="Y168" i="8"/>
  <c r="Y169" i="8" s="1"/>
  <c r="J257" i="8"/>
  <c r="J256" i="8"/>
  <c r="I320" i="8"/>
  <c r="I326" i="8" s="1"/>
  <c r="I355" i="8" s="1"/>
  <c r="I259" i="8"/>
  <c r="M234" i="8"/>
  <c r="L241" i="8"/>
  <c r="L319" i="8" s="1"/>
  <c r="L332" i="8" s="1"/>
  <c r="L361" i="8" s="1"/>
  <c r="Q210" i="8"/>
  <c r="U189" i="8"/>
  <c r="U188" i="8"/>
  <c r="U184" i="8"/>
  <c r="U185" i="8" s="1"/>
  <c r="U186" i="8" s="1"/>
  <c r="H265" i="8"/>
  <c r="G269" i="8" s="1"/>
  <c r="T316" i="8"/>
  <c r="T333" i="8" s="1"/>
  <c r="T362" i="8" s="1"/>
  <c r="T191" i="8"/>
  <c r="AJ112" i="8"/>
  <c r="AI116" i="8" s="1"/>
  <c r="F321" i="8"/>
  <c r="F324" i="8" s="1"/>
  <c r="F353" i="8" s="1"/>
  <c r="AH125" i="8"/>
  <c r="N228" i="8"/>
  <c r="N229" i="8" s="1"/>
  <c r="N230" i="8" s="1"/>
  <c r="G273" i="8"/>
  <c r="G274" i="8"/>
  <c r="X180" i="8"/>
  <c r="AB153" i="8"/>
  <c r="AB290" i="8"/>
  <c r="AB305" i="8" s="1"/>
  <c r="AB345" i="8" s="1"/>
  <c r="AB151" i="8"/>
  <c r="AB152" i="8" s="1"/>
  <c r="E364" i="8"/>
  <c r="E374" i="8" s="1"/>
  <c r="E382" i="8" s="1"/>
  <c r="E373" i="8"/>
  <c r="E381" i="8" s="1"/>
  <c r="AD142" i="8"/>
  <c r="AI117" i="8"/>
  <c r="AI118" i="8" s="1"/>
  <c r="AI121" i="8"/>
  <c r="AI120" i="8"/>
  <c r="K245" i="8"/>
  <c r="K246" i="8" s="1"/>
  <c r="K247" i="8" s="1"/>
  <c r="AF331" i="4"/>
  <c r="AH112" i="4"/>
  <c r="AG116" i="4" s="1"/>
  <c r="AH350" i="4"/>
  <c r="AI104" i="4"/>
  <c r="AG121" i="4"/>
  <c r="AG120" i="4"/>
  <c r="AF123" i="4"/>
  <c r="L242" i="8" l="1"/>
  <c r="O225" i="8"/>
  <c r="G270" i="8"/>
  <c r="G271" i="8" s="1"/>
  <c r="AJ115" i="8"/>
  <c r="AI122" i="8"/>
  <c r="AI312" i="8" s="1"/>
  <c r="AI331" i="8" s="1"/>
  <c r="AI360" i="8" s="1"/>
  <c r="AC149" i="8"/>
  <c r="AB156" i="8"/>
  <c r="AB314" i="8" s="1"/>
  <c r="AB329" i="8" s="1"/>
  <c r="AB358" i="8" s="1"/>
  <c r="AB157" i="8"/>
  <c r="V183" i="8"/>
  <c r="U190" i="8"/>
  <c r="U316" i="8" s="1"/>
  <c r="U333" i="8" s="1"/>
  <c r="U362" i="8" s="1"/>
  <c r="K248" i="8"/>
  <c r="J252" i="8" s="1"/>
  <c r="AK105" i="8"/>
  <c r="AH126" i="8"/>
  <c r="AH127" i="8" s="1"/>
  <c r="AH128" i="8" s="1"/>
  <c r="AI119" i="8"/>
  <c r="AI288" i="8"/>
  <c r="AI307" i="8" s="1"/>
  <c r="AI347" i="8" s="1"/>
  <c r="Q211" i="8"/>
  <c r="Q212" i="8" s="1"/>
  <c r="Q213" i="8" s="1"/>
  <c r="T193" i="8"/>
  <c r="O227" i="8"/>
  <c r="Z166" i="8"/>
  <c r="Y173" i="8"/>
  <c r="M239" i="8"/>
  <c r="M240" i="8"/>
  <c r="N231" i="8"/>
  <c r="M235" i="8" s="1"/>
  <c r="G272" i="8"/>
  <c r="G297" i="8"/>
  <c r="G300" i="8" s="1"/>
  <c r="G339" i="8" s="1"/>
  <c r="I261" i="8"/>
  <c r="R204" i="8"/>
  <c r="R293" i="8"/>
  <c r="R304" i="8" s="1"/>
  <c r="R343" i="8" s="1"/>
  <c r="R202" i="8"/>
  <c r="R203" i="8" s="1"/>
  <c r="AD143" i="8"/>
  <c r="AD144" i="8" s="1"/>
  <c r="AD145" i="8"/>
  <c r="P223" i="8"/>
  <c r="P222" i="8"/>
  <c r="F279" i="8"/>
  <c r="F280" i="8" s="1"/>
  <c r="F281" i="8" s="1"/>
  <c r="F283" i="8" s="1"/>
  <c r="F336" i="8" s="1"/>
  <c r="AE142" i="8"/>
  <c r="L244" i="8"/>
  <c r="U187" i="8"/>
  <c r="U292" i="8"/>
  <c r="U309" i="8" s="1"/>
  <c r="U349" i="8" s="1"/>
  <c r="AF138" i="8"/>
  <c r="AF137" i="8"/>
  <c r="AF133" i="8"/>
  <c r="AI105" i="4"/>
  <c r="AI106" i="4" s="1"/>
  <c r="AG288" i="4"/>
  <c r="AG307" i="4" s="1"/>
  <c r="AG347" i="4" s="1"/>
  <c r="AG119" i="4"/>
  <c r="AG117" i="4"/>
  <c r="AG118" i="4" s="1"/>
  <c r="AG122" i="4" s="1"/>
  <c r="AF125" i="4"/>
  <c r="H268" i="8" l="1"/>
  <c r="G275" i="8"/>
  <c r="U191" i="8"/>
  <c r="AI123" i="8"/>
  <c r="G276" i="8"/>
  <c r="AH129" i="8"/>
  <c r="S200" i="8"/>
  <c r="R207" i="8"/>
  <c r="R317" i="8" s="1"/>
  <c r="R328" i="8" s="1"/>
  <c r="R357" i="8" s="1"/>
  <c r="G278" i="8"/>
  <c r="U193" i="8"/>
  <c r="Q214" i="8"/>
  <c r="P218" i="8" s="1"/>
  <c r="AI125" i="8"/>
  <c r="F373" i="8"/>
  <c r="F381" i="8" s="1"/>
  <c r="F364" i="8"/>
  <c r="F374" i="8" s="1"/>
  <c r="F382" i="8" s="1"/>
  <c r="Y315" i="8"/>
  <c r="Y327" i="8" s="1"/>
  <c r="Y356" i="8" s="1"/>
  <c r="Y174" i="8"/>
  <c r="V189" i="8"/>
  <c r="V188" i="8"/>
  <c r="V184" i="8"/>
  <c r="I262" i="8"/>
  <c r="I263" i="8" s="1"/>
  <c r="I264" i="8" s="1"/>
  <c r="O228" i="8"/>
  <c r="O229" i="8" s="1"/>
  <c r="O230" i="8" s="1"/>
  <c r="AK108" i="8"/>
  <c r="AK109" i="8" s="1"/>
  <c r="AK111" i="8" s="1"/>
  <c r="AB159" i="8"/>
  <c r="L245" i="8"/>
  <c r="L246" i="8" s="1"/>
  <c r="L247" i="8" s="1"/>
  <c r="AK106" i="8"/>
  <c r="AK107" i="8" s="1"/>
  <c r="AC154" i="8"/>
  <c r="AC155" i="8"/>
  <c r="M238" i="8"/>
  <c r="M295" i="8"/>
  <c r="M308" i="8" s="1"/>
  <c r="M348" i="8" s="1"/>
  <c r="T194" i="8"/>
  <c r="T195" i="8" s="1"/>
  <c r="T196" i="8" s="1"/>
  <c r="J255" i="8"/>
  <c r="J296" i="8"/>
  <c r="J302" i="8" s="1"/>
  <c r="J341" i="8" s="1"/>
  <c r="J253" i="8"/>
  <c r="J254" i="8" s="1"/>
  <c r="AD146" i="8"/>
  <c r="AC150" i="8" s="1"/>
  <c r="AF136" i="8"/>
  <c r="AF289" i="8"/>
  <c r="AF306" i="8" s="1"/>
  <c r="AF346" i="8" s="1"/>
  <c r="M236" i="8"/>
  <c r="M237" i="8" s="1"/>
  <c r="AJ121" i="8"/>
  <c r="AJ120" i="8"/>
  <c r="Z172" i="8"/>
  <c r="Z171" i="8"/>
  <c r="G321" i="8"/>
  <c r="G324" i="8" s="1"/>
  <c r="G353" i="8" s="1"/>
  <c r="Z167" i="8"/>
  <c r="Z168" i="8" s="1"/>
  <c r="Z169" i="8" s="1"/>
  <c r="AF134" i="8"/>
  <c r="AF135" i="8" s="1"/>
  <c r="AE143" i="8"/>
  <c r="AE144" i="8" s="1"/>
  <c r="AE145" i="8" s="1"/>
  <c r="AH115" i="4"/>
  <c r="AG312" i="4"/>
  <c r="AI107" i="4"/>
  <c r="AF126" i="4"/>
  <c r="AF127" i="4" s="1"/>
  <c r="AF128" i="4" s="1"/>
  <c r="AI108" i="4"/>
  <c r="AI109" i="4" s="1"/>
  <c r="AI111" i="4" s="1"/>
  <c r="H274" i="8" l="1"/>
  <c r="H273" i="8"/>
  <c r="AA166" i="8"/>
  <c r="Z173" i="8"/>
  <c r="Z315" i="8" s="1"/>
  <c r="Z327" i="8" s="1"/>
  <c r="Z356" i="8" s="1"/>
  <c r="AK112" i="8"/>
  <c r="AJ116" i="8" s="1"/>
  <c r="AK350" i="8"/>
  <c r="AL104" i="8"/>
  <c r="AC152" i="8"/>
  <c r="T197" i="8"/>
  <c r="S201" i="8" s="1"/>
  <c r="L248" i="8"/>
  <c r="K252" i="8" s="1"/>
  <c r="O231" i="8"/>
  <c r="N235" i="8" s="1"/>
  <c r="N234" i="8"/>
  <c r="M241" i="8"/>
  <c r="M319" i="8" s="1"/>
  <c r="M332" i="8" s="1"/>
  <c r="M361" i="8" s="1"/>
  <c r="AC151" i="8"/>
  <c r="G279" i="8"/>
  <c r="G280" i="8" s="1"/>
  <c r="G281" i="8" s="1"/>
  <c r="G283" i="8" s="1"/>
  <c r="G336" i="8" s="1"/>
  <c r="R208" i="8"/>
  <c r="S205" i="8"/>
  <c r="S206" i="8"/>
  <c r="AB160" i="8"/>
  <c r="AB161" i="8" s="1"/>
  <c r="AB162" i="8" s="1"/>
  <c r="AE146" i="8"/>
  <c r="AC153" i="8"/>
  <c r="AC290" i="8"/>
  <c r="AC305" i="8" s="1"/>
  <c r="AC345" i="8" s="1"/>
  <c r="K251" i="8"/>
  <c r="J258" i="8"/>
  <c r="AI126" i="8"/>
  <c r="AI127" i="8" s="1"/>
  <c r="AI128" i="8" s="1"/>
  <c r="V187" i="8"/>
  <c r="V292" i="8"/>
  <c r="V309" i="8" s="1"/>
  <c r="V349" i="8" s="1"/>
  <c r="P221" i="8"/>
  <c r="P294" i="8"/>
  <c r="P301" i="8" s="1"/>
  <c r="P340" i="8" s="1"/>
  <c r="P219" i="8"/>
  <c r="P220" i="8" s="1"/>
  <c r="U194" i="8"/>
  <c r="U195" i="8" s="1"/>
  <c r="U196" i="8" s="1"/>
  <c r="AG132" i="8"/>
  <c r="AG133" i="8" s="1"/>
  <c r="AF139" i="8"/>
  <c r="Y176" i="8"/>
  <c r="Z170" i="8"/>
  <c r="Z291" i="8"/>
  <c r="Z303" i="8" s="1"/>
  <c r="Z342" i="8" s="1"/>
  <c r="I265" i="8"/>
  <c r="H269" i="8" s="1"/>
  <c r="V185" i="8"/>
  <c r="V186" i="8" s="1"/>
  <c r="AG331" i="4"/>
  <c r="AH121" i="4"/>
  <c r="AH120" i="4"/>
  <c r="AG123" i="4"/>
  <c r="AG125" i="4" s="1"/>
  <c r="AG126" i="4" s="1"/>
  <c r="AG127" i="4" s="1"/>
  <c r="AI350" i="4"/>
  <c r="AJ104" i="4"/>
  <c r="AI112" i="4"/>
  <c r="AH116" i="4" s="1"/>
  <c r="Z174" i="8" l="1"/>
  <c r="AI129" i="8"/>
  <c r="Q217" i="8"/>
  <c r="P224" i="8"/>
  <c r="P318" i="8" s="1"/>
  <c r="P325" i="8" s="1"/>
  <c r="P354" i="8" s="1"/>
  <c r="AB163" i="8"/>
  <c r="AA167" i="8" s="1"/>
  <c r="U197" i="8"/>
  <c r="Z176" i="8"/>
  <c r="P225" i="8"/>
  <c r="V191" i="8"/>
  <c r="G373" i="8"/>
  <c r="G381" i="8" s="1"/>
  <c r="G364" i="8"/>
  <c r="G374" i="8" s="1"/>
  <c r="G382" i="8" s="1"/>
  <c r="W183" i="8"/>
  <c r="W184" i="8" s="1"/>
  <c r="V190" i="8"/>
  <c r="V316" i="8" s="1"/>
  <c r="V333" i="8" s="1"/>
  <c r="V362" i="8" s="1"/>
  <c r="AD149" i="8"/>
  <c r="AD150" i="8" s="1"/>
  <c r="AC156" i="8"/>
  <c r="S204" i="8"/>
  <c r="S293" i="8"/>
  <c r="S304" i="8" s="1"/>
  <c r="S343" i="8" s="1"/>
  <c r="AL105" i="8"/>
  <c r="J320" i="8"/>
  <c r="J326" i="8" s="1"/>
  <c r="J355" i="8" s="1"/>
  <c r="J259" i="8"/>
  <c r="K256" i="8"/>
  <c r="K257" i="8"/>
  <c r="K253" i="8"/>
  <c r="K254" i="8" s="1"/>
  <c r="R210" i="8"/>
  <c r="H272" i="8"/>
  <c r="H270" i="8"/>
  <c r="H271" i="8" s="1"/>
  <c r="H297" i="8"/>
  <c r="H300" i="8" s="1"/>
  <c r="H339" i="8" s="1"/>
  <c r="S202" i="8"/>
  <c r="S203" i="8" s="1"/>
  <c r="AJ119" i="8"/>
  <c r="AJ288" i="8"/>
  <c r="AJ307" i="8" s="1"/>
  <c r="AJ347" i="8" s="1"/>
  <c r="AJ117" i="8"/>
  <c r="AJ118" i="8" s="1"/>
  <c r="K255" i="8"/>
  <c r="K296" i="8"/>
  <c r="K302" i="8" s="1"/>
  <c r="K341" i="8" s="1"/>
  <c r="Y177" i="8"/>
  <c r="Y178" i="8" s="1"/>
  <c r="Y179" i="8" s="1"/>
  <c r="N240" i="8"/>
  <c r="N239" i="8"/>
  <c r="N236" i="8"/>
  <c r="N237" i="8" s="1"/>
  <c r="AG136" i="8"/>
  <c r="AG289" i="8"/>
  <c r="AG306" i="8" s="1"/>
  <c r="AG346" i="8" s="1"/>
  <c r="AF313" i="8"/>
  <c r="AF330" i="8" s="1"/>
  <c r="AF359" i="8" s="1"/>
  <c r="AF140" i="8"/>
  <c r="N238" i="8"/>
  <c r="N295" i="8"/>
  <c r="N308" i="8" s="1"/>
  <c r="N348" i="8" s="1"/>
  <c r="AA172" i="8"/>
  <c r="AA171" i="8"/>
  <c r="AA168" i="8"/>
  <c r="AA169" i="8" s="1"/>
  <c r="AG138" i="8"/>
  <c r="AG137" i="8"/>
  <c r="AG134" i="8"/>
  <c r="AG135" i="8" s="1"/>
  <c r="AH132" i="8" s="1"/>
  <c r="M242" i="8"/>
  <c r="AH288" i="4"/>
  <c r="AH307" i="4" s="1"/>
  <c r="AH347" i="4" s="1"/>
  <c r="AH119" i="4"/>
  <c r="AG128" i="4"/>
  <c r="AH117" i="4"/>
  <c r="AH118" i="4" s="1"/>
  <c r="AH122" i="4" s="1"/>
  <c r="AJ105" i="4"/>
  <c r="AJ106" i="4" s="1"/>
  <c r="W187" i="8" l="1"/>
  <c r="W292" i="8"/>
  <c r="W309" i="8" s="1"/>
  <c r="W349" i="8" s="1"/>
  <c r="Y180" i="8"/>
  <c r="L251" i="8"/>
  <c r="K258" i="8"/>
  <c r="O234" i="8"/>
  <c r="N241" i="8"/>
  <c r="N319" i="8" s="1"/>
  <c r="N332" i="8" s="1"/>
  <c r="N361" i="8" s="1"/>
  <c r="AB166" i="8"/>
  <c r="AA173" i="8"/>
  <c r="AA315" i="8" s="1"/>
  <c r="AA327" i="8" s="1"/>
  <c r="AA356" i="8" s="1"/>
  <c r="I268" i="8"/>
  <c r="H275" i="8"/>
  <c r="AC314" i="8"/>
  <c r="AC329" i="8" s="1"/>
  <c r="AC358" i="8" s="1"/>
  <c r="AC157" i="8"/>
  <c r="AF142" i="8"/>
  <c r="Z177" i="8"/>
  <c r="Z178" i="8" s="1"/>
  <c r="Z179" i="8" s="1"/>
  <c r="AD155" i="8"/>
  <c r="AD154" i="8"/>
  <c r="AD151" i="8"/>
  <c r="AD152" i="8" s="1"/>
  <c r="AA170" i="8"/>
  <c r="AA291" i="8"/>
  <c r="AA303" i="8" s="1"/>
  <c r="AA342" i="8" s="1"/>
  <c r="T200" i="8"/>
  <c r="T201" i="8" s="1"/>
  <c r="S207" i="8"/>
  <c r="S317" i="8" s="1"/>
  <c r="S328" i="8" s="1"/>
  <c r="S357" i="8" s="1"/>
  <c r="R211" i="8"/>
  <c r="R212" i="8" s="1"/>
  <c r="R213" i="8" s="1"/>
  <c r="W189" i="8"/>
  <c r="W188" i="8"/>
  <c r="W185" i="8"/>
  <c r="W186" i="8" s="1"/>
  <c r="Q223" i="8"/>
  <c r="Q222" i="8"/>
  <c r="AH138" i="8"/>
  <c r="AH137" i="8"/>
  <c r="V193" i="8"/>
  <c r="AG139" i="8"/>
  <c r="AG313" i="8" s="1"/>
  <c r="AG330" i="8" s="1"/>
  <c r="AG359" i="8" s="1"/>
  <c r="P227" i="8"/>
  <c r="AD153" i="8"/>
  <c r="AD290" i="8"/>
  <c r="AD305" i="8" s="1"/>
  <c r="AD345" i="8" s="1"/>
  <c r="M244" i="8"/>
  <c r="J261" i="8"/>
  <c r="AL108" i="8"/>
  <c r="AL109" i="8" s="1"/>
  <c r="AL111" i="8" s="1"/>
  <c r="AL106" i="8"/>
  <c r="AL107" i="8" s="1"/>
  <c r="AK115" i="8"/>
  <c r="AJ122" i="8"/>
  <c r="AJ312" i="8" s="1"/>
  <c r="AJ331" i="8" s="1"/>
  <c r="AJ360" i="8" s="1"/>
  <c r="AH133" i="8"/>
  <c r="AH134" i="8" s="1"/>
  <c r="AJ107" i="4"/>
  <c r="AJ108" i="4"/>
  <c r="AJ109" i="4" s="1"/>
  <c r="AJ111" i="4" s="1"/>
  <c r="AJ112" i="4" s="1"/>
  <c r="AI115" i="4"/>
  <c r="AH312" i="4"/>
  <c r="T204" i="8" l="1"/>
  <c r="T293" i="8"/>
  <c r="T304" i="8" s="1"/>
  <c r="T343" i="8" s="1"/>
  <c r="AJ123" i="8"/>
  <c r="AJ125" i="8" s="1"/>
  <c r="R214" i="8"/>
  <c r="Q218" i="8" s="1"/>
  <c r="AE149" i="8"/>
  <c r="AD156" i="8"/>
  <c r="AL350" i="8"/>
  <c r="AM104" i="8"/>
  <c r="AL112" i="8"/>
  <c r="AK116" i="8" s="1"/>
  <c r="Z180" i="8"/>
  <c r="X183" i="8"/>
  <c r="X184" i="8" s="1"/>
  <c r="W190" i="8"/>
  <c r="W316" i="8" s="1"/>
  <c r="W333" i="8" s="1"/>
  <c r="W362" i="8" s="1"/>
  <c r="AK121" i="8"/>
  <c r="AK120" i="8"/>
  <c r="H321" i="8"/>
  <c r="H324" i="8" s="1"/>
  <c r="H353" i="8" s="1"/>
  <c r="H276" i="8"/>
  <c r="I273" i="8"/>
  <c r="I274" i="8"/>
  <c r="O240" i="8"/>
  <c r="O239" i="8"/>
  <c r="P228" i="8"/>
  <c r="P229" i="8" s="1"/>
  <c r="P230" i="8"/>
  <c r="AF143" i="8"/>
  <c r="AF144" i="8" s="1"/>
  <c r="AF145" i="8" s="1"/>
  <c r="J262" i="8"/>
  <c r="J263" i="8" s="1"/>
  <c r="J264" i="8" s="1"/>
  <c r="L256" i="8"/>
  <c r="L257" i="8"/>
  <c r="S208" i="8"/>
  <c r="AB172" i="8"/>
  <c r="AB171" i="8"/>
  <c r="AC159" i="8"/>
  <c r="V194" i="8"/>
  <c r="V195" i="8" s="1"/>
  <c r="V196" i="8" s="1"/>
  <c r="N242" i="8"/>
  <c r="T206" i="8"/>
  <c r="T205" i="8"/>
  <c r="T202" i="8"/>
  <c r="T203" i="8" s="1"/>
  <c r="U200" i="8" s="1"/>
  <c r="AA174" i="8"/>
  <c r="K320" i="8"/>
  <c r="K326" i="8" s="1"/>
  <c r="K355" i="8" s="1"/>
  <c r="K259" i="8"/>
  <c r="AH136" i="8"/>
  <c r="AH289" i="8"/>
  <c r="AH306" i="8" s="1"/>
  <c r="AH346" i="8" s="1"/>
  <c r="M245" i="8"/>
  <c r="M246" i="8" s="1"/>
  <c r="M247" i="8" s="1"/>
  <c r="AH135" i="8"/>
  <c r="AG140" i="8"/>
  <c r="AI116" i="4"/>
  <c r="AI119" i="4" s="1"/>
  <c r="AK104" i="4"/>
  <c r="AJ350" i="4"/>
  <c r="AH331" i="4"/>
  <c r="AI120" i="4"/>
  <c r="AI121" i="4"/>
  <c r="AH123" i="4"/>
  <c r="AI288" i="4" l="1"/>
  <c r="AI307" i="4" s="1"/>
  <c r="AI347" i="4" s="1"/>
  <c r="W191" i="8"/>
  <c r="AI117" i="4"/>
  <c r="AI118" i="4" s="1"/>
  <c r="X187" i="8"/>
  <c r="X292" i="8"/>
  <c r="X309" i="8" s="1"/>
  <c r="X349" i="8" s="1"/>
  <c r="M248" i="8"/>
  <c r="L252" i="8" s="1"/>
  <c r="V197" i="8"/>
  <c r="U201" i="8" s="1"/>
  <c r="AF146" i="8"/>
  <c r="AE150" i="8" s="1"/>
  <c r="P231" i="8"/>
  <c r="O235" i="8" s="1"/>
  <c r="J265" i="8"/>
  <c r="I269" i="8" s="1"/>
  <c r="S210" i="8"/>
  <c r="AK119" i="8"/>
  <c r="AK288" i="8"/>
  <c r="AK307" i="8" s="1"/>
  <c r="AK347" i="8" s="1"/>
  <c r="U205" i="8"/>
  <c r="U206" i="8"/>
  <c r="AM105" i="8"/>
  <c r="AI132" i="8"/>
  <c r="AH139" i="8"/>
  <c r="AH313" i="8" s="1"/>
  <c r="AH330" i="8" s="1"/>
  <c r="AH359" i="8" s="1"/>
  <c r="AK117" i="8"/>
  <c r="AK118" i="8" s="1"/>
  <c r="AG142" i="8"/>
  <c r="X189" i="8"/>
  <c r="X188" i="8"/>
  <c r="X185" i="8"/>
  <c r="X186" i="8" s="1"/>
  <c r="W193" i="8"/>
  <c r="H278" i="8"/>
  <c r="AA176" i="8"/>
  <c r="AE155" i="8"/>
  <c r="AE154" i="8"/>
  <c r="AD314" i="8"/>
  <c r="AD329" i="8" s="1"/>
  <c r="AD358" i="8" s="1"/>
  <c r="AD157" i="8"/>
  <c r="AC160" i="8"/>
  <c r="AC161" i="8" s="1"/>
  <c r="AC162" i="8" s="1"/>
  <c r="T207" i="8"/>
  <c r="T317" i="8" s="1"/>
  <c r="T328" i="8" s="1"/>
  <c r="T357" i="8" s="1"/>
  <c r="N244" i="8"/>
  <c r="K261" i="8"/>
  <c r="AJ126" i="8"/>
  <c r="AJ127" i="8" s="1"/>
  <c r="AJ128" i="8" s="1"/>
  <c r="Q221" i="8"/>
  <c r="Q294" i="8"/>
  <c r="Q301" i="8" s="1"/>
  <c r="Q340" i="8" s="1"/>
  <c r="Q219" i="8"/>
  <c r="Q220" i="8" s="1"/>
  <c r="AK105" i="4"/>
  <c r="AK108" i="4" s="1"/>
  <c r="AK109" i="4" s="1"/>
  <c r="AK111" i="4" s="1"/>
  <c r="AJ115" i="4"/>
  <c r="AJ120" i="4" s="1"/>
  <c r="AI122" i="4"/>
  <c r="AI312" i="4" s="1"/>
  <c r="AH125" i="4"/>
  <c r="AH140" i="8" l="1"/>
  <c r="AH142" i="8" s="1"/>
  <c r="AJ129" i="8"/>
  <c r="AI133" i="8" s="1"/>
  <c r="AL115" i="8"/>
  <c r="AK122" i="8"/>
  <c r="Y183" i="8"/>
  <c r="X190" i="8"/>
  <c r="X316" i="8" s="1"/>
  <c r="X333" i="8" s="1"/>
  <c r="X362" i="8" s="1"/>
  <c r="AC163" i="8"/>
  <c r="AB167" i="8" s="1"/>
  <c r="R217" i="8"/>
  <c r="Q224" i="8"/>
  <c r="Q318" i="8" s="1"/>
  <c r="Q325" i="8" s="1"/>
  <c r="Q354" i="8" s="1"/>
  <c r="N245" i="8"/>
  <c r="N246" i="8" s="1"/>
  <c r="N247" i="8" s="1"/>
  <c r="AG143" i="8"/>
  <c r="AG144" i="8" s="1"/>
  <c r="AG145" i="8" s="1"/>
  <c r="H279" i="8"/>
  <c r="H280" i="8" s="1"/>
  <c r="H281" i="8" s="1"/>
  <c r="H283" i="8" s="1"/>
  <c r="H336" i="8" s="1"/>
  <c r="AD159" i="8"/>
  <c r="AI137" i="8"/>
  <c r="AI138" i="8"/>
  <c r="AI134" i="8"/>
  <c r="AI135" i="8" s="1"/>
  <c r="L255" i="8"/>
  <c r="L296" i="8"/>
  <c r="L302" i="8" s="1"/>
  <c r="L341" i="8" s="1"/>
  <c r="L253" i="8"/>
  <c r="L254" i="8" s="1"/>
  <c r="O238" i="8"/>
  <c r="O295" i="8"/>
  <c r="O308" i="8" s="1"/>
  <c r="O348" i="8" s="1"/>
  <c r="O236" i="8"/>
  <c r="O237" i="8" s="1"/>
  <c r="AA177" i="8"/>
  <c r="AA178" i="8" s="1"/>
  <c r="AA179" i="8" s="1"/>
  <c r="S211" i="8"/>
  <c r="S212" i="8" s="1"/>
  <c r="S213" i="8" s="1"/>
  <c r="U204" i="8"/>
  <c r="U293" i="8"/>
  <c r="U304" i="8" s="1"/>
  <c r="U343" i="8" s="1"/>
  <c r="AH143" i="8"/>
  <c r="AH144" i="8" s="1"/>
  <c r="AE151" i="8"/>
  <c r="AE152" i="8" s="1"/>
  <c r="AM106" i="8"/>
  <c r="AM107" i="8" s="1"/>
  <c r="AM350" i="8" s="1"/>
  <c r="AE153" i="8"/>
  <c r="AE290" i="8"/>
  <c r="AE305" i="8" s="1"/>
  <c r="AE345" i="8" s="1"/>
  <c r="K262" i="8"/>
  <c r="K263" i="8" s="1"/>
  <c r="K264" i="8" s="1"/>
  <c r="U202" i="8"/>
  <c r="U203" i="8" s="1"/>
  <c r="I272" i="8"/>
  <c r="I297" i="8"/>
  <c r="I300" i="8" s="1"/>
  <c r="I339" i="8" s="1"/>
  <c r="I270" i="8"/>
  <c r="I271" i="8" s="1"/>
  <c r="W194" i="8"/>
  <c r="W195" i="8" s="1"/>
  <c r="W196" i="8" s="1"/>
  <c r="AM108" i="8"/>
  <c r="AM109" i="8" s="1"/>
  <c r="AM111" i="8" s="1"/>
  <c r="T208" i="8"/>
  <c r="AK106" i="4"/>
  <c r="AJ121" i="4"/>
  <c r="AI331" i="4"/>
  <c r="AK112" i="4"/>
  <c r="AJ116" i="4" s="1"/>
  <c r="AH126" i="4"/>
  <c r="AH127" i="4" s="1"/>
  <c r="AH128" i="4" s="1"/>
  <c r="AI123" i="4"/>
  <c r="AH145" i="8" l="1"/>
  <c r="Q225" i="8"/>
  <c r="K265" i="8"/>
  <c r="J269" i="8" s="1"/>
  <c r="N248" i="8"/>
  <c r="M252" i="8" s="1"/>
  <c r="M251" i="8"/>
  <c r="L258" i="8"/>
  <c r="AF149" i="8"/>
  <c r="AE156" i="8"/>
  <c r="AM112" i="8"/>
  <c r="AL116" i="8" s="1"/>
  <c r="AJ132" i="8"/>
  <c r="AI139" i="8"/>
  <c r="AI313" i="8" s="1"/>
  <c r="AI330" i="8" s="1"/>
  <c r="AI359" i="8" s="1"/>
  <c r="W197" i="8"/>
  <c r="V201" i="8" s="1"/>
  <c r="S214" i="8"/>
  <c r="R218" i="8" s="1"/>
  <c r="P234" i="8"/>
  <c r="O241" i="8"/>
  <c r="J268" i="8"/>
  <c r="I275" i="8"/>
  <c r="AB170" i="8"/>
  <c r="AB291" i="8"/>
  <c r="AB303" i="8" s="1"/>
  <c r="AB342" i="8" s="1"/>
  <c r="AB168" i="8"/>
  <c r="AB169" i="8"/>
  <c r="AG146" i="8"/>
  <c r="Y189" i="8"/>
  <c r="Y188" i="8"/>
  <c r="Y184" i="8"/>
  <c r="Q227" i="8"/>
  <c r="AD160" i="8"/>
  <c r="AD161" i="8" s="1"/>
  <c r="AD162" i="8" s="1"/>
  <c r="H373" i="8"/>
  <c r="H381" i="8" s="1"/>
  <c r="H364" i="8"/>
  <c r="H374" i="8" s="1"/>
  <c r="H382" i="8" s="1"/>
  <c r="AK312" i="8"/>
  <c r="AK331" i="8" s="1"/>
  <c r="AK360" i="8" s="1"/>
  <c r="AK123" i="8"/>
  <c r="AL120" i="8"/>
  <c r="AL121" i="8"/>
  <c r="V200" i="8"/>
  <c r="U207" i="8"/>
  <c r="U317" i="8" s="1"/>
  <c r="U328" i="8" s="1"/>
  <c r="U357" i="8" s="1"/>
  <c r="AA180" i="8"/>
  <c r="X191" i="8"/>
  <c r="T210" i="8"/>
  <c r="R223" i="8"/>
  <c r="R222" i="8"/>
  <c r="AI136" i="8"/>
  <c r="AI289" i="8"/>
  <c r="AI306" i="8" s="1"/>
  <c r="AI346" i="8" s="1"/>
  <c r="AK107" i="4"/>
  <c r="AK350" i="4" s="1"/>
  <c r="AL104" i="4"/>
  <c r="AL105" i="4" s="1"/>
  <c r="AJ288" i="4"/>
  <c r="AJ307" i="4" s="1"/>
  <c r="AJ347" i="4" s="1"/>
  <c r="AJ119" i="4"/>
  <c r="AJ117" i="4"/>
  <c r="AJ118" i="4" s="1"/>
  <c r="AJ122" i="4" s="1"/>
  <c r="AI125" i="4"/>
  <c r="AI140" i="8" l="1"/>
  <c r="U208" i="8"/>
  <c r="U210" i="8" s="1"/>
  <c r="T211" i="8"/>
  <c r="T212" i="8" s="1"/>
  <c r="T213" i="8" s="1"/>
  <c r="Y185" i="8"/>
  <c r="Y186" i="8" s="1"/>
  <c r="I321" i="8"/>
  <c r="I324" i="8" s="1"/>
  <c r="I353" i="8" s="1"/>
  <c r="I276" i="8"/>
  <c r="AE314" i="8"/>
  <c r="AE329" i="8" s="1"/>
  <c r="AE358" i="8" s="1"/>
  <c r="AE157" i="8"/>
  <c r="AK125" i="8"/>
  <c r="Y187" i="8"/>
  <c r="Y292" i="8"/>
  <c r="Y309" i="8" s="1"/>
  <c r="Y349" i="8" s="1"/>
  <c r="AL119" i="8"/>
  <c r="AL288" i="8"/>
  <c r="AL307" i="8" s="1"/>
  <c r="AL347" i="8" s="1"/>
  <c r="AM288" i="8"/>
  <c r="AM307" i="8" s="1"/>
  <c r="AM347" i="8" s="1"/>
  <c r="J274" i="8"/>
  <c r="J273" i="8"/>
  <c r="J270" i="8"/>
  <c r="J271" i="8" s="1"/>
  <c r="U211" i="8"/>
  <c r="U212" i="8" s="1"/>
  <c r="L320" i="8"/>
  <c r="L326" i="8" s="1"/>
  <c r="L355" i="8" s="1"/>
  <c r="L259" i="8"/>
  <c r="M255" i="8"/>
  <c r="M296" i="8"/>
  <c r="M302" i="8" s="1"/>
  <c r="M341" i="8" s="1"/>
  <c r="V204" i="8"/>
  <c r="V293" i="8"/>
  <c r="V304" i="8" s="1"/>
  <c r="V343" i="8" s="1"/>
  <c r="AF150" i="8"/>
  <c r="AF154" i="8"/>
  <c r="AF155" i="8"/>
  <c r="X193" i="8"/>
  <c r="R221" i="8"/>
  <c r="R294" i="8"/>
  <c r="R301" i="8" s="1"/>
  <c r="R340" i="8" s="1"/>
  <c r="AI142" i="8"/>
  <c r="AD163" i="8"/>
  <c r="AC166" i="8"/>
  <c r="AB173" i="8"/>
  <c r="AB315" i="8" s="1"/>
  <c r="AB327" i="8" s="1"/>
  <c r="AB356" i="8" s="1"/>
  <c r="V205" i="8"/>
  <c r="V202" i="8"/>
  <c r="V203" i="8" s="1"/>
  <c r="V206" i="8"/>
  <c r="AH146" i="8"/>
  <c r="O319" i="8"/>
  <c r="O332" i="8" s="1"/>
  <c r="O361" i="8" s="1"/>
  <c r="O242" i="8"/>
  <c r="P239" i="8"/>
  <c r="P240" i="8"/>
  <c r="M257" i="8"/>
  <c r="M256" i="8"/>
  <c r="M253" i="8"/>
  <c r="M254" i="8" s="1"/>
  <c r="J272" i="8"/>
  <c r="J297" i="8"/>
  <c r="J300" i="8" s="1"/>
  <c r="J339" i="8" s="1"/>
  <c r="R219" i="8"/>
  <c r="R220" i="8" s="1"/>
  <c r="AL117" i="8"/>
  <c r="AL118" i="8" s="1"/>
  <c r="Q228" i="8"/>
  <c r="Q229" i="8" s="1"/>
  <c r="Q230" i="8" s="1"/>
  <c r="AJ138" i="8"/>
  <c r="AJ137" i="8"/>
  <c r="AL106" i="4"/>
  <c r="AK115" i="4"/>
  <c r="AJ312" i="4"/>
  <c r="AL108" i="4"/>
  <c r="AL109" i="4" s="1"/>
  <c r="AL111" i="4" s="1"/>
  <c r="AI126" i="4"/>
  <c r="AI127" i="4" s="1"/>
  <c r="AI128" i="4" s="1"/>
  <c r="U213" i="8" l="1"/>
  <c r="W200" i="8"/>
  <c r="V207" i="8"/>
  <c r="V317" i="8" s="1"/>
  <c r="V328" i="8" s="1"/>
  <c r="V357" i="8" s="1"/>
  <c r="N251" i="8"/>
  <c r="M258" i="8"/>
  <c r="M320" i="8" s="1"/>
  <c r="M326" i="8" s="1"/>
  <c r="M355" i="8" s="1"/>
  <c r="M259" i="8"/>
  <c r="M261" i="8" s="1"/>
  <c r="K268" i="8"/>
  <c r="J275" i="8"/>
  <c r="J321" i="8" s="1"/>
  <c r="J324" i="8" s="1"/>
  <c r="J353" i="8" s="1"/>
  <c r="J276" i="8"/>
  <c r="Z183" i="8"/>
  <c r="Y190" i="8"/>
  <c r="Y316" i="8" s="1"/>
  <c r="Y333" i="8" s="1"/>
  <c r="Y362" i="8" s="1"/>
  <c r="Q231" i="8"/>
  <c r="P235" i="8" s="1"/>
  <c r="AE159" i="8"/>
  <c r="T214" i="8"/>
  <c r="AK126" i="8"/>
  <c r="AK127" i="8" s="1"/>
  <c r="AK128" i="8" s="1"/>
  <c r="I278" i="8"/>
  <c r="AM115" i="8"/>
  <c r="AL122" i="8"/>
  <c r="AC171" i="8"/>
  <c r="AC172" i="8"/>
  <c r="AF151" i="8"/>
  <c r="AF152" i="8" s="1"/>
  <c r="L261" i="8"/>
  <c r="AC167" i="8"/>
  <c r="AC168" i="8" s="1"/>
  <c r="AC169" i="8" s="1"/>
  <c r="AB174" i="8"/>
  <c r="X194" i="8"/>
  <c r="X195" i="8" s="1"/>
  <c r="X196" i="8" s="1"/>
  <c r="S217" i="8"/>
  <c r="R224" i="8"/>
  <c r="AF153" i="8"/>
  <c r="AF290" i="8"/>
  <c r="AF305" i="8" s="1"/>
  <c r="AF345" i="8" s="1"/>
  <c r="O244" i="8"/>
  <c r="AI143" i="8"/>
  <c r="AI144" i="8" s="1"/>
  <c r="AI145" i="8" s="1"/>
  <c r="AL107" i="4"/>
  <c r="AM104" i="4" s="1"/>
  <c r="AM105" i="4" s="1"/>
  <c r="AM106" i="4" s="1"/>
  <c r="AJ331" i="4"/>
  <c r="AJ123" i="4"/>
  <c r="AJ125" i="4" s="1"/>
  <c r="AL112" i="4"/>
  <c r="AK116" i="4" s="1"/>
  <c r="AK120" i="4"/>
  <c r="AK121" i="4"/>
  <c r="S218" i="8" l="1"/>
  <c r="Y191" i="8"/>
  <c r="V208" i="8"/>
  <c r="AI146" i="8"/>
  <c r="AD166" i="8"/>
  <c r="AC173" i="8"/>
  <c r="AC315" i="8" s="1"/>
  <c r="AC327" i="8" s="1"/>
  <c r="AC356" i="8" s="1"/>
  <c r="M262" i="8"/>
  <c r="M263" i="8" s="1"/>
  <c r="S222" i="8"/>
  <c r="S223" i="8"/>
  <c r="S219" i="8"/>
  <c r="S220" i="8" s="1"/>
  <c r="K273" i="8"/>
  <c r="K274" i="8"/>
  <c r="Z188" i="8"/>
  <c r="Z189" i="8"/>
  <c r="Z184" i="8"/>
  <c r="X197" i="8"/>
  <c r="W201" i="8" s="1"/>
  <c r="AE160" i="8"/>
  <c r="AE161" i="8" s="1"/>
  <c r="AE162" i="8" s="1"/>
  <c r="AL312" i="8"/>
  <c r="AL331" i="8" s="1"/>
  <c r="AL360" i="8" s="1"/>
  <c r="AL123" i="8"/>
  <c r="Y193" i="8"/>
  <c r="I279" i="8"/>
  <c r="I280" i="8" s="1"/>
  <c r="I281" i="8" s="1"/>
  <c r="I283" i="8" s="1"/>
  <c r="I336" i="8" s="1"/>
  <c r="U214" i="8"/>
  <c r="N256" i="8"/>
  <c r="N257" i="8"/>
  <c r="O245" i="8"/>
  <c r="O246" i="8" s="1"/>
  <c r="O247" i="8" s="1"/>
  <c r="J278" i="8"/>
  <c r="V210" i="8"/>
  <c r="S221" i="8"/>
  <c r="S294" i="8"/>
  <c r="S301" i="8" s="1"/>
  <c r="S340" i="8" s="1"/>
  <c r="AB176" i="8"/>
  <c r="AM121" i="8"/>
  <c r="AM120" i="8"/>
  <c r="AM117" i="8"/>
  <c r="AM118" i="8" s="1"/>
  <c r="AM122" i="8" s="1"/>
  <c r="AM312" i="8" s="1"/>
  <c r="AM331" i="8" s="1"/>
  <c r="AM360" i="8" s="1"/>
  <c r="AG149" i="8"/>
  <c r="AF156" i="8"/>
  <c r="L262" i="8"/>
  <c r="L263" i="8" s="1"/>
  <c r="L264" i="8" s="1"/>
  <c r="AK129" i="8"/>
  <c r="AJ133" i="8" s="1"/>
  <c r="P238" i="8"/>
  <c r="P295" i="8"/>
  <c r="P308" i="8" s="1"/>
  <c r="P348" i="8" s="1"/>
  <c r="P236" i="8"/>
  <c r="P237" i="8" s="1"/>
  <c r="R318" i="8"/>
  <c r="R325" i="8" s="1"/>
  <c r="R354" i="8" s="1"/>
  <c r="R225" i="8"/>
  <c r="AC170" i="8"/>
  <c r="AC174" i="8" s="1"/>
  <c r="AC176" i="8" s="1"/>
  <c r="AC291" i="8"/>
  <c r="AC303" i="8" s="1"/>
  <c r="AC342" i="8" s="1"/>
  <c r="W205" i="8"/>
  <c r="W206" i="8"/>
  <c r="W202" i="8"/>
  <c r="W203" i="8" s="1"/>
  <c r="AL350" i="4"/>
  <c r="AK288" i="4"/>
  <c r="AK307" i="4" s="1"/>
  <c r="AK347" i="4" s="1"/>
  <c r="AK119" i="4"/>
  <c r="AK117" i="4"/>
  <c r="AK118" i="4" s="1"/>
  <c r="AK122" i="4" s="1"/>
  <c r="AM107" i="4"/>
  <c r="AM350" i="4" s="1"/>
  <c r="AJ126" i="4"/>
  <c r="AJ127" i="4" s="1"/>
  <c r="AJ128" i="4" s="1"/>
  <c r="AM108" i="4"/>
  <c r="AM109" i="4" s="1"/>
  <c r="AM111" i="4" s="1"/>
  <c r="L265" i="8" l="1"/>
  <c r="K269" i="8" s="1"/>
  <c r="AC177" i="8"/>
  <c r="AC178" i="8" s="1"/>
  <c r="X200" i="8"/>
  <c r="W207" i="8"/>
  <c r="W317" i="8" s="1"/>
  <c r="W328" i="8" s="1"/>
  <c r="W357" i="8" s="1"/>
  <c r="O248" i="8"/>
  <c r="N252" i="8" s="1"/>
  <c r="T217" i="8"/>
  <c r="T218" i="8" s="1"/>
  <c r="S224" i="8"/>
  <c r="I373" i="8"/>
  <c r="I381" i="8" s="1"/>
  <c r="I364" i="8"/>
  <c r="I374" i="8" s="1"/>
  <c r="I382" i="8" s="1"/>
  <c r="AE163" i="8"/>
  <c r="AD167" i="8" s="1"/>
  <c r="AD168" i="8" s="1"/>
  <c r="AD169" i="8" s="1"/>
  <c r="AF314" i="8"/>
  <c r="AF329" i="8" s="1"/>
  <c r="AF358" i="8" s="1"/>
  <c r="AF157" i="8"/>
  <c r="Z187" i="8"/>
  <c r="Z292" i="8"/>
  <c r="Z309" i="8" s="1"/>
  <c r="Z349" i="8" s="1"/>
  <c r="R227" i="8"/>
  <c r="Z185" i="8"/>
  <c r="Z186" i="8" s="1"/>
  <c r="V211" i="8"/>
  <c r="V212" i="8" s="1"/>
  <c r="V213" i="8" s="1"/>
  <c r="Q234" i="8"/>
  <c r="P241" i="8"/>
  <c r="AM123" i="8"/>
  <c r="AM125" i="8" s="1"/>
  <c r="Y194" i="8"/>
  <c r="Y195" i="8" s="1"/>
  <c r="Y196" i="8" s="1"/>
  <c r="M264" i="8"/>
  <c r="AL125" i="8"/>
  <c r="AG155" i="8"/>
  <c r="AG154" i="8"/>
  <c r="AG150" i="8"/>
  <c r="AJ136" i="8"/>
  <c r="AJ289" i="8"/>
  <c r="AJ306" i="8" s="1"/>
  <c r="AJ346" i="8" s="1"/>
  <c r="AJ134" i="8"/>
  <c r="AJ135" i="8" s="1"/>
  <c r="AD172" i="8"/>
  <c r="AD171" i="8"/>
  <c r="AB177" i="8"/>
  <c r="AB178" i="8" s="1"/>
  <c r="AB179" i="8" s="1"/>
  <c r="J279" i="8"/>
  <c r="J280" i="8" s="1"/>
  <c r="J281" i="8" s="1"/>
  <c r="J283" i="8" s="1"/>
  <c r="J336" i="8" s="1"/>
  <c r="W204" i="8"/>
  <c r="W293" i="8"/>
  <c r="W304" i="8" s="1"/>
  <c r="W343" i="8" s="1"/>
  <c r="AL115" i="4"/>
  <c r="AK312" i="4"/>
  <c r="AM112" i="4"/>
  <c r="T221" i="8" l="1"/>
  <c r="T294" i="8"/>
  <c r="T301" i="8" s="1"/>
  <c r="T340" i="8" s="1"/>
  <c r="W208" i="8"/>
  <c r="W210" i="8" s="1"/>
  <c r="AA183" i="8"/>
  <c r="Z190" i="8"/>
  <c r="Z316" i="8" s="1"/>
  <c r="Z333" i="8" s="1"/>
  <c r="Z362" i="8" s="1"/>
  <c r="AM126" i="8"/>
  <c r="AM127" i="8" s="1"/>
  <c r="J373" i="8"/>
  <c r="J381" i="8" s="1"/>
  <c r="J364" i="8"/>
  <c r="J374" i="8" s="1"/>
  <c r="J382" i="8" s="1"/>
  <c r="AE166" i="8"/>
  <c r="AD173" i="8"/>
  <c r="AD315" i="8" s="1"/>
  <c r="AD327" i="8" s="1"/>
  <c r="AD356" i="8" s="1"/>
  <c r="AK132" i="8"/>
  <c r="AJ139" i="8"/>
  <c r="AB180" i="8"/>
  <c r="Y197" i="8"/>
  <c r="X201" i="8" s="1"/>
  <c r="R228" i="8"/>
  <c r="R229" i="8" s="1"/>
  <c r="R230" i="8" s="1"/>
  <c r="V214" i="8"/>
  <c r="X206" i="8"/>
  <c r="X205" i="8"/>
  <c r="AC179" i="8"/>
  <c r="S318" i="8"/>
  <c r="S325" i="8" s="1"/>
  <c r="S354" i="8" s="1"/>
  <c r="S225" i="8"/>
  <c r="AG153" i="8"/>
  <c r="AG290" i="8"/>
  <c r="AG305" i="8" s="1"/>
  <c r="AG345" i="8" s="1"/>
  <c r="AG151" i="8"/>
  <c r="AG152" i="8" s="1"/>
  <c r="Q240" i="8"/>
  <c r="Q239" i="8"/>
  <c r="N255" i="8"/>
  <c r="N296" i="8"/>
  <c r="N302" i="8" s="1"/>
  <c r="N341" i="8" s="1"/>
  <c r="N253" i="8"/>
  <c r="N254" i="8" s="1"/>
  <c r="M265" i="8"/>
  <c r="L269" i="8" s="1"/>
  <c r="T222" i="8"/>
  <c r="T223" i="8"/>
  <c r="T219" i="8"/>
  <c r="T220" i="8" s="1"/>
  <c r="P319" i="8"/>
  <c r="P332" i="8" s="1"/>
  <c r="P361" i="8" s="1"/>
  <c r="P242" i="8"/>
  <c r="AF159" i="8"/>
  <c r="AL126" i="8"/>
  <c r="AL127" i="8" s="1"/>
  <c r="AL128" i="8" s="1"/>
  <c r="AD170" i="8"/>
  <c r="AD291" i="8"/>
  <c r="AD303" i="8" s="1"/>
  <c r="AD342" i="8" s="1"/>
  <c r="K272" i="8"/>
  <c r="K297" i="8"/>
  <c r="K300" i="8" s="1"/>
  <c r="K339" i="8" s="1"/>
  <c r="K270" i="8"/>
  <c r="K271" i="8" s="1"/>
  <c r="AL116" i="4"/>
  <c r="AL119" i="4" s="1"/>
  <c r="AK331" i="4"/>
  <c r="AL288" i="4"/>
  <c r="AL307" i="4" s="1"/>
  <c r="AL347" i="4" s="1"/>
  <c r="AK123" i="4"/>
  <c r="AL121" i="4"/>
  <c r="AL120" i="4"/>
  <c r="AA184" i="8" l="1"/>
  <c r="AM288" i="4"/>
  <c r="AM307" i="4" s="1"/>
  <c r="AM347" i="4" s="1"/>
  <c r="AD174" i="8"/>
  <c r="AD176" i="8" s="1"/>
  <c r="Z191" i="8"/>
  <c r="Z193" i="8" s="1"/>
  <c r="U217" i="8"/>
  <c r="U218" i="8" s="1"/>
  <c r="T224" i="8"/>
  <c r="T318" i="8" s="1"/>
  <c r="T325" i="8" s="1"/>
  <c r="T354" i="8" s="1"/>
  <c r="O251" i="8"/>
  <c r="N258" i="8"/>
  <c r="L268" i="8"/>
  <c r="K275" i="8"/>
  <c r="K321" i="8" s="1"/>
  <c r="K324" i="8" s="1"/>
  <c r="K353" i="8" s="1"/>
  <c r="K276" i="8"/>
  <c r="R231" i="8"/>
  <c r="Q235" i="8" s="1"/>
  <c r="AL129" i="8"/>
  <c r="AK133" i="8" s="1"/>
  <c r="AK134" i="8" s="1"/>
  <c r="AK135" i="8" s="1"/>
  <c r="P244" i="8"/>
  <c r="AK138" i="8"/>
  <c r="AK137" i="8"/>
  <c r="AE172" i="8"/>
  <c r="AE171" i="8"/>
  <c r="AF160" i="8"/>
  <c r="AF161" i="8" s="1"/>
  <c r="AF162" i="8" s="1"/>
  <c r="X204" i="8"/>
  <c r="X293" i="8"/>
  <c r="X304" i="8" s="1"/>
  <c r="X343" i="8" s="1"/>
  <c r="X202" i="8"/>
  <c r="X203" i="8" s="1"/>
  <c r="AM128" i="8"/>
  <c r="L272" i="8"/>
  <c r="L297" i="8"/>
  <c r="L300" i="8" s="1"/>
  <c r="L339" i="8" s="1"/>
  <c r="AJ313" i="8"/>
  <c r="AJ330" i="8" s="1"/>
  <c r="AJ359" i="8" s="1"/>
  <c r="AJ140" i="8"/>
  <c r="S227" i="8"/>
  <c r="AC180" i="8"/>
  <c r="AA187" i="8"/>
  <c r="AA292" i="8"/>
  <c r="AA309" i="8" s="1"/>
  <c r="AA349" i="8" s="1"/>
  <c r="AH149" i="8"/>
  <c r="AG156" i="8"/>
  <c r="W211" i="8"/>
  <c r="W212" i="8" s="1"/>
  <c r="W213" i="8" s="1"/>
  <c r="AA189" i="8"/>
  <c r="AA188" i="8"/>
  <c r="AA185" i="8"/>
  <c r="AA186" i="8" s="1"/>
  <c r="AL117" i="4"/>
  <c r="AL118" i="4" s="1"/>
  <c r="AL122" i="4" s="1"/>
  <c r="AL312" i="4" s="1"/>
  <c r="AK125" i="4"/>
  <c r="U221" i="8" l="1"/>
  <c r="U294" i="8"/>
  <c r="U301" i="8" s="1"/>
  <c r="U340" i="8" s="1"/>
  <c r="AM115" i="4"/>
  <c r="AB183" i="8"/>
  <c r="AA190" i="8"/>
  <c r="AA316" i="8" s="1"/>
  <c r="AA333" i="8" s="1"/>
  <c r="AA362" i="8" s="1"/>
  <c r="AA191" i="8"/>
  <c r="AB184" i="8"/>
  <c r="AB292" i="8" s="1"/>
  <c r="AB309" i="8" s="1"/>
  <c r="AB349" i="8" s="1"/>
  <c r="T225" i="8"/>
  <c r="T227" i="8" s="1"/>
  <c r="T228" i="8" s="1"/>
  <c r="T229" i="8" s="1"/>
  <c r="AA193" i="8"/>
  <c r="Y200" i="8"/>
  <c r="X207" i="8"/>
  <c r="AL132" i="8"/>
  <c r="AK139" i="8"/>
  <c r="AK313" i="8" s="1"/>
  <c r="AK330" i="8" s="1"/>
  <c r="AK359" i="8" s="1"/>
  <c r="Q238" i="8"/>
  <c r="Q295" i="8"/>
  <c r="Q308" i="8" s="1"/>
  <c r="Q348" i="8" s="1"/>
  <c r="Q236" i="8"/>
  <c r="Q237" i="8" s="1"/>
  <c r="K278" i="8"/>
  <c r="AJ142" i="8"/>
  <c r="L274" i="8"/>
  <c r="L273" i="8"/>
  <c r="L270" i="8"/>
  <c r="L271" i="8" s="1"/>
  <c r="AH155" i="8"/>
  <c r="AH154" i="8"/>
  <c r="AH150" i="8"/>
  <c r="P245" i="8"/>
  <c r="P246" i="8" s="1"/>
  <c r="P247" i="8" s="1"/>
  <c r="O257" i="8"/>
  <c r="O256" i="8"/>
  <c r="AB188" i="8"/>
  <c r="AB189" i="8"/>
  <c r="S228" i="8"/>
  <c r="S229" i="8" s="1"/>
  <c r="S230" i="8" s="1"/>
  <c r="AG314" i="8"/>
  <c r="AG329" i="8" s="1"/>
  <c r="AG358" i="8" s="1"/>
  <c r="AG157" i="8"/>
  <c r="AM129" i="8"/>
  <c r="AD177" i="8"/>
  <c r="AD178" i="8" s="1"/>
  <c r="AD179" i="8" s="1"/>
  <c r="W214" i="8"/>
  <c r="AF163" i="8"/>
  <c r="AE167" i="8" s="1"/>
  <c r="Z194" i="8"/>
  <c r="Z195" i="8" s="1"/>
  <c r="Z196" i="8" s="1"/>
  <c r="N320" i="8"/>
  <c r="N326" i="8" s="1"/>
  <c r="N355" i="8" s="1"/>
  <c r="N259" i="8"/>
  <c r="AK136" i="8"/>
  <c r="AK289" i="8"/>
  <c r="AK306" i="8" s="1"/>
  <c r="AK346" i="8" s="1"/>
  <c r="U222" i="8"/>
  <c r="U223" i="8"/>
  <c r="U219" i="8"/>
  <c r="U220" i="8" s="1"/>
  <c r="AL331" i="4"/>
  <c r="AM117" i="4"/>
  <c r="AM118" i="4" s="1"/>
  <c r="AM122" i="4" s="1"/>
  <c r="AM121" i="4"/>
  <c r="AM120" i="4"/>
  <c r="AK126" i="4"/>
  <c r="AK127" i="4" s="1"/>
  <c r="AK128" i="4" s="1"/>
  <c r="AL123" i="4"/>
  <c r="AK140" i="8" l="1"/>
  <c r="AB185" i="8"/>
  <c r="AB186" i="8" s="1"/>
  <c r="AB187" i="8"/>
  <c r="T230" i="8"/>
  <c r="AD180" i="8"/>
  <c r="AC183" i="8"/>
  <c r="AB190" i="8"/>
  <c r="AB316" i="8" s="1"/>
  <c r="AB333" i="8" s="1"/>
  <c r="AB362" i="8" s="1"/>
  <c r="V217" i="8"/>
  <c r="V218" i="8" s="1"/>
  <c r="U224" i="8"/>
  <c r="U318" i="8" s="1"/>
  <c r="U325" i="8" s="1"/>
  <c r="U354" i="8" s="1"/>
  <c r="AK142" i="8"/>
  <c r="M268" i="8"/>
  <c r="L275" i="8"/>
  <c r="L321" i="8" s="1"/>
  <c r="L324" i="8" s="1"/>
  <c r="L353" i="8" s="1"/>
  <c r="P248" i="8"/>
  <c r="O252" i="8" s="1"/>
  <c r="AL137" i="8"/>
  <c r="AL138" i="8"/>
  <c r="Z197" i="8"/>
  <c r="Y201" i="8" s="1"/>
  <c r="R234" i="8"/>
  <c r="Q241" i="8"/>
  <c r="X317" i="8"/>
  <c r="X328" i="8" s="1"/>
  <c r="X357" i="8" s="1"/>
  <c r="X208" i="8"/>
  <c r="AH153" i="8"/>
  <c r="AH290" i="8"/>
  <c r="AH305" i="8" s="1"/>
  <c r="AH345" i="8" s="1"/>
  <c r="AJ143" i="8"/>
  <c r="AJ144" i="8" s="1"/>
  <c r="AJ145" i="8" s="1"/>
  <c r="Y206" i="8"/>
  <c r="Y205" i="8"/>
  <c r="AE170" i="8"/>
  <c r="AE291" i="8"/>
  <c r="AE303" i="8" s="1"/>
  <c r="AE342" i="8" s="1"/>
  <c r="AE168" i="8"/>
  <c r="AE169" i="8" s="1"/>
  <c r="AG159" i="8"/>
  <c r="K279" i="8"/>
  <c r="K280" i="8" s="1"/>
  <c r="K281" i="8" s="1"/>
  <c r="K283" i="8" s="1"/>
  <c r="K336" i="8" s="1"/>
  <c r="AA194" i="8"/>
  <c r="AA195" i="8" s="1"/>
  <c r="AA196" i="8" s="1"/>
  <c r="S231" i="8"/>
  <c r="R235" i="8" s="1"/>
  <c r="AL133" i="8"/>
  <c r="AH151" i="8"/>
  <c r="AH152" i="8" s="1"/>
  <c r="N261" i="8"/>
  <c r="AM312" i="4"/>
  <c r="AM123" i="4"/>
  <c r="AM125" i="4" s="1"/>
  <c r="AL125" i="4"/>
  <c r="V221" i="8" l="1"/>
  <c r="V294" i="8"/>
  <c r="V301" i="8" s="1"/>
  <c r="V340" i="8" s="1"/>
  <c r="AJ146" i="8"/>
  <c r="K373" i="8"/>
  <c r="K381" i="8" s="1"/>
  <c r="K364" i="8"/>
  <c r="K374" i="8" s="1"/>
  <c r="K382" i="8" s="1"/>
  <c r="AF166" i="8"/>
  <c r="AE173" i="8"/>
  <c r="N262" i="8"/>
  <c r="N263" i="8" s="1"/>
  <c r="N264" i="8" s="1"/>
  <c r="Y204" i="8"/>
  <c r="Y293" i="8"/>
  <c r="Y304" i="8" s="1"/>
  <c r="Y343" i="8" s="1"/>
  <c r="AL136" i="8"/>
  <c r="AM289" i="8"/>
  <c r="AM306" i="8" s="1"/>
  <c r="AM346" i="8" s="1"/>
  <c r="AL289" i="8"/>
  <c r="AL306" i="8" s="1"/>
  <c r="AL346" i="8" s="1"/>
  <c r="AI149" i="8"/>
  <c r="AH156" i="8"/>
  <c r="AK143" i="8"/>
  <c r="AK144" i="8" s="1"/>
  <c r="AK145" i="8"/>
  <c r="R240" i="8"/>
  <c r="R239" i="8"/>
  <c r="R236" i="8"/>
  <c r="R237" i="8" s="1"/>
  <c r="AA197" i="8"/>
  <c r="AG160" i="8"/>
  <c r="AG161" i="8" s="1"/>
  <c r="AG162" i="8" s="1"/>
  <c r="M274" i="8"/>
  <c r="M273" i="8"/>
  <c r="T231" i="8"/>
  <c r="S235" i="8" s="1"/>
  <c r="V222" i="8"/>
  <c r="V223" i="8"/>
  <c r="V219" i="8"/>
  <c r="V220" i="8" s="1"/>
  <c r="Y202" i="8"/>
  <c r="Y203" i="8" s="1"/>
  <c r="X210" i="8"/>
  <c r="O255" i="8"/>
  <c r="O296" i="8"/>
  <c r="O302" i="8" s="1"/>
  <c r="O341" i="8" s="1"/>
  <c r="O253" i="8"/>
  <c r="O254" i="8"/>
  <c r="AC184" i="8"/>
  <c r="Q319" i="8"/>
  <c r="Q332" i="8" s="1"/>
  <c r="Q361" i="8" s="1"/>
  <c r="Q242" i="8"/>
  <c r="R238" i="8"/>
  <c r="R295" i="8"/>
  <c r="R308" i="8" s="1"/>
  <c r="R348" i="8" s="1"/>
  <c r="AL134" i="8"/>
  <c r="AL135" i="8" s="1"/>
  <c r="U225" i="8"/>
  <c r="AC188" i="8"/>
  <c r="AC189" i="8"/>
  <c r="L276" i="8"/>
  <c r="AB191" i="8"/>
  <c r="AM331" i="4"/>
  <c r="AM126" i="4"/>
  <c r="AM127" i="4" s="1"/>
  <c r="AL126" i="4"/>
  <c r="AL127" i="4" s="1"/>
  <c r="AC185" i="8" l="1"/>
  <c r="AC186" i="8" s="1"/>
  <c r="AG163" i="8"/>
  <c r="AF167" i="8" s="1"/>
  <c r="AF168" i="8" s="1"/>
  <c r="AF169" i="8" s="1"/>
  <c r="N265" i="8"/>
  <c r="M269" i="8" s="1"/>
  <c r="AM132" i="8"/>
  <c r="AL139" i="8"/>
  <c r="AL313" i="8" s="1"/>
  <c r="AL330" i="8" s="1"/>
  <c r="AL359" i="8" s="1"/>
  <c r="S234" i="8"/>
  <c r="R241" i="8"/>
  <c r="R319" i="8" s="1"/>
  <c r="R332" i="8" s="1"/>
  <c r="R361" i="8" s="1"/>
  <c r="R242" i="8"/>
  <c r="R244" i="8" s="1"/>
  <c r="Z200" i="8"/>
  <c r="Y207" i="8"/>
  <c r="W217" i="8"/>
  <c r="V224" i="8"/>
  <c r="V318" i="8" s="1"/>
  <c r="V325" i="8" s="1"/>
  <c r="V354" i="8" s="1"/>
  <c r="P251" i="8"/>
  <c r="O258" i="8"/>
  <c r="O320" i="8" s="1"/>
  <c r="O326" i="8" s="1"/>
  <c r="O355" i="8" s="1"/>
  <c r="S238" i="8"/>
  <c r="S295" i="8"/>
  <c r="S308" i="8" s="1"/>
  <c r="S348" i="8" s="1"/>
  <c r="X211" i="8"/>
  <c r="X212" i="8" s="1"/>
  <c r="X213" i="8" s="1"/>
  <c r="AK146" i="8"/>
  <c r="AE315" i="8"/>
  <c r="AE327" i="8" s="1"/>
  <c r="AE356" i="8" s="1"/>
  <c r="AE174" i="8"/>
  <c r="AB193" i="8"/>
  <c r="AI154" i="8"/>
  <c r="AI155" i="8"/>
  <c r="U227" i="8"/>
  <c r="AH314" i="8"/>
  <c r="AH329" i="8" s="1"/>
  <c r="AH358" i="8" s="1"/>
  <c r="AH157" i="8"/>
  <c r="AF171" i="8"/>
  <c r="AF172" i="8"/>
  <c r="L278" i="8"/>
  <c r="Q244" i="8"/>
  <c r="AC187" i="8"/>
  <c r="AC292" i="8"/>
  <c r="AC309" i="8" s="1"/>
  <c r="AC349" i="8" s="1"/>
  <c r="AI150" i="8"/>
  <c r="AI151" i="8" s="1"/>
  <c r="AI152" i="8" s="1"/>
  <c r="AM128" i="4"/>
  <c r="AL128" i="4"/>
  <c r="V225" i="8" l="1"/>
  <c r="V227" i="8" s="1"/>
  <c r="AL140" i="8"/>
  <c r="AD183" i="8"/>
  <c r="AC190" i="8"/>
  <c r="AC316" i="8" s="1"/>
  <c r="AC333" i="8" s="1"/>
  <c r="AC362" i="8" s="1"/>
  <c r="AC191" i="8"/>
  <c r="AJ149" i="8"/>
  <c r="AI156" i="8"/>
  <c r="AI314" i="8" s="1"/>
  <c r="AI329" i="8" s="1"/>
  <c r="AI358" i="8" s="1"/>
  <c r="AC193" i="8"/>
  <c r="AG166" i="8"/>
  <c r="AF173" i="8"/>
  <c r="AF315" i="8" s="1"/>
  <c r="AF327" i="8" s="1"/>
  <c r="AF356" i="8" s="1"/>
  <c r="R245" i="8"/>
  <c r="R246" i="8" s="1"/>
  <c r="R247" i="8"/>
  <c r="Z206" i="8"/>
  <c r="Z205" i="8"/>
  <c r="AB194" i="8"/>
  <c r="AB195" i="8" s="1"/>
  <c r="AB196" i="8" s="1"/>
  <c r="AH159" i="8"/>
  <c r="AL142" i="8"/>
  <c r="U228" i="8"/>
  <c r="U229" i="8" s="1"/>
  <c r="L279" i="8"/>
  <c r="L280" i="8" s="1"/>
  <c r="L281" i="8" s="1"/>
  <c r="L283" i="8" s="1"/>
  <c r="L336" i="8" s="1"/>
  <c r="AM137" i="8"/>
  <c r="AM134" i="8"/>
  <c r="AM135" i="8" s="1"/>
  <c r="AM139" i="8" s="1"/>
  <c r="AM313" i="8" s="1"/>
  <c r="AM330" i="8" s="1"/>
  <c r="AM359" i="8" s="1"/>
  <c r="AM138" i="8"/>
  <c r="O259" i="8"/>
  <c r="AE176" i="8"/>
  <c r="S240" i="8"/>
  <c r="S239" i="8"/>
  <c r="S236" i="8"/>
  <c r="S237" i="8" s="1"/>
  <c r="V228" i="8"/>
  <c r="V229" i="8" s="1"/>
  <c r="Q245" i="8"/>
  <c r="Q246" i="8" s="1"/>
  <c r="Q247" i="8" s="1"/>
  <c r="AJ150" i="8"/>
  <c r="W222" i="8"/>
  <c r="W223" i="8"/>
  <c r="Z201" i="8"/>
  <c r="X214" i="8"/>
  <c r="W218" i="8" s="1"/>
  <c r="P257" i="8"/>
  <c r="P256" i="8"/>
  <c r="M272" i="8"/>
  <c r="M297" i="8"/>
  <c r="M300" i="8" s="1"/>
  <c r="M339" i="8" s="1"/>
  <c r="M270" i="8"/>
  <c r="M271" i="8" s="1"/>
  <c r="AI153" i="8"/>
  <c r="AI290" i="8"/>
  <c r="AI305" i="8" s="1"/>
  <c r="AI345" i="8" s="1"/>
  <c r="Y317" i="8"/>
  <c r="Y328" i="8" s="1"/>
  <c r="Y357" i="8" s="1"/>
  <c r="Y208" i="8"/>
  <c r="AF170" i="8"/>
  <c r="AF291" i="8"/>
  <c r="AF303" i="8" s="1"/>
  <c r="AF342" i="8" s="1"/>
  <c r="D129" i="4"/>
  <c r="C133" i="4" s="1"/>
  <c r="AF174" i="8" l="1"/>
  <c r="V230" i="8"/>
  <c r="AI157" i="8"/>
  <c r="AD188" i="8"/>
  <c r="AD189" i="8"/>
  <c r="T234" i="8"/>
  <c r="S241" i="8"/>
  <c r="S319" i="8" s="1"/>
  <c r="S332" i="8" s="1"/>
  <c r="S361" i="8" s="1"/>
  <c r="N268" i="8"/>
  <c r="M275" i="8"/>
  <c r="AB197" i="8"/>
  <c r="AF176" i="8"/>
  <c r="L364" i="8"/>
  <c r="L374" i="8" s="1"/>
  <c r="L382" i="8" s="1"/>
  <c r="L373" i="8"/>
  <c r="L381" i="8" s="1"/>
  <c r="Y210" i="8"/>
  <c r="AJ153" i="8"/>
  <c r="AJ290" i="8"/>
  <c r="AJ305" i="8" s="1"/>
  <c r="AJ345" i="8" s="1"/>
  <c r="Q248" i="8"/>
  <c r="P252" i="8" s="1"/>
  <c r="AL143" i="8"/>
  <c r="AL144" i="8" s="1"/>
  <c r="AL145" i="8" s="1"/>
  <c r="AH160" i="8"/>
  <c r="AH161" i="8" s="1"/>
  <c r="AH162" i="8" s="1"/>
  <c r="U230" i="8"/>
  <c r="AE177" i="8"/>
  <c r="AE178" i="8" s="1"/>
  <c r="AE179" i="8" s="1"/>
  <c r="O261" i="8"/>
  <c r="W221" i="8"/>
  <c r="W294" i="8"/>
  <c r="W301" i="8" s="1"/>
  <c r="W340" i="8" s="1"/>
  <c r="AM140" i="8"/>
  <c r="AM142" i="8" s="1"/>
  <c r="AG172" i="8"/>
  <c r="AG171" i="8"/>
  <c r="Z204" i="8"/>
  <c r="Z293" i="8"/>
  <c r="Z304" i="8" s="1"/>
  <c r="Z343" i="8" s="1"/>
  <c r="AI159" i="8"/>
  <c r="AC194" i="8"/>
  <c r="AC195" i="8" s="1"/>
  <c r="AC196" i="8" s="1"/>
  <c r="W219" i="8"/>
  <c r="W220" i="8" s="1"/>
  <c r="S242" i="8"/>
  <c r="Z202" i="8"/>
  <c r="Z203" i="8" s="1"/>
  <c r="AJ154" i="8"/>
  <c r="AJ151" i="8"/>
  <c r="AJ152" i="8" s="1"/>
  <c r="AJ155" i="8"/>
  <c r="C136" i="4"/>
  <c r="C289" i="4"/>
  <c r="C306" i="4" s="1"/>
  <c r="C346" i="4" s="1"/>
  <c r="E129" i="4"/>
  <c r="C135" i="4"/>
  <c r="C139" i="4" s="1"/>
  <c r="AK149" i="8" l="1"/>
  <c r="AJ156" i="8"/>
  <c r="AJ314" i="8" s="1"/>
  <c r="AJ329" i="8" s="1"/>
  <c r="AJ358" i="8" s="1"/>
  <c r="AE180" i="8"/>
  <c r="AD184" i="8" s="1"/>
  <c r="AL146" i="8"/>
  <c r="AK150" i="8" s="1"/>
  <c r="AI160" i="8"/>
  <c r="AI161" i="8" s="1"/>
  <c r="AI162" i="8" s="1"/>
  <c r="AC197" i="8"/>
  <c r="AH163" i="8"/>
  <c r="AG167" i="8" s="1"/>
  <c r="P255" i="8"/>
  <c r="P296" i="8"/>
  <c r="P302" i="8" s="1"/>
  <c r="P341" i="8" s="1"/>
  <c r="P253" i="8"/>
  <c r="P254" i="8" s="1"/>
  <c r="AF177" i="8"/>
  <c r="AF178" i="8" s="1"/>
  <c r="AF179" i="8" s="1"/>
  <c r="R248" i="8"/>
  <c r="Q252" i="8" s="1"/>
  <c r="AA200" i="8"/>
  <c r="Z207" i="8"/>
  <c r="Z317" i="8" s="1"/>
  <c r="Z328" i="8" s="1"/>
  <c r="Z357" i="8" s="1"/>
  <c r="N273" i="8"/>
  <c r="N274" i="8"/>
  <c r="O262" i="8"/>
  <c r="O263" i="8" s="1"/>
  <c r="O264" i="8" s="1"/>
  <c r="Y211" i="8"/>
  <c r="Y212" i="8" s="1"/>
  <c r="Y213" i="8" s="1"/>
  <c r="M321" i="8"/>
  <c r="M324" i="8" s="1"/>
  <c r="M353" i="8" s="1"/>
  <c r="M276" i="8"/>
  <c r="S244" i="8"/>
  <c r="U231" i="8"/>
  <c r="AA201" i="8"/>
  <c r="X217" i="8"/>
  <c r="W224" i="8"/>
  <c r="W318" i="8" s="1"/>
  <c r="W325" i="8" s="1"/>
  <c r="W354" i="8" s="1"/>
  <c r="AM143" i="8"/>
  <c r="AM144" i="8" s="1"/>
  <c r="AM145" i="8" s="1"/>
  <c r="T239" i="8"/>
  <c r="T240" i="8"/>
  <c r="F129" i="4"/>
  <c r="D132" i="4"/>
  <c r="D133" i="4" s="1"/>
  <c r="D136" i="4" s="1"/>
  <c r="AF180" i="8" l="1"/>
  <c r="AI163" i="8"/>
  <c r="Q251" i="8"/>
  <c r="P258" i="8"/>
  <c r="P320" i="8" s="1"/>
  <c r="P326" i="8" s="1"/>
  <c r="P355" i="8" s="1"/>
  <c r="Y214" i="8"/>
  <c r="X218" i="8" s="1"/>
  <c r="AM146" i="8"/>
  <c r="AD187" i="8"/>
  <c r="AD292" i="8"/>
  <c r="AD309" i="8" s="1"/>
  <c r="AD349" i="8" s="1"/>
  <c r="AD185" i="8"/>
  <c r="AD186" i="8" s="1"/>
  <c r="AA205" i="8"/>
  <c r="AA206" i="8"/>
  <c r="AA202" i="8"/>
  <c r="AA203" i="8" s="1"/>
  <c r="AB200" i="8" s="1"/>
  <c r="AB201" i="8" s="1"/>
  <c r="O265" i="8"/>
  <c r="N269" i="8" s="1"/>
  <c r="W225" i="8"/>
  <c r="X223" i="8"/>
  <c r="X222" i="8"/>
  <c r="T235" i="8"/>
  <c r="V231" i="8"/>
  <c r="AA204" i="8"/>
  <c r="AA293" i="8"/>
  <c r="AA304" i="8" s="1"/>
  <c r="AA343" i="8" s="1"/>
  <c r="AK154" i="8"/>
  <c r="AK151" i="8"/>
  <c r="AK152" i="8" s="1"/>
  <c r="AL149" i="8" s="1"/>
  <c r="AK155" i="8"/>
  <c r="M278" i="8"/>
  <c r="Q255" i="8"/>
  <c r="Q296" i="8"/>
  <c r="Q302" i="8" s="1"/>
  <c r="Q341" i="8" s="1"/>
  <c r="AK153" i="8"/>
  <c r="AK290" i="8"/>
  <c r="AK305" i="8" s="1"/>
  <c r="AK345" i="8" s="1"/>
  <c r="S245" i="8"/>
  <c r="S246" i="8" s="1"/>
  <c r="S247" i="8" s="1"/>
  <c r="AG170" i="8"/>
  <c r="AG291" i="8"/>
  <c r="AG303" i="8" s="1"/>
  <c r="AG342" i="8" s="1"/>
  <c r="AG168" i="8"/>
  <c r="AG169" i="8" s="1"/>
  <c r="AJ157" i="8"/>
  <c r="Z208" i="8"/>
  <c r="D289" i="4"/>
  <c r="D306" i="4" s="1"/>
  <c r="D346" i="4" s="1"/>
  <c r="G129" i="4"/>
  <c r="H129" i="4" s="1"/>
  <c r="D134" i="4"/>
  <c r="D135" i="4" s="1"/>
  <c r="D139" i="4" s="1"/>
  <c r="D137" i="4"/>
  <c r="D138" i="4"/>
  <c r="C313" i="4"/>
  <c r="C330" i="4" s="1"/>
  <c r="C359" i="4" s="1"/>
  <c r="C140" i="4"/>
  <c r="AE183" i="8" l="1"/>
  <c r="AD190" i="8"/>
  <c r="AB204" i="8"/>
  <c r="AB293" i="8"/>
  <c r="AB304" i="8" s="1"/>
  <c r="AB343" i="8" s="1"/>
  <c r="AL150" i="8"/>
  <c r="AL154" i="8"/>
  <c r="AL155" i="8"/>
  <c r="AA207" i="8"/>
  <c r="W227" i="8"/>
  <c r="Z210" i="8"/>
  <c r="AH166" i="8"/>
  <c r="AH167" i="8" s="1"/>
  <c r="AG173" i="8"/>
  <c r="Q257" i="8"/>
  <c r="Q256" i="8"/>
  <c r="Q253" i="8"/>
  <c r="Q254" i="8" s="1"/>
  <c r="R251" i="8" s="1"/>
  <c r="S248" i="8"/>
  <c r="R252" i="8" s="1"/>
  <c r="M279" i="8"/>
  <c r="M280" i="8" s="1"/>
  <c r="M281" i="8" s="1"/>
  <c r="M283" i="8" s="1"/>
  <c r="M336" i="8" s="1"/>
  <c r="P259" i="8"/>
  <c r="N272" i="8"/>
  <c r="N297" i="8"/>
  <c r="N300" i="8" s="1"/>
  <c r="N339" i="8" s="1"/>
  <c r="N270" i="8"/>
  <c r="N271" i="8" s="1"/>
  <c r="AB205" i="8"/>
  <c r="AB206" i="8"/>
  <c r="AB202" i="8"/>
  <c r="AB203" i="8" s="1"/>
  <c r="AC200" i="8" s="1"/>
  <c r="X221" i="8"/>
  <c r="X294" i="8"/>
  <c r="X301" i="8" s="1"/>
  <c r="X340" i="8" s="1"/>
  <c r="AJ159" i="8"/>
  <c r="T238" i="8"/>
  <c r="T295" i="8"/>
  <c r="T308" i="8" s="1"/>
  <c r="T348" i="8" s="1"/>
  <c r="T236" i="8"/>
  <c r="T237" i="8" s="1"/>
  <c r="X219" i="8"/>
  <c r="X220" i="8" s="1"/>
  <c r="AK156" i="8"/>
  <c r="AK314" i="8" s="1"/>
  <c r="AK329" i="8" s="1"/>
  <c r="AK358" i="8" s="1"/>
  <c r="AE184" i="8"/>
  <c r="G133" i="4"/>
  <c r="G136" i="4" s="1"/>
  <c r="F133" i="4"/>
  <c r="F136" i="4" s="1"/>
  <c r="I129" i="4"/>
  <c r="H133" i="4" s="1"/>
  <c r="E132" i="4"/>
  <c r="E133" i="4" s="1"/>
  <c r="E289" i="4" s="1"/>
  <c r="E306" i="4" s="1"/>
  <c r="E346" i="4" s="1"/>
  <c r="C142" i="4"/>
  <c r="U234" i="8" l="1"/>
  <c r="U235" i="8" s="1"/>
  <c r="T241" i="8"/>
  <c r="Y217" i="8"/>
  <c r="X224" i="8"/>
  <c r="X318" i="8" s="1"/>
  <c r="X325" i="8" s="1"/>
  <c r="X354" i="8" s="1"/>
  <c r="AH170" i="8"/>
  <c r="AH291" i="8"/>
  <c r="AH303" i="8" s="1"/>
  <c r="AH342" i="8" s="1"/>
  <c r="X225" i="8"/>
  <c r="O268" i="8"/>
  <c r="N275" i="8"/>
  <c r="AC206" i="8"/>
  <c r="AC205" i="8"/>
  <c r="P261" i="8"/>
  <c r="R256" i="8"/>
  <c r="R257" i="8"/>
  <c r="R253" i="8"/>
  <c r="R254" i="8" s="1"/>
  <c r="AG315" i="8"/>
  <c r="AG327" i="8" s="1"/>
  <c r="AG356" i="8" s="1"/>
  <c r="AG174" i="8"/>
  <c r="W228" i="8"/>
  <c r="W229" i="8" s="1"/>
  <c r="W230" i="8" s="1"/>
  <c r="M364" i="8"/>
  <c r="M374" i="8" s="1"/>
  <c r="M382" i="8" s="1"/>
  <c r="M373" i="8"/>
  <c r="M381" i="8" s="1"/>
  <c r="AL153" i="8"/>
  <c r="AL290" i="8"/>
  <c r="AL305" i="8" s="1"/>
  <c r="AL345" i="8" s="1"/>
  <c r="AM290" i="8"/>
  <c r="AM305" i="8" s="1"/>
  <c r="AM345" i="8" s="1"/>
  <c r="Z211" i="8"/>
  <c r="Z212" i="8" s="1"/>
  <c r="Z213" i="8" s="1"/>
  <c r="AA317" i="8"/>
  <c r="AA328" i="8" s="1"/>
  <c r="AA357" i="8" s="1"/>
  <c r="AA208" i="8"/>
  <c r="AK157" i="8"/>
  <c r="AB207" i="8"/>
  <c r="AB317" i="8" s="1"/>
  <c r="AB328" i="8" s="1"/>
  <c r="AB357" i="8" s="1"/>
  <c r="AJ160" i="8"/>
  <c r="AJ161" i="8" s="1"/>
  <c r="AJ162" i="8" s="1"/>
  <c r="AE187" i="8"/>
  <c r="AE292" i="8"/>
  <c r="AE309" i="8" s="1"/>
  <c r="AE349" i="8" s="1"/>
  <c r="Q258" i="8"/>
  <c r="AL151" i="8"/>
  <c r="AL152" i="8" s="1"/>
  <c r="AD316" i="8"/>
  <c r="AD333" i="8" s="1"/>
  <c r="AD362" i="8" s="1"/>
  <c r="AD191" i="8"/>
  <c r="AH171" i="8"/>
  <c r="AH172" i="8"/>
  <c r="AH168" i="8"/>
  <c r="AH169" i="8"/>
  <c r="AI166" i="8" s="1"/>
  <c r="R255" i="8"/>
  <c r="R296" i="8"/>
  <c r="R302" i="8" s="1"/>
  <c r="R341" i="8" s="1"/>
  <c r="AE189" i="8"/>
  <c r="AE188" i="8"/>
  <c r="AE185" i="8"/>
  <c r="AE186" i="8" s="1"/>
  <c r="E136" i="4"/>
  <c r="F289" i="4"/>
  <c r="F306" i="4" s="1"/>
  <c r="F346" i="4" s="1"/>
  <c r="G289" i="4"/>
  <c r="G306" i="4" s="1"/>
  <c r="G346" i="4" s="1"/>
  <c r="H289" i="4"/>
  <c r="H306" i="4" s="1"/>
  <c r="H346" i="4" s="1"/>
  <c r="H136" i="4"/>
  <c r="E134" i="4"/>
  <c r="E135" i="4" s="1"/>
  <c r="E139" i="4" s="1"/>
  <c r="D140" i="4"/>
  <c r="D142" i="4" s="1"/>
  <c r="D313" i="4"/>
  <c r="J129" i="4"/>
  <c r="I133" i="4" s="1"/>
  <c r="C143" i="4"/>
  <c r="C144" i="4" s="1"/>
  <c r="C145" i="4" s="1"/>
  <c r="C146" i="4" s="1"/>
  <c r="E138" i="4"/>
  <c r="E137" i="4"/>
  <c r="U238" i="8" l="1"/>
  <c r="U295" i="8"/>
  <c r="U308" i="8" s="1"/>
  <c r="U348" i="8" s="1"/>
  <c r="S251" i="8"/>
  <c r="S256" i="8" s="1"/>
  <c r="R258" i="8"/>
  <c r="R259" i="8" s="1"/>
  <c r="AB208" i="8"/>
  <c r="AB210" i="8" s="1"/>
  <c r="AF183" i="8"/>
  <c r="AE190" i="8"/>
  <c r="AE316" i="8" s="1"/>
  <c r="AE333" i="8" s="1"/>
  <c r="AE362" i="8" s="1"/>
  <c r="W231" i="8"/>
  <c r="AJ163" i="8"/>
  <c r="AI167" i="8" s="1"/>
  <c r="Q320" i="8"/>
  <c r="Q326" i="8" s="1"/>
  <c r="Q355" i="8" s="1"/>
  <c r="Q259" i="8"/>
  <c r="Z214" i="8"/>
  <c r="Y218" i="8" s="1"/>
  <c r="Y219" i="8" s="1"/>
  <c r="Y220" i="8" s="1"/>
  <c r="Z217" i="8" s="1"/>
  <c r="N321" i="8"/>
  <c r="N324" i="8" s="1"/>
  <c r="N353" i="8" s="1"/>
  <c r="N276" i="8"/>
  <c r="O273" i="8"/>
  <c r="O274" i="8"/>
  <c r="AI171" i="8"/>
  <c r="AI172" i="8"/>
  <c r="AH173" i="8"/>
  <c r="AH315" i="8" s="1"/>
  <c r="AH327" i="8" s="1"/>
  <c r="AH356" i="8" s="1"/>
  <c r="AK159" i="8"/>
  <c r="AD193" i="8"/>
  <c r="AA210" i="8"/>
  <c r="AG176" i="8"/>
  <c r="Y222" i="8"/>
  <c r="Y223" i="8"/>
  <c r="X227" i="8"/>
  <c r="P262" i="8"/>
  <c r="P263" i="8" s="1"/>
  <c r="P264" i="8" s="1"/>
  <c r="T319" i="8"/>
  <c r="T332" i="8" s="1"/>
  <c r="T361" i="8" s="1"/>
  <c r="T242" i="8"/>
  <c r="AM149" i="8"/>
  <c r="AL156" i="8"/>
  <c r="AL314" i="8" s="1"/>
  <c r="AL329" i="8" s="1"/>
  <c r="AL358" i="8" s="1"/>
  <c r="U240" i="8"/>
  <c r="U239" i="8"/>
  <c r="U236" i="8"/>
  <c r="U237" i="8" s="1"/>
  <c r="V234" i="8" s="1"/>
  <c r="I289" i="4"/>
  <c r="I306" i="4" s="1"/>
  <c r="I346" i="4" s="1"/>
  <c r="I136" i="4"/>
  <c r="D330" i="4"/>
  <c r="D359" i="4" s="1"/>
  <c r="K129" i="4"/>
  <c r="F132" i="4"/>
  <c r="D143" i="4"/>
  <c r="D144" i="4" s="1"/>
  <c r="D145" i="4" s="1"/>
  <c r="S257" i="8" l="1"/>
  <c r="V235" i="8"/>
  <c r="R320" i="8"/>
  <c r="R326" i="8" s="1"/>
  <c r="R355" i="8" s="1"/>
  <c r="AE191" i="8"/>
  <c r="AE193" i="8" s="1"/>
  <c r="AH174" i="8"/>
  <c r="AH176" i="8" s="1"/>
  <c r="AH177" i="8" s="1"/>
  <c r="AH178" i="8" s="1"/>
  <c r="AE194" i="8"/>
  <c r="AE195" i="8" s="1"/>
  <c r="AD194" i="8"/>
  <c r="AD195" i="8" s="1"/>
  <c r="AD196" i="8" s="1"/>
  <c r="Q261" i="8"/>
  <c r="R261" i="8"/>
  <c r="V240" i="8"/>
  <c r="V239" i="8"/>
  <c r="V236" i="8"/>
  <c r="V237" i="8" s="1"/>
  <c r="W234" i="8" s="1"/>
  <c r="T244" i="8"/>
  <c r="Z222" i="8"/>
  <c r="Z223" i="8"/>
  <c r="AK160" i="8"/>
  <c r="AK161" i="8" s="1"/>
  <c r="AK162" i="8" s="1"/>
  <c r="Y224" i="8"/>
  <c r="Y318" i="8" s="1"/>
  <c r="Y325" i="8" s="1"/>
  <c r="Y354" i="8" s="1"/>
  <c r="AM155" i="8"/>
  <c r="AM154" i="8"/>
  <c r="AM151" i="8"/>
  <c r="AM152" i="8" s="1"/>
  <c r="AM156" i="8" s="1"/>
  <c r="AM314" i="8" s="1"/>
  <c r="AM329" i="8" s="1"/>
  <c r="AM358" i="8" s="1"/>
  <c r="AI170" i="8"/>
  <c r="AI291" i="8"/>
  <c r="AI303" i="8" s="1"/>
  <c r="AI342" i="8" s="1"/>
  <c r="X228" i="8"/>
  <c r="X229" i="8" s="1"/>
  <c r="X230" i="8" s="1"/>
  <c r="N278" i="8"/>
  <c r="AG177" i="8"/>
  <c r="AG178" i="8" s="1"/>
  <c r="AG179" i="8" s="1"/>
  <c r="V238" i="8"/>
  <c r="V295" i="8"/>
  <c r="V308" i="8" s="1"/>
  <c r="V348" i="8" s="1"/>
  <c r="P265" i="8"/>
  <c r="O269" i="8" s="1"/>
  <c r="AI168" i="8"/>
  <c r="AI169" i="8" s="1"/>
  <c r="AA211" i="8"/>
  <c r="AA212" i="8" s="1"/>
  <c r="AA213" i="8" s="1"/>
  <c r="AB211" i="8"/>
  <c r="AB212" i="8" s="1"/>
  <c r="AB213" i="8" s="1"/>
  <c r="AL157" i="8"/>
  <c r="U241" i="8"/>
  <c r="U319" i="8" s="1"/>
  <c r="U332" i="8" s="1"/>
  <c r="U361" i="8" s="1"/>
  <c r="Y221" i="8"/>
  <c r="Y225" i="8" s="1"/>
  <c r="Y294" i="8"/>
  <c r="Y301" i="8" s="1"/>
  <c r="Y340" i="8" s="1"/>
  <c r="AF189" i="8"/>
  <c r="AF188" i="8"/>
  <c r="L129" i="4"/>
  <c r="J133" i="4"/>
  <c r="J136" i="4" s="1"/>
  <c r="F134" i="4"/>
  <c r="F135" i="4" s="1"/>
  <c r="G132" i="4" s="1"/>
  <c r="E140" i="4"/>
  <c r="E142" i="4" s="1"/>
  <c r="E313" i="4"/>
  <c r="D146" i="4"/>
  <c r="F137" i="4"/>
  <c r="F138" i="4"/>
  <c r="AG180" i="8" l="1"/>
  <c r="AF184" i="8" s="1"/>
  <c r="AJ166" i="8"/>
  <c r="AI173" i="8"/>
  <c r="AI315" i="8" s="1"/>
  <c r="AI327" i="8" s="1"/>
  <c r="AI356" i="8" s="1"/>
  <c r="X231" i="8"/>
  <c r="W235" i="8" s="1"/>
  <c r="AI174" i="8"/>
  <c r="V242" i="8"/>
  <c r="AD197" i="8"/>
  <c r="AC201" i="8" s="1"/>
  <c r="O272" i="8"/>
  <c r="O297" i="8"/>
  <c r="O300" i="8" s="1"/>
  <c r="O339" i="8" s="1"/>
  <c r="O270" i="8"/>
  <c r="O271" i="8" s="1"/>
  <c r="Y227" i="8"/>
  <c r="R262" i="8"/>
  <c r="R263" i="8" s="1"/>
  <c r="W239" i="8"/>
  <c r="W240" i="8"/>
  <c r="AM157" i="8"/>
  <c r="AM159" i="8" s="1"/>
  <c r="N279" i="8"/>
  <c r="N280" i="8" s="1"/>
  <c r="N281" i="8" s="1"/>
  <c r="N283" i="8" s="1"/>
  <c r="N336" i="8" s="1"/>
  <c r="AE196" i="8"/>
  <c r="AB214" i="8"/>
  <c r="U242" i="8"/>
  <c r="AK163" i="8"/>
  <c r="AJ167" i="8" s="1"/>
  <c r="AH179" i="8"/>
  <c r="Q262" i="8"/>
  <c r="Q263" i="8" s="1"/>
  <c r="Q264" i="8" s="1"/>
  <c r="AL159" i="8"/>
  <c r="T245" i="8"/>
  <c r="T246" i="8" s="1"/>
  <c r="T247" i="8" s="1"/>
  <c r="AA214" i="8"/>
  <c r="Z218" i="8" s="1"/>
  <c r="V241" i="8"/>
  <c r="V319" i="8" s="1"/>
  <c r="V332" i="8" s="1"/>
  <c r="V361" i="8" s="1"/>
  <c r="C150" i="4"/>
  <c r="C153" i="4" s="1"/>
  <c r="M129" i="4"/>
  <c r="K133" i="4"/>
  <c r="K136" i="4" s="1"/>
  <c r="E330" i="4"/>
  <c r="E359" i="4" s="1"/>
  <c r="G134" i="4"/>
  <c r="G135" i="4" s="1"/>
  <c r="H132" i="4" s="1"/>
  <c r="F139" i="4"/>
  <c r="J289" i="4"/>
  <c r="J306" i="4" s="1"/>
  <c r="J346" i="4" s="1"/>
  <c r="E143" i="4"/>
  <c r="E144" i="4" s="1"/>
  <c r="E145" i="4" s="1"/>
  <c r="G138" i="4"/>
  <c r="G137" i="4"/>
  <c r="R264" i="8" l="1"/>
  <c r="P268" i="8"/>
  <c r="O275" i="8"/>
  <c r="N364" i="8"/>
  <c r="N374" i="8" s="1"/>
  <c r="N382" i="8" s="1"/>
  <c r="N373" i="8"/>
  <c r="N381" i="8" s="1"/>
  <c r="T248" i="8"/>
  <c r="S252" i="8" s="1"/>
  <c r="W236" i="8"/>
  <c r="W237" i="8" s="1"/>
  <c r="AH180" i="8"/>
  <c r="AJ170" i="8"/>
  <c r="AJ291" i="8"/>
  <c r="AJ303" i="8" s="1"/>
  <c r="AJ342" i="8" s="1"/>
  <c r="V244" i="8"/>
  <c r="U244" i="8"/>
  <c r="AC204" i="8"/>
  <c r="AC293" i="8"/>
  <c r="AC304" i="8" s="1"/>
  <c r="AC343" i="8" s="1"/>
  <c r="AC202" i="8"/>
  <c r="AC203" i="8" s="1"/>
  <c r="W238" i="8"/>
  <c r="W295" i="8"/>
  <c r="W308" i="8" s="1"/>
  <c r="W348" i="8" s="1"/>
  <c r="AJ171" i="8"/>
  <c r="AJ168" i="8"/>
  <c r="AJ169" i="8" s="1"/>
  <c r="AJ172" i="8"/>
  <c r="AE197" i="8"/>
  <c r="AM160" i="8"/>
  <c r="AM161" i="8" s="1"/>
  <c r="AF187" i="8"/>
  <c r="AF292" i="8"/>
  <c r="AF309" i="8" s="1"/>
  <c r="AF349" i="8" s="1"/>
  <c r="AF185" i="8"/>
  <c r="AF186" i="8"/>
  <c r="Q265" i="8"/>
  <c r="P269" i="8" s="1"/>
  <c r="AI176" i="8"/>
  <c r="Z221" i="8"/>
  <c r="Z294" i="8"/>
  <c r="Z301" i="8" s="1"/>
  <c r="Z340" i="8" s="1"/>
  <c r="Z219" i="8"/>
  <c r="Z220" i="8" s="1"/>
  <c r="Y228" i="8"/>
  <c r="Y229" i="8" s="1"/>
  <c r="Y230" i="8" s="1"/>
  <c r="AL160" i="8"/>
  <c r="AL161" i="8" s="1"/>
  <c r="C152" i="4"/>
  <c r="C156" i="4" s="1"/>
  <c r="C290" i="4"/>
  <c r="C305" i="4" s="1"/>
  <c r="C345" i="4" s="1"/>
  <c r="K289" i="4"/>
  <c r="K306" i="4" s="1"/>
  <c r="K346" i="4" s="1"/>
  <c r="L133" i="4"/>
  <c r="N129" i="4"/>
  <c r="H134" i="4"/>
  <c r="H135" i="4" s="1"/>
  <c r="H139" i="4" s="1"/>
  <c r="G139" i="4"/>
  <c r="G313" i="4" s="1"/>
  <c r="F313" i="4"/>
  <c r="H137" i="4"/>
  <c r="H138" i="4"/>
  <c r="F140" i="4"/>
  <c r="E146" i="4"/>
  <c r="AM162" i="8" l="1"/>
  <c r="AL162" i="8"/>
  <c r="AA217" i="8"/>
  <c r="AA218" i="8" s="1"/>
  <c r="Z224" i="8"/>
  <c r="Z318" i="8" s="1"/>
  <c r="Z325" i="8" s="1"/>
  <c r="Z354" i="8" s="1"/>
  <c r="AK166" i="8"/>
  <c r="AJ173" i="8"/>
  <c r="AJ315" i="8" s="1"/>
  <c r="AJ327" i="8" s="1"/>
  <c r="AJ356" i="8" s="1"/>
  <c r="Z225" i="8"/>
  <c r="AD200" i="8"/>
  <c r="AC207" i="8"/>
  <c r="AC317" i="8" s="1"/>
  <c r="AC328" i="8" s="1"/>
  <c r="AC357" i="8" s="1"/>
  <c r="X234" i="8"/>
  <c r="W241" i="8"/>
  <c r="AI177" i="8"/>
  <c r="AI178" i="8" s="1"/>
  <c r="AI179" i="8" s="1"/>
  <c r="P272" i="8"/>
  <c r="P297" i="8"/>
  <c r="P300" i="8" s="1"/>
  <c r="P339" i="8" s="1"/>
  <c r="S255" i="8"/>
  <c r="S296" i="8"/>
  <c r="S302" i="8" s="1"/>
  <c r="S341" i="8" s="1"/>
  <c r="S253" i="8"/>
  <c r="S254" i="8" s="1"/>
  <c r="AL163" i="8"/>
  <c r="Y231" i="8"/>
  <c r="V245" i="8"/>
  <c r="V246" i="8" s="1"/>
  <c r="V247" i="8" s="1"/>
  <c r="R265" i="8"/>
  <c r="Q269" i="8" s="1"/>
  <c r="O321" i="8"/>
  <c r="O324" i="8" s="1"/>
  <c r="O353" i="8" s="1"/>
  <c r="O276" i="8"/>
  <c r="AG183" i="8"/>
  <c r="AG184" i="8" s="1"/>
  <c r="AF190" i="8"/>
  <c r="U245" i="8"/>
  <c r="U246" i="8" s="1"/>
  <c r="U247" i="8" s="1"/>
  <c r="P273" i="8"/>
  <c r="P274" i="8"/>
  <c r="P270" i="8"/>
  <c r="P271" i="8" s="1"/>
  <c r="D149" i="4"/>
  <c r="D154" i="4" s="1"/>
  <c r="M133" i="4"/>
  <c r="M289" i="4" s="1"/>
  <c r="M306" i="4" s="1"/>
  <c r="M346" i="4" s="1"/>
  <c r="O129" i="4"/>
  <c r="L289" i="4"/>
  <c r="L306" i="4" s="1"/>
  <c r="L346" i="4" s="1"/>
  <c r="L136" i="4"/>
  <c r="F330" i="4"/>
  <c r="F359" i="4" s="1"/>
  <c r="G330" i="4"/>
  <c r="G359" i="4" s="1"/>
  <c r="C157" i="4"/>
  <c r="I132" i="4"/>
  <c r="C314" i="4"/>
  <c r="C329" i="4" s="1"/>
  <c r="C358" i="4" s="1"/>
  <c r="F142" i="4"/>
  <c r="G140" i="4"/>
  <c r="G142" i="4" s="1"/>
  <c r="X235" i="8" l="1"/>
  <c r="AA221" i="8"/>
  <c r="AA294" i="8"/>
  <c r="AA301" i="8" s="1"/>
  <c r="AA340" i="8" s="1"/>
  <c r="AI180" i="8"/>
  <c r="Q268" i="8"/>
  <c r="P275" i="8"/>
  <c r="P321" i="8" s="1"/>
  <c r="P324" i="8" s="1"/>
  <c r="P353" i="8" s="1"/>
  <c r="AG187" i="8"/>
  <c r="AG292" i="8"/>
  <c r="AG309" i="8" s="1"/>
  <c r="AG349" i="8" s="1"/>
  <c r="AF316" i="8"/>
  <c r="AF333" i="8" s="1"/>
  <c r="AF362" i="8" s="1"/>
  <c r="AF191" i="8"/>
  <c r="Q272" i="8"/>
  <c r="Q297" i="8"/>
  <c r="Q300" i="8" s="1"/>
  <c r="Q339" i="8" s="1"/>
  <c r="AK172" i="8"/>
  <c r="AK171" i="8"/>
  <c r="X238" i="8"/>
  <c r="X295" i="8"/>
  <c r="X308" i="8" s="1"/>
  <c r="X348" i="8" s="1"/>
  <c r="AA222" i="8"/>
  <c r="AA223" i="8"/>
  <c r="AA219" i="8"/>
  <c r="AA220" i="8" s="1"/>
  <c r="AG188" i="8"/>
  <c r="AG189" i="8"/>
  <c r="AG185" i="8"/>
  <c r="AG186" i="8" s="1"/>
  <c r="AC208" i="8"/>
  <c r="O278" i="8"/>
  <c r="AD206" i="8"/>
  <c r="AD205" i="8"/>
  <c r="AD201" i="8"/>
  <c r="AJ174" i="8"/>
  <c r="T251" i="8"/>
  <c r="S258" i="8"/>
  <c r="S320" i="8" s="1"/>
  <c r="S326" i="8" s="1"/>
  <c r="S355" i="8" s="1"/>
  <c r="U248" i="8"/>
  <c r="T252" i="8" s="1"/>
  <c r="AK167" i="8"/>
  <c r="AK168" i="8" s="1"/>
  <c r="AK169" i="8" s="1"/>
  <c r="AM163" i="8"/>
  <c r="X239" i="8"/>
  <c r="X236" i="8"/>
  <c r="X237" i="8" s="1"/>
  <c r="X240" i="8"/>
  <c r="Z227" i="8"/>
  <c r="W319" i="8"/>
  <c r="W332" i="8" s="1"/>
  <c r="W361" i="8" s="1"/>
  <c r="W242" i="8"/>
  <c r="D150" i="4"/>
  <c r="D153" i="4" s="1"/>
  <c r="D155" i="4"/>
  <c r="N133" i="4"/>
  <c r="N136" i="4" s="1"/>
  <c r="P129" i="4"/>
  <c r="M136" i="4"/>
  <c r="H313" i="4"/>
  <c r="I138" i="4"/>
  <c r="I134" i="4"/>
  <c r="I135" i="4" s="1"/>
  <c r="J132" i="4" s="1"/>
  <c r="H140" i="4"/>
  <c r="H142" i="4" s="1"/>
  <c r="I137" i="4"/>
  <c r="F143" i="4"/>
  <c r="F144" i="4" s="1"/>
  <c r="C159" i="4"/>
  <c r="G143" i="4"/>
  <c r="G144" i="4" s="1"/>
  <c r="D290" i="4" l="1"/>
  <c r="D305" i="4" s="1"/>
  <c r="D345" i="4" s="1"/>
  <c r="D151" i="4"/>
  <c r="D152" i="4" s="1"/>
  <c r="D156" i="4" s="1"/>
  <c r="Y234" i="8"/>
  <c r="X241" i="8"/>
  <c r="X319" i="8" s="1"/>
  <c r="X332" i="8" s="1"/>
  <c r="X361" i="8" s="1"/>
  <c r="AH183" i="8"/>
  <c r="AG190" i="8"/>
  <c r="AG316" i="8" s="1"/>
  <c r="AG333" i="8" s="1"/>
  <c r="AG362" i="8" s="1"/>
  <c r="AB217" i="8"/>
  <c r="AA224" i="8"/>
  <c r="AA318" i="8" s="1"/>
  <c r="AA325" i="8" s="1"/>
  <c r="AA354" i="8" s="1"/>
  <c r="AL166" i="8"/>
  <c r="AL167" i="8" s="1"/>
  <c r="AK173" i="8"/>
  <c r="AK315" i="8" s="1"/>
  <c r="AK327" i="8" s="1"/>
  <c r="AK356" i="8" s="1"/>
  <c r="X242" i="8"/>
  <c r="X244" i="8" s="1"/>
  <c r="AD204" i="8"/>
  <c r="AD293" i="8"/>
  <c r="AD304" i="8" s="1"/>
  <c r="AD343" i="8" s="1"/>
  <c r="AD202" i="8"/>
  <c r="S259" i="8"/>
  <c r="AC210" i="8"/>
  <c r="Q273" i="8"/>
  <c r="Q274" i="8"/>
  <c r="Q270" i="8"/>
  <c r="Q271" i="8" s="1"/>
  <c r="Z228" i="8"/>
  <c r="Z229" i="8" s="1"/>
  <c r="Z230" i="8" s="1"/>
  <c r="AD203" i="8"/>
  <c r="AK170" i="8"/>
  <c r="AK174" i="8" s="1"/>
  <c r="AK291" i="8"/>
  <c r="AK303" i="8" s="1"/>
  <c r="AK342" i="8" s="1"/>
  <c r="T256" i="8"/>
  <c r="T257" i="8"/>
  <c r="T253" i="8"/>
  <c r="T254" i="8" s="1"/>
  <c r="AJ176" i="8"/>
  <c r="T255" i="8"/>
  <c r="T296" i="8"/>
  <c r="T302" i="8" s="1"/>
  <c r="T341" i="8" s="1"/>
  <c r="V248" i="8"/>
  <c r="U252" i="8" s="1"/>
  <c r="W244" i="8"/>
  <c r="O279" i="8"/>
  <c r="O280" i="8" s="1"/>
  <c r="O281" i="8" s="1"/>
  <c r="O283" i="8" s="1"/>
  <c r="O336" i="8" s="1"/>
  <c r="AF193" i="8"/>
  <c r="P276" i="8"/>
  <c r="N289" i="4"/>
  <c r="N306" i="4" s="1"/>
  <c r="N346" i="4" s="1"/>
  <c r="O133" i="4"/>
  <c r="Q129" i="4"/>
  <c r="H330" i="4"/>
  <c r="H359" i="4" s="1"/>
  <c r="I139" i="4"/>
  <c r="J134" i="4"/>
  <c r="J135" i="4" s="1"/>
  <c r="J139" i="4" s="1"/>
  <c r="J137" i="4"/>
  <c r="J138" i="4"/>
  <c r="G145" i="4"/>
  <c r="F145" i="4"/>
  <c r="F146" i="4" s="1"/>
  <c r="C160" i="4"/>
  <c r="C161" i="4" s="1"/>
  <c r="C162" i="4" s="1"/>
  <c r="C163" i="4" s="1"/>
  <c r="H143" i="4"/>
  <c r="H144" i="4" s="1"/>
  <c r="H145" i="4" s="1"/>
  <c r="E149" i="4"/>
  <c r="AG191" i="8" l="1"/>
  <c r="AG193" i="8" s="1"/>
  <c r="O364" i="8"/>
  <c r="O374" i="8" s="1"/>
  <c r="O382" i="8" s="1"/>
  <c r="O373" i="8"/>
  <c r="O381" i="8" s="1"/>
  <c r="AG194" i="8"/>
  <c r="AG195" i="8" s="1"/>
  <c r="X245" i="8"/>
  <c r="X246" i="8" s="1"/>
  <c r="AK176" i="8"/>
  <c r="AL170" i="8"/>
  <c r="AL291" i="8"/>
  <c r="AL303" i="8" s="1"/>
  <c r="AL342" i="8" s="1"/>
  <c r="AM291" i="8"/>
  <c r="AM303" i="8" s="1"/>
  <c r="AM342" i="8" s="1"/>
  <c r="Z231" i="8"/>
  <c r="Y235" i="8" s="1"/>
  <c r="Y236" i="8" s="1"/>
  <c r="Y237" i="8" s="1"/>
  <c r="R268" i="8"/>
  <c r="Q275" i="8"/>
  <c r="Q321" i="8" s="1"/>
  <c r="Q324" i="8" s="1"/>
  <c r="Q353" i="8" s="1"/>
  <c r="U251" i="8"/>
  <c r="T258" i="8"/>
  <c r="T320" i="8" s="1"/>
  <c r="T326" i="8" s="1"/>
  <c r="T355" i="8" s="1"/>
  <c r="AC211" i="8"/>
  <c r="AC212" i="8" s="1"/>
  <c r="AC213" i="8" s="1"/>
  <c r="W245" i="8"/>
  <c r="W246" i="8" s="1"/>
  <c r="W247" i="8"/>
  <c r="AF194" i="8"/>
  <c r="AF195" i="8" s="1"/>
  <c r="AE200" i="8"/>
  <c r="AD207" i="8"/>
  <c r="S261" i="8"/>
  <c r="AA225" i="8"/>
  <c r="AH188" i="8"/>
  <c r="AH189" i="8"/>
  <c r="AL168" i="8"/>
  <c r="AL169" i="8" s="1"/>
  <c r="AL172" i="8"/>
  <c r="AL171" i="8"/>
  <c r="P278" i="8"/>
  <c r="AB222" i="8"/>
  <c r="AB223" i="8"/>
  <c r="U255" i="8"/>
  <c r="U296" i="8"/>
  <c r="U302" i="8" s="1"/>
  <c r="U341" i="8" s="1"/>
  <c r="AJ177" i="8"/>
  <c r="AJ178" i="8" s="1"/>
  <c r="AJ179" i="8" s="1"/>
  <c r="AH184" i="8"/>
  <c r="Y239" i="8"/>
  <c r="Y240" i="8"/>
  <c r="E150" i="4"/>
  <c r="P133" i="4"/>
  <c r="R129" i="4"/>
  <c r="O136" i="4"/>
  <c r="O289" i="4"/>
  <c r="O306" i="4" s="1"/>
  <c r="O346" i="4" s="1"/>
  <c r="D314" i="4"/>
  <c r="D329" i="4" s="1"/>
  <c r="D358" i="4" s="1"/>
  <c r="I140" i="4"/>
  <c r="I142" i="4" s="1"/>
  <c r="I143" i="4" s="1"/>
  <c r="I144" i="4" s="1"/>
  <c r="I145" i="4" s="1"/>
  <c r="I313" i="4"/>
  <c r="K132" i="4"/>
  <c r="G146" i="4"/>
  <c r="E155" i="4"/>
  <c r="E154" i="4"/>
  <c r="D157" i="4"/>
  <c r="AG196" i="8" l="1"/>
  <c r="X247" i="8"/>
  <c r="AC214" i="8"/>
  <c r="AB218" i="8" s="1"/>
  <c r="Z234" i="8"/>
  <c r="Y241" i="8"/>
  <c r="Y319" i="8" s="1"/>
  <c r="Y332" i="8" s="1"/>
  <c r="Y361" i="8" s="1"/>
  <c r="AM166" i="8"/>
  <c r="AL173" i="8"/>
  <c r="AL315" i="8" s="1"/>
  <c r="AL327" i="8" s="1"/>
  <c r="AL356" i="8" s="1"/>
  <c r="AH187" i="8"/>
  <c r="AH292" i="8"/>
  <c r="AH309" i="8" s="1"/>
  <c r="AH349" i="8" s="1"/>
  <c r="AJ180" i="8"/>
  <c r="AA227" i="8"/>
  <c r="AK177" i="8"/>
  <c r="AK178" i="8" s="1"/>
  <c r="AK179" i="8" s="1"/>
  <c r="U257" i="8"/>
  <c r="U256" i="8"/>
  <c r="U253" i="8"/>
  <c r="U254" i="8" s="1"/>
  <c r="V251" i="8" s="1"/>
  <c r="AH185" i="8"/>
  <c r="AH186" i="8" s="1"/>
  <c r="AF196" i="8"/>
  <c r="Y238" i="8"/>
  <c r="Y242" i="8" s="1"/>
  <c r="Y295" i="8"/>
  <c r="Y308" i="8" s="1"/>
  <c r="Y348" i="8" s="1"/>
  <c r="AD317" i="8"/>
  <c r="AD328" i="8" s="1"/>
  <c r="AD357" i="8" s="1"/>
  <c r="AD208" i="8"/>
  <c r="AE205" i="8"/>
  <c r="AE206" i="8"/>
  <c r="R274" i="8"/>
  <c r="R273" i="8"/>
  <c r="P279" i="8"/>
  <c r="P280" i="8" s="1"/>
  <c r="P281" i="8" s="1"/>
  <c r="P283" i="8" s="1"/>
  <c r="P336" i="8" s="1"/>
  <c r="S262" i="8"/>
  <c r="S263" i="8" s="1"/>
  <c r="S264" i="8" s="1"/>
  <c r="Q276" i="8"/>
  <c r="W248" i="8"/>
  <c r="V252" i="8" s="1"/>
  <c r="T259" i="8"/>
  <c r="H146" i="4"/>
  <c r="G150" i="4" s="1"/>
  <c r="G153" i="4" s="1"/>
  <c r="F150" i="4"/>
  <c r="F153" i="4" s="1"/>
  <c r="Q133" i="4"/>
  <c r="S129" i="4"/>
  <c r="P289" i="4"/>
  <c r="P306" i="4" s="1"/>
  <c r="P346" i="4" s="1"/>
  <c r="P136" i="4"/>
  <c r="E290" i="4"/>
  <c r="E305" i="4" s="1"/>
  <c r="E345" i="4" s="1"/>
  <c r="E153" i="4"/>
  <c r="I330" i="4"/>
  <c r="I359" i="4" s="1"/>
  <c r="J313" i="4"/>
  <c r="J140" i="4"/>
  <c r="J142" i="4" s="1"/>
  <c r="E151" i="4"/>
  <c r="E152" i="4" s="1"/>
  <c r="E156" i="4" s="1"/>
  <c r="K134" i="4"/>
  <c r="K135" i="4" s="1"/>
  <c r="K139" i="4" s="1"/>
  <c r="K137" i="4"/>
  <c r="K138" i="4"/>
  <c r="D159" i="4"/>
  <c r="U258" i="8" l="1"/>
  <c r="U320" i="8" s="1"/>
  <c r="U326" i="8" s="1"/>
  <c r="U355" i="8" s="1"/>
  <c r="P364" i="8"/>
  <c r="P374" i="8" s="1"/>
  <c r="P382" i="8" s="1"/>
  <c r="P373" i="8"/>
  <c r="P381" i="8" s="1"/>
  <c r="AK180" i="8"/>
  <c r="Y244" i="8"/>
  <c r="S265" i="8"/>
  <c r="R269" i="8" s="1"/>
  <c r="V257" i="8"/>
  <c r="V256" i="8"/>
  <c r="V253" i="8"/>
  <c r="V254" i="8" s="1"/>
  <c r="W251" i="8" s="1"/>
  <c r="AM172" i="8"/>
  <c r="AM171" i="8"/>
  <c r="AM168" i="8"/>
  <c r="AM169" i="8" s="1"/>
  <c r="AM173" i="8" s="1"/>
  <c r="AM315" i="8" s="1"/>
  <c r="AM327" i="8" s="1"/>
  <c r="AM356" i="8" s="1"/>
  <c r="Z239" i="8"/>
  <c r="Z240" i="8"/>
  <c r="AD210" i="8"/>
  <c r="Q278" i="8"/>
  <c r="AB221" i="8"/>
  <c r="AB294" i="8"/>
  <c r="AB301" i="8" s="1"/>
  <c r="AB340" i="8" s="1"/>
  <c r="AB219" i="8"/>
  <c r="AB220" i="8" s="1"/>
  <c r="X248" i="8"/>
  <c r="W252" i="8" s="1"/>
  <c r="AF197" i="8"/>
  <c r="AL174" i="8"/>
  <c r="AA228" i="8"/>
  <c r="AA229" i="8" s="1"/>
  <c r="AA230" i="8" s="1"/>
  <c r="T261" i="8"/>
  <c r="V255" i="8"/>
  <c r="V296" i="8"/>
  <c r="V302" i="8" s="1"/>
  <c r="V341" i="8" s="1"/>
  <c r="AI183" i="8"/>
  <c r="AI184" i="8" s="1"/>
  <c r="AH190" i="8"/>
  <c r="AH316" i="8" s="1"/>
  <c r="AH333" i="8" s="1"/>
  <c r="AH362" i="8" s="1"/>
  <c r="I146" i="4"/>
  <c r="H150" i="4" s="1"/>
  <c r="H153" i="4" s="1"/>
  <c r="R133" i="4"/>
  <c r="T129" i="4"/>
  <c r="Q136" i="4"/>
  <c r="Q289" i="4"/>
  <c r="Q306" i="4" s="1"/>
  <c r="Q346" i="4" s="1"/>
  <c r="J330" i="4"/>
  <c r="J359" i="4" s="1"/>
  <c r="F290" i="4"/>
  <c r="F305" i="4" s="1"/>
  <c r="F345" i="4" s="1"/>
  <c r="G290" i="4"/>
  <c r="G305" i="4" s="1"/>
  <c r="G345" i="4" s="1"/>
  <c r="L132" i="4"/>
  <c r="K313" i="4"/>
  <c r="F149" i="4"/>
  <c r="D160" i="4"/>
  <c r="D161" i="4" s="1"/>
  <c r="D162" i="4" s="1"/>
  <c r="J143" i="4"/>
  <c r="J144" i="4" s="1"/>
  <c r="J145" i="4" s="1"/>
  <c r="U259" i="8" l="1"/>
  <c r="U261" i="8" s="1"/>
  <c r="AA231" i="8"/>
  <c r="Z235" i="8" s="1"/>
  <c r="AC217" i="8"/>
  <c r="AB224" i="8"/>
  <c r="AB318" i="8" s="1"/>
  <c r="AB325" i="8" s="1"/>
  <c r="AB354" i="8" s="1"/>
  <c r="U262" i="8"/>
  <c r="U263" i="8" s="1"/>
  <c r="Y245" i="8"/>
  <c r="Y246" i="8" s="1"/>
  <c r="Y247" i="8" s="1"/>
  <c r="R272" i="8"/>
  <c r="R297" i="8"/>
  <c r="R300" i="8" s="1"/>
  <c r="R339" i="8" s="1"/>
  <c r="R270" i="8"/>
  <c r="R271" i="8" s="1"/>
  <c r="AM174" i="8"/>
  <c r="AM176" i="8" s="1"/>
  <c r="W255" i="8"/>
  <c r="W296" i="8"/>
  <c r="W302" i="8" s="1"/>
  <c r="W341" i="8" s="1"/>
  <c r="AE201" i="8"/>
  <c r="AG197" i="8"/>
  <c r="V258" i="8"/>
  <c r="V320" i="8" s="1"/>
  <c r="V326" i="8" s="1"/>
  <c r="V355" i="8" s="1"/>
  <c r="AH191" i="8"/>
  <c r="T262" i="8"/>
  <c r="T263" i="8" s="1"/>
  <c r="T264" i="8" s="1"/>
  <c r="AL176" i="8"/>
  <c r="Q279" i="8"/>
  <c r="Q280" i="8" s="1"/>
  <c r="Q281" i="8" s="1"/>
  <c r="Q283" i="8" s="1"/>
  <c r="Q336" i="8" s="1"/>
  <c r="AI187" i="8"/>
  <c r="AI292" i="8"/>
  <c r="AI309" i="8" s="1"/>
  <c r="AI349" i="8" s="1"/>
  <c r="AD211" i="8"/>
  <c r="AD212" i="8" s="1"/>
  <c r="AD213" i="8" s="1"/>
  <c r="W256" i="8"/>
  <c r="W257" i="8"/>
  <c r="W253" i="8"/>
  <c r="W254" i="8" s="1"/>
  <c r="AI189" i="8"/>
  <c r="AI188" i="8"/>
  <c r="AI185" i="8"/>
  <c r="AI186" i="8" s="1"/>
  <c r="R136" i="4"/>
  <c r="R289" i="4"/>
  <c r="R306" i="4" s="1"/>
  <c r="R346" i="4" s="1"/>
  <c r="S133" i="4"/>
  <c r="U129" i="4"/>
  <c r="K330" i="4"/>
  <c r="K359" i="4" s="1"/>
  <c r="F151" i="4"/>
  <c r="F152" i="4" s="1"/>
  <c r="G149" i="4" s="1"/>
  <c r="E314" i="4"/>
  <c r="E329" i="4" s="1"/>
  <c r="E358" i="4" s="1"/>
  <c r="H290" i="4"/>
  <c r="H305" i="4" s="1"/>
  <c r="H345" i="4" s="1"/>
  <c r="K140" i="4"/>
  <c r="K142" i="4" s="1"/>
  <c r="K143" i="4" s="1"/>
  <c r="K144" i="4" s="1"/>
  <c r="L134" i="4"/>
  <c r="L135" i="4" s="1"/>
  <c r="M132" i="4" s="1"/>
  <c r="L138" i="4"/>
  <c r="L137" i="4"/>
  <c r="J146" i="4"/>
  <c r="I150" i="4" s="1"/>
  <c r="D163" i="4"/>
  <c r="E157" i="4"/>
  <c r="F155" i="4"/>
  <c r="F154" i="4"/>
  <c r="AD214" i="8" l="1"/>
  <c r="AC218" i="8" s="1"/>
  <c r="S268" i="8"/>
  <c r="R275" i="8"/>
  <c r="R321" i="8" s="1"/>
  <c r="R324" i="8" s="1"/>
  <c r="R353" i="8" s="1"/>
  <c r="T265" i="8"/>
  <c r="S269" i="8" s="1"/>
  <c r="AM177" i="8"/>
  <c r="AM178" i="8" s="1"/>
  <c r="Q373" i="8"/>
  <c r="Q381" i="8" s="1"/>
  <c r="Q364" i="8"/>
  <c r="Q374" i="8" s="1"/>
  <c r="Q382" i="8" s="1"/>
  <c r="R276" i="8"/>
  <c r="AJ183" i="8"/>
  <c r="AI190" i="8"/>
  <c r="AI316" i="8" s="1"/>
  <c r="AI333" i="8" s="1"/>
  <c r="AI362" i="8" s="1"/>
  <c r="X251" i="8"/>
  <c r="W258" i="8"/>
  <c r="V259" i="8"/>
  <c r="AC222" i="8"/>
  <c r="AC223" i="8"/>
  <c r="AC219" i="8"/>
  <c r="AC220" i="8" s="1"/>
  <c r="Y248" i="8"/>
  <c r="U264" i="8"/>
  <c r="AB225" i="8"/>
  <c r="AE204" i="8"/>
  <c r="AE293" i="8"/>
  <c r="AE304" i="8" s="1"/>
  <c r="AE343" i="8" s="1"/>
  <c r="AE202" i="8"/>
  <c r="AE203" i="8" s="1"/>
  <c r="AL177" i="8"/>
  <c r="AL178" i="8" s="1"/>
  <c r="AM179" i="8" s="1"/>
  <c r="Z238" i="8"/>
  <c r="Z295" i="8"/>
  <c r="Z308" i="8" s="1"/>
  <c r="Z348" i="8" s="1"/>
  <c r="Z236" i="8"/>
  <c r="Z237" i="8" s="1"/>
  <c r="AH193" i="8"/>
  <c r="C167" i="4"/>
  <c r="C170" i="4" s="1"/>
  <c r="S136" i="4"/>
  <c r="S289" i="4"/>
  <c r="S306" i="4" s="1"/>
  <c r="S346" i="4" s="1"/>
  <c r="T133" i="4"/>
  <c r="V129" i="4"/>
  <c r="L139" i="4"/>
  <c r="G151" i="4"/>
  <c r="G152" i="4" s="1"/>
  <c r="G156" i="4" s="1"/>
  <c r="F156" i="4"/>
  <c r="K145" i="4"/>
  <c r="K146" i="4" s="1"/>
  <c r="M134" i="4"/>
  <c r="M135" i="4" s="1"/>
  <c r="N132" i="4" s="1"/>
  <c r="M137" i="4"/>
  <c r="M138" i="4"/>
  <c r="G154" i="4"/>
  <c r="G155" i="4"/>
  <c r="E159" i="4"/>
  <c r="I153" i="4"/>
  <c r="X252" i="8" l="1"/>
  <c r="AI191" i="8"/>
  <c r="AI193" i="8" s="1"/>
  <c r="AI194" i="8" s="1"/>
  <c r="AI195" i="8" s="1"/>
  <c r="AL179" i="8"/>
  <c r="AL180" i="8" s="1"/>
  <c r="AF200" i="8"/>
  <c r="AE207" i="8"/>
  <c r="AE317" i="8" s="1"/>
  <c r="AE328" i="8" s="1"/>
  <c r="AE357" i="8" s="1"/>
  <c r="AD217" i="8"/>
  <c r="AC224" i="8"/>
  <c r="AC318" i="8" s="1"/>
  <c r="AC325" i="8" s="1"/>
  <c r="AC354" i="8" s="1"/>
  <c r="AA234" i="8"/>
  <c r="Z241" i="8"/>
  <c r="AH194" i="8"/>
  <c r="AH195" i="8" s="1"/>
  <c r="S272" i="8"/>
  <c r="S297" i="8"/>
  <c r="S300" i="8" s="1"/>
  <c r="S339" i="8" s="1"/>
  <c r="AB227" i="8"/>
  <c r="X256" i="8"/>
  <c r="X257" i="8"/>
  <c r="X253" i="8"/>
  <c r="X254" i="8" s="1"/>
  <c r="S274" i="8"/>
  <c r="S273" i="8"/>
  <c r="S270" i="8"/>
  <c r="S271" i="8" s="1"/>
  <c r="U265" i="8"/>
  <c r="T269" i="8" s="1"/>
  <c r="AC221" i="8"/>
  <c r="AC294" i="8"/>
  <c r="AC301" i="8" s="1"/>
  <c r="AC340" i="8" s="1"/>
  <c r="X255" i="8"/>
  <c r="X296" i="8"/>
  <c r="X302" i="8" s="1"/>
  <c r="X341" i="8" s="1"/>
  <c r="R278" i="8"/>
  <c r="V261" i="8"/>
  <c r="W320" i="8"/>
  <c r="W326" i="8" s="1"/>
  <c r="W355" i="8" s="1"/>
  <c r="W259" i="8"/>
  <c r="AJ189" i="8"/>
  <c r="AJ188" i="8"/>
  <c r="AJ184" i="8"/>
  <c r="AJ185" i="8" s="1"/>
  <c r="C291" i="4"/>
  <c r="C303" i="4" s="1"/>
  <c r="C342" i="4" s="1"/>
  <c r="C169" i="4"/>
  <c r="C173" i="4" s="1"/>
  <c r="J150" i="4"/>
  <c r="J153" i="4" s="1"/>
  <c r="U133" i="4"/>
  <c r="U136" i="4" s="1"/>
  <c r="W129" i="4"/>
  <c r="T289" i="4"/>
  <c r="T306" i="4" s="1"/>
  <c r="T346" i="4" s="1"/>
  <c r="T136" i="4"/>
  <c r="M139" i="4"/>
  <c r="L313" i="4"/>
  <c r="F157" i="4"/>
  <c r="F159" i="4" s="1"/>
  <c r="F314" i="4"/>
  <c r="F329" i="4" s="1"/>
  <c r="F358" i="4" s="1"/>
  <c r="I290" i="4"/>
  <c r="I305" i="4" s="1"/>
  <c r="I345" i="4" s="1"/>
  <c r="L140" i="4"/>
  <c r="L142" i="4" s="1"/>
  <c r="L143" i="4" s="1"/>
  <c r="L144" i="4" s="1"/>
  <c r="L145" i="4" s="1"/>
  <c r="L146" i="4" s="1"/>
  <c r="K150" i="4" s="1"/>
  <c r="N134" i="4"/>
  <c r="N135" i="4" s="1"/>
  <c r="N139" i="4" s="1"/>
  <c r="N137" i="4"/>
  <c r="N138" i="4"/>
  <c r="H149" i="4"/>
  <c r="G314" i="4"/>
  <c r="G329" i="4" s="1"/>
  <c r="G358" i="4" s="1"/>
  <c r="E160" i="4"/>
  <c r="E161" i="4" s="1"/>
  <c r="E162" i="4" s="1"/>
  <c r="AC225" i="8" l="1"/>
  <c r="AI196" i="8"/>
  <c r="AC227" i="8"/>
  <c r="T268" i="8"/>
  <c r="S275" i="8"/>
  <c r="S321" i="8" s="1"/>
  <c r="S324" i="8" s="1"/>
  <c r="S353" i="8" s="1"/>
  <c r="Y251" i="8"/>
  <c r="X258" i="8"/>
  <c r="AH196" i="8"/>
  <c r="Z319" i="8"/>
  <c r="Z332" i="8" s="1"/>
  <c r="Z361" i="8" s="1"/>
  <c r="Z242" i="8"/>
  <c r="AD223" i="8"/>
  <c r="AD222" i="8"/>
  <c r="AE208" i="8"/>
  <c r="AB228" i="8"/>
  <c r="AB229" i="8" s="1"/>
  <c r="AB230" i="8" s="1"/>
  <c r="AJ186" i="8"/>
  <c r="AF206" i="8"/>
  <c r="AF205" i="8"/>
  <c r="AF201" i="8"/>
  <c r="AF202" i="8" s="1"/>
  <c r="V262" i="8"/>
  <c r="V263" i="8" s="1"/>
  <c r="V264" i="8" s="1"/>
  <c r="R279" i="8"/>
  <c r="R280" i="8" s="1"/>
  <c r="R281" i="8" s="1"/>
  <c r="R283" i="8" s="1"/>
  <c r="R336" i="8" s="1"/>
  <c r="AM180" i="8"/>
  <c r="AA240" i="8"/>
  <c r="AA239" i="8"/>
  <c r="W261" i="8"/>
  <c r="T272" i="8"/>
  <c r="T297" i="8"/>
  <c r="T300" i="8" s="1"/>
  <c r="T339" i="8" s="1"/>
  <c r="AJ187" i="8"/>
  <c r="AJ292" i="8"/>
  <c r="AJ309" i="8" s="1"/>
  <c r="AJ349" i="8" s="1"/>
  <c r="D166" i="4"/>
  <c r="D172" i="4" s="1"/>
  <c r="J290" i="4"/>
  <c r="J305" i="4" s="1"/>
  <c r="J345" i="4" s="1"/>
  <c r="U289" i="4"/>
  <c r="U306" i="4" s="1"/>
  <c r="U346" i="4" s="1"/>
  <c r="V133" i="4"/>
  <c r="X129" i="4"/>
  <c r="L330" i="4"/>
  <c r="L359" i="4" s="1"/>
  <c r="H151" i="4"/>
  <c r="H152" i="4" s="1"/>
  <c r="H156" i="4" s="1"/>
  <c r="M313" i="4"/>
  <c r="M140" i="4"/>
  <c r="M142" i="4" s="1"/>
  <c r="M143" i="4" s="1"/>
  <c r="M144" i="4" s="1"/>
  <c r="O132" i="4"/>
  <c r="E163" i="4"/>
  <c r="H154" i="4"/>
  <c r="H155" i="4"/>
  <c r="C315" i="4"/>
  <c r="C174" i="4"/>
  <c r="G157" i="4"/>
  <c r="F160" i="4"/>
  <c r="F161" i="4" s="1"/>
  <c r="F162" i="4" s="1"/>
  <c r="S276" i="8" l="1"/>
  <c r="S278" i="8" s="1"/>
  <c r="AB231" i="8"/>
  <c r="AA235" i="8" s="1"/>
  <c r="AK183" i="8"/>
  <c r="AJ190" i="8"/>
  <c r="AJ316" i="8" s="1"/>
  <c r="AJ333" i="8" s="1"/>
  <c r="AJ362" i="8" s="1"/>
  <c r="AF204" i="8"/>
  <c r="AF293" i="8"/>
  <c r="AF304" i="8" s="1"/>
  <c r="AF343" i="8" s="1"/>
  <c r="Y257" i="8"/>
  <c r="Y256" i="8"/>
  <c r="X320" i="8"/>
  <c r="X326" i="8" s="1"/>
  <c r="X355" i="8" s="1"/>
  <c r="X259" i="8"/>
  <c r="W262" i="8"/>
  <c r="W263" i="8" s="1"/>
  <c r="W264" i="8" s="1"/>
  <c r="R364" i="8"/>
  <c r="R374" i="8" s="1"/>
  <c r="R382" i="8" s="1"/>
  <c r="R373" i="8"/>
  <c r="R381" i="8" s="1"/>
  <c r="AH197" i="8"/>
  <c r="V265" i="8"/>
  <c r="U269" i="8" s="1"/>
  <c r="AE210" i="8"/>
  <c r="T274" i="8"/>
  <c r="T273" i="8"/>
  <c r="T270" i="8"/>
  <c r="T271" i="8" s="1"/>
  <c r="U268" i="8" s="1"/>
  <c r="AF203" i="8"/>
  <c r="Z244" i="8"/>
  <c r="AC228" i="8"/>
  <c r="AC229" i="8" s="1"/>
  <c r="AC230" i="8" s="1"/>
  <c r="D171" i="4"/>
  <c r="D167" i="4"/>
  <c r="D170" i="4" s="1"/>
  <c r="W133" i="4"/>
  <c r="W136" i="4" s="1"/>
  <c r="Y129" i="4"/>
  <c r="V289" i="4"/>
  <c r="V306" i="4" s="1"/>
  <c r="V346" i="4" s="1"/>
  <c r="V136" i="4"/>
  <c r="K290" i="4"/>
  <c r="K305" i="4" s="1"/>
  <c r="K345" i="4" s="1"/>
  <c r="K153" i="4"/>
  <c r="M330" i="4"/>
  <c r="M359" i="4" s="1"/>
  <c r="O134" i="4"/>
  <c r="O135" i="4" s="1"/>
  <c r="O139" i="4" s="1"/>
  <c r="O313" i="4" s="1"/>
  <c r="N313" i="4"/>
  <c r="O137" i="4"/>
  <c r="O138" i="4"/>
  <c r="M145" i="4"/>
  <c r="M146" i="4" s="1"/>
  <c r="L150" i="4" s="1"/>
  <c r="N140" i="4"/>
  <c r="N142" i="4" s="1"/>
  <c r="N143" i="4" s="1"/>
  <c r="N144" i="4" s="1"/>
  <c r="N145" i="4" s="1"/>
  <c r="C327" i="4"/>
  <c r="C356" i="4" s="1"/>
  <c r="F163" i="4"/>
  <c r="I149" i="4"/>
  <c r="C176" i="4"/>
  <c r="G159" i="4"/>
  <c r="U274" i="8" l="1"/>
  <c r="U273" i="8"/>
  <c r="U270" i="8"/>
  <c r="U271" i="8" s="1"/>
  <c r="AI197" i="8"/>
  <c r="AE211" i="8"/>
  <c r="AE212" i="8" s="1"/>
  <c r="AE213" i="8" s="1"/>
  <c r="S279" i="8"/>
  <c r="S280" i="8" s="1"/>
  <c r="S281" i="8" s="1"/>
  <c r="S283" i="8" s="1"/>
  <c r="S336" i="8" s="1"/>
  <c r="T275" i="8"/>
  <c r="T321" i="8" s="1"/>
  <c r="T324" i="8" s="1"/>
  <c r="T353" i="8" s="1"/>
  <c r="AK189" i="8"/>
  <c r="AK188" i="8"/>
  <c r="AK184" i="8"/>
  <c r="AK185" i="8" s="1"/>
  <c r="X261" i="8"/>
  <c r="AA238" i="8"/>
  <c r="AA295" i="8"/>
  <c r="AA308" i="8" s="1"/>
  <c r="AA348" i="8" s="1"/>
  <c r="AA236" i="8"/>
  <c r="AA237" i="8" s="1"/>
  <c r="AC231" i="8"/>
  <c r="U272" i="8"/>
  <c r="U297" i="8"/>
  <c r="U300" i="8" s="1"/>
  <c r="U339" i="8" s="1"/>
  <c r="W265" i="8"/>
  <c r="V269" i="8" s="1"/>
  <c r="Z245" i="8"/>
  <c r="Z246" i="8" s="1"/>
  <c r="Z247" i="8" s="1"/>
  <c r="AJ191" i="8"/>
  <c r="AG200" i="8"/>
  <c r="AG201" i="8" s="1"/>
  <c r="AF207" i="8"/>
  <c r="AF317" i="8" s="1"/>
  <c r="AF328" i="8" s="1"/>
  <c r="AF357" i="8" s="1"/>
  <c r="D291" i="4"/>
  <c r="D303" i="4" s="1"/>
  <c r="D342" i="4" s="1"/>
  <c r="D168" i="4"/>
  <c r="D169" i="4" s="1"/>
  <c r="D173" i="4" s="1"/>
  <c r="W289" i="4"/>
  <c r="W306" i="4" s="1"/>
  <c r="W346" i="4" s="1"/>
  <c r="X133" i="4"/>
  <c r="X289" i="4" s="1"/>
  <c r="X306" i="4" s="1"/>
  <c r="X346" i="4" s="1"/>
  <c r="Z129" i="4"/>
  <c r="L290" i="4"/>
  <c r="L305" i="4" s="1"/>
  <c r="L345" i="4" s="1"/>
  <c r="L153" i="4"/>
  <c r="O330" i="4"/>
  <c r="O359" i="4" s="1"/>
  <c r="N330" i="4"/>
  <c r="N359" i="4" s="1"/>
  <c r="P132" i="4"/>
  <c r="P134" i="4" s="1"/>
  <c r="P135" i="4" s="1"/>
  <c r="P139" i="4" s="1"/>
  <c r="I151" i="4"/>
  <c r="I152" i="4" s="1"/>
  <c r="I156" i="4" s="1"/>
  <c r="H157" i="4"/>
  <c r="H159" i="4" s="1"/>
  <c r="H160" i="4" s="1"/>
  <c r="H161" i="4" s="1"/>
  <c r="H314" i="4"/>
  <c r="H329" i="4" s="1"/>
  <c r="H358" i="4" s="1"/>
  <c r="N146" i="4"/>
  <c r="M150" i="4" s="1"/>
  <c r="O140" i="4"/>
  <c r="O142" i="4" s="1"/>
  <c r="O143" i="4" s="1"/>
  <c r="O144" i="4" s="1"/>
  <c r="O145" i="4" s="1"/>
  <c r="C177" i="4"/>
  <c r="I155" i="4"/>
  <c r="I154" i="4"/>
  <c r="G160" i="4"/>
  <c r="G161" i="4" s="1"/>
  <c r="Z248" i="8" l="1"/>
  <c r="Y252" i="8" s="1"/>
  <c r="AE214" i="8"/>
  <c r="AD218" i="8" s="1"/>
  <c r="AB234" i="8"/>
  <c r="AB235" i="8" s="1"/>
  <c r="AA241" i="8"/>
  <c r="AA319" i="8" s="1"/>
  <c r="AA332" i="8" s="1"/>
  <c r="AA361" i="8" s="1"/>
  <c r="V268" i="8"/>
  <c r="U275" i="8"/>
  <c r="U321" i="8" s="1"/>
  <c r="U324" i="8" s="1"/>
  <c r="U353" i="8" s="1"/>
  <c r="AG204" i="8"/>
  <c r="AG293" i="8"/>
  <c r="AG304" i="8" s="1"/>
  <c r="AG343" i="8" s="1"/>
  <c r="X262" i="8"/>
  <c r="X263" i="8" s="1"/>
  <c r="X264" i="8" s="1"/>
  <c r="AK186" i="8"/>
  <c r="AK187" i="8"/>
  <c r="AK292" i="8"/>
  <c r="AK309" i="8" s="1"/>
  <c r="AK349" i="8" s="1"/>
  <c r="AG206" i="8"/>
  <c r="AG205" i="8"/>
  <c r="AG202" i="8"/>
  <c r="AG203" i="8" s="1"/>
  <c r="AH200" i="8" s="1"/>
  <c r="AH201" i="8" s="1"/>
  <c r="S364" i="8"/>
  <c r="S374" i="8" s="1"/>
  <c r="S382" i="8" s="1"/>
  <c r="S373" i="8"/>
  <c r="S381" i="8" s="1"/>
  <c r="V272" i="8"/>
  <c r="V297" i="8"/>
  <c r="V300" i="8" s="1"/>
  <c r="V339" i="8" s="1"/>
  <c r="AJ193" i="8"/>
  <c r="T276" i="8"/>
  <c r="AF208" i="8"/>
  <c r="Y133" i="4"/>
  <c r="Y289" i="4" s="1"/>
  <c r="Y306" i="4" s="1"/>
  <c r="Y346" i="4" s="1"/>
  <c r="AA129" i="4"/>
  <c r="X136" i="4"/>
  <c r="M290" i="4"/>
  <c r="M305" i="4" s="1"/>
  <c r="M345" i="4" s="1"/>
  <c r="M153" i="4"/>
  <c r="P137" i="4"/>
  <c r="P138" i="4"/>
  <c r="O146" i="4"/>
  <c r="N150" i="4" s="1"/>
  <c r="C178" i="4"/>
  <c r="E166" i="4"/>
  <c r="E167" i="4" s="1"/>
  <c r="P313" i="4"/>
  <c r="Q132" i="4"/>
  <c r="H162" i="4"/>
  <c r="J149" i="4"/>
  <c r="G162" i="4"/>
  <c r="AB295" i="8" l="1"/>
  <c r="AB308" i="8" s="1"/>
  <c r="AB348" i="8" s="1"/>
  <c r="AB238" i="8"/>
  <c r="AA242" i="8"/>
  <c r="AH204" i="8"/>
  <c r="AH293" i="8"/>
  <c r="AH304" i="8" s="1"/>
  <c r="AH343" i="8" s="1"/>
  <c r="V274" i="8"/>
  <c r="V273" i="8"/>
  <c r="V270" i="8"/>
  <c r="V271" i="8" s="1"/>
  <c r="AA244" i="8"/>
  <c r="U276" i="8"/>
  <c r="U278" i="8" s="1"/>
  <c r="AB239" i="8"/>
  <c r="AB240" i="8"/>
  <c r="AB236" i="8"/>
  <c r="AB237" i="8" s="1"/>
  <c r="AD221" i="8"/>
  <c r="AD294" i="8"/>
  <c r="AD301" i="8" s="1"/>
  <c r="AD340" i="8" s="1"/>
  <c r="AD219" i="8"/>
  <c r="AD220" i="8" s="1"/>
  <c r="AH206" i="8"/>
  <c r="AH205" i="8"/>
  <c r="AH202" i="8"/>
  <c r="AH203" i="8" s="1"/>
  <c r="AF210" i="8"/>
  <c r="AG207" i="8"/>
  <c r="AG317" i="8" s="1"/>
  <c r="AG328" i="8" s="1"/>
  <c r="AG357" i="8" s="1"/>
  <c r="X265" i="8"/>
  <c r="W269" i="8" s="1"/>
  <c r="AL183" i="8"/>
  <c r="AK190" i="8"/>
  <c r="T278" i="8"/>
  <c r="Y255" i="8"/>
  <c r="Y296" i="8"/>
  <c r="Y302" i="8" s="1"/>
  <c r="Y341" i="8" s="1"/>
  <c r="Y253" i="8"/>
  <c r="Y254" i="8" s="1"/>
  <c r="AJ194" i="8"/>
  <c r="AJ195" i="8" s="1"/>
  <c r="AJ196" i="8" s="1"/>
  <c r="E291" i="4"/>
  <c r="E303" i="4" s="1"/>
  <c r="E342" i="4" s="1"/>
  <c r="E170" i="4"/>
  <c r="Z133" i="4"/>
  <c r="Z136" i="4" s="1"/>
  <c r="AB129" i="4"/>
  <c r="Y136" i="4"/>
  <c r="N290" i="4"/>
  <c r="N305" i="4" s="1"/>
  <c r="N345" i="4" s="1"/>
  <c r="N153" i="4"/>
  <c r="P330" i="4"/>
  <c r="P359" i="4" s="1"/>
  <c r="J151" i="4"/>
  <c r="J152" i="4" s="1"/>
  <c r="J156" i="4" s="1"/>
  <c r="E168" i="4"/>
  <c r="E169" i="4" s="1"/>
  <c r="F166" i="4" s="1"/>
  <c r="E172" i="4"/>
  <c r="I314" i="4"/>
  <c r="I329" i="4" s="1"/>
  <c r="I358" i="4" s="1"/>
  <c r="D315" i="4"/>
  <c r="C179" i="4"/>
  <c r="D174" i="4"/>
  <c r="D176" i="4" s="1"/>
  <c r="E171" i="4"/>
  <c r="Q134" i="4"/>
  <c r="Q135" i="4" s="1"/>
  <c r="Q139" i="4" s="1"/>
  <c r="Q138" i="4"/>
  <c r="Q137" i="4"/>
  <c r="P140" i="4"/>
  <c r="P142" i="4" s="1"/>
  <c r="P143" i="4" s="1"/>
  <c r="P144" i="4" s="1"/>
  <c r="P145" i="4" s="1"/>
  <c r="P146" i="4" s="1"/>
  <c r="O150" i="4" s="1"/>
  <c r="I157" i="4"/>
  <c r="I159" i="4" s="1"/>
  <c r="J155" i="4"/>
  <c r="J154" i="4"/>
  <c r="G163" i="4"/>
  <c r="F167" i="4" s="1"/>
  <c r="W268" i="8" l="1"/>
  <c r="V275" i="8"/>
  <c r="V321" i="8" s="1"/>
  <c r="V324" i="8" s="1"/>
  <c r="V353" i="8" s="1"/>
  <c r="Z251" i="8"/>
  <c r="Y258" i="8"/>
  <c r="Y320" i="8" s="1"/>
  <c r="Y326" i="8" s="1"/>
  <c r="Y355" i="8" s="1"/>
  <c r="AC234" i="8"/>
  <c r="AB241" i="8"/>
  <c r="AB319" i="8" s="1"/>
  <c r="AB332" i="8" s="1"/>
  <c r="AB361" i="8" s="1"/>
  <c r="AI200" i="8"/>
  <c r="AH207" i="8"/>
  <c r="AH317" i="8" s="1"/>
  <c r="AH328" i="8" s="1"/>
  <c r="AH357" i="8" s="1"/>
  <c r="AE217" i="8"/>
  <c r="AD224" i="8"/>
  <c r="AD318" i="8" s="1"/>
  <c r="AD325" i="8" s="1"/>
  <c r="AD354" i="8" s="1"/>
  <c r="AF211" i="8"/>
  <c r="AF212" i="8" s="1"/>
  <c r="AF213" i="8" s="1"/>
  <c r="U279" i="8"/>
  <c r="U280" i="8" s="1"/>
  <c r="T279" i="8"/>
  <c r="T280" i="8" s="1"/>
  <c r="T281" i="8" s="1"/>
  <c r="T283" i="8" s="1"/>
  <c r="T336" i="8" s="1"/>
  <c r="AK316" i="8"/>
  <c r="AK333" i="8" s="1"/>
  <c r="AK362" i="8" s="1"/>
  <c r="AK191" i="8"/>
  <c r="AJ197" i="8"/>
  <c r="AL188" i="8"/>
  <c r="AL189" i="8"/>
  <c r="AL184" i="8"/>
  <c r="AG208" i="8"/>
  <c r="AA245" i="8"/>
  <c r="AA246" i="8" s="1"/>
  <c r="AA247" i="8" s="1"/>
  <c r="W272" i="8"/>
  <c r="W297" i="8"/>
  <c r="W300" i="8" s="1"/>
  <c r="W339" i="8" s="1"/>
  <c r="Z289" i="4"/>
  <c r="Z306" i="4" s="1"/>
  <c r="Z346" i="4" s="1"/>
  <c r="AA133" i="4"/>
  <c r="AC129" i="4"/>
  <c r="D327" i="4"/>
  <c r="D356" i="4" s="1"/>
  <c r="E173" i="4"/>
  <c r="E315" i="4" s="1"/>
  <c r="E327" i="4" s="1"/>
  <c r="C180" i="4"/>
  <c r="R132" i="4"/>
  <c r="Q313" i="4"/>
  <c r="K149" i="4"/>
  <c r="I160" i="4"/>
  <c r="I161" i="4" s="1"/>
  <c r="I162" i="4" s="1"/>
  <c r="D177" i="4"/>
  <c r="D178" i="4" s="1"/>
  <c r="D179" i="4" s="1"/>
  <c r="F171" i="4"/>
  <c r="F172" i="4"/>
  <c r="F170" i="4"/>
  <c r="H163" i="4"/>
  <c r="V276" i="8" l="1"/>
  <c r="AI201" i="8"/>
  <c r="AI293" i="8" s="1"/>
  <c r="AI304" i="8" s="1"/>
  <c r="AI343" i="8" s="1"/>
  <c r="AA248" i="8"/>
  <c r="Z252" i="8" s="1"/>
  <c r="Z253" i="8" s="1"/>
  <c r="Z254" i="8" s="1"/>
  <c r="AA251" i="8" s="1"/>
  <c r="AF214" i="8"/>
  <c r="AE218" i="8" s="1"/>
  <c r="T373" i="8"/>
  <c r="T381" i="8" s="1"/>
  <c r="T364" i="8"/>
  <c r="T374" i="8" s="1"/>
  <c r="T382" i="8" s="1"/>
  <c r="AK193" i="8"/>
  <c r="AL187" i="8"/>
  <c r="AM292" i="8"/>
  <c r="AM309" i="8" s="1"/>
  <c r="AM349" i="8" s="1"/>
  <c r="AL292" i="8"/>
  <c r="AL309" i="8" s="1"/>
  <c r="AL349" i="8" s="1"/>
  <c r="AB242" i="8"/>
  <c r="AH208" i="8"/>
  <c r="AH210" i="8" s="1"/>
  <c r="V278" i="8"/>
  <c r="AG210" i="8"/>
  <c r="AC240" i="8"/>
  <c r="AC239" i="8"/>
  <c r="U281" i="8"/>
  <c r="U283" i="8" s="1"/>
  <c r="U336" i="8" s="1"/>
  <c r="AL185" i="8"/>
  <c r="AL186" i="8" s="1"/>
  <c r="Y259" i="8"/>
  <c r="W273" i="8"/>
  <c r="W274" i="8"/>
  <c r="W270" i="8"/>
  <c r="W271" i="8" s="1"/>
  <c r="AI204" i="8"/>
  <c r="AI206" i="8"/>
  <c r="AI205" i="8"/>
  <c r="AI202" i="8"/>
  <c r="AI203" i="8" s="1"/>
  <c r="Z256" i="8"/>
  <c r="Z257" i="8"/>
  <c r="AE222" i="8"/>
  <c r="AE223" i="8"/>
  <c r="AE219" i="8"/>
  <c r="AE220" i="8" s="1"/>
  <c r="AD225" i="8"/>
  <c r="G167" i="4"/>
  <c r="G170" i="4" s="1"/>
  <c r="AB133" i="4"/>
  <c r="AD129" i="4"/>
  <c r="AA289" i="4"/>
  <c r="AA306" i="4" s="1"/>
  <c r="AA346" i="4" s="1"/>
  <c r="AA136" i="4"/>
  <c r="O290" i="4"/>
  <c r="O305" i="4" s="1"/>
  <c r="O345" i="4" s="1"/>
  <c r="O153" i="4"/>
  <c r="Q330" i="4"/>
  <c r="Q359" i="4" s="1"/>
  <c r="E174" i="4"/>
  <c r="E176" i="4" s="1"/>
  <c r="K151" i="4"/>
  <c r="K152" i="4" s="1"/>
  <c r="K156" i="4" s="1"/>
  <c r="J314" i="4"/>
  <c r="J329" i="4" s="1"/>
  <c r="J358" i="4" s="1"/>
  <c r="F291" i="4"/>
  <c r="F168" i="4"/>
  <c r="F169" i="4" s="1"/>
  <c r="F173" i="4" s="1"/>
  <c r="Q140" i="4"/>
  <c r="Q142" i="4" s="1"/>
  <c r="Q143" i="4" s="1"/>
  <c r="Q144" i="4" s="1"/>
  <c r="Q145" i="4" s="1"/>
  <c r="Q146" i="4" s="1"/>
  <c r="P150" i="4" s="1"/>
  <c r="R134" i="4"/>
  <c r="R135" i="4" s="1"/>
  <c r="R139" i="4" s="1"/>
  <c r="R137" i="4"/>
  <c r="R138" i="4"/>
  <c r="E356" i="4"/>
  <c r="J157" i="4"/>
  <c r="J159" i="4" s="1"/>
  <c r="K155" i="4"/>
  <c r="K154" i="4"/>
  <c r="D180" i="4"/>
  <c r="C184" i="4" s="1"/>
  <c r="I163" i="4"/>
  <c r="H167" i="4" s="1"/>
  <c r="AF217" i="8" l="1"/>
  <c r="AE224" i="8"/>
  <c r="AE318" i="8" s="1"/>
  <c r="AE325" i="8" s="1"/>
  <c r="AE354" i="8" s="1"/>
  <c r="X268" i="8"/>
  <c r="W275" i="8"/>
  <c r="W321" i="8" s="1"/>
  <c r="W324" i="8" s="1"/>
  <c r="W353" i="8" s="1"/>
  <c r="AJ200" i="8"/>
  <c r="AI207" i="8"/>
  <c r="AI317" i="8" s="1"/>
  <c r="AI328" i="8" s="1"/>
  <c r="AI357" i="8" s="1"/>
  <c r="Z258" i="8"/>
  <c r="Z320" i="8" s="1"/>
  <c r="Z326" i="8" s="1"/>
  <c r="Z355" i="8" s="1"/>
  <c r="AK194" i="8"/>
  <c r="AK195" i="8" s="1"/>
  <c r="AK196" i="8" s="1"/>
  <c r="AA257" i="8"/>
  <c r="AA256" i="8"/>
  <c r="Y261" i="8"/>
  <c r="AM183" i="8"/>
  <c r="AL190" i="8"/>
  <c r="AG211" i="8"/>
  <c r="AG212" i="8" s="1"/>
  <c r="AG213" i="8" s="1"/>
  <c r="AH211" i="8"/>
  <c r="AH212" i="8" s="1"/>
  <c r="AB244" i="8"/>
  <c r="AE221" i="8"/>
  <c r="AE225" i="8" s="1"/>
  <c r="AE294" i="8"/>
  <c r="AE301" i="8" s="1"/>
  <c r="AE340" i="8" s="1"/>
  <c r="Z255" i="8"/>
  <c r="Z259" i="8" s="1"/>
  <c r="Z296" i="8"/>
  <c r="Z302" i="8" s="1"/>
  <c r="Z341" i="8" s="1"/>
  <c r="AD227" i="8"/>
  <c r="V279" i="8"/>
  <c r="V280" i="8" s="1"/>
  <c r="V281" i="8" s="1"/>
  <c r="V283" i="8" s="1"/>
  <c r="V336" i="8" s="1"/>
  <c r="U373" i="8"/>
  <c r="U381" i="8" s="1"/>
  <c r="U364" i="8"/>
  <c r="U374" i="8" s="1"/>
  <c r="U382" i="8" s="1"/>
  <c r="G291" i="4"/>
  <c r="G303" i="4" s="1"/>
  <c r="G342" i="4" s="1"/>
  <c r="AC133" i="4"/>
  <c r="AE129" i="4"/>
  <c r="AB136" i="4"/>
  <c r="AB289" i="4"/>
  <c r="AB306" i="4" s="1"/>
  <c r="AB346" i="4" s="1"/>
  <c r="H291" i="4"/>
  <c r="H170" i="4"/>
  <c r="G166" i="4"/>
  <c r="S132" i="4"/>
  <c r="F303" i="4"/>
  <c r="F342" i="4" s="1"/>
  <c r="C187" i="4"/>
  <c r="L149" i="4"/>
  <c r="J160" i="4"/>
  <c r="J161" i="4" s="1"/>
  <c r="J162" i="4" s="1"/>
  <c r="E177" i="4"/>
  <c r="E178" i="4" s="1"/>
  <c r="E179" i="4" s="1"/>
  <c r="AH213" i="8" l="1"/>
  <c r="AE227" i="8"/>
  <c r="AK197" i="8"/>
  <c r="AJ201" i="8" s="1"/>
  <c r="V373" i="8"/>
  <c r="V381" i="8" s="1"/>
  <c r="V364" i="8"/>
  <c r="V374" i="8" s="1"/>
  <c r="V382" i="8" s="1"/>
  <c r="Z261" i="8"/>
  <c r="AG214" i="8"/>
  <c r="AF218" i="8" s="1"/>
  <c r="AD228" i="8"/>
  <c r="AD229" i="8" s="1"/>
  <c r="AD230" i="8" s="1"/>
  <c r="AL316" i="8"/>
  <c r="AL333" i="8" s="1"/>
  <c r="AL362" i="8" s="1"/>
  <c r="AL191" i="8"/>
  <c r="AM189" i="8"/>
  <c r="AM188" i="8"/>
  <c r="AM185" i="8"/>
  <c r="AM186" i="8" s="1"/>
  <c r="AM190" i="8" s="1"/>
  <c r="AM316" i="8" s="1"/>
  <c r="AM333" i="8" s="1"/>
  <c r="AM362" i="8" s="1"/>
  <c r="AJ206" i="8"/>
  <c r="AJ205" i="8"/>
  <c r="AI208" i="8"/>
  <c r="W276" i="8"/>
  <c r="X274" i="8"/>
  <c r="X273" i="8"/>
  <c r="AB245" i="8"/>
  <c r="AB246" i="8" s="1"/>
  <c r="AB247" i="8" s="1"/>
  <c r="AF223" i="8"/>
  <c r="AF222" i="8"/>
  <c r="Y262" i="8"/>
  <c r="Y263" i="8" s="1"/>
  <c r="Y264" i="8" s="1"/>
  <c r="AD133" i="4"/>
  <c r="AF129" i="4"/>
  <c r="AC289" i="4"/>
  <c r="AC306" i="4" s="1"/>
  <c r="AC346" i="4" s="1"/>
  <c r="AC136" i="4"/>
  <c r="P290" i="4"/>
  <c r="P305" i="4" s="1"/>
  <c r="P345" i="4" s="1"/>
  <c r="P153" i="4"/>
  <c r="S134" i="4"/>
  <c r="S135" i="4" s="1"/>
  <c r="S139" i="4" s="1"/>
  <c r="G168" i="4"/>
  <c r="G169" i="4" s="1"/>
  <c r="G173" i="4" s="1"/>
  <c r="L151" i="4"/>
  <c r="L152" i="4" s="1"/>
  <c r="M149" i="4" s="1"/>
  <c r="F315" i="4"/>
  <c r="F327" i="4" s="1"/>
  <c r="R313" i="4"/>
  <c r="K314" i="4"/>
  <c r="K329" i="4" s="1"/>
  <c r="K358" i="4" s="1"/>
  <c r="G172" i="4"/>
  <c r="G171" i="4"/>
  <c r="C292" i="4"/>
  <c r="C309" i="4" s="1"/>
  <c r="C349" i="4" s="1"/>
  <c r="F174" i="4"/>
  <c r="F176" i="4" s="1"/>
  <c r="F177" i="4" s="1"/>
  <c r="F178" i="4" s="1"/>
  <c r="F179" i="4" s="1"/>
  <c r="S138" i="4"/>
  <c r="R140" i="4"/>
  <c r="R142" i="4" s="1"/>
  <c r="R143" i="4" s="1"/>
  <c r="R144" i="4" s="1"/>
  <c r="R145" i="4" s="1"/>
  <c r="R146" i="4" s="1"/>
  <c r="Q150" i="4" s="1"/>
  <c r="S137" i="4"/>
  <c r="H303" i="4"/>
  <c r="H342" i="4" s="1"/>
  <c r="C186" i="4"/>
  <c r="C190" i="4" s="1"/>
  <c r="K157" i="4"/>
  <c r="K159" i="4" s="1"/>
  <c r="J163" i="4"/>
  <c r="E180" i="4"/>
  <c r="D184" i="4" s="1"/>
  <c r="L155" i="4"/>
  <c r="L154" i="4"/>
  <c r="Y265" i="8" l="1"/>
  <c r="X269" i="8" s="1"/>
  <c r="AB248" i="8"/>
  <c r="AA252" i="8" s="1"/>
  <c r="AD231" i="8"/>
  <c r="AC235" i="8" s="1"/>
  <c r="AF221" i="8"/>
  <c r="AF294" i="8"/>
  <c r="AF301" i="8" s="1"/>
  <c r="AF340" i="8" s="1"/>
  <c r="Z262" i="8"/>
  <c r="Z263" i="8" s="1"/>
  <c r="Z264" i="8" s="1"/>
  <c r="AJ204" i="8"/>
  <c r="AJ293" i="8"/>
  <c r="AJ304" i="8" s="1"/>
  <c r="AJ343" i="8" s="1"/>
  <c r="AM191" i="8"/>
  <c r="AM193" i="8" s="1"/>
  <c r="AI210" i="8"/>
  <c r="W278" i="8"/>
  <c r="AJ202" i="8"/>
  <c r="AJ203" i="8" s="1"/>
  <c r="AE228" i="8"/>
  <c r="AE229" i="8" s="1"/>
  <c r="AE230" i="8" s="1"/>
  <c r="AH214" i="8"/>
  <c r="AF219" i="8"/>
  <c r="AF220" i="8" s="1"/>
  <c r="AL193" i="8"/>
  <c r="I167" i="4"/>
  <c r="I170" i="4" s="1"/>
  <c r="AE133" i="4"/>
  <c r="AG129" i="4"/>
  <c r="AD136" i="4"/>
  <c r="AD289" i="4"/>
  <c r="AD306" i="4" s="1"/>
  <c r="AD346" i="4" s="1"/>
  <c r="Q290" i="4"/>
  <c r="Q305" i="4" s="1"/>
  <c r="Q345" i="4" s="1"/>
  <c r="Q153" i="4"/>
  <c r="R330" i="4"/>
  <c r="R359" i="4" s="1"/>
  <c r="T132" i="4"/>
  <c r="T134" i="4" s="1"/>
  <c r="T135" i="4" s="1"/>
  <c r="T139" i="4" s="1"/>
  <c r="L156" i="4"/>
  <c r="M151" i="4"/>
  <c r="M152" i="4" s="1"/>
  <c r="M156" i="4" s="1"/>
  <c r="S313" i="4"/>
  <c r="H166" i="4"/>
  <c r="S140" i="4"/>
  <c r="S142" i="4" s="1"/>
  <c r="S143" i="4" s="1"/>
  <c r="S144" i="4" s="1"/>
  <c r="S145" i="4" s="1"/>
  <c r="S146" i="4" s="1"/>
  <c r="R150" i="4" s="1"/>
  <c r="F356" i="4"/>
  <c r="D187" i="4"/>
  <c r="D183" i="4"/>
  <c r="F180" i="4"/>
  <c r="M155" i="4"/>
  <c r="M154" i="4"/>
  <c r="K160" i="4"/>
  <c r="K161" i="4" s="1"/>
  <c r="K162" i="4" s="1"/>
  <c r="Z265" i="8" l="1"/>
  <c r="Y269" i="8" s="1"/>
  <c r="AE231" i="8"/>
  <c r="AK200" i="8"/>
  <c r="AJ207" i="8"/>
  <c r="AG217" i="8"/>
  <c r="AG218" i="8" s="1"/>
  <c r="AF224" i="8"/>
  <c r="AM194" i="8"/>
  <c r="AM195" i="8" s="1"/>
  <c r="AI211" i="8"/>
  <c r="AI212" i="8" s="1"/>
  <c r="AI213" i="8" s="1"/>
  <c r="AA255" i="8"/>
  <c r="AA296" i="8"/>
  <c r="AA302" i="8" s="1"/>
  <c r="AA341" i="8" s="1"/>
  <c r="AA253" i="8"/>
  <c r="AA254" i="8" s="1"/>
  <c r="AL194" i="8"/>
  <c r="AL195" i="8" s="1"/>
  <c r="AL196" i="8" s="1"/>
  <c r="X272" i="8"/>
  <c r="X297" i="8"/>
  <c r="X300" i="8" s="1"/>
  <c r="X339" i="8" s="1"/>
  <c r="X270" i="8"/>
  <c r="X271" i="8" s="1"/>
  <c r="W279" i="8"/>
  <c r="W280" i="8" s="1"/>
  <c r="W281" i="8" s="1"/>
  <c r="W283" i="8" s="1"/>
  <c r="W336" i="8" s="1"/>
  <c r="AC238" i="8"/>
  <c r="AC295" i="8"/>
  <c r="AC308" i="8" s="1"/>
  <c r="AC348" i="8" s="1"/>
  <c r="AC236" i="8"/>
  <c r="AC237" i="8" s="1"/>
  <c r="I291" i="4"/>
  <c r="I303" i="4" s="1"/>
  <c r="I342" i="4" s="1"/>
  <c r="AF133" i="4"/>
  <c r="AH129" i="4"/>
  <c r="AE289" i="4"/>
  <c r="AE306" i="4" s="1"/>
  <c r="AE346" i="4" s="1"/>
  <c r="AE136" i="4"/>
  <c r="R290" i="4"/>
  <c r="R305" i="4" s="1"/>
  <c r="R345" i="4" s="1"/>
  <c r="R153" i="4"/>
  <c r="S330" i="4"/>
  <c r="S359" i="4" s="1"/>
  <c r="T138" i="4"/>
  <c r="T137" i="4"/>
  <c r="H168" i="4"/>
  <c r="H169" i="4" s="1"/>
  <c r="I166" i="4" s="1"/>
  <c r="G315" i="4"/>
  <c r="L314" i="4"/>
  <c r="L329" i="4" s="1"/>
  <c r="L358" i="4" s="1"/>
  <c r="C191" i="4"/>
  <c r="C193" i="4" s="1"/>
  <c r="C316" i="4"/>
  <c r="C333" i="4" s="1"/>
  <c r="C362" i="4" s="1"/>
  <c r="H171" i="4"/>
  <c r="H172" i="4"/>
  <c r="D292" i="4"/>
  <c r="D309" i="4" s="1"/>
  <c r="D349" i="4" s="1"/>
  <c r="G174" i="4"/>
  <c r="G176" i="4" s="1"/>
  <c r="G177" i="4" s="1"/>
  <c r="G178" i="4" s="1"/>
  <c r="G179" i="4" s="1"/>
  <c r="G180" i="4" s="1"/>
  <c r="F184" i="4" s="1"/>
  <c r="D185" i="4"/>
  <c r="D186" i="4" s="1"/>
  <c r="E183" i="4" s="1"/>
  <c r="E184" i="4" s="1"/>
  <c r="U132" i="4"/>
  <c r="T313" i="4"/>
  <c r="D189" i="4"/>
  <c r="D188" i="4"/>
  <c r="L157" i="4"/>
  <c r="L159" i="4" s="1"/>
  <c r="K163" i="4"/>
  <c r="N149" i="4"/>
  <c r="AG294" i="8" l="1"/>
  <c r="AG301" i="8" s="1"/>
  <c r="AG340" i="8" s="1"/>
  <c r="AG221" i="8"/>
  <c r="AM196" i="8"/>
  <c r="AB251" i="8"/>
  <c r="AA258" i="8"/>
  <c r="AD234" i="8"/>
  <c r="AD235" i="8" s="1"/>
  <c r="AC241" i="8"/>
  <c r="AC319" i="8" s="1"/>
  <c r="AC332" i="8" s="1"/>
  <c r="AC361" i="8" s="1"/>
  <c r="AI214" i="8"/>
  <c r="AG223" i="8"/>
  <c r="AG222" i="8"/>
  <c r="AG219" i="8"/>
  <c r="AG220" i="8" s="1"/>
  <c r="AH217" i="8" s="1"/>
  <c r="AJ317" i="8"/>
  <c r="AJ328" i="8" s="1"/>
  <c r="AJ357" i="8" s="1"/>
  <c r="AJ208" i="8"/>
  <c r="AK205" i="8"/>
  <c r="AK206" i="8"/>
  <c r="AF318" i="8"/>
  <c r="AF325" i="8" s="1"/>
  <c r="AF354" i="8" s="1"/>
  <c r="AF225" i="8"/>
  <c r="Y268" i="8"/>
  <c r="X275" i="8"/>
  <c r="AL197" i="8"/>
  <c r="AK201" i="8" s="1"/>
  <c r="AK202" i="8" s="1"/>
  <c r="W373" i="8"/>
  <c r="W381" i="8" s="1"/>
  <c r="W364" i="8"/>
  <c r="W374" i="8" s="1"/>
  <c r="W382" i="8" s="1"/>
  <c r="Y272" i="8"/>
  <c r="Y297" i="8"/>
  <c r="Y300" i="8" s="1"/>
  <c r="Y339" i="8" s="1"/>
  <c r="J167" i="4"/>
  <c r="J170" i="4" s="1"/>
  <c r="AG133" i="4"/>
  <c r="AG136" i="4" s="1"/>
  <c r="AI129" i="4"/>
  <c r="AF289" i="4"/>
  <c r="AF306" i="4" s="1"/>
  <c r="AF346" i="4" s="1"/>
  <c r="AF136" i="4"/>
  <c r="E292" i="4"/>
  <c r="E309" i="4" s="1"/>
  <c r="E349" i="4" s="1"/>
  <c r="E187" i="4"/>
  <c r="T330" i="4"/>
  <c r="T359" i="4" s="1"/>
  <c r="G327" i="4"/>
  <c r="G356" i="4" s="1"/>
  <c r="I168" i="4"/>
  <c r="I169" i="4" s="1"/>
  <c r="J166" i="4" s="1"/>
  <c r="H173" i="4"/>
  <c r="H174" i="4" s="1"/>
  <c r="N151" i="4"/>
  <c r="N152" i="4" s="1"/>
  <c r="O149" i="4" s="1"/>
  <c r="D190" i="4"/>
  <c r="I171" i="4"/>
  <c r="I172" i="4"/>
  <c r="M314" i="4"/>
  <c r="M329" i="4" s="1"/>
  <c r="M358" i="4" s="1"/>
  <c r="E185" i="4"/>
  <c r="E186" i="4" s="1"/>
  <c r="F183" i="4" s="1"/>
  <c r="T140" i="4"/>
  <c r="T142" i="4" s="1"/>
  <c r="T143" i="4" s="1"/>
  <c r="T144" i="4" s="1"/>
  <c r="T145" i="4" s="1"/>
  <c r="T146" i="4" s="1"/>
  <c r="S150" i="4" s="1"/>
  <c r="U134" i="4"/>
  <c r="U135" i="4" s="1"/>
  <c r="V132" i="4" s="1"/>
  <c r="U138" i="4"/>
  <c r="U137" i="4"/>
  <c r="E189" i="4"/>
  <c r="E188" i="4"/>
  <c r="F187" i="4"/>
  <c r="C194" i="4"/>
  <c r="C195" i="4" s="1"/>
  <c r="C196" i="4" s="1"/>
  <c r="M157" i="4"/>
  <c r="M159" i="4" s="1"/>
  <c r="M160" i="4" s="1"/>
  <c r="M161" i="4" s="1"/>
  <c r="L160" i="4"/>
  <c r="L161" i="4" s="1"/>
  <c r="N154" i="4"/>
  <c r="N155" i="4"/>
  <c r="AD238" i="8" l="1"/>
  <c r="AD295" i="8"/>
  <c r="AD308" i="8" s="1"/>
  <c r="AD348" i="8" s="1"/>
  <c r="AH218" i="8"/>
  <c r="AH221" i="8" s="1"/>
  <c r="AK203" i="8"/>
  <c r="AL200" i="8" s="1"/>
  <c r="AD239" i="8"/>
  <c r="AD240" i="8"/>
  <c r="AD236" i="8"/>
  <c r="AD237" i="8" s="1"/>
  <c r="AA320" i="8"/>
  <c r="AA326" i="8" s="1"/>
  <c r="AA355" i="8" s="1"/>
  <c r="AA259" i="8"/>
  <c r="AF227" i="8"/>
  <c r="AL206" i="8"/>
  <c r="AL205" i="8"/>
  <c r="AJ210" i="8"/>
  <c r="AB257" i="8"/>
  <c r="AB256" i="8"/>
  <c r="AK204" i="8"/>
  <c r="AK293" i="8"/>
  <c r="AK304" i="8" s="1"/>
  <c r="AK343" i="8" s="1"/>
  <c r="AM197" i="8"/>
  <c r="AL201" i="8" s="1"/>
  <c r="Y274" i="8"/>
  <c r="Y273" i="8"/>
  <c r="Y270" i="8"/>
  <c r="Y271" i="8" s="1"/>
  <c r="AH222" i="8"/>
  <c r="AH223" i="8"/>
  <c r="X321" i="8"/>
  <c r="X324" i="8" s="1"/>
  <c r="X353" i="8" s="1"/>
  <c r="X276" i="8"/>
  <c r="AG224" i="8"/>
  <c r="AG318" i="8" s="1"/>
  <c r="AG325" i="8" s="1"/>
  <c r="AG354" i="8" s="1"/>
  <c r="AC242" i="8"/>
  <c r="J168" i="4"/>
  <c r="J169" i="4" s="1"/>
  <c r="J173" i="4" s="1"/>
  <c r="J291" i="4"/>
  <c r="J303" i="4" s="1"/>
  <c r="J342" i="4" s="1"/>
  <c r="AG289" i="4"/>
  <c r="AG306" i="4" s="1"/>
  <c r="AG346" i="4" s="1"/>
  <c r="AJ129" i="4"/>
  <c r="S290" i="4"/>
  <c r="S305" i="4" s="1"/>
  <c r="S345" i="4" s="1"/>
  <c r="S153" i="4"/>
  <c r="J171" i="4"/>
  <c r="J172" i="4"/>
  <c r="O151" i="4"/>
  <c r="O152" i="4" s="1"/>
  <c r="O156" i="4" s="1"/>
  <c r="N156" i="4"/>
  <c r="E190" i="4"/>
  <c r="E191" i="4" s="1"/>
  <c r="U139" i="4"/>
  <c r="H315" i="4"/>
  <c r="I173" i="4"/>
  <c r="I174" i="4" s="1"/>
  <c r="I176" i="4" s="1"/>
  <c r="I177" i="4" s="1"/>
  <c r="I178" i="4" s="1"/>
  <c r="D191" i="4"/>
  <c r="D193" i="4" s="1"/>
  <c r="D316" i="4"/>
  <c r="F292" i="4"/>
  <c r="F309" i="4" s="1"/>
  <c r="F349" i="4" s="1"/>
  <c r="H176" i="4"/>
  <c r="H177" i="4" s="1"/>
  <c r="H178" i="4" s="1"/>
  <c r="H179" i="4" s="1"/>
  <c r="F185" i="4"/>
  <c r="F186" i="4" s="1"/>
  <c r="G183" i="4" s="1"/>
  <c r="V134" i="4"/>
  <c r="V135" i="4" s="1"/>
  <c r="V139" i="4" s="1"/>
  <c r="V138" i="4"/>
  <c r="V137" i="4"/>
  <c r="C197" i="4"/>
  <c r="F188" i="4"/>
  <c r="F189" i="4"/>
  <c r="M162" i="4"/>
  <c r="L162" i="4"/>
  <c r="O155" i="4"/>
  <c r="O154" i="4"/>
  <c r="AH219" i="8" l="1"/>
  <c r="AH220" i="8" s="1"/>
  <c r="AH294" i="8"/>
  <c r="AH301" i="8" s="1"/>
  <c r="AH340" i="8" s="1"/>
  <c r="AK207" i="8"/>
  <c r="AK317" i="8" s="1"/>
  <c r="AK328" i="8" s="1"/>
  <c r="AK357" i="8" s="1"/>
  <c r="Z268" i="8"/>
  <c r="Z274" i="8" s="1"/>
  <c r="Y275" i="8"/>
  <c r="Y321" i="8" s="1"/>
  <c r="Y324" i="8" s="1"/>
  <c r="Y353" i="8" s="1"/>
  <c r="AE234" i="8"/>
  <c r="AD241" i="8"/>
  <c r="AD319" i="8" s="1"/>
  <c r="AD332" i="8" s="1"/>
  <c r="AD361" i="8" s="1"/>
  <c r="AI217" i="8"/>
  <c r="AH224" i="8"/>
  <c r="AD242" i="8"/>
  <c r="AD244" i="8" s="1"/>
  <c r="AF228" i="8"/>
  <c r="AF229" i="8" s="1"/>
  <c r="AF230" i="8" s="1"/>
  <c r="Y276" i="8"/>
  <c r="Y278" i="8" s="1"/>
  <c r="X278" i="8"/>
  <c r="AJ211" i="8"/>
  <c r="AJ212" i="8" s="1"/>
  <c r="AJ213" i="8" s="1"/>
  <c r="AA261" i="8"/>
  <c r="AL204" i="8"/>
  <c r="AM293" i="8"/>
  <c r="AM304" i="8" s="1"/>
  <c r="AM343" i="8" s="1"/>
  <c r="AL293" i="8"/>
  <c r="AL304" i="8" s="1"/>
  <c r="AL343" i="8" s="1"/>
  <c r="AK208" i="8"/>
  <c r="AL202" i="8"/>
  <c r="AL203" i="8" s="1"/>
  <c r="AG225" i="8"/>
  <c r="AC244" i="8"/>
  <c r="K166" i="4"/>
  <c r="K172" i="4" s="1"/>
  <c r="AK129" i="4"/>
  <c r="D333" i="4"/>
  <c r="D362" i="4" s="1"/>
  <c r="H327" i="4"/>
  <c r="H356" i="4" s="1"/>
  <c r="J315" i="4"/>
  <c r="J327" i="4" s="1"/>
  <c r="F190" i="4"/>
  <c r="F316" i="4" s="1"/>
  <c r="I315" i="4"/>
  <c r="U313" i="4"/>
  <c r="N314" i="4"/>
  <c r="N329" i="4" s="1"/>
  <c r="N358" i="4" s="1"/>
  <c r="E316" i="4"/>
  <c r="U140" i="4"/>
  <c r="U142" i="4" s="1"/>
  <c r="U143" i="4" s="1"/>
  <c r="U144" i="4" s="1"/>
  <c r="U145" i="4" s="1"/>
  <c r="U146" i="4" s="1"/>
  <c r="T150" i="4" s="1"/>
  <c r="W132" i="4"/>
  <c r="V313" i="4"/>
  <c r="E193" i="4"/>
  <c r="D194" i="4"/>
  <c r="D195" i="4" s="1"/>
  <c r="D196" i="4" s="1"/>
  <c r="G189" i="4"/>
  <c r="G188" i="4"/>
  <c r="N157" i="4"/>
  <c r="N159" i="4" s="1"/>
  <c r="I179" i="4"/>
  <c r="P149" i="4"/>
  <c r="J174" i="4"/>
  <c r="L163" i="4"/>
  <c r="K167" i="4" s="1"/>
  <c r="H180" i="4"/>
  <c r="Z273" i="8" l="1"/>
  <c r="AM200" i="8"/>
  <c r="AL207" i="8"/>
  <c r="AJ214" i="8"/>
  <c r="AI218" i="8" s="1"/>
  <c r="AF231" i="8"/>
  <c r="AE235" i="8" s="1"/>
  <c r="AE236" i="8" s="1"/>
  <c r="AE237" i="8" s="1"/>
  <c r="AD245" i="8"/>
  <c r="AD246" i="8" s="1"/>
  <c r="AC245" i="8"/>
  <c r="AC246" i="8" s="1"/>
  <c r="X279" i="8"/>
  <c r="X280" i="8" s="1"/>
  <c r="AH318" i="8"/>
  <c r="AH325" i="8" s="1"/>
  <c r="AH354" i="8" s="1"/>
  <c r="AH225" i="8"/>
  <c r="AH227" i="8" s="1"/>
  <c r="AI222" i="8"/>
  <c r="AI223" i="8"/>
  <c r="Y279" i="8"/>
  <c r="Y280" i="8" s="1"/>
  <c r="AA262" i="8"/>
  <c r="AA263" i="8" s="1"/>
  <c r="AA264" i="8" s="1"/>
  <c r="AG227" i="8"/>
  <c r="AK210" i="8"/>
  <c r="AE239" i="8"/>
  <c r="AE240" i="8"/>
  <c r="K171" i="4"/>
  <c r="G184" i="4"/>
  <c r="G187" i="4" s="1"/>
  <c r="AL129" i="4"/>
  <c r="T290" i="4"/>
  <c r="T305" i="4" s="1"/>
  <c r="T345" i="4" s="1"/>
  <c r="T153" i="4"/>
  <c r="V330" i="4"/>
  <c r="V359" i="4" s="1"/>
  <c r="F333" i="4"/>
  <c r="F362" i="4" s="1"/>
  <c r="E333" i="4"/>
  <c r="E362" i="4" s="1"/>
  <c r="U330" i="4"/>
  <c r="U359" i="4" s="1"/>
  <c r="I327" i="4"/>
  <c r="I356" i="4" s="1"/>
  <c r="F191" i="4"/>
  <c r="F193" i="4" s="1"/>
  <c r="O314" i="4"/>
  <c r="O329" i="4" s="1"/>
  <c r="O358" i="4" s="1"/>
  <c r="P155" i="4"/>
  <c r="P151" i="4"/>
  <c r="P152" i="4" s="1"/>
  <c r="Q149" i="4" s="1"/>
  <c r="V140" i="4"/>
  <c r="V142" i="4" s="1"/>
  <c r="V143" i="4" s="1"/>
  <c r="V144" i="4" s="1"/>
  <c r="V145" i="4" s="1"/>
  <c r="V146" i="4" s="1"/>
  <c r="U150" i="4" s="1"/>
  <c r="W134" i="4"/>
  <c r="W135" i="4" s="1"/>
  <c r="W139" i="4" s="1"/>
  <c r="W138" i="4"/>
  <c r="W137" i="4"/>
  <c r="J356" i="4"/>
  <c r="D197" i="4"/>
  <c r="E194" i="4"/>
  <c r="E195" i="4" s="1"/>
  <c r="E196" i="4" s="1"/>
  <c r="O157" i="4"/>
  <c r="O159" i="4" s="1"/>
  <c r="O160" i="4" s="1"/>
  <c r="O161" i="4" s="1"/>
  <c r="P154" i="4"/>
  <c r="I180" i="4"/>
  <c r="H184" i="4" s="1"/>
  <c r="J176" i="4"/>
  <c r="M163" i="4"/>
  <c r="N160" i="4"/>
  <c r="N161" i="4" s="1"/>
  <c r="Y281" i="8" l="1"/>
  <c r="Y283" i="8" s="1"/>
  <c r="Y336" i="8" s="1"/>
  <c r="AD247" i="8"/>
  <c r="AC247" i="8"/>
  <c r="AC248" i="8" s="1"/>
  <c r="AB252" i="8" s="1"/>
  <c r="AI219" i="8"/>
  <c r="AI220" i="8" s="1"/>
  <c r="AF234" i="8"/>
  <c r="AE241" i="8"/>
  <c r="AE319" i="8" s="1"/>
  <c r="AE332" i="8" s="1"/>
  <c r="AE361" i="8" s="1"/>
  <c r="Y364" i="8"/>
  <c r="Y374" i="8" s="1"/>
  <c r="Y382" i="8" s="1"/>
  <c r="Y373" i="8"/>
  <c r="Y381" i="8" s="1"/>
  <c r="X281" i="8"/>
  <c r="X283" i="8" s="1"/>
  <c r="X336" i="8" s="1"/>
  <c r="AE238" i="8"/>
  <c r="AE295" i="8"/>
  <c r="AE308" i="8" s="1"/>
  <c r="AE348" i="8" s="1"/>
  <c r="AK211" i="8"/>
  <c r="AK212" i="8" s="1"/>
  <c r="AK213" i="8" s="1"/>
  <c r="AI221" i="8"/>
  <c r="AI294" i="8"/>
  <c r="AI301" i="8" s="1"/>
  <c r="AI340" i="8" s="1"/>
  <c r="AA265" i="8"/>
  <c r="Z269" i="8" s="1"/>
  <c r="AH228" i="8"/>
  <c r="AH229" i="8" s="1"/>
  <c r="AL317" i="8"/>
  <c r="AL328" i="8" s="1"/>
  <c r="AL357" i="8" s="1"/>
  <c r="AL208" i="8"/>
  <c r="AG228" i="8"/>
  <c r="AG229" i="8" s="1"/>
  <c r="AM205" i="8"/>
  <c r="AM206" i="8"/>
  <c r="AM202" i="8"/>
  <c r="AM203" i="8" s="1"/>
  <c r="AM207" i="8" s="1"/>
  <c r="AM317" i="8" s="1"/>
  <c r="AM328" i="8" s="1"/>
  <c r="AM357" i="8" s="1"/>
  <c r="G292" i="4"/>
  <c r="G309" i="4" s="1"/>
  <c r="G349" i="4" s="1"/>
  <c r="G185" i="4"/>
  <c r="G186" i="4" s="1"/>
  <c r="G190" i="4" s="1"/>
  <c r="C201" i="4"/>
  <c r="C204" i="4" s="1"/>
  <c r="L167" i="4"/>
  <c r="L170" i="4" s="1"/>
  <c r="AM129" i="4"/>
  <c r="K291" i="4"/>
  <c r="K170" i="4"/>
  <c r="U290" i="4"/>
  <c r="U305" i="4" s="1"/>
  <c r="U345" i="4" s="1"/>
  <c r="U153" i="4"/>
  <c r="Q151" i="4"/>
  <c r="Q152" i="4" s="1"/>
  <c r="R149" i="4" s="1"/>
  <c r="P156" i="4"/>
  <c r="K168" i="4"/>
  <c r="X132" i="4"/>
  <c r="E197" i="4"/>
  <c r="H187" i="4"/>
  <c r="F194" i="4"/>
  <c r="F195" i="4" s="1"/>
  <c r="F196" i="4" s="1"/>
  <c r="O162" i="4"/>
  <c r="N162" i="4"/>
  <c r="N163" i="4" s="1"/>
  <c r="M167" i="4" s="1"/>
  <c r="J177" i="4"/>
  <c r="J178" i="4" s="1"/>
  <c r="J179" i="4" s="1"/>
  <c r="Q155" i="4"/>
  <c r="Q154" i="4"/>
  <c r="AH230" i="8" l="1"/>
  <c r="AE242" i="8"/>
  <c r="AD248" i="8"/>
  <c r="AJ217" i="8"/>
  <c r="AJ223" i="8" s="1"/>
  <c r="AI224" i="8"/>
  <c r="AI318" i="8" s="1"/>
  <c r="AI325" i="8" s="1"/>
  <c r="AI354" i="8" s="1"/>
  <c r="AG230" i="8"/>
  <c r="AG231" i="8" s="1"/>
  <c r="AK214" i="8"/>
  <c r="AE244" i="8"/>
  <c r="X364" i="8"/>
  <c r="X374" i="8" s="1"/>
  <c r="X382" i="8" s="1"/>
  <c r="X373" i="8"/>
  <c r="X381" i="8" s="1"/>
  <c r="AM208" i="8"/>
  <c r="AM210" i="8" s="1"/>
  <c r="AB255" i="8"/>
  <c r="AB296" i="8"/>
  <c r="AB302" i="8" s="1"/>
  <c r="AB341" i="8" s="1"/>
  <c r="AB253" i="8"/>
  <c r="AB254" i="8" s="1"/>
  <c r="AL210" i="8"/>
  <c r="Z272" i="8"/>
  <c r="Z297" i="8"/>
  <c r="Z300" i="8" s="1"/>
  <c r="Z339" i="8" s="1"/>
  <c r="Z270" i="8"/>
  <c r="Z271" i="8" s="1"/>
  <c r="AF239" i="8"/>
  <c r="AF240" i="8"/>
  <c r="L291" i="4"/>
  <c r="L303" i="4" s="1"/>
  <c r="L342" i="4" s="1"/>
  <c r="C293" i="4"/>
  <c r="C304" i="4" s="1"/>
  <c r="C343" i="4" s="1"/>
  <c r="H183" i="4"/>
  <c r="H185" i="4" s="1"/>
  <c r="H186" i="4" s="1"/>
  <c r="H190" i="4" s="1"/>
  <c r="C203" i="4"/>
  <c r="C207" i="4" s="1"/>
  <c r="D201" i="4"/>
  <c r="D204" i="4" s="1"/>
  <c r="M291" i="4"/>
  <c r="M170" i="4"/>
  <c r="R151" i="4"/>
  <c r="R152" i="4" s="1"/>
  <c r="R156" i="4" s="1"/>
  <c r="Q156" i="4"/>
  <c r="W313" i="4"/>
  <c r="P314" i="4"/>
  <c r="P329" i="4" s="1"/>
  <c r="P358" i="4" s="1"/>
  <c r="G191" i="4"/>
  <c r="G193" i="4" s="1"/>
  <c r="G316" i="4"/>
  <c r="H292" i="4"/>
  <c r="H309" i="4" s="1"/>
  <c r="H349" i="4" s="1"/>
  <c r="K169" i="4"/>
  <c r="X134" i="4"/>
  <c r="X135" i="4" s="1"/>
  <c r="X139" i="4" s="1"/>
  <c r="X138" i="4"/>
  <c r="X137" i="4"/>
  <c r="W140" i="4"/>
  <c r="W142" i="4" s="1"/>
  <c r="W143" i="4" s="1"/>
  <c r="W144" i="4" s="1"/>
  <c r="W145" i="4" s="1"/>
  <c r="W146" i="4" s="1"/>
  <c r="V150" i="4" s="1"/>
  <c r="K303" i="4"/>
  <c r="K342" i="4" s="1"/>
  <c r="F197" i="4"/>
  <c r="E201" i="4" s="1"/>
  <c r="P157" i="4"/>
  <c r="P159" i="4" s="1"/>
  <c r="P160" i="4" s="1"/>
  <c r="P161" i="4" s="1"/>
  <c r="P162" i="4" s="1"/>
  <c r="O163" i="4"/>
  <c r="N167" i="4" s="1"/>
  <c r="R154" i="4"/>
  <c r="R155" i="4"/>
  <c r="J180" i="4"/>
  <c r="I184" i="4" s="1"/>
  <c r="AJ218" i="8" l="1"/>
  <c r="AJ219" i="8" s="1"/>
  <c r="AJ220" i="8" s="1"/>
  <c r="AJ222" i="8"/>
  <c r="AF235" i="8"/>
  <c r="AH231" i="8"/>
  <c r="AI225" i="8"/>
  <c r="AI227" i="8" s="1"/>
  <c r="AI228" i="8" s="1"/>
  <c r="AI229" i="8" s="1"/>
  <c r="AI230" i="8" s="1"/>
  <c r="AK217" i="8"/>
  <c r="AJ224" i="8"/>
  <c r="AJ318" i="8" s="1"/>
  <c r="AJ325" i="8" s="1"/>
  <c r="AJ354" i="8" s="1"/>
  <c r="AA268" i="8"/>
  <c r="Z275" i="8"/>
  <c r="Z321" i="8" s="1"/>
  <c r="Z324" i="8" s="1"/>
  <c r="Z353" i="8" s="1"/>
  <c r="AM211" i="8"/>
  <c r="AM212" i="8" s="1"/>
  <c r="AL211" i="8"/>
  <c r="AL212" i="8" s="1"/>
  <c r="AC251" i="8"/>
  <c r="AC252" i="8" s="1"/>
  <c r="AB258" i="8"/>
  <c r="AE245" i="8"/>
  <c r="AE246" i="8" s="1"/>
  <c r="AE247" i="8" s="1"/>
  <c r="AF238" i="8"/>
  <c r="AF295" i="8"/>
  <c r="AF308" i="8" s="1"/>
  <c r="AF348" i="8" s="1"/>
  <c r="AF236" i="8"/>
  <c r="AF237" i="8" s="1"/>
  <c r="AJ221" i="8"/>
  <c r="AJ294" i="8"/>
  <c r="AJ301" i="8" s="1"/>
  <c r="AJ340" i="8" s="1"/>
  <c r="D293" i="4"/>
  <c r="D304" i="4" s="1"/>
  <c r="D343" i="4" s="1"/>
  <c r="H188" i="4"/>
  <c r="H189" i="4"/>
  <c r="D200" i="4"/>
  <c r="D202" i="4" s="1"/>
  <c r="D203" i="4" s="1"/>
  <c r="E200" i="4" s="1"/>
  <c r="E293" i="4"/>
  <c r="E304" i="4" s="1"/>
  <c r="E343" i="4" s="1"/>
  <c r="E204" i="4"/>
  <c r="N291" i="4"/>
  <c r="N170" i="4"/>
  <c r="V290" i="4"/>
  <c r="V305" i="4" s="1"/>
  <c r="V345" i="4" s="1"/>
  <c r="V153" i="4"/>
  <c r="W330" i="4"/>
  <c r="W359" i="4" s="1"/>
  <c r="G333" i="4"/>
  <c r="G362" i="4" s="1"/>
  <c r="L166" i="4"/>
  <c r="L171" i="4" s="1"/>
  <c r="K173" i="4"/>
  <c r="K174" i="4" s="1"/>
  <c r="K176" i="4" s="1"/>
  <c r="Q314" i="4"/>
  <c r="Q329" i="4" s="1"/>
  <c r="Q358" i="4" s="1"/>
  <c r="C208" i="4"/>
  <c r="C210" i="4" s="1"/>
  <c r="C317" i="4"/>
  <c r="C328" i="4" s="1"/>
  <c r="C357" i="4" s="1"/>
  <c r="Y132" i="4"/>
  <c r="X313" i="4"/>
  <c r="M303" i="4"/>
  <c r="M342" i="4" s="1"/>
  <c r="I183" i="4"/>
  <c r="G194" i="4"/>
  <c r="G195" i="4" s="1"/>
  <c r="G196" i="4" s="1"/>
  <c r="S149" i="4"/>
  <c r="P163" i="4"/>
  <c r="O167" i="4" s="1"/>
  <c r="Q157" i="4"/>
  <c r="AC255" i="8" l="1"/>
  <c r="AC296" i="8"/>
  <c r="AC302" i="8" s="1"/>
  <c r="AC341" i="8" s="1"/>
  <c r="AJ225" i="8"/>
  <c r="Z276" i="8"/>
  <c r="Z278" i="8" s="1"/>
  <c r="AM213" i="8"/>
  <c r="AL213" i="8"/>
  <c r="AG234" i="8"/>
  <c r="AG235" i="8" s="1"/>
  <c r="AF241" i="8"/>
  <c r="AF319" i="8" s="1"/>
  <c r="AF332" i="8" s="1"/>
  <c r="AF361" i="8" s="1"/>
  <c r="AJ227" i="8"/>
  <c r="AE248" i="8"/>
  <c r="AI231" i="8"/>
  <c r="AL214" i="8"/>
  <c r="AK218" i="8" s="1"/>
  <c r="AK219" i="8" s="1"/>
  <c r="AK220" i="8" s="1"/>
  <c r="AC257" i="8"/>
  <c r="AC256" i="8"/>
  <c r="AC253" i="8"/>
  <c r="AC254" i="8" s="1"/>
  <c r="AA273" i="8"/>
  <c r="AA274" i="8"/>
  <c r="AB320" i="8"/>
  <c r="AB326" i="8" s="1"/>
  <c r="AB355" i="8" s="1"/>
  <c r="AB259" i="8"/>
  <c r="AK223" i="8"/>
  <c r="AK222" i="8"/>
  <c r="D205" i="4"/>
  <c r="D206" i="4"/>
  <c r="I292" i="4"/>
  <c r="I309" i="4" s="1"/>
  <c r="I349" i="4" s="1"/>
  <c r="I187" i="4"/>
  <c r="O291" i="4"/>
  <c r="O170" i="4"/>
  <c r="X330" i="4"/>
  <c r="X359" i="4" s="1"/>
  <c r="K315" i="4"/>
  <c r="E202" i="4"/>
  <c r="E203" i="4" s="1"/>
  <c r="F200" i="4" s="1"/>
  <c r="L168" i="4"/>
  <c r="L169" i="4" s="1"/>
  <c r="L173" i="4" s="1"/>
  <c r="L315" i="4" s="1"/>
  <c r="L327" i="4" s="1"/>
  <c r="D207" i="4"/>
  <c r="L172" i="4"/>
  <c r="H191" i="4"/>
  <c r="H193" i="4" s="1"/>
  <c r="H316" i="4"/>
  <c r="R314" i="4"/>
  <c r="R329" i="4" s="1"/>
  <c r="R358" i="4" s="1"/>
  <c r="I185" i="4"/>
  <c r="I186" i="4" s="1"/>
  <c r="I190" i="4" s="1"/>
  <c r="S151" i="4"/>
  <c r="S152" i="4" s="1"/>
  <c r="S156" i="4" s="1"/>
  <c r="X140" i="4"/>
  <c r="X142" i="4" s="1"/>
  <c r="X143" i="4" s="1"/>
  <c r="X144" i="4" s="1"/>
  <c r="X145" i="4" s="1"/>
  <c r="X146" i="4" s="1"/>
  <c r="W150" i="4" s="1"/>
  <c r="Y134" i="4"/>
  <c r="Y135" i="4" s="1"/>
  <c r="Y139" i="4" s="1"/>
  <c r="Y138" i="4"/>
  <c r="Y137" i="4"/>
  <c r="N303" i="4"/>
  <c r="N342" i="4" s="1"/>
  <c r="E205" i="4"/>
  <c r="E206" i="4"/>
  <c r="G197" i="4"/>
  <c r="C211" i="4"/>
  <c r="C212" i="4" s="1"/>
  <c r="C213" i="4" s="1"/>
  <c r="I188" i="4"/>
  <c r="I189" i="4"/>
  <c r="R157" i="4"/>
  <c r="R159" i="4" s="1"/>
  <c r="S154" i="4"/>
  <c r="S155" i="4"/>
  <c r="Q159" i="4"/>
  <c r="K177" i="4"/>
  <c r="K178" i="4" s="1"/>
  <c r="K179" i="4" s="1"/>
  <c r="AG238" i="8" l="1"/>
  <c r="AG295" i="8"/>
  <c r="AG308" i="8" s="1"/>
  <c r="AG348" i="8" s="1"/>
  <c r="AF242" i="8"/>
  <c r="AF244" i="8" s="1"/>
  <c r="AM214" i="8"/>
  <c r="AD251" i="8"/>
  <c r="AD252" i="8" s="1"/>
  <c r="AC258" i="8"/>
  <c r="AC320" i="8" s="1"/>
  <c r="AC326" i="8" s="1"/>
  <c r="AC355" i="8" s="1"/>
  <c r="AL217" i="8"/>
  <c r="AK224" i="8"/>
  <c r="AK318" i="8" s="1"/>
  <c r="AK325" i="8" s="1"/>
  <c r="AK354" i="8" s="1"/>
  <c r="AJ228" i="8"/>
  <c r="AJ229" i="8" s="1"/>
  <c r="AJ230" i="8" s="1"/>
  <c r="AB261" i="8"/>
  <c r="Z279" i="8"/>
  <c r="Z280" i="8" s="1"/>
  <c r="Z281" i="8" s="1"/>
  <c r="Z283" i="8" s="1"/>
  <c r="Z336" i="8" s="1"/>
  <c r="AK221" i="8"/>
  <c r="AK294" i="8"/>
  <c r="AK301" i="8" s="1"/>
  <c r="AK340" i="8" s="1"/>
  <c r="AG240" i="8"/>
  <c r="AG239" i="8"/>
  <c r="AG236" i="8"/>
  <c r="AG237" i="8" s="1"/>
  <c r="F201" i="4"/>
  <c r="F204" i="4" s="1"/>
  <c r="W290" i="4"/>
  <c r="W305" i="4" s="1"/>
  <c r="W345" i="4" s="1"/>
  <c r="W153" i="4"/>
  <c r="H333" i="4"/>
  <c r="H362" i="4" s="1"/>
  <c r="K327" i="4"/>
  <c r="K356" i="4" s="1"/>
  <c r="M166" i="4"/>
  <c r="M172" i="4" s="1"/>
  <c r="E207" i="4"/>
  <c r="E208" i="4" s="1"/>
  <c r="D208" i="4"/>
  <c r="D210" i="4" s="1"/>
  <c r="D317" i="4"/>
  <c r="D328" i="4" s="1"/>
  <c r="L356" i="4"/>
  <c r="Z132" i="4"/>
  <c r="Y140" i="4"/>
  <c r="Y142" i="4" s="1"/>
  <c r="Y143" i="4" s="1"/>
  <c r="Y144" i="4" s="1"/>
  <c r="Y145" i="4" s="1"/>
  <c r="Y146" i="4" s="1"/>
  <c r="X150" i="4" s="1"/>
  <c r="T149" i="4"/>
  <c r="O303" i="4"/>
  <c r="O342" i="4" s="1"/>
  <c r="C214" i="4"/>
  <c r="J183" i="4"/>
  <c r="F206" i="4"/>
  <c r="F205" i="4"/>
  <c r="H194" i="4"/>
  <c r="H195" i="4" s="1"/>
  <c r="H196" i="4" s="1"/>
  <c r="L174" i="4"/>
  <c r="L176" i="4" s="1"/>
  <c r="K180" i="4"/>
  <c r="J184" i="4" s="1"/>
  <c r="R160" i="4"/>
  <c r="R161" i="4" s="1"/>
  <c r="Q160" i="4"/>
  <c r="Q161" i="4" s="1"/>
  <c r="AL218" i="8" l="1"/>
  <c r="AD296" i="8"/>
  <c r="AD302" i="8" s="1"/>
  <c r="AD341" i="8" s="1"/>
  <c r="AD255" i="8"/>
  <c r="AC259" i="8"/>
  <c r="AK225" i="8"/>
  <c r="AH234" i="8"/>
  <c r="AH235" i="8" s="1"/>
  <c r="AG241" i="8"/>
  <c r="AG319" i="8" s="1"/>
  <c r="AG332" i="8" s="1"/>
  <c r="AG361" i="8" s="1"/>
  <c r="Z364" i="8"/>
  <c r="Z374" i="8" s="1"/>
  <c r="Z382" i="8" s="1"/>
  <c r="Z373" i="8"/>
  <c r="Z381" i="8" s="1"/>
  <c r="AJ231" i="8"/>
  <c r="AK227" i="8"/>
  <c r="AB262" i="8"/>
  <c r="AB263" i="8" s="1"/>
  <c r="AB264" i="8" s="1"/>
  <c r="AL222" i="8"/>
  <c r="AL223" i="8"/>
  <c r="AL219" i="8"/>
  <c r="AL220" i="8" s="1"/>
  <c r="AF245" i="8"/>
  <c r="AF246" i="8" s="1"/>
  <c r="AF247" i="8" s="1"/>
  <c r="AC261" i="8"/>
  <c r="AL221" i="8"/>
  <c r="AL294" i="8"/>
  <c r="AL301" i="8" s="1"/>
  <c r="AL340" i="8" s="1"/>
  <c r="AM294" i="8"/>
  <c r="AM301" i="8" s="1"/>
  <c r="AM340" i="8" s="1"/>
  <c r="AD257" i="8"/>
  <c r="AD253" i="8"/>
  <c r="AD254" i="8" s="1"/>
  <c r="AD256" i="8"/>
  <c r="F202" i="4"/>
  <c r="F203" i="4" s="1"/>
  <c r="F207" i="4" s="1"/>
  <c r="F293" i="4"/>
  <c r="F304" i="4" s="1"/>
  <c r="F343" i="4" s="1"/>
  <c r="M171" i="4"/>
  <c r="T151" i="4"/>
  <c r="T152" i="4" s="1"/>
  <c r="T156" i="4" s="1"/>
  <c r="Z137" i="4"/>
  <c r="M168" i="4"/>
  <c r="M169" i="4" s="1"/>
  <c r="N166" i="4" s="1"/>
  <c r="D357" i="4"/>
  <c r="E317" i="4"/>
  <c r="E328" i="4" s="1"/>
  <c r="S314" i="4"/>
  <c r="S329" i="4" s="1"/>
  <c r="S358" i="4" s="1"/>
  <c r="I191" i="4"/>
  <c r="I193" i="4" s="1"/>
  <c r="I194" i="4" s="1"/>
  <c r="I195" i="4" s="1"/>
  <c r="I196" i="4" s="1"/>
  <c r="I316" i="4"/>
  <c r="Y313" i="4"/>
  <c r="Z134" i="4"/>
  <c r="Z135" i="4" s="1"/>
  <c r="AA132" i="4" s="1"/>
  <c r="Z138" i="4"/>
  <c r="T155" i="4"/>
  <c r="T154" i="4"/>
  <c r="S157" i="4"/>
  <c r="S159" i="4" s="1"/>
  <c r="J189" i="4"/>
  <c r="J188" i="4"/>
  <c r="E210" i="4"/>
  <c r="H197" i="4"/>
  <c r="D211" i="4"/>
  <c r="D212" i="4" s="1"/>
  <c r="D213" i="4" s="1"/>
  <c r="R162" i="4"/>
  <c r="L177" i="4"/>
  <c r="L178" i="4" s="1"/>
  <c r="Q162" i="4"/>
  <c r="AG242" i="8" l="1"/>
  <c r="AH238" i="8"/>
  <c r="AH295" i="8"/>
  <c r="AH308" i="8" s="1"/>
  <c r="AH348" i="8" s="1"/>
  <c r="AM217" i="8"/>
  <c r="AL224" i="8"/>
  <c r="AE251" i="8"/>
  <c r="AD258" i="8"/>
  <c r="AD320" i="8" s="1"/>
  <c r="AD326" i="8" s="1"/>
  <c r="AD355" i="8" s="1"/>
  <c r="AF248" i="8"/>
  <c r="AE252" i="8" s="1"/>
  <c r="AB265" i="8"/>
  <c r="AA269" i="8" s="1"/>
  <c r="AG244" i="8"/>
  <c r="AC262" i="8"/>
  <c r="AC263" i="8" s="1"/>
  <c r="AC264" i="8" s="1"/>
  <c r="AK228" i="8"/>
  <c r="AK229" i="8" s="1"/>
  <c r="AK230" i="8" s="1"/>
  <c r="AH240" i="8"/>
  <c r="AH239" i="8"/>
  <c r="AH236" i="8"/>
  <c r="AH237" i="8" s="1"/>
  <c r="AI234" i="8" s="1"/>
  <c r="AI235" i="8" s="1"/>
  <c r="G200" i="4"/>
  <c r="G206" i="4" s="1"/>
  <c r="G201" i="4"/>
  <c r="G204" i="4" s="1"/>
  <c r="J292" i="4"/>
  <c r="J309" i="4" s="1"/>
  <c r="J349" i="4" s="1"/>
  <c r="J187" i="4"/>
  <c r="X290" i="4"/>
  <c r="X305" i="4" s="1"/>
  <c r="X345" i="4" s="1"/>
  <c r="X153" i="4"/>
  <c r="Y330" i="4"/>
  <c r="Y359" i="4" s="1"/>
  <c r="I333" i="4"/>
  <c r="I362" i="4" s="1"/>
  <c r="U149" i="4"/>
  <c r="U151" i="4" s="1"/>
  <c r="U152" i="4" s="1"/>
  <c r="M173" i="4"/>
  <c r="M315" i="4" s="1"/>
  <c r="N168" i="4"/>
  <c r="N169" i="4" s="1"/>
  <c r="N173" i="4" s="1"/>
  <c r="Z139" i="4"/>
  <c r="Z313" i="4" s="1"/>
  <c r="N172" i="4"/>
  <c r="N171" i="4"/>
  <c r="E357" i="4"/>
  <c r="F208" i="4"/>
  <c r="F210" i="4" s="1"/>
  <c r="F211" i="4" s="1"/>
  <c r="F212" i="4" s="1"/>
  <c r="F317" i="4"/>
  <c r="F328" i="4" s="1"/>
  <c r="T314" i="4"/>
  <c r="T329" i="4" s="1"/>
  <c r="T358" i="4" s="1"/>
  <c r="AA137" i="4"/>
  <c r="AA134" i="4"/>
  <c r="AA135" i="4" s="1"/>
  <c r="AB132" i="4" s="1"/>
  <c r="AA138" i="4"/>
  <c r="J185" i="4"/>
  <c r="J186" i="4" s="1"/>
  <c r="J190" i="4" s="1"/>
  <c r="D214" i="4"/>
  <c r="E211" i="4"/>
  <c r="E212" i="4" s="1"/>
  <c r="E213" i="4" s="1"/>
  <c r="I197" i="4"/>
  <c r="H201" i="4" s="1"/>
  <c r="L179" i="4"/>
  <c r="T157" i="4"/>
  <c r="Q163" i="4"/>
  <c r="P167" i="4" s="1"/>
  <c r="S160" i="4"/>
  <c r="S161" i="4" s="1"/>
  <c r="S162" i="4" s="1"/>
  <c r="AI238" i="8" l="1"/>
  <c r="AI295" i="8"/>
  <c r="AI308" i="8" s="1"/>
  <c r="AI348" i="8" s="1"/>
  <c r="AC265" i="8"/>
  <c r="AB269" i="8" s="1"/>
  <c r="AH241" i="8"/>
  <c r="AH319" i="8" s="1"/>
  <c r="AH332" i="8" s="1"/>
  <c r="AH361" i="8" s="1"/>
  <c r="AI240" i="8"/>
  <c r="AI239" i="8"/>
  <c r="AI236" i="8"/>
  <c r="AI237" i="8" s="1"/>
  <c r="AA272" i="8"/>
  <c r="AA297" i="8"/>
  <c r="AA300" i="8" s="1"/>
  <c r="AA339" i="8" s="1"/>
  <c r="AA270" i="8"/>
  <c r="AA271" i="8" s="1"/>
  <c r="AE255" i="8"/>
  <c r="AE296" i="8"/>
  <c r="AE302" i="8" s="1"/>
  <c r="AE341" i="8" s="1"/>
  <c r="AG245" i="8"/>
  <c r="AG246" i="8" s="1"/>
  <c r="AG247" i="8" s="1"/>
  <c r="AL318" i="8"/>
  <c r="AL325" i="8" s="1"/>
  <c r="AL354" i="8" s="1"/>
  <c r="AL225" i="8"/>
  <c r="AE257" i="8"/>
  <c r="AE256" i="8"/>
  <c r="AE253" i="8"/>
  <c r="AE254" i="8" s="1"/>
  <c r="AF251" i="8" s="1"/>
  <c r="AM222" i="8"/>
  <c r="AM223" i="8"/>
  <c r="AM219" i="8"/>
  <c r="AM220" i="8" s="1"/>
  <c r="AM224" i="8" s="1"/>
  <c r="AM318" i="8" s="1"/>
  <c r="AM325" i="8" s="1"/>
  <c r="AM354" i="8" s="1"/>
  <c r="AK231" i="8"/>
  <c r="AD259" i="8"/>
  <c r="G202" i="4"/>
  <c r="G203" i="4" s="1"/>
  <c r="G207" i="4" s="1"/>
  <c r="G293" i="4"/>
  <c r="G304" i="4" s="1"/>
  <c r="G343" i="4" s="1"/>
  <c r="G205" i="4"/>
  <c r="C218" i="4"/>
  <c r="C221" i="4" s="1"/>
  <c r="H293" i="4"/>
  <c r="H304" i="4" s="1"/>
  <c r="H343" i="4" s="1"/>
  <c r="H204" i="4"/>
  <c r="Z330" i="4"/>
  <c r="Z359" i="4" s="1"/>
  <c r="M327" i="4"/>
  <c r="M356" i="4" s="1"/>
  <c r="U155" i="4"/>
  <c r="U154" i="4"/>
  <c r="O166" i="4"/>
  <c r="O171" i="4" s="1"/>
  <c r="M174" i="4"/>
  <c r="M176" i="4" s="1"/>
  <c r="M177" i="4" s="1"/>
  <c r="M178" i="4" s="1"/>
  <c r="N315" i="4"/>
  <c r="V149" i="4"/>
  <c r="V155" i="4" s="1"/>
  <c r="U156" i="4"/>
  <c r="AB134" i="4"/>
  <c r="AB135" i="4" s="1"/>
  <c r="AB139" i="4" s="1"/>
  <c r="AA139" i="4"/>
  <c r="AA313" i="4" s="1"/>
  <c r="F357" i="4"/>
  <c r="AB138" i="4"/>
  <c r="AB137" i="4"/>
  <c r="Z140" i="4"/>
  <c r="Z142" i="4" s="1"/>
  <c r="Z143" i="4" s="1"/>
  <c r="Z144" i="4" s="1"/>
  <c r="Z145" i="4" s="1"/>
  <c r="Z146" i="4" s="1"/>
  <c r="Y150" i="4" s="1"/>
  <c r="F213" i="4"/>
  <c r="E214" i="4"/>
  <c r="K183" i="4"/>
  <c r="L180" i="4"/>
  <c r="K184" i="4" s="1"/>
  <c r="N174" i="4"/>
  <c r="R163" i="4"/>
  <c r="T159" i="4"/>
  <c r="AH242" i="8" l="1"/>
  <c r="AB268" i="8"/>
  <c r="AA275" i="8"/>
  <c r="AJ234" i="8"/>
  <c r="AJ235" i="8" s="1"/>
  <c r="AI241" i="8"/>
  <c r="AI319" i="8" s="1"/>
  <c r="AI332" i="8" s="1"/>
  <c r="AI361" i="8" s="1"/>
  <c r="AD261" i="8"/>
  <c r="AF256" i="8"/>
  <c r="AF257" i="8"/>
  <c r="AG248" i="8"/>
  <c r="AF252" i="8" s="1"/>
  <c r="AL227" i="8"/>
  <c r="AH244" i="8"/>
  <c r="AB272" i="8"/>
  <c r="AB297" i="8"/>
  <c r="AB300" i="8" s="1"/>
  <c r="AB339" i="8" s="1"/>
  <c r="AM225" i="8"/>
  <c r="AM227" i="8" s="1"/>
  <c r="AE258" i="8"/>
  <c r="AE320" i="8" s="1"/>
  <c r="AE326" i="8" s="1"/>
  <c r="AE355" i="8" s="1"/>
  <c r="H200" i="4"/>
  <c r="H206" i="4" s="1"/>
  <c r="C220" i="4"/>
  <c r="C224" i="4" s="1"/>
  <c r="C294" i="4"/>
  <c r="C301" i="4" s="1"/>
  <c r="C340" i="4" s="1"/>
  <c r="D218" i="4"/>
  <c r="D221" i="4" s="1"/>
  <c r="Q167" i="4"/>
  <c r="Q170" i="4" s="1"/>
  <c r="P291" i="4"/>
  <c r="P170" i="4"/>
  <c r="Y290" i="4"/>
  <c r="Y305" i="4" s="1"/>
  <c r="Y345" i="4" s="1"/>
  <c r="Y153" i="4"/>
  <c r="N327" i="4"/>
  <c r="N356" i="4" s="1"/>
  <c r="AA330" i="4"/>
  <c r="AA359" i="4" s="1"/>
  <c r="O168" i="4"/>
  <c r="O169" i="4" s="1"/>
  <c r="P166" i="4" s="1"/>
  <c r="P171" i="4" s="1"/>
  <c r="O172" i="4"/>
  <c r="V154" i="4"/>
  <c r="M179" i="4"/>
  <c r="M180" i="4" s="1"/>
  <c r="L184" i="4" s="1"/>
  <c r="N176" i="4"/>
  <c r="N177" i="4" s="1"/>
  <c r="N178" i="4" s="1"/>
  <c r="N179" i="4" s="1"/>
  <c r="AC132" i="4"/>
  <c r="AC138" i="4" s="1"/>
  <c r="V151" i="4"/>
  <c r="V152" i="4" s="1"/>
  <c r="W149" i="4" s="1"/>
  <c r="AB313" i="4"/>
  <c r="AA140" i="4"/>
  <c r="AA142" i="4" s="1"/>
  <c r="AA143" i="4" s="1"/>
  <c r="AA144" i="4" s="1"/>
  <c r="G208" i="4"/>
  <c r="G210" i="4" s="1"/>
  <c r="G317" i="4"/>
  <c r="G328" i="4" s="1"/>
  <c r="U314" i="4"/>
  <c r="U329" i="4" s="1"/>
  <c r="U358" i="4" s="1"/>
  <c r="J191" i="4"/>
  <c r="J193" i="4" s="1"/>
  <c r="J316" i="4"/>
  <c r="AB140" i="4"/>
  <c r="F214" i="4"/>
  <c r="E218" i="4" s="1"/>
  <c r="K188" i="4"/>
  <c r="K189" i="4"/>
  <c r="U157" i="4"/>
  <c r="U159" i="4" s="1"/>
  <c r="U160" i="4" s="1"/>
  <c r="U161" i="4" s="1"/>
  <c r="T160" i="4"/>
  <c r="T161" i="4" s="1"/>
  <c r="T162" i="4" s="1"/>
  <c r="S163" i="4"/>
  <c r="R167" i="4" s="1"/>
  <c r="AJ238" i="8" l="1"/>
  <c r="AJ295" i="8"/>
  <c r="AJ308" i="8" s="1"/>
  <c r="AJ348" i="8" s="1"/>
  <c r="AM228" i="8"/>
  <c r="AM229" i="8" s="1"/>
  <c r="AH245" i="8"/>
  <c r="AH246" i="8" s="1"/>
  <c r="AH247" i="8" s="1"/>
  <c r="AF255" i="8"/>
  <c r="AF296" i="8"/>
  <c r="AF302" i="8" s="1"/>
  <c r="AF341" i="8" s="1"/>
  <c r="AD262" i="8"/>
  <c r="AD263" i="8" s="1"/>
  <c r="AD264" i="8" s="1"/>
  <c r="AI242" i="8"/>
  <c r="AL228" i="8"/>
  <c r="AL229" i="8" s="1"/>
  <c r="AM230" i="8" s="1"/>
  <c r="AF253" i="8"/>
  <c r="AF254" i="8" s="1"/>
  <c r="AE259" i="8"/>
  <c r="AJ239" i="8"/>
  <c r="AJ240" i="8"/>
  <c r="AJ236" i="8"/>
  <c r="AJ237" i="8" s="1"/>
  <c r="AA321" i="8"/>
  <c r="AA324" i="8" s="1"/>
  <c r="AA353" i="8" s="1"/>
  <c r="AA276" i="8"/>
  <c r="AB273" i="8"/>
  <c r="AB274" i="8"/>
  <c r="AB270" i="8"/>
  <c r="AB271" i="8" s="1"/>
  <c r="H202" i="4"/>
  <c r="H203" i="4" s="1"/>
  <c r="I200" i="4" s="1"/>
  <c r="I205" i="4" s="1"/>
  <c r="H205" i="4"/>
  <c r="D217" i="4"/>
  <c r="D223" i="4" s="1"/>
  <c r="D294" i="4"/>
  <c r="D301" i="4" s="1"/>
  <c r="D340" i="4" s="1"/>
  <c r="Q291" i="4"/>
  <c r="Q303" i="4" s="1"/>
  <c r="Q342" i="4" s="1"/>
  <c r="E294" i="4"/>
  <c r="E301" i="4" s="1"/>
  <c r="E340" i="4" s="1"/>
  <c r="E221" i="4"/>
  <c r="K292" i="4"/>
  <c r="K309" i="4" s="1"/>
  <c r="K349" i="4" s="1"/>
  <c r="K187" i="4"/>
  <c r="R291" i="4"/>
  <c r="R170" i="4"/>
  <c r="O173" i="4"/>
  <c r="O315" i="4" s="1"/>
  <c r="O327" i="4" s="1"/>
  <c r="O356" i="4" s="1"/>
  <c r="AB330" i="4"/>
  <c r="AB359" i="4" s="1"/>
  <c r="J333" i="4"/>
  <c r="J362" i="4" s="1"/>
  <c r="AB142" i="4"/>
  <c r="AB143" i="4" s="1"/>
  <c r="AB144" i="4" s="1"/>
  <c r="AC134" i="4"/>
  <c r="AC135" i="4" s="1"/>
  <c r="AD132" i="4" s="1"/>
  <c r="AD137" i="4" s="1"/>
  <c r="AC137" i="4"/>
  <c r="P168" i="4"/>
  <c r="P169" i="4" s="1"/>
  <c r="V156" i="4"/>
  <c r="V314" i="4" s="1"/>
  <c r="V329" i="4" s="1"/>
  <c r="V358" i="4" s="1"/>
  <c r="W151" i="4"/>
  <c r="W152" i="4" s="1"/>
  <c r="W156" i="4" s="1"/>
  <c r="P172" i="4"/>
  <c r="G357" i="4"/>
  <c r="C225" i="4"/>
  <c r="C227" i="4" s="1"/>
  <c r="C318" i="4"/>
  <c r="C325" i="4" s="1"/>
  <c r="C354" i="4" s="1"/>
  <c r="AA145" i="4"/>
  <c r="AA146" i="4" s="1"/>
  <c r="Z150" i="4" s="1"/>
  <c r="K185" i="4"/>
  <c r="K186" i="4" s="1"/>
  <c r="K190" i="4" s="1"/>
  <c r="P303" i="4"/>
  <c r="P342" i="4" s="1"/>
  <c r="G211" i="4"/>
  <c r="G212" i="4" s="1"/>
  <c r="G213" i="4" s="1"/>
  <c r="J194" i="4"/>
  <c r="J195" i="4" s="1"/>
  <c r="J196" i="4" s="1"/>
  <c r="U162" i="4"/>
  <c r="N180" i="4"/>
  <c r="M184" i="4" s="1"/>
  <c r="T163" i="4"/>
  <c r="S167" i="4" s="1"/>
  <c r="W155" i="4"/>
  <c r="W154" i="4"/>
  <c r="AL230" i="8" l="1"/>
  <c r="AC268" i="8"/>
  <c r="AB275" i="8"/>
  <c r="AB321" i="8" s="1"/>
  <c r="AB324" i="8" s="1"/>
  <c r="AB353" i="8" s="1"/>
  <c r="AK234" i="8"/>
  <c r="AJ241" i="8"/>
  <c r="AJ319" i="8" s="1"/>
  <c r="AJ332" i="8" s="1"/>
  <c r="AJ361" i="8" s="1"/>
  <c r="AA278" i="8"/>
  <c r="AD265" i="8"/>
  <c r="AC269" i="8" s="1"/>
  <c r="AH248" i="8"/>
  <c r="AG251" i="8"/>
  <c r="AF258" i="8"/>
  <c r="AF320" i="8" s="1"/>
  <c r="AF326" i="8" s="1"/>
  <c r="AF355" i="8" s="1"/>
  <c r="AI244" i="8"/>
  <c r="AE261" i="8"/>
  <c r="AL231" i="8"/>
  <c r="H207" i="4"/>
  <c r="H317" i="4" s="1"/>
  <c r="D222" i="4"/>
  <c r="D219" i="4"/>
  <c r="D220" i="4" s="1"/>
  <c r="D224" i="4" s="1"/>
  <c r="L292" i="4"/>
  <c r="L309" i="4" s="1"/>
  <c r="L349" i="4" s="1"/>
  <c r="L187" i="4"/>
  <c r="S291" i="4"/>
  <c r="S170" i="4"/>
  <c r="Z290" i="4"/>
  <c r="Z305" i="4" s="1"/>
  <c r="Z345" i="4" s="1"/>
  <c r="Z153" i="4"/>
  <c r="O174" i="4"/>
  <c r="O176" i="4" s="1"/>
  <c r="O177" i="4" s="1"/>
  <c r="O178" i="4" s="1"/>
  <c r="O179" i="4" s="1"/>
  <c r="AB145" i="4"/>
  <c r="AB146" i="4" s="1"/>
  <c r="AA150" i="4" s="1"/>
  <c r="AC139" i="4"/>
  <c r="AC140" i="4" s="1"/>
  <c r="AC142" i="4" s="1"/>
  <c r="AC143" i="4" s="1"/>
  <c r="AC144" i="4" s="1"/>
  <c r="AC145" i="4" s="1"/>
  <c r="Q166" i="4"/>
  <c r="Q168" i="4" s="1"/>
  <c r="Q169" i="4" s="1"/>
  <c r="Q173" i="4" s="1"/>
  <c r="P173" i="4"/>
  <c r="P315" i="4" s="1"/>
  <c r="P327" i="4" s="1"/>
  <c r="V157" i="4"/>
  <c r="V159" i="4" s="1"/>
  <c r="AD138" i="4"/>
  <c r="I206" i="4"/>
  <c r="AD134" i="4"/>
  <c r="AD135" i="4" s="1"/>
  <c r="AE132" i="4" s="1"/>
  <c r="L183" i="4"/>
  <c r="K316" i="4"/>
  <c r="R303" i="4"/>
  <c r="R342" i="4" s="1"/>
  <c r="C228" i="4"/>
  <c r="C229" i="4" s="1"/>
  <c r="C230" i="4" s="1"/>
  <c r="G214" i="4"/>
  <c r="J197" i="4"/>
  <c r="X149" i="4"/>
  <c r="U163" i="4"/>
  <c r="T167" i="4" s="1"/>
  <c r="AG252" i="8" l="1"/>
  <c r="AK235" i="8"/>
  <c r="AK295" i="8" s="1"/>
  <c r="AK308" i="8" s="1"/>
  <c r="AK348" i="8" s="1"/>
  <c r="AB276" i="8"/>
  <c r="AB278" i="8" s="1"/>
  <c r="AJ242" i="8"/>
  <c r="AJ244" i="8" s="1"/>
  <c r="AE262" i="8"/>
  <c r="AE263" i="8" s="1"/>
  <c r="AE264" i="8" s="1"/>
  <c r="AK239" i="8"/>
  <c r="AK240" i="8"/>
  <c r="AK236" i="8"/>
  <c r="AK237" i="8" s="1"/>
  <c r="AB279" i="8"/>
  <c r="AB280" i="8" s="1"/>
  <c r="AJ245" i="8"/>
  <c r="AJ246" i="8" s="1"/>
  <c r="AI245" i="8"/>
  <c r="AI246" i="8" s="1"/>
  <c r="AC273" i="8"/>
  <c r="AC274" i="8"/>
  <c r="AC270" i="8"/>
  <c r="AC271" i="8" s="1"/>
  <c r="AA279" i="8"/>
  <c r="AA280" i="8" s="1"/>
  <c r="AA281" i="8" s="1"/>
  <c r="AA283" i="8" s="1"/>
  <c r="AA336" i="8" s="1"/>
  <c r="AF259" i="8"/>
  <c r="AG256" i="8"/>
  <c r="AG257" i="8"/>
  <c r="AG253" i="8"/>
  <c r="AG254" i="8" s="1"/>
  <c r="AC272" i="8"/>
  <c r="AC297" i="8"/>
  <c r="AC300" i="8" s="1"/>
  <c r="AC339" i="8" s="1"/>
  <c r="AG255" i="8"/>
  <c r="AG296" i="8"/>
  <c r="AG302" i="8" s="1"/>
  <c r="AG341" i="8" s="1"/>
  <c r="AK238" i="8"/>
  <c r="AM231" i="8"/>
  <c r="H208" i="4"/>
  <c r="H210" i="4" s="1"/>
  <c r="H211" i="4" s="1"/>
  <c r="H212" i="4" s="1"/>
  <c r="H213" i="4" s="1"/>
  <c r="E217" i="4"/>
  <c r="E222" i="4" s="1"/>
  <c r="F218" i="4"/>
  <c r="F221" i="4" s="1"/>
  <c r="I201" i="4"/>
  <c r="I204" i="4" s="1"/>
  <c r="M292" i="4"/>
  <c r="M309" i="4" s="1"/>
  <c r="M349" i="4" s="1"/>
  <c r="M187" i="4"/>
  <c r="T291" i="4"/>
  <c r="T170" i="4"/>
  <c r="AA290" i="4"/>
  <c r="AA305" i="4" s="1"/>
  <c r="AA345" i="4" s="1"/>
  <c r="AA153" i="4"/>
  <c r="K333" i="4"/>
  <c r="K362" i="4" s="1"/>
  <c r="H328" i="4"/>
  <c r="H357" i="4" s="1"/>
  <c r="Q172" i="4"/>
  <c r="AC313" i="4"/>
  <c r="Q171" i="4"/>
  <c r="AC146" i="4"/>
  <c r="AB150" i="4" s="1"/>
  <c r="AD139" i="4"/>
  <c r="X151" i="4"/>
  <c r="X152" i="4" s="1"/>
  <c r="X156" i="4" s="1"/>
  <c r="L185" i="4"/>
  <c r="L186" i="4" s="1"/>
  <c r="AE134" i="4"/>
  <c r="AE135" i="4" s="1"/>
  <c r="AF132" i="4" s="1"/>
  <c r="AF137" i="4" s="1"/>
  <c r="AE137" i="4"/>
  <c r="AE138" i="4"/>
  <c r="K191" i="4"/>
  <c r="K193" i="4" s="1"/>
  <c r="K194" i="4" s="1"/>
  <c r="K195" i="4" s="1"/>
  <c r="K196" i="4" s="1"/>
  <c r="W314" i="4"/>
  <c r="W329" i="4" s="1"/>
  <c r="W358" i="4" s="1"/>
  <c r="D225" i="4"/>
  <c r="D227" i="4" s="1"/>
  <c r="D318" i="4"/>
  <c r="P356" i="4"/>
  <c r="P174" i="4"/>
  <c r="P176" i="4" s="1"/>
  <c r="R166" i="4"/>
  <c r="L189" i="4"/>
  <c r="L188" i="4"/>
  <c r="S303" i="4"/>
  <c r="S342" i="4" s="1"/>
  <c r="C231" i="4"/>
  <c r="W157" i="4"/>
  <c r="W159" i="4" s="1"/>
  <c r="W160" i="4" s="1"/>
  <c r="W161" i="4" s="1"/>
  <c r="V160" i="4"/>
  <c r="V161" i="4" s="1"/>
  <c r="V162" i="4" s="1"/>
  <c r="Q315" i="4"/>
  <c r="Q327" i="4" s="1"/>
  <c r="X154" i="4"/>
  <c r="X155" i="4"/>
  <c r="O180" i="4"/>
  <c r="N184" i="4" s="1"/>
  <c r="AJ247" i="8" l="1"/>
  <c r="AB281" i="8"/>
  <c r="AB283" i="8" s="1"/>
  <c r="AB336" i="8" s="1"/>
  <c r="AB373" i="8" s="1"/>
  <c r="AB381" i="8" s="1"/>
  <c r="AI247" i="8"/>
  <c r="AI248" i="8" s="1"/>
  <c r="AL234" i="8"/>
  <c r="AL235" i="8" s="1"/>
  <c r="AK241" i="8"/>
  <c r="AK319" i="8" s="1"/>
  <c r="AK332" i="8" s="1"/>
  <c r="AK361" i="8" s="1"/>
  <c r="AD268" i="8"/>
  <c r="AC275" i="8"/>
  <c r="AC321" i="8" s="1"/>
  <c r="AC324" i="8" s="1"/>
  <c r="AC353" i="8" s="1"/>
  <c r="AH251" i="8"/>
  <c r="AG258" i="8"/>
  <c r="AG320" i="8" s="1"/>
  <c r="AG326" i="8" s="1"/>
  <c r="AG355" i="8" s="1"/>
  <c r="AA373" i="8"/>
  <c r="AA381" i="8" s="1"/>
  <c r="AA364" i="8"/>
  <c r="AA374" i="8" s="1"/>
  <c r="AA382" i="8" s="1"/>
  <c r="AE265" i="8"/>
  <c r="AD269" i="8" s="1"/>
  <c r="AF261" i="8"/>
  <c r="E219" i="4"/>
  <c r="E220" i="4" s="1"/>
  <c r="E224" i="4" s="1"/>
  <c r="E318" i="4" s="1"/>
  <c r="E223" i="4"/>
  <c r="F294" i="4"/>
  <c r="F301" i="4" s="1"/>
  <c r="F340" i="4" s="1"/>
  <c r="I293" i="4"/>
  <c r="I304" i="4" s="1"/>
  <c r="I343" i="4" s="1"/>
  <c r="I202" i="4"/>
  <c r="I203" i="4" s="1"/>
  <c r="I207" i="4" s="1"/>
  <c r="AB290" i="4"/>
  <c r="AB305" i="4" s="1"/>
  <c r="AB345" i="4" s="1"/>
  <c r="AB153" i="4"/>
  <c r="AC330" i="4"/>
  <c r="AC359" i="4" s="1"/>
  <c r="D325" i="4"/>
  <c r="D354" i="4" s="1"/>
  <c r="AF138" i="4"/>
  <c r="AD140" i="4"/>
  <c r="AD142" i="4" s="1"/>
  <c r="AD143" i="4" s="1"/>
  <c r="AD144" i="4" s="1"/>
  <c r="AD145" i="4" s="1"/>
  <c r="AD146" i="4" s="1"/>
  <c r="AC150" i="4" s="1"/>
  <c r="AD313" i="4"/>
  <c r="L190" i="4"/>
  <c r="L316" i="4" s="1"/>
  <c r="R168" i="4"/>
  <c r="R169" i="4" s="1"/>
  <c r="AF134" i="4"/>
  <c r="AF135" i="4" s="1"/>
  <c r="AG132" i="4" s="1"/>
  <c r="AE139" i="4"/>
  <c r="M183" i="4"/>
  <c r="M188" i="4" s="1"/>
  <c r="R172" i="4"/>
  <c r="R171" i="4"/>
  <c r="Q356" i="4"/>
  <c r="T303" i="4"/>
  <c r="T342" i="4" s="1"/>
  <c r="H214" i="4"/>
  <c r="D228" i="4"/>
  <c r="D229" i="4" s="1"/>
  <c r="K197" i="4"/>
  <c r="W162" i="4"/>
  <c r="V163" i="4"/>
  <c r="U167" i="4" s="1"/>
  <c r="Y149" i="4"/>
  <c r="P177" i="4"/>
  <c r="P178" i="4" s="1"/>
  <c r="P179" i="4" s="1"/>
  <c r="Q174" i="4"/>
  <c r="AL238" i="8" l="1"/>
  <c r="AM295" i="8"/>
  <c r="AM308" i="8" s="1"/>
  <c r="AM348" i="8" s="1"/>
  <c r="AL295" i="8"/>
  <c r="AL308" i="8" s="1"/>
  <c r="AL348" i="8" s="1"/>
  <c r="AH252" i="8"/>
  <c r="AH255" i="8" s="1"/>
  <c r="AB364" i="8"/>
  <c r="AB374" i="8" s="1"/>
  <c r="AB382" i="8" s="1"/>
  <c r="AG259" i="8"/>
  <c r="AD273" i="8"/>
  <c r="AD274" i="8"/>
  <c r="AD270" i="8"/>
  <c r="AD271" i="8" s="1"/>
  <c r="AL239" i="8"/>
  <c r="AL240" i="8"/>
  <c r="AL236" i="8"/>
  <c r="AL237" i="8" s="1"/>
  <c r="AM234" i="8" s="1"/>
  <c r="AJ248" i="8"/>
  <c r="AC276" i="8"/>
  <c r="AD272" i="8"/>
  <c r="AD297" i="8"/>
  <c r="AD300" i="8" s="1"/>
  <c r="AD339" i="8" s="1"/>
  <c r="AH256" i="8"/>
  <c r="AH257" i="8"/>
  <c r="AH253" i="8"/>
  <c r="AH254" i="8" s="1"/>
  <c r="AF262" i="8"/>
  <c r="AF263" i="8" s="1"/>
  <c r="AF264" i="8" s="1"/>
  <c r="AK242" i="8"/>
  <c r="F217" i="4"/>
  <c r="F219" i="4" s="1"/>
  <c r="F220" i="4" s="1"/>
  <c r="G217" i="4" s="1"/>
  <c r="E225" i="4"/>
  <c r="E227" i="4" s="1"/>
  <c r="E228" i="4" s="1"/>
  <c r="E229" i="4" s="1"/>
  <c r="J200" i="4"/>
  <c r="J206" i="4" s="1"/>
  <c r="G218" i="4"/>
  <c r="G221" i="4" s="1"/>
  <c r="J201" i="4"/>
  <c r="J204" i="4" s="1"/>
  <c r="N292" i="4"/>
  <c r="N309" i="4" s="1"/>
  <c r="N349" i="4" s="1"/>
  <c r="N187" i="4"/>
  <c r="U291" i="4"/>
  <c r="U170" i="4"/>
  <c r="AC290" i="4"/>
  <c r="AC305" i="4" s="1"/>
  <c r="AC345" i="4" s="1"/>
  <c r="AC153" i="4"/>
  <c r="L333" i="4"/>
  <c r="L362" i="4" s="1"/>
  <c r="AD330" i="4"/>
  <c r="AD359" i="4" s="1"/>
  <c r="E325" i="4"/>
  <c r="E354" i="4" s="1"/>
  <c r="M189" i="4"/>
  <c r="L191" i="4"/>
  <c r="L193" i="4" s="1"/>
  <c r="L194" i="4" s="1"/>
  <c r="L195" i="4" s="1"/>
  <c r="L196" i="4" s="1"/>
  <c r="AG134" i="4"/>
  <c r="AG135" i="4" s="1"/>
  <c r="AG139" i="4" s="1"/>
  <c r="R173" i="4"/>
  <c r="R315" i="4" s="1"/>
  <c r="S166" i="4"/>
  <c r="AF139" i="4"/>
  <c r="AF140" i="4" s="1"/>
  <c r="AE313" i="4"/>
  <c r="AE140" i="4"/>
  <c r="AE142" i="4" s="1"/>
  <c r="AE143" i="4" s="1"/>
  <c r="AE144" i="4" s="1"/>
  <c r="AE145" i="4" s="1"/>
  <c r="AE146" i="4" s="1"/>
  <c r="AD150" i="4" s="1"/>
  <c r="M185" i="4"/>
  <c r="M186" i="4" s="1"/>
  <c r="Y151" i="4"/>
  <c r="Y152" i="4" s="1"/>
  <c r="Y156" i="4" s="1"/>
  <c r="I208" i="4"/>
  <c r="I210" i="4" s="1"/>
  <c r="I317" i="4"/>
  <c r="X314" i="4"/>
  <c r="X329" i="4" s="1"/>
  <c r="X358" i="4" s="1"/>
  <c r="D230" i="4"/>
  <c r="W163" i="4"/>
  <c r="V167" i="4" s="1"/>
  <c r="P180" i="4"/>
  <c r="O184" i="4" s="1"/>
  <c r="AG137" i="4"/>
  <c r="AG138" i="4"/>
  <c r="Q176" i="4"/>
  <c r="Y155" i="4"/>
  <c r="Y154" i="4"/>
  <c r="X157" i="4"/>
  <c r="AH296" i="8" l="1"/>
  <c r="AH302" i="8" s="1"/>
  <c r="AH341" i="8" s="1"/>
  <c r="AI251" i="8"/>
  <c r="AI252" i="8" s="1"/>
  <c r="AH258" i="8"/>
  <c r="AH320" i="8" s="1"/>
  <c r="AH326" i="8" s="1"/>
  <c r="AH355" i="8" s="1"/>
  <c r="AF265" i="8"/>
  <c r="AE269" i="8" s="1"/>
  <c r="AE268" i="8"/>
  <c r="AD275" i="8"/>
  <c r="AM240" i="8"/>
  <c r="AM239" i="8"/>
  <c r="AM236" i="8"/>
  <c r="AM237" i="8" s="1"/>
  <c r="AM241" i="8" s="1"/>
  <c r="AL241" i="8"/>
  <c r="AL319" i="8" s="1"/>
  <c r="AL332" i="8" s="1"/>
  <c r="AL361" i="8" s="1"/>
  <c r="AK244" i="8"/>
  <c r="AC278" i="8"/>
  <c r="AG261" i="8"/>
  <c r="F222" i="4"/>
  <c r="F223" i="4"/>
  <c r="F224" i="4"/>
  <c r="E230" i="4"/>
  <c r="J205" i="4"/>
  <c r="G294" i="4"/>
  <c r="G301" i="4" s="1"/>
  <c r="G340" i="4" s="1"/>
  <c r="G219" i="4"/>
  <c r="G220" i="4" s="1"/>
  <c r="H217" i="4" s="1"/>
  <c r="J202" i="4"/>
  <c r="J203" i="4" s="1"/>
  <c r="J207" i="4" s="1"/>
  <c r="J293" i="4"/>
  <c r="J304" i="4" s="1"/>
  <c r="J343" i="4" s="1"/>
  <c r="V291" i="4"/>
  <c r="V170" i="4"/>
  <c r="AD290" i="4"/>
  <c r="AD305" i="4" s="1"/>
  <c r="AD345" i="4" s="1"/>
  <c r="AD153" i="4"/>
  <c r="R327" i="4"/>
  <c r="R356" i="4" s="1"/>
  <c r="I328" i="4"/>
  <c r="I357" i="4" s="1"/>
  <c r="AE330" i="4"/>
  <c r="AE359" i="4" s="1"/>
  <c r="R174" i="4"/>
  <c r="R176" i="4" s="1"/>
  <c r="R177" i="4" s="1"/>
  <c r="R178" i="4" s="1"/>
  <c r="M190" i="4"/>
  <c r="M191" i="4" s="1"/>
  <c r="M193" i="4" s="1"/>
  <c r="N183" i="4"/>
  <c r="N185" i="4" s="1"/>
  <c r="N186" i="4" s="1"/>
  <c r="G223" i="4"/>
  <c r="AF142" i="4"/>
  <c r="AF143" i="4" s="1"/>
  <c r="AF144" i="4" s="1"/>
  <c r="AF145" i="4" s="1"/>
  <c r="AF146" i="4" s="1"/>
  <c r="AE150" i="4" s="1"/>
  <c r="G222" i="4"/>
  <c r="AF313" i="4"/>
  <c r="S168" i="4"/>
  <c r="S169" i="4" s="1"/>
  <c r="T166" i="4" s="1"/>
  <c r="S171" i="4"/>
  <c r="S172" i="4"/>
  <c r="U303" i="4"/>
  <c r="U342" i="4" s="1"/>
  <c r="D231" i="4"/>
  <c r="C235" i="4" s="1"/>
  <c r="I211" i="4"/>
  <c r="I212" i="4" s="1"/>
  <c r="I213" i="4" s="1"/>
  <c r="L197" i="4"/>
  <c r="Z149" i="4"/>
  <c r="AH132" i="4"/>
  <c r="AH133" i="4" s="1"/>
  <c r="Q177" i="4"/>
  <c r="Q178" i="4" s="1"/>
  <c r="Q179" i="4" s="1"/>
  <c r="X159" i="4"/>
  <c r="AM319" i="8" l="1"/>
  <c r="AM332" i="8" s="1"/>
  <c r="AM361" i="8" s="1"/>
  <c r="AI296" i="8"/>
  <c r="AI302" i="8" s="1"/>
  <c r="AI341" i="8" s="1"/>
  <c r="AI255" i="8"/>
  <c r="AL242" i="8"/>
  <c r="AL244" i="8" s="1"/>
  <c r="AL245" i="8" s="1"/>
  <c r="AL246" i="8" s="1"/>
  <c r="AD321" i="8"/>
  <c r="AD324" i="8" s="1"/>
  <c r="AD353" i="8" s="1"/>
  <c r="AD276" i="8"/>
  <c r="AE274" i="8"/>
  <c r="AE273" i="8"/>
  <c r="AE270" i="8"/>
  <c r="AE271" i="8" s="1"/>
  <c r="AE272" i="8"/>
  <c r="AE297" i="8"/>
  <c r="AE300" i="8" s="1"/>
  <c r="AE339" i="8" s="1"/>
  <c r="AC279" i="8"/>
  <c r="AC280" i="8" s="1"/>
  <c r="AC281" i="8" s="1"/>
  <c r="AC283" i="8" s="1"/>
  <c r="AC336" i="8" s="1"/>
  <c r="AK245" i="8"/>
  <c r="AK246" i="8" s="1"/>
  <c r="AG262" i="8"/>
  <c r="AG263" i="8" s="1"/>
  <c r="AG264" i="8" s="1"/>
  <c r="AI256" i="8"/>
  <c r="AI257" i="8"/>
  <c r="AI253" i="8"/>
  <c r="AI254" i="8" s="1"/>
  <c r="AJ251" i="8" s="1"/>
  <c r="AM242" i="8"/>
  <c r="AM244" i="8" s="1"/>
  <c r="AH259" i="8"/>
  <c r="AH289" i="4"/>
  <c r="AH306" i="4" s="1"/>
  <c r="AH346" i="4" s="1"/>
  <c r="AH136" i="4"/>
  <c r="F225" i="4"/>
  <c r="F227" i="4" s="1"/>
  <c r="F228" i="4" s="1"/>
  <c r="F229" i="4" s="1"/>
  <c r="F230" i="4" s="1"/>
  <c r="F318" i="4"/>
  <c r="F325" i="4" s="1"/>
  <c r="F354" i="4" s="1"/>
  <c r="G224" i="4"/>
  <c r="G318" i="4" s="1"/>
  <c r="K200" i="4"/>
  <c r="K205" i="4" s="1"/>
  <c r="K201" i="4"/>
  <c r="K204" i="4" s="1"/>
  <c r="O292" i="4"/>
  <c r="O309" i="4" s="1"/>
  <c r="O349" i="4" s="1"/>
  <c r="O187" i="4"/>
  <c r="AF330" i="4"/>
  <c r="AF359" i="4" s="1"/>
  <c r="M316" i="4"/>
  <c r="N189" i="4"/>
  <c r="N188" i="4"/>
  <c r="S173" i="4"/>
  <c r="S315" i="4" s="1"/>
  <c r="T168" i="4"/>
  <c r="T169" i="4" s="1"/>
  <c r="U166" i="4" s="1"/>
  <c r="O183" i="4"/>
  <c r="O188" i="4" s="1"/>
  <c r="N190" i="4"/>
  <c r="AH134" i="4"/>
  <c r="AH135" i="4" s="1"/>
  <c r="AH139" i="4" s="1"/>
  <c r="AG313" i="4"/>
  <c r="Y314" i="4"/>
  <c r="Y329" i="4" s="1"/>
  <c r="Y358" i="4" s="1"/>
  <c r="J208" i="4"/>
  <c r="J210" i="4" s="1"/>
  <c r="J317" i="4"/>
  <c r="T172" i="4"/>
  <c r="T171" i="4"/>
  <c r="Z151" i="4"/>
  <c r="Z152" i="4" s="1"/>
  <c r="Z156" i="4" s="1"/>
  <c r="V303" i="4"/>
  <c r="V342" i="4" s="1"/>
  <c r="E231" i="4"/>
  <c r="C238" i="4"/>
  <c r="I214" i="4"/>
  <c r="H223" i="4"/>
  <c r="H222" i="4"/>
  <c r="M194" i="4"/>
  <c r="M195" i="4" s="1"/>
  <c r="M196" i="4" s="1"/>
  <c r="Z154" i="4"/>
  <c r="Z155" i="4"/>
  <c r="R179" i="4"/>
  <c r="Y157" i="4"/>
  <c r="Y159" i="4" s="1"/>
  <c r="Y160" i="4" s="1"/>
  <c r="Y161" i="4" s="1"/>
  <c r="AG140" i="4"/>
  <c r="AG142" i="4" s="1"/>
  <c r="AG143" i="4" s="1"/>
  <c r="AG144" i="4" s="1"/>
  <c r="Q180" i="4"/>
  <c r="P184" i="4" s="1"/>
  <c r="X160" i="4"/>
  <c r="X161" i="4" s="1"/>
  <c r="AH137" i="4"/>
  <c r="AH138" i="4"/>
  <c r="AL247" i="8" l="1"/>
  <c r="AF268" i="8"/>
  <c r="AE275" i="8"/>
  <c r="AE321" i="8" s="1"/>
  <c r="AE324" i="8" s="1"/>
  <c r="AE353" i="8" s="1"/>
  <c r="AG265" i="8"/>
  <c r="AF269" i="8" s="1"/>
  <c r="AI258" i="8"/>
  <c r="AI320" i="8" s="1"/>
  <c r="AI326" i="8" s="1"/>
  <c r="AI355" i="8" s="1"/>
  <c r="AD278" i="8"/>
  <c r="AJ256" i="8"/>
  <c r="AJ257" i="8"/>
  <c r="AC373" i="8"/>
  <c r="AC381" i="8" s="1"/>
  <c r="AC364" i="8"/>
  <c r="AC374" i="8" s="1"/>
  <c r="AC382" i="8" s="1"/>
  <c r="AK247" i="8"/>
  <c r="AM245" i="8"/>
  <c r="AM246" i="8" s="1"/>
  <c r="AM247" i="8" s="1"/>
  <c r="AH261" i="8"/>
  <c r="G225" i="4"/>
  <c r="G227" i="4" s="1"/>
  <c r="G228" i="4" s="1"/>
  <c r="G229" i="4" s="1"/>
  <c r="G230" i="4" s="1"/>
  <c r="K206" i="4"/>
  <c r="K202" i="4"/>
  <c r="K203" i="4" s="1"/>
  <c r="K207" i="4" s="1"/>
  <c r="K293" i="4"/>
  <c r="K304" i="4" s="1"/>
  <c r="K343" i="4" s="1"/>
  <c r="D235" i="4"/>
  <c r="D238" i="4" s="1"/>
  <c r="H218" i="4"/>
  <c r="H221" i="4" s="1"/>
  <c r="P292" i="4"/>
  <c r="P309" i="4" s="1"/>
  <c r="P349" i="4" s="1"/>
  <c r="P187" i="4"/>
  <c r="AE290" i="4"/>
  <c r="AE305" i="4" s="1"/>
  <c r="AE345" i="4" s="1"/>
  <c r="AE153" i="4"/>
  <c r="S327" i="4"/>
  <c r="S356" i="4" s="1"/>
  <c r="M333" i="4"/>
  <c r="M362" i="4" s="1"/>
  <c r="J328" i="4"/>
  <c r="J357" i="4" s="1"/>
  <c r="AG330" i="4"/>
  <c r="AG359" i="4" s="1"/>
  <c r="G325" i="4"/>
  <c r="G354" i="4" s="1"/>
  <c r="O185" i="4"/>
  <c r="O186" i="4" s="1"/>
  <c r="P183" i="4" s="1"/>
  <c r="O189" i="4"/>
  <c r="S174" i="4"/>
  <c r="S176" i="4" s="1"/>
  <c r="T173" i="4"/>
  <c r="T174" i="4" s="1"/>
  <c r="N191" i="4"/>
  <c r="N193" i="4" s="1"/>
  <c r="N316" i="4"/>
  <c r="U168" i="4"/>
  <c r="U169" i="4" s="1"/>
  <c r="U171" i="4"/>
  <c r="U172" i="4"/>
  <c r="C295" i="4"/>
  <c r="C308" i="4" s="1"/>
  <c r="C348" i="4" s="1"/>
  <c r="AA149" i="4"/>
  <c r="C237" i="4"/>
  <c r="C241" i="4" s="1"/>
  <c r="F231" i="4"/>
  <c r="E235" i="4" s="1"/>
  <c r="J211" i="4"/>
  <c r="J212" i="4" s="1"/>
  <c r="J213" i="4" s="1"/>
  <c r="M197" i="4"/>
  <c r="AI132" i="4"/>
  <c r="AI133" i="4" s="1"/>
  <c r="R180" i="4"/>
  <c r="Q184" i="4" s="1"/>
  <c r="AG145" i="4"/>
  <c r="AG146" i="4" s="1"/>
  <c r="AF150" i="4" s="1"/>
  <c r="Y162" i="4"/>
  <c r="X162" i="4"/>
  <c r="AI259" i="8" l="1"/>
  <c r="AH262" i="8"/>
  <c r="AH263" i="8" s="1"/>
  <c r="AH264" i="8" s="1"/>
  <c r="AF272" i="8"/>
  <c r="AF297" i="8"/>
  <c r="AF300" i="8" s="1"/>
  <c r="AF339" i="8" s="1"/>
  <c r="AK248" i="8"/>
  <c r="AE276" i="8"/>
  <c r="AF274" i="8"/>
  <c r="AF273" i="8"/>
  <c r="AF270" i="8"/>
  <c r="AF271" i="8" s="1"/>
  <c r="AD279" i="8"/>
  <c r="AD280" i="8" s="1"/>
  <c r="AD281" i="8" s="1"/>
  <c r="AD283" i="8" s="1"/>
  <c r="AD336" i="8" s="1"/>
  <c r="AI136" i="4"/>
  <c r="AI289" i="4"/>
  <c r="AI306" i="4" s="1"/>
  <c r="AI346" i="4" s="1"/>
  <c r="H219" i="4"/>
  <c r="H220" i="4" s="1"/>
  <c r="H224" i="4" s="1"/>
  <c r="L200" i="4"/>
  <c r="L205" i="4" s="1"/>
  <c r="H294" i="4"/>
  <c r="H301" i="4" s="1"/>
  <c r="H340" i="4" s="1"/>
  <c r="D295" i="4"/>
  <c r="D308" i="4" s="1"/>
  <c r="D348" i="4" s="1"/>
  <c r="L201" i="4"/>
  <c r="L204" i="4" s="1"/>
  <c r="E295" i="4"/>
  <c r="E308" i="4" s="1"/>
  <c r="E348" i="4" s="1"/>
  <c r="E238" i="4"/>
  <c r="N333" i="4"/>
  <c r="N362" i="4" s="1"/>
  <c r="O190" i="4"/>
  <c r="O191" i="4" s="1"/>
  <c r="O193" i="4" s="1"/>
  <c r="T315" i="4"/>
  <c r="T176" i="4"/>
  <c r="T177" i="4" s="1"/>
  <c r="T178" i="4" s="1"/>
  <c r="V166" i="4"/>
  <c r="V172" i="4" s="1"/>
  <c r="U173" i="4"/>
  <c r="U315" i="4" s="1"/>
  <c r="AA151" i="4"/>
  <c r="AA152" i="4" s="1"/>
  <c r="AB149" i="4" s="1"/>
  <c r="P185" i="4"/>
  <c r="P186" i="4" s="1"/>
  <c r="P190" i="4" s="1"/>
  <c r="AH313" i="4"/>
  <c r="Z314" i="4"/>
  <c r="Z329" i="4" s="1"/>
  <c r="Z358" i="4" s="1"/>
  <c r="K208" i="4"/>
  <c r="K210" i="4" s="1"/>
  <c r="K317" i="4"/>
  <c r="Z157" i="4"/>
  <c r="Z159" i="4" s="1"/>
  <c r="AA155" i="4"/>
  <c r="AA154" i="4"/>
  <c r="AI134" i="4"/>
  <c r="AI135" i="4" s="1"/>
  <c r="AI139" i="4" s="1"/>
  <c r="G231" i="4"/>
  <c r="D234" i="4"/>
  <c r="J214" i="4"/>
  <c r="P189" i="4"/>
  <c r="P188" i="4"/>
  <c r="N194" i="4"/>
  <c r="N195" i="4" s="1"/>
  <c r="N196" i="4" s="1"/>
  <c r="AI137" i="4"/>
  <c r="AI138" i="4"/>
  <c r="AH140" i="4"/>
  <c r="AH142" i="4" s="1"/>
  <c r="AH143" i="4" s="1"/>
  <c r="AH144" i="4" s="1"/>
  <c r="AH145" i="4" s="1"/>
  <c r="X163" i="4"/>
  <c r="W167" i="4" s="1"/>
  <c r="S177" i="4"/>
  <c r="S178" i="4" s="1"/>
  <c r="S179" i="4" s="1"/>
  <c r="AD364" i="8" l="1"/>
  <c r="AD374" i="8" s="1"/>
  <c r="AD382" i="8" s="1"/>
  <c r="AD373" i="8"/>
  <c r="AD381" i="8" s="1"/>
  <c r="AG268" i="8"/>
  <c r="AF275" i="8"/>
  <c r="AF321" i="8" s="1"/>
  <c r="AF324" i="8" s="1"/>
  <c r="AF353" i="8" s="1"/>
  <c r="AE278" i="8"/>
  <c r="AH265" i="8"/>
  <c r="AG269" i="8" s="1"/>
  <c r="AI261" i="8"/>
  <c r="AJ252" i="8"/>
  <c r="AL248" i="8"/>
  <c r="I217" i="4"/>
  <c r="I223" i="4" s="1"/>
  <c r="L293" i="4"/>
  <c r="L304" i="4" s="1"/>
  <c r="L343" i="4" s="1"/>
  <c r="L202" i="4"/>
  <c r="L203" i="4" s="1"/>
  <c r="L207" i="4" s="1"/>
  <c r="L206" i="4"/>
  <c r="F235" i="4"/>
  <c r="F238" i="4" s="1"/>
  <c r="I218" i="4"/>
  <c r="I221" i="4" s="1"/>
  <c r="Q292" i="4"/>
  <c r="Q309" i="4" s="1"/>
  <c r="Q349" i="4" s="1"/>
  <c r="Q187" i="4"/>
  <c r="AF290" i="4"/>
  <c r="AF305" i="4" s="1"/>
  <c r="AF345" i="4" s="1"/>
  <c r="AF153" i="4"/>
  <c r="O316" i="4"/>
  <c r="O333" i="4" s="1"/>
  <c r="O362" i="4" s="1"/>
  <c r="K328" i="4"/>
  <c r="K357" i="4" s="1"/>
  <c r="T327" i="4"/>
  <c r="T356" i="4" s="1"/>
  <c r="AH330" i="4"/>
  <c r="AH359" i="4" s="1"/>
  <c r="U327" i="4"/>
  <c r="U356" i="4" s="1"/>
  <c r="V171" i="4"/>
  <c r="AA156" i="4"/>
  <c r="AA157" i="4" s="1"/>
  <c r="AA159" i="4" s="1"/>
  <c r="AA160" i="4" s="1"/>
  <c r="AA161" i="4" s="1"/>
  <c r="AB151" i="4"/>
  <c r="AB152" i="4" s="1"/>
  <c r="AC149" i="4" s="1"/>
  <c r="D236" i="4"/>
  <c r="D237" i="4" s="1"/>
  <c r="E234" i="4" s="1"/>
  <c r="V168" i="4"/>
  <c r="V169" i="4" s="1"/>
  <c r="V173" i="4" s="1"/>
  <c r="V315" i="4" s="1"/>
  <c r="V327" i="4" s="1"/>
  <c r="U174" i="4"/>
  <c r="U176" i="4" s="1"/>
  <c r="U177" i="4" s="1"/>
  <c r="U178" i="4" s="1"/>
  <c r="H225" i="4"/>
  <c r="H227" i="4" s="1"/>
  <c r="H228" i="4" s="1"/>
  <c r="H229" i="4" s="1"/>
  <c r="H230" i="4" s="1"/>
  <c r="H318" i="4"/>
  <c r="C242" i="4"/>
  <c r="C244" i="4" s="1"/>
  <c r="C319" i="4"/>
  <c r="AJ132" i="4"/>
  <c r="AJ133" i="4" s="1"/>
  <c r="D240" i="4"/>
  <c r="D239" i="4"/>
  <c r="N197" i="4"/>
  <c r="K211" i="4"/>
  <c r="K212" i="4" s="1"/>
  <c r="K213" i="4" s="1"/>
  <c r="Q183" i="4"/>
  <c r="O194" i="4"/>
  <c r="O195" i="4" s="1"/>
  <c r="O196" i="4" s="1"/>
  <c r="T179" i="4"/>
  <c r="S180" i="4"/>
  <c r="R184" i="4" s="1"/>
  <c r="AH146" i="4"/>
  <c r="AG150" i="4" s="1"/>
  <c r="Y163" i="4"/>
  <c r="AB155" i="4"/>
  <c r="AB154" i="4"/>
  <c r="Z160" i="4"/>
  <c r="Z161" i="4" s="1"/>
  <c r="Z162" i="4" s="1"/>
  <c r="AF276" i="8" l="1"/>
  <c r="AF278" i="8" s="1"/>
  <c r="AF279" i="8" s="1"/>
  <c r="AF280" i="8" s="1"/>
  <c r="AM248" i="8"/>
  <c r="AG272" i="8"/>
  <c r="AG297" i="8"/>
  <c r="AG300" i="8" s="1"/>
  <c r="AG339" i="8" s="1"/>
  <c r="AE279" i="8"/>
  <c r="AE280" i="8" s="1"/>
  <c r="AI262" i="8"/>
  <c r="AI263" i="8" s="1"/>
  <c r="AI264" i="8" s="1"/>
  <c r="AG274" i="8"/>
  <c r="AG273" i="8"/>
  <c r="AG270" i="8"/>
  <c r="AG271" i="8" s="1"/>
  <c r="AJ255" i="8"/>
  <c r="AJ296" i="8"/>
  <c r="AJ302" i="8" s="1"/>
  <c r="AJ341" i="8" s="1"/>
  <c r="AJ253" i="8"/>
  <c r="AJ254" i="8" s="1"/>
  <c r="AJ289" i="4"/>
  <c r="AJ306" i="4" s="1"/>
  <c r="AJ346" i="4" s="1"/>
  <c r="AJ136" i="4"/>
  <c r="I222" i="4"/>
  <c r="M200" i="4"/>
  <c r="M206" i="4" s="1"/>
  <c r="F295" i="4"/>
  <c r="F308" i="4" s="1"/>
  <c r="F348" i="4" s="1"/>
  <c r="I294" i="4"/>
  <c r="I301" i="4" s="1"/>
  <c r="I340" i="4" s="1"/>
  <c r="I219" i="4"/>
  <c r="I220" i="4" s="1"/>
  <c r="I224" i="4" s="1"/>
  <c r="M201" i="4"/>
  <c r="M204" i="4" s="1"/>
  <c r="X167" i="4"/>
  <c r="X170" i="4" s="1"/>
  <c r="W291" i="4"/>
  <c r="W170" i="4"/>
  <c r="H325" i="4"/>
  <c r="H354" i="4" s="1"/>
  <c r="C360" i="4"/>
  <c r="C332" i="4"/>
  <c r="C361" i="4" s="1"/>
  <c r="W166" i="4"/>
  <c r="W171" i="4" s="1"/>
  <c r="AA314" i="4"/>
  <c r="AA329" i="4" s="1"/>
  <c r="AA358" i="4" s="1"/>
  <c r="E236" i="4"/>
  <c r="E237" i="4" s="1"/>
  <c r="F234" i="4" s="1"/>
  <c r="AC151" i="4"/>
  <c r="AC152" i="4" s="1"/>
  <c r="AD149" i="4" s="1"/>
  <c r="U179" i="4"/>
  <c r="AB156" i="4"/>
  <c r="Q185" i="4"/>
  <c r="Q186" i="4" s="1"/>
  <c r="R183" i="4" s="1"/>
  <c r="AJ134" i="4"/>
  <c r="AJ135" i="4" s="1"/>
  <c r="AJ139" i="4" s="1"/>
  <c r="D241" i="4"/>
  <c r="AI313" i="4"/>
  <c r="P191" i="4"/>
  <c r="P193" i="4" s="1"/>
  <c r="P316" i="4"/>
  <c r="L208" i="4"/>
  <c r="L210" i="4" s="1"/>
  <c r="L317" i="4"/>
  <c r="AI140" i="4"/>
  <c r="AI142" i="4" s="1"/>
  <c r="AI143" i="4" s="1"/>
  <c r="AI144" i="4" s="1"/>
  <c r="AI145" i="4" s="1"/>
  <c r="AI146" i="4" s="1"/>
  <c r="AJ138" i="4"/>
  <c r="AJ137" i="4"/>
  <c r="V356" i="4"/>
  <c r="H231" i="4"/>
  <c r="C245" i="4"/>
  <c r="C246" i="4" s="1"/>
  <c r="C247" i="4" s="1"/>
  <c r="E240" i="4"/>
  <c r="E239" i="4"/>
  <c r="K214" i="4"/>
  <c r="V174" i="4"/>
  <c r="V176" i="4" s="1"/>
  <c r="V177" i="4" s="1"/>
  <c r="V178" i="4" s="1"/>
  <c r="V179" i="4" s="1"/>
  <c r="O197" i="4"/>
  <c r="Q189" i="4"/>
  <c r="Q188" i="4"/>
  <c r="AA162" i="4"/>
  <c r="Z163" i="4"/>
  <c r="Y167" i="4" s="1"/>
  <c r="AC154" i="4"/>
  <c r="AC155" i="4"/>
  <c r="T180" i="4"/>
  <c r="AF281" i="8" l="1"/>
  <c r="AF283" i="8" s="1"/>
  <c r="AF336" i="8" s="1"/>
  <c r="AF373" i="8" s="1"/>
  <c r="AF381" i="8" s="1"/>
  <c r="AH268" i="8"/>
  <c r="AG275" i="8"/>
  <c r="AG321" i="8" s="1"/>
  <c r="AG324" i="8" s="1"/>
  <c r="AG353" i="8" s="1"/>
  <c r="AI265" i="8"/>
  <c r="AH269" i="8" s="1"/>
  <c r="AF364" i="8"/>
  <c r="AF374" i="8" s="1"/>
  <c r="AF382" i="8" s="1"/>
  <c r="AE281" i="8"/>
  <c r="AE283" i="8" s="1"/>
  <c r="AE336" i="8" s="1"/>
  <c r="AK251" i="8"/>
  <c r="AK252" i="8" s="1"/>
  <c r="AJ258" i="8"/>
  <c r="M205" i="4"/>
  <c r="J217" i="4"/>
  <c r="X291" i="4"/>
  <c r="X303" i="4" s="1"/>
  <c r="X342" i="4" s="1"/>
  <c r="M293" i="4"/>
  <c r="M304" i="4" s="1"/>
  <c r="M343" i="4" s="1"/>
  <c r="M202" i="4"/>
  <c r="M203" i="4" s="1"/>
  <c r="M207" i="4" s="1"/>
  <c r="G235" i="4"/>
  <c r="G238" i="4" s="1"/>
  <c r="J218" i="4"/>
  <c r="J221" i="4" s="1"/>
  <c r="N201" i="4"/>
  <c r="N204" i="4" s="1"/>
  <c r="S184" i="4"/>
  <c r="S187" i="4" s="1"/>
  <c r="R292" i="4"/>
  <c r="R309" i="4" s="1"/>
  <c r="R349" i="4" s="1"/>
  <c r="R187" i="4"/>
  <c r="Y291" i="4"/>
  <c r="Y170" i="4"/>
  <c r="AG290" i="4"/>
  <c r="AG305" i="4" s="1"/>
  <c r="AG345" i="4" s="1"/>
  <c r="AG153" i="4"/>
  <c r="W168" i="4"/>
  <c r="W169" i="4" s="1"/>
  <c r="W173" i="4" s="1"/>
  <c r="W315" i="4" s="1"/>
  <c r="W327" i="4" s="1"/>
  <c r="W172" i="4"/>
  <c r="AI330" i="4"/>
  <c r="AI359" i="4" s="1"/>
  <c r="P333" i="4"/>
  <c r="P362" i="4" s="1"/>
  <c r="L328" i="4"/>
  <c r="L357" i="4" s="1"/>
  <c r="AD151" i="4"/>
  <c r="AD152" i="4" s="1"/>
  <c r="AE149" i="4" s="1"/>
  <c r="F236" i="4"/>
  <c r="F237" i="4" s="1"/>
  <c r="F241" i="4" s="1"/>
  <c r="AC156" i="4"/>
  <c r="E241" i="4"/>
  <c r="E242" i="4" s="1"/>
  <c r="Q190" i="4"/>
  <c r="AK132" i="4"/>
  <c r="AK133" i="4" s="1"/>
  <c r="AJ313" i="4"/>
  <c r="I225" i="4"/>
  <c r="I227" i="4" s="1"/>
  <c r="I318" i="4"/>
  <c r="D242" i="4"/>
  <c r="D244" i="4" s="1"/>
  <c r="D319" i="4"/>
  <c r="AB314" i="4"/>
  <c r="AB329" i="4" s="1"/>
  <c r="AB358" i="4" s="1"/>
  <c r="R185" i="4"/>
  <c r="R186" i="4" s="1"/>
  <c r="R190" i="4" s="1"/>
  <c r="W303" i="4"/>
  <c r="W342" i="4" s="1"/>
  <c r="C248" i="4"/>
  <c r="F239" i="4"/>
  <c r="F240" i="4"/>
  <c r="L211" i="4"/>
  <c r="L212" i="4" s="1"/>
  <c r="L213" i="4" s="1"/>
  <c r="R188" i="4"/>
  <c r="R189" i="4"/>
  <c r="P194" i="4"/>
  <c r="P195" i="4" s="1"/>
  <c r="P196" i="4" s="1"/>
  <c r="U180" i="4"/>
  <c r="T184" i="4" s="1"/>
  <c r="AA163" i="4"/>
  <c r="Z167" i="4" s="1"/>
  <c r="AD155" i="4"/>
  <c r="AD154" i="4"/>
  <c r="AJ140" i="4"/>
  <c r="AJ142" i="4" s="1"/>
  <c r="AB157" i="4"/>
  <c r="AK296" i="8" l="1"/>
  <c r="AK302" i="8" s="1"/>
  <c r="AK341" i="8" s="1"/>
  <c r="AK255" i="8"/>
  <c r="AG276" i="8"/>
  <c r="AH272" i="8"/>
  <c r="AH297" i="8"/>
  <c r="AH300" i="8" s="1"/>
  <c r="AH339" i="8" s="1"/>
  <c r="AK257" i="8"/>
  <c r="AK256" i="8"/>
  <c r="AK253" i="8"/>
  <c r="AK254" i="8" s="1"/>
  <c r="AL251" i="8" s="1"/>
  <c r="AL252" i="8" s="1"/>
  <c r="AL255" i="8" s="1"/>
  <c r="AE364" i="8"/>
  <c r="AE374" i="8" s="1"/>
  <c r="AE382" i="8" s="1"/>
  <c r="AE373" i="8"/>
  <c r="AE381" i="8" s="1"/>
  <c r="AG278" i="8"/>
  <c r="AH274" i="8"/>
  <c r="AH273" i="8"/>
  <c r="AH270" i="8"/>
  <c r="AH271" i="8" s="1"/>
  <c r="AJ320" i="8"/>
  <c r="AJ326" i="8" s="1"/>
  <c r="AJ355" i="8" s="1"/>
  <c r="AJ259" i="8"/>
  <c r="AK136" i="4"/>
  <c r="AK289" i="4"/>
  <c r="AK306" i="4" s="1"/>
  <c r="AK346" i="4" s="1"/>
  <c r="J219" i="4"/>
  <c r="J220" i="4" s="1"/>
  <c r="J224" i="4" s="1"/>
  <c r="J222" i="4"/>
  <c r="J223" i="4"/>
  <c r="S292" i="4"/>
  <c r="S309" i="4" s="1"/>
  <c r="S349" i="4" s="1"/>
  <c r="N200" i="4"/>
  <c r="N205" i="4" s="1"/>
  <c r="G295" i="4"/>
  <c r="G308" i="4" s="1"/>
  <c r="G348" i="4" s="1"/>
  <c r="J294" i="4"/>
  <c r="J301" i="4" s="1"/>
  <c r="J340" i="4" s="1"/>
  <c r="N293" i="4"/>
  <c r="N304" i="4" s="1"/>
  <c r="N343" i="4" s="1"/>
  <c r="T292" i="4"/>
  <c r="T309" i="4" s="1"/>
  <c r="T349" i="4" s="1"/>
  <c r="T187" i="4"/>
  <c r="Z291" i="4"/>
  <c r="Z170" i="4"/>
  <c r="X166" i="4"/>
  <c r="X168" i="4" s="1"/>
  <c r="X169" i="4" s="1"/>
  <c r="Y166" i="4" s="1"/>
  <c r="I325" i="4"/>
  <c r="I354" i="4" s="1"/>
  <c r="AJ330" i="4"/>
  <c r="AJ359" i="4" s="1"/>
  <c r="D360" i="4"/>
  <c r="D332" i="4"/>
  <c r="D361" i="4" s="1"/>
  <c r="AD156" i="4"/>
  <c r="AK134" i="4"/>
  <c r="AK135" i="4" s="1"/>
  <c r="AK138" i="4"/>
  <c r="AK137" i="4"/>
  <c r="AE151" i="4"/>
  <c r="AE152" i="4" s="1"/>
  <c r="E319" i="4"/>
  <c r="Q191" i="4"/>
  <c r="Q193" i="4" s="1"/>
  <c r="Q316" i="4"/>
  <c r="AC314" i="4"/>
  <c r="AC329" i="4" s="1"/>
  <c r="AC358" i="4" s="1"/>
  <c r="M208" i="4"/>
  <c r="M210" i="4" s="1"/>
  <c r="M317" i="4"/>
  <c r="W356" i="4"/>
  <c r="Y303" i="4"/>
  <c r="Y342" i="4" s="1"/>
  <c r="E244" i="4"/>
  <c r="G234" i="4"/>
  <c r="D245" i="4"/>
  <c r="D246" i="4" s="1"/>
  <c r="D247" i="4" s="1"/>
  <c r="L214" i="4"/>
  <c r="I228" i="4"/>
  <c r="I229" i="4" s="1"/>
  <c r="P197" i="4"/>
  <c r="S183" i="4"/>
  <c r="W174" i="4"/>
  <c r="W176" i="4" s="1"/>
  <c r="W177" i="4" s="1"/>
  <c r="W178" i="4" s="1"/>
  <c r="W179" i="4" s="1"/>
  <c r="V180" i="4"/>
  <c r="U184" i="4" s="1"/>
  <c r="AC157" i="4"/>
  <c r="AC159" i="4" s="1"/>
  <c r="AC160" i="4" s="1"/>
  <c r="AC161" i="4" s="1"/>
  <c r="AB159" i="4"/>
  <c r="AE154" i="4"/>
  <c r="AE155" i="4"/>
  <c r="AJ143" i="4"/>
  <c r="AJ144" i="4" s="1"/>
  <c r="AJ145" i="4" s="1"/>
  <c r="AL296" i="8" l="1"/>
  <c r="AL302" i="8" s="1"/>
  <c r="AL341" i="8" s="1"/>
  <c r="AM296" i="8"/>
  <c r="AM302" i="8" s="1"/>
  <c r="AM341" i="8" s="1"/>
  <c r="AI268" i="8"/>
  <c r="AH275" i="8"/>
  <c r="AH321" i="8" s="1"/>
  <c r="AH324" i="8" s="1"/>
  <c r="AH353" i="8" s="1"/>
  <c r="AH276" i="8"/>
  <c r="AG279" i="8"/>
  <c r="AG280" i="8" s="1"/>
  <c r="AG281" i="8" s="1"/>
  <c r="AG283" i="8" s="1"/>
  <c r="AG336" i="8" s="1"/>
  <c r="AK258" i="8"/>
  <c r="AK320" i="8" s="1"/>
  <c r="AK326" i="8" s="1"/>
  <c r="AK355" i="8" s="1"/>
  <c r="AL256" i="8"/>
  <c r="AL257" i="8"/>
  <c r="AL253" i="8"/>
  <c r="AL254" i="8" s="1"/>
  <c r="AM251" i="8" s="1"/>
  <c r="AJ261" i="8"/>
  <c r="K217" i="4"/>
  <c r="K222" i="4" s="1"/>
  <c r="N202" i="4"/>
  <c r="N203" i="4" s="1"/>
  <c r="N207" i="4" s="1"/>
  <c r="N206" i="4"/>
  <c r="K218" i="4"/>
  <c r="K221" i="4" s="1"/>
  <c r="O201" i="4"/>
  <c r="O204" i="4" s="1"/>
  <c r="X172" i="4"/>
  <c r="X171" i="4"/>
  <c r="M328" i="4"/>
  <c r="M357" i="4" s="1"/>
  <c r="Q333" i="4"/>
  <c r="Q362" i="4" s="1"/>
  <c r="E360" i="4"/>
  <c r="E332" i="4"/>
  <c r="E361" i="4" s="1"/>
  <c r="AK139" i="4"/>
  <c r="AK313" i="4" s="1"/>
  <c r="AL132" i="4"/>
  <c r="AF149" i="4"/>
  <c r="AF154" i="4" s="1"/>
  <c r="AE156" i="4"/>
  <c r="S185" i="4"/>
  <c r="S186" i="4" s="1"/>
  <c r="S190" i="4" s="1"/>
  <c r="X173" i="4"/>
  <c r="X315" i="4" s="1"/>
  <c r="G236" i="4"/>
  <c r="G237" i="4" s="1"/>
  <c r="G241" i="4" s="1"/>
  <c r="R191" i="4"/>
  <c r="R193" i="4" s="1"/>
  <c r="R194" i="4" s="1"/>
  <c r="R195" i="4" s="1"/>
  <c r="R316" i="4"/>
  <c r="F242" i="4"/>
  <c r="F244" i="4" s="1"/>
  <c r="AD314" i="4"/>
  <c r="AD329" i="4" s="1"/>
  <c r="AD358" i="4" s="1"/>
  <c r="F319" i="4"/>
  <c r="J225" i="4"/>
  <c r="J227" i="4" s="1"/>
  <c r="J228" i="4" s="1"/>
  <c r="J229" i="4" s="1"/>
  <c r="J318" i="4"/>
  <c r="Y171" i="4"/>
  <c r="Y168" i="4"/>
  <c r="Y169" i="4" s="1"/>
  <c r="Y173" i="4" s="1"/>
  <c r="Z303" i="4"/>
  <c r="Z342" i="4" s="1"/>
  <c r="D248" i="4"/>
  <c r="E245" i="4"/>
  <c r="E246" i="4" s="1"/>
  <c r="E247" i="4" s="1"/>
  <c r="G240" i="4"/>
  <c r="G239" i="4"/>
  <c r="I230" i="4"/>
  <c r="M211" i="4"/>
  <c r="M212" i="4" s="1"/>
  <c r="M213" i="4" s="1"/>
  <c r="S188" i="4"/>
  <c r="S189" i="4"/>
  <c r="Q194" i="4"/>
  <c r="Q195" i="4" s="1"/>
  <c r="Q196" i="4" s="1"/>
  <c r="Y172" i="4"/>
  <c r="W180" i="4"/>
  <c r="V184" i="4" s="1"/>
  <c r="AJ146" i="4"/>
  <c r="AB160" i="4"/>
  <c r="AB161" i="4" s="1"/>
  <c r="AC162" i="4" s="1"/>
  <c r="AD157" i="4"/>
  <c r="AL258" i="8" l="1"/>
  <c r="AL320" i="8" s="1"/>
  <c r="AL326" i="8" s="1"/>
  <c r="AL355" i="8" s="1"/>
  <c r="AK259" i="8"/>
  <c r="AM256" i="8"/>
  <c r="AM257" i="8"/>
  <c r="AM253" i="8"/>
  <c r="AM254" i="8" s="1"/>
  <c r="AM258" i="8" s="1"/>
  <c r="AM320" i="8" s="1"/>
  <c r="AM326" i="8" s="1"/>
  <c r="AM355" i="8" s="1"/>
  <c r="AG373" i="8"/>
  <c r="AG381" i="8" s="1"/>
  <c r="AG364" i="8"/>
  <c r="AG374" i="8" s="1"/>
  <c r="AG382" i="8" s="1"/>
  <c r="AH278" i="8"/>
  <c r="AJ262" i="8"/>
  <c r="AJ263" i="8" s="1"/>
  <c r="AJ264" i="8" s="1"/>
  <c r="AI273" i="8"/>
  <c r="AI274" i="8"/>
  <c r="AL137" i="4"/>
  <c r="AL133" i="4"/>
  <c r="AL134" i="4" s="1"/>
  <c r="AL135" i="4" s="1"/>
  <c r="K223" i="4"/>
  <c r="O200" i="4"/>
  <c r="O205" i="4" s="1"/>
  <c r="K219" i="4"/>
  <c r="K220" i="4" s="1"/>
  <c r="K224" i="4" s="1"/>
  <c r="O293" i="4"/>
  <c r="O304" i="4" s="1"/>
  <c r="O343" i="4" s="1"/>
  <c r="K294" i="4"/>
  <c r="K301" i="4" s="1"/>
  <c r="K340" i="4" s="1"/>
  <c r="C252" i="4"/>
  <c r="C255" i="4" s="1"/>
  <c r="U292" i="4"/>
  <c r="U309" i="4" s="1"/>
  <c r="U349" i="4" s="1"/>
  <c r="U187" i="4"/>
  <c r="J325" i="4"/>
  <c r="J354" i="4" s="1"/>
  <c r="X327" i="4"/>
  <c r="X356" i="4" s="1"/>
  <c r="AK330" i="4"/>
  <c r="AK359" i="4" s="1"/>
  <c r="F360" i="4"/>
  <c r="F332" i="4"/>
  <c r="F361" i="4" s="1"/>
  <c r="R333" i="4"/>
  <c r="R362" i="4" s="1"/>
  <c r="AF155" i="4"/>
  <c r="AK140" i="4"/>
  <c r="AK142" i="4" s="1"/>
  <c r="AK143" i="4" s="1"/>
  <c r="AK144" i="4" s="1"/>
  <c r="AK145" i="4" s="1"/>
  <c r="AK146" i="4" s="1"/>
  <c r="AL138" i="4"/>
  <c r="AF151" i="4"/>
  <c r="AF152" i="4" s="1"/>
  <c r="AG149" i="4" s="1"/>
  <c r="J230" i="4"/>
  <c r="N208" i="4"/>
  <c r="N210" i="4" s="1"/>
  <c r="N317" i="4"/>
  <c r="AE314" i="4"/>
  <c r="AE329" i="4" s="1"/>
  <c r="AE358" i="4" s="1"/>
  <c r="X174" i="4"/>
  <c r="X176" i="4" s="1"/>
  <c r="X177" i="4" s="1"/>
  <c r="X178" i="4" s="1"/>
  <c r="X179" i="4" s="1"/>
  <c r="X180" i="4" s="1"/>
  <c r="W184" i="4" s="1"/>
  <c r="Z166" i="4"/>
  <c r="E248" i="4"/>
  <c r="D252" i="4" s="1"/>
  <c r="H234" i="4"/>
  <c r="I231" i="4"/>
  <c r="H235" i="4" s="1"/>
  <c r="F245" i="4"/>
  <c r="F246" i="4" s="1"/>
  <c r="F247" i="4" s="1"/>
  <c r="M214" i="4"/>
  <c r="L218" i="4" s="1"/>
  <c r="Q197" i="4"/>
  <c r="R196" i="4"/>
  <c r="T183" i="4"/>
  <c r="Y315" i="4"/>
  <c r="Y327" i="4" s="1"/>
  <c r="AE157" i="4"/>
  <c r="AE159" i="4" s="1"/>
  <c r="AE160" i="4" s="1"/>
  <c r="AE161" i="4" s="1"/>
  <c r="AD159" i="4"/>
  <c r="AB162" i="4"/>
  <c r="AL259" i="8" l="1"/>
  <c r="AH279" i="8"/>
  <c r="AH280" i="8" s="1"/>
  <c r="AH281" i="8" s="1"/>
  <c r="AH283" i="8" s="1"/>
  <c r="AH336" i="8" s="1"/>
  <c r="AM259" i="8"/>
  <c r="AM261" i="8" s="1"/>
  <c r="AK261" i="8"/>
  <c r="AL261" i="8"/>
  <c r="AJ265" i="8"/>
  <c r="AI269" i="8" s="1"/>
  <c r="AL136" i="4"/>
  <c r="AL289" i="4"/>
  <c r="AL306" i="4" s="1"/>
  <c r="AL346" i="4" s="1"/>
  <c r="AM289" i="4"/>
  <c r="AM306" i="4" s="1"/>
  <c r="AM346" i="4" s="1"/>
  <c r="O202" i="4"/>
  <c r="O203" i="4" s="1"/>
  <c r="O207" i="4" s="1"/>
  <c r="O206" i="4"/>
  <c r="L217" i="4"/>
  <c r="L219" i="4" s="1"/>
  <c r="L220" i="4" s="1"/>
  <c r="L224" i="4" s="1"/>
  <c r="C254" i="4"/>
  <c r="C258" i="4" s="1"/>
  <c r="C296" i="4"/>
  <c r="C302" i="4" s="1"/>
  <c r="C341" i="4" s="1"/>
  <c r="P201" i="4"/>
  <c r="P204" i="4" s="1"/>
  <c r="D296" i="4"/>
  <c r="D302" i="4" s="1"/>
  <c r="D341" i="4" s="1"/>
  <c r="D255" i="4"/>
  <c r="L294" i="4"/>
  <c r="L301" i="4" s="1"/>
  <c r="L340" i="4" s="1"/>
  <c r="L221" i="4"/>
  <c r="V292" i="4"/>
  <c r="V309" i="4" s="1"/>
  <c r="V349" i="4" s="1"/>
  <c r="V187" i="4"/>
  <c r="N328" i="4"/>
  <c r="N357" i="4" s="1"/>
  <c r="AL139" i="4"/>
  <c r="AL313" i="4" s="1"/>
  <c r="AM132" i="4"/>
  <c r="AM137" i="4" s="1"/>
  <c r="AF156" i="4"/>
  <c r="AF314" i="4" s="1"/>
  <c r="AF329" i="4" s="1"/>
  <c r="AF358" i="4" s="1"/>
  <c r="T185" i="4"/>
  <c r="T186" i="4" s="1"/>
  <c r="T190" i="4" s="1"/>
  <c r="AG151" i="4"/>
  <c r="AG152" i="4" s="1"/>
  <c r="AG156" i="4" s="1"/>
  <c r="Z168" i="4"/>
  <c r="Z169" i="4" s="1"/>
  <c r="Z173" i="4" s="1"/>
  <c r="S191" i="4"/>
  <c r="S193" i="4" s="1"/>
  <c r="S316" i="4"/>
  <c r="G242" i="4"/>
  <c r="G244" i="4" s="1"/>
  <c r="G245" i="4" s="1"/>
  <c r="G246" i="4" s="1"/>
  <c r="G247" i="4" s="1"/>
  <c r="G319" i="4"/>
  <c r="K225" i="4"/>
  <c r="K227" i="4" s="1"/>
  <c r="K228" i="4" s="1"/>
  <c r="K229" i="4" s="1"/>
  <c r="K230" i="4" s="1"/>
  <c r="K318" i="4"/>
  <c r="Z171" i="4"/>
  <c r="Z172" i="4"/>
  <c r="Y356" i="4"/>
  <c r="F248" i="4"/>
  <c r="E252" i="4" s="1"/>
  <c r="J231" i="4"/>
  <c r="H238" i="4"/>
  <c r="H240" i="4"/>
  <c r="H239" i="4"/>
  <c r="R197" i="4"/>
  <c r="N211" i="4"/>
  <c r="N212" i="4" s="1"/>
  <c r="N213" i="4" s="1"/>
  <c r="T189" i="4"/>
  <c r="T188" i="4"/>
  <c r="Y174" i="4"/>
  <c r="Y176" i="4" s="1"/>
  <c r="AD160" i="4"/>
  <c r="AD161" i="4" s="1"/>
  <c r="AE162" i="4" s="1"/>
  <c r="AG154" i="4"/>
  <c r="AG155" i="4"/>
  <c r="AB163" i="4"/>
  <c r="AA167" i="4" s="1"/>
  <c r="AI272" i="8" l="1"/>
  <c r="AI297" i="8"/>
  <c r="AI300" i="8" s="1"/>
  <c r="AI339" i="8" s="1"/>
  <c r="AI270" i="8"/>
  <c r="AI271" i="8" s="1"/>
  <c r="AL262" i="8"/>
  <c r="AL263" i="8" s="1"/>
  <c r="AH373" i="8"/>
  <c r="AH381" i="8" s="1"/>
  <c r="AH364" i="8"/>
  <c r="AH374" i="8" s="1"/>
  <c r="AH382" i="8" s="1"/>
  <c r="AM262" i="8"/>
  <c r="AM263" i="8" s="1"/>
  <c r="AK262" i="8"/>
  <c r="AK263" i="8" s="1"/>
  <c r="AK264" i="8" s="1"/>
  <c r="P200" i="4"/>
  <c r="P202" i="4" s="1"/>
  <c r="P203" i="4" s="1"/>
  <c r="P207" i="4" s="1"/>
  <c r="L222" i="4"/>
  <c r="L223" i="4"/>
  <c r="D251" i="4"/>
  <c r="D257" i="4" s="1"/>
  <c r="P293" i="4"/>
  <c r="P304" i="4" s="1"/>
  <c r="P343" i="4" s="1"/>
  <c r="I235" i="4"/>
  <c r="I238" i="4" s="1"/>
  <c r="Q201" i="4"/>
  <c r="Q204" i="4" s="1"/>
  <c r="E296" i="4"/>
  <c r="E302" i="4" s="1"/>
  <c r="E341" i="4" s="1"/>
  <c r="E255" i="4"/>
  <c r="W292" i="4"/>
  <c r="W309" i="4" s="1"/>
  <c r="W349" i="4" s="1"/>
  <c r="W187" i="4"/>
  <c r="AM138" i="4"/>
  <c r="AL140" i="4"/>
  <c r="AL142" i="4" s="1"/>
  <c r="AL143" i="4" s="1"/>
  <c r="AL144" i="4" s="1"/>
  <c r="AL145" i="4" s="1"/>
  <c r="AL146" i="4" s="1"/>
  <c r="K325" i="4"/>
  <c r="K354" i="4" s="1"/>
  <c r="AL330" i="4"/>
  <c r="AL359" i="4" s="1"/>
  <c r="G360" i="4"/>
  <c r="G332" i="4"/>
  <c r="G361" i="4" s="1"/>
  <c r="AM134" i="4"/>
  <c r="AM135" i="4" s="1"/>
  <c r="AM139" i="4" s="1"/>
  <c r="AM313" i="4" s="1"/>
  <c r="S333" i="4"/>
  <c r="S362" i="4" s="1"/>
  <c r="AF157" i="4"/>
  <c r="AF159" i="4" s="1"/>
  <c r="AF160" i="4" s="1"/>
  <c r="AF161" i="4" s="1"/>
  <c r="O208" i="4"/>
  <c r="O210" i="4" s="1"/>
  <c r="O211" i="4" s="1"/>
  <c r="O212" i="4" s="1"/>
  <c r="O213" i="4" s="1"/>
  <c r="O317" i="4"/>
  <c r="C259" i="4"/>
  <c r="C261" i="4" s="1"/>
  <c r="C320" i="4"/>
  <c r="C326" i="4" s="1"/>
  <c r="C355" i="4" s="1"/>
  <c r="H295" i="4"/>
  <c r="H308" i="4" s="1"/>
  <c r="H348" i="4" s="1"/>
  <c r="AA166" i="4"/>
  <c r="H236" i="4"/>
  <c r="H237" i="4" s="1"/>
  <c r="H241" i="4" s="1"/>
  <c r="G248" i="4"/>
  <c r="K231" i="4"/>
  <c r="N214" i="4"/>
  <c r="M217" i="4"/>
  <c r="U183" i="4"/>
  <c r="S194" i="4"/>
  <c r="S195" i="4" s="1"/>
  <c r="S196" i="4" s="1"/>
  <c r="AD162" i="4"/>
  <c r="AH149" i="4"/>
  <c r="AH150" i="4" s="1"/>
  <c r="AC163" i="4"/>
  <c r="Y177" i="4"/>
  <c r="Y178" i="4" s="1"/>
  <c r="Y179" i="4" s="1"/>
  <c r="AM264" i="8" l="1"/>
  <c r="AK265" i="8"/>
  <c r="AJ268" i="8"/>
  <c r="AI275" i="8"/>
  <c r="AL264" i="8"/>
  <c r="AH153" i="4"/>
  <c r="AH290" i="4"/>
  <c r="AH305" i="4" s="1"/>
  <c r="AH345" i="4" s="1"/>
  <c r="P205" i="4"/>
  <c r="P206" i="4"/>
  <c r="D253" i="4"/>
  <c r="D254" i="4" s="1"/>
  <c r="D258" i="4" s="1"/>
  <c r="D256" i="4"/>
  <c r="Q293" i="4"/>
  <c r="Q304" i="4" s="1"/>
  <c r="Q343" i="4" s="1"/>
  <c r="I295" i="4"/>
  <c r="I308" i="4" s="1"/>
  <c r="I348" i="4" s="1"/>
  <c r="F252" i="4"/>
  <c r="F255" i="4" s="1"/>
  <c r="J235" i="4"/>
  <c r="J238" i="4" s="1"/>
  <c r="M218" i="4"/>
  <c r="M221" i="4" s="1"/>
  <c r="AB167" i="4"/>
  <c r="AB170" i="4" s="1"/>
  <c r="AA291" i="4"/>
  <c r="AA170" i="4"/>
  <c r="AM140" i="4"/>
  <c r="AM142" i="4" s="1"/>
  <c r="AM143" i="4" s="1"/>
  <c r="AM144" i="4" s="1"/>
  <c r="AM145" i="4" s="1"/>
  <c r="AM146" i="4" s="1"/>
  <c r="O328" i="4"/>
  <c r="O357" i="4" s="1"/>
  <c r="AM330" i="4"/>
  <c r="AM359" i="4" s="1"/>
  <c r="AF162" i="4"/>
  <c r="AH151" i="4"/>
  <c r="AH152" i="4" s="1"/>
  <c r="AI149" i="4" s="1"/>
  <c r="AI150" i="4" s="1"/>
  <c r="AI153" i="4" s="1"/>
  <c r="AA171" i="4"/>
  <c r="U185" i="4"/>
  <c r="U186" i="4" s="1"/>
  <c r="V183" i="4" s="1"/>
  <c r="L225" i="4"/>
  <c r="L227" i="4" s="1"/>
  <c r="L318" i="4"/>
  <c r="Z174" i="4"/>
  <c r="Z176" i="4" s="1"/>
  <c r="Z177" i="4" s="1"/>
  <c r="Z178" i="4" s="1"/>
  <c r="Z315" i="4"/>
  <c r="T191" i="4"/>
  <c r="T193" i="4" s="1"/>
  <c r="T316" i="4"/>
  <c r="AG314" i="4"/>
  <c r="AG329" i="4" s="1"/>
  <c r="AG358" i="4" s="1"/>
  <c r="AA172" i="4"/>
  <c r="AA168" i="4"/>
  <c r="I234" i="4"/>
  <c r="Q200" i="4"/>
  <c r="C262" i="4"/>
  <c r="C263" i="4" s="1"/>
  <c r="C264" i="4" s="1"/>
  <c r="O214" i="4"/>
  <c r="M222" i="4"/>
  <c r="M223" i="4"/>
  <c r="S197" i="4"/>
  <c r="U188" i="4"/>
  <c r="U189" i="4"/>
  <c r="AG157" i="4"/>
  <c r="AG159" i="4" s="1"/>
  <c r="AD163" i="4"/>
  <c r="AC167" i="4" s="1"/>
  <c r="Y180" i="4"/>
  <c r="X184" i="4" s="1"/>
  <c r="AH155" i="4"/>
  <c r="AH154" i="4"/>
  <c r="AJ269" i="8" l="1"/>
  <c r="AJ273" i="8"/>
  <c r="AJ274" i="8"/>
  <c r="AJ270" i="8"/>
  <c r="AJ271" i="8" s="1"/>
  <c r="AL265" i="8"/>
  <c r="AJ272" i="8"/>
  <c r="AJ297" i="8"/>
  <c r="AJ300" i="8" s="1"/>
  <c r="AJ339" i="8" s="1"/>
  <c r="AI321" i="8"/>
  <c r="AI324" i="8" s="1"/>
  <c r="AI353" i="8" s="1"/>
  <c r="AI276" i="8"/>
  <c r="AI290" i="4"/>
  <c r="AI305" i="4" s="1"/>
  <c r="AI345" i="4" s="1"/>
  <c r="E251" i="4"/>
  <c r="E253" i="4" s="1"/>
  <c r="E254" i="4" s="1"/>
  <c r="F296" i="4"/>
  <c r="F302" i="4" s="1"/>
  <c r="F341" i="4" s="1"/>
  <c r="J295" i="4"/>
  <c r="J308" i="4" s="1"/>
  <c r="J348" i="4" s="1"/>
  <c r="M294" i="4"/>
  <c r="M301" i="4" s="1"/>
  <c r="M340" i="4" s="1"/>
  <c r="M219" i="4"/>
  <c r="M220" i="4" s="1"/>
  <c r="M224" i="4" s="1"/>
  <c r="AB291" i="4"/>
  <c r="AB303" i="4" s="1"/>
  <c r="AB342" i="4" s="1"/>
  <c r="N218" i="4"/>
  <c r="N221" i="4" s="1"/>
  <c r="R201" i="4"/>
  <c r="R204" i="4" s="1"/>
  <c r="X292" i="4"/>
  <c r="X309" i="4" s="1"/>
  <c r="X349" i="4" s="1"/>
  <c r="X187" i="4"/>
  <c r="T333" i="4"/>
  <c r="T362" i="4" s="1"/>
  <c r="L325" i="4"/>
  <c r="L354" i="4" s="1"/>
  <c r="Z327" i="4"/>
  <c r="Z356" i="4" s="1"/>
  <c r="C265" i="4"/>
  <c r="Z179" i="4"/>
  <c r="Z180" i="4" s="1"/>
  <c r="Y184" i="4" s="1"/>
  <c r="AI151" i="4"/>
  <c r="AI152" i="4" s="1"/>
  <c r="AI156" i="4" s="1"/>
  <c r="U190" i="4"/>
  <c r="V185" i="4"/>
  <c r="V186" i="4" s="1"/>
  <c r="W183" i="4" s="1"/>
  <c r="Q202" i="4"/>
  <c r="Q203" i="4" s="1"/>
  <c r="R200" i="4" s="1"/>
  <c r="I236" i="4"/>
  <c r="I237" i="4" s="1"/>
  <c r="I241" i="4" s="1"/>
  <c r="I319" i="4" s="1"/>
  <c r="AH156" i="4"/>
  <c r="P208" i="4"/>
  <c r="P210" i="4" s="1"/>
  <c r="P211" i="4" s="1"/>
  <c r="P212" i="4" s="1"/>
  <c r="P213" i="4" s="1"/>
  <c r="P317" i="4"/>
  <c r="D259" i="4"/>
  <c r="D261" i="4" s="1"/>
  <c r="D320" i="4"/>
  <c r="H242" i="4"/>
  <c r="H244" i="4" s="1"/>
  <c r="H245" i="4" s="1"/>
  <c r="H246" i="4" s="1"/>
  <c r="H247" i="4" s="1"/>
  <c r="H319" i="4"/>
  <c r="AA169" i="4"/>
  <c r="I240" i="4"/>
  <c r="Q205" i="4"/>
  <c r="I239" i="4"/>
  <c r="Q206" i="4"/>
  <c r="AA303" i="4"/>
  <c r="AA342" i="4" s="1"/>
  <c r="L228" i="4"/>
  <c r="L229" i="4" s="1"/>
  <c r="L230" i="4" s="1"/>
  <c r="V189" i="4"/>
  <c r="V188" i="4"/>
  <c r="T194" i="4"/>
  <c r="T195" i="4" s="1"/>
  <c r="T196" i="4" s="1"/>
  <c r="AE163" i="4"/>
  <c r="AD167" i="4" s="1"/>
  <c r="AG160" i="4"/>
  <c r="AG161" i="4" s="1"/>
  <c r="AG162" i="4" s="1"/>
  <c r="AI155" i="4"/>
  <c r="AI154" i="4"/>
  <c r="AK268" i="8" l="1"/>
  <c r="AJ275" i="8"/>
  <c r="AI278" i="8"/>
  <c r="AK269" i="8"/>
  <c r="AM265" i="8"/>
  <c r="E257" i="4"/>
  <c r="E256" i="4"/>
  <c r="N217" i="4"/>
  <c r="N219" i="4" s="1"/>
  <c r="N220" i="4" s="1"/>
  <c r="N224" i="4" s="1"/>
  <c r="R293" i="4"/>
  <c r="R304" i="4" s="1"/>
  <c r="R343" i="4" s="1"/>
  <c r="N294" i="4"/>
  <c r="N301" i="4" s="1"/>
  <c r="N340" i="4" s="1"/>
  <c r="AC291" i="4"/>
  <c r="AC170" i="4"/>
  <c r="P328" i="4"/>
  <c r="P357" i="4" s="1"/>
  <c r="I360" i="4"/>
  <c r="I332" i="4"/>
  <c r="I361" i="4" s="1"/>
  <c r="H360" i="4"/>
  <c r="H332" i="4"/>
  <c r="H361" i="4" s="1"/>
  <c r="D326" i="4"/>
  <c r="D355" i="4" s="1"/>
  <c r="F251" i="4"/>
  <c r="F257" i="4" s="1"/>
  <c r="E258" i="4"/>
  <c r="Q207" i="4"/>
  <c r="V190" i="4"/>
  <c r="AB166" i="4"/>
  <c r="AA173" i="4"/>
  <c r="AA315" i="4" s="1"/>
  <c r="J234" i="4"/>
  <c r="J240" i="4" s="1"/>
  <c r="W185" i="4"/>
  <c r="W186" i="4" s="1"/>
  <c r="W190" i="4" s="1"/>
  <c r="R202" i="4"/>
  <c r="R203" i="4" s="1"/>
  <c r="R207" i="4" s="1"/>
  <c r="AH314" i="4"/>
  <c r="AH329" i="4" s="1"/>
  <c r="AH358" i="4" s="1"/>
  <c r="M225" i="4"/>
  <c r="M227" i="4" s="1"/>
  <c r="M318" i="4"/>
  <c r="U191" i="4"/>
  <c r="U193" i="4" s="1"/>
  <c r="U316" i="4"/>
  <c r="I242" i="4"/>
  <c r="I244" i="4" s="1"/>
  <c r="R205" i="4"/>
  <c r="R206" i="4"/>
  <c r="D262" i="4"/>
  <c r="D263" i="4" s="1"/>
  <c r="D264" i="4" s="1"/>
  <c r="H248" i="4"/>
  <c r="L231" i="4"/>
  <c r="K235" i="4" s="1"/>
  <c r="P214" i="4"/>
  <c r="T197" i="4"/>
  <c r="W188" i="4"/>
  <c r="W189" i="4"/>
  <c r="AF163" i="4"/>
  <c r="AJ149" i="4"/>
  <c r="AJ150" i="4" s="1"/>
  <c r="AH157" i="4"/>
  <c r="AJ321" i="8" l="1"/>
  <c r="AJ324" i="8" s="1"/>
  <c r="AJ353" i="8" s="1"/>
  <c r="AJ276" i="8"/>
  <c r="AK272" i="8"/>
  <c r="AK297" i="8"/>
  <c r="AK300" i="8" s="1"/>
  <c r="AK339" i="8" s="1"/>
  <c r="AI279" i="8"/>
  <c r="AI280" i="8" s="1"/>
  <c r="AI281" i="8" s="1"/>
  <c r="AI283" i="8" s="1"/>
  <c r="AI336" i="8" s="1"/>
  <c r="AK273" i="8"/>
  <c r="AK274" i="8"/>
  <c r="AK270" i="8"/>
  <c r="AK271" i="8" s="1"/>
  <c r="AL268" i="8" s="1"/>
  <c r="AL269" i="8" s="1"/>
  <c r="AJ290" i="4"/>
  <c r="AJ305" i="4" s="1"/>
  <c r="AJ345" i="4" s="1"/>
  <c r="AJ153" i="4"/>
  <c r="N222" i="4"/>
  <c r="N223" i="4"/>
  <c r="G252" i="4"/>
  <c r="G255" i="4" s="1"/>
  <c r="O218" i="4"/>
  <c r="O221" i="4" s="1"/>
  <c r="S201" i="4"/>
  <c r="S204" i="4" s="1"/>
  <c r="AE167" i="4"/>
  <c r="AE170" i="4" s="1"/>
  <c r="K295" i="4"/>
  <c r="K308" i="4" s="1"/>
  <c r="K348" i="4" s="1"/>
  <c r="K238" i="4"/>
  <c r="Y292" i="4"/>
  <c r="Y309" i="4" s="1"/>
  <c r="Y349" i="4" s="1"/>
  <c r="Y187" i="4"/>
  <c r="AD291" i="4"/>
  <c r="AD303" i="4" s="1"/>
  <c r="AD342" i="4" s="1"/>
  <c r="AD170" i="4"/>
  <c r="AA327" i="4"/>
  <c r="AA356" i="4" s="1"/>
  <c r="M325" i="4"/>
  <c r="M354" i="4" s="1"/>
  <c r="U333" i="4"/>
  <c r="U362" i="4" s="1"/>
  <c r="D265" i="4"/>
  <c r="C269" i="4" s="1"/>
  <c r="F256" i="4"/>
  <c r="J239" i="4"/>
  <c r="AJ151" i="4"/>
  <c r="AJ152" i="4" s="1"/>
  <c r="AJ156" i="4" s="1"/>
  <c r="J236" i="4"/>
  <c r="J237" i="4" s="1"/>
  <c r="AB168" i="4"/>
  <c r="AB169" i="4" s="1"/>
  <c r="AC166" i="4" s="1"/>
  <c r="S200" i="4"/>
  <c r="AB171" i="4"/>
  <c r="AA174" i="4"/>
  <c r="AA176" i="4" s="1"/>
  <c r="AB172" i="4"/>
  <c r="F253" i="4"/>
  <c r="F254" i="4" s="1"/>
  <c r="G251" i="4" s="1"/>
  <c r="G257" i="4" s="1"/>
  <c r="E259" i="4"/>
  <c r="E261" i="4" s="1"/>
  <c r="E320" i="4"/>
  <c r="Q208" i="4"/>
  <c r="Q210" i="4" s="1"/>
  <c r="Q211" i="4" s="1"/>
  <c r="Q212" i="4" s="1"/>
  <c r="Q213" i="4" s="1"/>
  <c r="Q317" i="4"/>
  <c r="AI314" i="4"/>
  <c r="AI329" i="4" s="1"/>
  <c r="AI358" i="4" s="1"/>
  <c r="R317" i="4"/>
  <c r="V191" i="4"/>
  <c r="V193" i="4" s="1"/>
  <c r="V194" i="4" s="1"/>
  <c r="V195" i="4" s="1"/>
  <c r="V316" i="4"/>
  <c r="R208" i="4"/>
  <c r="AC303" i="4"/>
  <c r="AC342" i="4" s="1"/>
  <c r="I245" i="4"/>
  <c r="I246" i="4" s="1"/>
  <c r="I247" i="4" s="1"/>
  <c r="O217" i="4"/>
  <c r="M228" i="4"/>
  <c r="M229" i="4" s="1"/>
  <c r="M230" i="4" s="1"/>
  <c r="X183" i="4"/>
  <c r="U194" i="4"/>
  <c r="U195" i="4" s="1"/>
  <c r="AG163" i="4"/>
  <c r="AF167" i="4" s="1"/>
  <c r="AI157" i="4"/>
  <c r="AI159" i="4" s="1"/>
  <c r="AI160" i="4" s="1"/>
  <c r="AI161" i="4" s="1"/>
  <c r="AJ154" i="4"/>
  <c r="AJ155" i="4"/>
  <c r="AH159" i="4"/>
  <c r="AL272" i="8" l="1"/>
  <c r="AM297" i="8"/>
  <c r="AM300" i="8" s="1"/>
  <c r="AM339" i="8" s="1"/>
  <c r="AL297" i="8"/>
  <c r="AL300" i="8" s="1"/>
  <c r="AL339" i="8" s="1"/>
  <c r="AI373" i="8"/>
  <c r="AI381" i="8" s="1"/>
  <c r="AI364" i="8"/>
  <c r="AI374" i="8" s="1"/>
  <c r="AI382" i="8" s="1"/>
  <c r="AJ278" i="8"/>
  <c r="AL273" i="8"/>
  <c r="AL274" i="8"/>
  <c r="AL270" i="8"/>
  <c r="AL271" i="8" s="1"/>
  <c r="AK275" i="8"/>
  <c r="G296" i="4"/>
  <c r="G302" i="4" s="1"/>
  <c r="G341" i="4" s="1"/>
  <c r="AE291" i="4"/>
  <c r="AE303" i="4" s="1"/>
  <c r="AE342" i="4" s="1"/>
  <c r="S202" i="4"/>
  <c r="S203" i="4" s="1"/>
  <c r="T200" i="4" s="1"/>
  <c r="O294" i="4"/>
  <c r="O301" i="4" s="1"/>
  <c r="O340" i="4" s="1"/>
  <c r="S293" i="4"/>
  <c r="S304" i="4" s="1"/>
  <c r="S343" i="4" s="1"/>
  <c r="C297" i="4"/>
  <c r="C300" i="4" s="1"/>
  <c r="C339" i="4" s="1"/>
  <c r="C272" i="4"/>
  <c r="AF291" i="4"/>
  <c r="AF170" i="4"/>
  <c r="C271" i="4"/>
  <c r="D268" i="4" s="1"/>
  <c r="V333" i="4"/>
  <c r="V362" i="4" s="1"/>
  <c r="R328" i="4"/>
  <c r="R357" i="4" s="1"/>
  <c r="E326" i="4"/>
  <c r="E355" i="4" s="1"/>
  <c r="Q328" i="4"/>
  <c r="Q357" i="4" s="1"/>
  <c r="G253" i="4"/>
  <c r="G254" i="4" s="1"/>
  <c r="G258" i="4" s="1"/>
  <c r="G256" i="4"/>
  <c r="K234" i="4"/>
  <c r="J241" i="4"/>
  <c r="J319" i="4" s="1"/>
  <c r="AC168" i="4"/>
  <c r="AC169" i="4" s="1"/>
  <c r="AC173" i="4" s="1"/>
  <c r="O219" i="4"/>
  <c r="O220" i="4" s="1"/>
  <c r="AB173" i="4"/>
  <c r="AB315" i="4" s="1"/>
  <c r="R210" i="4"/>
  <c r="R211" i="4" s="1"/>
  <c r="R212" i="4" s="1"/>
  <c r="R213" i="4" s="1"/>
  <c r="S206" i="4"/>
  <c r="X185" i="4"/>
  <c r="X186" i="4" s="1"/>
  <c r="Y183" i="4" s="1"/>
  <c r="S205" i="4"/>
  <c r="F258" i="4"/>
  <c r="F259" i="4" s="1"/>
  <c r="F261" i="4" s="1"/>
  <c r="AC172" i="4"/>
  <c r="N225" i="4"/>
  <c r="N227" i="4" s="1"/>
  <c r="N318" i="4"/>
  <c r="W191" i="4"/>
  <c r="W193" i="4" s="1"/>
  <c r="W194" i="4" s="1"/>
  <c r="W195" i="4" s="1"/>
  <c r="W196" i="4" s="1"/>
  <c r="W316" i="4"/>
  <c r="AC171" i="4"/>
  <c r="V196" i="4"/>
  <c r="I248" i="4"/>
  <c r="E262" i="4"/>
  <c r="E263" i="4" s="1"/>
  <c r="E264" i="4" s="1"/>
  <c r="M231" i="4"/>
  <c r="L235" i="4" s="1"/>
  <c r="Q214" i="4"/>
  <c r="O223" i="4"/>
  <c r="O222" i="4"/>
  <c r="U196" i="4"/>
  <c r="X189" i="4"/>
  <c r="X188" i="4"/>
  <c r="AK149" i="4"/>
  <c r="AK150" i="4" s="1"/>
  <c r="AA177" i="4"/>
  <c r="AA178" i="4" s="1"/>
  <c r="AA179" i="4" s="1"/>
  <c r="AH160" i="4"/>
  <c r="AH161" i="4" s="1"/>
  <c r="AI162" i="4" s="1"/>
  <c r="AM268" i="8" l="1"/>
  <c r="AL275" i="8"/>
  <c r="AL321" i="8" s="1"/>
  <c r="AL324" i="8" s="1"/>
  <c r="AL353" i="8" s="1"/>
  <c r="AJ279" i="8"/>
  <c r="AJ280" i="8" s="1"/>
  <c r="AJ281" i="8" s="1"/>
  <c r="AJ283" i="8" s="1"/>
  <c r="AJ336" i="8" s="1"/>
  <c r="AK321" i="8"/>
  <c r="AK324" i="8" s="1"/>
  <c r="AK353" i="8" s="1"/>
  <c r="AK276" i="8"/>
  <c r="AL276" i="8"/>
  <c r="AK153" i="4"/>
  <c r="AK290" i="4"/>
  <c r="AK305" i="4" s="1"/>
  <c r="AK345" i="4" s="1"/>
  <c r="S207" i="4"/>
  <c r="S208" i="4" s="1"/>
  <c r="S210" i="4" s="1"/>
  <c r="H252" i="4"/>
  <c r="H255" i="4" s="1"/>
  <c r="P218" i="4"/>
  <c r="P221" i="4" s="1"/>
  <c r="L295" i="4"/>
  <c r="L308" i="4" s="1"/>
  <c r="L348" i="4" s="1"/>
  <c r="L238" i="4"/>
  <c r="C275" i="4"/>
  <c r="C321" i="4" s="1"/>
  <c r="C324" i="4" s="1"/>
  <c r="C353" i="4" s="1"/>
  <c r="AB327" i="4"/>
  <c r="AB356" i="4" s="1"/>
  <c r="W333" i="4"/>
  <c r="W362" i="4" s="1"/>
  <c r="N325" i="4"/>
  <c r="N354" i="4" s="1"/>
  <c r="J360" i="4"/>
  <c r="J332" i="4"/>
  <c r="J361" i="4" s="1"/>
  <c r="F320" i="4"/>
  <c r="E265" i="4"/>
  <c r="D269" i="4" s="1"/>
  <c r="H251" i="4"/>
  <c r="D273" i="4"/>
  <c r="D274" i="4"/>
  <c r="J242" i="4"/>
  <c r="J244" i="4" s="1"/>
  <c r="J245" i="4" s="1"/>
  <c r="J246" i="4" s="1"/>
  <c r="AB174" i="4"/>
  <c r="AB176" i="4" s="1"/>
  <c r="K240" i="4"/>
  <c r="K236" i="4"/>
  <c r="K237" i="4" s="1"/>
  <c r="K239" i="4"/>
  <c r="P217" i="4"/>
  <c r="O224" i="4"/>
  <c r="Y185" i="4"/>
  <c r="Y186" i="4" s="1"/>
  <c r="Y190" i="4" s="1"/>
  <c r="X190" i="4"/>
  <c r="G320" i="4"/>
  <c r="G259" i="4"/>
  <c r="G261" i="4" s="1"/>
  <c r="G262" i="4" s="1"/>
  <c r="G263" i="4" s="1"/>
  <c r="AJ314" i="4"/>
  <c r="AJ329" i="4" s="1"/>
  <c r="AJ358" i="4" s="1"/>
  <c r="AD166" i="4"/>
  <c r="AK155" i="4"/>
  <c r="AK151" i="4"/>
  <c r="AK152" i="4" s="1"/>
  <c r="AL149" i="4" s="1"/>
  <c r="AL150" i="4" s="1"/>
  <c r="AL153" i="4" s="1"/>
  <c r="AF303" i="4"/>
  <c r="AF342" i="4" s="1"/>
  <c r="F262" i="4"/>
  <c r="F263" i="4" s="1"/>
  <c r="F264" i="4" s="1"/>
  <c r="N228" i="4"/>
  <c r="N229" i="4" s="1"/>
  <c r="N230" i="4" s="1"/>
  <c r="R214" i="4"/>
  <c r="U197" i="4"/>
  <c r="T201" i="4" s="1"/>
  <c r="T206" i="4"/>
  <c r="T205" i="4"/>
  <c r="Y188" i="4"/>
  <c r="Y189" i="4"/>
  <c r="AJ157" i="4"/>
  <c r="AJ159" i="4" s="1"/>
  <c r="AK154" i="4"/>
  <c r="AH162" i="4"/>
  <c r="AH163" i="4" s="1"/>
  <c r="AG167" i="4" s="1"/>
  <c r="AA180" i="4"/>
  <c r="Z184" i="4" s="1"/>
  <c r="AK278" i="8" l="1"/>
  <c r="AL278" i="8"/>
  <c r="AJ364" i="8"/>
  <c r="AJ374" i="8" s="1"/>
  <c r="AJ382" i="8" s="1"/>
  <c r="AJ373" i="8"/>
  <c r="AJ381" i="8" s="1"/>
  <c r="AM273" i="8"/>
  <c r="AM274" i="8"/>
  <c r="AM270" i="8"/>
  <c r="AM271" i="8" s="1"/>
  <c r="AM275" i="8" s="1"/>
  <c r="AM321" i="8" s="1"/>
  <c r="AM324" i="8" s="1"/>
  <c r="AM353" i="8" s="1"/>
  <c r="AL290" i="4"/>
  <c r="AL305" i="4" s="1"/>
  <c r="AL345" i="4" s="1"/>
  <c r="AM290" i="4"/>
  <c r="AM305" i="4" s="1"/>
  <c r="AM345" i="4" s="1"/>
  <c r="S317" i="4"/>
  <c r="S328" i="4" s="1"/>
  <c r="S357" i="4" s="1"/>
  <c r="H253" i="4"/>
  <c r="H254" i="4" s="1"/>
  <c r="H258" i="4" s="1"/>
  <c r="P294" i="4"/>
  <c r="P301" i="4" s="1"/>
  <c r="P340" i="4" s="1"/>
  <c r="H296" i="4"/>
  <c r="H302" i="4" s="1"/>
  <c r="H341" i="4" s="1"/>
  <c r="P219" i="4"/>
  <c r="P220" i="4" s="1"/>
  <c r="Q217" i="4" s="1"/>
  <c r="Q218" i="4"/>
  <c r="Q221" i="4" s="1"/>
  <c r="D297" i="4"/>
  <c r="D300" i="4" s="1"/>
  <c r="D339" i="4" s="1"/>
  <c r="D272" i="4"/>
  <c r="AG291" i="4"/>
  <c r="AG170" i="4"/>
  <c r="C276" i="4"/>
  <c r="C278" i="4" s="1"/>
  <c r="F326" i="4"/>
  <c r="F355" i="4" s="1"/>
  <c r="H257" i="4"/>
  <c r="D270" i="4"/>
  <c r="D271" i="4" s="1"/>
  <c r="H256" i="4"/>
  <c r="G326" i="4"/>
  <c r="G355" i="4" s="1"/>
  <c r="F265" i="4"/>
  <c r="P223" i="4"/>
  <c r="P222" i="4"/>
  <c r="L234" i="4"/>
  <c r="K241" i="4"/>
  <c r="AD168" i="4"/>
  <c r="AD169" i="4" s="1"/>
  <c r="AK156" i="4"/>
  <c r="AK314" i="4" s="1"/>
  <c r="AK329" i="4" s="1"/>
  <c r="AK358" i="4" s="1"/>
  <c r="AL151" i="4"/>
  <c r="AL152" i="4" s="1"/>
  <c r="AL156" i="4" s="1"/>
  <c r="O225" i="4"/>
  <c r="O227" i="4" s="1"/>
  <c r="O228" i="4" s="1"/>
  <c r="O229" i="4" s="1"/>
  <c r="O230" i="4" s="1"/>
  <c r="O318" i="4"/>
  <c r="X191" i="4"/>
  <c r="X193" i="4" s="1"/>
  <c r="X194" i="4" s="1"/>
  <c r="X195" i="4" s="1"/>
  <c r="X196" i="4" s="1"/>
  <c r="X316" i="4"/>
  <c r="AC174" i="4"/>
  <c r="AC176" i="4" s="1"/>
  <c r="AC177" i="4" s="1"/>
  <c r="AC178" i="4" s="1"/>
  <c r="AC315" i="4"/>
  <c r="AD172" i="4"/>
  <c r="AD171" i="4"/>
  <c r="G264" i="4"/>
  <c r="N231" i="4"/>
  <c r="M235" i="4" s="1"/>
  <c r="J247" i="4"/>
  <c r="S211" i="4"/>
  <c r="S212" i="4" s="1"/>
  <c r="S213" i="4" s="1"/>
  <c r="V197" i="4"/>
  <c r="U201" i="4" s="1"/>
  <c r="Z183" i="4"/>
  <c r="AI163" i="4"/>
  <c r="AH167" i="4" s="1"/>
  <c r="AJ160" i="4"/>
  <c r="AJ161" i="4" s="1"/>
  <c r="AB177" i="4"/>
  <c r="AB178" i="4" s="1"/>
  <c r="AL155" i="4"/>
  <c r="AL154" i="4"/>
  <c r="AM276" i="8" l="1"/>
  <c r="AM278" i="8" s="1"/>
  <c r="AL279" i="8"/>
  <c r="AL280" i="8" s="1"/>
  <c r="AK279" i="8"/>
  <c r="AK280" i="8" s="1"/>
  <c r="AL281" i="8" s="1"/>
  <c r="AL283" i="8" s="1"/>
  <c r="AL336" i="8" s="1"/>
  <c r="I251" i="4"/>
  <c r="I256" i="4" s="1"/>
  <c r="Q219" i="4"/>
  <c r="Q220" i="4" s="1"/>
  <c r="Q224" i="4" s="1"/>
  <c r="Q223" i="4"/>
  <c r="Q222" i="4"/>
  <c r="P224" i="4"/>
  <c r="P225" i="4" s="1"/>
  <c r="P227" i="4" s="1"/>
  <c r="P228" i="4" s="1"/>
  <c r="P229" i="4" s="1"/>
  <c r="P230" i="4" s="1"/>
  <c r="Q294" i="4"/>
  <c r="Q301" i="4" s="1"/>
  <c r="Q340" i="4" s="1"/>
  <c r="E269" i="4"/>
  <c r="E272" i="4" s="1"/>
  <c r="M295" i="4"/>
  <c r="M308" i="4" s="1"/>
  <c r="M348" i="4" s="1"/>
  <c r="M238" i="4"/>
  <c r="T293" i="4"/>
  <c r="T304" i="4" s="1"/>
  <c r="T343" i="4" s="1"/>
  <c r="T204" i="4"/>
  <c r="Z292" i="4"/>
  <c r="Z309" i="4" s="1"/>
  <c r="Z349" i="4" s="1"/>
  <c r="Z187" i="4"/>
  <c r="AH291" i="4"/>
  <c r="AH170" i="4"/>
  <c r="C279" i="4"/>
  <c r="C280" i="4" s="1"/>
  <c r="C281" i="4" s="1"/>
  <c r="C283" i="4" s="1"/>
  <c r="C336" i="4" s="1"/>
  <c r="E268" i="4"/>
  <c r="D275" i="4"/>
  <c r="X333" i="4"/>
  <c r="X362" i="4" s="1"/>
  <c r="O325" i="4"/>
  <c r="O354" i="4" s="1"/>
  <c r="AC327" i="4"/>
  <c r="AC356" i="4" s="1"/>
  <c r="G265" i="4"/>
  <c r="K242" i="4"/>
  <c r="K244" i="4" s="1"/>
  <c r="K319" i="4"/>
  <c r="L236" i="4"/>
  <c r="L237" i="4" s="1"/>
  <c r="M234" i="4" s="1"/>
  <c r="M236" i="4" s="1"/>
  <c r="M237" i="4" s="1"/>
  <c r="M241" i="4" s="1"/>
  <c r="L240" i="4"/>
  <c r="L239" i="4"/>
  <c r="AD173" i="4"/>
  <c r="AD315" i="4" s="1"/>
  <c r="H259" i="4"/>
  <c r="H261" i="4" s="1"/>
  <c r="H320" i="4"/>
  <c r="Y191" i="4"/>
  <c r="Y193" i="4" s="1"/>
  <c r="Y316" i="4"/>
  <c r="AE166" i="4"/>
  <c r="T202" i="4"/>
  <c r="T203" i="4" s="1"/>
  <c r="T207" i="4" s="1"/>
  <c r="Z185" i="4"/>
  <c r="Z186" i="4" s="1"/>
  <c r="AA183" i="4" s="1"/>
  <c r="AG303" i="4"/>
  <c r="AG342" i="4" s="1"/>
  <c r="J248" i="4"/>
  <c r="I252" i="4" s="1"/>
  <c r="O231" i="4"/>
  <c r="N235" i="4" s="1"/>
  <c r="S214" i="4"/>
  <c r="U204" i="4"/>
  <c r="W197" i="4"/>
  <c r="Z189" i="4"/>
  <c r="Z188" i="4"/>
  <c r="AC179" i="4"/>
  <c r="AK157" i="4"/>
  <c r="AK159" i="4" s="1"/>
  <c r="AK160" i="4" s="1"/>
  <c r="AK161" i="4" s="1"/>
  <c r="AJ162" i="4"/>
  <c r="AJ163" i="4" s="1"/>
  <c r="AM149" i="4"/>
  <c r="AB179" i="4"/>
  <c r="AL364" i="8" l="1"/>
  <c r="AL374" i="8" s="1"/>
  <c r="AL382" i="8" s="1"/>
  <c r="AL373" i="8"/>
  <c r="AL381" i="8" s="1"/>
  <c r="AK281" i="8"/>
  <c r="AK283" i="8" s="1"/>
  <c r="AK336" i="8" s="1"/>
  <c r="AM279" i="8"/>
  <c r="AM280" i="8" s="1"/>
  <c r="AM281" i="8" s="1"/>
  <c r="AM283" i="8" s="1"/>
  <c r="AM336" i="8" s="1"/>
  <c r="I257" i="4"/>
  <c r="R217" i="4"/>
  <c r="R223" i="4" s="1"/>
  <c r="P318" i="4"/>
  <c r="P325" i="4" s="1"/>
  <c r="P354" i="4" s="1"/>
  <c r="E297" i="4"/>
  <c r="E300" i="4" s="1"/>
  <c r="E339" i="4" s="1"/>
  <c r="F269" i="4"/>
  <c r="F272" i="4" s="1"/>
  <c r="R218" i="4"/>
  <c r="R221" i="4" s="1"/>
  <c r="V201" i="4"/>
  <c r="V204" i="4" s="1"/>
  <c r="N295" i="4"/>
  <c r="N308" i="4" s="1"/>
  <c r="N348" i="4" s="1"/>
  <c r="N238" i="4"/>
  <c r="C373" i="4"/>
  <c r="C381" i="4" s="1"/>
  <c r="C364" i="4"/>
  <c r="C374" i="4" s="1"/>
  <c r="C382" i="4" s="1"/>
  <c r="K360" i="4"/>
  <c r="K332" i="4"/>
  <c r="K361" i="4" s="1"/>
  <c r="H326" i="4"/>
  <c r="H355" i="4" s="1"/>
  <c r="D321" i="4"/>
  <c r="D276" i="4"/>
  <c r="D278" i="4" s="1"/>
  <c r="Y333" i="4"/>
  <c r="Y362" i="4" s="1"/>
  <c r="AD327" i="4"/>
  <c r="AD356" i="4" s="1"/>
  <c r="E274" i="4"/>
  <c r="E273" i="4"/>
  <c r="E270" i="4"/>
  <c r="E271" i="4" s="1"/>
  <c r="L241" i="4"/>
  <c r="L319" i="4" s="1"/>
  <c r="AD174" i="4"/>
  <c r="AD176" i="4" s="1"/>
  <c r="AD177" i="4" s="1"/>
  <c r="AD178" i="4" s="1"/>
  <c r="AD179" i="4" s="1"/>
  <c r="M239" i="4"/>
  <c r="M240" i="4"/>
  <c r="K245" i="4"/>
  <c r="K246" i="4" s="1"/>
  <c r="K247" i="4" s="1"/>
  <c r="K248" i="4" s="1"/>
  <c r="AM151" i="4"/>
  <c r="AM152" i="4" s="1"/>
  <c r="AM156" i="4" s="1"/>
  <c r="AE168" i="4"/>
  <c r="AE169" i="4" s="1"/>
  <c r="Z190" i="4"/>
  <c r="AE172" i="4"/>
  <c r="AL314" i="4"/>
  <c r="AL329" i="4" s="1"/>
  <c r="AL358" i="4" s="1"/>
  <c r="Q225" i="4"/>
  <c r="Q227" i="4" s="1"/>
  <c r="Q228" i="4" s="1"/>
  <c r="Q229" i="4" s="1"/>
  <c r="Q230" i="4" s="1"/>
  <c r="Q318" i="4"/>
  <c r="AE171" i="4"/>
  <c r="U293" i="4"/>
  <c r="U304" i="4" s="1"/>
  <c r="U343" i="4" s="1"/>
  <c r="AH303" i="4"/>
  <c r="AH342" i="4" s="1"/>
  <c r="H262" i="4"/>
  <c r="H263" i="4" s="1"/>
  <c r="H264" i="4" s="1"/>
  <c r="I255" i="4"/>
  <c r="N234" i="4"/>
  <c r="P231" i="4"/>
  <c r="O235" i="4" s="1"/>
  <c r="X197" i="4"/>
  <c r="W201" i="4" s="1"/>
  <c r="U200" i="4"/>
  <c r="AA189" i="4"/>
  <c r="AA188" i="4"/>
  <c r="Y194" i="4"/>
  <c r="Y195" i="4" s="1"/>
  <c r="Y196" i="4" s="1"/>
  <c r="AL157" i="4"/>
  <c r="AL159" i="4" s="1"/>
  <c r="AL160" i="4" s="1"/>
  <c r="AL161" i="4" s="1"/>
  <c r="AL162" i="4" s="1"/>
  <c r="AK162" i="4"/>
  <c r="AK163" i="4" s="1"/>
  <c r="AM155" i="4"/>
  <c r="AM154" i="4"/>
  <c r="AB180" i="4"/>
  <c r="AA184" i="4" s="1"/>
  <c r="AM373" i="8" l="1"/>
  <c r="AM381" i="8" s="1"/>
  <c r="AM364" i="8"/>
  <c r="AM374" i="8" s="1"/>
  <c r="AM382" i="8" s="1"/>
  <c r="AK364" i="8"/>
  <c r="AK374" i="8" s="1"/>
  <c r="AK382" i="8" s="1"/>
  <c r="AK373" i="8"/>
  <c r="AK381" i="8" s="1"/>
  <c r="R222" i="4"/>
  <c r="R219" i="4"/>
  <c r="R220" i="4" s="1"/>
  <c r="R224" i="4" s="1"/>
  <c r="V293" i="4"/>
  <c r="V304" i="4" s="1"/>
  <c r="V343" i="4" s="1"/>
  <c r="R294" i="4"/>
  <c r="R301" i="4" s="1"/>
  <c r="R340" i="4" s="1"/>
  <c r="F297" i="4"/>
  <c r="F300" i="4" s="1"/>
  <c r="F339" i="4" s="1"/>
  <c r="J252" i="4"/>
  <c r="J255" i="4" s="1"/>
  <c r="O295" i="4"/>
  <c r="O308" i="4" s="1"/>
  <c r="O348" i="4" s="1"/>
  <c r="O238" i="4"/>
  <c r="W293" i="4"/>
  <c r="W304" i="4" s="1"/>
  <c r="W343" i="4" s="1"/>
  <c r="W204" i="4"/>
  <c r="AA292" i="4"/>
  <c r="AA309" i="4" s="1"/>
  <c r="AA349" i="4" s="1"/>
  <c r="AA187" i="4"/>
  <c r="D279" i="4"/>
  <c r="D280" i="4" s="1"/>
  <c r="D281" i="4" s="1"/>
  <c r="D283" i="4" s="1"/>
  <c r="D336" i="4" s="1"/>
  <c r="D373" i="4" s="1"/>
  <c r="D381" i="4" s="1"/>
  <c r="L360" i="4"/>
  <c r="L332" i="4"/>
  <c r="L361" i="4" s="1"/>
  <c r="F268" i="4"/>
  <c r="E275" i="4"/>
  <c r="E276" i="4" s="1"/>
  <c r="E278" i="4" s="1"/>
  <c r="E279" i="4" s="1"/>
  <c r="Q325" i="4"/>
  <c r="Q354" i="4" s="1"/>
  <c r="D324" i="4"/>
  <c r="D353" i="4" s="1"/>
  <c r="H265" i="4"/>
  <c r="L242" i="4"/>
  <c r="L244" i="4" s="1"/>
  <c r="L245" i="4" s="1"/>
  <c r="L246" i="4" s="1"/>
  <c r="AF166" i="4"/>
  <c r="AF172" i="4" s="1"/>
  <c r="AE173" i="4"/>
  <c r="AE174" i="4" s="1"/>
  <c r="AE176" i="4" s="1"/>
  <c r="U202" i="4"/>
  <c r="U203" i="4" s="1"/>
  <c r="N236" i="4"/>
  <c r="N237" i="4" s="1"/>
  <c r="N241" i="4" s="1"/>
  <c r="AM314" i="4"/>
  <c r="AM329" i="4" s="1"/>
  <c r="AM358" i="4" s="1"/>
  <c r="Z191" i="4"/>
  <c r="Z193" i="4" s="1"/>
  <c r="Z316" i="4"/>
  <c r="T208" i="4"/>
  <c r="T210" i="4" s="1"/>
  <c r="T317" i="4"/>
  <c r="M242" i="4"/>
  <c r="M319" i="4"/>
  <c r="I296" i="4"/>
  <c r="I302" i="4" s="1"/>
  <c r="I341" i="4" s="1"/>
  <c r="I253" i="4"/>
  <c r="I254" i="4" s="1"/>
  <c r="I258" i="4" s="1"/>
  <c r="AA185" i="4"/>
  <c r="AA186" i="4" s="1"/>
  <c r="AA190" i="4" s="1"/>
  <c r="Q231" i="4"/>
  <c r="P235" i="4" s="1"/>
  <c r="N239" i="4"/>
  <c r="N240" i="4"/>
  <c r="Y197" i="4"/>
  <c r="U206" i="4"/>
  <c r="U205" i="4"/>
  <c r="AC180" i="4"/>
  <c r="AB184" i="4" s="1"/>
  <c r="AL163" i="4"/>
  <c r="AM157" i="4"/>
  <c r="AM159" i="4" s="1"/>
  <c r="S217" i="4" l="1"/>
  <c r="S222" i="4" s="1"/>
  <c r="J296" i="4"/>
  <c r="J302" i="4" s="1"/>
  <c r="J341" i="4" s="1"/>
  <c r="G269" i="4"/>
  <c r="G272" i="4" s="1"/>
  <c r="X201" i="4"/>
  <c r="X204" i="4" s="1"/>
  <c r="P295" i="4"/>
  <c r="P308" i="4" s="1"/>
  <c r="P348" i="4" s="1"/>
  <c r="P238" i="4"/>
  <c r="D364" i="4"/>
  <c r="D374" i="4" s="1"/>
  <c r="D382" i="4" s="1"/>
  <c r="E280" i="4"/>
  <c r="E281" i="4" s="1"/>
  <c r="E283" i="4" s="1"/>
  <c r="E336" i="4" s="1"/>
  <c r="Z333" i="4"/>
  <c r="Z362" i="4" s="1"/>
  <c r="M360" i="4"/>
  <c r="M332" i="4"/>
  <c r="M361" i="4" s="1"/>
  <c r="E321" i="4"/>
  <c r="F273" i="4"/>
  <c r="F274" i="4"/>
  <c r="F270" i="4"/>
  <c r="F271" i="4" s="1"/>
  <c r="G268" i="4" s="1"/>
  <c r="T328" i="4"/>
  <c r="T357" i="4" s="1"/>
  <c r="AF171" i="4"/>
  <c r="M244" i="4"/>
  <c r="M245" i="4" s="1"/>
  <c r="M246" i="4" s="1"/>
  <c r="M247" i="4" s="1"/>
  <c r="L247" i="4"/>
  <c r="L248" i="4" s="1"/>
  <c r="AE315" i="4"/>
  <c r="V200" i="4"/>
  <c r="V205" i="4" s="1"/>
  <c r="U207" i="4"/>
  <c r="AF168" i="4"/>
  <c r="AF169" i="4" s="1"/>
  <c r="AF173" i="4" s="1"/>
  <c r="AF315" i="4" s="1"/>
  <c r="AF327" i="4" s="1"/>
  <c r="R225" i="4"/>
  <c r="R227" i="4" s="1"/>
  <c r="R318" i="4"/>
  <c r="AB183" i="4"/>
  <c r="J251" i="4"/>
  <c r="O234" i="4"/>
  <c r="T211" i="4"/>
  <c r="T212" i="4" s="1"/>
  <c r="T213" i="4" s="1"/>
  <c r="Z194" i="4"/>
  <c r="Z195" i="4" s="1"/>
  <c r="Z196" i="4" s="1"/>
  <c r="AD180" i="4"/>
  <c r="AC184" i="4" s="1"/>
  <c r="AM160" i="4"/>
  <c r="AM161" i="4" s="1"/>
  <c r="AM162" i="4" s="1"/>
  <c r="AE177" i="4"/>
  <c r="AE178" i="4" s="1"/>
  <c r="AE179" i="4" s="1"/>
  <c r="S223" i="4" l="1"/>
  <c r="X293" i="4"/>
  <c r="X304" i="4" s="1"/>
  <c r="X343" i="4" s="1"/>
  <c r="G297" i="4"/>
  <c r="G300" i="4" s="1"/>
  <c r="G339" i="4" s="1"/>
  <c r="K252" i="4"/>
  <c r="K255" i="4" s="1"/>
  <c r="AB292" i="4"/>
  <c r="AB309" i="4" s="1"/>
  <c r="AB349" i="4" s="1"/>
  <c r="AB187" i="4"/>
  <c r="E373" i="4"/>
  <c r="E381" i="4" s="1"/>
  <c r="E324" i="4"/>
  <c r="E353" i="4" s="1"/>
  <c r="E364" i="4" s="1"/>
  <c r="E374" i="4" s="1"/>
  <c r="E382" i="4" s="1"/>
  <c r="F275" i="4"/>
  <c r="F276" i="4" s="1"/>
  <c r="G273" i="4"/>
  <c r="G274" i="4"/>
  <c r="G270" i="4"/>
  <c r="G271" i="4" s="1"/>
  <c r="H268" i="4" s="1"/>
  <c r="R325" i="4"/>
  <c r="R354" i="4" s="1"/>
  <c r="AE327" i="4"/>
  <c r="AE356" i="4" s="1"/>
  <c r="AG166" i="4"/>
  <c r="AG168" i="4" s="1"/>
  <c r="V206" i="4"/>
  <c r="J253" i="4"/>
  <c r="J254" i="4" s="1"/>
  <c r="K251" i="4" s="1"/>
  <c r="AB188" i="4"/>
  <c r="O236" i="4"/>
  <c r="O237" i="4" s="1"/>
  <c r="P234" i="4" s="1"/>
  <c r="V202" i="4"/>
  <c r="V203" i="4" s="1"/>
  <c r="W200" i="4" s="1"/>
  <c r="N242" i="4"/>
  <c r="N244" i="4" s="1"/>
  <c r="N319" i="4"/>
  <c r="U208" i="4"/>
  <c r="U210" i="4" s="1"/>
  <c r="U317" i="4"/>
  <c r="I259" i="4"/>
  <c r="I261" i="4" s="1"/>
  <c r="I320" i="4"/>
  <c r="AA191" i="4"/>
  <c r="AA193" i="4" s="1"/>
  <c r="AA194" i="4" s="1"/>
  <c r="AA195" i="4" s="1"/>
  <c r="AA196" i="4" s="1"/>
  <c r="AA316" i="4"/>
  <c r="AB189" i="4"/>
  <c r="AF356" i="4"/>
  <c r="AB185" i="4"/>
  <c r="AB186" i="4" s="1"/>
  <c r="AB190" i="4" s="1"/>
  <c r="J257" i="4"/>
  <c r="J256" i="4"/>
  <c r="M248" i="4"/>
  <c r="O239" i="4"/>
  <c r="O240" i="4"/>
  <c r="T214" i="4"/>
  <c r="S218" i="4" s="1"/>
  <c r="R228" i="4"/>
  <c r="R229" i="4" s="1"/>
  <c r="R230" i="4" s="1"/>
  <c r="Z197" i="4"/>
  <c r="AF174" i="4"/>
  <c r="AF176" i="4" s="1"/>
  <c r="AM163" i="4"/>
  <c r="AE180" i="4"/>
  <c r="AD184" i="4" s="1"/>
  <c r="K296" i="4" l="1"/>
  <c r="K302" i="4" s="1"/>
  <c r="K341" i="4" s="1"/>
  <c r="L252" i="4"/>
  <c r="L255" i="4" s="1"/>
  <c r="Y201" i="4"/>
  <c r="Y204" i="4" s="1"/>
  <c r="S294" i="4"/>
  <c r="S301" i="4" s="1"/>
  <c r="S340" i="4" s="1"/>
  <c r="S221" i="4"/>
  <c r="AC292" i="4"/>
  <c r="AC309" i="4" s="1"/>
  <c r="AC349" i="4" s="1"/>
  <c r="AC187" i="4"/>
  <c r="G275" i="4"/>
  <c r="G276" i="4" s="1"/>
  <c r="G278" i="4" s="1"/>
  <c r="F278" i="4"/>
  <c r="H273" i="4"/>
  <c r="H274" i="4"/>
  <c r="N360" i="4"/>
  <c r="N332" i="4"/>
  <c r="N361" i="4" s="1"/>
  <c r="AA333" i="4"/>
  <c r="AA362" i="4" s="1"/>
  <c r="I326" i="4"/>
  <c r="I355" i="4" s="1"/>
  <c r="F321" i="4"/>
  <c r="U328" i="4"/>
  <c r="U357" i="4" s="1"/>
  <c r="AG169" i="4"/>
  <c r="AH166" i="4" s="1"/>
  <c r="AH168" i="4" s="1"/>
  <c r="AH169" i="4" s="1"/>
  <c r="AG172" i="4"/>
  <c r="AG171" i="4"/>
  <c r="V207" i="4"/>
  <c r="V208" i="4" s="1"/>
  <c r="V210" i="4" s="1"/>
  <c r="V211" i="4" s="1"/>
  <c r="V212" i="4" s="1"/>
  <c r="W202" i="4"/>
  <c r="W203" i="4" s="1"/>
  <c r="W207" i="4" s="1"/>
  <c r="P236" i="4"/>
  <c r="P237" i="4" s="1"/>
  <c r="Q234" i="4" s="1"/>
  <c r="K253" i="4"/>
  <c r="K254" i="4" s="1"/>
  <c r="K258" i="4" s="1"/>
  <c r="J258" i="4"/>
  <c r="O241" i="4"/>
  <c r="S219" i="4"/>
  <c r="S220" i="4" s="1"/>
  <c r="S224" i="4" s="1"/>
  <c r="K257" i="4"/>
  <c r="K256" i="4"/>
  <c r="I262" i="4"/>
  <c r="I263" i="4" s="1"/>
  <c r="I264" i="4" s="1"/>
  <c r="R231" i="4"/>
  <c r="Q235" i="4" s="1"/>
  <c r="P240" i="4"/>
  <c r="P239" i="4"/>
  <c r="N245" i="4"/>
  <c r="N246" i="4" s="1"/>
  <c r="N247" i="4" s="1"/>
  <c r="AA197" i="4"/>
  <c r="U211" i="4"/>
  <c r="U212" i="4" s="1"/>
  <c r="W206" i="4"/>
  <c r="W205" i="4"/>
  <c r="AC183" i="4"/>
  <c r="AF177" i="4"/>
  <c r="AF178" i="4" s="1"/>
  <c r="Y293" i="4" l="1"/>
  <c r="Y304" i="4" s="1"/>
  <c r="Y343" i="4" s="1"/>
  <c r="L296" i="4"/>
  <c r="L302" i="4" s="1"/>
  <c r="L341" i="4" s="1"/>
  <c r="Z201" i="4"/>
  <c r="Z204" i="4" s="1"/>
  <c r="Q295" i="4"/>
  <c r="Q308" i="4" s="1"/>
  <c r="Q348" i="4" s="1"/>
  <c r="Q238" i="4"/>
  <c r="AD292" i="4"/>
  <c r="AD309" i="4" s="1"/>
  <c r="AD349" i="4" s="1"/>
  <c r="AD187" i="4"/>
  <c r="G321" i="4"/>
  <c r="G324" i="4" s="1"/>
  <c r="G353" i="4" s="1"/>
  <c r="G279" i="4"/>
  <c r="G280" i="4" s="1"/>
  <c r="F279" i="4"/>
  <c r="F280" i="4" s="1"/>
  <c r="F281" i="4" s="1"/>
  <c r="F283" i="4" s="1"/>
  <c r="F336" i="4" s="1"/>
  <c r="F373" i="4" s="1"/>
  <c r="F381" i="4" s="1"/>
  <c r="AH172" i="4"/>
  <c r="AH171" i="4"/>
  <c r="F324" i="4"/>
  <c r="F353" i="4" s="1"/>
  <c r="AG173" i="4"/>
  <c r="AG315" i="4" s="1"/>
  <c r="I265" i="4"/>
  <c r="V317" i="4"/>
  <c r="P241" i="4"/>
  <c r="AH173" i="4"/>
  <c r="AC185" i="4"/>
  <c r="AC186" i="4" s="1"/>
  <c r="AC190" i="4" s="1"/>
  <c r="J259" i="4"/>
  <c r="J261" i="4" s="1"/>
  <c r="J320" i="4"/>
  <c r="AB191" i="4"/>
  <c r="AB193" i="4" s="1"/>
  <c r="AB316" i="4"/>
  <c r="AI166" i="4"/>
  <c r="AI167" i="4" s="1"/>
  <c r="O242" i="4"/>
  <c r="O244" i="4" s="1"/>
  <c r="O319" i="4"/>
  <c r="Q236" i="4"/>
  <c r="Q237" i="4" s="1"/>
  <c r="Q241" i="4" s="1"/>
  <c r="L251" i="4"/>
  <c r="N248" i="4"/>
  <c r="V213" i="4"/>
  <c r="Q240" i="4"/>
  <c r="Q239" i="4"/>
  <c r="T217" i="4"/>
  <c r="X200" i="4"/>
  <c r="U213" i="4"/>
  <c r="AC189" i="4"/>
  <c r="AC188" i="4"/>
  <c r="AF179" i="4"/>
  <c r="AI291" i="4" l="1"/>
  <c r="AI303" i="4" s="1"/>
  <c r="AI342" i="4" s="1"/>
  <c r="AI170" i="4"/>
  <c r="Z293" i="4"/>
  <c r="Z304" i="4" s="1"/>
  <c r="Z343" i="4" s="1"/>
  <c r="H269" i="4"/>
  <c r="H272" i="4" s="1"/>
  <c r="M252" i="4"/>
  <c r="M255" i="4" s="1"/>
  <c r="G281" i="4"/>
  <c r="G283" i="4" s="1"/>
  <c r="G336" i="4" s="1"/>
  <c r="G373" i="4" s="1"/>
  <c r="G381" i="4" s="1"/>
  <c r="F364" i="4"/>
  <c r="F374" i="4" s="1"/>
  <c r="F382" i="4" s="1"/>
  <c r="AH315" i="4"/>
  <c r="AH327" i="4" s="1"/>
  <c r="AH356" i="4" s="1"/>
  <c r="AG327" i="4"/>
  <c r="AG356" i="4" s="1"/>
  <c r="O360" i="4"/>
  <c r="O332" i="4"/>
  <c r="O361" i="4" s="1"/>
  <c r="AB333" i="4"/>
  <c r="AB362" i="4" s="1"/>
  <c r="AG174" i="4"/>
  <c r="AG176" i="4" s="1"/>
  <c r="AG177" i="4" s="1"/>
  <c r="AG178" i="4" s="1"/>
  <c r="AG179" i="4" s="1"/>
  <c r="J326" i="4"/>
  <c r="J355" i="4" s="1"/>
  <c r="V328" i="4"/>
  <c r="V357" i="4" s="1"/>
  <c r="AH174" i="4"/>
  <c r="X202" i="4"/>
  <c r="X203" i="4" s="1"/>
  <c r="X207" i="4" s="1"/>
  <c r="AI168" i="4"/>
  <c r="AI169" i="4" s="1"/>
  <c r="AJ166" i="4" s="1"/>
  <c r="AJ167" i="4" s="1"/>
  <c r="AJ170" i="4" s="1"/>
  <c r="L253" i="4"/>
  <c r="L254" i="4" s="1"/>
  <c r="L258" i="4" s="1"/>
  <c r="P242" i="4"/>
  <c r="P244" i="4" s="1"/>
  <c r="P245" i="4" s="1"/>
  <c r="P246" i="4" s="1"/>
  <c r="P319" i="4"/>
  <c r="K259" i="4"/>
  <c r="K261" i="4" s="1"/>
  <c r="K320" i="4"/>
  <c r="AI172" i="4"/>
  <c r="W208" i="4"/>
  <c r="W210" i="4" s="1"/>
  <c r="W317" i="4"/>
  <c r="AI171" i="4"/>
  <c r="S225" i="4"/>
  <c r="S227" i="4" s="1"/>
  <c r="S318" i="4"/>
  <c r="J262" i="4"/>
  <c r="J263" i="4" s="1"/>
  <c r="J264" i="4" s="1"/>
  <c r="L256" i="4"/>
  <c r="L257" i="4"/>
  <c r="R234" i="4"/>
  <c r="O245" i="4"/>
  <c r="O246" i="4" s="1"/>
  <c r="O247" i="4" s="1"/>
  <c r="T223" i="4"/>
  <c r="T222" i="4"/>
  <c r="U214" i="4"/>
  <c r="T218" i="4" s="1"/>
  <c r="X205" i="4"/>
  <c r="X206" i="4"/>
  <c r="AD183" i="4"/>
  <c r="AB194" i="4"/>
  <c r="AB195" i="4" s="1"/>
  <c r="AB196" i="4" s="1"/>
  <c r="AF180" i="4"/>
  <c r="AE184" i="4" s="1"/>
  <c r="AJ291" i="4" l="1"/>
  <c r="AJ303" i="4" s="1"/>
  <c r="AJ342" i="4" s="1"/>
  <c r="H297" i="4"/>
  <c r="H300" i="4" s="1"/>
  <c r="H339" i="4" s="1"/>
  <c r="H270" i="4"/>
  <c r="H271" i="4" s="1"/>
  <c r="I268" i="4" s="1"/>
  <c r="I273" i="4" s="1"/>
  <c r="M296" i="4"/>
  <c r="M302" i="4" s="1"/>
  <c r="M341" i="4" s="1"/>
  <c r="AE292" i="4"/>
  <c r="AE309" i="4" s="1"/>
  <c r="AE349" i="4" s="1"/>
  <c r="AE187" i="4"/>
  <c r="G364" i="4"/>
  <c r="G374" i="4" s="1"/>
  <c r="G382" i="4" s="1"/>
  <c r="S325" i="4"/>
  <c r="S354" i="4" s="1"/>
  <c r="P360" i="4"/>
  <c r="P332" i="4"/>
  <c r="P361" i="4" s="1"/>
  <c r="AH176" i="4"/>
  <c r="AH177" i="4" s="1"/>
  <c r="AH178" i="4" s="1"/>
  <c r="AH179" i="4" s="1"/>
  <c r="W328" i="4"/>
  <c r="W357" i="4" s="1"/>
  <c r="K326" i="4"/>
  <c r="K355" i="4" s="1"/>
  <c r="J265" i="4"/>
  <c r="I269" i="4" s="1"/>
  <c r="AI173" i="4"/>
  <c r="AI315" i="4" s="1"/>
  <c r="AD185" i="4"/>
  <c r="AD186" i="4" s="1"/>
  <c r="AE183" i="4" s="1"/>
  <c r="AJ168" i="4"/>
  <c r="AJ169" i="4" s="1"/>
  <c r="AJ173" i="4" s="1"/>
  <c r="AC191" i="4"/>
  <c r="AC193" i="4" s="1"/>
  <c r="AC316" i="4"/>
  <c r="Q242" i="4"/>
  <c r="Q244" i="4" s="1"/>
  <c r="Q319" i="4"/>
  <c r="M251" i="4"/>
  <c r="L320" i="4"/>
  <c r="K262" i="4"/>
  <c r="K263" i="4" s="1"/>
  <c r="K264" i="4" s="1"/>
  <c r="O248" i="4"/>
  <c r="P247" i="4"/>
  <c r="R239" i="4"/>
  <c r="R240" i="4"/>
  <c r="Y200" i="4"/>
  <c r="V214" i="4"/>
  <c r="S228" i="4"/>
  <c r="S229" i="4" s="1"/>
  <c r="S230" i="4" s="1"/>
  <c r="AB197" i="4"/>
  <c r="W211" i="4"/>
  <c r="W212" i="4" s="1"/>
  <c r="W213" i="4" s="1"/>
  <c r="AD188" i="4"/>
  <c r="AD189" i="4"/>
  <c r="AG180" i="4"/>
  <c r="AJ172" i="4"/>
  <c r="AJ171" i="4"/>
  <c r="I274" i="4" l="1"/>
  <c r="H275" i="4"/>
  <c r="H276" i="4" s="1"/>
  <c r="H278" i="4" s="1"/>
  <c r="H279" i="4" s="1"/>
  <c r="H280" i="4" s="1"/>
  <c r="H281" i="4" s="1"/>
  <c r="H283" i="4" s="1"/>
  <c r="H336" i="4" s="1"/>
  <c r="H373" i="4" s="1"/>
  <c r="H381" i="4" s="1"/>
  <c r="N252" i="4"/>
  <c r="N255" i="4" s="1"/>
  <c r="U218" i="4"/>
  <c r="U221" i="4" s="1"/>
  <c r="AA201" i="4"/>
  <c r="AA204" i="4" s="1"/>
  <c r="I297" i="4"/>
  <c r="I300" i="4" s="1"/>
  <c r="I339" i="4" s="1"/>
  <c r="I272" i="4"/>
  <c r="T294" i="4"/>
  <c r="T301" i="4" s="1"/>
  <c r="T340" i="4" s="1"/>
  <c r="T221" i="4"/>
  <c r="AI327" i="4"/>
  <c r="AI356" i="4" s="1"/>
  <c r="I270" i="4"/>
  <c r="I271" i="4" s="1"/>
  <c r="J268" i="4" s="1"/>
  <c r="J274" i="4" s="1"/>
  <c r="L326" i="4"/>
  <c r="L355" i="4" s="1"/>
  <c r="AC333" i="4"/>
  <c r="AC362" i="4" s="1"/>
  <c r="Q360" i="4"/>
  <c r="Q332" i="4"/>
  <c r="Q361" i="4" s="1"/>
  <c r="K265" i="4"/>
  <c r="AE185" i="4"/>
  <c r="AE186" i="4" s="1"/>
  <c r="AE190" i="4" s="1"/>
  <c r="AD190" i="4"/>
  <c r="M253" i="4"/>
  <c r="M254" i="4" s="1"/>
  <c r="M258" i="4" s="1"/>
  <c r="AI174" i="4"/>
  <c r="AI176" i="4" s="1"/>
  <c r="AI177" i="4" s="1"/>
  <c r="AI178" i="4" s="1"/>
  <c r="AI179" i="4" s="1"/>
  <c r="X208" i="4"/>
  <c r="X210" i="4" s="1"/>
  <c r="X317" i="4"/>
  <c r="L259" i="4"/>
  <c r="L261" i="4" s="1"/>
  <c r="M256" i="4"/>
  <c r="M257" i="4"/>
  <c r="T219" i="4"/>
  <c r="T220" i="4" s="1"/>
  <c r="T224" i="4" s="1"/>
  <c r="AK166" i="4"/>
  <c r="AK167" i="4" s="1"/>
  <c r="Y206" i="4"/>
  <c r="Y202" i="4"/>
  <c r="Y203" i="4" s="1"/>
  <c r="Z200" i="4" s="1"/>
  <c r="P248" i="4"/>
  <c r="Y205" i="4"/>
  <c r="Q245" i="4"/>
  <c r="Q246" i="4" s="1"/>
  <c r="Q247" i="4" s="1"/>
  <c r="S231" i="4"/>
  <c r="R235" i="4" s="1"/>
  <c r="W214" i="4"/>
  <c r="AE189" i="4"/>
  <c r="AE188" i="4"/>
  <c r="AC194" i="4"/>
  <c r="AC195" i="4" s="1"/>
  <c r="AC196" i="4" s="1"/>
  <c r="AH180" i="4"/>
  <c r="AJ315" i="4"/>
  <c r="AJ327" i="4" s="1"/>
  <c r="AK170" i="4" l="1"/>
  <c r="AK291" i="4"/>
  <c r="AK303" i="4" s="1"/>
  <c r="AK342" i="4" s="1"/>
  <c r="H321" i="4"/>
  <c r="H324" i="4" s="1"/>
  <c r="H353" i="4" s="1"/>
  <c r="H364" i="4" s="1"/>
  <c r="H374" i="4" s="1"/>
  <c r="H382" i="4" s="1"/>
  <c r="N296" i="4"/>
  <c r="N302" i="4" s="1"/>
  <c r="N341" i="4" s="1"/>
  <c r="U294" i="4"/>
  <c r="U301" i="4" s="1"/>
  <c r="U340" i="4" s="1"/>
  <c r="AA293" i="4"/>
  <c r="AA304" i="4" s="1"/>
  <c r="AA343" i="4" s="1"/>
  <c r="J269" i="4"/>
  <c r="J272" i="4" s="1"/>
  <c r="O252" i="4"/>
  <c r="O255" i="4" s="1"/>
  <c r="V218" i="4"/>
  <c r="V221" i="4" s="1"/>
  <c r="R295" i="4"/>
  <c r="R308" i="4" s="1"/>
  <c r="R348" i="4" s="1"/>
  <c r="R238" i="4"/>
  <c r="J273" i="4"/>
  <c r="I275" i="4"/>
  <c r="I321" i="4" s="1"/>
  <c r="I324" i="4" s="1"/>
  <c r="I353" i="4" s="1"/>
  <c r="X328" i="4"/>
  <c r="X357" i="4" s="1"/>
  <c r="N251" i="4"/>
  <c r="N256" i="4" s="1"/>
  <c r="Z202" i="4"/>
  <c r="Z203" i="4" s="1"/>
  <c r="Z207" i="4" s="1"/>
  <c r="AK168" i="4"/>
  <c r="AK169" i="4" s="1"/>
  <c r="Y207" i="4"/>
  <c r="M259" i="4"/>
  <c r="M261" i="4" s="1"/>
  <c r="M262" i="4" s="1"/>
  <c r="M263" i="4" s="1"/>
  <c r="M320" i="4"/>
  <c r="AD191" i="4"/>
  <c r="AD193" i="4" s="1"/>
  <c r="AD316" i="4"/>
  <c r="AK172" i="4"/>
  <c r="AK171" i="4"/>
  <c r="R236" i="4"/>
  <c r="R237" i="4" s="1"/>
  <c r="R241" i="4" s="1"/>
  <c r="AJ356" i="4"/>
  <c r="Q248" i="4"/>
  <c r="L262" i="4"/>
  <c r="L263" i="4" s="1"/>
  <c r="U217" i="4"/>
  <c r="X211" i="4"/>
  <c r="X212" i="4" s="1"/>
  <c r="X213" i="4" s="1"/>
  <c r="AC197" i="4"/>
  <c r="Z206" i="4"/>
  <c r="Z205" i="4"/>
  <c r="AF183" i="4"/>
  <c r="AF184" i="4" s="1"/>
  <c r="AF187" i="4" s="1"/>
  <c r="AJ174" i="4"/>
  <c r="AJ176" i="4" s="1"/>
  <c r="AI180" i="4"/>
  <c r="AF292" i="4" l="1"/>
  <c r="AF309" i="4" s="1"/>
  <c r="AF349" i="4" s="1"/>
  <c r="J270" i="4"/>
  <c r="J271" i="4" s="1"/>
  <c r="K268" i="4" s="1"/>
  <c r="K273" i="4" s="1"/>
  <c r="O296" i="4"/>
  <c r="O302" i="4" s="1"/>
  <c r="O341" i="4" s="1"/>
  <c r="J297" i="4"/>
  <c r="J300" i="4" s="1"/>
  <c r="J339" i="4" s="1"/>
  <c r="V294" i="4"/>
  <c r="V301" i="4" s="1"/>
  <c r="V340" i="4" s="1"/>
  <c r="P252" i="4"/>
  <c r="P255" i="4" s="1"/>
  <c r="AB201" i="4"/>
  <c r="AB204" i="4" s="1"/>
  <c r="I276" i="4"/>
  <c r="I278" i="4" s="1"/>
  <c r="I279" i="4" s="1"/>
  <c r="I280" i="4" s="1"/>
  <c r="I281" i="4" s="1"/>
  <c r="I283" i="4" s="1"/>
  <c r="I336" i="4" s="1"/>
  <c r="AD333" i="4"/>
  <c r="AD362" i="4" s="1"/>
  <c r="M326" i="4"/>
  <c r="M355" i="4" s="1"/>
  <c r="N257" i="4"/>
  <c r="N253" i="4"/>
  <c r="N254" i="4" s="1"/>
  <c r="N258" i="4" s="1"/>
  <c r="AL166" i="4"/>
  <c r="AK173" i="4"/>
  <c r="AK174" i="4" s="1"/>
  <c r="AK176" i="4" s="1"/>
  <c r="AK177" i="4" s="1"/>
  <c r="AK178" i="4" s="1"/>
  <c r="U219" i="4"/>
  <c r="U220" i="4" s="1"/>
  <c r="U224" i="4" s="1"/>
  <c r="AF185" i="4"/>
  <c r="AF186" i="4" s="1"/>
  <c r="AF190" i="4" s="1"/>
  <c r="Y208" i="4"/>
  <c r="Y210" i="4" s="1"/>
  <c r="Y211" i="4" s="1"/>
  <c r="Y212" i="4" s="1"/>
  <c r="Y317" i="4"/>
  <c r="AE191" i="4"/>
  <c r="AE193" i="4" s="1"/>
  <c r="AE316" i="4"/>
  <c r="T225" i="4"/>
  <c r="T227" i="4" s="1"/>
  <c r="T318" i="4"/>
  <c r="M264" i="4"/>
  <c r="L264" i="4"/>
  <c r="S234" i="4"/>
  <c r="X214" i="4"/>
  <c r="U223" i="4"/>
  <c r="U222" i="4"/>
  <c r="AA200" i="4"/>
  <c r="AF189" i="4"/>
  <c r="AF188" i="4"/>
  <c r="AD194" i="4"/>
  <c r="AD195" i="4" s="1"/>
  <c r="AD196" i="4" s="1"/>
  <c r="AJ177" i="4"/>
  <c r="AJ178" i="4" s="1"/>
  <c r="AJ179" i="4" s="1"/>
  <c r="AL172" i="4" l="1"/>
  <c r="AL167" i="4"/>
  <c r="AL168" i="4" s="1"/>
  <c r="AL169" i="4" s="1"/>
  <c r="AM166" i="4" s="1"/>
  <c r="J275" i="4"/>
  <c r="J276" i="4" s="1"/>
  <c r="J278" i="4" s="1"/>
  <c r="K274" i="4"/>
  <c r="P296" i="4"/>
  <c r="P302" i="4" s="1"/>
  <c r="P341" i="4" s="1"/>
  <c r="AB293" i="4"/>
  <c r="AB304" i="4" s="1"/>
  <c r="AB343" i="4" s="1"/>
  <c r="W218" i="4"/>
  <c r="W221" i="4" s="1"/>
  <c r="O251" i="4"/>
  <c r="O256" i="4" s="1"/>
  <c r="AE333" i="4"/>
  <c r="AE362" i="4" s="1"/>
  <c r="Y328" i="4"/>
  <c r="Y357" i="4" s="1"/>
  <c r="T325" i="4"/>
  <c r="T354" i="4" s="1"/>
  <c r="I373" i="4"/>
  <c r="I381" i="4" s="1"/>
  <c r="I364" i="4"/>
  <c r="I374" i="4" s="1"/>
  <c r="I382" i="4" s="1"/>
  <c r="L265" i="4"/>
  <c r="AL171" i="4"/>
  <c r="AK315" i="4"/>
  <c r="AA202" i="4"/>
  <c r="AA203" i="4" s="1"/>
  <c r="AA207" i="4" s="1"/>
  <c r="Y213" i="4"/>
  <c r="Y214" i="4" s="1"/>
  <c r="N259" i="4"/>
  <c r="N261" i="4" s="1"/>
  <c r="N320" i="4"/>
  <c r="Z208" i="4"/>
  <c r="Z210" i="4" s="1"/>
  <c r="Z317" i="4"/>
  <c r="R242" i="4"/>
  <c r="R244" i="4" s="1"/>
  <c r="R319" i="4"/>
  <c r="S240" i="4"/>
  <c r="S239" i="4"/>
  <c r="V217" i="4"/>
  <c r="T228" i="4"/>
  <c r="T229" i="4" s="1"/>
  <c r="T230" i="4" s="1"/>
  <c r="AD197" i="4"/>
  <c r="AA206" i="4"/>
  <c r="AA205" i="4"/>
  <c r="AG183" i="4"/>
  <c r="AG184" i="4" s="1"/>
  <c r="AE194" i="4"/>
  <c r="AE195" i="4" s="1"/>
  <c r="AE196" i="4" s="1"/>
  <c r="AK179" i="4"/>
  <c r="AJ180" i="4"/>
  <c r="J321" i="4" l="1"/>
  <c r="J324" i="4" s="1"/>
  <c r="J353" i="4" s="1"/>
  <c r="AG292" i="4"/>
  <c r="AG309" i="4" s="1"/>
  <c r="AG349" i="4" s="1"/>
  <c r="AG187" i="4"/>
  <c r="AL170" i="4"/>
  <c r="AL291" i="4"/>
  <c r="AL303" i="4" s="1"/>
  <c r="AL342" i="4" s="1"/>
  <c r="AM291" i="4"/>
  <c r="AM303" i="4" s="1"/>
  <c r="AM342" i="4" s="1"/>
  <c r="W294" i="4"/>
  <c r="W301" i="4" s="1"/>
  <c r="W340" i="4" s="1"/>
  <c r="K269" i="4"/>
  <c r="K272" i="4" s="1"/>
  <c r="X218" i="4"/>
  <c r="X221" i="4" s="1"/>
  <c r="AC201" i="4"/>
  <c r="AC204" i="4" s="1"/>
  <c r="O253" i="4"/>
  <c r="O254" i="4" s="1"/>
  <c r="P251" i="4" s="1"/>
  <c r="P256" i="4" s="1"/>
  <c r="O257" i="4"/>
  <c r="J279" i="4"/>
  <c r="J280" i="4" s="1"/>
  <c r="J281" i="4" s="1"/>
  <c r="J283" i="4" s="1"/>
  <c r="J336" i="4" s="1"/>
  <c r="Z328" i="4"/>
  <c r="Z357" i="4" s="1"/>
  <c r="AK327" i="4"/>
  <c r="AK356" i="4" s="1"/>
  <c r="N326" i="4"/>
  <c r="N355" i="4" s="1"/>
  <c r="R360" i="4"/>
  <c r="R332" i="4"/>
  <c r="R361" i="4" s="1"/>
  <c r="M265" i="4"/>
  <c r="AL173" i="4"/>
  <c r="AL315" i="4" s="1"/>
  <c r="AG185" i="4"/>
  <c r="AG186" i="4" s="1"/>
  <c r="AH183" i="4" s="1"/>
  <c r="AH184" i="4" s="1"/>
  <c r="AH187" i="4" s="1"/>
  <c r="AM168" i="4"/>
  <c r="AM169" i="4" s="1"/>
  <c r="AM173" i="4" s="1"/>
  <c r="V219" i="4"/>
  <c r="V220" i="4" s="1"/>
  <c r="V224" i="4" s="1"/>
  <c r="U225" i="4"/>
  <c r="U227" i="4" s="1"/>
  <c r="U318" i="4"/>
  <c r="AF191" i="4"/>
  <c r="AF193" i="4" s="1"/>
  <c r="AF316" i="4"/>
  <c r="N262" i="4"/>
  <c r="N263" i="4" s="1"/>
  <c r="N264" i="4" s="1"/>
  <c r="T231" i="4"/>
  <c r="S235" i="4" s="1"/>
  <c r="R245" i="4"/>
  <c r="R246" i="4" s="1"/>
  <c r="R247" i="4" s="1"/>
  <c r="V223" i="4"/>
  <c r="V222" i="4"/>
  <c r="AB200" i="4"/>
  <c r="Z211" i="4"/>
  <c r="Z212" i="4" s="1"/>
  <c r="Z213" i="4" s="1"/>
  <c r="AE197" i="4"/>
  <c r="AG188" i="4"/>
  <c r="AG189" i="4"/>
  <c r="AM172" i="4"/>
  <c r="AM171" i="4"/>
  <c r="AK180" i="4"/>
  <c r="AH292" i="4" l="1"/>
  <c r="AH309" i="4" s="1"/>
  <c r="AH349" i="4" s="1"/>
  <c r="K297" i="4"/>
  <c r="K300" i="4" s="1"/>
  <c r="K339" i="4" s="1"/>
  <c r="P253" i="4"/>
  <c r="P254" i="4" s="1"/>
  <c r="P258" i="4" s="1"/>
  <c r="X294" i="4"/>
  <c r="X301" i="4" s="1"/>
  <c r="X340" i="4" s="1"/>
  <c r="AC293" i="4"/>
  <c r="AC304" i="4" s="1"/>
  <c r="AC343" i="4" s="1"/>
  <c r="L269" i="4"/>
  <c r="L272" i="4" s="1"/>
  <c r="P257" i="4"/>
  <c r="K270" i="4"/>
  <c r="K271" i="4" s="1"/>
  <c r="K275" i="4" s="1"/>
  <c r="K276" i="4" s="1"/>
  <c r="AD201" i="4"/>
  <c r="AD204" i="4" s="1"/>
  <c r="O258" i="4"/>
  <c r="O320" i="4" s="1"/>
  <c r="S295" i="4"/>
  <c r="S308" i="4" s="1"/>
  <c r="S348" i="4" s="1"/>
  <c r="S238" i="4"/>
  <c r="J364" i="4"/>
  <c r="J374" i="4" s="1"/>
  <c r="J382" i="4" s="1"/>
  <c r="J373" i="4"/>
  <c r="J381" i="4" s="1"/>
  <c r="U325" i="4"/>
  <c r="U354" i="4" s="1"/>
  <c r="AF333" i="4"/>
  <c r="AF362" i="4" s="1"/>
  <c r="AL327" i="4"/>
  <c r="AL356" i="4" s="1"/>
  <c r="N265" i="4"/>
  <c r="AL174" i="4"/>
  <c r="AL176" i="4" s="1"/>
  <c r="AL177" i="4" s="1"/>
  <c r="AL178" i="4" s="1"/>
  <c r="AL179" i="4" s="1"/>
  <c r="AL180" i="4" s="1"/>
  <c r="AH185" i="4"/>
  <c r="AH186" i="4" s="1"/>
  <c r="AH190" i="4" s="1"/>
  <c r="AG190" i="4"/>
  <c r="AA208" i="4"/>
  <c r="AA210" i="4" s="1"/>
  <c r="AA211" i="4" s="1"/>
  <c r="AA212" i="4" s="1"/>
  <c r="AA213" i="4" s="1"/>
  <c r="AA317" i="4"/>
  <c r="S236" i="4"/>
  <c r="S237" i="4" s="1"/>
  <c r="S241" i="4" s="1"/>
  <c r="AM315" i="4"/>
  <c r="AM327" i="4" s="1"/>
  <c r="AB202" i="4"/>
  <c r="AB203" i="4" s="1"/>
  <c r="AB207" i="4" s="1"/>
  <c r="R248" i="4"/>
  <c r="W217" i="4"/>
  <c r="AB205" i="4"/>
  <c r="U228" i="4"/>
  <c r="U229" i="4" s="1"/>
  <c r="U230" i="4" s="1"/>
  <c r="Z214" i="4"/>
  <c r="AB206" i="4"/>
  <c r="AH189" i="4"/>
  <c r="AH188" i="4"/>
  <c r="AF194" i="4"/>
  <c r="AF195" i="4" s="1"/>
  <c r="AF196" i="4" s="1"/>
  <c r="O259" i="4" l="1"/>
  <c r="O261" i="4" s="1"/>
  <c r="L268" i="4"/>
  <c r="L273" i="4" s="1"/>
  <c r="Q251" i="4"/>
  <c r="Q257" i="4" s="1"/>
  <c r="K321" i="4"/>
  <c r="K324" i="4" s="1"/>
  <c r="K353" i="4" s="1"/>
  <c r="L297" i="4"/>
  <c r="L300" i="4" s="1"/>
  <c r="L339" i="4" s="1"/>
  <c r="AD293" i="4"/>
  <c r="AD304" i="4" s="1"/>
  <c r="AD343" i="4" s="1"/>
  <c r="M269" i="4"/>
  <c r="M272" i="4" s="1"/>
  <c r="Q252" i="4"/>
  <c r="Q255" i="4" s="1"/>
  <c r="Y218" i="4"/>
  <c r="Y221" i="4" s="1"/>
  <c r="O326" i="4"/>
  <c r="O355" i="4" s="1"/>
  <c r="AA328" i="4"/>
  <c r="AA357" i="4" s="1"/>
  <c r="K278" i="4"/>
  <c r="K279" i="4" s="1"/>
  <c r="W219" i="4"/>
  <c r="W220" i="4" s="1"/>
  <c r="X217" i="4" s="1"/>
  <c r="AM174" i="4"/>
  <c r="AM176" i="4" s="1"/>
  <c r="AM177" i="4" s="1"/>
  <c r="AM178" i="4" s="1"/>
  <c r="AM179" i="4" s="1"/>
  <c r="AM180" i="4" s="1"/>
  <c r="P259" i="4"/>
  <c r="P261" i="4" s="1"/>
  <c r="P262" i="4" s="1"/>
  <c r="P263" i="4" s="1"/>
  <c r="P320" i="4"/>
  <c r="AG191" i="4"/>
  <c r="AG193" i="4" s="1"/>
  <c r="AG316" i="4"/>
  <c r="V225" i="4"/>
  <c r="V227" i="4" s="1"/>
  <c r="V318" i="4"/>
  <c r="AM356" i="4"/>
  <c r="AC200" i="4"/>
  <c r="O262" i="4"/>
  <c r="O263" i="4" s="1"/>
  <c r="T234" i="4"/>
  <c r="U231" i="4"/>
  <c r="T235" i="4" s="1"/>
  <c r="AA214" i="4"/>
  <c r="W223" i="4"/>
  <c r="W222" i="4"/>
  <c r="AF197" i="4"/>
  <c r="AI183" i="4"/>
  <c r="AI184" i="4" s="1"/>
  <c r="AI292" i="4" l="1"/>
  <c r="AI309" i="4" s="1"/>
  <c r="AI349" i="4" s="1"/>
  <c r="AI187" i="4"/>
  <c r="L274" i="4"/>
  <c r="L270" i="4"/>
  <c r="L271" i="4" s="1"/>
  <c r="M268" i="4" s="1"/>
  <c r="M274" i="4" s="1"/>
  <c r="M297" i="4"/>
  <c r="M300" i="4" s="1"/>
  <c r="M339" i="4" s="1"/>
  <c r="Q256" i="4"/>
  <c r="Y294" i="4"/>
  <c r="Y301" i="4" s="1"/>
  <c r="Y340" i="4" s="1"/>
  <c r="Q296" i="4"/>
  <c r="Q302" i="4" s="1"/>
  <c r="Q341" i="4" s="1"/>
  <c r="Q253" i="4"/>
  <c r="Q254" i="4" s="1"/>
  <c r="Q258" i="4" s="1"/>
  <c r="Z218" i="4"/>
  <c r="Z221" i="4" s="1"/>
  <c r="AE201" i="4"/>
  <c r="AE204" i="4" s="1"/>
  <c r="T295" i="4"/>
  <c r="T308" i="4" s="1"/>
  <c r="T348" i="4" s="1"/>
  <c r="T238" i="4"/>
  <c r="V325" i="4"/>
  <c r="V354" i="4" s="1"/>
  <c r="AG333" i="4"/>
  <c r="AG362" i="4" s="1"/>
  <c r="P326" i="4"/>
  <c r="P355" i="4" s="1"/>
  <c r="K280" i="4"/>
  <c r="X219" i="4"/>
  <c r="X220" i="4" s="1"/>
  <c r="X224" i="4" s="1"/>
  <c r="AC202" i="4"/>
  <c r="AC203" i="4" s="1"/>
  <c r="W224" i="4"/>
  <c r="AI185" i="4"/>
  <c r="AI186" i="4" s="1"/>
  <c r="AI190" i="4" s="1"/>
  <c r="AH191" i="4"/>
  <c r="AH193" i="4" s="1"/>
  <c r="AH316" i="4"/>
  <c r="S242" i="4"/>
  <c r="S244" i="4" s="1"/>
  <c r="S319" i="4"/>
  <c r="AB208" i="4"/>
  <c r="AB210" i="4" s="1"/>
  <c r="AB211" i="4" s="1"/>
  <c r="AB212" i="4" s="1"/>
  <c r="AB213" i="4" s="1"/>
  <c r="AB317" i="4"/>
  <c r="AC205" i="4"/>
  <c r="AC206" i="4"/>
  <c r="T236" i="4"/>
  <c r="T237" i="4" s="1"/>
  <c r="T241" i="4" s="1"/>
  <c r="P264" i="4"/>
  <c r="O264" i="4"/>
  <c r="T240" i="4"/>
  <c r="T239" i="4"/>
  <c r="X222" i="4"/>
  <c r="X223" i="4"/>
  <c r="V228" i="4"/>
  <c r="V229" i="4" s="1"/>
  <c r="V230" i="4" s="1"/>
  <c r="AG194" i="4"/>
  <c r="AG195" i="4" s="1"/>
  <c r="AG196" i="4" s="1"/>
  <c r="AI188" i="4"/>
  <c r="AI189" i="4"/>
  <c r="L275" i="4" l="1"/>
  <c r="L276" i="4" s="1"/>
  <c r="L278" i="4" s="1"/>
  <c r="L279" i="4" s="1"/>
  <c r="L280" i="4" s="1"/>
  <c r="L281" i="4" s="1"/>
  <c r="L283" i="4" s="1"/>
  <c r="L336" i="4" s="1"/>
  <c r="M270" i="4"/>
  <c r="M271" i="4" s="1"/>
  <c r="N268" i="4" s="1"/>
  <c r="N274" i="4" s="1"/>
  <c r="M273" i="4"/>
  <c r="R251" i="4"/>
  <c r="R257" i="4" s="1"/>
  <c r="AE293" i="4"/>
  <c r="AE304" i="4" s="1"/>
  <c r="AE343" i="4" s="1"/>
  <c r="Z294" i="4"/>
  <c r="Z301" i="4" s="1"/>
  <c r="Z340" i="4" s="1"/>
  <c r="L321" i="4"/>
  <c r="L324" i="4" s="1"/>
  <c r="L353" i="4" s="1"/>
  <c r="N273" i="4"/>
  <c r="M275" i="4"/>
  <c r="AH333" i="4"/>
  <c r="AH362" i="4" s="1"/>
  <c r="S360" i="4"/>
  <c r="S332" i="4"/>
  <c r="S361" i="4" s="1"/>
  <c r="AB328" i="4"/>
  <c r="AB357" i="4" s="1"/>
  <c r="O265" i="4"/>
  <c r="K281" i="4"/>
  <c r="K283" i="4" s="1"/>
  <c r="K336" i="4" s="1"/>
  <c r="AC207" i="4"/>
  <c r="AC317" i="4" s="1"/>
  <c r="Q259" i="4"/>
  <c r="Q261" i="4" s="1"/>
  <c r="Q320" i="4"/>
  <c r="W225" i="4"/>
  <c r="W227" i="4" s="1"/>
  <c r="W318" i="4"/>
  <c r="AD200" i="4"/>
  <c r="U234" i="4"/>
  <c r="V231" i="4"/>
  <c r="U235" i="4" s="1"/>
  <c r="S245" i="4"/>
  <c r="S246" i="4" s="1"/>
  <c r="S247" i="4" s="1"/>
  <c r="Y217" i="4"/>
  <c r="AB214" i="4"/>
  <c r="AG197" i="4"/>
  <c r="AJ183" i="4"/>
  <c r="AJ184" i="4" s="1"/>
  <c r="AH194" i="4"/>
  <c r="AH195" i="4" s="1"/>
  <c r="AH196" i="4" s="1"/>
  <c r="AJ292" i="4" l="1"/>
  <c r="AJ309" i="4" s="1"/>
  <c r="AJ349" i="4" s="1"/>
  <c r="AJ187" i="4"/>
  <c r="R256" i="4"/>
  <c r="P265" i="4"/>
  <c r="N269" i="4"/>
  <c r="AA218" i="4"/>
  <c r="AA221" i="4" s="1"/>
  <c r="AF201" i="4"/>
  <c r="AF204" i="4" s="1"/>
  <c r="M321" i="4"/>
  <c r="M324" i="4" s="1"/>
  <c r="M353" i="4" s="1"/>
  <c r="M276" i="4"/>
  <c r="M278" i="4" s="1"/>
  <c r="M279" i="4" s="1"/>
  <c r="M280" i="4" s="1"/>
  <c r="M281" i="4" s="1"/>
  <c r="M283" i="4" s="1"/>
  <c r="M336" i="4" s="1"/>
  <c r="U295" i="4"/>
  <c r="U308" i="4" s="1"/>
  <c r="U348" i="4" s="1"/>
  <c r="U238" i="4"/>
  <c r="L364" i="4"/>
  <c r="L374" i="4" s="1"/>
  <c r="L382" i="4" s="1"/>
  <c r="W325" i="4"/>
  <c r="W354" i="4" s="1"/>
  <c r="AC328" i="4"/>
  <c r="AC357" i="4" s="1"/>
  <c r="L373" i="4"/>
  <c r="L381" i="4" s="1"/>
  <c r="Q326" i="4"/>
  <c r="Q355" i="4" s="1"/>
  <c r="K364" i="4"/>
  <c r="K374" i="4" s="1"/>
  <c r="K382" i="4" s="1"/>
  <c r="K373" i="4"/>
  <c r="K381" i="4" s="1"/>
  <c r="AC208" i="4"/>
  <c r="AC210" i="4" s="1"/>
  <c r="AC211" i="4" s="1"/>
  <c r="AC212" i="4" s="1"/>
  <c r="AC213" i="4" s="1"/>
  <c r="Y219" i="4"/>
  <c r="Y220" i="4" s="1"/>
  <c r="Y224" i="4" s="1"/>
  <c r="AJ185" i="4"/>
  <c r="AJ186" i="4" s="1"/>
  <c r="AJ190" i="4" s="1"/>
  <c r="AD202" i="4"/>
  <c r="AD203" i="4" s="1"/>
  <c r="X225" i="4"/>
  <c r="X227" i="4" s="1"/>
  <c r="X318" i="4"/>
  <c r="T242" i="4"/>
  <c r="T244" i="4" s="1"/>
  <c r="T319" i="4"/>
  <c r="AI191" i="4"/>
  <c r="AI193" i="4" s="1"/>
  <c r="AI316" i="4"/>
  <c r="AD206" i="4"/>
  <c r="AD205" i="4"/>
  <c r="U236" i="4"/>
  <c r="U237" i="4" s="1"/>
  <c r="V234" i="4" s="1"/>
  <c r="S248" i="4"/>
  <c r="R252" i="4" s="1"/>
  <c r="Q262" i="4"/>
  <c r="Q263" i="4" s="1"/>
  <c r="Q264" i="4" s="1"/>
  <c r="U240" i="4"/>
  <c r="U239" i="4"/>
  <c r="W228" i="4"/>
  <c r="W229" i="4" s="1"/>
  <c r="W230" i="4" s="1"/>
  <c r="Y222" i="4"/>
  <c r="Y223" i="4"/>
  <c r="AH197" i="4"/>
  <c r="AJ188" i="4"/>
  <c r="AJ189" i="4"/>
  <c r="AA294" i="4" l="1"/>
  <c r="AA301" i="4" s="1"/>
  <c r="AA340" i="4" s="1"/>
  <c r="AF293" i="4"/>
  <c r="AF304" i="4" s="1"/>
  <c r="AF343" i="4" s="1"/>
  <c r="O269" i="4"/>
  <c r="O272" i="4" s="1"/>
  <c r="AG201" i="4"/>
  <c r="AG204" i="4" s="1"/>
  <c r="N272" i="4"/>
  <c r="R296" i="4"/>
  <c r="R255" i="4"/>
  <c r="N270" i="4"/>
  <c r="N271" i="4" s="1"/>
  <c r="O268" i="4" s="1"/>
  <c r="N297" i="4"/>
  <c r="N300" i="4" s="1"/>
  <c r="N339" i="4" s="1"/>
  <c r="X325" i="4"/>
  <c r="X354" i="4" s="1"/>
  <c r="T360" i="4"/>
  <c r="T332" i="4"/>
  <c r="T361" i="4" s="1"/>
  <c r="AI333" i="4"/>
  <c r="AI362" i="4" s="1"/>
  <c r="Q265" i="4"/>
  <c r="P269" i="4" s="1"/>
  <c r="M373" i="4"/>
  <c r="M381" i="4" s="1"/>
  <c r="M364" i="4"/>
  <c r="M374" i="4" s="1"/>
  <c r="M382" i="4" s="1"/>
  <c r="AE200" i="4"/>
  <c r="AE206" i="4" s="1"/>
  <c r="AD207" i="4"/>
  <c r="AD208" i="4" s="1"/>
  <c r="AD210" i="4" s="1"/>
  <c r="U241" i="4"/>
  <c r="AG293" i="4"/>
  <c r="AG304" i="4" s="1"/>
  <c r="AG343" i="4" s="1"/>
  <c r="R253" i="4"/>
  <c r="R254" i="4" s="1"/>
  <c r="R258" i="4" s="1"/>
  <c r="R302" i="4"/>
  <c r="R341" i="4" s="1"/>
  <c r="W231" i="4"/>
  <c r="V235" i="4" s="1"/>
  <c r="T245" i="4"/>
  <c r="T246" i="4" s="1"/>
  <c r="T247" i="4" s="1"/>
  <c r="V240" i="4"/>
  <c r="V239" i="4"/>
  <c r="Z217" i="4"/>
  <c r="X228" i="4"/>
  <c r="X229" i="4" s="1"/>
  <c r="X230" i="4" s="1"/>
  <c r="AC214" i="4"/>
  <c r="AK183" i="4"/>
  <c r="AK184" i="4" s="1"/>
  <c r="AI194" i="4"/>
  <c r="AI195" i="4" s="1"/>
  <c r="AI196" i="4" s="1"/>
  <c r="AK187" i="4" l="1"/>
  <c r="AK292" i="4"/>
  <c r="AK309" i="4" s="1"/>
  <c r="AK349" i="4" s="1"/>
  <c r="O297" i="4"/>
  <c r="O300" i="4" s="1"/>
  <c r="O339" i="4" s="1"/>
  <c r="AB218" i="4"/>
  <c r="AB221" i="4" s="1"/>
  <c r="P297" i="4"/>
  <c r="P300" i="4" s="1"/>
  <c r="P339" i="4" s="1"/>
  <c r="P272" i="4"/>
  <c r="N275" i="4"/>
  <c r="N321" i="4" s="1"/>
  <c r="V295" i="4"/>
  <c r="V308" i="4" s="1"/>
  <c r="V348" i="4" s="1"/>
  <c r="V238" i="4"/>
  <c r="AE205" i="4"/>
  <c r="O270" i="4"/>
  <c r="O271" i="4" s="1"/>
  <c r="P268" i="4" s="1"/>
  <c r="O273" i="4"/>
  <c r="O274" i="4"/>
  <c r="Z219" i="4"/>
  <c r="Z220" i="4" s="1"/>
  <c r="Z224" i="4" s="1"/>
  <c r="AE202" i="4"/>
  <c r="AE203" i="4" s="1"/>
  <c r="AF200" i="4" s="1"/>
  <c r="AF206" i="4" s="1"/>
  <c r="AD317" i="4"/>
  <c r="Y225" i="4"/>
  <c r="Y227" i="4" s="1"/>
  <c r="Y318" i="4"/>
  <c r="AJ191" i="4"/>
  <c r="AJ193" i="4" s="1"/>
  <c r="AJ316" i="4"/>
  <c r="U242" i="4"/>
  <c r="U244" i="4" s="1"/>
  <c r="U319" i="4"/>
  <c r="V236" i="4"/>
  <c r="V237" i="4" s="1"/>
  <c r="V241" i="4" s="1"/>
  <c r="AK185" i="4"/>
  <c r="AK186" i="4" s="1"/>
  <c r="AK190" i="4" s="1"/>
  <c r="S251" i="4"/>
  <c r="T248" i="4"/>
  <c r="X231" i="4"/>
  <c r="W235" i="4" s="1"/>
  <c r="AK189" i="4"/>
  <c r="AK188" i="4"/>
  <c r="Z222" i="4"/>
  <c r="Z223" i="4"/>
  <c r="AD211" i="4"/>
  <c r="AD212" i="4" s="1"/>
  <c r="AI197" i="4"/>
  <c r="AB294" i="4" l="1"/>
  <c r="AB301" i="4" s="1"/>
  <c r="AB340" i="4" s="1"/>
  <c r="N276" i="4"/>
  <c r="N278" i="4" s="1"/>
  <c r="S252" i="4"/>
  <c r="S255" i="4" s="1"/>
  <c r="W295" i="4"/>
  <c r="W308" i="4" s="1"/>
  <c r="W348" i="4" s="1"/>
  <c r="W238" i="4"/>
  <c r="AD328" i="4"/>
  <c r="AD357" i="4" s="1"/>
  <c r="AJ333" i="4"/>
  <c r="AJ362" i="4" s="1"/>
  <c r="Y325" i="4"/>
  <c r="Y354" i="4" s="1"/>
  <c r="U360" i="4"/>
  <c r="U332" i="4"/>
  <c r="U361" i="4" s="1"/>
  <c r="N324" i="4"/>
  <c r="N353" i="4" s="1"/>
  <c r="O275" i="4"/>
  <c r="O276" i="4" s="1"/>
  <c r="P273" i="4"/>
  <c r="P270" i="4"/>
  <c r="P271" i="4" s="1"/>
  <c r="Q268" i="4" s="1"/>
  <c r="P274" i="4"/>
  <c r="AE207" i="4"/>
  <c r="AE208" i="4" s="1"/>
  <c r="AE210" i="4" s="1"/>
  <c r="AE211" i="4" s="1"/>
  <c r="AE212" i="4" s="1"/>
  <c r="AF205" i="4"/>
  <c r="AF202" i="4"/>
  <c r="AF203" i="4" s="1"/>
  <c r="R259" i="4"/>
  <c r="R261" i="4" s="1"/>
  <c r="R320" i="4"/>
  <c r="S296" i="4"/>
  <c r="S302" i="4" s="1"/>
  <c r="S341" i="4" s="1"/>
  <c r="S253" i="4"/>
  <c r="S254" i="4" s="1"/>
  <c r="S258" i="4" s="1"/>
  <c r="W234" i="4"/>
  <c r="AK316" i="4"/>
  <c r="AL183" i="4"/>
  <c r="AL184" i="4" s="1"/>
  <c r="S256" i="4"/>
  <c r="S257" i="4"/>
  <c r="U245" i="4"/>
  <c r="U246" i="4" s="1"/>
  <c r="AA217" i="4"/>
  <c r="Y228" i="4"/>
  <c r="Y229" i="4" s="1"/>
  <c r="Y230" i="4" s="1"/>
  <c r="AD213" i="4"/>
  <c r="AJ194" i="4"/>
  <c r="AJ195" i="4" s="1"/>
  <c r="AJ196" i="4" s="1"/>
  <c r="AL187" i="4" l="1"/>
  <c r="AM292" i="4"/>
  <c r="AM309" i="4" s="1"/>
  <c r="AM349" i="4" s="1"/>
  <c r="AL292" i="4"/>
  <c r="AL309" i="4" s="1"/>
  <c r="AL349" i="4" s="1"/>
  <c r="N279" i="4"/>
  <c r="N280" i="4" s="1"/>
  <c r="N281" i="4" s="1"/>
  <c r="N283" i="4" s="1"/>
  <c r="N336" i="4" s="1"/>
  <c r="R326" i="4"/>
  <c r="R355" i="4" s="1"/>
  <c r="O321" i="4"/>
  <c r="AK333" i="4"/>
  <c r="AK362" i="4" s="1"/>
  <c r="P275" i="4"/>
  <c r="P276" i="4" s="1"/>
  <c r="P278" i="4" s="1"/>
  <c r="O278" i="4"/>
  <c r="O279" i="4" s="1"/>
  <c r="O280" i="4" s="1"/>
  <c r="Q273" i="4"/>
  <c r="Q274" i="4"/>
  <c r="AE317" i="4"/>
  <c r="AE213" i="4"/>
  <c r="AG200" i="4"/>
  <c r="AF207" i="4"/>
  <c r="AF208" i="4" s="1"/>
  <c r="AF210" i="4" s="1"/>
  <c r="AA219" i="4"/>
  <c r="AA220" i="4" s="1"/>
  <c r="AA224" i="4" s="1"/>
  <c r="AL185" i="4"/>
  <c r="AL186" i="4" s="1"/>
  <c r="AM183" i="4" s="1"/>
  <c r="AM188" i="4" s="1"/>
  <c r="AK191" i="4"/>
  <c r="AK193" i="4" s="1"/>
  <c r="AK194" i="4" s="1"/>
  <c r="AK195" i="4" s="1"/>
  <c r="V242" i="4"/>
  <c r="V244" i="4" s="1"/>
  <c r="V245" i="4" s="1"/>
  <c r="V246" i="4" s="1"/>
  <c r="V247" i="4" s="1"/>
  <c r="V319" i="4"/>
  <c r="Z225" i="4"/>
  <c r="Z227" i="4" s="1"/>
  <c r="Z318" i="4"/>
  <c r="AL189" i="4"/>
  <c r="AL188" i="4"/>
  <c r="W236" i="4"/>
  <c r="W237" i="4" s="1"/>
  <c r="W241" i="4" s="1"/>
  <c r="W240" i="4"/>
  <c r="W239" i="4"/>
  <c r="T251" i="4"/>
  <c r="R262" i="4"/>
  <c r="R263" i="4" s="1"/>
  <c r="R264" i="4" s="1"/>
  <c r="U247" i="4"/>
  <c r="Y231" i="4"/>
  <c r="X235" i="4" s="1"/>
  <c r="AD214" i="4"/>
  <c r="AC218" i="4" s="1"/>
  <c r="AA223" i="4"/>
  <c r="AA222" i="4"/>
  <c r="AJ197" i="4"/>
  <c r="X295" i="4" l="1"/>
  <c r="X308" i="4" s="1"/>
  <c r="X348" i="4" s="1"/>
  <c r="X238" i="4"/>
  <c r="N364" i="4"/>
  <c r="N374" i="4" s="1"/>
  <c r="N382" i="4" s="1"/>
  <c r="N373" i="4"/>
  <c r="N381" i="4" s="1"/>
  <c r="P279" i="4"/>
  <c r="P280" i="4" s="1"/>
  <c r="P281" i="4" s="1"/>
  <c r="P283" i="4" s="1"/>
  <c r="P336" i="4" s="1"/>
  <c r="V360" i="4"/>
  <c r="V332" i="4"/>
  <c r="V361" i="4" s="1"/>
  <c r="P321" i="4"/>
  <c r="O324" i="4"/>
  <c r="O353" i="4" s="1"/>
  <c r="AE328" i="4"/>
  <c r="AE357" i="4" s="1"/>
  <c r="Z325" i="4"/>
  <c r="Z354" i="4" s="1"/>
  <c r="R265" i="4"/>
  <c r="Q269" i="4" s="1"/>
  <c r="O281" i="4"/>
  <c r="O283" i="4" s="1"/>
  <c r="O336" i="4" s="1"/>
  <c r="AF317" i="4"/>
  <c r="AM189" i="4"/>
  <c r="AL190" i="4"/>
  <c r="AL316" i="4" s="1"/>
  <c r="AK196" i="4"/>
  <c r="AK197" i="4" s="1"/>
  <c r="AM185" i="4"/>
  <c r="AM186" i="4" s="1"/>
  <c r="AM190" i="4" s="1"/>
  <c r="AG202" i="4"/>
  <c r="AG203" i="4" s="1"/>
  <c r="AH200" i="4" s="1"/>
  <c r="AH201" i="4" s="1"/>
  <c r="AG205" i="4"/>
  <c r="AG206" i="4"/>
  <c r="S259" i="4"/>
  <c r="S261" i="4" s="1"/>
  <c r="S320" i="4"/>
  <c r="X234" i="4"/>
  <c r="AB217" i="4"/>
  <c r="U248" i="4"/>
  <c r="T252" i="4" s="1"/>
  <c r="T257" i="4"/>
  <c r="T256" i="4"/>
  <c r="Z228" i="4"/>
  <c r="Z229" i="4" s="1"/>
  <c r="Z230" i="4" s="1"/>
  <c r="AE214" i="4"/>
  <c r="AC221" i="4"/>
  <c r="AF211" i="4"/>
  <c r="AF212" i="4" s="1"/>
  <c r="AF213" i="4" s="1"/>
  <c r="AH204" i="4" l="1"/>
  <c r="AH293" i="4"/>
  <c r="AH304" i="4" s="1"/>
  <c r="AH343" i="4" s="1"/>
  <c r="AD218" i="4"/>
  <c r="AD221" i="4" s="1"/>
  <c r="Q270" i="4"/>
  <c r="Q271" i="4" s="1"/>
  <c r="R268" i="4" s="1"/>
  <c r="R274" i="4" s="1"/>
  <c r="Q272" i="4"/>
  <c r="AF328" i="4"/>
  <c r="AF357" i="4" s="1"/>
  <c r="O364" i="4"/>
  <c r="O374" i="4" s="1"/>
  <c r="O382" i="4" s="1"/>
  <c r="Q297" i="4"/>
  <c r="Q300" i="4" s="1"/>
  <c r="Q339" i="4" s="1"/>
  <c r="AL333" i="4"/>
  <c r="AL362" i="4" s="1"/>
  <c r="P324" i="4"/>
  <c r="P353" i="4" s="1"/>
  <c r="P364" i="4" s="1"/>
  <c r="P374" i="4" s="1"/>
  <c r="P382" i="4" s="1"/>
  <c r="S326" i="4"/>
  <c r="S355" i="4" s="1"/>
  <c r="P373" i="4"/>
  <c r="P381" i="4" s="1"/>
  <c r="O373" i="4"/>
  <c r="O381" i="4" s="1"/>
  <c r="AL191" i="4"/>
  <c r="AL193" i="4" s="1"/>
  <c r="AL194" i="4" s="1"/>
  <c r="AL195" i="4" s="1"/>
  <c r="AM191" i="4"/>
  <c r="AM316" i="4"/>
  <c r="AH202" i="4"/>
  <c r="AH203" i="4" s="1"/>
  <c r="AH207" i="4" s="1"/>
  <c r="AB223" i="4"/>
  <c r="AG207" i="4"/>
  <c r="AH205" i="4"/>
  <c r="AH206" i="4"/>
  <c r="W242" i="4"/>
  <c r="W244" i="4" s="1"/>
  <c r="W245" i="4" s="1"/>
  <c r="W246" i="4" s="1"/>
  <c r="W247" i="4" s="1"/>
  <c r="W319" i="4"/>
  <c r="AA225" i="4"/>
  <c r="AA227" i="4" s="1"/>
  <c r="AA318" i="4"/>
  <c r="AC294" i="4"/>
  <c r="AC301" i="4" s="1"/>
  <c r="AC340" i="4" s="1"/>
  <c r="X236" i="4"/>
  <c r="X237" i="4" s="1"/>
  <c r="Y234" i="4" s="1"/>
  <c r="X239" i="4"/>
  <c r="X240" i="4"/>
  <c r="AB222" i="4"/>
  <c r="AB219" i="4"/>
  <c r="AB220" i="4" s="1"/>
  <c r="AC217" i="4" s="1"/>
  <c r="S262" i="4"/>
  <c r="S263" i="4" s="1"/>
  <c r="S264" i="4" s="1"/>
  <c r="V248" i="4"/>
  <c r="U252" i="4" s="1"/>
  <c r="Z231" i="4"/>
  <c r="Y235" i="4" s="1"/>
  <c r="AF214" i="4"/>
  <c r="AD294" i="4" l="1"/>
  <c r="AD301" i="4" s="1"/>
  <c r="AD340" i="4" s="1"/>
  <c r="AE218" i="4"/>
  <c r="AE221" i="4" s="1"/>
  <c r="R273" i="4"/>
  <c r="Q275" i="4"/>
  <c r="Q321" i="4" s="1"/>
  <c r="T296" i="4"/>
  <c r="T302" i="4" s="1"/>
  <c r="T341" i="4" s="1"/>
  <c r="T255" i="4"/>
  <c r="Y295" i="4"/>
  <c r="Y308" i="4" s="1"/>
  <c r="Y348" i="4" s="1"/>
  <c r="Y238" i="4"/>
  <c r="Q276" i="4"/>
  <c r="Q278" i="4" s="1"/>
  <c r="Q324" i="4"/>
  <c r="Q353" i="4" s="1"/>
  <c r="AA325" i="4"/>
  <c r="AA354" i="4" s="1"/>
  <c r="W360" i="4"/>
  <c r="W332" i="4"/>
  <c r="W361" i="4" s="1"/>
  <c r="AM333" i="4"/>
  <c r="AM362" i="4" s="1"/>
  <c r="S265" i="4"/>
  <c r="R269" i="4" s="1"/>
  <c r="AM193" i="4"/>
  <c r="AM194" i="4" s="1"/>
  <c r="AM195" i="4" s="1"/>
  <c r="AI200" i="4"/>
  <c r="X241" i="4"/>
  <c r="AG317" i="4"/>
  <c r="AG208" i="4"/>
  <c r="AG210" i="4" s="1"/>
  <c r="AG211" i="4" s="1"/>
  <c r="AG212" i="4" s="1"/>
  <c r="AG213" i="4" s="1"/>
  <c r="AG214" i="4" s="1"/>
  <c r="AC219" i="4"/>
  <c r="AC220" i="4" s="1"/>
  <c r="AB224" i="4"/>
  <c r="AH208" i="4"/>
  <c r="AH317" i="4"/>
  <c r="T253" i="4"/>
  <c r="T254" i="4" s="1"/>
  <c r="T258" i="4" s="1"/>
  <c r="AC223" i="4"/>
  <c r="AC222" i="4"/>
  <c r="Y240" i="4"/>
  <c r="Y236" i="4"/>
  <c r="Y237" i="4" s="1"/>
  <c r="Y241" i="4" s="1"/>
  <c r="Y239" i="4"/>
  <c r="U255" i="4"/>
  <c r="W248" i="4"/>
  <c r="AA228" i="4"/>
  <c r="AA229" i="4" s="1"/>
  <c r="AA230" i="4" s="1"/>
  <c r="AL196" i="4"/>
  <c r="AI201" i="4" l="1"/>
  <c r="AE294" i="4"/>
  <c r="AE301" i="4" s="1"/>
  <c r="AE340" i="4" s="1"/>
  <c r="V252" i="4"/>
  <c r="V255" i="4" s="1"/>
  <c r="AF218" i="4"/>
  <c r="AF221" i="4" s="1"/>
  <c r="R270" i="4"/>
  <c r="R271" i="4" s="1"/>
  <c r="S268" i="4" s="1"/>
  <c r="R272" i="4"/>
  <c r="R297" i="4"/>
  <c r="R300" i="4" s="1"/>
  <c r="R339" i="4" s="1"/>
  <c r="Q279" i="4"/>
  <c r="Q280" i="4" s="1"/>
  <c r="Q281" i="4" s="1"/>
  <c r="Q283" i="4" s="1"/>
  <c r="Q336" i="4" s="1"/>
  <c r="AG328" i="4"/>
  <c r="AG357" i="4" s="1"/>
  <c r="AH328" i="4"/>
  <c r="AH357" i="4" s="1"/>
  <c r="AM196" i="4"/>
  <c r="AI205" i="4"/>
  <c r="AI206" i="4"/>
  <c r="AH210" i="4"/>
  <c r="AH211" i="4" s="1"/>
  <c r="AH212" i="4" s="1"/>
  <c r="AH213" i="4" s="1"/>
  <c r="AD217" i="4"/>
  <c r="AD222" i="4" s="1"/>
  <c r="AC224" i="4"/>
  <c r="X242" i="4"/>
  <c r="X244" i="4" s="1"/>
  <c r="X245" i="4" s="1"/>
  <c r="X246" i="4" s="1"/>
  <c r="X247" i="4" s="1"/>
  <c r="X248" i="4" s="1"/>
  <c r="X319" i="4"/>
  <c r="AB225" i="4"/>
  <c r="AB227" i="4" s="1"/>
  <c r="AB228" i="4" s="1"/>
  <c r="AB229" i="4" s="1"/>
  <c r="AB230" i="4" s="1"/>
  <c r="AB318" i="4"/>
  <c r="V296" i="4"/>
  <c r="V302" i="4" s="1"/>
  <c r="V341" i="4" s="1"/>
  <c r="U296" i="4"/>
  <c r="U302" i="4" s="1"/>
  <c r="U341" i="4" s="1"/>
  <c r="U251" i="4"/>
  <c r="Z234" i="4"/>
  <c r="AA231" i="4"/>
  <c r="Z235" i="4" s="1"/>
  <c r="AL197" i="4"/>
  <c r="R275" i="4" l="1"/>
  <c r="AI204" i="4"/>
  <c r="AI293" i="4"/>
  <c r="AI304" i="4" s="1"/>
  <c r="AI343" i="4" s="1"/>
  <c r="AF294" i="4"/>
  <c r="AF301" i="4" s="1"/>
  <c r="AF340" i="4" s="1"/>
  <c r="AI202" i="4"/>
  <c r="AI203" i="4" s="1"/>
  <c r="W252" i="4"/>
  <c r="W255" i="4" s="1"/>
  <c r="Z295" i="4"/>
  <c r="Z308" i="4" s="1"/>
  <c r="Z348" i="4" s="1"/>
  <c r="Z238" i="4"/>
  <c r="Q373" i="4"/>
  <c r="Q381" i="4" s="1"/>
  <c r="Q364" i="4"/>
  <c r="Q374" i="4" s="1"/>
  <c r="Q382" i="4" s="1"/>
  <c r="X360" i="4"/>
  <c r="X332" i="4"/>
  <c r="X361" i="4" s="1"/>
  <c r="AB325" i="4"/>
  <c r="AB354" i="4" s="1"/>
  <c r="R321" i="4"/>
  <c r="R276" i="4"/>
  <c r="S274" i="4"/>
  <c r="S273" i="4"/>
  <c r="AD223" i="4"/>
  <c r="U253" i="4"/>
  <c r="U254" i="4" s="1"/>
  <c r="U258" i="4" s="1"/>
  <c r="AD219" i="4"/>
  <c r="AD220" i="4" s="1"/>
  <c r="AE217" i="4" s="1"/>
  <c r="AC225" i="4"/>
  <c r="AC227" i="4" s="1"/>
  <c r="AC228" i="4" s="1"/>
  <c r="AC229" i="4" s="1"/>
  <c r="AC318" i="4"/>
  <c r="Y242" i="4"/>
  <c r="Y244" i="4" s="1"/>
  <c r="Y319" i="4"/>
  <c r="T259" i="4"/>
  <c r="T261" i="4" s="1"/>
  <c r="T320" i="4"/>
  <c r="Z236" i="4"/>
  <c r="Z237" i="4" s="1"/>
  <c r="Z241" i="4" s="1"/>
  <c r="U256" i="4"/>
  <c r="U257" i="4"/>
  <c r="AB231" i="4"/>
  <c r="AA235" i="4" s="1"/>
  <c r="Z240" i="4"/>
  <c r="Z239" i="4"/>
  <c r="AH214" i="4"/>
  <c r="AM197" i="4"/>
  <c r="W296" i="4" l="1"/>
  <c r="W302" i="4" s="1"/>
  <c r="W341" i="4" s="1"/>
  <c r="AI207" i="4"/>
  <c r="AJ200" i="4"/>
  <c r="AG218" i="4"/>
  <c r="AG221" i="4" s="1"/>
  <c r="AA295" i="4"/>
  <c r="AA308" i="4" s="1"/>
  <c r="AA348" i="4" s="1"/>
  <c r="AA238" i="4"/>
  <c r="R324" i="4"/>
  <c r="R353" i="4" s="1"/>
  <c r="Y360" i="4"/>
  <c r="Y332" i="4"/>
  <c r="Y361" i="4" s="1"/>
  <c r="AC325" i="4"/>
  <c r="AC354" i="4" s="1"/>
  <c r="T326" i="4"/>
  <c r="T355" i="4" s="1"/>
  <c r="R278" i="4"/>
  <c r="AD224" i="4"/>
  <c r="AE219" i="4"/>
  <c r="AE220" i="4" s="1"/>
  <c r="AE224" i="4" s="1"/>
  <c r="AE222" i="4"/>
  <c r="AC230" i="4"/>
  <c r="AC231" i="4" s="1"/>
  <c r="AB235" i="4" s="1"/>
  <c r="AE223" i="4"/>
  <c r="V251" i="4"/>
  <c r="T262" i="4"/>
  <c r="T263" i="4" s="1"/>
  <c r="T264" i="4" s="1"/>
  <c r="AA234" i="4"/>
  <c r="Y245" i="4"/>
  <c r="Y246" i="4" s="1"/>
  <c r="Y247" i="4" s="1"/>
  <c r="AJ201" i="4" l="1"/>
  <c r="AJ205" i="4"/>
  <c r="AJ206" i="4"/>
  <c r="AJ202" i="4"/>
  <c r="AJ203" i="4" s="1"/>
  <c r="AI208" i="4"/>
  <c r="AI210" i="4" s="1"/>
  <c r="AI211" i="4" s="1"/>
  <c r="AI212" i="4" s="1"/>
  <c r="AI213" i="4" s="1"/>
  <c r="AI214" i="4" s="1"/>
  <c r="AI317" i="4"/>
  <c r="AI328" i="4" s="1"/>
  <c r="AI357" i="4" s="1"/>
  <c r="AG294" i="4"/>
  <c r="AG301" i="4" s="1"/>
  <c r="AG340" i="4" s="1"/>
  <c r="AB295" i="4"/>
  <c r="AB308" i="4" s="1"/>
  <c r="AB348" i="4" s="1"/>
  <c r="AB238" i="4"/>
  <c r="R279" i="4"/>
  <c r="R280" i="4" s="1"/>
  <c r="R281" i="4" s="1"/>
  <c r="R283" i="4" s="1"/>
  <c r="R336" i="4" s="1"/>
  <c r="T265" i="4"/>
  <c r="AF217" i="4"/>
  <c r="AF219" i="4" s="1"/>
  <c r="AF220" i="4" s="1"/>
  <c r="AG217" i="4" s="1"/>
  <c r="AA236" i="4"/>
  <c r="AA237" i="4" s="1"/>
  <c r="V253" i="4"/>
  <c r="V254" i="4" s="1"/>
  <c r="V258" i="4" s="1"/>
  <c r="AD225" i="4"/>
  <c r="AD227" i="4" s="1"/>
  <c r="AD228" i="4" s="1"/>
  <c r="AD229" i="4" s="1"/>
  <c r="AD230" i="4" s="1"/>
  <c r="AD231" i="4" s="1"/>
  <c r="AC235" i="4" s="1"/>
  <c r="AD318" i="4"/>
  <c r="U259" i="4"/>
  <c r="U261" i="4" s="1"/>
  <c r="U320" i="4"/>
  <c r="AE225" i="4"/>
  <c r="AE318" i="4"/>
  <c r="Z242" i="4"/>
  <c r="Z244" i="4" s="1"/>
  <c r="Z319" i="4"/>
  <c r="Y248" i="4"/>
  <c r="V257" i="4"/>
  <c r="V256" i="4"/>
  <c r="AA240" i="4"/>
  <c r="AA239" i="4"/>
  <c r="AJ207" i="4" l="1"/>
  <c r="AJ317" i="4" s="1"/>
  <c r="AK200" i="4"/>
  <c r="AJ204" i="4"/>
  <c r="AJ208" i="4" s="1"/>
  <c r="AJ210" i="4" s="1"/>
  <c r="AJ293" i="4"/>
  <c r="AJ304" i="4" s="1"/>
  <c r="AJ343" i="4" s="1"/>
  <c r="S269" i="4"/>
  <c r="S272" i="4" s="1"/>
  <c r="X252" i="4"/>
  <c r="X255" i="4" s="1"/>
  <c r="AH218" i="4"/>
  <c r="AH221" i="4" s="1"/>
  <c r="AC295" i="4"/>
  <c r="AC308" i="4" s="1"/>
  <c r="AC348" i="4" s="1"/>
  <c r="AC238" i="4"/>
  <c r="R373" i="4"/>
  <c r="R381" i="4" s="1"/>
  <c r="R364" i="4"/>
  <c r="R374" i="4" s="1"/>
  <c r="R382" i="4" s="1"/>
  <c r="Z360" i="4"/>
  <c r="Z332" i="4"/>
  <c r="Z361" i="4" s="1"/>
  <c r="AE325" i="4"/>
  <c r="AE354" i="4" s="1"/>
  <c r="U326" i="4"/>
  <c r="U355" i="4" s="1"/>
  <c r="AJ328" i="4"/>
  <c r="AJ357" i="4" s="1"/>
  <c r="AD325" i="4"/>
  <c r="AD354" i="4" s="1"/>
  <c r="AF222" i="4"/>
  <c r="AF223" i="4"/>
  <c r="AB234" i="4"/>
  <c r="AB239" i="4" s="1"/>
  <c r="AA241" i="4"/>
  <c r="AE227" i="4"/>
  <c r="AE228" i="4" s="1"/>
  <c r="AE229" i="4" s="1"/>
  <c r="AE230" i="4" s="1"/>
  <c r="AG219" i="4"/>
  <c r="AG220" i="4" s="1"/>
  <c r="AH217" i="4" s="1"/>
  <c r="AF224" i="4"/>
  <c r="W251" i="4"/>
  <c r="U262" i="4"/>
  <c r="U263" i="4" s="1"/>
  <c r="U264" i="4" s="1"/>
  <c r="Z245" i="4"/>
  <c r="Z246" i="4" s="1"/>
  <c r="Z247" i="4" s="1"/>
  <c r="AG223" i="4"/>
  <c r="AG222" i="4"/>
  <c r="AJ211" i="4"/>
  <c r="AJ212" i="4" s="1"/>
  <c r="AK201" i="4" l="1"/>
  <c r="AK202" i="4" s="1"/>
  <c r="AK203" i="4" s="1"/>
  <c r="AK205" i="4"/>
  <c r="AK206" i="4"/>
  <c r="X296" i="4"/>
  <c r="X302" i="4" s="1"/>
  <c r="X341" i="4" s="1"/>
  <c r="AH294" i="4"/>
  <c r="AH301" i="4" s="1"/>
  <c r="AH340" i="4" s="1"/>
  <c r="S270" i="4"/>
  <c r="S271" i="4" s="1"/>
  <c r="T268" i="4" s="1"/>
  <c r="T273" i="4" s="1"/>
  <c r="S297" i="4"/>
  <c r="S300" i="4" s="1"/>
  <c r="S339" i="4" s="1"/>
  <c r="AB240" i="4"/>
  <c r="U265" i="4"/>
  <c r="AH219" i="4"/>
  <c r="AH220" i="4" s="1"/>
  <c r="AI217" i="4" s="1"/>
  <c r="AG224" i="4"/>
  <c r="W256" i="4"/>
  <c r="AB236" i="4"/>
  <c r="AB237" i="4" s="1"/>
  <c r="AB241" i="4" s="1"/>
  <c r="AA242" i="4"/>
  <c r="AA244" i="4" s="1"/>
  <c r="AA319" i="4"/>
  <c r="AF225" i="4"/>
  <c r="AF227" i="4" s="1"/>
  <c r="AF318" i="4"/>
  <c r="V259" i="4"/>
  <c r="V261" i="4" s="1"/>
  <c r="V320" i="4"/>
  <c r="W257" i="4"/>
  <c r="W253" i="4"/>
  <c r="W254" i="4" s="1"/>
  <c r="W258" i="4" s="1"/>
  <c r="Z248" i="4"/>
  <c r="AE231" i="4"/>
  <c r="AD235" i="4" s="1"/>
  <c r="AH223" i="4"/>
  <c r="AH222" i="4"/>
  <c r="AJ213" i="4"/>
  <c r="AK207" i="4" l="1"/>
  <c r="AK317" i="4" s="1"/>
  <c r="AK328" i="4" s="1"/>
  <c r="AK357" i="4" s="1"/>
  <c r="AL200" i="4"/>
  <c r="T274" i="4"/>
  <c r="AK204" i="4"/>
  <c r="AK208" i="4" s="1"/>
  <c r="AK210" i="4" s="1"/>
  <c r="AK293" i="4"/>
  <c r="AK304" i="4" s="1"/>
  <c r="AK343" i="4" s="1"/>
  <c r="S275" i="4"/>
  <c r="T269" i="4"/>
  <c r="T270" i="4" s="1"/>
  <c r="T271" i="4" s="1"/>
  <c r="U268" i="4" s="1"/>
  <c r="U273" i="4" s="1"/>
  <c r="Y252" i="4"/>
  <c r="Y255" i="4" s="1"/>
  <c r="AD295" i="4"/>
  <c r="AD308" i="4" s="1"/>
  <c r="AD348" i="4" s="1"/>
  <c r="AD238" i="4"/>
  <c r="AA360" i="4"/>
  <c r="AA332" i="4"/>
  <c r="AA361" i="4" s="1"/>
  <c r="V326" i="4"/>
  <c r="V355" i="4" s="1"/>
  <c r="AF325" i="4"/>
  <c r="AF354" i="4" s="1"/>
  <c r="AC234" i="4"/>
  <c r="AC239" i="4" s="1"/>
  <c r="AH224" i="4"/>
  <c r="AB242" i="4"/>
  <c r="AB244" i="4" s="1"/>
  <c r="AB245" i="4" s="1"/>
  <c r="AB246" i="4" s="1"/>
  <c r="AB319" i="4"/>
  <c r="AG225" i="4"/>
  <c r="AG227" i="4" s="1"/>
  <c r="AG318" i="4"/>
  <c r="X251" i="4"/>
  <c r="X256" i="4" s="1"/>
  <c r="V262" i="4"/>
  <c r="V263" i="4" s="1"/>
  <c r="V264" i="4" s="1"/>
  <c r="AA245" i="4"/>
  <c r="AA246" i="4" s="1"/>
  <c r="AI223" i="4"/>
  <c r="AI222" i="4"/>
  <c r="AJ214" i="4"/>
  <c r="AI218" i="4" s="1"/>
  <c r="AF228" i="4"/>
  <c r="AF229" i="4" s="1"/>
  <c r="AF230" i="4" s="1"/>
  <c r="AK211" i="4" l="1"/>
  <c r="AK212" i="4" s="1"/>
  <c r="AK213" i="4" s="1"/>
  <c r="AK214" i="4" s="1"/>
  <c r="AL205" i="4"/>
  <c r="AL201" i="4"/>
  <c r="AL206" i="4"/>
  <c r="AL202" i="4"/>
  <c r="AL203" i="4" s="1"/>
  <c r="T297" i="4"/>
  <c r="T300" i="4" s="1"/>
  <c r="T339" i="4" s="1"/>
  <c r="S321" i="4"/>
  <c r="S324" i="4" s="1"/>
  <c r="S353" i="4" s="1"/>
  <c r="S276" i="4"/>
  <c r="S278" i="4" s="1"/>
  <c r="S279" i="4" s="1"/>
  <c r="S280" i="4" s="1"/>
  <c r="S281" i="4" s="1"/>
  <c r="S283" i="4" s="1"/>
  <c r="S336" i="4" s="1"/>
  <c r="T275" i="4"/>
  <c r="T321" i="4" s="1"/>
  <c r="U274" i="4"/>
  <c r="Y296" i="4"/>
  <c r="Y302" i="4" s="1"/>
  <c r="Y341" i="4" s="1"/>
  <c r="T272" i="4"/>
  <c r="AC240" i="4"/>
  <c r="AB360" i="4"/>
  <c r="AB332" i="4"/>
  <c r="AB361" i="4" s="1"/>
  <c r="AG325" i="4"/>
  <c r="AG354" i="4" s="1"/>
  <c r="V265" i="4"/>
  <c r="AC236" i="4"/>
  <c r="AC237" i="4" s="1"/>
  <c r="AD234" i="4" s="1"/>
  <c r="AD239" i="4" s="1"/>
  <c r="X253" i="4"/>
  <c r="X254" i="4" s="1"/>
  <c r="Y251" i="4" s="1"/>
  <c r="X257" i="4"/>
  <c r="W259" i="4"/>
  <c r="W261" i="4" s="1"/>
  <c r="W262" i="4" s="1"/>
  <c r="W263" i="4" s="1"/>
  <c r="W320" i="4"/>
  <c r="AH225" i="4"/>
  <c r="AH227" i="4" s="1"/>
  <c r="AH228" i="4" s="1"/>
  <c r="AH229" i="4" s="1"/>
  <c r="AH318" i="4"/>
  <c r="AB247" i="4"/>
  <c r="AA247" i="4"/>
  <c r="AF231" i="4"/>
  <c r="AE235" i="4" s="1"/>
  <c r="AG228" i="4"/>
  <c r="AG229" i="4" s="1"/>
  <c r="AG230" i="4" s="1"/>
  <c r="AL207" i="4" l="1"/>
  <c r="AL317" i="4" s="1"/>
  <c r="AL328" i="4" s="1"/>
  <c r="AL357" i="4" s="1"/>
  <c r="AM200" i="4"/>
  <c r="AL204" i="4"/>
  <c r="AL208" i="4" s="1"/>
  <c r="AL210" i="4" s="1"/>
  <c r="AM293" i="4"/>
  <c r="AM304" i="4" s="1"/>
  <c r="AM343" i="4" s="1"/>
  <c r="AL293" i="4"/>
  <c r="AL304" i="4" s="1"/>
  <c r="AL343" i="4" s="1"/>
  <c r="T276" i="4"/>
  <c r="T278" i="4" s="1"/>
  <c r="T279" i="4" s="1"/>
  <c r="U269" i="4"/>
  <c r="U272" i="4" s="1"/>
  <c r="AJ218" i="4"/>
  <c r="AJ221" i="4" s="1"/>
  <c r="AE295" i="4"/>
  <c r="AE308" i="4" s="1"/>
  <c r="AE348" i="4" s="1"/>
  <c r="AE238" i="4"/>
  <c r="AI294" i="4"/>
  <c r="AI301" i="4" s="1"/>
  <c r="AI340" i="4" s="1"/>
  <c r="AI221" i="4"/>
  <c r="S364" i="4"/>
  <c r="S374" i="4" s="1"/>
  <c r="S382" i="4" s="1"/>
  <c r="S373" i="4"/>
  <c r="S381" i="4" s="1"/>
  <c r="T324" i="4"/>
  <c r="T353" i="4" s="1"/>
  <c r="AH325" i="4"/>
  <c r="AH354" i="4" s="1"/>
  <c r="W326" i="4"/>
  <c r="W355" i="4" s="1"/>
  <c r="AD240" i="4"/>
  <c r="Y253" i="4"/>
  <c r="Y254" i="4" s="1"/>
  <c r="Y258" i="4" s="1"/>
  <c r="X258" i="4"/>
  <c r="X320" i="4" s="1"/>
  <c r="AC241" i="4"/>
  <c r="AC319" i="4" s="1"/>
  <c r="AD236" i="4"/>
  <c r="AD237" i="4" s="1"/>
  <c r="AE234" i="4" s="1"/>
  <c r="W264" i="4"/>
  <c r="AI219" i="4"/>
  <c r="AI220" i="4" s="1"/>
  <c r="AI224" i="4" s="1"/>
  <c r="AA248" i="4"/>
  <c r="Z252" i="4" s="1"/>
  <c r="Y257" i="4"/>
  <c r="Y256" i="4"/>
  <c r="AG231" i="4"/>
  <c r="AF235" i="4" s="1"/>
  <c r="AH230" i="4"/>
  <c r="AL211" i="4" l="1"/>
  <c r="AL212" i="4" s="1"/>
  <c r="AL213" i="4" s="1"/>
  <c r="AL214" i="4" s="1"/>
  <c r="AK218" i="4" s="1"/>
  <c r="U270" i="4"/>
  <c r="U271" i="4" s="1"/>
  <c r="V268" i="4" s="1"/>
  <c r="AJ294" i="4"/>
  <c r="AJ301" i="4" s="1"/>
  <c r="AJ340" i="4" s="1"/>
  <c r="AM205" i="4"/>
  <c r="AM202" i="4"/>
  <c r="AM203" i="4" s="1"/>
  <c r="AM207" i="4" s="1"/>
  <c r="AM317" i="4" s="1"/>
  <c r="AM328" i="4" s="1"/>
  <c r="AM357" i="4" s="1"/>
  <c r="AM206" i="4"/>
  <c r="U297" i="4"/>
  <c r="U300" i="4" s="1"/>
  <c r="U339" i="4" s="1"/>
  <c r="AF295" i="4"/>
  <c r="AF308" i="4" s="1"/>
  <c r="AF348" i="4" s="1"/>
  <c r="AF238" i="4"/>
  <c r="U275" i="4"/>
  <c r="U276" i="4" s="1"/>
  <c r="X259" i="4"/>
  <c r="X261" i="4" s="1"/>
  <c r="X262" i="4" s="1"/>
  <c r="X263" i="4" s="1"/>
  <c r="X264" i="4" s="1"/>
  <c r="X326" i="4"/>
  <c r="X355" i="4" s="1"/>
  <c r="AC360" i="4"/>
  <c r="AC332" i="4"/>
  <c r="AC361" i="4" s="1"/>
  <c r="W265" i="4"/>
  <c r="V269" i="4" s="1"/>
  <c r="V297" i="4" s="1"/>
  <c r="V300" i="4" s="1"/>
  <c r="V339" i="4" s="1"/>
  <c r="AC242" i="4"/>
  <c r="AC244" i="4" s="1"/>
  <c r="AC245" i="4" s="1"/>
  <c r="AC246" i="4" s="1"/>
  <c r="AC247" i="4" s="1"/>
  <c r="T280" i="4"/>
  <c r="T281" i="4" s="1"/>
  <c r="T283" i="4" s="1"/>
  <c r="T336" i="4" s="1"/>
  <c r="V273" i="4"/>
  <c r="V274" i="4"/>
  <c r="AE236" i="4"/>
  <c r="AE237" i="4" s="1"/>
  <c r="AE241" i="4" s="1"/>
  <c r="AD241" i="4"/>
  <c r="AD242" i="4" s="1"/>
  <c r="Z251" i="4"/>
  <c r="Z255" i="4"/>
  <c r="AB248" i="4"/>
  <c r="AH231" i="4"/>
  <c r="AG235" i="4" s="1"/>
  <c r="AE239" i="4"/>
  <c r="AE240" i="4"/>
  <c r="AJ217" i="4"/>
  <c r="AM208" i="4" l="1"/>
  <c r="AM210" i="4" s="1"/>
  <c r="AM211" i="4" s="1"/>
  <c r="AM212" i="4" s="1"/>
  <c r="AM213" i="4" s="1"/>
  <c r="AA252" i="4"/>
  <c r="AA255" i="4" s="1"/>
  <c r="U321" i="4"/>
  <c r="V270" i="4"/>
  <c r="V271" i="4" s="1"/>
  <c r="W268" i="4" s="1"/>
  <c r="W273" i="4" s="1"/>
  <c r="V272" i="4"/>
  <c r="AG295" i="4"/>
  <c r="AG308" i="4" s="1"/>
  <c r="AG348" i="4" s="1"/>
  <c r="AG238" i="4"/>
  <c r="U324" i="4"/>
  <c r="U353" i="4" s="1"/>
  <c r="AD319" i="4"/>
  <c r="U278" i="4"/>
  <c r="U279" i="4" s="1"/>
  <c r="U280" i="4" s="1"/>
  <c r="U281" i="4" s="1"/>
  <c r="U283" i="4" s="1"/>
  <c r="U336" i="4" s="1"/>
  <c r="X265" i="4"/>
  <c r="AD244" i="4"/>
  <c r="AD245" i="4" s="1"/>
  <c r="AD246" i="4" s="1"/>
  <c r="AD247" i="4" s="1"/>
  <c r="T373" i="4"/>
  <c r="T381" i="4" s="1"/>
  <c r="T364" i="4"/>
  <c r="T374" i="4" s="1"/>
  <c r="T382" i="4" s="1"/>
  <c r="AJ219" i="4"/>
  <c r="AJ220" i="4" s="1"/>
  <c r="AJ224" i="4" s="1"/>
  <c r="AI225" i="4"/>
  <c r="AI227" i="4" s="1"/>
  <c r="AI318" i="4"/>
  <c r="Y259" i="4"/>
  <c r="Y261" i="4" s="1"/>
  <c r="Y320" i="4"/>
  <c r="Z296" i="4"/>
  <c r="Z302" i="4" s="1"/>
  <c r="Z341" i="4" s="1"/>
  <c r="Z253" i="4"/>
  <c r="Z254" i="4" s="1"/>
  <c r="Z258" i="4" s="1"/>
  <c r="AC248" i="4"/>
  <c r="Z256" i="4"/>
  <c r="Z257" i="4"/>
  <c r="AF234" i="4"/>
  <c r="AM214" i="4"/>
  <c r="AK221" i="4"/>
  <c r="AJ222" i="4"/>
  <c r="AJ223" i="4"/>
  <c r="AA296" i="4" l="1"/>
  <c r="AA302" i="4" s="1"/>
  <c r="AA341" i="4" s="1"/>
  <c r="W269" i="4"/>
  <c r="W272" i="4" s="1"/>
  <c r="W274" i="4"/>
  <c r="AB252" i="4"/>
  <c r="AB296" i="4" s="1"/>
  <c r="AB302" i="4" s="1"/>
  <c r="AB341" i="4" s="1"/>
  <c r="V275" i="4"/>
  <c r="V321" i="4" s="1"/>
  <c r="AI325" i="4"/>
  <c r="AI354" i="4" s="1"/>
  <c r="AD360" i="4"/>
  <c r="AD332" i="4"/>
  <c r="AD361" i="4" s="1"/>
  <c r="Y326" i="4"/>
  <c r="Y355" i="4" s="1"/>
  <c r="U373" i="4"/>
  <c r="U381" i="4" s="1"/>
  <c r="U364" i="4"/>
  <c r="U374" i="4" s="1"/>
  <c r="U382" i="4" s="1"/>
  <c r="AF236" i="4"/>
  <c r="AF237" i="4" s="1"/>
  <c r="AF241" i="4" s="1"/>
  <c r="AE242" i="4"/>
  <c r="AE244" i="4" s="1"/>
  <c r="AE319" i="4"/>
  <c r="AK294" i="4"/>
  <c r="AK301" i="4" s="1"/>
  <c r="AK340" i="4" s="1"/>
  <c r="AA251" i="4"/>
  <c r="AD248" i="4"/>
  <c r="Y262" i="4"/>
  <c r="Y263" i="4" s="1"/>
  <c r="Y264" i="4" s="1"/>
  <c r="AF240" i="4"/>
  <c r="AF239" i="4"/>
  <c r="AK217" i="4"/>
  <c r="AI228" i="4"/>
  <c r="AI229" i="4" s="1"/>
  <c r="AI230" i="4" s="1"/>
  <c r="W270" i="4" l="1"/>
  <c r="W271" i="4" s="1"/>
  <c r="V276" i="4"/>
  <c r="W297" i="4"/>
  <c r="W300" i="4" s="1"/>
  <c r="W339" i="4" s="1"/>
  <c r="AC252" i="4"/>
  <c r="AC255" i="4" s="1"/>
  <c r="AB255" i="4"/>
  <c r="V324" i="4"/>
  <c r="V353" i="4" s="1"/>
  <c r="AE360" i="4"/>
  <c r="AE332" i="4"/>
  <c r="AE361" i="4" s="1"/>
  <c r="Y265" i="4"/>
  <c r="X269" i="4" s="1"/>
  <c r="V278" i="4"/>
  <c r="V279" i="4" s="1"/>
  <c r="AA253" i="4"/>
  <c r="AA254" i="4" s="1"/>
  <c r="AB251" i="4" s="1"/>
  <c r="AK219" i="4"/>
  <c r="AK220" i="4" s="1"/>
  <c r="AK224" i="4" s="1"/>
  <c r="Z259" i="4"/>
  <c r="Z261" i="4" s="1"/>
  <c r="Z320" i="4"/>
  <c r="AJ225" i="4"/>
  <c r="AJ227" i="4" s="1"/>
  <c r="AJ318" i="4"/>
  <c r="AA257" i="4"/>
  <c r="AA256" i="4"/>
  <c r="AG234" i="4"/>
  <c r="AE245" i="4"/>
  <c r="AE246" i="4" s="1"/>
  <c r="AE247" i="4" s="1"/>
  <c r="AI231" i="4"/>
  <c r="AH235" i="4" s="1"/>
  <c r="AK223" i="4"/>
  <c r="AK222" i="4"/>
  <c r="AC296" i="4" l="1"/>
  <c r="AC302" i="4" s="1"/>
  <c r="AC341" i="4" s="1"/>
  <c r="X268" i="4"/>
  <c r="X270" i="4" s="1"/>
  <c r="X271" i="4" s="1"/>
  <c r="Y268" i="4" s="1"/>
  <c r="Y273" i="4" s="1"/>
  <c r="W275" i="4"/>
  <c r="X272" i="4"/>
  <c r="AH295" i="4"/>
  <c r="AH308" i="4" s="1"/>
  <c r="AH348" i="4" s="1"/>
  <c r="AH238" i="4"/>
  <c r="AJ325" i="4"/>
  <c r="AJ354" i="4" s="1"/>
  <c r="Z326" i="4"/>
  <c r="Z355" i="4" s="1"/>
  <c r="X297" i="4"/>
  <c r="X300" i="4" s="1"/>
  <c r="X339" i="4" s="1"/>
  <c r="V280" i="4"/>
  <c r="AB253" i="4"/>
  <c r="AB254" i="4" s="1"/>
  <c r="AB258" i="4" s="1"/>
  <c r="AA258" i="4"/>
  <c r="AG236" i="4"/>
  <c r="AG237" i="4" s="1"/>
  <c r="AG241" i="4" s="1"/>
  <c r="AF242" i="4"/>
  <c r="AF244" i="4" s="1"/>
  <c r="AF319" i="4"/>
  <c r="Z262" i="4"/>
  <c r="Z263" i="4" s="1"/>
  <c r="Z264" i="4" s="1"/>
  <c r="AE248" i="4"/>
  <c r="AB256" i="4"/>
  <c r="AB257" i="4"/>
  <c r="AG239" i="4"/>
  <c r="AG240" i="4"/>
  <c r="AL217" i="4"/>
  <c r="AL218" i="4" s="1"/>
  <c r="AJ228" i="4"/>
  <c r="AJ229" i="4" s="1"/>
  <c r="AJ230" i="4" s="1"/>
  <c r="AL221" i="4" l="1"/>
  <c r="AL294" i="4"/>
  <c r="AL301" i="4" s="1"/>
  <c r="AL340" i="4" s="1"/>
  <c r="AM294" i="4"/>
  <c r="AM301" i="4" s="1"/>
  <c r="AM340" i="4" s="1"/>
  <c r="X275" i="4"/>
  <c r="X321" i="4" s="1"/>
  <c r="X324" i="4" s="1"/>
  <c r="X353" i="4" s="1"/>
  <c r="Y274" i="4"/>
  <c r="W276" i="4"/>
  <c r="W278" i="4" s="1"/>
  <c r="W279" i="4" s="1"/>
  <c r="W280" i="4" s="1"/>
  <c r="W281" i="4" s="1"/>
  <c r="W283" i="4" s="1"/>
  <c r="W336" i="4" s="1"/>
  <c r="W373" i="4" s="1"/>
  <c r="W381" i="4" s="1"/>
  <c r="W321" i="4"/>
  <c r="W324" i="4" s="1"/>
  <c r="W353" i="4" s="1"/>
  <c r="X273" i="4"/>
  <c r="X274" i="4"/>
  <c r="AD252" i="4"/>
  <c r="AD255" i="4" s="1"/>
  <c r="AF360" i="4"/>
  <c r="AF332" i="4"/>
  <c r="AF361" i="4" s="1"/>
  <c r="Z265" i="4"/>
  <c r="Y269" i="4" s="1"/>
  <c r="Y297" i="4" s="1"/>
  <c r="Y300" i="4" s="1"/>
  <c r="Y339" i="4" s="1"/>
  <c r="V281" i="4"/>
  <c r="V283" i="4" s="1"/>
  <c r="V336" i="4" s="1"/>
  <c r="V373" i="4" s="1"/>
  <c r="V381" i="4" s="1"/>
  <c r="AL219" i="4"/>
  <c r="AL220" i="4" s="1"/>
  <c r="AL224" i="4" s="1"/>
  <c r="AK225" i="4"/>
  <c r="AK227" i="4" s="1"/>
  <c r="AK318" i="4"/>
  <c r="AA259" i="4"/>
  <c r="AA261" i="4" s="1"/>
  <c r="AA320" i="4"/>
  <c r="AC251" i="4"/>
  <c r="AB320" i="4"/>
  <c r="AB259" i="4"/>
  <c r="AH234" i="4"/>
  <c r="AF245" i="4"/>
  <c r="AF246" i="4" s="1"/>
  <c r="AF247" i="4" s="1"/>
  <c r="AJ231" i="4"/>
  <c r="AI235" i="4" s="1"/>
  <c r="AL222" i="4"/>
  <c r="AL223" i="4"/>
  <c r="AD296" i="4" l="1"/>
  <c r="AD302" i="4" s="1"/>
  <c r="AD341" i="4" s="1"/>
  <c r="X276" i="4"/>
  <c r="X278" i="4" s="1"/>
  <c r="X279" i="4" s="1"/>
  <c r="X280" i="4" s="1"/>
  <c r="X281" i="4" s="1"/>
  <c r="X283" i="4" s="1"/>
  <c r="X336" i="4" s="1"/>
  <c r="X364" i="4" s="1"/>
  <c r="X374" i="4" s="1"/>
  <c r="X382" i="4" s="1"/>
  <c r="V364" i="4"/>
  <c r="V374" i="4" s="1"/>
  <c r="V382" i="4" s="1"/>
  <c r="W364" i="4"/>
  <c r="W374" i="4" s="1"/>
  <c r="W382" i="4" s="1"/>
  <c r="Y270" i="4"/>
  <c r="Y271" i="4" s="1"/>
  <c r="Y275" i="4" s="1"/>
  <c r="Y272" i="4"/>
  <c r="AI295" i="4"/>
  <c r="AI308" i="4" s="1"/>
  <c r="AI348" i="4" s="1"/>
  <c r="AI238" i="4"/>
  <c r="AA326" i="4"/>
  <c r="AA355" i="4" s="1"/>
  <c r="AK325" i="4"/>
  <c r="AK354" i="4" s="1"/>
  <c r="AB326" i="4"/>
  <c r="AB355" i="4" s="1"/>
  <c r="AC253" i="4"/>
  <c r="AC254" i="4" s="1"/>
  <c r="AD251" i="4" s="1"/>
  <c r="AH236" i="4"/>
  <c r="AH237" i="4" s="1"/>
  <c r="AH241" i="4" s="1"/>
  <c r="AG242" i="4"/>
  <c r="AG244" i="4" s="1"/>
  <c r="AG319" i="4"/>
  <c r="AF248" i="4"/>
  <c r="AB261" i="4"/>
  <c r="AA262" i="4"/>
  <c r="AA263" i="4" s="1"/>
  <c r="AA264" i="4" s="1"/>
  <c r="AC257" i="4"/>
  <c r="AC256" i="4"/>
  <c r="AH240" i="4"/>
  <c r="AH239" i="4"/>
  <c r="AM217" i="4"/>
  <c r="AK228" i="4"/>
  <c r="AK229" i="4" s="1"/>
  <c r="AK230" i="4" s="1"/>
  <c r="X373" i="4" l="1"/>
  <c r="X381" i="4" s="1"/>
  <c r="AE252" i="4"/>
  <c r="AE255" i="4" s="1"/>
  <c r="Z268" i="4"/>
  <c r="Z274" i="4" s="1"/>
  <c r="AG360" i="4"/>
  <c r="AG332" i="4"/>
  <c r="AG361" i="4" s="1"/>
  <c r="AA265" i="4"/>
  <c r="Z269" i="4" s="1"/>
  <c r="Y321" i="4"/>
  <c r="Y276" i="4"/>
  <c r="Z273" i="4"/>
  <c r="AD253" i="4"/>
  <c r="AD254" i="4" s="1"/>
  <c r="AE251" i="4" s="1"/>
  <c r="AC258" i="4"/>
  <c r="AM219" i="4"/>
  <c r="AM220" i="4" s="1"/>
  <c r="AL225" i="4"/>
  <c r="AL227" i="4" s="1"/>
  <c r="AL318" i="4"/>
  <c r="AD257" i="4"/>
  <c r="AD256" i="4"/>
  <c r="AB262" i="4"/>
  <c r="AB263" i="4" s="1"/>
  <c r="AB264" i="4" s="1"/>
  <c r="AI234" i="4"/>
  <c r="AH319" i="4"/>
  <c r="AK231" i="4"/>
  <c r="AJ235" i="4" s="1"/>
  <c r="AG245" i="4"/>
  <c r="AG246" i="4" s="1"/>
  <c r="AG247" i="4" s="1"/>
  <c r="AM223" i="4"/>
  <c r="AM222" i="4"/>
  <c r="AE296" i="4" l="1"/>
  <c r="AE302" i="4" s="1"/>
  <c r="AE341" i="4" s="1"/>
  <c r="Z270" i="4"/>
  <c r="Z271" i="4" s="1"/>
  <c r="AA268" i="4" s="1"/>
  <c r="AA274" i="4" s="1"/>
  <c r="Z272" i="4"/>
  <c r="AJ295" i="4"/>
  <c r="AJ308" i="4" s="1"/>
  <c r="AJ348" i="4" s="1"/>
  <c r="AJ238" i="4"/>
  <c r="Z297" i="4"/>
  <c r="Z300" i="4" s="1"/>
  <c r="Z339" i="4" s="1"/>
  <c r="Y324" i="4"/>
  <c r="Y353" i="4" s="1"/>
  <c r="AL325" i="4"/>
  <c r="AL354" i="4" s="1"/>
  <c r="AH360" i="4"/>
  <c r="AH332" i="4"/>
  <c r="AH361" i="4" s="1"/>
  <c r="Y278" i="4"/>
  <c r="Y279" i="4" s="1"/>
  <c r="Y280" i="4" s="1"/>
  <c r="Y281" i="4" s="1"/>
  <c r="Y283" i="4" s="1"/>
  <c r="Y336" i="4" s="1"/>
  <c r="AB265" i="4"/>
  <c r="AA269" i="4" s="1"/>
  <c r="AE253" i="4"/>
  <c r="AE254" i="4" s="1"/>
  <c r="AE258" i="4" s="1"/>
  <c r="AM224" i="4"/>
  <c r="AM318" i="4" s="1"/>
  <c r="AI236" i="4"/>
  <c r="AI237" i="4" s="1"/>
  <c r="AI241" i="4" s="1"/>
  <c r="AD258" i="4"/>
  <c r="AC259" i="4"/>
  <c r="AC261" i="4" s="1"/>
  <c r="AC320" i="4"/>
  <c r="AH242" i="4"/>
  <c r="AH244" i="4" s="1"/>
  <c r="AG248" i="4"/>
  <c r="AE256" i="4"/>
  <c r="AE257" i="4"/>
  <c r="AI240" i="4"/>
  <c r="AI239" i="4"/>
  <c r="AL228" i="4"/>
  <c r="AL229" i="4" s="1"/>
  <c r="AA273" i="4" l="1"/>
  <c r="Z275" i="4"/>
  <c r="Z276" i="4"/>
  <c r="Z278" i="4" s="1"/>
  <c r="Z279" i="4" s="1"/>
  <c r="AF252" i="4"/>
  <c r="AF255" i="4" s="1"/>
  <c r="AA270" i="4"/>
  <c r="AA271" i="4" s="1"/>
  <c r="AB268" i="4" s="1"/>
  <c r="AB273" i="4" s="1"/>
  <c r="AA272" i="4"/>
  <c r="AA297" i="4"/>
  <c r="AA300" i="4" s="1"/>
  <c r="AA339" i="4" s="1"/>
  <c r="AC326" i="4"/>
  <c r="AC355" i="4" s="1"/>
  <c r="AM325" i="4"/>
  <c r="AM354" i="4" s="1"/>
  <c r="Z321" i="4"/>
  <c r="Z280" i="4"/>
  <c r="Z281" i="4" s="1"/>
  <c r="Z283" i="4" s="1"/>
  <c r="Z336" i="4" s="1"/>
  <c r="Z373" i="4" s="1"/>
  <c r="Z381" i="4" s="1"/>
  <c r="AA275" i="4"/>
  <c r="AA321" i="4" s="1"/>
  <c r="Y373" i="4"/>
  <c r="Y381" i="4" s="1"/>
  <c r="Y364" i="4"/>
  <c r="Y374" i="4" s="1"/>
  <c r="Y382" i="4" s="1"/>
  <c r="AM225" i="4"/>
  <c r="AM227" i="4" s="1"/>
  <c r="AM228" i="4" s="1"/>
  <c r="AM229" i="4" s="1"/>
  <c r="AD259" i="4"/>
  <c r="AD261" i="4" s="1"/>
  <c r="AD262" i="4" s="1"/>
  <c r="AD263" i="4" s="1"/>
  <c r="AD320" i="4"/>
  <c r="AF251" i="4"/>
  <c r="AE320" i="4"/>
  <c r="AE259" i="4"/>
  <c r="AC262" i="4"/>
  <c r="AC263" i="4" s="1"/>
  <c r="AJ234" i="4"/>
  <c r="AH245" i="4"/>
  <c r="AH246" i="4" s="1"/>
  <c r="AH247" i="4" s="1"/>
  <c r="AL230" i="4"/>
  <c r="AF296" i="4" l="1"/>
  <c r="AF302" i="4" s="1"/>
  <c r="AF341" i="4" s="1"/>
  <c r="AB274" i="4"/>
  <c r="AA276" i="4"/>
  <c r="AA278" i="4" s="1"/>
  <c r="AE326" i="4"/>
  <c r="AE355" i="4" s="1"/>
  <c r="AA324" i="4"/>
  <c r="AA353" i="4" s="1"/>
  <c r="Z324" i="4"/>
  <c r="Z353" i="4" s="1"/>
  <c r="Z364" i="4" s="1"/>
  <c r="Z374" i="4" s="1"/>
  <c r="Z382" i="4" s="1"/>
  <c r="AD326" i="4"/>
  <c r="AD355" i="4" s="1"/>
  <c r="AM230" i="4"/>
  <c r="AE261" i="4"/>
  <c r="AE262" i="4" s="1"/>
  <c r="AE263" i="4" s="1"/>
  <c r="AE264" i="4" s="1"/>
  <c r="AD264" i="4"/>
  <c r="AJ236" i="4"/>
  <c r="AJ237" i="4" s="1"/>
  <c r="AJ241" i="4" s="1"/>
  <c r="AF253" i="4"/>
  <c r="AF254" i="4" s="1"/>
  <c r="AF258" i="4" s="1"/>
  <c r="AI242" i="4"/>
  <c r="AI244" i="4" s="1"/>
  <c r="AI319" i="4"/>
  <c r="AC264" i="4"/>
  <c r="AH248" i="4"/>
  <c r="AF257" i="4"/>
  <c r="AF256" i="4"/>
  <c r="AL231" i="4"/>
  <c r="AK235" i="4" s="1"/>
  <c r="AJ239" i="4"/>
  <c r="AJ240" i="4"/>
  <c r="AG252" i="4" l="1"/>
  <c r="AG255" i="4" s="1"/>
  <c r="AA279" i="4"/>
  <c r="AA280" i="4" s="1"/>
  <c r="AA281" i="4" s="1"/>
  <c r="AA283" i="4" s="1"/>
  <c r="AA336" i="4" s="1"/>
  <c r="AI360" i="4"/>
  <c r="AI332" i="4"/>
  <c r="AI361" i="4" s="1"/>
  <c r="AC265" i="4"/>
  <c r="AG296" i="4"/>
  <c r="AG302" i="4" s="1"/>
  <c r="AG341" i="4" s="1"/>
  <c r="AG251" i="4"/>
  <c r="AK234" i="4"/>
  <c r="AI245" i="4"/>
  <c r="AI246" i="4" s="1"/>
  <c r="AI247" i="4" s="1"/>
  <c r="AM231" i="4"/>
  <c r="AB269" i="4" l="1"/>
  <c r="AB272" i="4" s="1"/>
  <c r="AL235" i="4"/>
  <c r="AL238" i="4" s="1"/>
  <c r="AK295" i="4"/>
  <c r="AK308" i="4" s="1"/>
  <c r="AK348" i="4" s="1"/>
  <c r="AK238" i="4"/>
  <c r="AD265" i="4"/>
  <c r="AC269" i="4" s="1"/>
  <c r="AB297" i="4"/>
  <c r="AB300" i="4" s="1"/>
  <c r="AB339" i="4" s="1"/>
  <c r="AA373" i="4"/>
  <c r="AA381" i="4" s="1"/>
  <c r="AA364" i="4"/>
  <c r="AA374" i="4" s="1"/>
  <c r="AA382" i="4" s="1"/>
  <c r="AG253" i="4"/>
  <c r="AG254" i="4" s="1"/>
  <c r="AG258" i="4" s="1"/>
  <c r="AF259" i="4"/>
  <c r="AF261" i="4" s="1"/>
  <c r="AF320" i="4"/>
  <c r="AJ242" i="4"/>
  <c r="AJ244" i="4" s="1"/>
  <c r="AJ319" i="4"/>
  <c r="AK236" i="4"/>
  <c r="AK237" i="4" s="1"/>
  <c r="AK241" i="4" s="1"/>
  <c r="AI248" i="4"/>
  <c r="AG256" i="4"/>
  <c r="AG257" i="4"/>
  <c r="AK239" i="4"/>
  <c r="AK240" i="4"/>
  <c r="AL295" i="4" l="1"/>
  <c r="AL308" i="4" s="1"/>
  <c r="AL348" i="4" s="1"/>
  <c r="AB270" i="4"/>
  <c r="AB271" i="4" s="1"/>
  <c r="AC268" i="4" s="1"/>
  <c r="AM295" i="4"/>
  <c r="AM308" i="4" s="1"/>
  <c r="AM348" i="4" s="1"/>
  <c r="AH252" i="4"/>
  <c r="AH255" i="4" s="1"/>
  <c r="AC272" i="4"/>
  <c r="AE265" i="4"/>
  <c r="AJ360" i="4"/>
  <c r="AJ332" i="4"/>
  <c r="AJ361" i="4" s="1"/>
  <c r="AF326" i="4"/>
  <c r="AF355" i="4" s="1"/>
  <c r="AC270" i="4"/>
  <c r="AC271" i="4" s="1"/>
  <c r="AD268" i="4" s="1"/>
  <c r="AC274" i="4"/>
  <c r="AC273" i="4"/>
  <c r="AH251" i="4"/>
  <c r="AF262" i="4"/>
  <c r="AF263" i="4" s="1"/>
  <c r="AF264" i="4" s="1"/>
  <c r="AL234" i="4"/>
  <c r="AJ245" i="4"/>
  <c r="AJ246" i="4" s="1"/>
  <c r="AJ247" i="4" s="1"/>
  <c r="AB275" i="4" l="1"/>
  <c r="AB276" i="4" s="1"/>
  <c r="AB278" i="4" s="1"/>
  <c r="AB279" i="4" s="1"/>
  <c r="AB280" i="4" s="1"/>
  <c r="AB281" i="4" s="1"/>
  <c r="AB283" i="4" s="1"/>
  <c r="AB336" i="4" s="1"/>
  <c r="AH296" i="4"/>
  <c r="AH302" i="4" s="1"/>
  <c r="AH341" i="4" s="1"/>
  <c r="AD269" i="4"/>
  <c r="AD272" i="4" s="1"/>
  <c r="AC297" i="4"/>
  <c r="AC300" i="4" s="1"/>
  <c r="AC339" i="4" s="1"/>
  <c r="AF265" i="4"/>
  <c r="AC275" i="4"/>
  <c r="AC321" i="4" s="1"/>
  <c r="AD274" i="4"/>
  <c r="AD273" i="4"/>
  <c r="AL236" i="4"/>
  <c r="AL237" i="4" s="1"/>
  <c r="AL241" i="4" s="1"/>
  <c r="AH253" i="4"/>
  <c r="AH254" i="4" s="1"/>
  <c r="AI251" i="4" s="1"/>
  <c r="AG259" i="4"/>
  <c r="AG261" i="4" s="1"/>
  <c r="AG320" i="4"/>
  <c r="AK242" i="4"/>
  <c r="AK244" i="4" s="1"/>
  <c r="AK319" i="4"/>
  <c r="AJ248" i="4"/>
  <c r="AH257" i="4"/>
  <c r="AH256" i="4"/>
  <c r="AL239" i="4"/>
  <c r="AL240" i="4"/>
  <c r="AD270" i="4" l="1"/>
  <c r="AD271" i="4" s="1"/>
  <c r="AE268" i="4" s="1"/>
  <c r="AE273" i="4" s="1"/>
  <c r="AB321" i="4"/>
  <c r="AB324" i="4" s="1"/>
  <c r="AB353" i="4" s="1"/>
  <c r="AD297" i="4"/>
  <c r="AD300" i="4" s="1"/>
  <c r="AD339" i="4" s="1"/>
  <c r="AE269" i="4"/>
  <c r="AE297" i="4" s="1"/>
  <c r="AE300" i="4" s="1"/>
  <c r="AE339" i="4" s="1"/>
  <c r="AI252" i="4"/>
  <c r="AI255" i="4" s="1"/>
  <c r="AC324" i="4"/>
  <c r="AC353" i="4" s="1"/>
  <c r="AK360" i="4"/>
  <c r="AK332" i="4"/>
  <c r="AK361" i="4" s="1"/>
  <c r="AG326" i="4"/>
  <c r="AG355" i="4" s="1"/>
  <c r="AB373" i="4"/>
  <c r="AB381" i="4" s="1"/>
  <c r="AB364" i="4"/>
  <c r="AB374" i="4" s="1"/>
  <c r="AB382" i="4" s="1"/>
  <c r="AD275" i="4"/>
  <c r="AD321" i="4" s="1"/>
  <c r="AC276" i="4"/>
  <c r="AE274" i="4"/>
  <c r="AH258" i="4"/>
  <c r="AI257" i="4"/>
  <c r="AI256" i="4"/>
  <c r="AG262" i="4"/>
  <c r="AG263" i="4" s="1"/>
  <c r="AG264" i="4" s="1"/>
  <c r="AM234" i="4"/>
  <c r="AK245" i="4"/>
  <c r="AK246" i="4" s="1"/>
  <c r="AK247" i="4" s="1"/>
  <c r="AI253" i="4" l="1"/>
  <c r="AI254" i="4" s="1"/>
  <c r="AI258" i="4" s="1"/>
  <c r="AE270" i="4"/>
  <c r="AE271" i="4" s="1"/>
  <c r="AF268" i="4" s="1"/>
  <c r="AF274" i="4" s="1"/>
  <c r="AI296" i="4"/>
  <c r="AI302" i="4" s="1"/>
  <c r="AI341" i="4" s="1"/>
  <c r="AE272" i="4"/>
  <c r="AD324" i="4"/>
  <c r="AD353" i="4" s="1"/>
  <c r="AC278" i="4"/>
  <c r="AG265" i="4"/>
  <c r="AF269" i="4" s="1"/>
  <c r="AD276" i="4"/>
  <c r="AM236" i="4"/>
  <c r="AM237" i="4" s="1"/>
  <c r="AL242" i="4"/>
  <c r="AL244" i="4" s="1"/>
  <c r="AL319" i="4"/>
  <c r="AH259" i="4"/>
  <c r="AH261" i="4" s="1"/>
  <c r="AH320" i="4"/>
  <c r="AK248" i="4"/>
  <c r="AM239" i="4"/>
  <c r="AM240" i="4"/>
  <c r="AJ251" i="4" l="1"/>
  <c r="AF273" i="4"/>
  <c r="AE275" i="4"/>
  <c r="AE321" i="4" s="1"/>
  <c r="AJ252" i="4"/>
  <c r="AJ255" i="4" s="1"/>
  <c r="AF270" i="4"/>
  <c r="AF271" i="4" s="1"/>
  <c r="AG268" i="4" s="1"/>
  <c r="AG273" i="4" s="1"/>
  <c r="AF272" i="4"/>
  <c r="AC279" i="4"/>
  <c r="AC280" i="4" s="1"/>
  <c r="AC281" i="4" s="1"/>
  <c r="AC283" i="4" s="1"/>
  <c r="AC336" i="4" s="1"/>
  <c r="AE276" i="4"/>
  <c r="AE278" i="4" s="1"/>
  <c r="AL360" i="4"/>
  <c r="AL332" i="4"/>
  <c r="AL361" i="4" s="1"/>
  <c r="AE324" i="4"/>
  <c r="AE353" i="4" s="1"/>
  <c r="AH326" i="4"/>
  <c r="AH355" i="4" s="1"/>
  <c r="AF297" i="4"/>
  <c r="AF300" i="4" s="1"/>
  <c r="AF339" i="4" s="1"/>
  <c r="AD278" i="4"/>
  <c r="AM241" i="4"/>
  <c r="AM319" i="4" s="1"/>
  <c r="AI259" i="4"/>
  <c r="AI261" i="4" s="1"/>
  <c r="AI320" i="4"/>
  <c r="AJ256" i="4"/>
  <c r="AJ257" i="4"/>
  <c r="AH262" i="4"/>
  <c r="AH263" i="4" s="1"/>
  <c r="AH264" i="4" s="1"/>
  <c r="AL245" i="4"/>
  <c r="AL246" i="4" s="1"/>
  <c r="AL247" i="4" s="1"/>
  <c r="AJ253" i="4" l="1"/>
  <c r="AJ254" i="4" s="1"/>
  <c r="AJ258" i="4" s="1"/>
  <c r="AJ296" i="4"/>
  <c r="AJ302" i="4" s="1"/>
  <c r="AJ341" i="4" s="1"/>
  <c r="AG274" i="4"/>
  <c r="AF275" i="4"/>
  <c r="AF321" i="4" s="1"/>
  <c r="AC364" i="4"/>
  <c r="AC374" i="4" s="1"/>
  <c r="AC382" i="4" s="1"/>
  <c r="AC373" i="4"/>
  <c r="AC381" i="4" s="1"/>
  <c r="AD279" i="4"/>
  <c r="AD280" i="4" s="1"/>
  <c r="AE279" i="4"/>
  <c r="AE280" i="4" s="1"/>
  <c r="AM360" i="4"/>
  <c r="AM332" i="4"/>
  <c r="AM361" i="4" s="1"/>
  <c r="AI326" i="4"/>
  <c r="AI355" i="4" s="1"/>
  <c r="AH265" i="4"/>
  <c r="AG269" i="4" s="1"/>
  <c r="AM242" i="4"/>
  <c r="AM244" i="4" s="1"/>
  <c r="AM245" i="4" s="1"/>
  <c r="AM246" i="4" s="1"/>
  <c r="AM247" i="4" s="1"/>
  <c r="AI262" i="4"/>
  <c r="AI263" i="4" s="1"/>
  <c r="AI264" i="4" s="1"/>
  <c r="AL248" i="4"/>
  <c r="AK251" i="4" l="1"/>
  <c r="AF276" i="4"/>
  <c r="AK252" i="4"/>
  <c r="AK255" i="4" s="1"/>
  <c r="AG270" i="4"/>
  <c r="AG271" i="4" s="1"/>
  <c r="AH268" i="4" s="1"/>
  <c r="AH274" i="4" s="1"/>
  <c r="AG272" i="4"/>
  <c r="AD281" i="4"/>
  <c r="AD283" i="4" s="1"/>
  <c r="AD336" i="4" s="1"/>
  <c r="AE281" i="4"/>
  <c r="AE283" i="4" s="1"/>
  <c r="AE336" i="4" s="1"/>
  <c r="AE373" i="4" s="1"/>
  <c r="AE381" i="4" s="1"/>
  <c r="AF324" i="4"/>
  <c r="AF353" i="4" s="1"/>
  <c r="AF278" i="4"/>
  <c r="AF279" i="4" s="1"/>
  <c r="AF280" i="4" s="1"/>
  <c r="AF281" i="4" s="1"/>
  <c r="AF283" i="4" s="1"/>
  <c r="AF336" i="4" s="1"/>
  <c r="AI265" i="4"/>
  <c r="AH269" i="4" s="1"/>
  <c r="AG297" i="4"/>
  <c r="AG300" i="4" s="1"/>
  <c r="AG339" i="4" s="1"/>
  <c r="AH273" i="4"/>
  <c r="AJ259" i="4"/>
  <c r="AJ261" i="4" s="1"/>
  <c r="AJ320" i="4"/>
  <c r="AM248" i="4"/>
  <c r="AK257" i="4"/>
  <c r="AK256" i="4"/>
  <c r="AK253" i="4" l="1"/>
  <c r="AK254" i="4" s="1"/>
  <c r="AK258" i="4" s="1"/>
  <c r="AK296" i="4"/>
  <c r="AK302" i="4" s="1"/>
  <c r="AK341" i="4" s="1"/>
  <c r="AL252" i="4"/>
  <c r="AL255" i="4" s="1"/>
  <c r="AG275" i="4"/>
  <c r="AH270" i="4"/>
  <c r="AH271" i="4" s="1"/>
  <c r="AI268" i="4" s="1"/>
  <c r="AI274" i="4" s="1"/>
  <c r="AH272" i="4"/>
  <c r="AE364" i="4"/>
  <c r="AE374" i="4" s="1"/>
  <c r="AE382" i="4" s="1"/>
  <c r="AH297" i="4"/>
  <c r="AH300" i="4" s="1"/>
  <c r="AH339" i="4" s="1"/>
  <c r="AD373" i="4"/>
  <c r="AD381" i="4" s="1"/>
  <c r="AD364" i="4"/>
  <c r="AD374" i="4" s="1"/>
  <c r="AD382" i="4" s="1"/>
  <c r="AJ326" i="4"/>
  <c r="AJ355" i="4" s="1"/>
  <c r="AH275" i="4"/>
  <c r="AH321" i="4" s="1"/>
  <c r="AF373" i="4"/>
  <c r="AF381" i="4" s="1"/>
  <c r="AF364" i="4"/>
  <c r="AF374" i="4" s="1"/>
  <c r="AF382" i="4" s="1"/>
  <c r="AJ262" i="4"/>
  <c r="AJ263" i="4" s="1"/>
  <c r="AJ264" i="4" s="1"/>
  <c r="AL251" i="4" l="1"/>
  <c r="AL296" i="4"/>
  <c r="AL302" i="4" s="1"/>
  <c r="AL341" i="4" s="1"/>
  <c r="AI273" i="4"/>
  <c r="AM296" i="4"/>
  <c r="AM302" i="4" s="1"/>
  <c r="AM341" i="4" s="1"/>
  <c r="AG321" i="4"/>
  <c r="AG324" i="4" s="1"/>
  <c r="AG353" i="4" s="1"/>
  <c r="AG276" i="4"/>
  <c r="AG278" i="4" s="1"/>
  <c r="AG279" i="4" s="1"/>
  <c r="AG280" i="4" s="1"/>
  <c r="AG281" i="4" s="1"/>
  <c r="AG283" i="4" s="1"/>
  <c r="AG336" i="4" s="1"/>
  <c r="AH324" i="4"/>
  <c r="AH353" i="4" s="1"/>
  <c r="AJ265" i="4"/>
  <c r="AI269" i="4" s="1"/>
  <c r="AH276" i="4"/>
  <c r="AL253" i="4"/>
  <c r="AL254" i="4" s="1"/>
  <c r="AL258" i="4" s="1"/>
  <c r="AK259" i="4"/>
  <c r="AK261" i="4" s="1"/>
  <c r="AK320" i="4"/>
  <c r="AL256" i="4"/>
  <c r="AL257" i="4"/>
  <c r="AI270" i="4" l="1"/>
  <c r="AI271" i="4" s="1"/>
  <c r="AJ268" i="4" s="1"/>
  <c r="AJ273" i="4" s="1"/>
  <c r="AI272" i="4"/>
  <c r="AI297" i="4"/>
  <c r="AI300" i="4" s="1"/>
  <c r="AI339" i="4" s="1"/>
  <c r="AK326" i="4"/>
  <c r="AK355" i="4" s="1"/>
  <c r="AH278" i="4"/>
  <c r="AG373" i="4"/>
  <c r="AG381" i="4" s="1"/>
  <c r="AG364" i="4"/>
  <c r="AG374" i="4" s="1"/>
  <c r="AG382" i="4" s="1"/>
  <c r="AM251" i="4"/>
  <c r="AK262" i="4"/>
  <c r="AK263" i="4" s="1"/>
  <c r="AK264" i="4" s="1"/>
  <c r="AI275" i="4" l="1"/>
  <c r="AI276" i="4" s="1"/>
  <c r="AI278" i="4" s="1"/>
  <c r="AJ274" i="4"/>
  <c r="AH279" i="4"/>
  <c r="AH280" i="4" s="1"/>
  <c r="AI321" i="4"/>
  <c r="AK265" i="4"/>
  <c r="AM253" i="4"/>
  <c r="AM254" i="4" s="1"/>
  <c r="AM258" i="4" s="1"/>
  <c r="AL259" i="4"/>
  <c r="AL261" i="4" s="1"/>
  <c r="AL320" i="4"/>
  <c r="AM256" i="4"/>
  <c r="AM257" i="4"/>
  <c r="AJ269" i="4" l="1"/>
  <c r="AJ272" i="4" s="1"/>
  <c r="AH281" i="4"/>
  <c r="AH283" i="4" s="1"/>
  <c r="AH336" i="4" s="1"/>
  <c r="AI279" i="4"/>
  <c r="AI280" i="4" s="1"/>
  <c r="AI281" i="4" s="1"/>
  <c r="AI283" i="4" s="1"/>
  <c r="AI336" i="4" s="1"/>
  <c r="AI373" i="4" s="1"/>
  <c r="AI381" i="4" s="1"/>
  <c r="AL326" i="4"/>
  <c r="AL355" i="4" s="1"/>
  <c r="AI324" i="4"/>
  <c r="AI353" i="4" s="1"/>
  <c r="AM320" i="4"/>
  <c r="AM259" i="4"/>
  <c r="AM261" i="4" s="1"/>
  <c r="AL262" i="4"/>
  <c r="AL263" i="4" s="1"/>
  <c r="AL264" i="4" s="1"/>
  <c r="AJ270" i="4" l="1"/>
  <c r="AJ271" i="4" s="1"/>
  <c r="AJ297" i="4"/>
  <c r="AJ300" i="4" s="1"/>
  <c r="AJ339" i="4" s="1"/>
  <c r="AI364" i="4"/>
  <c r="AI374" i="4" s="1"/>
  <c r="AI382" i="4" s="1"/>
  <c r="AH373" i="4"/>
  <c r="AH381" i="4" s="1"/>
  <c r="AH364" i="4"/>
  <c r="AH374" i="4" s="1"/>
  <c r="AH382" i="4" s="1"/>
  <c r="AM326" i="4"/>
  <c r="AM355" i="4" s="1"/>
  <c r="AL265" i="4"/>
  <c r="AM262" i="4"/>
  <c r="AM263" i="4" s="1"/>
  <c r="AM264" i="4" s="1"/>
  <c r="AJ275" i="4" l="1"/>
  <c r="AK268" i="4"/>
  <c r="AK269" i="4"/>
  <c r="AK272" i="4" s="1"/>
  <c r="AM265" i="4"/>
  <c r="AK273" i="4" l="1"/>
  <c r="AK274" i="4"/>
  <c r="AJ321" i="4"/>
  <c r="AJ324" i="4" s="1"/>
  <c r="AJ353" i="4" s="1"/>
  <c r="AJ276" i="4"/>
  <c r="AJ278" i="4" s="1"/>
  <c r="AJ279" i="4" s="1"/>
  <c r="AJ280" i="4" s="1"/>
  <c r="AJ281" i="4" s="1"/>
  <c r="AJ283" i="4" s="1"/>
  <c r="AJ336" i="4" s="1"/>
  <c r="AK297" i="4"/>
  <c r="AK300" i="4" s="1"/>
  <c r="AK339" i="4" s="1"/>
  <c r="AL269" i="4"/>
  <c r="AL272" i="4" s="1"/>
  <c r="AK270" i="4"/>
  <c r="AK271" i="4" s="1"/>
  <c r="AL268" i="4" s="1"/>
  <c r="AL274" i="4" s="1"/>
  <c r="AM297" i="4"/>
  <c r="AM300" i="4" s="1"/>
  <c r="AM339" i="4" s="1"/>
  <c r="AL297" i="4" l="1"/>
  <c r="AL300" i="4" s="1"/>
  <c r="AL339" i="4" s="1"/>
  <c r="AK275" i="4"/>
  <c r="AK321" i="4" s="1"/>
  <c r="AK324" i="4" s="1"/>
  <c r="AK353" i="4" s="1"/>
  <c r="AL270" i="4"/>
  <c r="AL271" i="4" s="1"/>
  <c r="AL273" i="4"/>
  <c r="AJ364" i="4"/>
  <c r="AJ374" i="4" s="1"/>
  <c r="AJ382" i="4" s="1"/>
  <c r="AJ373" i="4"/>
  <c r="AJ381" i="4" s="1"/>
  <c r="AK276" i="4" l="1"/>
  <c r="AK278" i="4" s="1"/>
  <c r="AK279" i="4" s="1"/>
  <c r="AK280" i="4" s="1"/>
  <c r="AK281" i="4" s="1"/>
  <c r="AK283" i="4" s="1"/>
  <c r="AK336" i="4" s="1"/>
  <c r="AM268" i="4"/>
  <c r="AL275" i="4"/>
  <c r="AL321" i="4" l="1"/>
  <c r="AL324" i="4" s="1"/>
  <c r="AL353" i="4" s="1"/>
  <c r="AL276" i="4"/>
  <c r="AM270" i="4"/>
  <c r="AM271" i="4" s="1"/>
  <c r="AM275" i="4" s="1"/>
  <c r="AM321" i="4" s="1"/>
  <c r="AM324" i="4" s="1"/>
  <c r="AM353" i="4" s="1"/>
  <c r="AM273" i="4"/>
  <c r="AM274" i="4"/>
  <c r="AK373" i="4"/>
  <c r="AK381" i="4" s="1"/>
  <c r="AK364" i="4"/>
  <c r="AK374" i="4" s="1"/>
  <c r="AK382" i="4" s="1"/>
  <c r="AM276" i="4" l="1"/>
  <c r="AM278" i="4" s="1"/>
  <c r="AL278" i="4"/>
  <c r="AL279" i="4" l="1"/>
  <c r="AL280" i="4" s="1"/>
  <c r="AL281" i="4" s="1"/>
  <c r="AL283" i="4" s="1"/>
  <c r="AL336" i="4" s="1"/>
  <c r="AM279" i="4"/>
  <c r="AM280" i="4" s="1"/>
  <c r="AM281" i="4" l="1"/>
  <c r="AM283" i="4" s="1"/>
  <c r="AM336" i="4" s="1"/>
  <c r="AM373" i="4" s="1"/>
  <c r="AM381" i="4" s="1"/>
  <c r="AL373" i="4"/>
  <c r="AL381" i="4" s="1"/>
  <c r="AL364" i="4"/>
  <c r="AL374" i="4" s="1"/>
  <c r="AL382" i="4" s="1"/>
  <c r="AM364" i="4" l="1"/>
  <c r="AM374" i="4" s="1"/>
  <c r="AM38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<sst xmlns="http://schemas.openxmlformats.org/spreadsheetml/2006/main" count="814" uniqueCount="226">
  <si>
    <t>Stock market investments</t>
  </si>
  <si>
    <t>Age</t>
  </si>
  <si>
    <t>Home loan</t>
  </si>
  <si>
    <t>Credit card balances</t>
  </si>
  <si>
    <t>more / less than current</t>
  </si>
  <si>
    <t>Year</t>
  </si>
  <si>
    <t>Home</t>
  </si>
  <si>
    <t>Interest on cash balances</t>
  </si>
  <si>
    <t>Cash</t>
  </si>
  <si>
    <t>Cash b/fwd</t>
  </si>
  <si>
    <t>Cash c/fwd</t>
  </si>
  <si>
    <t>Stock market equity investments</t>
  </si>
  <si>
    <t>Home loan repayment</t>
  </si>
  <si>
    <t>Net from other work</t>
  </si>
  <si>
    <t>Continue other work until age</t>
  </si>
  <si>
    <t>Living expenses</t>
  </si>
  <si>
    <t>Inflows</t>
  </si>
  <si>
    <t>Outflows</t>
  </si>
  <si>
    <t>Net Cash Flow</t>
  </si>
  <si>
    <t>Liquidation required</t>
  </si>
  <si>
    <t>Liquidations</t>
  </si>
  <si>
    <t>b/fwd</t>
  </si>
  <si>
    <t>Disposals</t>
  </si>
  <si>
    <t>Growth</t>
  </si>
  <si>
    <t>c/fwd</t>
  </si>
  <si>
    <t>Disposal costs</t>
  </si>
  <si>
    <t>Stock market equity</t>
  </si>
  <si>
    <t>Net worth</t>
  </si>
  <si>
    <t>Name</t>
  </si>
  <si>
    <t>Home current market value</t>
  </si>
  <si>
    <t>Rental income foregone</t>
  </si>
  <si>
    <t>Dependents</t>
  </si>
  <si>
    <t>Home loan (mortgage)</t>
  </si>
  <si>
    <t>Other loan</t>
  </si>
  <si>
    <t>Other loan repayment</t>
  </si>
  <si>
    <t>Loan repayment</t>
  </si>
  <si>
    <t>Net proceeds</t>
  </si>
  <si>
    <t>Balance</t>
  </si>
  <si>
    <t>Plan to live until age</t>
  </si>
  <si>
    <t>Dependent 1</t>
  </si>
  <si>
    <t>Dependent 2</t>
  </si>
  <si>
    <t>Dependent 3</t>
  </si>
  <si>
    <t>Property 1</t>
  </si>
  <si>
    <t>Property 2</t>
  </si>
  <si>
    <t>Property 3</t>
  </si>
  <si>
    <t>Amount</t>
  </si>
  <si>
    <t>Net employment / self-employment income</t>
  </si>
  <si>
    <t>Other post-retirement income</t>
  </si>
  <si>
    <t>if not a home owner</t>
  </si>
  <si>
    <t>Annual cost saved</t>
  </si>
  <si>
    <t>Other property</t>
  </si>
  <si>
    <t>Dependents cost</t>
  </si>
  <si>
    <t>Other property costs</t>
  </si>
  <si>
    <t>Current baseline</t>
  </si>
  <si>
    <t>from 66-75</t>
  </si>
  <si>
    <t>from age 76</t>
  </si>
  <si>
    <t>Spending adjustment (at today's euros)</t>
  </si>
  <si>
    <t>Major one-off expense events</t>
  </si>
  <si>
    <t>Net worth adjustments after liquidations</t>
  </si>
  <si>
    <t>Adjusted net worth</t>
  </si>
  <si>
    <t>Without liquidations</t>
  </si>
  <si>
    <t>With liquidations</t>
  </si>
  <si>
    <t>Charts</t>
  </si>
  <si>
    <t>Net rental income from other properties</t>
  </si>
  <si>
    <t>Credit cards cleared</t>
  </si>
  <si>
    <t>Net Worth before liquidations</t>
  </si>
  <si>
    <t>from now to 65</t>
  </si>
  <si>
    <t>Extra cash</t>
  </si>
  <si>
    <t>Extra interest</t>
  </si>
  <si>
    <t>Cash buffer at any time</t>
  </si>
  <si>
    <t>Cash available (after buffer)</t>
  </si>
  <si>
    <t>Outputs</t>
  </si>
  <si>
    <t>Full pension</t>
  </si>
  <si>
    <t>Pension reduction from early retirement</t>
  </si>
  <si>
    <t>QUICK START</t>
  </si>
  <si>
    <t>Your age</t>
  </si>
  <si>
    <t>Current net annual income</t>
  </si>
  <si>
    <t>Must be entered</t>
  </si>
  <si>
    <t>Net of tax, from employment or self-employment</t>
  </si>
  <si>
    <t>Total cash balances</t>
  </si>
  <si>
    <t>current and savings accounts, bonds, term deposits</t>
  </si>
  <si>
    <t>Current market value of equity portfolio</t>
  </si>
  <si>
    <t>Interest rate</t>
  </si>
  <si>
    <t>Monthly repayment</t>
  </si>
  <si>
    <t>Months remaining</t>
  </si>
  <si>
    <t>Years remaining</t>
  </si>
  <si>
    <t>Annual pension at retirement</t>
  </si>
  <si>
    <t>Net annual state pension entitlement</t>
  </si>
  <si>
    <t>Statutory retirement age</t>
  </si>
  <si>
    <t>Year at which pension starts</t>
  </si>
  <si>
    <t>DEEPER DIVE</t>
  </si>
  <si>
    <t>including inflation</t>
  </si>
  <si>
    <t>Years from now</t>
  </si>
  <si>
    <t>Leave blank if none</t>
  </si>
  <si>
    <t>Years to support</t>
  </si>
  <si>
    <t>Other income</t>
  </si>
  <si>
    <t>net annual after all costs and tax</t>
  </si>
  <si>
    <t>Annual living expenses</t>
  </si>
  <si>
    <t>Income Event 1</t>
  </si>
  <si>
    <t>Income Event 2</t>
  </si>
  <si>
    <t>Income Event 3</t>
  </si>
  <si>
    <t>Enter 0 or leave blank if none</t>
  </si>
  <si>
    <t>Expense Event 1</t>
  </si>
  <si>
    <t>Expense Event 2</t>
  </si>
  <si>
    <t>Expense Event 3</t>
  </si>
  <si>
    <t>Market value</t>
  </si>
  <si>
    <t>Annual costs</t>
  </si>
  <si>
    <t>Repairs, maintenance, etc.</t>
  </si>
  <si>
    <t xml:space="preserve">Investment Properties </t>
  </si>
  <si>
    <t>Other work income (net annual)</t>
  </si>
  <si>
    <t>FINER DETAILS</t>
  </si>
  <si>
    <t>Cash interest rate</t>
  </si>
  <si>
    <t>Stock market return</t>
  </si>
  <si>
    <t>Rental income annual increase</t>
  </si>
  <si>
    <t>Salary annual growth rate</t>
  </si>
  <si>
    <t>Property annual appreciation</t>
  </si>
  <si>
    <t>Pension reduction per year early</t>
  </si>
  <si>
    <t>From age</t>
  </si>
  <si>
    <t>To age</t>
  </si>
  <si>
    <t>Food, education, healthcare,
etc.</t>
  </si>
  <si>
    <t>Annual cost</t>
  </si>
  <si>
    <t>emergency reserve</t>
  </si>
  <si>
    <t>reduction in pension for each year retired early</t>
  </si>
  <si>
    <t>tax, broker and other fees</t>
  </si>
  <si>
    <t>Stock market selling costs</t>
  </si>
  <si>
    <t>Property disposal costs</t>
  </si>
  <si>
    <t xml:space="preserve">agency, tax, legal fees </t>
  </si>
  <si>
    <t>0 = would never sell</t>
  </si>
  <si>
    <t>Major life expense events</t>
  </si>
  <si>
    <t>Major life income events</t>
  </si>
  <si>
    <t>Major one-off income events</t>
  </si>
  <si>
    <t>Part-time / consulting / side projects etc. Leave blank if none</t>
  </si>
  <si>
    <t>Assumed cleared in Year 1. Leave blank if none</t>
  </si>
  <si>
    <t>Leave blank if not a home owner</t>
  </si>
  <si>
    <t>Leave blank if no mortgage</t>
  </si>
  <si>
    <t>User Tooltips</t>
  </si>
  <si>
    <t>UI Notes</t>
  </si>
  <si>
    <t>Excel helpers</t>
  </si>
  <si>
    <t>Defaults</t>
  </si>
  <si>
    <t>Activated only if user wants to</t>
  </si>
  <si>
    <t>Works behind the scenes, show and allow edit if user wants to</t>
  </si>
  <si>
    <t>Hide until user enters dependent name</t>
  </si>
  <si>
    <t>Hide until user enters property name</t>
  </si>
  <si>
    <t>Show with property name only if name was entered</t>
  </si>
  <si>
    <t>Show only if other work income entered</t>
  </si>
  <si>
    <t>show only if not a home owner (B12="")</t>
  </si>
  <si>
    <t>Sliema</t>
  </si>
  <si>
    <t>Cash balance after disposals inc interest</t>
  </si>
  <si>
    <t>Retire at</t>
  </si>
  <si>
    <t>Cash available (after extra interest)</t>
  </si>
  <si>
    <t>Only show if value&gt;0 entered in B141</t>
  </si>
  <si>
    <t>User inputs</t>
  </si>
  <si>
    <t>Qormi</t>
  </si>
  <si>
    <t>Wedding</t>
  </si>
  <si>
    <t>John</t>
  </si>
  <si>
    <t>Jack</t>
  </si>
  <si>
    <t>Bill</t>
  </si>
  <si>
    <t>Gzira</t>
  </si>
  <si>
    <t>Inheritance</t>
  </si>
  <si>
    <t>Sell Painting</t>
  </si>
  <si>
    <t>Sell Jewels</t>
  </si>
  <si>
    <t>New Car</t>
  </si>
  <si>
    <t>New AC</t>
  </si>
  <si>
    <t>Dependent 4</t>
  </si>
  <si>
    <t>Dependent 5</t>
  </si>
  <si>
    <t>Stephen</t>
  </si>
  <si>
    <t>Jane</t>
  </si>
  <si>
    <t>Property 4</t>
  </si>
  <si>
    <t>Property 5</t>
  </si>
  <si>
    <t>Gudja</t>
  </si>
  <si>
    <t>Marsa</t>
  </si>
  <si>
    <t>General inflation</t>
  </si>
  <si>
    <t>Months remaining this year</t>
  </si>
  <si>
    <t>Month offset</t>
  </si>
  <si>
    <t>Pro-rate factor</t>
  </si>
  <si>
    <t>Legacy amount</t>
  </si>
  <si>
    <t>wealth to preserve for your heirs</t>
  </si>
  <si>
    <t>Cash buffer</t>
  </si>
  <si>
    <t>Other Assets of Value</t>
  </si>
  <si>
    <t>Jewelry</t>
  </si>
  <si>
    <t>Annual appreciation / depreciation</t>
  </si>
  <si>
    <t>Hide until user enters asset name</t>
  </si>
  <si>
    <t>posiytive if it asset value grows, negative if asset depreciates</t>
  </si>
  <si>
    <t>Asset 1</t>
  </si>
  <si>
    <t>Asset 2</t>
  </si>
  <si>
    <t>Asset 3</t>
  </si>
  <si>
    <t>Asset 4</t>
  </si>
  <si>
    <t>Asset 5</t>
  </si>
  <si>
    <t>Car</t>
  </si>
  <si>
    <t>Painting</t>
  </si>
  <si>
    <t>Boat</t>
  </si>
  <si>
    <t>Antiques</t>
  </si>
  <si>
    <t>Asset liquidation order</t>
  </si>
  <si>
    <t>Other assets of value</t>
  </si>
  <si>
    <t>Cum asset disposals</t>
  </si>
  <si>
    <t>Asset values after liquidations</t>
  </si>
  <si>
    <t>Cum asset loan repayments on liquidations</t>
  </si>
  <si>
    <t>Other asset loans</t>
  </si>
  <si>
    <t>Loans</t>
  </si>
  <si>
    <t>Other asset loans repayments</t>
  </si>
  <si>
    <t>Other assets disposal costs</t>
  </si>
  <si>
    <t xml:space="preserve">agency, tax, other fees </t>
  </si>
  <si>
    <t>Asset</t>
  </si>
  <si>
    <t>DispCost</t>
  </si>
  <si>
    <t>Asset loan balances after liquidations</t>
  </si>
  <si>
    <t>Stock market crash scenarios</t>
  </si>
  <si>
    <t>Crash 1</t>
  </si>
  <si>
    <t>% drop</t>
  </si>
  <si>
    <t>Time to recover</t>
  </si>
  <si>
    <t>Crash 2</t>
  </si>
  <si>
    <t>Crash 3</t>
  </si>
  <si>
    <t>min 5, max  90%</t>
  </si>
  <si>
    <t>Crash 4</t>
  </si>
  <si>
    <t>Crash 5</t>
  </si>
  <si>
    <t>Years for market to trecover to previous high just before crash</t>
  </si>
  <si>
    <t>Home downsizing</t>
  </si>
  <si>
    <t>New home buy or rent?</t>
  </si>
  <si>
    <t>Buy</t>
  </si>
  <si>
    <t>New home purchase cost</t>
  </si>
  <si>
    <t>Only if B219 = Rent</t>
  </si>
  <si>
    <t>New home monthly rent</t>
  </si>
  <si>
    <t>Home rent</t>
  </si>
  <si>
    <t>Sale of home (downsizing)</t>
  </si>
  <si>
    <t>Purchase of home (downsizing)</t>
  </si>
  <si>
    <t xml:space="preserve">at today's prices, including agency, tax, legal fees, moving, improvements etc. </t>
  </si>
  <si>
    <t>Home monthly 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</si>
</sst>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#,##0\ ;\(#,##0\);\ \ \ \-\ "/>
    <numFmt numFmtId="165" formatCode="#,##0.0\ ;\(#,##0.0\);\ \ \ \-\ "/>
    <numFmt numFmtId="166" formatCode="0.0%"/>
    <numFmt numFmtId="167" formatCode="0;0;"/>
    <numFmt numFmtId="168" formatCode=";;"/>
    <numFmt numFmtId="169" formatCode="#,##0.00\ ;\(#,##0.00\);\ \ \ \-\ "/>
    <numFmt numFmtId="170" formatCode="#,##0.0000\ ;\(#,##0.0000\);\ \ \ \-\ 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C00000"/>
      <name val="Aptos Narrow"/>
      <scheme val="minor"/>
    </font>
    <font>
      <b/>
      <sz val="14"/>
      <color theme="1"/>
      <name val="Aptos Narrow"/>
      <scheme val="minor"/>
    </font>
    <font>
      <sz val="8"/>
      <color theme="0" tint="-0.249977111117893"/>
      <name val="Aptos Narrow"/>
      <scheme val="minor"/>
    </font>
    <font>
      <sz val="12"/>
      <name val="Aptos Narrow"/>
      <scheme val="minor"/>
    </font>
    <font>
      <sz val="12"/>
      <color rgb="FF9C5700"/>
      <name val="Aptos Narrow"/>
      <family val="2"/>
      <scheme val="minor"/>
    </font>
    <font>
      <b/>
      <sz val="12"/>
      <name val="Aptos Narrow"/>
      <scheme val="minor"/>
    </font>
    <font>
      <b/>
      <sz val="22"/>
      <color theme="1"/>
      <name val="Aptos Narrow"/>
      <scheme val="minor"/>
    </font>
    <font>
      <b/>
      <sz val="10"/>
      <name val="Aptos Narrow"/>
      <scheme val="minor"/>
    </font>
    <font>
      <sz val="10"/>
      <name val="Aptos Narrow"/>
      <scheme val="minor"/>
    </font>
    <font>
      <b/>
      <sz val="10"/>
      <color theme="0" tint="-0.499984740745262"/>
      <name val="Aptos Narrow"/>
      <scheme val="minor"/>
    </font>
    <font>
      <sz val="10"/>
      <color theme="0" tint="-0.499984740745262"/>
      <name val="Aptos Narrow"/>
      <scheme val="minor"/>
    </font>
    <font>
      <b/>
      <sz val="14"/>
      <name val="Aptos Narrow"/>
      <scheme val="minor"/>
    </font>
    <font>
      <sz val="14"/>
      <name val="Aptos Narrow"/>
      <scheme val="minor"/>
    </font>
    <font>
      <sz val="12"/>
      <color rgb="FFFF0000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</patternFill>
    </fill>
    <fill>
      <patternFill patternType="solid">
        <fgColor rgb="FFFFFFC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ED6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3" borderId="0" applyNumberFormat="0" applyBorder="0" applyAlignment="0" applyProtection="0"/>
  </cellStyleXfs>
  <cellXfs count="9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164" fontId="3" fillId="0" borderId="2" xfId="0" applyNumberFormat="1" applyFont="1" applyBorder="1" applyAlignment="1">
      <alignment horizontal="right"/>
    </xf>
    <xf numFmtId="164" fontId="2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left"/>
    </xf>
    <xf numFmtId="0" fontId="6" fillId="0" borderId="0" xfId="0" applyFont="1"/>
    <xf numFmtId="164" fontId="0" fillId="0" borderId="0" xfId="0" applyNumberFormat="1" applyAlignment="1">
      <alignment horizontal="right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indent="3"/>
    </xf>
    <xf numFmtId="0" fontId="3" fillId="0" borderId="0" xfId="0" applyFont="1" applyAlignment="1">
      <alignment horizontal="left" indent="4"/>
    </xf>
    <xf numFmtId="0" fontId="8" fillId="0" borderId="0" xfId="0" applyFont="1" applyAlignment="1">
      <alignment horizontal="left" indent="2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left" indent="3"/>
    </xf>
    <xf numFmtId="164" fontId="3" fillId="0" borderId="0" xfId="0" applyNumberFormat="1" applyFont="1" applyAlignment="1">
      <alignment horizontal="center"/>
    </xf>
    <xf numFmtId="0" fontId="3" fillId="0" borderId="3" xfId="0" applyFont="1" applyBorder="1" applyAlignment="1">
      <alignment horizontal="left" indent="1"/>
    </xf>
    <xf numFmtId="0" fontId="6" fillId="0" borderId="3" xfId="0" applyFont="1" applyBorder="1"/>
    <xf numFmtId="0" fontId="3" fillId="0" borderId="3" xfId="0" applyFont="1" applyBorder="1" applyAlignment="1">
      <alignment horizontal="center"/>
    </xf>
    <xf numFmtId="164" fontId="3" fillId="0" borderId="3" xfId="0" applyNumberFormat="1" applyFont="1" applyBorder="1" applyAlignment="1">
      <alignment horizontal="right"/>
    </xf>
    <xf numFmtId="164" fontId="5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left" indent="1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0" fontId="1" fillId="3" borderId="0" xfId="3" applyFont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left" indent="1"/>
    </xf>
    <xf numFmtId="164" fontId="8" fillId="2" borderId="1" xfId="0" applyNumberFormat="1" applyFont="1" applyFill="1" applyBorder="1" applyAlignment="1" applyProtection="1">
      <alignment horizontal="center"/>
      <protection locked="0"/>
    </xf>
    <xf numFmtId="166" fontId="8" fillId="2" borderId="1" xfId="0" applyNumberFormat="1" applyFont="1" applyFill="1" applyBorder="1" applyAlignment="1" applyProtection="1">
      <alignment horizontal="center"/>
      <protection locked="0"/>
    </xf>
    <xf numFmtId="164" fontId="8" fillId="0" borderId="0" xfId="0" applyNumberFormat="1" applyFont="1" applyAlignment="1">
      <alignment horizontal="center"/>
    </xf>
    <xf numFmtId="0" fontId="8" fillId="2" borderId="1" xfId="0" applyFont="1" applyFill="1" applyBorder="1" applyAlignment="1" applyProtection="1">
      <alignment horizontal="center"/>
      <protection locked="0"/>
    </xf>
    <xf numFmtId="0" fontId="8" fillId="4" borderId="4" xfId="0" applyFont="1" applyFill="1" applyBorder="1" applyAlignment="1" applyProtection="1">
      <alignment horizontal="center"/>
      <protection locked="0"/>
    </xf>
    <xf numFmtId="9" fontId="8" fillId="2" borderId="1" xfId="0" applyNumberFormat="1" applyFont="1" applyFill="1" applyBorder="1" applyAlignment="1" applyProtection="1">
      <alignment horizontal="center"/>
      <protection locked="0"/>
    </xf>
    <xf numFmtId="166" fontId="8" fillId="2" borderId="1" xfId="1" applyNumberFormat="1" applyFont="1" applyFill="1" applyBorder="1" applyAlignment="1" applyProtection="1">
      <alignment horizontal="center"/>
      <protection locked="0"/>
    </xf>
    <xf numFmtId="9" fontId="8" fillId="2" borderId="1" xfId="1" applyFont="1" applyFill="1" applyBorder="1" applyAlignment="1" applyProtection="1">
      <alignment horizontal="center"/>
      <protection locked="0"/>
    </xf>
    <xf numFmtId="167" fontId="8" fillId="2" borderId="1" xfId="2" applyNumberFormat="1" applyFont="1" applyFill="1" applyBorder="1" applyAlignment="1" applyProtection="1">
      <alignment horizontal="center"/>
      <protection locked="0"/>
    </xf>
    <xf numFmtId="165" fontId="8" fillId="0" borderId="0" xfId="0" applyNumberFormat="1" applyFont="1" applyAlignment="1">
      <alignment horizontal="center"/>
    </xf>
    <xf numFmtId="0" fontId="8" fillId="5" borderId="0" xfId="0" applyFont="1" applyFill="1"/>
    <xf numFmtId="164" fontId="8" fillId="0" borderId="5" xfId="0" applyNumberFormat="1" applyFont="1" applyBorder="1" applyAlignment="1" applyProtection="1">
      <alignment horizontal="center"/>
      <protection locked="0"/>
    </xf>
    <xf numFmtId="9" fontId="8" fillId="0" borderId="5" xfId="0" applyNumberFormat="1" applyFont="1" applyBorder="1" applyAlignment="1" applyProtection="1">
      <alignment horizontal="center"/>
      <protection locked="0"/>
    </xf>
    <xf numFmtId="166" fontId="8" fillId="0" borderId="5" xfId="0" applyNumberFormat="1" applyFont="1" applyBorder="1" applyAlignment="1" applyProtection="1">
      <alignment horizontal="center"/>
      <protection locked="0"/>
    </xf>
    <xf numFmtId="166" fontId="8" fillId="0" borderId="5" xfId="1" applyNumberFormat="1" applyFont="1" applyFill="1" applyBorder="1" applyAlignment="1" applyProtection="1">
      <alignment horizontal="center"/>
      <protection locked="0"/>
    </xf>
    <xf numFmtId="9" fontId="8" fillId="0" borderId="5" xfId="1" applyFont="1" applyFill="1" applyBorder="1" applyAlignment="1" applyProtection="1">
      <alignment horizontal="center"/>
      <protection locked="0"/>
    </xf>
    <xf numFmtId="0" fontId="8" fillId="5" borderId="0" xfId="0" applyFont="1" applyFill="1" applyAlignment="1">
      <alignment horizontal="left" indent="3"/>
    </xf>
    <xf numFmtId="0" fontId="10" fillId="0" borderId="0" xfId="0" applyFont="1" applyAlignment="1">
      <alignment horizontal="left" indent="2"/>
    </xf>
    <xf numFmtId="0" fontId="8" fillId="0" borderId="0" xfId="0" applyFont="1" applyAlignment="1">
      <alignment horizontal="left" indent="4"/>
    </xf>
    <xf numFmtId="167" fontId="8" fillId="0" borderId="0" xfId="0" applyNumberFormat="1" applyFont="1" applyAlignment="1">
      <alignment horizontal="left" indent="3"/>
    </xf>
    <xf numFmtId="0" fontId="8" fillId="0" borderId="0" xfId="0" applyFont="1" applyAlignment="1">
      <alignment horizontal="left" wrapText="1" indent="2"/>
    </xf>
    <xf numFmtId="168" fontId="8" fillId="0" borderId="0" xfId="0" applyNumberFormat="1" applyFont="1" applyAlignment="1">
      <alignment horizontal="left" indent="3"/>
    </xf>
    <xf numFmtId="0" fontId="6" fillId="0" borderId="0" xfId="0" applyFont="1" applyAlignment="1">
      <alignment horizontal="center"/>
    </xf>
    <xf numFmtId="0" fontId="12" fillId="5" borderId="0" xfId="0" applyFont="1" applyFill="1" applyAlignment="1">
      <alignment horizontal="left" indent="1"/>
    </xf>
    <xf numFmtId="0" fontId="13" fillId="0" borderId="0" xfId="0" applyFont="1"/>
    <xf numFmtId="0" fontId="13" fillId="0" borderId="0" xfId="0" applyFont="1" applyAlignment="1">
      <alignment horizontal="left" indent="1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43" fontId="13" fillId="0" borderId="0" xfId="2" applyFont="1" applyBorder="1" applyAlignment="1">
      <alignment horizontal="right"/>
    </xf>
    <xf numFmtId="164" fontId="13" fillId="0" borderId="0" xfId="0" applyNumberFormat="1" applyFont="1" applyAlignment="1">
      <alignment horizontal="right"/>
    </xf>
    <xf numFmtId="0" fontId="12" fillId="5" borderId="0" xfId="0" applyFont="1" applyFill="1"/>
    <xf numFmtId="43" fontId="13" fillId="0" borderId="0" xfId="2" applyFont="1" applyBorder="1" applyAlignment="1"/>
    <xf numFmtId="0" fontId="14" fillId="5" borderId="0" xfId="0" applyFont="1" applyFill="1" applyAlignment="1">
      <alignment horizontal="left"/>
    </xf>
    <xf numFmtId="0" fontId="15" fillId="0" borderId="0" xfId="0" applyFont="1"/>
    <xf numFmtId="0" fontId="15" fillId="0" borderId="0" xfId="0" applyFont="1" applyAlignment="1">
      <alignment horizontal="left"/>
    </xf>
    <xf numFmtId="43" fontId="15" fillId="0" borderId="0" xfId="2" applyFont="1" applyBorder="1" applyAlignment="1">
      <alignment horizontal="left"/>
    </xf>
    <xf numFmtId="165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left" indent="1"/>
    </xf>
    <xf numFmtId="0" fontId="15" fillId="0" borderId="0" xfId="0" applyFont="1" applyAlignment="1">
      <alignment horizontal="center"/>
    </xf>
    <xf numFmtId="164" fontId="15" fillId="0" borderId="0" xfId="0" applyNumberFormat="1" applyFont="1" applyAlignment="1">
      <alignment horizontal="center"/>
    </xf>
    <xf numFmtId="0" fontId="8" fillId="0" borderId="3" xfId="0" applyFont="1" applyBorder="1" applyAlignment="1">
      <alignment horizontal="left" indent="3"/>
    </xf>
    <xf numFmtId="0" fontId="8" fillId="0" borderId="3" xfId="0" applyFont="1" applyBorder="1"/>
    <xf numFmtId="2" fontId="8" fillId="0" borderId="0" xfId="0" applyNumberFormat="1" applyFont="1" applyAlignment="1">
      <alignment horizontal="center"/>
    </xf>
    <xf numFmtId="0" fontId="10" fillId="7" borderId="0" xfId="0" applyFont="1" applyFill="1" applyAlignment="1">
      <alignment horizontal="left" indent="2"/>
    </xf>
    <xf numFmtId="0" fontId="8" fillId="7" borderId="0" xfId="0" applyFont="1" applyFill="1" applyAlignment="1">
      <alignment horizontal="center"/>
    </xf>
    <xf numFmtId="0" fontId="8" fillId="7" borderId="0" xfId="0" applyFont="1" applyFill="1" applyAlignment="1">
      <alignment horizontal="left" indent="1"/>
    </xf>
    <xf numFmtId="0" fontId="16" fillId="8" borderId="3" xfId="0" applyFont="1" applyFill="1" applyBorder="1" applyAlignment="1">
      <alignment horizontal="left" indent="1"/>
    </xf>
    <xf numFmtId="0" fontId="17" fillId="8" borderId="3" xfId="0" applyFont="1" applyFill="1" applyBorder="1" applyAlignment="1">
      <alignment horizontal="center"/>
    </xf>
    <xf numFmtId="0" fontId="16" fillId="9" borderId="3" xfId="0" applyFont="1" applyFill="1" applyBorder="1" applyAlignment="1">
      <alignment horizontal="left" indent="1"/>
    </xf>
    <xf numFmtId="0" fontId="17" fillId="9" borderId="3" xfId="0" applyFont="1" applyFill="1" applyBorder="1" applyAlignment="1">
      <alignment horizontal="center"/>
    </xf>
    <xf numFmtId="0" fontId="16" fillId="10" borderId="3" xfId="0" applyFont="1" applyFill="1" applyBorder="1" applyAlignment="1">
      <alignment horizontal="left" indent="1"/>
    </xf>
    <xf numFmtId="0" fontId="17" fillId="10" borderId="3" xfId="0" applyFont="1" applyFill="1" applyBorder="1" applyAlignment="1">
      <alignment horizontal="center"/>
    </xf>
    <xf numFmtId="0" fontId="12" fillId="8" borderId="3" xfId="0" applyFont="1" applyFill="1" applyBorder="1" applyAlignment="1">
      <alignment horizontal="center"/>
    </xf>
    <xf numFmtId="168" fontId="8" fillId="0" borderId="0" xfId="0" applyNumberFormat="1" applyFont="1" applyAlignment="1">
      <alignment horizontal="left" indent="1"/>
    </xf>
    <xf numFmtId="9" fontId="8" fillId="0" borderId="0" xfId="1" applyFont="1" applyAlignment="1">
      <alignment horizontal="center"/>
    </xf>
    <xf numFmtId="168" fontId="8" fillId="0" borderId="0" xfId="0" applyNumberFormat="1" applyFont="1" applyAlignment="1">
      <alignment horizontal="left" indent="2"/>
    </xf>
    <xf numFmtId="164" fontId="18" fillId="0" borderId="0" xfId="0" applyNumberFormat="1" applyFont="1" applyAlignment="1">
      <alignment horizontal="left"/>
    </xf>
    <xf numFmtId="169" fontId="3" fillId="0" borderId="0" xfId="0" applyNumberFormat="1" applyFont="1" applyAlignment="1">
      <alignment horizontal="right"/>
    </xf>
    <xf numFmtId="170" fontId="3" fillId="0" borderId="0" xfId="0" applyNumberFormat="1" applyFont="1" applyAlignment="1">
      <alignment horizontal="right"/>
    </xf>
    <xf numFmtId="0" fontId="11" fillId="6" borderId="0" xfId="0" applyFont="1" applyFill="1" applyAlignment="1">
      <alignment horizontal="center" vertical="center"/>
    </xf>
    <xf numFmtId="164" fontId="3" fillId="11" borderId="0" xfId="0" applyNumberFormat="1" applyFont="1" applyFill="1" applyAlignment="1">
      <alignment horizontal="right"/>
    </xf>
    <xf numFmtId="164" fontId="3" fillId="9" borderId="0" xfId="0" applyNumberFormat="1" applyFont="1" applyFill="1" applyAlignment="1">
      <alignment horizontal="right"/>
    </xf>
  </cellXfs>
  <cellStyles count="4">
    <cellStyle name="Comma" xfId="2" builtinId="3"/>
    <cellStyle name="Neutral" xfId="3" builtinId="28"/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FFFED6"/>
      <color rgb="FFFFFF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/>
              <a:t>Cash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T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Output!$AA$2</c:f>
              <c:strCache>
                <c:ptCount val="1"/>
                <c:pt idx="0">
                  <c:v>Retire at  49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[0]!AgeRange</c:f>
              <c:numCache>
                <c:formatCode>General</c:formatCode>
                <c:ptCount val="37"/>
                <c:pt idx="0">
                  <c:v>48</c:v>
                </c:pt>
                <c:pt idx="1">
                  <c:v>49</c:v>
                </c:pt>
                <c:pt idx="2">
                  <c:v>50</c:v>
                </c:pt>
                <c:pt idx="3">
                  <c:v>51</c:v>
                </c:pt>
                <c:pt idx="4">
                  <c:v>52</c:v>
                </c:pt>
                <c:pt idx="5">
                  <c:v>53</c:v>
                </c:pt>
                <c:pt idx="6">
                  <c:v>54</c:v>
                </c:pt>
                <c:pt idx="7">
                  <c:v>55</c:v>
                </c:pt>
                <c:pt idx="8">
                  <c:v>56</c:v>
                </c:pt>
                <c:pt idx="9">
                  <c:v>57</c:v>
                </c:pt>
                <c:pt idx="10">
                  <c:v>58</c:v>
                </c:pt>
                <c:pt idx="11">
                  <c:v>59</c:v>
                </c:pt>
                <c:pt idx="12">
                  <c:v>60</c:v>
                </c:pt>
                <c:pt idx="13">
                  <c:v>61</c:v>
                </c:pt>
                <c:pt idx="14">
                  <c:v>62</c:v>
                </c:pt>
                <c:pt idx="15">
                  <c:v>63</c:v>
                </c:pt>
                <c:pt idx="16">
                  <c:v>64</c:v>
                </c:pt>
                <c:pt idx="17">
                  <c:v>65</c:v>
                </c:pt>
                <c:pt idx="18">
                  <c:v>66</c:v>
                </c:pt>
                <c:pt idx="19">
                  <c:v>67</c:v>
                </c:pt>
                <c:pt idx="20">
                  <c:v>68</c:v>
                </c:pt>
                <c:pt idx="21">
                  <c:v>69</c:v>
                </c:pt>
                <c:pt idx="22">
                  <c:v>70</c:v>
                </c:pt>
                <c:pt idx="23">
                  <c:v>71</c:v>
                </c:pt>
                <c:pt idx="24">
                  <c:v>72</c:v>
                </c:pt>
                <c:pt idx="25">
                  <c:v>73</c:v>
                </c:pt>
                <c:pt idx="26">
                  <c:v>74</c:v>
                </c:pt>
                <c:pt idx="27">
                  <c:v>75</c:v>
                </c:pt>
                <c:pt idx="28">
                  <c:v>76</c:v>
                </c:pt>
                <c:pt idx="29">
                  <c:v>77</c:v>
                </c:pt>
                <c:pt idx="30">
                  <c:v>78</c:v>
                </c:pt>
                <c:pt idx="31">
                  <c:v>79</c:v>
                </c:pt>
                <c:pt idx="32">
                  <c:v>80</c:v>
                </c:pt>
                <c:pt idx="33">
                  <c:v>81</c:v>
                </c:pt>
                <c:pt idx="34">
                  <c:v>82</c:v>
                </c:pt>
                <c:pt idx="35">
                  <c:v>83</c:v>
                </c:pt>
                <c:pt idx="36">
                  <c:v>84</c:v>
                </c:pt>
              </c:numCache>
            </c:numRef>
          </c:cat>
          <c:val>
            <c:numRef>
              <c:f>RetEarly_Engine!ChartCash_Early</c:f>
              <c:numCache>
                <c:formatCode>#,##0\ ;\(#,##0\);\ \ \ \-\ </c:formatCode>
                <c:ptCount val="37"/>
                <c:pt idx="0">
                  <c:v>113060.11021238755</c:v>
                </c:pt>
                <c:pt idx="1">
                  <c:v>124803.86573151383</c:v>
                </c:pt>
                <c:pt idx="2">
                  <c:v>215269.77766792092</c:v>
                </c:pt>
                <c:pt idx="3">
                  <c:v>127404.79749267877</c:v>
                </c:pt>
                <c:pt idx="4">
                  <c:v>232914.95575458009</c:v>
                </c:pt>
                <c:pt idx="5">
                  <c:v>179529.97572023471</c:v>
                </c:pt>
                <c:pt idx="6">
                  <c:v>141164.21383968444</c:v>
                </c:pt>
                <c:pt idx="7">
                  <c:v>229275.45457262834</c:v>
                </c:pt>
                <c:pt idx="8">
                  <c:v>168281.8899313185</c:v>
                </c:pt>
                <c:pt idx="9">
                  <c:v>188926.09569615126</c:v>
                </c:pt>
                <c:pt idx="10">
                  <c:v>113941.99340012993</c:v>
                </c:pt>
                <c:pt idx="11">
                  <c:v>86292.921153602525</c:v>
                </c:pt>
                <c:pt idx="12">
                  <c:v>242268.67503206589</c:v>
                </c:pt>
                <c:pt idx="13">
                  <c:v>207977.80442793126</c:v>
                </c:pt>
                <c:pt idx="14">
                  <c:v>172198.14054807866</c:v>
                </c:pt>
                <c:pt idx="15">
                  <c:v>134521.67427947966</c:v>
                </c:pt>
                <c:pt idx="16">
                  <c:v>94907.310078202689</c:v>
                </c:pt>
                <c:pt idx="17">
                  <c:v>70781.292385504436</c:v>
                </c:pt>
                <c:pt idx="18">
                  <c:v>126235.8923856169</c:v>
                </c:pt>
                <c:pt idx="19">
                  <c:v>109930.43195727481</c:v>
                </c:pt>
                <c:pt idx="20">
                  <c:v>92915.162745274181</c:v>
                </c:pt>
                <c:pt idx="21">
                  <c:v>429449.71137728752</c:v>
                </c:pt>
                <c:pt idx="22">
                  <c:v>389003.42556395108</c:v>
                </c:pt>
                <c:pt idx="23">
                  <c:v>346330.5317996596</c:v>
                </c:pt>
                <c:pt idx="24">
                  <c:v>301181.74853418698</c:v>
                </c:pt>
                <c:pt idx="25">
                  <c:v>253500.12976516303</c:v>
                </c:pt>
                <c:pt idx="26">
                  <c:v>203227.45437721393</c:v>
                </c:pt>
                <c:pt idx="27">
                  <c:v>150304.19872024725</c:v>
                </c:pt>
                <c:pt idx="28">
                  <c:v>104901.54560701107</c:v>
                </c:pt>
                <c:pt idx="29">
                  <c:v>668643.02699931455</c:v>
                </c:pt>
                <c:pt idx="30">
                  <c:v>622861.64064564393</c:v>
                </c:pt>
                <c:pt idx="31">
                  <c:v>574226.45540501818</c:v>
                </c:pt>
                <c:pt idx="32">
                  <c:v>522456.56029583386</c:v>
                </c:pt>
                <c:pt idx="33">
                  <c:v>467473.58757137647</c:v>
                </c:pt>
                <c:pt idx="34">
                  <c:v>409197.2102912647</c:v>
                </c:pt>
                <c:pt idx="35">
                  <c:v>347545.09334160667</c:v>
                </c:pt>
                <c:pt idx="36">
                  <c:v>282432.84323066456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00-C94B-93B6-9E84AE83035F}"/>
            </c:ext>
          </c:extLst>
        </c:ser>
        <c:ser>
          <c:idx val="2"/>
          <c:order val="1"/>
          <c:tx>
            <c:strRef>
              <c:f>Output!$AA$3</c:f>
              <c:strCache>
                <c:ptCount val="1"/>
                <c:pt idx="0">
                  <c:v>Retire at  65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[0]!AgeRange</c:f>
              <c:numCache>
                <c:formatCode>General</c:formatCode>
                <c:ptCount val="37"/>
                <c:pt idx="0">
                  <c:v>48</c:v>
                </c:pt>
                <c:pt idx="1">
                  <c:v>49</c:v>
                </c:pt>
                <c:pt idx="2">
                  <c:v>50</c:v>
                </c:pt>
                <c:pt idx="3">
                  <c:v>51</c:v>
                </c:pt>
                <c:pt idx="4">
                  <c:v>52</c:v>
                </c:pt>
                <c:pt idx="5">
                  <c:v>53</c:v>
                </c:pt>
                <c:pt idx="6">
                  <c:v>54</c:v>
                </c:pt>
                <c:pt idx="7">
                  <c:v>55</c:v>
                </c:pt>
                <c:pt idx="8">
                  <c:v>56</c:v>
                </c:pt>
                <c:pt idx="9">
                  <c:v>57</c:v>
                </c:pt>
                <c:pt idx="10">
                  <c:v>58</c:v>
                </c:pt>
                <c:pt idx="11">
                  <c:v>59</c:v>
                </c:pt>
                <c:pt idx="12">
                  <c:v>60</c:v>
                </c:pt>
                <c:pt idx="13">
                  <c:v>61</c:v>
                </c:pt>
                <c:pt idx="14">
                  <c:v>62</c:v>
                </c:pt>
                <c:pt idx="15">
                  <c:v>63</c:v>
                </c:pt>
                <c:pt idx="16">
                  <c:v>64</c:v>
                </c:pt>
                <c:pt idx="17">
                  <c:v>65</c:v>
                </c:pt>
                <c:pt idx="18">
                  <c:v>66</c:v>
                </c:pt>
                <c:pt idx="19">
                  <c:v>67</c:v>
                </c:pt>
                <c:pt idx="20">
                  <c:v>68</c:v>
                </c:pt>
                <c:pt idx="21">
                  <c:v>69</c:v>
                </c:pt>
                <c:pt idx="22">
                  <c:v>70</c:v>
                </c:pt>
                <c:pt idx="23">
                  <c:v>71</c:v>
                </c:pt>
                <c:pt idx="24">
                  <c:v>72</c:v>
                </c:pt>
                <c:pt idx="25">
                  <c:v>73</c:v>
                </c:pt>
                <c:pt idx="26">
                  <c:v>74</c:v>
                </c:pt>
                <c:pt idx="27">
                  <c:v>75</c:v>
                </c:pt>
                <c:pt idx="28">
                  <c:v>76</c:v>
                </c:pt>
                <c:pt idx="29">
                  <c:v>77</c:v>
                </c:pt>
                <c:pt idx="30">
                  <c:v>78</c:v>
                </c:pt>
                <c:pt idx="31">
                  <c:v>79</c:v>
                </c:pt>
                <c:pt idx="32">
                  <c:v>80</c:v>
                </c:pt>
                <c:pt idx="33">
                  <c:v>81</c:v>
                </c:pt>
                <c:pt idx="34">
                  <c:v>82</c:v>
                </c:pt>
                <c:pt idx="35">
                  <c:v>83</c:v>
                </c:pt>
                <c:pt idx="36">
                  <c:v>84</c:v>
                </c:pt>
              </c:numCache>
            </c:numRef>
          </c:cat>
          <c:val>
            <c:numRef>
              <c:f>[0]!ChartCash_Norm</c:f>
              <c:numCache>
                <c:formatCode>#,##0\ ;\(#,##0\);\ \ \ \-\ </c:formatCode>
                <c:ptCount val="37"/>
                <c:pt idx="0">
                  <c:v>66108.4375</c:v>
                </c:pt>
                <c:pt idx="1">
                  <c:v>80012.145312499997</c:v>
                </c:pt>
                <c:pt idx="2">
                  <c:v>100169.6494140625</c:v>
                </c:pt>
                <c:pt idx="3">
                  <c:v>102227.78380184111</c:v>
                </c:pt>
                <c:pt idx="4">
                  <c:v>300455.15989583102</c:v>
                </c:pt>
                <c:pt idx="5">
                  <c:v>346986.84009098983</c:v>
                </c:pt>
                <c:pt idx="6">
                  <c:v>413754.64435619779</c:v>
                </c:pt>
                <c:pt idx="7">
                  <c:v>485067.93012454931</c:v>
                </c:pt>
                <c:pt idx="8">
                  <c:v>543116.96835998015</c:v>
                </c:pt>
                <c:pt idx="9">
                  <c:v>688212.2751736166</c:v>
                </c:pt>
                <c:pt idx="10">
                  <c:v>745163.71186735749</c:v>
                </c:pt>
                <c:pt idx="11">
                  <c:v>855771.16934020713</c:v>
                </c:pt>
                <c:pt idx="12">
                  <c:v>972222.00124800857</c:v>
                </c:pt>
                <c:pt idx="13">
                  <c:v>1094762.6085180258</c:v>
                </c:pt>
                <c:pt idx="14">
                  <c:v>1223648.7608708572</c:v>
                </c:pt>
                <c:pt idx="15">
                  <c:v>1359145.9322852024</c:v>
                </c:pt>
                <c:pt idx="16">
                  <c:v>1501529.6480111426</c:v>
                </c:pt>
                <c:pt idx="17">
                  <c:v>1541855.4011356728</c:v>
                </c:pt>
                <c:pt idx="18">
                  <c:v>1591415.1978627439</c:v>
                </c:pt>
                <c:pt idx="19">
                  <c:v>1642757.5777099284</c:v>
                </c:pt>
                <c:pt idx="20">
                  <c:v>1695948.7425475621</c:v>
                </c:pt>
                <c:pt idx="21">
                  <c:v>1751057.3316526653</c:v>
                </c:pt>
                <c:pt idx="22">
                  <c:v>1787237.4169653396</c:v>
                </c:pt>
                <c:pt idx="23">
                  <c:v>1824434.0167242812</c:v>
                </c:pt>
                <c:pt idx="24">
                  <c:v>1862684.4017288706</c:v>
                </c:pt>
                <c:pt idx="25">
                  <c:v>1902027.3427258399</c:v>
                </c:pt>
                <c:pt idx="26">
                  <c:v>1942503.1702642585</c:v>
                </c:pt>
                <c:pt idx="27">
                  <c:v>1984153.8368503558</c:v>
                </c:pt>
                <c:pt idx="28">
                  <c:v>2037130.2375195618</c:v>
                </c:pt>
                <c:pt idx="29">
                  <c:v>2091875.8715530399</c:v>
                </c:pt>
                <c:pt idx="30">
                  <c:v>2148456.905652951</c:v>
                </c:pt>
                <c:pt idx="31">
                  <c:v>2206942.0335442415</c:v>
                </c:pt>
                <c:pt idx="32">
                  <c:v>2267402.5707053514</c:v>
                </c:pt>
                <c:pt idx="33">
                  <c:v>2329912.5525480784</c:v>
                </c:pt>
                <c:pt idx="34">
                  <c:v>2394548.8361686133</c:v>
                </c:pt>
                <c:pt idx="35">
                  <c:v>2461391.2057959661</c:v>
                </c:pt>
                <c:pt idx="36">
                  <c:v>2530522.4820683482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00-C94B-93B6-9E84AE83035F}"/>
            </c:ext>
          </c:extLst>
        </c:ser>
        <c:ser>
          <c:idx val="0"/>
          <c:order val="2"/>
          <c:tx>
            <c:v>Cash buffer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RetNorm_Engine!$C$384:$AM$384</c:f>
              <c:numCache>
                <c:formatCode>#,##0\ ;\(#,##0\);\ \ \ \-\ </c:formatCode>
                <c:ptCount val="37"/>
                <c:pt idx="0">
                  <c:v>50000</c:v>
                </c:pt>
                <c:pt idx="1">
                  <c:v>50000</c:v>
                </c:pt>
                <c:pt idx="2">
                  <c:v>50000</c:v>
                </c:pt>
                <c:pt idx="3">
                  <c:v>50000</c:v>
                </c:pt>
                <c:pt idx="4">
                  <c:v>50000</c:v>
                </c:pt>
                <c:pt idx="5">
                  <c:v>50000</c:v>
                </c:pt>
                <c:pt idx="6">
                  <c:v>50000</c:v>
                </c:pt>
                <c:pt idx="7">
                  <c:v>50000</c:v>
                </c:pt>
                <c:pt idx="8">
                  <c:v>50000</c:v>
                </c:pt>
                <c:pt idx="9">
                  <c:v>50000</c:v>
                </c:pt>
                <c:pt idx="10">
                  <c:v>50000</c:v>
                </c:pt>
                <c:pt idx="11">
                  <c:v>50000</c:v>
                </c:pt>
                <c:pt idx="12">
                  <c:v>50000</c:v>
                </c:pt>
                <c:pt idx="13">
                  <c:v>50000</c:v>
                </c:pt>
                <c:pt idx="14">
                  <c:v>50000</c:v>
                </c:pt>
                <c:pt idx="15">
                  <c:v>50000</c:v>
                </c:pt>
                <c:pt idx="16">
                  <c:v>50000</c:v>
                </c:pt>
                <c:pt idx="17">
                  <c:v>50000</c:v>
                </c:pt>
                <c:pt idx="18">
                  <c:v>50000</c:v>
                </c:pt>
                <c:pt idx="19">
                  <c:v>50000</c:v>
                </c:pt>
                <c:pt idx="20">
                  <c:v>50000</c:v>
                </c:pt>
                <c:pt idx="21">
                  <c:v>50000</c:v>
                </c:pt>
                <c:pt idx="22">
                  <c:v>50000</c:v>
                </c:pt>
                <c:pt idx="23">
                  <c:v>50000</c:v>
                </c:pt>
                <c:pt idx="24">
                  <c:v>50000</c:v>
                </c:pt>
                <c:pt idx="25">
                  <c:v>50000</c:v>
                </c:pt>
                <c:pt idx="26">
                  <c:v>50000</c:v>
                </c:pt>
                <c:pt idx="27">
                  <c:v>50000</c:v>
                </c:pt>
                <c:pt idx="28">
                  <c:v>50000</c:v>
                </c:pt>
                <c:pt idx="29">
                  <c:v>50000</c:v>
                </c:pt>
                <c:pt idx="30">
                  <c:v>50000</c:v>
                </c:pt>
                <c:pt idx="31">
                  <c:v>50000</c:v>
                </c:pt>
                <c:pt idx="32">
                  <c:v>50000</c:v>
                </c:pt>
                <c:pt idx="33">
                  <c:v>50000</c:v>
                </c:pt>
                <c:pt idx="34">
                  <c:v>50000</c:v>
                </c:pt>
                <c:pt idx="35">
                  <c:v>50000</c:v>
                </c:pt>
                <c:pt idx="36">
                  <c:v>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3A-B048-8129-2D665B678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3642623"/>
        <c:axId val="1403644863"/>
      </c:lineChart>
      <c:catAx>
        <c:axId val="140364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T"/>
          </a:p>
        </c:txPr>
        <c:crossAx val="1403644863"/>
        <c:crosses val="autoZero"/>
        <c:auto val="1"/>
        <c:lblAlgn val="ctr"/>
        <c:lblOffset val="100"/>
        <c:tickLblSkip val="2"/>
        <c:noMultiLvlLbl val="0"/>
      </c:catAx>
      <c:valAx>
        <c:axId val="140364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;\(#,##0\);\ \ \ \-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T"/>
          </a:p>
        </c:txPr>
        <c:crossAx val="140364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T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/>
              <a:t>Net Worth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T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Output!$AA$2</c:f>
              <c:strCache>
                <c:ptCount val="1"/>
                <c:pt idx="0">
                  <c:v>Retire at  49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[0]!AgeRange</c:f>
              <c:numCache>
                <c:formatCode>General</c:formatCode>
                <c:ptCount val="37"/>
                <c:pt idx="0">
                  <c:v>48</c:v>
                </c:pt>
                <c:pt idx="1">
                  <c:v>49</c:v>
                </c:pt>
                <c:pt idx="2">
                  <c:v>50</c:v>
                </c:pt>
                <c:pt idx="3">
                  <c:v>51</c:v>
                </c:pt>
                <c:pt idx="4">
                  <c:v>52</c:v>
                </c:pt>
                <c:pt idx="5">
                  <c:v>53</c:v>
                </c:pt>
                <c:pt idx="6">
                  <c:v>54</c:v>
                </c:pt>
                <c:pt idx="7">
                  <c:v>55</c:v>
                </c:pt>
                <c:pt idx="8">
                  <c:v>56</c:v>
                </c:pt>
                <c:pt idx="9">
                  <c:v>57</c:v>
                </c:pt>
                <c:pt idx="10">
                  <c:v>58</c:v>
                </c:pt>
                <c:pt idx="11">
                  <c:v>59</c:v>
                </c:pt>
                <c:pt idx="12">
                  <c:v>60</c:v>
                </c:pt>
                <c:pt idx="13">
                  <c:v>61</c:v>
                </c:pt>
                <c:pt idx="14">
                  <c:v>62</c:v>
                </c:pt>
                <c:pt idx="15">
                  <c:v>63</c:v>
                </c:pt>
                <c:pt idx="16">
                  <c:v>64</c:v>
                </c:pt>
                <c:pt idx="17">
                  <c:v>65</c:v>
                </c:pt>
                <c:pt idx="18">
                  <c:v>66</c:v>
                </c:pt>
                <c:pt idx="19">
                  <c:v>67</c:v>
                </c:pt>
                <c:pt idx="20">
                  <c:v>68</c:v>
                </c:pt>
                <c:pt idx="21">
                  <c:v>69</c:v>
                </c:pt>
                <c:pt idx="22">
                  <c:v>70</c:v>
                </c:pt>
                <c:pt idx="23">
                  <c:v>71</c:v>
                </c:pt>
                <c:pt idx="24">
                  <c:v>72</c:v>
                </c:pt>
                <c:pt idx="25">
                  <c:v>73</c:v>
                </c:pt>
                <c:pt idx="26">
                  <c:v>74</c:v>
                </c:pt>
                <c:pt idx="27">
                  <c:v>75</c:v>
                </c:pt>
                <c:pt idx="28">
                  <c:v>76</c:v>
                </c:pt>
                <c:pt idx="29">
                  <c:v>77</c:v>
                </c:pt>
                <c:pt idx="30">
                  <c:v>78</c:v>
                </c:pt>
                <c:pt idx="31">
                  <c:v>79</c:v>
                </c:pt>
                <c:pt idx="32">
                  <c:v>80</c:v>
                </c:pt>
                <c:pt idx="33">
                  <c:v>81</c:v>
                </c:pt>
                <c:pt idx="34">
                  <c:v>82</c:v>
                </c:pt>
                <c:pt idx="35">
                  <c:v>83</c:v>
                </c:pt>
                <c:pt idx="36">
                  <c:v>84</c:v>
                </c:pt>
              </c:numCache>
            </c:numRef>
          </c:cat>
          <c:val>
            <c:numRef>
              <c:f>RetEarly_Engine!ChartNW_Early</c:f>
              <c:numCache>
                <c:formatCode>#,##0\ ;\(#,##0\);\ \ \ \-\ </c:formatCode>
                <c:ptCount val="37"/>
                <c:pt idx="0">
                  <c:v>1680366.7130431491</c:v>
                </c:pt>
                <c:pt idx="1">
                  <c:v>1667190.9367397714</c:v>
                </c:pt>
                <c:pt idx="2">
                  <c:v>1645166.3681036141</c:v>
                </c:pt>
                <c:pt idx="3">
                  <c:v>1611443.9333055357</c:v>
                </c:pt>
                <c:pt idx="4">
                  <c:v>1522956.5229314421</c:v>
                </c:pt>
                <c:pt idx="5">
                  <c:v>1515390.0430859807</c:v>
                </c:pt>
                <c:pt idx="6">
                  <c:v>1519848.6980156095</c:v>
                </c:pt>
                <c:pt idx="7">
                  <c:v>1495829.034361904</c:v>
                </c:pt>
                <c:pt idx="8">
                  <c:v>1469706.9770001234</c:v>
                </c:pt>
                <c:pt idx="9">
                  <c:v>1525389.7433406441</c:v>
                </c:pt>
                <c:pt idx="10">
                  <c:v>1481766.4663496837</c:v>
                </c:pt>
                <c:pt idx="11">
                  <c:v>1486855.6983735827</c:v>
                </c:pt>
                <c:pt idx="12">
                  <c:v>1458308.4740864928</c:v>
                </c:pt>
                <c:pt idx="13">
                  <c:v>1453011.2694529414</c:v>
                </c:pt>
                <c:pt idx="14">
                  <c:v>1447469.4579228421</c:v>
                </c:pt>
                <c:pt idx="15">
                  <c:v>1441293.6371545389</c:v>
                </c:pt>
                <c:pt idx="16">
                  <c:v>1434462.8125196141</c:v>
                </c:pt>
                <c:pt idx="17">
                  <c:v>1444424.8215462533</c:v>
                </c:pt>
                <c:pt idx="18">
                  <c:v>1466494.7570549902</c:v>
                </c:pt>
                <c:pt idx="19">
                  <c:v>1490397.0625667293</c:v>
                </c:pt>
                <c:pt idx="20">
                  <c:v>1514795.7922730122</c:v>
                </c:pt>
                <c:pt idx="21">
                  <c:v>1475547.6031012663</c:v>
                </c:pt>
                <c:pt idx="22">
                  <c:v>1466484.2540396494</c:v>
                </c:pt>
                <c:pt idx="23">
                  <c:v>1456135.7851296291</c:v>
                </c:pt>
                <c:pt idx="24">
                  <c:v>1444281.1594640552</c:v>
                </c:pt>
                <c:pt idx="25">
                  <c:v>1430892.5230229276</c:v>
                </c:pt>
                <c:pt idx="26">
                  <c:v>1415941.6194327115</c:v>
                </c:pt>
                <c:pt idx="27">
                  <c:v>1399399.7887274097</c:v>
                </c:pt>
                <c:pt idx="28">
                  <c:v>1391470.0033143885</c:v>
                </c:pt>
                <c:pt idx="29">
                  <c:v>1270990.9867441319</c:v>
                </c:pt>
                <c:pt idx="30">
                  <c:v>1243280.0391828059</c:v>
                </c:pt>
                <c:pt idx="31">
                  <c:v>1213257.4058982949</c:v>
                </c:pt>
                <c:pt idx="32">
                  <c:v>1180658.439303909</c:v>
                </c:pt>
                <c:pt idx="33">
                  <c:v>1145421.5229496937</c:v>
                </c:pt>
                <c:pt idx="34">
                  <c:v>1107483.5837309314</c:v>
                </c:pt>
                <c:pt idx="35">
                  <c:v>1066780.0579844634</c:v>
                </c:pt>
                <c:pt idx="36">
                  <c:v>1023244.856812807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00-C94B-93B6-9E84AE83035F}"/>
            </c:ext>
          </c:extLst>
        </c:ser>
        <c:ser>
          <c:idx val="2"/>
          <c:order val="1"/>
          <c:tx>
            <c:strRef>
              <c:f>Output!$AA$3</c:f>
              <c:strCache>
                <c:ptCount val="1"/>
                <c:pt idx="0">
                  <c:v>Retire at  65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[0]!AgeRange</c:f>
              <c:numCache>
                <c:formatCode>General</c:formatCode>
                <c:ptCount val="37"/>
                <c:pt idx="0">
                  <c:v>48</c:v>
                </c:pt>
                <c:pt idx="1">
                  <c:v>49</c:v>
                </c:pt>
                <c:pt idx="2">
                  <c:v>50</c:v>
                </c:pt>
                <c:pt idx="3">
                  <c:v>51</c:v>
                </c:pt>
                <c:pt idx="4">
                  <c:v>52</c:v>
                </c:pt>
                <c:pt idx="5">
                  <c:v>53</c:v>
                </c:pt>
                <c:pt idx="6">
                  <c:v>54</c:v>
                </c:pt>
                <c:pt idx="7">
                  <c:v>55</c:v>
                </c:pt>
                <c:pt idx="8">
                  <c:v>56</c:v>
                </c:pt>
                <c:pt idx="9">
                  <c:v>57</c:v>
                </c:pt>
                <c:pt idx="10">
                  <c:v>58</c:v>
                </c:pt>
                <c:pt idx="11">
                  <c:v>59</c:v>
                </c:pt>
                <c:pt idx="12">
                  <c:v>60</c:v>
                </c:pt>
                <c:pt idx="13">
                  <c:v>61</c:v>
                </c:pt>
                <c:pt idx="14">
                  <c:v>62</c:v>
                </c:pt>
                <c:pt idx="15">
                  <c:v>63</c:v>
                </c:pt>
                <c:pt idx="16">
                  <c:v>64</c:v>
                </c:pt>
                <c:pt idx="17">
                  <c:v>65</c:v>
                </c:pt>
                <c:pt idx="18">
                  <c:v>66</c:v>
                </c:pt>
                <c:pt idx="19">
                  <c:v>67</c:v>
                </c:pt>
                <c:pt idx="20">
                  <c:v>68</c:v>
                </c:pt>
                <c:pt idx="21">
                  <c:v>69</c:v>
                </c:pt>
                <c:pt idx="22">
                  <c:v>70</c:v>
                </c:pt>
                <c:pt idx="23">
                  <c:v>71</c:v>
                </c:pt>
                <c:pt idx="24">
                  <c:v>72</c:v>
                </c:pt>
                <c:pt idx="25">
                  <c:v>73</c:v>
                </c:pt>
                <c:pt idx="26">
                  <c:v>74</c:v>
                </c:pt>
                <c:pt idx="27">
                  <c:v>75</c:v>
                </c:pt>
                <c:pt idx="28">
                  <c:v>76</c:v>
                </c:pt>
                <c:pt idx="29">
                  <c:v>77</c:v>
                </c:pt>
                <c:pt idx="30">
                  <c:v>78</c:v>
                </c:pt>
                <c:pt idx="31">
                  <c:v>79</c:v>
                </c:pt>
                <c:pt idx="32">
                  <c:v>80</c:v>
                </c:pt>
                <c:pt idx="33">
                  <c:v>81</c:v>
                </c:pt>
                <c:pt idx="34">
                  <c:v>82</c:v>
                </c:pt>
                <c:pt idx="35">
                  <c:v>83</c:v>
                </c:pt>
                <c:pt idx="36">
                  <c:v>84</c:v>
                </c:pt>
              </c:numCache>
            </c:numRef>
          </c:cat>
          <c:val>
            <c:numRef>
              <c:f>[0]!ChartNW_Norm</c:f>
              <c:numCache>
                <c:formatCode>#,##0\ ;\(#,##0\);\ \ \ \-\ </c:formatCode>
                <c:ptCount val="37"/>
                <c:pt idx="0">
                  <c:v>1680400.325439143</c:v>
                </c:pt>
                <c:pt idx="1">
                  <c:v>1747961.4855591119</c:v>
                </c:pt>
                <c:pt idx="2">
                  <c:v>1834109.2861859414</c:v>
                </c:pt>
                <c:pt idx="3">
                  <c:v>1900859.5801157367</c:v>
                </c:pt>
                <c:pt idx="4">
                  <c:v>1915703.0016828571</c:v>
                </c:pt>
                <c:pt idx="5">
                  <c:v>2018641.5527046167</c:v>
                </c:pt>
                <c:pt idx="6">
                  <c:v>2125722.2480282397</c:v>
                </c:pt>
                <c:pt idx="7">
                  <c:v>2243536.3984099082</c:v>
                </c:pt>
                <c:pt idx="8">
                  <c:v>2349154.2220906215</c:v>
                </c:pt>
                <c:pt idx="9">
                  <c:v>2542568.8210759074</c:v>
                </c:pt>
                <c:pt idx="10">
                  <c:v>2644877.902821287</c:v>
                </c:pt>
                <c:pt idx="11">
                  <c:v>2795947.1735664173</c:v>
                </c:pt>
                <c:pt idx="12">
                  <c:v>2959232.1440829551</c:v>
                </c:pt>
                <c:pt idx="13">
                  <c:v>3130458.2153807851</c:v>
                </c:pt>
                <c:pt idx="14">
                  <c:v>3309911.8905340084</c:v>
                </c:pt>
                <c:pt idx="15">
                  <c:v>3500132.0156832649</c:v>
                </c:pt>
                <c:pt idx="16">
                  <c:v>3699430.9356326722</c:v>
                </c:pt>
                <c:pt idx="17">
                  <c:v>3798922.392725619</c:v>
                </c:pt>
                <c:pt idx="18">
                  <c:v>3909960.5150928115</c:v>
                </c:pt>
                <c:pt idx="19">
                  <c:v>4009864.8846653295</c:v>
                </c:pt>
                <c:pt idx="20">
                  <c:v>4129311.5744270044</c:v>
                </c:pt>
                <c:pt idx="21">
                  <c:v>4253317.8124754196</c:v>
                </c:pt>
                <c:pt idx="22">
                  <c:v>4359708.7841870077</c:v>
                </c:pt>
                <c:pt idx="23">
                  <c:v>4469705.6778883049</c:v>
                </c:pt>
                <c:pt idx="24">
                  <c:v>4558725.209995239</c:v>
                </c:pt>
                <c:pt idx="25">
                  <c:v>4673147.5974380272</c:v>
                </c:pt>
                <c:pt idx="26">
                  <c:v>4791232.4685061928</c:v>
                </c:pt>
                <c:pt idx="27">
                  <c:v>4913088.5505327629</c:v>
                </c:pt>
                <c:pt idx="28">
                  <c:v>5048936.3489043377</c:v>
                </c:pt>
                <c:pt idx="29">
                  <c:v>5189291.8756136885</c:v>
                </c:pt>
                <c:pt idx="30">
                  <c:v>5334296.7835474089</c:v>
                </c:pt>
                <c:pt idx="31">
                  <c:v>5485726.0678639691</c:v>
                </c:pt>
                <c:pt idx="32">
                  <c:v>5642326.7692680834</c:v>
                </c:pt>
                <c:pt idx="33">
                  <c:v>5804280.702188151</c:v>
                </c:pt>
                <c:pt idx="34">
                  <c:v>5971777.9276523953</c:v>
                </c:pt>
                <c:pt idx="35">
                  <c:v>6145017.1389031913</c:v>
                </c:pt>
                <c:pt idx="36">
                  <c:v>6324206.0716146193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00-C94B-93B6-9E84AE83035F}"/>
            </c:ext>
          </c:extLst>
        </c:ser>
        <c:ser>
          <c:idx val="0"/>
          <c:order val="2"/>
          <c:tx>
            <c:v>Legacy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RetNorm_Engine!$C$385:$AM$385</c:f>
              <c:numCache>
                <c:formatCode>#,##0\ ;\(#,##0\);\ \ \ \-\ </c:formatCode>
                <c:ptCount val="37"/>
                <c:pt idx="0">
                  <c:v>1000000</c:v>
                </c:pt>
                <c:pt idx="1">
                  <c:v>1000000</c:v>
                </c:pt>
                <c:pt idx="2">
                  <c:v>1000000</c:v>
                </c:pt>
                <c:pt idx="3">
                  <c:v>1000000</c:v>
                </c:pt>
                <c:pt idx="4">
                  <c:v>1000000</c:v>
                </c:pt>
                <c:pt idx="5">
                  <c:v>1000000</c:v>
                </c:pt>
                <c:pt idx="6">
                  <c:v>1000000</c:v>
                </c:pt>
                <c:pt idx="7">
                  <c:v>1000000</c:v>
                </c:pt>
                <c:pt idx="8">
                  <c:v>1000000</c:v>
                </c:pt>
                <c:pt idx="9">
                  <c:v>1000000</c:v>
                </c:pt>
                <c:pt idx="10">
                  <c:v>1000000</c:v>
                </c:pt>
                <c:pt idx="11">
                  <c:v>1000000</c:v>
                </c:pt>
                <c:pt idx="12">
                  <c:v>1000000</c:v>
                </c:pt>
                <c:pt idx="13">
                  <c:v>1000000</c:v>
                </c:pt>
                <c:pt idx="14">
                  <c:v>1000000</c:v>
                </c:pt>
                <c:pt idx="15">
                  <c:v>1000000</c:v>
                </c:pt>
                <c:pt idx="16">
                  <c:v>1000000</c:v>
                </c:pt>
                <c:pt idx="17">
                  <c:v>1000000</c:v>
                </c:pt>
                <c:pt idx="18">
                  <c:v>1000000</c:v>
                </c:pt>
                <c:pt idx="19">
                  <c:v>1000000</c:v>
                </c:pt>
                <c:pt idx="20">
                  <c:v>1000000</c:v>
                </c:pt>
                <c:pt idx="21">
                  <c:v>1000000</c:v>
                </c:pt>
                <c:pt idx="22">
                  <c:v>1000000</c:v>
                </c:pt>
                <c:pt idx="23">
                  <c:v>1000000</c:v>
                </c:pt>
                <c:pt idx="24">
                  <c:v>1000000</c:v>
                </c:pt>
                <c:pt idx="25">
                  <c:v>1000000</c:v>
                </c:pt>
                <c:pt idx="26">
                  <c:v>1000000</c:v>
                </c:pt>
                <c:pt idx="27">
                  <c:v>1000000</c:v>
                </c:pt>
                <c:pt idx="28">
                  <c:v>1000000</c:v>
                </c:pt>
                <c:pt idx="29">
                  <c:v>1000000</c:v>
                </c:pt>
                <c:pt idx="30">
                  <c:v>1000000</c:v>
                </c:pt>
                <c:pt idx="31">
                  <c:v>1000000</c:v>
                </c:pt>
                <c:pt idx="32">
                  <c:v>1000000</c:v>
                </c:pt>
                <c:pt idx="33">
                  <c:v>1000000</c:v>
                </c:pt>
                <c:pt idx="34">
                  <c:v>1000000</c:v>
                </c:pt>
                <c:pt idx="35">
                  <c:v>1000000</c:v>
                </c:pt>
                <c:pt idx="36">
                  <c:v>1000000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CF-FE42-A63A-4A3B336B1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3642623"/>
        <c:axId val="1403644863"/>
      </c:lineChart>
      <c:catAx>
        <c:axId val="140364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T"/>
          </a:p>
        </c:txPr>
        <c:crossAx val="1403644863"/>
        <c:crosses val="autoZero"/>
        <c:auto val="1"/>
        <c:lblAlgn val="ctr"/>
        <c:lblOffset val="100"/>
        <c:tickLblSkip val="2"/>
        <c:noMultiLvlLbl val="0"/>
      </c:catAx>
      <c:valAx>
        <c:axId val="140364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;\(#,##0\);\ \ \ \-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T"/>
          </a:p>
        </c:txPr>
        <c:crossAx val="140364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T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15" fmlaLink="RetEarly_Engine!$B$3" max="65" min="18" page="10" val="49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297479</xdr:colOff>
      <xdr:row>1</xdr:row>
      <xdr:rowOff>128162</xdr:rowOff>
    </xdr:from>
    <xdr:to>
      <xdr:col>10</xdr:col>
      <xdr:colOff>297478</xdr:colOff>
      <xdr:row>30</xdr:row>
      <xdr:rowOff>160180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4EF6F3C-5549-FFD1-5465-CCE02109B7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423336</xdr:colOff>
      <xdr:row>1</xdr:row>
      <xdr:rowOff>128162</xdr:rowOff>
    </xdr:from>
    <xdr:to>
      <xdr:col>20</xdr:col>
      <xdr:colOff>423336</xdr:colOff>
      <xdr:row>30</xdr:row>
      <xdr:rowOff>160180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22D580-9C83-6C91-B509-F2CDB56D14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38100</xdr:colOff>
          <xdr:row>4</xdr:row>
          <xdr:rowOff>63500</xdr:rowOff>
        </xdr:from>
        <xdr:to>
          <xdr:col>21</xdr:col>
          <xdr:colOff>660400</xdr:colOff>
          <xdr:row>9</xdr:row>
          <xdr:rowOff>63500</xdr:rowOff>
        </xdr:to>
        <xdr:sp macro="" textlink="">
          <xdr:nvSpPr>
            <xdr:cNvPr id="2049" name="Spinner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6C09A-970C-8B4A-8DAA-2452C038377E}">
  <sheetPr codeName="Sheet1">
    <tabColor rgb="FFFFFF00"/>
  </sheetPr>
  <dimension ref="A1:M319"/>
  <sheetViews>
    <sheetView tabSelected="1" zoomScale="130" zoomScaleNormal="130" workbookViewId="0">
      <pane ySplit="1" topLeftCell="A208" activePane="bottomLeft" state="frozen"/>
      <selection pane="bottomLeft" activeCell="B267" sqref="B267"/>
    </sheetView>
  </sheetViews>
  <sheetFormatPr baseColWidth="10" defaultRowHeight="16" x14ac:dyDescent="0.2"/>
  <cols>
    <col min="1" max="1" width="37.83203125" style="22" customWidth="1"/>
    <col min="2" max="2" width="11.6640625" style="19" customWidth="1"/>
    <col min="3" max="3" width="10.83203125" style="21"/>
    <col min="4" max="4" width="54.83203125" style="61" bestFit="1" customWidth="1"/>
    <col min="5" max="5" width="43.83203125" style="59" bestFit="1" customWidth="1"/>
    <col min="6" max="6" width="16.1640625" style="69" customWidth="1"/>
    <col min="7" max="7" width="12.1640625" style="68" customWidth="1"/>
    <col min="8" max="11" width="10.83203125" style="21"/>
    <col min="12" max="12" width="10.83203125" style="2"/>
    <col min="13" max="16384" width="10.83203125" style="21"/>
  </cols>
  <sheetData>
    <row r="1" spans="1:12" x14ac:dyDescent="0.2">
      <c r="A1" s="51"/>
      <c r="B1" s="58" t="s">
        <v>151</v>
      </c>
      <c r="C1" s="45"/>
      <c r="D1" s="58" t="s">
        <v>135</v>
      </c>
      <c r="E1" s="65" t="s">
        <v>136</v>
      </c>
      <c r="F1" s="67" t="s">
        <v>137</v>
      </c>
      <c r="G1" s="67"/>
    </row>
    <row r="2" spans="1:12" ht="19" x14ac:dyDescent="0.25">
      <c r="A2" s="83" t="s">
        <v>74</v>
      </c>
      <c r="B2" s="84"/>
      <c r="D2" s="59"/>
      <c r="F2" s="68"/>
      <c r="L2" s="21"/>
    </row>
    <row r="3" spans="1:12" x14ac:dyDescent="0.2">
      <c r="D3" s="60"/>
      <c r="L3" s="21"/>
    </row>
    <row r="4" spans="1:12" x14ac:dyDescent="0.2">
      <c r="A4" s="18" t="s">
        <v>75</v>
      </c>
      <c r="B4" s="35">
        <v>48</v>
      </c>
      <c r="D4" s="60" t="s">
        <v>77</v>
      </c>
      <c r="L4" s="21"/>
    </row>
    <row r="5" spans="1:12" x14ac:dyDescent="0.2">
      <c r="A5" s="18"/>
      <c r="D5" s="60"/>
      <c r="L5" s="21"/>
    </row>
    <row r="6" spans="1:12" x14ac:dyDescent="0.2">
      <c r="A6" s="18" t="s">
        <v>76</v>
      </c>
      <c r="B6" s="35">
        <v>80000</v>
      </c>
      <c r="D6" s="60" t="s">
        <v>78</v>
      </c>
      <c r="L6" s="21"/>
    </row>
    <row r="7" spans="1:12" x14ac:dyDescent="0.2">
      <c r="A7" s="18"/>
      <c r="D7" s="60"/>
      <c r="L7" s="21"/>
    </row>
    <row r="8" spans="1:12" x14ac:dyDescent="0.2">
      <c r="A8" s="18" t="s">
        <v>79</v>
      </c>
      <c r="B8" s="35">
        <v>50000</v>
      </c>
      <c r="D8" s="60" t="s">
        <v>80</v>
      </c>
      <c r="L8" s="21"/>
    </row>
    <row r="9" spans="1:12" x14ac:dyDescent="0.2">
      <c r="A9" s="18"/>
      <c r="D9" s="60"/>
      <c r="L9" s="21"/>
    </row>
    <row r="10" spans="1:12" x14ac:dyDescent="0.2">
      <c r="A10" s="18" t="s">
        <v>0</v>
      </c>
      <c r="B10" s="35">
        <v>30000</v>
      </c>
      <c r="D10" s="60" t="s">
        <v>81</v>
      </c>
      <c r="L10" s="21"/>
    </row>
    <row r="11" spans="1:12" x14ac:dyDescent="0.2">
      <c r="A11" s="18"/>
      <c r="D11" s="60"/>
      <c r="L11" s="21"/>
    </row>
    <row r="12" spans="1:12" x14ac:dyDescent="0.2">
      <c r="A12" s="18" t="s">
        <v>29</v>
      </c>
      <c r="B12" s="35">
        <v>500000</v>
      </c>
      <c r="D12" s="60" t="s">
        <v>133</v>
      </c>
      <c r="L12" s="21"/>
    </row>
    <row r="13" spans="1:12" x14ac:dyDescent="0.2">
      <c r="A13" s="18"/>
      <c r="D13" s="60"/>
      <c r="L13" s="21"/>
    </row>
    <row r="14" spans="1:12" x14ac:dyDescent="0.2">
      <c r="A14" s="18" t="s">
        <v>32</v>
      </c>
      <c r="E14" s="66"/>
      <c r="L14" s="21"/>
    </row>
    <row r="15" spans="1:12" x14ac:dyDescent="0.2">
      <c r="A15" s="22" t="s">
        <v>37</v>
      </c>
      <c r="B15" s="35">
        <v>50000</v>
      </c>
      <c r="D15" s="60" t="s">
        <v>134</v>
      </c>
      <c r="F15" s="70" t="s">
        <v>84</v>
      </c>
      <c r="G15" s="71">
        <f>IFERROR(NPER(B16/12,-B17,B15),"")</f>
        <v>215.86798639264987</v>
      </c>
      <c r="L15" s="21"/>
    </row>
    <row r="16" spans="1:12" x14ac:dyDescent="0.2">
      <c r="A16" s="22" t="s">
        <v>82</v>
      </c>
      <c r="B16" s="36">
        <v>0.03</v>
      </c>
      <c r="D16" s="60"/>
      <c r="F16" s="70" t="s">
        <v>85</v>
      </c>
      <c r="G16" s="71">
        <f>IFERROR(G15/12,"")</f>
        <v>17.988998866054157</v>
      </c>
      <c r="L16" s="21"/>
    </row>
    <row r="17" spans="1:12" x14ac:dyDescent="0.2">
      <c r="A17" s="22" t="s">
        <v>83</v>
      </c>
      <c r="B17" s="35">
        <v>300</v>
      </c>
      <c r="D17" s="60"/>
      <c r="L17" s="21"/>
    </row>
    <row r="18" spans="1:12" x14ac:dyDescent="0.2">
      <c r="A18" s="18"/>
      <c r="D18" s="60"/>
      <c r="L18" s="21"/>
    </row>
    <row r="19" spans="1:12" x14ac:dyDescent="0.2">
      <c r="A19" s="18" t="s">
        <v>88</v>
      </c>
      <c r="B19" s="35">
        <v>65</v>
      </c>
      <c r="D19" s="60" t="s">
        <v>89</v>
      </c>
      <c r="L19" s="21"/>
    </row>
    <row r="20" spans="1:12" x14ac:dyDescent="0.2">
      <c r="A20" s="18"/>
      <c r="B20" s="37"/>
      <c r="D20" s="60"/>
      <c r="L20" s="21"/>
    </row>
    <row r="21" spans="1:12" x14ac:dyDescent="0.2">
      <c r="A21" s="18" t="s">
        <v>86</v>
      </c>
      <c r="B21" s="35">
        <v>16000</v>
      </c>
      <c r="D21" s="60" t="s">
        <v>87</v>
      </c>
      <c r="L21" s="21"/>
    </row>
    <row r="22" spans="1:12" x14ac:dyDescent="0.2">
      <c r="A22" s="18"/>
      <c r="D22" s="60"/>
      <c r="L22" s="21"/>
    </row>
    <row r="23" spans="1:12" x14ac:dyDescent="0.2">
      <c r="A23" s="18" t="s">
        <v>225</v>
      </c>
      <c r="B23" s="35"/>
      <c r="D23" s="60" t="s">
        <v>48</v>
      </c>
      <c r="E23" s="59" t="s">
        <v>145</v>
      </c>
      <c r="L23" s="21"/>
    </row>
    <row r="24" spans="1:12" x14ac:dyDescent="0.2">
      <c r="A24" s="18"/>
      <c r="D24" s="60"/>
      <c r="L24" s="21"/>
    </row>
    <row r="25" spans="1:12" x14ac:dyDescent="0.2">
      <c r="A25" s="18" t="s">
        <v>97</v>
      </c>
      <c r="B25" s="35">
        <v>50000</v>
      </c>
      <c r="D25" s="60"/>
      <c r="L25" s="21"/>
    </row>
    <row r="26" spans="1:12" x14ac:dyDescent="0.2">
      <c r="D26" s="60"/>
      <c r="L26" s="21"/>
    </row>
    <row r="27" spans="1:12" x14ac:dyDescent="0.2">
      <c r="D27" s="60"/>
      <c r="L27" s="21"/>
    </row>
    <row r="28" spans="1:12" ht="19" x14ac:dyDescent="0.25">
      <c r="A28" s="85" t="s">
        <v>90</v>
      </c>
      <c r="B28" s="86"/>
      <c r="D28" s="60"/>
      <c r="E28" s="59" t="s">
        <v>139</v>
      </c>
      <c r="L28" s="21"/>
    </row>
    <row r="29" spans="1:12" x14ac:dyDescent="0.2">
      <c r="D29" s="60"/>
      <c r="L29" s="21"/>
    </row>
    <row r="30" spans="1:12" x14ac:dyDescent="0.2">
      <c r="A30" s="78" t="s">
        <v>31</v>
      </c>
      <c r="B30" s="79"/>
      <c r="D30" s="60"/>
      <c r="L30" s="21"/>
    </row>
    <row r="31" spans="1:12" x14ac:dyDescent="0.2">
      <c r="D31" s="60"/>
      <c r="L31" s="21"/>
    </row>
    <row r="32" spans="1:12" x14ac:dyDescent="0.2">
      <c r="A32" s="22" t="s">
        <v>39</v>
      </c>
      <c r="L32" s="21"/>
    </row>
    <row r="33" spans="1:12" x14ac:dyDescent="0.2">
      <c r="A33" s="53" t="s">
        <v>28</v>
      </c>
      <c r="B33" s="38" t="s">
        <v>154</v>
      </c>
      <c r="D33" s="60" t="s">
        <v>93</v>
      </c>
      <c r="L33" s="21"/>
    </row>
    <row r="34" spans="1:12" x14ac:dyDescent="0.2">
      <c r="A34" s="53" t="s">
        <v>120</v>
      </c>
      <c r="B34" s="35">
        <v>2000</v>
      </c>
      <c r="D34" s="60" t="s">
        <v>119</v>
      </c>
      <c r="E34" s="59" t="s">
        <v>141</v>
      </c>
      <c r="L34" s="21"/>
    </row>
    <row r="35" spans="1:12" x14ac:dyDescent="0.2">
      <c r="A35" s="53" t="s">
        <v>94</v>
      </c>
      <c r="B35" s="35">
        <v>3</v>
      </c>
      <c r="D35" s="60" t="s">
        <v>92</v>
      </c>
      <c r="E35" s="59" t="s">
        <v>141</v>
      </c>
      <c r="L35" s="21"/>
    </row>
    <row r="36" spans="1:12" x14ac:dyDescent="0.2">
      <c r="L36" s="21"/>
    </row>
    <row r="37" spans="1:12" x14ac:dyDescent="0.2">
      <c r="A37" s="22" t="s">
        <v>40</v>
      </c>
      <c r="L37" s="21"/>
    </row>
    <row r="38" spans="1:12" x14ac:dyDescent="0.2">
      <c r="A38" s="53" t="s">
        <v>28</v>
      </c>
      <c r="B38" s="38" t="s">
        <v>155</v>
      </c>
      <c r="D38" s="60" t="s">
        <v>93</v>
      </c>
      <c r="L38" s="21"/>
    </row>
    <row r="39" spans="1:12" x14ac:dyDescent="0.2">
      <c r="A39" s="53" t="s">
        <v>120</v>
      </c>
      <c r="B39" s="35">
        <v>1000</v>
      </c>
      <c r="D39" s="60" t="s">
        <v>119</v>
      </c>
      <c r="E39" s="59" t="s">
        <v>141</v>
      </c>
      <c r="L39" s="21"/>
    </row>
    <row r="40" spans="1:12" x14ac:dyDescent="0.2">
      <c r="A40" s="53" t="s">
        <v>94</v>
      </c>
      <c r="B40" s="35">
        <v>5</v>
      </c>
      <c r="D40" s="60" t="s">
        <v>92</v>
      </c>
      <c r="E40" s="59" t="s">
        <v>141</v>
      </c>
      <c r="L40" s="21"/>
    </row>
    <row r="42" spans="1:12" x14ac:dyDescent="0.2">
      <c r="A42" s="22" t="s">
        <v>41</v>
      </c>
      <c r="L42" s="21"/>
    </row>
    <row r="43" spans="1:12" x14ac:dyDescent="0.2">
      <c r="A43" s="53" t="s">
        <v>28</v>
      </c>
      <c r="B43" s="38" t="s">
        <v>156</v>
      </c>
      <c r="D43" s="60" t="s">
        <v>93</v>
      </c>
      <c r="L43" s="21"/>
    </row>
    <row r="44" spans="1:12" x14ac:dyDescent="0.2">
      <c r="A44" s="53" t="s">
        <v>120</v>
      </c>
      <c r="B44" s="35">
        <v>4000</v>
      </c>
      <c r="D44" s="60" t="s">
        <v>119</v>
      </c>
      <c r="E44" s="59" t="s">
        <v>141</v>
      </c>
      <c r="L44" s="21"/>
    </row>
    <row r="45" spans="1:12" x14ac:dyDescent="0.2">
      <c r="A45" s="53" t="s">
        <v>94</v>
      </c>
      <c r="B45" s="35">
        <v>2</v>
      </c>
      <c r="D45" s="60" t="s">
        <v>92</v>
      </c>
      <c r="E45" s="59" t="s">
        <v>141</v>
      </c>
      <c r="L45" s="21"/>
    </row>
    <row r="46" spans="1:12" x14ac:dyDescent="0.2">
      <c r="A46" s="53"/>
      <c r="B46" s="34"/>
      <c r="D46" s="60"/>
      <c r="L46" s="21"/>
    </row>
    <row r="47" spans="1:12" x14ac:dyDescent="0.2">
      <c r="A47" s="22" t="s">
        <v>163</v>
      </c>
      <c r="L47" s="21"/>
    </row>
    <row r="48" spans="1:12" x14ac:dyDescent="0.2">
      <c r="A48" s="53" t="s">
        <v>28</v>
      </c>
      <c r="B48" s="38" t="s">
        <v>165</v>
      </c>
      <c r="D48" s="60" t="s">
        <v>93</v>
      </c>
      <c r="L48" s="21"/>
    </row>
    <row r="49" spans="1:12" x14ac:dyDescent="0.2">
      <c r="A49" s="53" t="s">
        <v>120</v>
      </c>
      <c r="B49" s="35">
        <v>2500</v>
      </c>
      <c r="D49" s="60" t="s">
        <v>119</v>
      </c>
      <c r="E49" s="59" t="s">
        <v>141</v>
      </c>
      <c r="L49" s="21"/>
    </row>
    <row r="50" spans="1:12" x14ac:dyDescent="0.2">
      <c r="A50" s="53" t="s">
        <v>94</v>
      </c>
      <c r="B50" s="35">
        <v>3</v>
      </c>
      <c r="D50" s="60" t="s">
        <v>92</v>
      </c>
      <c r="E50" s="59" t="s">
        <v>141</v>
      </c>
      <c r="L50" s="21"/>
    </row>
    <row r="52" spans="1:12" x14ac:dyDescent="0.2">
      <c r="A52" s="22" t="s">
        <v>164</v>
      </c>
      <c r="L52" s="21"/>
    </row>
    <row r="53" spans="1:12" x14ac:dyDescent="0.2">
      <c r="A53" s="53" t="s">
        <v>28</v>
      </c>
      <c r="B53" s="38" t="s">
        <v>166</v>
      </c>
      <c r="D53" s="60" t="s">
        <v>93</v>
      </c>
      <c r="L53" s="21"/>
    </row>
    <row r="54" spans="1:12" x14ac:dyDescent="0.2">
      <c r="A54" s="53" t="s">
        <v>120</v>
      </c>
      <c r="B54" s="35">
        <v>2860</v>
      </c>
      <c r="D54" s="60" t="s">
        <v>119</v>
      </c>
      <c r="E54" s="59" t="s">
        <v>141</v>
      </c>
      <c r="L54" s="21"/>
    </row>
    <row r="55" spans="1:12" x14ac:dyDescent="0.2">
      <c r="A55" s="53" t="s">
        <v>94</v>
      </c>
      <c r="B55" s="35">
        <v>6</v>
      </c>
      <c r="D55" s="60" t="s">
        <v>92</v>
      </c>
      <c r="E55" s="59" t="s">
        <v>141</v>
      </c>
      <c r="L55" s="21"/>
    </row>
    <row r="56" spans="1:12" x14ac:dyDescent="0.2">
      <c r="A56" s="53"/>
      <c r="B56" s="34"/>
      <c r="D56" s="60"/>
      <c r="L56" s="21"/>
    </row>
    <row r="57" spans="1:12" x14ac:dyDescent="0.2">
      <c r="A57" s="78" t="s">
        <v>108</v>
      </c>
      <c r="B57" s="79"/>
      <c r="D57" s="60"/>
      <c r="L57" s="21"/>
    </row>
    <row r="58" spans="1:12" x14ac:dyDescent="0.2">
      <c r="A58" s="52"/>
      <c r="D58" s="60"/>
      <c r="L58" s="21"/>
    </row>
    <row r="59" spans="1:12" x14ac:dyDescent="0.2">
      <c r="A59" s="22" t="s">
        <v>42</v>
      </c>
      <c r="D59" s="60"/>
      <c r="L59" s="21"/>
    </row>
    <row r="60" spans="1:12" x14ac:dyDescent="0.2">
      <c r="A60" s="53" t="s">
        <v>28</v>
      </c>
      <c r="B60" s="38" t="s">
        <v>146</v>
      </c>
      <c r="D60" s="60" t="s">
        <v>93</v>
      </c>
      <c r="L60" s="21"/>
    </row>
    <row r="61" spans="1:12" x14ac:dyDescent="0.2">
      <c r="A61" s="53" t="s">
        <v>105</v>
      </c>
      <c r="B61" s="35">
        <v>300000</v>
      </c>
      <c r="D61" s="60"/>
      <c r="E61" s="59" t="s">
        <v>142</v>
      </c>
      <c r="L61" s="21"/>
    </row>
    <row r="62" spans="1:12" x14ac:dyDescent="0.2">
      <c r="A62" s="53" t="s">
        <v>106</v>
      </c>
      <c r="B62" s="35">
        <v>5000</v>
      </c>
      <c r="D62" s="60" t="s">
        <v>107</v>
      </c>
      <c r="E62" s="59" t="s">
        <v>142</v>
      </c>
      <c r="L62" s="21"/>
    </row>
    <row r="63" spans="1:12" x14ac:dyDescent="0.2">
      <c r="D63" s="60"/>
      <c r="L63" s="21"/>
    </row>
    <row r="64" spans="1:12" x14ac:dyDescent="0.2">
      <c r="A64" s="22" t="s">
        <v>43</v>
      </c>
      <c r="D64" s="60"/>
      <c r="L64" s="21"/>
    </row>
    <row r="65" spans="1:12" x14ac:dyDescent="0.2">
      <c r="A65" s="53" t="s">
        <v>28</v>
      </c>
      <c r="B65" s="38" t="s">
        <v>157</v>
      </c>
      <c r="D65" s="60" t="s">
        <v>93</v>
      </c>
      <c r="L65" s="21"/>
    </row>
    <row r="66" spans="1:12" x14ac:dyDescent="0.2">
      <c r="A66" s="53" t="s">
        <v>105</v>
      </c>
      <c r="B66" s="35">
        <v>150000</v>
      </c>
      <c r="D66" s="60"/>
      <c r="E66" s="59" t="s">
        <v>142</v>
      </c>
      <c r="L66" s="21"/>
    </row>
    <row r="67" spans="1:12" x14ac:dyDescent="0.2">
      <c r="A67" s="53" t="s">
        <v>106</v>
      </c>
      <c r="B67" s="35">
        <v>2000</v>
      </c>
      <c r="D67" s="60" t="s">
        <v>107</v>
      </c>
      <c r="E67" s="59" t="s">
        <v>142</v>
      </c>
      <c r="L67" s="21"/>
    </row>
    <row r="68" spans="1:12" x14ac:dyDescent="0.2">
      <c r="D68" s="60"/>
      <c r="L68" s="21"/>
    </row>
    <row r="69" spans="1:12" x14ac:dyDescent="0.2">
      <c r="A69" s="22" t="s">
        <v>44</v>
      </c>
      <c r="D69" s="60"/>
      <c r="L69" s="21"/>
    </row>
    <row r="70" spans="1:12" x14ac:dyDescent="0.2">
      <c r="A70" s="53" t="s">
        <v>28</v>
      </c>
      <c r="B70" s="38" t="s">
        <v>152</v>
      </c>
      <c r="D70" s="60" t="s">
        <v>93</v>
      </c>
      <c r="L70" s="21"/>
    </row>
    <row r="71" spans="1:12" x14ac:dyDescent="0.2">
      <c r="A71" s="53" t="s">
        <v>105</v>
      </c>
      <c r="B71" s="35">
        <v>220000</v>
      </c>
      <c r="D71" s="60"/>
      <c r="E71" s="59" t="s">
        <v>142</v>
      </c>
      <c r="L71" s="21"/>
    </row>
    <row r="72" spans="1:12" x14ac:dyDescent="0.2">
      <c r="A72" s="53" t="s">
        <v>106</v>
      </c>
      <c r="B72" s="35">
        <v>1200</v>
      </c>
      <c r="D72" s="60" t="s">
        <v>107</v>
      </c>
      <c r="E72" s="59" t="s">
        <v>142</v>
      </c>
      <c r="L72" s="21"/>
    </row>
    <row r="73" spans="1:12" x14ac:dyDescent="0.2">
      <c r="A73" s="53"/>
      <c r="D73" s="60"/>
      <c r="L73" s="21"/>
    </row>
    <row r="74" spans="1:12" x14ac:dyDescent="0.2">
      <c r="A74" s="22" t="s">
        <v>167</v>
      </c>
      <c r="D74" s="60"/>
      <c r="L74" s="21"/>
    </row>
    <row r="75" spans="1:12" x14ac:dyDescent="0.2">
      <c r="A75" s="53" t="s">
        <v>28</v>
      </c>
      <c r="B75" s="38" t="s">
        <v>169</v>
      </c>
      <c r="D75" s="60" t="s">
        <v>93</v>
      </c>
      <c r="L75" s="21"/>
    </row>
    <row r="76" spans="1:12" x14ac:dyDescent="0.2">
      <c r="A76" s="53" t="s">
        <v>105</v>
      </c>
      <c r="B76" s="35">
        <v>80000</v>
      </c>
      <c r="D76" s="60"/>
      <c r="E76" s="59" t="s">
        <v>142</v>
      </c>
      <c r="L76" s="21"/>
    </row>
    <row r="77" spans="1:12" x14ac:dyDescent="0.2">
      <c r="A77" s="53" t="s">
        <v>106</v>
      </c>
      <c r="B77" s="35">
        <v>1000</v>
      </c>
      <c r="D77" s="60" t="s">
        <v>107</v>
      </c>
      <c r="E77" s="59" t="s">
        <v>142</v>
      </c>
      <c r="L77" s="21"/>
    </row>
    <row r="78" spans="1:12" x14ac:dyDescent="0.2">
      <c r="D78" s="60"/>
      <c r="L78" s="21"/>
    </row>
    <row r="79" spans="1:12" x14ac:dyDescent="0.2">
      <c r="A79" s="22" t="s">
        <v>168</v>
      </c>
      <c r="D79" s="60"/>
      <c r="L79" s="21"/>
    </row>
    <row r="80" spans="1:12" x14ac:dyDescent="0.2">
      <c r="A80" s="53" t="s">
        <v>28</v>
      </c>
      <c r="B80" s="38" t="s">
        <v>170</v>
      </c>
      <c r="D80" s="60" t="s">
        <v>93</v>
      </c>
      <c r="L80" s="21"/>
    </row>
    <row r="81" spans="1:12" x14ac:dyDescent="0.2">
      <c r="A81" s="53" t="s">
        <v>105</v>
      </c>
      <c r="B81" s="35">
        <v>120000</v>
      </c>
      <c r="D81" s="60"/>
      <c r="E81" s="59" t="s">
        <v>142</v>
      </c>
      <c r="L81" s="21"/>
    </row>
    <row r="82" spans="1:12" x14ac:dyDescent="0.2">
      <c r="A82" s="53" t="s">
        <v>106</v>
      </c>
      <c r="B82" s="35">
        <v>800</v>
      </c>
      <c r="D82" s="60" t="s">
        <v>107</v>
      </c>
      <c r="E82" s="59" t="s">
        <v>142</v>
      </c>
      <c r="L82" s="21"/>
    </row>
    <row r="83" spans="1:12" x14ac:dyDescent="0.2">
      <c r="A83" s="53"/>
      <c r="D83" s="60"/>
      <c r="L83" s="21"/>
    </row>
    <row r="84" spans="1:12" x14ac:dyDescent="0.2">
      <c r="A84" s="78" t="s">
        <v>178</v>
      </c>
      <c r="B84" s="79"/>
      <c r="D84" s="60"/>
      <c r="L84" s="21"/>
    </row>
    <row r="85" spans="1:12" x14ac:dyDescent="0.2">
      <c r="A85" s="53"/>
      <c r="D85" s="60"/>
      <c r="L85" s="21"/>
    </row>
    <row r="86" spans="1:12" x14ac:dyDescent="0.2">
      <c r="A86" s="22" t="s">
        <v>183</v>
      </c>
      <c r="D86" s="60"/>
      <c r="L86" s="21"/>
    </row>
    <row r="87" spans="1:12" x14ac:dyDescent="0.2">
      <c r="A87" s="53" t="s">
        <v>28</v>
      </c>
      <c r="B87" s="38" t="s">
        <v>179</v>
      </c>
      <c r="D87" s="60" t="s">
        <v>93</v>
      </c>
      <c r="L87" s="21"/>
    </row>
    <row r="88" spans="1:12" x14ac:dyDescent="0.2">
      <c r="A88" s="53" t="s">
        <v>105</v>
      </c>
      <c r="B88" s="35">
        <v>50000</v>
      </c>
      <c r="D88" s="60"/>
      <c r="E88" s="59" t="s">
        <v>181</v>
      </c>
      <c r="L88" s="21"/>
    </row>
    <row r="89" spans="1:12" x14ac:dyDescent="0.2">
      <c r="A89" s="53" t="s">
        <v>180</v>
      </c>
      <c r="B89" s="36">
        <v>0.02</v>
      </c>
      <c r="D89" s="60" t="s">
        <v>182</v>
      </c>
      <c r="E89" s="59" t="s">
        <v>181</v>
      </c>
      <c r="L89" s="21"/>
    </row>
    <row r="90" spans="1:12" x14ac:dyDescent="0.2">
      <c r="A90" s="53"/>
      <c r="D90" s="60"/>
      <c r="L90" s="21"/>
    </row>
    <row r="91" spans="1:12" x14ac:dyDescent="0.2">
      <c r="A91" s="22" t="s">
        <v>184</v>
      </c>
      <c r="D91" s="60"/>
      <c r="L91" s="21"/>
    </row>
    <row r="92" spans="1:12" x14ac:dyDescent="0.2">
      <c r="A92" s="53" t="s">
        <v>28</v>
      </c>
      <c r="B92" s="38" t="s">
        <v>188</v>
      </c>
      <c r="D92" s="60" t="s">
        <v>93</v>
      </c>
      <c r="L92" s="21"/>
    </row>
    <row r="93" spans="1:12" x14ac:dyDescent="0.2">
      <c r="A93" s="53" t="s">
        <v>105</v>
      </c>
      <c r="B93" s="35">
        <v>40000</v>
      </c>
      <c r="D93" s="60"/>
      <c r="E93" s="59" t="s">
        <v>181</v>
      </c>
      <c r="L93" s="21"/>
    </row>
    <row r="94" spans="1:12" x14ac:dyDescent="0.2">
      <c r="A94" s="53" t="s">
        <v>180</v>
      </c>
      <c r="B94" s="36">
        <v>-0.05</v>
      </c>
      <c r="D94" s="60" t="s">
        <v>182</v>
      </c>
      <c r="E94" s="59" t="s">
        <v>181</v>
      </c>
      <c r="L94" s="21"/>
    </row>
    <row r="95" spans="1:12" x14ac:dyDescent="0.2">
      <c r="A95" s="53"/>
      <c r="D95" s="60"/>
      <c r="L95" s="21"/>
    </row>
    <row r="96" spans="1:12" x14ac:dyDescent="0.2">
      <c r="A96" s="22" t="s">
        <v>185</v>
      </c>
      <c r="D96" s="60"/>
      <c r="L96" s="21"/>
    </row>
    <row r="97" spans="1:12" x14ac:dyDescent="0.2">
      <c r="A97" s="53" t="s">
        <v>28</v>
      </c>
      <c r="B97" s="38" t="s">
        <v>189</v>
      </c>
      <c r="D97" s="60" t="s">
        <v>93</v>
      </c>
      <c r="L97" s="21"/>
    </row>
    <row r="98" spans="1:12" x14ac:dyDescent="0.2">
      <c r="A98" s="53" t="s">
        <v>105</v>
      </c>
      <c r="B98" s="35">
        <v>20000</v>
      </c>
      <c r="D98" s="60"/>
      <c r="E98" s="59" t="s">
        <v>181</v>
      </c>
      <c r="L98" s="21"/>
    </row>
    <row r="99" spans="1:12" x14ac:dyDescent="0.2">
      <c r="A99" s="53" t="s">
        <v>180</v>
      </c>
      <c r="B99" s="36">
        <v>0.03</v>
      </c>
      <c r="D99" s="60" t="s">
        <v>182</v>
      </c>
      <c r="E99" s="59" t="s">
        <v>181</v>
      </c>
      <c r="L99" s="21"/>
    </row>
    <row r="100" spans="1:12" x14ac:dyDescent="0.2">
      <c r="A100" s="53"/>
      <c r="D100" s="60"/>
      <c r="L100" s="21"/>
    </row>
    <row r="101" spans="1:12" x14ac:dyDescent="0.2">
      <c r="A101" s="22" t="s">
        <v>186</v>
      </c>
      <c r="D101" s="60"/>
      <c r="L101" s="21"/>
    </row>
    <row r="102" spans="1:12" x14ac:dyDescent="0.2">
      <c r="A102" s="53" t="s">
        <v>28</v>
      </c>
      <c r="B102" s="38" t="s">
        <v>190</v>
      </c>
      <c r="D102" s="60" t="s">
        <v>93</v>
      </c>
      <c r="L102" s="21"/>
    </row>
    <row r="103" spans="1:12" x14ac:dyDescent="0.2">
      <c r="A103" s="53" t="s">
        <v>105</v>
      </c>
      <c r="B103" s="35">
        <v>180000</v>
      </c>
      <c r="D103" s="60"/>
      <c r="E103" s="59" t="s">
        <v>181</v>
      </c>
      <c r="L103" s="21"/>
    </row>
    <row r="104" spans="1:12" x14ac:dyDescent="0.2">
      <c r="A104" s="53" t="s">
        <v>180</v>
      </c>
      <c r="B104" s="36">
        <v>-0.05</v>
      </c>
      <c r="D104" s="60" t="s">
        <v>182</v>
      </c>
      <c r="E104" s="59" t="s">
        <v>181</v>
      </c>
      <c r="L104" s="21"/>
    </row>
    <row r="105" spans="1:12" x14ac:dyDescent="0.2">
      <c r="A105" s="53"/>
      <c r="D105" s="60"/>
      <c r="L105" s="21"/>
    </row>
    <row r="106" spans="1:12" x14ac:dyDescent="0.2">
      <c r="A106" s="22" t="s">
        <v>187</v>
      </c>
      <c r="D106" s="60"/>
      <c r="L106" s="21"/>
    </row>
    <row r="107" spans="1:12" x14ac:dyDescent="0.2">
      <c r="A107" s="53" t="s">
        <v>28</v>
      </c>
      <c r="B107" s="38" t="s">
        <v>191</v>
      </c>
      <c r="D107" s="60" t="s">
        <v>93</v>
      </c>
      <c r="L107" s="21"/>
    </row>
    <row r="108" spans="1:12" x14ac:dyDescent="0.2">
      <c r="A108" s="53" t="s">
        <v>105</v>
      </c>
      <c r="B108" s="35">
        <v>82000</v>
      </c>
      <c r="D108" s="60"/>
      <c r="E108" s="59" t="s">
        <v>181</v>
      </c>
      <c r="L108" s="21"/>
    </row>
    <row r="109" spans="1:12" x14ac:dyDescent="0.2">
      <c r="A109" s="53" t="s">
        <v>180</v>
      </c>
      <c r="B109" s="36">
        <v>0.02</v>
      </c>
      <c r="D109" s="60" t="s">
        <v>182</v>
      </c>
      <c r="E109" s="59" t="s">
        <v>181</v>
      </c>
      <c r="L109" s="21"/>
    </row>
    <row r="110" spans="1:12" x14ac:dyDescent="0.2">
      <c r="A110" s="53"/>
      <c r="B110" s="21"/>
      <c r="D110" s="60"/>
      <c r="L110" s="21"/>
    </row>
    <row r="111" spans="1:12" x14ac:dyDescent="0.2">
      <c r="A111" s="78" t="s">
        <v>95</v>
      </c>
      <c r="B111" s="79"/>
      <c r="L111" s="21"/>
    </row>
    <row r="112" spans="1:12" ht="15" customHeight="1" x14ac:dyDescent="0.2">
      <c r="D112" s="60"/>
      <c r="L112" s="21"/>
    </row>
    <row r="113" spans="1:12" x14ac:dyDescent="0.2">
      <c r="A113" s="22" t="str">
        <f>"Rental income: "&amp;B60</f>
        <v>Rental income: Sliema</v>
      </c>
      <c r="B113" s="35">
        <v>12000</v>
      </c>
      <c r="D113" s="60" t="s">
        <v>96</v>
      </c>
      <c r="E113" s="59" t="s">
        <v>143</v>
      </c>
      <c r="L113" s="21"/>
    </row>
    <row r="114" spans="1:12" x14ac:dyDescent="0.2">
      <c r="A114" s="22" t="str">
        <f>"Rental income: "&amp;B65</f>
        <v>Rental income: Gzira</v>
      </c>
      <c r="B114" s="35">
        <v>10000</v>
      </c>
      <c r="D114" s="60" t="s">
        <v>96</v>
      </c>
      <c r="E114" s="59" t="s">
        <v>143</v>
      </c>
      <c r="L114" s="21"/>
    </row>
    <row r="115" spans="1:12" x14ac:dyDescent="0.2">
      <c r="A115" s="22" t="str">
        <f>"Rental income: "&amp;B70</f>
        <v>Rental income: Qormi</v>
      </c>
      <c r="B115" s="35">
        <v>8000</v>
      </c>
      <c r="D115" s="60" t="s">
        <v>96</v>
      </c>
      <c r="E115" s="59" t="s">
        <v>143</v>
      </c>
      <c r="L115" s="21"/>
    </row>
    <row r="116" spans="1:12" x14ac:dyDescent="0.2">
      <c r="A116" s="22" t="str">
        <f>"Rental income: "&amp;B75</f>
        <v>Rental income: Gudja</v>
      </c>
      <c r="B116" s="35">
        <v>5000</v>
      </c>
      <c r="D116" s="60" t="s">
        <v>96</v>
      </c>
      <c r="E116" s="59" t="s">
        <v>143</v>
      </c>
      <c r="L116" s="21"/>
    </row>
    <row r="117" spans="1:12" x14ac:dyDescent="0.2">
      <c r="A117" s="22" t="str">
        <f>"Rental income: "&amp;B80</f>
        <v>Rental income: Marsa</v>
      </c>
      <c r="B117" s="35">
        <v>6500</v>
      </c>
      <c r="D117" s="60" t="s">
        <v>96</v>
      </c>
      <c r="E117" s="59" t="s">
        <v>143</v>
      </c>
      <c r="L117" s="21"/>
    </row>
    <row r="118" spans="1:12" x14ac:dyDescent="0.2">
      <c r="D118" s="60"/>
      <c r="L118" s="21"/>
    </row>
    <row r="119" spans="1:12" x14ac:dyDescent="0.2">
      <c r="A119" s="22" t="s">
        <v>109</v>
      </c>
      <c r="B119" s="35">
        <v>2000</v>
      </c>
      <c r="D119" s="60" t="s">
        <v>131</v>
      </c>
      <c r="L119" s="21"/>
    </row>
    <row r="120" spans="1:12" x14ac:dyDescent="0.2">
      <c r="A120" s="22" t="s">
        <v>14</v>
      </c>
      <c r="B120" s="35">
        <v>58</v>
      </c>
      <c r="D120" s="60"/>
      <c r="E120" s="59" t="s">
        <v>144</v>
      </c>
      <c r="L120" s="21"/>
    </row>
    <row r="121" spans="1:12" x14ac:dyDescent="0.2">
      <c r="D121" s="60"/>
      <c r="L121" s="21"/>
    </row>
    <row r="122" spans="1:12" x14ac:dyDescent="0.2">
      <c r="A122" s="78" t="s">
        <v>198</v>
      </c>
      <c r="B122" s="79"/>
      <c r="D122" s="60"/>
      <c r="L122" s="21"/>
    </row>
    <row r="123" spans="1:12" x14ac:dyDescent="0.2">
      <c r="D123" s="60"/>
      <c r="J123" s="44"/>
      <c r="L123" s="21"/>
    </row>
    <row r="124" spans="1:12" x14ac:dyDescent="0.2">
      <c r="A124" s="22" t="s">
        <v>3</v>
      </c>
      <c r="B124" s="35">
        <v>1000</v>
      </c>
      <c r="D124" s="60" t="s">
        <v>132</v>
      </c>
      <c r="L124" s="21"/>
    </row>
    <row r="125" spans="1:12" x14ac:dyDescent="0.2">
      <c r="D125" s="60"/>
      <c r="L125" s="21"/>
    </row>
    <row r="126" spans="1:12" x14ac:dyDescent="0.2">
      <c r="A126" s="54" t="str">
        <f>B60 &amp; " Property"</f>
        <v>Sliema Property</v>
      </c>
      <c r="F126" s="70"/>
      <c r="G126" s="72"/>
      <c r="J126" s="44"/>
      <c r="L126" s="21"/>
    </row>
    <row r="127" spans="1:12" x14ac:dyDescent="0.2">
      <c r="A127" s="53" t="s">
        <v>37</v>
      </c>
      <c r="B127" s="35">
        <v>50000</v>
      </c>
      <c r="D127" s="60" t="s">
        <v>101</v>
      </c>
      <c r="F127" s="70" t="s">
        <v>84</v>
      </c>
      <c r="G127" s="71">
        <f>IFERROR(NPER(B128/12,-B129,B127),"")</f>
        <v>115.21661015797439</v>
      </c>
      <c r="L127" s="21"/>
    </row>
    <row r="128" spans="1:12" x14ac:dyDescent="0.2">
      <c r="A128" s="53" t="s">
        <v>82</v>
      </c>
      <c r="B128" s="36">
        <v>0.03</v>
      </c>
      <c r="D128" s="60"/>
      <c r="F128" s="70" t="s">
        <v>85</v>
      </c>
      <c r="G128" s="71">
        <f>IFERROR(G127/12,"")</f>
        <v>9.6013841798311983</v>
      </c>
      <c r="L128" s="21"/>
    </row>
    <row r="129" spans="1:12" x14ac:dyDescent="0.2">
      <c r="A129" s="53" t="s">
        <v>83</v>
      </c>
      <c r="B129" s="35">
        <v>500</v>
      </c>
      <c r="D129" s="60"/>
      <c r="G129" s="72"/>
      <c r="J129" s="44"/>
      <c r="L129" s="21"/>
    </row>
    <row r="130" spans="1:12" x14ac:dyDescent="0.2">
      <c r="B130" s="21"/>
      <c r="D130" s="60"/>
      <c r="G130" s="72"/>
      <c r="J130" s="44"/>
      <c r="L130" s="21"/>
    </row>
    <row r="131" spans="1:12" x14ac:dyDescent="0.2">
      <c r="A131" s="54" t="str">
        <f>B65 &amp; " Property"</f>
        <v>Gzira Property</v>
      </c>
      <c r="B131" s="21"/>
      <c r="F131" s="70"/>
      <c r="G131" s="72"/>
      <c r="L131" s="21"/>
    </row>
    <row r="132" spans="1:12" x14ac:dyDescent="0.2">
      <c r="A132" s="53" t="s">
        <v>37</v>
      </c>
      <c r="B132" s="35">
        <v>8500</v>
      </c>
      <c r="D132" s="60" t="s">
        <v>101</v>
      </c>
      <c r="F132" s="70" t="s">
        <v>84</v>
      </c>
      <c r="G132" s="71">
        <f>IFERROR(NPER(B133/12,-B134,B132),"")</f>
        <v>44.117014509786529</v>
      </c>
      <c r="L132" s="21"/>
    </row>
    <row r="133" spans="1:12" x14ac:dyDescent="0.2">
      <c r="A133" s="53" t="s">
        <v>82</v>
      </c>
      <c r="B133" s="36">
        <v>0.02</v>
      </c>
      <c r="D133" s="60"/>
      <c r="F133" s="70" t="s">
        <v>85</v>
      </c>
      <c r="G133" s="71">
        <f>IFERROR(G132/12,"")</f>
        <v>3.6764178758155439</v>
      </c>
      <c r="L133" s="21"/>
    </row>
    <row r="134" spans="1:12" x14ac:dyDescent="0.2">
      <c r="A134" s="53" t="s">
        <v>83</v>
      </c>
      <c r="B134" s="35">
        <v>200</v>
      </c>
      <c r="D134" s="60"/>
      <c r="G134" s="72"/>
      <c r="L134" s="21"/>
    </row>
    <row r="135" spans="1:12" x14ac:dyDescent="0.2">
      <c r="D135" s="60"/>
      <c r="G135" s="72"/>
      <c r="L135" s="21"/>
    </row>
    <row r="136" spans="1:12" x14ac:dyDescent="0.2">
      <c r="A136" s="54" t="str">
        <f>B70&amp; " Property"</f>
        <v>Qormi Property</v>
      </c>
      <c r="B136" s="21"/>
      <c r="F136" s="70"/>
      <c r="G136" s="72"/>
      <c r="L136" s="21"/>
    </row>
    <row r="137" spans="1:12" x14ac:dyDescent="0.2">
      <c r="A137" s="53" t="s">
        <v>37</v>
      </c>
      <c r="B137" s="35">
        <v>15000</v>
      </c>
      <c r="D137" s="60" t="s">
        <v>101</v>
      </c>
      <c r="F137" s="70" t="s">
        <v>84</v>
      </c>
      <c r="G137" s="71">
        <f>IFERROR(NPER(B138/12,-B139,B137),"")</f>
        <v>69.187438742600861</v>
      </c>
      <c r="L137" s="21"/>
    </row>
    <row r="138" spans="1:12" x14ac:dyDescent="0.2">
      <c r="A138" s="53" t="s">
        <v>82</v>
      </c>
      <c r="B138" s="36">
        <v>0.05</v>
      </c>
      <c r="D138" s="60"/>
      <c r="F138" s="70" t="s">
        <v>85</v>
      </c>
      <c r="G138" s="71">
        <f>IFERROR(G137/12,"")</f>
        <v>5.7656198952167381</v>
      </c>
      <c r="J138" s="44"/>
      <c r="L138" s="21"/>
    </row>
    <row r="139" spans="1:12" x14ac:dyDescent="0.2">
      <c r="A139" s="53" t="s">
        <v>83</v>
      </c>
      <c r="B139" s="35">
        <v>250</v>
      </c>
      <c r="D139" s="60"/>
      <c r="G139" s="72"/>
      <c r="J139" s="44"/>
      <c r="L139" s="21"/>
    </row>
    <row r="140" spans="1:12" x14ac:dyDescent="0.2">
      <c r="B140" s="21"/>
      <c r="D140" s="60"/>
      <c r="G140" s="72"/>
      <c r="L140" s="21"/>
    </row>
    <row r="141" spans="1:12" x14ac:dyDescent="0.2">
      <c r="A141" s="54" t="str">
        <f>B75 &amp; " Property"</f>
        <v>Gudja Property</v>
      </c>
      <c r="B141" s="21"/>
      <c r="F141" s="70"/>
      <c r="G141" s="72"/>
      <c r="L141" s="21"/>
    </row>
    <row r="142" spans="1:12" x14ac:dyDescent="0.2">
      <c r="A142" s="53" t="s">
        <v>37</v>
      </c>
      <c r="B142" s="35">
        <v>4680</v>
      </c>
      <c r="D142" s="60" t="s">
        <v>101</v>
      </c>
      <c r="F142" s="70" t="s">
        <v>84</v>
      </c>
      <c r="G142" s="71">
        <f>IFERROR(NPER(B143/12,-B144,B142),"")</f>
        <v>61.603232323170296</v>
      </c>
      <c r="L142" s="21"/>
    </row>
    <row r="143" spans="1:12" x14ac:dyDescent="0.2">
      <c r="A143" s="53" t="s">
        <v>82</v>
      </c>
      <c r="B143" s="36">
        <v>0.02</v>
      </c>
      <c r="D143" s="60"/>
      <c r="F143" s="70" t="s">
        <v>85</v>
      </c>
      <c r="G143" s="71">
        <f>IFERROR(G142/12,"")</f>
        <v>5.133602693597525</v>
      </c>
      <c r="L143" s="21"/>
    </row>
    <row r="144" spans="1:12" x14ac:dyDescent="0.2">
      <c r="A144" s="53" t="s">
        <v>83</v>
      </c>
      <c r="B144" s="35">
        <v>80</v>
      </c>
      <c r="D144" s="60"/>
      <c r="G144" s="72"/>
      <c r="L144" s="21"/>
    </row>
    <row r="145" spans="1:12" x14ac:dyDescent="0.2">
      <c r="D145" s="60"/>
      <c r="G145" s="72"/>
      <c r="L145" s="21"/>
    </row>
    <row r="146" spans="1:12" x14ac:dyDescent="0.2">
      <c r="A146" s="54" t="str">
        <f>B80&amp; " Property"</f>
        <v>Marsa Property</v>
      </c>
      <c r="B146" s="21"/>
      <c r="F146" s="70"/>
      <c r="G146" s="72"/>
      <c r="L146" s="21"/>
    </row>
    <row r="147" spans="1:12" x14ac:dyDescent="0.2">
      <c r="A147" s="53" t="s">
        <v>37</v>
      </c>
      <c r="B147" s="35">
        <v>9524</v>
      </c>
      <c r="D147" s="60" t="s">
        <v>101</v>
      </c>
      <c r="F147" s="70" t="s">
        <v>84</v>
      </c>
      <c r="G147" s="71">
        <f>IFERROR(NPER(B148/12,-B149,B147),"")</f>
        <v>88.577073398502804</v>
      </c>
      <c r="L147" s="21"/>
    </row>
    <row r="148" spans="1:12" x14ac:dyDescent="0.2">
      <c r="A148" s="53" t="s">
        <v>82</v>
      </c>
      <c r="B148" s="36">
        <v>0.03</v>
      </c>
      <c r="D148" s="60"/>
      <c r="F148" s="70" t="s">
        <v>85</v>
      </c>
      <c r="G148" s="71">
        <f>IFERROR(G147/12,"")</f>
        <v>7.381422783208567</v>
      </c>
      <c r="J148" s="44"/>
      <c r="L148" s="21"/>
    </row>
    <row r="149" spans="1:12" x14ac:dyDescent="0.2">
      <c r="A149" s="53" t="s">
        <v>83</v>
      </c>
      <c r="B149" s="35">
        <v>120</v>
      </c>
      <c r="D149" s="60"/>
      <c r="G149" s="72"/>
      <c r="J149" s="44"/>
      <c r="L149" s="21"/>
    </row>
    <row r="150" spans="1:12" x14ac:dyDescent="0.2">
      <c r="B150" s="21"/>
      <c r="D150" s="60"/>
      <c r="G150" s="72"/>
      <c r="L150" s="21"/>
    </row>
    <row r="151" spans="1:12" x14ac:dyDescent="0.2">
      <c r="A151" s="54" t="str">
        <f>B87</f>
        <v>Jewelry</v>
      </c>
      <c r="F151" s="70"/>
      <c r="G151" s="72"/>
      <c r="J151" s="44"/>
      <c r="L151" s="21"/>
    </row>
    <row r="152" spans="1:12" x14ac:dyDescent="0.2">
      <c r="A152" s="53" t="s">
        <v>37</v>
      </c>
      <c r="B152" s="35">
        <v>2500</v>
      </c>
      <c r="D152" s="60" t="s">
        <v>101</v>
      </c>
      <c r="F152" s="70" t="s">
        <v>84</v>
      </c>
      <c r="G152" s="71">
        <f>IFERROR(NPER(B153/12,-B154,B152),"")</f>
        <v>34.848038379600631</v>
      </c>
      <c r="L152" s="21"/>
    </row>
    <row r="153" spans="1:12" x14ac:dyDescent="0.2">
      <c r="A153" s="53" t="s">
        <v>82</v>
      </c>
      <c r="B153" s="36">
        <v>0.03</v>
      </c>
      <c r="D153" s="60"/>
      <c r="F153" s="70" t="s">
        <v>85</v>
      </c>
      <c r="G153" s="71">
        <f>IFERROR(G152/12,"")</f>
        <v>2.9040031983000527</v>
      </c>
      <c r="L153" s="21"/>
    </row>
    <row r="154" spans="1:12" x14ac:dyDescent="0.2">
      <c r="A154" s="53" t="s">
        <v>83</v>
      </c>
      <c r="B154" s="35">
        <v>75</v>
      </c>
      <c r="D154" s="60"/>
      <c r="G154" s="72"/>
      <c r="J154" s="44"/>
      <c r="L154" s="21"/>
    </row>
    <row r="155" spans="1:12" x14ac:dyDescent="0.2">
      <c r="B155" s="21"/>
      <c r="D155" s="60"/>
      <c r="G155" s="72"/>
      <c r="J155" s="44"/>
      <c r="L155" s="21"/>
    </row>
    <row r="156" spans="1:12" x14ac:dyDescent="0.2">
      <c r="A156" s="54" t="str">
        <f>B92</f>
        <v>Car</v>
      </c>
      <c r="B156" s="21"/>
      <c r="F156" s="70"/>
      <c r="G156" s="72"/>
      <c r="L156" s="21"/>
    </row>
    <row r="157" spans="1:12" x14ac:dyDescent="0.2">
      <c r="A157" s="53" t="s">
        <v>37</v>
      </c>
      <c r="B157" s="35">
        <v>6000</v>
      </c>
      <c r="D157" s="60" t="s">
        <v>101</v>
      </c>
      <c r="F157" s="70" t="s">
        <v>84</v>
      </c>
      <c r="G157" s="71">
        <f>IFERROR(NPER(B158/12,-B159,B157),"")</f>
        <v>74.230163403974942</v>
      </c>
      <c r="L157" s="21"/>
    </row>
    <row r="158" spans="1:12" x14ac:dyDescent="0.2">
      <c r="A158" s="53" t="s">
        <v>82</v>
      </c>
      <c r="B158" s="36">
        <v>0.02</v>
      </c>
      <c r="D158" s="60"/>
      <c r="F158" s="70" t="s">
        <v>85</v>
      </c>
      <c r="G158" s="71">
        <f>IFERROR(G157/12,"")</f>
        <v>6.1858469503312454</v>
      </c>
      <c r="L158" s="21"/>
    </row>
    <row r="159" spans="1:12" x14ac:dyDescent="0.2">
      <c r="A159" s="53" t="s">
        <v>83</v>
      </c>
      <c r="B159" s="35">
        <v>86</v>
      </c>
      <c r="D159" s="60"/>
      <c r="G159" s="72"/>
      <c r="L159" s="21"/>
    </row>
    <row r="160" spans="1:12" x14ac:dyDescent="0.2">
      <c r="D160" s="60"/>
      <c r="G160" s="72"/>
      <c r="L160" s="21"/>
    </row>
    <row r="161" spans="1:12" x14ac:dyDescent="0.2">
      <c r="A161" s="54" t="str">
        <f>B97</f>
        <v>Painting</v>
      </c>
      <c r="B161" s="21"/>
      <c r="F161" s="70"/>
      <c r="G161" s="72"/>
      <c r="L161" s="21"/>
    </row>
    <row r="162" spans="1:12" x14ac:dyDescent="0.2">
      <c r="A162" s="53" t="s">
        <v>37</v>
      </c>
      <c r="B162" s="35">
        <v>7500</v>
      </c>
      <c r="D162" s="60" t="s">
        <v>101</v>
      </c>
      <c r="F162" s="70" t="s">
        <v>84</v>
      </c>
      <c r="G162" s="71">
        <f>IFERROR(NPER(B163/12,-B164,B162),"")</f>
        <v>69.187438742600861</v>
      </c>
      <c r="L162" s="21"/>
    </row>
    <row r="163" spans="1:12" x14ac:dyDescent="0.2">
      <c r="A163" s="53" t="s">
        <v>82</v>
      </c>
      <c r="B163" s="36">
        <v>0.05</v>
      </c>
      <c r="D163" s="60"/>
      <c r="F163" s="70" t="s">
        <v>85</v>
      </c>
      <c r="G163" s="71">
        <f>IFERROR(G162/12,"")</f>
        <v>5.7656198952167381</v>
      </c>
      <c r="J163" s="44"/>
      <c r="L163" s="21"/>
    </row>
    <row r="164" spans="1:12" x14ac:dyDescent="0.2">
      <c r="A164" s="53" t="s">
        <v>83</v>
      </c>
      <c r="B164" s="35">
        <v>125</v>
      </c>
      <c r="D164" s="60"/>
      <c r="G164" s="72"/>
      <c r="J164" s="44"/>
      <c r="L164" s="21"/>
    </row>
    <row r="165" spans="1:12" x14ac:dyDescent="0.2">
      <c r="B165" s="21"/>
      <c r="D165" s="60"/>
      <c r="G165" s="72"/>
      <c r="L165" s="21"/>
    </row>
    <row r="166" spans="1:12" x14ac:dyDescent="0.2">
      <c r="A166" s="54" t="str">
        <f>B102</f>
        <v>Boat</v>
      </c>
      <c r="B166" s="21"/>
      <c r="F166" s="70"/>
      <c r="G166" s="72"/>
      <c r="L166" s="21"/>
    </row>
    <row r="167" spans="1:12" x14ac:dyDescent="0.2">
      <c r="A167" s="53" t="s">
        <v>37</v>
      </c>
      <c r="B167" s="35">
        <v>40000</v>
      </c>
      <c r="D167" s="60" t="s">
        <v>101</v>
      </c>
      <c r="F167" s="70" t="s">
        <v>84</v>
      </c>
      <c r="G167" s="71">
        <f>IFERROR(NPER(B168/12,-B169,B167),"")</f>
        <v>77.476430478264689</v>
      </c>
      <c r="L167" s="21"/>
    </row>
    <row r="168" spans="1:12" x14ac:dyDescent="0.2">
      <c r="A168" s="53" t="s">
        <v>82</v>
      </c>
      <c r="B168" s="36">
        <v>0.06</v>
      </c>
      <c r="D168" s="60"/>
      <c r="F168" s="70" t="s">
        <v>85</v>
      </c>
      <c r="G168" s="71">
        <f>IFERROR(G167/12,"")</f>
        <v>6.4563692065220577</v>
      </c>
      <c r="L168" s="21"/>
    </row>
    <row r="169" spans="1:12" x14ac:dyDescent="0.2">
      <c r="A169" s="53" t="s">
        <v>83</v>
      </c>
      <c r="B169" s="35">
        <v>624</v>
      </c>
      <c r="D169" s="60"/>
      <c r="G169" s="72"/>
      <c r="L169" s="21"/>
    </row>
    <row r="170" spans="1:12" x14ac:dyDescent="0.2">
      <c r="D170" s="60"/>
      <c r="G170" s="72"/>
      <c r="L170" s="21"/>
    </row>
    <row r="171" spans="1:12" x14ac:dyDescent="0.2">
      <c r="A171" s="54" t="str">
        <f>B107</f>
        <v>Antiques</v>
      </c>
      <c r="B171" s="21"/>
      <c r="F171" s="70"/>
      <c r="G171" s="72"/>
      <c r="L171" s="21"/>
    </row>
    <row r="172" spans="1:12" x14ac:dyDescent="0.2">
      <c r="A172" s="53" t="s">
        <v>37</v>
      </c>
      <c r="B172" s="35">
        <v>3800</v>
      </c>
      <c r="D172" s="60" t="s">
        <v>101</v>
      </c>
      <c r="F172" s="70" t="s">
        <v>84</v>
      </c>
      <c r="G172" s="71">
        <f>IFERROR(NPER(B173/12,-B174,B172),"")</f>
        <v>36.174197842729725</v>
      </c>
      <c r="L172" s="21"/>
    </row>
    <row r="173" spans="1:12" x14ac:dyDescent="0.2">
      <c r="A173" s="53" t="s">
        <v>82</v>
      </c>
      <c r="B173" s="36">
        <v>0.03</v>
      </c>
      <c r="D173" s="60"/>
      <c r="F173" s="70" t="s">
        <v>85</v>
      </c>
      <c r="G173" s="71">
        <f>IFERROR(G172/12,"")</f>
        <v>3.0145164868941436</v>
      </c>
      <c r="J173" s="44"/>
      <c r="L173" s="21"/>
    </row>
    <row r="174" spans="1:12" x14ac:dyDescent="0.2">
      <c r="A174" s="53" t="s">
        <v>83</v>
      </c>
      <c r="B174" s="35">
        <v>110</v>
      </c>
      <c r="D174" s="60"/>
      <c r="G174" s="72"/>
      <c r="J174" s="44"/>
      <c r="L174" s="21"/>
    </row>
    <row r="175" spans="1:12" x14ac:dyDescent="0.2">
      <c r="B175" s="21"/>
      <c r="D175" s="60"/>
      <c r="G175" s="72"/>
      <c r="L175" s="21"/>
    </row>
    <row r="176" spans="1:12" x14ac:dyDescent="0.2">
      <c r="A176" s="22" t="s">
        <v>33</v>
      </c>
      <c r="D176" s="60"/>
      <c r="F176" s="70"/>
      <c r="G176" s="71"/>
      <c r="L176" s="21"/>
    </row>
    <row r="177" spans="1:12" x14ac:dyDescent="0.2">
      <c r="A177" s="53" t="s">
        <v>37</v>
      </c>
      <c r="B177" s="35">
        <v>4000</v>
      </c>
      <c r="D177" s="60" t="s">
        <v>93</v>
      </c>
      <c r="F177" s="70" t="s">
        <v>84</v>
      </c>
      <c r="G177" s="71">
        <f>IFERROR(NPER(B178/12,-B179,B177),"")</f>
        <v>102.42032525150438</v>
      </c>
      <c r="L177" s="21"/>
    </row>
    <row r="178" spans="1:12" x14ac:dyDescent="0.2">
      <c r="A178" s="53" t="s">
        <v>82</v>
      </c>
      <c r="B178" s="36">
        <v>0.06</v>
      </c>
      <c r="D178" s="60"/>
      <c r="F178" s="70" t="s">
        <v>85</v>
      </c>
      <c r="G178" s="71">
        <f>IFERROR(G177/12,"")</f>
        <v>8.5350271042920323</v>
      </c>
      <c r="L178" s="21"/>
    </row>
    <row r="179" spans="1:12" x14ac:dyDescent="0.2">
      <c r="A179" s="53" t="s">
        <v>83</v>
      </c>
      <c r="B179" s="35">
        <v>50</v>
      </c>
      <c r="D179" s="60"/>
      <c r="E179" s="66"/>
      <c r="L179" s="21"/>
    </row>
    <row r="180" spans="1:12" x14ac:dyDescent="0.2">
      <c r="D180" s="60"/>
      <c r="E180" s="66"/>
      <c r="L180" s="21"/>
    </row>
    <row r="181" spans="1:12" x14ac:dyDescent="0.2">
      <c r="A181" s="78" t="s">
        <v>129</v>
      </c>
      <c r="B181" s="79"/>
      <c r="D181" s="60"/>
      <c r="L181" s="21"/>
    </row>
    <row r="182" spans="1:12" x14ac:dyDescent="0.2">
      <c r="B182" s="34"/>
      <c r="L182" s="21"/>
    </row>
    <row r="183" spans="1:12" s="19" customFormat="1" x14ac:dyDescent="0.2">
      <c r="A183" s="22" t="s">
        <v>98</v>
      </c>
      <c r="B183" s="34"/>
      <c r="D183" s="61"/>
      <c r="E183" s="59"/>
      <c r="F183" s="69"/>
      <c r="G183" s="73"/>
    </row>
    <row r="184" spans="1:12" s="19" customFormat="1" x14ac:dyDescent="0.2">
      <c r="A184" s="53" t="s">
        <v>28</v>
      </c>
      <c r="B184" s="39" t="s">
        <v>158</v>
      </c>
      <c r="D184" s="60" t="s">
        <v>93</v>
      </c>
      <c r="E184" s="59"/>
      <c r="F184" s="69"/>
      <c r="G184" s="73"/>
    </row>
    <row r="185" spans="1:12" s="19" customFormat="1" x14ac:dyDescent="0.2">
      <c r="A185" s="53" t="s">
        <v>45</v>
      </c>
      <c r="B185" s="35">
        <v>50000</v>
      </c>
      <c r="D185" s="60" t="s">
        <v>101</v>
      </c>
      <c r="E185" s="59"/>
      <c r="F185" s="69"/>
      <c r="G185" s="73"/>
    </row>
    <row r="186" spans="1:12" s="19" customFormat="1" x14ac:dyDescent="0.2">
      <c r="A186" s="53" t="s">
        <v>5</v>
      </c>
      <c r="B186" s="38">
        <v>2035</v>
      </c>
      <c r="D186" s="61"/>
      <c r="E186" s="59"/>
      <c r="F186" s="69"/>
      <c r="G186" s="73"/>
    </row>
    <row r="187" spans="1:12" s="19" customFormat="1" x14ac:dyDescent="0.2">
      <c r="A187" s="22"/>
      <c r="B187" s="34"/>
      <c r="D187" s="61"/>
      <c r="E187" s="59"/>
      <c r="F187" s="69"/>
      <c r="G187" s="73"/>
    </row>
    <row r="188" spans="1:12" s="19" customFormat="1" x14ac:dyDescent="0.2">
      <c r="A188" s="22" t="s">
        <v>99</v>
      </c>
      <c r="B188" s="34"/>
      <c r="D188" s="61"/>
      <c r="E188" s="59"/>
      <c r="F188" s="69"/>
      <c r="G188" s="73"/>
    </row>
    <row r="189" spans="1:12" s="19" customFormat="1" x14ac:dyDescent="0.2">
      <c r="A189" s="53" t="s">
        <v>28</v>
      </c>
      <c r="B189" s="39" t="s">
        <v>159</v>
      </c>
      <c r="D189" s="60" t="s">
        <v>93</v>
      </c>
      <c r="E189" s="59"/>
      <c r="F189" s="69"/>
      <c r="G189" s="73"/>
    </row>
    <row r="190" spans="1:12" s="19" customFormat="1" x14ac:dyDescent="0.2">
      <c r="A190" s="53" t="s">
        <v>45</v>
      </c>
      <c r="B190" s="35">
        <v>10000</v>
      </c>
      <c r="D190" s="60" t="s">
        <v>101</v>
      </c>
      <c r="E190" s="59"/>
      <c r="F190" s="69"/>
      <c r="G190" s="73"/>
    </row>
    <row r="191" spans="1:12" s="19" customFormat="1" x14ac:dyDescent="0.2">
      <c r="A191" s="53" t="s">
        <v>5</v>
      </c>
      <c r="B191" s="38">
        <v>2029</v>
      </c>
      <c r="D191" s="61"/>
      <c r="E191" s="59"/>
      <c r="F191" s="69"/>
      <c r="G191" s="73"/>
    </row>
    <row r="192" spans="1:12" s="19" customFormat="1" x14ac:dyDescent="0.2">
      <c r="A192" s="22"/>
      <c r="B192" s="34"/>
      <c r="D192" s="61"/>
      <c r="E192" s="59"/>
      <c r="F192" s="69"/>
      <c r="G192" s="73"/>
    </row>
    <row r="193" spans="1:12" s="19" customFormat="1" x14ac:dyDescent="0.2">
      <c r="A193" s="22" t="s">
        <v>100</v>
      </c>
      <c r="B193" s="34"/>
      <c r="D193" s="61"/>
      <c r="E193" s="59"/>
      <c r="F193" s="69"/>
      <c r="G193" s="73"/>
    </row>
    <row r="194" spans="1:12" s="19" customFormat="1" x14ac:dyDescent="0.2">
      <c r="A194" s="53" t="s">
        <v>28</v>
      </c>
      <c r="B194" s="39" t="s">
        <v>160</v>
      </c>
      <c r="D194" s="60" t="s">
        <v>93</v>
      </c>
      <c r="E194" s="59"/>
      <c r="F194" s="69"/>
      <c r="G194" s="73"/>
    </row>
    <row r="195" spans="1:12" s="19" customFormat="1" x14ac:dyDescent="0.2">
      <c r="A195" s="53" t="s">
        <v>45</v>
      </c>
      <c r="B195" s="35">
        <v>5000</v>
      </c>
      <c r="D195" s="60" t="s">
        <v>101</v>
      </c>
      <c r="E195" s="59"/>
      <c r="F195" s="69"/>
      <c r="G195" s="73"/>
    </row>
    <row r="196" spans="1:12" s="19" customFormat="1" x14ac:dyDescent="0.2">
      <c r="A196" s="53" t="s">
        <v>5</v>
      </c>
      <c r="B196" s="38">
        <v>2032</v>
      </c>
      <c r="D196" s="61"/>
      <c r="E196" s="59"/>
      <c r="F196" s="69"/>
      <c r="G196" s="73"/>
    </row>
    <row r="197" spans="1:12" s="19" customFormat="1" x14ac:dyDescent="0.2">
      <c r="A197" s="22"/>
      <c r="B197" s="34"/>
      <c r="D197" s="61"/>
      <c r="E197" s="59"/>
      <c r="F197" s="69"/>
      <c r="G197" s="73"/>
    </row>
    <row r="198" spans="1:12" x14ac:dyDescent="0.2">
      <c r="A198" s="78" t="s">
        <v>128</v>
      </c>
      <c r="B198" s="80"/>
      <c r="L198" s="21"/>
    </row>
    <row r="199" spans="1:12" x14ac:dyDescent="0.2">
      <c r="A199" s="53"/>
      <c r="B199" s="34"/>
      <c r="L199" s="21"/>
    </row>
    <row r="200" spans="1:12" s="19" customFormat="1" x14ac:dyDescent="0.2">
      <c r="A200" s="22" t="s">
        <v>102</v>
      </c>
      <c r="B200" s="34"/>
      <c r="D200" s="61"/>
      <c r="E200" s="59"/>
      <c r="F200" s="69"/>
      <c r="G200" s="73"/>
    </row>
    <row r="201" spans="1:12" s="19" customFormat="1" x14ac:dyDescent="0.2">
      <c r="A201" s="53" t="s">
        <v>28</v>
      </c>
      <c r="B201" s="39" t="s">
        <v>153</v>
      </c>
      <c r="D201" s="60" t="s">
        <v>93</v>
      </c>
      <c r="E201" s="59"/>
      <c r="F201" s="69"/>
      <c r="G201" s="73"/>
    </row>
    <row r="202" spans="1:12" s="19" customFormat="1" x14ac:dyDescent="0.2">
      <c r="A202" s="53" t="s">
        <v>45</v>
      </c>
      <c r="B202" s="35">
        <v>40000</v>
      </c>
      <c r="D202" s="60" t="s">
        <v>101</v>
      </c>
      <c r="E202" s="59"/>
      <c r="F202" s="69"/>
      <c r="G202" s="73"/>
    </row>
    <row r="203" spans="1:12" s="19" customFormat="1" x14ac:dyDescent="0.2">
      <c r="A203" s="53" t="s">
        <v>5</v>
      </c>
      <c r="B203" s="38">
        <v>2036</v>
      </c>
      <c r="D203" s="61"/>
      <c r="E203" s="59"/>
      <c r="F203" s="69"/>
      <c r="G203" s="73"/>
    </row>
    <row r="204" spans="1:12" s="19" customFormat="1" x14ac:dyDescent="0.2">
      <c r="A204" s="22"/>
      <c r="B204" s="34"/>
      <c r="D204" s="61"/>
      <c r="E204" s="59"/>
      <c r="F204" s="69"/>
      <c r="G204" s="73"/>
    </row>
    <row r="205" spans="1:12" s="19" customFormat="1" x14ac:dyDescent="0.2">
      <c r="A205" s="22" t="s">
        <v>103</v>
      </c>
      <c r="B205" s="34"/>
      <c r="D205" s="61"/>
      <c r="E205" s="59"/>
      <c r="F205" s="69"/>
      <c r="G205" s="73"/>
    </row>
    <row r="206" spans="1:12" s="19" customFormat="1" x14ac:dyDescent="0.2">
      <c r="A206" s="53" t="s">
        <v>28</v>
      </c>
      <c r="B206" s="39" t="s">
        <v>161</v>
      </c>
      <c r="D206" s="60" t="s">
        <v>93</v>
      </c>
      <c r="E206" s="59"/>
      <c r="F206" s="69"/>
      <c r="G206" s="73"/>
    </row>
    <row r="207" spans="1:12" s="19" customFormat="1" x14ac:dyDescent="0.2">
      <c r="A207" s="53" t="s">
        <v>45</v>
      </c>
      <c r="B207" s="35">
        <v>35000</v>
      </c>
      <c r="D207" s="60" t="s">
        <v>101</v>
      </c>
      <c r="E207" s="59"/>
      <c r="F207" s="69"/>
      <c r="G207" s="73"/>
    </row>
    <row r="208" spans="1:12" s="19" customFormat="1" x14ac:dyDescent="0.2">
      <c r="A208" s="53" t="s">
        <v>5</v>
      </c>
      <c r="B208" s="38">
        <v>2029</v>
      </c>
      <c r="D208" s="61"/>
      <c r="E208" s="59"/>
      <c r="F208" s="69"/>
      <c r="G208" s="73"/>
    </row>
    <row r="209" spans="1:12" x14ac:dyDescent="0.2">
      <c r="B209" s="34"/>
      <c r="L209" s="21"/>
    </row>
    <row r="210" spans="1:12" x14ac:dyDescent="0.2">
      <c r="A210" s="22" t="s">
        <v>104</v>
      </c>
      <c r="B210" s="34"/>
      <c r="L210" s="21"/>
    </row>
    <row r="211" spans="1:12" x14ac:dyDescent="0.2">
      <c r="A211" s="53" t="s">
        <v>28</v>
      </c>
      <c r="B211" s="39" t="s">
        <v>162</v>
      </c>
      <c r="D211" s="60" t="s">
        <v>93</v>
      </c>
      <c r="L211" s="21"/>
    </row>
    <row r="212" spans="1:12" x14ac:dyDescent="0.2">
      <c r="A212" s="53" t="s">
        <v>45</v>
      </c>
      <c r="B212" s="35">
        <v>15000</v>
      </c>
      <c r="D212" s="60" t="s">
        <v>101</v>
      </c>
      <c r="L212" s="21"/>
    </row>
    <row r="213" spans="1:12" x14ac:dyDescent="0.2">
      <c r="A213" s="53" t="s">
        <v>5</v>
      </c>
      <c r="B213" s="38">
        <v>2034</v>
      </c>
      <c r="L213" s="21"/>
    </row>
    <row r="214" spans="1:12" x14ac:dyDescent="0.2">
      <c r="A214" s="53"/>
      <c r="D214" s="60"/>
      <c r="L214" s="21"/>
    </row>
    <row r="215" spans="1:12" x14ac:dyDescent="0.2">
      <c r="A215" s="78" t="s">
        <v>215</v>
      </c>
      <c r="B215" s="80"/>
      <c r="D215" s="60"/>
      <c r="L215" s="21"/>
    </row>
    <row r="216" spans="1:12" x14ac:dyDescent="0.2">
      <c r="A216" s="53"/>
      <c r="D216" s="60"/>
      <c r="L216" s="21"/>
    </row>
    <row r="217" spans="1:12" x14ac:dyDescent="0.2">
      <c r="A217" s="53" t="s">
        <v>5</v>
      </c>
      <c r="B217" s="39">
        <v>2030</v>
      </c>
      <c r="D217" s="60"/>
      <c r="L217" s="21"/>
    </row>
    <row r="218" spans="1:12" x14ac:dyDescent="0.2">
      <c r="A218" s="53"/>
      <c r="D218" s="60"/>
      <c r="L218" s="21"/>
    </row>
    <row r="219" spans="1:12" x14ac:dyDescent="0.2">
      <c r="A219" s="53" t="s">
        <v>216</v>
      </c>
      <c r="B219" s="39" t="s">
        <v>217</v>
      </c>
      <c r="D219" s="60"/>
      <c r="L219" s="21"/>
    </row>
    <row r="220" spans="1:12" x14ac:dyDescent="0.2">
      <c r="A220" s="53"/>
      <c r="D220" s="60"/>
      <c r="L220" s="21"/>
    </row>
    <row r="221" spans="1:12" x14ac:dyDescent="0.2">
      <c r="A221" s="53" t="s">
        <v>218</v>
      </c>
      <c r="B221" s="35">
        <v>250000</v>
      </c>
      <c r="D221" s="60" t="s">
        <v>224</v>
      </c>
      <c r="L221" s="21"/>
    </row>
    <row r="222" spans="1:12" x14ac:dyDescent="0.2">
      <c r="A222" s="53"/>
      <c r="D222" s="60"/>
      <c r="L222" s="21"/>
    </row>
    <row r="223" spans="1:12" x14ac:dyDescent="0.2">
      <c r="A223" s="53" t="s">
        <v>220</v>
      </c>
      <c r="B223" s="35"/>
      <c r="D223" s="60"/>
      <c r="E223" s="59" t="s">
        <v>219</v>
      </c>
      <c r="L223" s="21"/>
    </row>
    <row r="224" spans="1:12" x14ac:dyDescent="0.2">
      <c r="A224" s="53"/>
      <c r="D224" s="60"/>
      <c r="L224" s="21"/>
    </row>
    <row r="225" spans="1:12" x14ac:dyDescent="0.2">
      <c r="A225" s="78" t="s">
        <v>205</v>
      </c>
      <c r="B225" s="80"/>
      <c r="D225" s="60"/>
      <c r="L225" s="21"/>
    </row>
    <row r="226" spans="1:12" x14ac:dyDescent="0.2">
      <c r="A226" s="53"/>
      <c r="D226" s="60"/>
      <c r="L226" s="21"/>
    </row>
    <row r="227" spans="1:12" x14ac:dyDescent="0.2">
      <c r="A227" s="22" t="s">
        <v>206</v>
      </c>
      <c r="B227" s="34"/>
      <c r="D227" s="60"/>
      <c r="L227" s="21"/>
    </row>
    <row r="228" spans="1:12" x14ac:dyDescent="0.2">
      <c r="A228" s="53" t="s">
        <v>5</v>
      </c>
      <c r="B228" s="39">
        <v>2027</v>
      </c>
      <c r="D228" s="60"/>
      <c r="L228" s="21"/>
    </row>
    <row r="229" spans="1:12" x14ac:dyDescent="0.2">
      <c r="A229" s="53" t="s">
        <v>207</v>
      </c>
      <c r="B229" s="36">
        <v>0.15</v>
      </c>
      <c r="D229" s="60"/>
      <c r="E229" s="59" t="s">
        <v>211</v>
      </c>
      <c r="L229" s="21"/>
    </row>
    <row r="230" spans="1:12" x14ac:dyDescent="0.2">
      <c r="A230" s="53" t="s">
        <v>208</v>
      </c>
      <c r="B230" s="38">
        <v>1</v>
      </c>
      <c r="D230" s="60" t="s">
        <v>214</v>
      </c>
      <c r="L230" s="21"/>
    </row>
    <row r="231" spans="1:12" x14ac:dyDescent="0.2">
      <c r="A231" s="53"/>
      <c r="D231" s="60"/>
      <c r="L231" s="21"/>
    </row>
    <row r="232" spans="1:12" x14ac:dyDescent="0.2">
      <c r="A232" s="22" t="s">
        <v>209</v>
      </c>
      <c r="B232" s="34"/>
      <c r="D232" s="60"/>
      <c r="L232" s="21"/>
    </row>
    <row r="233" spans="1:12" x14ac:dyDescent="0.2">
      <c r="A233" s="53" t="s">
        <v>5</v>
      </c>
      <c r="B233" s="39">
        <v>2032</v>
      </c>
      <c r="D233" s="60"/>
      <c r="L233" s="21"/>
    </row>
    <row r="234" spans="1:12" x14ac:dyDescent="0.2">
      <c r="A234" s="53" t="s">
        <v>207</v>
      </c>
      <c r="B234" s="36">
        <v>0.2</v>
      </c>
      <c r="D234" s="60"/>
      <c r="E234" s="59" t="s">
        <v>211</v>
      </c>
      <c r="L234" s="21"/>
    </row>
    <row r="235" spans="1:12" x14ac:dyDescent="0.2">
      <c r="A235" s="53" t="s">
        <v>208</v>
      </c>
      <c r="B235" s="38">
        <v>3</v>
      </c>
      <c r="D235" s="60" t="s">
        <v>214</v>
      </c>
      <c r="L235" s="21"/>
    </row>
    <row r="236" spans="1:12" x14ac:dyDescent="0.2">
      <c r="A236" s="53"/>
      <c r="D236" s="60"/>
      <c r="L236" s="21"/>
    </row>
    <row r="237" spans="1:12" x14ac:dyDescent="0.2">
      <c r="A237" s="22" t="s">
        <v>210</v>
      </c>
      <c r="B237" s="34"/>
      <c r="D237" s="60"/>
      <c r="L237" s="21"/>
    </row>
    <row r="238" spans="1:12" x14ac:dyDescent="0.2">
      <c r="A238" s="53" t="s">
        <v>5</v>
      </c>
      <c r="B238" s="39">
        <v>2037</v>
      </c>
      <c r="D238" s="60"/>
      <c r="L238" s="21"/>
    </row>
    <row r="239" spans="1:12" x14ac:dyDescent="0.2">
      <c r="A239" s="53" t="s">
        <v>207</v>
      </c>
      <c r="B239" s="36">
        <v>0.08</v>
      </c>
      <c r="D239" s="60"/>
      <c r="E239" s="59" t="s">
        <v>211</v>
      </c>
      <c r="L239" s="21"/>
    </row>
    <row r="240" spans="1:12" x14ac:dyDescent="0.2">
      <c r="A240" s="53" t="s">
        <v>208</v>
      </c>
      <c r="B240" s="38">
        <v>3</v>
      </c>
      <c r="D240" s="60" t="s">
        <v>214</v>
      </c>
      <c r="L240" s="21"/>
    </row>
    <row r="241" spans="1:12" x14ac:dyDescent="0.2">
      <c r="A241" s="53"/>
      <c r="D241" s="60"/>
      <c r="L241" s="21"/>
    </row>
    <row r="242" spans="1:12" x14ac:dyDescent="0.2">
      <c r="A242" s="22" t="s">
        <v>212</v>
      </c>
      <c r="B242" s="34"/>
      <c r="D242" s="60"/>
      <c r="L242" s="21"/>
    </row>
    <row r="243" spans="1:12" x14ac:dyDescent="0.2">
      <c r="A243" s="53" t="s">
        <v>5</v>
      </c>
      <c r="B243" s="39">
        <v>2045</v>
      </c>
      <c r="D243" s="60"/>
      <c r="L243" s="21"/>
    </row>
    <row r="244" spans="1:12" x14ac:dyDescent="0.2">
      <c r="A244" s="53" t="s">
        <v>207</v>
      </c>
      <c r="B244" s="36">
        <v>0.18</v>
      </c>
      <c r="D244" s="60"/>
      <c r="E244" s="59" t="s">
        <v>211</v>
      </c>
      <c r="L244" s="21"/>
    </row>
    <row r="245" spans="1:12" x14ac:dyDescent="0.2">
      <c r="A245" s="53" t="s">
        <v>208</v>
      </c>
      <c r="B245" s="38">
        <v>2</v>
      </c>
      <c r="D245" s="60" t="s">
        <v>214</v>
      </c>
      <c r="L245" s="21"/>
    </row>
    <row r="246" spans="1:12" x14ac:dyDescent="0.2">
      <c r="A246" s="53"/>
      <c r="D246" s="60"/>
      <c r="L246" s="21"/>
    </row>
    <row r="247" spans="1:12" x14ac:dyDescent="0.2">
      <c r="A247" s="22" t="s">
        <v>213</v>
      </c>
      <c r="B247" s="34"/>
      <c r="D247" s="60"/>
      <c r="L247" s="21"/>
    </row>
    <row r="248" spans="1:12" x14ac:dyDescent="0.2">
      <c r="A248" s="53" t="s">
        <v>5</v>
      </c>
      <c r="B248" s="39">
        <v>2050</v>
      </c>
      <c r="D248" s="60"/>
      <c r="L248" s="21"/>
    </row>
    <row r="249" spans="1:12" x14ac:dyDescent="0.2">
      <c r="A249" s="53" t="s">
        <v>207</v>
      </c>
      <c r="B249" s="36">
        <v>0.28000000000000003</v>
      </c>
      <c r="D249" s="60"/>
      <c r="E249" s="59" t="s">
        <v>211</v>
      </c>
      <c r="L249" s="21"/>
    </row>
    <row r="250" spans="1:12" x14ac:dyDescent="0.2">
      <c r="A250" s="53" t="s">
        <v>208</v>
      </c>
      <c r="B250" s="38">
        <v>6</v>
      </c>
      <c r="D250" s="60" t="s">
        <v>214</v>
      </c>
      <c r="L250" s="21"/>
    </row>
    <row r="251" spans="1:12" x14ac:dyDescent="0.2">
      <c r="A251" s="53"/>
      <c r="D251" s="60"/>
      <c r="L251" s="21"/>
    </row>
    <row r="252" spans="1:12" ht="19" x14ac:dyDescent="0.25">
      <c r="A252" s="81" t="s">
        <v>110</v>
      </c>
      <c r="B252" s="82"/>
      <c r="C252" s="87" t="s">
        <v>138</v>
      </c>
      <c r="D252" s="60"/>
      <c r="E252" s="59" t="s">
        <v>140</v>
      </c>
      <c r="L252" s="21"/>
    </row>
    <row r="253" spans="1:12" x14ac:dyDescent="0.2">
      <c r="D253" s="60"/>
      <c r="L253" s="21"/>
    </row>
    <row r="254" spans="1:12" x14ac:dyDescent="0.2">
      <c r="A254" s="18" t="s">
        <v>38</v>
      </c>
      <c r="B254" s="35">
        <v>85</v>
      </c>
      <c r="C254" s="46">
        <v>85</v>
      </c>
      <c r="L254" s="21"/>
    </row>
    <row r="255" spans="1:12" x14ac:dyDescent="0.2">
      <c r="A255" s="18"/>
      <c r="C255" s="19"/>
      <c r="D255" s="60"/>
      <c r="L255" s="21"/>
    </row>
    <row r="256" spans="1:12" s="19" customFormat="1" x14ac:dyDescent="0.2">
      <c r="A256" s="18" t="s">
        <v>56</v>
      </c>
      <c r="D256" s="61"/>
      <c r="E256" s="59"/>
      <c r="F256" s="69"/>
      <c r="G256" s="73"/>
    </row>
    <row r="257" spans="1:12" s="19" customFormat="1" x14ac:dyDescent="0.2">
      <c r="A257" s="22" t="s">
        <v>66</v>
      </c>
      <c r="B257" s="40">
        <v>0</v>
      </c>
      <c r="C257" s="47">
        <v>0</v>
      </c>
      <c r="D257" s="62" t="s">
        <v>4</v>
      </c>
      <c r="E257" s="59"/>
      <c r="F257" s="69"/>
      <c r="G257" s="73"/>
    </row>
    <row r="258" spans="1:12" s="19" customFormat="1" x14ac:dyDescent="0.2">
      <c r="A258" s="22" t="s">
        <v>54</v>
      </c>
      <c r="B258" s="40">
        <v>-0.1</v>
      </c>
      <c r="C258" s="47">
        <v>-0.1</v>
      </c>
      <c r="D258" s="62" t="s">
        <v>4</v>
      </c>
      <c r="E258" s="59"/>
      <c r="F258" s="69"/>
      <c r="G258" s="73"/>
    </row>
    <row r="259" spans="1:12" s="19" customFormat="1" x14ac:dyDescent="0.2">
      <c r="A259" s="22" t="s">
        <v>55</v>
      </c>
      <c r="B259" s="40">
        <v>-0.2</v>
      </c>
      <c r="C259" s="47">
        <v>-0.2</v>
      </c>
      <c r="D259" s="62" t="s">
        <v>4</v>
      </c>
      <c r="E259" s="59"/>
      <c r="F259" s="69"/>
      <c r="G259" s="73"/>
    </row>
    <row r="260" spans="1:12" x14ac:dyDescent="0.2">
      <c r="C260" s="19"/>
      <c r="L260" s="21"/>
    </row>
    <row r="261" spans="1:12" x14ac:dyDescent="0.2">
      <c r="A261" s="18" t="s">
        <v>47</v>
      </c>
      <c r="B261" s="35">
        <v>12000</v>
      </c>
      <c r="C261" s="46"/>
      <c r="D261" s="60" t="s">
        <v>101</v>
      </c>
      <c r="L261" s="21"/>
    </row>
    <row r="262" spans="1:12" x14ac:dyDescent="0.2">
      <c r="A262" s="22" t="s">
        <v>117</v>
      </c>
      <c r="B262" s="35">
        <v>58</v>
      </c>
      <c r="C262" s="46"/>
      <c r="D262" s="60"/>
      <c r="L262" s="21"/>
    </row>
    <row r="263" spans="1:12" x14ac:dyDescent="0.2">
      <c r="A263" s="22" t="s">
        <v>118</v>
      </c>
      <c r="B263" s="35">
        <v>69</v>
      </c>
      <c r="C263" s="46"/>
      <c r="D263" s="60"/>
      <c r="E263" s="59" t="s">
        <v>150</v>
      </c>
      <c r="L263" s="21"/>
    </row>
    <row r="264" spans="1:12" x14ac:dyDescent="0.2">
      <c r="C264" s="19"/>
      <c r="D264" s="60"/>
      <c r="L264" s="21"/>
    </row>
    <row r="265" spans="1:12" x14ac:dyDescent="0.2">
      <c r="A265" s="18" t="s">
        <v>171</v>
      </c>
      <c r="B265" s="36">
        <v>2.5000000000000001E-2</v>
      </c>
      <c r="C265" s="48">
        <v>2.5000000000000001E-2</v>
      </c>
      <c r="L265" s="21"/>
    </row>
    <row r="266" spans="1:12" x14ac:dyDescent="0.2">
      <c r="C266" s="19"/>
      <c r="D266" s="60"/>
      <c r="L266" s="21"/>
    </row>
    <row r="267" spans="1:12" x14ac:dyDescent="0.2">
      <c r="A267" s="18" t="s">
        <v>115</v>
      </c>
      <c r="B267" s="36">
        <v>0.03</v>
      </c>
      <c r="C267" s="48">
        <v>0.03</v>
      </c>
      <c r="D267" s="60" t="s">
        <v>91</v>
      </c>
      <c r="L267" s="21"/>
    </row>
    <row r="268" spans="1:12" x14ac:dyDescent="0.2">
      <c r="C268" s="19"/>
      <c r="D268" s="60"/>
      <c r="L268" s="21"/>
    </row>
    <row r="269" spans="1:12" x14ac:dyDescent="0.2">
      <c r="A269" s="18" t="s">
        <v>111</v>
      </c>
      <c r="B269" s="41">
        <v>2.5000000000000001E-2</v>
      </c>
      <c r="C269" s="49">
        <v>2.5000000000000001E-2</v>
      </c>
      <c r="D269" s="60" t="s">
        <v>91</v>
      </c>
      <c r="L269" s="21"/>
    </row>
    <row r="270" spans="1:12" x14ac:dyDescent="0.2">
      <c r="C270" s="19"/>
      <c r="D270" s="60"/>
      <c r="L270" s="21"/>
    </row>
    <row r="271" spans="1:12" x14ac:dyDescent="0.2">
      <c r="A271" s="18" t="s">
        <v>112</v>
      </c>
      <c r="B271" s="42">
        <v>0.08</v>
      </c>
      <c r="C271" s="50">
        <v>0.08</v>
      </c>
      <c r="D271" s="60" t="s">
        <v>91</v>
      </c>
      <c r="L271" s="21"/>
    </row>
    <row r="272" spans="1:12" x14ac:dyDescent="0.2">
      <c r="C272" s="19"/>
      <c r="D272" s="60"/>
      <c r="L272" s="21"/>
    </row>
    <row r="273" spans="1:13" x14ac:dyDescent="0.2">
      <c r="A273" s="18" t="s">
        <v>114</v>
      </c>
      <c r="B273" s="40">
        <v>0.03</v>
      </c>
      <c r="C273" s="47">
        <v>0.03</v>
      </c>
      <c r="D273" s="60" t="s">
        <v>91</v>
      </c>
      <c r="L273" s="21"/>
    </row>
    <row r="274" spans="1:13" x14ac:dyDescent="0.2">
      <c r="C274" s="19"/>
      <c r="D274" s="60"/>
      <c r="L274" s="21"/>
    </row>
    <row r="275" spans="1:13" x14ac:dyDescent="0.2">
      <c r="A275" s="18" t="s">
        <v>113</v>
      </c>
      <c r="B275" s="40">
        <v>0.03</v>
      </c>
      <c r="C275" s="47">
        <v>0.03</v>
      </c>
      <c r="L275" s="21"/>
    </row>
    <row r="276" spans="1:13" x14ac:dyDescent="0.2">
      <c r="C276" s="19"/>
      <c r="D276" s="60"/>
      <c r="L276" s="21"/>
    </row>
    <row r="277" spans="1:13" ht="17" x14ac:dyDescent="0.2">
      <c r="A277" s="55" t="s">
        <v>116</v>
      </c>
      <c r="B277" s="35">
        <v>300</v>
      </c>
      <c r="C277" s="46">
        <v>300</v>
      </c>
      <c r="D277" s="60" t="s">
        <v>122</v>
      </c>
      <c r="L277" s="21"/>
    </row>
    <row r="278" spans="1:13" x14ac:dyDescent="0.2">
      <c r="A278" s="18"/>
      <c r="C278" s="19"/>
      <c r="D278" s="60"/>
      <c r="L278" s="21"/>
    </row>
    <row r="279" spans="1:13" x14ac:dyDescent="0.2">
      <c r="A279" s="18" t="s">
        <v>69</v>
      </c>
      <c r="B279" s="35">
        <v>50000</v>
      </c>
      <c r="C279" s="46">
        <v>20000</v>
      </c>
      <c r="D279" s="60" t="s">
        <v>121</v>
      </c>
      <c r="L279" s="21"/>
    </row>
    <row r="280" spans="1:13" x14ac:dyDescent="0.2">
      <c r="C280" s="19"/>
      <c r="D280" s="60"/>
      <c r="L280" s="21"/>
    </row>
    <row r="281" spans="1:13" x14ac:dyDescent="0.2">
      <c r="A281" s="18" t="s">
        <v>175</v>
      </c>
      <c r="B281" s="35">
        <v>1000000</v>
      </c>
      <c r="C281" s="46">
        <v>0</v>
      </c>
      <c r="D281" s="60" t="s">
        <v>176</v>
      </c>
      <c r="L281" s="21"/>
    </row>
    <row r="282" spans="1:13" x14ac:dyDescent="0.2">
      <c r="C282" s="19"/>
      <c r="D282" s="60"/>
      <c r="L282" s="21"/>
    </row>
    <row r="283" spans="1:13" x14ac:dyDescent="0.2">
      <c r="A283" s="18" t="s">
        <v>124</v>
      </c>
      <c r="B283" s="40">
        <v>0.05</v>
      </c>
      <c r="C283" s="47">
        <v>0.05</v>
      </c>
      <c r="D283" s="60" t="s">
        <v>123</v>
      </c>
      <c r="L283" s="21"/>
    </row>
    <row r="284" spans="1:13" x14ac:dyDescent="0.2">
      <c r="A284" s="53"/>
      <c r="C284" s="19"/>
      <c r="L284" s="21"/>
    </row>
    <row r="285" spans="1:13" x14ac:dyDescent="0.2">
      <c r="A285" s="18" t="s">
        <v>125</v>
      </c>
      <c r="B285" s="40">
        <v>0.15</v>
      </c>
      <c r="C285" s="47">
        <v>0.15</v>
      </c>
      <c r="D285" s="60" t="s">
        <v>126</v>
      </c>
      <c r="L285" s="21"/>
    </row>
    <row r="286" spans="1:13" x14ac:dyDescent="0.2">
      <c r="C286" s="19"/>
      <c r="L286" s="21"/>
      <c r="M286" s="19"/>
    </row>
    <row r="287" spans="1:13" x14ac:dyDescent="0.2">
      <c r="A287" s="18" t="s">
        <v>200</v>
      </c>
      <c r="B287" s="40">
        <v>0.02</v>
      </c>
      <c r="C287" s="47">
        <v>0.02</v>
      </c>
      <c r="D287" s="60" t="s">
        <v>201</v>
      </c>
      <c r="L287" s="21"/>
      <c r="M287" s="19"/>
    </row>
    <row r="288" spans="1:13" x14ac:dyDescent="0.2">
      <c r="C288" s="19"/>
      <c r="L288" s="21"/>
      <c r="M288" s="19"/>
    </row>
    <row r="289" spans="1:13" ht="17" x14ac:dyDescent="0.2">
      <c r="A289" s="55" t="s">
        <v>192</v>
      </c>
      <c r="C289" s="19"/>
      <c r="D289" s="63"/>
      <c r="L289" s="21"/>
      <c r="M289" s="19"/>
    </row>
    <row r="290" spans="1:13" x14ac:dyDescent="0.2">
      <c r="A290" s="56" t="str">
        <f>B60</f>
        <v>Sliema</v>
      </c>
      <c r="B290" s="43">
        <v>10</v>
      </c>
      <c r="C290" s="19">
        <f>IF(F290&lt;=0,"",_xlfn.RANK.EQ(F290,$F$290:$F$299,1)-COUNTIF($F$290:$F$299,0))</f>
        <v>10</v>
      </c>
      <c r="D290" s="60" t="s">
        <v>127</v>
      </c>
      <c r="F290" s="73">
        <f>B61</f>
        <v>300000</v>
      </c>
      <c r="L290" s="21"/>
    </row>
    <row r="291" spans="1:13" x14ac:dyDescent="0.2">
      <c r="A291" s="56" t="str">
        <f>B65</f>
        <v>Gzira</v>
      </c>
      <c r="B291" s="43">
        <v>7</v>
      </c>
      <c r="C291" s="19">
        <f t="shared" ref="C291:C299" si="0">IF(F291&lt;=0,"",_xlfn.RANK.EQ(F291,$F$290:$F$299,1)-COUNTIF($F$290:$F$299,0))</f>
        <v>7</v>
      </c>
      <c r="D291" s="64"/>
      <c r="F291" s="73">
        <f>B66</f>
        <v>150000</v>
      </c>
      <c r="L291" s="21"/>
    </row>
    <row r="292" spans="1:13" x14ac:dyDescent="0.2">
      <c r="A292" s="56" t="str">
        <f>B70</f>
        <v>Qormi</v>
      </c>
      <c r="B292" s="43">
        <v>9</v>
      </c>
      <c r="C292" s="19">
        <f t="shared" si="0"/>
        <v>9</v>
      </c>
      <c r="D292" s="64"/>
      <c r="F292" s="73">
        <f>B71</f>
        <v>220000</v>
      </c>
      <c r="L292" s="21"/>
    </row>
    <row r="293" spans="1:13" x14ac:dyDescent="0.2">
      <c r="A293" s="56" t="str">
        <f>B75</f>
        <v>Gudja</v>
      </c>
      <c r="B293" s="43">
        <v>4</v>
      </c>
      <c r="C293" s="19">
        <f t="shared" si="0"/>
        <v>4</v>
      </c>
      <c r="D293" s="64"/>
      <c r="F293" s="74">
        <f>B76</f>
        <v>80000</v>
      </c>
      <c r="L293" s="21"/>
    </row>
    <row r="294" spans="1:13" x14ac:dyDescent="0.2">
      <c r="A294" s="56" t="str">
        <f>B80</f>
        <v>Marsa</v>
      </c>
      <c r="B294" s="43">
        <v>6</v>
      </c>
      <c r="C294" s="19">
        <f t="shared" si="0"/>
        <v>6</v>
      </c>
      <c r="D294" s="64"/>
      <c r="F294" s="74">
        <f>B81</f>
        <v>120000</v>
      </c>
      <c r="L294" s="21"/>
    </row>
    <row r="295" spans="1:13" x14ac:dyDescent="0.2">
      <c r="A295" s="56" t="str">
        <f>B87</f>
        <v>Jewelry</v>
      </c>
      <c r="B295" s="43">
        <v>3</v>
      </c>
      <c r="C295" s="19">
        <f t="shared" si="0"/>
        <v>3</v>
      </c>
      <c r="D295" s="64"/>
      <c r="F295" s="74">
        <f>B88</f>
        <v>50000</v>
      </c>
      <c r="L295" s="21"/>
    </row>
    <row r="296" spans="1:13" x14ac:dyDescent="0.2">
      <c r="A296" s="56" t="str">
        <f>B92</f>
        <v>Car</v>
      </c>
      <c r="B296" s="43">
        <v>2</v>
      </c>
      <c r="C296" s="19">
        <f t="shared" si="0"/>
        <v>2</v>
      </c>
      <c r="D296" s="64"/>
      <c r="F296" s="74">
        <f>B93</f>
        <v>40000</v>
      </c>
      <c r="L296" s="21"/>
    </row>
    <row r="297" spans="1:13" x14ac:dyDescent="0.2">
      <c r="A297" s="56" t="str">
        <f>B97</f>
        <v>Painting</v>
      </c>
      <c r="B297" s="43">
        <v>1</v>
      </c>
      <c r="C297" s="19">
        <f t="shared" si="0"/>
        <v>1</v>
      </c>
      <c r="D297" s="64"/>
      <c r="F297" s="74">
        <f>B98</f>
        <v>20000</v>
      </c>
      <c r="L297" s="21"/>
    </row>
    <row r="298" spans="1:13" x14ac:dyDescent="0.2">
      <c r="A298" s="56" t="str">
        <f>B102</f>
        <v>Boat</v>
      </c>
      <c r="B298" s="43">
        <v>8</v>
      </c>
      <c r="C298" s="19">
        <f t="shared" si="0"/>
        <v>8</v>
      </c>
      <c r="D298" s="64"/>
      <c r="F298" s="74">
        <f>B103</f>
        <v>180000</v>
      </c>
      <c r="L298" s="21"/>
    </row>
    <row r="299" spans="1:13" x14ac:dyDescent="0.2">
      <c r="A299" s="56" t="str">
        <f>B107</f>
        <v>Antiques</v>
      </c>
      <c r="B299" s="43">
        <v>5</v>
      </c>
      <c r="C299" s="19">
        <f t="shared" si="0"/>
        <v>5</v>
      </c>
      <c r="D299" s="64"/>
      <c r="F299" s="74">
        <f>B108</f>
        <v>82000</v>
      </c>
      <c r="L299" s="21"/>
    </row>
    <row r="300" spans="1:13" x14ac:dyDescent="0.2">
      <c r="A300" s="75"/>
      <c r="B300" s="33"/>
      <c r="C300" s="76"/>
      <c r="L300" s="21"/>
    </row>
    <row r="301" spans="1:13" x14ac:dyDescent="0.2">
      <c r="L301" s="21"/>
    </row>
    <row r="302" spans="1:13" x14ac:dyDescent="0.2">
      <c r="A302" s="34" t="s">
        <v>172</v>
      </c>
      <c r="B302" s="19">
        <f ca="1">13-MONTH(TODAY())</f>
        <v>9</v>
      </c>
      <c r="D302" s="21"/>
      <c r="L302" s="21"/>
    </row>
    <row r="303" spans="1:13" x14ac:dyDescent="0.2">
      <c r="A303" s="34" t="s">
        <v>173</v>
      </c>
      <c r="B303" s="19">
        <f ca="1">B302-12</f>
        <v>-3</v>
      </c>
      <c r="L303" s="21"/>
    </row>
    <row r="304" spans="1:13" x14ac:dyDescent="0.2">
      <c r="A304" s="34" t="s">
        <v>174</v>
      </c>
      <c r="B304" s="77">
        <f ca="1">B302/12</f>
        <v>0.75</v>
      </c>
      <c r="L304" s="21"/>
    </row>
    <row r="305" spans="1:12" x14ac:dyDescent="0.2">
      <c r="A305" s="34"/>
      <c r="L305" s="21"/>
    </row>
    <row r="306" spans="1:12" x14ac:dyDescent="0.2">
      <c r="A306" s="34" t="s">
        <v>202</v>
      </c>
      <c r="B306" s="19" t="s">
        <v>23</v>
      </c>
      <c r="C306" s="19" t="s">
        <v>203</v>
      </c>
    </row>
    <row r="307" spans="1:12" x14ac:dyDescent="0.2">
      <c r="A307" s="90" t="str">
        <f>A290</f>
        <v>Sliema</v>
      </c>
      <c r="B307" s="89">
        <f>princ</f>
        <v>0.03</v>
      </c>
      <c r="C307" s="89" cm="1">
        <f t="array" ref="C307">DCprop</f>
        <v>0.15</v>
      </c>
    </row>
    <row r="308" spans="1:12" x14ac:dyDescent="0.2">
      <c r="A308" s="90" t="str">
        <f t="shared" ref="A308:A316" si="1">A291</f>
        <v>Gzira</v>
      </c>
      <c r="B308" s="89">
        <f>princ</f>
        <v>0.03</v>
      </c>
      <c r="C308" s="89" cm="1">
        <f t="array" ref="C308">DCprop</f>
        <v>0.15</v>
      </c>
    </row>
    <row r="309" spans="1:12" x14ac:dyDescent="0.2">
      <c r="A309" s="90" t="str">
        <f t="shared" si="1"/>
        <v>Qormi</v>
      </c>
      <c r="B309" s="89">
        <f>princ</f>
        <v>0.03</v>
      </c>
      <c r="C309" s="89" cm="1">
        <f t="array" ref="C309">DCprop</f>
        <v>0.15</v>
      </c>
    </row>
    <row r="310" spans="1:12" x14ac:dyDescent="0.2">
      <c r="A310" s="90" t="str">
        <f t="shared" si="1"/>
        <v>Gudja</v>
      </c>
      <c r="B310" s="89">
        <f>princ</f>
        <v>0.03</v>
      </c>
      <c r="C310" s="89" cm="1">
        <f t="array" ref="C310">DCprop</f>
        <v>0.15</v>
      </c>
    </row>
    <row r="311" spans="1:12" x14ac:dyDescent="0.2">
      <c r="A311" s="90" t="str">
        <f t="shared" si="1"/>
        <v>Marsa</v>
      </c>
      <c r="B311" s="89">
        <f>princ</f>
        <v>0.03</v>
      </c>
      <c r="C311" s="89" cm="1">
        <f t="array" ref="C311">DCprop</f>
        <v>0.15</v>
      </c>
    </row>
    <row r="312" spans="1:12" x14ac:dyDescent="0.2">
      <c r="A312" s="90" t="str">
        <f t="shared" si="1"/>
        <v>Jewelry</v>
      </c>
      <c r="B312" s="89">
        <f>A1inc</f>
        <v>0.02</v>
      </c>
      <c r="C312" s="89">
        <f>DCoth</f>
        <v>0.02</v>
      </c>
    </row>
    <row r="313" spans="1:12" x14ac:dyDescent="0.2">
      <c r="A313" s="90" t="str">
        <f t="shared" si="1"/>
        <v>Car</v>
      </c>
      <c r="B313" s="89">
        <f>A2inc</f>
        <v>-0.05</v>
      </c>
      <c r="C313" s="89">
        <f>DCoth</f>
        <v>0.02</v>
      </c>
    </row>
    <row r="314" spans="1:12" x14ac:dyDescent="0.2">
      <c r="A314" s="90" t="str">
        <f t="shared" si="1"/>
        <v>Painting</v>
      </c>
      <c r="B314" s="89">
        <f>A3inc</f>
        <v>0.03</v>
      </c>
      <c r="C314" s="89">
        <f>DCoth</f>
        <v>0.02</v>
      </c>
    </row>
    <row r="315" spans="1:12" x14ac:dyDescent="0.2">
      <c r="A315" s="90" t="str">
        <f t="shared" si="1"/>
        <v>Boat</v>
      </c>
      <c r="B315" s="89">
        <f>A4inc</f>
        <v>-0.05</v>
      </c>
      <c r="C315" s="89">
        <f>DCoth</f>
        <v>0.02</v>
      </c>
    </row>
    <row r="316" spans="1:12" x14ac:dyDescent="0.2">
      <c r="A316" s="90" t="str">
        <f t="shared" si="1"/>
        <v>Antiques</v>
      </c>
      <c r="B316" s="89">
        <f>A5inc</f>
        <v>0.02</v>
      </c>
      <c r="C316" s="89">
        <f>DCoth</f>
        <v>0.02</v>
      </c>
    </row>
    <row r="317" spans="1:12" x14ac:dyDescent="0.2">
      <c r="A317" s="88"/>
    </row>
    <row r="318" spans="1:12" x14ac:dyDescent="0.2">
      <c r="A318" s="88"/>
    </row>
    <row r="319" spans="1:12" x14ac:dyDescent="0.2">
      <c r="A319" s="88"/>
    </row>
  </sheetData>
  <phoneticPr fontId="4" type="noConversion"/>
  <dataValidations count="7">
    <dataValidation type="list" allowBlank="1" showInputMessage="1" showErrorMessage="1" sqref="B290:B299" xr:uid="{1C76E72A-4A74-9342-9CD6-96E686486B37}">
      <formula1>"0,1,2,3"</formula1>
    </dataValidation>
    <dataValidation type="whole" allowBlank="1" showInputMessage="1" showErrorMessage="1" sqref="B4:C4" xr:uid="{CEBCBBEB-61E4-314B-B9D6-B93D3329E6F5}">
      <formula1>18</formula1>
      <formula2>100</formula2>
    </dataValidation>
    <dataValidation type="decimal" allowBlank="1" showInputMessage="1" showErrorMessage="1" sqref="B267:C267" xr:uid="{A76CC167-ADB1-954D-BA8F-57DA6856622B}">
      <formula1>0</formula1>
      <formula2>0.5</formula2>
    </dataValidation>
    <dataValidation type="whole" allowBlank="1" showInputMessage="1" showErrorMessage="1" sqref="B35:C35 B40:C40 B45:C45 B50:C50 B55:C55" xr:uid="{A3B04CD6-6A0C-9D4A-960A-19DFAACFBC84}">
      <formula1>1</formula1>
      <formula2>99</formula2>
    </dataValidation>
    <dataValidation type="custom" allowBlank="1" showInputMessage="1" showErrorMessage="1" sqref="C254" xr:uid="{78711C78-86C7-AC4E-B0D1-FA577F555676}">
      <formula1>AND(C254&gt;I4,C254&lt;=100)</formula1>
    </dataValidation>
    <dataValidation type="custom" allowBlank="1" showInputMessage="1" showErrorMessage="1" sqref="B254" xr:uid="{CFCAF581-183B-7347-97B6-0AC7B0FFD5E6}">
      <formula1>AND(B254&gt;B4,B254&lt;=100)</formula1>
    </dataValidation>
    <dataValidation type="list" allowBlank="1" showInputMessage="1" showErrorMessage="1" sqref="B219" xr:uid="{7283AA83-2D59-EE43-86DE-B8C57A9ADAE4}">
      <formula1>"Buy,Rent"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C8C7B-D167-A641-8E52-8DBE60839A73}">
  <sheetPr codeName="Sheet6">
    <tabColor theme="7" tint="0.79998168889431442"/>
  </sheetPr>
  <dimension ref="J2:AA13"/>
  <sheetViews>
    <sheetView showGridLines="0" zoomScale="111" zoomScaleNormal="110" workbookViewId="0"/>
  </sheetViews>
  <sheetFormatPr baseColWidth="10" defaultColWidth="11.1640625" defaultRowHeight="16" x14ac:dyDescent="0.2"/>
  <cols>
    <col min="21" max="21" width="11.5" customWidth="1"/>
    <col min="22" max="22" width="8.6640625" customWidth="1"/>
    <col min="23" max="27" width="0" hidden="1" customWidth="1"/>
  </cols>
  <sheetData>
    <row r="2" spans="10:27" ht="19" x14ac:dyDescent="0.25">
      <c r="V2" s="57" t="s">
        <v>148</v>
      </c>
      <c r="AA2" s="2" t="str">
        <f>"Retire at  "&amp;RetEarly_Engine!B3</f>
        <v>Retire at  49</v>
      </c>
    </row>
    <row r="3" spans="10:27" x14ac:dyDescent="0.2">
      <c r="V3" s="94">
        <f>RetEarly_Engine!B3</f>
        <v>49</v>
      </c>
      <c r="AA3" s="2" t="str">
        <f>"Retire at  "&amp;RetAge</f>
        <v>Retire at  65</v>
      </c>
    </row>
    <row r="4" spans="10:27" x14ac:dyDescent="0.2">
      <c r="K4" s="2"/>
      <c r="V4" s="94"/>
    </row>
    <row r="13" spans="10:27" x14ac:dyDescent="0.2">
      <c r="J13" s="13"/>
    </row>
  </sheetData>
  <mergeCells count="1">
    <mergeCell ref="V3:V4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Spinner 1">
              <controlPr defaultSize="0" autoPict="0">
                <anchor moveWithCells="1" sizeWithCells="1">
                  <from>
                    <xdr:col>21</xdr:col>
                    <xdr:colOff>38100</xdr:colOff>
                    <xdr:row>4</xdr:row>
                    <xdr:rowOff>63500</xdr:rowOff>
                  </from>
                  <to>
                    <xdr:col>21</xdr:col>
                    <xdr:colOff>660400</xdr:colOff>
                    <xdr:row>9</xdr:row>
                    <xdr:rowOff>63500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5D27E-B873-BD4B-AD92-1E837389CA3B}">
  <sheetPr codeName="Sheet2"/>
  <dimension ref="A1:AR527"/>
  <sheetViews>
    <sheetView zoomScale="120" zoomScaleNormal="120" workbookViewId="0">
      <pane xSplit="1" ySplit="3" topLeftCell="X371" activePane="bottomRight" state="frozen"/>
      <selection activeCell="A246" sqref="A246:XFD253"/>
      <selection pane="topRight" activeCell="A246" sqref="A246:XFD253"/>
      <selection pane="bottomLeft" activeCell="A246" sqref="A246:XFD253"/>
      <selection pane="bottomRight" activeCell="AM381" sqref="AM381:AM382"/>
    </sheetView>
  </sheetViews>
  <sheetFormatPr baseColWidth="10" defaultRowHeight="16" x14ac:dyDescent="0.2"/>
  <cols>
    <col min="1" max="1" width="39.33203125" style="2" customWidth="1"/>
    <col min="2" max="2" width="4.33203125" style="6" customWidth="1"/>
    <col min="3" max="39" width="11.83203125" style="2" customWidth="1"/>
    <col min="40" max="2605" width="11.83203125" customWidth="1"/>
  </cols>
  <sheetData>
    <row r="1" spans="1:39" x14ac:dyDescent="0.2">
      <c r="B1" s="5">
        <v>0</v>
      </c>
      <c r="C1" s="2">
        <v>1</v>
      </c>
      <c r="D1" s="2">
        <f>C1+1</f>
        <v>2</v>
      </c>
      <c r="E1" s="2">
        <f t="shared" ref="E1:I2" si="0">D1+1</f>
        <v>3</v>
      </c>
      <c r="F1" s="2">
        <f t="shared" si="0"/>
        <v>4</v>
      </c>
      <c r="G1" s="2">
        <f t="shared" si="0"/>
        <v>5</v>
      </c>
      <c r="H1" s="2">
        <f t="shared" si="0"/>
        <v>6</v>
      </c>
      <c r="I1" s="2">
        <f t="shared" si="0"/>
        <v>7</v>
      </c>
      <c r="J1" s="2">
        <f t="shared" ref="J1:J3" si="1">I1+1</f>
        <v>8</v>
      </c>
      <c r="K1" s="2">
        <f t="shared" ref="K1:K3" si="2">J1+1</f>
        <v>9</v>
      </c>
      <c r="L1" s="2">
        <f t="shared" ref="L1:L3" si="3">K1+1</f>
        <v>10</v>
      </c>
      <c r="M1" s="2">
        <f t="shared" ref="M1:M3" si="4">L1+1</f>
        <v>11</v>
      </c>
      <c r="N1" s="2">
        <f t="shared" ref="N1:N3" si="5">M1+1</f>
        <v>12</v>
      </c>
      <c r="O1" s="2">
        <f t="shared" ref="O1:O3" si="6">N1+1</f>
        <v>13</v>
      </c>
      <c r="P1" s="2">
        <f t="shared" ref="P1:P3" si="7">O1+1</f>
        <v>14</v>
      </c>
      <c r="Q1" s="2">
        <f t="shared" ref="Q1:Q3" si="8">P1+1</f>
        <v>15</v>
      </c>
      <c r="R1" s="2">
        <f t="shared" ref="R1:R3" si="9">Q1+1</f>
        <v>16</v>
      </c>
      <c r="S1" s="2">
        <f t="shared" ref="S1:S3" si="10">R1+1</f>
        <v>17</v>
      </c>
      <c r="T1" s="2">
        <f t="shared" ref="T1:T3" si="11">S1+1</f>
        <v>18</v>
      </c>
      <c r="U1" s="2">
        <f t="shared" ref="U1:U3" si="12">T1+1</f>
        <v>19</v>
      </c>
      <c r="V1" s="2">
        <f t="shared" ref="V1:V3" si="13">U1+1</f>
        <v>20</v>
      </c>
      <c r="W1" s="2">
        <f t="shared" ref="W1:W3" si="14">V1+1</f>
        <v>21</v>
      </c>
      <c r="X1" s="2">
        <f t="shared" ref="X1:X3" si="15">W1+1</f>
        <v>22</v>
      </c>
      <c r="Y1" s="2">
        <f t="shared" ref="Y1:Y3" si="16">X1+1</f>
        <v>23</v>
      </c>
      <c r="Z1" s="2">
        <f t="shared" ref="Z1:Z3" si="17">Y1+1</f>
        <v>24</v>
      </c>
      <c r="AA1" s="2">
        <f t="shared" ref="AA1:AA3" si="18">Z1+1</f>
        <v>25</v>
      </c>
      <c r="AB1" s="2">
        <f t="shared" ref="AB1:AB3" si="19">AA1+1</f>
        <v>26</v>
      </c>
      <c r="AC1" s="2">
        <f t="shared" ref="AC1:AC3" si="20">AB1+1</f>
        <v>27</v>
      </c>
      <c r="AD1" s="2">
        <f t="shared" ref="AD1:AD3" si="21">AC1+1</f>
        <v>28</v>
      </c>
      <c r="AE1" s="2">
        <f t="shared" ref="AE1:AE3" si="22">AD1+1</f>
        <v>29</v>
      </c>
      <c r="AF1" s="2">
        <f t="shared" ref="AF1:AF3" si="23">AE1+1</f>
        <v>30</v>
      </c>
      <c r="AG1" s="2">
        <f t="shared" ref="AG1:AG3" si="24">AF1+1</f>
        <v>31</v>
      </c>
      <c r="AH1" s="2">
        <f t="shared" ref="AH1:AH3" si="25">AG1+1</f>
        <v>32</v>
      </c>
      <c r="AI1" s="2">
        <f t="shared" ref="AI1:AI3" si="26">AH1+1</f>
        <v>33</v>
      </c>
      <c r="AJ1" s="2">
        <f t="shared" ref="AJ1:AJ3" si="27">AI1+1</f>
        <v>34</v>
      </c>
      <c r="AK1" s="2">
        <f t="shared" ref="AK1:AK3" si="28">AJ1+1</f>
        <v>35</v>
      </c>
      <c r="AL1" s="2">
        <f t="shared" ref="AL1:AL3" si="29">AK1+1</f>
        <v>36</v>
      </c>
      <c r="AM1" s="2">
        <f t="shared" ref="AM1:AM3" si="30">AL1+1</f>
        <v>37</v>
      </c>
    </row>
    <row r="2" spans="1:39" x14ac:dyDescent="0.2">
      <c r="A2" s="10"/>
      <c r="B2" s="5" t="s">
        <v>5</v>
      </c>
      <c r="C2" s="2">
        <f ca="1">YEAR(TODAY())</f>
        <v>2026</v>
      </c>
      <c r="D2" s="2">
        <f ca="1">C2+1</f>
        <v>2027</v>
      </c>
      <c r="E2" s="2">
        <f t="shared" ca="1" si="0"/>
        <v>2028</v>
      </c>
      <c r="F2" s="2">
        <f t="shared" ca="1" si="0"/>
        <v>2029</v>
      </c>
      <c r="G2" s="2">
        <f t="shared" ca="1" si="0"/>
        <v>2030</v>
      </c>
      <c r="H2" s="2">
        <f t="shared" ca="1" si="0"/>
        <v>2031</v>
      </c>
      <c r="I2" s="2">
        <f t="shared" ca="1" si="0"/>
        <v>2032</v>
      </c>
      <c r="J2" s="2">
        <f t="shared" ca="1" si="1"/>
        <v>2033</v>
      </c>
      <c r="K2" s="2">
        <f t="shared" ca="1" si="2"/>
        <v>2034</v>
      </c>
      <c r="L2" s="2">
        <f t="shared" ca="1" si="3"/>
        <v>2035</v>
      </c>
      <c r="M2" s="2">
        <f t="shared" ca="1" si="4"/>
        <v>2036</v>
      </c>
      <c r="N2" s="2">
        <f t="shared" ca="1" si="5"/>
        <v>2037</v>
      </c>
      <c r="O2" s="2">
        <f t="shared" ca="1" si="6"/>
        <v>2038</v>
      </c>
      <c r="P2" s="2">
        <f t="shared" ca="1" si="7"/>
        <v>2039</v>
      </c>
      <c r="Q2" s="2">
        <f t="shared" ca="1" si="8"/>
        <v>2040</v>
      </c>
      <c r="R2" s="2">
        <f t="shared" ca="1" si="9"/>
        <v>2041</v>
      </c>
      <c r="S2" s="2">
        <f t="shared" ca="1" si="10"/>
        <v>2042</v>
      </c>
      <c r="T2" s="2">
        <f t="shared" ca="1" si="11"/>
        <v>2043</v>
      </c>
      <c r="U2" s="2">
        <f t="shared" ca="1" si="12"/>
        <v>2044</v>
      </c>
      <c r="V2" s="2">
        <f t="shared" ca="1" si="13"/>
        <v>2045</v>
      </c>
      <c r="W2" s="2">
        <f t="shared" ca="1" si="14"/>
        <v>2046</v>
      </c>
      <c r="X2" s="2">
        <f t="shared" ca="1" si="15"/>
        <v>2047</v>
      </c>
      <c r="Y2" s="2">
        <f t="shared" ca="1" si="16"/>
        <v>2048</v>
      </c>
      <c r="Z2" s="2">
        <f t="shared" ca="1" si="17"/>
        <v>2049</v>
      </c>
      <c r="AA2" s="2">
        <f t="shared" ca="1" si="18"/>
        <v>2050</v>
      </c>
      <c r="AB2" s="2">
        <f t="shared" ca="1" si="19"/>
        <v>2051</v>
      </c>
      <c r="AC2" s="2">
        <f t="shared" ca="1" si="20"/>
        <v>2052</v>
      </c>
      <c r="AD2" s="2">
        <f t="shared" ca="1" si="21"/>
        <v>2053</v>
      </c>
      <c r="AE2" s="2">
        <f t="shared" ca="1" si="22"/>
        <v>2054</v>
      </c>
      <c r="AF2" s="2">
        <f t="shared" ca="1" si="23"/>
        <v>2055</v>
      </c>
      <c r="AG2" s="2">
        <f t="shared" ca="1" si="24"/>
        <v>2056</v>
      </c>
      <c r="AH2" s="2">
        <f t="shared" ca="1" si="25"/>
        <v>2057</v>
      </c>
      <c r="AI2" s="2">
        <f t="shared" ca="1" si="26"/>
        <v>2058</v>
      </c>
      <c r="AJ2" s="2">
        <f t="shared" ca="1" si="27"/>
        <v>2059</v>
      </c>
      <c r="AK2" s="2">
        <f t="shared" ca="1" si="28"/>
        <v>2060</v>
      </c>
      <c r="AL2" s="2">
        <f t="shared" ca="1" si="29"/>
        <v>2061</v>
      </c>
      <c r="AM2" s="2">
        <f t="shared" ca="1" si="30"/>
        <v>2062</v>
      </c>
    </row>
    <row r="3" spans="1:39" x14ac:dyDescent="0.2">
      <c r="A3" s="31"/>
      <c r="B3" s="32">
        <f>Inputs!B19</f>
        <v>65</v>
      </c>
      <c r="C3" s="2">
        <f>Inputs!B4</f>
        <v>48</v>
      </c>
      <c r="D3" s="2">
        <f>C3+1</f>
        <v>49</v>
      </c>
      <c r="E3" s="2">
        <f t="shared" ref="E3:I3" si="31">D3+1</f>
        <v>50</v>
      </c>
      <c r="F3" s="2">
        <f t="shared" si="31"/>
        <v>51</v>
      </c>
      <c r="G3" s="2">
        <f t="shared" si="31"/>
        <v>52</v>
      </c>
      <c r="H3" s="2">
        <f t="shared" si="31"/>
        <v>53</v>
      </c>
      <c r="I3" s="2">
        <f t="shared" si="31"/>
        <v>54</v>
      </c>
      <c r="J3" s="2">
        <f t="shared" si="1"/>
        <v>55</v>
      </c>
      <c r="K3" s="2">
        <f t="shared" si="2"/>
        <v>56</v>
      </c>
      <c r="L3" s="2">
        <f t="shared" si="3"/>
        <v>57</v>
      </c>
      <c r="M3" s="2">
        <f t="shared" si="4"/>
        <v>58</v>
      </c>
      <c r="N3" s="2">
        <f t="shared" si="5"/>
        <v>59</v>
      </c>
      <c r="O3" s="2">
        <f t="shared" si="6"/>
        <v>60</v>
      </c>
      <c r="P3" s="2">
        <f t="shared" si="7"/>
        <v>61</v>
      </c>
      <c r="Q3" s="2">
        <f t="shared" si="8"/>
        <v>62</v>
      </c>
      <c r="R3" s="2">
        <f t="shared" si="9"/>
        <v>63</v>
      </c>
      <c r="S3" s="2">
        <f t="shared" si="10"/>
        <v>64</v>
      </c>
      <c r="T3" s="2">
        <f t="shared" si="11"/>
        <v>65</v>
      </c>
      <c r="U3" s="2">
        <f t="shared" si="12"/>
        <v>66</v>
      </c>
      <c r="V3" s="2">
        <f t="shared" si="13"/>
        <v>67</v>
      </c>
      <c r="W3" s="2">
        <f t="shared" si="14"/>
        <v>68</v>
      </c>
      <c r="X3" s="2">
        <f t="shared" si="15"/>
        <v>69</v>
      </c>
      <c r="Y3" s="2">
        <f t="shared" si="16"/>
        <v>70</v>
      </c>
      <c r="Z3" s="2">
        <f t="shared" si="17"/>
        <v>71</v>
      </c>
      <c r="AA3" s="2">
        <f t="shared" si="18"/>
        <v>72</v>
      </c>
      <c r="AB3" s="2">
        <f t="shared" si="19"/>
        <v>73</v>
      </c>
      <c r="AC3" s="2">
        <f t="shared" si="20"/>
        <v>74</v>
      </c>
      <c r="AD3" s="2">
        <f t="shared" si="21"/>
        <v>75</v>
      </c>
      <c r="AE3" s="2">
        <f t="shared" si="22"/>
        <v>76</v>
      </c>
      <c r="AF3" s="2">
        <f t="shared" si="23"/>
        <v>77</v>
      </c>
      <c r="AG3" s="2">
        <f t="shared" si="24"/>
        <v>78</v>
      </c>
      <c r="AH3" s="2">
        <f t="shared" si="25"/>
        <v>79</v>
      </c>
      <c r="AI3" s="2">
        <f t="shared" si="26"/>
        <v>80</v>
      </c>
      <c r="AJ3" s="2">
        <f t="shared" si="27"/>
        <v>81</v>
      </c>
      <c r="AK3" s="2">
        <f t="shared" si="28"/>
        <v>82</v>
      </c>
      <c r="AL3" s="2">
        <f t="shared" si="29"/>
        <v>83</v>
      </c>
      <c r="AM3" s="2">
        <f t="shared" si="30"/>
        <v>84</v>
      </c>
    </row>
    <row r="4" spans="1:39" ht="19" x14ac:dyDescent="0.25">
      <c r="A4" s="12" t="s">
        <v>16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</row>
    <row r="5" spans="1:39" x14ac:dyDescent="0.2">
      <c r="A5" s="4" t="s">
        <v>46</v>
      </c>
      <c r="B5" s="8"/>
      <c r="C5" s="7">
        <f ca="1">IF(AND(Inputs!$B$19&gt;C3,$B$3&gt;C3),Inputs!$B$6*(1+sincr)^B1,0)*ProRate</f>
        <v>60000</v>
      </c>
      <c r="D5" s="7">
        <f>IF(AND(Inputs!$B$19&gt;D3,$B$3&gt;D3),Inputs!$B$6*(1+sincr)^C1,0)</f>
        <v>82400</v>
      </c>
      <c r="E5" s="7">
        <f>IF(AND(Inputs!$B$19&gt;E3,$B$3&gt;E3),Inputs!$B$6*(1+sincr)^D1,0)</f>
        <v>84872</v>
      </c>
      <c r="F5" s="7">
        <f>IF(AND(Inputs!$B$19&gt;F3,$B$3&gt;F3),Inputs!$B$6*(1+sincr)^E1,0)</f>
        <v>87418.16</v>
      </c>
      <c r="G5" s="7">
        <f>IF(AND(Inputs!$B$19&gt;G3,$B$3&gt;G3),Inputs!$B$6*(1+sincr)^F1,0)</f>
        <v>90040.704799999992</v>
      </c>
      <c r="H5" s="7">
        <f>IF(AND(Inputs!$B$19&gt;H3,$B$3&gt;H3),Inputs!$B$6*(1+sincr)^G1,0)</f>
        <v>92741.925943999988</v>
      </c>
      <c r="I5" s="7">
        <f>IF(AND(Inputs!$B$19&gt;I3,$B$3&gt;I3),Inputs!$B$6*(1+sincr)^H1,0)</f>
        <v>95524.183722319998</v>
      </c>
      <c r="J5" s="7">
        <f>IF(AND(Inputs!$B$19&gt;J3,$B$3&gt;J3),Inputs!$B$6*(1+sincr)^I1,0)</f>
        <v>98389.909233989601</v>
      </c>
      <c r="K5" s="7">
        <f>IF(AND(Inputs!$B$19&gt;K3,$B$3&gt;K3),Inputs!$B$6*(1+sincr)^J1,0)</f>
        <v>101341.60651100927</v>
      </c>
      <c r="L5" s="7">
        <f>IF(AND(Inputs!$B$19&gt;L3,$B$3&gt;L3),Inputs!$B$6*(1+sincr)^K1,0)</f>
        <v>104381.85470633955</v>
      </c>
      <c r="M5" s="7">
        <f>IF(AND(Inputs!$B$19&gt;M3,$B$3&gt;M3),Inputs!$B$6*(1+sincr)^L1,0)</f>
        <v>107513.31034752974</v>
      </c>
      <c r="N5" s="7">
        <f>IF(AND(Inputs!$B$19&gt;N3,$B$3&gt;N3),Inputs!$B$6*(1+sincr)^M1,0)</f>
        <v>110738.70965795564</v>
      </c>
      <c r="O5" s="7">
        <f>IF(AND(Inputs!$B$19&gt;O3,$B$3&gt;O3),Inputs!$B$6*(1+sincr)^N1,0)</f>
        <v>114060.87094769429</v>
      </c>
      <c r="P5" s="7">
        <f>IF(AND(Inputs!$B$19&gt;P3,$B$3&gt;P3),Inputs!$B$6*(1+sincr)^O1,0)</f>
        <v>117482.69707612511</v>
      </c>
      <c r="Q5" s="7">
        <f>IF(AND(Inputs!$B$19&gt;Q3,$B$3&gt;Q3),Inputs!$B$6*(1+sincr)^P1,0)</f>
        <v>121007.17798840888</v>
      </c>
      <c r="R5" s="7">
        <f>IF(AND(Inputs!$B$19&gt;R3,$B$3&gt;R3),Inputs!$B$6*(1+sincr)^Q1,0)</f>
        <v>124637.39332806115</v>
      </c>
      <c r="S5" s="7">
        <f>IF(AND(Inputs!$B$19&gt;S3,$B$3&gt;S3),Inputs!$B$6*(1+sincr)^R1,0)</f>
        <v>128376.51512790297</v>
      </c>
      <c r="T5" s="7">
        <f>IF(AND(Inputs!$B$19&gt;T3,$B$3&gt;T3),Inputs!$B$6*(1+sincr)^S1,0)</f>
        <v>0</v>
      </c>
      <c r="U5" s="7">
        <f>IF(AND(Inputs!$B$19&gt;U3,$B$3&gt;U3),Inputs!$B$6*(1+sincr)^T1,0)</f>
        <v>0</v>
      </c>
      <c r="V5" s="7">
        <f>IF(AND(Inputs!$B$19&gt;V3,$B$3&gt;V3),Inputs!$B$6*(1+sincr)^U1,0)</f>
        <v>0</v>
      </c>
      <c r="W5" s="7">
        <f>IF(AND(Inputs!$B$19&gt;W3,$B$3&gt;W3),Inputs!$B$6*(1+sincr)^V1,0)</f>
        <v>0</v>
      </c>
      <c r="X5" s="7">
        <f>IF(AND(Inputs!$B$19&gt;X3,$B$3&gt;X3),Inputs!$B$6*(1+sincr)^W1,0)</f>
        <v>0</v>
      </c>
      <c r="Y5" s="7">
        <f>IF(AND(Inputs!$B$19&gt;Y3,$B$3&gt;Y3),Inputs!$B$6*(1+sincr)^X1,0)</f>
        <v>0</v>
      </c>
      <c r="Z5" s="7">
        <f>IF(AND(Inputs!$B$19&gt;Z3,$B$3&gt;Z3),Inputs!$B$6*(1+sincr)^Y1,0)</f>
        <v>0</v>
      </c>
      <c r="AA5" s="7">
        <f>IF(AND(Inputs!$B$19&gt;AA3,$B$3&gt;AA3),Inputs!$B$6*(1+sincr)^Z1,0)</f>
        <v>0</v>
      </c>
      <c r="AB5" s="7">
        <f>IF(AND(Inputs!$B$19&gt;AB3,$B$3&gt;AB3),Inputs!$B$6*(1+sincr)^AA1,0)</f>
        <v>0</v>
      </c>
      <c r="AC5" s="7">
        <f>IF(AND(Inputs!$B$19&gt;AC3,$B$3&gt;AC3),Inputs!$B$6*(1+sincr)^AB1,0)</f>
        <v>0</v>
      </c>
      <c r="AD5" s="7">
        <f>IF(AND(Inputs!$B$19&gt;AD3,$B$3&gt;AD3),Inputs!$B$6*(1+sincr)^AC1,0)</f>
        <v>0</v>
      </c>
      <c r="AE5" s="7">
        <f>IF(AND(Inputs!$B$19&gt;AE3,$B$3&gt;AE3),Inputs!$B$6*(1+sincr)^AD1,0)</f>
        <v>0</v>
      </c>
      <c r="AF5" s="7">
        <f>IF(AND(Inputs!$B$19&gt;AF3,$B$3&gt;AF3),Inputs!$B$6*(1+sincr)^AE1,0)</f>
        <v>0</v>
      </c>
      <c r="AG5" s="7">
        <f>IF(AND(Inputs!$B$19&gt;AG3,$B$3&gt;AG3),Inputs!$B$6*(1+sincr)^AF1,0)</f>
        <v>0</v>
      </c>
      <c r="AH5" s="7">
        <f>IF(AND(Inputs!$B$19&gt;AH3,$B$3&gt;AH3),Inputs!$B$6*(1+sincr)^AG1,0)</f>
        <v>0</v>
      </c>
      <c r="AI5" s="7">
        <f>IF(AND(Inputs!$B$19&gt;AI3,$B$3&gt;AI3),Inputs!$B$6*(1+sincr)^AH1,0)</f>
        <v>0</v>
      </c>
      <c r="AJ5" s="7">
        <f>IF(AND(Inputs!$B$19&gt;AJ3,$B$3&gt;AJ3),Inputs!$B$6*(1+sincr)^AI1,0)</f>
        <v>0</v>
      </c>
      <c r="AK5" s="7">
        <f>IF(AND(Inputs!$B$19&gt;AK3,$B$3&gt;AK3),Inputs!$B$6*(1+sincr)^AJ1,0)</f>
        <v>0</v>
      </c>
      <c r="AL5" s="7">
        <f>IF(AND(Inputs!$B$19&gt;AL3,$B$3&gt;AL3),Inputs!$B$6*(1+sincr)^AK1,0)</f>
        <v>0</v>
      </c>
      <c r="AM5" s="7">
        <f>IF(AND(Inputs!$B$19&gt;AM3,$B$3&gt;AM3),Inputs!$B$6*(1+sincr)^AL1,0)</f>
        <v>0</v>
      </c>
    </row>
    <row r="6" spans="1:39" x14ac:dyDescent="0.2">
      <c r="A6" s="4" t="s">
        <v>13</v>
      </c>
      <c r="B6" s="8"/>
      <c r="C6" s="7">
        <f ca="1">IF(C$3&lt;=Inputs!$B$120,Inputs!$B$119,0)*(1+inf)^B$1*ProRate</f>
        <v>1500</v>
      </c>
      <c r="D6" s="7">
        <f>IF(D$3&lt;=Inputs!$B$120,Inputs!$B$119,0)*(1+inf)^C$1</f>
        <v>2050</v>
      </c>
      <c r="E6" s="7">
        <f>IF(E$3&lt;=Inputs!$B$120,Inputs!$B$119,0)*(1+inf)^D$1</f>
        <v>2101.25</v>
      </c>
      <c r="F6" s="7">
        <f>IF(F$3&lt;=Inputs!$B$120,Inputs!$B$119,0)*(1+inf)^E$1</f>
        <v>2153.7812499999995</v>
      </c>
      <c r="G6" s="7">
        <f>IF(G$3&lt;=Inputs!$B$120,Inputs!$B$119,0)*(1+inf)^F$1</f>
        <v>2207.6257812499994</v>
      </c>
      <c r="H6" s="7">
        <f>IF(H$3&lt;=Inputs!$B$120,Inputs!$B$119,0)*(1+inf)^G$1</f>
        <v>2262.8164257812491</v>
      </c>
      <c r="I6" s="7">
        <f>IF(I$3&lt;=Inputs!$B$120,Inputs!$B$119,0)*(1+inf)^H$1</f>
        <v>2319.3868364257805</v>
      </c>
      <c r="J6" s="7">
        <f>IF(J$3&lt;=Inputs!$B$120,Inputs!$B$119,0)*(1+inf)^I$1</f>
        <v>2377.3715073364251</v>
      </c>
      <c r="K6" s="7">
        <f>IF(K$3&lt;=Inputs!$B$120,Inputs!$B$119,0)*(1+inf)^J$1</f>
        <v>2436.8057950198354</v>
      </c>
      <c r="L6" s="7">
        <f>IF(L$3&lt;=Inputs!$B$120,Inputs!$B$119,0)*(1+inf)^K$1</f>
        <v>2497.7259398953311</v>
      </c>
      <c r="M6" s="7">
        <f>IF(M$3&lt;=Inputs!$B$120,Inputs!$B$119,0)*(1+inf)^L$1</f>
        <v>2560.169088392714</v>
      </c>
      <c r="N6" s="7">
        <f>IF(N$3&lt;=Inputs!$B$120,Inputs!$B$119,0)*(1+inf)^M$1</f>
        <v>0</v>
      </c>
      <c r="O6" s="7">
        <f>IF(O$3&lt;=Inputs!$B$120,Inputs!$B$119,0)*(1+inf)^N$1</f>
        <v>0</v>
      </c>
      <c r="P6" s="7">
        <f>IF(P$3&lt;=Inputs!$B$120,Inputs!$B$119,0)*(1+inf)^O$1</f>
        <v>0</v>
      </c>
      <c r="Q6" s="7">
        <f>IF(Q$3&lt;=Inputs!$B$120,Inputs!$B$119,0)*(1+inf)^P$1</f>
        <v>0</v>
      </c>
      <c r="R6" s="7">
        <f>IF(R$3&lt;=Inputs!$B$120,Inputs!$B$119,0)*(1+inf)^Q$1</f>
        <v>0</v>
      </c>
      <c r="S6" s="7">
        <f>IF(S$3&lt;=Inputs!$B$120,Inputs!$B$119,0)*(1+inf)^R$1</f>
        <v>0</v>
      </c>
      <c r="T6" s="7">
        <f>IF(T$3&lt;=Inputs!$B$120,Inputs!$B$119,0)*(1+inf)^S$1</f>
        <v>0</v>
      </c>
      <c r="U6" s="7">
        <f>IF(U$3&lt;=Inputs!$B$120,Inputs!$B$119,0)*(1+inf)^T$1</f>
        <v>0</v>
      </c>
      <c r="V6" s="7">
        <f>IF(V$3&lt;=Inputs!$B$120,Inputs!$B$119,0)*(1+inf)^U$1</f>
        <v>0</v>
      </c>
      <c r="W6" s="7">
        <f>IF(W$3&lt;=Inputs!$B$120,Inputs!$B$119,0)*(1+inf)^V$1</f>
        <v>0</v>
      </c>
      <c r="X6" s="7">
        <f>IF(X$3&lt;=Inputs!$B$120,Inputs!$B$119,0)*(1+inf)^W$1</f>
        <v>0</v>
      </c>
      <c r="Y6" s="7">
        <f>IF(Y$3&lt;=Inputs!$B$120,Inputs!$B$119,0)*(1+inf)^X$1</f>
        <v>0</v>
      </c>
      <c r="Z6" s="7">
        <f>IF(Z$3&lt;=Inputs!$B$120,Inputs!$B$119,0)*(1+inf)^Y$1</f>
        <v>0</v>
      </c>
      <c r="AA6" s="7">
        <f>IF(AA$3&lt;=Inputs!$B$120,Inputs!$B$119,0)*(1+inf)^Z$1</f>
        <v>0</v>
      </c>
      <c r="AB6" s="7">
        <f>IF(AB$3&lt;=Inputs!$B$120,Inputs!$B$119,0)*(1+inf)^AA$1</f>
        <v>0</v>
      </c>
      <c r="AC6" s="7">
        <f>IF(AC$3&lt;=Inputs!$B$120,Inputs!$B$119,0)*(1+inf)^AB$1</f>
        <v>0</v>
      </c>
      <c r="AD6" s="7">
        <f>IF(AD$3&lt;=Inputs!$B$120,Inputs!$B$119,0)*(1+inf)^AC$1</f>
        <v>0</v>
      </c>
      <c r="AE6" s="7">
        <f>IF(AE$3&lt;=Inputs!$B$120,Inputs!$B$119,0)*(1+inf)^AD$1</f>
        <v>0</v>
      </c>
      <c r="AF6" s="7">
        <f>IF(AF$3&lt;=Inputs!$B$120,Inputs!$B$119,0)*(1+inf)^AE$1</f>
        <v>0</v>
      </c>
      <c r="AG6" s="7">
        <f>IF(AG$3&lt;=Inputs!$B$120,Inputs!$B$119,0)*(1+inf)^AF$1</f>
        <v>0</v>
      </c>
      <c r="AH6" s="7">
        <f>IF(AH$3&lt;=Inputs!$B$120,Inputs!$B$119,0)*(1+inf)^AG$1</f>
        <v>0</v>
      </c>
      <c r="AI6" s="7">
        <f>IF(AI$3&lt;=Inputs!$B$120,Inputs!$B$119,0)*(1+inf)^AH$1</f>
        <v>0</v>
      </c>
      <c r="AJ6" s="7">
        <f>IF(AJ$3&lt;=Inputs!$B$120,Inputs!$B$119,0)*(1+inf)^AI$1</f>
        <v>0</v>
      </c>
      <c r="AK6" s="7">
        <f>IF(AK$3&lt;=Inputs!$B$120,Inputs!$B$119,0)*(1+inf)^AJ$1</f>
        <v>0</v>
      </c>
      <c r="AL6" s="7">
        <f>IF(AL$3&lt;=Inputs!$B$120,Inputs!$B$119,0)*(1+inf)^AK$1</f>
        <v>0</v>
      </c>
      <c r="AM6" s="7">
        <f>IF(AM$3&lt;=Inputs!$B$120,Inputs!$B$119,0)*(1+inf)^AL$1</f>
        <v>0</v>
      </c>
    </row>
    <row r="7" spans="1:39" x14ac:dyDescent="0.2">
      <c r="A7" s="4" t="s">
        <v>63</v>
      </c>
      <c r="B7" s="8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</row>
    <row r="8" spans="1:39" x14ac:dyDescent="0.2">
      <c r="A8" s="3" t="str">
        <f>TEXT(Inputs!$B$60,"")</f>
        <v>Sliema</v>
      </c>
      <c r="C8" s="7">
        <f ca="1">Inputs!B113*ProRate</f>
        <v>9000</v>
      </c>
      <c r="D8" s="7">
        <f t="shared" ref="D8:S12" ca="1" si="32">C8*(1+rinc)</f>
        <v>9270</v>
      </c>
      <c r="E8" s="7">
        <f t="shared" ca="1" si="32"/>
        <v>9548.1</v>
      </c>
      <c r="F8" s="7">
        <f t="shared" ca="1" si="32"/>
        <v>9834.5430000000015</v>
      </c>
      <c r="G8" s="7">
        <f t="shared" ca="1" si="32"/>
        <v>10129.579290000001</v>
      </c>
      <c r="H8" s="7">
        <f t="shared" ca="1" si="32"/>
        <v>10433.466668700003</v>
      </c>
      <c r="I8" s="7">
        <f t="shared" ca="1" si="32"/>
        <v>10746.470668761003</v>
      </c>
      <c r="J8" s="7">
        <f t="shared" ca="1" si="32"/>
        <v>11068.864788823834</v>
      </c>
      <c r="K8" s="7">
        <f t="shared" ca="1" si="32"/>
        <v>11400.930732488549</v>
      </c>
      <c r="L8" s="7">
        <f t="shared" ca="1" si="32"/>
        <v>11742.958654463206</v>
      </c>
      <c r="M8" s="7">
        <f t="shared" ca="1" si="32"/>
        <v>12095.247414097103</v>
      </c>
      <c r="N8" s="7">
        <f t="shared" ca="1" si="32"/>
        <v>12458.104836520017</v>
      </c>
      <c r="O8" s="7">
        <f t="shared" ca="1" si="32"/>
        <v>12831.847981615618</v>
      </c>
      <c r="P8" s="7">
        <f t="shared" ca="1" si="32"/>
        <v>13216.803421064087</v>
      </c>
      <c r="Q8" s="7">
        <f t="shared" ca="1" si="32"/>
        <v>13613.30752369601</v>
      </c>
      <c r="R8" s="7">
        <f t="shared" ca="1" si="32"/>
        <v>14021.706749406891</v>
      </c>
      <c r="S8" s="7">
        <f t="shared" ca="1" si="32"/>
        <v>14442.357951889098</v>
      </c>
      <c r="T8" s="7">
        <f t="shared" ref="T8:AI12" ca="1" si="33">S8*(1+rinc)</f>
        <v>14875.628690445772</v>
      </c>
      <c r="U8" s="7">
        <f t="shared" ca="1" si="33"/>
        <v>15321.897551159145</v>
      </c>
      <c r="V8" s="7">
        <f t="shared" ca="1" si="33"/>
        <v>15781.55447769392</v>
      </c>
      <c r="W8" s="7">
        <f t="shared" ca="1" si="33"/>
        <v>16255.001112024738</v>
      </c>
      <c r="X8" s="7">
        <f t="shared" ca="1" si="33"/>
        <v>16742.65114538548</v>
      </c>
      <c r="Y8" s="7">
        <f t="shared" ca="1" si="33"/>
        <v>17244.930679747045</v>
      </c>
      <c r="Z8" s="7">
        <f t="shared" ca="1" si="33"/>
        <v>17762.278600139456</v>
      </c>
      <c r="AA8" s="7">
        <f t="shared" ca="1" si="33"/>
        <v>18295.146958143639</v>
      </c>
      <c r="AB8" s="7">
        <f t="shared" ca="1" si="33"/>
        <v>18844.001366887947</v>
      </c>
      <c r="AC8" s="7">
        <f t="shared" ca="1" si="33"/>
        <v>19409.321407894586</v>
      </c>
      <c r="AD8" s="7">
        <f t="shared" ca="1" si="33"/>
        <v>19991.601050131423</v>
      </c>
      <c r="AE8" s="7">
        <f t="shared" ca="1" si="33"/>
        <v>20591.349081635366</v>
      </c>
      <c r="AF8" s="7">
        <f t="shared" ca="1" si="33"/>
        <v>21209.089554084429</v>
      </c>
      <c r="AG8" s="7">
        <f t="shared" ca="1" si="33"/>
        <v>21845.362240706963</v>
      </c>
      <c r="AH8" s="7">
        <f t="shared" ca="1" si="33"/>
        <v>22500.723107928174</v>
      </c>
      <c r="AI8" s="7">
        <f t="shared" ca="1" si="33"/>
        <v>23175.74480116602</v>
      </c>
      <c r="AJ8" s="7">
        <f t="shared" ref="AJ8:AM12" ca="1" si="34">AI8*(1+rinc)</f>
        <v>23871.017145201</v>
      </c>
      <c r="AK8" s="7">
        <f t="shared" ca="1" si="34"/>
        <v>24587.147659557031</v>
      </c>
      <c r="AL8" s="7">
        <f t="shared" ca="1" si="34"/>
        <v>25324.762089343742</v>
      </c>
      <c r="AM8" s="7">
        <f t="shared" ca="1" si="34"/>
        <v>26084.504952024054</v>
      </c>
    </row>
    <row r="9" spans="1:39" x14ac:dyDescent="0.2">
      <c r="A9" s="3" t="str">
        <f>TEXT(Inputs!$B$65,"")</f>
        <v>Gzira</v>
      </c>
      <c r="C9" s="7">
        <f ca="1">Inputs!B114*ProRate</f>
        <v>7500</v>
      </c>
      <c r="D9" s="7">
        <f t="shared" ca="1" si="32"/>
        <v>7725</v>
      </c>
      <c r="E9" s="7">
        <f t="shared" ca="1" si="32"/>
        <v>7956.75</v>
      </c>
      <c r="F9" s="7">
        <f t="shared" ca="1" si="32"/>
        <v>8195.4524999999994</v>
      </c>
      <c r="G9" s="7">
        <f t="shared" ca="1" si="32"/>
        <v>8441.3160749999988</v>
      </c>
      <c r="H9" s="7">
        <f t="shared" ca="1" si="32"/>
        <v>8694.5555572499998</v>
      </c>
      <c r="I9" s="7">
        <f t="shared" ca="1" si="32"/>
        <v>8955.3922239674994</v>
      </c>
      <c r="J9" s="7">
        <f t="shared" ca="1" si="32"/>
        <v>9224.0539906865251</v>
      </c>
      <c r="K9" s="7">
        <f t="shared" ca="1" si="32"/>
        <v>9500.7756104071213</v>
      </c>
      <c r="L9" s="7">
        <f t="shared" ca="1" si="32"/>
        <v>9785.7988787193353</v>
      </c>
      <c r="M9" s="7">
        <f t="shared" ca="1" si="32"/>
        <v>10079.372845080916</v>
      </c>
      <c r="N9" s="7">
        <f t="shared" ca="1" si="32"/>
        <v>10381.754030433343</v>
      </c>
      <c r="O9" s="7">
        <f t="shared" ca="1" si="32"/>
        <v>10693.206651346343</v>
      </c>
      <c r="P9" s="7">
        <f t="shared" ca="1" si="32"/>
        <v>11014.002850886734</v>
      </c>
      <c r="Q9" s="7">
        <f t="shared" ca="1" si="32"/>
        <v>11344.422936413337</v>
      </c>
      <c r="R9" s="7">
        <f t="shared" ca="1" si="32"/>
        <v>11684.755624505737</v>
      </c>
      <c r="S9" s="7">
        <f t="shared" ca="1" si="32"/>
        <v>12035.298293240909</v>
      </c>
      <c r="T9" s="7">
        <f t="shared" ca="1" si="33"/>
        <v>12396.357242038137</v>
      </c>
      <c r="U9" s="7">
        <f t="shared" ca="1" si="33"/>
        <v>12768.247959299282</v>
      </c>
      <c r="V9" s="7">
        <f t="shared" ca="1" si="33"/>
        <v>13151.29539807826</v>
      </c>
      <c r="W9" s="7">
        <f t="shared" ca="1" si="33"/>
        <v>13545.834260020609</v>
      </c>
      <c r="X9" s="7">
        <f t="shared" ca="1" si="33"/>
        <v>13952.209287821228</v>
      </c>
      <c r="Y9" s="7">
        <f t="shared" ca="1" si="33"/>
        <v>14370.775566455864</v>
      </c>
      <c r="Z9" s="7">
        <f t="shared" ca="1" si="33"/>
        <v>14801.898833449541</v>
      </c>
      <c r="AA9" s="7">
        <f t="shared" ca="1" si="33"/>
        <v>15245.955798453027</v>
      </c>
      <c r="AB9" s="7">
        <f t="shared" ca="1" si="33"/>
        <v>15703.334472406619</v>
      </c>
      <c r="AC9" s="7">
        <f t="shared" ca="1" si="33"/>
        <v>16174.434506578818</v>
      </c>
      <c r="AD9" s="7">
        <f t="shared" ca="1" si="33"/>
        <v>16659.667541776183</v>
      </c>
      <c r="AE9" s="7">
        <f t="shared" ca="1" si="33"/>
        <v>17159.457568029469</v>
      </c>
      <c r="AF9" s="7">
        <f t="shared" ca="1" si="33"/>
        <v>17674.241295070355</v>
      </c>
      <c r="AG9" s="7">
        <f t="shared" ca="1" si="33"/>
        <v>18204.468533922467</v>
      </c>
      <c r="AH9" s="7">
        <f t="shared" ca="1" si="33"/>
        <v>18750.602589940143</v>
      </c>
      <c r="AI9" s="7">
        <f t="shared" ca="1" si="33"/>
        <v>19313.120667638348</v>
      </c>
      <c r="AJ9" s="7">
        <f t="shared" ca="1" si="34"/>
        <v>19892.514287667498</v>
      </c>
      <c r="AK9" s="7">
        <f t="shared" ca="1" si="34"/>
        <v>20489.289716297524</v>
      </c>
      <c r="AL9" s="7">
        <f t="shared" ca="1" si="34"/>
        <v>21103.968407786451</v>
      </c>
      <c r="AM9" s="7">
        <f t="shared" ca="1" si="34"/>
        <v>21737.087460020044</v>
      </c>
    </row>
    <row r="10" spans="1:39" x14ac:dyDescent="0.2">
      <c r="A10" s="3" t="str">
        <f>TEXT(Inputs!$B$70,"")</f>
        <v>Qormi</v>
      </c>
      <c r="C10" s="7">
        <f ca="1">Inputs!B115*ProRate</f>
        <v>6000</v>
      </c>
      <c r="D10" s="7">
        <f t="shared" ca="1" si="32"/>
        <v>6180</v>
      </c>
      <c r="E10" s="7">
        <f t="shared" ca="1" si="32"/>
        <v>6365.4000000000005</v>
      </c>
      <c r="F10" s="7">
        <f t="shared" ca="1" si="32"/>
        <v>6556.362000000001</v>
      </c>
      <c r="G10" s="7">
        <f t="shared" ca="1" si="32"/>
        <v>6753.0528600000016</v>
      </c>
      <c r="H10" s="7">
        <f t="shared" ca="1" si="32"/>
        <v>6955.6444458000014</v>
      </c>
      <c r="I10" s="7">
        <f t="shared" ca="1" si="32"/>
        <v>7164.3137791740019</v>
      </c>
      <c r="J10" s="7">
        <f t="shared" ca="1" si="32"/>
        <v>7379.2431925492219</v>
      </c>
      <c r="K10" s="7">
        <f t="shared" ca="1" si="32"/>
        <v>7600.6204883256987</v>
      </c>
      <c r="L10" s="7">
        <f t="shared" ca="1" si="32"/>
        <v>7828.6391029754695</v>
      </c>
      <c r="M10" s="7">
        <f t="shared" ca="1" si="32"/>
        <v>8063.4982760647335</v>
      </c>
      <c r="N10" s="7">
        <f t="shared" ca="1" si="32"/>
        <v>8305.4032243466754</v>
      </c>
      <c r="O10" s="7">
        <f t="shared" ca="1" si="32"/>
        <v>8554.5653210770761</v>
      </c>
      <c r="P10" s="7">
        <f t="shared" ca="1" si="32"/>
        <v>8811.202280709389</v>
      </c>
      <c r="Q10" s="7">
        <f t="shared" ca="1" si="32"/>
        <v>9075.5383491306711</v>
      </c>
      <c r="R10" s="7">
        <f t="shared" ca="1" si="32"/>
        <v>9347.8044996045919</v>
      </c>
      <c r="S10" s="7">
        <f t="shared" ca="1" si="32"/>
        <v>9628.2386345927298</v>
      </c>
      <c r="T10" s="7">
        <f t="shared" ca="1" si="33"/>
        <v>9917.0857936305129</v>
      </c>
      <c r="U10" s="7">
        <f t="shared" ca="1" si="33"/>
        <v>10214.598367439428</v>
      </c>
      <c r="V10" s="7">
        <f t="shared" ca="1" si="33"/>
        <v>10521.036318462611</v>
      </c>
      <c r="W10" s="7">
        <f t="shared" ca="1" si="33"/>
        <v>10836.66740801649</v>
      </c>
      <c r="X10" s="7">
        <f t="shared" ca="1" si="33"/>
        <v>11161.767430256985</v>
      </c>
      <c r="Y10" s="7">
        <f t="shared" ca="1" si="33"/>
        <v>11496.620453164694</v>
      </c>
      <c r="Z10" s="7">
        <f t="shared" ca="1" si="33"/>
        <v>11841.519066759636</v>
      </c>
      <c r="AA10" s="7">
        <f t="shared" ca="1" si="33"/>
        <v>12196.764638762426</v>
      </c>
      <c r="AB10" s="7">
        <f t="shared" ca="1" si="33"/>
        <v>12562.6675779253</v>
      </c>
      <c r="AC10" s="7">
        <f t="shared" ca="1" si="33"/>
        <v>12939.54760526306</v>
      </c>
      <c r="AD10" s="7">
        <f t="shared" ca="1" si="33"/>
        <v>13327.734033420953</v>
      </c>
      <c r="AE10" s="7">
        <f t="shared" ca="1" si="33"/>
        <v>13727.566054423582</v>
      </c>
      <c r="AF10" s="7">
        <f t="shared" ca="1" si="33"/>
        <v>14139.39303605629</v>
      </c>
      <c r="AG10" s="7">
        <f t="shared" ca="1" si="33"/>
        <v>14563.57482713798</v>
      </c>
      <c r="AH10" s="7">
        <f t="shared" ca="1" si="33"/>
        <v>15000.482071952119</v>
      </c>
      <c r="AI10" s="7">
        <f t="shared" ca="1" si="33"/>
        <v>15450.496534110684</v>
      </c>
      <c r="AJ10" s="7">
        <f t="shared" ca="1" si="34"/>
        <v>15914.011430134004</v>
      </c>
      <c r="AK10" s="7">
        <f t="shared" ca="1" si="34"/>
        <v>16391.431773038024</v>
      </c>
      <c r="AL10" s="7">
        <f t="shared" ca="1" si="34"/>
        <v>16883.174726229165</v>
      </c>
      <c r="AM10" s="7">
        <f t="shared" ca="1" si="34"/>
        <v>17389.669968016042</v>
      </c>
    </row>
    <row r="11" spans="1:39" x14ac:dyDescent="0.2">
      <c r="A11" s="3" t="str">
        <f>TEXT(Inputs!$B$75,"")</f>
        <v>Gudja</v>
      </c>
      <c r="C11" s="7">
        <f ca="1">Inputs!B116*ProRate</f>
        <v>3750</v>
      </c>
      <c r="D11" s="7">
        <f t="shared" ca="1" si="32"/>
        <v>3862.5</v>
      </c>
      <c r="E11" s="7">
        <f t="shared" ca="1" si="32"/>
        <v>3978.375</v>
      </c>
      <c r="F11" s="7">
        <f t="shared" ca="1" si="32"/>
        <v>4097.7262499999997</v>
      </c>
      <c r="G11" s="7">
        <f t="shared" ca="1" si="32"/>
        <v>4220.6580374999994</v>
      </c>
      <c r="H11" s="7">
        <f t="shared" ca="1" si="32"/>
        <v>4347.2777786249999</v>
      </c>
      <c r="I11" s="7">
        <f t="shared" ca="1" si="32"/>
        <v>4477.6961119837497</v>
      </c>
      <c r="J11" s="7">
        <f t="shared" ca="1" si="32"/>
        <v>4612.0269953432626</v>
      </c>
      <c r="K11" s="7">
        <f t="shared" ca="1" si="32"/>
        <v>4750.3878052035607</v>
      </c>
      <c r="L11" s="7">
        <f t="shared" ca="1" si="32"/>
        <v>4892.8994393596677</v>
      </c>
      <c r="M11" s="7">
        <f t="shared" ca="1" si="32"/>
        <v>5039.6864225404579</v>
      </c>
      <c r="N11" s="7">
        <f t="shared" ca="1" si="32"/>
        <v>5190.8770152166717</v>
      </c>
      <c r="O11" s="7">
        <f t="shared" ca="1" si="32"/>
        <v>5346.6033256731716</v>
      </c>
      <c r="P11" s="7">
        <f t="shared" ca="1" si="32"/>
        <v>5507.0014254433672</v>
      </c>
      <c r="Q11" s="7">
        <f t="shared" ca="1" si="32"/>
        <v>5672.2114682066685</v>
      </c>
      <c r="R11" s="7">
        <f t="shared" ca="1" si="32"/>
        <v>5842.3778122528684</v>
      </c>
      <c r="S11" s="7">
        <f t="shared" ca="1" si="32"/>
        <v>6017.6491466204543</v>
      </c>
      <c r="T11" s="7">
        <f t="shared" ca="1" si="33"/>
        <v>6198.1786210190685</v>
      </c>
      <c r="U11" s="7">
        <f t="shared" ca="1" si="33"/>
        <v>6384.1239796496411</v>
      </c>
      <c r="V11" s="7">
        <f t="shared" ca="1" si="33"/>
        <v>6575.6476990391302</v>
      </c>
      <c r="W11" s="7">
        <f t="shared" ca="1" si="33"/>
        <v>6772.9171300103044</v>
      </c>
      <c r="X11" s="7">
        <f t="shared" ca="1" si="33"/>
        <v>6976.104643910614</v>
      </c>
      <c r="Y11" s="7">
        <f t="shared" ca="1" si="33"/>
        <v>7185.3877832279322</v>
      </c>
      <c r="Z11" s="7">
        <f t="shared" ca="1" si="33"/>
        <v>7400.9494167247703</v>
      </c>
      <c r="AA11" s="7">
        <f t="shared" ca="1" si="33"/>
        <v>7622.9778992265137</v>
      </c>
      <c r="AB11" s="7">
        <f t="shared" ca="1" si="33"/>
        <v>7851.6672362033096</v>
      </c>
      <c r="AC11" s="7">
        <f t="shared" ca="1" si="33"/>
        <v>8087.2172532894092</v>
      </c>
      <c r="AD11" s="7">
        <f t="shared" ca="1" si="33"/>
        <v>8329.8337708880917</v>
      </c>
      <c r="AE11" s="7">
        <f t="shared" ca="1" si="33"/>
        <v>8579.7287840147346</v>
      </c>
      <c r="AF11" s="7">
        <f t="shared" ca="1" si="33"/>
        <v>8837.1206475351773</v>
      </c>
      <c r="AG11" s="7">
        <f t="shared" ca="1" si="33"/>
        <v>9102.2342669612335</v>
      </c>
      <c r="AH11" s="7">
        <f t="shared" ca="1" si="33"/>
        <v>9375.3012949700715</v>
      </c>
      <c r="AI11" s="7">
        <f t="shared" ca="1" si="33"/>
        <v>9656.560333819174</v>
      </c>
      <c r="AJ11" s="7">
        <f t="shared" ca="1" si="34"/>
        <v>9946.2571438337491</v>
      </c>
      <c r="AK11" s="7">
        <f t="shared" ca="1" si="34"/>
        <v>10244.644858148762</v>
      </c>
      <c r="AL11" s="7">
        <f t="shared" ca="1" si="34"/>
        <v>10551.984203893226</v>
      </c>
      <c r="AM11" s="7">
        <f t="shared" ca="1" si="34"/>
        <v>10868.543730010022</v>
      </c>
    </row>
    <row r="12" spans="1:39" x14ac:dyDescent="0.2">
      <c r="A12" s="3" t="str">
        <f>TEXT(Inputs!$B$80,"")</f>
        <v>Marsa</v>
      </c>
      <c r="C12" s="7">
        <f ca="1">Inputs!B117*ProRate</f>
        <v>4875</v>
      </c>
      <c r="D12" s="7">
        <f t="shared" ca="1" si="32"/>
        <v>5021.25</v>
      </c>
      <c r="E12" s="7">
        <f t="shared" ca="1" si="32"/>
        <v>5171.8874999999998</v>
      </c>
      <c r="F12" s="7">
        <f t="shared" ca="1" si="32"/>
        <v>5327.0441250000003</v>
      </c>
      <c r="G12" s="7">
        <f t="shared" ca="1" si="32"/>
        <v>5486.8554487500005</v>
      </c>
      <c r="H12" s="7">
        <f t="shared" ca="1" si="32"/>
        <v>5651.4611122125007</v>
      </c>
      <c r="I12" s="7">
        <f t="shared" ca="1" si="32"/>
        <v>5821.0049455788758</v>
      </c>
      <c r="J12" s="7">
        <f t="shared" ca="1" si="32"/>
        <v>5995.6350939462418</v>
      </c>
      <c r="K12" s="7">
        <f t="shared" ca="1" si="32"/>
        <v>6175.5041467646288</v>
      </c>
      <c r="L12" s="7">
        <f t="shared" ca="1" si="32"/>
        <v>6360.7692711675681</v>
      </c>
      <c r="M12" s="7">
        <f t="shared" ca="1" si="32"/>
        <v>6551.5923493025957</v>
      </c>
      <c r="N12" s="7">
        <f t="shared" ca="1" si="32"/>
        <v>6748.140119781674</v>
      </c>
      <c r="O12" s="7">
        <f t="shared" ca="1" si="32"/>
        <v>6950.5843233751248</v>
      </c>
      <c r="P12" s="7">
        <f t="shared" ca="1" si="32"/>
        <v>7159.1018530763786</v>
      </c>
      <c r="Q12" s="7">
        <f t="shared" ca="1" si="32"/>
        <v>7373.8749086686703</v>
      </c>
      <c r="R12" s="7">
        <f t="shared" ca="1" si="32"/>
        <v>7595.0911559287306</v>
      </c>
      <c r="S12" s="7">
        <f t="shared" ca="1" si="32"/>
        <v>7822.9438906065925</v>
      </c>
      <c r="T12" s="7">
        <f t="shared" ca="1" si="33"/>
        <v>8057.6322073247902</v>
      </c>
      <c r="U12" s="7">
        <f t="shared" ca="1" si="33"/>
        <v>8299.3611735445338</v>
      </c>
      <c r="V12" s="7">
        <f t="shared" ca="1" si="33"/>
        <v>8548.3420087508694</v>
      </c>
      <c r="W12" s="7">
        <f t="shared" ca="1" si="33"/>
        <v>8804.7922690133964</v>
      </c>
      <c r="X12" s="7">
        <f t="shared" ca="1" si="33"/>
        <v>9068.9360370837985</v>
      </c>
      <c r="Y12" s="7">
        <f t="shared" ca="1" si="33"/>
        <v>9341.0041181963134</v>
      </c>
      <c r="Z12" s="7">
        <f t="shared" ca="1" si="33"/>
        <v>9621.2342417422024</v>
      </c>
      <c r="AA12" s="7">
        <f t="shared" ca="1" si="33"/>
        <v>9909.8712689944696</v>
      </c>
      <c r="AB12" s="7">
        <f t="shared" ca="1" si="33"/>
        <v>10207.167407064304</v>
      </c>
      <c r="AC12" s="7">
        <f t="shared" ca="1" si="33"/>
        <v>10513.382429276233</v>
      </c>
      <c r="AD12" s="7">
        <f t="shared" ca="1" si="33"/>
        <v>10828.783902154521</v>
      </c>
      <c r="AE12" s="7">
        <f t="shared" ca="1" si="33"/>
        <v>11153.647419219156</v>
      </c>
      <c r="AF12" s="7">
        <f t="shared" ca="1" si="33"/>
        <v>11488.256841795732</v>
      </c>
      <c r="AG12" s="7">
        <f t="shared" ca="1" si="33"/>
        <v>11832.904547049604</v>
      </c>
      <c r="AH12" s="7">
        <f t="shared" ca="1" si="33"/>
        <v>12187.891683461092</v>
      </c>
      <c r="AI12" s="7">
        <f t="shared" ca="1" si="33"/>
        <v>12553.528433964924</v>
      </c>
      <c r="AJ12" s="7">
        <f t="shared" ca="1" si="34"/>
        <v>12930.134286983872</v>
      </c>
      <c r="AK12" s="7">
        <f t="shared" ca="1" si="34"/>
        <v>13318.038315593389</v>
      </c>
      <c r="AL12" s="7">
        <f t="shared" ca="1" si="34"/>
        <v>13717.579465061192</v>
      </c>
      <c r="AM12" s="7">
        <f t="shared" ca="1" si="34"/>
        <v>14129.106849013027</v>
      </c>
    </row>
    <row r="13" spans="1:39" x14ac:dyDescent="0.2">
      <c r="A13" s="4" t="s">
        <v>72</v>
      </c>
      <c r="B13" s="8"/>
      <c r="C13" s="7">
        <f ca="1">IF(C$3&lt;Inputs!$B$19,0,Inputs!$B$21)*(1+inf)^B$1*ProRate</f>
        <v>0</v>
      </c>
      <c r="D13" s="7">
        <f>IF(D$3&lt;Inputs!$B$19,0,Inputs!$B$21)*(1+inf)^C$1</f>
        <v>0</v>
      </c>
      <c r="E13" s="7">
        <f>IF(E$3&lt;Inputs!$B$19,0,Inputs!$B$21)*(1+inf)^D$1</f>
        <v>0</v>
      </c>
      <c r="F13" s="7">
        <f>IF(F$3&lt;Inputs!$B$19,0,Inputs!$B$21)*(1+inf)^E$1</f>
        <v>0</v>
      </c>
      <c r="G13" s="7">
        <f>IF(G$3&lt;Inputs!$B$19,0,Inputs!$B$21)*(1+inf)^F$1</f>
        <v>0</v>
      </c>
      <c r="H13" s="7">
        <f>IF(H$3&lt;Inputs!$B$19,0,Inputs!$B$21)*(1+inf)^G$1</f>
        <v>0</v>
      </c>
      <c r="I13" s="7">
        <f>IF(I$3&lt;Inputs!$B$19,0,Inputs!$B$21)*(1+inf)^H$1</f>
        <v>0</v>
      </c>
      <c r="J13" s="7">
        <f>IF(J$3&lt;Inputs!$B$19,0,Inputs!$B$21)*(1+inf)^I$1</f>
        <v>0</v>
      </c>
      <c r="K13" s="7">
        <f>IF(K$3&lt;Inputs!$B$19,0,Inputs!$B$21)*(1+inf)^J$1</f>
        <v>0</v>
      </c>
      <c r="L13" s="7">
        <f>IF(L$3&lt;Inputs!$B$19,0,Inputs!$B$21)*(1+inf)^K$1</f>
        <v>0</v>
      </c>
      <c r="M13" s="7">
        <f>IF(M$3&lt;Inputs!$B$19,0,Inputs!$B$21)*(1+inf)^L$1</f>
        <v>0</v>
      </c>
      <c r="N13" s="7">
        <f>IF(N$3&lt;Inputs!$B$19,0,Inputs!$B$21)*(1+inf)^M$1</f>
        <v>0</v>
      </c>
      <c r="O13" s="7">
        <f>IF(O$3&lt;Inputs!$B$19,0,Inputs!$B$21)*(1+inf)^N$1</f>
        <v>0</v>
      </c>
      <c r="P13" s="7">
        <f>IF(P$3&lt;Inputs!$B$19,0,Inputs!$B$21)*(1+inf)^O$1</f>
        <v>0</v>
      </c>
      <c r="Q13" s="7">
        <f>IF(Q$3&lt;Inputs!$B$19,0,Inputs!$B$21)*(1+inf)^P$1</f>
        <v>0</v>
      </c>
      <c r="R13" s="7">
        <f>IF(R$3&lt;Inputs!$B$19,0,Inputs!$B$21)*(1+inf)^Q$1</f>
        <v>0</v>
      </c>
      <c r="S13" s="7">
        <f>IF(S$3&lt;Inputs!$B$19,0,Inputs!$B$21)*(1+inf)^R$1</f>
        <v>0</v>
      </c>
      <c r="T13" s="7">
        <f>IF(T$3&lt;Inputs!$B$19,0,Inputs!$B$21)*(1+inf)^S$1</f>
        <v>24345.892178833234</v>
      </c>
      <c r="U13" s="7">
        <f>IF(U$3&lt;Inputs!$B$19,0,Inputs!$B$21)*(1+inf)^T$1</f>
        <v>24954.539483304063</v>
      </c>
      <c r="V13" s="7">
        <f>IF(V$3&lt;Inputs!$B$19,0,Inputs!$B$21)*(1+inf)^U$1</f>
        <v>25578.402970386665</v>
      </c>
      <c r="W13" s="7">
        <f>IF(W$3&lt;Inputs!$B$19,0,Inputs!$B$21)*(1+inf)^V$1</f>
        <v>26217.863044646328</v>
      </c>
      <c r="X13" s="7">
        <f>IF(X$3&lt;Inputs!$B$19,0,Inputs!$B$21)*(1+inf)^W$1</f>
        <v>26873.309620762484</v>
      </c>
      <c r="Y13" s="7">
        <f>IF(Y$3&lt;Inputs!$B$19,0,Inputs!$B$21)*(1+inf)^X$1</f>
        <v>27545.142361281545</v>
      </c>
      <c r="Z13" s="7">
        <f>IF(Z$3&lt;Inputs!$B$19,0,Inputs!$B$21)*(1+inf)^Y$1</f>
        <v>28233.770920313586</v>
      </c>
      <c r="AA13" s="7">
        <f>IF(AA$3&lt;Inputs!$B$19,0,Inputs!$B$21)*(1+inf)^Z$1</f>
        <v>28939.615193321424</v>
      </c>
      <c r="AB13" s="7">
        <f>IF(AB$3&lt;Inputs!$B$19,0,Inputs!$B$21)*(1+inf)^AA$1</f>
        <v>29663.105573154455</v>
      </c>
      <c r="AC13" s="7">
        <f>IF(AC$3&lt;Inputs!$B$19,0,Inputs!$B$21)*(1+inf)^AB$1</f>
        <v>30404.683212483313</v>
      </c>
      <c r="AD13" s="7">
        <f>IF(AD$3&lt;Inputs!$B$19,0,Inputs!$B$21)*(1+inf)^AC$1</f>
        <v>31164.800292795393</v>
      </c>
      <c r="AE13" s="7">
        <f>IF(AE$3&lt;Inputs!$B$19,0,Inputs!$B$21)*(1+inf)^AD$1</f>
        <v>31943.920300115278</v>
      </c>
      <c r="AF13" s="7">
        <f>IF(AF$3&lt;Inputs!$B$19,0,Inputs!$B$21)*(1+inf)^AE$1</f>
        <v>32742.518307618164</v>
      </c>
      <c r="AG13" s="7">
        <f>IF(AG$3&lt;Inputs!$B$19,0,Inputs!$B$21)*(1+inf)^AF$1</f>
        <v>33561.08126530861</v>
      </c>
      <c r="AH13" s="7">
        <f>IF(AH$3&lt;Inputs!$B$19,0,Inputs!$B$21)*(1+inf)^AG$1</f>
        <v>34400.108296941333</v>
      </c>
      <c r="AI13" s="7">
        <f>IF(AI$3&lt;Inputs!$B$19,0,Inputs!$B$21)*(1+inf)^AH$1</f>
        <v>35260.111004364859</v>
      </c>
      <c r="AJ13" s="7">
        <f>IF(AJ$3&lt;Inputs!$B$19,0,Inputs!$B$21)*(1+inf)^AI$1</f>
        <v>36141.613779473977</v>
      </c>
      <c r="AK13" s="7">
        <f>IF(AK$3&lt;Inputs!$B$19,0,Inputs!$B$21)*(1+inf)^AJ$1</f>
        <v>37045.154123960827</v>
      </c>
      <c r="AL13" s="7">
        <f>IF(AL$3&lt;Inputs!$B$19,0,Inputs!$B$21)*(1+inf)^AK$1</f>
        <v>37971.28297705984</v>
      </c>
      <c r="AM13" s="7">
        <f>IF(AM$3&lt;Inputs!$B$19,0,Inputs!$B$21)*(1+inf)^AL$1</f>
        <v>38920.565051486345</v>
      </c>
    </row>
    <row r="14" spans="1:39" x14ac:dyDescent="0.2">
      <c r="A14" s="4" t="s">
        <v>73</v>
      </c>
      <c r="B14" s="8"/>
      <c r="C14" s="7">
        <f ca="1">MIN(0,MAX(-IF(C13=0,0,(Inputs!$B$19-INDEX(3:3,MATCH(0,5:5,0))))*Inputs!$B$277*(1+inf)^B$1*ProRate,-C13))</f>
        <v>0</v>
      </c>
      <c r="D14" s="7">
        <f>MIN(0,MAX(-IF(D13=0,0,(Inputs!$B$19-INDEX(3:3,MATCH(0,5:5,0))))*Inputs!$B$277*(1+inf)^C$1,-D13))</f>
        <v>0</v>
      </c>
      <c r="E14" s="7">
        <f>MIN(0,MAX(-IF(E13=0,0,(Inputs!$B$19-INDEX(3:3,MATCH(0,5:5,0))))*Inputs!$B$277*(1+inf)^D$1,-E13))</f>
        <v>0</v>
      </c>
      <c r="F14" s="7">
        <f>MIN(0,MAX(-IF(F13=0,0,(Inputs!$B$19-INDEX(3:3,MATCH(0,5:5,0))))*Inputs!$B$277*(1+inf)^E$1,-F13))</f>
        <v>0</v>
      </c>
      <c r="G14" s="7">
        <f>MIN(0,MAX(-IF(G13=0,0,(Inputs!$B$19-INDEX(3:3,MATCH(0,5:5,0))))*Inputs!$B$277*(1+inf)^F$1,-G13))</f>
        <v>0</v>
      </c>
      <c r="H14" s="7">
        <f>MIN(0,MAX(-IF(H13=0,0,(Inputs!$B$19-INDEX(3:3,MATCH(0,5:5,0))))*Inputs!$B$277*(1+inf)^G$1,-H13))</f>
        <v>0</v>
      </c>
      <c r="I14" s="7">
        <f>MIN(0,MAX(-IF(I13=0,0,(Inputs!$B$19-INDEX(3:3,MATCH(0,5:5,0))))*Inputs!$B$277*(1+inf)^H$1,-I13))</f>
        <v>0</v>
      </c>
      <c r="J14" s="7">
        <f>MIN(0,MAX(-IF(J13=0,0,(Inputs!$B$19-INDEX(3:3,MATCH(0,5:5,0))))*Inputs!$B$277*(1+inf)^I$1,-J13))</f>
        <v>0</v>
      </c>
      <c r="K14" s="7">
        <f>MIN(0,MAX(-IF(K13=0,0,(Inputs!$B$19-INDEX(3:3,MATCH(0,5:5,0))))*Inputs!$B$277*(1+inf)^J$1,-K13))</f>
        <v>0</v>
      </c>
      <c r="L14" s="7">
        <f>MIN(0,MAX(-IF(L13=0,0,(Inputs!$B$19-INDEX(3:3,MATCH(0,5:5,0))))*Inputs!$B$277*(1+inf)^K$1,-L13))</f>
        <v>0</v>
      </c>
      <c r="M14" s="7">
        <f>MIN(0,MAX(-IF(M13=0,0,(Inputs!$B$19-INDEX(3:3,MATCH(0,5:5,0))))*Inputs!$B$277*(1+inf)^L$1,-M13))</f>
        <v>0</v>
      </c>
      <c r="N14" s="7">
        <f>MIN(0,MAX(-IF(N13=0,0,(Inputs!$B$19-INDEX(3:3,MATCH(0,5:5,0))))*Inputs!$B$277*(1+inf)^M$1,-N13))</f>
        <v>0</v>
      </c>
      <c r="O14" s="7">
        <f>MIN(0,MAX(-IF(O13=0,0,(Inputs!$B$19-INDEX(3:3,MATCH(0,5:5,0))))*Inputs!$B$277*(1+inf)^N$1,-O13))</f>
        <v>0</v>
      </c>
      <c r="P14" s="7">
        <f>MIN(0,MAX(-IF(P13=0,0,(Inputs!$B$19-INDEX(3:3,MATCH(0,5:5,0))))*Inputs!$B$277*(1+inf)^O$1,-P13))</f>
        <v>0</v>
      </c>
      <c r="Q14" s="7">
        <f>MIN(0,MAX(-IF(Q13=0,0,(Inputs!$B$19-INDEX(3:3,MATCH(0,5:5,0))))*Inputs!$B$277*(1+inf)^P$1,-Q13))</f>
        <v>0</v>
      </c>
      <c r="R14" s="7">
        <f>MIN(0,MAX(-IF(R13=0,0,(Inputs!$B$19-INDEX(3:3,MATCH(0,5:5,0))))*Inputs!$B$277*(1+inf)^Q$1,-R13))</f>
        <v>0</v>
      </c>
      <c r="S14" s="7">
        <f>MIN(0,MAX(-IF(S13=0,0,(Inputs!$B$19-INDEX(3:3,MATCH(0,5:5,0))))*Inputs!$B$277*(1+inf)^R$1,-S13))</f>
        <v>0</v>
      </c>
      <c r="T14" s="7">
        <f ca="1">MIN(0,MAX(-IF(T13=0,0,(Inputs!$B$19-INDEX(3:3,MATCH(0,5:5,0))))*Inputs!$B$277*(1+inf)^S$1,-T13))</f>
        <v>0</v>
      </c>
      <c r="U14" s="7">
        <f ca="1">MIN(0,MAX(-IF(U13=0,0,(Inputs!$B$19-INDEX(3:3,MATCH(0,5:5,0))))*Inputs!$B$277*(1+inf)^T$1,-U13))</f>
        <v>0</v>
      </c>
      <c r="V14" s="7">
        <f ca="1">MIN(0,MAX(-IF(V13=0,0,(Inputs!$B$19-INDEX(3:3,MATCH(0,5:5,0))))*Inputs!$B$277*(1+inf)^U$1,-V13))</f>
        <v>0</v>
      </c>
      <c r="W14" s="7">
        <f ca="1">MIN(0,MAX(-IF(W13=0,0,(Inputs!$B$19-INDEX(3:3,MATCH(0,5:5,0))))*Inputs!$B$277*(1+inf)^V$1,-W13))</f>
        <v>0</v>
      </c>
      <c r="X14" s="7">
        <f ca="1">MIN(0,MAX(-IF(X13=0,0,(Inputs!$B$19-INDEX(3:3,MATCH(0,5:5,0))))*Inputs!$B$277*(1+inf)^W$1,-X13))</f>
        <v>0</v>
      </c>
      <c r="Y14" s="7">
        <f ca="1">MIN(0,MAX(-IF(Y13=0,0,(Inputs!$B$19-INDEX(3:3,MATCH(0,5:5,0))))*Inputs!$B$277*(1+inf)^X$1,-Y13))</f>
        <v>0</v>
      </c>
      <c r="Z14" s="7">
        <f ca="1">MIN(0,MAX(-IF(Z13=0,0,(Inputs!$B$19-INDEX(3:3,MATCH(0,5:5,0))))*Inputs!$B$277*(1+inf)^Y$1,-Z13))</f>
        <v>0</v>
      </c>
      <c r="AA14" s="7">
        <f ca="1">MIN(0,MAX(-IF(AA13=0,0,(Inputs!$B$19-INDEX(3:3,MATCH(0,5:5,0))))*Inputs!$B$277*(1+inf)^Z$1,-AA13))</f>
        <v>0</v>
      </c>
      <c r="AB14" s="7">
        <f ca="1">MIN(0,MAX(-IF(AB13=0,0,(Inputs!$B$19-INDEX(3:3,MATCH(0,5:5,0))))*Inputs!$B$277*(1+inf)^AA$1,-AB13))</f>
        <v>0</v>
      </c>
      <c r="AC14" s="7">
        <f ca="1">MIN(0,MAX(-IF(AC13=0,0,(Inputs!$B$19-INDEX(3:3,MATCH(0,5:5,0))))*Inputs!$B$277*(1+inf)^AB$1,-AC13))</f>
        <v>0</v>
      </c>
      <c r="AD14" s="7">
        <f ca="1">MIN(0,MAX(-IF(AD13=0,0,(Inputs!$B$19-INDEX(3:3,MATCH(0,5:5,0))))*Inputs!$B$277*(1+inf)^AC$1,-AD13))</f>
        <v>0</v>
      </c>
      <c r="AE14" s="7">
        <f ca="1">MIN(0,MAX(-IF(AE13=0,0,(Inputs!$B$19-INDEX(3:3,MATCH(0,5:5,0))))*Inputs!$B$277*(1+inf)^AD$1,-AE13))</f>
        <v>0</v>
      </c>
      <c r="AF14" s="7">
        <f ca="1">MIN(0,MAX(-IF(AF13=0,0,(Inputs!$B$19-INDEX(3:3,MATCH(0,5:5,0))))*Inputs!$B$277*(1+inf)^AE$1,-AF13))</f>
        <v>0</v>
      </c>
      <c r="AG14" s="7">
        <f ca="1">MIN(0,MAX(-IF(AG13=0,0,(Inputs!$B$19-INDEX(3:3,MATCH(0,5:5,0))))*Inputs!$B$277*(1+inf)^AF$1,-AG13))</f>
        <v>0</v>
      </c>
      <c r="AH14" s="7">
        <f ca="1">MIN(0,MAX(-IF(AH13=0,0,(Inputs!$B$19-INDEX(3:3,MATCH(0,5:5,0))))*Inputs!$B$277*(1+inf)^AG$1,-AH13))</f>
        <v>0</v>
      </c>
      <c r="AI14" s="7">
        <f ca="1">MIN(0,MAX(-IF(AI13=0,0,(Inputs!$B$19-INDEX(3:3,MATCH(0,5:5,0))))*Inputs!$B$277*(1+inf)^AH$1,-AI13))</f>
        <v>0</v>
      </c>
      <c r="AJ14" s="7">
        <f ca="1">MIN(0,MAX(-IF(AJ13=0,0,(Inputs!$B$19-INDEX(3:3,MATCH(0,5:5,0))))*Inputs!$B$277*(1+inf)^AI$1,-AJ13))</f>
        <v>0</v>
      </c>
      <c r="AK14" s="7">
        <f ca="1">MIN(0,MAX(-IF(AK13=0,0,(Inputs!$B$19-INDEX(3:3,MATCH(0,5:5,0))))*Inputs!$B$277*(1+inf)^AJ$1,-AK13))</f>
        <v>0</v>
      </c>
      <c r="AL14" s="7">
        <f ca="1">MIN(0,MAX(-IF(AL13=0,0,(Inputs!$B$19-INDEX(3:3,MATCH(0,5:5,0))))*Inputs!$B$277*(1+inf)^AK$1,-AL13))</f>
        <v>0</v>
      </c>
      <c r="AM14" s="7">
        <f ca="1">MIN(0,MAX(-IF(AM13=0,0,(Inputs!$B$19-INDEX(3:3,MATCH(0,5:5,0))))*Inputs!$B$277*(1+inf)^AL$1,-AM13))</f>
        <v>0</v>
      </c>
    </row>
    <row r="15" spans="1:39" x14ac:dyDescent="0.2">
      <c r="A15" s="4" t="s">
        <v>47</v>
      </c>
      <c r="B15" s="8"/>
      <c r="C15" s="7">
        <f ca="1">IF(AND(C$3&gt;=Inputs!$B$262,C$3&lt;=Inputs!$B$263),Inputs!$B$261*(1+inf)^B$1,0)*ProRate</f>
        <v>0</v>
      </c>
      <c r="D15" s="7">
        <f>IF(AND(D$3&gt;=Inputs!$B$262,D$3&lt;=Inputs!$B$263),Inputs!$B$261*(1+inf)^C$1,0)</f>
        <v>0</v>
      </c>
      <c r="E15" s="7">
        <f>IF(AND(E$3&gt;=Inputs!$B$262,E$3&lt;=Inputs!$B$263),Inputs!$B$261*(1+inf)^D$1,0)</f>
        <v>0</v>
      </c>
      <c r="F15" s="7">
        <f>IF(AND(F$3&gt;=Inputs!$B$262,F$3&lt;=Inputs!$B$263),Inputs!$B$261*(1+inf)^E$1,0)</f>
        <v>0</v>
      </c>
      <c r="G15" s="7">
        <f>IF(AND(G$3&gt;=Inputs!$B$262,G$3&lt;=Inputs!$B$263),Inputs!$B$261*(1+inf)^F$1,0)</f>
        <v>0</v>
      </c>
      <c r="H15" s="7">
        <f>IF(AND(H$3&gt;=Inputs!$B$262,H$3&lt;=Inputs!$B$263),Inputs!$B$261*(1+inf)^G$1,0)</f>
        <v>0</v>
      </c>
      <c r="I15" s="7">
        <f>IF(AND(I$3&gt;=Inputs!$B$262,I$3&lt;=Inputs!$B$263),Inputs!$B$261*(1+inf)^H$1,0)</f>
        <v>0</v>
      </c>
      <c r="J15" s="7">
        <f>IF(AND(J$3&gt;=Inputs!$B$262,J$3&lt;=Inputs!$B$263),Inputs!$B$261*(1+inf)^I$1,0)</f>
        <v>0</v>
      </c>
      <c r="K15" s="7">
        <f>IF(AND(K$3&gt;=Inputs!$B$262,K$3&lt;=Inputs!$B$263),Inputs!$B$261*(1+inf)^J$1,0)</f>
        <v>0</v>
      </c>
      <c r="L15" s="7">
        <f>IF(AND(L$3&gt;=Inputs!$B$262,L$3&lt;=Inputs!$B$263),Inputs!$B$261*(1+inf)^K$1,0)</f>
        <v>0</v>
      </c>
      <c r="M15" s="7">
        <f>IF(AND(M$3&gt;=Inputs!$B$262,M$3&lt;=Inputs!$B$263),Inputs!$B$261*(1+inf)^L$1,0)</f>
        <v>15361.014530356286</v>
      </c>
      <c r="N15" s="7">
        <f>IF(AND(N$3&gt;=Inputs!$B$262,N$3&lt;=Inputs!$B$263),Inputs!$B$261*(1+inf)^M$1,0)</f>
        <v>15745.039893615192</v>
      </c>
      <c r="O15" s="7">
        <f>IF(AND(O$3&gt;=Inputs!$B$262,O$3&lt;=Inputs!$B$263),Inputs!$B$261*(1+inf)^N$1,0)</f>
        <v>16138.66589095557</v>
      </c>
      <c r="P15" s="7">
        <f>IF(AND(P$3&gt;=Inputs!$B$262,P$3&lt;=Inputs!$B$263),Inputs!$B$261*(1+inf)^O$1,0)</f>
        <v>16542.13253822946</v>
      </c>
      <c r="Q15" s="7">
        <f>IF(AND(Q$3&gt;=Inputs!$B$262,Q$3&lt;=Inputs!$B$263),Inputs!$B$261*(1+inf)^P$1,0)</f>
        <v>16955.685851685193</v>
      </c>
      <c r="R15" s="7">
        <f>IF(AND(R$3&gt;=Inputs!$B$262,R$3&lt;=Inputs!$B$263),Inputs!$B$261*(1+inf)^Q$1,0)</f>
        <v>17379.577997977325</v>
      </c>
      <c r="S15" s="7">
        <f>IF(AND(S$3&gt;=Inputs!$B$262,S$3&lt;=Inputs!$B$263),Inputs!$B$261*(1+inf)^R$1,0)</f>
        <v>17814.067447926758</v>
      </c>
      <c r="T15" s="7">
        <f>IF(AND(T$3&gt;=Inputs!$B$262,T$3&lt;=Inputs!$B$263),Inputs!$B$261*(1+inf)^S$1,0)</f>
        <v>18259.419134124924</v>
      </c>
      <c r="U15" s="7">
        <f>IF(AND(U$3&gt;=Inputs!$B$262,U$3&lt;=Inputs!$B$263),Inputs!$B$261*(1+inf)^T$1,0)</f>
        <v>18715.904612478047</v>
      </c>
      <c r="V15" s="7">
        <f>IF(AND(V$3&gt;=Inputs!$B$262,V$3&lt;=Inputs!$B$263),Inputs!$B$261*(1+inf)^U$1,0)</f>
        <v>19183.802227789998</v>
      </c>
      <c r="W15" s="7">
        <f>IF(AND(W$3&gt;=Inputs!$B$262,W$3&lt;=Inputs!$B$263),Inputs!$B$261*(1+inf)^V$1,0)</f>
        <v>19663.397283484748</v>
      </c>
      <c r="X15" s="7">
        <f>IF(AND(X$3&gt;=Inputs!$B$262,X$3&lt;=Inputs!$B$263),Inputs!$B$261*(1+inf)^W$1,0)</f>
        <v>20154.982215571865</v>
      </c>
      <c r="Y15" s="7">
        <f>IF(AND(Y$3&gt;=Inputs!$B$262,Y$3&lt;=Inputs!$B$263),Inputs!$B$261*(1+inf)^X$1,0)</f>
        <v>0</v>
      </c>
      <c r="Z15" s="7">
        <f>IF(AND(Z$3&gt;=Inputs!$B$262,Z$3&lt;=Inputs!$B$263),Inputs!$B$261*(1+inf)^Y$1,0)</f>
        <v>0</v>
      </c>
      <c r="AA15" s="7">
        <f>IF(AND(AA$3&gt;=Inputs!$B$262,AA$3&lt;=Inputs!$B$263),Inputs!$B$261*(1+inf)^Z$1,0)</f>
        <v>0</v>
      </c>
      <c r="AB15" s="7">
        <f>IF(AND(AB$3&gt;=Inputs!$B$262,AB$3&lt;=Inputs!$B$263),Inputs!$B$261*(1+inf)^AA$1,0)</f>
        <v>0</v>
      </c>
      <c r="AC15" s="7">
        <f>IF(AND(AC$3&gt;=Inputs!$B$262,AC$3&lt;=Inputs!$B$263),Inputs!$B$261*(1+inf)^AB$1,0)</f>
        <v>0</v>
      </c>
      <c r="AD15" s="7">
        <f>IF(AND(AD$3&gt;=Inputs!$B$262,AD$3&lt;=Inputs!$B$263),Inputs!$B$261*(1+inf)^AC$1,0)</f>
        <v>0</v>
      </c>
      <c r="AE15" s="7">
        <f>IF(AND(AE$3&gt;=Inputs!$B$262,AE$3&lt;=Inputs!$B$263),Inputs!$B$261*(1+inf)^AD$1,0)</f>
        <v>0</v>
      </c>
      <c r="AF15" s="7">
        <f>IF(AND(AF$3&gt;=Inputs!$B$262,AF$3&lt;=Inputs!$B$263),Inputs!$B$261*(1+inf)^AE$1,0)</f>
        <v>0</v>
      </c>
      <c r="AG15" s="7">
        <f>IF(AND(AG$3&gt;=Inputs!$B$262,AG$3&lt;=Inputs!$B$263),Inputs!$B$261*(1+inf)^AF$1,0)</f>
        <v>0</v>
      </c>
      <c r="AH15" s="7">
        <f>IF(AND(AH$3&gt;=Inputs!$B$262,AH$3&lt;=Inputs!$B$263),Inputs!$B$261*(1+inf)^AG$1,0)</f>
        <v>0</v>
      </c>
      <c r="AI15" s="7">
        <f>IF(AND(AI$3&gt;=Inputs!$B$262,AI$3&lt;=Inputs!$B$263),Inputs!$B$261*(1+inf)^AH$1,0)</f>
        <v>0</v>
      </c>
      <c r="AJ15" s="7">
        <f>IF(AND(AJ$3&gt;=Inputs!$B$262,AJ$3&lt;=Inputs!$B$263),Inputs!$B$261*(1+inf)^AI$1,0)</f>
        <v>0</v>
      </c>
      <c r="AK15" s="7">
        <f>IF(AND(AK$3&gt;=Inputs!$B$262,AK$3&lt;=Inputs!$B$263),Inputs!$B$261*(1+inf)^AJ$1,0)</f>
        <v>0</v>
      </c>
      <c r="AL15" s="7">
        <f>IF(AND(AL$3&gt;=Inputs!$B$262,AL$3&lt;=Inputs!$B$263),Inputs!$B$261*(1+inf)^AK$1,0)</f>
        <v>0</v>
      </c>
      <c r="AM15" s="7">
        <f>IF(AND(AM$3&gt;=Inputs!$B$262,AM$3&lt;=Inputs!$B$263),Inputs!$B$261*(1+inf)^AL$1,0)</f>
        <v>0</v>
      </c>
    </row>
    <row r="16" spans="1:39" x14ac:dyDescent="0.2">
      <c r="A16" s="4" t="s">
        <v>130</v>
      </c>
      <c r="B16" s="8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spans="1:39" x14ac:dyDescent="0.2">
      <c r="A17" s="3" t="str">
        <f>TEXT(Inputs!B184,"")</f>
        <v>Inheritance</v>
      </c>
      <c r="B17" s="8"/>
      <c r="C17" s="7">
        <f ca="1">IF(C$2=Inputs!$B186,Inputs!$B185,0)*(1+inf)^B$1</f>
        <v>0</v>
      </c>
      <c r="D17" s="7">
        <f ca="1">IF(D$2=Inputs!$B186,Inputs!$B185,0)*(1+inf)^C$1</f>
        <v>0</v>
      </c>
      <c r="E17" s="7">
        <f ca="1">IF(E$2=Inputs!$B186,Inputs!$B185,0)*(1+inf)^D$1</f>
        <v>0</v>
      </c>
      <c r="F17" s="7">
        <f ca="1">IF(F$2=Inputs!$B186,Inputs!$B185,0)*(1+inf)^E$1</f>
        <v>0</v>
      </c>
      <c r="G17" s="7">
        <f ca="1">IF(G$2=Inputs!$B186,Inputs!$B185,0)*(1+inf)^F$1</f>
        <v>0</v>
      </c>
      <c r="H17" s="7">
        <f ca="1">IF(H$2=Inputs!$B186,Inputs!$B185,0)*(1+inf)^G$1</f>
        <v>0</v>
      </c>
      <c r="I17" s="7">
        <f ca="1">IF(I$2=Inputs!$B186,Inputs!$B185,0)*(1+inf)^H$1</f>
        <v>0</v>
      </c>
      <c r="J17" s="7">
        <f ca="1">IF(J$2=Inputs!$B186,Inputs!$B185,0)*(1+inf)^I$1</f>
        <v>0</v>
      </c>
      <c r="K17" s="7">
        <f ca="1">IF(K$2=Inputs!$B186,Inputs!$B185,0)*(1+inf)^J$1</f>
        <v>0</v>
      </c>
      <c r="L17" s="7">
        <f ca="1">IF(L$2=Inputs!$B186,Inputs!$B185,0)*(1+inf)^K$1</f>
        <v>62443.14849738327</v>
      </c>
      <c r="M17" s="7">
        <f ca="1">IF(M$2=Inputs!$B186,Inputs!$B185,0)*(1+inf)^L$1</f>
        <v>0</v>
      </c>
      <c r="N17" s="7">
        <f ca="1">IF(N$2=Inputs!$B186,Inputs!$B185,0)*(1+inf)^M$1</f>
        <v>0</v>
      </c>
      <c r="O17" s="7">
        <f ca="1">IF(O$2=Inputs!$B186,Inputs!$B185,0)*(1+inf)^N$1</f>
        <v>0</v>
      </c>
      <c r="P17" s="7">
        <f ca="1">IF(P$2=Inputs!$B186,Inputs!$B185,0)*(1+inf)^O$1</f>
        <v>0</v>
      </c>
      <c r="Q17" s="7">
        <f ca="1">IF(Q$2=Inputs!$B186,Inputs!$B185,0)*(1+inf)^P$1</f>
        <v>0</v>
      </c>
      <c r="R17" s="7">
        <f ca="1">IF(R$2=Inputs!$B186,Inputs!$B185,0)*(1+inf)^Q$1</f>
        <v>0</v>
      </c>
      <c r="S17" s="7">
        <f ca="1">IF(S$2=Inputs!$B186,Inputs!$B185,0)*(1+inf)^R$1</f>
        <v>0</v>
      </c>
      <c r="T17" s="7">
        <f ca="1">IF(T$2=Inputs!$B186,Inputs!$B185,0)*(1+inf)^S$1</f>
        <v>0</v>
      </c>
      <c r="U17" s="7">
        <f ca="1">IF(U$2=Inputs!$B186,Inputs!$B185,0)*(1+inf)^T$1</f>
        <v>0</v>
      </c>
      <c r="V17" s="7">
        <f ca="1">IF(V$2=Inputs!$B186,Inputs!$B185,0)*(1+inf)^U$1</f>
        <v>0</v>
      </c>
      <c r="W17" s="7">
        <f ca="1">IF(W$2=Inputs!$B186,Inputs!$B185,0)*(1+inf)^V$1</f>
        <v>0</v>
      </c>
      <c r="X17" s="7">
        <f ca="1">IF(X$2=Inputs!$B186,Inputs!$B185,0)*(1+inf)^W$1</f>
        <v>0</v>
      </c>
      <c r="Y17" s="7">
        <f ca="1">IF(Y$2=Inputs!$B186,Inputs!$B185,0)*(1+inf)^X$1</f>
        <v>0</v>
      </c>
      <c r="Z17" s="7">
        <f ca="1">IF(Z$2=Inputs!$B186,Inputs!$B185,0)*(1+inf)^Y$1</f>
        <v>0</v>
      </c>
      <c r="AA17" s="7">
        <f ca="1">IF(AA$2=Inputs!$B186,Inputs!$B185,0)*(1+inf)^Z$1</f>
        <v>0</v>
      </c>
      <c r="AB17" s="7">
        <f ca="1">IF(AB$2=Inputs!$B186,Inputs!$B185,0)*(1+inf)^AA$1</f>
        <v>0</v>
      </c>
      <c r="AC17" s="7">
        <f ca="1">IF(AC$2=Inputs!$B186,Inputs!$B185,0)*(1+inf)^AB$1</f>
        <v>0</v>
      </c>
      <c r="AD17" s="7">
        <f ca="1">IF(AD$2=Inputs!$B186,Inputs!$B185,0)*(1+inf)^AC$1</f>
        <v>0</v>
      </c>
      <c r="AE17" s="7">
        <f ca="1">IF(AE$2=Inputs!$B186,Inputs!$B185,0)*(1+inf)^AD$1</f>
        <v>0</v>
      </c>
      <c r="AF17" s="7">
        <f ca="1">IF(AF$2=Inputs!$B186,Inputs!$B185,0)*(1+inf)^AE$1</f>
        <v>0</v>
      </c>
      <c r="AG17" s="7">
        <f ca="1">IF(AG$2=Inputs!$B186,Inputs!$B185,0)*(1+inf)^AF$1</f>
        <v>0</v>
      </c>
      <c r="AH17" s="7">
        <f ca="1">IF(AH$2=Inputs!$B186,Inputs!$B185,0)*(1+inf)^AG$1</f>
        <v>0</v>
      </c>
      <c r="AI17" s="7">
        <f ca="1">IF(AI$2=Inputs!$B186,Inputs!$B185,0)*(1+inf)^AH$1</f>
        <v>0</v>
      </c>
      <c r="AJ17" s="7">
        <f ca="1">IF(AJ$2=Inputs!$B186,Inputs!$B185,0)*(1+inf)^AI$1</f>
        <v>0</v>
      </c>
      <c r="AK17" s="7">
        <f ca="1">IF(AK$2=Inputs!$B186,Inputs!$B185,0)*(1+inf)^AJ$1</f>
        <v>0</v>
      </c>
      <c r="AL17" s="7">
        <f ca="1">IF(AL$2=Inputs!$B186,Inputs!$B185,0)*(1+inf)^AK$1</f>
        <v>0</v>
      </c>
      <c r="AM17" s="7">
        <f ca="1">IF(AM$2=Inputs!$B186,Inputs!$B185,0)*(1+inf)^AL$1</f>
        <v>0</v>
      </c>
    </row>
    <row r="18" spans="1:39" x14ac:dyDescent="0.2">
      <c r="A18" s="3" t="str">
        <f>TEXT(Inputs!B189,"")</f>
        <v>Sell Painting</v>
      </c>
      <c r="B18" s="8"/>
      <c r="C18" s="7">
        <f ca="1">IF(C$2=Inputs!$B191,Inputs!$B190,0)*(1+inf)^B$1</f>
        <v>0</v>
      </c>
      <c r="D18" s="7">
        <f ca="1">IF(D$2=Inputs!$B191,Inputs!$B190,0)*(1+inf)^C$1</f>
        <v>0</v>
      </c>
      <c r="E18" s="7">
        <f ca="1">IF(E$2=Inputs!$B191,Inputs!$B190,0)*(1+inf)^D$1</f>
        <v>0</v>
      </c>
      <c r="F18" s="7">
        <f ca="1">IF(F$2=Inputs!$B191,Inputs!$B190,0)*(1+inf)^E$1</f>
        <v>10768.906249999998</v>
      </c>
      <c r="G18" s="7">
        <f ca="1">IF(G$2=Inputs!$B191,Inputs!$B190,0)*(1+inf)^F$1</f>
        <v>0</v>
      </c>
      <c r="H18" s="7">
        <f ca="1">IF(H$2=Inputs!$B191,Inputs!$B190,0)*(1+inf)^G$1</f>
        <v>0</v>
      </c>
      <c r="I18" s="7">
        <f ca="1">IF(I$2=Inputs!$B191,Inputs!$B190,0)*(1+inf)^H$1</f>
        <v>0</v>
      </c>
      <c r="J18" s="7">
        <f ca="1">IF(J$2=Inputs!$B191,Inputs!$B190,0)*(1+inf)^I$1</f>
        <v>0</v>
      </c>
      <c r="K18" s="7">
        <f ca="1">IF(K$2=Inputs!$B191,Inputs!$B190,0)*(1+inf)^J$1</f>
        <v>0</v>
      </c>
      <c r="L18" s="7">
        <f ca="1">IF(L$2=Inputs!$B191,Inputs!$B190,0)*(1+inf)^K$1</f>
        <v>0</v>
      </c>
      <c r="M18" s="7">
        <f ca="1">IF(M$2=Inputs!$B191,Inputs!$B190,0)*(1+inf)^L$1</f>
        <v>0</v>
      </c>
      <c r="N18" s="7">
        <f ca="1">IF(N$2=Inputs!$B191,Inputs!$B190,0)*(1+inf)^M$1</f>
        <v>0</v>
      </c>
      <c r="O18" s="7">
        <f ca="1">IF(O$2=Inputs!$B191,Inputs!$B190,0)*(1+inf)^N$1</f>
        <v>0</v>
      </c>
      <c r="P18" s="7">
        <f ca="1">IF(P$2=Inputs!$B191,Inputs!$B190,0)*(1+inf)^O$1</f>
        <v>0</v>
      </c>
      <c r="Q18" s="7">
        <f ca="1">IF(Q$2=Inputs!$B191,Inputs!$B190,0)*(1+inf)^P$1</f>
        <v>0</v>
      </c>
      <c r="R18" s="7">
        <f ca="1">IF(R$2=Inputs!$B191,Inputs!$B190,0)*(1+inf)^Q$1</f>
        <v>0</v>
      </c>
      <c r="S18" s="7">
        <f ca="1">IF(S$2=Inputs!$B191,Inputs!$B190,0)*(1+inf)^R$1</f>
        <v>0</v>
      </c>
      <c r="T18" s="7">
        <f ca="1">IF(T$2=Inputs!$B191,Inputs!$B190,0)*(1+inf)^S$1</f>
        <v>0</v>
      </c>
      <c r="U18" s="7">
        <f ca="1">IF(U$2=Inputs!$B191,Inputs!$B190,0)*(1+inf)^T$1</f>
        <v>0</v>
      </c>
      <c r="V18" s="7">
        <f ca="1">IF(V$2=Inputs!$B191,Inputs!$B190,0)*(1+inf)^U$1</f>
        <v>0</v>
      </c>
      <c r="W18" s="7">
        <f ca="1">IF(W$2=Inputs!$B191,Inputs!$B190,0)*(1+inf)^V$1</f>
        <v>0</v>
      </c>
      <c r="X18" s="7">
        <f ca="1">IF(X$2=Inputs!$B191,Inputs!$B190,0)*(1+inf)^W$1</f>
        <v>0</v>
      </c>
      <c r="Y18" s="7">
        <f ca="1">IF(Y$2=Inputs!$B191,Inputs!$B190,0)*(1+inf)^X$1</f>
        <v>0</v>
      </c>
      <c r="Z18" s="7">
        <f ca="1">IF(Z$2=Inputs!$B191,Inputs!$B190,0)*(1+inf)^Y$1</f>
        <v>0</v>
      </c>
      <c r="AA18" s="7">
        <f ca="1">IF(AA$2=Inputs!$B191,Inputs!$B190,0)*(1+inf)^Z$1</f>
        <v>0</v>
      </c>
      <c r="AB18" s="7">
        <f ca="1">IF(AB$2=Inputs!$B191,Inputs!$B190,0)*(1+inf)^AA$1</f>
        <v>0</v>
      </c>
      <c r="AC18" s="7">
        <f ca="1">IF(AC$2=Inputs!$B191,Inputs!$B190,0)*(1+inf)^AB$1</f>
        <v>0</v>
      </c>
      <c r="AD18" s="7">
        <f ca="1">IF(AD$2=Inputs!$B191,Inputs!$B190,0)*(1+inf)^AC$1</f>
        <v>0</v>
      </c>
      <c r="AE18" s="7">
        <f ca="1">IF(AE$2=Inputs!$B191,Inputs!$B190,0)*(1+inf)^AD$1</f>
        <v>0</v>
      </c>
      <c r="AF18" s="7">
        <f ca="1">IF(AF$2=Inputs!$B191,Inputs!$B190,0)*(1+inf)^AE$1</f>
        <v>0</v>
      </c>
      <c r="AG18" s="7">
        <f ca="1">IF(AG$2=Inputs!$B191,Inputs!$B190,0)*(1+inf)^AF$1</f>
        <v>0</v>
      </c>
      <c r="AH18" s="7">
        <f ca="1">IF(AH$2=Inputs!$B191,Inputs!$B190,0)*(1+inf)^AG$1</f>
        <v>0</v>
      </c>
      <c r="AI18" s="7">
        <f ca="1">IF(AI$2=Inputs!$B191,Inputs!$B190,0)*(1+inf)^AH$1</f>
        <v>0</v>
      </c>
      <c r="AJ18" s="7">
        <f ca="1">IF(AJ$2=Inputs!$B191,Inputs!$B190,0)*(1+inf)^AI$1</f>
        <v>0</v>
      </c>
      <c r="AK18" s="7">
        <f ca="1">IF(AK$2=Inputs!$B191,Inputs!$B190,0)*(1+inf)^AJ$1</f>
        <v>0</v>
      </c>
      <c r="AL18" s="7">
        <f ca="1">IF(AL$2=Inputs!$B191,Inputs!$B190,0)*(1+inf)^AK$1</f>
        <v>0</v>
      </c>
      <c r="AM18" s="7">
        <f ca="1">IF(AM$2=Inputs!$B191,Inputs!$B190,0)*(1+inf)^AL$1</f>
        <v>0</v>
      </c>
    </row>
    <row r="19" spans="1:39" x14ac:dyDescent="0.2">
      <c r="A19" s="3" t="str">
        <f>TEXT(Inputs!B194,"")</f>
        <v>Sell Jewels</v>
      </c>
      <c r="B19" s="8"/>
      <c r="C19" s="7">
        <f ca="1">IF(C$2=Inputs!$B196,Inputs!$B195,0)*(1+inf)^B$1</f>
        <v>0</v>
      </c>
      <c r="D19" s="7">
        <f ca="1">IF(D$2=Inputs!$B196,Inputs!$B195,0)*(1+inf)^C$1</f>
        <v>0</v>
      </c>
      <c r="E19" s="7">
        <f ca="1">IF(E$2=Inputs!$B196,Inputs!$B195,0)*(1+inf)^D$1</f>
        <v>0</v>
      </c>
      <c r="F19" s="7">
        <f ca="1">IF(F$2=Inputs!$B196,Inputs!$B195,0)*(1+inf)^E$1</f>
        <v>0</v>
      </c>
      <c r="G19" s="7">
        <f ca="1">IF(G$2=Inputs!$B196,Inputs!$B195,0)*(1+inf)^F$1</f>
        <v>0</v>
      </c>
      <c r="H19" s="7">
        <f ca="1">IF(H$2=Inputs!$B196,Inputs!$B195,0)*(1+inf)^G$1</f>
        <v>0</v>
      </c>
      <c r="I19" s="7">
        <f ca="1">IF(I$2=Inputs!$B196,Inputs!$B195,0)*(1+inf)^H$1</f>
        <v>5798.4670910644509</v>
      </c>
      <c r="J19" s="7">
        <f ca="1">IF(J$2=Inputs!$B196,Inputs!$B195,0)*(1+inf)^I$1</f>
        <v>0</v>
      </c>
      <c r="K19" s="7">
        <f ca="1">IF(K$2=Inputs!$B196,Inputs!$B195,0)*(1+inf)^J$1</f>
        <v>0</v>
      </c>
      <c r="L19" s="7">
        <f ca="1">IF(L$2=Inputs!$B196,Inputs!$B195,0)*(1+inf)^K$1</f>
        <v>0</v>
      </c>
      <c r="M19" s="7">
        <f ca="1">IF(M$2=Inputs!$B196,Inputs!$B195,0)*(1+inf)^L$1</f>
        <v>0</v>
      </c>
      <c r="N19" s="7">
        <f ca="1">IF(N$2=Inputs!$B196,Inputs!$B195,0)*(1+inf)^M$1</f>
        <v>0</v>
      </c>
      <c r="O19" s="7">
        <f ca="1">IF(O$2=Inputs!$B196,Inputs!$B195,0)*(1+inf)^N$1</f>
        <v>0</v>
      </c>
      <c r="P19" s="7">
        <f ca="1">IF(P$2=Inputs!$B196,Inputs!$B195,0)*(1+inf)^O$1</f>
        <v>0</v>
      </c>
      <c r="Q19" s="7">
        <f ca="1">IF(Q$2=Inputs!$B196,Inputs!$B195,0)*(1+inf)^P$1</f>
        <v>0</v>
      </c>
      <c r="R19" s="7">
        <f ca="1">IF(R$2=Inputs!$B196,Inputs!$B195,0)*(1+inf)^Q$1</f>
        <v>0</v>
      </c>
      <c r="S19" s="7">
        <f ca="1">IF(S$2=Inputs!$B196,Inputs!$B195,0)*(1+inf)^R$1</f>
        <v>0</v>
      </c>
      <c r="T19" s="7">
        <f ca="1">IF(T$2=Inputs!$B196,Inputs!$B195,0)*(1+inf)^S$1</f>
        <v>0</v>
      </c>
      <c r="U19" s="7">
        <f ca="1">IF(U$2=Inputs!$B196,Inputs!$B195,0)*(1+inf)^T$1</f>
        <v>0</v>
      </c>
      <c r="V19" s="7">
        <f ca="1">IF(V$2=Inputs!$B196,Inputs!$B195,0)*(1+inf)^U$1</f>
        <v>0</v>
      </c>
      <c r="W19" s="7">
        <f ca="1">IF(W$2=Inputs!$B196,Inputs!$B195,0)*(1+inf)^V$1</f>
        <v>0</v>
      </c>
      <c r="X19" s="7">
        <f ca="1">IF(X$2=Inputs!$B196,Inputs!$B195,0)*(1+inf)^W$1</f>
        <v>0</v>
      </c>
      <c r="Y19" s="7">
        <f ca="1">IF(Y$2=Inputs!$B196,Inputs!$B195,0)*(1+inf)^X$1</f>
        <v>0</v>
      </c>
      <c r="Z19" s="7">
        <f ca="1">IF(Z$2=Inputs!$B196,Inputs!$B195,0)*(1+inf)^Y$1</f>
        <v>0</v>
      </c>
      <c r="AA19" s="7">
        <f ca="1">IF(AA$2=Inputs!$B196,Inputs!$B195,0)*(1+inf)^Z$1</f>
        <v>0</v>
      </c>
      <c r="AB19" s="7">
        <f ca="1">IF(AB$2=Inputs!$B196,Inputs!$B195,0)*(1+inf)^AA$1</f>
        <v>0</v>
      </c>
      <c r="AC19" s="7">
        <f ca="1">IF(AC$2=Inputs!$B196,Inputs!$B195,0)*(1+inf)^AB$1</f>
        <v>0</v>
      </c>
      <c r="AD19" s="7">
        <f ca="1">IF(AD$2=Inputs!$B196,Inputs!$B195,0)*(1+inf)^AC$1</f>
        <v>0</v>
      </c>
      <c r="AE19" s="7">
        <f ca="1">IF(AE$2=Inputs!$B196,Inputs!$B195,0)*(1+inf)^AD$1</f>
        <v>0</v>
      </c>
      <c r="AF19" s="7">
        <f ca="1">IF(AF$2=Inputs!$B196,Inputs!$B195,0)*(1+inf)^AE$1</f>
        <v>0</v>
      </c>
      <c r="AG19" s="7">
        <f ca="1">IF(AG$2=Inputs!$B196,Inputs!$B195,0)*(1+inf)^AF$1</f>
        <v>0</v>
      </c>
      <c r="AH19" s="7">
        <f ca="1">IF(AH$2=Inputs!$B196,Inputs!$B195,0)*(1+inf)^AG$1</f>
        <v>0</v>
      </c>
      <c r="AI19" s="7">
        <f ca="1">IF(AI$2=Inputs!$B196,Inputs!$B195,0)*(1+inf)^AH$1</f>
        <v>0</v>
      </c>
      <c r="AJ19" s="7">
        <f ca="1">IF(AJ$2=Inputs!$B196,Inputs!$B195,0)*(1+inf)^AI$1</f>
        <v>0</v>
      </c>
      <c r="AK19" s="7">
        <f ca="1">IF(AK$2=Inputs!$B196,Inputs!$B195,0)*(1+inf)^AJ$1</f>
        <v>0</v>
      </c>
      <c r="AL19" s="7">
        <f ca="1">IF(AL$2=Inputs!$B196,Inputs!$B195,0)*(1+inf)^AK$1</f>
        <v>0</v>
      </c>
      <c r="AM19" s="7">
        <f ca="1">IF(AM$2=Inputs!$B196,Inputs!$B195,0)*(1+inf)^AL$1</f>
        <v>0</v>
      </c>
    </row>
    <row r="20" spans="1:39" x14ac:dyDescent="0.2">
      <c r="A20" s="4" t="s">
        <v>222</v>
      </c>
      <c r="B20" s="8"/>
      <c r="C20" s="7">
        <f ca="1">IF(AND(Inputs!$B$217&lt;&gt;"",C$2=Inputs!$B$217,Inputs!$B$12&gt;0),(IF(B$1=0,Inputs!$B$12*(1+princ)^ProRate,B69*(1+princ)))*(1-DCprop),0)</f>
        <v>0</v>
      </c>
      <c r="D20" s="7">
        <f ca="1">IF(AND(Inputs!$B$217&lt;&gt;"",D$2=Inputs!$B$217,Inputs!$B$12&gt;0),(IF(C$1=0,Inputs!$B$12*(1+princ)^ProRate,C69*(1+princ)))*(1-DCprop),0)</f>
        <v>0</v>
      </c>
      <c r="E20" s="7">
        <f ca="1">IF(AND(Inputs!$B$217&lt;&gt;"",E$2=Inputs!$B$217,Inputs!$B$12&gt;0),(IF(D$1=0,Inputs!$B$12*(1+princ)^ProRate,D69*(1+princ)))*(1-DCprop),0)</f>
        <v>0</v>
      </c>
      <c r="F20" s="7">
        <f ca="1">IF(AND(Inputs!$B$217&lt;&gt;"",F$2=Inputs!$B$217,Inputs!$B$12&gt;0),(IF(E$1=0,Inputs!$B$12*(1+princ)^ProRate,E69*(1+princ)))*(1-DCprop),0)</f>
        <v>0</v>
      </c>
      <c r="G20" s="7">
        <f ca="1">IF(AND(Inputs!$B$217&lt;&gt;"",G$2=Inputs!$B$217,Inputs!$B$12&gt;0),(IF(F$1=0,Inputs!$B$12*(1+princ)^ProRate,F69*(1+princ)))*(1-DCprop),0)</f>
        <v>489064.0583527881</v>
      </c>
      <c r="H20" s="7">
        <f ca="1">IF(AND(Inputs!$B$217&lt;&gt;"",H$2=Inputs!$B$217,Inputs!$B$12&gt;0),(IF(G$1=0,Inputs!$B$12*(1+princ)^ProRate,G69*(1+princ)))*(1-DCprop),0)</f>
        <v>0</v>
      </c>
      <c r="I20" s="7">
        <f ca="1">IF(AND(Inputs!$B$217&lt;&gt;"",I$2=Inputs!$B$217,Inputs!$B$12&gt;0),(IF(H$1=0,Inputs!$B$12*(1+princ)^ProRate,H69*(1+princ)))*(1-DCprop),0)</f>
        <v>0</v>
      </c>
      <c r="J20" s="7">
        <f ca="1">IF(AND(Inputs!$B$217&lt;&gt;"",J$2=Inputs!$B$217,Inputs!$B$12&gt;0),(IF(I$1=0,Inputs!$B$12*(1+princ)^ProRate,I69*(1+princ)))*(1-DCprop),0)</f>
        <v>0</v>
      </c>
      <c r="K20" s="7">
        <f ca="1">IF(AND(Inputs!$B$217&lt;&gt;"",K$2=Inputs!$B$217,Inputs!$B$12&gt;0),(IF(J$1=0,Inputs!$B$12*(1+princ)^ProRate,J69*(1+princ)))*(1-DCprop),0)</f>
        <v>0</v>
      </c>
      <c r="L20" s="7">
        <f ca="1">IF(AND(Inputs!$B$217&lt;&gt;"",L$2=Inputs!$B$217,Inputs!$B$12&gt;0),(IF(K$1=0,Inputs!$B$12*(1+princ)^ProRate,K69*(1+princ)))*(1-DCprop),0)</f>
        <v>0</v>
      </c>
      <c r="M20" s="7">
        <f ca="1">IF(AND(Inputs!$B$217&lt;&gt;"",M$2=Inputs!$B$217,Inputs!$B$12&gt;0),(IF(L$1=0,Inputs!$B$12*(1+princ)^ProRate,L69*(1+princ)))*(1-DCprop),0)</f>
        <v>0</v>
      </c>
      <c r="N20" s="7">
        <f ca="1">IF(AND(Inputs!$B$217&lt;&gt;"",N$2=Inputs!$B$217,Inputs!$B$12&gt;0),(IF(M$1=0,Inputs!$B$12*(1+princ)^ProRate,M69*(1+princ)))*(1-DCprop),0)</f>
        <v>0</v>
      </c>
      <c r="O20" s="7">
        <f ca="1">IF(AND(Inputs!$B$217&lt;&gt;"",O$2=Inputs!$B$217,Inputs!$B$12&gt;0),(IF(N$1=0,Inputs!$B$12*(1+princ)^ProRate,N69*(1+princ)))*(1-DCprop),0)</f>
        <v>0</v>
      </c>
      <c r="P20" s="7">
        <f ca="1">IF(AND(Inputs!$B$217&lt;&gt;"",P$2=Inputs!$B$217,Inputs!$B$12&gt;0),(IF(O$1=0,Inputs!$B$12*(1+princ)^ProRate,O69*(1+princ)))*(1-DCprop),0)</f>
        <v>0</v>
      </c>
      <c r="Q20" s="7">
        <f ca="1">IF(AND(Inputs!$B$217&lt;&gt;"",Q$2=Inputs!$B$217,Inputs!$B$12&gt;0),(IF(P$1=0,Inputs!$B$12*(1+princ)^ProRate,P69*(1+princ)))*(1-DCprop),0)</f>
        <v>0</v>
      </c>
      <c r="R20" s="7">
        <f ca="1">IF(AND(Inputs!$B$217&lt;&gt;"",R$2=Inputs!$B$217,Inputs!$B$12&gt;0),(IF(Q$1=0,Inputs!$B$12*(1+princ)^ProRate,Q69*(1+princ)))*(1-DCprop),0)</f>
        <v>0</v>
      </c>
      <c r="S20" s="7">
        <f ca="1">IF(AND(Inputs!$B$217&lt;&gt;"",S$2=Inputs!$B$217,Inputs!$B$12&gt;0),(IF(R$1=0,Inputs!$B$12*(1+princ)^ProRate,R69*(1+princ)))*(1-DCprop),0)</f>
        <v>0</v>
      </c>
      <c r="T20" s="7">
        <f ca="1">IF(AND(Inputs!$B$217&lt;&gt;"",T$2=Inputs!$B$217,Inputs!$B$12&gt;0),(IF(S$1=0,Inputs!$B$12*(1+princ)^ProRate,S69*(1+princ)))*(1-DCprop),0)</f>
        <v>0</v>
      </c>
      <c r="U20" s="7">
        <f ca="1">IF(AND(Inputs!$B$217&lt;&gt;"",U$2=Inputs!$B$217,Inputs!$B$12&gt;0),(IF(T$1=0,Inputs!$B$12*(1+princ)^ProRate,T69*(1+princ)))*(1-DCprop),0)</f>
        <v>0</v>
      </c>
      <c r="V20" s="7">
        <f ca="1">IF(AND(Inputs!$B$217&lt;&gt;"",V$2=Inputs!$B$217,Inputs!$B$12&gt;0),(IF(U$1=0,Inputs!$B$12*(1+princ)^ProRate,U69*(1+princ)))*(1-DCprop),0)</f>
        <v>0</v>
      </c>
      <c r="W20" s="7">
        <f ca="1">IF(AND(Inputs!$B$217&lt;&gt;"",W$2=Inputs!$B$217,Inputs!$B$12&gt;0),(IF(V$1=0,Inputs!$B$12*(1+princ)^ProRate,V69*(1+princ)))*(1-DCprop),0)</f>
        <v>0</v>
      </c>
      <c r="X20" s="7">
        <f ca="1">IF(AND(Inputs!$B$217&lt;&gt;"",X$2=Inputs!$B$217,Inputs!$B$12&gt;0),(IF(W$1=0,Inputs!$B$12*(1+princ)^ProRate,W69*(1+princ)))*(1-DCprop),0)</f>
        <v>0</v>
      </c>
      <c r="Y20" s="7">
        <f ca="1">IF(AND(Inputs!$B$217&lt;&gt;"",Y$2=Inputs!$B$217,Inputs!$B$12&gt;0),(IF(X$1=0,Inputs!$B$12*(1+princ)^ProRate,X69*(1+princ)))*(1-DCprop),0)</f>
        <v>0</v>
      </c>
      <c r="Z20" s="7">
        <f ca="1">IF(AND(Inputs!$B$217&lt;&gt;"",Z$2=Inputs!$B$217,Inputs!$B$12&gt;0),(IF(Y$1=0,Inputs!$B$12*(1+princ)^ProRate,Y69*(1+princ)))*(1-DCprop),0)</f>
        <v>0</v>
      </c>
      <c r="AA20" s="7">
        <f ca="1">IF(AND(Inputs!$B$217&lt;&gt;"",AA$2=Inputs!$B$217,Inputs!$B$12&gt;0),(IF(Z$1=0,Inputs!$B$12*(1+princ)^ProRate,Z69*(1+princ)))*(1-DCprop),0)</f>
        <v>0</v>
      </c>
      <c r="AB20" s="7">
        <f ca="1">IF(AND(Inputs!$B$217&lt;&gt;"",AB$2=Inputs!$B$217,Inputs!$B$12&gt;0),(IF(AA$1=0,Inputs!$B$12*(1+princ)^ProRate,AA69*(1+princ)))*(1-DCprop),0)</f>
        <v>0</v>
      </c>
      <c r="AC20" s="7">
        <f ca="1">IF(AND(Inputs!$B$217&lt;&gt;"",AC$2=Inputs!$B$217,Inputs!$B$12&gt;0),(IF(AB$1=0,Inputs!$B$12*(1+princ)^ProRate,AB69*(1+princ)))*(1-DCprop),0)</f>
        <v>0</v>
      </c>
      <c r="AD20" s="7">
        <f ca="1">IF(AND(Inputs!$B$217&lt;&gt;"",AD$2=Inputs!$B$217,Inputs!$B$12&gt;0),(IF(AC$1=0,Inputs!$B$12*(1+princ)^ProRate,AC69*(1+princ)))*(1-DCprop),0)</f>
        <v>0</v>
      </c>
      <c r="AE20" s="7">
        <f ca="1">IF(AND(Inputs!$B$217&lt;&gt;"",AE$2=Inputs!$B$217,Inputs!$B$12&gt;0),(IF(AD$1=0,Inputs!$B$12*(1+princ)^ProRate,AD69*(1+princ)))*(1-DCprop),0)</f>
        <v>0</v>
      </c>
      <c r="AF20" s="7">
        <f ca="1">IF(AND(Inputs!$B$217&lt;&gt;"",AF$2=Inputs!$B$217,Inputs!$B$12&gt;0),(IF(AE$1=0,Inputs!$B$12*(1+princ)^ProRate,AE69*(1+princ)))*(1-DCprop),0)</f>
        <v>0</v>
      </c>
      <c r="AG20" s="7">
        <f ca="1">IF(AND(Inputs!$B$217&lt;&gt;"",AG$2=Inputs!$B$217,Inputs!$B$12&gt;0),(IF(AF$1=0,Inputs!$B$12*(1+princ)^ProRate,AF69*(1+princ)))*(1-DCprop),0)</f>
        <v>0</v>
      </c>
      <c r="AH20" s="7">
        <f ca="1">IF(AND(Inputs!$B$217&lt;&gt;"",AH$2=Inputs!$B$217,Inputs!$B$12&gt;0),(IF(AG$1=0,Inputs!$B$12*(1+princ)^ProRate,AG69*(1+princ)))*(1-DCprop),0)</f>
        <v>0</v>
      </c>
      <c r="AI20" s="7">
        <f ca="1">IF(AND(Inputs!$B$217&lt;&gt;"",AI$2=Inputs!$B$217,Inputs!$B$12&gt;0),(IF(AH$1=0,Inputs!$B$12*(1+princ)^ProRate,AH69*(1+princ)))*(1-DCprop),0)</f>
        <v>0</v>
      </c>
      <c r="AJ20" s="7">
        <f ca="1">IF(AND(Inputs!$B$217&lt;&gt;"",AJ$2=Inputs!$B$217,Inputs!$B$12&gt;0),(IF(AI$1=0,Inputs!$B$12*(1+princ)^ProRate,AI69*(1+princ)))*(1-DCprop),0)</f>
        <v>0</v>
      </c>
      <c r="AK20" s="7">
        <f ca="1">IF(AND(Inputs!$B$217&lt;&gt;"",AK$2=Inputs!$B$217,Inputs!$B$12&gt;0),(IF(AJ$1=0,Inputs!$B$12*(1+princ)^ProRate,AJ69*(1+princ)))*(1-DCprop),0)</f>
        <v>0</v>
      </c>
      <c r="AL20" s="7">
        <f ca="1">IF(AND(Inputs!$B$217&lt;&gt;"",AL$2=Inputs!$B$217,Inputs!$B$12&gt;0),(IF(AK$1=0,Inputs!$B$12*(1+princ)^ProRate,AK69*(1+princ)))*(1-DCprop),0)</f>
        <v>0</v>
      </c>
      <c r="AM20" s="7">
        <f ca="1">IF(AND(Inputs!$B$217&lt;&gt;"",AM$2=Inputs!$B$217,Inputs!$B$12&gt;0),(IF(AL$1=0,Inputs!$B$12*(1+princ)^ProRate,AL69*(1+princ)))*(1-DCprop),0)</f>
        <v>0</v>
      </c>
    </row>
    <row r="21" spans="1:39" x14ac:dyDescent="0.2">
      <c r="A21" s="4" t="s">
        <v>7</v>
      </c>
      <c r="C21" s="7">
        <f ca="1">MAX(AVERAGE(C64,C64+SUM(C5:C20)-C61)*Inputs!$B$269,0)</f>
        <v>1433.4375</v>
      </c>
      <c r="D21" s="7">
        <f ca="1">MAX(AVERAGE(D64,D64+SUM(D5:D20)-D61)*Inputs!$B$269,0)</f>
        <v>1803.9578125</v>
      </c>
      <c r="E21" s="7">
        <f ca="1">MAX(AVERAGE(E64,E64+SUM(E5:E20)-E61)*Inputs!$B$269,0)</f>
        <v>2224.4666015625003</v>
      </c>
      <c r="F21" s="7">
        <f ca="1">MAX(AVERAGE(F64,F64+SUM(F5:F20)-F61)*Inputs!$B$269,0)</f>
        <v>2498.7337434062174</v>
      </c>
      <c r="G21" s="7">
        <f ca="1">MAX(AVERAGE(G64,G64+SUM(G5:G20)-G61)*Inputs!$B$269,0)</f>
        <v>4971.3943666379273</v>
      </c>
      <c r="H21" s="7">
        <f ca="1">MAX(AVERAGE(H64,H64+SUM(H5:H20)-H61)*Inputs!$B$269,0)</f>
        <v>7993.1111109484063</v>
      </c>
      <c r="I21" s="7">
        <f ca="1">MAX(AVERAGE(I64,I64+SUM(I5:I20)-I61)*Inputs!$B$269,0)</f>
        <v>9391.870178360341</v>
      </c>
      <c r="J21" s="7">
        <f ca="1">MAX(AVERAGE(J64,J64+SUM(J5:J20)-J61)*Inputs!$B$269,0)</f>
        <v>11096.574993589471</v>
      </c>
      <c r="K21" s="7">
        <f ca="1">MAX(AVERAGE(K64,K64+SUM(K5:K20)-K61)*Inputs!$B$269,0)</f>
        <v>12693.640722031229</v>
      </c>
      <c r="L21" s="7">
        <f ca="1">MAX(AVERAGE(L64,L64+SUM(L5:L20)-L61)*Inputs!$B$269,0)</f>
        <v>15201.595599180208</v>
      </c>
      <c r="M21" s="7">
        <f ca="1">MAX(AVERAGE(M64,M64+SUM(M5:M20)-M61)*Inputs!$B$269,0)</f>
        <v>17695.999840012024</v>
      </c>
      <c r="N21" s="7">
        <f ca="1">MAX(AVERAGE(N64,N64+SUM(N5:N20)-N61)*Inputs!$B$269,0)</f>
        <v>19764.628163056354</v>
      </c>
      <c r="O21" s="7">
        <f ca="1">MAX(AVERAGE(O64,O64+SUM(O5:O20)-O61)*Inputs!$B$269,0)</f>
        <v>22567.816920842171</v>
      </c>
      <c r="P21" s="7">
        <f ca="1">MAX(AVERAGE(P64,P64+SUM(P5:P20)-P61)*Inputs!$B$269,0)</f>
        <v>25518.328515630055</v>
      </c>
      <c r="Q21" s="7">
        <f ca="1">MAX(AVERAGE(Q64,Q64+SUM(Q5:Q20)-Q61)*Inputs!$B$269,0)</f>
        <v>28622.362585047937</v>
      </c>
      <c r="R21" s="7">
        <f ca="1">MAX(AVERAGE(R64,R64+SUM(R5:R20)-R61)*Inputs!$B$269,0)</f>
        <v>31886.354236494564</v>
      </c>
      <c r="S21" s="7">
        <f ca="1">MAX(AVERAGE(S64,S64+SUM(S5:S20)-S61)*Inputs!$B$269,0)</f>
        <v>35316.982472794385</v>
      </c>
      <c r="T21" s="7">
        <f ca="1">MAX(AVERAGE(T64,T64+SUM(T5:T20)-T61)*Inputs!$B$269,0)</f>
        <v>37572.654927738469</v>
      </c>
      <c r="U21" s="7">
        <f ca="1">MAX(AVERAGE(U64,U64+SUM(U5:U20)-U61)*Inputs!$B$269,0)</f>
        <v>38682.353074054525</v>
      </c>
      <c r="V21" s="7">
        <f ca="1">MAX(AVERAGE(V64,V64+SUM(V5:V20)-V61)*Inputs!$B$269,0)</f>
        <v>39928.058957687317</v>
      </c>
      <c r="W21" s="7">
        <f ca="1">MAX(AVERAGE(W64,W64+SUM(W5:W20)-W61)*Inputs!$B$269,0)</f>
        <v>41218.596546388777</v>
      </c>
      <c r="X21" s="7">
        <f ca="1">MAX(AVERAGE(X64,X64+SUM(X5:X20)-X61)*Inputs!$B$269,0)</f>
        <v>42555.630545681823</v>
      </c>
      <c r="Y21" s="7">
        <f ca="1">MAX(AVERAGE(Y64,Y64+SUM(Y5:Y20)-Y61)*Inputs!$B$269,0)</f>
        <v>43682.651217506238</v>
      </c>
      <c r="Z21" s="7">
        <f ca="1">MAX(AVERAGE(Z64,Z64+SUM(Z5:Z20)-Z61)*Inputs!$B$269,0)</f>
        <v>44588.536218390385</v>
      </c>
      <c r="AA21" s="7">
        <f ca="1">MAX(AVERAGE(AA64,AA64+SUM(AA5:AA20)-AA61)*Inputs!$B$269,0)</f>
        <v>45519.98047473027</v>
      </c>
      <c r="AB21" s="7">
        <f ca="1">MAX(AVERAGE(AB64,AB64+SUM(AB5:AB20)-AB61)*Inputs!$B$269,0)</f>
        <v>46477.922771045814</v>
      </c>
      <c r="AC21" s="7">
        <f ca="1">MAX(AVERAGE(AC64,AC64+SUM(AC5:AC20)-AC61)*Inputs!$B$269,0)</f>
        <v>47463.339666544431</v>
      </c>
      <c r="AD21" s="7">
        <f ca="1">MAX(AVERAGE(AD64,AD64+SUM(AD5:AD20)-AD61)*Inputs!$B$269,0)</f>
        <v>48477.247001414995</v>
      </c>
      <c r="AE21" s="7">
        <f ca="1">MAX(AVERAGE(AE64,AE64+SUM(AE5:AE20)-AE61)*Inputs!$B$269,0)</f>
        <v>49645.482399628614</v>
      </c>
      <c r="AF21" s="7">
        <f ca="1">MAX(AVERAGE(AF64,AF64+SUM(AF5:AF20)-AF61)*Inputs!$B$269,0)</f>
        <v>50975.384062624711</v>
      </c>
      <c r="AG21" s="7">
        <f ca="1">MAX(AVERAGE(AG64,AG64+SUM(AG5:AG20)-AG61)*Inputs!$B$269,0)</f>
        <v>52349.787372913466</v>
      </c>
      <c r="AH21" s="7">
        <f ca="1">MAX(AVERAGE(AH64,AH64+SUM(AH5:AH20)-AH61)*Inputs!$B$269,0)</f>
        <v>53770.357274039416</v>
      </c>
      <c r="AI21" s="7">
        <f ca="1">MAX(AVERAGE(AI64,AI64+SUM(AI5:AI20)-AI61)*Inputs!$B$269,0)</f>
        <v>55238.822274686339</v>
      </c>
      <c r="AJ21" s="7">
        <f ca="1">MAX(AVERAGE(AJ64,AJ64+SUM(AJ5:AJ20)-AJ61)*Inputs!$B$269,0)</f>
        <v>56756.976830289263</v>
      </c>
      <c r="AK21" s="7">
        <f ca="1">MAX(AVERAGE(AK64,AK64+SUM(AK5:AK20)-AK61)*Inputs!$B$269,0)</f>
        <v>58326.683811317176</v>
      </c>
      <c r="AL21" s="7">
        <f ca="1">MAX(AVERAGE(AL64,AL64+SUM(AL5:AL20)-AL61)*Inputs!$B$269,0)</f>
        <v>59949.87706129111</v>
      </c>
      <c r="AM21" s="7">
        <f ca="1">MAX(AVERAGE(AM64,AM64+SUM(AM5:AM20)-AM61)*Inputs!$B$269,0)</f>
        <v>61628.564047707594</v>
      </c>
    </row>
    <row r="22" spans="1:39" x14ac:dyDescent="0.2">
      <c r="C22" s="9">
        <f t="shared" ref="C22:AM22" ca="1" si="35">SUM(C4:C21)</f>
        <v>94058.4375</v>
      </c>
      <c r="D22" s="9">
        <f t="shared" ca="1" si="35"/>
        <v>118312.7078125</v>
      </c>
      <c r="E22" s="9">
        <f t="shared" ca="1" si="35"/>
        <v>122218.22910156249</v>
      </c>
      <c r="F22" s="9">
        <f t="shared" ca="1" si="35"/>
        <v>136850.70911840623</v>
      </c>
      <c r="G22" s="9">
        <f t="shared" ca="1" si="35"/>
        <v>621315.24501192605</v>
      </c>
      <c r="H22" s="9">
        <f t="shared" ca="1" si="35"/>
        <v>139080.25904331714</v>
      </c>
      <c r="I22" s="9">
        <f t="shared" ca="1" si="35"/>
        <v>150198.78555763571</v>
      </c>
      <c r="J22" s="9">
        <f t="shared" ca="1" si="35"/>
        <v>150143.67979626462</v>
      </c>
      <c r="K22" s="9">
        <f t="shared" ca="1" si="35"/>
        <v>155900.2718112499</v>
      </c>
      <c r="L22" s="9">
        <f t="shared" ca="1" si="35"/>
        <v>225135.39008948358</v>
      </c>
      <c r="M22" s="9">
        <f t="shared" ca="1" si="35"/>
        <v>184959.89111337657</v>
      </c>
      <c r="N22" s="9">
        <f t="shared" ca="1" si="35"/>
        <v>189332.65694092558</v>
      </c>
      <c r="O22" s="9">
        <f t="shared" ca="1" si="35"/>
        <v>197144.16136257935</v>
      </c>
      <c r="P22" s="9">
        <f t="shared" ca="1" si="35"/>
        <v>205251.26996116457</v>
      </c>
      <c r="Q22" s="9">
        <f t="shared" ca="1" si="35"/>
        <v>213664.58161125737</v>
      </c>
      <c r="R22" s="9">
        <f t="shared" ca="1" si="35"/>
        <v>222395.06140423188</v>
      </c>
      <c r="S22" s="9">
        <f t="shared" ca="1" si="35"/>
        <v>231454.05296557394</v>
      </c>
      <c r="T22" s="9">
        <f t="shared" ca="1" si="35"/>
        <v>131622.84879515492</v>
      </c>
      <c r="U22" s="9">
        <f t="shared" ca="1" si="35"/>
        <v>135341.02620092867</v>
      </c>
      <c r="V22" s="9">
        <f t="shared" ca="1" si="35"/>
        <v>139268.14005788878</v>
      </c>
      <c r="W22" s="9">
        <f t="shared" ca="1" si="35"/>
        <v>143315.0690536054</v>
      </c>
      <c r="X22" s="9">
        <f t="shared" ca="1" si="35"/>
        <v>147485.59092647425</v>
      </c>
      <c r="Y22" s="9">
        <f t="shared" ca="1" si="35"/>
        <v>130866.51217957963</v>
      </c>
      <c r="Z22" s="9">
        <f t="shared" ca="1" si="35"/>
        <v>134250.18729751959</v>
      </c>
      <c r="AA22" s="9">
        <f t="shared" ca="1" si="35"/>
        <v>137730.31223163177</v>
      </c>
      <c r="AB22" s="9">
        <f t="shared" ca="1" si="35"/>
        <v>141309.86640468775</v>
      </c>
      <c r="AC22" s="9">
        <f t="shared" ca="1" si="35"/>
        <v>144991.92608132988</v>
      </c>
      <c r="AD22" s="9">
        <f t="shared" ca="1" si="35"/>
        <v>148779.66759258157</v>
      </c>
      <c r="AE22" s="9">
        <f t="shared" ca="1" si="35"/>
        <v>152801.15160706622</v>
      </c>
      <c r="AF22" s="9">
        <f t="shared" ca="1" si="35"/>
        <v>157066.00374478486</v>
      </c>
      <c r="AG22" s="9">
        <f t="shared" ca="1" si="35"/>
        <v>161459.41305400032</v>
      </c>
      <c r="AH22" s="9">
        <f t="shared" ca="1" si="35"/>
        <v>165985.46631923234</v>
      </c>
      <c r="AI22" s="9">
        <f t="shared" ca="1" si="35"/>
        <v>170648.38404975034</v>
      </c>
      <c r="AJ22" s="9">
        <f t="shared" ca="1" si="35"/>
        <v>175452.52490358334</v>
      </c>
      <c r="AK22" s="9">
        <f t="shared" ca="1" si="35"/>
        <v>180402.39025791272</v>
      </c>
      <c r="AL22" s="9">
        <f t="shared" ca="1" si="35"/>
        <v>185502.62893066471</v>
      </c>
      <c r="AM22" s="9">
        <f t="shared" ca="1" si="35"/>
        <v>190758.04205827712</v>
      </c>
    </row>
    <row r="23" spans="1:39" ht="19" x14ac:dyDescent="0.25">
      <c r="A23" s="12" t="s">
        <v>17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</row>
    <row r="24" spans="1:39" x14ac:dyDescent="0.2">
      <c r="A24" s="4" t="s">
        <v>64</v>
      </c>
      <c r="C24" s="7">
        <f>Inputs!B124</f>
        <v>1000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</row>
    <row r="25" spans="1:39" x14ac:dyDescent="0.2">
      <c r="A25" s="4" t="s">
        <v>12</v>
      </c>
      <c r="C25" s="7">
        <f ca="1">IF(AND(Inputs!$B$217&lt;&gt;"",C$2=Inputs!$B$217,Inputs!$B$12&gt;0,Inputs!$B$15&gt;0),MIN(IF(B$1=0,MthRem,12),MAX(Inputs!$G$15-IF(B$1=0,0,B$1*12+MthOff),0))*Inputs!$B$17+MAX(FV(Inputs!$B$16/12,C$1*12+MthOff,Inputs!$B$17,-Inputs!$B$15),0),IF(AND(Inputs!$B$217&lt;&gt;"",C$2&gt;Inputs!$B$217,Inputs!$B$12&gt;0),0,MIN(IF(B$1=0,MthRem,12),MAX(Inputs!$G$15-IF(B$1=0,0,B$1*12+MthOff),0))*Inputs!$B$17))</f>
        <v>2700</v>
      </c>
      <c r="D25" s="7">
        <f ca="1">IF(AND(Inputs!$B$217&lt;&gt;"",D$2=Inputs!$B$217,Inputs!$B$12&gt;0,Inputs!$B$15&gt;0),MIN(IF(C$1=0,MthRem,12),MAX(Inputs!$G$15-IF(C$1=0,0,C$1*12+MthOff),0))*Inputs!$B$17+MAX(FV(Inputs!$B$16/12,D$1*12+MthOff,Inputs!$B$17,-Inputs!$B$15),0),IF(AND(Inputs!$B$217&lt;&gt;"",D$2&gt;Inputs!$B$217,Inputs!$B$12&gt;0),0,MIN(IF(C$1=0,MthRem,12),MAX(Inputs!$G$15-IF(C$1=0,0,C$1*12+MthOff),0))*Inputs!$B$17))</f>
        <v>3600</v>
      </c>
      <c r="E25" s="7">
        <f ca="1">IF(AND(Inputs!$B$217&lt;&gt;"",E$2=Inputs!$B$217,Inputs!$B$12&gt;0,Inputs!$B$15&gt;0),MIN(IF(D$1=0,MthRem,12),MAX(Inputs!$G$15-IF(D$1=0,0,D$1*12+MthOff),0))*Inputs!$B$17+MAX(FV(Inputs!$B$16/12,E$1*12+MthOff,Inputs!$B$17,-Inputs!$B$15),0),IF(AND(Inputs!$B$217&lt;&gt;"",E$2&gt;Inputs!$B$217,Inputs!$B$12&gt;0),0,MIN(IF(D$1=0,MthRem,12),MAX(Inputs!$G$15-IF(D$1=0,0,D$1*12+MthOff),0))*Inputs!$B$17))</f>
        <v>3600</v>
      </c>
      <c r="F25" s="7">
        <f ca="1">IF(AND(Inputs!$B$217&lt;&gt;"",F$2=Inputs!$B$217,Inputs!$B$12&gt;0,Inputs!$B$15&gt;0),MIN(IF(E$1=0,MthRem,12),MAX(Inputs!$G$15-IF(E$1=0,0,E$1*12+MthOff),0))*Inputs!$B$17+MAX(FV(Inputs!$B$16/12,F$1*12+MthOff,Inputs!$B$17,-Inputs!$B$15),0),IF(AND(Inputs!$B$217&lt;&gt;"",F$2&gt;Inputs!$B$217,Inputs!$B$12&gt;0),0,MIN(IF(E$1=0,MthRem,12),MAX(Inputs!$G$15-IF(E$1=0,0,E$1*12+MthOff),0))*Inputs!$B$17))</f>
        <v>3600</v>
      </c>
      <c r="G25" s="7">
        <f ca="1">IF(AND(Inputs!$B$217&lt;&gt;"",G$2=Inputs!$B$217,Inputs!$B$12&gt;0,Inputs!$B$15&gt;0),MIN(IF(F$1=0,MthRem,12),MAX(Inputs!$G$15-IF(F$1=0,0,F$1*12+MthOff),0))*Inputs!$B$17+MAX(FV(Inputs!$B$16/12,G$1*12+MthOff,Inputs!$B$17,-Inputs!$B$15),0),IF(AND(Inputs!$B$217&lt;&gt;"",G$2&gt;Inputs!$B$217,Inputs!$B$12&gt;0),0,MIN(IF(F$1=0,MthRem,12),MAX(Inputs!$G$15-IF(F$1=0,0,F$1*12+MthOff),0))*Inputs!$B$17))</f>
        <v>42893.637515101276</v>
      </c>
      <c r="H25" s="7">
        <f ca="1">IF(AND(Inputs!$B$217&lt;&gt;"",H$2=Inputs!$B$217,Inputs!$B$12&gt;0,Inputs!$B$15&gt;0),MIN(IF(G$1=0,MthRem,12),MAX(Inputs!$G$15-IF(G$1=0,0,G$1*12+MthOff),0))*Inputs!$B$17+MAX(FV(Inputs!$B$16/12,H$1*12+MthOff,Inputs!$B$17,-Inputs!$B$15),0),IF(AND(Inputs!$B$217&lt;&gt;"",H$2&gt;Inputs!$B$217,Inputs!$B$12&gt;0),0,MIN(IF(G$1=0,MthRem,12),MAX(Inputs!$G$15-IF(G$1=0,0,G$1*12+MthOff),0))*Inputs!$B$17))</f>
        <v>0</v>
      </c>
      <c r="I25" s="7">
        <f ca="1">IF(AND(Inputs!$B$217&lt;&gt;"",I$2=Inputs!$B$217,Inputs!$B$12&gt;0,Inputs!$B$15&gt;0),MIN(IF(H$1=0,MthRem,12),MAX(Inputs!$G$15-IF(H$1=0,0,H$1*12+MthOff),0))*Inputs!$B$17+MAX(FV(Inputs!$B$16/12,I$1*12+MthOff,Inputs!$B$17,-Inputs!$B$15),0),IF(AND(Inputs!$B$217&lt;&gt;"",I$2&gt;Inputs!$B$217,Inputs!$B$12&gt;0),0,MIN(IF(H$1=0,MthRem,12),MAX(Inputs!$G$15-IF(H$1=0,0,H$1*12+MthOff),0))*Inputs!$B$17))</f>
        <v>0</v>
      </c>
      <c r="J25" s="7">
        <f ca="1">IF(AND(Inputs!$B$217&lt;&gt;"",J$2=Inputs!$B$217,Inputs!$B$12&gt;0,Inputs!$B$15&gt;0),MIN(IF(I$1=0,MthRem,12),MAX(Inputs!$G$15-IF(I$1=0,0,I$1*12+MthOff),0))*Inputs!$B$17+MAX(FV(Inputs!$B$16/12,J$1*12+MthOff,Inputs!$B$17,-Inputs!$B$15),0),IF(AND(Inputs!$B$217&lt;&gt;"",J$2&gt;Inputs!$B$217,Inputs!$B$12&gt;0),0,MIN(IF(I$1=0,MthRem,12),MAX(Inputs!$G$15-IF(I$1=0,0,I$1*12+MthOff),0))*Inputs!$B$17))</f>
        <v>0</v>
      </c>
      <c r="K25" s="7">
        <f ca="1">IF(AND(Inputs!$B$217&lt;&gt;"",K$2=Inputs!$B$217,Inputs!$B$12&gt;0,Inputs!$B$15&gt;0),MIN(IF(J$1=0,MthRem,12),MAX(Inputs!$G$15-IF(J$1=0,0,J$1*12+MthOff),0))*Inputs!$B$17+MAX(FV(Inputs!$B$16/12,K$1*12+MthOff,Inputs!$B$17,-Inputs!$B$15),0),IF(AND(Inputs!$B$217&lt;&gt;"",K$2&gt;Inputs!$B$217,Inputs!$B$12&gt;0),0,MIN(IF(J$1=0,MthRem,12),MAX(Inputs!$G$15-IF(J$1=0,0,J$1*12+MthOff),0))*Inputs!$B$17))</f>
        <v>0</v>
      </c>
      <c r="L25" s="7">
        <f ca="1">IF(AND(Inputs!$B$217&lt;&gt;"",L$2=Inputs!$B$217,Inputs!$B$12&gt;0,Inputs!$B$15&gt;0),MIN(IF(K$1=0,MthRem,12),MAX(Inputs!$G$15-IF(K$1=0,0,K$1*12+MthOff),0))*Inputs!$B$17+MAX(FV(Inputs!$B$16/12,L$1*12+MthOff,Inputs!$B$17,-Inputs!$B$15),0),IF(AND(Inputs!$B$217&lt;&gt;"",L$2&gt;Inputs!$B$217,Inputs!$B$12&gt;0),0,MIN(IF(K$1=0,MthRem,12),MAX(Inputs!$G$15-IF(K$1=0,0,K$1*12+MthOff),0))*Inputs!$B$17))</f>
        <v>0</v>
      </c>
      <c r="M25" s="7">
        <f ca="1">IF(AND(Inputs!$B$217&lt;&gt;"",M$2=Inputs!$B$217,Inputs!$B$12&gt;0,Inputs!$B$15&gt;0),MIN(IF(L$1=0,MthRem,12),MAX(Inputs!$G$15-IF(L$1=0,0,L$1*12+MthOff),0))*Inputs!$B$17+MAX(FV(Inputs!$B$16/12,M$1*12+MthOff,Inputs!$B$17,-Inputs!$B$15),0),IF(AND(Inputs!$B$217&lt;&gt;"",M$2&gt;Inputs!$B$217,Inputs!$B$12&gt;0),0,MIN(IF(L$1=0,MthRem,12),MAX(Inputs!$G$15-IF(L$1=0,0,L$1*12+MthOff),0))*Inputs!$B$17))</f>
        <v>0</v>
      </c>
      <c r="N25" s="7">
        <f ca="1">IF(AND(Inputs!$B$217&lt;&gt;"",N$2=Inputs!$B$217,Inputs!$B$12&gt;0,Inputs!$B$15&gt;0),MIN(IF(M$1=0,MthRem,12),MAX(Inputs!$G$15-IF(M$1=0,0,M$1*12+MthOff),0))*Inputs!$B$17+MAX(FV(Inputs!$B$16/12,N$1*12+MthOff,Inputs!$B$17,-Inputs!$B$15),0),IF(AND(Inputs!$B$217&lt;&gt;"",N$2&gt;Inputs!$B$217,Inputs!$B$12&gt;0),0,MIN(IF(M$1=0,MthRem,12),MAX(Inputs!$G$15-IF(M$1=0,0,M$1*12+MthOff),0))*Inputs!$B$17))</f>
        <v>0</v>
      </c>
      <c r="O25" s="7">
        <f ca="1">IF(AND(Inputs!$B$217&lt;&gt;"",O$2=Inputs!$B$217,Inputs!$B$12&gt;0,Inputs!$B$15&gt;0),MIN(IF(N$1=0,MthRem,12),MAX(Inputs!$G$15-IF(N$1=0,0,N$1*12+MthOff),0))*Inputs!$B$17+MAX(FV(Inputs!$B$16/12,O$1*12+MthOff,Inputs!$B$17,-Inputs!$B$15),0),IF(AND(Inputs!$B$217&lt;&gt;"",O$2&gt;Inputs!$B$217,Inputs!$B$12&gt;0),0,MIN(IF(N$1=0,MthRem,12),MAX(Inputs!$G$15-IF(N$1=0,0,N$1*12+MthOff),0))*Inputs!$B$17))</f>
        <v>0</v>
      </c>
      <c r="P25" s="7">
        <f ca="1">IF(AND(Inputs!$B$217&lt;&gt;"",P$2=Inputs!$B$217,Inputs!$B$12&gt;0,Inputs!$B$15&gt;0),MIN(IF(O$1=0,MthRem,12),MAX(Inputs!$G$15-IF(O$1=0,0,O$1*12+MthOff),0))*Inputs!$B$17+MAX(FV(Inputs!$B$16/12,P$1*12+MthOff,Inputs!$B$17,-Inputs!$B$15),0),IF(AND(Inputs!$B$217&lt;&gt;"",P$2&gt;Inputs!$B$217,Inputs!$B$12&gt;0),0,MIN(IF(O$1=0,MthRem,12),MAX(Inputs!$G$15-IF(O$1=0,0,O$1*12+MthOff),0))*Inputs!$B$17))</f>
        <v>0</v>
      </c>
      <c r="Q25" s="7">
        <f ca="1">IF(AND(Inputs!$B$217&lt;&gt;"",Q$2=Inputs!$B$217,Inputs!$B$12&gt;0,Inputs!$B$15&gt;0),MIN(IF(P$1=0,MthRem,12),MAX(Inputs!$G$15-IF(P$1=0,0,P$1*12+MthOff),0))*Inputs!$B$17+MAX(FV(Inputs!$B$16/12,Q$1*12+MthOff,Inputs!$B$17,-Inputs!$B$15),0),IF(AND(Inputs!$B$217&lt;&gt;"",Q$2&gt;Inputs!$B$217,Inputs!$B$12&gt;0),0,MIN(IF(P$1=0,MthRem,12),MAX(Inputs!$G$15-IF(P$1=0,0,P$1*12+MthOff),0))*Inputs!$B$17))</f>
        <v>0</v>
      </c>
      <c r="R25" s="7">
        <f ca="1">IF(AND(Inputs!$B$217&lt;&gt;"",R$2=Inputs!$B$217,Inputs!$B$12&gt;0,Inputs!$B$15&gt;0),MIN(IF(Q$1=0,MthRem,12),MAX(Inputs!$G$15-IF(Q$1=0,0,Q$1*12+MthOff),0))*Inputs!$B$17+MAX(FV(Inputs!$B$16/12,R$1*12+MthOff,Inputs!$B$17,-Inputs!$B$15),0),IF(AND(Inputs!$B$217&lt;&gt;"",R$2&gt;Inputs!$B$217,Inputs!$B$12&gt;0),0,MIN(IF(Q$1=0,MthRem,12),MAX(Inputs!$G$15-IF(Q$1=0,0,Q$1*12+MthOff),0))*Inputs!$B$17))</f>
        <v>0</v>
      </c>
      <c r="S25" s="7">
        <f ca="1">IF(AND(Inputs!$B$217&lt;&gt;"",S$2=Inputs!$B$217,Inputs!$B$12&gt;0,Inputs!$B$15&gt;0),MIN(IF(R$1=0,MthRem,12),MAX(Inputs!$G$15-IF(R$1=0,0,R$1*12+MthOff),0))*Inputs!$B$17+MAX(FV(Inputs!$B$16/12,S$1*12+MthOff,Inputs!$B$17,-Inputs!$B$15),0),IF(AND(Inputs!$B$217&lt;&gt;"",S$2&gt;Inputs!$B$217,Inputs!$B$12&gt;0),0,MIN(IF(R$1=0,MthRem,12),MAX(Inputs!$G$15-IF(R$1=0,0,R$1*12+MthOff),0))*Inputs!$B$17))</f>
        <v>0</v>
      </c>
      <c r="T25" s="7">
        <f ca="1">IF(AND(Inputs!$B$217&lt;&gt;"",T$2=Inputs!$B$217,Inputs!$B$12&gt;0,Inputs!$B$15&gt;0),MIN(IF(S$1=0,MthRem,12),MAX(Inputs!$G$15-IF(S$1=0,0,S$1*12+MthOff),0))*Inputs!$B$17+MAX(FV(Inputs!$B$16/12,T$1*12+MthOff,Inputs!$B$17,-Inputs!$B$15),0),IF(AND(Inputs!$B$217&lt;&gt;"",T$2&gt;Inputs!$B$217,Inputs!$B$12&gt;0),0,MIN(IF(S$1=0,MthRem,12),MAX(Inputs!$G$15-IF(S$1=0,0,S$1*12+MthOff),0))*Inputs!$B$17))</f>
        <v>0</v>
      </c>
      <c r="U25" s="7">
        <f ca="1">IF(AND(Inputs!$B$217&lt;&gt;"",U$2=Inputs!$B$217,Inputs!$B$12&gt;0,Inputs!$B$15&gt;0),MIN(IF(T$1=0,MthRem,12),MAX(Inputs!$G$15-IF(T$1=0,0,T$1*12+MthOff),0))*Inputs!$B$17+MAX(FV(Inputs!$B$16/12,U$1*12+MthOff,Inputs!$B$17,-Inputs!$B$15),0),IF(AND(Inputs!$B$217&lt;&gt;"",U$2&gt;Inputs!$B$217,Inputs!$B$12&gt;0),0,MIN(IF(T$1=0,MthRem,12),MAX(Inputs!$G$15-IF(T$1=0,0,T$1*12+MthOff),0))*Inputs!$B$17))</f>
        <v>0</v>
      </c>
      <c r="V25" s="7">
        <f ca="1">IF(AND(Inputs!$B$217&lt;&gt;"",V$2=Inputs!$B$217,Inputs!$B$12&gt;0,Inputs!$B$15&gt;0),MIN(IF(U$1=0,MthRem,12),MAX(Inputs!$G$15-IF(U$1=0,0,U$1*12+MthOff),0))*Inputs!$B$17+MAX(FV(Inputs!$B$16/12,V$1*12+MthOff,Inputs!$B$17,-Inputs!$B$15),0),IF(AND(Inputs!$B$217&lt;&gt;"",V$2&gt;Inputs!$B$217,Inputs!$B$12&gt;0),0,MIN(IF(U$1=0,MthRem,12),MAX(Inputs!$G$15-IF(U$1=0,0,U$1*12+MthOff),0))*Inputs!$B$17))</f>
        <v>0</v>
      </c>
      <c r="W25" s="7">
        <f ca="1">IF(AND(Inputs!$B$217&lt;&gt;"",W$2=Inputs!$B$217,Inputs!$B$12&gt;0,Inputs!$B$15&gt;0),MIN(IF(V$1=0,MthRem,12),MAX(Inputs!$G$15-IF(V$1=0,0,V$1*12+MthOff),0))*Inputs!$B$17+MAX(FV(Inputs!$B$16/12,W$1*12+MthOff,Inputs!$B$17,-Inputs!$B$15),0),IF(AND(Inputs!$B$217&lt;&gt;"",W$2&gt;Inputs!$B$217,Inputs!$B$12&gt;0),0,MIN(IF(V$1=0,MthRem,12),MAX(Inputs!$G$15-IF(V$1=0,0,V$1*12+MthOff),0))*Inputs!$B$17))</f>
        <v>0</v>
      </c>
      <c r="X25" s="7">
        <f ca="1">IF(AND(Inputs!$B$217&lt;&gt;"",X$2=Inputs!$B$217,Inputs!$B$12&gt;0,Inputs!$B$15&gt;0),MIN(IF(W$1=0,MthRem,12),MAX(Inputs!$G$15-IF(W$1=0,0,W$1*12+MthOff),0))*Inputs!$B$17+MAX(FV(Inputs!$B$16/12,X$1*12+MthOff,Inputs!$B$17,-Inputs!$B$15),0),IF(AND(Inputs!$B$217&lt;&gt;"",X$2&gt;Inputs!$B$217,Inputs!$B$12&gt;0),0,MIN(IF(W$1=0,MthRem,12),MAX(Inputs!$G$15-IF(W$1=0,0,W$1*12+MthOff),0))*Inputs!$B$17))</f>
        <v>0</v>
      </c>
      <c r="Y25" s="7">
        <f ca="1">IF(AND(Inputs!$B$217&lt;&gt;"",Y$2=Inputs!$B$217,Inputs!$B$12&gt;0,Inputs!$B$15&gt;0),MIN(IF(X$1=0,MthRem,12),MAX(Inputs!$G$15-IF(X$1=0,0,X$1*12+MthOff),0))*Inputs!$B$17+MAX(FV(Inputs!$B$16/12,Y$1*12+MthOff,Inputs!$B$17,-Inputs!$B$15),0),IF(AND(Inputs!$B$217&lt;&gt;"",Y$2&gt;Inputs!$B$217,Inputs!$B$12&gt;0),0,MIN(IF(X$1=0,MthRem,12),MAX(Inputs!$G$15-IF(X$1=0,0,X$1*12+MthOff),0))*Inputs!$B$17))</f>
        <v>0</v>
      </c>
      <c r="Z25" s="7">
        <f ca="1">IF(AND(Inputs!$B$217&lt;&gt;"",Z$2=Inputs!$B$217,Inputs!$B$12&gt;0,Inputs!$B$15&gt;0),MIN(IF(Y$1=0,MthRem,12),MAX(Inputs!$G$15-IF(Y$1=0,0,Y$1*12+MthOff),0))*Inputs!$B$17+MAX(FV(Inputs!$B$16/12,Z$1*12+MthOff,Inputs!$B$17,-Inputs!$B$15),0),IF(AND(Inputs!$B$217&lt;&gt;"",Z$2&gt;Inputs!$B$217,Inputs!$B$12&gt;0),0,MIN(IF(Y$1=0,MthRem,12),MAX(Inputs!$G$15-IF(Y$1=0,0,Y$1*12+MthOff),0))*Inputs!$B$17))</f>
        <v>0</v>
      </c>
      <c r="AA25" s="7">
        <f ca="1">IF(AND(Inputs!$B$217&lt;&gt;"",AA$2=Inputs!$B$217,Inputs!$B$12&gt;0,Inputs!$B$15&gt;0),MIN(IF(Z$1=0,MthRem,12),MAX(Inputs!$G$15-IF(Z$1=0,0,Z$1*12+MthOff),0))*Inputs!$B$17+MAX(FV(Inputs!$B$16/12,AA$1*12+MthOff,Inputs!$B$17,-Inputs!$B$15),0),IF(AND(Inputs!$B$217&lt;&gt;"",AA$2&gt;Inputs!$B$217,Inputs!$B$12&gt;0),0,MIN(IF(Z$1=0,MthRem,12),MAX(Inputs!$G$15-IF(Z$1=0,0,Z$1*12+MthOff),0))*Inputs!$B$17))</f>
        <v>0</v>
      </c>
      <c r="AB25" s="7">
        <f ca="1">IF(AND(Inputs!$B$217&lt;&gt;"",AB$2=Inputs!$B$217,Inputs!$B$12&gt;0,Inputs!$B$15&gt;0),MIN(IF(AA$1=0,MthRem,12),MAX(Inputs!$G$15-IF(AA$1=0,0,AA$1*12+MthOff),0))*Inputs!$B$17+MAX(FV(Inputs!$B$16/12,AB$1*12+MthOff,Inputs!$B$17,-Inputs!$B$15),0),IF(AND(Inputs!$B$217&lt;&gt;"",AB$2&gt;Inputs!$B$217,Inputs!$B$12&gt;0),0,MIN(IF(AA$1=0,MthRem,12),MAX(Inputs!$G$15-IF(AA$1=0,0,AA$1*12+MthOff),0))*Inputs!$B$17))</f>
        <v>0</v>
      </c>
      <c r="AC25" s="7">
        <f ca="1">IF(AND(Inputs!$B$217&lt;&gt;"",AC$2=Inputs!$B$217,Inputs!$B$12&gt;0,Inputs!$B$15&gt;0),MIN(IF(AB$1=0,MthRem,12),MAX(Inputs!$G$15-IF(AB$1=0,0,AB$1*12+MthOff),0))*Inputs!$B$17+MAX(FV(Inputs!$B$16/12,AC$1*12+MthOff,Inputs!$B$17,-Inputs!$B$15),0),IF(AND(Inputs!$B$217&lt;&gt;"",AC$2&gt;Inputs!$B$217,Inputs!$B$12&gt;0),0,MIN(IF(AB$1=0,MthRem,12),MAX(Inputs!$G$15-IF(AB$1=0,0,AB$1*12+MthOff),0))*Inputs!$B$17))</f>
        <v>0</v>
      </c>
      <c r="AD25" s="7">
        <f ca="1">IF(AND(Inputs!$B$217&lt;&gt;"",AD$2=Inputs!$B$217,Inputs!$B$12&gt;0,Inputs!$B$15&gt;0),MIN(IF(AC$1=0,MthRem,12),MAX(Inputs!$G$15-IF(AC$1=0,0,AC$1*12+MthOff),0))*Inputs!$B$17+MAX(FV(Inputs!$B$16/12,AD$1*12+MthOff,Inputs!$B$17,-Inputs!$B$15),0),IF(AND(Inputs!$B$217&lt;&gt;"",AD$2&gt;Inputs!$B$217,Inputs!$B$12&gt;0),0,MIN(IF(AC$1=0,MthRem,12),MAX(Inputs!$G$15-IF(AC$1=0,0,AC$1*12+MthOff),0))*Inputs!$B$17))</f>
        <v>0</v>
      </c>
      <c r="AE25" s="7">
        <f ca="1">IF(AND(Inputs!$B$217&lt;&gt;"",AE$2=Inputs!$B$217,Inputs!$B$12&gt;0,Inputs!$B$15&gt;0),MIN(IF(AD$1=0,MthRem,12),MAX(Inputs!$G$15-IF(AD$1=0,0,AD$1*12+MthOff),0))*Inputs!$B$17+MAX(FV(Inputs!$B$16/12,AE$1*12+MthOff,Inputs!$B$17,-Inputs!$B$15),0),IF(AND(Inputs!$B$217&lt;&gt;"",AE$2&gt;Inputs!$B$217,Inputs!$B$12&gt;0),0,MIN(IF(AD$1=0,MthRem,12),MAX(Inputs!$G$15-IF(AD$1=0,0,AD$1*12+MthOff),0))*Inputs!$B$17))</f>
        <v>0</v>
      </c>
      <c r="AF25" s="7">
        <f ca="1">IF(AND(Inputs!$B$217&lt;&gt;"",AF$2=Inputs!$B$217,Inputs!$B$12&gt;0,Inputs!$B$15&gt;0),MIN(IF(AE$1=0,MthRem,12),MAX(Inputs!$G$15-IF(AE$1=0,0,AE$1*12+MthOff),0))*Inputs!$B$17+MAX(FV(Inputs!$B$16/12,AF$1*12+MthOff,Inputs!$B$17,-Inputs!$B$15),0),IF(AND(Inputs!$B$217&lt;&gt;"",AF$2&gt;Inputs!$B$217,Inputs!$B$12&gt;0),0,MIN(IF(AE$1=0,MthRem,12),MAX(Inputs!$G$15-IF(AE$1=0,0,AE$1*12+MthOff),0))*Inputs!$B$17))</f>
        <v>0</v>
      </c>
      <c r="AG25" s="7">
        <f ca="1">IF(AND(Inputs!$B$217&lt;&gt;"",AG$2=Inputs!$B$217,Inputs!$B$12&gt;0,Inputs!$B$15&gt;0),MIN(IF(AF$1=0,MthRem,12),MAX(Inputs!$G$15-IF(AF$1=0,0,AF$1*12+MthOff),0))*Inputs!$B$17+MAX(FV(Inputs!$B$16/12,AG$1*12+MthOff,Inputs!$B$17,-Inputs!$B$15),0),IF(AND(Inputs!$B$217&lt;&gt;"",AG$2&gt;Inputs!$B$217,Inputs!$B$12&gt;0),0,MIN(IF(AF$1=0,MthRem,12),MAX(Inputs!$G$15-IF(AF$1=0,0,AF$1*12+MthOff),0))*Inputs!$B$17))</f>
        <v>0</v>
      </c>
      <c r="AH25" s="7">
        <f ca="1">IF(AND(Inputs!$B$217&lt;&gt;"",AH$2=Inputs!$B$217,Inputs!$B$12&gt;0,Inputs!$B$15&gt;0),MIN(IF(AG$1=0,MthRem,12),MAX(Inputs!$G$15-IF(AG$1=0,0,AG$1*12+MthOff),0))*Inputs!$B$17+MAX(FV(Inputs!$B$16/12,AH$1*12+MthOff,Inputs!$B$17,-Inputs!$B$15),0),IF(AND(Inputs!$B$217&lt;&gt;"",AH$2&gt;Inputs!$B$217,Inputs!$B$12&gt;0),0,MIN(IF(AG$1=0,MthRem,12),MAX(Inputs!$G$15-IF(AG$1=0,0,AG$1*12+MthOff),0))*Inputs!$B$17))</f>
        <v>0</v>
      </c>
      <c r="AI25" s="7">
        <f ca="1">IF(AND(Inputs!$B$217&lt;&gt;"",AI$2=Inputs!$B$217,Inputs!$B$12&gt;0,Inputs!$B$15&gt;0),MIN(IF(AH$1=0,MthRem,12),MAX(Inputs!$G$15-IF(AH$1=0,0,AH$1*12+MthOff),0))*Inputs!$B$17+MAX(FV(Inputs!$B$16/12,AI$1*12+MthOff,Inputs!$B$17,-Inputs!$B$15),0),IF(AND(Inputs!$B$217&lt;&gt;"",AI$2&gt;Inputs!$B$217,Inputs!$B$12&gt;0),0,MIN(IF(AH$1=0,MthRem,12),MAX(Inputs!$G$15-IF(AH$1=0,0,AH$1*12+MthOff),0))*Inputs!$B$17))</f>
        <v>0</v>
      </c>
      <c r="AJ25" s="7">
        <f ca="1">IF(AND(Inputs!$B$217&lt;&gt;"",AJ$2=Inputs!$B$217,Inputs!$B$12&gt;0,Inputs!$B$15&gt;0),MIN(IF(AI$1=0,MthRem,12),MAX(Inputs!$G$15-IF(AI$1=0,0,AI$1*12+MthOff),0))*Inputs!$B$17+MAX(FV(Inputs!$B$16/12,AJ$1*12+MthOff,Inputs!$B$17,-Inputs!$B$15),0),IF(AND(Inputs!$B$217&lt;&gt;"",AJ$2&gt;Inputs!$B$217,Inputs!$B$12&gt;0),0,MIN(IF(AI$1=0,MthRem,12),MAX(Inputs!$G$15-IF(AI$1=0,0,AI$1*12+MthOff),0))*Inputs!$B$17))</f>
        <v>0</v>
      </c>
      <c r="AK25" s="7">
        <f ca="1">IF(AND(Inputs!$B$217&lt;&gt;"",AK$2=Inputs!$B$217,Inputs!$B$12&gt;0,Inputs!$B$15&gt;0),MIN(IF(AJ$1=0,MthRem,12),MAX(Inputs!$G$15-IF(AJ$1=0,0,AJ$1*12+MthOff),0))*Inputs!$B$17+MAX(FV(Inputs!$B$16/12,AK$1*12+MthOff,Inputs!$B$17,-Inputs!$B$15),0),IF(AND(Inputs!$B$217&lt;&gt;"",AK$2&gt;Inputs!$B$217,Inputs!$B$12&gt;0),0,MIN(IF(AJ$1=0,MthRem,12),MAX(Inputs!$G$15-IF(AJ$1=0,0,AJ$1*12+MthOff),0))*Inputs!$B$17))</f>
        <v>0</v>
      </c>
      <c r="AL25" s="7">
        <f ca="1">IF(AND(Inputs!$B$217&lt;&gt;"",AL$2=Inputs!$B$217,Inputs!$B$12&gt;0,Inputs!$B$15&gt;0),MIN(IF(AK$1=0,MthRem,12),MAX(Inputs!$G$15-IF(AK$1=0,0,AK$1*12+MthOff),0))*Inputs!$B$17+MAX(FV(Inputs!$B$16/12,AL$1*12+MthOff,Inputs!$B$17,-Inputs!$B$15),0),IF(AND(Inputs!$B$217&lt;&gt;"",AL$2&gt;Inputs!$B$217,Inputs!$B$12&gt;0),0,MIN(IF(AK$1=0,MthRem,12),MAX(Inputs!$G$15-IF(AK$1=0,0,AK$1*12+MthOff),0))*Inputs!$B$17))</f>
        <v>0</v>
      </c>
      <c r="AM25" s="7">
        <f ca="1">IF(AND(Inputs!$B$217&lt;&gt;"",AM$2=Inputs!$B$217,Inputs!$B$12&gt;0,Inputs!$B$15&gt;0),MIN(IF(AL$1=0,MthRem,12),MAX(Inputs!$G$15-IF(AL$1=0,0,AL$1*12+MthOff),0))*Inputs!$B$17+MAX(FV(Inputs!$B$16/12,AM$1*12+MthOff,Inputs!$B$17,-Inputs!$B$15),0),IF(AND(Inputs!$B$217&lt;&gt;"",AM$2&gt;Inputs!$B$217,Inputs!$B$12&gt;0),0,MIN(IF(AL$1=0,MthRem,12),MAX(Inputs!$G$15-IF(AL$1=0,0,AL$1*12+MthOff),0))*Inputs!$B$17))</f>
        <v>0</v>
      </c>
    </row>
    <row r="26" spans="1:39" x14ac:dyDescent="0.2">
      <c r="A26" s="4" t="s">
        <v>199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</row>
    <row r="27" spans="1:39" x14ac:dyDescent="0.2">
      <c r="A27" s="3" t="str">
        <f>TEXT(Inputs!$B$60,"")</f>
        <v>Sliema</v>
      </c>
      <c r="C27" s="7">
        <f ca="1">MIN(IF(B$1=0,MthRem,12), MAX(Inputs!$G$127-IF(B$1=0,0,B$1*12+MthOff), 0))*Inputs!$B$129</f>
        <v>4500</v>
      </c>
      <c r="D27" s="7">
        <f ca="1">MIN(IF(C$1=0,MthRem,12), MAX(Inputs!$G$127-IF(C$1=0,0,C$1*12+MthOff), 0))*Inputs!$B$129</f>
        <v>6000</v>
      </c>
      <c r="E27" s="7">
        <f ca="1">MIN(IF(D$1=0,MthRem,12), MAX(Inputs!$G$127-IF(D$1=0,0,D$1*12+MthOff), 0))*Inputs!$B$129</f>
        <v>6000</v>
      </c>
      <c r="F27" s="7">
        <f ca="1">MIN(IF(E$1=0,MthRem,12), MAX(Inputs!$G$127-IF(E$1=0,0,E$1*12+MthOff), 0))*Inputs!$B$129</f>
        <v>6000</v>
      </c>
      <c r="G27" s="7">
        <f ca="1">MIN(IF(F$1=0,MthRem,12), MAX(Inputs!$G$127-IF(F$1=0,0,F$1*12+MthOff), 0))*Inputs!$B$129</f>
        <v>6000</v>
      </c>
      <c r="H27" s="7">
        <f ca="1">MIN(IF(G$1=0,MthRem,12), MAX(Inputs!$G$127-IF(G$1=0,0,G$1*12+MthOff), 0))*Inputs!$B$129</f>
        <v>6000</v>
      </c>
      <c r="I27" s="7">
        <f ca="1">MIN(IF(H$1=0,MthRem,12), MAX(Inputs!$G$127-IF(H$1=0,0,H$1*12+MthOff), 0))*Inputs!$B$129</f>
        <v>6000</v>
      </c>
      <c r="J27" s="7">
        <f ca="1">MIN(IF(I$1=0,MthRem,12), MAX(Inputs!$G$127-IF(I$1=0,0,I$1*12+MthOff), 0))*Inputs!$B$129</f>
        <v>6000</v>
      </c>
      <c r="K27" s="7">
        <f ca="1">MIN(IF(J$1=0,MthRem,12), MAX(Inputs!$G$127-IF(J$1=0,0,J$1*12+MthOff), 0))*Inputs!$B$129</f>
        <v>6000</v>
      </c>
      <c r="L27" s="7">
        <f ca="1">MIN(IF(K$1=0,MthRem,12), MAX(Inputs!$G$127-IF(K$1=0,0,K$1*12+MthOff), 0))*Inputs!$B$129</f>
        <v>5108.3050789871932</v>
      </c>
      <c r="M27" s="7">
        <f ca="1">MIN(IF(L$1=0,MthRem,12), MAX(Inputs!$G$127-IF(L$1=0,0,L$1*12+MthOff), 0))*Inputs!$B$129</f>
        <v>0</v>
      </c>
      <c r="N27" s="7">
        <f ca="1">MIN(IF(M$1=0,MthRem,12), MAX(Inputs!$G$127-IF(M$1=0,0,M$1*12+MthOff), 0))*Inputs!$B$129</f>
        <v>0</v>
      </c>
      <c r="O27" s="7">
        <f ca="1">MIN(IF(N$1=0,MthRem,12), MAX(Inputs!$G$127-IF(N$1=0,0,N$1*12+MthOff), 0))*Inputs!$B$129</f>
        <v>0</v>
      </c>
      <c r="P27" s="7">
        <f ca="1">MIN(IF(O$1=0,MthRem,12), MAX(Inputs!$G$127-IF(O$1=0,0,O$1*12+MthOff), 0))*Inputs!$B$129</f>
        <v>0</v>
      </c>
      <c r="Q27" s="7">
        <f ca="1">MIN(IF(P$1=0,MthRem,12), MAX(Inputs!$G$127-IF(P$1=0,0,P$1*12+MthOff), 0))*Inputs!$B$129</f>
        <v>0</v>
      </c>
      <c r="R27" s="7">
        <f ca="1">MIN(IF(Q$1=0,MthRem,12), MAX(Inputs!$G$127-IF(Q$1=0,0,Q$1*12+MthOff), 0))*Inputs!$B$129</f>
        <v>0</v>
      </c>
      <c r="S27" s="7">
        <f ca="1">MIN(IF(R$1=0,MthRem,12), MAX(Inputs!$G$127-IF(R$1=0,0,R$1*12+MthOff), 0))*Inputs!$B$129</f>
        <v>0</v>
      </c>
      <c r="T27" s="7">
        <f ca="1">MIN(IF(S$1=0,MthRem,12), MAX(Inputs!$G$127-IF(S$1=0,0,S$1*12+MthOff), 0))*Inputs!$B$129</f>
        <v>0</v>
      </c>
      <c r="U27" s="7">
        <f ca="1">MIN(IF(T$1=0,MthRem,12), MAX(Inputs!$G$127-IF(T$1=0,0,T$1*12+MthOff), 0))*Inputs!$B$129</f>
        <v>0</v>
      </c>
      <c r="V27" s="7">
        <f ca="1">MIN(IF(U$1=0,MthRem,12), MAX(Inputs!$G$127-IF(U$1=0,0,U$1*12+MthOff), 0))*Inputs!$B$129</f>
        <v>0</v>
      </c>
      <c r="W27" s="7">
        <f ca="1">MIN(IF(V$1=0,MthRem,12), MAX(Inputs!$G$127-IF(V$1=0,0,V$1*12+MthOff), 0))*Inputs!$B$129</f>
        <v>0</v>
      </c>
      <c r="X27" s="7">
        <f ca="1">MIN(IF(W$1=0,MthRem,12), MAX(Inputs!$G$127-IF(W$1=0,0,W$1*12+MthOff), 0))*Inputs!$B$129</f>
        <v>0</v>
      </c>
      <c r="Y27" s="7">
        <f ca="1">MIN(IF(X$1=0,MthRem,12), MAX(Inputs!$G$127-IF(X$1=0,0,X$1*12+MthOff), 0))*Inputs!$B$129</f>
        <v>0</v>
      </c>
      <c r="Z27" s="7">
        <f ca="1">MIN(IF(Y$1=0,MthRem,12), MAX(Inputs!$G$127-IF(Y$1=0,0,Y$1*12+MthOff), 0))*Inputs!$B$129</f>
        <v>0</v>
      </c>
      <c r="AA27" s="7">
        <f ca="1">MIN(IF(Z$1=0,MthRem,12), MAX(Inputs!$G$127-IF(Z$1=0,0,Z$1*12+MthOff), 0))*Inputs!$B$129</f>
        <v>0</v>
      </c>
      <c r="AB27" s="7">
        <f ca="1">MIN(IF(AA$1=0,MthRem,12), MAX(Inputs!$G$127-IF(AA$1=0,0,AA$1*12+MthOff), 0))*Inputs!$B$129</f>
        <v>0</v>
      </c>
      <c r="AC27" s="7">
        <f ca="1">MIN(IF(AB$1=0,MthRem,12), MAX(Inputs!$G$127-IF(AB$1=0,0,AB$1*12+MthOff), 0))*Inputs!$B$129</f>
        <v>0</v>
      </c>
      <c r="AD27" s="7">
        <f ca="1">MIN(IF(AC$1=0,MthRem,12), MAX(Inputs!$G$127-IF(AC$1=0,0,AC$1*12+MthOff), 0))*Inputs!$B$129</f>
        <v>0</v>
      </c>
      <c r="AE27" s="7">
        <f ca="1">MIN(IF(AD$1=0,MthRem,12), MAX(Inputs!$G$127-IF(AD$1=0,0,AD$1*12+MthOff), 0))*Inputs!$B$129</f>
        <v>0</v>
      </c>
      <c r="AF27" s="7">
        <f ca="1">MIN(IF(AE$1=0,MthRem,12), MAX(Inputs!$G$127-IF(AE$1=0,0,AE$1*12+MthOff), 0))*Inputs!$B$129</f>
        <v>0</v>
      </c>
      <c r="AG27" s="7">
        <f ca="1">MIN(IF(AF$1=0,MthRem,12), MAX(Inputs!$G$127-IF(AF$1=0,0,AF$1*12+MthOff), 0))*Inputs!$B$129</f>
        <v>0</v>
      </c>
      <c r="AH27" s="7">
        <f ca="1">MIN(IF(AG$1=0,MthRem,12), MAX(Inputs!$G$127-IF(AG$1=0,0,AG$1*12+MthOff), 0))*Inputs!$B$129</f>
        <v>0</v>
      </c>
      <c r="AI27" s="7">
        <f ca="1">MIN(IF(AH$1=0,MthRem,12), MAX(Inputs!$G$127-IF(AH$1=0,0,AH$1*12+MthOff), 0))*Inputs!$B$129</f>
        <v>0</v>
      </c>
      <c r="AJ27" s="7">
        <f ca="1">MIN(IF(AI$1=0,MthRem,12), MAX(Inputs!$G$127-IF(AI$1=0,0,AI$1*12+MthOff), 0))*Inputs!$B$129</f>
        <v>0</v>
      </c>
      <c r="AK27" s="7">
        <f ca="1">MIN(IF(AJ$1=0,MthRem,12), MAX(Inputs!$G$127-IF(AJ$1=0,0,AJ$1*12+MthOff), 0))*Inputs!$B$129</f>
        <v>0</v>
      </c>
      <c r="AL27" s="7">
        <f ca="1">MIN(IF(AK$1=0,MthRem,12), MAX(Inputs!$G$127-IF(AK$1=0,0,AK$1*12+MthOff), 0))*Inputs!$B$129</f>
        <v>0</v>
      </c>
      <c r="AM27" s="7">
        <f ca="1">MIN(IF(AL$1=0,MthRem,12), MAX(Inputs!$G$127-IF(AL$1=0,0,AL$1*12+MthOff), 0))*Inputs!$B$129</f>
        <v>0</v>
      </c>
    </row>
    <row r="28" spans="1:39" x14ac:dyDescent="0.2">
      <c r="A28" s="3" t="str">
        <f>TEXT(Inputs!$B$65,"")</f>
        <v>Gzira</v>
      </c>
      <c r="C28" s="7">
        <f ca="1">MIN(IF(B$1=0,MthRem,12), MAX(Inputs!$G$132-IF(B$1=0,0,B$1*12+MthOff), 0))*Inputs!$B$134</f>
        <v>1800</v>
      </c>
      <c r="D28" s="7">
        <f ca="1">MIN(IF(C$1=0,MthRem,12), MAX(Inputs!$G$132-IF(C$1=0,0,C$1*12+MthOff), 0))*Inputs!$B$134</f>
        <v>2400</v>
      </c>
      <c r="E28" s="7">
        <f ca="1">MIN(IF(D$1=0,MthRem,12), MAX(Inputs!$G$132-IF(D$1=0,0,D$1*12+MthOff), 0))*Inputs!$B$134</f>
        <v>2400</v>
      </c>
      <c r="F28" s="7">
        <f ca="1">MIN(IF(E$1=0,MthRem,12), MAX(Inputs!$G$132-IF(E$1=0,0,E$1*12+MthOff), 0))*Inputs!$B$134</f>
        <v>2223.4029019573059</v>
      </c>
      <c r="G28" s="7">
        <f ca="1">MIN(IF(F$1=0,MthRem,12), MAX(Inputs!$G$132-IF(F$1=0,0,F$1*12+MthOff), 0))*Inputs!$B$134</f>
        <v>0</v>
      </c>
      <c r="H28" s="7">
        <f ca="1">MIN(IF(G$1=0,MthRem,12), MAX(Inputs!$G$132-IF(G$1=0,0,G$1*12+MthOff), 0))*Inputs!$B$134</f>
        <v>0</v>
      </c>
      <c r="I28" s="7">
        <f ca="1">MIN(IF(H$1=0,MthRem,12), MAX(Inputs!$G$132-IF(H$1=0,0,H$1*12+MthOff), 0))*Inputs!$B$134</f>
        <v>0</v>
      </c>
      <c r="J28" s="7">
        <f ca="1">MIN(IF(I$1=0,MthRem,12), MAX(Inputs!$G$132-IF(I$1=0,0,I$1*12+MthOff), 0))*Inputs!$B$134</f>
        <v>0</v>
      </c>
      <c r="K28" s="7">
        <f ca="1">MIN(IF(J$1=0,MthRem,12), MAX(Inputs!$G$132-IF(J$1=0,0,J$1*12+MthOff), 0))*Inputs!$B$134</f>
        <v>0</v>
      </c>
      <c r="L28" s="7">
        <f ca="1">MIN(IF(K$1=0,MthRem,12), MAX(Inputs!$G$132-IF(K$1=0,0,K$1*12+MthOff), 0))*Inputs!$B$134</f>
        <v>0</v>
      </c>
      <c r="M28" s="7">
        <f ca="1">MIN(IF(L$1=0,MthRem,12), MAX(Inputs!$G$132-IF(L$1=0,0,L$1*12+MthOff), 0))*Inputs!$B$134</f>
        <v>0</v>
      </c>
      <c r="N28" s="7">
        <f ca="1">MIN(IF(M$1=0,MthRem,12), MAX(Inputs!$G$132-IF(M$1=0,0,M$1*12+MthOff), 0))*Inputs!$B$134</f>
        <v>0</v>
      </c>
      <c r="O28" s="7">
        <f ca="1">MIN(IF(N$1=0,MthRem,12), MAX(Inputs!$G$132-IF(N$1=0,0,N$1*12+MthOff), 0))*Inputs!$B$134</f>
        <v>0</v>
      </c>
      <c r="P28" s="7">
        <f ca="1">MIN(IF(O$1=0,MthRem,12), MAX(Inputs!$G$132-IF(O$1=0,0,O$1*12+MthOff), 0))*Inputs!$B$134</f>
        <v>0</v>
      </c>
      <c r="Q28" s="7">
        <f ca="1">MIN(IF(P$1=0,MthRem,12), MAX(Inputs!$G$132-IF(P$1=0,0,P$1*12+MthOff), 0))*Inputs!$B$134</f>
        <v>0</v>
      </c>
      <c r="R28" s="7">
        <f ca="1">MIN(IF(Q$1=0,MthRem,12), MAX(Inputs!$G$132-IF(Q$1=0,0,Q$1*12+MthOff), 0))*Inputs!$B$134</f>
        <v>0</v>
      </c>
      <c r="S28" s="7">
        <f ca="1">MIN(IF(R$1=0,MthRem,12), MAX(Inputs!$G$132-IF(R$1=0,0,R$1*12+MthOff), 0))*Inputs!$B$134</f>
        <v>0</v>
      </c>
      <c r="T28" s="7">
        <f ca="1">MIN(IF(S$1=0,MthRem,12), MAX(Inputs!$G$132-IF(S$1=0,0,S$1*12+MthOff), 0))*Inputs!$B$134</f>
        <v>0</v>
      </c>
      <c r="U28" s="7">
        <f ca="1">MIN(IF(T$1=0,MthRem,12), MAX(Inputs!$G$132-IF(T$1=0,0,T$1*12+MthOff), 0))*Inputs!$B$134</f>
        <v>0</v>
      </c>
      <c r="V28" s="7">
        <f ca="1">MIN(IF(U$1=0,MthRem,12), MAX(Inputs!$G$132-IF(U$1=0,0,U$1*12+MthOff), 0))*Inputs!$B$134</f>
        <v>0</v>
      </c>
      <c r="W28" s="7">
        <f ca="1">MIN(IF(V$1=0,MthRem,12), MAX(Inputs!$G$132-IF(V$1=0,0,V$1*12+MthOff), 0))*Inputs!$B$134</f>
        <v>0</v>
      </c>
      <c r="X28" s="7">
        <f ca="1">MIN(IF(W$1=0,MthRem,12), MAX(Inputs!$G$132-IF(W$1=0,0,W$1*12+MthOff), 0))*Inputs!$B$134</f>
        <v>0</v>
      </c>
      <c r="Y28" s="7">
        <f ca="1">MIN(IF(X$1=0,MthRem,12), MAX(Inputs!$G$132-IF(X$1=0,0,X$1*12+MthOff), 0))*Inputs!$B$134</f>
        <v>0</v>
      </c>
      <c r="Z28" s="7">
        <f ca="1">MIN(IF(Y$1=0,MthRem,12), MAX(Inputs!$G$132-IF(Y$1=0,0,Y$1*12+MthOff), 0))*Inputs!$B$134</f>
        <v>0</v>
      </c>
      <c r="AA28" s="7">
        <f ca="1">MIN(IF(Z$1=0,MthRem,12), MAX(Inputs!$G$132-IF(Z$1=0,0,Z$1*12+MthOff), 0))*Inputs!$B$134</f>
        <v>0</v>
      </c>
      <c r="AB28" s="7">
        <f ca="1">MIN(IF(AA$1=0,MthRem,12), MAX(Inputs!$G$132-IF(AA$1=0,0,AA$1*12+MthOff), 0))*Inputs!$B$134</f>
        <v>0</v>
      </c>
      <c r="AC28" s="7">
        <f ca="1">MIN(IF(AB$1=0,MthRem,12), MAX(Inputs!$G$132-IF(AB$1=0,0,AB$1*12+MthOff), 0))*Inputs!$B$134</f>
        <v>0</v>
      </c>
      <c r="AD28" s="7">
        <f ca="1">MIN(IF(AC$1=0,MthRem,12), MAX(Inputs!$G$132-IF(AC$1=0,0,AC$1*12+MthOff), 0))*Inputs!$B$134</f>
        <v>0</v>
      </c>
      <c r="AE28" s="7">
        <f ca="1">MIN(IF(AD$1=0,MthRem,12), MAX(Inputs!$G$132-IF(AD$1=0,0,AD$1*12+MthOff), 0))*Inputs!$B$134</f>
        <v>0</v>
      </c>
      <c r="AF28" s="7">
        <f ca="1">MIN(IF(AE$1=0,MthRem,12), MAX(Inputs!$G$132-IF(AE$1=0,0,AE$1*12+MthOff), 0))*Inputs!$B$134</f>
        <v>0</v>
      </c>
      <c r="AG28" s="7">
        <f ca="1">MIN(IF(AF$1=0,MthRem,12), MAX(Inputs!$G$132-IF(AF$1=0,0,AF$1*12+MthOff), 0))*Inputs!$B$134</f>
        <v>0</v>
      </c>
      <c r="AH28" s="7">
        <f ca="1">MIN(IF(AG$1=0,MthRem,12), MAX(Inputs!$G$132-IF(AG$1=0,0,AG$1*12+MthOff), 0))*Inputs!$B$134</f>
        <v>0</v>
      </c>
      <c r="AI28" s="7">
        <f ca="1">MIN(IF(AH$1=0,MthRem,12), MAX(Inputs!$G$132-IF(AH$1=0,0,AH$1*12+MthOff), 0))*Inputs!$B$134</f>
        <v>0</v>
      </c>
      <c r="AJ28" s="7">
        <f ca="1">MIN(IF(AI$1=0,MthRem,12), MAX(Inputs!$G$132-IF(AI$1=0,0,AI$1*12+MthOff), 0))*Inputs!$B$134</f>
        <v>0</v>
      </c>
      <c r="AK28" s="7">
        <f ca="1">MIN(IF(AJ$1=0,MthRem,12), MAX(Inputs!$G$132-IF(AJ$1=0,0,AJ$1*12+MthOff), 0))*Inputs!$B$134</f>
        <v>0</v>
      </c>
      <c r="AL28" s="7">
        <f ca="1">MIN(IF(AK$1=0,MthRem,12), MAX(Inputs!$G$132-IF(AK$1=0,0,AK$1*12+MthOff), 0))*Inputs!$B$134</f>
        <v>0</v>
      </c>
      <c r="AM28" s="7">
        <f ca="1">MIN(IF(AL$1=0,MthRem,12), MAX(Inputs!$G$132-IF(AL$1=0,0,AL$1*12+MthOff), 0))*Inputs!$B$134</f>
        <v>0</v>
      </c>
    </row>
    <row r="29" spans="1:39" x14ac:dyDescent="0.2">
      <c r="A29" s="3" t="str">
        <f>TEXT(Inputs!$B$70,"")</f>
        <v>Qormi</v>
      </c>
      <c r="C29" s="7">
        <f ca="1">MIN(IF(B$1=0,MthRem,12), MAX(Inputs!$G$137-IF(B$1=0,0,B$1*12+MthOff), 0))*Inputs!$B$139</f>
        <v>2250</v>
      </c>
      <c r="D29" s="7">
        <f ca="1">MIN(IF(C$1=0,MthRem,12), MAX(Inputs!$G$137-IF(C$1=0,0,C$1*12+MthOff), 0))*Inputs!$B$139</f>
        <v>3000</v>
      </c>
      <c r="E29" s="7">
        <f ca="1">MIN(IF(D$1=0,MthRem,12), MAX(Inputs!$G$137-IF(D$1=0,0,D$1*12+MthOff), 0))*Inputs!$B$139</f>
        <v>3000</v>
      </c>
      <c r="F29" s="7">
        <f ca="1">MIN(IF(E$1=0,MthRem,12), MAX(Inputs!$G$137-IF(E$1=0,0,E$1*12+MthOff), 0))*Inputs!$B$139</f>
        <v>3000</v>
      </c>
      <c r="G29" s="7">
        <f ca="1">MIN(IF(F$1=0,MthRem,12), MAX(Inputs!$G$137-IF(F$1=0,0,F$1*12+MthOff), 0))*Inputs!$B$139</f>
        <v>3000</v>
      </c>
      <c r="H29" s="7">
        <f ca="1">MIN(IF(G$1=0,MthRem,12), MAX(Inputs!$G$137-IF(G$1=0,0,G$1*12+MthOff), 0))*Inputs!$B$139</f>
        <v>3000</v>
      </c>
      <c r="I29" s="7">
        <f ca="1">MIN(IF(H$1=0,MthRem,12), MAX(Inputs!$G$137-IF(H$1=0,0,H$1*12+MthOff), 0))*Inputs!$B$139</f>
        <v>46.859685650215255</v>
      </c>
      <c r="J29" s="7">
        <f ca="1">MIN(IF(I$1=0,MthRem,12), MAX(Inputs!$G$137-IF(I$1=0,0,I$1*12+MthOff), 0))*Inputs!$B$139</f>
        <v>0</v>
      </c>
      <c r="K29" s="7">
        <f ca="1">MIN(IF(J$1=0,MthRem,12), MAX(Inputs!$G$137-IF(J$1=0,0,J$1*12+MthOff), 0))*Inputs!$B$139</f>
        <v>0</v>
      </c>
      <c r="L29" s="7">
        <f ca="1">MIN(IF(K$1=0,MthRem,12), MAX(Inputs!$G$137-IF(K$1=0,0,K$1*12+MthOff), 0))*Inputs!$B$139</f>
        <v>0</v>
      </c>
      <c r="M29" s="7">
        <f ca="1">MIN(IF(L$1=0,MthRem,12), MAX(Inputs!$G$137-IF(L$1=0,0,L$1*12+MthOff), 0))*Inputs!$B$139</f>
        <v>0</v>
      </c>
      <c r="N29" s="7">
        <f ca="1">MIN(IF(M$1=0,MthRem,12), MAX(Inputs!$G$137-IF(M$1=0,0,M$1*12+MthOff), 0))*Inputs!$B$139</f>
        <v>0</v>
      </c>
      <c r="O29" s="7">
        <f ca="1">MIN(IF(N$1=0,MthRem,12), MAX(Inputs!$G$137-IF(N$1=0,0,N$1*12+MthOff), 0))*Inputs!$B$139</f>
        <v>0</v>
      </c>
      <c r="P29" s="7">
        <f ca="1">MIN(IF(O$1=0,MthRem,12), MAX(Inputs!$G$137-IF(O$1=0,0,O$1*12+MthOff), 0))*Inputs!$B$139</f>
        <v>0</v>
      </c>
      <c r="Q29" s="7">
        <f ca="1">MIN(IF(P$1=0,MthRem,12), MAX(Inputs!$G$137-IF(P$1=0,0,P$1*12+MthOff), 0))*Inputs!$B$139</f>
        <v>0</v>
      </c>
      <c r="R29" s="7">
        <f ca="1">MIN(IF(Q$1=0,MthRem,12), MAX(Inputs!$G$137-IF(Q$1=0,0,Q$1*12+MthOff), 0))*Inputs!$B$139</f>
        <v>0</v>
      </c>
      <c r="S29" s="7">
        <f ca="1">MIN(IF(R$1=0,MthRem,12), MAX(Inputs!$G$137-IF(R$1=0,0,R$1*12+MthOff), 0))*Inputs!$B$139</f>
        <v>0</v>
      </c>
      <c r="T29" s="7">
        <f ca="1">MIN(IF(S$1=0,MthRem,12), MAX(Inputs!$G$137-IF(S$1=0,0,S$1*12+MthOff), 0))*Inputs!$B$139</f>
        <v>0</v>
      </c>
      <c r="U29" s="7">
        <f ca="1">MIN(IF(T$1=0,MthRem,12), MAX(Inputs!$G$137-IF(T$1=0,0,T$1*12+MthOff), 0))*Inputs!$B$139</f>
        <v>0</v>
      </c>
      <c r="V29" s="7">
        <f ca="1">MIN(IF(U$1=0,MthRem,12), MAX(Inputs!$G$137-IF(U$1=0,0,U$1*12+MthOff), 0))*Inputs!$B$139</f>
        <v>0</v>
      </c>
      <c r="W29" s="7">
        <f ca="1">MIN(IF(V$1=0,MthRem,12), MAX(Inputs!$G$137-IF(V$1=0,0,V$1*12+MthOff), 0))*Inputs!$B$139</f>
        <v>0</v>
      </c>
      <c r="X29" s="7">
        <f ca="1">MIN(IF(W$1=0,MthRem,12), MAX(Inputs!$G$137-IF(W$1=0,0,W$1*12+MthOff), 0))*Inputs!$B$139</f>
        <v>0</v>
      </c>
      <c r="Y29" s="7">
        <f ca="1">MIN(IF(X$1=0,MthRem,12), MAX(Inputs!$G$137-IF(X$1=0,0,X$1*12+MthOff), 0))*Inputs!$B$139</f>
        <v>0</v>
      </c>
      <c r="Z29" s="7">
        <f ca="1">MIN(IF(Y$1=0,MthRem,12), MAX(Inputs!$G$137-IF(Y$1=0,0,Y$1*12+MthOff), 0))*Inputs!$B$139</f>
        <v>0</v>
      </c>
      <c r="AA29" s="7">
        <f ca="1">MIN(IF(Z$1=0,MthRem,12), MAX(Inputs!$G$137-IF(Z$1=0,0,Z$1*12+MthOff), 0))*Inputs!$B$139</f>
        <v>0</v>
      </c>
      <c r="AB29" s="7">
        <f ca="1">MIN(IF(AA$1=0,MthRem,12), MAX(Inputs!$G$137-IF(AA$1=0,0,AA$1*12+MthOff), 0))*Inputs!$B$139</f>
        <v>0</v>
      </c>
      <c r="AC29" s="7">
        <f ca="1">MIN(IF(AB$1=0,MthRem,12), MAX(Inputs!$G$137-IF(AB$1=0,0,AB$1*12+MthOff), 0))*Inputs!$B$139</f>
        <v>0</v>
      </c>
      <c r="AD29" s="7">
        <f ca="1">MIN(IF(AC$1=0,MthRem,12), MAX(Inputs!$G$137-IF(AC$1=0,0,AC$1*12+MthOff), 0))*Inputs!$B$139</f>
        <v>0</v>
      </c>
      <c r="AE29" s="7">
        <f ca="1">MIN(IF(AD$1=0,MthRem,12), MAX(Inputs!$G$137-IF(AD$1=0,0,AD$1*12+MthOff), 0))*Inputs!$B$139</f>
        <v>0</v>
      </c>
      <c r="AF29" s="7">
        <f ca="1">MIN(IF(AE$1=0,MthRem,12), MAX(Inputs!$G$137-IF(AE$1=0,0,AE$1*12+MthOff), 0))*Inputs!$B$139</f>
        <v>0</v>
      </c>
      <c r="AG29" s="7">
        <f ca="1">MIN(IF(AF$1=0,MthRem,12), MAX(Inputs!$G$137-IF(AF$1=0,0,AF$1*12+MthOff), 0))*Inputs!$B$139</f>
        <v>0</v>
      </c>
      <c r="AH29" s="7">
        <f ca="1">MIN(IF(AG$1=0,MthRem,12), MAX(Inputs!$G$137-IF(AG$1=0,0,AG$1*12+MthOff), 0))*Inputs!$B$139</f>
        <v>0</v>
      </c>
      <c r="AI29" s="7">
        <f ca="1">MIN(IF(AH$1=0,MthRem,12), MAX(Inputs!$G$137-IF(AH$1=0,0,AH$1*12+MthOff), 0))*Inputs!$B$139</f>
        <v>0</v>
      </c>
      <c r="AJ29" s="7">
        <f ca="1">MIN(IF(AI$1=0,MthRem,12), MAX(Inputs!$G$137-IF(AI$1=0,0,AI$1*12+MthOff), 0))*Inputs!$B$139</f>
        <v>0</v>
      </c>
      <c r="AK29" s="7">
        <f ca="1">MIN(IF(AJ$1=0,MthRem,12), MAX(Inputs!$G$137-IF(AJ$1=0,0,AJ$1*12+MthOff), 0))*Inputs!$B$139</f>
        <v>0</v>
      </c>
      <c r="AL29" s="7">
        <f ca="1">MIN(IF(AK$1=0,MthRem,12), MAX(Inputs!$G$137-IF(AK$1=0,0,AK$1*12+MthOff), 0))*Inputs!$B$139</f>
        <v>0</v>
      </c>
      <c r="AM29" s="7">
        <f ca="1">MIN(IF(AL$1=0,MthRem,12), MAX(Inputs!$G$137-IF(AL$1=0,0,AL$1*12+MthOff), 0))*Inputs!$B$139</f>
        <v>0</v>
      </c>
    </row>
    <row r="30" spans="1:39" x14ac:dyDescent="0.2">
      <c r="A30" s="3" t="str">
        <f>TEXT(Inputs!$B$75,"")</f>
        <v>Gudja</v>
      </c>
      <c r="C30" s="7">
        <f ca="1">MIN(IF(B$1=0,MthRem,12), MAX(Inputs!$G$142-IF(B$1=0,0,B$1*12+MthOff), 0))*Inputs!$B$144</f>
        <v>720</v>
      </c>
      <c r="D30" s="7">
        <f ca="1">MIN(IF(C$1=0,MthRem,12), MAX(Inputs!$G$142-IF(C$1=0,0,C$1*12+MthOff), 0))*Inputs!$B$144</f>
        <v>960</v>
      </c>
      <c r="E30" s="7">
        <f ca="1">MIN(IF(D$1=0,MthRem,12), MAX(Inputs!$G$142-IF(D$1=0,0,D$1*12+MthOff), 0))*Inputs!$B$144</f>
        <v>960</v>
      </c>
      <c r="F30" s="7">
        <f ca="1">MIN(IF(E$1=0,MthRem,12), MAX(Inputs!$G$142-IF(E$1=0,0,E$1*12+MthOff), 0))*Inputs!$B$144</f>
        <v>960</v>
      </c>
      <c r="G30" s="7">
        <f ca="1">MIN(IF(F$1=0,MthRem,12), MAX(Inputs!$G$142-IF(F$1=0,0,F$1*12+MthOff), 0))*Inputs!$B$144</f>
        <v>960</v>
      </c>
      <c r="H30" s="7">
        <f ca="1">MIN(IF(G$1=0,MthRem,12), MAX(Inputs!$G$142-IF(G$1=0,0,G$1*12+MthOff), 0))*Inputs!$B$144</f>
        <v>368.25858585362369</v>
      </c>
      <c r="I30" s="7">
        <f ca="1">MIN(IF(H$1=0,MthRem,12), MAX(Inputs!$G$142-IF(H$1=0,0,H$1*12+MthOff), 0))*Inputs!$B$144</f>
        <v>0</v>
      </c>
      <c r="J30" s="7">
        <f ca="1">MIN(IF(I$1=0,MthRem,12), MAX(Inputs!$G$142-IF(I$1=0,0,I$1*12+MthOff), 0))*Inputs!$B$144</f>
        <v>0</v>
      </c>
      <c r="K30" s="7">
        <f ca="1">MIN(IF(J$1=0,MthRem,12), MAX(Inputs!$G$142-IF(J$1=0,0,J$1*12+MthOff), 0))*Inputs!$B$144</f>
        <v>0</v>
      </c>
      <c r="L30" s="7">
        <f ca="1">MIN(IF(K$1=0,MthRem,12), MAX(Inputs!$G$142-IF(K$1=0,0,K$1*12+MthOff), 0))*Inputs!$B$144</f>
        <v>0</v>
      </c>
      <c r="M30" s="7">
        <f ca="1">MIN(IF(L$1=0,MthRem,12), MAX(Inputs!$G$142-IF(L$1=0,0,L$1*12+MthOff), 0))*Inputs!$B$144</f>
        <v>0</v>
      </c>
      <c r="N30" s="7">
        <f ca="1">MIN(IF(M$1=0,MthRem,12), MAX(Inputs!$G$142-IF(M$1=0,0,M$1*12+MthOff), 0))*Inputs!$B$144</f>
        <v>0</v>
      </c>
      <c r="O30" s="7">
        <f ca="1">MIN(IF(N$1=0,MthRem,12), MAX(Inputs!$G$142-IF(N$1=0,0,N$1*12+MthOff), 0))*Inputs!$B$144</f>
        <v>0</v>
      </c>
      <c r="P30" s="7">
        <f ca="1">MIN(IF(O$1=0,MthRem,12), MAX(Inputs!$G$142-IF(O$1=0,0,O$1*12+MthOff), 0))*Inputs!$B$144</f>
        <v>0</v>
      </c>
      <c r="Q30" s="7">
        <f ca="1">MIN(IF(P$1=0,MthRem,12), MAX(Inputs!$G$142-IF(P$1=0,0,P$1*12+MthOff), 0))*Inputs!$B$144</f>
        <v>0</v>
      </c>
      <c r="R30" s="7">
        <f ca="1">MIN(IF(Q$1=0,MthRem,12), MAX(Inputs!$G$142-IF(Q$1=0,0,Q$1*12+MthOff), 0))*Inputs!$B$144</f>
        <v>0</v>
      </c>
      <c r="S30" s="7">
        <f ca="1">MIN(IF(R$1=0,MthRem,12), MAX(Inputs!$G$142-IF(R$1=0,0,R$1*12+MthOff), 0))*Inputs!$B$144</f>
        <v>0</v>
      </c>
      <c r="T30" s="7">
        <f ca="1">MIN(IF(S$1=0,MthRem,12), MAX(Inputs!$G$142-IF(S$1=0,0,S$1*12+MthOff), 0))*Inputs!$B$144</f>
        <v>0</v>
      </c>
      <c r="U30" s="7">
        <f ca="1">MIN(IF(T$1=0,MthRem,12), MAX(Inputs!$G$142-IF(T$1=0,0,T$1*12+MthOff), 0))*Inputs!$B$144</f>
        <v>0</v>
      </c>
      <c r="V30" s="7">
        <f ca="1">MIN(IF(U$1=0,MthRem,12), MAX(Inputs!$G$142-IF(U$1=0,0,U$1*12+MthOff), 0))*Inputs!$B$144</f>
        <v>0</v>
      </c>
      <c r="W30" s="7">
        <f ca="1">MIN(IF(V$1=0,MthRem,12), MAX(Inputs!$G$142-IF(V$1=0,0,V$1*12+MthOff), 0))*Inputs!$B$144</f>
        <v>0</v>
      </c>
      <c r="X30" s="7">
        <f ca="1">MIN(IF(W$1=0,MthRem,12), MAX(Inputs!$G$142-IF(W$1=0,0,W$1*12+MthOff), 0))*Inputs!$B$144</f>
        <v>0</v>
      </c>
      <c r="Y30" s="7">
        <f ca="1">MIN(IF(X$1=0,MthRem,12), MAX(Inputs!$G$142-IF(X$1=0,0,X$1*12+MthOff), 0))*Inputs!$B$144</f>
        <v>0</v>
      </c>
      <c r="Z30" s="7">
        <f ca="1">MIN(IF(Y$1=0,MthRem,12), MAX(Inputs!$G$142-IF(Y$1=0,0,Y$1*12+MthOff), 0))*Inputs!$B$144</f>
        <v>0</v>
      </c>
      <c r="AA30" s="7">
        <f ca="1">MIN(IF(Z$1=0,MthRem,12), MAX(Inputs!$G$142-IF(Z$1=0,0,Z$1*12+MthOff), 0))*Inputs!$B$144</f>
        <v>0</v>
      </c>
      <c r="AB30" s="7">
        <f ca="1">MIN(IF(AA$1=0,MthRem,12), MAX(Inputs!$G$142-IF(AA$1=0,0,AA$1*12+MthOff), 0))*Inputs!$B$144</f>
        <v>0</v>
      </c>
      <c r="AC30" s="7">
        <f ca="1">MIN(IF(AB$1=0,MthRem,12), MAX(Inputs!$G$142-IF(AB$1=0,0,AB$1*12+MthOff), 0))*Inputs!$B$144</f>
        <v>0</v>
      </c>
      <c r="AD30" s="7">
        <f ca="1">MIN(IF(AC$1=0,MthRem,12), MAX(Inputs!$G$142-IF(AC$1=0,0,AC$1*12+MthOff), 0))*Inputs!$B$144</f>
        <v>0</v>
      </c>
      <c r="AE30" s="7">
        <f ca="1">MIN(IF(AD$1=0,MthRem,12), MAX(Inputs!$G$142-IF(AD$1=0,0,AD$1*12+MthOff), 0))*Inputs!$B$144</f>
        <v>0</v>
      </c>
      <c r="AF30" s="7">
        <f ca="1">MIN(IF(AE$1=0,MthRem,12), MAX(Inputs!$G$142-IF(AE$1=0,0,AE$1*12+MthOff), 0))*Inputs!$B$144</f>
        <v>0</v>
      </c>
      <c r="AG30" s="7">
        <f ca="1">MIN(IF(AF$1=0,MthRem,12), MAX(Inputs!$G$142-IF(AF$1=0,0,AF$1*12+MthOff), 0))*Inputs!$B$144</f>
        <v>0</v>
      </c>
      <c r="AH30" s="7">
        <f ca="1">MIN(IF(AG$1=0,MthRem,12), MAX(Inputs!$G$142-IF(AG$1=0,0,AG$1*12+MthOff), 0))*Inputs!$B$144</f>
        <v>0</v>
      </c>
      <c r="AI30" s="7">
        <f ca="1">MIN(IF(AH$1=0,MthRem,12), MAX(Inputs!$G$142-IF(AH$1=0,0,AH$1*12+MthOff), 0))*Inputs!$B$144</f>
        <v>0</v>
      </c>
      <c r="AJ30" s="7">
        <f ca="1">MIN(IF(AI$1=0,MthRem,12), MAX(Inputs!$G$142-IF(AI$1=0,0,AI$1*12+MthOff), 0))*Inputs!$B$144</f>
        <v>0</v>
      </c>
      <c r="AK30" s="7">
        <f ca="1">MIN(IF(AJ$1=0,MthRem,12), MAX(Inputs!$G$142-IF(AJ$1=0,0,AJ$1*12+MthOff), 0))*Inputs!$B$144</f>
        <v>0</v>
      </c>
      <c r="AL30" s="7">
        <f ca="1">MIN(IF(AK$1=0,MthRem,12), MAX(Inputs!$G$142-IF(AK$1=0,0,AK$1*12+MthOff), 0))*Inputs!$B$144</f>
        <v>0</v>
      </c>
      <c r="AM30" s="7">
        <f ca="1">MIN(IF(AL$1=0,MthRem,12), MAX(Inputs!$G$142-IF(AL$1=0,0,AL$1*12+MthOff), 0))*Inputs!$B$144</f>
        <v>0</v>
      </c>
    </row>
    <row r="31" spans="1:39" x14ac:dyDescent="0.2">
      <c r="A31" s="3" t="str">
        <f>TEXT(Inputs!$B$80,"")</f>
        <v>Marsa</v>
      </c>
      <c r="C31" s="7">
        <f ca="1">MIN(IF(B$1=0,MthRem,12), MAX(Inputs!$G$147-IF(B$1=0,0,B$1*12+MthOff), 0))*Inputs!$B$149</f>
        <v>1080</v>
      </c>
      <c r="D31" s="7">
        <f ca="1">MIN(IF(C$1=0,MthRem,12), MAX(Inputs!$G$147-IF(C$1=0,0,C$1*12+MthOff), 0))*Inputs!$B$149</f>
        <v>1440</v>
      </c>
      <c r="E31" s="7">
        <f ca="1">MIN(IF(D$1=0,MthRem,12), MAX(Inputs!$G$147-IF(D$1=0,0,D$1*12+MthOff), 0))*Inputs!$B$149</f>
        <v>1440</v>
      </c>
      <c r="F31" s="7">
        <f ca="1">MIN(IF(E$1=0,MthRem,12), MAX(Inputs!$G$147-IF(E$1=0,0,E$1*12+MthOff), 0))*Inputs!$B$149</f>
        <v>1440</v>
      </c>
      <c r="G31" s="7">
        <f ca="1">MIN(IF(F$1=0,MthRem,12), MAX(Inputs!$G$147-IF(F$1=0,0,F$1*12+MthOff), 0))*Inputs!$B$149</f>
        <v>1440</v>
      </c>
      <c r="H31" s="7">
        <f ca="1">MIN(IF(G$1=0,MthRem,12), MAX(Inputs!$G$147-IF(G$1=0,0,G$1*12+MthOff), 0))*Inputs!$B$149</f>
        <v>1440</v>
      </c>
      <c r="I31" s="7">
        <f ca="1">MIN(IF(H$1=0,MthRem,12), MAX(Inputs!$G$147-IF(H$1=0,0,H$1*12+MthOff), 0))*Inputs!$B$149</f>
        <v>1440</v>
      </c>
      <c r="J31" s="7">
        <f ca="1">MIN(IF(I$1=0,MthRem,12), MAX(Inputs!$G$147-IF(I$1=0,0,I$1*12+MthOff), 0))*Inputs!$B$149</f>
        <v>909.24880782033654</v>
      </c>
      <c r="K31" s="7">
        <f ca="1">MIN(IF(J$1=0,MthRem,12), MAX(Inputs!$G$147-IF(J$1=0,0,J$1*12+MthOff), 0))*Inputs!$B$149</f>
        <v>0</v>
      </c>
      <c r="L31" s="7">
        <f ca="1">MIN(IF(K$1=0,MthRem,12), MAX(Inputs!$G$147-IF(K$1=0,0,K$1*12+MthOff), 0))*Inputs!$B$149</f>
        <v>0</v>
      </c>
      <c r="M31" s="7">
        <f ca="1">MIN(IF(L$1=0,MthRem,12), MAX(Inputs!$G$147-IF(L$1=0,0,L$1*12+MthOff), 0))*Inputs!$B$149</f>
        <v>0</v>
      </c>
      <c r="N31" s="7">
        <f ca="1">MIN(IF(M$1=0,MthRem,12), MAX(Inputs!$G$147-IF(M$1=0,0,M$1*12+MthOff), 0))*Inputs!$B$149</f>
        <v>0</v>
      </c>
      <c r="O31" s="7">
        <f ca="1">MIN(IF(N$1=0,MthRem,12), MAX(Inputs!$G$147-IF(N$1=0,0,N$1*12+MthOff), 0))*Inputs!$B$149</f>
        <v>0</v>
      </c>
      <c r="P31" s="7">
        <f ca="1">MIN(IF(O$1=0,MthRem,12), MAX(Inputs!$G$147-IF(O$1=0,0,O$1*12+MthOff), 0))*Inputs!$B$149</f>
        <v>0</v>
      </c>
      <c r="Q31" s="7">
        <f ca="1">MIN(IF(P$1=0,MthRem,12), MAX(Inputs!$G$147-IF(P$1=0,0,P$1*12+MthOff), 0))*Inputs!$B$149</f>
        <v>0</v>
      </c>
      <c r="R31" s="7">
        <f ca="1">MIN(IF(Q$1=0,MthRem,12), MAX(Inputs!$G$147-IF(Q$1=0,0,Q$1*12+MthOff), 0))*Inputs!$B$149</f>
        <v>0</v>
      </c>
      <c r="S31" s="7">
        <f ca="1">MIN(IF(R$1=0,MthRem,12), MAX(Inputs!$G$147-IF(R$1=0,0,R$1*12+MthOff), 0))*Inputs!$B$149</f>
        <v>0</v>
      </c>
      <c r="T31" s="7">
        <f ca="1">MIN(IF(S$1=0,MthRem,12), MAX(Inputs!$G$147-IF(S$1=0,0,S$1*12+MthOff), 0))*Inputs!$B$149</f>
        <v>0</v>
      </c>
      <c r="U31" s="7">
        <f ca="1">MIN(IF(T$1=0,MthRem,12), MAX(Inputs!$G$147-IF(T$1=0,0,T$1*12+MthOff), 0))*Inputs!$B$149</f>
        <v>0</v>
      </c>
      <c r="V31" s="7">
        <f ca="1">MIN(IF(U$1=0,MthRem,12), MAX(Inputs!$G$147-IF(U$1=0,0,U$1*12+MthOff), 0))*Inputs!$B$149</f>
        <v>0</v>
      </c>
      <c r="W31" s="7">
        <f ca="1">MIN(IF(V$1=0,MthRem,12), MAX(Inputs!$G$147-IF(V$1=0,0,V$1*12+MthOff), 0))*Inputs!$B$149</f>
        <v>0</v>
      </c>
      <c r="X31" s="7">
        <f ca="1">MIN(IF(W$1=0,MthRem,12), MAX(Inputs!$G$147-IF(W$1=0,0,W$1*12+MthOff), 0))*Inputs!$B$149</f>
        <v>0</v>
      </c>
      <c r="Y31" s="7">
        <f ca="1">MIN(IF(X$1=0,MthRem,12), MAX(Inputs!$G$147-IF(X$1=0,0,X$1*12+MthOff), 0))*Inputs!$B$149</f>
        <v>0</v>
      </c>
      <c r="Z31" s="7">
        <f ca="1">MIN(IF(Y$1=0,MthRem,12), MAX(Inputs!$G$147-IF(Y$1=0,0,Y$1*12+MthOff), 0))*Inputs!$B$149</f>
        <v>0</v>
      </c>
      <c r="AA31" s="7">
        <f ca="1">MIN(IF(Z$1=0,MthRem,12), MAX(Inputs!$G$147-IF(Z$1=0,0,Z$1*12+MthOff), 0))*Inputs!$B$149</f>
        <v>0</v>
      </c>
      <c r="AB31" s="7">
        <f ca="1">MIN(IF(AA$1=0,MthRem,12), MAX(Inputs!$G$147-IF(AA$1=0,0,AA$1*12+MthOff), 0))*Inputs!$B$149</f>
        <v>0</v>
      </c>
      <c r="AC31" s="7">
        <f ca="1">MIN(IF(AB$1=0,MthRem,12), MAX(Inputs!$G$147-IF(AB$1=0,0,AB$1*12+MthOff), 0))*Inputs!$B$149</f>
        <v>0</v>
      </c>
      <c r="AD31" s="7">
        <f ca="1">MIN(IF(AC$1=0,MthRem,12), MAX(Inputs!$G$147-IF(AC$1=0,0,AC$1*12+MthOff), 0))*Inputs!$B$149</f>
        <v>0</v>
      </c>
      <c r="AE31" s="7">
        <f ca="1">MIN(IF(AD$1=0,MthRem,12), MAX(Inputs!$G$147-IF(AD$1=0,0,AD$1*12+MthOff), 0))*Inputs!$B$149</f>
        <v>0</v>
      </c>
      <c r="AF31" s="7">
        <f ca="1">MIN(IF(AE$1=0,MthRem,12), MAX(Inputs!$G$147-IF(AE$1=0,0,AE$1*12+MthOff), 0))*Inputs!$B$149</f>
        <v>0</v>
      </c>
      <c r="AG31" s="7">
        <f ca="1">MIN(IF(AF$1=0,MthRem,12), MAX(Inputs!$G$147-IF(AF$1=0,0,AF$1*12+MthOff), 0))*Inputs!$B$149</f>
        <v>0</v>
      </c>
      <c r="AH31" s="7">
        <f ca="1">MIN(IF(AG$1=0,MthRem,12), MAX(Inputs!$G$147-IF(AG$1=0,0,AG$1*12+MthOff), 0))*Inputs!$B$149</f>
        <v>0</v>
      </c>
      <c r="AI31" s="7">
        <f ca="1">MIN(IF(AH$1=0,MthRem,12), MAX(Inputs!$G$147-IF(AH$1=0,0,AH$1*12+MthOff), 0))*Inputs!$B$149</f>
        <v>0</v>
      </c>
      <c r="AJ31" s="7">
        <f ca="1">MIN(IF(AI$1=0,MthRem,12), MAX(Inputs!$G$147-IF(AI$1=0,0,AI$1*12+MthOff), 0))*Inputs!$B$149</f>
        <v>0</v>
      </c>
      <c r="AK31" s="7">
        <f ca="1">MIN(IF(AJ$1=0,MthRem,12), MAX(Inputs!$G$147-IF(AJ$1=0,0,AJ$1*12+MthOff), 0))*Inputs!$B$149</f>
        <v>0</v>
      </c>
      <c r="AL31" s="7">
        <f ca="1">MIN(IF(AK$1=0,MthRem,12), MAX(Inputs!$G$147-IF(AK$1=0,0,AK$1*12+MthOff), 0))*Inputs!$B$149</f>
        <v>0</v>
      </c>
      <c r="AM31" s="7">
        <f ca="1">MIN(IF(AL$1=0,MthRem,12), MAX(Inputs!$G$147-IF(AL$1=0,0,AL$1*12+MthOff), 0))*Inputs!$B$149</f>
        <v>0</v>
      </c>
    </row>
    <row r="32" spans="1:39" x14ac:dyDescent="0.2">
      <c r="A32" s="3" t="str">
        <f>TEXT(Inputs!$B$87,"")</f>
        <v>Jewelry</v>
      </c>
      <c r="C32" s="7">
        <f ca="1">MIN(IF(B$1=0,MthRem,12), MAX(Inputs!$G$152-IF(B$1=0,0,B$1*12+MthOff), 0))*Inputs!$B$154</f>
        <v>675</v>
      </c>
      <c r="D32" s="7">
        <f ca="1">MIN(IF(C$1=0,MthRem,12), MAX(Inputs!$G$152-IF(C$1=0,0,C$1*12+MthOff), 0))*Inputs!$B$154</f>
        <v>900</v>
      </c>
      <c r="E32" s="7">
        <f ca="1">MIN(IF(D$1=0,MthRem,12), MAX(Inputs!$G$152-IF(D$1=0,0,D$1*12+MthOff), 0))*Inputs!$B$154</f>
        <v>900</v>
      </c>
      <c r="F32" s="7">
        <f ca="1">MIN(IF(E$1=0,MthRem,12), MAX(Inputs!$G$152-IF(E$1=0,0,E$1*12+MthOff), 0))*Inputs!$B$154</f>
        <v>138.6028784700473</v>
      </c>
      <c r="G32" s="7">
        <f ca="1">MIN(IF(F$1=0,MthRem,12), MAX(Inputs!$G$152-IF(F$1=0,0,F$1*12+MthOff), 0))*Inputs!$B$154</f>
        <v>0</v>
      </c>
      <c r="H32" s="7">
        <f ca="1">MIN(IF(G$1=0,MthRem,12), MAX(Inputs!$G$152-IF(G$1=0,0,G$1*12+MthOff), 0))*Inputs!$B$154</f>
        <v>0</v>
      </c>
      <c r="I32" s="7">
        <f ca="1">MIN(IF(H$1=0,MthRem,12), MAX(Inputs!$G$152-IF(H$1=0,0,H$1*12+MthOff), 0))*Inputs!$B$154</f>
        <v>0</v>
      </c>
      <c r="J32" s="7">
        <f ca="1">MIN(IF(I$1=0,MthRem,12), MAX(Inputs!$G$152-IF(I$1=0,0,I$1*12+MthOff), 0))*Inputs!$B$154</f>
        <v>0</v>
      </c>
      <c r="K32" s="7">
        <f ca="1">MIN(IF(J$1=0,MthRem,12), MAX(Inputs!$G$152-IF(J$1=0,0,J$1*12+MthOff), 0))*Inputs!$B$154</f>
        <v>0</v>
      </c>
      <c r="L32" s="7">
        <f ca="1">MIN(IF(K$1=0,MthRem,12), MAX(Inputs!$G$152-IF(K$1=0,0,K$1*12+MthOff), 0))*Inputs!$B$154</f>
        <v>0</v>
      </c>
      <c r="M32" s="7">
        <f ca="1">MIN(IF(L$1=0,MthRem,12), MAX(Inputs!$G$152-IF(L$1=0,0,L$1*12+MthOff), 0))*Inputs!$B$154</f>
        <v>0</v>
      </c>
      <c r="N32" s="7">
        <f ca="1">MIN(IF(M$1=0,MthRem,12), MAX(Inputs!$G$152-IF(M$1=0,0,M$1*12+MthOff), 0))*Inputs!$B$154</f>
        <v>0</v>
      </c>
      <c r="O32" s="7">
        <f ca="1">MIN(IF(N$1=0,MthRem,12), MAX(Inputs!$G$152-IF(N$1=0,0,N$1*12+MthOff), 0))*Inputs!$B$154</f>
        <v>0</v>
      </c>
      <c r="P32" s="7">
        <f ca="1">MIN(IF(O$1=0,MthRem,12), MAX(Inputs!$G$152-IF(O$1=0,0,O$1*12+MthOff), 0))*Inputs!$B$154</f>
        <v>0</v>
      </c>
      <c r="Q32" s="7">
        <f ca="1">MIN(IF(P$1=0,MthRem,12), MAX(Inputs!$G$152-IF(P$1=0,0,P$1*12+MthOff), 0))*Inputs!$B$154</f>
        <v>0</v>
      </c>
      <c r="R32" s="7">
        <f ca="1">MIN(IF(Q$1=0,MthRem,12), MAX(Inputs!$G$152-IF(Q$1=0,0,Q$1*12+MthOff), 0))*Inputs!$B$154</f>
        <v>0</v>
      </c>
      <c r="S32" s="7">
        <f ca="1">MIN(IF(R$1=0,MthRem,12), MAX(Inputs!$G$152-IF(R$1=0,0,R$1*12+MthOff), 0))*Inputs!$B$154</f>
        <v>0</v>
      </c>
      <c r="T32" s="7">
        <f ca="1">MIN(IF(S$1=0,MthRem,12), MAX(Inputs!$G$152-IF(S$1=0,0,S$1*12+MthOff), 0))*Inputs!$B$154</f>
        <v>0</v>
      </c>
      <c r="U32" s="7">
        <f ca="1">MIN(IF(T$1=0,MthRem,12), MAX(Inputs!$G$152-IF(T$1=0,0,T$1*12+MthOff), 0))*Inputs!$B$154</f>
        <v>0</v>
      </c>
      <c r="V32" s="7">
        <f ca="1">MIN(IF(U$1=0,MthRem,12), MAX(Inputs!$G$152-IF(U$1=0,0,U$1*12+MthOff), 0))*Inputs!$B$154</f>
        <v>0</v>
      </c>
      <c r="W32" s="7">
        <f ca="1">MIN(IF(V$1=0,MthRem,12), MAX(Inputs!$G$152-IF(V$1=0,0,V$1*12+MthOff), 0))*Inputs!$B$154</f>
        <v>0</v>
      </c>
      <c r="X32" s="7">
        <f ca="1">MIN(IF(W$1=0,MthRem,12), MAX(Inputs!$G$152-IF(W$1=0,0,W$1*12+MthOff), 0))*Inputs!$B$154</f>
        <v>0</v>
      </c>
      <c r="Y32" s="7">
        <f ca="1">MIN(IF(X$1=0,MthRem,12), MAX(Inputs!$G$152-IF(X$1=0,0,X$1*12+MthOff), 0))*Inputs!$B$154</f>
        <v>0</v>
      </c>
      <c r="Z32" s="7">
        <f ca="1">MIN(IF(Y$1=0,MthRem,12), MAX(Inputs!$G$152-IF(Y$1=0,0,Y$1*12+MthOff), 0))*Inputs!$B$154</f>
        <v>0</v>
      </c>
      <c r="AA32" s="7">
        <f ca="1">MIN(IF(Z$1=0,MthRem,12), MAX(Inputs!$G$152-IF(Z$1=0,0,Z$1*12+MthOff), 0))*Inputs!$B$154</f>
        <v>0</v>
      </c>
      <c r="AB32" s="7">
        <f ca="1">MIN(IF(AA$1=0,MthRem,12), MAX(Inputs!$G$152-IF(AA$1=0,0,AA$1*12+MthOff), 0))*Inputs!$B$154</f>
        <v>0</v>
      </c>
      <c r="AC32" s="7">
        <f ca="1">MIN(IF(AB$1=0,MthRem,12), MAX(Inputs!$G$152-IF(AB$1=0,0,AB$1*12+MthOff), 0))*Inputs!$B$154</f>
        <v>0</v>
      </c>
      <c r="AD32" s="7">
        <f ca="1">MIN(IF(AC$1=0,MthRem,12), MAX(Inputs!$G$152-IF(AC$1=0,0,AC$1*12+MthOff), 0))*Inputs!$B$154</f>
        <v>0</v>
      </c>
      <c r="AE32" s="7">
        <f ca="1">MIN(IF(AD$1=0,MthRem,12), MAX(Inputs!$G$152-IF(AD$1=0,0,AD$1*12+MthOff), 0))*Inputs!$B$154</f>
        <v>0</v>
      </c>
      <c r="AF32" s="7">
        <f ca="1">MIN(IF(AE$1=0,MthRem,12), MAX(Inputs!$G$152-IF(AE$1=0,0,AE$1*12+MthOff), 0))*Inputs!$B$154</f>
        <v>0</v>
      </c>
      <c r="AG32" s="7">
        <f ca="1">MIN(IF(AF$1=0,MthRem,12), MAX(Inputs!$G$152-IF(AF$1=0,0,AF$1*12+MthOff), 0))*Inputs!$B$154</f>
        <v>0</v>
      </c>
      <c r="AH32" s="7">
        <f ca="1">MIN(IF(AG$1=0,MthRem,12), MAX(Inputs!$G$152-IF(AG$1=0,0,AG$1*12+MthOff), 0))*Inputs!$B$154</f>
        <v>0</v>
      </c>
      <c r="AI32" s="7">
        <f ca="1">MIN(IF(AH$1=0,MthRem,12), MAX(Inputs!$G$152-IF(AH$1=0,0,AH$1*12+MthOff), 0))*Inputs!$B$154</f>
        <v>0</v>
      </c>
      <c r="AJ32" s="7">
        <f ca="1">MIN(IF(AI$1=0,MthRem,12), MAX(Inputs!$G$152-IF(AI$1=0,0,AI$1*12+MthOff), 0))*Inputs!$B$154</f>
        <v>0</v>
      </c>
      <c r="AK32" s="7">
        <f ca="1">MIN(IF(AJ$1=0,MthRem,12), MAX(Inputs!$G$152-IF(AJ$1=0,0,AJ$1*12+MthOff), 0))*Inputs!$B$154</f>
        <v>0</v>
      </c>
      <c r="AL32" s="7">
        <f ca="1">MIN(IF(AK$1=0,MthRem,12), MAX(Inputs!$G$152-IF(AK$1=0,0,AK$1*12+MthOff), 0))*Inputs!$B$154</f>
        <v>0</v>
      </c>
      <c r="AM32" s="7">
        <f ca="1">MIN(IF(AL$1=0,MthRem,12), MAX(Inputs!$G$152-IF(AL$1=0,0,AL$1*12+MthOff), 0))*Inputs!$B$154</f>
        <v>0</v>
      </c>
    </row>
    <row r="33" spans="1:39" x14ac:dyDescent="0.2">
      <c r="A33" s="3" t="str">
        <f>TEXT(Inputs!$B$92,"")</f>
        <v>Car</v>
      </c>
      <c r="C33" s="7">
        <f ca="1">MIN(IF(B$1=0,MthRem,12), MAX(Inputs!$G$157-IF(B$1=0,0,B$1*12+MthOff), 0))*Inputs!$B$159</f>
        <v>774</v>
      </c>
      <c r="D33" s="7">
        <f ca="1">MIN(IF(C$1=0,MthRem,12), MAX(Inputs!$G$157-IF(C$1=0,0,C$1*12+MthOff), 0))*Inputs!$B$159</f>
        <v>1032</v>
      </c>
      <c r="E33" s="7">
        <f ca="1">MIN(IF(D$1=0,MthRem,12), MAX(Inputs!$G$157-IF(D$1=0,0,D$1*12+MthOff), 0))*Inputs!$B$159</f>
        <v>1032</v>
      </c>
      <c r="F33" s="7">
        <f ca="1">MIN(IF(E$1=0,MthRem,12), MAX(Inputs!$G$157-IF(E$1=0,0,E$1*12+MthOff), 0))*Inputs!$B$159</f>
        <v>1032</v>
      </c>
      <c r="G33" s="7">
        <f ca="1">MIN(IF(F$1=0,MthRem,12), MAX(Inputs!$G$157-IF(F$1=0,0,F$1*12+MthOff), 0))*Inputs!$B$159</f>
        <v>1032</v>
      </c>
      <c r="H33" s="7">
        <f ca="1">MIN(IF(G$1=0,MthRem,12), MAX(Inputs!$G$157-IF(G$1=0,0,G$1*12+MthOff), 0))*Inputs!$B$159</f>
        <v>1032</v>
      </c>
      <c r="I33" s="7">
        <f ca="1">MIN(IF(H$1=0,MthRem,12), MAX(Inputs!$G$157-IF(H$1=0,0,H$1*12+MthOff), 0))*Inputs!$B$159</f>
        <v>449.79405274184501</v>
      </c>
      <c r="J33" s="7">
        <f ca="1">MIN(IF(I$1=0,MthRem,12), MAX(Inputs!$G$157-IF(I$1=0,0,I$1*12+MthOff), 0))*Inputs!$B$159</f>
        <v>0</v>
      </c>
      <c r="K33" s="7">
        <f ca="1">MIN(IF(J$1=0,MthRem,12), MAX(Inputs!$G$157-IF(J$1=0,0,J$1*12+MthOff), 0))*Inputs!$B$159</f>
        <v>0</v>
      </c>
      <c r="L33" s="7">
        <f ca="1">MIN(IF(K$1=0,MthRem,12), MAX(Inputs!$G$157-IF(K$1=0,0,K$1*12+MthOff), 0))*Inputs!$B$159</f>
        <v>0</v>
      </c>
      <c r="M33" s="7">
        <f ca="1">MIN(IF(L$1=0,MthRem,12), MAX(Inputs!$G$157-IF(L$1=0,0,L$1*12+MthOff), 0))*Inputs!$B$159</f>
        <v>0</v>
      </c>
      <c r="N33" s="7">
        <f ca="1">MIN(IF(M$1=0,MthRem,12), MAX(Inputs!$G$157-IF(M$1=0,0,M$1*12+MthOff), 0))*Inputs!$B$159</f>
        <v>0</v>
      </c>
      <c r="O33" s="7">
        <f ca="1">MIN(IF(N$1=0,MthRem,12), MAX(Inputs!$G$157-IF(N$1=0,0,N$1*12+MthOff), 0))*Inputs!$B$159</f>
        <v>0</v>
      </c>
      <c r="P33" s="7">
        <f ca="1">MIN(IF(O$1=0,MthRem,12), MAX(Inputs!$G$157-IF(O$1=0,0,O$1*12+MthOff), 0))*Inputs!$B$159</f>
        <v>0</v>
      </c>
      <c r="Q33" s="7">
        <f ca="1">MIN(IF(P$1=0,MthRem,12), MAX(Inputs!$G$157-IF(P$1=0,0,P$1*12+MthOff), 0))*Inputs!$B$159</f>
        <v>0</v>
      </c>
      <c r="R33" s="7">
        <f ca="1">MIN(IF(Q$1=0,MthRem,12), MAX(Inputs!$G$157-IF(Q$1=0,0,Q$1*12+MthOff), 0))*Inputs!$B$159</f>
        <v>0</v>
      </c>
      <c r="S33" s="7">
        <f ca="1">MIN(IF(R$1=0,MthRem,12), MAX(Inputs!$G$157-IF(R$1=0,0,R$1*12+MthOff), 0))*Inputs!$B$159</f>
        <v>0</v>
      </c>
      <c r="T33" s="7">
        <f ca="1">MIN(IF(S$1=0,MthRem,12), MAX(Inputs!$G$157-IF(S$1=0,0,S$1*12+MthOff), 0))*Inputs!$B$159</f>
        <v>0</v>
      </c>
      <c r="U33" s="7">
        <f ca="1">MIN(IF(T$1=0,MthRem,12), MAX(Inputs!$G$157-IF(T$1=0,0,T$1*12+MthOff), 0))*Inputs!$B$159</f>
        <v>0</v>
      </c>
      <c r="V33" s="7">
        <f ca="1">MIN(IF(U$1=0,MthRem,12), MAX(Inputs!$G$157-IF(U$1=0,0,U$1*12+MthOff), 0))*Inputs!$B$159</f>
        <v>0</v>
      </c>
      <c r="W33" s="7">
        <f ca="1">MIN(IF(V$1=0,MthRem,12), MAX(Inputs!$G$157-IF(V$1=0,0,V$1*12+MthOff), 0))*Inputs!$B$159</f>
        <v>0</v>
      </c>
      <c r="X33" s="7">
        <f ca="1">MIN(IF(W$1=0,MthRem,12), MAX(Inputs!$G$157-IF(W$1=0,0,W$1*12+MthOff), 0))*Inputs!$B$159</f>
        <v>0</v>
      </c>
      <c r="Y33" s="7">
        <f ca="1">MIN(IF(X$1=0,MthRem,12), MAX(Inputs!$G$157-IF(X$1=0,0,X$1*12+MthOff), 0))*Inputs!$B$159</f>
        <v>0</v>
      </c>
      <c r="Z33" s="7">
        <f ca="1">MIN(IF(Y$1=0,MthRem,12), MAX(Inputs!$G$157-IF(Y$1=0,0,Y$1*12+MthOff), 0))*Inputs!$B$159</f>
        <v>0</v>
      </c>
      <c r="AA33" s="7">
        <f ca="1">MIN(IF(Z$1=0,MthRem,12), MAX(Inputs!$G$157-IF(Z$1=0,0,Z$1*12+MthOff), 0))*Inputs!$B$159</f>
        <v>0</v>
      </c>
      <c r="AB33" s="7">
        <f ca="1">MIN(IF(AA$1=0,MthRem,12), MAX(Inputs!$G$157-IF(AA$1=0,0,AA$1*12+MthOff), 0))*Inputs!$B$159</f>
        <v>0</v>
      </c>
      <c r="AC33" s="7">
        <f ca="1">MIN(IF(AB$1=0,MthRem,12), MAX(Inputs!$G$157-IF(AB$1=0,0,AB$1*12+MthOff), 0))*Inputs!$B$159</f>
        <v>0</v>
      </c>
      <c r="AD33" s="7">
        <f ca="1">MIN(IF(AC$1=0,MthRem,12), MAX(Inputs!$G$157-IF(AC$1=0,0,AC$1*12+MthOff), 0))*Inputs!$B$159</f>
        <v>0</v>
      </c>
      <c r="AE33" s="7">
        <f ca="1">MIN(IF(AD$1=0,MthRem,12), MAX(Inputs!$G$157-IF(AD$1=0,0,AD$1*12+MthOff), 0))*Inputs!$B$159</f>
        <v>0</v>
      </c>
      <c r="AF33" s="7">
        <f ca="1">MIN(IF(AE$1=0,MthRem,12), MAX(Inputs!$G$157-IF(AE$1=0,0,AE$1*12+MthOff), 0))*Inputs!$B$159</f>
        <v>0</v>
      </c>
      <c r="AG33" s="7">
        <f ca="1">MIN(IF(AF$1=0,MthRem,12), MAX(Inputs!$G$157-IF(AF$1=0,0,AF$1*12+MthOff), 0))*Inputs!$B$159</f>
        <v>0</v>
      </c>
      <c r="AH33" s="7">
        <f ca="1">MIN(IF(AG$1=0,MthRem,12), MAX(Inputs!$G$157-IF(AG$1=0,0,AG$1*12+MthOff), 0))*Inputs!$B$159</f>
        <v>0</v>
      </c>
      <c r="AI33" s="7">
        <f ca="1">MIN(IF(AH$1=0,MthRem,12), MAX(Inputs!$G$157-IF(AH$1=0,0,AH$1*12+MthOff), 0))*Inputs!$B$159</f>
        <v>0</v>
      </c>
      <c r="AJ33" s="7">
        <f ca="1">MIN(IF(AI$1=0,MthRem,12), MAX(Inputs!$G$157-IF(AI$1=0,0,AI$1*12+MthOff), 0))*Inputs!$B$159</f>
        <v>0</v>
      </c>
      <c r="AK33" s="7">
        <f ca="1">MIN(IF(AJ$1=0,MthRem,12), MAX(Inputs!$G$157-IF(AJ$1=0,0,AJ$1*12+MthOff), 0))*Inputs!$B$159</f>
        <v>0</v>
      </c>
      <c r="AL33" s="7">
        <f ca="1">MIN(IF(AK$1=0,MthRem,12), MAX(Inputs!$G$157-IF(AK$1=0,0,AK$1*12+MthOff), 0))*Inputs!$B$159</f>
        <v>0</v>
      </c>
      <c r="AM33" s="7">
        <f ca="1">MIN(IF(AL$1=0,MthRem,12), MAX(Inputs!$G$157-IF(AL$1=0,0,AL$1*12+MthOff), 0))*Inputs!$B$159</f>
        <v>0</v>
      </c>
    </row>
    <row r="34" spans="1:39" x14ac:dyDescent="0.2">
      <c r="A34" s="3" t="str">
        <f>TEXT(Inputs!$B$97,"")</f>
        <v>Painting</v>
      </c>
      <c r="C34" s="7">
        <f ca="1">MIN(IF(B$1=0,MthRem,12), MAX(Inputs!$G$162-IF(B$1=0,0,B$1*12+MthOff), 0))*Inputs!$B$164</f>
        <v>1125</v>
      </c>
      <c r="D34" s="7">
        <f ca="1">MIN(IF(C$1=0,MthRem,12), MAX(Inputs!$G$162-IF(C$1=0,0,C$1*12+MthOff), 0))*Inputs!$B$164</f>
        <v>1500</v>
      </c>
      <c r="E34" s="7">
        <f ca="1">MIN(IF(D$1=0,MthRem,12), MAX(Inputs!$G$162-IF(D$1=0,0,D$1*12+MthOff), 0))*Inputs!$B$164</f>
        <v>1500</v>
      </c>
      <c r="F34" s="7">
        <f ca="1">MIN(IF(E$1=0,MthRem,12), MAX(Inputs!$G$162-IF(E$1=0,0,E$1*12+MthOff), 0))*Inputs!$B$164</f>
        <v>1500</v>
      </c>
      <c r="G34" s="7">
        <f ca="1">MIN(IF(F$1=0,MthRem,12), MAX(Inputs!$G$162-IF(F$1=0,0,F$1*12+MthOff), 0))*Inputs!$B$164</f>
        <v>1500</v>
      </c>
      <c r="H34" s="7">
        <f ca="1">MIN(IF(G$1=0,MthRem,12), MAX(Inputs!$G$162-IF(G$1=0,0,G$1*12+MthOff), 0))*Inputs!$B$164</f>
        <v>1500</v>
      </c>
      <c r="I34" s="7">
        <f ca="1">MIN(IF(H$1=0,MthRem,12), MAX(Inputs!$G$162-IF(H$1=0,0,H$1*12+MthOff), 0))*Inputs!$B$164</f>
        <v>23.429842825107627</v>
      </c>
      <c r="J34" s="7">
        <f ca="1">MIN(IF(I$1=0,MthRem,12), MAX(Inputs!$G$162-IF(I$1=0,0,I$1*12+MthOff), 0))*Inputs!$B$164</f>
        <v>0</v>
      </c>
      <c r="K34" s="7">
        <f ca="1">MIN(IF(J$1=0,MthRem,12), MAX(Inputs!$G$162-IF(J$1=0,0,J$1*12+MthOff), 0))*Inputs!$B$164</f>
        <v>0</v>
      </c>
      <c r="L34" s="7">
        <f ca="1">MIN(IF(K$1=0,MthRem,12), MAX(Inputs!$G$162-IF(K$1=0,0,K$1*12+MthOff), 0))*Inputs!$B$164</f>
        <v>0</v>
      </c>
      <c r="M34" s="7">
        <f ca="1">MIN(IF(L$1=0,MthRem,12), MAX(Inputs!$G$162-IF(L$1=0,0,L$1*12+MthOff), 0))*Inputs!$B$164</f>
        <v>0</v>
      </c>
      <c r="N34" s="7">
        <f ca="1">MIN(IF(M$1=0,MthRem,12), MAX(Inputs!$G$162-IF(M$1=0,0,M$1*12+MthOff), 0))*Inputs!$B$164</f>
        <v>0</v>
      </c>
      <c r="O34" s="7">
        <f ca="1">MIN(IF(N$1=0,MthRem,12), MAX(Inputs!$G$162-IF(N$1=0,0,N$1*12+MthOff), 0))*Inputs!$B$164</f>
        <v>0</v>
      </c>
      <c r="P34" s="7">
        <f ca="1">MIN(IF(O$1=0,MthRem,12), MAX(Inputs!$G$162-IF(O$1=0,0,O$1*12+MthOff), 0))*Inputs!$B$164</f>
        <v>0</v>
      </c>
      <c r="Q34" s="7">
        <f ca="1">MIN(IF(P$1=0,MthRem,12), MAX(Inputs!$G$162-IF(P$1=0,0,P$1*12+MthOff), 0))*Inputs!$B$164</f>
        <v>0</v>
      </c>
      <c r="R34" s="7">
        <f ca="1">MIN(IF(Q$1=0,MthRem,12), MAX(Inputs!$G$162-IF(Q$1=0,0,Q$1*12+MthOff), 0))*Inputs!$B$164</f>
        <v>0</v>
      </c>
      <c r="S34" s="7">
        <f ca="1">MIN(IF(R$1=0,MthRem,12), MAX(Inputs!$G$162-IF(R$1=0,0,R$1*12+MthOff), 0))*Inputs!$B$164</f>
        <v>0</v>
      </c>
      <c r="T34" s="7">
        <f ca="1">MIN(IF(S$1=0,MthRem,12), MAX(Inputs!$G$162-IF(S$1=0,0,S$1*12+MthOff), 0))*Inputs!$B$164</f>
        <v>0</v>
      </c>
      <c r="U34" s="7">
        <f ca="1">MIN(IF(T$1=0,MthRem,12), MAX(Inputs!$G$162-IF(T$1=0,0,T$1*12+MthOff), 0))*Inputs!$B$164</f>
        <v>0</v>
      </c>
      <c r="V34" s="7">
        <f ca="1">MIN(IF(U$1=0,MthRem,12), MAX(Inputs!$G$162-IF(U$1=0,0,U$1*12+MthOff), 0))*Inputs!$B$164</f>
        <v>0</v>
      </c>
      <c r="W34" s="7">
        <f ca="1">MIN(IF(V$1=0,MthRem,12), MAX(Inputs!$G$162-IF(V$1=0,0,V$1*12+MthOff), 0))*Inputs!$B$164</f>
        <v>0</v>
      </c>
      <c r="X34" s="7">
        <f ca="1">MIN(IF(W$1=0,MthRem,12), MAX(Inputs!$G$162-IF(W$1=0,0,W$1*12+MthOff), 0))*Inputs!$B$164</f>
        <v>0</v>
      </c>
      <c r="Y34" s="7">
        <f ca="1">MIN(IF(X$1=0,MthRem,12), MAX(Inputs!$G$162-IF(X$1=0,0,X$1*12+MthOff), 0))*Inputs!$B$164</f>
        <v>0</v>
      </c>
      <c r="Z34" s="7">
        <f ca="1">MIN(IF(Y$1=0,MthRem,12), MAX(Inputs!$G$162-IF(Y$1=0,0,Y$1*12+MthOff), 0))*Inputs!$B$164</f>
        <v>0</v>
      </c>
      <c r="AA34" s="7">
        <f ca="1">MIN(IF(Z$1=0,MthRem,12), MAX(Inputs!$G$162-IF(Z$1=0,0,Z$1*12+MthOff), 0))*Inputs!$B$164</f>
        <v>0</v>
      </c>
      <c r="AB34" s="7">
        <f ca="1">MIN(IF(AA$1=0,MthRem,12), MAX(Inputs!$G$162-IF(AA$1=0,0,AA$1*12+MthOff), 0))*Inputs!$B$164</f>
        <v>0</v>
      </c>
      <c r="AC34" s="7">
        <f ca="1">MIN(IF(AB$1=0,MthRem,12), MAX(Inputs!$G$162-IF(AB$1=0,0,AB$1*12+MthOff), 0))*Inputs!$B$164</f>
        <v>0</v>
      </c>
      <c r="AD34" s="7">
        <f ca="1">MIN(IF(AC$1=0,MthRem,12), MAX(Inputs!$G$162-IF(AC$1=0,0,AC$1*12+MthOff), 0))*Inputs!$B$164</f>
        <v>0</v>
      </c>
      <c r="AE34" s="7">
        <f ca="1">MIN(IF(AD$1=0,MthRem,12), MAX(Inputs!$G$162-IF(AD$1=0,0,AD$1*12+MthOff), 0))*Inputs!$B$164</f>
        <v>0</v>
      </c>
      <c r="AF34" s="7">
        <f ca="1">MIN(IF(AE$1=0,MthRem,12), MAX(Inputs!$G$162-IF(AE$1=0,0,AE$1*12+MthOff), 0))*Inputs!$B$164</f>
        <v>0</v>
      </c>
      <c r="AG34" s="7">
        <f ca="1">MIN(IF(AF$1=0,MthRem,12), MAX(Inputs!$G$162-IF(AF$1=0,0,AF$1*12+MthOff), 0))*Inputs!$B$164</f>
        <v>0</v>
      </c>
      <c r="AH34" s="7">
        <f ca="1">MIN(IF(AG$1=0,MthRem,12), MAX(Inputs!$G$162-IF(AG$1=0,0,AG$1*12+MthOff), 0))*Inputs!$B$164</f>
        <v>0</v>
      </c>
      <c r="AI34" s="7">
        <f ca="1">MIN(IF(AH$1=0,MthRem,12), MAX(Inputs!$G$162-IF(AH$1=0,0,AH$1*12+MthOff), 0))*Inputs!$B$164</f>
        <v>0</v>
      </c>
      <c r="AJ34" s="7">
        <f ca="1">MIN(IF(AI$1=0,MthRem,12), MAX(Inputs!$G$162-IF(AI$1=0,0,AI$1*12+MthOff), 0))*Inputs!$B$164</f>
        <v>0</v>
      </c>
      <c r="AK34" s="7">
        <f ca="1">MIN(IF(AJ$1=0,MthRem,12), MAX(Inputs!$G$162-IF(AJ$1=0,0,AJ$1*12+MthOff), 0))*Inputs!$B$164</f>
        <v>0</v>
      </c>
      <c r="AL34" s="7">
        <f ca="1">MIN(IF(AK$1=0,MthRem,12), MAX(Inputs!$G$162-IF(AK$1=0,0,AK$1*12+MthOff), 0))*Inputs!$B$164</f>
        <v>0</v>
      </c>
      <c r="AM34" s="7">
        <f ca="1">MIN(IF(AL$1=0,MthRem,12), MAX(Inputs!$G$162-IF(AL$1=0,0,AL$1*12+MthOff), 0))*Inputs!$B$164</f>
        <v>0</v>
      </c>
    </row>
    <row r="35" spans="1:39" x14ac:dyDescent="0.2">
      <c r="A35" s="3" t="str">
        <f>TEXT(Inputs!$B$102,"")</f>
        <v>Boat</v>
      </c>
      <c r="C35" s="7">
        <f ca="1">MIN(IF(B$1=0,MthRem,12), MAX(Inputs!$G$167-IF(B$1=0,0,B$1*12+MthOff), 0))*Inputs!$B$169</f>
        <v>5616</v>
      </c>
      <c r="D35" s="7">
        <f ca="1">MIN(IF(C$1=0,MthRem,12), MAX(Inputs!$G$167-IF(C$1=0,0,C$1*12+MthOff), 0))*Inputs!$B$169</f>
        <v>7488</v>
      </c>
      <c r="E35" s="7">
        <f ca="1">MIN(IF(D$1=0,MthRem,12), MAX(Inputs!$G$167-IF(D$1=0,0,D$1*12+MthOff), 0))*Inputs!$B$169</f>
        <v>7488</v>
      </c>
      <c r="F35" s="7">
        <f ca="1">MIN(IF(E$1=0,MthRem,12), MAX(Inputs!$G$167-IF(E$1=0,0,E$1*12+MthOff), 0))*Inputs!$B$169</f>
        <v>7488</v>
      </c>
      <c r="G35" s="7">
        <f ca="1">MIN(IF(F$1=0,MthRem,12), MAX(Inputs!$G$167-IF(F$1=0,0,F$1*12+MthOff), 0))*Inputs!$B$169</f>
        <v>7488</v>
      </c>
      <c r="H35" s="7">
        <f ca="1">MIN(IF(G$1=0,MthRem,12), MAX(Inputs!$G$167-IF(G$1=0,0,G$1*12+MthOff), 0))*Inputs!$B$169</f>
        <v>7488</v>
      </c>
      <c r="I35" s="7">
        <f ca="1">MIN(IF(H$1=0,MthRem,12), MAX(Inputs!$G$167-IF(H$1=0,0,H$1*12+MthOff), 0))*Inputs!$B$169</f>
        <v>5289.2926184371663</v>
      </c>
      <c r="J35" s="7">
        <f ca="1">MIN(IF(I$1=0,MthRem,12), MAX(Inputs!$G$167-IF(I$1=0,0,I$1*12+MthOff), 0))*Inputs!$B$169</f>
        <v>0</v>
      </c>
      <c r="K35" s="7">
        <f ca="1">MIN(IF(J$1=0,MthRem,12), MAX(Inputs!$G$167-IF(J$1=0,0,J$1*12+MthOff), 0))*Inputs!$B$169</f>
        <v>0</v>
      </c>
      <c r="L35" s="7">
        <f ca="1">MIN(IF(K$1=0,MthRem,12), MAX(Inputs!$G$167-IF(K$1=0,0,K$1*12+MthOff), 0))*Inputs!$B$169</f>
        <v>0</v>
      </c>
      <c r="M35" s="7">
        <f ca="1">MIN(IF(L$1=0,MthRem,12), MAX(Inputs!$G$167-IF(L$1=0,0,L$1*12+MthOff), 0))*Inputs!$B$169</f>
        <v>0</v>
      </c>
      <c r="N35" s="7">
        <f ca="1">MIN(IF(M$1=0,MthRem,12), MAX(Inputs!$G$167-IF(M$1=0,0,M$1*12+MthOff), 0))*Inputs!$B$169</f>
        <v>0</v>
      </c>
      <c r="O35" s="7">
        <f ca="1">MIN(IF(N$1=0,MthRem,12), MAX(Inputs!$G$167-IF(N$1=0,0,N$1*12+MthOff), 0))*Inputs!$B$169</f>
        <v>0</v>
      </c>
      <c r="P35" s="7">
        <f ca="1">MIN(IF(O$1=0,MthRem,12), MAX(Inputs!$G$167-IF(O$1=0,0,O$1*12+MthOff), 0))*Inputs!$B$169</f>
        <v>0</v>
      </c>
      <c r="Q35" s="7">
        <f ca="1">MIN(IF(P$1=0,MthRem,12), MAX(Inputs!$G$167-IF(P$1=0,0,P$1*12+MthOff), 0))*Inputs!$B$169</f>
        <v>0</v>
      </c>
      <c r="R35" s="7">
        <f ca="1">MIN(IF(Q$1=0,MthRem,12), MAX(Inputs!$G$167-IF(Q$1=0,0,Q$1*12+MthOff), 0))*Inputs!$B$169</f>
        <v>0</v>
      </c>
      <c r="S35" s="7">
        <f ca="1">MIN(IF(R$1=0,MthRem,12), MAX(Inputs!$G$167-IF(R$1=0,0,R$1*12+MthOff), 0))*Inputs!$B$169</f>
        <v>0</v>
      </c>
      <c r="T35" s="7">
        <f ca="1">MIN(IF(S$1=0,MthRem,12), MAX(Inputs!$G$167-IF(S$1=0,0,S$1*12+MthOff), 0))*Inputs!$B$169</f>
        <v>0</v>
      </c>
      <c r="U35" s="7">
        <f ca="1">MIN(IF(T$1=0,MthRem,12), MAX(Inputs!$G$167-IF(T$1=0,0,T$1*12+MthOff), 0))*Inputs!$B$169</f>
        <v>0</v>
      </c>
      <c r="V35" s="7">
        <f ca="1">MIN(IF(U$1=0,MthRem,12), MAX(Inputs!$G$167-IF(U$1=0,0,U$1*12+MthOff), 0))*Inputs!$B$169</f>
        <v>0</v>
      </c>
      <c r="W35" s="7">
        <f ca="1">MIN(IF(V$1=0,MthRem,12), MAX(Inputs!$G$167-IF(V$1=0,0,V$1*12+MthOff), 0))*Inputs!$B$169</f>
        <v>0</v>
      </c>
      <c r="X35" s="7">
        <f ca="1">MIN(IF(W$1=0,MthRem,12), MAX(Inputs!$G$167-IF(W$1=0,0,W$1*12+MthOff), 0))*Inputs!$B$169</f>
        <v>0</v>
      </c>
      <c r="Y35" s="7">
        <f ca="1">MIN(IF(X$1=0,MthRem,12), MAX(Inputs!$G$167-IF(X$1=0,0,X$1*12+MthOff), 0))*Inputs!$B$169</f>
        <v>0</v>
      </c>
      <c r="Z35" s="7">
        <f ca="1">MIN(IF(Y$1=0,MthRem,12), MAX(Inputs!$G$167-IF(Y$1=0,0,Y$1*12+MthOff), 0))*Inputs!$B$169</f>
        <v>0</v>
      </c>
      <c r="AA35" s="7">
        <f ca="1">MIN(IF(Z$1=0,MthRem,12), MAX(Inputs!$G$167-IF(Z$1=0,0,Z$1*12+MthOff), 0))*Inputs!$B$169</f>
        <v>0</v>
      </c>
      <c r="AB35" s="7">
        <f ca="1">MIN(IF(AA$1=0,MthRem,12), MAX(Inputs!$G$167-IF(AA$1=0,0,AA$1*12+MthOff), 0))*Inputs!$B$169</f>
        <v>0</v>
      </c>
      <c r="AC35" s="7">
        <f ca="1">MIN(IF(AB$1=0,MthRem,12), MAX(Inputs!$G$167-IF(AB$1=0,0,AB$1*12+MthOff), 0))*Inputs!$B$169</f>
        <v>0</v>
      </c>
      <c r="AD35" s="7">
        <f ca="1">MIN(IF(AC$1=0,MthRem,12), MAX(Inputs!$G$167-IF(AC$1=0,0,AC$1*12+MthOff), 0))*Inputs!$B$169</f>
        <v>0</v>
      </c>
      <c r="AE35" s="7">
        <f ca="1">MIN(IF(AD$1=0,MthRem,12), MAX(Inputs!$G$167-IF(AD$1=0,0,AD$1*12+MthOff), 0))*Inputs!$B$169</f>
        <v>0</v>
      </c>
      <c r="AF35" s="7">
        <f ca="1">MIN(IF(AE$1=0,MthRem,12), MAX(Inputs!$G$167-IF(AE$1=0,0,AE$1*12+MthOff), 0))*Inputs!$B$169</f>
        <v>0</v>
      </c>
      <c r="AG35" s="7">
        <f ca="1">MIN(IF(AF$1=0,MthRem,12), MAX(Inputs!$G$167-IF(AF$1=0,0,AF$1*12+MthOff), 0))*Inputs!$B$169</f>
        <v>0</v>
      </c>
      <c r="AH35" s="7">
        <f ca="1">MIN(IF(AG$1=0,MthRem,12), MAX(Inputs!$G$167-IF(AG$1=0,0,AG$1*12+MthOff), 0))*Inputs!$B$169</f>
        <v>0</v>
      </c>
      <c r="AI35" s="7">
        <f ca="1">MIN(IF(AH$1=0,MthRem,12), MAX(Inputs!$G$167-IF(AH$1=0,0,AH$1*12+MthOff), 0))*Inputs!$B$169</f>
        <v>0</v>
      </c>
      <c r="AJ35" s="7">
        <f ca="1">MIN(IF(AI$1=0,MthRem,12), MAX(Inputs!$G$167-IF(AI$1=0,0,AI$1*12+MthOff), 0))*Inputs!$B$169</f>
        <v>0</v>
      </c>
      <c r="AK35" s="7">
        <f ca="1">MIN(IF(AJ$1=0,MthRem,12), MAX(Inputs!$G$167-IF(AJ$1=0,0,AJ$1*12+MthOff), 0))*Inputs!$B$169</f>
        <v>0</v>
      </c>
      <c r="AL35" s="7">
        <f ca="1">MIN(IF(AK$1=0,MthRem,12), MAX(Inputs!$G$167-IF(AK$1=0,0,AK$1*12+MthOff), 0))*Inputs!$B$169</f>
        <v>0</v>
      </c>
      <c r="AM35" s="7">
        <f ca="1">MIN(IF(AL$1=0,MthRem,12), MAX(Inputs!$G$167-IF(AL$1=0,0,AL$1*12+MthOff), 0))*Inputs!$B$169</f>
        <v>0</v>
      </c>
    </row>
    <row r="36" spans="1:39" x14ac:dyDescent="0.2">
      <c r="A36" s="3" t="str">
        <f>TEXT(Inputs!$B$107,"")</f>
        <v>Antiques</v>
      </c>
      <c r="C36" s="7">
        <f ca="1">MIN(IF(B$1=0,MthRem,12), MAX(Inputs!$G$172-IF(B$1=0,0,B$1*12+MthOff), 0))*Inputs!$B$174</f>
        <v>990</v>
      </c>
      <c r="D36" s="7">
        <f ca="1">MIN(IF(C$1=0,MthRem,12), MAX(Inputs!$G$172-IF(C$1=0,0,C$1*12+MthOff), 0))*Inputs!$B$174</f>
        <v>1320</v>
      </c>
      <c r="E36" s="7">
        <f ca="1">MIN(IF(D$1=0,MthRem,12), MAX(Inputs!$G$172-IF(D$1=0,0,D$1*12+MthOff), 0))*Inputs!$B$174</f>
        <v>1320</v>
      </c>
      <c r="F36" s="7">
        <f ca="1">MIN(IF(E$1=0,MthRem,12), MAX(Inputs!$G$172-IF(E$1=0,0,E$1*12+MthOff), 0))*Inputs!$B$174</f>
        <v>349.16176270026983</v>
      </c>
      <c r="G36" s="7">
        <f ca="1">MIN(IF(F$1=0,MthRem,12), MAX(Inputs!$G$172-IF(F$1=0,0,F$1*12+MthOff), 0))*Inputs!$B$174</f>
        <v>0</v>
      </c>
      <c r="H36" s="7">
        <f ca="1">MIN(IF(G$1=0,MthRem,12), MAX(Inputs!$G$172-IF(G$1=0,0,G$1*12+MthOff), 0))*Inputs!$B$174</f>
        <v>0</v>
      </c>
      <c r="I36" s="7">
        <f ca="1">MIN(IF(H$1=0,MthRem,12), MAX(Inputs!$G$172-IF(H$1=0,0,H$1*12+MthOff), 0))*Inputs!$B$174</f>
        <v>0</v>
      </c>
      <c r="J36" s="7">
        <f ca="1">MIN(IF(I$1=0,MthRem,12), MAX(Inputs!$G$172-IF(I$1=0,0,I$1*12+MthOff), 0))*Inputs!$B$174</f>
        <v>0</v>
      </c>
      <c r="K36" s="7">
        <f ca="1">MIN(IF(J$1=0,MthRem,12), MAX(Inputs!$G$172-IF(J$1=0,0,J$1*12+MthOff), 0))*Inputs!$B$174</f>
        <v>0</v>
      </c>
      <c r="L36" s="7">
        <f ca="1">MIN(IF(K$1=0,MthRem,12), MAX(Inputs!$G$172-IF(K$1=0,0,K$1*12+MthOff), 0))*Inputs!$B$174</f>
        <v>0</v>
      </c>
      <c r="M36" s="7">
        <f ca="1">MIN(IF(L$1=0,MthRem,12), MAX(Inputs!$G$172-IF(L$1=0,0,L$1*12+MthOff), 0))*Inputs!$B$174</f>
        <v>0</v>
      </c>
      <c r="N36" s="7">
        <f ca="1">MIN(IF(M$1=0,MthRem,12), MAX(Inputs!$G$172-IF(M$1=0,0,M$1*12+MthOff), 0))*Inputs!$B$174</f>
        <v>0</v>
      </c>
      <c r="O36" s="7">
        <f ca="1">MIN(IF(N$1=0,MthRem,12), MAX(Inputs!$G$172-IF(N$1=0,0,N$1*12+MthOff), 0))*Inputs!$B$174</f>
        <v>0</v>
      </c>
      <c r="P36" s="7">
        <f ca="1">MIN(IF(O$1=0,MthRem,12), MAX(Inputs!$G$172-IF(O$1=0,0,O$1*12+MthOff), 0))*Inputs!$B$174</f>
        <v>0</v>
      </c>
      <c r="Q36" s="7">
        <f ca="1">MIN(IF(P$1=0,MthRem,12), MAX(Inputs!$G$172-IF(P$1=0,0,P$1*12+MthOff), 0))*Inputs!$B$174</f>
        <v>0</v>
      </c>
      <c r="R36" s="7">
        <f ca="1">MIN(IF(Q$1=0,MthRem,12), MAX(Inputs!$G$172-IF(Q$1=0,0,Q$1*12+MthOff), 0))*Inputs!$B$174</f>
        <v>0</v>
      </c>
      <c r="S36" s="7">
        <f ca="1">MIN(IF(R$1=0,MthRem,12), MAX(Inputs!$G$172-IF(R$1=0,0,R$1*12+MthOff), 0))*Inputs!$B$174</f>
        <v>0</v>
      </c>
      <c r="T36" s="7">
        <f ca="1">MIN(IF(S$1=0,MthRem,12), MAX(Inputs!$G$172-IF(S$1=0,0,S$1*12+MthOff), 0))*Inputs!$B$174</f>
        <v>0</v>
      </c>
      <c r="U36" s="7">
        <f ca="1">MIN(IF(T$1=0,MthRem,12), MAX(Inputs!$G$172-IF(T$1=0,0,T$1*12+MthOff), 0))*Inputs!$B$174</f>
        <v>0</v>
      </c>
      <c r="V36" s="7">
        <f ca="1">MIN(IF(U$1=0,MthRem,12), MAX(Inputs!$G$172-IF(U$1=0,0,U$1*12+MthOff), 0))*Inputs!$B$174</f>
        <v>0</v>
      </c>
      <c r="W36" s="7">
        <f ca="1">MIN(IF(V$1=0,MthRem,12), MAX(Inputs!$G$172-IF(V$1=0,0,V$1*12+MthOff), 0))*Inputs!$B$174</f>
        <v>0</v>
      </c>
      <c r="X36" s="7">
        <f ca="1">MIN(IF(W$1=0,MthRem,12), MAX(Inputs!$G$172-IF(W$1=0,0,W$1*12+MthOff), 0))*Inputs!$B$174</f>
        <v>0</v>
      </c>
      <c r="Y36" s="7">
        <f ca="1">MIN(IF(X$1=0,MthRem,12), MAX(Inputs!$G$172-IF(X$1=0,0,X$1*12+MthOff), 0))*Inputs!$B$174</f>
        <v>0</v>
      </c>
      <c r="Z36" s="7">
        <f ca="1">MIN(IF(Y$1=0,MthRem,12), MAX(Inputs!$G$172-IF(Y$1=0,0,Y$1*12+MthOff), 0))*Inputs!$B$174</f>
        <v>0</v>
      </c>
      <c r="AA36" s="7">
        <f ca="1">MIN(IF(Z$1=0,MthRem,12), MAX(Inputs!$G$172-IF(Z$1=0,0,Z$1*12+MthOff), 0))*Inputs!$B$174</f>
        <v>0</v>
      </c>
      <c r="AB36" s="7">
        <f ca="1">MIN(IF(AA$1=0,MthRem,12), MAX(Inputs!$G$172-IF(AA$1=0,0,AA$1*12+MthOff), 0))*Inputs!$B$174</f>
        <v>0</v>
      </c>
      <c r="AC36" s="7">
        <f ca="1">MIN(IF(AB$1=0,MthRem,12), MAX(Inputs!$G$172-IF(AB$1=0,0,AB$1*12+MthOff), 0))*Inputs!$B$174</f>
        <v>0</v>
      </c>
      <c r="AD36" s="7">
        <f ca="1">MIN(IF(AC$1=0,MthRem,12), MAX(Inputs!$G$172-IF(AC$1=0,0,AC$1*12+MthOff), 0))*Inputs!$B$174</f>
        <v>0</v>
      </c>
      <c r="AE36" s="7">
        <f ca="1">MIN(IF(AD$1=0,MthRem,12), MAX(Inputs!$G$172-IF(AD$1=0,0,AD$1*12+MthOff), 0))*Inputs!$B$174</f>
        <v>0</v>
      </c>
      <c r="AF36" s="7">
        <f ca="1">MIN(IF(AE$1=0,MthRem,12), MAX(Inputs!$G$172-IF(AE$1=0,0,AE$1*12+MthOff), 0))*Inputs!$B$174</f>
        <v>0</v>
      </c>
      <c r="AG36" s="7">
        <f ca="1">MIN(IF(AF$1=0,MthRem,12), MAX(Inputs!$G$172-IF(AF$1=0,0,AF$1*12+MthOff), 0))*Inputs!$B$174</f>
        <v>0</v>
      </c>
      <c r="AH36" s="7">
        <f ca="1">MIN(IF(AG$1=0,MthRem,12), MAX(Inputs!$G$172-IF(AG$1=0,0,AG$1*12+MthOff), 0))*Inputs!$B$174</f>
        <v>0</v>
      </c>
      <c r="AI36" s="7">
        <f ca="1">MIN(IF(AH$1=0,MthRem,12), MAX(Inputs!$G$172-IF(AH$1=0,0,AH$1*12+MthOff), 0))*Inputs!$B$174</f>
        <v>0</v>
      </c>
      <c r="AJ36" s="7">
        <f ca="1">MIN(IF(AI$1=0,MthRem,12), MAX(Inputs!$G$172-IF(AI$1=0,0,AI$1*12+MthOff), 0))*Inputs!$B$174</f>
        <v>0</v>
      </c>
      <c r="AK36" s="7">
        <f ca="1">MIN(IF(AJ$1=0,MthRem,12), MAX(Inputs!$G$172-IF(AJ$1=0,0,AJ$1*12+MthOff), 0))*Inputs!$B$174</f>
        <v>0</v>
      </c>
      <c r="AL36" s="7">
        <f ca="1">MIN(IF(AK$1=0,MthRem,12), MAX(Inputs!$G$172-IF(AK$1=0,0,AK$1*12+MthOff), 0))*Inputs!$B$174</f>
        <v>0</v>
      </c>
      <c r="AM36" s="7">
        <f ca="1">MIN(IF(AL$1=0,MthRem,12), MAX(Inputs!$G$172-IF(AL$1=0,0,AL$1*12+MthOff), 0))*Inputs!$B$174</f>
        <v>0</v>
      </c>
    </row>
    <row r="37" spans="1:39" x14ac:dyDescent="0.2">
      <c r="A37" s="4" t="s">
        <v>34</v>
      </c>
      <c r="C37" s="7">
        <f ca="1">MIN(IF(B$1=0,MthRem,12), MAX(Inputs!$G$177-IF(B$1=0,0,B$1*12+MthOff), 0))*Inputs!$B$179</f>
        <v>450</v>
      </c>
      <c r="D37" s="7">
        <f ca="1">MIN(IF(C$1=0,MthRem,12), MAX(Inputs!$G$177-IF(C$1=0,0,C$1*12+MthOff), 0))*Inputs!$B$179</f>
        <v>600</v>
      </c>
      <c r="E37" s="7">
        <f ca="1">MIN(IF(D$1=0,MthRem,12), MAX(Inputs!$G$177-IF(D$1=0,0,D$1*12+MthOff), 0))*Inputs!$B$179</f>
        <v>600</v>
      </c>
      <c r="F37" s="7">
        <f ca="1">MIN(IF(E$1=0,MthRem,12), MAX(Inputs!$G$177-IF(E$1=0,0,E$1*12+MthOff), 0))*Inputs!$B$179</f>
        <v>600</v>
      </c>
      <c r="G37" s="7">
        <f ca="1">MIN(IF(F$1=0,MthRem,12), MAX(Inputs!$G$177-IF(F$1=0,0,F$1*12+MthOff), 0))*Inputs!$B$179</f>
        <v>600</v>
      </c>
      <c r="H37" s="7">
        <f ca="1">MIN(IF(G$1=0,MthRem,12), MAX(Inputs!$G$177-IF(G$1=0,0,G$1*12+MthOff), 0))*Inputs!$B$179</f>
        <v>600</v>
      </c>
      <c r="I37" s="7">
        <f ca="1">MIN(IF(H$1=0,MthRem,12), MAX(Inputs!$G$177-IF(H$1=0,0,H$1*12+MthOff), 0))*Inputs!$B$179</f>
        <v>600</v>
      </c>
      <c r="J37" s="7">
        <f ca="1">MIN(IF(I$1=0,MthRem,12), MAX(Inputs!$G$177-IF(I$1=0,0,I$1*12+MthOff), 0))*Inputs!$B$179</f>
        <v>600</v>
      </c>
      <c r="K37" s="7">
        <f ca="1">MIN(IF(J$1=0,MthRem,12), MAX(Inputs!$G$177-IF(J$1=0,0,J$1*12+MthOff), 0))*Inputs!$B$179</f>
        <v>471.016262575219</v>
      </c>
      <c r="L37" s="7">
        <f ca="1">MIN(IF(K$1=0,MthRem,12), MAX(Inputs!$G$177-IF(K$1=0,0,K$1*12+MthOff), 0))*Inputs!$B$179</f>
        <v>0</v>
      </c>
      <c r="M37" s="7">
        <f ca="1">MIN(IF(L$1=0,MthRem,12), MAX(Inputs!$G$177-IF(L$1=0,0,L$1*12+MthOff), 0))*Inputs!$B$179</f>
        <v>0</v>
      </c>
      <c r="N37" s="7">
        <f ca="1">MIN(IF(M$1=0,MthRem,12), MAX(Inputs!$G$177-IF(M$1=0,0,M$1*12+MthOff), 0))*Inputs!$B$179</f>
        <v>0</v>
      </c>
      <c r="O37" s="7">
        <f ca="1">MIN(IF(N$1=0,MthRem,12), MAX(Inputs!$G$177-IF(N$1=0,0,N$1*12+MthOff), 0))*Inputs!$B$179</f>
        <v>0</v>
      </c>
      <c r="P37" s="7">
        <f ca="1">MIN(IF(O$1=0,MthRem,12), MAX(Inputs!$G$177-IF(O$1=0,0,O$1*12+MthOff), 0))*Inputs!$B$179</f>
        <v>0</v>
      </c>
      <c r="Q37" s="7">
        <f ca="1">MIN(IF(P$1=0,MthRem,12), MAX(Inputs!$G$177-IF(P$1=0,0,P$1*12+MthOff), 0))*Inputs!$B$179</f>
        <v>0</v>
      </c>
      <c r="R37" s="7">
        <f ca="1">MIN(IF(Q$1=0,MthRem,12), MAX(Inputs!$G$177-IF(Q$1=0,0,Q$1*12+MthOff), 0))*Inputs!$B$179</f>
        <v>0</v>
      </c>
      <c r="S37" s="7">
        <f ca="1">MIN(IF(R$1=0,MthRem,12), MAX(Inputs!$G$177-IF(R$1=0,0,R$1*12+MthOff), 0))*Inputs!$B$179</f>
        <v>0</v>
      </c>
      <c r="T37" s="7">
        <f ca="1">MIN(IF(S$1=0,MthRem,12), MAX(Inputs!$G$177-IF(S$1=0,0,S$1*12+MthOff), 0))*Inputs!$B$179</f>
        <v>0</v>
      </c>
      <c r="U37" s="7">
        <f ca="1">MIN(IF(T$1=0,MthRem,12), MAX(Inputs!$G$177-IF(T$1=0,0,T$1*12+MthOff), 0))*Inputs!$B$179</f>
        <v>0</v>
      </c>
      <c r="V37" s="7">
        <f ca="1">MIN(IF(U$1=0,MthRem,12), MAX(Inputs!$G$177-IF(U$1=0,0,U$1*12+MthOff), 0))*Inputs!$B$179</f>
        <v>0</v>
      </c>
      <c r="W37" s="7">
        <f ca="1">MIN(IF(V$1=0,MthRem,12), MAX(Inputs!$G$177-IF(V$1=0,0,V$1*12+MthOff), 0))*Inputs!$B$179</f>
        <v>0</v>
      </c>
      <c r="X37" s="7">
        <f ca="1">MIN(IF(W$1=0,MthRem,12), MAX(Inputs!$G$177-IF(W$1=0,0,W$1*12+MthOff), 0))*Inputs!$B$179</f>
        <v>0</v>
      </c>
      <c r="Y37" s="7">
        <f ca="1">MIN(IF(X$1=0,MthRem,12), MAX(Inputs!$G$177-IF(X$1=0,0,X$1*12+MthOff), 0))*Inputs!$B$179</f>
        <v>0</v>
      </c>
      <c r="Z37" s="7">
        <f ca="1">MIN(IF(Y$1=0,MthRem,12), MAX(Inputs!$G$177-IF(Y$1=0,0,Y$1*12+MthOff), 0))*Inputs!$B$179</f>
        <v>0</v>
      </c>
      <c r="AA37" s="7">
        <f ca="1">MIN(IF(Z$1=0,MthRem,12), MAX(Inputs!$G$177-IF(Z$1=0,0,Z$1*12+MthOff), 0))*Inputs!$B$179</f>
        <v>0</v>
      </c>
      <c r="AB37" s="7">
        <f ca="1">MIN(IF(AA$1=0,MthRem,12), MAX(Inputs!$G$177-IF(AA$1=0,0,AA$1*12+MthOff), 0))*Inputs!$B$179</f>
        <v>0</v>
      </c>
      <c r="AC37" s="7">
        <f ca="1">MIN(IF(AB$1=0,MthRem,12), MAX(Inputs!$G$177-IF(AB$1=0,0,AB$1*12+MthOff), 0))*Inputs!$B$179</f>
        <v>0</v>
      </c>
      <c r="AD37" s="7">
        <f ca="1">MIN(IF(AC$1=0,MthRem,12), MAX(Inputs!$G$177-IF(AC$1=0,0,AC$1*12+MthOff), 0))*Inputs!$B$179</f>
        <v>0</v>
      </c>
      <c r="AE37" s="7">
        <f ca="1">MIN(IF(AD$1=0,MthRem,12), MAX(Inputs!$G$177-IF(AD$1=0,0,AD$1*12+MthOff), 0))*Inputs!$B$179</f>
        <v>0</v>
      </c>
      <c r="AF37" s="7">
        <f ca="1">MIN(IF(AE$1=0,MthRem,12), MAX(Inputs!$G$177-IF(AE$1=0,0,AE$1*12+MthOff), 0))*Inputs!$B$179</f>
        <v>0</v>
      </c>
      <c r="AG37" s="7">
        <f ca="1">MIN(IF(AF$1=0,MthRem,12), MAX(Inputs!$G$177-IF(AF$1=0,0,AF$1*12+MthOff), 0))*Inputs!$B$179</f>
        <v>0</v>
      </c>
      <c r="AH37" s="7">
        <f ca="1">MIN(IF(AG$1=0,MthRem,12), MAX(Inputs!$G$177-IF(AG$1=0,0,AG$1*12+MthOff), 0))*Inputs!$B$179</f>
        <v>0</v>
      </c>
      <c r="AI37" s="7">
        <f ca="1">MIN(IF(AH$1=0,MthRem,12), MAX(Inputs!$G$177-IF(AH$1=0,0,AH$1*12+MthOff), 0))*Inputs!$B$179</f>
        <v>0</v>
      </c>
      <c r="AJ37" s="7">
        <f ca="1">MIN(IF(AI$1=0,MthRem,12), MAX(Inputs!$G$177-IF(AI$1=0,0,AI$1*12+MthOff), 0))*Inputs!$B$179</f>
        <v>0</v>
      </c>
      <c r="AK37" s="7">
        <f ca="1">MIN(IF(AJ$1=0,MthRem,12), MAX(Inputs!$G$177-IF(AJ$1=0,0,AJ$1*12+MthOff), 0))*Inputs!$B$179</f>
        <v>0</v>
      </c>
      <c r="AL37" s="7">
        <f ca="1">MIN(IF(AK$1=0,MthRem,12), MAX(Inputs!$G$177-IF(AK$1=0,0,AK$1*12+MthOff), 0))*Inputs!$B$179</f>
        <v>0</v>
      </c>
      <c r="AM37" s="7">
        <f ca="1">MIN(IF(AL$1=0,MthRem,12), MAX(Inputs!$G$177-IF(AL$1=0,0,AL$1*12+MthOff), 0))*Inputs!$B$179</f>
        <v>0</v>
      </c>
    </row>
    <row r="38" spans="1:39" x14ac:dyDescent="0.2">
      <c r="A38" s="4" t="s">
        <v>51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</row>
    <row r="39" spans="1:39" x14ac:dyDescent="0.2">
      <c r="A39" s="3" t="str">
        <f>TEXT(Inputs!B33,"")</f>
        <v>John</v>
      </c>
      <c r="B39" s="8"/>
      <c r="C39" s="7">
        <f ca="1">IF(Inputs!$B$35&gt;=C$1,Inputs!$B$34,0)*(1+inf)^B$1*ProRate</f>
        <v>1500</v>
      </c>
      <c r="D39" s="7">
        <f>IF(Inputs!$B$35&gt;=D$1,Inputs!$B$34,0)*(1+inf)^C$1</f>
        <v>2050</v>
      </c>
      <c r="E39" s="7">
        <f>IF(Inputs!$B$35&gt;=E$1,Inputs!$B$34,0)*(1+inf)^D$1</f>
        <v>2101.25</v>
      </c>
      <c r="F39" s="7">
        <f>IF(Inputs!$B$35&gt;=F$1,Inputs!$B$34,0)*(1+inf)^E$1</f>
        <v>0</v>
      </c>
      <c r="G39" s="7">
        <f>IF(Inputs!$B$35&gt;=G$1,Inputs!$B$34,0)*(1+inf)^F$1</f>
        <v>0</v>
      </c>
      <c r="H39" s="7">
        <f>IF(Inputs!$B$35&gt;=H$1,Inputs!$B$34,0)*(1+inf)^G$1</f>
        <v>0</v>
      </c>
      <c r="I39" s="7">
        <f>IF(Inputs!$B$35&gt;=I$1,Inputs!$B$34,0)*(1+inf)^H$1</f>
        <v>0</v>
      </c>
      <c r="J39" s="7">
        <f>IF(Inputs!$B$35&gt;=J$1,Inputs!$B$34,0)*(1+inf)^I$1</f>
        <v>0</v>
      </c>
      <c r="K39" s="7">
        <f>IF(Inputs!$B$35&gt;=K$1,Inputs!$B$34,0)*(1+inf)^J$1</f>
        <v>0</v>
      </c>
      <c r="L39" s="7">
        <f>IF(Inputs!$B$35&gt;=L$1,Inputs!$B$34,0)*(1+inf)^K$1</f>
        <v>0</v>
      </c>
      <c r="M39" s="7">
        <f>IF(Inputs!$B$35&gt;=M$1,Inputs!$B$34,0)*(1+inf)^L$1</f>
        <v>0</v>
      </c>
      <c r="N39" s="7">
        <f>IF(Inputs!$B$35&gt;=N$1,Inputs!$B$34,0)*(1+inf)^M$1</f>
        <v>0</v>
      </c>
      <c r="O39" s="7">
        <f>IF(Inputs!$B$35&gt;=O$1,Inputs!$B$34,0)*(1+inf)^N$1</f>
        <v>0</v>
      </c>
      <c r="P39" s="7">
        <f>IF(Inputs!$B$35&gt;=P$1,Inputs!$B$34,0)*(1+inf)^O$1</f>
        <v>0</v>
      </c>
      <c r="Q39" s="7">
        <f>IF(Inputs!$B$35&gt;=Q$1,Inputs!$B$34,0)*(1+inf)^P$1</f>
        <v>0</v>
      </c>
      <c r="R39" s="7">
        <f>IF(Inputs!$B$35&gt;=R$1,Inputs!$B$34,0)*(1+inf)^Q$1</f>
        <v>0</v>
      </c>
      <c r="S39" s="7">
        <f>IF(Inputs!$B$35&gt;=S$1,Inputs!$B$34,0)*(1+inf)^R$1</f>
        <v>0</v>
      </c>
      <c r="T39" s="7">
        <f>IF(Inputs!$B$35&gt;=T$1,Inputs!$B$34,0)*(1+inf)^S$1</f>
        <v>0</v>
      </c>
      <c r="U39" s="7">
        <f>IF(Inputs!$B$35&gt;=U$1,Inputs!$B$34,0)*(1+inf)^T$1</f>
        <v>0</v>
      </c>
      <c r="V39" s="7">
        <f>IF(Inputs!$B$35&gt;=V$1,Inputs!$B$34,0)*(1+inf)^U$1</f>
        <v>0</v>
      </c>
      <c r="W39" s="7">
        <f>IF(Inputs!$B$35&gt;=W$1,Inputs!$B$34,0)*(1+inf)^V$1</f>
        <v>0</v>
      </c>
      <c r="X39" s="7">
        <f>IF(Inputs!$B$35&gt;=X$1,Inputs!$B$34,0)*(1+inf)^W$1</f>
        <v>0</v>
      </c>
      <c r="Y39" s="7">
        <f>IF(Inputs!$B$35&gt;=Y$1,Inputs!$B$34,0)*(1+inf)^X$1</f>
        <v>0</v>
      </c>
      <c r="Z39" s="7">
        <f>IF(Inputs!$B$35&gt;=Z$1,Inputs!$B$34,0)*(1+inf)^Y$1</f>
        <v>0</v>
      </c>
      <c r="AA39" s="7">
        <f>IF(Inputs!$B$35&gt;=AA$1,Inputs!$B$34,0)*(1+inf)^Z$1</f>
        <v>0</v>
      </c>
      <c r="AB39" s="7">
        <f>IF(Inputs!$B$35&gt;=AB$1,Inputs!$B$34,0)*(1+inf)^AA$1</f>
        <v>0</v>
      </c>
      <c r="AC39" s="7">
        <f>IF(Inputs!$B$35&gt;=AC$1,Inputs!$B$34,0)*(1+inf)^AB$1</f>
        <v>0</v>
      </c>
      <c r="AD39" s="7">
        <f>IF(Inputs!$B$35&gt;=AD$1,Inputs!$B$34,0)*(1+inf)^AC$1</f>
        <v>0</v>
      </c>
      <c r="AE39" s="7">
        <f>IF(Inputs!$B$35&gt;=AE$1,Inputs!$B$34,0)*(1+inf)^AD$1</f>
        <v>0</v>
      </c>
      <c r="AF39" s="7">
        <f>IF(Inputs!$B$35&gt;=AF$1,Inputs!$B$34,0)*(1+inf)^AE$1</f>
        <v>0</v>
      </c>
      <c r="AG39" s="7">
        <f>IF(Inputs!$B$35&gt;=AG$1,Inputs!$B$34,0)*(1+inf)^AF$1</f>
        <v>0</v>
      </c>
      <c r="AH39" s="7">
        <f>IF(Inputs!$B$35&gt;=AH$1,Inputs!$B$34,0)*(1+inf)^AG$1</f>
        <v>0</v>
      </c>
      <c r="AI39" s="7">
        <f>IF(Inputs!$B$35&gt;=AI$1,Inputs!$B$34,0)*(1+inf)^AH$1</f>
        <v>0</v>
      </c>
      <c r="AJ39" s="7">
        <f>IF(Inputs!$B$35&gt;=AJ$1,Inputs!$B$34,0)*(1+inf)^AI$1</f>
        <v>0</v>
      </c>
      <c r="AK39" s="7">
        <f>IF(Inputs!$B$35&gt;=AK$1,Inputs!$B$34,0)*(1+inf)^AJ$1</f>
        <v>0</v>
      </c>
      <c r="AL39" s="7">
        <f>IF(Inputs!$B$35&gt;=AL$1,Inputs!$B$34,0)*(1+inf)^AK$1</f>
        <v>0</v>
      </c>
      <c r="AM39" s="7">
        <f>IF(Inputs!$B$35&gt;=AM$1,Inputs!$B$34,0)*(1+inf)^AL$1</f>
        <v>0</v>
      </c>
    </row>
    <row r="40" spans="1:39" x14ac:dyDescent="0.2">
      <c r="A40" s="3" t="str">
        <f>TEXT(Inputs!B38,"")</f>
        <v>Jack</v>
      </c>
      <c r="B40" s="8"/>
      <c r="C40" s="7">
        <f ca="1">IF(Inputs!$B$40&gt;=C$1,Inputs!$B$39,0)*(1+inf)^B$1*ProRate</f>
        <v>750</v>
      </c>
      <c r="D40" s="7">
        <f>IF(Inputs!$B$40&gt;=D$1,Inputs!$B$39,0)*(1+inf)^C$1</f>
        <v>1025</v>
      </c>
      <c r="E40" s="7">
        <f>IF(Inputs!$B$40&gt;=E$1,Inputs!$B$39,0)*(1+inf)^D$1</f>
        <v>1050.625</v>
      </c>
      <c r="F40" s="7">
        <f>IF(Inputs!$B$40&gt;=F$1,Inputs!$B$39,0)*(1+inf)^E$1</f>
        <v>1076.8906249999998</v>
      </c>
      <c r="G40" s="7">
        <f>IF(Inputs!$B$40&gt;=G$1,Inputs!$B$39,0)*(1+inf)^F$1</f>
        <v>1103.8128906249997</v>
      </c>
      <c r="H40" s="7">
        <f>IF(Inputs!$B$40&gt;=H$1,Inputs!$B$39,0)*(1+inf)^G$1</f>
        <v>0</v>
      </c>
      <c r="I40" s="7">
        <f>IF(Inputs!$B$40&gt;=I$1,Inputs!$B$39,0)*(1+inf)^H$1</f>
        <v>0</v>
      </c>
      <c r="J40" s="7">
        <f>IF(Inputs!$B$40&gt;=J$1,Inputs!$B$39,0)*(1+inf)^I$1</f>
        <v>0</v>
      </c>
      <c r="K40" s="7">
        <f>IF(Inputs!$B$40&gt;=K$1,Inputs!$B$39,0)*(1+inf)^J$1</f>
        <v>0</v>
      </c>
      <c r="L40" s="7">
        <f>IF(Inputs!$B$40&gt;=L$1,Inputs!$B$39,0)*(1+inf)^K$1</f>
        <v>0</v>
      </c>
      <c r="M40" s="7">
        <f>IF(Inputs!$B$40&gt;=M$1,Inputs!$B$39,0)*(1+inf)^L$1</f>
        <v>0</v>
      </c>
      <c r="N40" s="7">
        <f>IF(Inputs!$B$40&gt;=N$1,Inputs!$B$39,0)*(1+inf)^M$1</f>
        <v>0</v>
      </c>
      <c r="O40" s="7">
        <f>IF(Inputs!$B$40&gt;=O$1,Inputs!$B$39,0)*(1+inf)^N$1</f>
        <v>0</v>
      </c>
      <c r="P40" s="7">
        <f>IF(Inputs!$B$40&gt;=P$1,Inputs!$B$39,0)*(1+inf)^O$1</f>
        <v>0</v>
      </c>
      <c r="Q40" s="7">
        <f>IF(Inputs!$B$40&gt;=Q$1,Inputs!$B$39,0)*(1+inf)^P$1</f>
        <v>0</v>
      </c>
      <c r="R40" s="7">
        <f>IF(Inputs!$B$40&gt;=R$1,Inputs!$B$39,0)*(1+inf)^Q$1</f>
        <v>0</v>
      </c>
      <c r="S40" s="7">
        <f>IF(Inputs!$B$40&gt;=S$1,Inputs!$B$39,0)*(1+inf)^R$1</f>
        <v>0</v>
      </c>
      <c r="T40" s="7">
        <f>IF(Inputs!$B$40&gt;=T$1,Inputs!$B$39,0)*(1+inf)^S$1</f>
        <v>0</v>
      </c>
      <c r="U40" s="7">
        <f>IF(Inputs!$B$40&gt;=U$1,Inputs!$B$39,0)*(1+inf)^T$1</f>
        <v>0</v>
      </c>
      <c r="V40" s="7">
        <f>IF(Inputs!$B$40&gt;=V$1,Inputs!$B$39,0)*(1+inf)^U$1</f>
        <v>0</v>
      </c>
      <c r="W40" s="7">
        <f>IF(Inputs!$B$40&gt;=W$1,Inputs!$B$39,0)*(1+inf)^V$1</f>
        <v>0</v>
      </c>
      <c r="X40" s="7">
        <f>IF(Inputs!$B$40&gt;=X$1,Inputs!$B$39,0)*(1+inf)^W$1</f>
        <v>0</v>
      </c>
      <c r="Y40" s="7">
        <f>IF(Inputs!$B$40&gt;=Y$1,Inputs!$B$39,0)*(1+inf)^X$1</f>
        <v>0</v>
      </c>
      <c r="Z40" s="7">
        <f>IF(Inputs!$B$40&gt;=Z$1,Inputs!$B$39,0)*(1+inf)^Y$1</f>
        <v>0</v>
      </c>
      <c r="AA40" s="7">
        <f>IF(Inputs!$B$40&gt;=AA$1,Inputs!$B$39,0)*(1+inf)^Z$1</f>
        <v>0</v>
      </c>
      <c r="AB40" s="7">
        <f>IF(Inputs!$B$40&gt;=AB$1,Inputs!$B$39,0)*(1+inf)^AA$1</f>
        <v>0</v>
      </c>
      <c r="AC40" s="7">
        <f>IF(Inputs!$B$40&gt;=AC$1,Inputs!$B$39,0)*(1+inf)^AB$1</f>
        <v>0</v>
      </c>
      <c r="AD40" s="7">
        <f>IF(Inputs!$B$40&gt;=AD$1,Inputs!$B$39,0)*(1+inf)^AC$1</f>
        <v>0</v>
      </c>
      <c r="AE40" s="7">
        <f>IF(Inputs!$B$40&gt;=AE$1,Inputs!$B$39,0)*(1+inf)^AD$1</f>
        <v>0</v>
      </c>
      <c r="AF40" s="7">
        <f>IF(Inputs!$B$40&gt;=AF$1,Inputs!$B$39,0)*(1+inf)^AE$1</f>
        <v>0</v>
      </c>
      <c r="AG40" s="7">
        <f>IF(Inputs!$B$40&gt;=AG$1,Inputs!$B$39,0)*(1+inf)^AF$1</f>
        <v>0</v>
      </c>
      <c r="AH40" s="7">
        <f>IF(Inputs!$B$40&gt;=AH$1,Inputs!$B$39,0)*(1+inf)^AG$1</f>
        <v>0</v>
      </c>
      <c r="AI40" s="7">
        <f>IF(Inputs!$B$40&gt;=AI$1,Inputs!$B$39,0)*(1+inf)^AH$1</f>
        <v>0</v>
      </c>
      <c r="AJ40" s="7">
        <f>IF(Inputs!$B$40&gt;=AJ$1,Inputs!$B$39,0)*(1+inf)^AI$1</f>
        <v>0</v>
      </c>
      <c r="AK40" s="7">
        <f>IF(Inputs!$B$40&gt;=AK$1,Inputs!$B$39,0)*(1+inf)^AJ$1</f>
        <v>0</v>
      </c>
      <c r="AL40" s="7">
        <f>IF(Inputs!$B$40&gt;=AL$1,Inputs!$B$39,0)*(1+inf)^AK$1</f>
        <v>0</v>
      </c>
      <c r="AM40" s="7">
        <f>IF(Inputs!$B$40&gt;=AM$1,Inputs!$B$39,0)*(1+inf)^AL$1</f>
        <v>0</v>
      </c>
    </row>
    <row r="41" spans="1:39" x14ac:dyDescent="0.2">
      <c r="A41" s="3" t="str">
        <f>TEXT(Inputs!B43,"")</f>
        <v>Bill</v>
      </c>
      <c r="B41" s="8"/>
      <c r="C41" s="7">
        <f ca="1">IF(Inputs!$B$45&gt;=C$1,Inputs!$B$44,0)*(1+inf)^B$1*ProRate</f>
        <v>3000</v>
      </c>
      <c r="D41" s="7">
        <f>IF(Inputs!$B$45&gt;=D$1,Inputs!$B$44,0)*(1+inf)^C$1</f>
        <v>4100</v>
      </c>
      <c r="E41" s="7">
        <f>IF(Inputs!$B$45&gt;=E$1,Inputs!$B$44,0)*(1+inf)^D$1</f>
        <v>0</v>
      </c>
      <c r="F41" s="7">
        <f>IF(Inputs!$B$45&gt;=F$1,Inputs!$B$44,0)*(1+inf)^E$1</f>
        <v>0</v>
      </c>
      <c r="G41" s="7">
        <f>IF(Inputs!$B$45&gt;=G$1,Inputs!$B$44,0)*(1+inf)^F$1</f>
        <v>0</v>
      </c>
      <c r="H41" s="7">
        <f>IF(Inputs!$B$45&gt;=H$1,Inputs!$B$44,0)*(1+inf)^G$1</f>
        <v>0</v>
      </c>
      <c r="I41" s="7">
        <f>IF(Inputs!$B$45&gt;=I$1,Inputs!$B$44,0)*(1+inf)^H$1</f>
        <v>0</v>
      </c>
      <c r="J41" s="7">
        <f>IF(Inputs!$B$45&gt;=J$1,Inputs!$B$44,0)*(1+inf)^I$1</f>
        <v>0</v>
      </c>
      <c r="K41" s="7">
        <f>IF(Inputs!$B$45&gt;=K$1,Inputs!$B$44,0)*(1+inf)^J$1</f>
        <v>0</v>
      </c>
      <c r="L41" s="7">
        <f>IF(Inputs!$B$45&gt;=L$1,Inputs!$B$44,0)*(1+inf)^K$1</f>
        <v>0</v>
      </c>
      <c r="M41" s="7">
        <f>IF(Inputs!$B$45&gt;=M$1,Inputs!$B$44,0)*(1+inf)^L$1</f>
        <v>0</v>
      </c>
      <c r="N41" s="7">
        <f>IF(Inputs!$B$45&gt;=N$1,Inputs!$B$44,0)*(1+inf)^M$1</f>
        <v>0</v>
      </c>
      <c r="O41" s="7">
        <f>IF(Inputs!$B$45&gt;=O$1,Inputs!$B$44,0)*(1+inf)^N$1</f>
        <v>0</v>
      </c>
      <c r="P41" s="7">
        <f>IF(Inputs!$B$45&gt;=P$1,Inputs!$B$44,0)*(1+inf)^O$1</f>
        <v>0</v>
      </c>
      <c r="Q41" s="7">
        <f>IF(Inputs!$B$45&gt;=Q$1,Inputs!$B$44,0)*(1+inf)^P$1</f>
        <v>0</v>
      </c>
      <c r="R41" s="7">
        <f>IF(Inputs!$B$45&gt;=R$1,Inputs!$B$44,0)*(1+inf)^Q$1</f>
        <v>0</v>
      </c>
      <c r="S41" s="7">
        <f>IF(Inputs!$B$45&gt;=S$1,Inputs!$B$44,0)*(1+inf)^R$1</f>
        <v>0</v>
      </c>
      <c r="T41" s="7">
        <f>IF(Inputs!$B$45&gt;=T$1,Inputs!$B$44,0)*(1+inf)^S$1</f>
        <v>0</v>
      </c>
      <c r="U41" s="7">
        <f>IF(Inputs!$B$45&gt;=U$1,Inputs!$B$44,0)*(1+inf)^T$1</f>
        <v>0</v>
      </c>
      <c r="V41" s="7">
        <f>IF(Inputs!$B$45&gt;=V$1,Inputs!$B$44,0)*(1+inf)^U$1</f>
        <v>0</v>
      </c>
      <c r="W41" s="7">
        <f>IF(Inputs!$B$45&gt;=W$1,Inputs!$B$44,0)*(1+inf)^V$1</f>
        <v>0</v>
      </c>
      <c r="X41" s="7">
        <f>IF(Inputs!$B$45&gt;=X$1,Inputs!$B$44,0)*(1+inf)^W$1</f>
        <v>0</v>
      </c>
      <c r="Y41" s="7">
        <f>IF(Inputs!$B$45&gt;=Y$1,Inputs!$B$44,0)*(1+inf)^X$1</f>
        <v>0</v>
      </c>
      <c r="Z41" s="7">
        <f>IF(Inputs!$B$45&gt;=Z$1,Inputs!$B$44,0)*(1+inf)^Y$1</f>
        <v>0</v>
      </c>
      <c r="AA41" s="7">
        <f>IF(Inputs!$B$45&gt;=AA$1,Inputs!$B$44,0)*(1+inf)^Z$1</f>
        <v>0</v>
      </c>
      <c r="AB41" s="7">
        <f>IF(Inputs!$B$45&gt;=AB$1,Inputs!$B$44,0)*(1+inf)^AA$1</f>
        <v>0</v>
      </c>
      <c r="AC41" s="7">
        <f>IF(Inputs!$B$45&gt;=AC$1,Inputs!$B$44,0)*(1+inf)^AB$1</f>
        <v>0</v>
      </c>
      <c r="AD41" s="7">
        <f>IF(Inputs!$B$45&gt;=AD$1,Inputs!$B$44,0)*(1+inf)^AC$1</f>
        <v>0</v>
      </c>
      <c r="AE41" s="7">
        <f>IF(Inputs!$B$45&gt;=AE$1,Inputs!$B$44,0)*(1+inf)^AD$1</f>
        <v>0</v>
      </c>
      <c r="AF41" s="7">
        <f>IF(Inputs!$B$45&gt;=AF$1,Inputs!$B$44,0)*(1+inf)^AE$1</f>
        <v>0</v>
      </c>
      <c r="AG41" s="7">
        <f>IF(Inputs!$B$45&gt;=AG$1,Inputs!$B$44,0)*(1+inf)^AF$1</f>
        <v>0</v>
      </c>
      <c r="AH41" s="7">
        <f>IF(Inputs!$B$45&gt;=AH$1,Inputs!$B$44,0)*(1+inf)^AG$1</f>
        <v>0</v>
      </c>
      <c r="AI41" s="7">
        <f>IF(Inputs!$B$45&gt;=AI$1,Inputs!$B$44,0)*(1+inf)^AH$1</f>
        <v>0</v>
      </c>
      <c r="AJ41" s="7">
        <f>IF(Inputs!$B$45&gt;=AJ$1,Inputs!$B$44,0)*(1+inf)^AI$1</f>
        <v>0</v>
      </c>
      <c r="AK41" s="7">
        <f>IF(Inputs!$B$45&gt;=AK$1,Inputs!$B$44,0)*(1+inf)^AJ$1</f>
        <v>0</v>
      </c>
      <c r="AL41" s="7">
        <f>IF(Inputs!$B$45&gt;=AL$1,Inputs!$B$44,0)*(1+inf)^AK$1</f>
        <v>0</v>
      </c>
      <c r="AM41" s="7">
        <f>IF(Inputs!$B$45&gt;=AM$1,Inputs!$B$44,0)*(1+inf)^AL$1</f>
        <v>0</v>
      </c>
    </row>
    <row r="42" spans="1:39" x14ac:dyDescent="0.2">
      <c r="A42" s="3" t="str">
        <f>TEXT(Inputs!B48,"")</f>
        <v>Stephen</v>
      </c>
      <c r="B42" s="8"/>
      <c r="C42" s="7">
        <f ca="1">IF(Inputs!$B$50&gt;=C$1,Inputs!$B$49,0)*(1+inf)^B$1*ProRate</f>
        <v>1875</v>
      </c>
      <c r="D42" s="7">
        <f>IF(Inputs!$B$50&gt;=D$1,Inputs!$B$49,0)*(1+inf)^C$1</f>
        <v>2562.5</v>
      </c>
      <c r="E42" s="7">
        <f>IF(Inputs!$B$50&gt;=E$1,Inputs!$B$49,0)*(1+inf)^D$1</f>
        <v>2626.5625</v>
      </c>
      <c r="F42" s="7">
        <f>IF(Inputs!$B$50&gt;=F$1,Inputs!$B$49,0)*(1+inf)^E$1</f>
        <v>0</v>
      </c>
      <c r="G42" s="7">
        <f>IF(Inputs!$B$50&gt;=G$1,Inputs!$B$49,0)*(1+inf)^F$1</f>
        <v>0</v>
      </c>
      <c r="H42" s="7">
        <f>IF(Inputs!$B$50&gt;=H$1,Inputs!$B$49,0)*(1+inf)^G$1</f>
        <v>0</v>
      </c>
      <c r="I42" s="7">
        <f>IF(Inputs!$B$50&gt;=I$1,Inputs!$B$49,0)*(1+inf)^H$1</f>
        <v>0</v>
      </c>
      <c r="J42" s="7">
        <f>IF(Inputs!$B$50&gt;=J$1,Inputs!$B$49,0)*(1+inf)^I$1</f>
        <v>0</v>
      </c>
      <c r="K42" s="7">
        <f>IF(Inputs!$B$50&gt;=K$1,Inputs!$B$49,0)*(1+inf)^J$1</f>
        <v>0</v>
      </c>
      <c r="L42" s="7">
        <f>IF(Inputs!$B$50&gt;=L$1,Inputs!$B$49,0)*(1+inf)^K$1</f>
        <v>0</v>
      </c>
      <c r="M42" s="7">
        <f>IF(Inputs!$B$50&gt;=M$1,Inputs!$B$49,0)*(1+inf)^L$1</f>
        <v>0</v>
      </c>
      <c r="N42" s="7">
        <f>IF(Inputs!$B$50&gt;=N$1,Inputs!$B$49,0)*(1+inf)^M$1</f>
        <v>0</v>
      </c>
      <c r="O42" s="7">
        <f>IF(Inputs!$B$50&gt;=O$1,Inputs!$B$49,0)*(1+inf)^N$1</f>
        <v>0</v>
      </c>
      <c r="P42" s="7">
        <f>IF(Inputs!$B$50&gt;=P$1,Inputs!$B$49,0)*(1+inf)^O$1</f>
        <v>0</v>
      </c>
      <c r="Q42" s="7">
        <f>IF(Inputs!$B$50&gt;=Q$1,Inputs!$B$49,0)*(1+inf)^P$1</f>
        <v>0</v>
      </c>
      <c r="R42" s="7">
        <f>IF(Inputs!$B$50&gt;=R$1,Inputs!$B$49,0)*(1+inf)^Q$1</f>
        <v>0</v>
      </c>
      <c r="S42" s="7">
        <f>IF(Inputs!$B$50&gt;=S$1,Inputs!$B$49,0)*(1+inf)^R$1</f>
        <v>0</v>
      </c>
      <c r="T42" s="7">
        <f>IF(Inputs!$B$50&gt;=T$1,Inputs!$B$49,0)*(1+inf)^S$1</f>
        <v>0</v>
      </c>
      <c r="U42" s="7">
        <f>IF(Inputs!$B$50&gt;=U$1,Inputs!$B$49,0)*(1+inf)^T$1</f>
        <v>0</v>
      </c>
      <c r="V42" s="7">
        <f>IF(Inputs!$B$50&gt;=V$1,Inputs!$B$49,0)*(1+inf)^U$1</f>
        <v>0</v>
      </c>
      <c r="W42" s="7">
        <f>IF(Inputs!$B$50&gt;=W$1,Inputs!$B$49,0)*(1+inf)^V$1</f>
        <v>0</v>
      </c>
      <c r="X42" s="7">
        <f>IF(Inputs!$B$50&gt;=X$1,Inputs!$B$49,0)*(1+inf)^W$1</f>
        <v>0</v>
      </c>
      <c r="Y42" s="7">
        <f>IF(Inputs!$B$50&gt;=Y$1,Inputs!$B$49,0)*(1+inf)^X$1</f>
        <v>0</v>
      </c>
      <c r="Z42" s="7">
        <f>IF(Inputs!$B$50&gt;=Z$1,Inputs!$B$49,0)*(1+inf)^Y$1</f>
        <v>0</v>
      </c>
      <c r="AA42" s="7">
        <f>IF(Inputs!$B$50&gt;=AA$1,Inputs!$B$49,0)*(1+inf)^Z$1</f>
        <v>0</v>
      </c>
      <c r="AB42" s="7">
        <f>IF(Inputs!$B$50&gt;=AB$1,Inputs!$B$49,0)*(1+inf)^AA$1</f>
        <v>0</v>
      </c>
      <c r="AC42" s="7">
        <f>IF(Inputs!$B$50&gt;=AC$1,Inputs!$B$49,0)*(1+inf)^AB$1</f>
        <v>0</v>
      </c>
      <c r="AD42" s="7">
        <f>IF(Inputs!$B$50&gt;=AD$1,Inputs!$B$49,0)*(1+inf)^AC$1</f>
        <v>0</v>
      </c>
      <c r="AE42" s="7">
        <f>IF(Inputs!$B$50&gt;=AE$1,Inputs!$B$49,0)*(1+inf)^AD$1</f>
        <v>0</v>
      </c>
      <c r="AF42" s="7">
        <f>IF(Inputs!$B$50&gt;=AF$1,Inputs!$B$49,0)*(1+inf)^AE$1</f>
        <v>0</v>
      </c>
      <c r="AG42" s="7">
        <f>IF(Inputs!$B$50&gt;=AG$1,Inputs!$B$49,0)*(1+inf)^AF$1</f>
        <v>0</v>
      </c>
      <c r="AH42" s="7">
        <f>IF(Inputs!$B$50&gt;=AH$1,Inputs!$B$49,0)*(1+inf)^AG$1</f>
        <v>0</v>
      </c>
      <c r="AI42" s="7">
        <f>IF(Inputs!$B$50&gt;=AI$1,Inputs!$B$49,0)*(1+inf)^AH$1</f>
        <v>0</v>
      </c>
      <c r="AJ42" s="7">
        <f>IF(Inputs!$B$50&gt;=AJ$1,Inputs!$B$49,0)*(1+inf)^AI$1</f>
        <v>0</v>
      </c>
      <c r="AK42" s="7">
        <f>IF(Inputs!$B$50&gt;=AK$1,Inputs!$B$49,0)*(1+inf)^AJ$1</f>
        <v>0</v>
      </c>
      <c r="AL42" s="7">
        <f>IF(Inputs!$B$50&gt;=AL$1,Inputs!$B$49,0)*(1+inf)^AK$1</f>
        <v>0</v>
      </c>
      <c r="AM42" s="7">
        <f>IF(Inputs!$B$50&gt;=AM$1,Inputs!$B$49,0)*(1+inf)^AL$1</f>
        <v>0</v>
      </c>
    </row>
    <row r="43" spans="1:39" x14ac:dyDescent="0.2">
      <c r="A43" s="3" t="str">
        <f>TEXT(Inputs!B53,"")</f>
        <v>Jane</v>
      </c>
      <c r="B43" s="8"/>
      <c r="C43" s="7">
        <f ca="1">IF(Inputs!$B$55&gt;=C$1,Inputs!$B$54,0)*(1+inf)^B$1*ProRate</f>
        <v>2145</v>
      </c>
      <c r="D43" s="7">
        <f>IF(Inputs!$B$55&gt;=D$1,Inputs!$B$54,0)*(1+inf)^C$1</f>
        <v>2931.4999999999995</v>
      </c>
      <c r="E43" s="7">
        <f>IF(Inputs!$B$55&gt;=E$1,Inputs!$B$54,0)*(1+inf)^D$1</f>
        <v>3004.7874999999999</v>
      </c>
      <c r="F43" s="7">
        <f>IF(Inputs!$B$55&gt;=F$1,Inputs!$B$54,0)*(1+inf)^E$1</f>
        <v>3079.9071874999995</v>
      </c>
      <c r="G43" s="7">
        <f>IF(Inputs!$B$55&gt;=G$1,Inputs!$B$54,0)*(1+inf)^F$1</f>
        <v>3156.9048671874993</v>
      </c>
      <c r="H43" s="7">
        <f>IF(Inputs!$B$55&gt;=H$1,Inputs!$B$54,0)*(1+inf)^G$1</f>
        <v>3235.8274888671867</v>
      </c>
      <c r="I43" s="7">
        <f>IF(Inputs!$B$55&gt;=I$1,Inputs!$B$54,0)*(1+inf)^H$1</f>
        <v>0</v>
      </c>
      <c r="J43" s="7">
        <f>IF(Inputs!$B$55&gt;=J$1,Inputs!$B$54,0)*(1+inf)^I$1</f>
        <v>0</v>
      </c>
      <c r="K43" s="7">
        <f>IF(Inputs!$B$55&gt;=K$1,Inputs!$B$54,0)*(1+inf)^J$1</f>
        <v>0</v>
      </c>
      <c r="L43" s="7">
        <f>IF(Inputs!$B$55&gt;=L$1,Inputs!$B$54,0)*(1+inf)^K$1</f>
        <v>0</v>
      </c>
      <c r="M43" s="7">
        <f>IF(Inputs!$B$55&gt;=M$1,Inputs!$B$54,0)*(1+inf)^L$1</f>
        <v>0</v>
      </c>
      <c r="N43" s="7">
        <f>IF(Inputs!$B$55&gt;=N$1,Inputs!$B$54,0)*(1+inf)^M$1</f>
        <v>0</v>
      </c>
      <c r="O43" s="7">
        <f>IF(Inputs!$B$55&gt;=O$1,Inputs!$B$54,0)*(1+inf)^N$1</f>
        <v>0</v>
      </c>
      <c r="P43" s="7">
        <f>IF(Inputs!$B$55&gt;=P$1,Inputs!$B$54,0)*(1+inf)^O$1</f>
        <v>0</v>
      </c>
      <c r="Q43" s="7">
        <f>IF(Inputs!$B$55&gt;=Q$1,Inputs!$B$54,0)*(1+inf)^P$1</f>
        <v>0</v>
      </c>
      <c r="R43" s="7">
        <f>IF(Inputs!$B$55&gt;=R$1,Inputs!$B$54,0)*(1+inf)^Q$1</f>
        <v>0</v>
      </c>
      <c r="S43" s="7">
        <f>IF(Inputs!$B$55&gt;=S$1,Inputs!$B$54,0)*(1+inf)^R$1</f>
        <v>0</v>
      </c>
      <c r="T43" s="7">
        <f>IF(Inputs!$B$55&gt;=T$1,Inputs!$B$54,0)*(1+inf)^S$1</f>
        <v>0</v>
      </c>
      <c r="U43" s="7">
        <f>IF(Inputs!$B$55&gt;=U$1,Inputs!$B$54,0)*(1+inf)^T$1</f>
        <v>0</v>
      </c>
      <c r="V43" s="7">
        <f>IF(Inputs!$B$55&gt;=V$1,Inputs!$B$54,0)*(1+inf)^U$1</f>
        <v>0</v>
      </c>
      <c r="W43" s="7">
        <f>IF(Inputs!$B$55&gt;=W$1,Inputs!$B$54,0)*(1+inf)^V$1</f>
        <v>0</v>
      </c>
      <c r="X43" s="7">
        <f>IF(Inputs!$B$55&gt;=X$1,Inputs!$B$54,0)*(1+inf)^W$1</f>
        <v>0</v>
      </c>
      <c r="Y43" s="7">
        <f>IF(Inputs!$B$55&gt;=Y$1,Inputs!$B$54,0)*(1+inf)^X$1</f>
        <v>0</v>
      </c>
      <c r="Z43" s="7">
        <f>IF(Inputs!$B$55&gt;=Z$1,Inputs!$B$54,0)*(1+inf)^Y$1</f>
        <v>0</v>
      </c>
      <c r="AA43" s="7">
        <f>IF(Inputs!$B$55&gt;=AA$1,Inputs!$B$54,0)*(1+inf)^Z$1</f>
        <v>0</v>
      </c>
      <c r="AB43" s="7">
        <f>IF(Inputs!$B$55&gt;=AB$1,Inputs!$B$54,0)*(1+inf)^AA$1</f>
        <v>0</v>
      </c>
      <c r="AC43" s="7">
        <f>IF(Inputs!$B$55&gt;=AC$1,Inputs!$B$54,0)*(1+inf)^AB$1</f>
        <v>0</v>
      </c>
      <c r="AD43" s="7">
        <f>IF(Inputs!$B$55&gt;=AD$1,Inputs!$B$54,0)*(1+inf)^AC$1</f>
        <v>0</v>
      </c>
      <c r="AE43" s="7">
        <f>IF(Inputs!$B$55&gt;=AE$1,Inputs!$B$54,0)*(1+inf)^AD$1</f>
        <v>0</v>
      </c>
      <c r="AF43" s="7">
        <f>IF(Inputs!$B$55&gt;=AF$1,Inputs!$B$54,0)*(1+inf)^AE$1</f>
        <v>0</v>
      </c>
      <c r="AG43" s="7">
        <f>IF(Inputs!$B$55&gt;=AG$1,Inputs!$B$54,0)*(1+inf)^AF$1</f>
        <v>0</v>
      </c>
      <c r="AH43" s="7">
        <f>IF(Inputs!$B$55&gt;=AH$1,Inputs!$B$54,0)*(1+inf)^AG$1</f>
        <v>0</v>
      </c>
      <c r="AI43" s="7">
        <f>IF(Inputs!$B$55&gt;=AI$1,Inputs!$B$54,0)*(1+inf)^AH$1</f>
        <v>0</v>
      </c>
      <c r="AJ43" s="7">
        <f>IF(Inputs!$B$55&gt;=AJ$1,Inputs!$B$54,0)*(1+inf)^AI$1</f>
        <v>0</v>
      </c>
      <c r="AK43" s="7">
        <f>IF(Inputs!$B$55&gt;=AK$1,Inputs!$B$54,0)*(1+inf)^AJ$1</f>
        <v>0</v>
      </c>
      <c r="AL43" s="7">
        <f>IF(Inputs!$B$55&gt;=AL$1,Inputs!$B$54,0)*(1+inf)^AK$1</f>
        <v>0</v>
      </c>
      <c r="AM43" s="7">
        <f>IF(Inputs!$B$55&gt;=AM$1,Inputs!$B$54,0)*(1+inf)^AL$1</f>
        <v>0</v>
      </c>
    </row>
    <row r="44" spans="1:39" x14ac:dyDescent="0.2">
      <c r="A44" s="4" t="s">
        <v>221</v>
      </c>
      <c r="B44" s="8"/>
      <c r="C44" s="7">
        <f ca="1">IF(AND(Inputs!$B$217&lt;&gt;"",C$2&gt;=Inputs!$B$217),IF(OR(Inputs!$B$12&lt;=0,UPPER(Inputs!$B$219)="RENT"),Inputs!$B$223*12*(1+inf)^B$1*IF(B$1=0,ProRate,1),0),Inputs!$B$23*12*(1+inf)^B$1*IF(B$1=0,ProRate,1))</f>
        <v>0</v>
      </c>
      <c r="D44" s="7">
        <f ca="1">IF(AND(Inputs!$B$217&lt;&gt;"",D$2&gt;=Inputs!$B$217),IF(OR(Inputs!$B$12&lt;=0,UPPER(Inputs!$B$219)="RENT"),Inputs!$B$223*12*(1+inf)^C$1*IF(C$1=0,ProRate,1),0),Inputs!$B$23*12*(1+inf)^C$1*IF(C$1=0,ProRate,1))</f>
        <v>0</v>
      </c>
      <c r="E44" s="7">
        <f ca="1">IF(AND(Inputs!$B$217&lt;&gt;"",E$2&gt;=Inputs!$B$217),IF(OR(Inputs!$B$12&lt;=0,UPPER(Inputs!$B$219)="RENT"),Inputs!$B$223*12*(1+inf)^D$1*IF(D$1=0,ProRate,1),0),Inputs!$B$23*12*(1+inf)^D$1*IF(D$1=0,ProRate,1))</f>
        <v>0</v>
      </c>
      <c r="F44" s="7">
        <f ca="1">IF(AND(Inputs!$B$217&lt;&gt;"",F$2&gt;=Inputs!$B$217),IF(OR(Inputs!$B$12&lt;=0,UPPER(Inputs!$B$219)="RENT"),Inputs!$B$223*12*(1+inf)^E$1*IF(E$1=0,ProRate,1),0),Inputs!$B$23*12*(1+inf)^E$1*IF(E$1=0,ProRate,1))</f>
        <v>0</v>
      </c>
      <c r="G44" s="7">
        <f ca="1">IF(AND(Inputs!$B$217&lt;&gt;"",G$2&gt;=Inputs!$B$217),IF(OR(Inputs!$B$12&lt;=0,UPPER(Inputs!$B$219)="RENT"),Inputs!$B$223*12*(1+inf)^F$1*IF(F$1=0,ProRate,1),0),Inputs!$B$23*12*(1+inf)^F$1*IF(F$1=0,ProRate,1))</f>
        <v>0</v>
      </c>
      <c r="H44" s="7">
        <f ca="1">IF(AND(Inputs!$B$217&lt;&gt;"",H$2&gt;=Inputs!$B$217),IF(OR(Inputs!$B$12&lt;=0,UPPER(Inputs!$B$219)="RENT"),Inputs!$B$223*12*(1+inf)^G$1*IF(G$1=0,ProRate,1),0),Inputs!$B$23*12*(1+inf)^G$1*IF(G$1=0,ProRate,1))</f>
        <v>0</v>
      </c>
      <c r="I44" s="7">
        <f ca="1">IF(AND(Inputs!$B$217&lt;&gt;"",I$2&gt;=Inputs!$B$217),IF(OR(Inputs!$B$12&lt;=0,UPPER(Inputs!$B$219)="RENT"),Inputs!$B$223*12*(1+inf)^H$1*IF(H$1=0,ProRate,1),0),Inputs!$B$23*12*(1+inf)^H$1*IF(H$1=0,ProRate,1))</f>
        <v>0</v>
      </c>
      <c r="J44" s="7">
        <f ca="1">IF(AND(Inputs!$B$217&lt;&gt;"",J$2&gt;=Inputs!$B$217),IF(OR(Inputs!$B$12&lt;=0,UPPER(Inputs!$B$219)="RENT"),Inputs!$B$223*12*(1+inf)^I$1*IF(I$1=0,ProRate,1),0),Inputs!$B$23*12*(1+inf)^I$1*IF(I$1=0,ProRate,1))</f>
        <v>0</v>
      </c>
      <c r="K44" s="7">
        <f ca="1">IF(AND(Inputs!$B$217&lt;&gt;"",K$2&gt;=Inputs!$B$217),IF(OR(Inputs!$B$12&lt;=0,UPPER(Inputs!$B$219)="RENT"),Inputs!$B$223*12*(1+inf)^J$1*IF(J$1=0,ProRate,1),0),Inputs!$B$23*12*(1+inf)^J$1*IF(J$1=0,ProRate,1))</f>
        <v>0</v>
      </c>
      <c r="L44" s="7">
        <f ca="1">IF(AND(Inputs!$B$217&lt;&gt;"",L$2&gt;=Inputs!$B$217),IF(OR(Inputs!$B$12&lt;=0,UPPER(Inputs!$B$219)="RENT"),Inputs!$B$223*12*(1+inf)^K$1*IF(K$1=0,ProRate,1),0),Inputs!$B$23*12*(1+inf)^K$1*IF(K$1=0,ProRate,1))</f>
        <v>0</v>
      </c>
      <c r="M44" s="7">
        <f ca="1">IF(AND(Inputs!$B$217&lt;&gt;"",M$2&gt;=Inputs!$B$217),IF(OR(Inputs!$B$12&lt;=0,UPPER(Inputs!$B$219)="RENT"),Inputs!$B$223*12*(1+inf)^L$1*IF(L$1=0,ProRate,1),0),Inputs!$B$23*12*(1+inf)^L$1*IF(L$1=0,ProRate,1))</f>
        <v>0</v>
      </c>
      <c r="N44" s="7">
        <f ca="1">IF(AND(Inputs!$B$217&lt;&gt;"",N$2&gt;=Inputs!$B$217),IF(OR(Inputs!$B$12&lt;=0,UPPER(Inputs!$B$219)="RENT"),Inputs!$B$223*12*(1+inf)^M$1*IF(M$1=0,ProRate,1),0),Inputs!$B$23*12*(1+inf)^M$1*IF(M$1=0,ProRate,1))</f>
        <v>0</v>
      </c>
      <c r="O44" s="7">
        <f ca="1">IF(AND(Inputs!$B$217&lt;&gt;"",O$2&gt;=Inputs!$B$217),IF(OR(Inputs!$B$12&lt;=0,UPPER(Inputs!$B$219)="RENT"),Inputs!$B$223*12*(1+inf)^N$1*IF(N$1=0,ProRate,1),0),Inputs!$B$23*12*(1+inf)^N$1*IF(N$1=0,ProRate,1))</f>
        <v>0</v>
      </c>
      <c r="P44" s="7">
        <f ca="1">IF(AND(Inputs!$B$217&lt;&gt;"",P$2&gt;=Inputs!$B$217),IF(OR(Inputs!$B$12&lt;=0,UPPER(Inputs!$B$219)="RENT"),Inputs!$B$223*12*(1+inf)^O$1*IF(O$1=0,ProRate,1),0),Inputs!$B$23*12*(1+inf)^O$1*IF(O$1=0,ProRate,1))</f>
        <v>0</v>
      </c>
      <c r="Q44" s="7">
        <f ca="1">IF(AND(Inputs!$B$217&lt;&gt;"",Q$2&gt;=Inputs!$B$217),IF(OR(Inputs!$B$12&lt;=0,UPPER(Inputs!$B$219)="RENT"),Inputs!$B$223*12*(1+inf)^P$1*IF(P$1=0,ProRate,1),0),Inputs!$B$23*12*(1+inf)^P$1*IF(P$1=0,ProRate,1))</f>
        <v>0</v>
      </c>
      <c r="R44" s="7">
        <f ca="1">IF(AND(Inputs!$B$217&lt;&gt;"",R$2&gt;=Inputs!$B$217),IF(OR(Inputs!$B$12&lt;=0,UPPER(Inputs!$B$219)="RENT"),Inputs!$B$223*12*(1+inf)^Q$1*IF(Q$1=0,ProRate,1),0),Inputs!$B$23*12*(1+inf)^Q$1*IF(Q$1=0,ProRate,1))</f>
        <v>0</v>
      </c>
      <c r="S44" s="7">
        <f ca="1">IF(AND(Inputs!$B$217&lt;&gt;"",S$2&gt;=Inputs!$B$217),IF(OR(Inputs!$B$12&lt;=0,UPPER(Inputs!$B$219)="RENT"),Inputs!$B$223*12*(1+inf)^R$1*IF(R$1=0,ProRate,1),0),Inputs!$B$23*12*(1+inf)^R$1*IF(R$1=0,ProRate,1))</f>
        <v>0</v>
      </c>
      <c r="T44" s="7">
        <f ca="1">IF(AND(Inputs!$B$217&lt;&gt;"",T$2&gt;=Inputs!$B$217),IF(OR(Inputs!$B$12&lt;=0,UPPER(Inputs!$B$219)="RENT"),Inputs!$B$223*12*(1+inf)^S$1*IF(S$1=0,ProRate,1),0),Inputs!$B$23*12*(1+inf)^S$1*IF(S$1=0,ProRate,1))</f>
        <v>0</v>
      </c>
      <c r="U44" s="7">
        <f ca="1">IF(AND(Inputs!$B$217&lt;&gt;"",U$2&gt;=Inputs!$B$217),IF(OR(Inputs!$B$12&lt;=0,UPPER(Inputs!$B$219)="RENT"),Inputs!$B$223*12*(1+inf)^T$1*IF(T$1=0,ProRate,1),0),Inputs!$B$23*12*(1+inf)^T$1*IF(T$1=0,ProRate,1))</f>
        <v>0</v>
      </c>
      <c r="V44" s="7">
        <f ca="1">IF(AND(Inputs!$B$217&lt;&gt;"",V$2&gt;=Inputs!$B$217),IF(OR(Inputs!$B$12&lt;=0,UPPER(Inputs!$B$219)="RENT"),Inputs!$B$223*12*(1+inf)^U$1*IF(U$1=0,ProRate,1),0),Inputs!$B$23*12*(1+inf)^U$1*IF(U$1=0,ProRate,1))</f>
        <v>0</v>
      </c>
      <c r="W44" s="7">
        <f ca="1">IF(AND(Inputs!$B$217&lt;&gt;"",W$2&gt;=Inputs!$B$217),IF(OR(Inputs!$B$12&lt;=0,UPPER(Inputs!$B$219)="RENT"),Inputs!$B$223*12*(1+inf)^V$1*IF(V$1=0,ProRate,1),0),Inputs!$B$23*12*(1+inf)^V$1*IF(V$1=0,ProRate,1))</f>
        <v>0</v>
      </c>
      <c r="X44" s="7">
        <f ca="1">IF(AND(Inputs!$B$217&lt;&gt;"",X$2&gt;=Inputs!$B$217),IF(OR(Inputs!$B$12&lt;=0,UPPER(Inputs!$B$219)="RENT"),Inputs!$B$223*12*(1+inf)^W$1*IF(W$1=0,ProRate,1),0),Inputs!$B$23*12*(1+inf)^W$1*IF(W$1=0,ProRate,1))</f>
        <v>0</v>
      </c>
      <c r="Y44" s="7">
        <f ca="1">IF(AND(Inputs!$B$217&lt;&gt;"",Y$2&gt;=Inputs!$B$217),IF(OR(Inputs!$B$12&lt;=0,UPPER(Inputs!$B$219)="RENT"),Inputs!$B$223*12*(1+inf)^X$1*IF(X$1=0,ProRate,1),0),Inputs!$B$23*12*(1+inf)^X$1*IF(X$1=0,ProRate,1))</f>
        <v>0</v>
      </c>
      <c r="Z44" s="7">
        <f ca="1">IF(AND(Inputs!$B$217&lt;&gt;"",Z$2&gt;=Inputs!$B$217),IF(OR(Inputs!$B$12&lt;=0,UPPER(Inputs!$B$219)="RENT"),Inputs!$B$223*12*(1+inf)^Y$1*IF(Y$1=0,ProRate,1),0),Inputs!$B$23*12*(1+inf)^Y$1*IF(Y$1=0,ProRate,1))</f>
        <v>0</v>
      </c>
      <c r="AA44" s="7">
        <f ca="1">IF(AND(Inputs!$B$217&lt;&gt;"",AA$2&gt;=Inputs!$B$217),IF(OR(Inputs!$B$12&lt;=0,UPPER(Inputs!$B$219)="RENT"),Inputs!$B$223*12*(1+inf)^Z$1*IF(Z$1=0,ProRate,1),0),Inputs!$B$23*12*(1+inf)^Z$1*IF(Z$1=0,ProRate,1))</f>
        <v>0</v>
      </c>
      <c r="AB44" s="7">
        <f ca="1">IF(AND(Inputs!$B$217&lt;&gt;"",AB$2&gt;=Inputs!$B$217),IF(OR(Inputs!$B$12&lt;=0,UPPER(Inputs!$B$219)="RENT"),Inputs!$B$223*12*(1+inf)^AA$1*IF(AA$1=0,ProRate,1),0),Inputs!$B$23*12*(1+inf)^AA$1*IF(AA$1=0,ProRate,1))</f>
        <v>0</v>
      </c>
      <c r="AC44" s="7">
        <f ca="1">IF(AND(Inputs!$B$217&lt;&gt;"",AC$2&gt;=Inputs!$B$217),IF(OR(Inputs!$B$12&lt;=0,UPPER(Inputs!$B$219)="RENT"),Inputs!$B$223*12*(1+inf)^AB$1*IF(AB$1=0,ProRate,1),0),Inputs!$B$23*12*(1+inf)^AB$1*IF(AB$1=0,ProRate,1))</f>
        <v>0</v>
      </c>
      <c r="AD44" s="7">
        <f ca="1">IF(AND(Inputs!$B$217&lt;&gt;"",AD$2&gt;=Inputs!$B$217),IF(OR(Inputs!$B$12&lt;=0,UPPER(Inputs!$B$219)="RENT"),Inputs!$B$223*12*(1+inf)^AC$1*IF(AC$1=0,ProRate,1),0),Inputs!$B$23*12*(1+inf)^AC$1*IF(AC$1=0,ProRate,1))</f>
        <v>0</v>
      </c>
      <c r="AE44" s="7">
        <f ca="1">IF(AND(Inputs!$B$217&lt;&gt;"",AE$2&gt;=Inputs!$B$217),IF(OR(Inputs!$B$12&lt;=0,UPPER(Inputs!$B$219)="RENT"),Inputs!$B$223*12*(1+inf)^AD$1*IF(AD$1=0,ProRate,1),0),Inputs!$B$23*12*(1+inf)^AD$1*IF(AD$1=0,ProRate,1))</f>
        <v>0</v>
      </c>
      <c r="AF44" s="7">
        <f ca="1">IF(AND(Inputs!$B$217&lt;&gt;"",AF$2&gt;=Inputs!$B$217),IF(OR(Inputs!$B$12&lt;=0,UPPER(Inputs!$B$219)="RENT"),Inputs!$B$223*12*(1+inf)^AE$1*IF(AE$1=0,ProRate,1),0),Inputs!$B$23*12*(1+inf)^AE$1*IF(AE$1=0,ProRate,1))</f>
        <v>0</v>
      </c>
      <c r="AG44" s="7">
        <f ca="1">IF(AND(Inputs!$B$217&lt;&gt;"",AG$2&gt;=Inputs!$B$217),IF(OR(Inputs!$B$12&lt;=0,UPPER(Inputs!$B$219)="RENT"),Inputs!$B$223*12*(1+inf)^AF$1*IF(AF$1=0,ProRate,1),0),Inputs!$B$23*12*(1+inf)^AF$1*IF(AF$1=0,ProRate,1))</f>
        <v>0</v>
      </c>
      <c r="AH44" s="7">
        <f ca="1">IF(AND(Inputs!$B$217&lt;&gt;"",AH$2&gt;=Inputs!$B$217),IF(OR(Inputs!$B$12&lt;=0,UPPER(Inputs!$B$219)="RENT"),Inputs!$B$223*12*(1+inf)^AG$1*IF(AG$1=0,ProRate,1),0),Inputs!$B$23*12*(1+inf)^AG$1*IF(AG$1=0,ProRate,1))</f>
        <v>0</v>
      </c>
      <c r="AI44" s="7">
        <f ca="1">IF(AND(Inputs!$B$217&lt;&gt;"",AI$2&gt;=Inputs!$B$217),IF(OR(Inputs!$B$12&lt;=0,UPPER(Inputs!$B$219)="RENT"),Inputs!$B$223*12*(1+inf)^AH$1*IF(AH$1=0,ProRate,1),0),Inputs!$B$23*12*(1+inf)^AH$1*IF(AH$1=0,ProRate,1))</f>
        <v>0</v>
      </c>
      <c r="AJ44" s="7">
        <f ca="1">IF(AND(Inputs!$B$217&lt;&gt;"",AJ$2&gt;=Inputs!$B$217),IF(OR(Inputs!$B$12&lt;=0,UPPER(Inputs!$B$219)="RENT"),Inputs!$B$223*12*(1+inf)^AI$1*IF(AI$1=0,ProRate,1),0),Inputs!$B$23*12*(1+inf)^AI$1*IF(AI$1=0,ProRate,1))</f>
        <v>0</v>
      </c>
      <c r="AK44" s="7">
        <f ca="1">IF(AND(Inputs!$B$217&lt;&gt;"",AK$2&gt;=Inputs!$B$217),IF(OR(Inputs!$B$12&lt;=0,UPPER(Inputs!$B$219)="RENT"),Inputs!$B$223*12*(1+inf)^AJ$1*IF(AJ$1=0,ProRate,1),0),Inputs!$B$23*12*(1+inf)^AJ$1*IF(AJ$1=0,ProRate,1))</f>
        <v>0</v>
      </c>
      <c r="AL44" s="7">
        <f ca="1">IF(AND(Inputs!$B$217&lt;&gt;"",AL$2&gt;=Inputs!$B$217),IF(OR(Inputs!$B$12&lt;=0,UPPER(Inputs!$B$219)="RENT"),Inputs!$B$223*12*(1+inf)^AK$1*IF(AK$1=0,ProRate,1),0),Inputs!$B$23*12*(1+inf)^AK$1*IF(AK$1=0,ProRate,1))</f>
        <v>0</v>
      </c>
      <c r="AM44" s="7">
        <f ca="1">IF(AND(Inputs!$B$217&lt;&gt;"",AM$2&gt;=Inputs!$B$217),IF(OR(Inputs!$B$12&lt;=0,UPPER(Inputs!$B$219)="RENT"),Inputs!$B$223*12*(1+inf)^AL$1*IF(AL$1=0,ProRate,1),0),Inputs!$B$23*12*(1+inf)^AL$1*IF(AL$1=0,ProRate,1))</f>
        <v>0</v>
      </c>
    </row>
    <row r="45" spans="1:39" x14ac:dyDescent="0.2">
      <c r="A45" s="4" t="s">
        <v>52</v>
      </c>
      <c r="B45" s="8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</row>
    <row r="46" spans="1:39" x14ac:dyDescent="0.2">
      <c r="A46" s="3" t="str">
        <f>TEXT(Inputs!$B$60,"")</f>
        <v>Sliema</v>
      </c>
      <c r="B46" s="8"/>
      <c r="C46" s="7">
        <f ca="1">Inputs!$B62*(1+inf)^B$1*ProRate</f>
        <v>3750</v>
      </c>
      <c r="D46" s="7">
        <f>Inputs!$B62*(1+inf)^C$1</f>
        <v>5125</v>
      </c>
      <c r="E46" s="7">
        <f>Inputs!$B62*(1+inf)^D$1</f>
        <v>5253.125</v>
      </c>
      <c r="F46" s="7">
        <f>Inputs!$B62*(1+inf)^E$1</f>
        <v>5384.4531249999991</v>
      </c>
      <c r="G46" s="7">
        <f>Inputs!$B62*(1+inf)^F$1</f>
        <v>5519.0644531249991</v>
      </c>
      <c r="H46" s="7">
        <f>Inputs!$B62*(1+inf)^G$1</f>
        <v>5657.041064453123</v>
      </c>
      <c r="I46" s="7">
        <f>Inputs!$B62*(1+inf)^H$1</f>
        <v>5798.4670910644509</v>
      </c>
      <c r="J46" s="7">
        <f>Inputs!$B62*(1+inf)^I$1</f>
        <v>5943.4287683410621</v>
      </c>
      <c r="K46" s="7">
        <f>Inputs!$B62*(1+inf)^J$1</f>
        <v>6092.0144875495889</v>
      </c>
      <c r="L46" s="7">
        <f>Inputs!$B62*(1+inf)^K$1</f>
        <v>6244.3148497383272</v>
      </c>
      <c r="M46" s="7">
        <f>Inputs!$B62*(1+inf)^L$1</f>
        <v>6400.4227209817855</v>
      </c>
      <c r="N46" s="7">
        <f>Inputs!$B62*(1+inf)^M$1</f>
        <v>6560.4332890063297</v>
      </c>
      <c r="O46" s="7">
        <f>Inputs!$B62*(1+inf)^N$1</f>
        <v>6724.4441212314878</v>
      </c>
      <c r="P46" s="7">
        <f>Inputs!$B62*(1+inf)^O$1</f>
        <v>6892.5552242622744</v>
      </c>
      <c r="Q46" s="7">
        <f>Inputs!$B62*(1+inf)^P$1</f>
        <v>7064.8691048688306</v>
      </c>
      <c r="R46" s="7">
        <f>Inputs!$B62*(1+inf)^Q$1</f>
        <v>7241.4908324905527</v>
      </c>
      <c r="S46" s="7">
        <f>Inputs!$B62*(1+inf)^R$1</f>
        <v>7422.5281033028159</v>
      </c>
      <c r="T46" s="7">
        <f>Inputs!$B62*(1+inf)^S$1</f>
        <v>7608.0913058853848</v>
      </c>
      <c r="U46" s="7">
        <f>Inputs!$B62*(1+inf)^T$1</f>
        <v>7798.2935885325196</v>
      </c>
      <c r="V46" s="7">
        <f>Inputs!$B62*(1+inf)^U$1</f>
        <v>7993.2509282458332</v>
      </c>
      <c r="W46" s="7">
        <f>Inputs!$B62*(1+inf)^V$1</f>
        <v>8193.0822014519781</v>
      </c>
      <c r="X46" s="7">
        <f>Inputs!$B62*(1+inf)^W$1</f>
        <v>8397.9092564882758</v>
      </c>
      <c r="Y46" s="7">
        <f>Inputs!$B62*(1+inf)^X$1</f>
        <v>8607.8569879004826</v>
      </c>
      <c r="Z46" s="7">
        <f>Inputs!$B62*(1+inf)^Y$1</f>
        <v>8823.0534125979957</v>
      </c>
      <c r="AA46" s="7">
        <f>Inputs!$B62*(1+inf)^Z$1</f>
        <v>9043.6297479129444</v>
      </c>
      <c r="AB46" s="7">
        <f>Inputs!$B62*(1+inf)^AA$1</f>
        <v>9269.7204916107676</v>
      </c>
      <c r="AC46" s="7">
        <f>Inputs!$B62*(1+inf)^AB$1</f>
        <v>9501.4635039010354</v>
      </c>
      <c r="AD46" s="7">
        <f>Inputs!$B62*(1+inf)^AC$1</f>
        <v>9739.0000914985612</v>
      </c>
      <c r="AE46" s="7">
        <f>Inputs!$B62*(1+inf)^AD$1</f>
        <v>9982.4750937860244</v>
      </c>
      <c r="AF46" s="7">
        <f>Inputs!$B62*(1+inf)^AE$1</f>
        <v>10232.036971130676</v>
      </c>
      <c r="AG46" s="7">
        <f>Inputs!$B62*(1+inf)^AF$1</f>
        <v>10487.83789540894</v>
      </c>
      <c r="AH46" s="7">
        <f>Inputs!$B62*(1+inf)^AG$1</f>
        <v>10750.033842794166</v>
      </c>
      <c r="AI46" s="7">
        <f>Inputs!$B62*(1+inf)^AH$1</f>
        <v>11018.784688864018</v>
      </c>
      <c r="AJ46" s="7">
        <f>Inputs!$B62*(1+inf)^AI$1</f>
        <v>11294.254306085619</v>
      </c>
      <c r="AK46" s="7">
        <f>Inputs!$B62*(1+inf)^AJ$1</f>
        <v>11576.610663737758</v>
      </c>
      <c r="AL46" s="7">
        <f>Inputs!$B62*(1+inf)^AK$1</f>
        <v>11866.025930331201</v>
      </c>
      <c r="AM46" s="7">
        <f>Inputs!$B62*(1+inf)^AL$1</f>
        <v>12162.676578589482</v>
      </c>
    </row>
    <row r="47" spans="1:39" x14ac:dyDescent="0.2">
      <c r="A47" s="3" t="str">
        <f>TEXT(Inputs!$B$65,"")</f>
        <v>Gzira</v>
      </c>
      <c r="B47" s="8"/>
      <c r="C47" s="7">
        <f ca="1">Inputs!$B67*(1+inf)^B$1*ProRate</f>
        <v>1500</v>
      </c>
      <c r="D47" s="7">
        <f>Inputs!$B67*(1+inf)^C$1</f>
        <v>2050</v>
      </c>
      <c r="E47" s="7">
        <f>Inputs!$B67*(1+inf)^D$1</f>
        <v>2101.25</v>
      </c>
      <c r="F47" s="7">
        <f>Inputs!$B67*(1+inf)^E$1</f>
        <v>2153.7812499999995</v>
      </c>
      <c r="G47" s="7">
        <f>Inputs!$B67*(1+inf)^F$1</f>
        <v>2207.6257812499994</v>
      </c>
      <c r="H47" s="7">
        <f>Inputs!$B67*(1+inf)^G$1</f>
        <v>2262.8164257812491</v>
      </c>
      <c r="I47" s="7">
        <f>Inputs!$B67*(1+inf)^H$1</f>
        <v>2319.3868364257805</v>
      </c>
      <c r="J47" s="7">
        <f>Inputs!$B67*(1+inf)^I$1</f>
        <v>2377.3715073364251</v>
      </c>
      <c r="K47" s="7">
        <f>Inputs!$B67*(1+inf)^J$1</f>
        <v>2436.8057950198354</v>
      </c>
      <c r="L47" s="7">
        <f>Inputs!$B67*(1+inf)^K$1</f>
        <v>2497.7259398953311</v>
      </c>
      <c r="M47" s="7">
        <f>Inputs!$B67*(1+inf)^L$1</f>
        <v>2560.169088392714</v>
      </c>
      <c r="N47" s="7">
        <f>Inputs!$B67*(1+inf)^M$1</f>
        <v>2624.1733156025321</v>
      </c>
      <c r="O47" s="7">
        <f>Inputs!$B67*(1+inf)^N$1</f>
        <v>2689.7776484925948</v>
      </c>
      <c r="P47" s="7">
        <f>Inputs!$B67*(1+inf)^O$1</f>
        <v>2757.0220897049098</v>
      </c>
      <c r="Q47" s="7">
        <f>Inputs!$B67*(1+inf)^P$1</f>
        <v>2825.9476419475322</v>
      </c>
      <c r="R47" s="7">
        <f>Inputs!$B67*(1+inf)^Q$1</f>
        <v>2896.596332996221</v>
      </c>
      <c r="S47" s="7">
        <f>Inputs!$B67*(1+inf)^R$1</f>
        <v>2969.0112413211264</v>
      </c>
      <c r="T47" s="7">
        <f>Inputs!$B67*(1+inf)^S$1</f>
        <v>3043.2365223541542</v>
      </c>
      <c r="U47" s="7">
        <f>Inputs!$B67*(1+inf)^T$1</f>
        <v>3119.3174354130078</v>
      </c>
      <c r="V47" s="7">
        <f>Inputs!$B67*(1+inf)^U$1</f>
        <v>3197.3003712983332</v>
      </c>
      <c r="W47" s="7">
        <f>Inputs!$B67*(1+inf)^V$1</f>
        <v>3277.2328805807911</v>
      </c>
      <c r="X47" s="7">
        <f>Inputs!$B67*(1+inf)^W$1</f>
        <v>3359.1637025953105</v>
      </c>
      <c r="Y47" s="7">
        <f>Inputs!$B67*(1+inf)^X$1</f>
        <v>3443.1427951601931</v>
      </c>
      <c r="Z47" s="7">
        <f>Inputs!$B67*(1+inf)^Y$1</f>
        <v>3529.2213650391982</v>
      </c>
      <c r="AA47" s="7">
        <f>Inputs!$B67*(1+inf)^Z$1</f>
        <v>3617.451899165178</v>
      </c>
      <c r="AB47" s="7">
        <f>Inputs!$B67*(1+inf)^AA$1</f>
        <v>3707.8881966443068</v>
      </c>
      <c r="AC47" s="7">
        <f>Inputs!$B67*(1+inf)^AB$1</f>
        <v>3800.5854015604141</v>
      </c>
      <c r="AD47" s="7">
        <f>Inputs!$B67*(1+inf)^AC$1</f>
        <v>3895.6000365994241</v>
      </c>
      <c r="AE47" s="7">
        <f>Inputs!$B67*(1+inf)^AD$1</f>
        <v>3992.9900375144098</v>
      </c>
      <c r="AF47" s="7">
        <f>Inputs!$B67*(1+inf)^AE$1</f>
        <v>4092.8147884522705</v>
      </c>
      <c r="AG47" s="7">
        <f>Inputs!$B67*(1+inf)^AF$1</f>
        <v>4195.1351581635763</v>
      </c>
      <c r="AH47" s="7">
        <f>Inputs!$B67*(1+inf)^AG$1</f>
        <v>4300.0135371176666</v>
      </c>
      <c r="AI47" s="7">
        <f>Inputs!$B67*(1+inf)^AH$1</f>
        <v>4407.5138755456073</v>
      </c>
      <c r="AJ47" s="7">
        <f>Inputs!$B67*(1+inf)^AI$1</f>
        <v>4517.7017224342471</v>
      </c>
      <c r="AK47" s="7">
        <f>Inputs!$B67*(1+inf)^AJ$1</f>
        <v>4630.6442654951034</v>
      </c>
      <c r="AL47" s="7">
        <f>Inputs!$B67*(1+inf)^AK$1</f>
        <v>4746.41037213248</v>
      </c>
      <c r="AM47" s="7">
        <f>Inputs!$B67*(1+inf)^AL$1</f>
        <v>4865.0706314357931</v>
      </c>
    </row>
    <row r="48" spans="1:39" x14ac:dyDescent="0.2">
      <c r="A48" s="3" t="str">
        <f>TEXT(Inputs!$B$70,"")</f>
        <v>Qormi</v>
      </c>
      <c r="B48" s="8"/>
      <c r="C48" s="7">
        <f ca="1">Inputs!$B72*(1+inf)^B$1*ProRate</f>
        <v>900</v>
      </c>
      <c r="D48" s="7">
        <f>Inputs!$B72*(1+inf)^C$1</f>
        <v>1230</v>
      </c>
      <c r="E48" s="7">
        <f>Inputs!$B72*(1+inf)^D$1</f>
        <v>1260.75</v>
      </c>
      <c r="F48" s="7">
        <f>Inputs!$B72*(1+inf)^E$1</f>
        <v>1292.26875</v>
      </c>
      <c r="G48" s="7">
        <f>Inputs!$B72*(1+inf)^F$1</f>
        <v>1324.5754687499998</v>
      </c>
      <c r="H48" s="7">
        <f>Inputs!$B72*(1+inf)^G$1</f>
        <v>1357.6898554687496</v>
      </c>
      <c r="I48" s="7">
        <f>Inputs!$B72*(1+inf)^H$1</f>
        <v>1391.6321018554681</v>
      </c>
      <c r="J48" s="7">
        <f>Inputs!$B72*(1+inf)^I$1</f>
        <v>1426.422904401855</v>
      </c>
      <c r="K48" s="7">
        <f>Inputs!$B72*(1+inf)^J$1</f>
        <v>1462.0834770119013</v>
      </c>
      <c r="L48" s="7">
        <f>Inputs!$B72*(1+inf)^K$1</f>
        <v>1498.6355639371984</v>
      </c>
      <c r="M48" s="7">
        <f>Inputs!$B72*(1+inf)^L$1</f>
        <v>1536.1014530356285</v>
      </c>
      <c r="N48" s="7">
        <f>Inputs!$B72*(1+inf)^M$1</f>
        <v>1574.5039893615192</v>
      </c>
      <c r="O48" s="7">
        <f>Inputs!$B72*(1+inf)^N$1</f>
        <v>1613.8665890955569</v>
      </c>
      <c r="P48" s="7">
        <f>Inputs!$B72*(1+inf)^O$1</f>
        <v>1654.2132538229459</v>
      </c>
      <c r="Q48" s="7">
        <f>Inputs!$B72*(1+inf)^P$1</f>
        <v>1695.5685851685193</v>
      </c>
      <c r="R48" s="7">
        <f>Inputs!$B72*(1+inf)^Q$1</f>
        <v>1737.9577997977326</v>
      </c>
      <c r="S48" s="7">
        <f>Inputs!$B72*(1+inf)^R$1</f>
        <v>1781.4067447926757</v>
      </c>
      <c r="T48" s="7">
        <f>Inputs!$B72*(1+inf)^S$1</f>
        <v>1825.9419134124923</v>
      </c>
      <c r="U48" s="7">
        <f>Inputs!$B72*(1+inf)^T$1</f>
        <v>1871.5904612478048</v>
      </c>
      <c r="V48" s="7">
        <f>Inputs!$B72*(1+inf)^U$1</f>
        <v>1918.380222779</v>
      </c>
      <c r="W48" s="7">
        <f>Inputs!$B72*(1+inf)^V$1</f>
        <v>1966.3397283484746</v>
      </c>
      <c r="X48" s="7">
        <f>Inputs!$B72*(1+inf)^W$1</f>
        <v>2015.4982215571863</v>
      </c>
      <c r="Y48" s="7">
        <f>Inputs!$B72*(1+inf)^X$1</f>
        <v>2065.8856770961161</v>
      </c>
      <c r="Z48" s="7">
        <f>Inputs!$B72*(1+inf)^Y$1</f>
        <v>2117.5328190235191</v>
      </c>
      <c r="AA48" s="7">
        <f>Inputs!$B72*(1+inf)^Z$1</f>
        <v>2170.4711394991068</v>
      </c>
      <c r="AB48" s="7">
        <f>Inputs!$B72*(1+inf)^AA$1</f>
        <v>2224.7329179865842</v>
      </c>
      <c r="AC48" s="7">
        <f>Inputs!$B72*(1+inf)^AB$1</f>
        <v>2280.3512409362484</v>
      </c>
      <c r="AD48" s="7">
        <f>Inputs!$B72*(1+inf)^AC$1</f>
        <v>2337.3600219596547</v>
      </c>
      <c r="AE48" s="7">
        <f>Inputs!$B72*(1+inf)^AD$1</f>
        <v>2395.7940225086459</v>
      </c>
      <c r="AF48" s="7">
        <f>Inputs!$B72*(1+inf)^AE$1</f>
        <v>2455.6888730713622</v>
      </c>
      <c r="AG48" s="7">
        <f>Inputs!$B72*(1+inf)^AF$1</f>
        <v>2517.0810948981457</v>
      </c>
      <c r="AH48" s="7">
        <f>Inputs!$B72*(1+inf)^AG$1</f>
        <v>2580.0081222705999</v>
      </c>
      <c r="AI48" s="7">
        <f>Inputs!$B72*(1+inf)^AH$1</f>
        <v>2644.5083253273642</v>
      </c>
      <c r="AJ48" s="7">
        <f>Inputs!$B72*(1+inf)^AI$1</f>
        <v>2710.6210334605485</v>
      </c>
      <c r="AK48" s="7">
        <f>Inputs!$B72*(1+inf)^AJ$1</f>
        <v>2778.3865592970619</v>
      </c>
      <c r="AL48" s="7">
        <f>Inputs!$B72*(1+inf)^AK$1</f>
        <v>2847.8462232794882</v>
      </c>
      <c r="AM48" s="7">
        <f>Inputs!$B72*(1+inf)^AL$1</f>
        <v>2919.0423788614758</v>
      </c>
    </row>
    <row r="49" spans="1:39" x14ac:dyDescent="0.2">
      <c r="A49" s="3" t="str">
        <f>TEXT(Inputs!$B$75,"")</f>
        <v>Gudja</v>
      </c>
      <c r="B49" s="8"/>
      <c r="C49" s="7">
        <f ca="1">Inputs!$B77*(1+inf)^B$1*ProRate</f>
        <v>750</v>
      </c>
      <c r="D49" s="7">
        <f>Inputs!$B77*(1+inf)^C$1</f>
        <v>1025</v>
      </c>
      <c r="E49" s="7">
        <f>Inputs!$B77*(1+inf)^D$1</f>
        <v>1050.625</v>
      </c>
      <c r="F49" s="7">
        <f>Inputs!$B77*(1+inf)^E$1</f>
        <v>1076.8906249999998</v>
      </c>
      <c r="G49" s="7">
        <f>Inputs!$B77*(1+inf)^F$1</f>
        <v>1103.8128906249997</v>
      </c>
      <c r="H49" s="7">
        <f>Inputs!$B77*(1+inf)^G$1</f>
        <v>1131.4082128906246</v>
      </c>
      <c r="I49" s="7">
        <f>Inputs!$B77*(1+inf)^H$1</f>
        <v>1159.6934182128903</v>
      </c>
      <c r="J49" s="7">
        <f>Inputs!$B77*(1+inf)^I$1</f>
        <v>1188.6857536682126</v>
      </c>
      <c r="K49" s="7">
        <f>Inputs!$B77*(1+inf)^J$1</f>
        <v>1218.4028975099177</v>
      </c>
      <c r="L49" s="7">
        <f>Inputs!$B77*(1+inf)^K$1</f>
        <v>1248.8629699476655</v>
      </c>
      <c r="M49" s="7">
        <f>Inputs!$B77*(1+inf)^L$1</f>
        <v>1280.084544196357</v>
      </c>
      <c r="N49" s="7">
        <f>Inputs!$B77*(1+inf)^M$1</f>
        <v>1312.086657801266</v>
      </c>
      <c r="O49" s="7">
        <f>Inputs!$B77*(1+inf)^N$1</f>
        <v>1344.8888242462974</v>
      </c>
      <c r="P49" s="7">
        <f>Inputs!$B77*(1+inf)^O$1</f>
        <v>1378.5110448524549</v>
      </c>
      <c r="Q49" s="7">
        <f>Inputs!$B77*(1+inf)^P$1</f>
        <v>1412.9738209737661</v>
      </c>
      <c r="R49" s="7">
        <f>Inputs!$B77*(1+inf)^Q$1</f>
        <v>1448.2981664981105</v>
      </c>
      <c r="S49" s="7">
        <f>Inputs!$B77*(1+inf)^R$1</f>
        <v>1484.5056206605632</v>
      </c>
      <c r="T49" s="7">
        <f>Inputs!$B77*(1+inf)^S$1</f>
        <v>1521.6182611770771</v>
      </c>
      <c r="U49" s="7">
        <f>Inputs!$B77*(1+inf)^T$1</f>
        <v>1559.6587177065039</v>
      </c>
      <c r="V49" s="7">
        <f>Inputs!$B77*(1+inf)^U$1</f>
        <v>1598.6501856491666</v>
      </c>
      <c r="W49" s="7">
        <f>Inputs!$B77*(1+inf)^V$1</f>
        <v>1638.6164402903955</v>
      </c>
      <c r="X49" s="7">
        <f>Inputs!$B77*(1+inf)^W$1</f>
        <v>1679.5818512976552</v>
      </c>
      <c r="Y49" s="7">
        <f>Inputs!$B77*(1+inf)^X$1</f>
        <v>1721.5713975800966</v>
      </c>
      <c r="Z49" s="7">
        <f>Inputs!$B77*(1+inf)^Y$1</f>
        <v>1764.6106825195991</v>
      </c>
      <c r="AA49" s="7">
        <f>Inputs!$B77*(1+inf)^Z$1</f>
        <v>1808.725949582589</v>
      </c>
      <c r="AB49" s="7">
        <f>Inputs!$B77*(1+inf)^AA$1</f>
        <v>1853.9440983221534</v>
      </c>
      <c r="AC49" s="7">
        <f>Inputs!$B77*(1+inf)^AB$1</f>
        <v>1900.292700780207</v>
      </c>
      <c r="AD49" s="7">
        <f>Inputs!$B77*(1+inf)^AC$1</f>
        <v>1947.8000182997121</v>
      </c>
      <c r="AE49" s="7">
        <f>Inputs!$B77*(1+inf)^AD$1</f>
        <v>1996.4950187572049</v>
      </c>
      <c r="AF49" s="7">
        <f>Inputs!$B77*(1+inf)^AE$1</f>
        <v>2046.4073942261352</v>
      </c>
      <c r="AG49" s="7">
        <f>Inputs!$B77*(1+inf)^AF$1</f>
        <v>2097.5675790817882</v>
      </c>
      <c r="AH49" s="7">
        <f>Inputs!$B77*(1+inf)^AG$1</f>
        <v>2150.0067685588333</v>
      </c>
      <c r="AI49" s="7">
        <f>Inputs!$B77*(1+inf)^AH$1</f>
        <v>2203.7569377728037</v>
      </c>
      <c r="AJ49" s="7">
        <f>Inputs!$B77*(1+inf)^AI$1</f>
        <v>2258.8508612171236</v>
      </c>
      <c r="AK49" s="7">
        <f>Inputs!$B77*(1+inf)^AJ$1</f>
        <v>2315.3221327475517</v>
      </c>
      <c r="AL49" s="7">
        <f>Inputs!$B77*(1+inf)^AK$1</f>
        <v>2373.20518606624</v>
      </c>
      <c r="AM49" s="7">
        <f>Inputs!$B77*(1+inf)^AL$1</f>
        <v>2432.5353157178965</v>
      </c>
    </row>
    <row r="50" spans="1:39" x14ac:dyDescent="0.2">
      <c r="A50" s="3" t="str">
        <f>TEXT(Inputs!$B$80,"")</f>
        <v>Marsa</v>
      </c>
      <c r="B50" s="8"/>
      <c r="C50" s="7">
        <f ca="1">Inputs!$B82*(1+inf)^B$1*ProRate</f>
        <v>600</v>
      </c>
      <c r="D50" s="7">
        <f>Inputs!$B82*(1+inf)^C$1</f>
        <v>819.99999999999989</v>
      </c>
      <c r="E50" s="7">
        <f>Inputs!$B82*(1+inf)^D$1</f>
        <v>840.49999999999989</v>
      </c>
      <c r="F50" s="7">
        <f>Inputs!$B82*(1+inf)^E$1</f>
        <v>861.51249999999993</v>
      </c>
      <c r="G50" s="7">
        <f>Inputs!$B82*(1+inf)^F$1</f>
        <v>883.05031249999979</v>
      </c>
      <c r="H50" s="7">
        <f>Inputs!$B82*(1+inf)^G$1</f>
        <v>905.12657031249978</v>
      </c>
      <c r="I50" s="7">
        <f>Inputs!$B82*(1+inf)^H$1</f>
        <v>927.75473457031217</v>
      </c>
      <c r="J50" s="7">
        <f>Inputs!$B82*(1+inf)^I$1</f>
        <v>950.94860293456998</v>
      </c>
      <c r="K50" s="7">
        <f>Inputs!$B82*(1+inf)^J$1</f>
        <v>974.72231800793418</v>
      </c>
      <c r="L50" s="7">
        <f>Inputs!$B82*(1+inf)^K$1</f>
        <v>999.09037595813231</v>
      </c>
      <c r="M50" s="7">
        <f>Inputs!$B82*(1+inf)^L$1</f>
        <v>1024.0676353570857</v>
      </c>
      <c r="N50" s="7">
        <f>Inputs!$B82*(1+inf)^M$1</f>
        <v>1049.6693262410129</v>
      </c>
      <c r="O50" s="7">
        <f>Inputs!$B82*(1+inf)^N$1</f>
        <v>1075.9110593970381</v>
      </c>
      <c r="P50" s="7">
        <f>Inputs!$B82*(1+inf)^O$1</f>
        <v>1102.8088358819639</v>
      </c>
      <c r="Q50" s="7">
        <f>Inputs!$B82*(1+inf)^P$1</f>
        <v>1130.3790567790129</v>
      </c>
      <c r="R50" s="7">
        <f>Inputs!$B82*(1+inf)^Q$1</f>
        <v>1158.6385331984884</v>
      </c>
      <c r="S50" s="7">
        <f>Inputs!$B82*(1+inf)^R$1</f>
        <v>1187.6044965284505</v>
      </c>
      <c r="T50" s="7">
        <f>Inputs!$B82*(1+inf)^S$1</f>
        <v>1217.2946089416616</v>
      </c>
      <c r="U50" s="7">
        <f>Inputs!$B82*(1+inf)^T$1</f>
        <v>1247.7269741652033</v>
      </c>
      <c r="V50" s="7">
        <f>Inputs!$B82*(1+inf)^U$1</f>
        <v>1278.9201485193332</v>
      </c>
      <c r="W50" s="7">
        <f>Inputs!$B82*(1+inf)^V$1</f>
        <v>1310.8931522323164</v>
      </c>
      <c r="X50" s="7">
        <f>Inputs!$B82*(1+inf)^W$1</f>
        <v>1343.6654810381242</v>
      </c>
      <c r="Y50" s="7">
        <f>Inputs!$B82*(1+inf)^X$1</f>
        <v>1377.2571180640773</v>
      </c>
      <c r="Z50" s="7">
        <f>Inputs!$B82*(1+inf)^Y$1</f>
        <v>1411.6885460156793</v>
      </c>
      <c r="AA50" s="7">
        <f>Inputs!$B82*(1+inf)^Z$1</f>
        <v>1446.9807596660712</v>
      </c>
      <c r="AB50" s="7">
        <f>Inputs!$B82*(1+inf)^AA$1</f>
        <v>1483.1552786577226</v>
      </c>
      <c r="AC50" s="7">
        <f>Inputs!$B82*(1+inf)^AB$1</f>
        <v>1520.2341606241657</v>
      </c>
      <c r="AD50" s="7">
        <f>Inputs!$B82*(1+inf)^AC$1</f>
        <v>1558.2400146397697</v>
      </c>
      <c r="AE50" s="7">
        <f>Inputs!$B82*(1+inf)^AD$1</f>
        <v>1597.1960150057639</v>
      </c>
      <c r="AF50" s="7">
        <f>Inputs!$B82*(1+inf)^AE$1</f>
        <v>1637.1259153809081</v>
      </c>
      <c r="AG50" s="7">
        <f>Inputs!$B82*(1+inf)^AF$1</f>
        <v>1678.0540632654304</v>
      </c>
      <c r="AH50" s="7">
        <f>Inputs!$B82*(1+inf)^AG$1</f>
        <v>1720.0054148470667</v>
      </c>
      <c r="AI50" s="7">
        <f>Inputs!$B82*(1+inf)^AH$1</f>
        <v>1763.0055502182429</v>
      </c>
      <c r="AJ50" s="7">
        <f>Inputs!$B82*(1+inf)^AI$1</f>
        <v>1807.0806889736989</v>
      </c>
      <c r="AK50" s="7">
        <f>Inputs!$B82*(1+inf)^AJ$1</f>
        <v>1852.2577061980414</v>
      </c>
      <c r="AL50" s="7">
        <f>Inputs!$B82*(1+inf)^AK$1</f>
        <v>1898.5641488529923</v>
      </c>
      <c r="AM50" s="7">
        <f>Inputs!$B82*(1+inf)^AL$1</f>
        <v>1946.0282525743171</v>
      </c>
    </row>
    <row r="51" spans="1:39" x14ac:dyDescent="0.2">
      <c r="A51" s="4" t="s">
        <v>15</v>
      </c>
      <c r="B51" s="8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</row>
    <row r="52" spans="1:39" x14ac:dyDescent="0.2">
      <c r="A52" s="3" t="s">
        <v>53</v>
      </c>
      <c r="B52" s="8"/>
      <c r="C52" s="7">
        <f ca="1">Inputs!$B$25*(1+inf)^B$1*ProRate</f>
        <v>37500</v>
      </c>
      <c r="D52" s="7">
        <f>Inputs!$B$25*(1+inf)^C$1</f>
        <v>51249.999999999993</v>
      </c>
      <c r="E52" s="7">
        <f>Inputs!$B$25*(1+inf)^D$1</f>
        <v>52531.249999999993</v>
      </c>
      <c r="F52" s="7">
        <f>Inputs!$B$25*(1+inf)^E$1</f>
        <v>53844.531249999993</v>
      </c>
      <c r="G52" s="7">
        <f>Inputs!$B$25*(1+inf)^F$1</f>
        <v>55190.644531249985</v>
      </c>
      <c r="H52" s="7">
        <f>Inputs!$B$25*(1+inf)^G$1</f>
        <v>56570.410644531235</v>
      </c>
      <c r="I52" s="7">
        <f>Inputs!$B$25*(1+inf)^H$1</f>
        <v>57984.670910644512</v>
      </c>
      <c r="J52" s="7">
        <f>Inputs!$B$25*(1+inf)^I$1</f>
        <v>59434.287683410628</v>
      </c>
      <c r="K52" s="7">
        <f>Inputs!$B$25*(1+inf)^J$1</f>
        <v>60920.144875495884</v>
      </c>
      <c r="L52" s="7">
        <f>Inputs!$B$25*(1+inf)^K$1</f>
        <v>62443.14849738327</v>
      </c>
      <c r="M52" s="7">
        <f>Inputs!$B$25*(1+inf)^L$1</f>
        <v>64004.227209817851</v>
      </c>
      <c r="N52" s="7">
        <f>Inputs!$B$25*(1+inf)^M$1</f>
        <v>65604.332890063306</v>
      </c>
      <c r="O52" s="7">
        <f>Inputs!$B$25*(1+inf)^N$1</f>
        <v>67244.44121231488</v>
      </c>
      <c r="P52" s="7">
        <f>Inputs!$B$25*(1+inf)^O$1</f>
        <v>68925.55224262274</v>
      </c>
      <c r="Q52" s="7">
        <f>Inputs!$B$25*(1+inf)^P$1</f>
        <v>70648.691048688299</v>
      </c>
      <c r="R52" s="7">
        <f>Inputs!$B$25*(1+inf)^Q$1</f>
        <v>72414.908324905526</v>
      </c>
      <c r="S52" s="7">
        <f>Inputs!$B$25*(1+inf)^R$1</f>
        <v>74225.28103302815</v>
      </c>
      <c r="T52" s="7">
        <f>Inputs!$B$25*(1+inf)^S$1</f>
        <v>76080.913058853854</v>
      </c>
      <c r="U52" s="7">
        <f>Inputs!$B$25*(1+inf)^T$1</f>
        <v>77982.935885325205</v>
      </c>
      <c r="V52" s="7">
        <f>Inputs!$B$25*(1+inf)^U$1</f>
        <v>79932.509282458326</v>
      </c>
      <c r="W52" s="7">
        <f>Inputs!$B$25*(1+inf)^V$1</f>
        <v>81930.82201451977</v>
      </c>
      <c r="X52" s="7">
        <f>Inputs!$B$25*(1+inf)^W$1</f>
        <v>83979.092564882769</v>
      </c>
      <c r="Y52" s="7">
        <f>Inputs!$B$25*(1+inf)^X$1</f>
        <v>86078.569879004834</v>
      </c>
      <c r="Z52" s="7">
        <f>Inputs!$B$25*(1+inf)^Y$1</f>
        <v>88230.534125979961</v>
      </c>
      <c r="AA52" s="7">
        <f>Inputs!$B$25*(1+inf)^Z$1</f>
        <v>90436.29747912944</v>
      </c>
      <c r="AB52" s="7">
        <f>Inputs!$B$25*(1+inf)^AA$1</f>
        <v>92697.204916107672</v>
      </c>
      <c r="AC52" s="7">
        <f>Inputs!$B$25*(1+inf)^AB$1</f>
        <v>95014.635039010347</v>
      </c>
      <c r="AD52" s="7">
        <f>Inputs!$B$25*(1+inf)^AC$1</f>
        <v>97390.000914985605</v>
      </c>
      <c r="AE52" s="7">
        <f>Inputs!$B$25*(1+inf)^AD$1</f>
        <v>99824.750937860241</v>
      </c>
      <c r="AF52" s="7">
        <f>Inputs!$B$25*(1+inf)^AE$1</f>
        <v>102320.36971130676</v>
      </c>
      <c r="AG52" s="7">
        <f>Inputs!$B$25*(1+inf)^AF$1</f>
        <v>104878.37895408941</v>
      </c>
      <c r="AH52" s="7">
        <f>Inputs!$B$25*(1+inf)^AG$1</f>
        <v>107500.33842794166</v>
      </c>
      <c r="AI52" s="7">
        <f>Inputs!$B$25*(1+inf)^AH$1</f>
        <v>110187.84688864018</v>
      </c>
      <c r="AJ52" s="7">
        <f>Inputs!$B$25*(1+inf)^AI$1</f>
        <v>112942.54306085619</v>
      </c>
      <c r="AK52" s="7">
        <f>Inputs!$B$25*(1+inf)^AJ$1</f>
        <v>115766.10663737758</v>
      </c>
      <c r="AL52" s="7">
        <f>Inputs!$B$25*(1+inf)^AK$1</f>
        <v>118660.25930331201</v>
      </c>
      <c r="AM52" s="7">
        <f>Inputs!$B$25*(1+inf)^AL$1</f>
        <v>121626.76578589482</v>
      </c>
    </row>
    <row r="53" spans="1:39" x14ac:dyDescent="0.2">
      <c r="A53" s="3" t="str">
        <f>"Adjustment "&amp;Inputs!A257</f>
        <v>Adjustment from now to 65</v>
      </c>
      <c r="B53" s="8"/>
      <c r="C53" s="7">
        <f ca="1">IF(C$3&lt;=65,Inputs!$B$257*C$52,0)</f>
        <v>0</v>
      </c>
      <c r="D53" s="7">
        <f>IF(D$3&lt;=65,Inputs!$B$257*D$52,0)</f>
        <v>0</v>
      </c>
      <c r="E53" s="7">
        <f>IF(E$3&lt;=65,Inputs!$B$257*E$52,0)</f>
        <v>0</v>
      </c>
      <c r="F53" s="7">
        <f>IF(F$3&lt;=65,Inputs!$B$257*F$52,0)</f>
        <v>0</v>
      </c>
      <c r="G53" s="7">
        <f>IF(G$3&lt;=65,Inputs!$B$257*G$52,0)</f>
        <v>0</v>
      </c>
      <c r="H53" s="7">
        <f>IF(H$3&lt;=65,Inputs!$B$257*H$52,0)</f>
        <v>0</v>
      </c>
      <c r="I53" s="7">
        <f>IF(I$3&lt;=65,Inputs!$B$257*I$52,0)</f>
        <v>0</v>
      </c>
      <c r="J53" s="7">
        <f>IF(J$3&lt;=65,Inputs!$B$257*J$52,0)</f>
        <v>0</v>
      </c>
      <c r="K53" s="7">
        <f>IF(K$3&lt;=65,Inputs!$B$257*K$52,0)</f>
        <v>0</v>
      </c>
      <c r="L53" s="7">
        <f>IF(L$3&lt;=65,Inputs!$B$257*L$52,0)</f>
        <v>0</v>
      </c>
      <c r="M53" s="7">
        <f>IF(M$3&lt;=65,Inputs!$B$257*M$52,0)</f>
        <v>0</v>
      </c>
      <c r="N53" s="7">
        <f>IF(N$3&lt;=65,Inputs!$B$257*N$52,0)</f>
        <v>0</v>
      </c>
      <c r="O53" s="7">
        <f>IF(O$3&lt;=65,Inputs!$B$257*O$52,0)</f>
        <v>0</v>
      </c>
      <c r="P53" s="7">
        <f>IF(P$3&lt;=65,Inputs!$B$257*P$52,0)</f>
        <v>0</v>
      </c>
      <c r="Q53" s="7">
        <f>IF(Q$3&lt;=65,Inputs!$B$257*Q$52,0)</f>
        <v>0</v>
      </c>
      <c r="R53" s="7">
        <f>IF(R$3&lt;=65,Inputs!$B$257*R$52,0)</f>
        <v>0</v>
      </c>
      <c r="S53" s="7">
        <f>IF(S$3&lt;=65,Inputs!$B$257*S$52,0)</f>
        <v>0</v>
      </c>
      <c r="T53" s="7">
        <f>IF(T$3&lt;=65,Inputs!$B$257*T$52,0)</f>
        <v>0</v>
      </c>
      <c r="U53" s="7">
        <f>IF(U$3&lt;=65,Inputs!$B$257*U$52,0)</f>
        <v>0</v>
      </c>
      <c r="V53" s="7">
        <f>IF(V$3&lt;=65,Inputs!$B$257*V$52,0)</f>
        <v>0</v>
      </c>
      <c r="W53" s="7">
        <f>IF(W$3&lt;=65,Inputs!$B$257*W$52,0)</f>
        <v>0</v>
      </c>
      <c r="X53" s="7">
        <f>IF(X$3&lt;=65,Inputs!$B$257*X$52,0)</f>
        <v>0</v>
      </c>
      <c r="Y53" s="7">
        <f>IF(Y$3&lt;=65,Inputs!$B$257*Y$52,0)</f>
        <v>0</v>
      </c>
      <c r="Z53" s="7">
        <f>IF(Z$3&lt;=65,Inputs!$B$257*Z$52,0)</f>
        <v>0</v>
      </c>
      <c r="AA53" s="7">
        <f>IF(AA$3&lt;=65,Inputs!$B$257*AA$52,0)</f>
        <v>0</v>
      </c>
      <c r="AB53" s="7">
        <f>IF(AB$3&lt;=65,Inputs!$B$257*AB$52,0)</f>
        <v>0</v>
      </c>
      <c r="AC53" s="7">
        <f>IF(AC$3&lt;=65,Inputs!$B$257*AC$52,0)</f>
        <v>0</v>
      </c>
      <c r="AD53" s="7">
        <f>IF(AD$3&lt;=65,Inputs!$B$257*AD$52,0)</f>
        <v>0</v>
      </c>
      <c r="AE53" s="7">
        <f>IF(AE$3&lt;=65,Inputs!$B$257*AE$52,0)</f>
        <v>0</v>
      </c>
      <c r="AF53" s="7">
        <f>IF(AF$3&lt;=65,Inputs!$B$257*AF$52,0)</f>
        <v>0</v>
      </c>
      <c r="AG53" s="7">
        <f>IF(AG$3&lt;=65,Inputs!$B$257*AG$52,0)</f>
        <v>0</v>
      </c>
      <c r="AH53" s="7">
        <f>IF(AH$3&lt;=65,Inputs!$B$257*AH$52,0)</f>
        <v>0</v>
      </c>
      <c r="AI53" s="7">
        <f>IF(AI$3&lt;=65,Inputs!$B$257*AI$52,0)</f>
        <v>0</v>
      </c>
      <c r="AJ53" s="7">
        <f>IF(AJ$3&lt;=65,Inputs!$B$257*AJ$52,0)</f>
        <v>0</v>
      </c>
      <c r="AK53" s="7">
        <f>IF(AK$3&lt;=65,Inputs!$B$257*AK$52,0)</f>
        <v>0</v>
      </c>
      <c r="AL53" s="7">
        <f>IF(AL$3&lt;=65,Inputs!$B$257*AL$52,0)</f>
        <v>0</v>
      </c>
      <c r="AM53" s="7">
        <f>IF(AM$3&lt;=65,Inputs!$B$257*AM$52,0)</f>
        <v>0</v>
      </c>
    </row>
    <row r="54" spans="1:39" x14ac:dyDescent="0.2">
      <c r="A54" s="3" t="str">
        <f>"Adjustment "&amp;Inputs!A258</f>
        <v>Adjustment from 66-75</v>
      </c>
      <c r="B54" s="8"/>
      <c r="C54" s="7">
        <f>IF(AND(C$3&gt;65,C$3&lt;=75),Inputs!$B$258*C52,0)</f>
        <v>0</v>
      </c>
      <c r="D54" s="7">
        <f>IF(AND(D$3&gt;65,D$3&lt;=75),Inputs!$B$258*D52,0)</f>
        <v>0</v>
      </c>
      <c r="E54" s="7">
        <f>IF(AND(E$3&gt;65,E$3&lt;=75),Inputs!$B$258*E52,0)</f>
        <v>0</v>
      </c>
      <c r="F54" s="7">
        <f>IF(AND(F$3&gt;65,F$3&lt;=75),Inputs!$B$258*F52,0)</f>
        <v>0</v>
      </c>
      <c r="G54" s="7">
        <f>IF(AND(G$3&gt;65,G$3&lt;=75),Inputs!$B$258*G52,0)</f>
        <v>0</v>
      </c>
      <c r="H54" s="7">
        <f>IF(AND(H$3&gt;65,H$3&lt;=75),Inputs!$B$258*H52,0)</f>
        <v>0</v>
      </c>
      <c r="I54" s="7">
        <f>IF(AND(I$3&gt;65,I$3&lt;=75),Inputs!$B$258*I52,0)</f>
        <v>0</v>
      </c>
      <c r="J54" s="7">
        <f>IF(AND(J$3&gt;65,J$3&lt;=75),Inputs!$B$258*J52,0)</f>
        <v>0</v>
      </c>
      <c r="K54" s="7">
        <f>IF(AND(K$3&gt;65,K$3&lt;=75),Inputs!$B$258*K52,0)</f>
        <v>0</v>
      </c>
      <c r="L54" s="7">
        <f>IF(AND(L$3&gt;65,L$3&lt;=75),Inputs!$B$258*L52,0)</f>
        <v>0</v>
      </c>
      <c r="M54" s="7">
        <f>IF(AND(M$3&gt;65,M$3&lt;=75),Inputs!$B$258*M52,0)</f>
        <v>0</v>
      </c>
      <c r="N54" s="7">
        <f>IF(AND(N$3&gt;65,N$3&lt;=75),Inputs!$B$258*N52,0)</f>
        <v>0</v>
      </c>
      <c r="O54" s="7">
        <f>IF(AND(O$3&gt;65,O$3&lt;=75),Inputs!$B$258*O52,0)</f>
        <v>0</v>
      </c>
      <c r="P54" s="7">
        <f>IF(AND(P$3&gt;65,P$3&lt;=75),Inputs!$B$258*P52,0)</f>
        <v>0</v>
      </c>
      <c r="Q54" s="7">
        <f>IF(AND(Q$3&gt;65,Q$3&lt;=75),Inputs!$B$258*Q52,0)</f>
        <v>0</v>
      </c>
      <c r="R54" s="7">
        <f>IF(AND(R$3&gt;65,R$3&lt;=75),Inputs!$B$258*R52,0)</f>
        <v>0</v>
      </c>
      <c r="S54" s="7">
        <f>IF(AND(S$3&gt;65,S$3&lt;=75),Inputs!$B$258*S52,0)</f>
        <v>0</v>
      </c>
      <c r="T54" s="7">
        <f>IF(AND(T$3&gt;65,T$3&lt;=75),Inputs!$B$258*T52,0)</f>
        <v>0</v>
      </c>
      <c r="U54" s="7">
        <f>IF(AND(U$3&gt;65,U$3&lt;=75),Inputs!$B$258*U52,0)</f>
        <v>-7798.2935885325205</v>
      </c>
      <c r="V54" s="7">
        <f>IF(AND(V$3&gt;65,V$3&lt;=75),Inputs!$B$258*V52,0)</f>
        <v>-7993.2509282458332</v>
      </c>
      <c r="W54" s="7">
        <f>IF(AND(W$3&gt;65,W$3&lt;=75),Inputs!$B$258*W52,0)</f>
        <v>-8193.0822014519781</v>
      </c>
      <c r="X54" s="7">
        <f>IF(AND(X$3&gt;65,X$3&lt;=75),Inputs!$B$258*X52,0)</f>
        <v>-8397.9092564882776</v>
      </c>
      <c r="Y54" s="7">
        <f>IF(AND(Y$3&gt;65,Y$3&lt;=75),Inputs!$B$258*Y52,0)</f>
        <v>-8607.8569879004845</v>
      </c>
      <c r="Z54" s="7">
        <f>IF(AND(Z$3&gt;65,Z$3&lt;=75),Inputs!$B$258*Z52,0)</f>
        <v>-8823.0534125979957</v>
      </c>
      <c r="AA54" s="7">
        <f>IF(AND(AA$3&gt;65,AA$3&lt;=75),Inputs!$B$258*AA52,0)</f>
        <v>-9043.6297479129444</v>
      </c>
      <c r="AB54" s="7">
        <f>IF(AND(AB$3&gt;65,AB$3&lt;=75),Inputs!$B$258*AB52,0)</f>
        <v>-9269.7204916107676</v>
      </c>
      <c r="AC54" s="7">
        <f>IF(AND(AC$3&gt;65,AC$3&lt;=75),Inputs!$B$258*AC52,0)</f>
        <v>-9501.4635039010354</v>
      </c>
      <c r="AD54" s="7">
        <f>IF(AND(AD$3&gt;65,AD$3&lt;=75),Inputs!$B$258*AD52,0)</f>
        <v>-9739.0000914985612</v>
      </c>
      <c r="AE54" s="7">
        <f>IF(AND(AE$3&gt;65,AE$3&lt;=75),Inputs!$B$258*AE52,0)</f>
        <v>0</v>
      </c>
      <c r="AF54" s="7">
        <f>IF(AND(AF$3&gt;65,AF$3&lt;=75),Inputs!$B$258*AF52,0)</f>
        <v>0</v>
      </c>
      <c r="AG54" s="7">
        <f>IF(AND(AG$3&gt;65,AG$3&lt;=75),Inputs!$B$258*AG52,0)</f>
        <v>0</v>
      </c>
      <c r="AH54" s="7">
        <f>IF(AND(AH$3&gt;65,AH$3&lt;=75),Inputs!$B$258*AH52,0)</f>
        <v>0</v>
      </c>
      <c r="AI54" s="7">
        <f>IF(AND(AI$3&gt;65,AI$3&lt;=75),Inputs!$B$258*AI52,0)</f>
        <v>0</v>
      </c>
      <c r="AJ54" s="7">
        <f>IF(AND(AJ$3&gt;65,AJ$3&lt;=75),Inputs!$B$258*AJ52,0)</f>
        <v>0</v>
      </c>
      <c r="AK54" s="7">
        <f>IF(AND(AK$3&gt;65,AK$3&lt;=75),Inputs!$B$258*AK52,0)</f>
        <v>0</v>
      </c>
      <c r="AL54" s="7">
        <f>IF(AND(AL$3&gt;65,AL$3&lt;=75),Inputs!$B$258*AL52,0)</f>
        <v>0</v>
      </c>
      <c r="AM54" s="7">
        <f>IF(AND(AM$3&gt;65,AM$3&lt;=75),Inputs!$B$258*AM52,0)</f>
        <v>0</v>
      </c>
    </row>
    <row r="55" spans="1:39" x14ac:dyDescent="0.2">
      <c r="A55" s="3" t="str">
        <f>"Adjustment "&amp;Inputs!A259</f>
        <v>Adjustment from age 76</v>
      </c>
      <c r="B55" s="8"/>
      <c r="C55" s="7">
        <f>IF(C$3&gt;75,Inputs!$B$259*C$52,0)</f>
        <v>0</v>
      </c>
      <c r="D55" s="7">
        <f>IF(D$3&gt;75,Inputs!$B$259*D$52,0)</f>
        <v>0</v>
      </c>
      <c r="E55" s="7">
        <f>IF(E$3&gt;75,Inputs!$B$259*E$52,0)</f>
        <v>0</v>
      </c>
      <c r="F55" s="7">
        <f>IF(F$3&gt;75,Inputs!$B$259*F$52,0)</f>
        <v>0</v>
      </c>
      <c r="G55" s="7">
        <f>IF(G$3&gt;75,Inputs!$B$259*G$52,0)</f>
        <v>0</v>
      </c>
      <c r="H55" s="7">
        <f>IF(H$3&gt;75,Inputs!$B$259*H$52,0)</f>
        <v>0</v>
      </c>
      <c r="I55" s="7">
        <f>IF(I$3&gt;75,Inputs!$B$259*I$52,0)</f>
        <v>0</v>
      </c>
      <c r="J55" s="7">
        <f>IF(J$3&gt;75,Inputs!$B$259*J$52,0)</f>
        <v>0</v>
      </c>
      <c r="K55" s="7">
        <f>IF(K$3&gt;75,Inputs!$B$259*K$52,0)</f>
        <v>0</v>
      </c>
      <c r="L55" s="7">
        <f>IF(L$3&gt;75,Inputs!$B$259*L$52,0)</f>
        <v>0</v>
      </c>
      <c r="M55" s="7">
        <f>IF(M$3&gt;75,Inputs!$B$259*M$52,0)</f>
        <v>0</v>
      </c>
      <c r="N55" s="7">
        <f>IF(N$3&gt;75,Inputs!$B$259*N$52,0)</f>
        <v>0</v>
      </c>
      <c r="O55" s="7">
        <f>IF(O$3&gt;75,Inputs!$B$259*O$52,0)</f>
        <v>0</v>
      </c>
      <c r="P55" s="7">
        <f>IF(P$3&gt;75,Inputs!$B$259*P$52,0)</f>
        <v>0</v>
      </c>
      <c r="Q55" s="7">
        <f>IF(Q$3&gt;75,Inputs!$B$259*Q$52,0)</f>
        <v>0</v>
      </c>
      <c r="R55" s="7">
        <f>IF(R$3&gt;75,Inputs!$B$259*R$52,0)</f>
        <v>0</v>
      </c>
      <c r="S55" s="7">
        <f>IF(S$3&gt;75,Inputs!$B$259*S$52,0)</f>
        <v>0</v>
      </c>
      <c r="T55" s="7">
        <f>IF(T$3&gt;75,Inputs!$B$259*T$52,0)</f>
        <v>0</v>
      </c>
      <c r="U55" s="7">
        <f>IF(U$3&gt;75,Inputs!$B$259*U$52,0)</f>
        <v>0</v>
      </c>
      <c r="V55" s="7">
        <f>IF(V$3&gt;75,Inputs!$B$259*V$52,0)</f>
        <v>0</v>
      </c>
      <c r="W55" s="7">
        <f>IF(W$3&gt;75,Inputs!$B$259*W$52,0)</f>
        <v>0</v>
      </c>
      <c r="X55" s="7">
        <f>IF(X$3&gt;75,Inputs!$B$259*X$52,0)</f>
        <v>0</v>
      </c>
      <c r="Y55" s="7">
        <f>IF(Y$3&gt;75,Inputs!$B$259*Y$52,0)</f>
        <v>0</v>
      </c>
      <c r="Z55" s="7">
        <f>IF(Z$3&gt;75,Inputs!$B$259*Z$52,0)</f>
        <v>0</v>
      </c>
      <c r="AA55" s="7">
        <f>IF(AA$3&gt;75,Inputs!$B$259*AA$52,0)</f>
        <v>0</v>
      </c>
      <c r="AB55" s="7">
        <f>IF(AB$3&gt;75,Inputs!$B$259*AB$52,0)</f>
        <v>0</v>
      </c>
      <c r="AC55" s="7">
        <f>IF(AC$3&gt;75,Inputs!$B$259*AC$52,0)</f>
        <v>0</v>
      </c>
      <c r="AD55" s="7">
        <f>IF(AD$3&gt;75,Inputs!$B$259*AD$52,0)</f>
        <v>0</v>
      </c>
      <c r="AE55" s="7">
        <f>IF(AE$3&gt;75,Inputs!$B$259*AE$52,0)</f>
        <v>-19964.950187572049</v>
      </c>
      <c r="AF55" s="7">
        <f>IF(AF$3&gt;75,Inputs!$B$259*AF$52,0)</f>
        <v>-20464.073942261355</v>
      </c>
      <c r="AG55" s="7">
        <f>IF(AG$3&gt;75,Inputs!$B$259*AG$52,0)</f>
        <v>-20975.675790817884</v>
      </c>
      <c r="AH55" s="7">
        <f>IF(AH$3&gt;75,Inputs!$B$259*AH$52,0)</f>
        <v>-21500.067685588336</v>
      </c>
      <c r="AI55" s="7">
        <f>IF(AI$3&gt;75,Inputs!$B$259*AI$52,0)</f>
        <v>-22037.569377728039</v>
      </c>
      <c r="AJ55" s="7">
        <f>IF(AJ$3&gt;75,Inputs!$B$259*AJ$52,0)</f>
        <v>-22588.508612171237</v>
      </c>
      <c r="AK55" s="7">
        <f>IF(AK$3&gt;75,Inputs!$B$259*AK$52,0)</f>
        <v>-23153.22132747552</v>
      </c>
      <c r="AL55" s="7">
        <f>IF(AL$3&gt;75,Inputs!$B$259*AL$52,0)</f>
        <v>-23732.051860662403</v>
      </c>
      <c r="AM55" s="7">
        <f>IF(AM$3&gt;75,Inputs!$B$259*AM$52,0)</f>
        <v>-24325.353157178964</v>
      </c>
    </row>
    <row r="56" spans="1:39" x14ac:dyDescent="0.2">
      <c r="A56" s="4" t="s">
        <v>57</v>
      </c>
      <c r="B56" s="8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</row>
    <row r="57" spans="1:39" x14ac:dyDescent="0.2">
      <c r="A57" s="3" t="str">
        <f>TEXT(Inputs!$B$201,"")</f>
        <v>Wedding</v>
      </c>
      <c r="B57" s="8"/>
      <c r="C57" s="7">
        <f ca="1">IF(C$2=Inputs!$B203,Inputs!$B202,0)*(1+inf)^B$1</f>
        <v>0</v>
      </c>
      <c r="D57" s="7">
        <f ca="1">IF(D$2=Inputs!$B203,Inputs!$B202,0)*(1+inf)^C$1</f>
        <v>0</v>
      </c>
      <c r="E57" s="7">
        <f ca="1">IF(E$2=Inputs!$B203,Inputs!$B202,0)*(1+inf)^D$1</f>
        <v>0</v>
      </c>
      <c r="F57" s="7">
        <f ca="1">IF(F$2=Inputs!$B203,Inputs!$B202,0)*(1+inf)^E$1</f>
        <v>0</v>
      </c>
      <c r="G57" s="7">
        <f ca="1">IF(G$2=Inputs!$B203,Inputs!$B202,0)*(1+inf)^F$1</f>
        <v>0</v>
      </c>
      <c r="H57" s="7">
        <f ca="1">IF(H$2=Inputs!$B203,Inputs!$B202,0)*(1+inf)^G$1</f>
        <v>0</v>
      </c>
      <c r="I57" s="7">
        <f ca="1">IF(I$2=Inputs!$B203,Inputs!$B202,0)*(1+inf)^H$1</f>
        <v>0</v>
      </c>
      <c r="J57" s="7">
        <f ca="1">IF(J$2=Inputs!$B203,Inputs!$B202,0)*(1+inf)^I$1</f>
        <v>0</v>
      </c>
      <c r="K57" s="7">
        <f ca="1">IF(K$2=Inputs!$B203,Inputs!$B202,0)*(1+inf)^J$1</f>
        <v>0</v>
      </c>
      <c r="L57" s="7">
        <f ca="1">IF(L$2=Inputs!$B203,Inputs!$B202,0)*(1+inf)^K$1</f>
        <v>0</v>
      </c>
      <c r="M57" s="7">
        <f ca="1">IF(M$2=Inputs!$B203,Inputs!$B202,0)*(1+inf)^L$1</f>
        <v>51203.381767854284</v>
      </c>
      <c r="N57" s="7">
        <f ca="1">IF(N$2=Inputs!$B203,Inputs!$B202,0)*(1+inf)^M$1</f>
        <v>0</v>
      </c>
      <c r="O57" s="7">
        <f ca="1">IF(O$2=Inputs!$B203,Inputs!$B202,0)*(1+inf)^N$1</f>
        <v>0</v>
      </c>
      <c r="P57" s="7">
        <f ca="1">IF(P$2=Inputs!$B203,Inputs!$B202,0)*(1+inf)^O$1</f>
        <v>0</v>
      </c>
      <c r="Q57" s="7">
        <f ca="1">IF(Q$2=Inputs!$B203,Inputs!$B202,0)*(1+inf)^P$1</f>
        <v>0</v>
      </c>
      <c r="R57" s="7">
        <f ca="1">IF(R$2=Inputs!$B203,Inputs!$B202,0)*(1+inf)^Q$1</f>
        <v>0</v>
      </c>
      <c r="S57" s="7">
        <f ca="1">IF(S$2=Inputs!$B203,Inputs!$B202,0)*(1+inf)^R$1</f>
        <v>0</v>
      </c>
      <c r="T57" s="7">
        <f ca="1">IF(T$2=Inputs!$B203,Inputs!$B202,0)*(1+inf)^S$1</f>
        <v>0</v>
      </c>
      <c r="U57" s="7">
        <f ca="1">IF(U$2=Inputs!$B203,Inputs!$B202,0)*(1+inf)^T$1</f>
        <v>0</v>
      </c>
      <c r="V57" s="7">
        <f ca="1">IF(V$2=Inputs!$B203,Inputs!$B202,0)*(1+inf)^U$1</f>
        <v>0</v>
      </c>
      <c r="W57" s="7">
        <f ca="1">IF(W$2=Inputs!$B203,Inputs!$B202,0)*(1+inf)^V$1</f>
        <v>0</v>
      </c>
      <c r="X57" s="7">
        <f ca="1">IF(X$2=Inputs!$B203,Inputs!$B202,0)*(1+inf)^W$1</f>
        <v>0</v>
      </c>
      <c r="Y57" s="7">
        <f ca="1">IF(Y$2=Inputs!$B203,Inputs!$B202,0)*(1+inf)^X$1</f>
        <v>0</v>
      </c>
      <c r="Z57" s="7">
        <f ca="1">IF(Z$2=Inputs!$B203,Inputs!$B202,0)*(1+inf)^Y$1</f>
        <v>0</v>
      </c>
      <c r="AA57" s="7">
        <f ca="1">IF(AA$2=Inputs!$B203,Inputs!$B202,0)*(1+inf)^Z$1</f>
        <v>0</v>
      </c>
      <c r="AB57" s="7">
        <f ca="1">IF(AB$2=Inputs!$B203,Inputs!$B202,0)*(1+inf)^AA$1</f>
        <v>0</v>
      </c>
      <c r="AC57" s="7">
        <f ca="1">IF(AC$2=Inputs!$B203,Inputs!$B202,0)*(1+inf)^AB$1</f>
        <v>0</v>
      </c>
      <c r="AD57" s="7">
        <f ca="1">IF(AD$2=Inputs!$B203,Inputs!$B202,0)*(1+inf)^AC$1</f>
        <v>0</v>
      </c>
      <c r="AE57" s="7">
        <f ca="1">IF(AE$2=Inputs!$B203,Inputs!$B202,0)*(1+inf)^AD$1</f>
        <v>0</v>
      </c>
      <c r="AF57" s="7">
        <f ca="1">IF(AF$2=Inputs!$B203,Inputs!$B202,0)*(1+inf)^AE$1</f>
        <v>0</v>
      </c>
      <c r="AG57" s="7">
        <f ca="1">IF(AG$2=Inputs!$B203,Inputs!$B202,0)*(1+inf)^AF$1</f>
        <v>0</v>
      </c>
      <c r="AH57" s="7">
        <f ca="1">IF(AH$2=Inputs!$B203,Inputs!$B202,0)*(1+inf)^AG$1</f>
        <v>0</v>
      </c>
      <c r="AI57" s="7">
        <f ca="1">IF(AI$2=Inputs!$B203,Inputs!$B202,0)*(1+inf)^AH$1</f>
        <v>0</v>
      </c>
      <c r="AJ57" s="7">
        <f ca="1">IF(AJ$2=Inputs!$B203,Inputs!$B202,0)*(1+inf)^AI$1</f>
        <v>0</v>
      </c>
      <c r="AK57" s="7">
        <f ca="1">IF(AK$2=Inputs!$B203,Inputs!$B202,0)*(1+inf)^AJ$1</f>
        <v>0</v>
      </c>
      <c r="AL57" s="7">
        <f ca="1">IF(AL$2=Inputs!$B203,Inputs!$B202,0)*(1+inf)^AK$1</f>
        <v>0</v>
      </c>
      <c r="AM57" s="7">
        <f ca="1">IF(AM$2=Inputs!$B203,Inputs!$B202,0)*(1+inf)^AL$1</f>
        <v>0</v>
      </c>
    </row>
    <row r="58" spans="1:39" x14ac:dyDescent="0.2">
      <c r="A58" s="3" t="str">
        <f>TEXT(Inputs!$B$206,"")</f>
        <v>New Car</v>
      </c>
      <c r="B58" s="8"/>
      <c r="C58" s="7">
        <f ca="1">IF(C$2=Inputs!$B208,Inputs!$B207,0)*(1+inf)^B$1</f>
        <v>0</v>
      </c>
      <c r="D58" s="7">
        <f ca="1">IF(D$2=Inputs!$B208,Inputs!$B207,0)*(1+inf)^C$1</f>
        <v>0</v>
      </c>
      <c r="E58" s="7">
        <f ca="1">IF(E$2=Inputs!$B208,Inputs!$B207,0)*(1+inf)^D$1</f>
        <v>0</v>
      </c>
      <c r="F58" s="7">
        <f ca="1">IF(F$2=Inputs!$B208,Inputs!$B207,0)*(1+inf)^E$1</f>
        <v>37691.171874999993</v>
      </c>
      <c r="G58" s="7">
        <f ca="1">IF(G$2=Inputs!$B208,Inputs!$B207,0)*(1+inf)^F$1</f>
        <v>0</v>
      </c>
      <c r="H58" s="7">
        <f ca="1">IF(H$2=Inputs!$B208,Inputs!$B207,0)*(1+inf)^G$1</f>
        <v>0</v>
      </c>
      <c r="I58" s="7">
        <f ca="1">IF(I$2=Inputs!$B208,Inputs!$B207,0)*(1+inf)^H$1</f>
        <v>0</v>
      </c>
      <c r="J58" s="7">
        <f ca="1">IF(J$2=Inputs!$B208,Inputs!$B207,0)*(1+inf)^I$1</f>
        <v>0</v>
      </c>
      <c r="K58" s="7">
        <f ca="1">IF(K$2=Inputs!$B208,Inputs!$B207,0)*(1+inf)^J$1</f>
        <v>0</v>
      </c>
      <c r="L58" s="7">
        <f ca="1">IF(L$2=Inputs!$B208,Inputs!$B207,0)*(1+inf)^K$1</f>
        <v>0</v>
      </c>
      <c r="M58" s="7">
        <f ca="1">IF(M$2=Inputs!$B208,Inputs!$B207,0)*(1+inf)^L$1</f>
        <v>0</v>
      </c>
      <c r="N58" s="7">
        <f ca="1">IF(N$2=Inputs!$B208,Inputs!$B207,0)*(1+inf)^M$1</f>
        <v>0</v>
      </c>
      <c r="O58" s="7">
        <f ca="1">IF(O$2=Inputs!$B208,Inputs!$B207,0)*(1+inf)^N$1</f>
        <v>0</v>
      </c>
      <c r="P58" s="7">
        <f ca="1">IF(P$2=Inputs!$B208,Inputs!$B207,0)*(1+inf)^O$1</f>
        <v>0</v>
      </c>
      <c r="Q58" s="7">
        <f ca="1">IF(Q$2=Inputs!$B208,Inputs!$B207,0)*(1+inf)^P$1</f>
        <v>0</v>
      </c>
      <c r="R58" s="7">
        <f ca="1">IF(R$2=Inputs!$B208,Inputs!$B207,0)*(1+inf)^Q$1</f>
        <v>0</v>
      </c>
      <c r="S58" s="7">
        <f ca="1">IF(S$2=Inputs!$B208,Inputs!$B207,0)*(1+inf)^R$1</f>
        <v>0</v>
      </c>
      <c r="T58" s="7">
        <f ca="1">IF(T$2=Inputs!$B208,Inputs!$B207,0)*(1+inf)^S$1</f>
        <v>0</v>
      </c>
      <c r="U58" s="7">
        <f ca="1">IF(U$2=Inputs!$B208,Inputs!$B207,0)*(1+inf)^T$1</f>
        <v>0</v>
      </c>
      <c r="V58" s="7">
        <f ca="1">IF(V$2=Inputs!$B208,Inputs!$B207,0)*(1+inf)^U$1</f>
        <v>0</v>
      </c>
      <c r="W58" s="7">
        <f ca="1">IF(W$2=Inputs!$B208,Inputs!$B207,0)*(1+inf)^V$1</f>
        <v>0</v>
      </c>
      <c r="X58" s="7">
        <f ca="1">IF(X$2=Inputs!$B208,Inputs!$B207,0)*(1+inf)^W$1</f>
        <v>0</v>
      </c>
      <c r="Y58" s="7">
        <f ca="1">IF(Y$2=Inputs!$B208,Inputs!$B207,0)*(1+inf)^X$1</f>
        <v>0</v>
      </c>
      <c r="Z58" s="7">
        <f ca="1">IF(Z$2=Inputs!$B208,Inputs!$B207,0)*(1+inf)^Y$1</f>
        <v>0</v>
      </c>
      <c r="AA58" s="7">
        <f ca="1">IF(AA$2=Inputs!$B208,Inputs!$B207,0)*(1+inf)^Z$1</f>
        <v>0</v>
      </c>
      <c r="AB58" s="7">
        <f ca="1">IF(AB$2=Inputs!$B208,Inputs!$B207,0)*(1+inf)^AA$1</f>
        <v>0</v>
      </c>
      <c r="AC58" s="7">
        <f ca="1">IF(AC$2=Inputs!$B208,Inputs!$B207,0)*(1+inf)^AB$1</f>
        <v>0</v>
      </c>
      <c r="AD58" s="7">
        <f ca="1">IF(AD$2=Inputs!$B208,Inputs!$B207,0)*(1+inf)^AC$1</f>
        <v>0</v>
      </c>
      <c r="AE58" s="7">
        <f ca="1">IF(AE$2=Inputs!$B208,Inputs!$B207,0)*(1+inf)^AD$1</f>
        <v>0</v>
      </c>
      <c r="AF58" s="7">
        <f ca="1">IF(AF$2=Inputs!$B208,Inputs!$B207,0)*(1+inf)^AE$1</f>
        <v>0</v>
      </c>
      <c r="AG58" s="7">
        <f ca="1">IF(AG$2=Inputs!$B208,Inputs!$B207,0)*(1+inf)^AF$1</f>
        <v>0</v>
      </c>
      <c r="AH58" s="7">
        <f ca="1">IF(AH$2=Inputs!$B208,Inputs!$B207,0)*(1+inf)^AG$1</f>
        <v>0</v>
      </c>
      <c r="AI58" s="7">
        <f ca="1">IF(AI$2=Inputs!$B208,Inputs!$B207,0)*(1+inf)^AH$1</f>
        <v>0</v>
      </c>
      <c r="AJ58" s="7">
        <f ca="1">IF(AJ$2=Inputs!$B208,Inputs!$B207,0)*(1+inf)^AI$1</f>
        <v>0</v>
      </c>
      <c r="AK58" s="7">
        <f ca="1">IF(AK$2=Inputs!$B208,Inputs!$B207,0)*(1+inf)^AJ$1</f>
        <v>0</v>
      </c>
      <c r="AL58" s="7">
        <f ca="1">IF(AL$2=Inputs!$B208,Inputs!$B207,0)*(1+inf)^AK$1</f>
        <v>0</v>
      </c>
      <c r="AM58" s="7">
        <f ca="1">IF(AM$2=Inputs!$B208,Inputs!$B207,0)*(1+inf)^AL$1</f>
        <v>0</v>
      </c>
    </row>
    <row r="59" spans="1:39" x14ac:dyDescent="0.2">
      <c r="A59" s="3" t="str">
        <f>TEXT(Inputs!$B$211,"")</f>
        <v>New AC</v>
      </c>
      <c r="B59" s="8"/>
      <c r="C59" s="7">
        <f ca="1">IF(C$2=Inputs!$B213,Inputs!$B212,0)*(1+inf)^B$1</f>
        <v>0</v>
      </c>
      <c r="D59" s="7">
        <f ca="1">IF(D$2=Inputs!$B213,Inputs!$B212,0)*(1+inf)^C$1</f>
        <v>0</v>
      </c>
      <c r="E59" s="7">
        <f ca="1">IF(E$2=Inputs!$B213,Inputs!$B212,0)*(1+inf)^D$1</f>
        <v>0</v>
      </c>
      <c r="F59" s="7">
        <f ca="1">IF(F$2=Inputs!$B213,Inputs!$B212,0)*(1+inf)^E$1</f>
        <v>0</v>
      </c>
      <c r="G59" s="7">
        <f ca="1">IF(G$2=Inputs!$B213,Inputs!$B212,0)*(1+inf)^F$1</f>
        <v>0</v>
      </c>
      <c r="H59" s="7">
        <f ca="1">IF(H$2=Inputs!$B213,Inputs!$B212,0)*(1+inf)^G$1</f>
        <v>0</v>
      </c>
      <c r="I59" s="7">
        <f ca="1">IF(I$2=Inputs!$B213,Inputs!$B212,0)*(1+inf)^H$1</f>
        <v>0</v>
      </c>
      <c r="J59" s="7">
        <f ca="1">IF(J$2=Inputs!$B213,Inputs!$B212,0)*(1+inf)^I$1</f>
        <v>0</v>
      </c>
      <c r="K59" s="7">
        <f ca="1">IF(K$2=Inputs!$B213,Inputs!$B212,0)*(1+inf)^J$1</f>
        <v>18276.043462648766</v>
      </c>
      <c r="L59" s="7">
        <f ca="1">IF(L$2=Inputs!$B213,Inputs!$B212,0)*(1+inf)^K$1</f>
        <v>0</v>
      </c>
      <c r="M59" s="7">
        <f ca="1">IF(M$2=Inputs!$B213,Inputs!$B212,0)*(1+inf)^L$1</f>
        <v>0</v>
      </c>
      <c r="N59" s="7">
        <f ca="1">IF(N$2=Inputs!$B213,Inputs!$B212,0)*(1+inf)^M$1</f>
        <v>0</v>
      </c>
      <c r="O59" s="7">
        <f ca="1">IF(O$2=Inputs!$B213,Inputs!$B212,0)*(1+inf)^N$1</f>
        <v>0</v>
      </c>
      <c r="P59" s="7">
        <f ca="1">IF(P$2=Inputs!$B213,Inputs!$B212,0)*(1+inf)^O$1</f>
        <v>0</v>
      </c>
      <c r="Q59" s="7">
        <f ca="1">IF(Q$2=Inputs!$B213,Inputs!$B212,0)*(1+inf)^P$1</f>
        <v>0</v>
      </c>
      <c r="R59" s="7">
        <f ca="1">IF(R$2=Inputs!$B213,Inputs!$B212,0)*(1+inf)^Q$1</f>
        <v>0</v>
      </c>
      <c r="S59" s="7">
        <f ca="1">IF(S$2=Inputs!$B213,Inputs!$B212,0)*(1+inf)^R$1</f>
        <v>0</v>
      </c>
      <c r="T59" s="7">
        <f ca="1">IF(T$2=Inputs!$B213,Inputs!$B212,0)*(1+inf)^S$1</f>
        <v>0</v>
      </c>
      <c r="U59" s="7">
        <f ca="1">IF(U$2=Inputs!$B213,Inputs!$B212,0)*(1+inf)^T$1</f>
        <v>0</v>
      </c>
      <c r="V59" s="7">
        <f ca="1">IF(V$2=Inputs!$B213,Inputs!$B212,0)*(1+inf)^U$1</f>
        <v>0</v>
      </c>
      <c r="W59" s="7">
        <f ca="1">IF(W$2=Inputs!$B213,Inputs!$B212,0)*(1+inf)^V$1</f>
        <v>0</v>
      </c>
      <c r="X59" s="7">
        <f ca="1">IF(X$2=Inputs!$B213,Inputs!$B212,0)*(1+inf)^W$1</f>
        <v>0</v>
      </c>
      <c r="Y59" s="7">
        <f ca="1">IF(Y$2=Inputs!$B213,Inputs!$B212,0)*(1+inf)^X$1</f>
        <v>0</v>
      </c>
      <c r="Z59" s="7">
        <f ca="1">IF(Z$2=Inputs!$B213,Inputs!$B212,0)*(1+inf)^Y$1</f>
        <v>0</v>
      </c>
      <c r="AA59" s="7">
        <f ca="1">IF(AA$2=Inputs!$B213,Inputs!$B212,0)*(1+inf)^Z$1</f>
        <v>0</v>
      </c>
      <c r="AB59" s="7">
        <f ca="1">IF(AB$2=Inputs!$B213,Inputs!$B212,0)*(1+inf)^AA$1</f>
        <v>0</v>
      </c>
      <c r="AC59" s="7">
        <f ca="1">IF(AC$2=Inputs!$B213,Inputs!$B212,0)*(1+inf)^AB$1</f>
        <v>0</v>
      </c>
      <c r="AD59" s="7">
        <f ca="1">IF(AD$2=Inputs!$B213,Inputs!$B212,0)*(1+inf)^AC$1</f>
        <v>0</v>
      </c>
      <c r="AE59" s="7">
        <f ca="1">IF(AE$2=Inputs!$B213,Inputs!$B212,0)*(1+inf)^AD$1</f>
        <v>0</v>
      </c>
      <c r="AF59" s="7">
        <f ca="1">IF(AF$2=Inputs!$B213,Inputs!$B212,0)*(1+inf)^AE$1</f>
        <v>0</v>
      </c>
      <c r="AG59" s="7">
        <f ca="1">IF(AG$2=Inputs!$B213,Inputs!$B212,0)*(1+inf)^AF$1</f>
        <v>0</v>
      </c>
      <c r="AH59" s="7">
        <f ca="1">IF(AH$2=Inputs!$B213,Inputs!$B212,0)*(1+inf)^AG$1</f>
        <v>0</v>
      </c>
      <c r="AI59" s="7">
        <f ca="1">IF(AI$2=Inputs!$B213,Inputs!$B212,0)*(1+inf)^AH$1</f>
        <v>0</v>
      </c>
      <c r="AJ59" s="7">
        <f ca="1">IF(AJ$2=Inputs!$B213,Inputs!$B212,0)*(1+inf)^AI$1</f>
        <v>0</v>
      </c>
      <c r="AK59" s="7">
        <f ca="1">IF(AK$2=Inputs!$B213,Inputs!$B212,0)*(1+inf)^AJ$1</f>
        <v>0</v>
      </c>
      <c r="AL59" s="7">
        <f ca="1">IF(AL$2=Inputs!$B213,Inputs!$B212,0)*(1+inf)^AK$1</f>
        <v>0</v>
      </c>
      <c r="AM59" s="7">
        <f ca="1">IF(AM$2=Inputs!$B213,Inputs!$B212,0)*(1+inf)^AL$1</f>
        <v>0</v>
      </c>
    </row>
    <row r="60" spans="1:39" x14ac:dyDescent="0.2">
      <c r="A60" s="4" t="s">
        <v>223</v>
      </c>
      <c r="B60" s="8"/>
      <c r="C60" s="7">
        <f ca="1">IF(AND(Inputs!$B$217&lt;&gt;"",C$2=Inputs!$B$217,Inputs!$B$12&gt;0,UPPER(Inputs!$B$219)="BUY"),Inputs!$B$221*(1+princ)^(ProRate+C$1-1),0)</f>
        <v>0</v>
      </c>
      <c r="D60" s="7">
        <f ca="1">IF(AND(Inputs!$B$217&lt;&gt;"",D$2=Inputs!$B$217,Inputs!$B$12&gt;0,UPPER(Inputs!$B$219)="BUY"),Inputs!$B$221*(1+princ)^(ProRate+D$1-1),0)</f>
        <v>0</v>
      </c>
      <c r="E60" s="7">
        <f ca="1">IF(AND(Inputs!$B$217&lt;&gt;"",E$2=Inputs!$B$217,Inputs!$B$12&gt;0,UPPER(Inputs!$B$219)="BUY"),Inputs!$B$221*(1+princ)^(ProRate+E$1-1),0)</f>
        <v>0</v>
      </c>
      <c r="F60" s="7">
        <f ca="1">IF(AND(Inputs!$B$217&lt;&gt;"",F$2=Inputs!$B$217,Inputs!$B$12&gt;0,UPPER(Inputs!$B$219)="BUY"),Inputs!$B$221*(1+princ)^(ProRate+F$1-1),0)</f>
        <v>0</v>
      </c>
      <c r="G60" s="7">
        <f ca="1">IF(AND(Inputs!$B$217&lt;&gt;"",G$2=Inputs!$B$217,Inputs!$B$12&gt;0,UPPER(Inputs!$B$219)="BUY"),Inputs!$B$221*(1+princ)^(ProRate+G$1-1),0)</f>
        <v>287684.74020752241</v>
      </c>
      <c r="H60" s="7">
        <f ca="1">IF(AND(Inputs!$B$217&lt;&gt;"",H$2=Inputs!$B$217,Inputs!$B$12&gt;0,UPPER(Inputs!$B$219)="BUY"),Inputs!$B$221*(1+princ)^(ProRate+H$1-1),0)</f>
        <v>0</v>
      </c>
      <c r="I60" s="7">
        <f ca="1">IF(AND(Inputs!$B$217&lt;&gt;"",I$2=Inputs!$B$217,Inputs!$B$12&gt;0,UPPER(Inputs!$B$219)="BUY"),Inputs!$B$221*(1+princ)^(ProRate+I$1-1),0)</f>
        <v>0</v>
      </c>
      <c r="J60" s="7">
        <f ca="1">IF(AND(Inputs!$B$217&lt;&gt;"",J$2=Inputs!$B$217,Inputs!$B$12&gt;0,UPPER(Inputs!$B$219)="BUY"),Inputs!$B$221*(1+princ)^(ProRate+J$1-1),0)</f>
        <v>0</v>
      </c>
      <c r="K60" s="7">
        <f ca="1">IF(AND(Inputs!$B$217&lt;&gt;"",K$2=Inputs!$B$217,Inputs!$B$12&gt;0,UPPER(Inputs!$B$219)="BUY"),Inputs!$B$221*(1+princ)^(ProRate+K$1-1),0)</f>
        <v>0</v>
      </c>
      <c r="L60" s="7">
        <f ca="1">IF(AND(Inputs!$B$217&lt;&gt;"",L$2=Inputs!$B$217,Inputs!$B$12&gt;0,UPPER(Inputs!$B$219)="BUY"),Inputs!$B$221*(1+princ)^(ProRate+L$1-1),0)</f>
        <v>0</v>
      </c>
      <c r="M60" s="7">
        <f ca="1">IF(AND(Inputs!$B$217&lt;&gt;"",M$2=Inputs!$B$217,Inputs!$B$12&gt;0,UPPER(Inputs!$B$219)="BUY"),Inputs!$B$221*(1+princ)^(ProRate+M$1-1),0)</f>
        <v>0</v>
      </c>
      <c r="N60" s="7">
        <f ca="1">IF(AND(Inputs!$B$217&lt;&gt;"",N$2=Inputs!$B$217,Inputs!$B$12&gt;0,UPPER(Inputs!$B$219)="BUY"),Inputs!$B$221*(1+princ)^(ProRate+N$1-1),0)</f>
        <v>0</v>
      </c>
      <c r="O60" s="7">
        <f ca="1">IF(AND(Inputs!$B$217&lt;&gt;"",O$2=Inputs!$B$217,Inputs!$B$12&gt;0,UPPER(Inputs!$B$219)="BUY"),Inputs!$B$221*(1+princ)^(ProRate+O$1-1),0)</f>
        <v>0</v>
      </c>
      <c r="P60" s="7">
        <f ca="1">IF(AND(Inputs!$B$217&lt;&gt;"",P$2=Inputs!$B$217,Inputs!$B$12&gt;0,UPPER(Inputs!$B$219)="BUY"),Inputs!$B$221*(1+princ)^(ProRate+P$1-1),0)</f>
        <v>0</v>
      </c>
      <c r="Q60" s="7">
        <f ca="1">IF(AND(Inputs!$B$217&lt;&gt;"",Q$2=Inputs!$B$217,Inputs!$B$12&gt;0,UPPER(Inputs!$B$219)="BUY"),Inputs!$B$221*(1+princ)^(ProRate+Q$1-1),0)</f>
        <v>0</v>
      </c>
      <c r="R60" s="7">
        <f ca="1">IF(AND(Inputs!$B$217&lt;&gt;"",R$2=Inputs!$B$217,Inputs!$B$12&gt;0,UPPER(Inputs!$B$219)="BUY"),Inputs!$B$221*(1+princ)^(ProRate+R$1-1),0)</f>
        <v>0</v>
      </c>
      <c r="S60" s="7">
        <f ca="1">IF(AND(Inputs!$B$217&lt;&gt;"",S$2=Inputs!$B$217,Inputs!$B$12&gt;0,UPPER(Inputs!$B$219)="BUY"),Inputs!$B$221*(1+princ)^(ProRate+S$1-1),0)</f>
        <v>0</v>
      </c>
      <c r="T60" s="7">
        <f ca="1">IF(AND(Inputs!$B$217&lt;&gt;"",T$2=Inputs!$B$217,Inputs!$B$12&gt;0,UPPER(Inputs!$B$219)="BUY"),Inputs!$B$221*(1+princ)^(ProRate+T$1-1),0)</f>
        <v>0</v>
      </c>
      <c r="U60" s="7">
        <f ca="1">IF(AND(Inputs!$B$217&lt;&gt;"",U$2=Inputs!$B$217,Inputs!$B$12&gt;0,UPPER(Inputs!$B$219)="BUY"),Inputs!$B$221*(1+princ)^(ProRate+U$1-1),0)</f>
        <v>0</v>
      </c>
      <c r="V60" s="7">
        <f ca="1">IF(AND(Inputs!$B$217&lt;&gt;"",V$2=Inputs!$B$217,Inputs!$B$12&gt;0,UPPER(Inputs!$B$219)="BUY"),Inputs!$B$221*(1+princ)^(ProRate+V$1-1),0)</f>
        <v>0</v>
      </c>
      <c r="W60" s="7">
        <f ca="1">IF(AND(Inputs!$B$217&lt;&gt;"",W$2=Inputs!$B$217,Inputs!$B$12&gt;0,UPPER(Inputs!$B$219)="BUY"),Inputs!$B$221*(1+princ)^(ProRate+W$1-1),0)</f>
        <v>0</v>
      </c>
      <c r="X60" s="7">
        <f ca="1">IF(AND(Inputs!$B$217&lt;&gt;"",X$2=Inputs!$B$217,Inputs!$B$12&gt;0,UPPER(Inputs!$B$219)="BUY"),Inputs!$B$221*(1+princ)^(ProRate+X$1-1),0)</f>
        <v>0</v>
      </c>
      <c r="Y60" s="7">
        <f ca="1">IF(AND(Inputs!$B$217&lt;&gt;"",Y$2=Inputs!$B$217,Inputs!$B$12&gt;0,UPPER(Inputs!$B$219)="BUY"),Inputs!$B$221*(1+princ)^(ProRate+Y$1-1),0)</f>
        <v>0</v>
      </c>
      <c r="Z60" s="7">
        <f ca="1">IF(AND(Inputs!$B$217&lt;&gt;"",Z$2=Inputs!$B$217,Inputs!$B$12&gt;0,UPPER(Inputs!$B$219)="BUY"),Inputs!$B$221*(1+princ)^(ProRate+Z$1-1),0)</f>
        <v>0</v>
      </c>
      <c r="AA60" s="7">
        <f ca="1">IF(AND(Inputs!$B$217&lt;&gt;"",AA$2=Inputs!$B$217,Inputs!$B$12&gt;0,UPPER(Inputs!$B$219)="BUY"),Inputs!$B$221*(1+princ)^(ProRate+AA$1-1),0)</f>
        <v>0</v>
      </c>
      <c r="AB60" s="7">
        <f ca="1">IF(AND(Inputs!$B$217&lt;&gt;"",AB$2=Inputs!$B$217,Inputs!$B$12&gt;0,UPPER(Inputs!$B$219)="BUY"),Inputs!$B$221*(1+princ)^(ProRate+AB$1-1),0)</f>
        <v>0</v>
      </c>
      <c r="AC60" s="7">
        <f ca="1">IF(AND(Inputs!$B$217&lt;&gt;"",AC$2=Inputs!$B$217,Inputs!$B$12&gt;0,UPPER(Inputs!$B$219)="BUY"),Inputs!$B$221*(1+princ)^(ProRate+AC$1-1),0)</f>
        <v>0</v>
      </c>
      <c r="AD60" s="7">
        <f ca="1">IF(AND(Inputs!$B$217&lt;&gt;"",AD$2=Inputs!$B$217,Inputs!$B$12&gt;0,UPPER(Inputs!$B$219)="BUY"),Inputs!$B$221*(1+princ)^(ProRate+AD$1-1),0)</f>
        <v>0</v>
      </c>
      <c r="AE60" s="7">
        <f ca="1">IF(AND(Inputs!$B$217&lt;&gt;"",AE$2=Inputs!$B$217,Inputs!$B$12&gt;0,UPPER(Inputs!$B$219)="BUY"),Inputs!$B$221*(1+princ)^(ProRate+AE$1-1),0)</f>
        <v>0</v>
      </c>
      <c r="AF60" s="7">
        <f ca="1">IF(AND(Inputs!$B$217&lt;&gt;"",AF$2=Inputs!$B$217,Inputs!$B$12&gt;0,UPPER(Inputs!$B$219)="BUY"),Inputs!$B$221*(1+princ)^(ProRate+AF$1-1),0)</f>
        <v>0</v>
      </c>
      <c r="AG60" s="7">
        <f ca="1">IF(AND(Inputs!$B$217&lt;&gt;"",AG$2=Inputs!$B$217,Inputs!$B$12&gt;0,UPPER(Inputs!$B$219)="BUY"),Inputs!$B$221*(1+princ)^(ProRate+AG$1-1),0)</f>
        <v>0</v>
      </c>
      <c r="AH60" s="7">
        <f ca="1">IF(AND(Inputs!$B$217&lt;&gt;"",AH$2=Inputs!$B$217,Inputs!$B$12&gt;0,UPPER(Inputs!$B$219)="BUY"),Inputs!$B$221*(1+princ)^(ProRate+AH$1-1),0)</f>
        <v>0</v>
      </c>
      <c r="AI60" s="7">
        <f ca="1">IF(AND(Inputs!$B$217&lt;&gt;"",AI$2=Inputs!$B$217,Inputs!$B$12&gt;0,UPPER(Inputs!$B$219)="BUY"),Inputs!$B$221*(1+princ)^(ProRate+AI$1-1),0)</f>
        <v>0</v>
      </c>
      <c r="AJ60" s="7">
        <f ca="1">IF(AND(Inputs!$B$217&lt;&gt;"",AJ$2=Inputs!$B$217,Inputs!$B$12&gt;0,UPPER(Inputs!$B$219)="BUY"),Inputs!$B$221*(1+princ)^(ProRate+AJ$1-1),0)</f>
        <v>0</v>
      </c>
      <c r="AK60" s="7">
        <f ca="1">IF(AND(Inputs!$B$217&lt;&gt;"",AK$2=Inputs!$B$217,Inputs!$B$12&gt;0,UPPER(Inputs!$B$219)="BUY"),Inputs!$B$221*(1+princ)^(ProRate+AK$1-1),0)</f>
        <v>0</v>
      </c>
      <c r="AL60" s="7">
        <f ca="1">IF(AND(Inputs!$B$217&lt;&gt;"",AL$2=Inputs!$B$217,Inputs!$B$12&gt;0,UPPER(Inputs!$B$219)="BUY"),Inputs!$B$221*(1+princ)^(ProRate+AL$1-1),0)</f>
        <v>0</v>
      </c>
      <c r="AM60" s="7">
        <f ca="1">IF(AND(Inputs!$B$217&lt;&gt;"",AM$2=Inputs!$B$217,Inputs!$B$12&gt;0,UPPER(Inputs!$B$219)="BUY"),Inputs!$B$221*(1+princ)^(ProRate+AM$1-1),0)</f>
        <v>0</v>
      </c>
    </row>
    <row r="61" spans="1:39" x14ac:dyDescent="0.2">
      <c r="A61" s="4"/>
      <c r="C61" s="9">
        <f ca="1">SUM(C23:C60)</f>
        <v>77950</v>
      </c>
      <c r="D61" s="9">
        <f t="shared" ref="D61:AM61" ca="1" si="36">SUM(D23:D60)</f>
        <v>104409</v>
      </c>
      <c r="E61" s="9">
        <f t="shared" ca="1" si="36"/>
        <v>102060.72499999999</v>
      </c>
      <c r="F61" s="9">
        <f t="shared" ca="1" si="36"/>
        <v>134792.57473062762</v>
      </c>
      <c r="G61" s="9">
        <f t="shared" ca="1" si="36"/>
        <v>423087.86891793617</v>
      </c>
      <c r="H61" s="9">
        <f t="shared" ca="1" si="36"/>
        <v>92548.5788481583</v>
      </c>
      <c r="I61" s="9">
        <f t="shared" ca="1" si="36"/>
        <v>83430.98129242775</v>
      </c>
      <c r="J61" s="9">
        <f t="shared" ca="1" si="36"/>
        <v>78830.394027913091</v>
      </c>
      <c r="K61" s="9">
        <f t="shared" ca="1" si="36"/>
        <v>97851.233575819046</v>
      </c>
      <c r="L61" s="9">
        <f t="shared" ca="1" si="36"/>
        <v>80040.083275847108</v>
      </c>
      <c r="M61" s="9">
        <f t="shared" ca="1" si="36"/>
        <v>128008.4544196357</v>
      </c>
      <c r="N61" s="9">
        <f t="shared" ca="1" si="36"/>
        <v>78725.199468075967</v>
      </c>
      <c r="O61" s="9">
        <f t="shared" ca="1" si="36"/>
        <v>80693.32945477785</v>
      </c>
      <c r="P61" s="9">
        <f t="shared" ca="1" si="36"/>
        <v>82710.662691147285</v>
      </c>
      <c r="Q61" s="9">
        <f t="shared" ca="1" si="36"/>
        <v>84778.429258425953</v>
      </c>
      <c r="R61" s="9">
        <f t="shared" ca="1" si="36"/>
        <v>86897.889989886637</v>
      </c>
      <c r="S61" s="9">
        <f t="shared" ca="1" si="36"/>
        <v>89070.33723963378</v>
      </c>
      <c r="T61" s="9">
        <f t="shared" ca="1" si="36"/>
        <v>91297.095670624622</v>
      </c>
      <c r="U61" s="9">
        <f t="shared" ca="1" si="36"/>
        <v>85781.229473857733</v>
      </c>
      <c r="V61" s="9">
        <f t="shared" ca="1" si="36"/>
        <v>87925.76021070416</v>
      </c>
      <c r="W61" s="9">
        <f t="shared" ca="1" si="36"/>
        <v>90123.90421597175</v>
      </c>
      <c r="X61" s="9">
        <f t="shared" ca="1" si="36"/>
        <v>92377.001821371043</v>
      </c>
      <c r="Y61" s="9">
        <f t="shared" ca="1" si="36"/>
        <v>94686.426866905327</v>
      </c>
      <c r="Z61" s="9">
        <f t="shared" ca="1" si="36"/>
        <v>97053.587538577965</v>
      </c>
      <c r="AA61" s="9">
        <f t="shared" ca="1" si="36"/>
        <v>99479.927227042383</v>
      </c>
      <c r="AB61" s="9">
        <f t="shared" ca="1" si="36"/>
        <v>101966.92540771843</v>
      </c>
      <c r="AC61" s="9">
        <f t="shared" ca="1" si="36"/>
        <v>104516.09854291138</v>
      </c>
      <c r="AD61" s="9">
        <f t="shared" ca="1" si="36"/>
        <v>107129.00100648416</v>
      </c>
      <c r="AE61" s="9">
        <f t="shared" ca="1" si="36"/>
        <v>99824.750937860241</v>
      </c>
      <c r="AF61" s="9">
        <f t="shared" ca="1" si="36"/>
        <v>102320.36971130676</v>
      </c>
      <c r="AG61" s="9">
        <f t="shared" ca="1" si="36"/>
        <v>104878.37895408941</v>
      </c>
      <c r="AH61" s="9">
        <f t="shared" ca="1" si="36"/>
        <v>107500.33842794166</v>
      </c>
      <c r="AI61" s="9">
        <f t="shared" ca="1" si="36"/>
        <v>110187.84688864017</v>
      </c>
      <c r="AJ61" s="9">
        <f t="shared" ca="1" si="36"/>
        <v>112942.54306085619</v>
      </c>
      <c r="AK61" s="9">
        <f t="shared" ca="1" si="36"/>
        <v>115766.10663737757</v>
      </c>
      <c r="AL61" s="9">
        <f t="shared" ca="1" si="36"/>
        <v>118660.25930331199</v>
      </c>
      <c r="AM61" s="9">
        <f t="shared" ca="1" si="36"/>
        <v>121626.76578589482</v>
      </c>
    </row>
    <row r="62" spans="1:39" x14ac:dyDescent="0.2">
      <c r="A62" s="4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</row>
    <row r="63" spans="1:39" ht="19" x14ac:dyDescent="0.25">
      <c r="A63" s="12" t="s">
        <v>18</v>
      </c>
      <c r="C63" s="7">
        <f t="shared" ref="C63:AM63" ca="1" si="37">C22-C61</f>
        <v>16108.4375</v>
      </c>
      <c r="D63" s="7">
        <f t="shared" ca="1" si="37"/>
        <v>13903.707812499997</v>
      </c>
      <c r="E63" s="7">
        <f t="shared" ca="1" si="37"/>
        <v>20157.504101562503</v>
      </c>
      <c r="F63" s="7">
        <f t="shared" ca="1" si="37"/>
        <v>2058.134387778613</v>
      </c>
      <c r="G63" s="7">
        <f t="shared" ca="1" si="37"/>
        <v>198227.37609398988</v>
      </c>
      <c r="H63" s="7">
        <f t="shared" ca="1" si="37"/>
        <v>46531.680195158842</v>
      </c>
      <c r="I63" s="7">
        <f t="shared" ca="1" si="37"/>
        <v>66767.80426520796</v>
      </c>
      <c r="J63" s="7">
        <f t="shared" ca="1" si="37"/>
        <v>71313.285768351532</v>
      </c>
      <c r="K63" s="7">
        <f t="shared" ca="1" si="37"/>
        <v>58049.038235430853</v>
      </c>
      <c r="L63" s="7">
        <f t="shared" ca="1" si="37"/>
        <v>145095.30681363647</v>
      </c>
      <c r="M63" s="7">
        <f t="shared" ca="1" si="37"/>
        <v>56951.436693740863</v>
      </c>
      <c r="N63" s="7">
        <f t="shared" ca="1" si="37"/>
        <v>110607.45747284961</v>
      </c>
      <c r="O63" s="7">
        <f t="shared" ca="1" si="37"/>
        <v>116450.8319078015</v>
      </c>
      <c r="P63" s="7">
        <f t="shared" ca="1" si="37"/>
        <v>122540.60727001728</v>
      </c>
      <c r="Q63" s="7">
        <f t="shared" ca="1" si="37"/>
        <v>128886.15235283141</v>
      </c>
      <c r="R63" s="7">
        <f t="shared" ca="1" si="37"/>
        <v>135497.17141434524</v>
      </c>
      <c r="S63" s="7">
        <f t="shared" ca="1" si="37"/>
        <v>142383.71572594016</v>
      </c>
      <c r="T63" s="7">
        <f t="shared" ca="1" si="37"/>
        <v>40325.753124530296</v>
      </c>
      <c r="U63" s="7">
        <f t="shared" ca="1" si="37"/>
        <v>49559.796727070934</v>
      </c>
      <c r="V63" s="7">
        <f t="shared" ca="1" si="37"/>
        <v>51342.379847184624</v>
      </c>
      <c r="W63" s="7">
        <f t="shared" ca="1" si="37"/>
        <v>53191.164837633652</v>
      </c>
      <c r="X63" s="7">
        <f t="shared" ca="1" si="37"/>
        <v>55108.589105103209</v>
      </c>
      <c r="Y63" s="7">
        <f t="shared" ca="1" si="37"/>
        <v>36180.085312674302</v>
      </c>
      <c r="Z63" s="7">
        <f t="shared" ca="1" si="37"/>
        <v>37196.599758941622</v>
      </c>
      <c r="AA63" s="7">
        <f t="shared" ca="1" si="37"/>
        <v>38250.385004589392</v>
      </c>
      <c r="AB63" s="7">
        <f t="shared" ca="1" si="37"/>
        <v>39342.940996969322</v>
      </c>
      <c r="AC63" s="7">
        <f t="shared" ca="1" si="37"/>
        <v>40475.827538418496</v>
      </c>
      <c r="AD63" s="7">
        <f t="shared" ca="1" si="37"/>
        <v>41650.666586097403</v>
      </c>
      <c r="AE63" s="7">
        <f t="shared" ca="1" si="37"/>
        <v>52976.400669205977</v>
      </c>
      <c r="AF63" s="7">
        <f t="shared" ca="1" si="37"/>
        <v>54745.634033478098</v>
      </c>
      <c r="AG63" s="7">
        <f t="shared" ca="1" si="37"/>
        <v>56581.034099910918</v>
      </c>
      <c r="AH63" s="7">
        <f t="shared" ca="1" si="37"/>
        <v>58485.127891290671</v>
      </c>
      <c r="AI63" s="7">
        <f t="shared" ca="1" si="37"/>
        <v>60460.537161110173</v>
      </c>
      <c r="AJ63" s="7">
        <f t="shared" ca="1" si="37"/>
        <v>62509.981842727153</v>
      </c>
      <c r="AK63" s="7">
        <f t="shared" ca="1" si="37"/>
        <v>64636.283620535149</v>
      </c>
      <c r="AL63" s="7">
        <f t="shared" ca="1" si="37"/>
        <v>66842.369627352717</v>
      </c>
      <c r="AM63" s="7">
        <f t="shared" ca="1" si="37"/>
        <v>69131.276272382296</v>
      </c>
    </row>
    <row r="64" spans="1:39" x14ac:dyDescent="0.2">
      <c r="A64" s="4" t="s">
        <v>9</v>
      </c>
      <c r="C64" s="7">
        <f>Inputs!B8</f>
        <v>50000</v>
      </c>
      <c r="D64" s="7">
        <f ca="1">C65</f>
        <v>66108.4375</v>
      </c>
      <c r="E64" s="7">
        <f t="shared" ref="E64:AM64" ca="1" si="38">D65</f>
        <v>80012.145312499997</v>
      </c>
      <c r="F64" s="7">
        <f t="shared" ca="1" si="38"/>
        <v>100169.6494140625</v>
      </c>
      <c r="G64" s="7">
        <f t="shared" ca="1" si="38"/>
        <v>102227.78380184111</v>
      </c>
      <c r="H64" s="7">
        <f t="shared" ca="1" si="38"/>
        <v>300455.15989583102</v>
      </c>
      <c r="I64" s="7">
        <f t="shared" ca="1" si="38"/>
        <v>346986.84009098983</v>
      </c>
      <c r="J64" s="7">
        <f t="shared" ca="1" si="38"/>
        <v>413754.64435619779</v>
      </c>
      <c r="K64" s="7">
        <f t="shared" ca="1" si="38"/>
        <v>485067.93012454931</v>
      </c>
      <c r="L64" s="7">
        <f t="shared" ca="1" si="38"/>
        <v>543116.96835998015</v>
      </c>
      <c r="M64" s="7">
        <f t="shared" ca="1" si="38"/>
        <v>688212.2751736166</v>
      </c>
      <c r="N64" s="7">
        <f t="shared" ca="1" si="38"/>
        <v>745163.71186735749</v>
      </c>
      <c r="O64" s="7">
        <f t="shared" ca="1" si="38"/>
        <v>855771.16934020713</v>
      </c>
      <c r="P64" s="7">
        <f t="shared" ca="1" si="38"/>
        <v>972222.00124800857</v>
      </c>
      <c r="Q64" s="7">
        <f t="shared" ca="1" si="38"/>
        <v>1094762.6085180258</v>
      </c>
      <c r="R64" s="7">
        <f t="shared" ca="1" si="38"/>
        <v>1223648.7608708572</v>
      </c>
      <c r="S64" s="7">
        <f t="shared" ca="1" si="38"/>
        <v>1359145.9322852024</v>
      </c>
      <c r="T64" s="7">
        <f t="shared" ca="1" si="38"/>
        <v>1501529.6480111426</v>
      </c>
      <c r="U64" s="7">
        <f t="shared" ca="1" si="38"/>
        <v>1541855.4011356728</v>
      </c>
      <c r="V64" s="7">
        <f t="shared" ca="1" si="38"/>
        <v>1591415.1978627439</v>
      </c>
      <c r="W64" s="7">
        <f t="shared" ca="1" si="38"/>
        <v>1642757.5777099284</v>
      </c>
      <c r="X64" s="7">
        <f t="shared" ca="1" si="38"/>
        <v>1695948.7425475621</v>
      </c>
      <c r="Y64" s="7">
        <f t="shared" ca="1" si="38"/>
        <v>1751057.3316526653</v>
      </c>
      <c r="Z64" s="7">
        <f t="shared" ca="1" si="38"/>
        <v>1787237.4169653396</v>
      </c>
      <c r="AA64" s="7">
        <f t="shared" ca="1" si="38"/>
        <v>1824434.0167242812</v>
      </c>
      <c r="AB64" s="7">
        <f t="shared" ca="1" si="38"/>
        <v>1862684.4017288706</v>
      </c>
      <c r="AC64" s="7">
        <f t="shared" ca="1" si="38"/>
        <v>1902027.3427258399</v>
      </c>
      <c r="AD64" s="7">
        <f t="shared" ca="1" si="38"/>
        <v>1942503.1702642585</v>
      </c>
      <c r="AE64" s="7">
        <f t="shared" ca="1" si="38"/>
        <v>1984153.8368503558</v>
      </c>
      <c r="AF64" s="7">
        <f t="shared" ca="1" si="38"/>
        <v>2037130.2375195618</v>
      </c>
      <c r="AG64" s="7">
        <f t="shared" ca="1" si="38"/>
        <v>2091875.8715530399</v>
      </c>
      <c r="AH64" s="7">
        <f t="shared" ca="1" si="38"/>
        <v>2148456.905652951</v>
      </c>
      <c r="AI64" s="7">
        <f t="shared" ca="1" si="38"/>
        <v>2206942.0335442415</v>
      </c>
      <c r="AJ64" s="7">
        <f t="shared" ca="1" si="38"/>
        <v>2267402.5707053514</v>
      </c>
      <c r="AK64" s="7">
        <f t="shared" ca="1" si="38"/>
        <v>2329912.5525480784</v>
      </c>
      <c r="AL64" s="7">
        <f t="shared" ca="1" si="38"/>
        <v>2394548.8361686133</v>
      </c>
      <c r="AM64" s="7">
        <f t="shared" ca="1" si="38"/>
        <v>2461391.2057959661</v>
      </c>
    </row>
    <row r="65" spans="1:39" x14ac:dyDescent="0.2">
      <c r="A65" s="4" t="s">
        <v>10</v>
      </c>
      <c r="C65" s="9">
        <f ca="1">SUM(C63:C64)</f>
        <v>66108.4375</v>
      </c>
      <c r="D65" s="9">
        <f t="shared" ref="D65:AM65" ca="1" si="39">SUM(D63:D64)</f>
        <v>80012.145312499997</v>
      </c>
      <c r="E65" s="9">
        <f t="shared" ca="1" si="39"/>
        <v>100169.6494140625</v>
      </c>
      <c r="F65" s="9">
        <f t="shared" ca="1" si="39"/>
        <v>102227.78380184111</v>
      </c>
      <c r="G65" s="9">
        <f t="shared" ca="1" si="39"/>
        <v>300455.15989583102</v>
      </c>
      <c r="H65" s="9">
        <f t="shared" ca="1" si="39"/>
        <v>346986.84009098983</v>
      </c>
      <c r="I65" s="9">
        <f t="shared" ca="1" si="39"/>
        <v>413754.64435619779</v>
      </c>
      <c r="J65" s="9">
        <f t="shared" ca="1" si="39"/>
        <v>485067.93012454931</v>
      </c>
      <c r="K65" s="9">
        <f t="shared" ca="1" si="39"/>
        <v>543116.96835998015</v>
      </c>
      <c r="L65" s="9">
        <f t="shared" ca="1" si="39"/>
        <v>688212.2751736166</v>
      </c>
      <c r="M65" s="9">
        <f t="shared" ca="1" si="39"/>
        <v>745163.71186735749</v>
      </c>
      <c r="N65" s="9">
        <f t="shared" ca="1" si="39"/>
        <v>855771.16934020713</v>
      </c>
      <c r="O65" s="9">
        <f t="shared" ca="1" si="39"/>
        <v>972222.00124800857</v>
      </c>
      <c r="P65" s="9">
        <f t="shared" ca="1" si="39"/>
        <v>1094762.6085180258</v>
      </c>
      <c r="Q65" s="9">
        <f t="shared" ca="1" si="39"/>
        <v>1223648.7608708572</v>
      </c>
      <c r="R65" s="9">
        <f t="shared" ca="1" si="39"/>
        <v>1359145.9322852024</v>
      </c>
      <c r="S65" s="9">
        <f t="shared" ca="1" si="39"/>
        <v>1501529.6480111426</v>
      </c>
      <c r="T65" s="9">
        <f t="shared" ca="1" si="39"/>
        <v>1541855.4011356728</v>
      </c>
      <c r="U65" s="9">
        <f t="shared" ca="1" si="39"/>
        <v>1591415.1978627439</v>
      </c>
      <c r="V65" s="9">
        <f t="shared" ca="1" si="39"/>
        <v>1642757.5777099284</v>
      </c>
      <c r="W65" s="9">
        <f t="shared" ca="1" si="39"/>
        <v>1695948.7425475621</v>
      </c>
      <c r="X65" s="9">
        <f t="shared" ca="1" si="39"/>
        <v>1751057.3316526653</v>
      </c>
      <c r="Y65" s="9">
        <f t="shared" ca="1" si="39"/>
        <v>1787237.4169653396</v>
      </c>
      <c r="Z65" s="9">
        <f t="shared" ca="1" si="39"/>
        <v>1824434.0167242812</v>
      </c>
      <c r="AA65" s="9">
        <f t="shared" ca="1" si="39"/>
        <v>1862684.4017288706</v>
      </c>
      <c r="AB65" s="9">
        <f t="shared" ca="1" si="39"/>
        <v>1902027.3427258399</v>
      </c>
      <c r="AC65" s="9">
        <f t="shared" ca="1" si="39"/>
        <v>1942503.1702642585</v>
      </c>
      <c r="AD65" s="9">
        <f t="shared" ca="1" si="39"/>
        <v>1984153.8368503558</v>
      </c>
      <c r="AE65" s="9">
        <f t="shared" ca="1" si="39"/>
        <v>2037130.2375195618</v>
      </c>
      <c r="AF65" s="9">
        <f t="shared" ca="1" si="39"/>
        <v>2091875.8715530399</v>
      </c>
      <c r="AG65" s="9">
        <f t="shared" ca="1" si="39"/>
        <v>2148456.905652951</v>
      </c>
      <c r="AH65" s="9">
        <f t="shared" ca="1" si="39"/>
        <v>2206942.0335442415</v>
      </c>
      <c r="AI65" s="9">
        <f t="shared" ca="1" si="39"/>
        <v>2267402.5707053514</v>
      </c>
      <c r="AJ65" s="9">
        <f t="shared" ca="1" si="39"/>
        <v>2329912.5525480784</v>
      </c>
      <c r="AK65" s="9">
        <f t="shared" ca="1" si="39"/>
        <v>2394548.8361686133</v>
      </c>
      <c r="AL65" s="9">
        <f t="shared" ca="1" si="39"/>
        <v>2461391.2057959661</v>
      </c>
      <c r="AM65" s="9">
        <f t="shared" ca="1" si="39"/>
        <v>2530522.4820683482</v>
      </c>
    </row>
    <row r="66" spans="1:39" x14ac:dyDescent="0.2"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</row>
    <row r="67" spans="1:39" ht="19" x14ac:dyDescent="0.25">
      <c r="A67" s="25" t="s">
        <v>65</v>
      </c>
      <c r="B67" s="26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</row>
    <row r="68" spans="1:39" x14ac:dyDescent="0.2">
      <c r="A68" s="4" t="s">
        <v>8</v>
      </c>
      <c r="C68" s="7">
        <f t="shared" ref="C68:AM68" ca="1" si="40">C65</f>
        <v>66108.4375</v>
      </c>
      <c r="D68" s="7">
        <f t="shared" ca="1" si="40"/>
        <v>80012.145312499997</v>
      </c>
      <c r="E68" s="7">
        <f t="shared" ca="1" si="40"/>
        <v>100169.6494140625</v>
      </c>
      <c r="F68" s="7">
        <f t="shared" ca="1" si="40"/>
        <v>102227.78380184111</v>
      </c>
      <c r="G68" s="7">
        <f t="shared" ca="1" si="40"/>
        <v>300455.15989583102</v>
      </c>
      <c r="H68" s="7">
        <f t="shared" ca="1" si="40"/>
        <v>346986.84009098983</v>
      </c>
      <c r="I68" s="7">
        <f t="shared" ca="1" si="40"/>
        <v>413754.64435619779</v>
      </c>
      <c r="J68" s="7">
        <f t="shared" ca="1" si="40"/>
        <v>485067.93012454931</v>
      </c>
      <c r="K68" s="7">
        <f t="shared" ca="1" si="40"/>
        <v>543116.96835998015</v>
      </c>
      <c r="L68" s="7">
        <f t="shared" ca="1" si="40"/>
        <v>688212.2751736166</v>
      </c>
      <c r="M68" s="7">
        <f t="shared" ca="1" si="40"/>
        <v>745163.71186735749</v>
      </c>
      <c r="N68" s="7">
        <f t="shared" ca="1" si="40"/>
        <v>855771.16934020713</v>
      </c>
      <c r="O68" s="7">
        <f t="shared" ca="1" si="40"/>
        <v>972222.00124800857</v>
      </c>
      <c r="P68" s="7">
        <f t="shared" ca="1" si="40"/>
        <v>1094762.6085180258</v>
      </c>
      <c r="Q68" s="7">
        <f t="shared" ca="1" si="40"/>
        <v>1223648.7608708572</v>
      </c>
      <c r="R68" s="7">
        <f t="shared" ca="1" si="40"/>
        <v>1359145.9322852024</v>
      </c>
      <c r="S68" s="7">
        <f t="shared" ca="1" si="40"/>
        <v>1501529.6480111426</v>
      </c>
      <c r="T68" s="7">
        <f t="shared" ca="1" si="40"/>
        <v>1541855.4011356728</v>
      </c>
      <c r="U68" s="7">
        <f t="shared" ca="1" si="40"/>
        <v>1591415.1978627439</v>
      </c>
      <c r="V68" s="7">
        <f t="shared" ca="1" si="40"/>
        <v>1642757.5777099284</v>
      </c>
      <c r="W68" s="7">
        <f t="shared" ca="1" si="40"/>
        <v>1695948.7425475621</v>
      </c>
      <c r="X68" s="7">
        <f t="shared" ca="1" si="40"/>
        <v>1751057.3316526653</v>
      </c>
      <c r="Y68" s="7">
        <f t="shared" ca="1" si="40"/>
        <v>1787237.4169653396</v>
      </c>
      <c r="Z68" s="7">
        <f t="shared" ca="1" si="40"/>
        <v>1824434.0167242812</v>
      </c>
      <c r="AA68" s="7">
        <f t="shared" ca="1" si="40"/>
        <v>1862684.4017288706</v>
      </c>
      <c r="AB68" s="7">
        <f t="shared" ca="1" si="40"/>
        <v>1902027.3427258399</v>
      </c>
      <c r="AC68" s="7">
        <f t="shared" ca="1" si="40"/>
        <v>1942503.1702642585</v>
      </c>
      <c r="AD68" s="7">
        <f t="shared" ca="1" si="40"/>
        <v>1984153.8368503558</v>
      </c>
      <c r="AE68" s="7">
        <f t="shared" ca="1" si="40"/>
        <v>2037130.2375195618</v>
      </c>
      <c r="AF68" s="7">
        <f t="shared" ca="1" si="40"/>
        <v>2091875.8715530399</v>
      </c>
      <c r="AG68" s="7">
        <f t="shared" ca="1" si="40"/>
        <v>2148456.905652951</v>
      </c>
      <c r="AH68" s="7">
        <f t="shared" ca="1" si="40"/>
        <v>2206942.0335442415</v>
      </c>
      <c r="AI68" s="7">
        <f t="shared" ca="1" si="40"/>
        <v>2267402.5707053514</v>
      </c>
      <c r="AJ68" s="7">
        <f t="shared" ca="1" si="40"/>
        <v>2329912.5525480784</v>
      </c>
      <c r="AK68" s="7">
        <f t="shared" ca="1" si="40"/>
        <v>2394548.8361686133</v>
      </c>
      <c r="AL68" s="7">
        <f t="shared" ca="1" si="40"/>
        <v>2461391.2057959661</v>
      </c>
      <c r="AM68" s="7">
        <f t="shared" ca="1" si="40"/>
        <v>2530522.4820683482</v>
      </c>
    </row>
    <row r="69" spans="1:39" x14ac:dyDescent="0.2">
      <c r="A69" s="4" t="s">
        <v>6</v>
      </c>
      <c r="C69" s="7">
        <f ca="1">IF(AND(Inputs!$B$217&lt;&gt;"",C$2&gt;=Inputs!$B$217),IF(AND(Inputs!$B$12&gt;0,UPPER(Inputs!$B$219)="BUY"),IF(C$2=Inputs!$B$217,Inputs!$B$221*(1+princ)^(ProRate+C$1-1),B69*(1+princ)),0),IF(Inputs!$B$12&gt;0,IF(B$1=0,Inputs!$B$12*(1+princ)^ProRate,B69*(1+princ)),0))</f>
        <v>511208.33111474686</v>
      </c>
      <c r="D69" s="7">
        <f ca="1">IF(AND(Inputs!$B$217&lt;&gt;"",D$2&gt;=Inputs!$B$217),IF(AND(Inputs!$B$12&gt;0,UPPER(Inputs!$B$219)="BUY"),IF(D$2=Inputs!$B$217,Inputs!$B$221*(1+princ)^(ProRate+D$1-1),C69*(1+princ)),0),IF(Inputs!$B$12&gt;0,IF(C$1=0,Inputs!$B$12*(1+princ)^ProRate,C69*(1+princ)),0))</f>
        <v>526544.58104818931</v>
      </c>
      <c r="E69" s="7">
        <f ca="1">IF(AND(Inputs!$B$217&lt;&gt;"",E$2&gt;=Inputs!$B$217),IF(AND(Inputs!$B$12&gt;0,UPPER(Inputs!$B$219)="BUY"),IF(E$2=Inputs!$B$217,Inputs!$B$221*(1+princ)^(ProRate+E$1-1),D69*(1+princ)),0),IF(Inputs!$B$12&gt;0,IF(D$1=0,Inputs!$B$12*(1+princ)^ProRate,D69*(1+princ)),0))</f>
        <v>542340.91847963503</v>
      </c>
      <c r="F69" s="7">
        <f ca="1">IF(AND(Inputs!$B$217&lt;&gt;"",F$2&gt;=Inputs!$B$217),IF(AND(Inputs!$B$12&gt;0,UPPER(Inputs!$B$219)="BUY"),IF(F$2=Inputs!$B$217,Inputs!$B$221*(1+princ)^(ProRate+F$1-1),E69*(1+princ)),0),IF(Inputs!$B$12&gt;0,IF(E$1=0,Inputs!$B$12*(1+princ)^ProRate,E69*(1+princ)),0))</f>
        <v>558611.14603402407</v>
      </c>
      <c r="G69" s="7">
        <f ca="1">IF(AND(Inputs!$B$217&lt;&gt;"",G$2&gt;=Inputs!$B$217),IF(AND(Inputs!$B$12&gt;0,UPPER(Inputs!$B$219)="BUY"),IF(G$2=Inputs!$B$217,Inputs!$B$221*(1+princ)^(ProRate+G$1-1),F69*(1+princ)),0),IF(Inputs!$B$12&gt;0,IF(F$1=0,Inputs!$B$12*(1+princ)^ProRate,F69*(1+princ)),0))</f>
        <v>287684.74020752241</v>
      </c>
      <c r="H69" s="7">
        <f ca="1">IF(AND(Inputs!$B$217&lt;&gt;"",H$2&gt;=Inputs!$B$217),IF(AND(Inputs!$B$12&gt;0,UPPER(Inputs!$B$219)="BUY"),IF(H$2=Inputs!$B$217,Inputs!$B$221*(1+princ)^(ProRate+H$1-1),G69*(1+princ)),0),IF(Inputs!$B$12&gt;0,IF(G$1=0,Inputs!$B$12*(1+princ)^ProRate,G69*(1+princ)),0))</f>
        <v>296315.28241374809</v>
      </c>
      <c r="I69" s="7">
        <f ca="1">IF(AND(Inputs!$B$217&lt;&gt;"",I$2&gt;=Inputs!$B$217),IF(AND(Inputs!$B$12&gt;0,UPPER(Inputs!$B$219)="BUY"),IF(I$2=Inputs!$B$217,Inputs!$B$221*(1+princ)^(ProRate+I$1-1),H69*(1+princ)),0),IF(Inputs!$B$12&gt;0,IF(H$1=0,Inputs!$B$12*(1+princ)^ProRate,H69*(1+princ)),0))</f>
        <v>305204.74088616052</v>
      </c>
      <c r="J69" s="7">
        <f ca="1">IF(AND(Inputs!$B$217&lt;&gt;"",J$2&gt;=Inputs!$B$217),IF(AND(Inputs!$B$12&gt;0,UPPER(Inputs!$B$219)="BUY"),IF(J$2=Inputs!$B$217,Inputs!$B$221*(1+princ)^(ProRate+J$1-1),I69*(1+princ)),0),IF(Inputs!$B$12&gt;0,IF(I$1=0,Inputs!$B$12*(1+princ)^ProRate,I69*(1+princ)),0))</f>
        <v>314360.88311274536</v>
      </c>
      <c r="K69" s="7">
        <f ca="1">IF(AND(Inputs!$B$217&lt;&gt;"",K$2&gt;=Inputs!$B$217),IF(AND(Inputs!$B$12&gt;0,UPPER(Inputs!$B$219)="BUY"),IF(K$2=Inputs!$B$217,Inputs!$B$221*(1+princ)^(ProRate+K$1-1),J69*(1+princ)),0),IF(Inputs!$B$12&gt;0,IF(J$1=0,Inputs!$B$12*(1+princ)^ProRate,J69*(1+princ)),0))</f>
        <v>323791.70960612776</v>
      </c>
      <c r="L69" s="7">
        <f ca="1">IF(AND(Inputs!$B$217&lt;&gt;"",L$2&gt;=Inputs!$B$217),IF(AND(Inputs!$B$12&gt;0,UPPER(Inputs!$B$219)="BUY"),IF(L$2=Inputs!$B$217,Inputs!$B$221*(1+princ)^(ProRate+L$1-1),K69*(1+princ)),0),IF(Inputs!$B$12&gt;0,IF(K$1=0,Inputs!$B$12*(1+princ)^ProRate,K69*(1+princ)),0))</f>
        <v>333505.4608943116</v>
      </c>
      <c r="M69" s="7">
        <f ca="1">IF(AND(Inputs!$B$217&lt;&gt;"",M$2&gt;=Inputs!$B$217),IF(AND(Inputs!$B$12&gt;0,UPPER(Inputs!$B$219)="BUY"),IF(M$2=Inputs!$B$217,Inputs!$B$221*(1+princ)^(ProRate+M$1-1),L69*(1+princ)),0),IF(Inputs!$B$12&gt;0,IF(L$1=0,Inputs!$B$12*(1+princ)^ProRate,L69*(1+princ)),0))</f>
        <v>343510.62472114095</v>
      </c>
      <c r="N69" s="7">
        <f ca="1">IF(AND(Inputs!$B$217&lt;&gt;"",N$2&gt;=Inputs!$B$217),IF(AND(Inputs!$B$12&gt;0,UPPER(Inputs!$B$219)="BUY"),IF(N$2=Inputs!$B$217,Inputs!$B$221*(1+princ)^(ProRate+N$1-1),M69*(1+princ)),0),IF(Inputs!$B$12&gt;0,IF(M$1=0,Inputs!$B$12*(1+princ)^ProRate,M69*(1+princ)),0))</f>
        <v>353815.94346277521</v>
      </c>
      <c r="O69" s="7">
        <f ca="1">IF(AND(Inputs!$B$217&lt;&gt;"",O$2&gt;=Inputs!$B$217),IF(AND(Inputs!$B$12&gt;0,UPPER(Inputs!$B$219)="BUY"),IF(O$2=Inputs!$B$217,Inputs!$B$221*(1+princ)^(ProRate+O$1-1),N69*(1+princ)),0),IF(Inputs!$B$12&gt;0,IF(N$1=0,Inputs!$B$12*(1+princ)^ProRate,N69*(1+princ)),0))</f>
        <v>364430.42176665849</v>
      </c>
      <c r="P69" s="7">
        <f ca="1">IF(AND(Inputs!$B$217&lt;&gt;"",P$2&gt;=Inputs!$B$217),IF(AND(Inputs!$B$12&gt;0,UPPER(Inputs!$B$219)="BUY"),IF(P$2=Inputs!$B$217,Inputs!$B$221*(1+princ)^(ProRate+P$1-1),O69*(1+princ)),0),IF(Inputs!$B$12&gt;0,IF(O$1=0,Inputs!$B$12*(1+princ)^ProRate,O69*(1+princ)),0))</f>
        <v>375363.33441965823</v>
      </c>
      <c r="Q69" s="7">
        <f ca="1">IF(AND(Inputs!$B$217&lt;&gt;"",Q$2&gt;=Inputs!$B$217),IF(AND(Inputs!$B$12&gt;0,UPPER(Inputs!$B$219)="BUY"),IF(Q$2=Inputs!$B$217,Inputs!$B$221*(1+princ)^(ProRate+Q$1-1),P69*(1+princ)),0),IF(Inputs!$B$12&gt;0,IF(P$1=0,Inputs!$B$12*(1+princ)^ProRate,P69*(1+princ)),0))</f>
        <v>386624.23445224797</v>
      </c>
      <c r="R69" s="7">
        <f ca="1">IF(AND(Inputs!$B$217&lt;&gt;"",R$2&gt;=Inputs!$B$217),IF(AND(Inputs!$B$12&gt;0,UPPER(Inputs!$B$219)="BUY"),IF(R$2=Inputs!$B$217,Inputs!$B$221*(1+princ)^(ProRate+R$1-1),Q69*(1+princ)),0),IF(Inputs!$B$12&gt;0,IF(Q$1=0,Inputs!$B$12*(1+princ)^ProRate,Q69*(1+princ)),0))</f>
        <v>398222.96148581541</v>
      </c>
      <c r="S69" s="7">
        <f ca="1">IF(AND(Inputs!$B$217&lt;&gt;"",S$2&gt;=Inputs!$B$217),IF(AND(Inputs!$B$12&gt;0,UPPER(Inputs!$B$219)="BUY"),IF(S$2=Inputs!$B$217,Inputs!$B$221*(1+princ)^(ProRate+S$1-1),R69*(1+princ)),0),IF(Inputs!$B$12&gt;0,IF(R$1=0,Inputs!$B$12*(1+princ)^ProRate,R69*(1+princ)),0))</f>
        <v>410169.65033038991</v>
      </c>
      <c r="T69" s="7">
        <f ca="1">IF(AND(Inputs!$B$217&lt;&gt;"",T$2&gt;=Inputs!$B$217),IF(AND(Inputs!$B$12&gt;0,UPPER(Inputs!$B$219)="BUY"),IF(T$2=Inputs!$B$217,Inputs!$B$221*(1+princ)^(ProRate+T$1-1),S69*(1+princ)),0),IF(Inputs!$B$12&gt;0,IF(S$1=0,Inputs!$B$12*(1+princ)^ProRate,S69*(1+princ)),0))</f>
        <v>422474.73984030163</v>
      </c>
      <c r="U69" s="7">
        <f ca="1">IF(AND(Inputs!$B$217&lt;&gt;"",U$2&gt;=Inputs!$B$217),IF(AND(Inputs!$B$12&gt;0,UPPER(Inputs!$B$219)="BUY"),IF(U$2=Inputs!$B$217,Inputs!$B$221*(1+princ)^(ProRate+U$1-1),T69*(1+princ)),0),IF(Inputs!$B$12&gt;0,IF(T$1=0,Inputs!$B$12*(1+princ)^ProRate,T69*(1+princ)),0))</f>
        <v>435148.98203551071</v>
      </c>
      <c r="V69" s="7">
        <f ca="1">IF(AND(Inputs!$B$217&lt;&gt;"",V$2&gt;=Inputs!$B$217),IF(AND(Inputs!$B$12&gt;0,UPPER(Inputs!$B$219)="BUY"),IF(V$2=Inputs!$B$217,Inputs!$B$221*(1+princ)^(ProRate+V$1-1),U69*(1+princ)),0),IF(Inputs!$B$12&gt;0,IF(U$1=0,Inputs!$B$12*(1+princ)^ProRate,U69*(1+princ)),0))</f>
        <v>448203.45149657602</v>
      </c>
      <c r="W69" s="7">
        <f ca="1">IF(AND(Inputs!$B$217&lt;&gt;"",W$2&gt;=Inputs!$B$217),IF(AND(Inputs!$B$12&gt;0,UPPER(Inputs!$B$219)="BUY"),IF(W$2=Inputs!$B$217,Inputs!$B$221*(1+princ)^(ProRate+W$1-1),V69*(1+princ)),0),IF(Inputs!$B$12&gt;0,IF(V$1=0,Inputs!$B$12*(1+princ)^ProRate,V69*(1+princ)),0))</f>
        <v>461649.5550414733</v>
      </c>
      <c r="X69" s="7">
        <f ca="1">IF(AND(Inputs!$B$217&lt;&gt;"",X$2&gt;=Inputs!$B$217),IF(AND(Inputs!$B$12&gt;0,UPPER(Inputs!$B$219)="BUY"),IF(X$2=Inputs!$B$217,Inputs!$B$221*(1+princ)^(ProRate+X$1-1),W69*(1+princ)),0),IF(Inputs!$B$12&gt;0,IF(W$1=0,Inputs!$B$12*(1+princ)^ProRate,W69*(1+princ)),0))</f>
        <v>475499.04169271752</v>
      </c>
      <c r="Y69" s="7">
        <f ca="1">IF(AND(Inputs!$B$217&lt;&gt;"",Y$2&gt;=Inputs!$B$217),IF(AND(Inputs!$B$12&gt;0,UPPER(Inputs!$B$219)="BUY"),IF(Y$2=Inputs!$B$217,Inputs!$B$221*(1+princ)^(ProRate+Y$1-1),X69*(1+princ)),0),IF(Inputs!$B$12&gt;0,IF(X$1=0,Inputs!$B$12*(1+princ)^ProRate,X69*(1+princ)),0))</f>
        <v>489764.01294349908</v>
      </c>
      <c r="Z69" s="7">
        <f ca="1">IF(AND(Inputs!$B$217&lt;&gt;"",Z$2&gt;=Inputs!$B$217),IF(AND(Inputs!$B$12&gt;0,UPPER(Inputs!$B$219)="BUY"),IF(Z$2=Inputs!$B$217,Inputs!$B$221*(1+princ)^(ProRate+Z$1-1),Y69*(1+princ)),0),IF(Inputs!$B$12&gt;0,IF(Y$1=0,Inputs!$B$12*(1+princ)^ProRate,Y69*(1+princ)),0))</f>
        <v>504456.93333180406</v>
      </c>
      <c r="AA69" s="7">
        <f ca="1">IF(AND(Inputs!$B$217&lt;&gt;"",AA$2&gt;=Inputs!$B$217),IF(AND(Inputs!$B$12&gt;0,UPPER(Inputs!$B$219)="BUY"),IF(AA$2=Inputs!$B$217,Inputs!$B$221*(1+princ)^(ProRate+AA$1-1),Z69*(1+princ)),0),IF(Inputs!$B$12&gt;0,IF(Z$1=0,Inputs!$B$12*(1+princ)^ProRate,Z69*(1+princ)),0))</f>
        <v>519590.64133175818</v>
      </c>
      <c r="AB69" s="7">
        <f ca="1">IF(AND(Inputs!$B$217&lt;&gt;"",AB$2&gt;=Inputs!$B$217),IF(AND(Inputs!$B$12&gt;0,UPPER(Inputs!$B$219)="BUY"),IF(AB$2=Inputs!$B$217,Inputs!$B$221*(1+princ)^(ProRate+AB$1-1),AA69*(1+princ)),0),IF(Inputs!$B$12&gt;0,IF(AA$1=0,Inputs!$B$12*(1+princ)^ProRate,AA69*(1+princ)),0))</f>
        <v>535178.36057171097</v>
      </c>
      <c r="AC69" s="7">
        <f ca="1">IF(AND(Inputs!$B$217&lt;&gt;"",AC$2&gt;=Inputs!$B$217),IF(AND(Inputs!$B$12&gt;0,UPPER(Inputs!$B$219)="BUY"),IF(AC$2=Inputs!$B$217,Inputs!$B$221*(1+princ)^(ProRate+AC$1-1),AB69*(1+princ)),0),IF(Inputs!$B$12&gt;0,IF(AB$1=0,Inputs!$B$12*(1+princ)^ProRate,AB69*(1+princ)),0))</f>
        <v>551233.71138886234</v>
      </c>
      <c r="AD69" s="7">
        <f ca="1">IF(AND(Inputs!$B$217&lt;&gt;"",AD$2&gt;=Inputs!$B$217),IF(AND(Inputs!$B$12&gt;0,UPPER(Inputs!$B$219)="BUY"),IF(AD$2=Inputs!$B$217,Inputs!$B$221*(1+princ)^(ProRate+AD$1-1),AC69*(1+princ)),0),IF(Inputs!$B$12&gt;0,IF(AC$1=0,Inputs!$B$12*(1+princ)^ProRate,AC69*(1+princ)),0))</f>
        <v>567770.72273052821</v>
      </c>
      <c r="AE69" s="7">
        <f ca="1">IF(AND(Inputs!$B$217&lt;&gt;"",AE$2&gt;=Inputs!$B$217),IF(AND(Inputs!$B$12&gt;0,UPPER(Inputs!$B$219)="BUY"),IF(AE$2=Inputs!$B$217,Inputs!$B$221*(1+princ)^(ProRate+AE$1-1),AD69*(1+princ)),0),IF(Inputs!$B$12&gt;0,IF(AD$1=0,Inputs!$B$12*(1+princ)^ProRate,AD69*(1+princ)),0))</f>
        <v>584803.84441244404</v>
      </c>
      <c r="AF69" s="7">
        <f ca="1">IF(AND(Inputs!$B$217&lt;&gt;"",AF$2&gt;=Inputs!$B$217),IF(AND(Inputs!$B$12&gt;0,UPPER(Inputs!$B$219)="BUY"),IF(AF$2=Inputs!$B$217,Inputs!$B$221*(1+princ)^(ProRate+AF$1-1),AE69*(1+princ)),0),IF(Inputs!$B$12&gt;0,IF(AE$1=0,Inputs!$B$12*(1+princ)^ProRate,AE69*(1+princ)),0))</f>
        <v>602347.95974481734</v>
      </c>
      <c r="AG69" s="7">
        <f ca="1">IF(AND(Inputs!$B$217&lt;&gt;"",AG$2&gt;=Inputs!$B$217),IF(AND(Inputs!$B$12&gt;0,UPPER(Inputs!$B$219)="BUY"),IF(AG$2=Inputs!$B$217,Inputs!$B$221*(1+princ)^(ProRate+AG$1-1),AF69*(1+princ)),0),IF(Inputs!$B$12&gt;0,IF(AF$1=0,Inputs!$B$12*(1+princ)^ProRate,AF69*(1+princ)),0))</f>
        <v>620418.39853716188</v>
      </c>
      <c r="AH69" s="7">
        <f ca="1">IF(AND(Inputs!$B$217&lt;&gt;"",AH$2&gt;=Inputs!$B$217),IF(AND(Inputs!$B$12&gt;0,UPPER(Inputs!$B$219)="BUY"),IF(AH$2=Inputs!$B$217,Inputs!$B$221*(1+princ)^(ProRate+AH$1-1),AG69*(1+princ)),0),IF(Inputs!$B$12&gt;0,IF(AG$1=0,Inputs!$B$12*(1+princ)^ProRate,AG69*(1+princ)),0))</f>
        <v>639030.9504932767</v>
      </c>
      <c r="AI69" s="7">
        <f ca="1">IF(AND(Inputs!$B$217&lt;&gt;"",AI$2&gt;=Inputs!$B$217),IF(AND(Inputs!$B$12&gt;0,UPPER(Inputs!$B$219)="BUY"),IF(AI$2=Inputs!$B$217,Inputs!$B$221*(1+princ)^(ProRate+AI$1-1),AH69*(1+princ)),0),IF(Inputs!$B$12&gt;0,IF(AH$1=0,Inputs!$B$12*(1+princ)^ProRate,AH69*(1+princ)),0))</f>
        <v>658201.87900807499</v>
      </c>
      <c r="AJ69" s="7">
        <f ca="1">IF(AND(Inputs!$B$217&lt;&gt;"",AJ$2&gt;=Inputs!$B$217),IF(AND(Inputs!$B$12&gt;0,UPPER(Inputs!$B$219)="BUY"),IF(AJ$2=Inputs!$B$217,Inputs!$B$221*(1+princ)^(ProRate+AJ$1-1),AI69*(1+princ)),0),IF(Inputs!$B$12&gt;0,IF(AI$1=0,Inputs!$B$12*(1+princ)^ProRate,AI69*(1+princ)),0))</f>
        <v>677947.93537831726</v>
      </c>
      <c r="AK69" s="7">
        <f ca="1">IF(AND(Inputs!$B$217&lt;&gt;"",AK$2&gt;=Inputs!$B$217),IF(AND(Inputs!$B$12&gt;0,UPPER(Inputs!$B$219)="BUY"),IF(AK$2=Inputs!$B$217,Inputs!$B$221*(1+princ)^(ProRate+AK$1-1),AJ69*(1+princ)),0),IF(Inputs!$B$12&gt;0,IF(AJ$1=0,Inputs!$B$12*(1+princ)^ProRate,AJ69*(1+princ)),0))</f>
        <v>698286.37343966682</v>
      </c>
      <c r="AL69" s="7">
        <f ca="1">IF(AND(Inputs!$B$217&lt;&gt;"",AL$2&gt;=Inputs!$B$217),IF(AND(Inputs!$B$12&gt;0,UPPER(Inputs!$B$219)="BUY"),IF(AL$2=Inputs!$B$217,Inputs!$B$221*(1+princ)^(ProRate+AL$1-1),AK69*(1+princ)),0),IF(Inputs!$B$12&gt;0,IF(AK$1=0,Inputs!$B$12*(1+princ)^ProRate,AK69*(1+princ)),0))</f>
        <v>719234.96464285685</v>
      </c>
      <c r="AM69" s="7">
        <f ca="1">IF(AND(Inputs!$B$217&lt;&gt;"",AM$2&gt;=Inputs!$B$217),IF(AND(Inputs!$B$12&gt;0,UPPER(Inputs!$B$219)="BUY"),IF(AM$2=Inputs!$B$217,Inputs!$B$221*(1+princ)^(ProRate+AM$1-1),AL69*(1+princ)),0),IF(Inputs!$B$12&gt;0,IF(AL$1=0,Inputs!$B$12*(1+princ)^ProRate,AL69*(1+princ)),0))</f>
        <v>740812.01358214254</v>
      </c>
    </row>
    <row r="70" spans="1:39" x14ac:dyDescent="0.2">
      <c r="A70" s="4" t="s">
        <v>50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</row>
    <row r="71" spans="1:39" x14ac:dyDescent="0.2">
      <c r="A71" s="3" t="str">
        <f>TEXT(Inputs!$B$60,"")</f>
        <v>Sliema</v>
      </c>
      <c r="C71" s="7">
        <f ca="1">Inputs!B61*(1+princ)^ProRate</f>
        <v>306724.99866884813</v>
      </c>
      <c r="D71" s="7">
        <f t="shared" ref="D71:S75" ca="1" si="41">C71*(1+princ)</f>
        <v>315926.7486289136</v>
      </c>
      <c r="E71" s="7">
        <f t="shared" ca="1" si="41"/>
        <v>325404.55108778103</v>
      </c>
      <c r="F71" s="7">
        <f t="shared" ca="1" si="41"/>
        <v>335166.68762041448</v>
      </c>
      <c r="G71" s="7">
        <f t="shared" ca="1" si="41"/>
        <v>345221.68824902695</v>
      </c>
      <c r="H71" s="7">
        <f t="shared" ca="1" si="41"/>
        <v>355578.33889649779</v>
      </c>
      <c r="I71" s="7">
        <f t="shared" ca="1" si="41"/>
        <v>366245.68906339275</v>
      </c>
      <c r="J71" s="7">
        <f t="shared" ca="1" si="41"/>
        <v>377233.05973529455</v>
      </c>
      <c r="K71" s="7">
        <f t="shared" ca="1" si="41"/>
        <v>388550.05152735341</v>
      </c>
      <c r="L71" s="7">
        <f t="shared" ca="1" si="41"/>
        <v>400206.55307317403</v>
      </c>
      <c r="M71" s="7">
        <f t="shared" ca="1" si="41"/>
        <v>412212.74966536928</v>
      </c>
      <c r="N71" s="7">
        <f t="shared" ca="1" si="41"/>
        <v>424579.13215533039</v>
      </c>
      <c r="O71" s="7">
        <f t="shared" ca="1" si="41"/>
        <v>437316.50611999031</v>
      </c>
      <c r="P71" s="7">
        <f t="shared" ca="1" si="41"/>
        <v>450436.00130359002</v>
      </c>
      <c r="Q71" s="7">
        <f t="shared" ca="1" si="41"/>
        <v>463949.08134269773</v>
      </c>
      <c r="R71" s="7">
        <f t="shared" ca="1" si="41"/>
        <v>477867.55378297868</v>
      </c>
      <c r="S71" s="7">
        <f t="shared" ca="1" si="41"/>
        <v>492203.58039646805</v>
      </c>
      <c r="T71" s="7">
        <f t="shared" ref="T71:AI75" ca="1" si="42">S71*(1+princ)</f>
        <v>506969.68780836213</v>
      </c>
      <c r="U71" s="7">
        <f t="shared" ca="1" si="42"/>
        <v>522178.77844261302</v>
      </c>
      <c r="V71" s="7">
        <f t="shared" ca="1" si="42"/>
        <v>537844.14179589145</v>
      </c>
      <c r="W71" s="7">
        <f t="shared" ca="1" si="42"/>
        <v>553979.46604976826</v>
      </c>
      <c r="X71" s="7">
        <f t="shared" ca="1" si="42"/>
        <v>570598.85003126133</v>
      </c>
      <c r="Y71" s="7">
        <f t="shared" ca="1" si="42"/>
        <v>587716.81553219922</v>
      </c>
      <c r="Z71" s="7">
        <f t="shared" ca="1" si="42"/>
        <v>605348.31999816524</v>
      </c>
      <c r="AA71" s="7">
        <f t="shared" ca="1" si="42"/>
        <v>623508.76959811023</v>
      </c>
      <c r="AB71" s="7">
        <f t="shared" ca="1" si="42"/>
        <v>642214.03268605354</v>
      </c>
      <c r="AC71" s="7">
        <f t="shared" ca="1" si="42"/>
        <v>661480.45366663521</v>
      </c>
      <c r="AD71" s="7">
        <f t="shared" ca="1" si="42"/>
        <v>681324.86727663432</v>
      </c>
      <c r="AE71" s="7">
        <f t="shared" ca="1" si="42"/>
        <v>701764.61329493334</v>
      </c>
      <c r="AF71" s="7">
        <f t="shared" ca="1" si="42"/>
        <v>722817.5516937814</v>
      </c>
      <c r="AG71" s="7">
        <f t="shared" ca="1" si="42"/>
        <v>744502.07824459486</v>
      </c>
      <c r="AH71" s="7">
        <f t="shared" ca="1" si="42"/>
        <v>766837.14059193269</v>
      </c>
      <c r="AI71" s="7">
        <f t="shared" ca="1" si="42"/>
        <v>789842.25480969064</v>
      </c>
      <c r="AJ71" s="7">
        <f t="shared" ref="AJ71:AM75" ca="1" si="43">AI71*(1+princ)</f>
        <v>813537.52245398134</v>
      </c>
      <c r="AK71" s="7">
        <f t="shared" ca="1" si="43"/>
        <v>837943.64812760078</v>
      </c>
      <c r="AL71" s="7">
        <f t="shared" ca="1" si="43"/>
        <v>863081.95757142885</v>
      </c>
      <c r="AM71" s="7">
        <f t="shared" ca="1" si="43"/>
        <v>888974.41629857174</v>
      </c>
    </row>
    <row r="72" spans="1:39" x14ac:dyDescent="0.2">
      <c r="A72" s="3" t="str">
        <f>TEXT(Inputs!$B$65,"")</f>
        <v>Gzira</v>
      </c>
      <c r="C72" s="7">
        <f ca="1">Inputs!B66*(1+princ)^ProRate</f>
        <v>153362.49933442406</v>
      </c>
      <c r="D72" s="7">
        <f t="shared" ca="1" si="41"/>
        <v>157963.3743144568</v>
      </c>
      <c r="E72" s="7">
        <f t="shared" ca="1" si="41"/>
        <v>162702.27554389052</v>
      </c>
      <c r="F72" s="7">
        <f t="shared" ca="1" si="41"/>
        <v>167583.34381020724</v>
      </c>
      <c r="G72" s="7">
        <f t="shared" ca="1" si="41"/>
        <v>172610.84412451347</v>
      </c>
      <c r="H72" s="7">
        <f t="shared" ca="1" si="41"/>
        <v>177789.1694482489</v>
      </c>
      <c r="I72" s="7">
        <f t="shared" ca="1" si="41"/>
        <v>183122.84453169638</v>
      </c>
      <c r="J72" s="7">
        <f t="shared" ca="1" si="41"/>
        <v>188616.52986764727</v>
      </c>
      <c r="K72" s="7">
        <f t="shared" ca="1" si="41"/>
        <v>194275.02576367671</v>
      </c>
      <c r="L72" s="7">
        <f t="shared" ca="1" si="41"/>
        <v>200103.27653658701</v>
      </c>
      <c r="M72" s="7">
        <f t="shared" ca="1" si="41"/>
        <v>206106.37483268464</v>
      </c>
      <c r="N72" s="7">
        <f t="shared" ca="1" si="41"/>
        <v>212289.56607766519</v>
      </c>
      <c r="O72" s="7">
        <f t="shared" ca="1" si="41"/>
        <v>218658.25305999516</v>
      </c>
      <c r="P72" s="7">
        <f t="shared" ca="1" si="41"/>
        <v>225218.00065179501</v>
      </c>
      <c r="Q72" s="7">
        <f t="shared" ca="1" si="41"/>
        <v>231974.54067134886</v>
      </c>
      <c r="R72" s="7">
        <f t="shared" ca="1" si="41"/>
        <v>238933.77689148934</v>
      </c>
      <c r="S72" s="7">
        <f t="shared" ca="1" si="41"/>
        <v>246101.79019823403</v>
      </c>
      <c r="T72" s="7">
        <f t="shared" ca="1" si="42"/>
        <v>253484.84390418106</v>
      </c>
      <c r="U72" s="7">
        <f t="shared" ca="1" si="42"/>
        <v>261089.38922130651</v>
      </c>
      <c r="V72" s="7">
        <f t="shared" ca="1" si="42"/>
        <v>268922.07089794573</v>
      </c>
      <c r="W72" s="7">
        <f t="shared" ca="1" si="42"/>
        <v>276989.73302488413</v>
      </c>
      <c r="X72" s="7">
        <f t="shared" ca="1" si="42"/>
        <v>285299.42501563067</v>
      </c>
      <c r="Y72" s="7">
        <f t="shared" ca="1" si="42"/>
        <v>293858.40776609961</v>
      </c>
      <c r="Z72" s="7">
        <f t="shared" ca="1" si="42"/>
        <v>302674.15999908262</v>
      </c>
      <c r="AA72" s="7">
        <f t="shared" ca="1" si="42"/>
        <v>311754.38479905511</v>
      </c>
      <c r="AB72" s="7">
        <f t="shared" ca="1" si="42"/>
        <v>321107.01634302677</v>
      </c>
      <c r="AC72" s="7">
        <f t="shared" ca="1" si="42"/>
        <v>330740.2268333176</v>
      </c>
      <c r="AD72" s="7">
        <f t="shared" ca="1" si="42"/>
        <v>340662.43363831716</v>
      </c>
      <c r="AE72" s="7">
        <f t="shared" ca="1" si="42"/>
        <v>350882.30664746667</v>
      </c>
      <c r="AF72" s="7">
        <f t="shared" ca="1" si="42"/>
        <v>361408.7758468907</v>
      </c>
      <c r="AG72" s="7">
        <f t="shared" ca="1" si="42"/>
        <v>372251.03912229743</v>
      </c>
      <c r="AH72" s="7">
        <f t="shared" ca="1" si="42"/>
        <v>383418.57029596635</v>
      </c>
      <c r="AI72" s="7">
        <f t="shared" ca="1" si="42"/>
        <v>394921.12740484532</v>
      </c>
      <c r="AJ72" s="7">
        <f t="shared" ca="1" si="43"/>
        <v>406768.76122699067</v>
      </c>
      <c r="AK72" s="7">
        <f t="shared" ca="1" si="43"/>
        <v>418971.82406380039</v>
      </c>
      <c r="AL72" s="7">
        <f t="shared" ca="1" si="43"/>
        <v>431540.97878571443</v>
      </c>
      <c r="AM72" s="7">
        <f t="shared" ca="1" si="43"/>
        <v>444487.20814928587</v>
      </c>
    </row>
    <row r="73" spans="1:39" x14ac:dyDescent="0.2">
      <c r="A73" s="3" t="str">
        <f>TEXT(Inputs!$B$70,"")</f>
        <v>Qormi</v>
      </c>
      <c r="C73" s="7">
        <f ca="1">Inputs!B71*(1+princ)^ProRate</f>
        <v>224931.66569048862</v>
      </c>
      <c r="D73" s="7">
        <f t="shared" ca="1" si="41"/>
        <v>231679.61566120328</v>
      </c>
      <c r="E73" s="7">
        <f t="shared" ca="1" si="41"/>
        <v>238630.00413103937</v>
      </c>
      <c r="F73" s="7">
        <f t="shared" ca="1" si="41"/>
        <v>245788.90425497055</v>
      </c>
      <c r="G73" s="7">
        <f t="shared" ca="1" si="41"/>
        <v>253162.57138261967</v>
      </c>
      <c r="H73" s="7">
        <f t="shared" ca="1" si="41"/>
        <v>260757.44852409826</v>
      </c>
      <c r="I73" s="7">
        <f t="shared" ca="1" si="41"/>
        <v>268580.17197982123</v>
      </c>
      <c r="J73" s="7">
        <f t="shared" ca="1" si="41"/>
        <v>276637.57713921589</v>
      </c>
      <c r="K73" s="7">
        <f t="shared" ca="1" si="41"/>
        <v>284936.70445339236</v>
      </c>
      <c r="L73" s="7">
        <f t="shared" ca="1" si="41"/>
        <v>293484.80558699416</v>
      </c>
      <c r="M73" s="7">
        <f t="shared" ca="1" si="41"/>
        <v>302289.34975460399</v>
      </c>
      <c r="N73" s="7">
        <f t="shared" ca="1" si="41"/>
        <v>311358.03024724213</v>
      </c>
      <c r="O73" s="7">
        <f t="shared" ca="1" si="41"/>
        <v>320698.77115465939</v>
      </c>
      <c r="P73" s="7">
        <f t="shared" ca="1" si="41"/>
        <v>330319.73428929917</v>
      </c>
      <c r="Q73" s="7">
        <f t="shared" ca="1" si="41"/>
        <v>340229.32631797815</v>
      </c>
      <c r="R73" s="7">
        <f t="shared" ca="1" si="41"/>
        <v>350436.20610751753</v>
      </c>
      <c r="S73" s="7">
        <f t="shared" ca="1" si="41"/>
        <v>360949.29229074309</v>
      </c>
      <c r="T73" s="7">
        <f t="shared" ca="1" si="42"/>
        <v>371777.77105946542</v>
      </c>
      <c r="U73" s="7">
        <f t="shared" ca="1" si="42"/>
        <v>382931.10419124941</v>
      </c>
      <c r="V73" s="7">
        <f t="shared" ca="1" si="42"/>
        <v>394419.03731698688</v>
      </c>
      <c r="W73" s="7">
        <f t="shared" ca="1" si="42"/>
        <v>406251.60843649652</v>
      </c>
      <c r="X73" s="7">
        <f t="shared" ca="1" si="42"/>
        <v>418439.15668959141</v>
      </c>
      <c r="Y73" s="7">
        <f t="shared" ca="1" si="42"/>
        <v>430992.33139027917</v>
      </c>
      <c r="Z73" s="7">
        <f t="shared" ca="1" si="42"/>
        <v>443922.10133198753</v>
      </c>
      <c r="AA73" s="7">
        <f t="shared" ca="1" si="42"/>
        <v>457239.76437194715</v>
      </c>
      <c r="AB73" s="7">
        <f t="shared" ca="1" si="42"/>
        <v>470956.95730310556</v>
      </c>
      <c r="AC73" s="7">
        <f t="shared" ca="1" si="42"/>
        <v>485085.66602219874</v>
      </c>
      <c r="AD73" s="7">
        <f t="shared" ca="1" si="42"/>
        <v>499638.23600286472</v>
      </c>
      <c r="AE73" s="7">
        <f t="shared" ca="1" si="42"/>
        <v>514627.38308295066</v>
      </c>
      <c r="AF73" s="7">
        <f t="shared" ca="1" si="42"/>
        <v>530066.20457543922</v>
      </c>
      <c r="AG73" s="7">
        <f t="shared" ca="1" si="42"/>
        <v>545968.19071270246</v>
      </c>
      <c r="AH73" s="7">
        <f t="shared" ca="1" si="42"/>
        <v>562347.23643408355</v>
      </c>
      <c r="AI73" s="7">
        <f t="shared" ca="1" si="42"/>
        <v>579217.65352710604</v>
      </c>
      <c r="AJ73" s="7">
        <f t="shared" ca="1" si="43"/>
        <v>596594.18313291925</v>
      </c>
      <c r="AK73" s="7">
        <f t="shared" ca="1" si="43"/>
        <v>614492.0086269069</v>
      </c>
      <c r="AL73" s="7">
        <f t="shared" ca="1" si="43"/>
        <v>632926.76888571412</v>
      </c>
      <c r="AM73" s="7">
        <f t="shared" ca="1" si="43"/>
        <v>651914.57195228559</v>
      </c>
    </row>
    <row r="74" spans="1:39" x14ac:dyDescent="0.2">
      <c r="A74" s="3" t="str">
        <f>TEXT(Inputs!$B$75,"")</f>
        <v>Gudja</v>
      </c>
      <c r="C74" s="7">
        <f ca="1">Inputs!B76*(1+princ)^ProRate</f>
        <v>81793.332978359496</v>
      </c>
      <c r="D74" s="7">
        <f t="shared" ca="1" si="41"/>
        <v>84247.132967710277</v>
      </c>
      <c r="E74" s="7">
        <f t="shared" ca="1" si="41"/>
        <v>86774.546956741586</v>
      </c>
      <c r="F74" s="7">
        <f t="shared" ca="1" si="41"/>
        <v>89377.783365443829</v>
      </c>
      <c r="G74" s="7">
        <f t="shared" ca="1" si="41"/>
        <v>92059.116866407145</v>
      </c>
      <c r="H74" s="7">
        <f t="shared" ca="1" si="41"/>
        <v>94820.890372399357</v>
      </c>
      <c r="I74" s="7">
        <f t="shared" ca="1" si="41"/>
        <v>97665.517083571336</v>
      </c>
      <c r="J74" s="7">
        <f t="shared" ca="1" si="41"/>
        <v>100595.48259607848</v>
      </c>
      <c r="K74" s="7">
        <f t="shared" ca="1" si="41"/>
        <v>103613.34707396083</v>
      </c>
      <c r="L74" s="7">
        <f t="shared" ca="1" si="41"/>
        <v>106721.74748617967</v>
      </c>
      <c r="M74" s="7">
        <f t="shared" ca="1" si="41"/>
        <v>109923.39991076506</v>
      </c>
      <c r="N74" s="7">
        <f t="shared" ca="1" si="41"/>
        <v>113221.10190808802</v>
      </c>
      <c r="O74" s="7">
        <f t="shared" ca="1" si="41"/>
        <v>116617.73496533066</v>
      </c>
      <c r="P74" s="7">
        <f t="shared" ca="1" si="41"/>
        <v>120116.26701429058</v>
      </c>
      <c r="Q74" s="7">
        <f t="shared" ca="1" si="41"/>
        <v>123719.7550247193</v>
      </c>
      <c r="R74" s="7">
        <f t="shared" ca="1" si="41"/>
        <v>127431.34767546089</v>
      </c>
      <c r="S74" s="7">
        <f t="shared" ca="1" si="41"/>
        <v>131254.28810572473</v>
      </c>
      <c r="T74" s="7">
        <f t="shared" ca="1" si="42"/>
        <v>135191.91674889647</v>
      </c>
      <c r="U74" s="7">
        <f t="shared" ca="1" si="42"/>
        <v>139247.67425136338</v>
      </c>
      <c r="V74" s="7">
        <f t="shared" ca="1" si="42"/>
        <v>143425.10447890428</v>
      </c>
      <c r="W74" s="7">
        <f t="shared" ca="1" si="42"/>
        <v>147727.85761327142</v>
      </c>
      <c r="X74" s="7">
        <f t="shared" ca="1" si="42"/>
        <v>152159.69334166957</v>
      </c>
      <c r="Y74" s="7">
        <f t="shared" ca="1" si="42"/>
        <v>156724.48414191965</v>
      </c>
      <c r="Z74" s="7">
        <f t="shared" ca="1" si="42"/>
        <v>161426.21866617724</v>
      </c>
      <c r="AA74" s="7">
        <f t="shared" ca="1" si="42"/>
        <v>166269.00522616255</v>
      </c>
      <c r="AB74" s="7">
        <f t="shared" ca="1" si="42"/>
        <v>171257.07538294743</v>
      </c>
      <c r="AC74" s="7">
        <f t="shared" ca="1" si="42"/>
        <v>176394.78764443586</v>
      </c>
      <c r="AD74" s="7">
        <f t="shared" ca="1" si="42"/>
        <v>181686.63127376893</v>
      </c>
      <c r="AE74" s="7">
        <f t="shared" ca="1" si="42"/>
        <v>187137.23021198201</v>
      </c>
      <c r="AF74" s="7">
        <f t="shared" ca="1" si="42"/>
        <v>192751.34711834148</v>
      </c>
      <c r="AG74" s="7">
        <f t="shared" ca="1" si="42"/>
        <v>198533.88753189173</v>
      </c>
      <c r="AH74" s="7">
        <f t="shared" ca="1" si="42"/>
        <v>204489.90415784848</v>
      </c>
      <c r="AI74" s="7">
        <f t="shared" ca="1" si="42"/>
        <v>210624.60128258393</v>
      </c>
      <c r="AJ74" s="7">
        <f t="shared" ca="1" si="43"/>
        <v>216943.33932106144</v>
      </c>
      <c r="AK74" s="7">
        <f t="shared" ca="1" si="43"/>
        <v>223451.6395006933</v>
      </c>
      <c r="AL74" s="7">
        <f t="shared" ca="1" si="43"/>
        <v>230155.18868571409</v>
      </c>
      <c r="AM74" s="7">
        <f t="shared" ca="1" si="43"/>
        <v>237059.84434628554</v>
      </c>
    </row>
    <row r="75" spans="1:39" x14ac:dyDescent="0.2">
      <c r="A75" s="3" t="str">
        <f>TEXT(Inputs!$B$80,"")</f>
        <v>Marsa</v>
      </c>
      <c r="C75" s="7">
        <f ca="1">Inputs!B81*(1+princ)^ProRate</f>
        <v>122689.99946753924</v>
      </c>
      <c r="D75" s="7">
        <f t="shared" ca="1" si="41"/>
        <v>126370.69945156542</v>
      </c>
      <c r="E75" s="7">
        <f t="shared" ca="1" si="41"/>
        <v>130161.82043511239</v>
      </c>
      <c r="F75" s="7">
        <f t="shared" ca="1" si="41"/>
        <v>134066.67504816575</v>
      </c>
      <c r="G75" s="7">
        <f t="shared" ca="1" si="41"/>
        <v>138088.67529961074</v>
      </c>
      <c r="H75" s="7">
        <f t="shared" ca="1" si="41"/>
        <v>142231.33555859906</v>
      </c>
      <c r="I75" s="7">
        <f t="shared" ca="1" si="41"/>
        <v>146498.27562535706</v>
      </c>
      <c r="J75" s="7">
        <f t="shared" ca="1" si="41"/>
        <v>150893.22389411778</v>
      </c>
      <c r="K75" s="7">
        <f t="shared" ca="1" si="41"/>
        <v>155420.02061094131</v>
      </c>
      <c r="L75" s="7">
        <f t="shared" ca="1" si="41"/>
        <v>160082.62122926954</v>
      </c>
      <c r="M75" s="7">
        <f t="shared" ca="1" si="41"/>
        <v>164885.09986614762</v>
      </c>
      <c r="N75" s="7">
        <f t="shared" ca="1" si="41"/>
        <v>169831.65286213206</v>
      </c>
      <c r="O75" s="7">
        <f t="shared" ca="1" si="41"/>
        <v>174926.60244799603</v>
      </c>
      <c r="P75" s="7">
        <f t="shared" ca="1" si="41"/>
        <v>180174.40052143592</v>
      </c>
      <c r="Q75" s="7">
        <f t="shared" ca="1" si="41"/>
        <v>185579.63253707901</v>
      </c>
      <c r="R75" s="7">
        <f t="shared" ca="1" si="41"/>
        <v>191147.0215131914</v>
      </c>
      <c r="S75" s="7">
        <f t="shared" ca="1" si="41"/>
        <v>196881.43215858715</v>
      </c>
      <c r="T75" s="7">
        <f t="shared" ca="1" si="42"/>
        <v>202787.87512334477</v>
      </c>
      <c r="U75" s="7">
        <f t="shared" ca="1" si="42"/>
        <v>208871.51137704513</v>
      </c>
      <c r="V75" s="7">
        <f t="shared" ca="1" si="42"/>
        <v>215137.65671835648</v>
      </c>
      <c r="W75" s="7">
        <f t="shared" ca="1" si="42"/>
        <v>221591.78641990718</v>
      </c>
      <c r="X75" s="7">
        <f t="shared" ca="1" si="42"/>
        <v>228239.54001250441</v>
      </c>
      <c r="Y75" s="7">
        <f t="shared" ca="1" si="42"/>
        <v>235086.72621287956</v>
      </c>
      <c r="Z75" s="7">
        <f t="shared" ca="1" si="42"/>
        <v>242139.32799926595</v>
      </c>
      <c r="AA75" s="7">
        <f t="shared" ca="1" si="42"/>
        <v>249403.50783924395</v>
      </c>
      <c r="AB75" s="7">
        <f t="shared" ca="1" si="42"/>
        <v>256885.61307442127</v>
      </c>
      <c r="AC75" s="7">
        <f t="shared" ca="1" si="42"/>
        <v>264592.18146665394</v>
      </c>
      <c r="AD75" s="7">
        <f t="shared" ca="1" si="42"/>
        <v>272529.94691065355</v>
      </c>
      <c r="AE75" s="7">
        <f t="shared" ca="1" si="42"/>
        <v>280705.84531797317</v>
      </c>
      <c r="AF75" s="7">
        <f t="shared" ca="1" si="42"/>
        <v>289127.0206775124</v>
      </c>
      <c r="AG75" s="7">
        <f t="shared" ca="1" si="42"/>
        <v>297800.83129783778</v>
      </c>
      <c r="AH75" s="7">
        <f t="shared" ca="1" si="42"/>
        <v>306734.8562367729</v>
      </c>
      <c r="AI75" s="7">
        <f t="shared" ca="1" si="42"/>
        <v>315936.90192387608</v>
      </c>
      <c r="AJ75" s="7">
        <f t="shared" ca="1" si="43"/>
        <v>325415.00898159237</v>
      </c>
      <c r="AK75" s="7">
        <f t="shared" ca="1" si="43"/>
        <v>335177.45925104013</v>
      </c>
      <c r="AL75" s="7">
        <f t="shared" ca="1" si="43"/>
        <v>345232.78302857134</v>
      </c>
      <c r="AM75" s="7">
        <f t="shared" ca="1" si="43"/>
        <v>355589.76651942846</v>
      </c>
    </row>
    <row r="76" spans="1:39" x14ac:dyDescent="0.2">
      <c r="A76" s="4" t="s">
        <v>193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</row>
    <row r="77" spans="1:39" x14ac:dyDescent="0.2">
      <c r="A77" s="3" t="str">
        <f>TEXT(Inputs!$B$87,"")</f>
        <v>Jewelry</v>
      </c>
      <c r="C77" s="7">
        <f ca="1">Inputs!B88*(1+A1inc)^ProRate</f>
        <v>50748.140451472013</v>
      </c>
      <c r="D77" s="7">
        <f t="shared" ref="D77:AM77" ca="1" si="44">C77*(1+A1inc)</f>
        <v>51763.103260501455</v>
      </c>
      <c r="E77" s="7">
        <f t="shared" ca="1" si="44"/>
        <v>52798.365325711486</v>
      </c>
      <c r="F77" s="7">
        <f t="shared" ca="1" si="44"/>
        <v>53854.33263222572</v>
      </c>
      <c r="G77" s="7">
        <f t="shared" ca="1" si="44"/>
        <v>54931.419284870237</v>
      </c>
      <c r="H77" s="7">
        <f t="shared" ca="1" si="44"/>
        <v>56030.047670567641</v>
      </c>
      <c r="I77" s="7">
        <f t="shared" ca="1" si="44"/>
        <v>57150.648623978996</v>
      </c>
      <c r="J77" s="7">
        <f t="shared" ca="1" si="44"/>
        <v>58293.66159645858</v>
      </c>
      <c r="K77" s="7">
        <f t="shared" ca="1" si="44"/>
        <v>59459.534828387754</v>
      </c>
      <c r="L77" s="7">
        <f t="shared" ca="1" si="44"/>
        <v>60648.725524955509</v>
      </c>
      <c r="M77" s="7">
        <f t="shared" ca="1" si="44"/>
        <v>61861.700035454618</v>
      </c>
      <c r="N77" s="7">
        <f t="shared" ca="1" si="44"/>
        <v>63098.934036163715</v>
      </c>
      <c r="O77" s="7">
        <f t="shared" ca="1" si="44"/>
        <v>64360.912716886989</v>
      </c>
      <c r="P77" s="7">
        <f t="shared" ca="1" si="44"/>
        <v>65648.130971224731</v>
      </c>
      <c r="Q77" s="7">
        <f t="shared" ca="1" si="44"/>
        <v>66961.093590649223</v>
      </c>
      <c r="R77" s="7">
        <f t="shared" ca="1" si="44"/>
        <v>68300.315462462211</v>
      </c>
      <c r="S77" s="7">
        <f t="shared" ca="1" si="44"/>
        <v>69666.32177171146</v>
      </c>
      <c r="T77" s="7">
        <f t="shared" ca="1" si="44"/>
        <v>71059.648207145685</v>
      </c>
      <c r="U77" s="7">
        <f t="shared" ca="1" si="44"/>
        <v>72480.841171288601</v>
      </c>
      <c r="V77" s="7">
        <f t="shared" ca="1" si="44"/>
        <v>73930.457994714379</v>
      </c>
      <c r="W77" s="7">
        <f t="shared" ca="1" si="44"/>
        <v>75409.067154608667</v>
      </c>
      <c r="X77" s="7">
        <f t="shared" ca="1" si="44"/>
        <v>76917.248497700843</v>
      </c>
      <c r="Y77" s="7">
        <f t="shared" ca="1" si="44"/>
        <v>78455.593467654864</v>
      </c>
      <c r="Z77" s="7">
        <f t="shared" ca="1" si="44"/>
        <v>80024.705337007967</v>
      </c>
      <c r="AA77" s="7">
        <f t="shared" ca="1" si="44"/>
        <v>81625.199443748133</v>
      </c>
      <c r="AB77" s="7">
        <f t="shared" ca="1" si="44"/>
        <v>83257.703432623093</v>
      </c>
      <c r="AC77" s="7">
        <f t="shared" ca="1" si="44"/>
        <v>84922.857501275561</v>
      </c>
      <c r="AD77" s="7">
        <f t="shared" ca="1" si="44"/>
        <v>86621.314651301072</v>
      </c>
      <c r="AE77" s="7">
        <f t="shared" ca="1" si="44"/>
        <v>88353.740944327103</v>
      </c>
      <c r="AF77" s="7">
        <f t="shared" ca="1" si="44"/>
        <v>90120.815763213643</v>
      </c>
      <c r="AG77" s="7">
        <f t="shared" ca="1" si="44"/>
        <v>91923.232078477915</v>
      </c>
      <c r="AH77" s="7">
        <f t="shared" ca="1" si="44"/>
        <v>93761.696720047476</v>
      </c>
      <c r="AI77" s="7">
        <f t="shared" ca="1" si="44"/>
        <v>95636.930654448428</v>
      </c>
      <c r="AJ77" s="7">
        <f t="shared" ca="1" si="44"/>
        <v>97549.669267537392</v>
      </c>
      <c r="AK77" s="7">
        <f t="shared" ca="1" si="44"/>
        <v>99500.662652888146</v>
      </c>
      <c r="AL77" s="7">
        <f t="shared" ca="1" si="44"/>
        <v>101490.67590594591</v>
      </c>
      <c r="AM77" s="7">
        <f t="shared" ca="1" si="44"/>
        <v>103520.48942406483</v>
      </c>
    </row>
    <row r="78" spans="1:39" x14ac:dyDescent="0.2">
      <c r="A78" s="3" t="str">
        <f>TEXT(Inputs!$B$92,"")</f>
        <v>Car</v>
      </c>
      <c r="C78" s="7">
        <f ca="1">Inputs!B93*(1+A2inc)^ProRate</f>
        <v>38490.424009238486</v>
      </c>
      <c r="D78" s="7">
        <f t="shared" ref="D78:AM78" ca="1" si="45">C78*(1+A2inc)</f>
        <v>36565.902808776562</v>
      </c>
      <c r="E78" s="7">
        <f t="shared" ca="1" si="45"/>
        <v>34737.607668337732</v>
      </c>
      <c r="F78" s="7">
        <f t="shared" ca="1" si="45"/>
        <v>33000.727284920846</v>
      </c>
      <c r="G78" s="7">
        <f t="shared" ca="1" si="45"/>
        <v>31350.690920674802</v>
      </c>
      <c r="H78" s="7">
        <f t="shared" ca="1" si="45"/>
        <v>29783.156374641061</v>
      </c>
      <c r="I78" s="7">
        <f t="shared" ca="1" si="45"/>
        <v>28293.998555909006</v>
      </c>
      <c r="J78" s="7">
        <f t="shared" ca="1" si="45"/>
        <v>26879.298628113553</v>
      </c>
      <c r="K78" s="7">
        <f t="shared" ca="1" si="45"/>
        <v>25535.333696707872</v>
      </c>
      <c r="L78" s="7">
        <f t="shared" ca="1" si="45"/>
        <v>24258.567011872477</v>
      </c>
      <c r="M78" s="7">
        <f t="shared" ca="1" si="45"/>
        <v>23045.638661278852</v>
      </c>
      <c r="N78" s="7">
        <f t="shared" ca="1" si="45"/>
        <v>21893.356728214909</v>
      </c>
      <c r="O78" s="7">
        <f t="shared" ca="1" si="45"/>
        <v>20798.688891804162</v>
      </c>
      <c r="P78" s="7">
        <f t="shared" ca="1" si="45"/>
        <v>19758.754447213953</v>
      </c>
      <c r="Q78" s="7">
        <f t="shared" ca="1" si="45"/>
        <v>18770.816724853255</v>
      </c>
      <c r="R78" s="7">
        <f t="shared" ca="1" si="45"/>
        <v>17832.275888610591</v>
      </c>
      <c r="S78" s="7">
        <f t="shared" ca="1" si="45"/>
        <v>16940.662094180061</v>
      </c>
      <c r="T78" s="7">
        <f t="shared" ca="1" si="45"/>
        <v>16093.628989471057</v>
      </c>
      <c r="U78" s="7">
        <f t="shared" ca="1" si="45"/>
        <v>15288.947539997504</v>
      </c>
      <c r="V78" s="7">
        <f t="shared" ca="1" si="45"/>
        <v>14524.500162997627</v>
      </c>
      <c r="W78" s="7">
        <f t="shared" ca="1" si="45"/>
        <v>13798.275154847744</v>
      </c>
      <c r="X78" s="7">
        <f t="shared" ca="1" si="45"/>
        <v>13108.361397105356</v>
      </c>
      <c r="Y78" s="7">
        <f t="shared" ca="1" si="45"/>
        <v>12452.943327250088</v>
      </c>
      <c r="Z78" s="7">
        <f t="shared" ca="1" si="45"/>
        <v>11830.296160887583</v>
      </c>
      <c r="AA78" s="7">
        <f t="shared" ca="1" si="45"/>
        <v>11238.781352843203</v>
      </c>
      <c r="AB78" s="7">
        <f t="shared" ca="1" si="45"/>
        <v>10676.842285201043</v>
      </c>
      <c r="AC78" s="7">
        <f t="shared" ca="1" si="45"/>
        <v>10143.00017094099</v>
      </c>
      <c r="AD78" s="7">
        <f t="shared" ca="1" si="45"/>
        <v>9635.8501623939392</v>
      </c>
      <c r="AE78" s="7">
        <f t="shared" ca="1" si="45"/>
        <v>9154.0576542742419</v>
      </c>
      <c r="AF78" s="7">
        <f t="shared" ca="1" si="45"/>
        <v>8696.3547715605291</v>
      </c>
      <c r="AG78" s="7">
        <f t="shared" ca="1" si="45"/>
        <v>8261.5370329825018</v>
      </c>
      <c r="AH78" s="7">
        <f t="shared" ca="1" si="45"/>
        <v>7848.4601813333766</v>
      </c>
      <c r="AI78" s="7">
        <f t="shared" ca="1" si="45"/>
        <v>7456.0371722667078</v>
      </c>
      <c r="AJ78" s="7">
        <f t="shared" ca="1" si="45"/>
        <v>7083.235313653372</v>
      </c>
      <c r="AK78" s="7">
        <f t="shared" ca="1" si="45"/>
        <v>6729.0735479707027</v>
      </c>
      <c r="AL78" s="7">
        <f t="shared" ca="1" si="45"/>
        <v>6392.6198705721672</v>
      </c>
      <c r="AM78" s="7">
        <f t="shared" ca="1" si="45"/>
        <v>6072.9888770435582</v>
      </c>
    </row>
    <row r="79" spans="1:39" x14ac:dyDescent="0.2">
      <c r="A79" s="3" t="str">
        <f>TEXT(Inputs!$B$97,"")</f>
        <v>Painting</v>
      </c>
      <c r="C79" s="7">
        <f ca="1">Inputs!B98*(1+A3inc)^ProRate</f>
        <v>20448.333244589874</v>
      </c>
      <c r="D79" s="7">
        <f t="shared" ref="D79:AM79" ca="1" si="46">C79*(1+A3inc)</f>
        <v>21061.783241927569</v>
      </c>
      <c r="E79" s="7">
        <f t="shared" ca="1" si="46"/>
        <v>21693.636739185396</v>
      </c>
      <c r="F79" s="7">
        <f t="shared" ca="1" si="46"/>
        <v>22344.445841360957</v>
      </c>
      <c r="G79" s="7">
        <f t="shared" ca="1" si="46"/>
        <v>23014.779216601786</v>
      </c>
      <c r="H79" s="7">
        <f t="shared" ca="1" si="46"/>
        <v>23705.222593099839</v>
      </c>
      <c r="I79" s="7">
        <f t="shared" ca="1" si="46"/>
        <v>24416.379270892834</v>
      </c>
      <c r="J79" s="7">
        <f t="shared" ca="1" si="46"/>
        <v>25148.87064901962</v>
      </c>
      <c r="K79" s="7">
        <f t="shared" ca="1" si="46"/>
        <v>25903.336768490208</v>
      </c>
      <c r="L79" s="7">
        <f t="shared" ca="1" si="46"/>
        <v>26680.436871544916</v>
      </c>
      <c r="M79" s="7">
        <f t="shared" ca="1" si="46"/>
        <v>27480.849977691265</v>
      </c>
      <c r="N79" s="7">
        <f t="shared" ca="1" si="46"/>
        <v>28305.275477022005</v>
      </c>
      <c r="O79" s="7">
        <f t="shared" ca="1" si="46"/>
        <v>29154.433741332665</v>
      </c>
      <c r="P79" s="7">
        <f t="shared" ca="1" si="46"/>
        <v>30029.066753572646</v>
      </c>
      <c r="Q79" s="7">
        <f t="shared" ca="1" si="46"/>
        <v>30929.938756179825</v>
      </c>
      <c r="R79" s="7">
        <f t="shared" ca="1" si="46"/>
        <v>31857.836918865221</v>
      </c>
      <c r="S79" s="7">
        <f t="shared" ca="1" si="46"/>
        <v>32813.572026431182</v>
      </c>
      <c r="T79" s="7">
        <f t="shared" ca="1" si="46"/>
        <v>33797.979187224119</v>
      </c>
      <c r="U79" s="7">
        <f t="shared" ca="1" si="46"/>
        <v>34811.918562840845</v>
      </c>
      <c r="V79" s="7">
        <f t="shared" ca="1" si="46"/>
        <v>35856.27611972607</v>
      </c>
      <c r="W79" s="7">
        <f t="shared" ca="1" si="46"/>
        <v>36931.964403317856</v>
      </c>
      <c r="X79" s="7">
        <f t="shared" ca="1" si="46"/>
        <v>38039.923335417392</v>
      </c>
      <c r="Y79" s="7">
        <f t="shared" ca="1" si="46"/>
        <v>39181.121035479911</v>
      </c>
      <c r="Z79" s="7">
        <f t="shared" ca="1" si="46"/>
        <v>40356.554666544311</v>
      </c>
      <c r="AA79" s="7">
        <f t="shared" ca="1" si="46"/>
        <v>41567.251306540638</v>
      </c>
      <c r="AB79" s="7">
        <f t="shared" ca="1" si="46"/>
        <v>42814.268845736857</v>
      </c>
      <c r="AC79" s="7">
        <f t="shared" ca="1" si="46"/>
        <v>44098.696911108964</v>
      </c>
      <c r="AD79" s="7">
        <f t="shared" ca="1" si="46"/>
        <v>45421.657818442232</v>
      </c>
      <c r="AE79" s="7">
        <f t="shared" ca="1" si="46"/>
        <v>46784.307552995502</v>
      </c>
      <c r="AF79" s="7">
        <f t="shared" ca="1" si="46"/>
        <v>48187.83677958537</v>
      </c>
      <c r="AG79" s="7">
        <f t="shared" ca="1" si="46"/>
        <v>49633.471882972932</v>
      </c>
      <c r="AH79" s="7">
        <f t="shared" ca="1" si="46"/>
        <v>51122.476039462119</v>
      </c>
      <c r="AI79" s="7">
        <f t="shared" ca="1" si="46"/>
        <v>52656.150320645982</v>
      </c>
      <c r="AJ79" s="7">
        <f t="shared" ca="1" si="46"/>
        <v>54235.834830265361</v>
      </c>
      <c r="AK79" s="7">
        <f t="shared" ca="1" si="46"/>
        <v>55862.909875173325</v>
      </c>
      <c r="AL79" s="7">
        <f t="shared" ca="1" si="46"/>
        <v>57538.797171428523</v>
      </c>
      <c r="AM79" s="7">
        <f t="shared" ca="1" si="46"/>
        <v>59264.961086571384</v>
      </c>
    </row>
    <row r="80" spans="1:39" x14ac:dyDescent="0.2">
      <c r="A80" s="3" t="str">
        <f>TEXT(Inputs!$B$102,"")</f>
        <v>Boat</v>
      </c>
      <c r="C80" s="7">
        <f ca="1">Inputs!B103*(1+A4inc)^ProRate</f>
        <v>173206.90804157319</v>
      </c>
      <c r="D80" s="7">
        <f t="shared" ref="D80:AM80" ca="1" si="47">C80*(1+A4inc)</f>
        <v>164546.56263949451</v>
      </c>
      <c r="E80" s="7">
        <f t="shared" ca="1" si="47"/>
        <v>156319.23450751978</v>
      </c>
      <c r="F80" s="7">
        <f t="shared" ca="1" si="47"/>
        <v>148503.27278214379</v>
      </c>
      <c r="G80" s="7">
        <f t="shared" ca="1" si="47"/>
        <v>141078.10914303659</v>
      </c>
      <c r="H80" s="7">
        <f t="shared" ca="1" si="47"/>
        <v>134024.20368588474</v>
      </c>
      <c r="I80" s="7">
        <f t="shared" ca="1" si="47"/>
        <v>127322.99350159049</v>
      </c>
      <c r="J80" s="7">
        <f t="shared" ca="1" si="47"/>
        <v>120956.84382651096</v>
      </c>
      <c r="K80" s="7">
        <f t="shared" ca="1" si="47"/>
        <v>114909.0016351854</v>
      </c>
      <c r="L80" s="7">
        <f t="shared" ca="1" si="47"/>
        <v>109163.55155342612</v>
      </c>
      <c r="M80" s="7">
        <f t="shared" ca="1" si="47"/>
        <v>103705.37397575482</v>
      </c>
      <c r="N80" s="7">
        <f t="shared" ca="1" si="47"/>
        <v>98520.105276967079</v>
      </c>
      <c r="O80" s="7">
        <f t="shared" ca="1" si="47"/>
        <v>93594.100013118717</v>
      </c>
      <c r="P80" s="7">
        <f t="shared" ca="1" si="47"/>
        <v>88914.395012462774</v>
      </c>
      <c r="Q80" s="7">
        <f t="shared" ca="1" si="47"/>
        <v>84468.675261839628</v>
      </c>
      <c r="R80" s="7">
        <f t="shared" ca="1" si="47"/>
        <v>80245.241498747637</v>
      </c>
      <c r="S80" s="7">
        <f t="shared" ca="1" si="47"/>
        <v>76232.979423810248</v>
      </c>
      <c r="T80" s="7">
        <f t="shared" ca="1" si="47"/>
        <v>72421.330452619732</v>
      </c>
      <c r="U80" s="7">
        <f t="shared" ca="1" si="47"/>
        <v>68800.263929988738</v>
      </c>
      <c r="V80" s="7">
        <f t="shared" ca="1" si="47"/>
        <v>65360.250733489294</v>
      </c>
      <c r="W80" s="7">
        <f t="shared" ca="1" si="47"/>
        <v>62092.238196814826</v>
      </c>
      <c r="X80" s="7">
        <f t="shared" ca="1" si="47"/>
        <v>58987.626286974082</v>
      </c>
      <c r="Y80" s="7">
        <f t="shared" ca="1" si="47"/>
        <v>56038.244972625376</v>
      </c>
      <c r="Z80" s="7">
        <f t="shared" ca="1" si="47"/>
        <v>53236.332723994106</v>
      </c>
      <c r="AA80" s="7">
        <f t="shared" ca="1" si="47"/>
        <v>50574.5160877944</v>
      </c>
      <c r="AB80" s="7">
        <f t="shared" ca="1" si="47"/>
        <v>48045.790283404676</v>
      </c>
      <c r="AC80" s="7">
        <f t="shared" ca="1" si="47"/>
        <v>45643.500769234437</v>
      </c>
      <c r="AD80" s="7">
        <f t="shared" ca="1" si="47"/>
        <v>43361.325730772711</v>
      </c>
      <c r="AE80" s="7">
        <f t="shared" ca="1" si="47"/>
        <v>41193.259444234071</v>
      </c>
      <c r="AF80" s="7">
        <f t="shared" ca="1" si="47"/>
        <v>39133.596472022364</v>
      </c>
      <c r="AG80" s="7">
        <f t="shared" ca="1" si="47"/>
        <v>37176.916648421247</v>
      </c>
      <c r="AH80" s="7">
        <f t="shared" ca="1" si="47"/>
        <v>35318.070816000181</v>
      </c>
      <c r="AI80" s="7">
        <f t="shared" ca="1" si="47"/>
        <v>33552.167275200169</v>
      </c>
      <c r="AJ80" s="7">
        <f t="shared" ca="1" si="47"/>
        <v>31874.558911440159</v>
      </c>
      <c r="AK80" s="7">
        <f t="shared" ca="1" si="47"/>
        <v>30280.83096586815</v>
      </c>
      <c r="AL80" s="7">
        <f t="shared" ca="1" si="47"/>
        <v>28766.789417574742</v>
      </c>
      <c r="AM80" s="7">
        <f t="shared" ca="1" si="47"/>
        <v>27328.449946696004</v>
      </c>
    </row>
    <row r="81" spans="1:39" x14ac:dyDescent="0.2">
      <c r="A81" s="3" t="str">
        <f>TEXT(Inputs!$B$107,"")</f>
        <v>Antiques</v>
      </c>
      <c r="C81" s="7">
        <f ca="1">Inputs!B108*(1+A5inc)^ProRate</f>
        <v>83226.9503404141</v>
      </c>
      <c r="D81" s="7">
        <f t="shared" ref="D81:AM81" ca="1" si="48">C81*(1+A5inc)</f>
        <v>84891.489347222378</v>
      </c>
      <c r="E81" s="7">
        <f t="shared" ca="1" si="48"/>
        <v>86589.319134166828</v>
      </c>
      <c r="F81" s="7">
        <f t="shared" ca="1" si="48"/>
        <v>88321.105516850163</v>
      </c>
      <c r="G81" s="7">
        <f t="shared" ca="1" si="48"/>
        <v>90087.52762718717</v>
      </c>
      <c r="H81" s="7">
        <f t="shared" ca="1" si="48"/>
        <v>91889.278179730914</v>
      </c>
      <c r="I81" s="7">
        <f t="shared" ca="1" si="48"/>
        <v>93727.063743325532</v>
      </c>
      <c r="J81" s="7">
        <f t="shared" ca="1" si="48"/>
        <v>95601.605018192044</v>
      </c>
      <c r="K81" s="7">
        <f t="shared" ca="1" si="48"/>
        <v>97513.637118555882</v>
      </c>
      <c r="L81" s="7">
        <f t="shared" ca="1" si="48"/>
        <v>99463.909860927</v>
      </c>
      <c r="M81" s="7">
        <f t="shared" ca="1" si="48"/>
        <v>101453.18805814555</v>
      </c>
      <c r="N81" s="7">
        <f t="shared" ca="1" si="48"/>
        <v>103482.25181930845</v>
      </c>
      <c r="O81" s="7">
        <f t="shared" ca="1" si="48"/>
        <v>105551.89685569462</v>
      </c>
      <c r="P81" s="7">
        <f t="shared" ca="1" si="48"/>
        <v>107662.93479280852</v>
      </c>
      <c r="Q81" s="7">
        <f t="shared" ca="1" si="48"/>
        <v>109816.19348866469</v>
      </c>
      <c r="R81" s="7">
        <f t="shared" ca="1" si="48"/>
        <v>112012.51735843798</v>
      </c>
      <c r="S81" s="7">
        <f t="shared" ca="1" si="48"/>
        <v>114252.76770560675</v>
      </c>
      <c r="T81" s="7">
        <f t="shared" ca="1" si="48"/>
        <v>116537.82305971888</v>
      </c>
      <c r="U81" s="7">
        <f t="shared" ca="1" si="48"/>
        <v>118868.57952091326</v>
      </c>
      <c r="V81" s="7">
        <f t="shared" ca="1" si="48"/>
        <v>121245.95111133152</v>
      </c>
      <c r="W81" s="7">
        <f t="shared" ca="1" si="48"/>
        <v>123670.87013355816</v>
      </c>
      <c r="X81" s="7">
        <f t="shared" ca="1" si="48"/>
        <v>126144.28753622933</v>
      </c>
      <c r="Y81" s="7">
        <f t="shared" ca="1" si="48"/>
        <v>128667.17328695391</v>
      </c>
      <c r="Z81" s="7">
        <f t="shared" ca="1" si="48"/>
        <v>131240.51675269299</v>
      </c>
      <c r="AA81" s="7">
        <f t="shared" ca="1" si="48"/>
        <v>133865.32708774685</v>
      </c>
      <c r="AB81" s="7">
        <f t="shared" ca="1" si="48"/>
        <v>136542.6336295018</v>
      </c>
      <c r="AC81" s="7">
        <f t="shared" ca="1" si="48"/>
        <v>139273.48630209183</v>
      </c>
      <c r="AD81" s="7">
        <f t="shared" ca="1" si="48"/>
        <v>142058.95602813366</v>
      </c>
      <c r="AE81" s="7">
        <f t="shared" ca="1" si="48"/>
        <v>144900.13514869634</v>
      </c>
      <c r="AF81" s="7">
        <f t="shared" ca="1" si="48"/>
        <v>147798.13785167027</v>
      </c>
      <c r="AG81" s="7">
        <f t="shared" ca="1" si="48"/>
        <v>150754.10060870368</v>
      </c>
      <c r="AH81" s="7">
        <f t="shared" ca="1" si="48"/>
        <v>153769.18262087775</v>
      </c>
      <c r="AI81" s="7">
        <f t="shared" ca="1" si="48"/>
        <v>156844.56627329532</v>
      </c>
      <c r="AJ81" s="7">
        <f t="shared" ca="1" si="48"/>
        <v>159981.45759876122</v>
      </c>
      <c r="AK81" s="7">
        <f t="shared" ca="1" si="48"/>
        <v>163181.08675073646</v>
      </c>
      <c r="AL81" s="7">
        <f t="shared" ca="1" si="48"/>
        <v>166444.70848575118</v>
      </c>
      <c r="AM81" s="7">
        <f t="shared" ca="1" si="48"/>
        <v>169773.60265546621</v>
      </c>
    </row>
    <row r="82" spans="1:39" x14ac:dyDescent="0.2">
      <c r="A82" s="4" t="s">
        <v>11</v>
      </c>
      <c r="C82" s="7">
        <f ca="1">Inputs!B10*(1+stinc)^ProRate</f>
        <v>31782.57432893329</v>
      </c>
      <c r="D82" s="7">
        <f ca="1">C82*(1+IF(AND(Inputs!$B$228&lt;&gt;"",D$2=Inputs!$B$228),-Inputs!$B$229,IF(AND(Inputs!$B$228&lt;&gt;"",D$2&gt;Inputs!$B$228,D$2&lt;=Inputs!$B$228+Inputs!$B$230),(1/(1-Inputs!$B$229))^(1/Inputs!$B$230)-1,IF(AND(Inputs!$B$233&lt;&gt;"",D$2=Inputs!$B$233),-Inputs!$B$234,IF(AND(Inputs!$B$233&lt;&gt;"",D$2&gt;Inputs!$B$233,D$2&lt;=Inputs!$B$233+Inputs!$B$235),(1/(1-Inputs!$B$234))^(1/Inputs!$B$235)-1,IF(AND(Inputs!$B$238&lt;&gt;"",D$2=Inputs!$B$238),-Inputs!$B$239,IF(AND(Inputs!$B$238&lt;&gt;"",D$2&gt;Inputs!$B$238,D$2&lt;=Inputs!$B$238+Inputs!$B$240),(1/(1-Inputs!$B$239))^(1/Inputs!$B$240)-1,IF(AND(Inputs!$B$243&lt;&gt;"",D$2=Inputs!$B$243),-Inputs!$B$244,IF(AND(Inputs!$B$243&lt;&gt;"",D$2&gt;Inputs!$B$243,D$2&lt;=Inputs!$B$243+Inputs!$B$245),(1/(1-Inputs!$B$244))^(1/Inputs!$B$245)-1,IF(AND(Inputs!$B$248&lt;&gt;"",D$2=Inputs!$B$248),-Inputs!$B$249,IF(AND(Inputs!$B$248&lt;&gt;"",D$2&gt;Inputs!$B$248,D$2&lt;=Inputs!$B$248+Inputs!$B$250),(1/(1-Inputs!$B$249))^(1/Inputs!$B$250)-1,stinc)))))))))))</f>
        <v>27015.188179593297</v>
      </c>
      <c r="E82" s="7">
        <f ca="1">D82*(1+IF(AND(Inputs!$B$228&lt;&gt;"",E$2=Inputs!$B$228),-Inputs!$B$229,IF(AND(Inputs!$B$228&lt;&gt;"",E$2&gt;Inputs!$B$228,E$2&lt;=Inputs!$B$228+Inputs!$B$230),(1/(1-Inputs!$B$229))^(1/Inputs!$B$230)-1,IF(AND(Inputs!$B$233&lt;&gt;"",E$2=Inputs!$B$233),-Inputs!$B$234,IF(AND(Inputs!$B$233&lt;&gt;"",E$2&gt;Inputs!$B$233,E$2&lt;=Inputs!$B$233+Inputs!$B$235),(1/(1-Inputs!$B$234))^(1/Inputs!$B$235)-1,IF(AND(Inputs!$B$238&lt;&gt;"",E$2=Inputs!$B$238),-Inputs!$B$239,IF(AND(Inputs!$B$238&lt;&gt;"",E$2&gt;Inputs!$B$238,E$2&lt;=Inputs!$B$238+Inputs!$B$240),(1/(1-Inputs!$B$239))^(1/Inputs!$B$240)-1,IF(AND(Inputs!$B$243&lt;&gt;"",E$2=Inputs!$B$243),-Inputs!$B$244,IF(AND(Inputs!$B$243&lt;&gt;"",E$2&gt;Inputs!$B$243,E$2&lt;=Inputs!$B$243+Inputs!$B$245),(1/(1-Inputs!$B$244))^(1/Inputs!$B$245)-1,IF(AND(Inputs!$B$248&lt;&gt;"",E$2=Inputs!$B$248),-Inputs!$B$249,IF(AND(Inputs!$B$248&lt;&gt;"",E$2&gt;Inputs!$B$248,E$2&lt;=Inputs!$B$248+Inputs!$B$250),(1/(1-Inputs!$B$249))^(1/Inputs!$B$250)-1,stinc)))))))))))</f>
        <v>31782.574328933293</v>
      </c>
      <c r="F82" s="7">
        <f ca="1">E82*(1+IF(AND(Inputs!$B$228&lt;&gt;"",F$2=Inputs!$B$228),-Inputs!$B$229,IF(AND(Inputs!$B$228&lt;&gt;"",F$2&gt;Inputs!$B$228,F$2&lt;=Inputs!$B$228+Inputs!$B$230),(1/(1-Inputs!$B$229))^(1/Inputs!$B$230)-1,IF(AND(Inputs!$B$233&lt;&gt;"",F$2=Inputs!$B$233),-Inputs!$B$234,IF(AND(Inputs!$B$233&lt;&gt;"",F$2&gt;Inputs!$B$233,F$2&lt;=Inputs!$B$233+Inputs!$B$235),(1/(1-Inputs!$B$234))^(1/Inputs!$B$235)-1,IF(AND(Inputs!$B$238&lt;&gt;"",F$2=Inputs!$B$238),-Inputs!$B$239,IF(AND(Inputs!$B$238&lt;&gt;"",F$2&gt;Inputs!$B$238,F$2&lt;=Inputs!$B$238+Inputs!$B$240),(1/(1-Inputs!$B$239))^(1/Inputs!$B$240)-1,IF(AND(Inputs!$B$243&lt;&gt;"",F$2=Inputs!$B$243),-Inputs!$B$244,IF(AND(Inputs!$B$243&lt;&gt;"",F$2&gt;Inputs!$B$243,F$2&lt;=Inputs!$B$243+Inputs!$B$245),(1/(1-Inputs!$B$244))^(1/Inputs!$B$245)-1,IF(AND(Inputs!$B$248&lt;&gt;"",F$2=Inputs!$B$248),-Inputs!$B$249,IF(AND(Inputs!$B$248&lt;&gt;"",F$2&gt;Inputs!$B$248,F$2&lt;=Inputs!$B$248+Inputs!$B$250),(1/(1-Inputs!$B$249))^(1/Inputs!$B$250)-1,stinc)))))))))))</f>
        <v>34325.180275247956</v>
      </c>
      <c r="G82" s="7">
        <f ca="1">F82*(1+IF(AND(Inputs!$B$228&lt;&gt;"",G$2=Inputs!$B$228),-Inputs!$B$229,IF(AND(Inputs!$B$228&lt;&gt;"",G$2&gt;Inputs!$B$228,G$2&lt;=Inputs!$B$228+Inputs!$B$230),(1/(1-Inputs!$B$229))^(1/Inputs!$B$230)-1,IF(AND(Inputs!$B$233&lt;&gt;"",G$2=Inputs!$B$233),-Inputs!$B$234,IF(AND(Inputs!$B$233&lt;&gt;"",G$2&gt;Inputs!$B$233,G$2&lt;=Inputs!$B$233+Inputs!$B$235),(1/(1-Inputs!$B$234))^(1/Inputs!$B$235)-1,IF(AND(Inputs!$B$238&lt;&gt;"",G$2=Inputs!$B$238),-Inputs!$B$239,IF(AND(Inputs!$B$238&lt;&gt;"",G$2&gt;Inputs!$B$238,G$2&lt;=Inputs!$B$238+Inputs!$B$240),(1/(1-Inputs!$B$239))^(1/Inputs!$B$240)-1,IF(AND(Inputs!$B$243&lt;&gt;"",G$2=Inputs!$B$243),-Inputs!$B$244,IF(AND(Inputs!$B$243&lt;&gt;"",G$2&gt;Inputs!$B$243,G$2&lt;=Inputs!$B$243+Inputs!$B$245),(1/(1-Inputs!$B$244))^(1/Inputs!$B$245)-1,IF(AND(Inputs!$B$248&lt;&gt;"",G$2=Inputs!$B$248),-Inputs!$B$249,IF(AND(Inputs!$B$248&lt;&gt;"",G$2&gt;Inputs!$B$248,G$2&lt;=Inputs!$B$248+Inputs!$B$250),(1/(1-Inputs!$B$249))^(1/Inputs!$B$250)-1,stinc)))))))))))</f>
        <v>37071.194697267798</v>
      </c>
      <c r="H82" s="7">
        <f ca="1">G82*(1+IF(AND(Inputs!$B$228&lt;&gt;"",H$2=Inputs!$B$228),-Inputs!$B$229,IF(AND(Inputs!$B$228&lt;&gt;"",H$2&gt;Inputs!$B$228,H$2&lt;=Inputs!$B$228+Inputs!$B$230),(1/(1-Inputs!$B$229))^(1/Inputs!$B$230)-1,IF(AND(Inputs!$B$233&lt;&gt;"",H$2=Inputs!$B$233),-Inputs!$B$234,IF(AND(Inputs!$B$233&lt;&gt;"",H$2&gt;Inputs!$B$233,H$2&lt;=Inputs!$B$233+Inputs!$B$235),(1/(1-Inputs!$B$234))^(1/Inputs!$B$235)-1,IF(AND(Inputs!$B$238&lt;&gt;"",H$2=Inputs!$B$238),-Inputs!$B$239,IF(AND(Inputs!$B$238&lt;&gt;"",H$2&gt;Inputs!$B$238,H$2&lt;=Inputs!$B$238+Inputs!$B$240),(1/(1-Inputs!$B$239))^(1/Inputs!$B$240)-1,IF(AND(Inputs!$B$243&lt;&gt;"",H$2=Inputs!$B$243),-Inputs!$B$244,IF(AND(Inputs!$B$243&lt;&gt;"",H$2&gt;Inputs!$B$243,H$2&lt;=Inputs!$B$243+Inputs!$B$245),(1/(1-Inputs!$B$244))^(1/Inputs!$B$245)-1,IF(AND(Inputs!$B$248&lt;&gt;"",H$2=Inputs!$B$248),-Inputs!$B$249,IF(AND(Inputs!$B$248&lt;&gt;"",H$2&gt;Inputs!$B$248,H$2&lt;=Inputs!$B$248+Inputs!$B$250),(1/(1-Inputs!$B$249))^(1/Inputs!$B$250)-1,stinc)))))))))))</f>
        <v>40036.890273049226</v>
      </c>
      <c r="I82" s="7">
        <f ca="1">H82*(1+IF(AND(Inputs!$B$228&lt;&gt;"",I$2=Inputs!$B$228),-Inputs!$B$229,IF(AND(Inputs!$B$228&lt;&gt;"",I$2&gt;Inputs!$B$228,I$2&lt;=Inputs!$B$228+Inputs!$B$230),(1/(1-Inputs!$B$229))^(1/Inputs!$B$230)-1,IF(AND(Inputs!$B$233&lt;&gt;"",I$2=Inputs!$B$233),-Inputs!$B$234,IF(AND(Inputs!$B$233&lt;&gt;"",I$2&gt;Inputs!$B$233,I$2&lt;=Inputs!$B$233+Inputs!$B$235),(1/(1-Inputs!$B$234))^(1/Inputs!$B$235)-1,IF(AND(Inputs!$B$238&lt;&gt;"",I$2=Inputs!$B$238),-Inputs!$B$239,IF(AND(Inputs!$B$238&lt;&gt;"",I$2&gt;Inputs!$B$238,I$2&lt;=Inputs!$B$238+Inputs!$B$240),(1/(1-Inputs!$B$239))^(1/Inputs!$B$240)-1,IF(AND(Inputs!$B$243&lt;&gt;"",I$2=Inputs!$B$243),-Inputs!$B$244,IF(AND(Inputs!$B$243&lt;&gt;"",I$2&gt;Inputs!$B$243,I$2&lt;=Inputs!$B$243+Inputs!$B$245),(1/(1-Inputs!$B$244))^(1/Inputs!$B$245)-1,IF(AND(Inputs!$B$248&lt;&gt;"",I$2=Inputs!$B$248),-Inputs!$B$249,IF(AND(Inputs!$B$248&lt;&gt;"",I$2&gt;Inputs!$B$248,I$2&lt;=Inputs!$B$248+Inputs!$B$250),(1/(1-Inputs!$B$249))^(1/Inputs!$B$250)-1,stinc)))))))))))</f>
        <v>32029.512218439384</v>
      </c>
      <c r="J82" s="7">
        <f ca="1">I82*(1+IF(AND(Inputs!$B$228&lt;&gt;"",J$2=Inputs!$B$228),-Inputs!$B$229,IF(AND(Inputs!$B$228&lt;&gt;"",J$2&gt;Inputs!$B$228,J$2&lt;=Inputs!$B$228+Inputs!$B$230),(1/(1-Inputs!$B$229))^(1/Inputs!$B$230)-1,IF(AND(Inputs!$B$233&lt;&gt;"",J$2=Inputs!$B$233),-Inputs!$B$234,IF(AND(Inputs!$B$233&lt;&gt;"",J$2&gt;Inputs!$B$233,J$2&lt;=Inputs!$B$233+Inputs!$B$235),(1/(1-Inputs!$B$234))^(1/Inputs!$B$235)-1,IF(AND(Inputs!$B$238&lt;&gt;"",J$2=Inputs!$B$238),-Inputs!$B$239,IF(AND(Inputs!$B$238&lt;&gt;"",J$2&gt;Inputs!$B$238,J$2&lt;=Inputs!$B$238+Inputs!$B$240),(1/(1-Inputs!$B$239))^(1/Inputs!$B$240)-1,IF(AND(Inputs!$B$243&lt;&gt;"",J$2=Inputs!$B$243),-Inputs!$B$244,IF(AND(Inputs!$B$243&lt;&gt;"",J$2&gt;Inputs!$B$243,J$2&lt;=Inputs!$B$243+Inputs!$B$245),(1/(1-Inputs!$B$244))^(1/Inputs!$B$245)-1,IF(AND(Inputs!$B$248&lt;&gt;"",J$2=Inputs!$B$248),-Inputs!$B$249,IF(AND(Inputs!$B$248&lt;&gt;"",J$2&gt;Inputs!$B$248,J$2&lt;=Inputs!$B$248+Inputs!$B$250),(1/(1-Inputs!$B$249))^(1/Inputs!$B$250)-1,stinc)))))))))))</f>
        <v>34502.746114102942</v>
      </c>
      <c r="K82" s="7">
        <f ca="1">J82*(1+IF(AND(Inputs!$B$228&lt;&gt;"",K$2=Inputs!$B$228),-Inputs!$B$229,IF(AND(Inputs!$B$228&lt;&gt;"",K$2&gt;Inputs!$B$228,K$2&lt;=Inputs!$B$228+Inputs!$B$230),(1/(1-Inputs!$B$229))^(1/Inputs!$B$230)-1,IF(AND(Inputs!$B$233&lt;&gt;"",K$2=Inputs!$B$233),-Inputs!$B$234,IF(AND(Inputs!$B$233&lt;&gt;"",K$2&gt;Inputs!$B$233,K$2&lt;=Inputs!$B$233+Inputs!$B$235),(1/(1-Inputs!$B$234))^(1/Inputs!$B$235)-1,IF(AND(Inputs!$B$238&lt;&gt;"",K$2=Inputs!$B$238),-Inputs!$B$239,IF(AND(Inputs!$B$238&lt;&gt;"",K$2&gt;Inputs!$B$238,K$2&lt;=Inputs!$B$238+Inputs!$B$240),(1/(1-Inputs!$B$239))^(1/Inputs!$B$240)-1,IF(AND(Inputs!$B$243&lt;&gt;"",K$2=Inputs!$B$243),-Inputs!$B$244,IF(AND(Inputs!$B$243&lt;&gt;"",K$2&gt;Inputs!$B$243,K$2&lt;=Inputs!$B$243+Inputs!$B$245),(1/(1-Inputs!$B$244))^(1/Inputs!$B$245)-1,IF(AND(Inputs!$B$248&lt;&gt;"",K$2=Inputs!$B$248),-Inputs!$B$249,IF(AND(Inputs!$B$248&lt;&gt;"",K$2&gt;Inputs!$B$248,K$2&lt;=Inputs!$B$248+Inputs!$B$250),(1/(1-Inputs!$B$249))^(1/Inputs!$B$250)-1,stinc)))))))))))</f>
        <v>37166.956564793079</v>
      </c>
      <c r="L82" s="7">
        <f ca="1">K82*(1+IF(AND(Inputs!$B$228&lt;&gt;"",L$2=Inputs!$B$228),-Inputs!$B$229,IF(AND(Inputs!$B$228&lt;&gt;"",L$2&gt;Inputs!$B$228,L$2&lt;=Inputs!$B$228+Inputs!$B$230),(1/(1-Inputs!$B$229))^(1/Inputs!$B$230)-1,IF(AND(Inputs!$B$233&lt;&gt;"",L$2=Inputs!$B$233),-Inputs!$B$234,IF(AND(Inputs!$B$233&lt;&gt;"",L$2&gt;Inputs!$B$233,L$2&lt;=Inputs!$B$233+Inputs!$B$235),(1/(1-Inputs!$B$234))^(1/Inputs!$B$235)-1,IF(AND(Inputs!$B$238&lt;&gt;"",L$2=Inputs!$B$238),-Inputs!$B$239,IF(AND(Inputs!$B$238&lt;&gt;"",L$2&gt;Inputs!$B$238,L$2&lt;=Inputs!$B$238+Inputs!$B$240),(1/(1-Inputs!$B$239))^(1/Inputs!$B$240)-1,IF(AND(Inputs!$B$243&lt;&gt;"",L$2=Inputs!$B$243),-Inputs!$B$244,IF(AND(Inputs!$B$243&lt;&gt;"",L$2&gt;Inputs!$B$243,L$2&lt;=Inputs!$B$243+Inputs!$B$245),(1/(1-Inputs!$B$244))^(1/Inputs!$B$245)-1,IF(AND(Inputs!$B$248&lt;&gt;"",L$2=Inputs!$B$248),-Inputs!$B$249,IF(AND(Inputs!$B$248&lt;&gt;"",L$2&gt;Inputs!$B$248,L$2&lt;=Inputs!$B$248+Inputs!$B$250),(1/(1-Inputs!$B$249))^(1/Inputs!$B$250)-1,stinc)))))))))))</f>
        <v>40036.890273049234</v>
      </c>
      <c r="M82" s="7">
        <f ca="1">L82*(1+IF(AND(Inputs!$B$228&lt;&gt;"",M$2=Inputs!$B$228),-Inputs!$B$229,IF(AND(Inputs!$B$228&lt;&gt;"",M$2&gt;Inputs!$B$228,M$2&lt;=Inputs!$B$228+Inputs!$B$230),(1/(1-Inputs!$B$229))^(1/Inputs!$B$230)-1,IF(AND(Inputs!$B$233&lt;&gt;"",M$2=Inputs!$B$233),-Inputs!$B$234,IF(AND(Inputs!$B$233&lt;&gt;"",M$2&gt;Inputs!$B$233,M$2&lt;=Inputs!$B$233+Inputs!$B$235),(1/(1-Inputs!$B$234))^(1/Inputs!$B$235)-1,IF(AND(Inputs!$B$238&lt;&gt;"",M$2=Inputs!$B$238),-Inputs!$B$239,IF(AND(Inputs!$B$238&lt;&gt;"",M$2&gt;Inputs!$B$238,M$2&lt;=Inputs!$B$238+Inputs!$B$240),(1/(1-Inputs!$B$239))^(1/Inputs!$B$240)-1,IF(AND(Inputs!$B$243&lt;&gt;"",M$2=Inputs!$B$243),-Inputs!$B$244,IF(AND(Inputs!$B$243&lt;&gt;"",M$2&gt;Inputs!$B$243,M$2&lt;=Inputs!$B$243+Inputs!$B$245),(1/(1-Inputs!$B$244))^(1/Inputs!$B$245)-1,IF(AND(Inputs!$B$248&lt;&gt;"",M$2=Inputs!$B$248),-Inputs!$B$249,IF(AND(Inputs!$B$248&lt;&gt;"",M$2&gt;Inputs!$B$248,M$2&lt;=Inputs!$B$248+Inputs!$B$250),(1/(1-Inputs!$B$249))^(1/Inputs!$B$250)-1,stinc)))))))))))</f>
        <v>43239.841494893175</v>
      </c>
      <c r="N82" s="7">
        <f ca="1">M82*(1+IF(AND(Inputs!$B$228&lt;&gt;"",N$2=Inputs!$B$228),-Inputs!$B$229,IF(AND(Inputs!$B$228&lt;&gt;"",N$2&gt;Inputs!$B$228,N$2&lt;=Inputs!$B$228+Inputs!$B$230),(1/(1-Inputs!$B$229))^(1/Inputs!$B$230)-1,IF(AND(Inputs!$B$233&lt;&gt;"",N$2=Inputs!$B$233),-Inputs!$B$234,IF(AND(Inputs!$B$233&lt;&gt;"",N$2&gt;Inputs!$B$233,N$2&lt;=Inputs!$B$233+Inputs!$B$235),(1/(1-Inputs!$B$234))^(1/Inputs!$B$235)-1,IF(AND(Inputs!$B$238&lt;&gt;"",N$2=Inputs!$B$238),-Inputs!$B$239,IF(AND(Inputs!$B$238&lt;&gt;"",N$2&gt;Inputs!$B$238,N$2&lt;=Inputs!$B$238+Inputs!$B$240),(1/(1-Inputs!$B$239))^(1/Inputs!$B$240)-1,IF(AND(Inputs!$B$243&lt;&gt;"",N$2=Inputs!$B$243),-Inputs!$B$244,IF(AND(Inputs!$B$243&lt;&gt;"",N$2&gt;Inputs!$B$243,N$2&lt;=Inputs!$B$243+Inputs!$B$245),(1/(1-Inputs!$B$244))^(1/Inputs!$B$245)-1,IF(AND(Inputs!$B$248&lt;&gt;"",N$2=Inputs!$B$248),-Inputs!$B$249,IF(AND(Inputs!$B$248&lt;&gt;"",N$2&gt;Inputs!$B$248,N$2&lt;=Inputs!$B$248+Inputs!$B$250),(1/(1-Inputs!$B$249))^(1/Inputs!$B$250)-1,stinc)))))))))))</f>
        <v>39780.654175301723</v>
      </c>
      <c r="O82" s="7">
        <f ca="1">N82*(1+IF(AND(Inputs!$B$228&lt;&gt;"",O$2=Inputs!$B$228),-Inputs!$B$229,IF(AND(Inputs!$B$228&lt;&gt;"",O$2&gt;Inputs!$B$228,O$2&lt;=Inputs!$B$228+Inputs!$B$230),(1/(1-Inputs!$B$229))^(1/Inputs!$B$230)-1,IF(AND(Inputs!$B$233&lt;&gt;"",O$2=Inputs!$B$233),-Inputs!$B$234,IF(AND(Inputs!$B$233&lt;&gt;"",O$2&gt;Inputs!$B$233,O$2&lt;=Inputs!$B$233+Inputs!$B$235),(1/(1-Inputs!$B$234))^(1/Inputs!$B$235)-1,IF(AND(Inputs!$B$238&lt;&gt;"",O$2=Inputs!$B$238),-Inputs!$B$239,IF(AND(Inputs!$B$238&lt;&gt;"",O$2&gt;Inputs!$B$238,O$2&lt;=Inputs!$B$238+Inputs!$B$240),(1/(1-Inputs!$B$239))^(1/Inputs!$B$240)-1,IF(AND(Inputs!$B$243&lt;&gt;"",O$2=Inputs!$B$243),-Inputs!$B$244,IF(AND(Inputs!$B$243&lt;&gt;"",O$2&gt;Inputs!$B$243,O$2&lt;=Inputs!$B$243+Inputs!$B$245),(1/(1-Inputs!$B$244))^(1/Inputs!$B$245)-1,IF(AND(Inputs!$B$248&lt;&gt;"",O$2=Inputs!$B$248),-Inputs!$B$249,IF(AND(Inputs!$B$248&lt;&gt;"",O$2&gt;Inputs!$B$248,O$2&lt;=Inputs!$B$248+Inputs!$B$250),(1/(1-Inputs!$B$249))^(1/Inputs!$B$250)-1,stinc)))))))))))</f>
        <v>40901.821101479647</v>
      </c>
      <c r="P82" s="7">
        <f ca="1">O82*(1+IF(AND(Inputs!$B$228&lt;&gt;"",P$2=Inputs!$B$228),-Inputs!$B$229,IF(AND(Inputs!$B$228&lt;&gt;"",P$2&gt;Inputs!$B$228,P$2&lt;=Inputs!$B$228+Inputs!$B$230),(1/(1-Inputs!$B$229))^(1/Inputs!$B$230)-1,IF(AND(Inputs!$B$233&lt;&gt;"",P$2=Inputs!$B$233),-Inputs!$B$234,IF(AND(Inputs!$B$233&lt;&gt;"",P$2&gt;Inputs!$B$233,P$2&lt;=Inputs!$B$233+Inputs!$B$235),(1/(1-Inputs!$B$234))^(1/Inputs!$B$235)-1,IF(AND(Inputs!$B$238&lt;&gt;"",P$2=Inputs!$B$238),-Inputs!$B$239,IF(AND(Inputs!$B$238&lt;&gt;"",P$2&gt;Inputs!$B$238,P$2&lt;=Inputs!$B$238+Inputs!$B$240),(1/(1-Inputs!$B$239))^(1/Inputs!$B$240)-1,IF(AND(Inputs!$B$243&lt;&gt;"",P$2=Inputs!$B$243),-Inputs!$B$244,IF(AND(Inputs!$B$243&lt;&gt;"",P$2&gt;Inputs!$B$243,P$2&lt;=Inputs!$B$243+Inputs!$B$245),(1/(1-Inputs!$B$244))^(1/Inputs!$B$245)-1,IF(AND(Inputs!$B$248&lt;&gt;"",P$2=Inputs!$B$248),-Inputs!$B$249,IF(AND(Inputs!$B$248&lt;&gt;"",P$2&gt;Inputs!$B$248,P$2&lt;=Inputs!$B$248+Inputs!$B$250),(1/(1-Inputs!$B$249))^(1/Inputs!$B$250)-1,stinc)))))))))))</f>
        <v>42054.586685407543</v>
      </c>
      <c r="Q82" s="7">
        <f ca="1">P82*(1+IF(AND(Inputs!$B$228&lt;&gt;"",Q$2=Inputs!$B$228),-Inputs!$B$229,IF(AND(Inputs!$B$228&lt;&gt;"",Q$2&gt;Inputs!$B$228,Q$2&lt;=Inputs!$B$228+Inputs!$B$230),(1/(1-Inputs!$B$229))^(1/Inputs!$B$230)-1,IF(AND(Inputs!$B$233&lt;&gt;"",Q$2=Inputs!$B$233),-Inputs!$B$234,IF(AND(Inputs!$B$233&lt;&gt;"",Q$2&gt;Inputs!$B$233,Q$2&lt;=Inputs!$B$233+Inputs!$B$235),(1/(1-Inputs!$B$234))^(1/Inputs!$B$235)-1,IF(AND(Inputs!$B$238&lt;&gt;"",Q$2=Inputs!$B$238),-Inputs!$B$239,IF(AND(Inputs!$B$238&lt;&gt;"",Q$2&gt;Inputs!$B$238,Q$2&lt;=Inputs!$B$238+Inputs!$B$240),(1/(1-Inputs!$B$239))^(1/Inputs!$B$240)-1,IF(AND(Inputs!$B$243&lt;&gt;"",Q$2=Inputs!$B$243),-Inputs!$B$244,IF(AND(Inputs!$B$243&lt;&gt;"",Q$2&gt;Inputs!$B$243,Q$2&lt;=Inputs!$B$243+Inputs!$B$245),(1/(1-Inputs!$B$244))^(1/Inputs!$B$245)-1,IF(AND(Inputs!$B$248&lt;&gt;"",Q$2=Inputs!$B$248),-Inputs!$B$249,IF(AND(Inputs!$B$248&lt;&gt;"",Q$2&gt;Inputs!$B$248,Q$2&lt;=Inputs!$B$248+Inputs!$B$250),(1/(1-Inputs!$B$249))^(1/Inputs!$B$250)-1,stinc)))))))))))</f>
        <v>43239.841494893182</v>
      </c>
      <c r="R82" s="7">
        <f ca="1">Q82*(1+IF(AND(Inputs!$B$228&lt;&gt;"",R$2=Inputs!$B$228),-Inputs!$B$229,IF(AND(Inputs!$B$228&lt;&gt;"",R$2&gt;Inputs!$B$228,R$2&lt;=Inputs!$B$228+Inputs!$B$230),(1/(1-Inputs!$B$229))^(1/Inputs!$B$230)-1,IF(AND(Inputs!$B$233&lt;&gt;"",R$2=Inputs!$B$233),-Inputs!$B$234,IF(AND(Inputs!$B$233&lt;&gt;"",R$2&gt;Inputs!$B$233,R$2&lt;=Inputs!$B$233+Inputs!$B$235),(1/(1-Inputs!$B$234))^(1/Inputs!$B$235)-1,IF(AND(Inputs!$B$238&lt;&gt;"",R$2=Inputs!$B$238),-Inputs!$B$239,IF(AND(Inputs!$B$238&lt;&gt;"",R$2&gt;Inputs!$B$238,R$2&lt;=Inputs!$B$238+Inputs!$B$240),(1/(1-Inputs!$B$239))^(1/Inputs!$B$240)-1,IF(AND(Inputs!$B$243&lt;&gt;"",R$2=Inputs!$B$243),-Inputs!$B$244,IF(AND(Inputs!$B$243&lt;&gt;"",R$2&gt;Inputs!$B$243,R$2&lt;=Inputs!$B$243+Inputs!$B$245),(1/(1-Inputs!$B$244))^(1/Inputs!$B$245)-1,IF(AND(Inputs!$B$248&lt;&gt;"",R$2=Inputs!$B$248),-Inputs!$B$249,IF(AND(Inputs!$B$248&lt;&gt;"",R$2&gt;Inputs!$B$248,R$2&lt;=Inputs!$B$248+Inputs!$B$250),(1/(1-Inputs!$B$249))^(1/Inputs!$B$250)-1,stinc)))))))))))</f>
        <v>46699.028814484642</v>
      </c>
      <c r="S82" s="7">
        <f ca="1">R82*(1+IF(AND(Inputs!$B$228&lt;&gt;"",S$2=Inputs!$B$228),-Inputs!$B$229,IF(AND(Inputs!$B$228&lt;&gt;"",S$2&gt;Inputs!$B$228,S$2&lt;=Inputs!$B$228+Inputs!$B$230),(1/(1-Inputs!$B$229))^(1/Inputs!$B$230)-1,IF(AND(Inputs!$B$233&lt;&gt;"",S$2=Inputs!$B$233),-Inputs!$B$234,IF(AND(Inputs!$B$233&lt;&gt;"",S$2&gt;Inputs!$B$233,S$2&lt;=Inputs!$B$233+Inputs!$B$235),(1/(1-Inputs!$B$234))^(1/Inputs!$B$235)-1,IF(AND(Inputs!$B$238&lt;&gt;"",S$2=Inputs!$B$238),-Inputs!$B$239,IF(AND(Inputs!$B$238&lt;&gt;"",S$2&gt;Inputs!$B$238,S$2&lt;=Inputs!$B$238+Inputs!$B$240),(1/(1-Inputs!$B$239))^(1/Inputs!$B$240)-1,IF(AND(Inputs!$B$243&lt;&gt;"",S$2=Inputs!$B$243),-Inputs!$B$244,IF(AND(Inputs!$B$243&lt;&gt;"",S$2&gt;Inputs!$B$243,S$2&lt;=Inputs!$B$243+Inputs!$B$245),(1/(1-Inputs!$B$244))^(1/Inputs!$B$245)-1,IF(AND(Inputs!$B$248&lt;&gt;"",S$2=Inputs!$B$248),-Inputs!$B$249,IF(AND(Inputs!$B$248&lt;&gt;"",S$2&gt;Inputs!$B$248,S$2&lt;=Inputs!$B$248+Inputs!$B$250),(1/(1-Inputs!$B$249))^(1/Inputs!$B$250)-1,stinc)))))))))))</f>
        <v>50434.951119643418</v>
      </c>
      <c r="T82" s="7">
        <f ca="1">S82*(1+IF(AND(Inputs!$B$228&lt;&gt;"",T$2=Inputs!$B$228),-Inputs!$B$229,IF(AND(Inputs!$B$228&lt;&gt;"",T$2&gt;Inputs!$B$228,T$2&lt;=Inputs!$B$228+Inputs!$B$230),(1/(1-Inputs!$B$229))^(1/Inputs!$B$230)-1,IF(AND(Inputs!$B$233&lt;&gt;"",T$2=Inputs!$B$233),-Inputs!$B$234,IF(AND(Inputs!$B$233&lt;&gt;"",T$2&gt;Inputs!$B$233,T$2&lt;=Inputs!$B$233+Inputs!$B$235),(1/(1-Inputs!$B$234))^(1/Inputs!$B$235)-1,IF(AND(Inputs!$B$238&lt;&gt;"",T$2=Inputs!$B$238),-Inputs!$B$239,IF(AND(Inputs!$B$238&lt;&gt;"",T$2&gt;Inputs!$B$238,T$2&lt;=Inputs!$B$238+Inputs!$B$240),(1/(1-Inputs!$B$239))^(1/Inputs!$B$240)-1,IF(AND(Inputs!$B$243&lt;&gt;"",T$2=Inputs!$B$243),-Inputs!$B$244,IF(AND(Inputs!$B$243&lt;&gt;"",T$2&gt;Inputs!$B$243,T$2&lt;=Inputs!$B$243+Inputs!$B$245),(1/(1-Inputs!$B$244))^(1/Inputs!$B$245)-1,IF(AND(Inputs!$B$248&lt;&gt;"",T$2=Inputs!$B$248),-Inputs!$B$249,IF(AND(Inputs!$B$248&lt;&gt;"",T$2&gt;Inputs!$B$248,T$2&lt;=Inputs!$B$248+Inputs!$B$250),(1/(1-Inputs!$B$249))^(1/Inputs!$B$250)-1,stinc)))))))))))</f>
        <v>54469.747209214896</v>
      </c>
      <c r="U82" s="7">
        <f ca="1">T82*(1+IF(AND(Inputs!$B$228&lt;&gt;"",U$2=Inputs!$B$228),-Inputs!$B$229,IF(AND(Inputs!$B$228&lt;&gt;"",U$2&gt;Inputs!$B$228,U$2&lt;=Inputs!$B$228+Inputs!$B$230),(1/(1-Inputs!$B$229))^(1/Inputs!$B$230)-1,IF(AND(Inputs!$B$233&lt;&gt;"",U$2=Inputs!$B$233),-Inputs!$B$234,IF(AND(Inputs!$B$233&lt;&gt;"",U$2&gt;Inputs!$B$233,U$2&lt;=Inputs!$B$233+Inputs!$B$235),(1/(1-Inputs!$B$234))^(1/Inputs!$B$235)-1,IF(AND(Inputs!$B$238&lt;&gt;"",U$2=Inputs!$B$238),-Inputs!$B$239,IF(AND(Inputs!$B$238&lt;&gt;"",U$2&gt;Inputs!$B$238,U$2&lt;=Inputs!$B$238+Inputs!$B$240),(1/(1-Inputs!$B$239))^(1/Inputs!$B$240)-1,IF(AND(Inputs!$B$243&lt;&gt;"",U$2=Inputs!$B$243),-Inputs!$B$244,IF(AND(Inputs!$B$243&lt;&gt;"",U$2&gt;Inputs!$B$243,U$2&lt;=Inputs!$B$243+Inputs!$B$245),(1/(1-Inputs!$B$244))^(1/Inputs!$B$245)-1,IF(AND(Inputs!$B$248&lt;&gt;"",U$2=Inputs!$B$248),-Inputs!$B$249,IF(AND(Inputs!$B$248&lt;&gt;"",U$2&gt;Inputs!$B$248,U$2&lt;=Inputs!$B$248+Inputs!$B$250),(1/(1-Inputs!$B$249))^(1/Inputs!$B$250)-1,stinc)))))))))))</f>
        <v>58827.326985952095</v>
      </c>
      <c r="V82" s="7">
        <f ca="1">U82*(1+IF(AND(Inputs!$B$228&lt;&gt;"",V$2=Inputs!$B$228),-Inputs!$B$229,IF(AND(Inputs!$B$228&lt;&gt;"",V$2&gt;Inputs!$B$228,V$2&lt;=Inputs!$B$228+Inputs!$B$230),(1/(1-Inputs!$B$229))^(1/Inputs!$B$230)-1,IF(AND(Inputs!$B$233&lt;&gt;"",V$2=Inputs!$B$233),-Inputs!$B$234,IF(AND(Inputs!$B$233&lt;&gt;"",V$2&gt;Inputs!$B$233,V$2&lt;=Inputs!$B$233+Inputs!$B$235),(1/(1-Inputs!$B$234))^(1/Inputs!$B$235)-1,IF(AND(Inputs!$B$238&lt;&gt;"",V$2=Inputs!$B$238),-Inputs!$B$239,IF(AND(Inputs!$B$238&lt;&gt;"",V$2&gt;Inputs!$B$238,V$2&lt;=Inputs!$B$238+Inputs!$B$240),(1/(1-Inputs!$B$239))^(1/Inputs!$B$240)-1,IF(AND(Inputs!$B$243&lt;&gt;"",V$2=Inputs!$B$243),-Inputs!$B$244,IF(AND(Inputs!$B$243&lt;&gt;"",V$2&gt;Inputs!$B$243,V$2&lt;=Inputs!$B$243+Inputs!$B$245),(1/(1-Inputs!$B$244))^(1/Inputs!$B$245)-1,IF(AND(Inputs!$B$248&lt;&gt;"",V$2=Inputs!$B$248),-Inputs!$B$249,IF(AND(Inputs!$B$248&lt;&gt;"",V$2&gt;Inputs!$B$248,V$2&lt;=Inputs!$B$248+Inputs!$B$250),(1/(1-Inputs!$B$249))^(1/Inputs!$B$250)-1,stinc)))))))))))</f>
        <v>48238.408128480725</v>
      </c>
      <c r="W82" s="7">
        <f ca="1">V82*(1+IF(AND(Inputs!$B$228&lt;&gt;"",W$2=Inputs!$B$228),-Inputs!$B$229,IF(AND(Inputs!$B$228&lt;&gt;"",W$2&gt;Inputs!$B$228,W$2&lt;=Inputs!$B$228+Inputs!$B$230),(1/(1-Inputs!$B$229))^(1/Inputs!$B$230)-1,IF(AND(Inputs!$B$233&lt;&gt;"",W$2=Inputs!$B$233),-Inputs!$B$234,IF(AND(Inputs!$B$233&lt;&gt;"",W$2&gt;Inputs!$B$233,W$2&lt;=Inputs!$B$233+Inputs!$B$235),(1/(1-Inputs!$B$234))^(1/Inputs!$B$235)-1,IF(AND(Inputs!$B$238&lt;&gt;"",W$2=Inputs!$B$238),-Inputs!$B$239,IF(AND(Inputs!$B$238&lt;&gt;"",W$2&gt;Inputs!$B$238,W$2&lt;=Inputs!$B$238+Inputs!$B$240),(1/(1-Inputs!$B$239))^(1/Inputs!$B$240)-1,IF(AND(Inputs!$B$243&lt;&gt;"",W$2=Inputs!$B$243),-Inputs!$B$244,IF(AND(Inputs!$B$243&lt;&gt;"",W$2&gt;Inputs!$B$243,W$2&lt;=Inputs!$B$243+Inputs!$B$245),(1/(1-Inputs!$B$244))^(1/Inputs!$B$245)-1,IF(AND(Inputs!$B$248&lt;&gt;"",W$2=Inputs!$B$248),-Inputs!$B$249,IF(AND(Inputs!$B$248&lt;&gt;"",W$2&gt;Inputs!$B$248,W$2&lt;=Inputs!$B$248+Inputs!$B$250),(1/(1-Inputs!$B$249))^(1/Inputs!$B$250)-1,stinc)))))))))))</f>
        <v>53270.410250494089</v>
      </c>
      <c r="X82" s="7">
        <f ca="1">W82*(1+IF(AND(Inputs!$B$228&lt;&gt;"",X$2=Inputs!$B$228),-Inputs!$B$229,IF(AND(Inputs!$B$228&lt;&gt;"",X$2&gt;Inputs!$B$228,X$2&lt;=Inputs!$B$228+Inputs!$B$230),(1/(1-Inputs!$B$229))^(1/Inputs!$B$230)-1,IF(AND(Inputs!$B$233&lt;&gt;"",X$2=Inputs!$B$233),-Inputs!$B$234,IF(AND(Inputs!$B$233&lt;&gt;"",X$2&gt;Inputs!$B$233,X$2&lt;=Inputs!$B$233+Inputs!$B$235),(1/(1-Inputs!$B$234))^(1/Inputs!$B$235)-1,IF(AND(Inputs!$B$238&lt;&gt;"",X$2=Inputs!$B$238),-Inputs!$B$239,IF(AND(Inputs!$B$238&lt;&gt;"",X$2&gt;Inputs!$B$238,X$2&lt;=Inputs!$B$238+Inputs!$B$240),(1/(1-Inputs!$B$239))^(1/Inputs!$B$240)-1,IF(AND(Inputs!$B$243&lt;&gt;"",X$2=Inputs!$B$243),-Inputs!$B$244,IF(AND(Inputs!$B$243&lt;&gt;"",X$2&gt;Inputs!$B$243,X$2&lt;=Inputs!$B$243+Inputs!$B$245),(1/(1-Inputs!$B$244))^(1/Inputs!$B$245)-1,IF(AND(Inputs!$B$248&lt;&gt;"",X$2=Inputs!$B$248),-Inputs!$B$249,IF(AND(Inputs!$B$248&lt;&gt;"",X$2&gt;Inputs!$B$248,X$2&lt;=Inputs!$B$248+Inputs!$B$250),(1/(1-Inputs!$B$249))^(1/Inputs!$B$250)-1,stinc)))))))))))</f>
        <v>58827.326985952102</v>
      </c>
      <c r="Y82" s="7">
        <f ca="1">X82*(1+IF(AND(Inputs!$B$228&lt;&gt;"",Y$2=Inputs!$B$228),-Inputs!$B$229,IF(AND(Inputs!$B$228&lt;&gt;"",Y$2&gt;Inputs!$B$228,Y$2&lt;=Inputs!$B$228+Inputs!$B$230),(1/(1-Inputs!$B$229))^(1/Inputs!$B$230)-1,IF(AND(Inputs!$B$233&lt;&gt;"",Y$2=Inputs!$B$233),-Inputs!$B$234,IF(AND(Inputs!$B$233&lt;&gt;"",Y$2&gt;Inputs!$B$233,Y$2&lt;=Inputs!$B$233+Inputs!$B$235),(1/(1-Inputs!$B$234))^(1/Inputs!$B$235)-1,IF(AND(Inputs!$B$238&lt;&gt;"",Y$2=Inputs!$B$238),-Inputs!$B$239,IF(AND(Inputs!$B$238&lt;&gt;"",Y$2&gt;Inputs!$B$238,Y$2&lt;=Inputs!$B$238+Inputs!$B$240),(1/(1-Inputs!$B$239))^(1/Inputs!$B$240)-1,IF(AND(Inputs!$B$243&lt;&gt;"",Y$2=Inputs!$B$243),-Inputs!$B$244,IF(AND(Inputs!$B$243&lt;&gt;"",Y$2&gt;Inputs!$B$243,Y$2&lt;=Inputs!$B$243+Inputs!$B$245),(1/(1-Inputs!$B$244))^(1/Inputs!$B$245)-1,IF(AND(Inputs!$B$248&lt;&gt;"",Y$2=Inputs!$B$248),-Inputs!$B$249,IF(AND(Inputs!$B$248&lt;&gt;"",Y$2&gt;Inputs!$B$248,Y$2&lt;=Inputs!$B$248+Inputs!$B$250),(1/(1-Inputs!$B$249))^(1/Inputs!$B$250)-1,stinc)))))))))))</f>
        <v>63533.513144828277</v>
      </c>
      <c r="Z82" s="7">
        <f ca="1">Y82*(1+IF(AND(Inputs!$B$228&lt;&gt;"",Z$2=Inputs!$B$228),-Inputs!$B$229,IF(AND(Inputs!$B$228&lt;&gt;"",Z$2&gt;Inputs!$B$228,Z$2&lt;=Inputs!$B$228+Inputs!$B$230),(1/(1-Inputs!$B$229))^(1/Inputs!$B$230)-1,IF(AND(Inputs!$B$233&lt;&gt;"",Z$2=Inputs!$B$233),-Inputs!$B$234,IF(AND(Inputs!$B$233&lt;&gt;"",Z$2&gt;Inputs!$B$233,Z$2&lt;=Inputs!$B$233+Inputs!$B$235),(1/(1-Inputs!$B$234))^(1/Inputs!$B$235)-1,IF(AND(Inputs!$B$238&lt;&gt;"",Z$2=Inputs!$B$238),-Inputs!$B$239,IF(AND(Inputs!$B$238&lt;&gt;"",Z$2&gt;Inputs!$B$238,Z$2&lt;=Inputs!$B$238+Inputs!$B$240),(1/(1-Inputs!$B$239))^(1/Inputs!$B$240)-1,IF(AND(Inputs!$B$243&lt;&gt;"",Z$2=Inputs!$B$243),-Inputs!$B$244,IF(AND(Inputs!$B$243&lt;&gt;"",Z$2&gt;Inputs!$B$243,Z$2&lt;=Inputs!$B$243+Inputs!$B$245),(1/(1-Inputs!$B$244))^(1/Inputs!$B$245)-1,IF(AND(Inputs!$B$248&lt;&gt;"",Z$2=Inputs!$B$248),-Inputs!$B$249,IF(AND(Inputs!$B$248&lt;&gt;"",Z$2&gt;Inputs!$B$248,Z$2&lt;=Inputs!$B$248+Inputs!$B$250),(1/(1-Inputs!$B$249))^(1/Inputs!$B$250)-1,stinc)))))))))))</f>
        <v>68616.194196414537</v>
      </c>
      <c r="AA82" s="7">
        <f ca="1">Z82*(1+IF(AND(Inputs!$B$228&lt;&gt;"",AA$2=Inputs!$B$228),-Inputs!$B$229,IF(AND(Inputs!$B$228&lt;&gt;"",AA$2&gt;Inputs!$B$228,AA$2&lt;=Inputs!$B$228+Inputs!$B$230),(1/(1-Inputs!$B$229))^(1/Inputs!$B$230)-1,IF(AND(Inputs!$B$233&lt;&gt;"",AA$2=Inputs!$B$233),-Inputs!$B$234,IF(AND(Inputs!$B$233&lt;&gt;"",AA$2&gt;Inputs!$B$233,AA$2&lt;=Inputs!$B$233+Inputs!$B$235),(1/(1-Inputs!$B$234))^(1/Inputs!$B$235)-1,IF(AND(Inputs!$B$238&lt;&gt;"",AA$2=Inputs!$B$238),-Inputs!$B$239,IF(AND(Inputs!$B$238&lt;&gt;"",AA$2&gt;Inputs!$B$238,AA$2&lt;=Inputs!$B$238+Inputs!$B$240),(1/(1-Inputs!$B$239))^(1/Inputs!$B$240)-1,IF(AND(Inputs!$B$243&lt;&gt;"",AA$2=Inputs!$B$243),-Inputs!$B$244,IF(AND(Inputs!$B$243&lt;&gt;"",AA$2&gt;Inputs!$B$243,AA$2&lt;=Inputs!$B$243+Inputs!$B$245),(1/(1-Inputs!$B$244))^(1/Inputs!$B$245)-1,IF(AND(Inputs!$B$248&lt;&gt;"",AA$2=Inputs!$B$248),-Inputs!$B$249,IF(AND(Inputs!$B$248&lt;&gt;"",AA$2&gt;Inputs!$B$248,AA$2&lt;=Inputs!$B$248+Inputs!$B$250),(1/(1-Inputs!$B$249))^(1/Inputs!$B$250)-1,stinc)))))))))))</f>
        <v>49403.659821418463</v>
      </c>
      <c r="AB82" s="7">
        <f ca="1">AA82*(1+IF(AND(Inputs!$B$228&lt;&gt;"",AB$2=Inputs!$B$228),-Inputs!$B$229,IF(AND(Inputs!$B$228&lt;&gt;"",AB$2&gt;Inputs!$B$228,AB$2&lt;=Inputs!$B$228+Inputs!$B$230),(1/(1-Inputs!$B$229))^(1/Inputs!$B$230)-1,IF(AND(Inputs!$B$233&lt;&gt;"",AB$2=Inputs!$B$233),-Inputs!$B$234,IF(AND(Inputs!$B$233&lt;&gt;"",AB$2&gt;Inputs!$B$233,AB$2&lt;=Inputs!$B$233+Inputs!$B$235),(1/(1-Inputs!$B$234))^(1/Inputs!$B$235)-1,IF(AND(Inputs!$B$238&lt;&gt;"",AB$2=Inputs!$B$238),-Inputs!$B$239,IF(AND(Inputs!$B$238&lt;&gt;"",AB$2&gt;Inputs!$B$238,AB$2&lt;=Inputs!$B$238+Inputs!$B$240),(1/(1-Inputs!$B$239))^(1/Inputs!$B$240)-1,IF(AND(Inputs!$B$243&lt;&gt;"",AB$2=Inputs!$B$243),-Inputs!$B$244,IF(AND(Inputs!$B$243&lt;&gt;"",AB$2&gt;Inputs!$B$243,AB$2&lt;=Inputs!$B$243+Inputs!$B$245),(1/(1-Inputs!$B$244))^(1/Inputs!$B$245)-1,IF(AND(Inputs!$B$248&lt;&gt;"",AB$2=Inputs!$B$248),-Inputs!$B$249,IF(AND(Inputs!$B$248&lt;&gt;"",AB$2&gt;Inputs!$B$248,AB$2&lt;=Inputs!$B$248+Inputs!$B$250),(1/(1-Inputs!$B$249))^(1/Inputs!$B$250)-1,stinc)))))))))))</f>
        <v>52183.960874454191</v>
      </c>
      <c r="AC82" s="7">
        <f ca="1">AB82*(1+IF(AND(Inputs!$B$228&lt;&gt;"",AC$2=Inputs!$B$228),-Inputs!$B$229,IF(AND(Inputs!$B$228&lt;&gt;"",AC$2&gt;Inputs!$B$228,AC$2&lt;=Inputs!$B$228+Inputs!$B$230),(1/(1-Inputs!$B$229))^(1/Inputs!$B$230)-1,IF(AND(Inputs!$B$233&lt;&gt;"",AC$2=Inputs!$B$233),-Inputs!$B$234,IF(AND(Inputs!$B$233&lt;&gt;"",AC$2&gt;Inputs!$B$233,AC$2&lt;=Inputs!$B$233+Inputs!$B$235),(1/(1-Inputs!$B$234))^(1/Inputs!$B$235)-1,IF(AND(Inputs!$B$238&lt;&gt;"",AC$2=Inputs!$B$238),-Inputs!$B$239,IF(AND(Inputs!$B$238&lt;&gt;"",AC$2&gt;Inputs!$B$238,AC$2&lt;=Inputs!$B$238+Inputs!$B$240),(1/(1-Inputs!$B$239))^(1/Inputs!$B$240)-1,IF(AND(Inputs!$B$243&lt;&gt;"",AC$2=Inputs!$B$243),-Inputs!$B$244,IF(AND(Inputs!$B$243&lt;&gt;"",AC$2&gt;Inputs!$B$243,AC$2&lt;=Inputs!$B$243+Inputs!$B$245),(1/(1-Inputs!$B$244))^(1/Inputs!$B$245)-1,IF(AND(Inputs!$B$248&lt;&gt;"",AC$2=Inputs!$B$248),-Inputs!$B$249,IF(AND(Inputs!$B$248&lt;&gt;"",AC$2&gt;Inputs!$B$248,AC$2&lt;=Inputs!$B$248+Inputs!$B$250),(1/(1-Inputs!$B$249))^(1/Inputs!$B$250)-1,stinc)))))))))))</f>
        <v>55120.729565180198</v>
      </c>
      <c r="AD82" s="7">
        <f ca="1">AC82*(1+IF(AND(Inputs!$B$228&lt;&gt;"",AD$2=Inputs!$B$228),-Inputs!$B$229,IF(AND(Inputs!$B$228&lt;&gt;"",AD$2&gt;Inputs!$B$228,AD$2&lt;=Inputs!$B$228+Inputs!$B$230),(1/(1-Inputs!$B$229))^(1/Inputs!$B$230)-1,IF(AND(Inputs!$B$233&lt;&gt;"",AD$2=Inputs!$B$233),-Inputs!$B$234,IF(AND(Inputs!$B$233&lt;&gt;"",AD$2&gt;Inputs!$B$233,AD$2&lt;=Inputs!$B$233+Inputs!$B$235),(1/(1-Inputs!$B$234))^(1/Inputs!$B$235)-1,IF(AND(Inputs!$B$238&lt;&gt;"",AD$2=Inputs!$B$238),-Inputs!$B$239,IF(AND(Inputs!$B$238&lt;&gt;"",AD$2&gt;Inputs!$B$238,AD$2&lt;=Inputs!$B$238+Inputs!$B$240),(1/(1-Inputs!$B$239))^(1/Inputs!$B$240)-1,IF(AND(Inputs!$B$243&lt;&gt;"",AD$2=Inputs!$B$243),-Inputs!$B$244,IF(AND(Inputs!$B$243&lt;&gt;"",AD$2&gt;Inputs!$B$243,AD$2&lt;=Inputs!$B$243+Inputs!$B$245),(1/(1-Inputs!$B$244))^(1/Inputs!$B$245)-1,IF(AND(Inputs!$B$248&lt;&gt;"",AD$2=Inputs!$B$248),-Inputs!$B$249,IF(AND(Inputs!$B$248&lt;&gt;"",AD$2&gt;Inputs!$B$248,AD$2&lt;=Inputs!$B$248+Inputs!$B$250),(1/(1-Inputs!$B$249))^(1/Inputs!$B$250)-1,stinc)))))))))))</f>
        <v>58222.771458597308</v>
      </c>
      <c r="AE82" s="7">
        <f ca="1">AD82*(1+IF(AND(Inputs!$B$228&lt;&gt;"",AE$2=Inputs!$B$228),-Inputs!$B$229,IF(AND(Inputs!$B$228&lt;&gt;"",AE$2&gt;Inputs!$B$228,AE$2&lt;=Inputs!$B$228+Inputs!$B$230),(1/(1-Inputs!$B$229))^(1/Inputs!$B$230)-1,IF(AND(Inputs!$B$233&lt;&gt;"",AE$2=Inputs!$B$233),-Inputs!$B$234,IF(AND(Inputs!$B$233&lt;&gt;"",AE$2&gt;Inputs!$B$233,AE$2&lt;=Inputs!$B$233+Inputs!$B$235),(1/(1-Inputs!$B$234))^(1/Inputs!$B$235)-1,IF(AND(Inputs!$B$238&lt;&gt;"",AE$2=Inputs!$B$238),-Inputs!$B$239,IF(AND(Inputs!$B$238&lt;&gt;"",AE$2&gt;Inputs!$B$238,AE$2&lt;=Inputs!$B$238+Inputs!$B$240),(1/(1-Inputs!$B$239))^(1/Inputs!$B$240)-1,IF(AND(Inputs!$B$243&lt;&gt;"",AE$2=Inputs!$B$243),-Inputs!$B$244,IF(AND(Inputs!$B$243&lt;&gt;"",AE$2&gt;Inputs!$B$243,AE$2&lt;=Inputs!$B$243+Inputs!$B$245),(1/(1-Inputs!$B$244))^(1/Inputs!$B$245)-1,IF(AND(Inputs!$B$248&lt;&gt;"",AE$2=Inputs!$B$248),-Inputs!$B$249,IF(AND(Inputs!$B$248&lt;&gt;"",AE$2&gt;Inputs!$B$248,AE$2&lt;=Inputs!$B$248+Inputs!$B$250),(1/(1-Inputs!$B$249))^(1/Inputs!$B$250)-1,stinc)))))))))))</f>
        <v>61499.387672500074</v>
      </c>
      <c r="AF82" s="7">
        <f ca="1">AE82*(1+IF(AND(Inputs!$B$228&lt;&gt;"",AF$2=Inputs!$B$228),-Inputs!$B$229,IF(AND(Inputs!$B$228&lt;&gt;"",AF$2&gt;Inputs!$B$228,AF$2&lt;=Inputs!$B$228+Inputs!$B$230),(1/(1-Inputs!$B$229))^(1/Inputs!$B$230)-1,IF(AND(Inputs!$B$233&lt;&gt;"",AF$2=Inputs!$B$233),-Inputs!$B$234,IF(AND(Inputs!$B$233&lt;&gt;"",AF$2&gt;Inputs!$B$233,AF$2&lt;=Inputs!$B$233+Inputs!$B$235),(1/(1-Inputs!$B$234))^(1/Inputs!$B$235)-1,IF(AND(Inputs!$B$238&lt;&gt;"",AF$2=Inputs!$B$238),-Inputs!$B$239,IF(AND(Inputs!$B$238&lt;&gt;"",AF$2&gt;Inputs!$B$238,AF$2&lt;=Inputs!$B$238+Inputs!$B$240),(1/(1-Inputs!$B$239))^(1/Inputs!$B$240)-1,IF(AND(Inputs!$B$243&lt;&gt;"",AF$2=Inputs!$B$243),-Inputs!$B$244,IF(AND(Inputs!$B$243&lt;&gt;"",AF$2&gt;Inputs!$B$243,AF$2&lt;=Inputs!$B$243+Inputs!$B$245),(1/(1-Inputs!$B$244))^(1/Inputs!$B$245)-1,IF(AND(Inputs!$B$248&lt;&gt;"",AF$2=Inputs!$B$248),-Inputs!$B$249,IF(AND(Inputs!$B$248&lt;&gt;"",AF$2&gt;Inputs!$B$248,AF$2&lt;=Inputs!$B$248+Inputs!$B$250),(1/(1-Inputs!$B$249))^(1/Inputs!$B$250)-1,stinc)))))))))))</f>
        <v>64960.402765814571</v>
      </c>
      <c r="AG82" s="7">
        <f ca="1">AF82*(1+IF(AND(Inputs!$B$228&lt;&gt;"",AG$2=Inputs!$B$228),-Inputs!$B$229,IF(AND(Inputs!$B$228&lt;&gt;"",AG$2&gt;Inputs!$B$228,AG$2&lt;=Inputs!$B$228+Inputs!$B$230),(1/(1-Inputs!$B$229))^(1/Inputs!$B$230)-1,IF(AND(Inputs!$B$233&lt;&gt;"",AG$2=Inputs!$B$233),-Inputs!$B$234,IF(AND(Inputs!$B$233&lt;&gt;"",AG$2&gt;Inputs!$B$233,AG$2&lt;=Inputs!$B$233+Inputs!$B$235),(1/(1-Inputs!$B$234))^(1/Inputs!$B$235)-1,IF(AND(Inputs!$B$238&lt;&gt;"",AG$2=Inputs!$B$238),-Inputs!$B$239,IF(AND(Inputs!$B$238&lt;&gt;"",AG$2&gt;Inputs!$B$238,AG$2&lt;=Inputs!$B$238+Inputs!$B$240),(1/(1-Inputs!$B$239))^(1/Inputs!$B$240)-1,IF(AND(Inputs!$B$243&lt;&gt;"",AG$2=Inputs!$B$243),-Inputs!$B$244,IF(AND(Inputs!$B$243&lt;&gt;"",AG$2&gt;Inputs!$B$243,AG$2&lt;=Inputs!$B$243+Inputs!$B$245),(1/(1-Inputs!$B$244))^(1/Inputs!$B$245)-1,IF(AND(Inputs!$B$248&lt;&gt;"",AG$2=Inputs!$B$248),-Inputs!$B$249,IF(AND(Inputs!$B$248&lt;&gt;"",AG$2&gt;Inputs!$B$248,AG$2&lt;=Inputs!$B$248+Inputs!$B$250),(1/(1-Inputs!$B$249))^(1/Inputs!$B$250)-1,stinc)))))))))))</f>
        <v>68616.194196414566</v>
      </c>
      <c r="AH82" s="7">
        <f ca="1">AG82*(1+IF(AND(Inputs!$B$228&lt;&gt;"",AH$2=Inputs!$B$228),-Inputs!$B$229,IF(AND(Inputs!$B$228&lt;&gt;"",AH$2&gt;Inputs!$B$228,AH$2&lt;=Inputs!$B$228+Inputs!$B$230),(1/(1-Inputs!$B$229))^(1/Inputs!$B$230)-1,IF(AND(Inputs!$B$233&lt;&gt;"",AH$2=Inputs!$B$233),-Inputs!$B$234,IF(AND(Inputs!$B$233&lt;&gt;"",AH$2&gt;Inputs!$B$233,AH$2&lt;=Inputs!$B$233+Inputs!$B$235),(1/(1-Inputs!$B$234))^(1/Inputs!$B$235)-1,IF(AND(Inputs!$B$238&lt;&gt;"",AH$2=Inputs!$B$238),-Inputs!$B$239,IF(AND(Inputs!$B$238&lt;&gt;"",AH$2&gt;Inputs!$B$238,AH$2&lt;=Inputs!$B$238+Inputs!$B$240),(1/(1-Inputs!$B$239))^(1/Inputs!$B$240)-1,IF(AND(Inputs!$B$243&lt;&gt;"",AH$2=Inputs!$B$243),-Inputs!$B$244,IF(AND(Inputs!$B$243&lt;&gt;"",AH$2&gt;Inputs!$B$243,AH$2&lt;=Inputs!$B$243+Inputs!$B$245),(1/(1-Inputs!$B$244))^(1/Inputs!$B$245)-1,IF(AND(Inputs!$B$248&lt;&gt;"",AH$2=Inputs!$B$248),-Inputs!$B$249,IF(AND(Inputs!$B$248&lt;&gt;"",AH$2&gt;Inputs!$B$248,AH$2&lt;=Inputs!$B$248+Inputs!$B$250),(1/(1-Inputs!$B$249))^(1/Inputs!$B$250)-1,stinc)))))))))))</f>
        <v>74105.489732127739</v>
      </c>
      <c r="AI82" s="7">
        <f ca="1">AH82*(1+IF(AND(Inputs!$B$228&lt;&gt;"",AI$2=Inputs!$B$228),-Inputs!$B$229,IF(AND(Inputs!$B$228&lt;&gt;"",AI$2&gt;Inputs!$B$228,AI$2&lt;=Inputs!$B$228+Inputs!$B$230),(1/(1-Inputs!$B$229))^(1/Inputs!$B$230)-1,IF(AND(Inputs!$B$233&lt;&gt;"",AI$2=Inputs!$B$233),-Inputs!$B$234,IF(AND(Inputs!$B$233&lt;&gt;"",AI$2&gt;Inputs!$B$233,AI$2&lt;=Inputs!$B$233+Inputs!$B$235),(1/(1-Inputs!$B$234))^(1/Inputs!$B$235)-1,IF(AND(Inputs!$B$238&lt;&gt;"",AI$2=Inputs!$B$238),-Inputs!$B$239,IF(AND(Inputs!$B$238&lt;&gt;"",AI$2&gt;Inputs!$B$238,AI$2&lt;=Inputs!$B$238+Inputs!$B$240),(1/(1-Inputs!$B$239))^(1/Inputs!$B$240)-1,IF(AND(Inputs!$B$243&lt;&gt;"",AI$2=Inputs!$B$243),-Inputs!$B$244,IF(AND(Inputs!$B$243&lt;&gt;"",AI$2&gt;Inputs!$B$243,AI$2&lt;=Inputs!$B$243+Inputs!$B$245),(1/(1-Inputs!$B$244))^(1/Inputs!$B$245)-1,IF(AND(Inputs!$B$248&lt;&gt;"",AI$2=Inputs!$B$248),-Inputs!$B$249,IF(AND(Inputs!$B$248&lt;&gt;"",AI$2&gt;Inputs!$B$248,AI$2&lt;=Inputs!$B$248+Inputs!$B$250),(1/(1-Inputs!$B$249))^(1/Inputs!$B$250)-1,stinc)))))))))))</f>
        <v>80033.928910697956</v>
      </c>
      <c r="AJ82" s="7">
        <f ca="1">AI82*(1+IF(AND(Inputs!$B$228&lt;&gt;"",AJ$2=Inputs!$B$228),-Inputs!$B$229,IF(AND(Inputs!$B$228&lt;&gt;"",AJ$2&gt;Inputs!$B$228,AJ$2&lt;=Inputs!$B$228+Inputs!$B$230),(1/(1-Inputs!$B$229))^(1/Inputs!$B$230)-1,IF(AND(Inputs!$B$233&lt;&gt;"",AJ$2=Inputs!$B$233),-Inputs!$B$234,IF(AND(Inputs!$B$233&lt;&gt;"",AJ$2&gt;Inputs!$B$233,AJ$2&lt;=Inputs!$B$233+Inputs!$B$235),(1/(1-Inputs!$B$234))^(1/Inputs!$B$235)-1,IF(AND(Inputs!$B$238&lt;&gt;"",AJ$2=Inputs!$B$238),-Inputs!$B$239,IF(AND(Inputs!$B$238&lt;&gt;"",AJ$2&gt;Inputs!$B$238,AJ$2&lt;=Inputs!$B$238+Inputs!$B$240),(1/(1-Inputs!$B$239))^(1/Inputs!$B$240)-1,IF(AND(Inputs!$B$243&lt;&gt;"",AJ$2=Inputs!$B$243),-Inputs!$B$244,IF(AND(Inputs!$B$243&lt;&gt;"",AJ$2&gt;Inputs!$B$243,AJ$2&lt;=Inputs!$B$243+Inputs!$B$245),(1/(1-Inputs!$B$244))^(1/Inputs!$B$245)-1,IF(AND(Inputs!$B$248&lt;&gt;"",AJ$2=Inputs!$B$248),-Inputs!$B$249,IF(AND(Inputs!$B$248&lt;&gt;"",AJ$2&gt;Inputs!$B$248,AJ$2&lt;=Inputs!$B$248+Inputs!$B$250),(1/(1-Inputs!$B$249))^(1/Inputs!$B$250)-1,stinc)))))))))))</f>
        <v>86436.643223553794</v>
      </c>
      <c r="AK82" s="7">
        <f ca="1">AJ82*(1+IF(AND(Inputs!$B$228&lt;&gt;"",AK$2=Inputs!$B$228),-Inputs!$B$229,IF(AND(Inputs!$B$228&lt;&gt;"",AK$2&gt;Inputs!$B$228,AK$2&lt;=Inputs!$B$228+Inputs!$B$230),(1/(1-Inputs!$B$229))^(1/Inputs!$B$230)-1,IF(AND(Inputs!$B$233&lt;&gt;"",AK$2=Inputs!$B$233),-Inputs!$B$234,IF(AND(Inputs!$B$233&lt;&gt;"",AK$2&gt;Inputs!$B$233,AK$2&lt;=Inputs!$B$233+Inputs!$B$235),(1/(1-Inputs!$B$234))^(1/Inputs!$B$235)-1,IF(AND(Inputs!$B$238&lt;&gt;"",AK$2=Inputs!$B$238),-Inputs!$B$239,IF(AND(Inputs!$B$238&lt;&gt;"",AK$2&gt;Inputs!$B$238,AK$2&lt;=Inputs!$B$238+Inputs!$B$240),(1/(1-Inputs!$B$239))^(1/Inputs!$B$240)-1,IF(AND(Inputs!$B$243&lt;&gt;"",AK$2=Inputs!$B$243),-Inputs!$B$244,IF(AND(Inputs!$B$243&lt;&gt;"",AK$2&gt;Inputs!$B$243,AK$2&lt;=Inputs!$B$243+Inputs!$B$245),(1/(1-Inputs!$B$244))^(1/Inputs!$B$245)-1,IF(AND(Inputs!$B$248&lt;&gt;"",AK$2=Inputs!$B$248),-Inputs!$B$249,IF(AND(Inputs!$B$248&lt;&gt;"",AK$2&gt;Inputs!$B$248,AK$2&lt;=Inputs!$B$248+Inputs!$B$250),(1/(1-Inputs!$B$249))^(1/Inputs!$B$250)-1,stinc)))))))))))</f>
        <v>93351.574681438098</v>
      </c>
      <c r="AL82" s="7">
        <f ca="1">AK82*(1+IF(AND(Inputs!$B$228&lt;&gt;"",AL$2=Inputs!$B$228),-Inputs!$B$229,IF(AND(Inputs!$B$228&lt;&gt;"",AL$2&gt;Inputs!$B$228,AL$2&lt;=Inputs!$B$228+Inputs!$B$230),(1/(1-Inputs!$B$229))^(1/Inputs!$B$230)-1,IF(AND(Inputs!$B$233&lt;&gt;"",AL$2=Inputs!$B$233),-Inputs!$B$234,IF(AND(Inputs!$B$233&lt;&gt;"",AL$2&gt;Inputs!$B$233,AL$2&lt;=Inputs!$B$233+Inputs!$B$235),(1/(1-Inputs!$B$234))^(1/Inputs!$B$235)-1,IF(AND(Inputs!$B$238&lt;&gt;"",AL$2=Inputs!$B$238),-Inputs!$B$239,IF(AND(Inputs!$B$238&lt;&gt;"",AL$2&gt;Inputs!$B$238,AL$2&lt;=Inputs!$B$238+Inputs!$B$240),(1/(1-Inputs!$B$239))^(1/Inputs!$B$240)-1,IF(AND(Inputs!$B$243&lt;&gt;"",AL$2=Inputs!$B$243),-Inputs!$B$244,IF(AND(Inputs!$B$243&lt;&gt;"",AL$2&gt;Inputs!$B$243,AL$2&lt;=Inputs!$B$243+Inputs!$B$245),(1/(1-Inputs!$B$244))^(1/Inputs!$B$245)-1,IF(AND(Inputs!$B$248&lt;&gt;"",AL$2=Inputs!$B$248),-Inputs!$B$249,IF(AND(Inputs!$B$248&lt;&gt;"",AL$2&gt;Inputs!$B$248,AL$2&lt;=Inputs!$B$248+Inputs!$B$250),(1/(1-Inputs!$B$249))^(1/Inputs!$B$250)-1,stinc)))))))))))</f>
        <v>100819.70065595316</v>
      </c>
      <c r="AM82" s="7">
        <f ca="1">AL82*(1+IF(AND(Inputs!$B$228&lt;&gt;"",AM$2=Inputs!$B$228),-Inputs!$B$229,IF(AND(Inputs!$B$228&lt;&gt;"",AM$2&gt;Inputs!$B$228,AM$2&lt;=Inputs!$B$228+Inputs!$B$230),(1/(1-Inputs!$B$229))^(1/Inputs!$B$230)-1,IF(AND(Inputs!$B$233&lt;&gt;"",AM$2=Inputs!$B$233),-Inputs!$B$234,IF(AND(Inputs!$B$233&lt;&gt;"",AM$2&gt;Inputs!$B$233,AM$2&lt;=Inputs!$B$233+Inputs!$B$235),(1/(1-Inputs!$B$234))^(1/Inputs!$B$235)-1,IF(AND(Inputs!$B$238&lt;&gt;"",AM$2=Inputs!$B$238),-Inputs!$B$239,IF(AND(Inputs!$B$238&lt;&gt;"",AM$2&gt;Inputs!$B$238,AM$2&lt;=Inputs!$B$238+Inputs!$B$240),(1/(1-Inputs!$B$239))^(1/Inputs!$B$240)-1,IF(AND(Inputs!$B$243&lt;&gt;"",AM$2=Inputs!$B$243),-Inputs!$B$244,IF(AND(Inputs!$B$243&lt;&gt;"",AM$2&gt;Inputs!$B$243,AM$2&lt;=Inputs!$B$243+Inputs!$B$245),(1/(1-Inputs!$B$244))^(1/Inputs!$B$245)-1,IF(AND(Inputs!$B$248&lt;&gt;"",AM$2=Inputs!$B$248),-Inputs!$B$249,IF(AND(Inputs!$B$248&lt;&gt;"",AM$2&gt;Inputs!$B$248,AM$2&lt;=Inputs!$B$248+Inputs!$B$250),(1/(1-Inputs!$B$249))^(1/Inputs!$B$250)-1,stinc)))))))))))</f>
        <v>108885.27670842942</v>
      </c>
    </row>
    <row r="83" spans="1:39" x14ac:dyDescent="0.2">
      <c r="A83" s="4" t="s">
        <v>2</v>
      </c>
      <c r="C83" s="7">
        <f ca="1">IF(AND(Inputs!$B$217&lt;&gt;"",C$2&gt;=Inputs!$B$217,Inputs!$B$12&gt;0),0,-MAX(FV(Inputs!$B$16/12,C$1*12+MthOff,Inputs!$B$17,-Inputs!$B$15),0))</f>
        <v>-48409.157779606016</v>
      </c>
      <c r="D83" s="7">
        <f ca="1">IF(AND(Inputs!$B$217&lt;&gt;"",D$2&gt;=Inputs!$B$217,Inputs!$B$12&gt;0),0,-MAX(FV(Inputs!$B$16/12,D$1*12+MthOff,Inputs!$B$17,-Inputs!$B$15),0))</f>
        <v>-46231.653807228853</v>
      </c>
      <c r="E83" s="7">
        <f ca="1">IF(AND(Inputs!$B$217&lt;&gt;"",E$2&gt;=Inputs!$B$217,Inputs!$B$12&gt;0),0,-MAX(FV(Inputs!$B$16/12,E$1*12+MthOff,Inputs!$B$17,-Inputs!$B$15),0))</f>
        <v>-43987.918967848869</v>
      </c>
      <c r="F83" s="7">
        <f ca="1">IF(AND(Inputs!$B$217&lt;&gt;"",F$2&gt;=Inputs!$B$217,Inputs!$B$12&gt;0),0,-MAX(FV(Inputs!$B$16/12,F$1*12+MthOff,Inputs!$B$17,-Inputs!$B$15),0))</f>
        <v>-41675.938786268969</v>
      </c>
      <c r="G83" s="7">
        <f ca="1">IF(AND(Inputs!$B$217&lt;&gt;"",G$2&gt;=Inputs!$B$217,Inputs!$B$12&gt;0),0,-MAX(FV(Inputs!$B$16/12,G$1*12+MthOff,Inputs!$B$17,-Inputs!$B$15),0))</f>
        <v>0</v>
      </c>
      <c r="H83" s="7">
        <f ca="1">IF(AND(Inputs!$B$217&lt;&gt;"",H$2&gt;=Inputs!$B$217,Inputs!$B$12&gt;0),0,-MAX(FV(Inputs!$B$16/12,H$1*12+MthOff,Inputs!$B$17,-Inputs!$B$15),0))</f>
        <v>0</v>
      </c>
      <c r="I83" s="7">
        <f ca="1">IF(AND(Inputs!$B$217&lt;&gt;"",I$2&gt;=Inputs!$B$217,Inputs!$B$12&gt;0),0,-MAX(FV(Inputs!$B$16/12,I$1*12+MthOff,Inputs!$B$17,-Inputs!$B$15),0))</f>
        <v>0</v>
      </c>
      <c r="J83" s="7">
        <f ca="1">IF(AND(Inputs!$B$217&lt;&gt;"",J$2&gt;=Inputs!$B$217,Inputs!$B$12&gt;0),0,-MAX(FV(Inputs!$B$16/12,J$1*12+MthOff,Inputs!$B$17,-Inputs!$B$15),0))</f>
        <v>0</v>
      </c>
      <c r="K83" s="7">
        <f ca="1">IF(AND(Inputs!$B$217&lt;&gt;"",K$2&gt;=Inputs!$B$217,Inputs!$B$12&gt;0),0,-MAX(FV(Inputs!$B$16/12,K$1*12+MthOff,Inputs!$B$17,-Inputs!$B$15),0))</f>
        <v>0</v>
      </c>
      <c r="L83" s="7">
        <f ca="1">IF(AND(Inputs!$B$217&lt;&gt;"",L$2&gt;=Inputs!$B$217,Inputs!$B$12&gt;0),0,-MAX(FV(Inputs!$B$16/12,L$1*12+MthOff,Inputs!$B$17,-Inputs!$B$15),0))</f>
        <v>0</v>
      </c>
      <c r="M83" s="7">
        <f ca="1">IF(AND(Inputs!$B$217&lt;&gt;"",M$2&gt;=Inputs!$B$217,Inputs!$B$12&gt;0),0,-MAX(FV(Inputs!$B$16/12,M$1*12+MthOff,Inputs!$B$17,-Inputs!$B$15),0))</f>
        <v>0</v>
      </c>
      <c r="N83" s="7">
        <f ca="1">IF(AND(Inputs!$B$217&lt;&gt;"",N$2&gt;=Inputs!$B$217,Inputs!$B$12&gt;0),0,-MAX(FV(Inputs!$B$16/12,N$1*12+MthOff,Inputs!$B$17,-Inputs!$B$15),0))</f>
        <v>0</v>
      </c>
      <c r="O83" s="7">
        <f ca="1">IF(AND(Inputs!$B$217&lt;&gt;"",O$2&gt;=Inputs!$B$217,Inputs!$B$12&gt;0),0,-MAX(FV(Inputs!$B$16/12,O$1*12+MthOff,Inputs!$B$17,-Inputs!$B$15),0))</f>
        <v>0</v>
      </c>
      <c r="P83" s="7">
        <f ca="1">IF(AND(Inputs!$B$217&lt;&gt;"",P$2&gt;=Inputs!$B$217,Inputs!$B$12&gt;0),0,-MAX(FV(Inputs!$B$16/12,P$1*12+MthOff,Inputs!$B$17,-Inputs!$B$15),0))</f>
        <v>0</v>
      </c>
      <c r="Q83" s="7">
        <f ca="1">IF(AND(Inputs!$B$217&lt;&gt;"",Q$2&gt;=Inputs!$B$217,Inputs!$B$12&gt;0),0,-MAX(FV(Inputs!$B$16/12,Q$1*12+MthOff,Inputs!$B$17,-Inputs!$B$15),0))</f>
        <v>0</v>
      </c>
      <c r="R83" s="7">
        <f ca="1">IF(AND(Inputs!$B$217&lt;&gt;"",R$2&gt;=Inputs!$B$217,Inputs!$B$12&gt;0),0,-MAX(FV(Inputs!$B$16/12,R$1*12+MthOff,Inputs!$B$17,-Inputs!$B$15),0))</f>
        <v>0</v>
      </c>
      <c r="S83" s="7">
        <f ca="1">IF(AND(Inputs!$B$217&lt;&gt;"",S$2&gt;=Inputs!$B$217,Inputs!$B$12&gt;0),0,-MAX(FV(Inputs!$B$16/12,S$1*12+MthOff,Inputs!$B$17,-Inputs!$B$15),0))</f>
        <v>0</v>
      </c>
      <c r="T83" s="7">
        <f ca="1">IF(AND(Inputs!$B$217&lt;&gt;"",T$2&gt;=Inputs!$B$217,Inputs!$B$12&gt;0),0,-MAX(FV(Inputs!$B$16/12,T$1*12+MthOff,Inputs!$B$17,-Inputs!$B$15),0))</f>
        <v>0</v>
      </c>
      <c r="U83" s="7">
        <f ca="1">IF(AND(Inputs!$B$217&lt;&gt;"",U$2&gt;=Inputs!$B$217,Inputs!$B$12&gt;0),0,-MAX(FV(Inputs!$B$16/12,U$1*12+MthOff,Inputs!$B$17,-Inputs!$B$15),0))</f>
        <v>0</v>
      </c>
      <c r="V83" s="7">
        <f ca="1">IF(AND(Inputs!$B$217&lt;&gt;"",V$2&gt;=Inputs!$B$217,Inputs!$B$12&gt;0),0,-MAX(FV(Inputs!$B$16/12,V$1*12+MthOff,Inputs!$B$17,-Inputs!$B$15),0))</f>
        <v>0</v>
      </c>
      <c r="W83" s="7">
        <f ca="1">IF(AND(Inputs!$B$217&lt;&gt;"",W$2&gt;=Inputs!$B$217,Inputs!$B$12&gt;0),0,-MAX(FV(Inputs!$B$16/12,W$1*12+MthOff,Inputs!$B$17,-Inputs!$B$15),0))</f>
        <v>0</v>
      </c>
      <c r="X83" s="7">
        <f ca="1">IF(AND(Inputs!$B$217&lt;&gt;"",X$2&gt;=Inputs!$B$217,Inputs!$B$12&gt;0),0,-MAX(FV(Inputs!$B$16/12,X$1*12+MthOff,Inputs!$B$17,-Inputs!$B$15),0))</f>
        <v>0</v>
      </c>
      <c r="Y83" s="7">
        <f ca="1">IF(AND(Inputs!$B$217&lt;&gt;"",Y$2&gt;=Inputs!$B$217,Inputs!$B$12&gt;0),0,-MAX(FV(Inputs!$B$16/12,Y$1*12+MthOff,Inputs!$B$17,-Inputs!$B$15),0))</f>
        <v>0</v>
      </c>
      <c r="Z83" s="7">
        <f ca="1">IF(AND(Inputs!$B$217&lt;&gt;"",Z$2&gt;=Inputs!$B$217,Inputs!$B$12&gt;0),0,-MAX(FV(Inputs!$B$16/12,Z$1*12+MthOff,Inputs!$B$17,-Inputs!$B$15),0))</f>
        <v>0</v>
      </c>
      <c r="AA83" s="7">
        <f ca="1">IF(AND(Inputs!$B$217&lt;&gt;"",AA$2&gt;=Inputs!$B$217,Inputs!$B$12&gt;0),0,-MAX(FV(Inputs!$B$16/12,AA$1*12+MthOff,Inputs!$B$17,-Inputs!$B$15),0))</f>
        <v>0</v>
      </c>
      <c r="AB83" s="7">
        <f ca="1">IF(AND(Inputs!$B$217&lt;&gt;"",AB$2&gt;=Inputs!$B$217,Inputs!$B$12&gt;0),0,-MAX(FV(Inputs!$B$16/12,AB$1*12+MthOff,Inputs!$B$17,-Inputs!$B$15),0))</f>
        <v>0</v>
      </c>
      <c r="AC83" s="7">
        <f ca="1">IF(AND(Inputs!$B$217&lt;&gt;"",AC$2&gt;=Inputs!$B$217,Inputs!$B$12&gt;0),0,-MAX(FV(Inputs!$B$16/12,AC$1*12+MthOff,Inputs!$B$17,-Inputs!$B$15),0))</f>
        <v>0</v>
      </c>
      <c r="AD83" s="7">
        <f ca="1">IF(AND(Inputs!$B$217&lt;&gt;"",AD$2&gt;=Inputs!$B$217,Inputs!$B$12&gt;0),0,-MAX(FV(Inputs!$B$16/12,AD$1*12+MthOff,Inputs!$B$17,-Inputs!$B$15),0))</f>
        <v>0</v>
      </c>
      <c r="AE83" s="7">
        <f ca="1">IF(AND(Inputs!$B$217&lt;&gt;"",AE$2&gt;=Inputs!$B$217,Inputs!$B$12&gt;0),0,-MAX(FV(Inputs!$B$16/12,AE$1*12+MthOff,Inputs!$B$17,-Inputs!$B$15),0))</f>
        <v>0</v>
      </c>
      <c r="AF83" s="7">
        <f ca="1">IF(AND(Inputs!$B$217&lt;&gt;"",AF$2&gt;=Inputs!$B$217,Inputs!$B$12&gt;0),0,-MAX(FV(Inputs!$B$16/12,AF$1*12+MthOff,Inputs!$B$17,-Inputs!$B$15),0))</f>
        <v>0</v>
      </c>
      <c r="AG83" s="7">
        <f ca="1">IF(AND(Inputs!$B$217&lt;&gt;"",AG$2&gt;=Inputs!$B$217,Inputs!$B$12&gt;0),0,-MAX(FV(Inputs!$B$16/12,AG$1*12+MthOff,Inputs!$B$17,-Inputs!$B$15),0))</f>
        <v>0</v>
      </c>
      <c r="AH83" s="7">
        <f ca="1">IF(AND(Inputs!$B$217&lt;&gt;"",AH$2&gt;=Inputs!$B$217,Inputs!$B$12&gt;0),0,-MAX(FV(Inputs!$B$16/12,AH$1*12+MthOff,Inputs!$B$17,-Inputs!$B$15),0))</f>
        <v>0</v>
      </c>
      <c r="AI83" s="7">
        <f ca="1">IF(AND(Inputs!$B$217&lt;&gt;"",AI$2&gt;=Inputs!$B$217,Inputs!$B$12&gt;0),0,-MAX(FV(Inputs!$B$16/12,AI$1*12+MthOff,Inputs!$B$17,-Inputs!$B$15),0))</f>
        <v>0</v>
      </c>
      <c r="AJ83" s="7">
        <f ca="1">IF(AND(Inputs!$B$217&lt;&gt;"",AJ$2&gt;=Inputs!$B$217,Inputs!$B$12&gt;0),0,-MAX(FV(Inputs!$B$16/12,AJ$1*12+MthOff,Inputs!$B$17,-Inputs!$B$15),0))</f>
        <v>0</v>
      </c>
      <c r="AK83" s="7">
        <f ca="1">IF(AND(Inputs!$B$217&lt;&gt;"",AK$2&gt;=Inputs!$B$217,Inputs!$B$12&gt;0),0,-MAX(FV(Inputs!$B$16/12,AK$1*12+MthOff,Inputs!$B$17,-Inputs!$B$15),0))</f>
        <v>0</v>
      </c>
      <c r="AL83" s="7">
        <f ca="1">IF(AND(Inputs!$B$217&lt;&gt;"",AL$2&gt;=Inputs!$B$217,Inputs!$B$12&gt;0),0,-MAX(FV(Inputs!$B$16/12,AL$1*12+MthOff,Inputs!$B$17,-Inputs!$B$15),0))</f>
        <v>0</v>
      </c>
      <c r="AM83" s="7">
        <f ca="1">IF(AND(Inputs!$B$217&lt;&gt;"",AM$2&gt;=Inputs!$B$217,Inputs!$B$12&gt;0),0,-MAX(FV(Inputs!$B$16/12,AM$1*12+MthOff,Inputs!$B$17,-Inputs!$B$15),0))</f>
        <v>0</v>
      </c>
    </row>
    <row r="84" spans="1:39" x14ac:dyDescent="0.2">
      <c r="A84" s="4" t="s">
        <v>197</v>
      </c>
      <c r="C84" s="7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</row>
    <row r="85" spans="1:39" x14ac:dyDescent="0.2">
      <c r="A85" s="3" t="str">
        <f>TEXT(Inputs!$B$60,"")</f>
        <v>Sliema</v>
      </c>
      <c r="C85" s="7">
        <f ca="1">-MAX(FV(Inputs!$B128/12,C$1*12+MthOff,Inputs!$B129,-Inputs!$B127),0)</f>
        <v>-46591.052384870025</v>
      </c>
      <c r="D85" s="7">
        <f ca="1">-MAX(FV(Inputs!$B128/12,D$1*12+MthOff,Inputs!$B129,-Inputs!$B127),0)</f>
        <v>-41924.97244406183</v>
      </c>
      <c r="E85" s="7">
        <f ca="1">-MAX(FV(Inputs!$B128/12,E$1*12+MthOff,Inputs!$B129,-Inputs!$B127),0)</f>
        <v>-37116.969216818994</v>
      </c>
      <c r="F85" s="7">
        <f ca="1">-MAX(FV(Inputs!$B128/12,F$1*12+MthOff,Inputs!$B129,-Inputs!$B127),0)</f>
        <v>-32162.725970576364</v>
      </c>
      <c r="G85" s="7">
        <f ca="1">-MAX(FV(Inputs!$B128/12,G$1*12+MthOff,Inputs!$B129,-Inputs!$B127),0)</f>
        <v>-27057.79467521701</v>
      </c>
      <c r="H85" s="7">
        <f ca="1">-MAX(FV(Inputs!$B128/12,H$1*12+MthOff,Inputs!$B129,-Inputs!$B127),0)</f>
        <v>-21797.592009531552</v>
      </c>
      <c r="I85" s="7">
        <f ca="1">-MAX(FV(Inputs!$B128/12,I$1*12+MthOff,Inputs!$B129,-Inputs!$B127),0)</f>
        <v>-16377.395246210348</v>
      </c>
      <c r="J85" s="7">
        <f ca="1">-MAX(FV(Inputs!$B128/12,J$1*12+MthOff,Inputs!$B129,-Inputs!$B127),0)</f>
        <v>-10792.33801167312</v>
      </c>
      <c r="K85" s="7">
        <f ca="1">-MAX(FV(Inputs!$B128/12,K$1*12+MthOff,Inputs!$B129,-Inputs!$B127),0)</f>
        <v>-5037.4059169308748</v>
      </c>
      <c r="L85" s="7">
        <f ca="1">-MAX(FV(Inputs!$B128/12,L$1*12+MthOff,Inputs!$B129,-Inputs!$B127),0)</f>
        <v>0</v>
      </c>
      <c r="M85" s="7">
        <f ca="1">-MAX(FV(Inputs!$B128/12,M$1*12+MthOff,Inputs!$B129,-Inputs!$B127),0)</f>
        <v>0</v>
      </c>
      <c r="N85" s="7">
        <f ca="1">-MAX(FV(Inputs!$B128/12,N$1*12+MthOff,Inputs!$B129,-Inputs!$B127),0)</f>
        <v>0</v>
      </c>
      <c r="O85" s="7">
        <f ca="1">-MAX(FV(Inputs!$B128/12,O$1*12+MthOff,Inputs!$B129,-Inputs!$B127),0)</f>
        <v>0</v>
      </c>
      <c r="P85" s="7">
        <f ca="1">-MAX(FV(Inputs!$B128/12,P$1*12+MthOff,Inputs!$B129,-Inputs!$B127),0)</f>
        <v>0</v>
      </c>
      <c r="Q85" s="7">
        <f ca="1">-MAX(FV(Inputs!$B128/12,Q$1*12+MthOff,Inputs!$B129,-Inputs!$B127),0)</f>
        <v>0</v>
      </c>
      <c r="R85" s="7">
        <f ca="1">-MAX(FV(Inputs!$B128/12,R$1*12+MthOff,Inputs!$B129,-Inputs!$B127),0)</f>
        <v>0</v>
      </c>
      <c r="S85" s="7">
        <f ca="1">-MAX(FV(Inputs!$B128/12,S$1*12+MthOff,Inputs!$B129,-Inputs!$B127),0)</f>
        <v>0</v>
      </c>
      <c r="T85" s="7">
        <f ca="1">-MAX(FV(Inputs!$B128/12,T$1*12+MthOff,Inputs!$B129,-Inputs!$B127),0)</f>
        <v>0</v>
      </c>
      <c r="U85" s="7">
        <f ca="1">-MAX(FV(Inputs!$B128/12,U$1*12+MthOff,Inputs!$B129,-Inputs!$B127),0)</f>
        <v>0</v>
      </c>
      <c r="V85" s="7">
        <f ca="1">-MAX(FV(Inputs!$B128/12,V$1*12+MthOff,Inputs!$B129,-Inputs!$B127),0)</f>
        <v>0</v>
      </c>
      <c r="W85" s="7">
        <f ca="1">-MAX(FV(Inputs!$B128/12,W$1*12+MthOff,Inputs!$B129,-Inputs!$B127),0)</f>
        <v>0</v>
      </c>
      <c r="X85" s="7">
        <f ca="1">-MAX(FV(Inputs!$B128/12,X$1*12+MthOff,Inputs!$B129,-Inputs!$B127),0)</f>
        <v>0</v>
      </c>
      <c r="Y85" s="7">
        <f ca="1">-MAX(FV(Inputs!$B128/12,Y$1*12+MthOff,Inputs!$B129,-Inputs!$B127),0)</f>
        <v>0</v>
      </c>
      <c r="Z85" s="7">
        <f ca="1">-MAX(FV(Inputs!$B128/12,Z$1*12+MthOff,Inputs!$B129,-Inputs!$B127),0)</f>
        <v>0</v>
      </c>
      <c r="AA85" s="7">
        <f ca="1">-MAX(FV(Inputs!$B128/12,AA$1*12+MthOff,Inputs!$B129,-Inputs!$B127),0)</f>
        <v>0</v>
      </c>
      <c r="AB85" s="7">
        <f ca="1">-MAX(FV(Inputs!$B128/12,AB$1*12+MthOff,Inputs!$B129,-Inputs!$B127),0)</f>
        <v>0</v>
      </c>
      <c r="AC85" s="7">
        <f ca="1">-MAX(FV(Inputs!$B128/12,AC$1*12+MthOff,Inputs!$B129,-Inputs!$B127),0)</f>
        <v>0</v>
      </c>
      <c r="AD85" s="7">
        <f ca="1">-MAX(FV(Inputs!$B128/12,AD$1*12+MthOff,Inputs!$B129,-Inputs!$B127),0)</f>
        <v>0</v>
      </c>
      <c r="AE85" s="7">
        <f ca="1">-MAX(FV(Inputs!$B128/12,AE$1*12+MthOff,Inputs!$B129,-Inputs!$B127),0)</f>
        <v>0</v>
      </c>
      <c r="AF85" s="7">
        <f ca="1">-MAX(FV(Inputs!$B128/12,AF$1*12+MthOff,Inputs!$B129,-Inputs!$B127),0)</f>
        <v>0</v>
      </c>
      <c r="AG85" s="7">
        <f ca="1">-MAX(FV(Inputs!$B128/12,AG$1*12+MthOff,Inputs!$B129,-Inputs!$B127),0)</f>
        <v>0</v>
      </c>
      <c r="AH85" s="7">
        <f ca="1">-MAX(FV(Inputs!$B128/12,AH$1*12+MthOff,Inputs!$B129,-Inputs!$B127),0)</f>
        <v>0</v>
      </c>
      <c r="AI85" s="7">
        <f ca="1">-MAX(FV(Inputs!$B128/12,AI$1*12+MthOff,Inputs!$B129,-Inputs!$B127),0)</f>
        <v>0</v>
      </c>
      <c r="AJ85" s="7">
        <f ca="1">-MAX(FV(Inputs!$B128/12,AJ$1*12+MthOff,Inputs!$B129,-Inputs!$B127),0)</f>
        <v>0</v>
      </c>
      <c r="AK85" s="7">
        <f ca="1">-MAX(FV(Inputs!$B128/12,AK$1*12+MthOff,Inputs!$B129,-Inputs!$B127),0)</f>
        <v>0</v>
      </c>
      <c r="AL85" s="7">
        <f ca="1">-MAX(FV(Inputs!$B128/12,AL$1*12+MthOff,Inputs!$B129,-Inputs!$B127),0)</f>
        <v>0</v>
      </c>
      <c r="AM85" s="7">
        <f ca="1">-MAX(FV(Inputs!$B128/12,AM$1*12+MthOff,Inputs!$B129,-Inputs!$B127),0)</f>
        <v>0</v>
      </c>
    </row>
    <row r="86" spans="1:39" x14ac:dyDescent="0.2">
      <c r="A86" s="3" t="str">
        <f>TEXT(Inputs!$B$65,"")</f>
        <v>Gzira</v>
      </c>
      <c r="C86" s="7">
        <f ca="1">-MAX(FV(Inputs!$B133/12,C$1*12+MthOff,Inputs!$B134,-Inputs!$B132),0)</f>
        <v>-6816.3065303051853</v>
      </c>
      <c r="D86" s="7">
        <f ca="1">-MAX(FV(Inputs!$B133/12,D$1*12+MthOff,Inputs!$B134,-Inputs!$B132),0)</f>
        <v>-4531.7666039667383</v>
      </c>
      <c r="E86" s="7">
        <f ca="1">-MAX(FV(Inputs!$B133/12,E$1*12+MthOff,Inputs!$B134,-Inputs!$B132),0)</f>
        <v>-2201.1147111864902</v>
      </c>
      <c r="F86" s="7">
        <f ca="1">-MAX(FV(Inputs!$B133/12,F$1*12+MthOff,Inputs!$B134,-Inputs!$B132),0)</f>
        <v>0</v>
      </c>
      <c r="G86" s="7">
        <f ca="1">-MAX(FV(Inputs!$B133/12,G$1*12+MthOff,Inputs!$B134,-Inputs!$B132),0)</f>
        <v>0</v>
      </c>
      <c r="H86" s="7">
        <f ca="1">-MAX(FV(Inputs!$B133/12,H$1*12+MthOff,Inputs!$B134,-Inputs!$B132),0)</f>
        <v>0</v>
      </c>
      <c r="I86" s="7">
        <f ca="1">-MAX(FV(Inputs!$B133/12,I$1*12+MthOff,Inputs!$B134,-Inputs!$B132),0)</f>
        <v>0</v>
      </c>
      <c r="J86" s="7">
        <f ca="1">-MAX(FV(Inputs!$B133/12,J$1*12+MthOff,Inputs!$B134,-Inputs!$B132),0)</f>
        <v>0</v>
      </c>
      <c r="K86" s="7">
        <f ca="1">-MAX(FV(Inputs!$B133/12,K$1*12+MthOff,Inputs!$B134,-Inputs!$B132),0)</f>
        <v>0</v>
      </c>
      <c r="L86" s="7">
        <f ca="1">-MAX(FV(Inputs!$B133/12,L$1*12+MthOff,Inputs!$B134,-Inputs!$B132),0)</f>
        <v>0</v>
      </c>
      <c r="M86" s="7">
        <f ca="1">-MAX(FV(Inputs!$B133/12,M$1*12+MthOff,Inputs!$B134,-Inputs!$B132),0)</f>
        <v>0</v>
      </c>
      <c r="N86" s="7">
        <f ca="1">-MAX(FV(Inputs!$B133/12,N$1*12+MthOff,Inputs!$B134,-Inputs!$B132),0)</f>
        <v>0</v>
      </c>
      <c r="O86" s="7">
        <f ca="1">-MAX(FV(Inputs!$B133/12,O$1*12+MthOff,Inputs!$B134,-Inputs!$B132),0)</f>
        <v>0</v>
      </c>
      <c r="P86" s="7">
        <f ca="1">-MAX(FV(Inputs!$B133/12,P$1*12+MthOff,Inputs!$B134,-Inputs!$B132),0)</f>
        <v>0</v>
      </c>
      <c r="Q86" s="7">
        <f ca="1">-MAX(FV(Inputs!$B133/12,Q$1*12+MthOff,Inputs!$B134,-Inputs!$B132),0)</f>
        <v>0</v>
      </c>
      <c r="R86" s="7">
        <f ca="1">-MAX(FV(Inputs!$B133/12,R$1*12+MthOff,Inputs!$B134,-Inputs!$B132),0)</f>
        <v>0</v>
      </c>
      <c r="S86" s="7">
        <f ca="1">-MAX(FV(Inputs!$B133/12,S$1*12+MthOff,Inputs!$B134,-Inputs!$B132),0)</f>
        <v>0</v>
      </c>
      <c r="T86" s="7">
        <f ca="1">-MAX(FV(Inputs!$B133/12,T$1*12+MthOff,Inputs!$B134,-Inputs!$B132),0)</f>
        <v>0</v>
      </c>
      <c r="U86" s="7">
        <f ca="1">-MAX(FV(Inputs!$B133/12,U$1*12+MthOff,Inputs!$B134,-Inputs!$B132),0)</f>
        <v>0</v>
      </c>
      <c r="V86" s="7">
        <f ca="1">-MAX(FV(Inputs!$B133/12,V$1*12+MthOff,Inputs!$B134,-Inputs!$B132),0)</f>
        <v>0</v>
      </c>
      <c r="W86" s="7">
        <f ca="1">-MAX(FV(Inputs!$B133/12,W$1*12+MthOff,Inputs!$B134,-Inputs!$B132),0)</f>
        <v>0</v>
      </c>
      <c r="X86" s="7">
        <f ca="1">-MAX(FV(Inputs!$B133/12,X$1*12+MthOff,Inputs!$B134,-Inputs!$B132),0)</f>
        <v>0</v>
      </c>
      <c r="Y86" s="7">
        <f ca="1">-MAX(FV(Inputs!$B133/12,Y$1*12+MthOff,Inputs!$B134,-Inputs!$B132),0)</f>
        <v>0</v>
      </c>
      <c r="Z86" s="7">
        <f ca="1">-MAX(FV(Inputs!$B133/12,Z$1*12+MthOff,Inputs!$B134,-Inputs!$B132),0)</f>
        <v>0</v>
      </c>
      <c r="AA86" s="7">
        <f ca="1">-MAX(FV(Inputs!$B133/12,AA$1*12+MthOff,Inputs!$B134,-Inputs!$B132),0)</f>
        <v>0</v>
      </c>
      <c r="AB86" s="7">
        <f ca="1">-MAX(FV(Inputs!$B133/12,AB$1*12+MthOff,Inputs!$B134,-Inputs!$B132),0)</f>
        <v>0</v>
      </c>
      <c r="AC86" s="7">
        <f ca="1">-MAX(FV(Inputs!$B133/12,AC$1*12+MthOff,Inputs!$B134,-Inputs!$B132),0)</f>
        <v>0</v>
      </c>
      <c r="AD86" s="7">
        <f ca="1">-MAX(FV(Inputs!$B133/12,AD$1*12+MthOff,Inputs!$B134,-Inputs!$B132),0)</f>
        <v>0</v>
      </c>
      <c r="AE86" s="7">
        <f ca="1">-MAX(FV(Inputs!$B133/12,AE$1*12+MthOff,Inputs!$B134,-Inputs!$B132),0)</f>
        <v>0</v>
      </c>
      <c r="AF86" s="7">
        <f ca="1">-MAX(FV(Inputs!$B133/12,AF$1*12+MthOff,Inputs!$B134,-Inputs!$B132),0)</f>
        <v>0</v>
      </c>
      <c r="AG86" s="7">
        <f ca="1">-MAX(FV(Inputs!$B133/12,AG$1*12+MthOff,Inputs!$B134,-Inputs!$B132),0)</f>
        <v>0</v>
      </c>
      <c r="AH86" s="7">
        <f ca="1">-MAX(FV(Inputs!$B133/12,AH$1*12+MthOff,Inputs!$B134,-Inputs!$B132),0)</f>
        <v>0</v>
      </c>
      <c r="AI86" s="7">
        <f ca="1">-MAX(FV(Inputs!$B133/12,AI$1*12+MthOff,Inputs!$B134,-Inputs!$B132),0)</f>
        <v>0</v>
      </c>
      <c r="AJ86" s="7">
        <f ca="1">-MAX(FV(Inputs!$B133/12,AJ$1*12+MthOff,Inputs!$B134,-Inputs!$B132),0)</f>
        <v>0</v>
      </c>
      <c r="AK86" s="7">
        <f ca="1">-MAX(FV(Inputs!$B133/12,AK$1*12+MthOff,Inputs!$B134,-Inputs!$B132),0)</f>
        <v>0</v>
      </c>
      <c r="AL86" s="7">
        <f ca="1">-MAX(FV(Inputs!$B133/12,AL$1*12+MthOff,Inputs!$B134,-Inputs!$B132),0)</f>
        <v>0</v>
      </c>
      <c r="AM86" s="7">
        <f ca="1">-MAX(FV(Inputs!$B133/12,AM$1*12+MthOff,Inputs!$B134,-Inputs!$B132),0)</f>
        <v>0</v>
      </c>
    </row>
    <row r="87" spans="1:39" x14ac:dyDescent="0.2">
      <c r="A87" s="3" t="str">
        <f>TEXT(Inputs!$B$70,"")</f>
        <v>Qormi</v>
      </c>
      <c r="C87" s="7">
        <f ca="1">-MAX(FV(Inputs!$B138/12,C$1*12+MthOff,Inputs!$B139,-Inputs!$B137),0)</f>
        <v>-13284.099846375037</v>
      </c>
      <c r="D87" s="7">
        <f ca="1">-MAX(FV(Inputs!$B138/12,D$1*12+MthOff,Inputs!$B139,-Inputs!$B137),0)</f>
        <v>-10894.02573326202</v>
      </c>
      <c r="E87" s="7">
        <f ca="1">-MAX(FV(Inputs!$B138/12,E$1*12+MthOff,Inputs!$B139,-Inputs!$B137),0)</f>
        <v>-8381.6708924441427</v>
      </c>
      <c r="F87" s="7">
        <f ca="1">-MAX(FV(Inputs!$B138/12,F$1*12+MthOff,Inputs!$B139,-Inputs!$B137),0)</f>
        <v>-5740.779209817676</v>
      </c>
      <c r="G87" s="7">
        <f ca="1">-MAX(FV(Inputs!$B138/12,G$1*12+MthOff,Inputs!$B139,-Inputs!$B137),0)</f>
        <v>-2964.7744966079426</v>
      </c>
      <c r="H87" s="7">
        <f ca="1">-MAX(FV(Inputs!$B138/12,H$1*12+MthOff,Inputs!$B139,-Inputs!$B137),0)</f>
        <v>-46.744113741759065</v>
      </c>
      <c r="I87" s="7">
        <f ca="1">-MAX(FV(Inputs!$B138/12,I$1*12+MthOff,Inputs!$B139,-Inputs!$B137),0)</f>
        <v>0</v>
      </c>
      <c r="J87" s="7">
        <f ca="1">-MAX(FV(Inputs!$B138/12,J$1*12+MthOff,Inputs!$B139,-Inputs!$B137),0)</f>
        <v>0</v>
      </c>
      <c r="K87" s="7">
        <f ca="1">-MAX(FV(Inputs!$B138/12,K$1*12+MthOff,Inputs!$B139,-Inputs!$B137),0)</f>
        <v>0</v>
      </c>
      <c r="L87" s="7">
        <f ca="1">-MAX(FV(Inputs!$B138/12,L$1*12+MthOff,Inputs!$B139,-Inputs!$B137),0)</f>
        <v>0</v>
      </c>
      <c r="M87" s="7">
        <f ca="1">-MAX(FV(Inputs!$B138/12,M$1*12+MthOff,Inputs!$B139,-Inputs!$B137),0)</f>
        <v>0</v>
      </c>
      <c r="N87" s="7">
        <f ca="1">-MAX(FV(Inputs!$B138/12,N$1*12+MthOff,Inputs!$B139,-Inputs!$B137),0)</f>
        <v>0</v>
      </c>
      <c r="O87" s="7">
        <f ca="1">-MAX(FV(Inputs!$B138/12,O$1*12+MthOff,Inputs!$B139,-Inputs!$B137),0)</f>
        <v>0</v>
      </c>
      <c r="P87" s="7">
        <f ca="1">-MAX(FV(Inputs!$B138/12,P$1*12+MthOff,Inputs!$B139,-Inputs!$B137),0)</f>
        <v>0</v>
      </c>
      <c r="Q87" s="7">
        <f ca="1">-MAX(FV(Inputs!$B138/12,Q$1*12+MthOff,Inputs!$B139,-Inputs!$B137),0)</f>
        <v>0</v>
      </c>
      <c r="R87" s="7">
        <f ca="1">-MAX(FV(Inputs!$B138/12,R$1*12+MthOff,Inputs!$B139,-Inputs!$B137),0)</f>
        <v>0</v>
      </c>
      <c r="S87" s="7">
        <f ca="1">-MAX(FV(Inputs!$B138/12,S$1*12+MthOff,Inputs!$B139,-Inputs!$B137),0)</f>
        <v>0</v>
      </c>
      <c r="T87" s="7">
        <f ca="1">-MAX(FV(Inputs!$B138/12,T$1*12+MthOff,Inputs!$B139,-Inputs!$B137),0)</f>
        <v>0</v>
      </c>
      <c r="U87" s="7">
        <f ca="1">-MAX(FV(Inputs!$B138/12,U$1*12+MthOff,Inputs!$B139,-Inputs!$B137),0)</f>
        <v>0</v>
      </c>
      <c r="V87" s="7">
        <f ca="1">-MAX(FV(Inputs!$B138/12,V$1*12+MthOff,Inputs!$B139,-Inputs!$B137),0)</f>
        <v>0</v>
      </c>
      <c r="W87" s="7">
        <f ca="1">-MAX(FV(Inputs!$B138/12,W$1*12+MthOff,Inputs!$B139,-Inputs!$B137),0)</f>
        <v>0</v>
      </c>
      <c r="X87" s="7">
        <f ca="1">-MAX(FV(Inputs!$B138/12,X$1*12+MthOff,Inputs!$B139,-Inputs!$B137),0)</f>
        <v>0</v>
      </c>
      <c r="Y87" s="7">
        <f ca="1">-MAX(FV(Inputs!$B138/12,Y$1*12+MthOff,Inputs!$B139,-Inputs!$B137),0)</f>
        <v>0</v>
      </c>
      <c r="Z87" s="7">
        <f ca="1">-MAX(FV(Inputs!$B138/12,Z$1*12+MthOff,Inputs!$B139,-Inputs!$B137),0)</f>
        <v>0</v>
      </c>
      <c r="AA87" s="7">
        <f ca="1">-MAX(FV(Inputs!$B138/12,AA$1*12+MthOff,Inputs!$B139,-Inputs!$B137),0)</f>
        <v>0</v>
      </c>
      <c r="AB87" s="7">
        <f ca="1">-MAX(FV(Inputs!$B138/12,AB$1*12+MthOff,Inputs!$B139,-Inputs!$B137),0)</f>
        <v>0</v>
      </c>
      <c r="AC87" s="7">
        <f ca="1">-MAX(FV(Inputs!$B138/12,AC$1*12+MthOff,Inputs!$B139,-Inputs!$B137),0)</f>
        <v>0</v>
      </c>
      <c r="AD87" s="7">
        <f ca="1">-MAX(FV(Inputs!$B138/12,AD$1*12+MthOff,Inputs!$B139,-Inputs!$B137),0)</f>
        <v>0</v>
      </c>
      <c r="AE87" s="7">
        <f ca="1">-MAX(FV(Inputs!$B138/12,AE$1*12+MthOff,Inputs!$B139,-Inputs!$B137),0)</f>
        <v>0</v>
      </c>
      <c r="AF87" s="7">
        <f ca="1">-MAX(FV(Inputs!$B138/12,AF$1*12+MthOff,Inputs!$B139,-Inputs!$B137),0)</f>
        <v>0</v>
      </c>
      <c r="AG87" s="7">
        <f ca="1">-MAX(FV(Inputs!$B138/12,AG$1*12+MthOff,Inputs!$B139,-Inputs!$B137),0)</f>
        <v>0</v>
      </c>
      <c r="AH87" s="7">
        <f ca="1">-MAX(FV(Inputs!$B138/12,AH$1*12+MthOff,Inputs!$B139,-Inputs!$B137),0)</f>
        <v>0</v>
      </c>
      <c r="AI87" s="7">
        <f ca="1">-MAX(FV(Inputs!$B138/12,AI$1*12+MthOff,Inputs!$B139,-Inputs!$B137),0)</f>
        <v>0</v>
      </c>
      <c r="AJ87" s="7">
        <f ca="1">-MAX(FV(Inputs!$B138/12,AJ$1*12+MthOff,Inputs!$B139,-Inputs!$B137),0)</f>
        <v>0</v>
      </c>
      <c r="AK87" s="7">
        <f ca="1">-MAX(FV(Inputs!$B138/12,AK$1*12+MthOff,Inputs!$B139,-Inputs!$B137),0)</f>
        <v>0</v>
      </c>
      <c r="AL87" s="7">
        <f ca="1">-MAX(FV(Inputs!$B138/12,AL$1*12+MthOff,Inputs!$B139,-Inputs!$B137),0)</f>
        <v>0</v>
      </c>
      <c r="AM87" s="7">
        <f ca="1">-MAX(FV(Inputs!$B138/12,AM$1*12+MthOff,Inputs!$B139,-Inputs!$B137),0)</f>
        <v>0</v>
      </c>
    </row>
    <row r="88" spans="1:39" x14ac:dyDescent="0.2">
      <c r="A88" s="3" t="str">
        <f>TEXT(Inputs!$B$75,"")</f>
        <v>Gudja</v>
      </c>
      <c r="C88" s="7">
        <f ca="1">-MAX(FV(Inputs!$B143/12,C$1*12+MthOff,Inputs!$B144,-Inputs!$B142),0)</f>
        <v>-4025.8511111463736</v>
      </c>
      <c r="D88" s="7">
        <f ca="1">-MAX(FV(Inputs!$B143/12,D$1*12+MthOff,Inputs!$B144,-Inputs!$B142),0)</f>
        <v>-3138.2612491824134</v>
      </c>
      <c r="E88" s="7">
        <f ca="1">-MAX(FV(Inputs!$B143/12,E$1*12+MthOff,Inputs!$B144,-Inputs!$B142),0)</f>
        <v>-2232.7559577452803</v>
      </c>
      <c r="F88" s="7">
        <f ca="1">-MAX(FV(Inputs!$B143/12,F$1*12+MthOff,Inputs!$B144,-Inputs!$B142),0)</f>
        <v>-1308.9736254343047</v>
      </c>
      <c r="G88" s="7">
        <f ca="1">-MAX(FV(Inputs!$B143/12,G$1*12+MthOff,Inputs!$B144,-Inputs!$B142),0)</f>
        <v>-366.5453419556743</v>
      </c>
      <c r="H88" s="7">
        <f ca="1">-MAX(FV(Inputs!$B143/12,H$1*12+MthOff,Inputs!$B144,-Inputs!$B142),0)</f>
        <v>0</v>
      </c>
      <c r="I88" s="7">
        <f ca="1">-MAX(FV(Inputs!$B143/12,I$1*12+MthOff,Inputs!$B144,-Inputs!$B142),0)</f>
        <v>0</v>
      </c>
      <c r="J88" s="7">
        <f ca="1">-MAX(FV(Inputs!$B143/12,J$1*12+MthOff,Inputs!$B144,-Inputs!$B142),0)</f>
        <v>0</v>
      </c>
      <c r="K88" s="7">
        <f ca="1">-MAX(FV(Inputs!$B143/12,K$1*12+MthOff,Inputs!$B144,-Inputs!$B142),0)</f>
        <v>0</v>
      </c>
      <c r="L88" s="7">
        <f ca="1">-MAX(FV(Inputs!$B143/12,L$1*12+MthOff,Inputs!$B144,-Inputs!$B142),0)</f>
        <v>0</v>
      </c>
      <c r="M88" s="7">
        <f ca="1">-MAX(FV(Inputs!$B143/12,M$1*12+MthOff,Inputs!$B144,-Inputs!$B142),0)</f>
        <v>0</v>
      </c>
      <c r="N88" s="7">
        <f ca="1">-MAX(FV(Inputs!$B143/12,N$1*12+MthOff,Inputs!$B144,-Inputs!$B142),0)</f>
        <v>0</v>
      </c>
      <c r="O88" s="7">
        <f ca="1">-MAX(FV(Inputs!$B143/12,O$1*12+MthOff,Inputs!$B144,-Inputs!$B142),0)</f>
        <v>0</v>
      </c>
      <c r="P88" s="7">
        <f ca="1">-MAX(FV(Inputs!$B143/12,P$1*12+MthOff,Inputs!$B144,-Inputs!$B142),0)</f>
        <v>0</v>
      </c>
      <c r="Q88" s="7">
        <f ca="1">-MAX(FV(Inputs!$B143/12,Q$1*12+MthOff,Inputs!$B144,-Inputs!$B142),0)</f>
        <v>0</v>
      </c>
      <c r="R88" s="7">
        <f ca="1">-MAX(FV(Inputs!$B143/12,R$1*12+MthOff,Inputs!$B144,-Inputs!$B142),0)</f>
        <v>0</v>
      </c>
      <c r="S88" s="7">
        <f ca="1">-MAX(FV(Inputs!$B143/12,S$1*12+MthOff,Inputs!$B144,-Inputs!$B142),0)</f>
        <v>0</v>
      </c>
      <c r="T88" s="7">
        <f ca="1">-MAX(FV(Inputs!$B143/12,T$1*12+MthOff,Inputs!$B144,-Inputs!$B142),0)</f>
        <v>0</v>
      </c>
      <c r="U88" s="7">
        <f ca="1">-MAX(FV(Inputs!$B143/12,U$1*12+MthOff,Inputs!$B144,-Inputs!$B142),0)</f>
        <v>0</v>
      </c>
      <c r="V88" s="7">
        <f ca="1">-MAX(FV(Inputs!$B143/12,V$1*12+MthOff,Inputs!$B144,-Inputs!$B142),0)</f>
        <v>0</v>
      </c>
      <c r="W88" s="7">
        <f ca="1">-MAX(FV(Inputs!$B143/12,W$1*12+MthOff,Inputs!$B144,-Inputs!$B142),0)</f>
        <v>0</v>
      </c>
      <c r="X88" s="7">
        <f ca="1">-MAX(FV(Inputs!$B143/12,X$1*12+MthOff,Inputs!$B144,-Inputs!$B142),0)</f>
        <v>0</v>
      </c>
      <c r="Y88" s="7">
        <f ca="1">-MAX(FV(Inputs!$B143/12,Y$1*12+MthOff,Inputs!$B144,-Inputs!$B142),0)</f>
        <v>0</v>
      </c>
      <c r="Z88" s="7">
        <f ca="1">-MAX(FV(Inputs!$B143/12,Z$1*12+MthOff,Inputs!$B144,-Inputs!$B142),0)</f>
        <v>0</v>
      </c>
      <c r="AA88" s="7">
        <f ca="1">-MAX(FV(Inputs!$B143/12,AA$1*12+MthOff,Inputs!$B144,-Inputs!$B142),0)</f>
        <v>0</v>
      </c>
      <c r="AB88" s="7">
        <f ca="1">-MAX(FV(Inputs!$B143/12,AB$1*12+MthOff,Inputs!$B144,-Inputs!$B142),0)</f>
        <v>0</v>
      </c>
      <c r="AC88" s="7">
        <f ca="1">-MAX(FV(Inputs!$B143/12,AC$1*12+MthOff,Inputs!$B144,-Inputs!$B142),0)</f>
        <v>0</v>
      </c>
      <c r="AD88" s="7">
        <f ca="1">-MAX(FV(Inputs!$B143/12,AD$1*12+MthOff,Inputs!$B144,-Inputs!$B142),0)</f>
        <v>0</v>
      </c>
      <c r="AE88" s="7">
        <f ca="1">-MAX(FV(Inputs!$B143/12,AE$1*12+MthOff,Inputs!$B144,-Inputs!$B142),0)</f>
        <v>0</v>
      </c>
      <c r="AF88" s="7">
        <f ca="1">-MAX(FV(Inputs!$B143/12,AF$1*12+MthOff,Inputs!$B144,-Inputs!$B142),0)</f>
        <v>0</v>
      </c>
      <c r="AG88" s="7">
        <f ca="1">-MAX(FV(Inputs!$B143/12,AG$1*12+MthOff,Inputs!$B144,-Inputs!$B142),0)</f>
        <v>0</v>
      </c>
      <c r="AH88" s="7">
        <f ca="1">-MAX(FV(Inputs!$B143/12,AH$1*12+MthOff,Inputs!$B144,-Inputs!$B142),0)</f>
        <v>0</v>
      </c>
      <c r="AI88" s="7">
        <f ca="1">-MAX(FV(Inputs!$B143/12,AI$1*12+MthOff,Inputs!$B144,-Inputs!$B142),0)</f>
        <v>0</v>
      </c>
      <c r="AJ88" s="7">
        <f ca="1">-MAX(FV(Inputs!$B143/12,AJ$1*12+MthOff,Inputs!$B144,-Inputs!$B142),0)</f>
        <v>0</v>
      </c>
      <c r="AK88" s="7">
        <f ca="1">-MAX(FV(Inputs!$B143/12,AK$1*12+MthOff,Inputs!$B144,-Inputs!$B142),0)</f>
        <v>0</v>
      </c>
      <c r="AL88" s="7">
        <f ca="1">-MAX(FV(Inputs!$B143/12,AL$1*12+MthOff,Inputs!$B144,-Inputs!$B142),0)</f>
        <v>0</v>
      </c>
      <c r="AM88" s="7">
        <f ca="1">-MAX(FV(Inputs!$B143/12,AM$1*12+MthOff,Inputs!$B144,-Inputs!$B142),0)</f>
        <v>0</v>
      </c>
    </row>
    <row r="89" spans="1:39" x14ac:dyDescent="0.2">
      <c r="A89" s="3" t="str">
        <f>TEXT(Inputs!$B$80,"")</f>
        <v>Marsa</v>
      </c>
      <c r="C89" s="7">
        <f ca="1">-MAX(FV(Inputs!$B148/12,C$1*12+MthOff,Inputs!$B149,-Inputs!$B147),0)</f>
        <v>-8649.5822104017261</v>
      </c>
      <c r="D89" s="7">
        <f ca="1">-MAX(FV(Inputs!$B148/12,D$1*12+MthOff,Inputs!$B149,-Inputs!$B147),0)</f>
        <v>-7452.7015983848178</v>
      </c>
      <c r="E89" s="7">
        <f ca="1">-MAX(FV(Inputs!$B148/12,E$1*12+MthOff,Inputs!$B149,-Inputs!$B147),0)</f>
        <v>-6219.4167172421839</v>
      </c>
      <c r="F89" s="7">
        <f ca="1">-MAX(FV(Inputs!$B148/12,F$1*12+MthOff,Inputs!$B149,-Inputs!$B147),0)</f>
        <v>-4948.6202962926418</v>
      </c>
      <c r="G89" s="7">
        <f ca="1">-MAX(FV(Inputs!$B148/12,G$1*12+MthOff,Inputs!$B149,-Inputs!$B147),0)</f>
        <v>-3639.1713861576636</v>
      </c>
      <c r="H89" s="7">
        <f ca="1">-MAX(FV(Inputs!$B148/12,H$1*12+MthOff,Inputs!$B149,-Inputs!$B147),0)</f>
        <v>-2289.8943343915744</v>
      </c>
      <c r="I89" s="7">
        <f ca="1">-MAX(FV(Inputs!$B148/12,I$1*12+MthOff,Inputs!$B149,-Inputs!$B147),0)</f>
        <v>-899.57772995459527</v>
      </c>
      <c r="J89" s="7">
        <f ca="1">-MAX(FV(Inputs!$B148/12,J$1*12+MthOff,Inputs!$B149,-Inputs!$B147),0)</f>
        <v>0</v>
      </c>
      <c r="K89" s="7">
        <f ca="1">-MAX(FV(Inputs!$B148/12,K$1*12+MthOff,Inputs!$B149,-Inputs!$B147),0)</f>
        <v>0</v>
      </c>
      <c r="L89" s="7">
        <f ca="1">-MAX(FV(Inputs!$B148/12,L$1*12+MthOff,Inputs!$B149,-Inputs!$B147),0)</f>
        <v>0</v>
      </c>
      <c r="M89" s="7">
        <f ca="1">-MAX(FV(Inputs!$B148/12,M$1*12+MthOff,Inputs!$B149,-Inputs!$B147),0)</f>
        <v>0</v>
      </c>
      <c r="N89" s="7">
        <f ca="1">-MAX(FV(Inputs!$B148/12,N$1*12+MthOff,Inputs!$B149,-Inputs!$B147),0)</f>
        <v>0</v>
      </c>
      <c r="O89" s="7">
        <f ca="1">-MAX(FV(Inputs!$B148/12,O$1*12+MthOff,Inputs!$B149,-Inputs!$B147),0)</f>
        <v>0</v>
      </c>
      <c r="P89" s="7">
        <f ca="1">-MAX(FV(Inputs!$B148/12,P$1*12+MthOff,Inputs!$B149,-Inputs!$B147),0)</f>
        <v>0</v>
      </c>
      <c r="Q89" s="7">
        <f ca="1">-MAX(FV(Inputs!$B148/12,Q$1*12+MthOff,Inputs!$B149,-Inputs!$B147),0)</f>
        <v>0</v>
      </c>
      <c r="R89" s="7">
        <f ca="1">-MAX(FV(Inputs!$B148/12,R$1*12+MthOff,Inputs!$B149,-Inputs!$B147),0)</f>
        <v>0</v>
      </c>
      <c r="S89" s="7">
        <f ca="1">-MAX(FV(Inputs!$B148/12,S$1*12+MthOff,Inputs!$B149,-Inputs!$B147),0)</f>
        <v>0</v>
      </c>
      <c r="T89" s="7">
        <f ca="1">-MAX(FV(Inputs!$B148/12,T$1*12+MthOff,Inputs!$B149,-Inputs!$B147),0)</f>
        <v>0</v>
      </c>
      <c r="U89" s="7">
        <f ca="1">-MAX(FV(Inputs!$B148/12,U$1*12+MthOff,Inputs!$B149,-Inputs!$B147),0)</f>
        <v>0</v>
      </c>
      <c r="V89" s="7">
        <f ca="1">-MAX(FV(Inputs!$B148/12,V$1*12+MthOff,Inputs!$B149,-Inputs!$B147),0)</f>
        <v>0</v>
      </c>
      <c r="W89" s="7">
        <f ca="1">-MAX(FV(Inputs!$B148/12,W$1*12+MthOff,Inputs!$B149,-Inputs!$B147),0)</f>
        <v>0</v>
      </c>
      <c r="X89" s="7">
        <f ca="1">-MAX(FV(Inputs!$B148/12,X$1*12+MthOff,Inputs!$B149,-Inputs!$B147),0)</f>
        <v>0</v>
      </c>
      <c r="Y89" s="7">
        <f ca="1">-MAX(FV(Inputs!$B148/12,Y$1*12+MthOff,Inputs!$B149,-Inputs!$B147),0)</f>
        <v>0</v>
      </c>
      <c r="Z89" s="7">
        <f ca="1">-MAX(FV(Inputs!$B148/12,Z$1*12+MthOff,Inputs!$B149,-Inputs!$B147),0)</f>
        <v>0</v>
      </c>
      <c r="AA89" s="7">
        <f ca="1">-MAX(FV(Inputs!$B148/12,AA$1*12+MthOff,Inputs!$B149,-Inputs!$B147),0)</f>
        <v>0</v>
      </c>
      <c r="AB89" s="7">
        <f ca="1">-MAX(FV(Inputs!$B148/12,AB$1*12+MthOff,Inputs!$B149,-Inputs!$B147),0)</f>
        <v>0</v>
      </c>
      <c r="AC89" s="7">
        <f ca="1">-MAX(FV(Inputs!$B148/12,AC$1*12+MthOff,Inputs!$B149,-Inputs!$B147),0)</f>
        <v>0</v>
      </c>
      <c r="AD89" s="7">
        <f ca="1">-MAX(FV(Inputs!$B148/12,AD$1*12+MthOff,Inputs!$B149,-Inputs!$B147),0)</f>
        <v>0</v>
      </c>
      <c r="AE89" s="7">
        <f ca="1">-MAX(FV(Inputs!$B148/12,AE$1*12+MthOff,Inputs!$B149,-Inputs!$B147),0)</f>
        <v>0</v>
      </c>
      <c r="AF89" s="7">
        <f ca="1">-MAX(FV(Inputs!$B148/12,AF$1*12+MthOff,Inputs!$B149,-Inputs!$B147),0)</f>
        <v>0</v>
      </c>
      <c r="AG89" s="7">
        <f ca="1">-MAX(FV(Inputs!$B148/12,AG$1*12+MthOff,Inputs!$B149,-Inputs!$B147),0)</f>
        <v>0</v>
      </c>
      <c r="AH89" s="7">
        <f ca="1">-MAX(FV(Inputs!$B148/12,AH$1*12+MthOff,Inputs!$B149,-Inputs!$B147),0)</f>
        <v>0</v>
      </c>
      <c r="AI89" s="7">
        <f ca="1">-MAX(FV(Inputs!$B148/12,AI$1*12+MthOff,Inputs!$B149,-Inputs!$B147),0)</f>
        <v>0</v>
      </c>
      <c r="AJ89" s="7">
        <f ca="1">-MAX(FV(Inputs!$B148/12,AJ$1*12+MthOff,Inputs!$B149,-Inputs!$B147),0)</f>
        <v>0</v>
      </c>
      <c r="AK89" s="7">
        <f ca="1">-MAX(FV(Inputs!$B148/12,AK$1*12+MthOff,Inputs!$B149,-Inputs!$B147),0)</f>
        <v>0</v>
      </c>
      <c r="AL89" s="7">
        <f ca="1">-MAX(FV(Inputs!$B148/12,AL$1*12+MthOff,Inputs!$B149,-Inputs!$B147),0)</f>
        <v>0</v>
      </c>
      <c r="AM89" s="7">
        <f ca="1">-MAX(FV(Inputs!$B148/12,AM$1*12+MthOff,Inputs!$B149,-Inputs!$B147),0)</f>
        <v>0</v>
      </c>
    </row>
    <row r="90" spans="1:39" x14ac:dyDescent="0.2">
      <c r="A90" s="3" t="str">
        <f>TEXT(Inputs!$B$87,"")</f>
        <v>Jewelry</v>
      </c>
      <c r="C90" s="7">
        <f ca="1">-MAX(FV(Inputs!$B153/12,C$1*12+MthOff,Inputs!$B154,-Inputs!$B152),0)</f>
        <v>-1875.0262705595046</v>
      </c>
      <c r="D90" s="7">
        <f ca="1">-MAX(FV(Inputs!$B153/12,D$1*12+MthOff,Inputs!$B154,-Inputs!$B152),0)</f>
        <v>-1019.5782814113345</v>
      </c>
      <c r="E90" s="7">
        <f ca="1">-MAX(FV(Inputs!$B153/12,E$1*12+MthOff,Inputs!$B154,-Inputs!$B152),0)</f>
        <v>-138.11102308348245</v>
      </c>
      <c r="F90" s="7">
        <f ca="1">-MAX(FV(Inputs!$B153/12,F$1*12+MthOff,Inputs!$B154,-Inputs!$B152),0)</f>
        <v>0</v>
      </c>
      <c r="G90" s="7">
        <f ca="1">-MAX(FV(Inputs!$B153/12,G$1*12+MthOff,Inputs!$B154,-Inputs!$B152),0)</f>
        <v>0</v>
      </c>
      <c r="H90" s="7">
        <f ca="1">-MAX(FV(Inputs!$B153/12,H$1*12+MthOff,Inputs!$B154,-Inputs!$B152),0)</f>
        <v>0</v>
      </c>
      <c r="I90" s="7">
        <f ca="1">-MAX(FV(Inputs!$B153/12,I$1*12+MthOff,Inputs!$B154,-Inputs!$B152),0)</f>
        <v>0</v>
      </c>
      <c r="J90" s="7">
        <f ca="1">-MAX(FV(Inputs!$B153/12,J$1*12+MthOff,Inputs!$B154,-Inputs!$B152),0)</f>
        <v>0</v>
      </c>
      <c r="K90" s="7">
        <f ca="1">-MAX(FV(Inputs!$B153/12,K$1*12+MthOff,Inputs!$B154,-Inputs!$B152),0)</f>
        <v>0</v>
      </c>
      <c r="L90" s="7">
        <f ca="1">-MAX(FV(Inputs!$B153/12,L$1*12+MthOff,Inputs!$B154,-Inputs!$B152),0)</f>
        <v>0</v>
      </c>
      <c r="M90" s="7">
        <f ca="1">-MAX(FV(Inputs!$B153/12,M$1*12+MthOff,Inputs!$B154,-Inputs!$B152),0)</f>
        <v>0</v>
      </c>
      <c r="N90" s="7">
        <f ca="1">-MAX(FV(Inputs!$B153/12,N$1*12+MthOff,Inputs!$B154,-Inputs!$B152),0)</f>
        <v>0</v>
      </c>
      <c r="O90" s="7">
        <f ca="1">-MAX(FV(Inputs!$B153/12,O$1*12+MthOff,Inputs!$B154,-Inputs!$B152),0)</f>
        <v>0</v>
      </c>
      <c r="P90" s="7">
        <f ca="1">-MAX(FV(Inputs!$B153/12,P$1*12+MthOff,Inputs!$B154,-Inputs!$B152),0)</f>
        <v>0</v>
      </c>
      <c r="Q90" s="7">
        <f ca="1">-MAX(FV(Inputs!$B153/12,Q$1*12+MthOff,Inputs!$B154,-Inputs!$B152),0)</f>
        <v>0</v>
      </c>
      <c r="R90" s="7">
        <f ca="1">-MAX(FV(Inputs!$B153/12,R$1*12+MthOff,Inputs!$B154,-Inputs!$B152),0)</f>
        <v>0</v>
      </c>
      <c r="S90" s="7">
        <f ca="1">-MAX(FV(Inputs!$B153/12,S$1*12+MthOff,Inputs!$B154,-Inputs!$B152),0)</f>
        <v>0</v>
      </c>
      <c r="T90" s="7">
        <f ca="1">-MAX(FV(Inputs!$B153/12,T$1*12+MthOff,Inputs!$B154,-Inputs!$B152),0)</f>
        <v>0</v>
      </c>
      <c r="U90" s="7">
        <f ca="1">-MAX(FV(Inputs!$B153/12,U$1*12+MthOff,Inputs!$B154,-Inputs!$B152),0)</f>
        <v>0</v>
      </c>
      <c r="V90" s="7">
        <f ca="1">-MAX(FV(Inputs!$B153/12,V$1*12+MthOff,Inputs!$B154,-Inputs!$B152),0)</f>
        <v>0</v>
      </c>
      <c r="W90" s="7">
        <f ca="1">-MAX(FV(Inputs!$B153/12,W$1*12+MthOff,Inputs!$B154,-Inputs!$B152),0)</f>
        <v>0</v>
      </c>
      <c r="X90" s="7">
        <f ca="1">-MAX(FV(Inputs!$B153/12,X$1*12+MthOff,Inputs!$B154,-Inputs!$B152),0)</f>
        <v>0</v>
      </c>
      <c r="Y90" s="7">
        <f ca="1">-MAX(FV(Inputs!$B153/12,Y$1*12+MthOff,Inputs!$B154,-Inputs!$B152),0)</f>
        <v>0</v>
      </c>
      <c r="Z90" s="7">
        <f ca="1">-MAX(FV(Inputs!$B153/12,Z$1*12+MthOff,Inputs!$B154,-Inputs!$B152),0)</f>
        <v>0</v>
      </c>
      <c r="AA90" s="7">
        <f ca="1">-MAX(FV(Inputs!$B153/12,AA$1*12+MthOff,Inputs!$B154,-Inputs!$B152),0)</f>
        <v>0</v>
      </c>
      <c r="AB90" s="7">
        <f ca="1">-MAX(FV(Inputs!$B153/12,AB$1*12+MthOff,Inputs!$B154,-Inputs!$B152),0)</f>
        <v>0</v>
      </c>
      <c r="AC90" s="7">
        <f ca="1">-MAX(FV(Inputs!$B153/12,AC$1*12+MthOff,Inputs!$B154,-Inputs!$B152),0)</f>
        <v>0</v>
      </c>
      <c r="AD90" s="7">
        <f ca="1">-MAX(FV(Inputs!$B153/12,AD$1*12+MthOff,Inputs!$B154,-Inputs!$B152),0)</f>
        <v>0</v>
      </c>
      <c r="AE90" s="7">
        <f ca="1">-MAX(FV(Inputs!$B153/12,AE$1*12+MthOff,Inputs!$B154,-Inputs!$B152),0)</f>
        <v>0</v>
      </c>
      <c r="AF90" s="7">
        <f ca="1">-MAX(FV(Inputs!$B153/12,AF$1*12+MthOff,Inputs!$B154,-Inputs!$B152),0)</f>
        <v>0</v>
      </c>
      <c r="AG90" s="7">
        <f ca="1">-MAX(FV(Inputs!$B153/12,AG$1*12+MthOff,Inputs!$B154,-Inputs!$B152),0)</f>
        <v>0</v>
      </c>
      <c r="AH90" s="7">
        <f ca="1">-MAX(FV(Inputs!$B153/12,AH$1*12+MthOff,Inputs!$B154,-Inputs!$B152),0)</f>
        <v>0</v>
      </c>
      <c r="AI90" s="7">
        <f ca="1">-MAX(FV(Inputs!$B153/12,AI$1*12+MthOff,Inputs!$B154,-Inputs!$B152),0)</f>
        <v>0</v>
      </c>
      <c r="AJ90" s="7">
        <f ca="1">-MAX(FV(Inputs!$B153/12,AJ$1*12+MthOff,Inputs!$B154,-Inputs!$B152),0)</f>
        <v>0</v>
      </c>
      <c r="AK90" s="7">
        <f ca="1">-MAX(FV(Inputs!$B153/12,AK$1*12+MthOff,Inputs!$B154,-Inputs!$B152),0)</f>
        <v>0</v>
      </c>
      <c r="AL90" s="7">
        <f ca="1">-MAX(FV(Inputs!$B153/12,AL$1*12+MthOff,Inputs!$B154,-Inputs!$B152),0)</f>
        <v>0</v>
      </c>
      <c r="AM90" s="7">
        <f ca="1">-MAX(FV(Inputs!$B153/12,AM$1*12+MthOff,Inputs!$B154,-Inputs!$B152),0)</f>
        <v>0</v>
      </c>
    </row>
    <row r="91" spans="1:39" x14ac:dyDescent="0.2">
      <c r="A91" s="3" t="str">
        <f>TEXT(Inputs!$B$92,"")</f>
        <v>Car</v>
      </c>
      <c r="C91" s="7">
        <f ca="1">-MAX(FV(Inputs!$B158/12,C$1*12+MthOff,Inputs!$B159,-Inputs!$B157),0)</f>
        <v>-5311.4222222593407</v>
      </c>
      <c r="D91" s="7">
        <f ca="1">-MAX(FV(Inputs!$B158/12,D$1*12+MthOff,Inputs!$B159,-Inputs!$B157),0)</f>
        <v>-4377.1171044025405</v>
      </c>
      <c r="E91" s="7">
        <f ca="1">-MAX(FV(Inputs!$B158/12,E$1*12+MthOff,Inputs!$B159,-Inputs!$B157),0)</f>
        <v>-3423.9536397318734</v>
      </c>
      <c r="F91" s="7">
        <f ca="1">-MAX(FV(Inputs!$B158/12,F$1*12+MthOff,Inputs!$B159,-Inputs!$B157),0)</f>
        <v>-2451.5511846676886</v>
      </c>
      <c r="G91" s="7">
        <f ca="1">-MAX(FV(Inputs!$B158/12,G$1*12+MthOff,Inputs!$B159,-Inputs!$B157),0)</f>
        <v>-1459.5214125849197</v>
      </c>
      <c r="H91" s="7">
        <f ca="1">-MAX(FV(Inputs!$B158/12,H$1*12+MthOff,Inputs!$B159,-Inputs!$B157),0)</f>
        <v>-447.46815873579635</v>
      </c>
      <c r="I91" s="7">
        <f ca="1">-MAX(FV(Inputs!$B158/12,I$1*12+MthOff,Inputs!$B159,-Inputs!$B157),0)</f>
        <v>0</v>
      </c>
      <c r="J91" s="7">
        <f ca="1">-MAX(FV(Inputs!$B158/12,J$1*12+MthOff,Inputs!$B159,-Inputs!$B157),0)</f>
        <v>0</v>
      </c>
      <c r="K91" s="7">
        <f ca="1">-MAX(FV(Inputs!$B158/12,K$1*12+MthOff,Inputs!$B159,-Inputs!$B157),0)</f>
        <v>0</v>
      </c>
      <c r="L91" s="7">
        <f ca="1">-MAX(FV(Inputs!$B158/12,L$1*12+MthOff,Inputs!$B159,-Inputs!$B157),0)</f>
        <v>0</v>
      </c>
      <c r="M91" s="7">
        <f ca="1">-MAX(FV(Inputs!$B158/12,M$1*12+MthOff,Inputs!$B159,-Inputs!$B157),0)</f>
        <v>0</v>
      </c>
      <c r="N91" s="7">
        <f ca="1">-MAX(FV(Inputs!$B158/12,N$1*12+MthOff,Inputs!$B159,-Inputs!$B157),0)</f>
        <v>0</v>
      </c>
      <c r="O91" s="7">
        <f ca="1">-MAX(FV(Inputs!$B158/12,O$1*12+MthOff,Inputs!$B159,-Inputs!$B157),0)</f>
        <v>0</v>
      </c>
      <c r="P91" s="7">
        <f ca="1">-MAX(FV(Inputs!$B158/12,P$1*12+MthOff,Inputs!$B159,-Inputs!$B157),0)</f>
        <v>0</v>
      </c>
      <c r="Q91" s="7">
        <f ca="1">-MAX(FV(Inputs!$B158/12,Q$1*12+MthOff,Inputs!$B159,-Inputs!$B157),0)</f>
        <v>0</v>
      </c>
      <c r="R91" s="7">
        <f ca="1">-MAX(FV(Inputs!$B158/12,R$1*12+MthOff,Inputs!$B159,-Inputs!$B157),0)</f>
        <v>0</v>
      </c>
      <c r="S91" s="7">
        <f ca="1">-MAX(FV(Inputs!$B158/12,S$1*12+MthOff,Inputs!$B159,-Inputs!$B157),0)</f>
        <v>0</v>
      </c>
      <c r="T91" s="7">
        <f ca="1">-MAX(FV(Inputs!$B158/12,T$1*12+MthOff,Inputs!$B159,-Inputs!$B157),0)</f>
        <v>0</v>
      </c>
      <c r="U91" s="7">
        <f ca="1">-MAX(FV(Inputs!$B158/12,U$1*12+MthOff,Inputs!$B159,-Inputs!$B157),0)</f>
        <v>0</v>
      </c>
      <c r="V91" s="7">
        <f ca="1">-MAX(FV(Inputs!$B158/12,V$1*12+MthOff,Inputs!$B159,-Inputs!$B157),0)</f>
        <v>0</v>
      </c>
      <c r="W91" s="7">
        <f ca="1">-MAX(FV(Inputs!$B158/12,W$1*12+MthOff,Inputs!$B159,-Inputs!$B157),0)</f>
        <v>0</v>
      </c>
      <c r="X91" s="7">
        <f ca="1">-MAX(FV(Inputs!$B158/12,X$1*12+MthOff,Inputs!$B159,-Inputs!$B157),0)</f>
        <v>0</v>
      </c>
      <c r="Y91" s="7">
        <f ca="1">-MAX(FV(Inputs!$B158/12,Y$1*12+MthOff,Inputs!$B159,-Inputs!$B157),0)</f>
        <v>0</v>
      </c>
      <c r="Z91" s="7">
        <f ca="1">-MAX(FV(Inputs!$B158/12,Z$1*12+MthOff,Inputs!$B159,-Inputs!$B157),0)</f>
        <v>0</v>
      </c>
      <c r="AA91" s="7">
        <f ca="1">-MAX(FV(Inputs!$B158/12,AA$1*12+MthOff,Inputs!$B159,-Inputs!$B157),0)</f>
        <v>0</v>
      </c>
      <c r="AB91" s="7">
        <f ca="1">-MAX(FV(Inputs!$B158/12,AB$1*12+MthOff,Inputs!$B159,-Inputs!$B157),0)</f>
        <v>0</v>
      </c>
      <c r="AC91" s="7">
        <f ca="1">-MAX(FV(Inputs!$B158/12,AC$1*12+MthOff,Inputs!$B159,-Inputs!$B157),0)</f>
        <v>0</v>
      </c>
      <c r="AD91" s="7">
        <f ca="1">-MAX(FV(Inputs!$B158/12,AD$1*12+MthOff,Inputs!$B159,-Inputs!$B157),0)</f>
        <v>0</v>
      </c>
      <c r="AE91" s="7">
        <f ca="1">-MAX(FV(Inputs!$B158/12,AE$1*12+MthOff,Inputs!$B159,-Inputs!$B157),0)</f>
        <v>0</v>
      </c>
      <c r="AF91" s="7">
        <f ca="1">-MAX(FV(Inputs!$B158/12,AF$1*12+MthOff,Inputs!$B159,-Inputs!$B157),0)</f>
        <v>0</v>
      </c>
      <c r="AG91" s="7">
        <f ca="1">-MAX(FV(Inputs!$B158/12,AG$1*12+MthOff,Inputs!$B159,-Inputs!$B157),0)</f>
        <v>0</v>
      </c>
      <c r="AH91" s="7">
        <f ca="1">-MAX(FV(Inputs!$B158/12,AH$1*12+MthOff,Inputs!$B159,-Inputs!$B157),0)</f>
        <v>0</v>
      </c>
      <c r="AI91" s="7">
        <f ca="1">-MAX(FV(Inputs!$B158/12,AI$1*12+MthOff,Inputs!$B159,-Inputs!$B157),0)</f>
        <v>0</v>
      </c>
      <c r="AJ91" s="7">
        <f ca="1">-MAX(FV(Inputs!$B158/12,AJ$1*12+MthOff,Inputs!$B159,-Inputs!$B157),0)</f>
        <v>0</v>
      </c>
      <c r="AK91" s="7">
        <f ca="1">-MAX(FV(Inputs!$B158/12,AK$1*12+MthOff,Inputs!$B159,-Inputs!$B157),0)</f>
        <v>0</v>
      </c>
      <c r="AL91" s="7">
        <f ca="1">-MAX(FV(Inputs!$B158/12,AL$1*12+MthOff,Inputs!$B159,-Inputs!$B157),0)</f>
        <v>0</v>
      </c>
      <c r="AM91" s="7">
        <f ca="1">-MAX(FV(Inputs!$B158/12,AM$1*12+MthOff,Inputs!$B159,-Inputs!$B157),0)</f>
        <v>0</v>
      </c>
    </row>
    <row r="92" spans="1:39" x14ac:dyDescent="0.2">
      <c r="A92" s="3" t="str">
        <f>TEXT(Inputs!$B$97,"")</f>
        <v>Painting</v>
      </c>
      <c r="C92" s="7">
        <f ca="1">-MAX(FV(Inputs!$B163/12,C$1*12+MthOff,Inputs!$B164,-Inputs!$B162),0)</f>
        <v>-6642.0499231875183</v>
      </c>
      <c r="D92" s="7">
        <f ca="1">-MAX(FV(Inputs!$B163/12,D$1*12+MthOff,Inputs!$B164,-Inputs!$B162),0)</f>
        <v>-5447.0128666310102</v>
      </c>
      <c r="E92" s="7">
        <f ca="1">-MAX(FV(Inputs!$B163/12,E$1*12+MthOff,Inputs!$B164,-Inputs!$B162),0)</f>
        <v>-4190.8354462220714</v>
      </c>
      <c r="F92" s="7">
        <f ca="1">-MAX(FV(Inputs!$B163/12,F$1*12+MthOff,Inputs!$B164,-Inputs!$B162),0)</f>
        <v>-2870.389604908838</v>
      </c>
      <c r="G92" s="7">
        <f ca="1">-MAX(FV(Inputs!$B163/12,G$1*12+MthOff,Inputs!$B164,-Inputs!$B162),0)</f>
        <v>-1482.3872483039713</v>
      </c>
      <c r="H92" s="7">
        <f ca="1">-MAX(FV(Inputs!$B163/12,H$1*12+MthOff,Inputs!$B164,-Inputs!$B162),0)</f>
        <v>-23.372056870879533</v>
      </c>
      <c r="I92" s="7">
        <f ca="1">-MAX(FV(Inputs!$B163/12,I$1*12+MthOff,Inputs!$B164,-Inputs!$B162),0)</f>
        <v>0</v>
      </c>
      <c r="J92" s="7">
        <f ca="1">-MAX(FV(Inputs!$B163/12,J$1*12+MthOff,Inputs!$B164,-Inputs!$B162),0)</f>
        <v>0</v>
      </c>
      <c r="K92" s="7">
        <f ca="1">-MAX(FV(Inputs!$B163/12,K$1*12+MthOff,Inputs!$B164,-Inputs!$B162),0)</f>
        <v>0</v>
      </c>
      <c r="L92" s="7">
        <f ca="1">-MAX(FV(Inputs!$B163/12,L$1*12+MthOff,Inputs!$B164,-Inputs!$B162),0)</f>
        <v>0</v>
      </c>
      <c r="M92" s="7">
        <f ca="1">-MAX(FV(Inputs!$B163/12,M$1*12+MthOff,Inputs!$B164,-Inputs!$B162),0)</f>
        <v>0</v>
      </c>
      <c r="N92" s="7">
        <f ca="1">-MAX(FV(Inputs!$B163/12,N$1*12+MthOff,Inputs!$B164,-Inputs!$B162),0)</f>
        <v>0</v>
      </c>
      <c r="O92" s="7">
        <f ca="1">-MAX(FV(Inputs!$B163/12,O$1*12+MthOff,Inputs!$B164,-Inputs!$B162),0)</f>
        <v>0</v>
      </c>
      <c r="P92" s="7">
        <f ca="1">-MAX(FV(Inputs!$B163/12,P$1*12+MthOff,Inputs!$B164,-Inputs!$B162),0)</f>
        <v>0</v>
      </c>
      <c r="Q92" s="7">
        <f ca="1">-MAX(FV(Inputs!$B163/12,Q$1*12+MthOff,Inputs!$B164,-Inputs!$B162),0)</f>
        <v>0</v>
      </c>
      <c r="R92" s="7">
        <f ca="1">-MAX(FV(Inputs!$B163/12,R$1*12+MthOff,Inputs!$B164,-Inputs!$B162),0)</f>
        <v>0</v>
      </c>
      <c r="S92" s="7">
        <f ca="1">-MAX(FV(Inputs!$B163/12,S$1*12+MthOff,Inputs!$B164,-Inputs!$B162),0)</f>
        <v>0</v>
      </c>
      <c r="T92" s="7">
        <f ca="1">-MAX(FV(Inputs!$B163/12,T$1*12+MthOff,Inputs!$B164,-Inputs!$B162),0)</f>
        <v>0</v>
      </c>
      <c r="U92" s="7">
        <f ca="1">-MAX(FV(Inputs!$B163/12,U$1*12+MthOff,Inputs!$B164,-Inputs!$B162),0)</f>
        <v>0</v>
      </c>
      <c r="V92" s="7">
        <f ca="1">-MAX(FV(Inputs!$B163/12,V$1*12+MthOff,Inputs!$B164,-Inputs!$B162),0)</f>
        <v>0</v>
      </c>
      <c r="W92" s="7">
        <f ca="1">-MAX(FV(Inputs!$B163/12,W$1*12+MthOff,Inputs!$B164,-Inputs!$B162),0)</f>
        <v>0</v>
      </c>
      <c r="X92" s="7">
        <f ca="1">-MAX(FV(Inputs!$B163/12,X$1*12+MthOff,Inputs!$B164,-Inputs!$B162),0)</f>
        <v>0</v>
      </c>
      <c r="Y92" s="7">
        <f ca="1">-MAX(FV(Inputs!$B163/12,Y$1*12+MthOff,Inputs!$B164,-Inputs!$B162),0)</f>
        <v>0</v>
      </c>
      <c r="Z92" s="7">
        <f ca="1">-MAX(FV(Inputs!$B163/12,Z$1*12+MthOff,Inputs!$B164,-Inputs!$B162),0)</f>
        <v>0</v>
      </c>
      <c r="AA92" s="7">
        <f ca="1">-MAX(FV(Inputs!$B163/12,AA$1*12+MthOff,Inputs!$B164,-Inputs!$B162),0)</f>
        <v>0</v>
      </c>
      <c r="AB92" s="7">
        <f ca="1">-MAX(FV(Inputs!$B163/12,AB$1*12+MthOff,Inputs!$B164,-Inputs!$B162),0)</f>
        <v>0</v>
      </c>
      <c r="AC92" s="7">
        <f ca="1">-MAX(FV(Inputs!$B163/12,AC$1*12+MthOff,Inputs!$B164,-Inputs!$B162),0)</f>
        <v>0</v>
      </c>
      <c r="AD92" s="7">
        <f ca="1">-MAX(FV(Inputs!$B163/12,AD$1*12+MthOff,Inputs!$B164,-Inputs!$B162),0)</f>
        <v>0</v>
      </c>
      <c r="AE92" s="7">
        <f ca="1">-MAX(FV(Inputs!$B163/12,AE$1*12+MthOff,Inputs!$B164,-Inputs!$B162),0)</f>
        <v>0</v>
      </c>
      <c r="AF92" s="7">
        <f ca="1">-MAX(FV(Inputs!$B163/12,AF$1*12+MthOff,Inputs!$B164,-Inputs!$B162),0)</f>
        <v>0</v>
      </c>
      <c r="AG92" s="7">
        <f ca="1">-MAX(FV(Inputs!$B163/12,AG$1*12+MthOff,Inputs!$B164,-Inputs!$B162),0)</f>
        <v>0</v>
      </c>
      <c r="AH92" s="7">
        <f ca="1">-MAX(FV(Inputs!$B163/12,AH$1*12+MthOff,Inputs!$B164,-Inputs!$B162),0)</f>
        <v>0</v>
      </c>
      <c r="AI92" s="7">
        <f ca="1">-MAX(FV(Inputs!$B163/12,AI$1*12+MthOff,Inputs!$B164,-Inputs!$B162),0)</f>
        <v>0</v>
      </c>
      <c r="AJ92" s="7">
        <f ca="1">-MAX(FV(Inputs!$B163/12,AJ$1*12+MthOff,Inputs!$B164,-Inputs!$B162),0)</f>
        <v>0</v>
      </c>
      <c r="AK92" s="7">
        <f ca="1">-MAX(FV(Inputs!$B163/12,AK$1*12+MthOff,Inputs!$B164,-Inputs!$B162),0)</f>
        <v>0</v>
      </c>
      <c r="AL92" s="7">
        <f ca="1">-MAX(FV(Inputs!$B163/12,AL$1*12+MthOff,Inputs!$B164,-Inputs!$B162),0)</f>
        <v>0</v>
      </c>
      <c r="AM92" s="7">
        <f ca="1">-MAX(FV(Inputs!$B163/12,AM$1*12+MthOff,Inputs!$B164,-Inputs!$B162),0)</f>
        <v>0</v>
      </c>
    </row>
    <row r="93" spans="1:39" x14ac:dyDescent="0.2">
      <c r="A93" s="3" t="str">
        <f>TEXT(Inputs!$B$102,"")</f>
        <v>Boat</v>
      </c>
      <c r="C93" s="7">
        <f ca="1">-MAX(FV(Inputs!$B168/12,C$1*12+MthOff,Inputs!$B169,-Inputs!$B167),0)</f>
        <v>-36106.782888498572</v>
      </c>
      <c r="D93" s="7">
        <f ca="1">-MAX(FV(Inputs!$B168/12,D$1*12+MthOff,Inputs!$B169,-Inputs!$B167),0)</f>
        <v>-30636.379329838361</v>
      </c>
      <c r="E93" s="7">
        <f ca="1">-MAX(FV(Inputs!$B168/12,E$1*12+MthOff,Inputs!$B169,-Inputs!$B167),0)</f>
        <v>-24828.573249664209</v>
      </c>
      <c r="F93" s="7">
        <f ca="1">-MAX(FV(Inputs!$B168/12,F$1*12+MthOff,Inputs!$B169,-Inputs!$B167),0)</f>
        <v>-18662.55439873159</v>
      </c>
      <c r="G93" s="7">
        <f ca="1">-MAX(FV(Inputs!$B168/12,G$1*12+MthOff,Inputs!$B169,-Inputs!$B167),0)</f>
        <v>-12116.228997158192</v>
      </c>
      <c r="H93" s="7">
        <f ca="1">-MAX(FV(Inputs!$B168/12,H$1*12+MthOff,Inputs!$B169,-Inputs!$B167),0)</f>
        <v>-5166.1405690627944</v>
      </c>
      <c r="I93" s="7">
        <f ca="1">-MAX(FV(Inputs!$B168/12,I$1*12+MthOff,Inputs!$B169,-Inputs!$B167),0)</f>
        <v>0</v>
      </c>
      <c r="J93" s="7">
        <f ca="1">-MAX(FV(Inputs!$B168/12,J$1*12+MthOff,Inputs!$B169,-Inputs!$B167),0)</f>
        <v>0</v>
      </c>
      <c r="K93" s="7">
        <f ca="1">-MAX(FV(Inputs!$B168/12,K$1*12+MthOff,Inputs!$B169,-Inputs!$B167),0)</f>
        <v>0</v>
      </c>
      <c r="L93" s="7">
        <f ca="1">-MAX(FV(Inputs!$B168/12,L$1*12+MthOff,Inputs!$B169,-Inputs!$B167),0)</f>
        <v>0</v>
      </c>
      <c r="M93" s="7">
        <f ca="1">-MAX(FV(Inputs!$B168/12,M$1*12+MthOff,Inputs!$B169,-Inputs!$B167),0)</f>
        <v>0</v>
      </c>
      <c r="N93" s="7">
        <f ca="1">-MAX(FV(Inputs!$B168/12,N$1*12+MthOff,Inputs!$B169,-Inputs!$B167),0)</f>
        <v>0</v>
      </c>
      <c r="O93" s="7">
        <f ca="1">-MAX(FV(Inputs!$B168/12,O$1*12+MthOff,Inputs!$B169,-Inputs!$B167),0)</f>
        <v>0</v>
      </c>
      <c r="P93" s="7">
        <f ca="1">-MAX(FV(Inputs!$B168/12,P$1*12+MthOff,Inputs!$B169,-Inputs!$B167),0)</f>
        <v>0</v>
      </c>
      <c r="Q93" s="7">
        <f ca="1">-MAX(FV(Inputs!$B168/12,Q$1*12+MthOff,Inputs!$B169,-Inputs!$B167),0)</f>
        <v>0</v>
      </c>
      <c r="R93" s="7">
        <f ca="1">-MAX(FV(Inputs!$B168/12,R$1*12+MthOff,Inputs!$B169,-Inputs!$B167),0)</f>
        <v>0</v>
      </c>
      <c r="S93" s="7">
        <f ca="1">-MAX(FV(Inputs!$B168/12,S$1*12+MthOff,Inputs!$B169,-Inputs!$B167),0)</f>
        <v>0</v>
      </c>
      <c r="T93" s="7">
        <f ca="1">-MAX(FV(Inputs!$B168/12,T$1*12+MthOff,Inputs!$B169,-Inputs!$B167),0)</f>
        <v>0</v>
      </c>
      <c r="U93" s="7">
        <f ca="1">-MAX(FV(Inputs!$B168/12,U$1*12+MthOff,Inputs!$B169,-Inputs!$B167),0)</f>
        <v>0</v>
      </c>
      <c r="V93" s="7">
        <f ca="1">-MAX(FV(Inputs!$B168/12,V$1*12+MthOff,Inputs!$B169,-Inputs!$B167),0)</f>
        <v>0</v>
      </c>
      <c r="W93" s="7">
        <f ca="1">-MAX(FV(Inputs!$B168/12,W$1*12+MthOff,Inputs!$B169,-Inputs!$B167),0)</f>
        <v>0</v>
      </c>
      <c r="X93" s="7">
        <f ca="1">-MAX(FV(Inputs!$B168/12,X$1*12+MthOff,Inputs!$B169,-Inputs!$B167),0)</f>
        <v>0</v>
      </c>
      <c r="Y93" s="7">
        <f ca="1">-MAX(FV(Inputs!$B168/12,Y$1*12+MthOff,Inputs!$B169,-Inputs!$B167),0)</f>
        <v>0</v>
      </c>
      <c r="Z93" s="7">
        <f ca="1">-MAX(FV(Inputs!$B168/12,Z$1*12+MthOff,Inputs!$B169,-Inputs!$B167),0)</f>
        <v>0</v>
      </c>
      <c r="AA93" s="7">
        <f ca="1">-MAX(FV(Inputs!$B168/12,AA$1*12+MthOff,Inputs!$B169,-Inputs!$B167),0)</f>
        <v>0</v>
      </c>
      <c r="AB93" s="7">
        <f ca="1">-MAX(FV(Inputs!$B168/12,AB$1*12+MthOff,Inputs!$B169,-Inputs!$B167),0)</f>
        <v>0</v>
      </c>
      <c r="AC93" s="7">
        <f ca="1">-MAX(FV(Inputs!$B168/12,AC$1*12+MthOff,Inputs!$B169,-Inputs!$B167),0)</f>
        <v>0</v>
      </c>
      <c r="AD93" s="7">
        <f ca="1">-MAX(FV(Inputs!$B168/12,AD$1*12+MthOff,Inputs!$B169,-Inputs!$B167),0)</f>
        <v>0</v>
      </c>
      <c r="AE93" s="7">
        <f ca="1">-MAX(FV(Inputs!$B168/12,AE$1*12+MthOff,Inputs!$B169,-Inputs!$B167),0)</f>
        <v>0</v>
      </c>
      <c r="AF93" s="7">
        <f ca="1">-MAX(FV(Inputs!$B168/12,AF$1*12+MthOff,Inputs!$B169,-Inputs!$B167),0)</f>
        <v>0</v>
      </c>
      <c r="AG93" s="7">
        <f ca="1">-MAX(FV(Inputs!$B168/12,AG$1*12+MthOff,Inputs!$B169,-Inputs!$B167),0)</f>
        <v>0</v>
      </c>
      <c r="AH93" s="7">
        <f ca="1">-MAX(FV(Inputs!$B168/12,AH$1*12+MthOff,Inputs!$B169,-Inputs!$B167),0)</f>
        <v>0</v>
      </c>
      <c r="AI93" s="7">
        <f ca="1">-MAX(FV(Inputs!$B168/12,AI$1*12+MthOff,Inputs!$B169,-Inputs!$B167),0)</f>
        <v>0</v>
      </c>
      <c r="AJ93" s="7">
        <f ca="1">-MAX(FV(Inputs!$B168/12,AJ$1*12+MthOff,Inputs!$B169,-Inputs!$B167),0)</f>
        <v>0</v>
      </c>
      <c r="AK93" s="7">
        <f ca="1">-MAX(FV(Inputs!$B168/12,AK$1*12+MthOff,Inputs!$B169,-Inputs!$B167),0)</f>
        <v>0</v>
      </c>
      <c r="AL93" s="7">
        <f ca="1">-MAX(FV(Inputs!$B168/12,AL$1*12+MthOff,Inputs!$B169,-Inputs!$B167),0)</f>
        <v>0</v>
      </c>
      <c r="AM93" s="7">
        <f ca="1">-MAX(FV(Inputs!$B168/12,AM$1*12+MthOff,Inputs!$B169,-Inputs!$B167),0)</f>
        <v>0</v>
      </c>
    </row>
    <row r="94" spans="1:39" x14ac:dyDescent="0.2">
      <c r="A94" s="3" t="str">
        <f>TEXT(Inputs!$B$107,"")</f>
        <v>Antiques</v>
      </c>
      <c r="C94" s="7">
        <f ca="1">-MAX(FV(Inputs!$B173/12,C$1*12+MthOff,Inputs!$B174,-Inputs!$B172),0)</f>
        <v>-2886.4020391451668</v>
      </c>
      <c r="D94" s="7">
        <f ca="1">-MAX(FV(Inputs!$B173/12,D$1*12+MthOff,Inputs!$B174,-Inputs!$B172),0)</f>
        <v>-1635.892615008569</v>
      </c>
      <c r="E94" s="7">
        <f ca="1">-MAX(FV(Inputs!$B173/12,E$1*12+MthOff,Inputs!$B174,-Inputs!$B172),0)</f>
        <v>-347.34775010749127</v>
      </c>
      <c r="F94" s="7">
        <f ca="1">-MAX(FV(Inputs!$B173/12,F$1*12+MthOff,Inputs!$B174,-Inputs!$B172),0)</f>
        <v>0</v>
      </c>
      <c r="G94" s="7">
        <f ca="1">-MAX(FV(Inputs!$B173/12,G$1*12+MthOff,Inputs!$B174,-Inputs!$B172),0)</f>
        <v>0</v>
      </c>
      <c r="H94" s="7">
        <f ca="1">-MAX(FV(Inputs!$B173/12,H$1*12+MthOff,Inputs!$B174,-Inputs!$B172),0)</f>
        <v>0</v>
      </c>
      <c r="I94" s="7">
        <f ca="1">-MAX(FV(Inputs!$B173/12,I$1*12+MthOff,Inputs!$B174,-Inputs!$B172),0)</f>
        <v>0</v>
      </c>
      <c r="J94" s="7">
        <f ca="1">-MAX(FV(Inputs!$B173/12,J$1*12+MthOff,Inputs!$B174,-Inputs!$B172),0)</f>
        <v>0</v>
      </c>
      <c r="K94" s="7">
        <f ca="1">-MAX(FV(Inputs!$B173/12,K$1*12+MthOff,Inputs!$B174,-Inputs!$B172),0)</f>
        <v>0</v>
      </c>
      <c r="L94" s="7">
        <f ca="1">-MAX(FV(Inputs!$B173/12,L$1*12+MthOff,Inputs!$B174,-Inputs!$B172),0)</f>
        <v>0</v>
      </c>
      <c r="M94" s="7">
        <f ca="1">-MAX(FV(Inputs!$B173/12,M$1*12+MthOff,Inputs!$B174,-Inputs!$B172),0)</f>
        <v>0</v>
      </c>
      <c r="N94" s="7">
        <f ca="1">-MAX(FV(Inputs!$B173/12,N$1*12+MthOff,Inputs!$B174,-Inputs!$B172),0)</f>
        <v>0</v>
      </c>
      <c r="O94" s="7">
        <f ca="1">-MAX(FV(Inputs!$B173/12,O$1*12+MthOff,Inputs!$B174,-Inputs!$B172),0)</f>
        <v>0</v>
      </c>
      <c r="P94" s="7">
        <f ca="1">-MAX(FV(Inputs!$B173/12,P$1*12+MthOff,Inputs!$B174,-Inputs!$B172),0)</f>
        <v>0</v>
      </c>
      <c r="Q94" s="7">
        <f ca="1">-MAX(FV(Inputs!$B173/12,Q$1*12+MthOff,Inputs!$B174,-Inputs!$B172),0)</f>
        <v>0</v>
      </c>
      <c r="R94" s="7">
        <f ca="1">-MAX(FV(Inputs!$B173/12,R$1*12+MthOff,Inputs!$B174,-Inputs!$B172),0)</f>
        <v>0</v>
      </c>
      <c r="S94" s="7">
        <f ca="1">-MAX(FV(Inputs!$B173/12,S$1*12+MthOff,Inputs!$B174,-Inputs!$B172),0)</f>
        <v>0</v>
      </c>
      <c r="T94" s="7">
        <f ca="1">-MAX(FV(Inputs!$B173/12,T$1*12+MthOff,Inputs!$B174,-Inputs!$B172),0)</f>
        <v>0</v>
      </c>
      <c r="U94" s="7">
        <f ca="1">-MAX(FV(Inputs!$B173/12,U$1*12+MthOff,Inputs!$B174,-Inputs!$B172),0)</f>
        <v>0</v>
      </c>
      <c r="V94" s="7">
        <f ca="1">-MAX(FV(Inputs!$B173/12,V$1*12+MthOff,Inputs!$B174,-Inputs!$B172),0)</f>
        <v>0</v>
      </c>
      <c r="W94" s="7">
        <f ca="1">-MAX(FV(Inputs!$B173/12,W$1*12+MthOff,Inputs!$B174,-Inputs!$B172),0)</f>
        <v>0</v>
      </c>
      <c r="X94" s="7">
        <f ca="1">-MAX(FV(Inputs!$B173/12,X$1*12+MthOff,Inputs!$B174,-Inputs!$B172),0)</f>
        <v>0</v>
      </c>
      <c r="Y94" s="7">
        <f ca="1">-MAX(FV(Inputs!$B173/12,Y$1*12+MthOff,Inputs!$B174,-Inputs!$B172),0)</f>
        <v>0</v>
      </c>
      <c r="Z94" s="7">
        <f ca="1">-MAX(FV(Inputs!$B173/12,Z$1*12+MthOff,Inputs!$B174,-Inputs!$B172),0)</f>
        <v>0</v>
      </c>
      <c r="AA94" s="7">
        <f ca="1">-MAX(FV(Inputs!$B173/12,AA$1*12+MthOff,Inputs!$B174,-Inputs!$B172),0)</f>
        <v>0</v>
      </c>
      <c r="AB94" s="7">
        <f ca="1">-MAX(FV(Inputs!$B173/12,AB$1*12+MthOff,Inputs!$B174,-Inputs!$B172),0)</f>
        <v>0</v>
      </c>
      <c r="AC94" s="7">
        <f ca="1">-MAX(FV(Inputs!$B173/12,AC$1*12+MthOff,Inputs!$B174,-Inputs!$B172),0)</f>
        <v>0</v>
      </c>
      <c r="AD94" s="7">
        <f ca="1">-MAX(FV(Inputs!$B173/12,AD$1*12+MthOff,Inputs!$B174,-Inputs!$B172),0)</f>
        <v>0</v>
      </c>
      <c r="AE94" s="7">
        <f ca="1">-MAX(FV(Inputs!$B173/12,AE$1*12+MthOff,Inputs!$B174,-Inputs!$B172),0)</f>
        <v>0</v>
      </c>
      <c r="AF94" s="7">
        <f ca="1">-MAX(FV(Inputs!$B173/12,AF$1*12+MthOff,Inputs!$B174,-Inputs!$B172),0)</f>
        <v>0</v>
      </c>
      <c r="AG94" s="7">
        <f ca="1">-MAX(FV(Inputs!$B173/12,AG$1*12+MthOff,Inputs!$B174,-Inputs!$B172),0)</f>
        <v>0</v>
      </c>
      <c r="AH94" s="7">
        <f ca="1">-MAX(FV(Inputs!$B173/12,AH$1*12+MthOff,Inputs!$B174,-Inputs!$B172),0)</f>
        <v>0</v>
      </c>
      <c r="AI94" s="7">
        <f ca="1">-MAX(FV(Inputs!$B173/12,AI$1*12+MthOff,Inputs!$B174,-Inputs!$B172),0)</f>
        <v>0</v>
      </c>
      <c r="AJ94" s="7">
        <f ca="1">-MAX(FV(Inputs!$B173/12,AJ$1*12+MthOff,Inputs!$B174,-Inputs!$B172),0)</f>
        <v>0</v>
      </c>
      <c r="AK94" s="7">
        <f ca="1">-MAX(FV(Inputs!$B173/12,AK$1*12+MthOff,Inputs!$B174,-Inputs!$B172),0)</f>
        <v>0</v>
      </c>
      <c r="AL94" s="7">
        <f ca="1">-MAX(FV(Inputs!$B173/12,AL$1*12+MthOff,Inputs!$B174,-Inputs!$B172),0)</f>
        <v>0</v>
      </c>
      <c r="AM94" s="7">
        <f ca="1">-MAX(FV(Inputs!$B173/12,AM$1*12+MthOff,Inputs!$B174,-Inputs!$B172),0)</f>
        <v>0</v>
      </c>
    </row>
    <row r="95" spans="1:39" x14ac:dyDescent="0.2">
      <c r="A95" s="4" t="s">
        <v>33</v>
      </c>
      <c r="C95" s="7">
        <f ca="1">-MAX(FV(Inputs!$B178/12,C$1*12+MthOff,Inputs!$B179,-Inputs!$B177),0)</f>
        <v>-3724.5365251296162</v>
      </c>
      <c r="D95" s="7">
        <f ca="1">-MAX(FV(Inputs!$B178/12,D$1*12+MthOff,Inputs!$B179,-Inputs!$B177),0)</f>
        <v>-3337.4796695640352</v>
      </c>
      <c r="E95" s="7">
        <f ca="1">-MAX(FV(Inputs!$B178/12,E$1*12+MthOff,Inputs!$B179,-Inputs!$B177),0)</f>
        <v>-2926.5499940800146</v>
      </c>
      <c r="F95" s="7">
        <f ca="1">-MAX(FV(Inputs!$B178/12,F$1*12+MthOff,Inputs!$B179,-Inputs!$B177),0)</f>
        <v>-2490.2750753819519</v>
      </c>
      <c r="G95" s="7">
        <f ca="1">-MAX(FV(Inputs!$B178/12,G$1*12+MthOff,Inputs!$B179,-Inputs!$B177),0)</f>
        <v>-2027.0916743272305</v>
      </c>
      <c r="H95" s="7">
        <f ca="1">-MAX(FV(Inputs!$B178/12,H$1*12+MthOff,Inputs!$B179,-Inputs!$B177),0)</f>
        <v>-1535.3401346034998</v>
      </c>
      <c r="I95" s="7">
        <f ca="1">-MAX(FV(Inputs!$B178/12,I$1*12+MthOff,Inputs!$B179,-Inputs!$B177),0)</f>
        <v>-1013.2584359286093</v>
      </c>
      <c r="J95" s="7">
        <f ca="1">-MAX(FV(Inputs!$B178/12,J$1*12+MthOff,Inputs!$B179,-Inputs!$B177),0)</f>
        <v>-458.97588046495366</v>
      </c>
      <c r="K95" s="7">
        <f ca="1">-MAX(FV(Inputs!$B178/12,K$1*12+MthOff,Inputs!$B179,-Inputs!$B177),0)</f>
        <v>0</v>
      </c>
      <c r="L95" s="7">
        <f ca="1">-MAX(FV(Inputs!$B178/12,L$1*12+MthOff,Inputs!$B179,-Inputs!$B177),0)</f>
        <v>0</v>
      </c>
      <c r="M95" s="7">
        <f ca="1">-MAX(FV(Inputs!$B178/12,M$1*12+MthOff,Inputs!$B179,-Inputs!$B177),0)</f>
        <v>0</v>
      </c>
      <c r="N95" s="7">
        <f ca="1">-MAX(FV(Inputs!$B178/12,N$1*12+MthOff,Inputs!$B179,-Inputs!$B177),0)</f>
        <v>0</v>
      </c>
      <c r="O95" s="7">
        <f ca="1">-MAX(FV(Inputs!$B178/12,O$1*12+MthOff,Inputs!$B179,-Inputs!$B177),0)</f>
        <v>0</v>
      </c>
      <c r="P95" s="7">
        <f ca="1">-MAX(FV(Inputs!$B178/12,P$1*12+MthOff,Inputs!$B179,-Inputs!$B177),0)</f>
        <v>0</v>
      </c>
      <c r="Q95" s="7">
        <f ca="1">-MAX(FV(Inputs!$B178/12,Q$1*12+MthOff,Inputs!$B179,-Inputs!$B177),0)</f>
        <v>0</v>
      </c>
      <c r="R95" s="7">
        <f ca="1">-MAX(FV(Inputs!$B178/12,R$1*12+MthOff,Inputs!$B179,-Inputs!$B177),0)</f>
        <v>0</v>
      </c>
      <c r="S95" s="7">
        <f ca="1">-MAX(FV(Inputs!$B178/12,S$1*12+MthOff,Inputs!$B179,-Inputs!$B177),0)</f>
        <v>0</v>
      </c>
      <c r="T95" s="7">
        <f ca="1">-MAX(FV(Inputs!$B178/12,T$1*12+MthOff,Inputs!$B179,-Inputs!$B177),0)</f>
        <v>0</v>
      </c>
      <c r="U95" s="7">
        <f ca="1">-MAX(FV(Inputs!$B178/12,U$1*12+MthOff,Inputs!$B179,-Inputs!$B177),0)</f>
        <v>0</v>
      </c>
      <c r="V95" s="7">
        <f ca="1">-MAX(FV(Inputs!$B178/12,V$1*12+MthOff,Inputs!$B179,-Inputs!$B177),0)</f>
        <v>0</v>
      </c>
      <c r="W95" s="7">
        <f ca="1">-MAX(FV(Inputs!$B178/12,W$1*12+MthOff,Inputs!$B179,-Inputs!$B177),0)</f>
        <v>0</v>
      </c>
      <c r="X95" s="7">
        <f ca="1">-MAX(FV(Inputs!$B178/12,X$1*12+MthOff,Inputs!$B179,-Inputs!$B177),0)</f>
        <v>0</v>
      </c>
      <c r="Y95" s="7">
        <f ca="1">-MAX(FV(Inputs!$B178/12,Y$1*12+MthOff,Inputs!$B179,-Inputs!$B177),0)</f>
        <v>0</v>
      </c>
      <c r="Z95" s="7">
        <f ca="1">-MAX(FV(Inputs!$B178/12,Z$1*12+MthOff,Inputs!$B179,-Inputs!$B177),0)</f>
        <v>0</v>
      </c>
      <c r="AA95" s="7">
        <f ca="1">-MAX(FV(Inputs!$B178/12,AA$1*12+MthOff,Inputs!$B179,-Inputs!$B177),0)</f>
        <v>0</v>
      </c>
      <c r="AB95" s="7">
        <f ca="1">-MAX(FV(Inputs!$B178/12,AB$1*12+MthOff,Inputs!$B179,-Inputs!$B177),0)</f>
        <v>0</v>
      </c>
      <c r="AC95" s="7">
        <f ca="1">-MAX(FV(Inputs!$B178/12,AC$1*12+MthOff,Inputs!$B179,-Inputs!$B177),0)</f>
        <v>0</v>
      </c>
      <c r="AD95" s="7">
        <f ca="1">-MAX(FV(Inputs!$B178/12,AD$1*12+MthOff,Inputs!$B179,-Inputs!$B177),0)</f>
        <v>0</v>
      </c>
      <c r="AE95" s="7">
        <f ca="1">-MAX(FV(Inputs!$B178/12,AE$1*12+MthOff,Inputs!$B179,-Inputs!$B177),0)</f>
        <v>0</v>
      </c>
      <c r="AF95" s="7">
        <f ca="1">-MAX(FV(Inputs!$B178/12,AF$1*12+MthOff,Inputs!$B179,-Inputs!$B177),0)</f>
        <v>0</v>
      </c>
      <c r="AG95" s="7">
        <f ca="1">-MAX(FV(Inputs!$B178/12,AG$1*12+MthOff,Inputs!$B179,-Inputs!$B177),0)</f>
        <v>0</v>
      </c>
      <c r="AH95" s="7">
        <f ca="1">-MAX(FV(Inputs!$B178/12,AH$1*12+MthOff,Inputs!$B179,-Inputs!$B177),0)</f>
        <v>0</v>
      </c>
      <c r="AI95" s="7">
        <f ca="1">-MAX(FV(Inputs!$B178/12,AI$1*12+MthOff,Inputs!$B179,-Inputs!$B177),0)</f>
        <v>0</v>
      </c>
      <c r="AJ95" s="7">
        <f ca="1">-MAX(FV(Inputs!$B178/12,AJ$1*12+MthOff,Inputs!$B179,-Inputs!$B177),0)</f>
        <v>0</v>
      </c>
      <c r="AK95" s="7">
        <f ca="1">-MAX(FV(Inputs!$B178/12,AK$1*12+MthOff,Inputs!$B179,-Inputs!$B177),0)</f>
        <v>0</v>
      </c>
      <c r="AL95" s="7">
        <f ca="1">-MAX(FV(Inputs!$B178/12,AL$1*12+MthOff,Inputs!$B179,-Inputs!$B177),0)</f>
        <v>0</v>
      </c>
      <c r="AM95" s="7">
        <f ca="1">-MAX(FV(Inputs!$B178/12,AM$1*12+MthOff,Inputs!$B179,-Inputs!$B177),0)</f>
        <v>0</v>
      </c>
    </row>
    <row r="96" spans="1:39" x14ac:dyDescent="0.2">
      <c r="A96" s="4"/>
      <c r="C96" s="9">
        <f t="shared" ref="C96:AM96" ca="1" si="49">SUM(C67:C95)</f>
        <v>1680400.325439143</v>
      </c>
      <c r="D96" s="9">
        <f t="shared" ca="1" si="49"/>
        <v>1747961.4855591119</v>
      </c>
      <c r="E96" s="9">
        <f t="shared" ca="1" si="49"/>
        <v>1834109.2861859414</v>
      </c>
      <c r="F96" s="9">
        <f t="shared" ca="1" si="49"/>
        <v>1900859.5801157367</v>
      </c>
      <c r="G96" s="9">
        <f t="shared" ca="1" si="49"/>
        <v>1915703.0016828571</v>
      </c>
      <c r="H96" s="9">
        <f t="shared" ca="1" si="49"/>
        <v>2018641.5527046167</v>
      </c>
      <c r="I96" s="9">
        <f t="shared" ca="1" si="49"/>
        <v>2125722.2480282397</v>
      </c>
      <c r="J96" s="9">
        <f t="shared" ca="1" si="49"/>
        <v>2243536.3984099082</v>
      </c>
      <c r="K96" s="9">
        <f t="shared" ca="1" si="49"/>
        <v>2349154.2220906215</v>
      </c>
      <c r="L96" s="9">
        <f t="shared" ca="1" si="49"/>
        <v>2542568.8210759074</v>
      </c>
      <c r="M96" s="9">
        <f t="shared" ca="1" si="49"/>
        <v>2644877.902821287</v>
      </c>
      <c r="N96" s="9">
        <f t="shared" ca="1" si="49"/>
        <v>2795947.1735664173</v>
      </c>
      <c r="O96" s="9">
        <f t="shared" ca="1" si="49"/>
        <v>2959232.1440829551</v>
      </c>
      <c r="P96" s="9">
        <f t="shared" ca="1" si="49"/>
        <v>3130458.2153807851</v>
      </c>
      <c r="Q96" s="9">
        <f t="shared" ca="1" si="49"/>
        <v>3309911.8905340084</v>
      </c>
      <c r="R96" s="9">
        <f t="shared" ca="1" si="49"/>
        <v>3500132.0156832649</v>
      </c>
      <c r="S96" s="9">
        <f t="shared" ca="1" si="49"/>
        <v>3699430.9356326726</v>
      </c>
      <c r="T96" s="9">
        <f t="shared" ca="1" si="49"/>
        <v>3798922.392725619</v>
      </c>
      <c r="U96" s="9">
        <f t="shared" ca="1" si="49"/>
        <v>3909960.5150928115</v>
      </c>
      <c r="V96" s="9">
        <f t="shared" ca="1" si="49"/>
        <v>4009864.8846653295</v>
      </c>
      <c r="W96" s="9">
        <f t="shared" ca="1" si="49"/>
        <v>4129311.5744270044</v>
      </c>
      <c r="X96" s="9">
        <f t="shared" ca="1" si="49"/>
        <v>4253317.8124754196</v>
      </c>
      <c r="Y96" s="9">
        <f t="shared" ca="1" si="49"/>
        <v>4359708.7841870077</v>
      </c>
      <c r="Z96" s="9">
        <f t="shared" ca="1" si="49"/>
        <v>4469705.6778883049</v>
      </c>
      <c r="AA96" s="9">
        <f t="shared" ca="1" si="49"/>
        <v>4558725.209995239</v>
      </c>
      <c r="AB96" s="9">
        <f t="shared" ca="1" si="49"/>
        <v>4673147.5974380272</v>
      </c>
      <c r="AC96" s="9">
        <f t="shared" ca="1" si="49"/>
        <v>4791232.4685061928</v>
      </c>
      <c r="AD96" s="9">
        <f t="shared" ca="1" si="49"/>
        <v>4913088.5505327629</v>
      </c>
      <c r="AE96" s="9">
        <f t="shared" ca="1" si="49"/>
        <v>5048936.3489043377</v>
      </c>
      <c r="AF96" s="9">
        <f t="shared" ca="1" si="49"/>
        <v>5189291.8756136885</v>
      </c>
      <c r="AG96" s="9">
        <f t="shared" ca="1" si="49"/>
        <v>5334296.7835474089</v>
      </c>
      <c r="AH96" s="9">
        <f t="shared" ca="1" si="49"/>
        <v>5485726.0678639691</v>
      </c>
      <c r="AI96" s="9">
        <f t="shared" ca="1" si="49"/>
        <v>5642326.7692680834</v>
      </c>
      <c r="AJ96" s="9">
        <f t="shared" ca="1" si="49"/>
        <v>5804280.702188151</v>
      </c>
      <c r="AK96" s="9">
        <f t="shared" ca="1" si="49"/>
        <v>5971777.9276523963</v>
      </c>
      <c r="AL96" s="9">
        <f t="shared" ca="1" si="49"/>
        <v>6145017.1389031913</v>
      </c>
      <c r="AM96" s="9">
        <f t="shared" ca="1" si="49"/>
        <v>6324206.0716146193</v>
      </c>
    </row>
    <row r="97" spans="1:44" x14ac:dyDescent="0.2">
      <c r="A97" s="4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</row>
    <row r="98" spans="1:44" x14ac:dyDescent="0.2">
      <c r="A98" s="30" t="s">
        <v>70</v>
      </c>
      <c r="C98" s="7">
        <f t="shared" ref="C98:AM98" ca="1" si="50">C68-buffer</f>
        <v>16108.4375</v>
      </c>
      <c r="D98" s="7">
        <f t="shared" ca="1" si="50"/>
        <v>30012.145312499997</v>
      </c>
      <c r="E98" s="7">
        <f t="shared" ca="1" si="50"/>
        <v>50169.6494140625</v>
      </c>
      <c r="F98" s="7">
        <f t="shared" ca="1" si="50"/>
        <v>52227.783801841113</v>
      </c>
      <c r="G98" s="7">
        <f t="shared" ca="1" si="50"/>
        <v>250455.15989583102</v>
      </c>
      <c r="H98" s="7">
        <f t="shared" ca="1" si="50"/>
        <v>296986.84009098983</v>
      </c>
      <c r="I98" s="7">
        <f t="shared" ca="1" si="50"/>
        <v>363754.64435619779</v>
      </c>
      <c r="J98" s="7">
        <f t="shared" ca="1" si="50"/>
        <v>435067.93012454931</v>
      </c>
      <c r="K98" s="7">
        <f t="shared" ca="1" si="50"/>
        <v>493116.96835998015</v>
      </c>
      <c r="L98" s="7">
        <f t="shared" ca="1" si="50"/>
        <v>638212.2751736166</v>
      </c>
      <c r="M98" s="7">
        <f t="shared" ca="1" si="50"/>
        <v>695163.71186735749</v>
      </c>
      <c r="N98" s="7">
        <f t="shared" ca="1" si="50"/>
        <v>805771.16934020713</v>
      </c>
      <c r="O98" s="7">
        <f t="shared" ca="1" si="50"/>
        <v>922222.00124800857</v>
      </c>
      <c r="P98" s="7">
        <f t="shared" ca="1" si="50"/>
        <v>1044762.6085180258</v>
      </c>
      <c r="Q98" s="7">
        <f t="shared" ca="1" si="50"/>
        <v>1173648.7608708572</v>
      </c>
      <c r="R98" s="7">
        <f t="shared" ca="1" si="50"/>
        <v>1309145.9322852024</v>
      </c>
      <c r="S98" s="7">
        <f t="shared" ca="1" si="50"/>
        <v>1451529.6480111426</v>
      </c>
      <c r="T98" s="7">
        <f t="shared" ca="1" si="50"/>
        <v>1491855.4011356728</v>
      </c>
      <c r="U98" s="7">
        <f t="shared" ca="1" si="50"/>
        <v>1541415.1978627439</v>
      </c>
      <c r="V98" s="7">
        <f t="shared" ca="1" si="50"/>
        <v>1592757.5777099284</v>
      </c>
      <c r="W98" s="7">
        <f t="shared" ca="1" si="50"/>
        <v>1645948.7425475621</v>
      </c>
      <c r="X98" s="7">
        <f t="shared" ca="1" si="50"/>
        <v>1701057.3316526653</v>
      </c>
      <c r="Y98" s="7">
        <f t="shared" ca="1" si="50"/>
        <v>1737237.4169653396</v>
      </c>
      <c r="Z98" s="7">
        <f t="shared" ca="1" si="50"/>
        <v>1774434.0167242812</v>
      </c>
      <c r="AA98" s="7">
        <f t="shared" ca="1" si="50"/>
        <v>1812684.4017288706</v>
      </c>
      <c r="AB98" s="7">
        <f t="shared" ca="1" si="50"/>
        <v>1852027.3427258399</v>
      </c>
      <c r="AC98" s="7">
        <f t="shared" ca="1" si="50"/>
        <v>1892503.1702642585</v>
      </c>
      <c r="AD98" s="7">
        <f t="shared" ca="1" si="50"/>
        <v>1934153.8368503558</v>
      </c>
      <c r="AE98" s="7">
        <f t="shared" ca="1" si="50"/>
        <v>1987130.2375195618</v>
      </c>
      <c r="AF98" s="7">
        <f t="shared" ca="1" si="50"/>
        <v>2041875.8715530399</v>
      </c>
      <c r="AG98" s="7">
        <f t="shared" ca="1" si="50"/>
        <v>2098456.905652951</v>
      </c>
      <c r="AH98" s="7">
        <f t="shared" ca="1" si="50"/>
        <v>2156942.0335442415</v>
      </c>
      <c r="AI98" s="7">
        <f t="shared" ca="1" si="50"/>
        <v>2217402.5707053514</v>
      </c>
      <c r="AJ98" s="7">
        <f t="shared" ca="1" si="50"/>
        <v>2279912.5525480784</v>
      </c>
      <c r="AK98" s="7">
        <f t="shared" ca="1" si="50"/>
        <v>2344548.8361686133</v>
      </c>
      <c r="AL98" s="7">
        <f t="shared" ca="1" si="50"/>
        <v>2411391.2057959661</v>
      </c>
      <c r="AM98" s="7">
        <f t="shared" ca="1" si="50"/>
        <v>2480522.4820683482</v>
      </c>
    </row>
    <row r="99" spans="1:44" x14ac:dyDescent="0.2">
      <c r="A99" s="2" t="s">
        <v>19</v>
      </c>
      <c r="C99" s="7">
        <f ca="1">IF(C98&lt;0,-C98,0)</f>
        <v>0</v>
      </c>
      <c r="D99" s="7">
        <f ca="1">IF(D98+SUM($C99:C99)&lt;0,-(D98+SUM($C99:C99)),0)</f>
        <v>0</v>
      </c>
      <c r="E99" s="7">
        <f ca="1">IF(E98+SUM($C99:D99)&lt;0,-(E98+SUM($C99:D99)),0)</f>
        <v>0</v>
      </c>
      <c r="F99" s="7">
        <f ca="1">IF(F98+SUM($C99:E99)&lt;0,-(F98+SUM($C99:E99)),0)</f>
        <v>0</v>
      </c>
      <c r="G99" s="7">
        <f ca="1">IF(G98+SUM($C99:F99)&lt;0,-(G98+SUM($C99:F99)),0)</f>
        <v>0</v>
      </c>
      <c r="H99" s="7">
        <f ca="1">IF(H98+SUM($C99:G99)&lt;0,-(H98+SUM($C99:G99)),0)</f>
        <v>0</v>
      </c>
      <c r="I99" s="7">
        <f ca="1">IF(I98+SUM($C99:H99)&lt;0,-(I98+SUM($C99:H99)),0)</f>
        <v>0</v>
      </c>
      <c r="J99" s="7">
        <f ca="1">IF(J98+SUM($C99:I99)&lt;0,-(J98+SUM($C99:I99)),0)</f>
        <v>0</v>
      </c>
      <c r="K99" s="7">
        <f ca="1">IF(K98+SUM($C99:J99)&lt;0,-(K98+SUM($C99:J99)),0)</f>
        <v>0</v>
      </c>
      <c r="L99" s="7">
        <f ca="1">IF(L98+SUM($C99:K99)&lt;0,-(L98+SUM($C99:K99)),0)</f>
        <v>0</v>
      </c>
      <c r="M99" s="7">
        <f ca="1">IF(M98+SUM($C99:L99)&lt;0,-(M98+SUM($C99:L99)),0)</f>
        <v>0</v>
      </c>
      <c r="N99" s="7">
        <f ca="1">IF(N98+SUM($C99:M99)&lt;0,-(N98+SUM($C99:M99)),0)</f>
        <v>0</v>
      </c>
      <c r="O99" s="7">
        <f ca="1">IF(O98+SUM($C99:N99)&lt;0,-(O98+SUM($C99:N99)),0)</f>
        <v>0</v>
      </c>
      <c r="P99" s="7">
        <f ca="1">IF(P98+SUM($C99:O99)&lt;0,-(P98+SUM($C99:O99)),0)</f>
        <v>0</v>
      </c>
      <c r="Q99" s="7">
        <f ca="1">IF(Q98+SUM($C99:P99)&lt;0,-(Q98+SUM($C99:P99)),0)</f>
        <v>0</v>
      </c>
      <c r="R99" s="7">
        <f ca="1">IF(R98+SUM($C99:Q99)&lt;0,-(R98+SUM($C99:Q99)),0)</f>
        <v>0</v>
      </c>
      <c r="S99" s="7">
        <f ca="1">IF(S98+SUM($C99:R99)&lt;0,-(S98+SUM($C99:R99)),0)</f>
        <v>0</v>
      </c>
      <c r="T99" s="7">
        <f ca="1">IF(T98+SUM($C99:S99)&lt;0,-(T98+SUM($C99:S99)),0)</f>
        <v>0</v>
      </c>
      <c r="U99" s="7">
        <f ca="1">IF(U98+SUM($C99:T99)&lt;0,-(U98+SUM($C99:T99)),0)</f>
        <v>0</v>
      </c>
      <c r="V99" s="7">
        <f ca="1">IF(V98+SUM($C99:U99)&lt;0,-(V98+SUM($C99:U99)),0)</f>
        <v>0</v>
      </c>
      <c r="W99" s="7">
        <f ca="1">IF(W98+SUM($C99:V99)&lt;0,-(W98+SUM($C99:V99)),0)</f>
        <v>0</v>
      </c>
      <c r="X99" s="7">
        <f ca="1">IF(X98+SUM($C99:W99)&lt;0,-(X98+SUM($C99:W99)),0)</f>
        <v>0</v>
      </c>
      <c r="Y99" s="7">
        <f ca="1">IF(Y98+SUM($C99:X99)&lt;0,-(Y98+SUM($C99:X99)),0)</f>
        <v>0</v>
      </c>
      <c r="Z99" s="7">
        <f ca="1">IF(Z98+SUM($C99:Y99)&lt;0,-(Z98+SUM($C99:Y99)),0)</f>
        <v>0</v>
      </c>
      <c r="AA99" s="7">
        <f ca="1">IF(AA98+SUM($C99:Z99)&lt;0,-(AA98+SUM($C99:Z99)),0)</f>
        <v>0</v>
      </c>
      <c r="AB99" s="7">
        <f ca="1">IF(AB98+SUM($C99:AA99)&lt;0,-(AB98+SUM($C99:AA99)),0)</f>
        <v>0</v>
      </c>
      <c r="AC99" s="7">
        <f ca="1">IF(AC98+SUM($C99:AB99)&lt;0,-(AC98+SUM($C99:AB99)),0)</f>
        <v>0</v>
      </c>
      <c r="AD99" s="7">
        <f ca="1">IF(AD98+SUM($C99:AC99)&lt;0,-(AD98+SUM($C99:AC99)),0)</f>
        <v>0</v>
      </c>
      <c r="AE99" s="7">
        <f ca="1">IF(AE98+SUM($C99:AD99)&lt;0,-(AE98+SUM($C99:AD99)),0)</f>
        <v>0</v>
      </c>
      <c r="AF99" s="7">
        <f ca="1">IF(AF98+SUM($C99:AE99)&lt;0,-(AF98+SUM($C99:AE99)),0)</f>
        <v>0</v>
      </c>
      <c r="AG99" s="7">
        <f ca="1">IF(AG98+SUM($C99:AF99)&lt;0,-(AG98+SUM($C99:AF99)),0)</f>
        <v>0</v>
      </c>
      <c r="AH99" s="7">
        <f ca="1">IF(AH98+SUM($C99:AG99)&lt;0,-(AH98+SUM($C99:AG99)),0)</f>
        <v>0</v>
      </c>
      <c r="AI99" s="7">
        <f ca="1">IF(AI98+SUM($C99:AH99)&lt;0,-(AI98+SUM($C99:AH99)),0)</f>
        <v>0</v>
      </c>
      <c r="AJ99" s="7">
        <f ca="1">IF(AJ98+SUM($C99:AI99)&lt;0,-(AJ98+SUM($C99:AI99)),0)</f>
        <v>0</v>
      </c>
      <c r="AK99" s="7">
        <f ca="1">IF(AK98+SUM($C99:AJ99)&lt;0,-(AK98+SUM($C99:AJ99)),0)</f>
        <v>0</v>
      </c>
      <c r="AL99" s="7">
        <f ca="1">IF(AL98+SUM($C99:AK99)&lt;0,-(AL98+SUM($C99:AK99)),0)</f>
        <v>0</v>
      </c>
      <c r="AM99" s="7">
        <f ca="1">IF(AM98+SUM($C99:AL99)&lt;0,-(AM98+SUM($C99:AL99)),0)</f>
        <v>0</v>
      </c>
    </row>
    <row r="100" spans="1:44" x14ac:dyDescent="0.2"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</row>
    <row r="101" spans="1:44" ht="19" x14ac:dyDescent="0.25">
      <c r="A101" s="25" t="s">
        <v>20</v>
      </c>
      <c r="B101" s="26"/>
      <c r="C101" s="27"/>
      <c r="D101" s="28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</row>
    <row r="102" spans="1:44" x14ac:dyDescent="0.2">
      <c r="A102" s="1"/>
      <c r="C102" s="7"/>
      <c r="D102" s="11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92"/>
      <c r="AN102" s="92"/>
      <c r="AO102" s="92"/>
      <c r="AP102" s="92"/>
      <c r="AQ102" s="92"/>
      <c r="AR102" s="92"/>
    </row>
    <row r="103" spans="1:44" x14ac:dyDescent="0.2">
      <c r="A103" s="24" t="s">
        <v>26</v>
      </c>
      <c r="B103" s="26"/>
      <c r="C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</row>
    <row r="104" spans="1:44" x14ac:dyDescent="0.2">
      <c r="A104" s="3" t="s">
        <v>21</v>
      </c>
      <c r="C104" s="7">
        <f ca="1">C82</f>
        <v>31782.57432893329</v>
      </c>
      <c r="D104" s="7">
        <f t="shared" ref="D104:AM104" ca="1" si="51">C107</f>
        <v>31782.57432893329</v>
      </c>
      <c r="E104" s="7">
        <f t="shared" ca="1" si="51"/>
        <v>27015.188179593297</v>
      </c>
      <c r="F104" s="7">
        <f t="shared" ca="1" si="51"/>
        <v>31782.57432893329</v>
      </c>
      <c r="G104" s="7">
        <f t="shared" ca="1" si="51"/>
        <v>34325.180275247956</v>
      </c>
      <c r="H104" s="7">
        <f t="shared" ca="1" si="51"/>
        <v>37071.194697267791</v>
      </c>
      <c r="I104" s="7">
        <f t="shared" ca="1" si="51"/>
        <v>40036.890273049212</v>
      </c>
      <c r="J104" s="7">
        <f t="shared" ca="1" si="51"/>
        <v>32029.512218439369</v>
      </c>
      <c r="K104" s="7">
        <f t="shared" ca="1" si="51"/>
        <v>34502.746114102927</v>
      </c>
      <c r="L104" s="7">
        <f t="shared" ca="1" si="51"/>
        <v>37166.956564793065</v>
      </c>
      <c r="M104" s="7">
        <f t="shared" ca="1" si="51"/>
        <v>40036.890273049219</v>
      </c>
      <c r="N104" s="7">
        <f t="shared" ca="1" si="51"/>
        <v>43239.84149489316</v>
      </c>
      <c r="O104" s="7">
        <f t="shared" ca="1" si="51"/>
        <v>39780.654175301708</v>
      </c>
      <c r="P104" s="7">
        <f t="shared" ca="1" si="51"/>
        <v>40901.821101479632</v>
      </c>
      <c r="Q104" s="7">
        <f t="shared" ca="1" si="51"/>
        <v>42054.586685407528</v>
      </c>
      <c r="R104" s="7">
        <f t="shared" ca="1" si="51"/>
        <v>43239.841494893168</v>
      </c>
      <c r="S104" s="7">
        <f t="shared" ca="1" si="51"/>
        <v>46699.02881448462</v>
      </c>
      <c r="T104" s="7">
        <f t="shared" ca="1" si="51"/>
        <v>50434.951119643389</v>
      </c>
      <c r="U104" s="7">
        <f t="shared" ca="1" si="51"/>
        <v>54469.74720921486</v>
      </c>
      <c r="V104" s="7">
        <f t="shared" ca="1" si="51"/>
        <v>58827.326985952051</v>
      </c>
      <c r="W104" s="7">
        <f t="shared" ca="1" si="51"/>
        <v>48238.408128480682</v>
      </c>
      <c r="X104" s="7">
        <f t="shared" ca="1" si="51"/>
        <v>53270.410250494038</v>
      </c>
      <c r="Y104" s="7">
        <f t="shared" ca="1" si="51"/>
        <v>58827.326985952051</v>
      </c>
      <c r="Z104" s="7">
        <f t="shared" ca="1" si="51"/>
        <v>63533.513144828219</v>
      </c>
      <c r="AA104" s="7">
        <f t="shared" ca="1" si="51"/>
        <v>68616.194196414479</v>
      </c>
      <c r="AB104" s="7">
        <f t="shared" ca="1" si="51"/>
        <v>49403.65982141842</v>
      </c>
      <c r="AC104" s="7">
        <f t="shared" ca="1" si="51"/>
        <v>52183.96087445414</v>
      </c>
      <c r="AD104" s="7">
        <f t="shared" ca="1" si="51"/>
        <v>55120.72956518014</v>
      </c>
      <c r="AE104" s="7">
        <f t="shared" ca="1" si="51"/>
        <v>58222.77145859725</v>
      </c>
      <c r="AF104" s="7">
        <f t="shared" ca="1" si="51"/>
        <v>61499.387672500015</v>
      </c>
      <c r="AG104" s="7">
        <f t="shared" ca="1" si="51"/>
        <v>64960.402765814506</v>
      </c>
      <c r="AH104" s="7">
        <f t="shared" ca="1" si="51"/>
        <v>68616.194196414493</v>
      </c>
      <c r="AI104" s="7">
        <f t="shared" ca="1" si="51"/>
        <v>74105.489732127651</v>
      </c>
      <c r="AJ104" s="7">
        <f t="shared" ca="1" si="51"/>
        <v>80033.928910697869</v>
      </c>
      <c r="AK104" s="7">
        <f t="shared" ca="1" si="51"/>
        <v>86436.643223553692</v>
      </c>
      <c r="AL104" s="7">
        <f t="shared" ca="1" si="51"/>
        <v>93351.574681437982</v>
      </c>
      <c r="AM104" s="7">
        <f t="shared" ca="1" si="51"/>
        <v>100819.70065595303</v>
      </c>
    </row>
    <row r="105" spans="1:44" x14ac:dyDescent="0.2">
      <c r="A105" s="3" t="s">
        <v>22</v>
      </c>
      <c r="C105" s="7">
        <f ca="1">-MIN(C104, C99/(1-Inputs!$B$283))</f>
        <v>0</v>
      </c>
      <c r="D105" s="7">
        <f ca="1">-MIN(D104, D99/(1-Inputs!$B$283))</f>
        <v>0</v>
      </c>
      <c r="E105" s="7">
        <f ca="1">-MIN(E104, E99/(1-Inputs!$B$283))</f>
        <v>0</v>
      </c>
      <c r="F105" s="7">
        <f ca="1">-MIN(F104, F99/(1-Inputs!$B$283))</f>
        <v>0</v>
      </c>
      <c r="G105" s="7">
        <f ca="1">-MIN(G104, G99/(1-Inputs!$B$283))</f>
        <v>0</v>
      </c>
      <c r="H105" s="7">
        <f ca="1">-MIN(H104, H99/(1-Inputs!$B$283))</f>
        <v>0</v>
      </c>
      <c r="I105" s="7">
        <f ca="1">-MIN(I104, I99/(1-Inputs!$B$283))</f>
        <v>0</v>
      </c>
      <c r="J105" s="7">
        <f ca="1">-MIN(J104, J99/(1-Inputs!$B$283))</f>
        <v>0</v>
      </c>
      <c r="K105" s="7">
        <f ca="1">-MIN(K104, K99/(1-Inputs!$B$283))</f>
        <v>0</v>
      </c>
      <c r="L105" s="7">
        <f ca="1">-MIN(L104, L99/(1-Inputs!$B$283))</f>
        <v>0</v>
      </c>
      <c r="M105" s="7">
        <f ca="1">-MIN(M104, M99/(1-Inputs!$B$283))</f>
        <v>0</v>
      </c>
      <c r="N105" s="7">
        <f ca="1">-MIN(N104, N99/(1-Inputs!$B$283))</f>
        <v>0</v>
      </c>
      <c r="O105" s="7">
        <f ca="1">-MIN(O104, O99/(1-Inputs!$B$283))</f>
        <v>0</v>
      </c>
      <c r="P105" s="7">
        <f ca="1">-MIN(P104, P99/(1-Inputs!$B$283))</f>
        <v>0</v>
      </c>
      <c r="Q105" s="7">
        <f ca="1">-MIN(Q104, Q99/(1-Inputs!$B$283))</f>
        <v>0</v>
      </c>
      <c r="R105" s="7">
        <f ca="1">-MIN(R104, R99/(1-Inputs!$B$283))</f>
        <v>0</v>
      </c>
      <c r="S105" s="7">
        <f ca="1">-MIN(S104, S99/(1-Inputs!$B$283))</f>
        <v>0</v>
      </c>
      <c r="T105" s="7">
        <f ca="1">-MIN(T104, T99/(1-Inputs!$B$283))</f>
        <v>0</v>
      </c>
      <c r="U105" s="7">
        <f ca="1">-MIN(U104, U99/(1-Inputs!$B$283))</f>
        <v>0</v>
      </c>
      <c r="V105" s="7">
        <f ca="1">-MIN(V104, V99/(1-Inputs!$B$283))</f>
        <v>0</v>
      </c>
      <c r="W105" s="7">
        <f ca="1">-MIN(W104, W99/(1-Inputs!$B$283))</f>
        <v>0</v>
      </c>
      <c r="X105" s="7">
        <f ca="1">-MIN(X104, X99/(1-Inputs!$B$283))</f>
        <v>0</v>
      </c>
      <c r="Y105" s="7">
        <f ca="1">-MIN(Y104, Y99/(1-Inputs!$B$283))</f>
        <v>0</v>
      </c>
      <c r="Z105" s="7">
        <f ca="1">-MIN(Z104, Z99/(1-Inputs!$B$283))</f>
        <v>0</v>
      </c>
      <c r="AA105" s="7">
        <f ca="1">-MIN(AA104, AA99/(1-Inputs!$B$283))</f>
        <v>0</v>
      </c>
      <c r="AB105" s="7">
        <f ca="1">-MIN(AB104, AB99/(1-Inputs!$B$283))</f>
        <v>0</v>
      </c>
      <c r="AC105" s="7">
        <f ca="1">-MIN(AC104, AC99/(1-Inputs!$B$283))</f>
        <v>0</v>
      </c>
      <c r="AD105" s="7">
        <f ca="1">-MIN(AD104, AD99/(1-Inputs!$B$283))</f>
        <v>0</v>
      </c>
      <c r="AE105" s="7">
        <f ca="1">-MIN(AE104, AE99/(1-Inputs!$B$283))</f>
        <v>0</v>
      </c>
      <c r="AF105" s="7">
        <f ca="1">-MIN(AF104, AF99/(1-Inputs!$B$283))</f>
        <v>0</v>
      </c>
      <c r="AG105" s="7">
        <f ca="1">-MIN(AG104, AG99/(1-Inputs!$B$283))</f>
        <v>0</v>
      </c>
      <c r="AH105" s="7">
        <f ca="1">-MIN(AH104, AH99/(1-Inputs!$B$283))</f>
        <v>0</v>
      </c>
      <c r="AI105" s="7">
        <f ca="1">-MIN(AI104, AI99/(1-Inputs!$B$283))</f>
        <v>0</v>
      </c>
      <c r="AJ105" s="7">
        <f ca="1">-MIN(AJ104, AJ99/(1-Inputs!$B$283))</f>
        <v>0</v>
      </c>
      <c r="AK105" s="7">
        <f ca="1">-MIN(AK104, AK99/(1-Inputs!$B$283))</f>
        <v>0</v>
      </c>
      <c r="AL105" s="7">
        <f ca="1">-MIN(AL104, AL99/(1-Inputs!$B$283))</f>
        <v>0</v>
      </c>
      <c r="AM105" s="7">
        <f ca="1">-MIN(AM104, AM99/(1-Inputs!$B$283))</f>
        <v>0</v>
      </c>
    </row>
    <row r="106" spans="1:44" x14ac:dyDescent="0.2">
      <c r="A106" s="3" t="s">
        <v>23</v>
      </c>
      <c r="C106" s="7">
        <v>0</v>
      </c>
      <c r="D106" s="7">
        <f ca="1">SUM(D104:D105)*IF(AND(Inputs!$B$228&lt;&gt;"",D$2=Inputs!$B$228),-Inputs!$B$229,IF(AND(Inputs!$B$228&lt;&gt;"",D$2&gt;Inputs!$B$228,D$2&lt;=Inputs!$B$228+Inputs!$B$230),(1/(1-Inputs!$B$229))^(1/Inputs!$B$230)-1,IF(AND(Inputs!$B$233&lt;&gt;"",D$2=Inputs!$B$233),-Inputs!$B$234,IF(AND(Inputs!$B$233&lt;&gt;"",D$2&gt;Inputs!$B$233,D$2&lt;=Inputs!$B$233+Inputs!$B$235),(1/(1-Inputs!$B$234))^(1/Inputs!$B$235)-1,IF(AND(Inputs!$B$238&lt;&gt;"",D$2=Inputs!$B$238),-Inputs!$B$239,IF(AND(Inputs!$B$238&lt;&gt;"",D$2&gt;Inputs!$B$238,D$2&lt;=Inputs!$B$238+Inputs!$B$240),(1/(1-Inputs!$B$239))^(1/Inputs!$B$240)-1,IF(AND(Inputs!$B$243&lt;&gt;"",D$2=Inputs!$B$243),-Inputs!$B$244,IF(AND(Inputs!$B$243&lt;&gt;"",D$2&gt;Inputs!$B$243,D$2&lt;=Inputs!$B$243+Inputs!$B$245),(1/(1-Inputs!$B$244))^(1/Inputs!$B$245)-1,IF(AND(Inputs!$B$248&lt;&gt;"",D$2=Inputs!$B$248),-Inputs!$B$249,IF(AND(Inputs!$B$248&lt;&gt;"",D$2&gt;Inputs!$B$248,D$2&lt;=Inputs!$B$248+Inputs!$B$250),(1/(1-Inputs!$B$249))^(1/Inputs!$B$250)-1,stinc))))))))))</f>
        <v>-4767.3861493399936</v>
      </c>
      <c r="E106" s="7">
        <f ca="1">SUM(E104:E105)*IF(AND(Inputs!$B$228&lt;&gt;"",E$2=Inputs!$B$228),-Inputs!$B$229,IF(AND(Inputs!$B$228&lt;&gt;"",E$2&gt;Inputs!$B$228,E$2&lt;=Inputs!$B$228+Inputs!$B$230),(1/(1-Inputs!$B$229))^(1/Inputs!$B$230)-1,IF(AND(Inputs!$B$233&lt;&gt;"",E$2=Inputs!$B$233),-Inputs!$B$234,IF(AND(Inputs!$B$233&lt;&gt;"",E$2&gt;Inputs!$B$233,E$2&lt;=Inputs!$B$233+Inputs!$B$235),(1/(1-Inputs!$B$234))^(1/Inputs!$B$235)-1,IF(AND(Inputs!$B$238&lt;&gt;"",E$2=Inputs!$B$238),-Inputs!$B$239,IF(AND(Inputs!$B$238&lt;&gt;"",E$2&gt;Inputs!$B$238,E$2&lt;=Inputs!$B$238+Inputs!$B$240),(1/(1-Inputs!$B$239))^(1/Inputs!$B$240)-1,IF(AND(Inputs!$B$243&lt;&gt;"",E$2=Inputs!$B$243),-Inputs!$B$244,IF(AND(Inputs!$B$243&lt;&gt;"",E$2&gt;Inputs!$B$243,E$2&lt;=Inputs!$B$243+Inputs!$B$245),(1/(1-Inputs!$B$244))^(1/Inputs!$B$245)-1,IF(AND(Inputs!$B$248&lt;&gt;"",E$2=Inputs!$B$248),-Inputs!$B$249,IF(AND(Inputs!$B$248&lt;&gt;"",E$2&gt;Inputs!$B$248,E$2&lt;=Inputs!$B$248+Inputs!$B$250),(1/(1-Inputs!$B$249))^(1/Inputs!$B$250)-1,stinc))))))))))</f>
        <v>4767.3861493399945</v>
      </c>
      <c r="F106" s="7">
        <f ca="1">SUM(F104:F105)*IF(AND(Inputs!$B$228&lt;&gt;"",F$2=Inputs!$B$228),-Inputs!$B$229,IF(AND(Inputs!$B$228&lt;&gt;"",F$2&gt;Inputs!$B$228,F$2&lt;=Inputs!$B$228+Inputs!$B$230),(1/(1-Inputs!$B$229))^(1/Inputs!$B$230)-1,IF(AND(Inputs!$B$233&lt;&gt;"",F$2=Inputs!$B$233),-Inputs!$B$234,IF(AND(Inputs!$B$233&lt;&gt;"",F$2&gt;Inputs!$B$233,F$2&lt;=Inputs!$B$233+Inputs!$B$235),(1/(1-Inputs!$B$234))^(1/Inputs!$B$235)-1,IF(AND(Inputs!$B$238&lt;&gt;"",F$2=Inputs!$B$238),-Inputs!$B$239,IF(AND(Inputs!$B$238&lt;&gt;"",F$2&gt;Inputs!$B$238,F$2&lt;=Inputs!$B$238+Inputs!$B$240),(1/(1-Inputs!$B$239))^(1/Inputs!$B$240)-1,IF(AND(Inputs!$B$243&lt;&gt;"",F$2=Inputs!$B$243),-Inputs!$B$244,IF(AND(Inputs!$B$243&lt;&gt;"",F$2&gt;Inputs!$B$243,F$2&lt;=Inputs!$B$243+Inputs!$B$245),(1/(1-Inputs!$B$244))^(1/Inputs!$B$245)-1,IF(AND(Inputs!$B$248&lt;&gt;"",F$2=Inputs!$B$248),-Inputs!$B$249,IF(AND(Inputs!$B$248&lt;&gt;"",F$2&gt;Inputs!$B$248,F$2&lt;=Inputs!$B$248+Inputs!$B$250),(1/(1-Inputs!$B$249))^(1/Inputs!$B$250)-1,stinc))))))))))</f>
        <v>2542.605946314663</v>
      </c>
      <c r="G106" s="7">
        <f ca="1">SUM(G104:G105)*IF(AND(Inputs!$B$228&lt;&gt;"",G$2=Inputs!$B$228),-Inputs!$B$229,IF(AND(Inputs!$B$228&lt;&gt;"",G$2&gt;Inputs!$B$228,G$2&lt;=Inputs!$B$228+Inputs!$B$230),(1/(1-Inputs!$B$229))^(1/Inputs!$B$230)-1,IF(AND(Inputs!$B$233&lt;&gt;"",G$2=Inputs!$B$233),-Inputs!$B$234,IF(AND(Inputs!$B$233&lt;&gt;"",G$2&gt;Inputs!$B$233,G$2&lt;=Inputs!$B$233+Inputs!$B$235),(1/(1-Inputs!$B$234))^(1/Inputs!$B$235)-1,IF(AND(Inputs!$B$238&lt;&gt;"",G$2=Inputs!$B$238),-Inputs!$B$239,IF(AND(Inputs!$B$238&lt;&gt;"",G$2&gt;Inputs!$B$238,G$2&lt;=Inputs!$B$238+Inputs!$B$240),(1/(1-Inputs!$B$239))^(1/Inputs!$B$240)-1,IF(AND(Inputs!$B$243&lt;&gt;"",G$2=Inputs!$B$243),-Inputs!$B$244,IF(AND(Inputs!$B$243&lt;&gt;"",G$2&gt;Inputs!$B$243,G$2&lt;=Inputs!$B$243+Inputs!$B$245),(1/(1-Inputs!$B$244))^(1/Inputs!$B$245)-1,IF(AND(Inputs!$B$248&lt;&gt;"",G$2=Inputs!$B$248),-Inputs!$B$249,IF(AND(Inputs!$B$248&lt;&gt;"",G$2&gt;Inputs!$B$248,G$2&lt;=Inputs!$B$248+Inputs!$B$250),(1/(1-Inputs!$B$249))^(1/Inputs!$B$250)-1,stinc))))))))))</f>
        <v>2746.0144220198367</v>
      </c>
      <c r="H106" s="7">
        <f ca="1">SUM(H104:H105)*IF(AND(Inputs!$B$228&lt;&gt;"",H$2=Inputs!$B$228),-Inputs!$B$229,IF(AND(Inputs!$B$228&lt;&gt;"",H$2&gt;Inputs!$B$228,H$2&lt;=Inputs!$B$228+Inputs!$B$230),(1/(1-Inputs!$B$229))^(1/Inputs!$B$230)-1,IF(AND(Inputs!$B$233&lt;&gt;"",H$2=Inputs!$B$233),-Inputs!$B$234,IF(AND(Inputs!$B$233&lt;&gt;"",H$2&gt;Inputs!$B$233,H$2&lt;=Inputs!$B$233+Inputs!$B$235),(1/(1-Inputs!$B$234))^(1/Inputs!$B$235)-1,IF(AND(Inputs!$B$238&lt;&gt;"",H$2=Inputs!$B$238),-Inputs!$B$239,IF(AND(Inputs!$B$238&lt;&gt;"",H$2&gt;Inputs!$B$238,H$2&lt;=Inputs!$B$238+Inputs!$B$240),(1/(1-Inputs!$B$239))^(1/Inputs!$B$240)-1,IF(AND(Inputs!$B$243&lt;&gt;"",H$2=Inputs!$B$243),-Inputs!$B$244,IF(AND(Inputs!$B$243&lt;&gt;"",H$2&gt;Inputs!$B$243,H$2&lt;=Inputs!$B$243+Inputs!$B$245),(1/(1-Inputs!$B$244))^(1/Inputs!$B$245)-1,IF(AND(Inputs!$B$248&lt;&gt;"",H$2=Inputs!$B$248),-Inputs!$B$249,IF(AND(Inputs!$B$248&lt;&gt;"",H$2&gt;Inputs!$B$248,H$2&lt;=Inputs!$B$248+Inputs!$B$250),(1/(1-Inputs!$B$249))^(1/Inputs!$B$250)-1,stinc))))))))))</f>
        <v>2965.6955757814235</v>
      </c>
      <c r="I106" s="7">
        <f ca="1">SUM(I104:I105)*IF(AND(Inputs!$B$228&lt;&gt;"",I$2=Inputs!$B$228),-Inputs!$B$229,IF(AND(Inputs!$B$228&lt;&gt;"",I$2&gt;Inputs!$B$228,I$2&lt;=Inputs!$B$228+Inputs!$B$230),(1/(1-Inputs!$B$229))^(1/Inputs!$B$230)-1,IF(AND(Inputs!$B$233&lt;&gt;"",I$2=Inputs!$B$233),-Inputs!$B$234,IF(AND(Inputs!$B$233&lt;&gt;"",I$2&gt;Inputs!$B$233,I$2&lt;=Inputs!$B$233+Inputs!$B$235),(1/(1-Inputs!$B$234))^(1/Inputs!$B$235)-1,IF(AND(Inputs!$B$238&lt;&gt;"",I$2=Inputs!$B$238),-Inputs!$B$239,IF(AND(Inputs!$B$238&lt;&gt;"",I$2&gt;Inputs!$B$238,I$2&lt;=Inputs!$B$238+Inputs!$B$240),(1/(1-Inputs!$B$239))^(1/Inputs!$B$240)-1,IF(AND(Inputs!$B$243&lt;&gt;"",I$2=Inputs!$B$243),-Inputs!$B$244,IF(AND(Inputs!$B$243&lt;&gt;"",I$2&gt;Inputs!$B$243,I$2&lt;=Inputs!$B$243+Inputs!$B$245),(1/(1-Inputs!$B$244))^(1/Inputs!$B$245)-1,IF(AND(Inputs!$B$248&lt;&gt;"",I$2=Inputs!$B$248),-Inputs!$B$249,IF(AND(Inputs!$B$248&lt;&gt;"",I$2&gt;Inputs!$B$248,I$2&lt;=Inputs!$B$248+Inputs!$B$250),(1/(1-Inputs!$B$249))^(1/Inputs!$B$250)-1,stinc))))))))))</f>
        <v>-8007.3780546098424</v>
      </c>
      <c r="J106" s="7">
        <f ca="1">SUM(J104:J105)*IF(AND(Inputs!$B$228&lt;&gt;"",J$2=Inputs!$B$228),-Inputs!$B$229,IF(AND(Inputs!$B$228&lt;&gt;"",J$2&gt;Inputs!$B$228,J$2&lt;=Inputs!$B$228+Inputs!$B$230),(1/(1-Inputs!$B$229))^(1/Inputs!$B$230)-1,IF(AND(Inputs!$B$233&lt;&gt;"",J$2=Inputs!$B$233),-Inputs!$B$234,IF(AND(Inputs!$B$233&lt;&gt;"",J$2&gt;Inputs!$B$233,J$2&lt;=Inputs!$B$233+Inputs!$B$235),(1/(1-Inputs!$B$234))^(1/Inputs!$B$235)-1,IF(AND(Inputs!$B$238&lt;&gt;"",J$2=Inputs!$B$238),-Inputs!$B$239,IF(AND(Inputs!$B$238&lt;&gt;"",J$2&gt;Inputs!$B$238,J$2&lt;=Inputs!$B$238+Inputs!$B$240),(1/(1-Inputs!$B$239))^(1/Inputs!$B$240)-1,IF(AND(Inputs!$B$243&lt;&gt;"",J$2=Inputs!$B$243),-Inputs!$B$244,IF(AND(Inputs!$B$243&lt;&gt;"",J$2&gt;Inputs!$B$243,J$2&lt;=Inputs!$B$243+Inputs!$B$245),(1/(1-Inputs!$B$244))^(1/Inputs!$B$245)-1,IF(AND(Inputs!$B$248&lt;&gt;"",J$2=Inputs!$B$248),-Inputs!$B$249,IF(AND(Inputs!$B$248&lt;&gt;"",J$2&gt;Inputs!$B$248,J$2&lt;=Inputs!$B$248+Inputs!$B$250),(1/(1-Inputs!$B$249))^(1/Inputs!$B$250)-1,stinc))))))))))</f>
        <v>2473.2338956635595</v>
      </c>
      <c r="K106" s="7">
        <f ca="1">SUM(K104:K105)*IF(AND(Inputs!$B$228&lt;&gt;"",K$2=Inputs!$B$228),-Inputs!$B$229,IF(AND(Inputs!$B$228&lt;&gt;"",K$2&gt;Inputs!$B$228,K$2&lt;=Inputs!$B$228+Inputs!$B$230),(1/(1-Inputs!$B$229))^(1/Inputs!$B$230)-1,IF(AND(Inputs!$B$233&lt;&gt;"",K$2=Inputs!$B$233),-Inputs!$B$234,IF(AND(Inputs!$B$233&lt;&gt;"",K$2&gt;Inputs!$B$233,K$2&lt;=Inputs!$B$233+Inputs!$B$235),(1/(1-Inputs!$B$234))^(1/Inputs!$B$235)-1,IF(AND(Inputs!$B$238&lt;&gt;"",K$2=Inputs!$B$238),-Inputs!$B$239,IF(AND(Inputs!$B$238&lt;&gt;"",K$2&gt;Inputs!$B$238,K$2&lt;=Inputs!$B$238+Inputs!$B$240),(1/(1-Inputs!$B$239))^(1/Inputs!$B$240)-1,IF(AND(Inputs!$B$243&lt;&gt;"",K$2=Inputs!$B$243),-Inputs!$B$244,IF(AND(Inputs!$B$243&lt;&gt;"",K$2&gt;Inputs!$B$243,K$2&lt;=Inputs!$B$243+Inputs!$B$245),(1/(1-Inputs!$B$244))^(1/Inputs!$B$245)-1,IF(AND(Inputs!$B$248&lt;&gt;"",K$2=Inputs!$B$248),-Inputs!$B$249,IF(AND(Inputs!$B$248&lt;&gt;"",K$2&gt;Inputs!$B$248,K$2&lt;=Inputs!$B$248+Inputs!$B$250),(1/(1-Inputs!$B$249))^(1/Inputs!$B$250)-1,stinc))))))))))</f>
        <v>2664.2104506901346</v>
      </c>
      <c r="L106" s="7">
        <f ca="1">SUM(L104:L105)*IF(AND(Inputs!$B$228&lt;&gt;"",L$2=Inputs!$B$228),-Inputs!$B$229,IF(AND(Inputs!$B$228&lt;&gt;"",L$2&gt;Inputs!$B$228,L$2&lt;=Inputs!$B$228+Inputs!$B$230),(1/(1-Inputs!$B$229))^(1/Inputs!$B$230)-1,IF(AND(Inputs!$B$233&lt;&gt;"",L$2=Inputs!$B$233),-Inputs!$B$234,IF(AND(Inputs!$B$233&lt;&gt;"",L$2&gt;Inputs!$B$233,L$2&lt;=Inputs!$B$233+Inputs!$B$235),(1/(1-Inputs!$B$234))^(1/Inputs!$B$235)-1,IF(AND(Inputs!$B$238&lt;&gt;"",L$2=Inputs!$B$238),-Inputs!$B$239,IF(AND(Inputs!$B$238&lt;&gt;"",L$2&gt;Inputs!$B$238,L$2&lt;=Inputs!$B$238+Inputs!$B$240),(1/(1-Inputs!$B$239))^(1/Inputs!$B$240)-1,IF(AND(Inputs!$B$243&lt;&gt;"",L$2=Inputs!$B$243),-Inputs!$B$244,IF(AND(Inputs!$B$243&lt;&gt;"",L$2&gt;Inputs!$B$243,L$2&lt;=Inputs!$B$243+Inputs!$B$245),(1/(1-Inputs!$B$244))^(1/Inputs!$B$245)-1,IF(AND(Inputs!$B$248&lt;&gt;"",L$2=Inputs!$B$248),-Inputs!$B$249,IF(AND(Inputs!$B$248&lt;&gt;"",L$2&gt;Inputs!$B$248,L$2&lt;=Inputs!$B$248+Inputs!$B$250),(1/(1-Inputs!$B$249))^(1/Inputs!$B$250)-1,stinc))))))))))</f>
        <v>2869.9337082561533</v>
      </c>
      <c r="M106" s="7">
        <f ca="1">SUM(M104:M105)*IF(AND(Inputs!$B$228&lt;&gt;"",M$2=Inputs!$B$228),-Inputs!$B$229,IF(AND(Inputs!$B$228&lt;&gt;"",M$2&gt;Inputs!$B$228,M$2&lt;=Inputs!$B$228+Inputs!$B$230),(1/(1-Inputs!$B$229))^(1/Inputs!$B$230)-1,IF(AND(Inputs!$B$233&lt;&gt;"",M$2=Inputs!$B$233),-Inputs!$B$234,IF(AND(Inputs!$B$233&lt;&gt;"",M$2&gt;Inputs!$B$233,M$2&lt;=Inputs!$B$233+Inputs!$B$235),(1/(1-Inputs!$B$234))^(1/Inputs!$B$235)-1,IF(AND(Inputs!$B$238&lt;&gt;"",M$2=Inputs!$B$238),-Inputs!$B$239,IF(AND(Inputs!$B$238&lt;&gt;"",M$2&gt;Inputs!$B$238,M$2&lt;=Inputs!$B$238+Inputs!$B$240),(1/(1-Inputs!$B$239))^(1/Inputs!$B$240)-1,IF(AND(Inputs!$B$243&lt;&gt;"",M$2=Inputs!$B$243),-Inputs!$B$244,IF(AND(Inputs!$B$243&lt;&gt;"",M$2&gt;Inputs!$B$243,M$2&lt;=Inputs!$B$243+Inputs!$B$245),(1/(1-Inputs!$B$244))^(1/Inputs!$B$245)-1,IF(AND(Inputs!$B$248&lt;&gt;"",M$2=Inputs!$B$248),-Inputs!$B$249,IF(AND(Inputs!$B$248&lt;&gt;"",M$2&gt;Inputs!$B$248,M$2&lt;=Inputs!$B$248+Inputs!$B$250),(1/(1-Inputs!$B$249))^(1/Inputs!$B$250)-1,stinc))))))))))</f>
        <v>3202.9512218439377</v>
      </c>
      <c r="N106" s="7">
        <f ca="1">SUM(N104:N105)*IF(AND(Inputs!$B$228&lt;&gt;"",N$2=Inputs!$B$228),-Inputs!$B$229,IF(AND(Inputs!$B$228&lt;&gt;"",N$2&gt;Inputs!$B$228,N$2&lt;=Inputs!$B$228+Inputs!$B$230),(1/(1-Inputs!$B$229))^(1/Inputs!$B$230)-1,IF(AND(Inputs!$B$233&lt;&gt;"",N$2=Inputs!$B$233),-Inputs!$B$234,IF(AND(Inputs!$B$233&lt;&gt;"",N$2&gt;Inputs!$B$233,N$2&lt;=Inputs!$B$233+Inputs!$B$235),(1/(1-Inputs!$B$234))^(1/Inputs!$B$235)-1,IF(AND(Inputs!$B$238&lt;&gt;"",N$2=Inputs!$B$238),-Inputs!$B$239,IF(AND(Inputs!$B$238&lt;&gt;"",N$2&gt;Inputs!$B$238,N$2&lt;=Inputs!$B$238+Inputs!$B$240),(1/(1-Inputs!$B$239))^(1/Inputs!$B$240)-1,IF(AND(Inputs!$B$243&lt;&gt;"",N$2=Inputs!$B$243),-Inputs!$B$244,IF(AND(Inputs!$B$243&lt;&gt;"",N$2&gt;Inputs!$B$243,N$2&lt;=Inputs!$B$243+Inputs!$B$245),(1/(1-Inputs!$B$244))^(1/Inputs!$B$245)-1,IF(AND(Inputs!$B$248&lt;&gt;"",N$2=Inputs!$B$248),-Inputs!$B$249,IF(AND(Inputs!$B$248&lt;&gt;"",N$2&gt;Inputs!$B$248,N$2&lt;=Inputs!$B$248+Inputs!$B$250),(1/(1-Inputs!$B$249))^(1/Inputs!$B$250)-1,stinc))))))))))</f>
        <v>-3459.1873195914527</v>
      </c>
      <c r="O106" s="7">
        <f ca="1">SUM(O104:O105)*IF(AND(Inputs!$B$228&lt;&gt;"",O$2=Inputs!$B$228),-Inputs!$B$229,IF(AND(Inputs!$B$228&lt;&gt;"",O$2&gt;Inputs!$B$228,O$2&lt;=Inputs!$B$228+Inputs!$B$230),(1/(1-Inputs!$B$229))^(1/Inputs!$B$230)-1,IF(AND(Inputs!$B$233&lt;&gt;"",O$2=Inputs!$B$233),-Inputs!$B$234,IF(AND(Inputs!$B$233&lt;&gt;"",O$2&gt;Inputs!$B$233,O$2&lt;=Inputs!$B$233+Inputs!$B$235),(1/(1-Inputs!$B$234))^(1/Inputs!$B$235)-1,IF(AND(Inputs!$B$238&lt;&gt;"",O$2=Inputs!$B$238),-Inputs!$B$239,IF(AND(Inputs!$B$238&lt;&gt;"",O$2&gt;Inputs!$B$238,O$2&lt;=Inputs!$B$238+Inputs!$B$240),(1/(1-Inputs!$B$239))^(1/Inputs!$B$240)-1,IF(AND(Inputs!$B$243&lt;&gt;"",O$2=Inputs!$B$243),-Inputs!$B$244,IF(AND(Inputs!$B$243&lt;&gt;"",O$2&gt;Inputs!$B$243,O$2&lt;=Inputs!$B$243+Inputs!$B$245),(1/(1-Inputs!$B$244))^(1/Inputs!$B$245)-1,IF(AND(Inputs!$B$248&lt;&gt;"",O$2=Inputs!$B$248),-Inputs!$B$249,IF(AND(Inputs!$B$248&lt;&gt;"",O$2&gt;Inputs!$B$248,O$2&lt;=Inputs!$B$248+Inputs!$B$250),(1/(1-Inputs!$B$249))^(1/Inputs!$B$250)-1,stinc))))))))))</f>
        <v>1121.1669261779241</v>
      </c>
      <c r="P106" s="7">
        <f ca="1">SUM(P104:P105)*IF(AND(Inputs!$B$228&lt;&gt;"",P$2=Inputs!$B$228),-Inputs!$B$229,IF(AND(Inputs!$B$228&lt;&gt;"",P$2&gt;Inputs!$B$228,P$2&lt;=Inputs!$B$228+Inputs!$B$230),(1/(1-Inputs!$B$229))^(1/Inputs!$B$230)-1,IF(AND(Inputs!$B$233&lt;&gt;"",P$2=Inputs!$B$233),-Inputs!$B$234,IF(AND(Inputs!$B$233&lt;&gt;"",P$2&gt;Inputs!$B$233,P$2&lt;=Inputs!$B$233+Inputs!$B$235),(1/(1-Inputs!$B$234))^(1/Inputs!$B$235)-1,IF(AND(Inputs!$B$238&lt;&gt;"",P$2=Inputs!$B$238),-Inputs!$B$239,IF(AND(Inputs!$B$238&lt;&gt;"",P$2&gt;Inputs!$B$238,P$2&lt;=Inputs!$B$238+Inputs!$B$240),(1/(1-Inputs!$B$239))^(1/Inputs!$B$240)-1,IF(AND(Inputs!$B$243&lt;&gt;"",P$2=Inputs!$B$243),-Inputs!$B$244,IF(AND(Inputs!$B$243&lt;&gt;"",P$2&gt;Inputs!$B$243,P$2&lt;=Inputs!$B$243+Inputs!$B$245),(1/(1-Inputs!$B$244))^(1/Inputs!$B$245)-1,IF(AND(Inputs!$B$248&lt;&gt;"",P$2=Inputs!$B$248),-Inputs!$B$249,IF(AND(Inputs!$B$248&lt;&gt;"",P$2&gt;Inputs!$B$248,P$2&lt;=Inputs!$B$248+Inputs!$B$250),(1/(1-Inputs!$B$249))^(1/Inputs!$B$250)-1,stinc))))))))))</f>
        <v>1152.7655839278937</v>
      </c>
      <c r="Q106" s="7">
        <f ca="1">SUM(Q104:Q105)*IF(AND(Inputs!$B$228&lt;&gt;"",Q$2=Inputs!$B$228),-Inputs!$B$229,IF(AND(Inputs!$B$228&lt;&gt;"",Q$2&gt;Inputs!$B$228,Q$2&lt;=Inputs!$B$228+Inputs!$B$230),(1/(1-Inputs!$B$229))^(1/Inputs!$B$230)-1,IF(AND(Inputs!$B$233&lt;&gt;"",Q$2=Inputs!$B$233),-Inputs!$B$234,IF(AND(Inputs!$B$233&lt;&gt;"",Q$2&gt;Inputs!$B$233,Q$2&lt;=Inputs!$B$233+Inputs!$B$235),(1/(1-Inputs!$B$234))^(1/Inputs!$B$235)-1,IF(AND(Inputs!$B$238&lt;&gt;"",Q$2=Inputs!$B$238),-Inputs!$B$239,IF(AND(Inputs!$B$238&lt;&gt;"",Q$2&gt;Inputs!$B$238,Q$2&lt;=Inputs!$B$238+Inputs!$B$240),(1/(1-Inputs!$B$239))^(1/Inputs!$B$240)-1,IF(AND(Inputs!$B$243&lt;&gt;"",Q$2=Inputs!$B$243),-Inputs!$B$244,IF(AND(Inputs!$B$243&lt;&gt;"",Q$2&gt;Inputs!$B$243,Q$2&lt;=Inputs!$B$243+Inputs!$B$245),(1/(1-Inputs!$B$244))^(1/Inputs!$B$245)-1,IF(AND(Inputs!$B$248&lt;&gt;"",Q$2=Inputs!$B$248),-Inputs!$B$249,IF(AND(Inputs!$B$248&lt;&gt;"",Q$2&gt;Inputs!$B$248,Q$2&lt;=Inputs!$B$248+Inputs!$B$250),(1/(1-Inputs!$B$249))^(1/Inputs!$B$250)-1,stinc))))))))))</f>
        <v>1185.2548094856413</v>
      </c>
      <c r="R106" s="7">
        <f ca="1">SUM(R104:R105)*IF(AND(Inputs!$B$228&lt;&gt;"",R$2=Inputs!$B$228),-Inputs!$B$229,IF(AND(Inputs!$B$228&lt;&gt;"",R$2&gt;Inputs!$B$228,R$2&lt;=Inputs!$B$228+Inputs!$B$230),(1/(1-Inputs!$B$229))^(1/Inputs!$B$230)-1,IF(AND(Inputs!$B$233&lt;&gt;"",R$2=Inputs!$B$233),-Inputs!$B$234,IF(AND(Inputs!$B$233&lt;&gt;"",R$2&gt;Inputs!$B$233,R$2&lt;=Inputs!$B$233+Inputs!$B$235),(1/(1-Inputs!$B$234))^(1/Inputs!$B$235)-1,IF(AND(Inputs!$B$238&lt;&gt;"",R$2=Inputs!$B$238),-Inputs!$B$239,IF(AND(Inputs!$B$238&lt;&gt;"",R$2&gt;Inputs!$B$238,R$2&lt;=Inputs!$B$238+Inputs!$B$240),(1/(1-Inputs!$B$239))^(1/Inputs!$B$240)-1,IF(AND(Inputs!$B$243&lt;&gt;"",R$2=Inputs!$B$243),-Inputs!$B$244,IF(AND(Inputs!$B$243&lt;&gt;"",R$2&gt;Inputs!$B$243,R$2&lt;=Inputs!$B$243+Inputs!$B$245),(1/(1-Inputs!$B$244))^(1/Inputs!$B$245)-1,IF(AND(Inputs!$B$248&lt;&gt;"",R$2=Inputs!$B$248),-Inputs!$B$249,IF(AND(Inputs!$B$248&lt;&gt;"",R$2&gt;Inputs!$B$248,R$2&lt;=Inputs!$B$248+Inputs!$B$250),(1/(1-Inputs!$B$249))^(1/Inputs!$B$250)-1,stinc))))))))))</f>
        <v>3459.1873195914536</v>
      </c>
      <c r="S106" s="7">
        <f ca="1">SUM(S104:S105)*IF(AND(Inputs!$B$228&lt;&gt;"",S$2=Inputs!$B$228),-Inputs!$B$229,IF(AND(Inputs!$B$228&lt;&gt;"",S$2&gt;Inputs!$B$228,S$2&lt;=Inputs!$B$228+Inputs!$B$230),(1/(1-Inputs!$B$229))^(1/Inputs!$B$230)-1,IF(AND(Inputs!$B$233&lt;&gt;"",S$2=Inputs!$B$233),-Inputs!$B$234,IF(AND(Inputs!$B$233&lt;&gt;"",S$2&gt;Inputs!$B$233,S$2&lt;=Inputs!$B$233+Inputs!$B$235),(1/(1-Inputs!$B$234))^(1/Inputs!$B$235)-1,IF(AND(Inputs!$B$238&lt;&gt;"",S$2=Inputs!$B$238),-Inputs!$B$239,IF(AND(Inputs!$B$238&lt;&gt;"",S$2&gt;Inputs!$B$238,S$2&lt;=Inputs!$B$238+Inputs!$B$240),(1/(1-Inputs!$B$239))^(1/Inputs!$B$240)-1,IF(AND(Inputs!$B$243&lt;&gt;"",S$2=Inputs!$B$243),-Inputs!$B$244,IF(AND(Inputs!$B$243&lt;&gt;"",S$2&gt;Inputs!$B$243,S$2&lt;=Inputs!$B$243+Inputs!$B$245),(1/(1-Inputs!$B$244))^(1/Inputs!$B$245)-1,IF(AND(Inputs!$B$248&lt;&gt;"",S$2=Inputs!$B$248),-Inputs!$B$249,IF(AND(Inputs!$B$248&lt;&gt;"",S$2&gt;Inputs!$B$248,S$2&lt;=Inputs!$B$248+Inputs!$B$250),(1/(1-Inputs!$B$249))^(1/Inputs!$B$250)-1,stinc))))))))))</f>
        <v>3735.9223051587696</v>
      </c>
      <c r="T106" s="7">
        <f ca="1">SUM(T104:T105)*IF(AND(Inputs!$B$228&lt;&gt;"",T$2=Inputs!$B$228),-Inputs!$B$229,IF(AND(Inputs!$B$228&lt;&gt;"",T$2&gt;Inputs!$B$228,T$2&lt;=Inputs!$B$228+Inputs!$B$230),(1/(1-Inputs!$B$229))^(1/Inputs!$B$230)-1,IF(AND(Inputs!$B$233&lt;&gt;"",T$2=Inputs!$B$233),-Inputs!$B$234,IF(AND(Inputs!$B$233&lt;&gt;"",T$2&gt;Inputs!$B$233,T$2&lt;=Inputs!$B$233+Inputs!$B$235),(1/(1-Inputs!$B$234))^(1/Inputs!$B$235)-1,IF(AND(Inputs!$B$238&lt;&gt;"",T$2=Inputs!$B$238),-Inputs!$B$239,IF(AND(Inputs!$B$238&lt;&gt;"",T$2&gt;Inputs!$B$238,T$2&lt;=Inputs!$B$238+Inputs!$B$240),(1/(1-Inputs!$B$239))^(1/Inputs!$B$240)-1,IF(AND(Inputs!$B$243&lt;&gt;"",T$2=Inputs!$B$243),-Inputs!$B$244,IF(AND(Inputs!$B$243&lt;&gt;"",T$2&gt;Inputs!$B$243,T$2&lt;=Inputs!$B$243+Inputs!$B$245),(1/(1-Inputs!$B$244))^(1/Inputs!$B$245)-1,IF(AND(Inputs!$B$248&lt;&gt;"",T$2=Inputs!$B$248),-Inputs!$B$249,IF(AND(Inputs!$B$248&lt;&gt;"",T$2&gt;Inputs!$B$248,T$2&lt;=Inputs!$B$248+Inputs!$B$250),(1/(1-Inputs!$B$249))^(1/Inputs!$B$250)-1,stinc))))))))))</f>
        <v>4034.7960895714714</v>
      </c>
      <c r="U106" s="7">
        <f ca="1">SUM(U104:U105)*IF(AND(Inputs!$B$228&lt;&gt;"",U$2=Inputs!$B$228),-Inputs!$B$229,IF(AND(Inputs!$B$228&lt;&gt;"",U$2&gt;Inputs!$B$228,U$2&lt;=Inputs!$B$228+Inputs!$B$230),(1/(1-Inputs!$B$229))^(1/Inputs!$B$230)-1,IF(AND(Inputs!$B$233&lt;&gt;"",U$2=Inputs!$B$233),-Inputs!$B$234,IF(AND(Inputs!$B$233&lt;&gt;"",U$2&gt;Inputs!$B$233,U$2&lt;=Inputs!$B$233+Inputs!$B$235),(1/(1-Inputs!$B$234))^(1/Inputs!$B$235)-1,IF(AND(Inputs!$B$238&lt;&gt;"",U$2=Inputs!$B$238),-Inputs!$B$239,IF(AND(Inputs!$B$238&lt;&gt;"",U$2&gt;Inputs!$B$238,U$2&lt;=Inputs!$B$238+Inputs!$B$240),(1/(1-Inputs!$B$239))^(1/Inputs!$B$240)-1,IF(AND(Inputs!$B$243&lt;&gt;"",U$2=Inputs!$B$243),-Inputs!$B$244,IF(AND(Inputs!$B$243&lt;&gt;"",U$2&gt;Inputs!$B$243,U$2&lt;=Inputs!$B$243+Inputs!$B$245),(1/(1-Inputs!$B$244))^(1/Inputs!$B$245)-1,IF(AND(Inputs!$B$248&lt;&gt;"",U$2=Inputs!$B$248),-Inputs!$B$249,IF(AND(Inputs!$B$248&lt;&gt;"",U$2&gt;Inputs!$B$248,U$2&lt;=Inputs!$B$248+Inputs!$B$250),(1/(1-Inputs!$B$249))^(1/Inputs!$B$250)-1,stinc))))))))))</f>
        <v>4357.5797767371887</v>
      </c>
      <c r="V106" s="7">
        <f ca="1">SUM(V104:V105)*IF(AND(Inputs!$B$228&lt;&gt;"",V$2=Inputs!$B$228),-Inputs!$B$229,IF(AND(Inputs!$B$228&lt;&gt;"",V$2&gt;Inputs!$B$228,V$2&lt;=Inputs!$B$228+Inputs!$B$230),(1/(1-Inputs!$B$229))^(1/Inputs!$B$230)-1,IF(AND(Inputs!$B$233&lt;&gt;"",V$2=Inputs!$B$233),-Inputs!$B$234,IF(AND(Inputs!$B$233&lt;&gt;"",V$2&gt;Inputs!$B$233,V$2&lt;=Inputs!$B$233+Inputs!$B$235),(1/(1-Inputs!$B$234))^(1/Inputs!$B$235)-1,IF(AND(Inputs!$B$238&lt;&gt;"",V$2=Inputs!$B$238),-Inputs!$B$239,IF(AND(Inputs!$B$238&lt;&gt;"",V$2&gt;Inputs!$B$238,V$2&lt;=Inputs!$B$238+Inputs!$B$240),(1/(1-Inputs!$B$239))^(1/Inputs!$B$240)-1,IF(AND(Inputs!$B$243&lt;&gt;"",V$2=Inputs!$B$243),-Inputs!$B$244,IF(AND(Inputs!$B$243&lt;&gt;"",V$2&gt;Inputs!$B$243,V$2&lt;=Inputs!$B$243+Inputs!$B$245),(1/(1-Inputs!$B$244))^(1/Inputs!$B$245)-1,IF(AND(Inputs!$B$248&lt;&gt;"",V$2=Inputs!$B$248),-Inputs!$B$249,IF(AND(Inputs!$B$248&lt;&gt;"",V$2&gt;Inputs!$B$248,V$2&lt;=Inputs!$B$248+Inputs!$B$250),(1/(1-Inputs!$B$249))^(1/Inputs!$B$250)-1,stinc))))))))))</f>
        <v>-10588.918857471368</v>
      </c>
      <c r="W106" s="7">
        <f ca="1">SUM(W104:W105)*IF(AND(Inputs!$B$228&lt;&gt;"",W$2=Inputs!$B$228),-Inputs!$B$229,IF(AND(Inputs!$B$228&lt;&gt;"",W$2&gt;Inputs!$B$228,W$2&lt;=Inputs!$B$228+Inputs!$B$230),(1/(1-Inputs!$B$229))^(1/Inputs!$B$230)-1,IF(AND(Inputs!$B$233&lt;&gt;"",W$2=Inputs!$B$233),-Inputs!$B$234,IF(AND(Inputs!$B$233&lt;&gt;"",W$2&gt;Inputs!$B$233,W$2&lt;=Inputs!$B$233+Inputs!$B$235),(1/(1-Inputs!$B$234))^(1/Inputs!$B$235)-1,IF(AND(Inputs!$B$238&lt;&gt;"",W$2=Inputs!$B$238),-Inputs!$B$239,IF(AND(Inputs!$B$238&lt;&gt;"",W$2&gt;Inputs!$B$238,W$2&lt;=Inputs!$B$238+Inputs!$B$240),(1/(1-Inputs!$B$239))^(1/Inputs!$B$240)-1,IF(AND(Inputs!$B$243&lt;&gt;"",W$2=Inputs!$B$243),-Inputs!$B$244,IF(AND(Inputs!$B$243&lt;&gt;"",W$2&gt;Inputs!$B$243,W$2&lt;=Inputs!$B$243+Inputs!$B$245),(1/(1-Inputs!$B$244))^(1/Inputs!$B$245)-1,IF(AND(Inputs!$B$248&lt;&gt;"",W$2=Inputs!$B$248),-Inputs!$B$249,IF(AND(Inputs!$B$248&lt;&gt;"",W$2&gt;Inputs!$B$248,W$2&lt;=Inputs!$B$248+Inputs!$B$250),(1/(1-Inputs!$B$249))^(1/Inputs!$B$250)-1,stinc))))))))))</f>
        <v>5032.0021220133558</v>
      </c>
      <c r="X106" s="7">
        <f ca="1">SUM(X104:X105)*IF(AND(Inputs!$B$228&lt;&gt;"",X$2=Inputs!$B$228),-Inputs!$B$229,IF(AND(Inputs!$B$228&lt;&gt;"",X$2&gt;Inputs!$B$228,X$2&lt;=Inputs!$B$228+Inputs!$B$230),(1/(1-Inputs!$B$229))^(1/Inputs!$B$230)-1,IF(AND(Inputs!$B$233&lt;&gt;"",X$2=Inputs!$B$233),-Inputs!$B$234,IF(AND(Inputs!$B$233&lt;&gt;"",X$2&gt;Inputs!$B$233,X$2&lt;=Inputs!$B$233+Inputs!$B$235),(1/(1-Inputs!$B$234))^(1/Inputs!$B$235)-1,IF(AND(Inputs!$B$238&lt;&gt;"",X$2=Inputs!$B$238),-Inputs!$B$239,IF(AND(Inputs!$B$238&lt;&gt;"",X$2&gt;Inputs!$B$238,X$2&lt;=Inputs!$B$238+Inputs!$B$240),(1/(1-Inputs!$B$239))^(1/Inputs!$B$240)-1,IF(AND(Inputs!$B$243&lt;&gt;"",X$2=Inputs!$B$243),-Inputs!$B$244,IF(AND(Inputs!$B$243&lt;&gt;"",X$2&gt;Inputs!$B$243,X$2&lt;=Inputs!$B$243+Inputs!$B$245),(1/(1-Inputs!$B$244))^(1/Inputs!$B$245)-1,IF(AND(Inputs!$B$248&lt;&gt;"",X$2=Inputs!$B$248),-Inputs!$B$249,IF(AND(Inputs!$B$248&lt;&gt;"",X$2&gt;Inputs!$B$248,X$2&lt;=Inputs!$B$248+Inputs!$B$250),(1/(1-Inputs!$B$249))^(1/Inputs!$B$250)-1,stinc))))))))))</f>
        <v>5556.9167354580104</v>
      </c>
      <c r="Y106" s="7">
        <f ca="1">SUM(Y104:Y105)*IF(AND(Inputs!$B$228&lt;&gt;"",Y$2=Inputs!$B$228),-Inputs!$B$229,IF(AND(Inputs!$B$228&lt;&gt;"",Y$2&gt;Inputs!$B$228,Y$2&lt;=Inputs!$B$228+Inputs!$B$230),(1/(1-Inputs!$B$229))^(1/Inputs!$B$230)-1,IF(AND(Inputs!$B$233&lt;&gt;"",Y$2=Inputs!$B$233),-Inputs!$B$234,IF(AND(Inputs!$B$233&lt;&gt;"",Y$2&gt;Inputs!$B$233,Y$2&lt;=Inputs!$B$233+Inputs!$B$235),(1/(1-Inputs!$B$234))^(1/Inputs!$B$235)-1,IF(AND(Inputs!$B$238&lt;&gt;"",Y$2=Inputs!$B$238),-Inputs!$B$239,IF(AND(Inputs!$B$238&lt;&gt;"",Y$2&gt;Inputs!$B$238,Y$2&lt;=Inputs!$B$238+Inputs!$B$240),(1/(1-Inputs!$B$239))^(1/Inputs!$B$240)-1,IF(AND(Inputs!$B$243&lt;&gt;"",Y$2=Inputs!$B$243),-Inputs!$B$244,IF(AND(Inputs!$B$243&lt;&gt;"",Y$2&gt;Inputs!$B$243,Y$2&lt;=Inputs!$B$243+Inputs!$B$245),(1/(1-Inputs!$B$244))^(1/Inputs!$B$245)-1,IF(AND(Inputs!$B$248&lt;&gt;"",Y$2=Inputs!$B$248),-Inputs!$B$249,IF(AND(Inputs!$B$248&lt;&gt;"",Y$2&gt;Inputs!$B$248,Y$2&lt;=Inputs!$B$248+Inputs!$B$250),(1/(1-Inputs!$B$249))^(1/Inputs!$B$250)-1,stinc))))))))))</f>
        <v>4706.186158876164</v>
      </c>
      <c r="Z106" s="7">
        <f ca="1">SUM(Z104:Z105)*IF(AND(Inputs!$B$228&lt;&gt;"",Z$2=Inputs!$B$228),-Inputs!$B$229,IF(AND(Inputs!$B$228&lt;&gt;"",Z$2&gt;Inputs!$B$228,Z$2&lt;=Inputs!$B$228+Inputs!$B$230),(1/(1-Inputs!$B$229))^(1/Inputs!$B$230)-1,IF(AND(Inputs!$B$233&lt;&gt;"",Z$2=Inputs!$B$233),-Inputs!$B$234,IF(AND(Inputs!$B$233&lt;&gt;"",Z$2&gt;Inputs!$B$233,Z$2&lt;=Inputs!$B$233+Inputs!$B$235),(1/(1-Inputs!$B$234))^(1/Inputs!$B$235)-1,IF(AND(Inputs!$B$238&lt;&gt;"",Z$2=Inputs!$B$238),-Inputs!$B$239,IF(AND(Inputs!$B$238&lt;&gt;"",Z$2&gt;Inputs!$B$238,Z$2&lt;=Inputs!$B$238+Inputs!$B$240),(1/(1-Inputs!$B$239))^(1/Inputs!$B$240)-1,IF(AND(Inputs!$B$243&lt;&gt;"",Z$2=Inputs!$B$243),-Inputs!$B$244,IF(AND(Inputs!$B$243&lt;&gt;"",Z$2&gt;Inputs!$B$243,Z$2&lt;=Inputs!$B$243+Inputs!$B$245),(1/(1-Inputs!$B$244))^(1/Inputs!$B$245)-1,IF(AND(Inputs!$B$248&lt;&gt;"",Z$2=Inputs!$B$248),-Inputs!$B$249,IF(AND(Inputs!$B$248&lt;&gt;"",Z$2&gt;Inputs!$B$248,Z$2&lt;=Inputs!$B$248+Inputs!$B$250),(1/(1-Inputs!$B$249))^(1/Inputs!$B$250)-1,stinc))))))))))</f>
        <v>5082.681051586258</v>
      </c>
      <c r="AA106" s="7">
        <f ca="1">SUM(AA104:AA105)*IF(AND(Inputs!$B$228&lt;&gt;"",AA$2=Inputs!$B$228),-Inputs!$B$229,IF(AND(Inputs!$B$228&lt;&gt;"",AA$2&gt;Inputs!$B$228,AA$2&lt;=Inputs!$B$228+Inputs!$B$230),(1/(1-Inputs!$B$229))^(1/Inputs!$B$230)-1,IF(AND(Inputs!$B$233&lt;&gt;"",AA$2=Inputs!$B$233),-Inputs!$B$234,IF(AND(Inputs!$B$233&lt;&gt;"",AA$2&gt;Inputs!$B$233,AA$2&lt;=Inputs!$B$233+Inputs!$B$235),(1/(1-Inputs!$B$234))^(1/Inputs!$B$235)-1,IF(AND(Inputs!$B$238&lt;&gt;"",AA$2=Inputs!$B$238),-Inputs!$B$239,IF(AND(Inputs!$B$238&lt;&gt;"",AA$2&gt;Inputs!$B$238,AA$2&lt;=Inputs!$B$238+Inputs!$B$240),(1/(1-Inputs!$B$239))^(1/Inputs!$B$240)-1,IF(AND(Inputs!$B$243&lt;&gt;"",AA$2=Inputs!$B$243),-Inputs!$B$244,IF(AND(Inputs!$B$243&lt;&gt;"",AA$2&gt;Inputs!$B$243,AA$2&lt;=Inputs!$B$243+Inputs!$B$245),(1/(1-Inputs!$B$244))^(1/Inputs!$B$245)-1,IF(AND(Inputs!$B$248&lt;&gt;"",AA$2=Inputs!$B$248),-Inputs!$B$249,IF(AND(Inputs!$B$248&lt;&gt;"",AA$2&gt;Inputs!$B$248,AA$2&lt;=Inputs!$B$248+Inputs!$B$250),(1/(1-Inputs!$B$249))^(1/Inputs!$B$250)-1,stinc))))))))))</f>
        <v>-19212.534374996056</v>
      </c>
      <c r="AB106" s="7">
        <f ca="1">SUM(AB104:AB105)*IF(AND(Inputs!$B$228&lt;&gt;"",AB$2=Inputs!$B$228),-Inputs!$B$229,IF(AND(Inputs!$B$228&lt;&gt;"",AB$2&gt;Inputs!$B$228,AB$2&lt;=Inputs!$B$228+Inputs!$B$230),(1/(1-Inputs!$B$229))^(1/Inputs!$B$230)-1,IF(AND(Inputs!$B$233&lt;&gt;"",AB$2=Inputs!$B$233),-Inputs!$B$234,IF(AND(Inputs!$B$233&lt;&gt;"",AB$2&gt;Inputs!$B$233,AB$2&lt;=Inputs!$B$233+Inputs!$B$235),(1/(1-Inputs!$B$234))^(1/Inputs!$B$235)-1,IF(AND(Inputs!$B$238&lt;&gt;"",AB$2=Inputs!$B$238),-Inputs!$B$239,IF(AND(Inputs!$B$238&lt;&gt;"",AB$2&gt;Inputs!$B$238,AB$2&lt;=Inputs!$B$238+Inputs!$B$240),(1/(1-Inputs!$B$239))^(1/Inputs!$B$240)-1,IF(AND(Inputs!$B$243&lt;&gt;"",AB$2=Inputs!$B$243),-Inputs!$B$244,IF(AND(Inputs!$B$243&lt;&gt;"",AB$2&gt;Inputs!$B$243,AB$2&lt;=Inputs!$B$243+Inputs!$B$245),(1/(1-Inputs!$B$244))^(1/Inputs!$B$245)-1,IF(AND(Inputs!$B$248&lt;&gt;"",AB$2=Inputs!$B$248),-Inputs!$B$249,IF(AND(Inputs!$B$248&lt;&gt;"",AB$2&gt;Inputs!$B$248,AB$2&lt;=Inputs!$B$248+Inputs!$B$250),(1/(1-Inputs!$B$249))^(1/Inputs!$B$250)-1,stinc))))))))))</f>
        <v>2780.3010530357219</v>
      </c>
      <c r="AC106" s="7">
        <f ca="1">SUM(AC104:AC105)*IF(AND(Inputs!$B$228&lt;&gt;"",AC$2=Inputs!$B$228),-Inputs!$B$229,IF(AND(Inputs!$B$228&lt;&gt;"",AC$2&gt;Inputs!$B$228,AC$2&lt;=Inputs!$B$228+Inputs!$B$230),(1/(1-Inputs!$B$229))^(1/Inputs!$B$230)-1,IF(AND(Inputs!$B$233&lt;&gt;"",AC$2=Inputs!$B$233),-Inputs!$B$234,IF(AND(Inputs!$B$233&lt;&gt;"",AC$2&gt;Inputs!$B$233,AC$2&lt;=Inputs!$B$233+Inputs!$B$235),(1/(1-Inputs!$B$234))^(1/Inputs!$B$235)-1,IF(AND(Inputs!$B$238&lt;&gt;"",AC$2=Inputs!$B$238),-Inputs!$B$239,IF(AND(Inputs!$B$238&lt;&gt;"",AC$2&gt;Inputs!$B$238,AC$2&lt;=Inputs!$B$238+Inputs!$B$240),(1/(1-Inputs!$B$239))^(1/Inputs!$B$240)-1,IF(AND(Inputs!$B$243&lt;&gt;"",AC$2=Inputs!$B$243),-Inputs!$B$244,IF(AND(Inputs!$B$243&lt;&gt;"",AC$2&gt;Inputs!$B$243,AC$2&lt;=Inputs!$B$243+Inputs!$B$245),(1/(1-Inputs!$B$244))^(1/Inputs!$B$245)-1,IF(AND(Inputs!$B$248&lt;&gt;"",AC$2=Inputs!$B$248),-Inputs!$B$249,IF(AND(Inputs!$B$248&lt;&gt;"",AC$2&gt;Inputs!$B$248,AC$2&lt;=Inputs!$B$248+Inputs!$B$250),(1/(1-Inputs!$B$249))^(1/Inputs!$B$250)-1,stinc))))))))))</f>
        <v>2936.7686907260018</v>
      </c>
      <c r="AD106" s="7">
        <f ca="1">SUM(AD104:AD105)*IF(AND(Inputs!$B$228&lt;&gt;"",AD$2=Inputs!$B$228),-Inputs!$B$229,IF(AND(Inputs!$B$228&lt;&gt;"",AD$2&gt;Inputs!$B$228,AD$2&lt;=Inputs!$B$228+Inputs!$B$230),(1/(1-Inputs!$B$229))^(1/Inputs!$B$230)-1,IF(AND(Inputs!$B$233&lt;&gt;"",AD$2=Inputs!$B$233),-Inputs!$B$234,IF(AND(Inputs!$B$233&lt;&gt;"",AD$2&gt;Inputs!$B$233,AD$2&lt;=Inputs!$B$233+Inputs!$B$235),(1/(1-Inputs!$B$234))^(1/Inputs!$B$235)-1,IF(AND(Inputs!$B$238&lt;&gt;"",AD$2=Inputs!$B$238),-Inputs!$B$239,IF(AND(Inputs!$B$238&lt;&gt;"",AD$2&gt;Inputs!$B$238,AD$2&lt;=Inputs!$B$238+Inputs!$B$240),(1/(1-Inputs!$B$239))^(1/Inputs!$B$240)-1,IF(AND(Inputs!$B$243&lt;&gt;"",AD$2=Inputs!$B$243),-Inputs!$B$244,IF(AND(Inputs!$B$243&lt;&gt;"",AD$2&gt;Inputs!$B$243,AD$2&lt;=Inputs!$B$243+Inputs!$B$245),(1/(1-Inputs!$B$244))^(1/Inputs!$B$245)-1,IF(AND(Inputs!$B$248&lt;&gt;"",AD$2=Inputs!$B$248),-Inputs!$B$249,IF(AND(Inputs!$B$248&lt;&gt;"",AD$2&gt;Inputs!$B$248,AD$2&lt;=Inputs!$B$248+Inputs!$B$250),(1/(1-Inputs!$B$249))^(1/Inputs!$B$250)-1,stinc))))))))))</f>
        <v>3102.0418934171098</v>
      </c>
      <c r="AE106" s="7">
        <f ca="1">SUM(AE104:AE105)*IF(AND(Inputs!$B$228&lt;&gt;"",AE$2=Inputs!$B$228),-Inputs!$B$229,IF(AND(Inputs!$B$228&lt;&gt;"",AE$2&gt;Inputs!$B$228,AE$2&lt;=Inputs!$B$228+Inputs!$B$230),(1/(1-Inputs!$B$229))^(1/Inputs!$B$230)-1,IF(AND(Inputs!$B$233&lt;&gt;"",AE$2=Inputs!$B$233),-Inputs!$B$234,IF(AND(Inputs!$B$233&lt;&gt;"",AE$2&gt;Inputs!$B$233,AE$2&lt;=Inputs!$B$233+Inputs!$B$235),(1/(1-Inputs!$B$234))^(1/Inputs!$B$235)-1,IF(AND(Inputs!$B$238&lt;&gt;"",AE$2=Inputs!$B$238),-Inputs!$B$239,IF(AND(Inputs!$B$238&lt;&gt;"",AE$2&gt;Inputs!$B$238,AE$2&lt;=Inputs!$B$238+Inputs!$B$240),(1/(1-Inputs!$B$239))^(1/Inputs!$B$240)-1,IF(AND(Inputs!$B$243&lt;&gt;"",AE$2=Inputs!$B$243),-Inputs!$B$244,IF(AND(Inputs!$B$243&lt;&gt;"",AE$2&gt;Inputs!$B$243,AE$2&lt;=Inputs!$B$243+Inputs!$B$245),(1/(1-Inputs!$B$244))^(1/Inputs!$B$245)-1,IF(AND(Inputs!$B$248&lt;&gt;"",AE$2=Inputs!$B$248),-Inputs!$B$249,IF(AND(Inputs!$B$248&lt;&gt;"",AE$2&gt;Inputs!$B$248,AE$2&lt;=Inputs!$B$248+Inputs!$B$250),(1/(1-Inputs!$B$249))^(1/Inputs!$B$250)-1,stinc))))))))))</f>
        <v>3276.6162139027638</v>
      </c>
      <c r="AF106" s="7">
        <f ca="1">SUM(AF104:AF105)*IF(AND(Inputs!$B$228&lt;&gt;"",AF$2=Inputs!$B$228),-Inputs!$B$229,IF(AND(Inputs!$B$228&lt;&gt;"",AF$2&gt;Inputs!$B$228,AF$2&lt;=Inputs!$B$228+Inputs!$B$230),(1/(1-Inputs!$B$229))^(1/Inputs!$B$230)-1,IF(AND(Inputs!$B$233&lt;&gt;"",AF$2=Inputs!$B$233),-Inputs!$B$234,IF(AND(Inputs!$B$233&lt;&gt;"",AF$2&gt;Inputs!$B$233,AF$2&lt;=Inputs!$B$233+Inputs!$B$235),(1/(1-Inputs!$B$234))^(1/Inputs!$B$235)-1,IF(AND(Inputs!$B$238&lt;&gt;"",AF$2=Inputs!$B$238),-Inputs!$B$239,IF(AND(Inputs!$B$238&lt;&gt;"",AF$2&gt;Inputs!$B$238,AF$2&lt;=Inputs!$B$238+Inputs!$B$240),(1/(1-Inputs!$B$239))^(1/Inputs!$B$240)-1,IF(AND(Inputs!$B$243&lt;&gt;"",AF$2=Inputs!$B$243),-Inputs!$B$244,IF(AND(Inputs!$B$243&lt;&gt;"",AF$2&gt;Inputs!$B$243,AF$2&lt;=Inputs!$B$243+Inputs!$B$245),(1/(1-Inputs!$B$244))^(1/Inputs!$B$245)-1,IF(AND(Inputs!$B$248&lt;&gt;"",AF$2=Inputs!$B$248),-Inputs!$B$249,IF(AND(Inputs!$B$248&lt;&gt;"",AF$2&gt;Inputs!$B$248,AF$2&lt;=Inputs!$B$248+Inputs!$B$250),(1/(1-Inputs!$B$249))^(1/Inputs!$B$250)-1,stinc))))))))))</f>
        <v>3461.0150933144919</v>
      </c>
      <c r="AG106" s="7">
        <f ca="1">SUM(AG104:AG105)*IF(AND(Inputs!$B$228&lt;&gt;"",AG$2=Inputs!$B$228),-Inputs!$B$229,IF(AND(Inputs!$B$228&lt;&gt;"",AG$2&gt;Inputs!$B$228,AG$2&lt;=Inputs!$B$228+Inputs!$B$230),(1/(1-Inputs!$B$229))^(1/Inputs!$B$230)-1,IF(AND(Inputs!$B$233&lt;&gt;"",AG$2=Inputs!$B$233),-Inputs!$B$234,IF(AND(Inputs!$B$233&lt;&gt;"",AG$2&gt;Inputs!$B$233,AG$2&lt;=Inputs!$B$233+Inputs!$B$235),(1/(1-Inputs!$B$234))^(1/Inputs!$B$235)-1,IF(AND(Inputs!$B$238&lt;&gt;"",AG$2=Inputs!$B$238),-Inputs!$B$239,IF(AND(Inputs!$B$238&lt;&gt;"",AG$2&gt;Inputs!$B$238,AG$2&lt;=Inputs!$B$238+Inputs!$B$240),(1/(1-Inputs!$B$239))^(1/Inputs!$B$240)-1,IF(AND(Inputs!$B$243&lt;&gt;"",AG$2=Inputs!$B$243),-Inputs!$B$244,IF(AND(Inputs!$B$243&lt;&gt;"",AG$2&gt;Inputs!$B$243,AG$2&lt;=Inputs!$B$243+Inputs!$B$245),(1/(1-Inputs!$B$244))^(1/Inputs!$B$245)-1,IF(AND(Inputs!$B$248&lt;&gt;"",AG$2=Inputs!$B$248),-Inputs!$B$249,IF(AND(Inputs!$B$248&lt;&gt;"",AG$2&gt;Inputs!$B$248,AG$2&lt;=Inputs!$B$248+Inputs!$B$250),(1/(1-Inputs!$B$249))^(1/Inputs!$B$250)-1,stinc))))))))))</f>
        <v>3655.7914305999939</v>
      </c>
      <c r="AH106" s="7">
        <f ca="1">SUM(AH104:AH105)*IF(AND(Inputs!$B$228&lt;&gt;"",AH$2=Inputs!$B$228),-Inputs!$B$229,IF(AND(Inputs!$B$228&lt;&gt;"",AH$2&gt;Inputs!$B$228,AH$2&lt;=Inputs!$B$228+Inputs!$B$230),(1/(1-Inputs!$B$229))^(1/Inputs!$B$230)-1,IF(AND(Inputs!$B$233&lt;&gt;"",AH$2=Inputs!$B$233),-Inputs!$B$234,IF(AND(Inputs!$B$233&lt;&gt;"",AH$2&gt;Inputs!$B$233,AH$2&lt;=Inputs!$B$233+Inputs!$B$235),(1/(1-Inputs!$B$234))^(1/Inputs!$B$235)-1,IF(AND(Inputs!$B$238&lt;&gt;"",AH$2=Inputs!$B$238),-Inputs!$B$239,IF(AND(Inputs!$B$238&lt;&gt;"",AH$2&gt;Inputs!$B$238,AH$2&lt;=Inputs!$B$238+Inputs!$B$240),(1/(1-Inputs!$B$239))^(1/Inputs!$B$240)-1,IF(AND(Inputs!$B$243&lt;&gt;"",AH$2=Inputs!$B$243),-Inputs!$B$244,IF(AND(Inputs!$B$243&lt;&gt;"",AH$2&gt;Inputs!$B$243,AH$2&lt;=Inputs!$B$243+Inputs!$B$245),(1/(1-Inputs!$B$244))^(1/Inputs!$B$245)-1,IF(AND(Inputs!$B$248&lt;&gt;"",AH$2=Inputs!$B$248),-Inputs!$B$249,IF(AND(Inputs!$B$248&lt;&gt;"",AH$2&gt;Inputs!$B$248,AH$2&lt;=Inputs!$B$248+Inputs!$B$250),(1/(1-Inputs!$B$249))^(1/Inputs!$B$250)-1,stinc))))))))))</f>
        <v>5489.2955357131596</v>
      </c>
      <c r="AI106" s="7">
        <f ca="1">SUM(AI104:AI105)*IF(AND(Inputs!$B$228&lt;&gt;"",AI$2=Inputs!$B$228),-Inputs!$B$229,IF(AND(Inputs!$B$228&lt;&gt;"",AI$2&gt;Inputs!$B$228,AI$2&lt;=Inputs!$B$228+Inputs!$B$230),(1/(1-Inputs!$B$229))^(1/Inputs!$B$230)-1,IF(AND(Inputs!$B$233&lt;&gt;"",AI$2=Inputs!$B$233),-Inputs!$B$234,IF(AND(Inputs!$B$233&lt;&gt;"",AI$2&gt;Inputs!$B$233,AI$2&lt;=Inputs!$B$233+Inputs!$B$235),(1/(1-Inputs!$B$234))^(1/Inputs!$B$235)-1,IF(AND(Inputs!$B$238&lt;&gt;"",AI$2=Inputs!$B$238),-Inputs!$B$239,IF(AND(Inputs!$B$238&lt;&gt;"",AI$2&gt;Inputs!$B$238,AI$2&lt;=Inputs!$B$238+Inputs!$B$240),(1/(1-Inputs!$B$239))^(1/Inputs!$B$240)-1,IF(AND(Inputs!$B$243&lt;&gt;"",AI$2=Inputs!$B$243),-Inputs!$B$244,IF(AND(Inputs!$B$243&lt;&gt;"",AI$2&gt;Inputs!$B$243,AI$2&lt;=Inputs!$B$243+Inputs!$B$245),(1/(1-Inputs!$B$244))^(1/Inputs!$B$245)-1,IF(AND(Inputs!$B$248&lt;&gt;"",AI$2=Inputs!$B$248),-Inputs!$B$249,IF(AND(Inputs!$B$248&lt;&gt;"",AI$2&gt;Inputs!$B$248,AI$2&lt;=Inputs!$B$248+Inputs!$B$250),(1/(1-Inputs!$B$249))^(1/Inputs!$B$250)-1,stinc))))))))))</f>
        <v>5928.4391785702119</v>
      </c>
      <c r="AJ106" s="7">
        <f ca="1">SUM(AJ104:AJ105)*IF(AND(Inputs!$B$228&lt;&gt;"",AJ$2=Inputs!$B$228),-Inputs!$B$229,IF(AND(Inputs!$B$228&lt;&gt;"",AJ$2&gt;Inputs!$B$228,AJ$2&lt;=Inputs!$B$228+Inputs!$B$230),(1/(1-Inputs!$B$229))^(1/Inputs!$B$230)-1,IF(AND(Inputs!$B$233&lt;&gt;"",AJ$2=Inputs!$B$233),-Inputs!$B$234,IF(AND(Inputs!$B$233&lt;&gt;"",AJ$2&gt;Inputs!$B$233,AJ$2&lt;=Inputs!$B$233+Inputs!$B$235),(1/(1-Inputs!$B$234))^(1/Inputs!$B$235)-1,IF(AND(Inputs!$B$238&lt;&gt;"",AJ$2=Inputs!$B$238),-Inputs!$B$239,IF(AND(Inputs!$B$238&lt;&gt;"",AJ$2&gt;Inputs!$B$238,AJ$2&lt;=Inputs!$B$238+Inputs!$B$240),(1/(1-Inputs!$B$239))^(1/Inputs!$B$240)-1,IF(AND(Inputs!$B$243&lt;&gt;"",AJ$2=Inputs!$B$243),-Inputs!$B$244,IF(AND(Inputs!$B$243&lt;&gt;"",AJ$2&gt;Inputs!$B$243,AJ$2&lt;=Inputs!$B$243+Inputs!$B$245),(1/(1-Inputs!$B$244))^(1/Inputs!$B$245)-1,IF(AND(Inputs!$B$248&lt;&gt;"",AJ$2=Inputs!$B$248),-Inputs!$B$249,IF(AND(Inputs!$B$248&lt;&gt;"",AJ$2&gt;Inputs!$B$248,AJ$2&lt;=Inputs!$B$248+Inputs!$B$250),(1/(1-Inputs!$B$249))^(1/Inputs!$B$250)-1,stinc))))))))))</f>
        <v>6402.71431285583</v>
      </c>
      <c r="AK106" s="7">
        <f ca="1">SUM(AK104:AK105)*IF(AND(Inputs!$B$228&lt;&gt;"",AK$2=Inputs!$B$228),-Inputs!$B$229,IF(AND(Inputs!$B$228&lt;&gt;"",AK$2&gt;Inputs!$B$228,AK$2&lt;=Inputs!$B$228+Inputs!$B$230),(1/(1-Inputs!$B$229))^(1/Inputs!$B$230)-1,IF(AND(Inputs!$B$233&lt;&gt;"",AK$2=Inputs!$B$233),-Inputs!$B$234,IF(AND(Inputs!$B$233&lt;&gt;"",AK$2&gt;Inputs!$B$233,AK$2&lt;=Inputs!$B$233+Inputs!$B$235),(1/(1-Inputs!$B$234))^(1/Inputs!$B$235)-1,IF(AND(Inputs!$B$238&lt;&gt;"",AK$2=Inputs!$B$238),-Inputs!$B$239,IF(AND(Inputs!$B$238&lt;&gt;"",AK$2&gt;Inputs!$B$238,AK$2&lt;=Inputs!$B$238+Inputs!$B$240),(1/(1-Inputs!$B$239))^(1/Inputs!$B$240)-1,IF(AND(Inputs!$B$243&lt;&gt;"",AK$2=Inputs!$B$243),-Inputs!$B$244,IF(AND(Inputs!$B$243&lt;&gt;"",AK$2&gt;Inputs!$B$243,AK$2&lt;=Inputs!$B$243+Inputs!$B$245),(1/(1-Inputs!$B$244))^(1/Inputs!$B$245)-1,IF(AND(Inputs!$B$248&lt;&gt;"",AK$2=Inputs!$B$248),-Inputs!$B$249,IF(AND(Inputs!$B$248&lt;&gt;"",AK$2&gt;Inputs!$B$248,AK$2&lt;=Inputs!$B$248+Inputs!$B$250),(1/(1-Inputs!$B$249))^(1/Inputs!$B$250)-1,stinc))))))))))</f>
        <v>6914.9314578842959</v>
      </c>
      <c r="AL106" s="7">
        <f ca="1">SUM(AL104:AL105)*IF(AND(Inputs!$B$228&lt;&gt;"",AL$2=Inputs!$B$228),-Inputs!$B$229,IF(AND(Inputs!$B$228&lt;&gt;"",AL$2&gt;Inputs!$B$228,AL$2&lt;=Inputs!$B$228+Inputs!$B$230),(1/(1-Inputs!$B$229))^(1/Inputs!$B$230)-1,IF(AND(Inputs!$B$233&lt;&gt;"",AL$2=Inputs!$B$233),-Inputs!$B$234,IF(AND(Inputs!$B$233&lt;&gt;"",AL$2&gt;Inputs!$B$233,AL$2&lt;=Inputs!$B$233+Inputs!$B$235),(1/(1-Inputs!$B$234))^(1/Inputs!$B$235)-1,IF(AND(Inputs!$B$238&lt;&gt;"",AL$2=Inputs!$B$238),-Inputs!$B$239,IF(AND(Inputs!$B$238&lt;&gt;"",AL$2&gt;Inputs!$B$238,AL$2&lt;=Inputs!$B$238+Inputs!$B$240),(1/(1-Inputs!$B$239))^(1/Inputs!$B$240)-1,IF(AND(Inputs!$B$243&lt;&gt;"",AL$2=Inputs!$B$243),-Inputs!$B$244,IF(AND(Inputs!$B$243&lt;&gt;"",AL$2&gt;Inputs!$B$243,AL$2&lt;=Inputs!$B$243+Inputs!$B$245),(1/(1-Inputs!$B$244))^(1/Inputs!$B$245)-1,IF(AND(Inputs!$B$248&lt;&gt;"",AL$2=Inputs!$B$248),-Inputs!$B$249,IF(AND(Inputs!$B$248&lt;&gt;"",AL$2&gt;Inputs!$B$248,AL$2&lt;=Inputs!$B$248+Inputs!$B$250),(1/(1-Inputs!$B$249))^(1/Inputs!$B$250)-1,stinc))))))))))</f>
        <v>7468.1259745150383</v>
      </c>
      <c r="AM106" s="7">
        <f ca="1">SUM(AM104:AM105)*IF(AND(Inputs!$B$228&lt;&gt;"",AM$2=Inputs!$B$228),-Inputs!$B$229,IF(AND(Inputs!$B$228&lt;&gt;"",AM$2&gt;Inputs!$B$228,AM$2&lt;=Inputs!$B$228+Inputs!$B$230),(1/(1-Inputs!$B$229))^(1/Inputs!$B$230)-1,IF(AND(Inputs!$B$233&lt;&gt;"",AM$2=Inputs!$B$233),-Inputs!$B$234,IF(AND(Inputs!$B$233&lt;&gt;"",AM$2&gt;Inputs!$B$233,AM$2&lt;=Inputs!$B$233+Inputs!$B$235),(1/(1-Inputs!$B$234))^(1/Inputs!$B$235)-1,IF(AND(Inputs!$B$238&lt;&gt;"",AM$2=Inputs!$B$238),-Inputs!$B$239,IF(AND(Inputs!$B$238&lt;&gt;"",AM$2&gt;Inputs!$B$238,AM$2&lt;=Inputs!$B$238+Inputs!$B$240),(1/(1-Inputs!$B$239))^(1/Inputs!$B$240)-1,IF(AND(Inputs!$B$243&lt;&gt;"",AM$2=Inputs!$B$243),-Inputs!$B$244,IF(AND(Inputs!$B$243&lt;&gt;"",AM$2&gt;Inputs!$B$243,AM$2&lt;=Inputs!$B$243+Inputs!$B$245),(1/(1-Inputs!$B$244))^(1/Inputs!$B$245)-1,IF(AND(Inputs!$B$248&lt;&gt;"",AM$2=Inputs!$B$248),-Inputs!$B$249,IF(AND(Inputs!$B$248&lt;&gt;"",AM$2&gt;Inputs!$B$248,AM$2&lt;=Inputs!$B$248+Inputs!$B$250),(1/(1-Inputs!$B$249))^(1/Inputs!$B$250)-1,stinc))))))))))</f>
        <v>8065.5760524762427</v>
      </c>
    </row>
    <row r="107" spans="1:44" x14ac:dyDescent="0.2">
      <c r="A107" s="3" t="s">
        <v>24</v>
      </c>
      <c r="C107" s="7">
        <f ca="1">SUM(C104:C106)</f>
        <v>31782.57432893329</v>
      </c>
      <c r="D107" s="7">
        <f ca="1">SUM(D104:D106)</f>
        <v>27015.188179593297</v>
      </c>
      <c r="E107" s="7">
        <f t="shared" ref="E107:AM107" ca="1" si="52">SUM(E104:E106)</f>
        <v>31782.57432893329</v>
      </c>
      <c r="F107" s="7">
        <f t="shared" ca="1" si="52"/>
        <v>34325.180275247956</v>
      </c>
      <c r="G107" s="7">
        <f t="shared" ca="1" si="52"/>
        <v>37071.194697267791</v>
      </c>
      <c r="H107" s="7">
        <f t="shared" ca="1" si="52"/>
        <v>40036.890273049212</v>
      </c>
      <c r="I107" s="7">
        <f t="shared" ca="1" si="52"/>
        <v>32029.512218439369</v>
      </c>
      <c r="J107" s="7">
        <f t="shared" ca="1" si="52"/>
        <v>34502.746114102927</v>
      </c>
      <c r="K107" s="7">
        <f t="shared" ca="1" si="52"/>
        <v>37166.956564793065</v>
      </c>
      <c r="L107" s="7">
        <f t="shared" ca="1" si="52"/>
        <v>40036.890273049219</v>
      </c>
      <c r="M107" s="7">
        <f t="shared" ca="1" si="52"/>
        <v>43239.84149489316</v>
      </c>
      <c r="N107" s="7">
        <f t="shared" ca="1" si="52"/>
        <v>39780.654175301708</v>
      </c>
      <c r="O107" s="7">
        <f t="shared" ca="1" si="52"/>
        <v>40901.821101479632</v>
      </c>
      <c r="P107" s="7">
        <f t="shared" ca="1" si="52"/>
        <v>42054.586685407528</v>
      </c>
      <c r="Q107" s="7">
        <f t="shared" ca="1" si="52"/>
        <v>43239.841494893168</v>
      </c>
      <c r="R107" s="7">
        <f t="shared" ca="1" si="52"/>
        <v>46699.02881448462</v>
      </c>
      <c r="S107" s="7">
        <f t="shared" ca="1" si="52"/>
        <v>50434.951119643389</v>
      </c>
      <c r="T107" s="7">
        <f t="shared" ca="1" si="52"/>
        <v>54469.74720921486</v>
      </c>
      <c r="U107" s="7">
        <f t="shared" ca="1" si="52"/>
        <v>58827.326985952051</v>
      </c>
      <c r="V107" s="7">
        <f t="shared" ca="1" si="52"/>
        <v>48238.408128480682</v>
      </c>
      <c r="W107" s="7">
        <f t="shared" ca="1" si="52"/>
        <v>53270.410250494038</v>
      </c>
      <c r="X107" s="7">
        <f t="shared" ca="1" si="52"/>
        <v>58827.326985952051</v>
      </c>
      <c r="Y107" s="7">
        <f t="shared" ca="1" si="52"/>
        <v>63533.513144828219</v>
      </c>
      <c r="Z107" s="7">
        <f t="shared" ca="1" si="52"/>
        <v>68616.194196414479</v>
      </c>
      <c r="AA107" s="7">
        <f t="shared" ca="1" si="52"/>
        <v>49403.65982141842</v>
      </c>
      <c r="AB107" s="7">
        <f t="shared" ca="1" si="52"/>
        <v>52183.96087445414</v>
      </c>
      <c r="AC107" s="7">
        <f t="shared" ca="1" si="52"/>
        <v>55120.72956518014</v>
      </c>
      <c r="AD107" s="7">
        <f t="shared" ca="1" si="52"/>
        <v>58222.77145859725</v>
      </c>
      <c r="AE107" s="7">
        <f t="shared" ca="1" si="52"/>
        <v>61499.387672500015</v>
      </c>
      <c r="AF107" s="7">
        <f t="shared" ca="1" si="52"/>
        <v>64960.402765814506</v>
      </c>
      <c r="AG107" s="7">
        <f t="shared" ca="1" si="52"/>
        <v>68616.194196414493</v>
      </c>
      <c r="AH107" s="7">
        <f t="shared" ca="1" si="52"/>
        <v>74105.489732127651</v>
      </c>
      <c r="AI107" s="7">
        <f t="shared" ca="1" si="52"/>
        <v>80033.928910697869</v>
      </c>
      <c r="AJ107" s="7">
        <f t="shared" ca="1" si="52"/>
        <v>86436.643223553692</v>
      </c>
      <c r="AK107" s="7">
        <f t="shared" ca="1" si="52"/>
        <v>93351.574681437982</v>
      </c>
      <c r="AL107" s="7">
        <f t="shared" ca="1" si="52"/>
        <v>100819.70065595303</v>
      </c>
      <c r="AM107" s="7">
        <f t="shared" ca="1" si="52"/>
        <v>108885.27670842927</v>
      </c>
    </row>
    <row r="108" spans="1:44" x14ac:dyDescent="0.2">
      <c r="A108" s="3" t="s">
        <v>25</v>
      </c>
      <c r="C108" s="7">
        <f ca="1">C105*Inputs!$B$283</f>
        <v>0</v>
      </c>
      <c r="D108" s="7">
        <f ca="1">D105*Inputs!$B$283</f>
        <v>0</v>
      </c>
      <c r="E108" s="7">
        <f ca="1">E105*Inputs!$B$283</f>
        <v>0</v>
      </c>
      <c r="F108" s="7">
        <f ca="1">F105*Inputs!$B$283</f>
        <v>0</v>
      </c>
      <c r="G108" s="7">
        <f ca="1">G105*Inputs!$B$283</f>
        <v>0</v>
      </c>
      <c r="H108" s="7">
        <f ca="1">H105*Inputs!$B$283</f>
        <v>0</v>
      </c>
      <c r="I108" s="7">
        <f ca="1">I105*Inputs!$B$283</f>
        <v>0</v>
      </c>
      <c r="J108" s="7">
        <f ca="1">J105*Inputs!$B$283</f>
        <v>0</v>
      </c>
      <c r="K108" s="7">
        <f ca="1">K105*Inputs!$B$283</f>
        <v>0</v>
      </c>
      <c r="L108" s="7">
        <f ca="1">L105*Inputs!$B$283</f>
        <v>0</v>
      </c>
      <c r="M108" s="7">
        <f ca="1">M105*Inputs!$B$283</f>
        <v>0</v>
      </c>
      <c r="N108" s="7">
        <f ca="1">N105*Inputs!$B$283</f>
        <v>0</v>
      </c>
      <c r="O108" s="7">
        <f ca="1">O105*Inputs!$B$283</f>
        <v>0</v>
      </c>
      <c r="P108" s="7">
        <f ca="1">P105*Inputs!$B$283</f>
        <v>0</v>
      </c>
      <c r="Q108" s="7">
        <f ca="1">Q105*Inputs!$B$283</f>
        <v>0</v>
      </c>
      <c r="R108" s="7">
        <f ca="1">R105*Inputs!$B$283</f>
        <v>0</v>
      </c>
      <c r="S108" s="7">
        <f ca="1">S105*Inputs!$B$283</f>
        <v>0</v>
      </c>
      <c r="T108" s="7">
        <f ca="1">T105*Inputs!$B$283</f>
        <v>0</v>
      </c>
      <c r="U108" s="7">
        <f ca="1">U105*Inputs!$B$283</f>
        <v>0</v>
      </c>
      <c r="V108" s="7">
        <f ca="1">V105*Inputs!$B$283</f>
        <v>0</v>
      </c>
      <c r="W108" s="7">
        <f ca="1">W105*Inputs!$B$283</f>
        <v>0</v>
      </c>
      <c r="X108" s="7">
        <f ca="1">X105*Inputs!$B$283</f>
        <v>0</v>
      </c>
      <c r="Y108" s="7">
        <f ca="1">Y105*Inputs!$B$283</f>
        <v>0</v>
      </c>
      <c r="Z108" s="7">
        <f ca="1">Z105*Inputs!$B$283</f>
        <v>0</v>
      </c>
      <c r="AA108" s="7">
        <f ca="1">AA105*Inputs!$B$283</f>
        <v>0</v>
      </c>
      <c r="AB108" s="7">
        <f ca="1">AB105*Inputs!$B$283</f>
        <v>0</v>
      </c>
      <c r="AC108" s="7">
        <f ca="1">AC105*Inputs!$B$283</f>
        <v>0</v>
      </c>
      <c r="AD108" s="7">
        <f ca="1">AD105*Inputs!$B$283</f>
        <v>0</v>
      </c>
      <c r="AE108" s="7">
        <f ca="1">AE105*Inputs!$B$283</f>
        <v>0</v>
      </c>
      <c r="AF108" s="7">
        <f ca="1">AF105*Inputs!$B$283</f>
        <v>0</v>
      </c>
      <c r="AG108" s="7">
        <f ca="1">AG105*Inputs!$B$283</f>
        <v>0</v>
      </c>
      <c r="AH108" s="7">
        <f ca="1">AH105*Inputs!$B$283</f>
        <v>0</v>
      </c>
      <c r="AI108" s="7">
        <f ca="1">AI105*Inputs!$B$283</f>
        <v>0</v>
      </c>
      <c r="AJ108" s="7">
        <f ca="1">AJ105*Inputs!$B$283</f>
        <v>0</v>
      </c>
      <c r="AK108" s="7">
        <f ca="1">AK105*Inputs!$B$283</f>
        <v>0</v>
      </c>
      <c r="AL108" s="7">
        <f ca="1">AL105*Inputs!$B$283</f>
        <v>0</v>
      </c>
      <c r="AM108" s="7">
        <f ca="1">AM105*Inputs!$B$283</f>
        <v>0</v>
      </c>
    </row>
    <row r="109" spans="1:44" x14ac:dyDescent="0.2">
      <c r="A109" s="3" t="s">
        <v>36</v>
      </c>
      <c r="C109" s="7">
        <f ca="1">-C105+C108</f>
        <v>0</v>
      </c>
      <c r="D109" s="7">
        <f t="shared" ref="D109:AM109" ca="1" si="53">-D105+D108</f>
        <v>0</v>
      </c>
      <c r="E109" s="7">
        <f t="shared" ca="1" si="53"/>
        <v>0</v>
      </c>
      <c r="F109" s="7">
        <f t="shared" ca="1" si="53"/>
        <v>0</v>
      </c>
      <c r="G109" s="7">
        <f t="shared" ca="1" si="53"/>
        <v>0</v>
      </c>
      <c r="H109" s="7">
        <f t="shared" ca="1" si="53"/>
        <v>0</v>
      </c>
      <c r="I109" s="7">
        <f t="shared" ca="1" si="53"/>
        <v>0</v>
      </c>
      <c r="J109" s="7">
        <f t="shared" ca="1" si="53"/>
        <v>0</v>
      </c>
      <c r="K109" s="7">
        <f t="shared" ca="1" si="53"/>
        <v>0</v>
      </c>
      <c r="L109" s="7">
        <f t="shared" ca="1" si="53"/>
        <v>0</v>
      </c>
      <c r="M109" s="7">
        <f t="shared" ca="1" si="53"/>
        <v>0</v>
      </c>
      <c r="N109" s="7">
        <f t="shared" ca="1" si="53"/>
        <v>0</v>
      </c>
      <c r="O109" s="7">
        <f t="shared" ca="1" si="53"/>
        <v>0</v>
      </c>
      <c r="P109" s="7">
        <f t="shared" ca="1" si="53"/>
        <v>0</v>
      </c>
      <c r="Q109" s="7">
        <f t="shared" ca="1" si="53"/>
        <v>0</v>
      </c>
      <c r="R109" s="7">
        <f t="shared" ca="1" si="53"/>
        <v>0</v>
      </c>
      <c r="S109" s="7">
        <f t="shared" ca="1" si="53"/>
        <v>0</v>
      </c>
      <c r="T109" s="7">
        <f t="shared" ca="1" si="53"/>
        <v>0</v>
      </c>
      <c r="U109" s="7">
        <f t="shared" ca="1" si="53"/>
        <v>0</v>
      </c>
      <c r="V109" s="7">
        <f t="shared" ca="1" si="53"/>
        <v>0</v>
      </c>
      <c r="W109" s="7">
        <f t="shared" ca="1" si="53"/>
        <v>0</v>
      </c>
      <c r="X109" s="7">
        <f t="shared" ca="1" si="53"/>
        <v>0</v>
      </c>
      <c r="Y109" s="7">
        <f t="shared" ca="1" si="53"/>
        <v>0</v>
      </c>
      <c r="Z109" s="7">
        <f t="shared" ca="1" si="53"/>
        <v>0</v>
      </c>
      <c r="AA109" s="7">
        <f t="shared" ca="1" si="53"/>
        <v>0</v>
      </c>
      <c r="AB109" s="7">
        <f t="shared" ca="1" si="53"/>
        <v>0</v>
      </c>
      <c r="AC109" s="7">
        <f t="shared" ca="1" si="53"/>
        <v>0</v>
      </c>
      <c r="AD109" s="7">
        <f t="shared" ca="1" si="53"/>
        <v>0</v>
      </c>
      <c r="AE109" s="7">
        <f t="shared" ca="1" si="53"/>
        <v>0</v>
      </c>
      <c r="AF109" s="7">
        <f t="shared" ca="1" si="53"/>
        <v>0</v>
      </c>
      <c r="AG109" s="7">
        <f t="shared" ca="1" si="53"/>
        <v>0</v>
      </c>
      <c r="AH109" s="7">
        <f t="shared" ca="1" si="53"/>
        <v>0</v>
      </c>
      <c r="AI109" s="7">
        <f t="shared" ca="1" si="53"/>
        <v>0</v>
      </c>
      <c r="AJ109" s="7">
        <f t="shared" ca="1" si="53"/>
        <v>0</v>
      </c>
      <c r="AK109" s="7">
        <f t="shared" ca="1" si="53"/>
        <v>0</v>
      </c>
      <c r="AL109" s="7">
        <f t="shared" ca="1" si="53"/>
        <v>0</v>
      </c>
      <c r="AM109" s="7">
        <f t="shared" ca="1" si="53"/>
        <v>0</v>
      </c>
    </row>
    <row r="110" spans="1:44" x14ac:dyDescent="0.2">
      <c r="A110" s="4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</row>
    <row r="111" spans="1:44" x14ac:dyDescent="0.2">
      <c r="A111" s="3" t="s">
        <v>70</v>
      </c>
      <c r="C111" s="7">
        <f ca="1">C98+SUM($C109:C109)</f>
        <v>16108.4375</v>
      </c>
      <c r="D111" s="7">
        <f ca="1">D98+SUM($C109:D109)</f>
        <v>30012.145312499997</v>
      </c>
      <c r="E111" s="7">
        <f ca="1">E98+SUM($C109:E109)</f>
        <v>50169.6494140625</v>
      </c>
      <c r="F111" s="7">
        <f ca="1">F98+SUM($C109:F109)</f>
        <v>52227.783801841113</v>
      </c>
      <c r="G111" s="7">
        <f ca="1">G98+SUM($C109:G109)</f>
        <v>250455.15989583102</v>
      </c>
      <c r="H111" s="7">
        <f ca="1">H98+SUM($C109:H109)</f>
        <v>296986.84009098983</v>
      </c>
      <c r="I111" s="7">
        <f ca="1">I98+SUM($C109:I109)</f>
        <v>363754.64435619779</v>
      </c>
      <c r="J111" s="7">
        <f ca="1">J98+SUM($C109:J109)</f>
        <v>435067.93012454931</v>
      </c>
      <c r="K111" s="7">
        <f ca="1">K98+SUM($C109:K109)</f>
        <v>493116.96835998015</v>
      </c>
      <c r="L111" s="7">
        <f ca="1">L98+SUM($C109:L109)</f>
        <v>638212.2751736166</v>
      </c>
      <c r="M111" s="7">
        <f ca="1">M98+SUM($C109:M109)</f>
        <v>695163.71186735749</v>
      </c>
      <c r="N111" s="7">
        <f ca="1">N98+SUM($C109:N109)</f>
        <v>805771.16934020713</v>
      </c>
      <c r="O111" s="7">
        <f ca="1">O98+SUM($C109:O109)</f>
        <v>922222.00124800857</v>
      </c>
      <c r="P111" s="7">
        <f ca="1">P98+SUM($C109:P109)</f>
        <v>1044762.6085180258</v>
      </c>
      <c r="Q111" s="7">
        <f ca="1">Q98+SUM($C109:Q109)</f>
        <v>1173648.7608708572</v>
      </c>
      <c r="R111" s="7">
        <f ca="1">R98+SUM($C109:R109)</f>
        <v>1309145.9322852024</v>
      </c>
      <c r="S111" s="7">
        <f ca="1">S98+SUM($C109:S109)</f>
        <v>1451529.6480111426</v>
      </c>
      <c r="T111" s="7">
        <f ca="1">T98+SUM($C109:T109)</f>
        <v>1491855.4011356728</v>
      </c>
      <c r="U111" s="7">
        <f ca="1">U98+SUM($C109:U109)</f>
        <v>1541415.1978627439</v>
      </c>
      <c r="V111" s="7">
        <f ca="1">V98+SUM($C109:V109)</f>
        <v>1592757.5777099284</v>
      </c>
      <c r="W111" s="7">
        <f ca="1">W98+SUM($C109:W109)</f>
        <v>1645948.7425475621</v>
      </c>
      <c r="X111" s="7">
        <f ca="1">X98+SUM($C109:X109)</f>
        <v>1701057.3316526653</v>
      </c>
      <c r="Y111" s="7">
        <f ca="1">Y98+SUM($C109:Y109)</f>
        <v>1737237.4169653396</v>
      </c>
      <c r="Z111" s="7">
        <f ca="1">Z98+SUM($C109:Z109)</f>
        <v>1774434.0167242812</v>
      </c>
      <c r="AA111" s="7">
        <f ca="1">AA98+SUM($C109:AA109)</f>
        <v>1812684.4017288706</v>
      </c>
      <c r="AB111" s="7">
        <f ca="1">AB98+SUM($C109:AB109)</f>
        <v>1852027.3427258399</v>
      </c>
      <c r="AC111" s="7">
        <f ca="1">AC98+SUM($C109:AC109)</f>
        <v>1892503.1702642585</v>
      </c>
      <c r="AD111" s="7">
        <f ca="1">AD98+SUM($C109:AD109)</f>
        <v>1934153.8368503558</v>
      </c>
      <c r="AE111" s="7">
        <f ca="1">AE98+SUM($C109:AE109)</f>
        <v>1987130.2375195618</v>
      </c>
      <c r="AF111" s="7">
        <f ca="1">AF98+SUM($C109:AF109)</f>
        <v>2041875.8715530399</v>
      </c>
      <c r="AG111" s="7">
        <f ca="1">AG98+SUM($C109:AG109)</f>
        <v>2098456.905652951</v>
      </c>
      <c r="AH111" s="7">
        <f ca="1">AH98+SUM($C109:AH109)</f>
        <v>2156942.0335442415</v>
      </c>
      <c r="AI111" s="7">
        <f ca="1">AI98+SUM($C109:AI109)</f>
        <v>2217402.5707053514</v>
      </c>
      <c r="AJ111" s="7">
        <f ca="1">AJ98+SUM($C109:AJ109)</f>
        <v>2279912.5525480784</v>
      </c>
      <c r="AK111" s="7">
        <f ca="1">AK98+SUM($C109:AK109)</f>
        <v>2344548.8361686133</v>
      </c>
      <c r="AL111" s="7">
        <f ca="1">AL98+SUM($C109:AL109)</f>
        <v>2411391.2057959661</v>
      </c>
      <c r="AM111" s="7">
        <f ca="1">AM98+SUM($C109:AM109)</f>
        <v>2480522.4820683482</v>
      </c>
    </row>
    <row r="112" spans="1:44" x14ac:dyDescent="0.2">
      <c r="A112" s="3" t="s">
        <v>19</v>
      </c>
      <c r="C112" s="7">
        <f ca="1">IF(C111&lt;0,-C111,0)</f>
        <v>0</v>
      </c>
      <c r="D112" s="7">
        <f ca="1">IF(D111+SUM($C112:C112)&lt;0,-(D111+SUM($C112:C112)),0)</f>
        <v>0</v>
      </c>
      <c r="E112" s="7">
        <f ca="1">IF(E111+SUM($C112:D112)&lt;0,-(E111+SUM($C112:D112)),0)</f>
        <v>0</v>
      </c>
      <c r="F112" s="7">
        <f ca="1">IF(F111+SUM($C112:E112)&lt;0,-(F111+SUM($C112:E112)),0)</f>
        <v>0</v>
      </c>
      <c r="G112" s="7">
        <f ca="1">IF(G111+SUM($C112:F112)&lt;0,-(G111+SUM($C112:F112)),0)</f>
        <v>0</v>
      </c>
      <c r="H112" s="7">
        <f ca="1">IF(H111+SUM($C112:G112)&lt;0,-(H111+SUM($C112:G112)),0)</f>
        <v>0</v>
      </c>
      <c r="I112" s="7">
        <f ca="1">IF(I111+SUM($C112:H112)&lt;0,-(I111+SUM($C112:H112)),0)</f>
        <v>0</v>
      </c>
      <c r="J112" s="7">
        <f ca="1">IF(J111+SUM($C112:I112)&lt;0,-(J111+SUM($C112:I112)),0)</f>
        <v>0</v>
      </c>
      <c r="K112" s="7">
        <f ca="1">IF(K111+SUM($C112:J112)&lt;0,-(K111+SUM($C112:J112)),0)</f>
        <v>0</v>
      </c>
      <c r="L112" s="7">
        <f ca="1">IF(L111+SUM($C112:K112)&lt;0,-(L111+SUM($C112:K112)),0)</f>
        <v>0</v>
      </c>
      <c r="M112" s="7">
        <f ca="1">IF(M111+SUM($C112:L112)&lt;0,-(M111+SUM($C112:L112)),0)</f>
        <v>0</v>
      </c>
      <c r="N112" s="7">
        <f ca="1">IF(N111+SUM($C112:M112)&lt;0,-(N111+SUM($C112:M112)),0)</f>
        <v>0</v>
      </c>
      <c r="O112" s="7">
        <f ca="1">IF(O111+SUM($C112:N112)&lt;0,-(O111+SUM($C112:N112)),0)</f>
        <v>0</v>
      </c>
      <c r="P112" s="7">
        <f ca="1">IF(P111+SUM($C112:O112)&lt;0,-(P111+SUM($C112:O112)),0)</f>
        <v>0</v>
      </c>
      <c r="Q112" s="7">
        <f ca="1">IF(Q111+SUM($C112:P112)&lt;0,-(Q111+SUM($C112:P112)),0)</f>
        <v>0</v>
      </c>
      <c r="R112" s="7">
        <f ca="1">IF(R111+SUM($C112:Q112)&lt;0,-(R111+SUM($C112:Q112)),0)</f>
        <v>0</v>
      </c>
      <c r="S112" s="7">
        <f ca="1">IF(S111+SUM($C112:R112)&lt;0,-(S111+SUM($C112:R112)),0)</f>
        <v>0</v>
      </c>
      <c r="T112" s="7">
        <f ca="1">IF(T111+SUM($C112:S112)&lt;0,-(T111+SUM($C112:S112)),0)</f>
        <v>0</v>
      </c>
      <c r="U112" s="7">
        <f ca="1">IF(U111+SUM($C112:T112)&lt;0,-(U111+SUM($C112:T112)),0)</f>
        <v>0</v>
      </c>
      <c r="V112" s="7">
        <f ca="1">IF(V111+SUM($C112:U112)&lt;0,-(V111+SUM($C112:U112)),0)</f>
        <v>0</v>
      </c>
      <c r="W112" s="7">
        <f ca="1">IF(W111+SUM($C112:V112)&lt;0,-(W111+SUM($C112:V112)),0)</f>
        <v>0</v>
      </c>
      <c r="X112" s="7">
        <f ca="1">IF(X111+SUM($C112:W112)&lt;0,-(X111+SUM($C112:W112)),0)</f>
        <v>0</v>
      </c>
      <c r="Y112" s="7">
        <f ca="1">IF(Y111+SUM($C112:X112)&lt;0,-(Y111+SUM($C112:X112)),0)</f>
        <v>0</v>
      </c>
      <c r="Z112" s="7">
        <f ca="1">IF(Z111+SUM($C112:Y112)&lt;0,-(Z111+SUM($C112:Y112)),0)</f>
        <v>0</v>
      </c>
      <c r="AA112" s="7">
        <f ca="1">IF(AA111+SUM($C112:Z112)&lt;0,-(AA111+SUM($C112:Z112)),0)</f>
        <v>0</v>
      </c>
      <c r="AB112" s="7">
        <f ca="1">IF(AB111+SUM($C112:AA112)&lt;0,-(AB111+SUM($C112:AA112)),0)</f>
        <v>0</v>
      </c>
      <c r="AC112" s="7">
        <f ca="1">IF(AC111+SUM($C112:AB112)&lt;0,-(AC111+SUM($C112:AB112)),0)</f>
        <v>0</v>
      </c>
      <c r="AD112" s="7">
        <f ca="1">IF(AD111+SUM($C112:AC112)&lt;0,-(AD111+SUM($C112:AC112)),0)</f>
        <v>0</v>
      </c>
      <c r="AE112" s="7">
        <f ca="1">IF(AE111+SUM($C112:AD112)&lt;0,-(AE111+SUM($C112:AD112)),0)</f>
        <v>0</v>
      </c>
      <c r="AF112" s="7">
        <f ca="1">IF(AF111+SUM($C112:AE112)&lt;0,-(AF111+SUM($C112:AE112)),0)</f>
        <v>0</v>
      </c>
      <c r="AG112" s="7">
        <f ca="1">IF(AG111+SUM($C112:AF112)&lt;0,-(AG111+SUM($C112:AF112)),0)</f>
        <v>0</v>
      </c>
      <c r="AH112" s="7">
        <f ca="1">IF(AH111+SUM($C112:AG112)&lt;0,-(AH111+SUM($C112:AG112)),0)</f>
        <v>0</v>
      </c>
      <c r="AI112" s="7">
        <f ca="1">IF(AI111+SUM($C112:AH112)&lt;0,-(AI111+SUM($C112:AH112)),0)</f>
        <v>0</v>
      </c>
      <c r="AJ112" s="7">
        <f ca="1">IF(AJ111+SUM($C112:AI112)&lt;0,-(AJ111+SUM($C112:AI112)),0)</f>
        <v>0</v>
      </c>
      <c r="AK112" s="7">
        <f ca="1">IF(AK111+SUM($C112:AJ112)&lt;0,-(AK111+SUM($C112:AJ112)),0)</f>
        <v>0</v>
      </c>
      <c r="AL112" s="7">
        <f ca="1">IF(AL111+SUM($C112:AK112)&lt;0,-(AL111+SUM($C112:AK112)),0)</f>
        <v>0</v>
      </c>
      <c r="AM112" s="7">
        <f ca="1">IF(AM111+SUM($C112:AL112)&lt;0,-(AM111+SUM($C112:AL112)),0)</f>
        <v>0</v>
      </c>
    </row>
    <row r="113" spans="1:39" x14ac:dyDescent="0.2">
      <c r="A113" s="3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</row>
    <row r="114" spans="1:39" x14ac:dyDescent="0.2">
      <c r="A114" s="24" t="str">
        <f>IF(Inputs!$B$289=6,IFERROR(_xlfn.XLOOKUP($B114,Inputs!$B$290:$B$299,Inputs!$A$290:$A$299,,0,1),""),IFERROR(_xlfn.XLOOKUP($B114,Inputs!$C$290:$C$299,Inputs!$A$290:$A$299,,0,1),""))</f>
        <v>Painting</v>
      </c>
      <c r="B114" s="26">
        <v>1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</row>
    <row r="115" spans="1:39" x14ac:dyDescent="0.2">
      <c r="A115" s="3" t="s">
        <v>21</v>
      </c>
      <c r="C115" s="7">
        <f ca="1">IFERROR(VLOOKUP($A114,$A$67:$H$96,C$1+2,FALSE),0)</f>
        <v>20448.333244589874</v>
      </c>
      <c r="D115" s="7">
        <f ca="1">C118</f>
        <v>20448.333244589874</v>
      </c>
      <c r="E115" s="7">
        <f t="shared" ref="E115:AM115" ca="1" si="54">D118</f>
        <v>21061.783241927569</v>
      </c>
      <c r="F115" s="7">
        <f t="shared" ca="1" si="54"/>
        <v>21693.636739185396</v>
      </c>
      <c r="G115" s="7">
        <f t="shared" ca="1" si="54"/>
        <v>22344.445841360957</v>
      </c>
      <c r="H115" s="7">
        <f t="shared" ca="1" si="54"/>
        <v>23014.779216601786</v>
      </c>
      <c r="I115" s="7">
        <f t="shared" ca="1" si="54"/>
        <v>23705.222593099839</v>
      </c>
      <c r="J115" s="7">
        <f t="shared" ca="1" si="54"/>
        <v>24416.379270892834</v>
      </c>
      <c r="K115" s="7">
        <f t="shared" ca="1" si="54"/>
        <v>25148.87064901962</v>
      </c>
      <c r="L115" s="7">
        <f t="shared" ca="1" si="54"/>
        <v>25903.336768490208</v>
      </c>
      <c r="M115" s="7">
        <f t="shared" ca="1" si="54"/>
        <v>26680.436871544913</v>
      </c>
      <c r="N115" s="7">
        <f t="shared" ca="1" si="54"/>
        <v>27480.849977691261</v>
      </c>
      <c r="O115" s="7">
        <f t="shared" ca="1" si="54"/>
        <v>28305.275477021998</v>
      </c>
      <c r="P115" s="7">
        <f t="shared" ca="1" si="54"/>
        <v>29154.433741332658</v>
      </c>
      <c r="Q115" s="7">
        <f t="shared" ca="1" si="54"/>
        <v>30029.066753572639</v>
      </c>
      <c r="R115" s="7">
        <f t="shared" ca="1" si="54"/>
        <v>30929.938756179818</v>
      </c>
      <c r="S115" s="7">
        <f t="shared" ca="1" si="54"/>
        <v>31857.83691886521</v>
      </c>
      <c r="T115" s="7">
        <f t="shared" ca="1" si="54"/>
        <v>32813.572026431168</v>
      </c>
      <c r="U115" s="7">
        <f t="shared" ca="1" si="54"/>
        <v>33797.979187224104</v>
      </c>
      <c r="V115" s="7">
        <f t="shared" ca="1" si="54"/>
        <v>34811.91856284083</v>
      </c>
      <c r="W115" s="7">
        <f t="shared" ca="1" si="54"/>
        <v>35856.276119726055</v>
      </c>
      <c r="X115" s="7">
        <f t="shared" ca="1" si="54"/>
        <v>36931.964403317834</v>
      </c>
      <c r="Y115" s="7">
        <f t="shared" ca="1" si="54"/>
        <v>38039.92333541737</v>
      </c>
      <c r="Z115" s="7">
        <f t="shared" ca="1" si="54"/>
        <v>39181.12103547989</v>
      </c>
      <c r="AA115" s="7">
        <f t="shared" ca="1" si="54"/>
        <v>40356.554666544289</v>
      </c>
      <c r="AB115" s="7">
        <f t="shared" ca="1" si="54"/>
        <v>41567.251306540616</v>
      </c>
      <c r="AC115" s="7">
        <f t="shared" ca="1" si="54"/>
        <v>42814.268845736835</v>
      </c>
      <c r="AD115" s="7">
        <f t="shared" ca="1" si="54"/>
        <v>44098.696911108942</v>
      </c>
      <c r="AE115" s="7">
        <f t="shared" ca="1" si="54"/>
        <v>45421.657818442211</v>
      </c>
      <c r="AF115" s="7">
        <f t="shared" ca="1" si="54"/>
        <v>46784.30755299548</v>
      </c>
      <c r="AG115" s="7">
        <f t="shared" ca="1" si="54"/>
        <v>48187.836779585341</v>
      </c>
      <c r="AH115" s="7">
        <f t="shared" ca="1" si="54"/>
        <v>49633.471882972903</v>
      </c>
      <c r="AI115" s="7">
        <f t="shared" ca="1" si="54"/>
        <v>51122.47603946209</v>
      </c>
      <c r="AJ115" s="7">
        <f t="shared" ca="1" si="54"/>
        <v>52656.150320645953</v>
      </c>
      <c r="AK115" s="7">
        <f t="shared" ca="1" si="54"/>
        <v>54235.834830265332</v>
      </c>
      <c r="AL115" s="7">
        <f t="shared" ca="1" si="54"/>
        <v>55862.909875173289</v>
      </c>
      <c r="AM115" s="7">
        <f t="shared" ca="1" si="54"/>
        <v>57538.797171428487</v>
      </c>
    </row>
    <row r="116" spans="1:39" x14ac:dyDescent="0.2">
      <c r="A116" s="3" t="s">
        <v>22</v>
      </c>
      <c r="C116" s="7">
        <f ca="1">-IF(D112&gt;0,C115,0)</f>
        <v>0</v>
      </c>
      <c r="D116" s="7">
        <f ca="1">-IF(E112&gt;0,D115,0)</f>
        <v>0</v>
      </c>
      <c r="E116" s="7">
        <f ca="1">-IF(F112&gt;0,E115,0)</f>
        <v>0</v>
      </c>
      <c r="F116" s="7">
        <f ca="1">-IF(G112&gt;0,F115,0)</f>
        <v>0</v>
      </c>
      <c r="G116" s="7">
        <f t="shared" ref="G116:AM116" ca="1" si="55">-IF(H112&gt;0,G115,0)</f>
        <v>0</v>
      </c>
      <c r="H116" s="7">
        <f t="shared" ca="1" si="55"/>
        <v>0</v>
      </c>
      <c r="I116" s="7">
        <f t="shared" ca="1" si="55"/>
        <v>0</v>
      </c>
      <c r="J116" s="7">
        <f t="shared" ca="1" si="55"/>
        <v>0</v>
      </c>
      <c r="K116" s="7">
        <f t="shared" ca="1" si="55"/>
        <v>0</v>
      </c>
      <c r="L116" s="7">
        <f t="shared" ca="1" si="55"/>
        <v>0</v>
      </c>
      <c r="M116" s="7">
        <f t="shared" ca="1" si="55"/>
        <v>0</v>
      </c>
      <c r="N116" s="7">
        <f t="shared" ca="1" si="55"/>
        <v>0</v>
      </c>
      <c r="O116" s="7">
        <f t="shared" ca="1" si="55"/>
        <v>0</v>
      </c>
      <c r="P116" s="7">
        <f t="shared" ca="1" si="55"/>
        <v>0</v>
      </c>
      <c r="Q116" s="7">
        <f t="shared" ca="1" si="55"/>
        <v>0</v>
      </c>
      <c r="R116" s="7">
        <f t="shared" ca="1" si="55"/>
        <v>0</v>
      </c>
      <c r="S116" s="7">
        <f t="shared" ca="1" si="55"/>
        <v>0</v>
      </c>
      <c r="T116" s="7">
        <f t="shared" ca="1" si="55"/>
        <v>0</v>
      </c>
      <c r="U116" s="7">
        <f t="shared" ca="1" si="55"/>
        <v>0</v>
      </c>
      <c r="V116" s="7">
        <f t="shared" ca="1" si="55"/>
        <v>0</v>
      </c>
      <c r="W116" s="7">
        <f t="shared" ca="1" si="55"/>
        <v>0</v>
      </c>
      <c r="X116" s="7">
        <f t="shared" ca="1" si="55"/>
        <v>0</v>
      </c>
      <c r="Y116" s="7">
        <f t="shared" ca="1" si="55"/>
        <v>0</v>
      </c>
      <c r="Z116" s="7">
        <f t="shared" ca="1" si="55"/>
        <v>0</v>
      </c>
      <c r="AA116" s="7">
        <f t="shared" ca="1" si="55"/>
        <v>0</v>
      </c>
      <c r="AB116" s="7">
        <f t="shared" ca="1" si="55"/>
        <v>0</v>
      </c>
      <c r="AC116" s="7">
        <f t="shared" ca="1" si="55"/>
        <v>0</v>
      </c>
      <c r="AD116" s="7">
        <f t="shared" ca="1" si="55"/>
        <v>0</v>
      </c>
      <c r="AE116" s="7">
        <f t="shared" ca="1" si="55"/>
        <v>0</v>
      </c>
      <c r="AF116" s="7">
        <f t="shared" ca="1" si="55"/>
        <v>0</v>
      </c>
      <c r="AG116" s="7">
        <f t="shared" ca="1" si="55"/>
        <v>0</v>
      </c>
      <c r="AH116" s="7">
        <f t="shared" ca="1" si="55"/>
        <v>0</v>
      </c>
      <c r="AI116" s="7">
        <f t="shared" ca="1" si="55"/>
        <v>0</v>
      </c>
      <c r="AJ116" s="7">
        <f t="shared" ca="1" si="55"/>
        <v>0</v>
      </c>
      <c r="AK116" s="7">
        <f t="shared" ca="1" si="55"/>
        <v>0</v>
      </c>
      <c r="AL116" s="7">
        <f t="shared" ca="1" si="55"/>
        <v>0</v>
      </c>
      <c r="AM116" s="7">
        <f t="shared" si="55"/>
        <v>0</v>
      </c>
    </row>
    <row r="117" spans="1:39" x14ac:dyDescent="0.2">
      <c r="A117" s="3" t="s">
        <v>23</v>
      </c>
      <c r="C117" s="7">
        <v>0</v>
      </c>
      <c r="D117" s="7">
        <f t="shared" ref="D117:AM117" ca="1" si="56">SUM(D115:D116)*VLOOKUP($A114,AssVar,2,FALSE)</f>
        <v>613.44999733769623</v>
      </c>
      <c r="E117" s="7">
        <f t="shared" ca="1" si="56"/>
        <v>631.85349725782703</v>
      </c>
      <c r="F117" s="7">
        <f t="shared" ca="1" si="56"/>
        <v>650.80910217556186</v>
      </c>
      <c r="G117" s="7">
        <f t="shared" ca="1" si="56"/>
        <v>670.33337524082867</v>
      </c>
      <c r="H117" s="7">
        <f t="shared" ca="1" si="56"/>
        <v>690.44337649805357</v>
      </c>
      <c r="I117" s="7">
        <f t="shared" ca="1" si="56"/>
        <v>711.1566777929952</v>
      </c>
      <c r="J117" s="7">
        <f t="shared" ca="1" si="56"/>
        <v>732.49137812678498</v>
      </c>
      <c r="K117" s="7">
        <f t="shared" ca="1" si="56"/>
        <v>754.46611947058852</v>
      </c>
      <c r="L117" s="7">
        <f t="shared" ca="1" si="56"/>
        <v>777.10010305470621</v>
      </c>
      <c r="M117" s="7">
        <f t="shared" ca="1" si="56"/>
        <v>800.41310614634733</v>
      </c>
      <c r="N117" s="7">
        <f t="shared" ca="1" si="56"/>
        <v>824.42549933073781</v>
      </c>
      <c r="O117" s="7">
        <f t="shared" ca="1" si="56"/>
        <v>849.15826431065989</v>
      </c>
      <c r="P117" s="7">
        <f t="shared" ca="1" si="56"/>
        <v>874.63301223997973</v>
      </c>
      <c r="Q117" s="7">
        <f t="shared" ca="1" si="56"/>
        <v>900.87200260717918</v>
      </c>
      <c r="R117" s="7">
        <f t="shared" ca="1" si="56"/>
        <v>927.89816268539448</v>
      </c>
      <c r="S117" s="7">
        <f t="shared" ca="1" si="56"/>
        <v>955.73510756595624</v>
      </c>
      <c r="T117" s="7">
        <f t="shared" ca="1" si="56"/>
        <v>984.40716079293497</v>
      </c>
      <c r="U117" s="7">
        <f t="shared" ca="1" si="56"/>
        <v>1013.9393756167231</v>
      </c>
      <c r="V117" s="7">
        <f t="shared" ca="1" si="56"/>
        <v>1044.3575568852248</v>
      </c>
      <c r="W117" s="7">
        <f t="shared" ca="1" si="56"/>
        <v>1075.6882835917816</v>
      </c>
      <c r="X117" s="7">
        <f t="shared" ca="1" si="56"/>
        <v>1107.9589320995349</v>
      </c>
      <c r="Y117" s="7">
        <f t="shared" ca="1" si="56"/>
        <v>1141.1977000625211</v>
      </c>
      <c r="Z117" s="7">
        <f t="shared" ca="1" si="56"/>
        <v>1175.4336310643966</v>
      </c>
      <c r="AA117" s="7">
        <f t="shared" ca="1" si="56"/>
        <v>1210.6966399963287</v>
      </c>
      <c r="AB117" s="7">
        <f t="shared" ca="1" si="56"/>
        <v>1247.0175391962184</v>
      </c>
      <c r="AC117" s="7">
        <f t="shared" ca="1" si="56"/>
        <v>1284.428065372105</v>
      </c>
      <c r="AD117" s="7">
        <f t="shared" ca="1" si="56"/>
        <v>1322.9609073332683</v>
      </c>
      <c r="AE117" s="7">
        <f t="shared" ca="1" si="56"/>
        <v>1362.6497345532662</v>
      </c>
      <c r="AF117" s="7">
        <f t="shared" ca="1" si="56"/>
        <v>1403.5292265898643</v>
      </c>
      <c r="AG117" s="7">
        <f t="shared" ca="1" si="56"/>
        <v>1445.6351033875601</v>
      </c>
      <c r="AH117" s="7">
        <f t="shared" ca="1" si="56"/>
        <v>1489.0041564891869</v>
      </c>
      <c r="AI117" s="7">
        <f t="shared" ca="1" si="56"/>
        <v>1533.6742811838626</v>
      </c>
      <c r="AJ117" s="7">
        <f t="shared" ca="1" si="56"/>
        <v>1579.6845096193786</v>
      </c>
      <c r="AK117" s="7">
        <f t="shared" ca="1" si="56"/>
        <v>1627.0750449079599</v>
      </c>
      <c r="AL117" s="7">
        <f t="shared" ca="1" si="56"/>
        <v>1675.8872962551986</v>
      </c>
      <c r="AM117" s="7">
        <f t="shared" ca="1" si="56"/>
        <v>1726.1639151428546</v>
      </c>
    </row>
    <row r="118" spans="1:39" x14ac:dyDescent="0.2">
      <c r="A118" s="3" t="s">
        <v>24</v>
      </c>
      <c r="C118" s="7">
        <f ca="1">SUM(C115:C117)</f>
        <v>20448.333244589874</v>
      </c>
      <c r="D118" s="7">
        <f t="shared" ref="D118:AM118" ca="1" si="57">SUM(D115:D117)</f>
        <v>21061.783241927569</v>
      </c>
      <c r="E118" s="7">
        <f t="shared" ca="1" si="57"/>
        <v>21693.636739185396</v>
      </c>
      <c r="F118" s="7">
        <f t="shared" ca="1" si="57"/>
        <v>22344.445841360957</v>
      </c>
      <c r="G118" s="7">
        <f t="shared" ca="1" si="57"/>
        <v>23014.779216601786</v>
      </c>
      <c r="H118" s="7">
        <f t="shared" ca="1" si="57"/>
        <v>23705.222593099839</v>
      </c>
      <c r="I118" s="7">
        <f t="shared" ca="1" si="57"/>
        <v>24416.379270892834</v>
      </c>
      <c r="J118" s="7">
        <f t="shared" ca="1" si="57"/>
        <v>25148.87064901962</v>
      </c>
      <c r="K118" s="7">
        <f t="shared" ca="1" si="57"/>
        <v>25903.336768490208</v>
      </c>
      <c r="L118" s="7">
        <f t="shared" ca="1" si="57"/>
        <v>26680.436871544913</v>
      </c>
      <c r="M118" s="7">
        <f t="shared" ca="1" si="57"/>
        <v>27480.849977691261</v>
      </c>
      <c r="N118" s="7">
        <f t="shared" ca="1" si="57"/>
        <v>28305.275477021998</v>
      </c>
      <c r="O118" s="7">
        <f t="shared" ca="1" si="57"/>
        <v>29154.433741332658</v>
      </c>
      <c r="P118" s="7">
        <f t="shared" ca="1" si="57"/>
        <v>30029.066753572639</v>
      </c>
      <c r="Q118" s="7">
        <f t="shared" ca="1" si="57"/>
        <v>30929.938756179818</v>
      </c>
      <c r="R118" s="7">
        <f t="shared" ca="1" si="57"/>
        <v>31857.83691886521</v>
      </c>
      <c r="S118" s="7">
        <f t="shared" ca="1" si="57"/>
        <v>32813.572026431168</v>
      </c>
      <c r="T118" s="7">
        <f t="shared" ca="1" si="57"/>
        <v>33797.979187224104</v>
      </c>
      <c r="U118" s="7">
        <f t="shared" ca="1" si="57"/>
        <v>34811.91856284083</v>
      </c>
      <c r="V118" s="7">
        <f t="shared" ca="1" si="57"/>
        <v>35856.276119726055</v>
      </c>
      <c r="W118" s="7">
        <f t="shared" ca="1" si="57"/>
        <v>36931.964403317834</v>
      </c>
      <c r="X118" s="7">
        <f t="shared" ca="1" si="57"/>
        <v>38039.92333541737</v>
      </c>
      <c r="Y118" s="7">
        <f t="shared" ca="1" si="57"/>
        <v>39181.12103547989</v>
      </c>
      <c r="Z118" s="7">
        <f t="shared" ca="1" si="57"/>
        <v>40356.554666544289</v>
      </c>
      <c r="AA118" s="7">
        <f t="shared" ca="1" si="57"/>
        <v>41567.251306540616</v>
      </c>
      <c r="AB118" s="7">
        <f t="shared" ca="1" si="57"/>
        <v>42814.268845736835</v>
      </c>
      <c r="AC118" s="7">
        <f t="shared" ca="1" si="57"/>
        <v>44098.696911108942</v>
      </c>
      <c r="AD118" s="7">
        <f t="shared" ca="1" si="57"/>
        <v>45421.657818442211</v>
      </c>
      <c r="AE118" s="7">
        <f t="shared" ca="1" si="57"/>
        <v>46784.30755299548</v>
      </c>
      <c r="AF118" s="7">
        <f t="shared" ca="1" si="57"/>
        <v>48187.836779585341</v>
      </c>
      <c r="AG118" s="7">
        <f t="shared" ca="1" si="57"/>
        <v>49633.471882972903</v>
      </c>
      <c r="AH118" s="7">
        <f t="shared" ca="1" si="57"/>
        <v>51122.47603946209</v>
      </c>
      <c r="AI118" s="7">
        <f t="shared" ca="1" si="57"/>
        <v>52656.150320645953</v>
      </c>
      <c r="AJ118" s="7">
        <f t="shared" ca="1" si="57"/>
        <v>54235.834830265332</v>
      </c>
      <c r="AK118" s="7">
        <f t="shared" ca="1" si="57"/>
        <v>55862.909875173289</v>
      </c>
      <c r="AL118" s="7">
        <f t="shared" ca="1" si="57"/>
        <v>57538.797171428487</v>
      </c>
      <c r="AM118" s="7">
        <f t="shared" ca="1" si="57"/>
        <v>59264.96108657134</v>
      </c>
    </row>
    <row r="119" spans="1:39" x14ac:dyDescent="0.2">
      <c r="A119" s="3" t="s">
        <v>25</v>
      </c>
      <c r="C119" s="7">
        <f t="shared" ref="C119:AM119" ca="1" si="58">C116*VLOOKUP($A114,AssVar,3,FALSE)</f>
        <v>0</v>
      </c>
      <c r="D119" s="7">
        <f t="shared" ca="1" si="58"/>
        <v>0</v>
      </c>
      <c r="E119" s="7">
        <f t="shared" ca="1" si="58"/>
        <v>0</v>
      </c>
      <c r="F119" s="7">
        <f t="shared" ca="1" si="58"/>
        <v>0</v>
      </c>
      <c r="G119" s="7">
        <f t="shared" ca="1" si="58"/>
        <v>0</v>
      </c>
      <c r="H119" s="7">
        <f t="shared" ca="1" si="58"/>
        <v>0</v>
      </c>
      <c r="I119" s="7">
        <f t="shared" ca="1" si="58"/>
        <v>0</v>
      </c>
      <c r="J119" s="7">
        <f t="shared" ca="1" si="58"/>
        <v>0</v>
      </c>
      <c r="K119" s="7">
        <f t="shared" ca="1" si="58"/>
        <v>0</v>
      </c>
      <c r="L119" s="7">
        <f t="shared" ca="1" si="58"/>
        <v>0</v>
      </c>
      <c r="M119" s="7">
        <f t="shared" ca="1" si="58"/>
        <v>0</v>
      </c>
      <c r="N119" s="7">
        <f t="shared" ca="1" si="58"/>
        <v>0</v>
      </c>
      <c r="O119" s="7">
        <f t="shared" ca="1" si="58"/>
        <v>0</v>
      </c>
      <c r="P119" s="7">
        <f t="shared" ca="1" si="58"/>
        <v>0</v>
      </c>
      <c r="Q119" s="7">
        <f t="shared" ca="1" si="58"/>
        <v>0</v>
      </c>
      <c r="R119" s="7">
        <f t="shared" ca="1" si="58"/>
        <v>0</v>
      </c>
      <c r="S119" s="7">
        <f t="shared" ca="1" si="58"/>
        <v>0</v>
      </c>
      <c r="T119" s="7">
        <f t="shared" ca="1" si="58"/>
        <v>0</v>
      </c>
      <c r="U119" s="7">
        <f t="shared" ca="1" si="58"/>
        <v>0</v>
      </c>
      <c r="V119" s="7">
        <f t="shared" ca="1" si="58"/>
        <v>0</v>
      </c>
      <c r="W119" s="7">
        <f t="shared" ca="1" si="58"/>
        <v>0</v>
      </c>
      <c r="X119" s="7">
        <f t="shared" ca="1" si="58"/>
        <v>0</v>
      </c>
      <c r="Y119" s="7">
        <f t="shared" ca="1" si="58"/>
        <v>0</v>
      </c>
      <c r="Z119" s="7">
        <f t="shared" ca="1" si="58"/>
        <v>0</v>
      </c>
      <c r="AA119" s="7">
        <f t="shared" ca="1" si="58"/>
        <v>0</v>
      </c>
      <c r="AB119" s="7">
        <f t="shared" ca="1" si="58"/>
        <v>0</v>
      </c>
      <c r="AC119" s="7">
        <f t="shared" ca="1" si="58"/>
        <v>0</v>
      </c>
      <c r="AD119" s="7">
        <f t="shared" ca="1" si="58"/>
        <v>0</v>
      </c>
      <c r="AE119" s="7">
        <f t="shared" ca="1" si="58"/>
        <v>0</v>
      </c>
      <c r="AF119" s="7">
        <f t="shared" ca="1" si="58"/>
        <v>0</v>
      </c>
      <c r="AG119" s="7">
        <f t="shared" ca="1" si="58"/>
        <v>0</v>
      </c>
      <c r="AH119" s="7">
        <f t="shared" ca="1" si="58"/>
        <v>0</v>
      </c>
      <c r="AI119" s="7">
        <f t="shared" ca="1" si="58"/>
        <v>0</v>
      </c>
      <c r="AJ119" s="7">
        <f t="shared" ca="1" si="58"/>
        <v>0</v>
      </c>
      <c r="AK119" s="7">
        <f t="shared" ca="1" si="58"/>
        <v>0</v>
      </c>
      <c r="AL119" s="7">
        <f t="shared" ca="1" si="58"/>
        <v>0</v>
      </c>
      <c r="AM119" s="7">
        <f t="shared" si="58"/>
        <v>0</v>
      </c>
    </row>
    <row r="120" spans="1:39" x14ac:dyDescent="0.2">
      <c r="A120" s="3" t="s">
        <v>30</v>
      </c>
      <c r="C120" s="7">
        <f t="shared" ref="C120:AM120" ca="1" si="59">IFERROR(-IF(C115=0,VLOOKUP($A114,$8:$12,C$1+2,FALSE),0),0)</f>
        <v>0</v>
      </c>
      <c r="D120" s="7">
        <f t="shared" ca="1" si="59"/>
        <v>0</v>
      </c>
      <c r="E120" s="7">
        <f t="shared" ca="1" si="59"/>
        <v>0</v>
      </c>
      <c r="F120" s="7">
        <f t="shared" ca="1" si="59"/>
        <v>0</v>
      </c>
      <c r="G120" s="7">
        <f t="shared" ca="1" si="59"/>
        <v>0</v>
      </c>
      <c r="H120" s="7">
        <f t="shared" ca="1" si="59"/>
        <v>0</v>
      </c>
      <c r="I120" s="7">
        <f t="shared" ca="1" si="59"/>
        <v>0</v>
      </c>
      <c r="J120" s="7">
        <f t="shared" ca="1" si="59"/>
        <v>0</v>
      </c>
      <c r="K120" s="7">
        <f t="shared" ca="1" si="59"/>
        <v>0</v>
      </c>
      <c r="L120" s="7">
        <f t="shared" ca="1" si="59"/>
        <v>0</v>
      </c>
      <c r="M120" s="7">
        <f t="shared" ca="1" si="59"/>
        <v>0</v>
      </c>
      <c r="N120" s="7">
        <f t="shared" ca="1" si="59"/>
        <v>0</v>
      </c>
      <c r="O120" s="7">
        <f t="shared" ca="1" si="59"/>
        <v>0</v>
      </c>
      <c r="P120" s="7">
        <f t="shared" ca="1" si="59"/>
        <v>0</v>
      </c>
      <c r="Q120" s="7">
        <f t="shared" ca="1" si="59"/>
        <v>0</v>
      </c>
      <c r="R120" s="7">
        <f t="shared" ca="1" si="59"/>
        <v>0</v>
      </c>
      <c r="S120" s="7">
        <f t="shared" ca="1" si="59"/>
        <v>0</v>
      </c>
      <c r="T120" s="7">
        <f t="shared" ca="1" si="59"/>
        <v>0</v>
      </c>
      <c r="U120" s="7">
        <f t="shared" ca="1" si="59"/>
        <v>0</v>
      </c>
      <c r="V120" s="7">
        <f t="shared" ca="1" si="59"/>
        <v>0</v>
      </c>
      <c r="W120" s="7">
        <f t="shared" ca="1" si="59"/>
        <v>0</v>
      </c>
      <c r="X120" s="7">
        <f t="shared" ca="1" si="59"/>
        <v>0</v>
      </c>
      <c r="Y120" s="7">
        <f t="shared" ca="1" si="59"/>
        <v>0</v>
      </c>
      <c r="Z120" s="7">
        <f t="shared" ca="1" si="59"/>
        <v>0</v>
      </c>
      <c r="AA120" s="7">
        <f t="shared" ca="1" si="59"/>
        <v>0</v>
      </c>
      <c r="AB120" s="7">
        <f t="shared" ca="1" si="59"/>
        <v>0</v>
      </c>
      <c r="AC120" s="7">
        <f t="shared" ca="1" si="59"/>
        <v>0</v>
      </c>
      <c r="AD120" s="7">
        <f t="shared" ca="1" si="59"/>
        <v>0</v>
      </c>
      <c r="AE120" s="7">
        <f t="shared" ca="1" si="59"/>
        <v>0</v>
      </c>
      <c r="AF120" s="7">
        <f t="shared" ca="1" si="59"/>
        <v>0</v>
      </c>
      <c r="AG120" s="7">
        <f t="shared" ca="1" si="59"/>
        <v>0</v>
      </c>
      <c r="AH120" s="7">
        <f t="shared" ca="1" si="59"/>
        <v>0</v>
      </c>
      <c r="AI120" s="7">
        <f t="shared" ca="1" si="59"/>
        <v>0</v>
      </c>
      <c r="AJ120" s="7">
        <f t="shared" ca="1" si="59"/>
        <v>0</v>
      </c>
      <c r="AK120" s="7">
        <f t="shared" ca="1" si="59"/>
        <v>0</v>
      </c>
      <c r="AL120" s="7">
        <f t="shared" ca="1" si="59"/>
        <v>0</v>
      </c>
      <c r="AM120" s="7">
        <f t="shared" ca="1" si="59"/>
        <v>0</v>
      </c>
    </row>
    <row r="121" spans="1:39" x14ac:dyDescent="0.2">
      <c r="A121" s="3" t="s">
        <v>49</v>
      </c>
      <c r="C121" s="7">
        <f t="shared" ref="C121:AM121" ca="1" si="60">IFERROR(IF(C115=0,VLOOKUP($A114,$46:$50,C$1+2,FALSE),0),0)</f>
        <v>0</v>
      </c>
      <c r="D121" s="7">
        <f t="shared" ca="1" si="60"/>
        <v>0</v>
      </c>
      <c r="E121" s="7">
        <f t="shared" ca="1" si="60"/>
        <v>0</v>
      </c>
      <c r="F121" s="7">
        <f t="shared" ca="1" si="60"/>
        <v>0</v>
      </c>
      <c r="G121" s="7">
        <f t="shared" ca="1" si="60"/>
        <v>0</v>
      </c>
      <c r="H121" s="7">
        <f t="shared" ca="1" si="60"/>
        <v>0</v>
      </c>
      <c r="I121" s="7">
        <f t="shared" ca="1" si="60"/>
        <v>0</v>
      </c>
      <c r="J121" s="7">
        <f t="shared" ca="1" si="60"/>
        <v>0</v>
      </c>
      <c r="K121" s="7">
        <f t="shared" ca="1" si="60"/>
        <v>0</v>
      </c>
      <c r="L121" s="7">
        <f t="shared" ca="1" si="60"/>
        <v>0</v>
      </c>
      <c r="M121" s="7">
        <f t="shared" ca="1" si="60"/>
        <v>0</v>
      </c>
      <c r="N121" s="7">
        <f t="shared" ca="1" si="60"/>
        <v>0</v>
      </c>
      <c r="O121" s="7">
        <f t="shared" ca="1" si="60"/>
        <v>0</v>
      </c>
      <c r="P121" s="7">
        <f t="shared" ca="1" si="60"/>
        <v>0</v>
      </c>
      <c r="Q121" s="7">
        <f t="shared" ca="1" si="60"/>
        <v>0</v>
      </c>
      <c r="R121" s="7">
        <f t="shared" ca="1" si="60"/>
        <v>0</v>
      </c>
      <c r="S121" s="7">
        <f t="shared" ca="1" si="60"/>
        <v>0</v>
      </c>
      <c r="T121" s="7">
        <f t="shared" ca="1" si="60"/>
        <v>0</v>
      </c>
      <c r="U121" s="7">
        <f t="shared" ca="1" si="60"/>
        <v>0</v>
      </c>
      <c r="V121" s="7">
        <f t="shared" ca="1" si="60"/>
        <v>0</v>
      </c>
      <c r="W121" s="7">
        <f t="shared" ca="1" si="60"/>
        <v>0</v>
      </c>
      <c r="X121" s="7">
        <f t="shared" ca="1" si="60"/>
        <v>0</v>
      </c>
      <c r="Y121" s="7">
        <f t="shared" ca="1" si="60"/>
        <v>0</v>
      </c>
      <c r="Z121" s="7">
        <f t="shared" ca="1" si="60"/>
        <v>0</v>
      </c>
      <c r="AA121" s="7">
        <f t="shared" ca="1" si="60"/>
        <v>0</v>
      </c>
      <c r="AB121" s="7">
        <f t="shared" ca="1" si="60"/>
        <v>0</v>
      </c>
      <c r="AC121" s="7">
        <f t="shared" ca="1" si="60"/>
        <v>0</v>
      </c>
      <c r="AD121" s="7">
        <f t="shared" ca="1" si="60"/>
        <v>0</v>
      </c>
      <c r="AE121" s="7">
        <f t="shared" ca="1" si="60"/>
        <v>0</v>
      </c>
      <c r="AF121" s="7">
        <f t="shared" ca="1" si="60"/>
        <v>0</v>
      </c>
      <c r="AG121" s="7">
        <f t="shared" ca="1" si="60"/>
        <v>0</v>
      </c>
      <c r="AH121" s="7">
        <f t="shared" ca="1" si="60"/>
        <v>0</v>
      </c>
      <c r="AI121" s="7">
        <f t="shared" ca="1" si="60"/>
        <v>0</v>
      </c>
      <c r="AJ121" s="7">
        <f t="shared" ca="1" si="60"/>
        <v>0</v>
      </c>
      <c r="AK121" s="7">
        <f t="shared" ca="1" si="60"/>
        <v>0</v>
      </c>
      <c r="AL121" s="7">
        <f t="shared" ca="1" si="60"/>
        <v>0</v>
      </c>
      <c r="AM121" s="7">
        <f t="shared" ca="1" si="60"/>
        <v>0</v>
      </c>
    </row>
    <row r="122" spans="1:39" x14ac:dyDescent="0.2">
      <c r="A122" s="3" t="s">
        <v>35</v>
      </c>
      <c r="B122" s="14" t="str">
        <f>A114</f>
        <v>Painting</v>
      </c>
      <c r="C122" s="7">
        <f t="shared" ref="C122:AM122" ca="1" si="61">IF(AND(C115&gt;0,C118=0),VLOOKUP($A114,$85:$94,C$1+2,FALSE),0)</f>
        <v>0</v>
      </c>
      <c r="D122" s="7">
        <f t="shared" ca="1" si="61"/>
        <v>0</v>
      </c>
      <c r="E122" s="7">
        <f t="shared" ca="1" si="61"/>
        <v>0</v>
      </c>
      <c r="F122" s="7">
        <f t="shared" ca="1" si="61"/>
        <v>0</v>
      </c>
      <c r="G122" s="7">
        <f t="shared" ca="1" si="61"/>
        <v>0</v>
      </c>
      <c r="H122" s="7">
        <f t="shared" ca="1" si="61"/>
        <v>0</v>
      </c>
      <c r="I122" s="7">
        <f t="shared" ca="1" si="61"/>
        <v>0</v>
      </c>
      <c r="J122" s="7">
        <f t="shared" ca="1" si="61"/>
        <v>0</v>
      </c>
      <c r="K122" s="7">
        <f t="shared" ca="1" si="61"/>
        <v>0</v>
      </c>
      <c r="L122" s="7">
        <f t="shared" ca="1" si="61"/>
        <v>0</v>
      </c>
      <c r="M122" s="7">
        <f t="shared" ca="1" si="61"/>
        <v>0</v>
      </c>
      <c r="N122" s="7">
        <f t="shared" ca="1" si="61"/>
        <v>0</v>
      </c>
      <c r="O122" s="7">
        <f t="shared" ca="1" si="61"/>
        <v>0</v>
      </c>
      <c r="P122" s="7">
        <f t="shared" ca="1" si="61"/>
        <v>0</v>
      </c>
      <c r="Q122" s="7">
        <f t="shared" ca="1" si="61"/>
        <v>0</v>
      </c>
      <c r="R122" s="7">
        <f t="shared" ca="1" si="61"/>
        <v>0</v>
      </c>
      <c r="S122" s="7">
        <f t="shared" ca="1" si="61"/>
        <v>0</v>
      </c>
      <c r="T122" s="7">
        <f t="shared" ca="1" si="61"/>
        <v>0</v>
      </c>
      <c r="U122" s="7">
        <f t="shared" ca="1" si="61"/>
        <v>0</v>
      </c>
      <c r="V122" s="7">
        <f t="shared" ca="1" si="61"/>
        <v>0</v>
      </c>
      <c r="W122" s="7">
        <f t="shared" ca="1" si="61"/>
        <v>0</v>
      </c>
      <c r="X122" s="7">
        <f t="shared" ca="1" si="61"/>
        <v>0</v>
      </c>
      <c r="Y122" s="7">
        <f t="shared" ca="1" si="61"/>
        <v>0</v>
      </c>
      <c r="Z122" s="7">
        <f t="shared" ca="1" si="61"/>
        <v>0</v>
      </c>
      <c r="AA122" s="7">
        <f t="shared" ca="1" si="61"/>
        <v>0</v>
      </c>
      <c r="AB122" s="7">
        <f t="shared" ca="1" si="61"/>
        <v>0</v>
      </c>
      <c r="AC122" s="7">
        <f t="shared" ca="1" si="61"/>
        <v>0</v>
      </c>
      <c r="AD122" s="7">
        <f t="shared" ca="1" si="61"/>
        <v>0</v>
      </c>
      <c r="AE122" s="7">
        <f t="shared" ca="1" si="61"/>
        <v>0</v>
      </c>
      <c r="AF122" s="7">
        <f t="shared" ca="1" si="61"/>
        <v>0</v>
      </c>
      <c r="AG122" s="7">
        <f t="shared" ca="1" si="61"/>
        <v>0</v>
      </c>
      <c r="AH122" s="7">
        <f t="shared" ca="1" si="61"/>
        <v>0</v>
      </c>
      <c r="AI122" s="7">
        <f t="shared" ca="1" si="61"/>
        <v>0</v>
      </c>
      <c r="AJ122" s="7">
        <f t="shared" ca="1" si="61"/>
        <v>0</v>
      </c>
      <c r="AK122" s="7">
        <f t="shared" ca="1" si="61"/>
        <v>0</v>
      </c>
      <c r="AL122" s="7">
        <f t="shared" ca="1" si="61"/>
        <v>0</v>
      </c>
      <c r="AM122" s="7">
        <f t="shared" ca="1" si="61"/>
        <v>0</v>
      </c>
    </row>
    <row r="123" spans="1:39" x14ac:dyDescent="0.2">
      <c r="A123" s="3" t="s">
        <v>36</v>
      </c>
      <c r="C123" s="7">
        <f ca="1">-C116+SUM(C119:C122)</f>
        <v>0</v>
      </c>
      <c r="D123" s="7">
        <f t="shared" ref="D123" ca="1" si="62">-D116+SUM(D119:D122)</f>
        <v>0</v>
      </c>
      <c r="E123" s="7">
        <f t="shared" ref="E123:AM123" ca="1" si="63">-E116+SUM(E119:E122)</f>
        <v>0</v>
      </c>
      <c r="F123" s="7">
        <f t="shared" ca="1" si="63"/>
        <v>0</v>
      </c>
      <c r="G123" s="7">
        <f t="shared" ca="1" si="63"/>
        <v>0</v>
      </c>
      <c r="H123" s="7">
        <f t="shared" ca="1" si="63"/>
        <v>0</v>
      </c>
      <c r="I123" s="7">
        <f t="shared" ca="1" si="63"/>
        <v>0</v>
      </c>
      <c r="J123" s="7">
        <f t="shared" ca="1" si="63"/>
        <v>0</v>
      </c>
      <c r="K123" s="7">
        <f t="shared" ca="1" si="63"/>
        <v>0</v>
      </c>
      <c r="L123" s="7">
        <f t="shared" ca="1" si="63"/>
        <v>0</v>
      </c>
      <c r="M123" s="7">
        <f t="shared" ca="1" si="63"/>
        <v>0</v>
      </c>
      <c r="N123" s="7">
        <f t="shared" ca="1" si="63"/>
        <v>0</v>
      </c>
      <c r="O123" s="7">
        <f t="shared" ca="1" si="63"/>
        <v>0</v>
      </c>
      <c r="P123" s="7">
        <f t="shared" ca="1" si="63"/>
        <v>0</v>
      </c>
      <c r="Q123" s="7">
        <f t="shared" ca="1" si="63"/>
        <v>0</v>
      </c>
      <c r="R123" s="7">
        <f t="shared" ca="1" si="63"/>
        <v>0</v>
      </c>
      <c r="S123" s="7">
        <f t="shared" ca="1" si="63"/>
        <v>0</v>
      </c>
      <c r="T123" s="7">
        <f t="shared" ca="1" si="63"/>
        <v>0</v>
      </c>
      <c r="U123" s="7">
        <f t="shared" ca="1" si="63"/>
        <v>0</v>
      </c>
      <c r="V123" s="7">
        <f t="shared" ca="1" si="63"/>
        <v>0</v>
      </c>
      <c r="W123" s="7">
        <f t="shared" ca="1" si="63"/>
        <v>0</v>
      </c>
      <c r="X123" s="7">
        <f t="shared" ca="1" si="63"/>
        <v>0</v>
      </c>
      <c r="Y123" s="7">
        <f t="shared" ca="1" si="63"/>
        <v>0</v>
      </c>
      <c r="Z123" s="7">
        <f t="shared" ca="1" si="63"/>
        <v>0</v>
      </c>
      <c r="AA123" s="7">
        <f t="shared" ca="1" si="63"/>
        <v>0</v>
      </c>
      <c r="AB123" s="7">
        <f t="shared" ca="1" si="63"/>
        <v>0</v>
      </c>
      <c r="AC123" s="7">
        <f t="shared" ca="1" si="63"/>
        <v>0</v>
      </c>
      <c r="AD123" s="7">
        <f t="shared" ca="1" si="63"/>
        <v>0</v>
      </c>
      <c r="AE123" s="7">
        <f t="shared" ca="1" si="63"/>
        <v>0</v>
      </c>
      <c r="AF123" s="7">
        <f t="shared" ca="1" si="63"/>
        <v>0</v>
      </c>
      <c r="AG123" s="7">
        <f t="shared" ca="1" si="63"/>
        <v>0</v>
      </c>
      <c r="AH123" s="7">
        <f t="shared" ca="1" si="63"/>
        <v>0</v>
      </c>
      <c r="AI123" s="7">
        <f t="shared" ca="1" si="63"/>
        <v>0</v>
      </c>
      <c r="AJ123" s="7">
        <f t="shared" ca="1" si="63"/>
        <v>0</v>
      </c>
      <c r="AK123" s="7">
        <f t="shared" ca="1" si="63"/>
        <v>0</v>
      </c>
      <c r="AL123" s="7">
        <f t="shared" ca="1" si="63"/>
        <v>0</v>
      </c>
      <c r="AM123" s="7">
        <f t="shared" ca="1" si="63"/>
        <v>0</v>
      </c>
    </row>
    <row r="124" spans="1:39" x14ac:dyDescent="0.2">
      <c r="A124" s="3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</row>
    <row r="125" spans="1:39" x14ac:dyDescent="0.2">
      <c r="A125" s="3" t="s">
        <v>70</v>
      </c>
      <c r="C125" s="7">
        <f ca="1">C111+SUM($C123:C123)</f>
        <v>16108.4375</v>
      </c>
      <c r="D125" s="7">
        <f ca="1">D111+SUM($C123:D123)</f>
        <v>30012.145312499997</v>
      </c>
      <c r="E125" s="7">
        <f ca="1">E111+SUM($C123:E123)</f>
        <v>50169.6494140625</v>
      </c>
      <c r="F125" s="7">
        <f ca="1">F111+SUM($C123:F123)</f>
        <v>52227.783801841113</v>
      </c>
      <c r="G125" s="7">
        <f ca="1">G111+SUM($C123:G123)</f>
        <v>250455.15989583102</v>
      </c>
      <c r="H125" s="7">
        <f ca="1">H111+SUM($C123:H123)</f>
        <v>296986.84009098983</v>
      </c>
      <c r="I125" s="7">
        <f ca="1">I111+SUM($C123:I123)</f>
        <v>363754.64435619779</v>
      </c>
      <c r="J125" s="7">
        <f ca="1">J111+SUM($C123:J123)</f>
        <v>435067.93012454931</v>
      </c>
      <c r="K125" s="7">
        <f ca="1">K111+SUM($C123:K123)</f>
        <v>493116.96835998015</v>
      </c>
      <c r="L125" s="7">
        <f ca="1">L111+SUM($C123:L123)</f>
        <v>638212.2751736166</v>
      </c>
      <c r="M125" s="7">
        <f ca="1">M111+SUM($C123:M123)</f>
        <v>695163.71186735749</v>
      </c>
      <c r="N125" s="7">
        <f ca="1">N111+SUM($C123:N123)</f>
        <v>805771.16934020713</v>
      </c>
      <c r="O125" s="7">
        <f ca="1">O111+SUM($C123:O123)</f>
        <v>922222.00124800857</v>
      </c>
      <c r="P125" s="7">
        <f ca="1">P111+SUM($C123:P123)</f>
        <v>1044762.6085180258</v>
      </c>
      <c r="Q125" s="7">
        <f ca="1">Q111+SUM($C123:Q123)</f>
        <v>1173648.7608708572</v>
      </c>
      <c r="R125" s="7">
        <f ca="1">R111+SUM($C123:R123)</f>
        <v>1309145.9322852024</v>
      </c>
      <c r="S125" s="7">
        <f ca="1">S111+SUM($C123:S123)</f>
        <v>1451529.6480111426</v>
      </c>
      <c r="T125" s="7">
        <f ca="1">T111+SUM($C123:T123)</f>
        <v>1491855.4011356728</v>
      </c>
      <c r="U125" s="7">
        <f ca="1">U111+SUM($C123:U123)</f>
        <v>1541415.1978627439</v>
      </c>
      <c r="V125" s="7">
        <f ca="1">V111+SUM($C123:V123)</f>
        <v>1592757.5777099284</v>
      </c>
      <c r="W125" s="7">
        <f ca="1">W111+SUM($C123:W123)</f>
        <v>1645948.7425475621</v>
      </c>
      <c r="X125" s="7">
        <f ca="1">X111+SUM($C123:X123)</f>
        <v>1701057.3316526653</v>
      </c>
      <c r="Y125" s="7">
        <f ca="1">Y111+SUM($C123:Y123)</f>
        <v>1737237.4169653396</v>
      </c>
      <c r="Z125" s="7">
        <f ca="1">Z111+SUM($C123:Z123)</f>
        <v>1774434.0167242812</v>
      </c>
      <c r="AA125" s="7">
        <f ca="1">AA111+SUM($C123:AA123)</f>
        <v>1812684.4017288706</v>
      </c>
      <c r="AB125" s="7">
        <f ca="1">AB111+SUM($C123:AB123)</f>
        <v>1852027.3427258399</v>
      </c>
      <c r="AC125" s="7">
        <f ca="1">AC111+SUM($C123:AC123)</f>
        <v>1892503.1702642585</v>
      </c>
      <c r="AD125" s="7">
        <f ca="1">AD111+SUM($C123:AD123)</f>
        <v>1934153.8368503558</v>
      </c>
      <c r="AE125" s="7">
        <f ca="1">AE111+SUM($C123:AE123)</f>
        <v>1987130.2375195618</v>
      </c>
      <c r="AF125" s="7">
        <f ca="1">AF111+SUM($C123:AF123)</f>
        <v>2041875.8715530399</v>
      </c>
      <c r="AG125" s="7">
        <f ca="1">AG111+SUM($C123:AG123)</f>
        <v>2098456.905652951</v>
      </c>
      <c r="AH125" s="7">
        <f ca="1">AH111+SUM($C123:AH123)</f>
        <v>2156942.0335442415</v>
      </c>
      <c r="AI125" s="7">
        <f ca="1">AI111+SUM($C123:AI123)</f>
        <v>2217402.5707053514</v>
      </c>
      <c r="AJ125" s="7">
        <f ca="1">AJ111+SUM($C123:AJ123)</f>
        <v>2279912.5525480784</v>
      </c>
      <c r="AK125" s="7">
        <f ca="1">AK111+SUM($C123:AK123)</f>
        <v>2344548.8361686133</v>
      </c>
      <c r="AL125" s="7">
        <f ca="1">AL111+SUM($C123:AL123)</f>
        <v>2411391.2057959661</v>
      </c>
      <c r="AM125" s="7">
        <f ca="1">AM111+SUM($C123:AM123)</f>
        <v>2480522.4820683482</v>
      </c>
    </row>
    <row r="126" spans="1:39" x14ac:dyDescent="0.2">
      <c r="A126" s="3" t="s">
        <v>67</v>
      </c>
      <c r="C126" s="7">
        <f t="shared" ref="C126:AM126" ca="1" si="64">MAX(C125+buffer,0)-MAX(C$111+buffer,0)</f>
        <v>0</v>
      </c>
      <c r="D126" s="7">
        <f t="shared" ca="1" si="64"/>
        <v>0</v>
      </c>
      <c r="E126" s="7">
        <f t="shared" ca="1" si="64"/>
        <v>0</v>
      </c>
      <c r="F126" s="7">
        <f t="shared" ca="1" si="64"/>
        <v>0</v>
      </c>
      <c r="G126" s="7">
        <f t="shared" ca="1" si="64"/>
        <v>0</v>
      </c>
      <c r="H126" s="7">
        <f t="shared" ca="1" si="64"/>
        <v>0</v>
      </c>
      <c r="I126" s="7">
        <f t="shared" ca="1" si="64"/>
        <v>0</v>
      </c>
      <c r="J126" s="7">
        <f t="shared" ca="1" si="64"/>
        <v>0</v>
      </c>
      <c r="K126" s="7">
        <f t="shared" ca="1" si="64"/>
        <v>0</v>
      </c>
      <c r="L126" s="7">
        <f t="shared" ca="1" si="64"/>
        <v>0</v>
      </c>
      <c r="M126" s="7">
        <f t="shared" ca="1" si="64"/>
        <v>0</v>
      </c>
      <c r="N126" s="7">
        <f t="shared" ca="1" si="64"/>
        <v>0</v>
      </c>
      <c r="O126" s="7">
        <f t="shared" ca="1" si="64"/>
        <v>0</v>
      </c>
      <c r="P126" s="7">
        <f t="shared" ca="1" si="64"/>
        <v>0</v>
      </c>
      <c r="Q126" s="7">
        <f t="shared" ca="1" si="64"/>
        <v>0</v>
      </c>
      <c r="R126" s="7">
        <f t="shared" ca="1" si="64"/>
        <v>0</v>
      </c>
      <c r="S126" s="7">
        <f t="shared" ca="1" si="64"/>
        <v>0</v>
      </c>
      <c r="T126" s="7">
        <f t="shared" ca="1" si="64"/>
        <v>0</v>
      </c>
      <c r="U126" s="7">
        <f t="shared" ca="1" si="64"/>
        <v>0</v>
      </c>
      <c r="V126" s="7">
        <f t="shared" ca="1" si="64"/>
        <v>0</v>
      </c>
      <c r="W126" s="7">
        <f t="shared" ca="1" si="64"/>
        <v>0</v>
      </c>
      <c r="X126" s="7">
        <f t="shared" ca="1" si="64"/>
        <v>0</v>
      </c>
      <c r="Y126" s="7">
        <f t="shared" ca="1" si="64"/>
        <v>0</v>
      </c>
      <c r="Z126" s="7">
        <f t="shared" ca="1" si="64"/>
        <v>0</v>
      </c>
      <c r="AA126" s="7">
        <f t="shared" ca="1" si="64"/>
        <v>0</v>
      </c>
      <c r="AB126" s="7">
        <f t="shared" ca="1" si="64"/>
        <v>0</v>
      </c>
      <c r="AC126" s="7">
        <f t="shared" ca="1" si="64"/>
        <v>0</v>
      </c>
      <c r="AD126" s="7">
        <f t="shared" ca="1" si="64"/>
        <v>0</v>
      </c>
      <c r="AE126" s="7">
        <f t="shared" ca="1" si="64"/>
        <v>0</v>
      </c>
      <c r="AF126" s="7">
        <f t="shared" ca="1" si="64"/>
        <v>0</v>
      </c>
      <c r="AG126" s="7">
        <f t="shared" ca="1" si="64"/>
        <v>0</v>
      </c>
      <c r="AH126" s="7">
        <f t="shared" ca="1" si="64"/>
        <v>0</v>
      </c>
      <c r="AI126" s="7">
        <f t="shared" ca="1" si="64"/>
        <v>0</v>
      </c>
      <c r="AJ126" s="7">
        <f t="shared" ca="1" si="64"/>
        <v>0</v>
      </c>
      <c r="AK126" s="7">
        <f t="shared" ca="1" si="64"/>
        <v>0</v>
      </c>
      <c r="AL126" s="7">
        <f t="shared" ca="1" si="64"/>
        <v>0</v>
      </c>
      <c r="AM126" s="7">
        <f t="shared" ca="1" si="64"/>
        <v>0</v>
      </c>
    </row>
    <row r="127" spans="1:39" x14ac:dyDescent="0.2">
      <c r="A127" s="3" t="s">
        <v>68</v>
      </c>
      <c r="C127" s="7">
        <f ca="1">C126*Inputs!$B$269</f>
        <v>0</v>
      </c>
      <c r="D127" s="7">
        <f ca="1">D126*Inputs!$B$269</f>
        <v>0</v>
      </c>
      <c r="E127" s="7">
        <f ca="1">E126*Inputs!$B$269</f>
        <v>0</v>
      </c>
      <c r="F127" s="7">
        <f ca="1">F126*Inputs!$B$269</f>
        <v>0</v>
      </c>
      <c r="G127" s="7">
        <f ca="1">G126*Inputs!$B$269</f>
        <v>0</v>
      </c>
      <c r="H127" s="7">
        <f ca="1">H126*Inputs!$B$269</f>
        <v>0</v>
      </c>
      <c r="I127" s="7">
        <f ca="1">I126*Inputs!$B$269</f>
        <v>0</v>
      </c>
      <c r="J127" s="7">
        <f ca="1">J126*Inputs!$B$269</f>
        <v>0</v>
      </c>
      <c r="K127" s="7">
        <f ca="1">K126*Inputs!$B$269</f>
        <v>0</v>
      </c>
      <c r="L127" s="7">
        <f ca="1">L126*Inputs!$B$269</f>
        <v>0</v>
      </c>
      <c r="M127" s="7">
        <f ca="1">M126*Inputs!$B$269</f>
        <v>0</v>
      </c>
      <c r="N127" s="7">
        <f ca="1">N126*Inputs!$B$269</f>
        <v>0</v>
      </c>
      <c r="O127" s="7">
        <f ca="1">O126*Inputs!$B$269</f>
        <v>0</v>
      </c>
      <c r="P127" s="7">
        <f ca="1">P126*Inputs!$B$269</f>
        <v>0</v>
      </c>
      <c r="Q127" s="7">
        <f ca="1">Q126*Inputs!$B$269</f>
        <v>0</v>
      </c>
      <c r="R127" s="7">
        <f ca="1">R126*Inputs!$B$269</f>
        <v>0</v>
      </c>
      <c r="S127" s="7">
        <f ca="1">S126*Inputs!$B$269</f>
        <v>0</v>
      </c>
      <c r="T127" s="7">
        <f ca="1">T126*Inputs!$B$269</f>
        <v>0</v>
      </c>
      <c r="U127" s="7">
        <f ca="1">U126*Inputs!$B$269</f>
        <v>0</v>
      </c>
      <c r="V127" s="7">
        <f ca="1">V126*Inputs!$B$269</f>
        <v>0</v>
      </c>
      <c r="W127" s="7">
        <f ca="1">W126*Inputs!$B$269</f>
        <v>0</v>
      </c>
      <c r="X127" s="7">
        <f ca="1">X126*Inputs!$B$269</f>
        <v>0</v>
      </c>
      <c r="Y127" s="7">
        <f ca="1">Y126*Inputs!$B$269</f>
        <v>0</v>
      </c>
      <c r="Z127" s="7">
        <f ca="1">Z126*Inputs!$B$269</f>
        <v>0</v>
      </c>
      <c r="AA127" s="7">
        <f ca="1">AA126*Inputs!$B$269</f>
        <v>0</v>
      </c>
      <c r="AB127" s="7">
        <f ca="1">AB126*Inputs!$B$269</f>
        <v>0</v>
      </c>
      <c r="AC127" s="7">
        <f ca="1">AC126*Inputs!$B$269</f>
        <v>0</v>
      </c>
      <c r="AD127" s="7">
        <f ca="1">AD126*Inputs!$B$269</f>
        <v>0</v>
      </c>
      <c r="AE127" s="7">
        <f ca="1">AE126*Inputs!$B$269</f>
        <v>0</v>
      </c>
      <c r="AF127" s="7">
        <f ca="1">AF126*Inputs!$B$269</f>
        <v>0</v>
      </c>
      <c r="AG127" s="7">
        <f ca="1">AG126*Inputs!$B$269</f>
        <v>0</v>
      </c>
      <c r="AH127" s="7">
        <f ca="1">AH126*Inputs!$B$269</f>
        <v>0</v>
      </c>
      <c r="AI127" s="7">
        <f ca="1">AI126*Inputs!$B$269</f>
        <v>0</v>
      </c>
      <c r="AJ127" s="7">
        <f ca="1">AJ126*Inputs!$B$269</f>
        <v>0</v>
      </c>
      <c r="AK127" s="7">
        <f ca="1">AK126*Inputs!$B$269</f>
        <v>0</v>
      </c>
      <c r="AL127" s="7">
        <f ca="1">AL126*Inputs!$B$269</f>
        <v>0</v>
      </c>
      <c r="AM127" s="7">
        <f ca="1">AM126*Inputs!$B$269</f>
        <v>0</v>
      </c>
    </row>
    <row r="128" spans="1:39" x14ac:dyDescent="0.2">
      <c r="A128" s="3" t="s">
        <v>149</v>
      </c>
      <c r="C128" s="7">
        <f ca="1">C125+SUM($C127:C127)</f>
        <v>16108.4375</v>
      </c>
      <c r="D128" s="7">
        <f ca="1">D125+SUM($C127:D127)</f>
        <v>30012.145312499997</v>
      </c>
      <c r="E128" s="7">
        <f ca="1">E125+SUM($C127:E127)</f>
        <v>50169.6494140625</v>
      </c>
      <c r="F128" s="7">
        <f ca="1">F125+SUM($C127:F127)</f>
        <v>52227.783801841113</v>
      </c>
      <c r="G128" s="7">
        <f ca="1">G125+SUM($C127:G127)</f>
        <v>250455.15989583102</v>
      </c>
      <c r="H128" s="7">
        <f ca="1">H125+SUM($C127:H127)</f>
        <v>296986.84009098983</v>
      </c>
      <c r="I128" s="7">
        <f ca="1">I125+SUM($C127:I127)</f>
        <v>363754.64435619779</v>
      </c>
      <c r="J128" s="7">
        <f ca="1">J125+SUM($C127:J127)</f>
        <v>435067.93012454931</v>
      </c>
      <c r="K128" s="7">
        <f ca="1">K125+SUM($C127:K127)</f>
        <v>493116.96835998015</v>
      </c>
      <c r="L128" s="7">
        <f ca="1">L125+SUM($C127:L127)</f>
        <v>638212.2751736166</v>
      </c>
      <c r="M128" s="7">
        <f ca="1">M125+SUM($C127:M127)</f>
        <v>695163.71186735749</v>
      </c>
      <c r="N128" s="7">
        <f ca="1">N125+SUM($C127:N127)</f>
        <v>805771.16934020713</v>
      </c>
      <c r="O128" s="7">
        <f ca="1">O125+SUM($C127:O127)</f>
        <v>922222.00124800857</v>
      </c>
      <c r="P128" s="7">
        <f ca="1">P125+SUM($C127:P127)</f>
        <v>1044762.6085180258</v>
      </c>
      <c r="Q128" s="7">
        <f ca="1">Q125+SUM($C127:Q127)</f>
        <v>1173648.7608708572</v>
      </c>
      <c r="R128" s="7">
        <f ca="1">R125+SUM($C127:R127)</f>
        <v>1309145.9322852024</v>
      </c>
      <c r="S128" s="7">
        <f ca="1">S125+SUM($C127:S127)</f>
        <v>1451529.6480111426</v>
      </c>
      <c r="T128" s="7">
        <f ca="1">T125+SUM($C127:T127)</f>
        <v>1491855.4011356728</v>
      </c>
      <c r="U128" s="7">
        <f ca="1">U125+SUM($C127:U127)</f>
        <v>1541415.1978627439</v>
      </c>
      <c r="V128" s="7">
        <f ca="1">V125+SUM($C127:V127)</f>
        <v>1592757.5777099284</v>
      </c>
      <c r="W128" s="7">
        <f ca="1">W125+SUM($C127:W127)</f>
        <v>1645948.7425475621</v>
      </c>
      <c r="X128" s="7">
        <f ca="1">X125+SUM($C127:X127)</f>
        <v>1701057.3316526653</v>
      </c>
      <c r="Y128" s="7">
        <f ca="1">Y125+SUM($C127:Y127)</f>
        <v>1737237.4169653396</v>
      </c>
      <c r="Z128" s="7">
        <f ca="1">Z125+SUM($C127:Z127)</f>
        <v>1774434.0167242812</v>
      </c>
      <c r="AA128" s="7">
        <f ca="1">AA125+SUM($C127:AA127)</f>
        <v>1812684.4017288706</v>
      </c>
      <c r="AB128" s="7">
        <f ca="1">AB125+SUM($C127:AB127)</f>
        <v>1852027.3427258399</v>
      </c>
      <c r="AC128" s="7">
        <f ca="1">AC125+SUM($C127:AC127)</f>
        <v>1892503.1702642585</v>
      </c>
      <c r="AD128" s="7">
        <f ca="1">AD125+SUM($C127:AD127)</f>
        <v>1934153.8368503558</v>
      </c>
      <c r="AE128" s="7">
        <f ca="1">AE125+SUM($C127:AE127)</f>
        <v>1987130.2375195618</v>
      </c>
      <c r="AF128" s="7">
        <f ca="1">AF125+SUM($C127:AF127)</f>
        <v>2041875.8715530399</v>
      </c>
      <c r="AG128" s="7">
        <f ca="1">AG125+SUM($C127:AG127)</f>
        <v>2098456.905652951</v>
      </c>
      <c r="AH128" s="7">
        <f ca="1">AH125+SUM($C127:AH127)</f>
        <v>2156942.0335442415</v>
      </c>
      <c r="AI128" s="7">
        <f ca="1">AI125+SUM($C127:AI127)</f>
        <v>2217402.5707053514</v>
      </c>
      <c r="AJ128" s="7">
        <f ca="1">AJ125+SUM($C127:AJ127)</f>
        <v>2279912.5525480784</v>
      </c>
      <c r="AK128" s="7">
        <f ca="1">AK125+SUM($C127:AK127)</f>
        <v>2344548.8361686133</v>
      </c>
      <c r="AL128" s="7">
        <f ca="1">AL125+SUM($C127:AL127)</f>
        <v>2411391.2057959661</v>
      </c>
      <c r="AM128" s="7">
        <f ca="1">AM125+SUM($C127:AM127)</f>
        <v>2480522.4820683482</v>
      </c>
    </row>
    <row r="129" spans="1:39" x14ac:dyDescent="0.2">
      <c r="A129" s="3" t="s">
        <v>19</v>
      </c>
      <c r="C129" s="7">
        <f ca="1">IF(C128&lt;0,-C128,0)</f>
        <v>0</v>
      </c>
      <c r="D129" s="7">
        <f ca="1">IF(D128+SUM($C129:C129)&lt;0,-(D128+SUM($C129:C129)),0)</f>
        <v>0</v>
      </c>
      <c r="E129" s="7">
        <f ca="1">IF(E128+SUM($C129:D129)&lt;0,-(E128+SUM($C129:D129)),0)</f>
        <v>0</v>
      </c>
      <c r="F129" s="7">
        <f ca="1">IF(F128+SUM($C129:E129)&lt;0,-(F128+SUM($C129:E129)),0)</f>
        <v>0</v>
      </c>
      <c r="G129" s="7">
        <f ca="1">IF(G128+SUM($C129:F129)&lt;0,-(G128+SUM($C129:F129)),0)</f>
        <v>0</v>
      </c>
      <c r="H129" s="7">
        <f ca="1">IF(H128+SUM($C129:G129)&lt;0,-(H128+SUM($C129:G129)),0)</f>
        <v>0</v>
      </c>
      <c r="I129" s="7">
        <f ca="1">IF(I128+SUM($C129:H129)&lt;0,-(I128+SUM($C129:H129)),0)</f>
        <v>0</v>
      </c>
      <c r="J129" s="7">
        <f ca="1">IF(J128+SUM($C129:I129)&lt;0,-(J128+SUM($C129:I129)),0)</f>
        <v>0</v>
      </c>
      <c r="K129" s="7">
        <f ca="1">IF(K128+SUM($C129:J129)&lt;0,-(K128+SUM($C129:J129)),0)</f>
        <v>0</v>
      </c>
      <c r="L129" s="7">
        <f ca="1">IF(L128+SUM($C129:K129)&lt;0,-(L128+SUM($C129:K129)),0)</f>
        <v>0</v>
      </c>
      <c r="M129" s="7">
        <f ca="1">IF(M128+SUM($C129:L129)&lt;0,-(M128+SUM($C129:L129)),0)</f>
        <v>0</v>
      </c>
      <c r="N129" s="7">
        <f ca="1">IF(N128+SUM($C129:M129)&lt;0,-(N128+SUM($C129:M129)),0)</f>
        <v>0</v>
      </c>
      <c r="O129" s="7">
        <f ca="1">IF(O128+SUM($C129:N129)&lt;0,-(O128+SUM($C129:N129)),0)</f>
        <v>0</v>
      </c>
      <c r="P129" s="7">
        <f ca="1">IF(P128+SUM($C129:O129)&lt;0,-(P128+SUM($C129:O129)),0)</f>
        <v>0</v>
      </c>
      <c r="Q129" s="7">
        <f ca="1">IF(Q128+SUM($C129:P129)&lt;0,-(Q128+SUM($C129:P129)),0)</f>
        <v>0</v>
      </c>
      <c r="R129" s="7">
        <f ca="1">IF(R128+SUM($C129:Q129)&lt;0,-(R128+SUM($C129:Q129)),0)</f>
        <v>0</v>
      </c>
      <c r="S129" s="7">
        <f ca="1">IF(S128+SUM($C129:R129)&lt;0,-(S128+SUM($C129:R129)),0)</f>
        <v>0</v>
      </c>
      <c r="T129" s="7">
        <f ca="1">IF(T128+SUM($C129:S129)&lt;0,-(T128+SUM($C129:S129)),0)</f>
        <v>0</v>
      </c>
      <c r="U129" s="7">
        <f ca="1">IF(U128+SUM($C129:T129)&lt;0,-(U128+SUM($C129:T129)),0)</f>
        <v>0</v>
      </c>
      <c r="V129" s="7">
        <f ca="1">IF(V128+SUM($C129:U129)&lt;0,-(V128+SUM($C129:U129)),0)</f>
        <v>0</v>
      </c>
      <c r="W129" s="7">
        <f ca="1">IF(W128+SUM($C129:V129)&lt;0,-(W128+SUM($C129:V129)),0)</f>
        <v>0</v>
      </c>
      <c r="X129" s="7">
        <f ca="1">IF(X128+SUM($C129:W129)&lt;0,-(X128+SUM($C129:W129)),0)</f>
        <v>0</v>
      </c>
      <c r="Y129" s="7">
        <f ca="1">IF(Y128+SUM($C129:X129)&lt;0,-(Y128+SUM($C129:X129)),0)</f>
        <v>0</v>
      </c>
      <c r="Z129" s="7">
        <f ca="1">IF(Z128+SUM($C129:Y129)&lt;0,-(Z128+SUM($C129:Y129)),0)</f>
        <v>0</v>
      </c>
      <c r="AA129" s="7">
        <f ca="1">IF(AA128+SUM($C129:Z129)&lt;0,-(AA128+SUM($C129:Z129)),0)</f>
        <v>0</v>
      </c>
      <c r="AB129" s="7">
        <f ca="1">IF(AB128+SUM($C129:AA129)&lt;0,-(AB128+SUM($C129:AA129)),0)</f>
        <v>0</v>
      </c>
      <c r="AC129" s="7">
        <f ca="1">IF(AC128+SUM($C129:AB129)&lt;0,-(AC128+SUM($C129:AB129)),0)</f>
        <v>0</v>
      </c>
      <c r="AD129" s="7">
        <f ca="1">IF(AD128+SUM($C129:AC129)&lt;0,-(AD128+SUM($C129:AC129)),0)</f>
        <v>0</v>
      </c>
      <c r="AE129" s="7">
        <f ca="1">IF(AE128+SUM($C129:AD129)&lt;0,-(AE128+SUM($C129:AD129)),0)</f>
        <v>0</v>
      </c>
      <c r="AF129" s="7">
        <f ca="1">IF(AF128+SUM($C129:AE129)&lt;0,-(AF128+SUM($C129:AE129)),0)</f>
        <v>0</v>
      </c>
      <c r="AG129" s="7">
        <f ca="1">IF(AG128+SUM($C129:AF129)&lt;0,-(AG128+SUM($C129:AF129)),0)</f>
        <v>0</v>
      </c>
      <c r="AH129" s="7">
        <f ca="1">IF(AH128+SUM($C129:AG129)&lt;0,-(AH128+SUM($C129:AG129)),0)</f>
        <v>0</v>
      </c>
      <c r="AI129" s="7">
        <f ca="1">IF(AI128+SUM($C129:AH129)&lt;0,-(AI128+SUM($C129:AH129)),0)</f>
        <v>0</v>
      </c>
      <c r="AJ129" s="7">
        <f ca="1">IF(AJ128+SUM($C129:AI129)&lt;0,-(AJ128+SUM($C129:AI129)),0)</f>
        <v>0</v>
      </c>
      <c r="AK129" s="7">
        <f ca="1">IF(AK128+SUM($C129:AJ129)&lt;0,-(AK128+SUM($C129:AJ129)),0)</f>
        <v>0</v>
      </c>
      <c r="AL129" s="7">
        <f ca="1">IF(AL128+SUM($C129:AK129)&lt;0,-(AL128+SUM($C129:AK129)),0)</f>
        <v>0</v>
      </c>
      <c r="AM129" s="7">
        <f ca="1">IF(AM128+SUM($C129:AL129)&lt;0,-(AM128+SUM($C129:AL129)),0)</f>
        <v>0</v>
      </c>
    </row>
    <row r="130" spans="1:39" x14ac:dyDescent="0.2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</row>
    <row r="131" spans="1:39" x14ac:dyDescent="0.2">
      <c r="A131" s="24" t="str">
        <f>IF(Inputs!$B$289=6,IFERROR(_xlfn.XLOOKUP($B131,Inputs!$B$290:$B$299,Inputs!$A$290:$A$299,,0,1),""),IFERROR(_xlfn.XLOOKUP($B131,Inputs!$C$290:$C$299,Inputs!$A$290:$A$299,,0,1),""))</f>
        <v>Car</v>
      </c>
      <c r="B131" s="26">
        <v>2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</row>
    <row r="132" spans="1:39" x14ac:dyDescent="0.2">
      <c r="A132" s="3" t="s">
        <v>21</v>
      </c>
      <c r="C132" s="7">
        <f ca="1">IFERROR(VLOOKUP($A131,$A$67:$H$96,C$1+2,FALSE),0)</f>
        <v>38490.424009238486</v>
      </c>
      <c r="D132" s="7">
        <f ca="1">C135</f>
        <v>38490.424009238486</v>
      </c>
      <c r="E132" s="7">
        <f t="shared" ref="E132:AM132" ca="1" si="65">D135</f>
        <v>36565.902808776562</v>
      </c>
      <c r="F132" s="7">
        <f t="shared" ca="1" si="65"/>
        <v>34737.607668337732</v>
      </c>
      <c r="G132" s="7">
        <f t="shared" ca="1" si="65"/>
        <v>33000.727284920846</v>
      </c>
      <c r="H132" s="7">
        <f t="shared" ca="1" si="65"/>
        <v>31350.690920674802</v>
      </c>
      <c r="I132" s="7">
        <f t="shared" ca="1" si="65"/>
        <v>29783.156374641061</v>
      </c>
      <c r="J132" s="7">
        <f t="shared" ca="1" si="65"/>
        <v>28293.998555909009</v>
      </c>
      <c r="K132" s="7">
        <f t="shared" ca="1" si="65"/>
        <v>26879.29862811356</v>
      </c>
      <c r="L132" s="7">
        <f t="shared" ca="1" si="65"/>
        <v>25535.333696707883</v>
      </c>
      <c r="M132" s="7">
        <f t="shared" ca="1" si="65"/>
        <v>24258.567011872488</v>
      </c>
      <c r="N132" s="7">
        <f t="shared" ca="1" si="65"/>
        <v>23045.638661278863</v>
      </c>
      <c r="O132" s="7">
        <f t="shared" ca="1" si="65"/>
        <v>21893.35672821492</v>
      </c>
      <c r="P132" s="7">
        <f t="shared" ca="1" si="65"/>
        <v>20798.688891804173</v>
      </c>
      <c r="Q132" s="7">
        <f t="shared" ca="1" si="65"/>
        <v>19758.754447213963</v>
      </c>
      <c r="R132" s="7">
        <f t="shared" ca="1" si="65"/>
        <v>18770.816724853266</v>
      </c>
      <c r="S132" s="7">
        <f t="shared" ca="1" si="65"/>
        <v>17832.275888610602</v>
      </c>
      <c r="T132" s="7">
        <f t="shared" ca="1" si="65"/>
        <v>16940.662094180072</v>
      </c>
      <c r="U132" s="7">
        <f t="shared" ca="1" si="65"/>
        <v>16093.628989471068</v>
      </c>
      <c r="V132" s="7">
        <f t="shared" ca="1" si="65"/>
        <v>15288.947539997514</v>
      </c>
      <c r="W132" s="7">
        <f t="shared" ca="1" si="65"/>
        <v>14524.50016299764</v>
      </c>
      <c r="X132" s="7">
        <f t="shared" ca="1" si="65"/>
        <v>13798.275154847757</v>
      </c>
      <c r="Y132" s="7">
        <f t="shared" ca="1" si="65"/>
        <v>13108.361397105369</v>
      </c>
      <c r="Z132" s="7">
        <f t="shared" ca="1" si="65"/>
        <v>12452.943327250101</v>
      </c>
      <c r="AA132" s="7">
        <f t="shared" ca="1" si="65"/>
        <v>11830.296160887596</v>
      </c>
      <c r="AB132" s="7">
        <f t="shared" ca="1" si="65"/>
        <v>11238.781352843216</v>
      </c>
      <c r="AC132" s="7">
        <f t="shared" ca="1" si="65"/>
        <v>10676.842285201055</v>
      </c>
      <c r="AD132" s="7">
        <f t="shared" ca="1" si="65"/>
        <v>10143.000170941003</v>
      </c>
      <c r="AE132" s="7">
        <f t="shared" ca="1" si="65"/>
        <v>9635.8501623939519</v>
      </c>
      <c r="AF132" s="7">
        <f t="shared" ca="1" si="65"/>
        <v>9154.0576542742547</v>
      </c>
      <c r="AG132" s="7">
        <f t="shared" ca="1" si="65"/>
        <v>8696.3547715605418</v>
      </c>
      <c r="AH132" s="7">
        <f t="shared" ca="1" si="65"/>
        <v>8261.5370329825146</v>
      </c>
      <c r="AI132" s="7">
        <f t="shared" ca="1" si="65"/>
        <v>7848.4601813333884</v>
      </c>
      <c r="AJ132" s="7">
        <f t="shared" ca="1" si="65"/>
        <v>7456.0371722667187</v>
      </c>
      <c r="AK132" s="7">
        <f t="shared" ca="1" si="65"/>
        <v>7083.2353136533829</v>
      </c>
      <c r="AL132" s="7">
        <f t="shared" ca="1" si="65"/>
        <v>6729.0735479707137</v>
      </c>
      <c r="AM132" s="7">
        <f t="shared" ca="1" si="65"/>
        <v>6392.6198705721781</v>
      </c>
    </row>
    <row r="133" spans="1:39" x14ac:dyDescent="0.2">
      <c r="A133" s="3" t="s">
        <v>22</v>
      </c>
      <c r="C133" s="7">
        <f ca="1">-IF(D129&gt;0,C132,0)</f>
        <v>0</v>
      </c>
      <c r="D133" s="7">
        <f ca="1">-IF(E129&gt;0,D132,0)</f>
        <v>0</v>
      </c>
      <c r="E133" s="7">
        <f ca="1">-IF(F129&gt;0,E132,0)</f>
        <v>0</v>
      </c>
      <c r="F133" s="7">
        <f ca="1">-IF(G129&gt;0,F132,0)</f>
        <v>0</v>
      </c>
      <c r="G133" s="7">
        <f t="shared" ref="G133" ca="1" si="66">-IF(H129&gt;0,G132,0)</f>
        <v>0</v>
      </c>
      <c r="H133" s="7">
        <f t="shared" ref="H133" ca="1" si="67">-IF(I129&gt;0,H132,0)</f>
        <v>0</v>
      </c>
      <c r="I133" s="7">
        <f t="shared" ref="I133" ca="1" si="68">-IF(J129&gt;0,I132,0)</f>
        <v>0</v>
      </c>
      <c r="J133" s="7">
        <f t="shared" ref="J133" ca="1" si="69">-IF(K129&gt;0,J132,0)</f>
        <v>0</v>
      </c>
      <c r="K133" s="7">
        <f t="shared" ref="K133" ca="1" si="70">-IF(L129&gt;0,K132,0)</f>
        <v>0</v>
      </c>
      <c r="L133" s="7">
        <f t="shared" ref="L133" ca="1" si="71">-IF(M129&gt;0,L132,0)</f>
        <v>0</v>
      </c>
      <c r="M133" s="7">
        <f t="shared" ref="M133" ca="1" si="72">-IF(N129&gt;0,M132,0)</f>
        <v>0</v>
      </c>
      <c r="N133" s="7">
        <f t="shared" ref="N133" ca="1" si="73">-IF(O129&gt;0,N132,0)</f>
        <v>0</v>
      </c>
      <c r="O133" s="7">
        <f t="shared" ref="O133" ca="1" si="74">-IF(P129&gt;0,O132,0)</f>
        <v>0</v>
      </c>
      <c r="P133" s="7">
        <f t="shared" ref="P133" ca="1" si="75">-IF(Q129&gt;0,P132,0)</f>
        <v>0</v>
      </c>
      <c r="Q133" s="7">
        <f t="shared" ref="Q133" ca="1" si="76">-IF(R129&gt;0,Q132,0)</f>
        <v>0</v>
      </c>
      <c r="R133" s="7">
        <f t="shared" ref="R133" ca="1" si="77">-IF(S129&gt;0,R132,0)</f>
        <v>0</v>
      </c>
      <c r="S133" s="7">
        <f t="shared" ref="S133" ca="1" si="78">-IF(T129&gt;0,S132,0)</f>
        <v>0</v>
      </c>
      <c r="T133" s="7">
        <f t="shared" ref="T133" ca="1" si="79">-IF(U129&gt;0,T132,0)</f>
        <v>0</v>
      </c>
      <c r="U133" s="7">
        <f t="shared" ref="U133" ca="1" si="80">-IF(V129&gt;0,U132,0)</f>
        <v>0</v>
      </c>
      <c r="V133" s="7">
        <f t="shared" ref="V133" ca="1" si="81">-IF(W129&gt;0,V132,0)</f>
        <v>0</v>
      </c>
      <c r="W133" s="7">
        <f t="shared" ref="W133" ca="1" si="82">-IF(X129&gt;0,W132,0)</f>
        <v>0</v>
      </c>
      <c r="X133" s="7">
        <f t="shared" ref="X133" ca="1" si="83">-IF(Y129&gt;0,X132,0)</f>
        <v>0</v>
      </c>
      <c r="Y133" s="7">
        <f t="shared" ref="Y133" ca="1" si="84">-IF(Z129&gt;0,Y132,0)</f>
        <v>0</v>
      </c>
      <c r="Z133" s="7">
        <f t="shared" ref="Z133" ca="1" si="85">-IF(AA129&gt;0,Z132,0)</f>
        <v>0</v>
      </c>
      <c r="AA133" s="7">
        <f t="shared" ref="AA133" ca="1" si="86">-IF(AB129&gt;0,AA132,0)</f>
        <v>0</v>
      </c>
      <c r="AB133" s="7">
        <f t="shared" ref="AB133" ca="1" si="87">-IF(AC129&gt;0,AB132,0)</f>
        <v>0</v>
      </c>
      <c r="AC133" s="7">
        <f t="shared" ref="AC133" ca="1" si="88">-IF(AD129&gt;0,AC132,0)</f>
        <v>0</v>
      </c>
      <c r="AD133" s="7">
        <f t="shared" ref="AD133" ca="1" si="89">-IF(AE129&gt;0,AD132,0)</f>
        <v>0</v>
      </c>
      <c r="AE133" s="7">
        <f t="shared" ref="AE133" ca="1" si="90">-IF(AF129&gt;0,AE132,0)</f>
        <v>0</v>
      </c>
      <c r="AF133" s="7">
        <f t="shared" ref="AF133" ca="1" si="91">-IF(AG129&gt;0,AF132,0)</f>
        <v>0</v>
      </c>
      <c r="AG133" s="7">
        <f t="shared" ref="AG133" ca="1" si="92">-IF(AH129&gt;0,AG132,0)</f>
        <v>0</v>
      </c>
      <c r="AH133" s="7">
        <f t="shared" ref="AH133" ca="1" si="93">-IF(AI129&gt;0,AH132,0)</f>
        <v>0</v>
      </c>
      <c r="AI133" s="7">
        <f t="shared" ref="AI133" ca="1" si="94">-IF(AJ129&gt;0,AI132,0)</f>
        <v>0</v>
      </c>
      <c r="AJ133" s="7">
        <f t="shared" ref="AJ133" ca="1" si="95">-IF(AK129&gt;0,AJ132,0)</f>
        <v>0</v>
      </c>
      <c r="AK133" s="7">
        <f t="shared" ref="AK133" ca="1" si="96">-IF(AL129&gt;0,AK132,0)</f>
        <v>0</v>
      </c>
      <c r="AL133" s="7">
        <f t="shared" ref="AL133" ca="1" si="97">-IF(AM129&gt;0,AL132,0)</f>
        <v>0</v>
      </c>
      <c r="AM133" s="7">
        <f t="shared" ref="AM133" si="98">-IF(AN129&gt;0,AM132,0)</f>
        <v>0</v>
      </c>
    </row>
    <row r="134" spans="1:39" x14ac:dyDescent="0.2">
      <c r="A134" s="3" t="s">
        <v>23</v>
      </c>
      <c r="C134" s="7">
        <v>0</v>
      </c>
      <c r="D134" s="7">
        <f t="shared" ref="D134:AM134" ca="1" si="99">SUM(D132:D133)*VLOOKUP($A131,AssVar,2,FALSE)</f>
        <v>-1924.5212004619243</v>
      </c>
      <c r="E134" s="7">
        <f t="shared" ca="1" si="99"/>
        <v>-1828.2951404388282</v>
      </c>
      <c r="F134" s="7">
        <f t="shared" ca="1" si="99"/>
        <v>-1736.8803834168866</v>
      </c>
      <c r="G134" s="7">
        <f t="shared" ca="1" si="99"/>
        <v>-1650.0363642460425</v>
      </c>
      <c r="H134" s="7">
        <f t="shared" ca="1" si="99"/>
        <v>-1567.5345460337403</v>
      </c>
      <c r="I134" s="7">
        <f t="shared" ca="1" si="99"/>
        <v>-1489.1578187320531</v>
      </c>
      <c r="J134" s="7">
        <f t="shared" ca="1" si="99"/>
        <v>-1414.6999277954505</v>
      </c>
      <c r="K134" s="7">
        <f t="shared" ca="1" si="99"/>
        <v>-1343.964931405678</v>
      </c>
      <c r="L134" s="7">
        <f t="shared" ca="1" si="99"/>
        <v>-1276.7666848353942</v>
      </c>
      <c r="M134" s="7">
        <f t="shared" ca="1" si="99"/>
        <v>-1212.9283505936244</v>
      </c>
      <c r="N134" s="7">
        <f t="shared" ca="1" si="99"/>
        <v>-1152.2819330639431</v>
      </c>
      <c r="O134" s="7">
        <f t="shared" ca="1" si="99"/>
        <v>-1094.6678364107461</v>
      </c>
      <c r="P134" s="7">
        <f t="shared" ca="1" si="99"/>
        <v>-1039.9344445902086</v>
      </c>
      <c r="Q134" s="7">
        <f t="shared" ca="1" si="99"/>
        <v>-987.93772236069822</v>
      </c>
      <c r="R134" s="7">
        <f t="shared" ca="1" si="99"/>
        <v>-938.54083624266332</v>
      </c>
      <c r="S134" s="7">
        <f t="shared" ca="1" si="99"/>
        <v>-891.61379443053011</v>
      </c>
      <c r="T134" s="7">
        <f t="shared" ca="1" si="99"/>
        <v>-847.03310470900362</v>
      </c>
      <c r="U134" s="7">
        <f t="shared" ca="1" si="99"/>
        <v>-804.68144947355347</v>
      </c>
      <c r="V134" s="7">
        <f t="shared" ca="1" si="99"/>
        <v>-764.44737699987581</v>
      </c>
      <c r="W134" s="7">
        <f t="shared" ca="1" si="99"/>
        <v>-726.225008149882</v>
      </c>
      <c r="X134" s="7">
        <f t="shared" ca="1" si="99"/>
        <v>-689.91375774238793</v>
      </c>
      <c r="Y134" s="7">
        <f t="shared" ca="1" si="99"/>
        <v>-655.41806985526853</v>
      </c>
      <c r="Z134" s="7">
        <f t="shared" ca="1" si="99"/>
        <v>-622.64716636250512</v>
      </c>
      <c r="AA134" s="7">
        <f t="shared" ca="1" si="99"/>
        <v>-591.51480804437983</v>
      </c>
      <c r="AB134" s="7">
        <f t="shared" ca="1" si="99"/>
        <v>-561.93906764216081</v>
      </c>
      <c r="AC134" s="7">
        <f t="shared" ca="1" si="99"/>
        <v>-533.84211426005277</v>
      </c>
      <c r="AD134" s="7">
        <f t="shared" ca="1" si="99"/>
        <v>-507.15000854705016</v>
      </c>
      <c r="AE134" s="7">
        <f t="shared" ca="1" si="99"/>
        <v>-481.79250811969763</v>
      </c>
      <c r="AF134" s="7">
        <f t="shared" ca="1" si="99"/>
        <v>-457.70288271371277</v>
      </c>
      <c r="AG134" s="7">
        <f t="shared" ca="1" si="99"/>
        <v>-434.8177385780271</v>
      </c>
      <c r="AH134" s="7">
        <f t="shared" ca="1" si="99"/>
        <v>-413.07685164912573</v>
      </c>
      <c r="AI134" s="7">
        <f t="shared" ca="1" si="99"/>
        <v>-392.42300906666947</v>
      </c>
      <c r="AJ134" s="7">
        <f t="shared" ca="1" si="99"/>
        <v>-372.80185861333598</v>
      </c>
      <c r="AK134" s="7">
        <f t="shared" ca="1" si="99"/>
        <v>-354.16176568266917</v>
      </c>
      <c r="AL134" s="7">
        <f t="shared" ca="1" si="99"/>
        <v>-336.45367739853572</v>
      </c>
      <c r="AM134" s="7">
        <f t="shared" ca="1" si="99"/>
        <v>-319.63099352860894</v>
      </c>
    </row>
    <row r="135" spans="1:39" x14ac:dyDescent="0.2">
      <c r="A135" s="3" t="s">
        <v>24</v>
      </c>
      <c r="C135" s="7">
        <f ca="1">SUM(C132:C134)</f>
        <v>38490.424009238486</v>
      </c>
      <c r="D135" s="7">
        <f t="shared" ref="D135:AM135" ca="1" si="100">SUM(D132:D134)</f>
        <v>36565.902808776562</v>
      </c>
      <c r="E135" s="7">
        <f t="shared" ca="1" si="100"/>
        <v>34737.607668337732</v>
      </c>
      <c r="F135" s="7">
        <f t="shared" ca="1" si="100"/>
        <v>33000.727284920846</v>
      </c>
      <c r="G135" s="7">
        <f t="shared" ca="1" si="100"/>
        <v>31350.690920674802</v>
      </c>
      <c r="H135" s="7">
        <f t="shared" ca="1" si="100"/>
        <v>29783.156374641061</v>
      </c>
      <c r="I135" s="7">
        <f t="shared" ca="1" si="100"/>
        <v>28293.998555909009</v>
      </c>
      <c r="J135" s="7">
        <f t="shared" ca="1" si="100"/>
        <v>26879.29862811356</v>
      </c>
      <c r="K135" s="7">
        <f t="shared" ca="1" si="100"/>
        <v>25535.333696707883</v>
      </c>
      <c r="L135" s="7">
        <f t="shared" ca="1" si="100"/>
        <v>24258.567011872488</v>
      </c>
      <c r="M135" s="7">
        <f t="shared" ca="1" si="100"/>
        <v>23045.638661278863</v>
      </c>
      <c r="N135" s="7">
        <f t="shared" ca="1" si="100"/>
        <v>21893.35672821492</v>
      </c>
      <c r="O135" s="7">
        <f t="shared" ca="1" si="100"/>
        <v>20798.688891804173</v>
      </c>
      <c r="P135" s="7">
        <f t="shared" ca="1" si="100"/>
        <v>19758.754447213963</v>
      </c>
      <c r="Q135" s="7">
        <f t="shared" ca="1" si="100"/>
        <v>18770.816724853266</v>
      </c>
      <c r="R135" s="7">
        <f t="shared" ca="1" si="100"/>
        <v>17832.275888610602</v>
      </c>
      <c r="S135" s="7">
        <f t="shared" ca="1" si="100"/>
        <v>16940.662094180072</v>
      </c>
      <c r="T135" s="7">
        <f t="shared" ca="1" si="100"/>
        <v>16093.628989471068</v>
      </c>
      <c r="U135" s="7">
        <f t="shared" ca="1" si="100"/>
        <v>15288.947539997514</v>
      </c>
      <c r="V135" s="7">
        <f t="shared" ca="1" si="100"/>
        <v>14524.50016299764</v>
      </c>
      <c r="W135" s="7">
        <f t="shared" ca="1" si="100"/>
        <v>13798.275154847757</v>
      </c>
      <c r="X135" s="7">
        <f t="shared" ca="1" si="100"/>
        <v>13108.361397105369</v>
      </c>
      <c r="Y135" s="7">
        <f t="shared" ca="1" si="100"/>
        <v>12452.943327250101</v>
      </c>
      <c r="Z135" s="7">
        <f t="shared" ca="1" si="100"/>
        <v>11830.296160887596</v>
      </c>
      <c r="AA135" s="7">
        <f t="shared" ca="1" si="100"/>
        <v>11238.781352843216</v>
      </c>
      <c r="AB135" s="7">
        <f t="shared" ca="1" si="100"/>
        <v>10676.842285201055</v>
      </c>
      <c r="AC135" s="7">
        <f t="shared" ca="1" si="100"/>
        <v>10143.000170941003</v>
      </c>
      <c r="AD135" s="7">
        <f t="shared" ca="1" si="100"/>
        <v>9635.8501623939519</v>
      </c>
      <c r="AE135" s="7">
        <f t="shared" ca="1" si="100"/>
        <v>9154.0576542742547</v>
      </c>
      <c r="AF135" s="7">
        <f t="shared" ca="1" si="100"/>
        <v>8696.3547715605418</v>
      </c>
      <c r="AG135" s="7">
        <f t="shared" ca="1" si="100"/>
        <v>8261.5370329825146</v>
      </c>
      <c r="AH135" s="7">
        <f t="shared" ca="1" si="100"/>
        <v>7848.4601813333884</v>
      </c>
      <c r="AI135" s="7">
        <f t="shared" ca="1" si="100"/>
        <v>7456.0371722667187</v>
      </c>
      <c r="AJ135" s="7">
        <f t="shared" ca="1" si="100"/>
        <v>7083.2353136533829</v>
      </c>
      <c r="AK135" s="7">
        <f t="shared" ca="1" si="100"/>
        <v>6729.0735479707137</v>
      </c>
      <c r="AL135" s="7">
        <f t="shared" ca="1" si="100"/>
        <v>6392.6198705721781</v>
      </c>
      <c r="AM135" s="7">
        <f t="shared" ca="1" si="100"/>
        <v>6072.9888770435691</v>
      </c>
    </row>
    <row r="136" spans="1:39" x14ac:dyDescent="0.2">
      <c r="A136" s="3" t="s">
        <v>25</v>
      </c>
      <c r="C136" s="7">
        <f t="shared" ref="C136:AM136" ca="1" si="101">C133*VLOOKUP($A131,AssVar,3,FALSE)</f>
        <v>0</v>
      </c>
      <c r="D136" s="7">
        <f t="shared" ca="1" si="101"/>
        <v>0</v>
      </c>
      <c r="E136" s="7">
        <f t="shared" ca="1" si="101"/>
        <v>0</v>
      </c>
      <c r="F136" s="7">
        <f t="shared" ca="1" si="101"/>
        <v>0</v>
      </c>
      <c r="G136" s="7">
        <f t="shared" ca="1" si="101"/>
        <v>0</v>
      </c>
      <c r="H136" s="7">
        <f t="shared" ca="1" si="101"/>
        <v>0</v>
      </c>
      <c r="I136" s="7">
        <f t="shared" ca="1" si="101"/>
        <v>0</v>
      </c>
      <c r="J136" s="7">
        <f t="shared" ca="1" si="101"/>
        <v>0</v>
      </c>
      <c r="K136" s="7">
        <f t="shared" ca="1" si="101"/>
        <v>0</v>
      </c>
      <c r="L136" s="7">
        <f t="shared" ca="1" si="101"/>
        <v>0</v>
      </c>
      <c r="M136" s="7">
        <f t="shared" ca="1" si="101"/>
        <v>0</v>
      </c>
      <c r="N136" s="7">
        <f t="shared" ca="1" si="101"/>
        <v>0</v>
      </c>
      <c r="O136" s="7">
        <f t="shared" ca="1" si="101"/>
        <v>0</v>
      </c>
      <c r="P136" s="7">
        <f t="shared" ca="1" si="101"/>
        <v>0</v>
      </c>
      <c r="Q136" s="7">
        <f t="shared" ca="1" si="101"/>
        <v>0</v>
      </c>
      <c r="R136" s="7">
        <f t="shared" ca="1" si="101"/>
        <v>0</v>
      </c>
      <c r="S136" s="7">
        <f t="shared" ca="1" si="101"/>
        <v>0</v>
      </c>
      <c r="T136" s="7">
        <f t="shared" ca="1" si="101"/>
        <v>0</v>
      </c>
      <c r="U136" s="7">
        <f t="shared" ca="1" si="101"/>
        <v>0</v>
      </c>
      <c r="V136" s="7">
        <f t="shared" ca="1" si="101"/>
        <v>0</v>
      </c>
      <c r="W136" s="7">
        <f t="shared" ca="1" si="101"/>
        <v>0</v>
      </c>
      <c r="X136" s="7">
        <f t="shared" ca="1" si="101"/>
        <v>0</v>
      </c>
      <c r="Y136" s="7">
        <f t="shared" ca="1" si="101"/>
        <v>0</v>
      </c>
      <c r="Z136" s="7">
        <f t="shared" ca="1" si="101"/>
        <v>0</v>
      </c>
      <c r="AA136" s="7">
        <f t="shared" ca="1" si="101"/>
        <v>0</v>
      </c>
      <c r="AB136" s="7">
        <f t="shared" ca="1" si="101"/>
        <v>0</v>
      </c>
      <c r="AC136" s="7">
        <f t="shared" ca="1" si="101"/>
        <v>0</v>
      </c>
      <c r="AD136" s="7">
        <f t="shared" ca="1" si="101"/>
        <v>0</v>
      </c>
      <c r="AE136" s="7">
        <f t="shared" ca="1" si="101"/>
        <v>0</v>
      </c>
      <c r="AF136" s="7">
        <f t="shared" ca="1" si="101"/>
        <v>0</v>
      </c>
      <c r="AG136" s="7">
        <f t="shared" ca="1" si="101"/>
        <v>0</v>
      </c>
      <c r="AH136" s="7">
        <f t="shared" ca="1" si="101"/>
        <v>0</v>
      </c>
      <c r="AI136" s="7">
        <f t="shared" ca="1" si="101"/>
        <v>0</v>
      </c>
      <c r="AJ136" s="7">
        <f t="shared" ca="1" si="101"/>
        <v>0</v>
      </c>
      <c r="AK136" s="7">
        <f t="shared" ca="1" si="101"/>
        <v>0</v>
      </c>
      <c r="AL136" s="7">
        <f t="shared" ca="1" si="101"/>
        <v>0</v>
      </c>
      <c r="AM136" s="7">
        <f t="shared" si="101"/>
        <v>0</v>
      </c>
    </row>
    <row r="137" spans="1:39" x14ac:dyDescent="0.2">
      <c r="A137" s="3" t="s">
        <v>30</v>
      </c>
      <c r="C137" s="7">
        <f t="shared" ref="C137:AM137" ca="1" si="102">IFERROR(-IF(C132=0,VLOOKUP($A131,$8:$12,C$1+2,FALSE),0),0)</f>
        <v>0</v>
      </c>
      <c r="D137" s="7">
        <f t="shared" ca="1" si="102"/>
        <v>0</v>
      </c>
      <c r="E137" s="7">
        <f t="shared" ca="1" si="102"/>
        <v>0</v>
      </c>
      <c r="F137" s="7">
        <f t="shared" ca="1" si="102"/>
        <v>0</v>
      </c>
      <c r="G137" s="7">
        <f t="shared" ca="1" si="102"/>
        <v>0</v>
      </c>
      <c r="H137" s="7">
        <f t="shared" ca="1" si="102"/>
        <v>0</v>
      </c>
      <c r="I137" s="7">
        <f t="shared" ca="1" si="102"/>
        <v>0</v>
      </c>
      <c r="J137" s="7">
        <f t="shared" ca="1" si="102"/>
        <v>0</v>
      </c>
      <c r="K137" s="7">
        <f t="shared" ca="1" si="102"/>
        <v>0</v>
      </c>
      <c r="L137" s="7">
        <f t="shared" ca="1" si="102"/>
        <v>0</v>
      </c>
      <c r="M137" s="7">
        <f t="shared" ca="1" si="102"/>
        <v>0</v>
      </c>
      <c r="N137" s="7">
        <f t="shared" ca="1" si="102"/>
        <v>0</v>
      </c>
      <c r="O137" s="7">
        <f t="shared" ca="1" si="102"/>
        <v>0</v>
      </c>
      <c r="P137" s="7">
        <f t="shared" ca="1" si="102"/>
        <v>0</v>
      </c>
      <c r="Q137" s="7">
        <f t="shared" ca="1" si="102"/>
        <v>0</v>
      </c>
      <c r="R137" s="7">
        <f t="shared" ca="1" si="102"/>
        <v>0</v>
      </c>
      <c r="S137" s="7">
        <f t="shared" ca="1" si="102"/>
        <v>0</v>
      </c>
      <c r="T137" s="7">
        <f t="shared" ca="1" si="102"/>
        <v>0</v>
      </c>
      <c r="U137" s="7">
        <f t="shared" ca="1" si="102"/>
        <v>0</v>
      </c>
      <c r="V137" s="7">
        <f t="shared" ca="1" si="102"/>
        <v>0</v>
      </c>
      <c r="W137" s="7">
        <f t="shared" ca="1" si="102"/>
        <v>0</v>
      </c>
      <c r="X137" s="7">
        <f t="shared" ca="1" si="102"/>
        <v>0</v>
      </c>
      <c r="Y137" s="7">
        <f t="shared" ca="1" si="102"/>
        <v>0</v>
      </c>
      <c r="Z137" s="7">
        <f t="shared" ca="1" si="102"/>
        <v>0</v>
      </c>
      <c r="AA137" s="7">
        <f t="shared" ca="1" si="102"/>
        <v>0</v>
      </c>
      <c r="AB137" s="7">
        <f t="shared" ca="1" si="102"/>
        <v>0</v>
      </c>
      <c r="AC137" s="7">
        <f t="shared" ca="1" si="102"/>
        <v>0</v>
      </c>
      <c r="AD137" s="7">
        <f t="shared" ca="1" si="102"/>
        <v>0</v>
      </c>
      <c r="AE137" s="7">
        <f t="shared" ca="1" si="102"/>
        <v>0</v>
      </c>
      <c r="AF137" s="7">
        <f t="shared" ca="1" si="102"/>
        <v>0</v>
      </c>
      <c r="AG137" s="7">
        <f t="shared" ca="1" si="102"/>
        <v>0</v>
      </c>
      <c r="AH137" s="7">
        <f t="shared" ca="1" si="102"/>
        <v>0</v>
      </c>
      <c r="AI137" s="7">
        <f t="shared" ca="1" si="102"/>
        <v>0</v>
      </c>
      <c r="AJ137" s="7">
        <f t="shared" ca="1" si="102"/>
        <v>0</v>
      </c>
      <c r="AK137" s="7">
        <f t="shared" ca="1" si="102"/>
        <v>0</v>
      </c>
      <c r="AL137" s="7">
        <f t="shared" ca="1" si="102"/>
        <v>0</v>
      </c>
      <c r="AM137" s="7">
        <f t="shared" ca="1" si="102"/>
        <v>0</v>
      </c>
    </row>
    <row r="138" spans="1:39" x14ac:dyDescent="0.2">
      <c r="A138" s="3" t="s">
        <v>49</v>
      </c>
      <c r="C138" s="7">
        <f t="shared" ref="C138:AM138" ca="1" si="103">IFERROR(IF(C132=0,VLOOKUP($A131,$46:$50,C$1+2,FALSE),0),0)</f>
        <v>0</v>
      </c>
      <c r="D138" s="7">
        <f t="shared" ca="1" si="103"/>
        <v>0</v>
      </c>
      <c r="E138" s="7">
        <f t="shared" ca="1" si="103"/>
        <v>0</v>
      </c>
      <c r="F138" s="7">
        <f t="shared" ca="1" si="103"/>
        <v>0</v>
      </c>
      <c r="G138" s="7">
        <f t="shared" ca="1" si="103"/>
        <v>0</v>
      </c>
      <c r="H138" s="7">
        <f t="shared" ca="1" si="103"/>
        <v>0</v>
      </c>
      <c r="I138" s="7">
        <f t="shared" ca="1" si="103"/>
        <v>0</v>
      </c>
      <c r="J138" s="7">
        <f t="shared" ca="1" si="103"/>
        <v>0</v>
      </c>
      <c r="K138" s="7">
        <f t="shared" ca="1" si="103"/>
        <v>0</v>
      </c>
      <c r="L138" s="7">
        <f t="shared" ca="1" si="103"/>
        <v>0</v>
      </c>
      <c r="M138" s="7">
        <f t="shared" ca="1" si="103"/>
        <v>0</v>
      </c>
      <c r="N138" s="7">
        <f t="shared" ca="1" si="103"/>
        <v>0</v>
      </c>
      <c r="O138" s="7">
        <f t="shared" ca="1" si="103"/>
        <v>0</v>
      </c>
      <c r="P138" s="7">
        <f t="shared" ca="1" si="103"/>
        <v>0</v>
      </c>
      <c r="Q138" s="7">
        <f t="shared" ca="1" si="103"/>
        <v>0</v>
      </c>
      <c r="R138" s="7">
        <f t="shared" ca="1" si="103"/>
        <v>0</v>
      </c>
      <c r="S138" s="7">
        <f t="shared" ca="1" si="103"/>
        <v>0</v>
      </c>
      <c r="T138" s="7">
        <f t="shared" ca="1" si="103"/>
        <v>0</v>
      </c>
      <c r="U138" s="7">
        <f t="shared" ca="1" si="103"/>
        <v>0</v>
      </c>
      <c r="V138" s="7">
        <f t="shared" ca="1" si="103"/>
        <v>0</v>
      </c>
      <c r="W138" s="7">
        <f t="shared" ca="1" si="103"/>
        <v>0</v>
      </c>
      <c r="X138" s="7">
        <f t="shared" ca="1" si="103"/>
        <v>0</v>
      </c>
      <c r="Y138" s="7">
        <f t="shared" ca="1" si="103"/>
        <v>0</v>
      </c>
      <c r="Z138" s="7">
        <f t="shared" ca="1" si="103"/>
        <v>0</v>
      </c>
      <c r="AA138" s="7">
        <f t="shared" ca="1" si="103"/>
        <v>0</v>
      </c>
      <c r="AB138" s="7">
        <f t="shared" ca="1" si="103"/>
        <v>0</v>
      </c>
      <c r="AC138" s="7">
        <f t="shared" ca="1" si="103"/>
        <v>0</v>
      </c>
      <c r="AD138" s="7">
        <f t="shared" ca="1" si="103"/>
        <v>0</v>
      </c>
      <c r="AE138" s="7">
        <f t="shared" ca="1" si="103"/>
        <v>0</v>
      </c>
      <c r="AF138" s="7">
        <f t="shared" ca="1" si="103"/>
        <v>0</v>
      </c>
      <c r="AG138" s="7">
        <f t="shared" ca="1" si="103"/>
        <v>0</v>
      </c>
      <c r="AH138" s="7">
        <f t="shared" ca="1" si="103"/>
        <v>0</v>
      </c>
      <c r="AI138" s="7">
        <f t="shared" ca="1" si="103"/>
        <v>0</v>
      </c>
      <c r="AJ138" s="7">
        <f t="shared" ca="1" si="103"/>
        <v>0</v>
      </c>
      <c r="AK138" s="7">
        <f t="shared" ca="1" si="103"/>
        <v>0</v>
      </c>
      <c r="AL138" s="7">
        <f t="shared" ca="1" si="103"/>
        <v>0</v>
      </c>
      <c r="AM138" s="7">
        <f t="shared" ca="1" si="103"/>
        <v>0</v>
      </c>
    </row>
    <row r="139" spans="1:39" x14ac:dyDescent="0.2">
      <c r="A139" s="3" t="s">
        <v>35</v>
      </c>
      <c r="B139" s="14" t="str">
        <f>A131</f>
        <v>Car</v>
      </c>
      <c r="C139" s="7">
        <f t="shared" ref="C139:AM139" ca="1" si="104">IF(AND(C132&gt;0,C135=0),VLOOKUP($A131,$85:$94,C$1+2,FALSE),0)</f>
        <v>0</v>
      </c>
      <c r="D139" s="7">
        <f t="shared" ca="1" si="104"/>
        <v>0</v>
      </c>
      <c r="E139" s="7">
        <f t="shared" ca="1" si="104"/>
        <v>0</v>
      </c>
      <c r="F139" s="7">
        <f t="shared" ca="1" si="104"/>
        <v>0</v>
      </c>
      <c r="G139" s="7">
        <f t="shared" ca="1" si="104"/>
        <v>0</v>
      </c>
      <c r="H139" s="7">
        <f t="shared" ca="1" si="104"/>
        <v>0</v>
      </c>
      <c r="I139" s="7">
        <f t="shared" ca="1" si="104"/>
        <v>0</v>
      </c>
      <c r="J139" s="7">
        <f t="shared" ca="1" si="104"/>
        <v>0</v>
      </c>
      <c r="K139" s="7">
        <f t="shared" ca="1" si="104"/>
        <v>0</v>
      </c>
      <c r="L139" s="7">
        <f t="shared" ca="1" si="104"/>
        <v>0</v>
      </c>
      <c r="M139" s="7">
        <f t="shared" ca="1" si="104"/>
        <v>0</v>
      </c>
      <c r="N139" s="7">
        <f t="shared" ca="1" si="104"/>
        <v>0</v>
      </c>
      <c r="O139" s="7">
        <f t="shared" ca="1" si="104"/>
        <v>0</v>
      </c>
      <c r="P139" s="7">
        <f t="shared" ca="1" si="104"/>
        <v>0</v>
      </c>
      <c r="Q139" s="7">
        <f t="shared" ca="1" si="104"/>
        <v>0</v>
      </c>
      <c r="R139" s="7">
        <f t="shared" ca="1" si="104"/>
        <v>0</v>
      </c>
      <c r="S139" s="7">
        <f t="shared" ca="1" si="104"/>
        <v>0</v>
      </c>
      <c r="T139" s="7">
        <f t="shared" ca="1" si="104"/>
        <v>0</v>
      </c>
      <c r="U139" s="7">
        <f t="shared" ca="1" si="104"/>
        <v>0</v>
      </c>
      <c r="V139" s="7">
        <f t="shared" ca="1" si="104"/>
        <v>0</v>
      </c>
      <c r="W139" s="7">
        <f t="shared" ca="1" si="104"/>
        <v>0</v>
      </c>
      <c r="X139" s="7">
        <f t="shared" ca="1" si="104"/>
        <v>0</v>
      </c>
      <c r="Y139" s="7">
        <f t="shared" ca="1" si="104"/>
        <v>0</v>
      </c>
      <c r="Z139" s="7">
        <f t="shared" ca="1" si="104"/>
        <v>0</v>
      </c>
      <c r="AA139" s="7">
        <f t="shared" ca="1" si="104"/>
        <v>0</v>
      </c>
      <c r="AB139" s="7">
        <f t="shared" ca="1" si="104"/>
        <v>0</v>
      </c>
      <c r="AC139" s="7">
        <f t="shared" ca="1" si="104"/>
        <v>0</v>
      </c>
      <c r="AD139" s="7">
        <f t="shared" ca="1" si="104"/>
        <v>0</v>
      </c>
      <c r="AE139" s="7">
        <f t="shared" ca="1" si="104"/>
        <v>0</v>
      </c>
      <c r="AF139" s="7">
        <f t="shared" ca="1" si="104"/>
        <v>0</v>
      </c>
      <c r="AG139" s="7">
        <f t="shared" ca="1" si="104"/>
        <v>0</v>
      </c>
      <c r="AH139" s="7">
        <f t="shared" ca="1" si="104"/>
        <v>0</v>
      </c>
      <c r="AI139" s="7">
        <f t="shared" ca="1" si="104"/>
        <v>0</v>
      </c>
      <c r="AJ139" s="7">
        <f t="shared" ca="1" si="104"/>
        <v>0</v>
      </c>
      <c r="AK139" s="7">
        <f t="shared" ca="1" si="104"/>
        <v>0</v>
      </c>
      <c r="AL139" s="7">
        <f t="shared" ca="1" si="104"/>
        <v>0</v>
      </c>
      <c r="AM139" s="7">
        <f t="shared" ca="1" si="104"/>
        <v>0</v>
      </c>
    </row>
    <row r="140" spans="1:39" x14ac:dyDescent="0.2">
      <c r="A140" s="3" t="s">
        <v>36</v>
      </c>
      <c r="C140" s="7">
        <f ca="1">-C133+SUM(C136:C139)</f>
        <v>0</v>
      </c>
      <c r="D140" s="7">
        <f t="shared" ref="D140" ca="1" si="105">-D133+SUM(D136:D139)</f>
        <v>0</v>
      </c>
      <c r="E140" s="7">
        <f t="shared" ref="E140:AM140" ca="1" si="106">-E133+SUM(E136:E139)</f>
        <v>0</v>
      </c>
      <c r="F140" s="7">
        <f t="shared" ca="1" si="106"/>
        <v>0</v>
      </c>
      <c r="G140" s="7">
        <f t="shared" ca="1" si="106"/>
        <v>0</v>
      </c>
      <c r="H140" s="7">
        <f t="shared" ca="1" si="106"/>
        <v>0</v>
      </c>
      <c r="I140" s="7">
        <f t="shared" ca="1" si="106"/>
        <v>0</v>
      </c>
      <c r="J140" s="7">
        <f t="shared" ca="1" si="106"/>
        <v>0</v>
      </c>
      <c r="K140" s="7">
        <f t="shared" ca="1" si="106"/>
        <v>0</v>
      </c>
      <c r="L140" s="7">
        <f t="shared" ca="1" si="106"/>
        <v>0</v>
      </c>
      <c r="M140" s="7">
        <f t="shared" ca="1" si="106"/>
        <v>0</v>
      </c>
      <c r="N140" s="7">
        <f t="shared" ca="1" si="106"/>
        <v>0</v>
      </c>
      <c r="O140" s="7">
        <f t="shared" ca="1" si="106"/>
        <v>0</v>
      </c>
      <c r="P140" s="7">
        <f t="shared" ca="1" si="106"/>
        <v>0</v>
      </c>
      <c r="Q140" s="7">
        <f t="shared" ca="1" si="106"/>
        <v>0</v>
      </c>
      <c r="R140" s="7">
        <f t="shared" ca="1" si="106"/>
        <v>0</v>
      </c>
      <c r="S140" s="7">
        <f t="shared" ca="1" si="106"/>
        <v>0</v>
      </c>
      <c r="T140" s="7">
        <f t="shared" ca="1" si="106"/>
        <v>0</v>
      </c>
      <c r="U140" s="7">
        <f t="shared" ca="1" si="106"/>
        <v>0</v>
      </c>
      <c r="V140" s="7">
        <f t="shared" ca="1" si="106"/>
        <v>0</v>
      </c>
      <c r="W140" s="7">
        <f t="shared" ca="1" si="106"/>
        <v>0</v>
      </c>
      <c r="X140" s="7">
        <f t="shared" ca="1" si="106"/>
        <v>0</v>
      </c>
      <c r="Y140" s="7">
        <f t="shared" ca="1" si="106"/>
        <v>0</v>
      </c>
      <c r="Z140" s="7">
        <f t="shared" ca="1" si="106"/>
        <v>0</v>
      </c>
      <c r="AA140" s="7">
        <f t="shared" ca="1" si="106"/>
        <v>0</v>
      </c>
      <c r="AB140" s="7">
        <f t="shared" ca="1" si="106"/>
        <v>0</v>
      </c>
      <c r="AC140" s="7">
        <f t="shared" ca="1" si="106"/>
        <v>0</v>
      </c>
      <c r="AD140" s="7">
        <f t="shared" ca="1" si="106"/>
        <v>0</v>
      </c>
      <c r="AE140" s="7">
        <f t="shared" ca="1" si="106"/>
        <v>0</v>
      </c>
      <c r="AF140" s="7">
        <f t="shared" ca="1" si="106"/>
        <v>0</v>
      </c>
      <c r="AG140" s="7">
        <f t="shared" ca="1" si="106"/>
        <v>0</v>
      </c>
      <c r="AH140" s="7">
        <f t="shared" ca="1" si="106"/>
        <v>0</v>
      </c>
      <c r="AI140" s="7">
        <f t="shared" ca="1" si="106"/>
        <v>0</v>
      </c>
      <c r="AJ140" s="7">
        <f t="shared" ca="1" si="106"/>
        <v>0</v>
      </c>
      <c r="AK140" s="7">
        <f t="shared" ca="1" si="106"/>
        <v>0</v>
      </c>
      <c r="AL140" s="7">
        <f t="shared" ca="1" si="106"/>
        <v>0</v>
      </c>
      <c r="AM140" s="7">
        <f t="shared" ca="1" si="106"/>
        <v>0</v>
      </c>
    </row>
    <row r="141" spans="1:39" x14ac:dyDescent="0.2">
      <c r="A141" s="3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</row>
    <row r="142" spans="1:39" x14ac:dyDescent="0.2">
      <c r="A142" s="3" t="s">
        <v>70</v>
      </c>
      <c r="C142" s="7">
        <f ca="1">C128+SUM($C140:C140)</f>
        <v>16108.4375</v>
      </c>
      <c r="D142" s="7">
        <f ca="1">D128+SUM($C140:D140)</f>
        <v>30012.145312499997</v>
      </c>
      <c r="E142" s="7">
        <f ca="1">E128+SUM($C140:E140)</f>
        <v>50169.6494140625</v>
      </c>
      <c r="F142" s="7">
        <f ca="1">F128+SUM($C140:F140)</f>
        <v>52227.783801841113</v>
      </c>
      <c r="G142" s="7">
        <f ca="1">G128+SUM($C140:G140)</f>
        <v>250455.15989583102</v>
      </c>
      <c r="H142" s="7">
        <f ca="1">H128+SUM($C140:H140)</f>
        <v>296986.84009098983</v>
      </c>
      <c r="I142" s="7">
        <f ca="1">I128+SUM($C140:I140)</f>
        <v>363754.64435619779</v>
      </c>
      <c r="J142" s="7">
        <f ca="1">J128+SUM($C140:J140)</f>
        <v>435067.93012454931</v>
      </c>
      <c r="K142" s="7">
        <f ca="1">K128+SUM($C140:K140)</f>
        <v>493116.96835998015</v>
      </c>
      <c r="L142" s="7">
        <f ca="1">L128+SUM($C140:L140)</f>
        <v>638212.2751736166</v>
      </c>
      <c r="M142" s="7">
        <f ca="1">M128+SUM($C140:M140)</f>
        <v>695163.71186735749</v>
      </c>
      <c r="N142" s="7">
        <f ca="1">N128+SUM($C140:N140)</f>
        <v>805771.16934020713</v>
      </c>
      <c r="O142" s="7">
        <f ca="1">O128+SUM($C140:O140)</f>
        <v>922222.00124800857</v>
      </c>
      <c r="P142" s="7">
        <f ca="1">P128+SUM($C140:P140)</f>
        <v>1044762.6085180258</v>
      </c>
      <c r="Q142" s="7">
        <f ca="1">Q128+SUM($C140:Q140)</f>
        <v>1173648.7608708572</v>
      </c>
      <c r="R142" s="7">
        <f ca="1">R128+SUM($C140:R140)</f>
        <v>1309145.9322852024</v>
      </c>
      <c r="S142" s="7">
        <f ca="1">S128+SUM($C140:S140)</f>
        <v>1451529.6480111426</v>
      </c>
      <c r="T142" s="7">
        <f ca="1">T128+SUM($C140:T140)</f>
        <v>1491855.4011356728</v>
      </c>
      <c r="U142" s="7">
        <f ca="1">U128+SUM($C140:U140)</f>
        <v>1541415.1978627439</v>
      </c>
      <c r="V142" s="7">
        <f ca="1">V128+SUM($C140:V140)</f>
        <v>1592757.5777099284</v>
      </c>
      <c r="W142" s="7">
        <f ca="1">W128+SUM($C140:W140)</f>
        <v>1645948.7425475621</v>
      </c>
      <c r="X142" s="7">
        <f ca="1">X128+SUM($C140:X140)</f>
        <v>1701057.3316526653</v>
      </c>
      <c r="Y142" s="7">
        <f ca="1">Y128+SUM($C140:Y140)</f>
        <v>1737237.4169653396</v>
      </c>
      <c r="Z142" s="7">
        <f ca="1">Z128+SUM($C140:Z140)</f>
        <v>1774434.0167242812</v>
      </c>
      <c r="AA142" s="7">
        <f ca="1">AA128+SUM($C140:AA140)</f>
        <v>1812684.4017288706</v>
      </c>
      <c r="AB142" s="7">
        <f ca="1">AB128+SUM($C140:AB140)</f>
        <v>1852027.3427258399</v>
      </c>
      <c r="AC142" s="7">
        <f ca="1">AC128+SUM($C140:AC140)</f>
        <v>1892503.1702642585</v>
      </c>
      <c r="AD142" s="7">
        <f ca="1">AD128+SUM($C140:AD140)</f>
        <v>1934153.8368503558</v>
      </c>
      <c r="AE142" s="7">
        <f ca="1">AE128+SUM($C140:AE140)</f>
        <v>1987130.2375195618</v>
      </c>
      <c r="AF142" s="7">
        <f ca="1">AF128+SUM($C140:AF140)</f>
        <v>2041875.8715530399</v>
      </c>
      <c r="AG142" s="7">
        <f ca="1">AG128+SUM($C140:AG140)</f>
        <v>2098456.905652951</v>
      </c>
      <c r="AH142" s="7">
        <f ca="1">AH128+SUM($C140:AH140)</f>
        <v>2156942.0335442415</v>
      </c>
      <c r="AI142" s="7">
        <f ca="1">AI128+SUM($C140:AI140)</f>
        <v>2217402.5707053514</v>
      </c>
      <c r="AJ142" s="7">
        <f ca="1">AJ128+SUM($C140:AJ140)</f>
        <v>2279912.5525480784</v>
      </c>
      <c r="AK142" s="7">
        <f ca="1">AK128+SUM($C140:AK140)</f>
        <v>2344548.8361686133</v>
      </c>
      <c r="AL142" s="7">
        <f ca="1">AL128+SUM($C140:AL140)</f>
        <v>2411391.2057959661</v>
      </c>
      <c r="AM142" s="7">
        <f ca="1">AM128+SUM($C140:AM140)</f>
        <v>2480522.4820683482</v>
      </c>
    </row>
    <row r="143" spans="1:39" x14ac:dyDescent="0.2">
      <c r="A143" s="3" t="s">
        <v>67</v>
      </c>
      <c r="C143" s="7">
        <f t="shared" ref="C143:AM143" ca="1" si="107">MAX(C142+buffer,0)-MAX(C128+buffer,0)</f>
        <v>0</v>
      </c>
      <c r="D143" s="7">
        <f t="shared" ca="1" si="107"/>
        <v>0</v>
      </c>
      <c r="E143" s="7">
        <f t="shared" ca="1" si="107"/>
        <v>0</v>
      </c>
      <c r="F143" s="7">
        <f t="shared" ca="1" si="107"/>
        <v>0</v>
      </c>
      <c r="G143" s="7">
        <f t="shared" ca="1" si="107"/>
        <v>0</v>
      </c>
      <c r="H143" s="7">
        <f t="shared" ca="1" si="107"/>
        <v>0</v>
      </c>
      <c r="I143" s="7">
        <f t="shared" ca="1" si="107"/>
        <v>0</v>
      </c>
      <c r="J143" s="7">
        <f t="shared" ca="1" si="107"/>
        <v>0</v>
      </c>
      <c r="K143" s="7">
        <f t="shared" ca="1" si="107"/>
        <v>0</v>
      </c>
      <c r="L143" s="7">
        <f t="shared" ca="1" si="107"/>
        <v>0</v>
      </c>
      <c r="M143" s="7">
        <f t="shared" ca="1" si="107"/>
        <v>0</v>
      </c>
      <c r="N143" s="7">
        <f t="shared" ca="1" si="107"/>
        <v>0</v>
      </c>
      <c r="O143" s="7">
        <f t="shared" ca="1" si="107"/>
        <v>0</v>
      </c>
      <c r="P143" s="7">
        <f t="shared" ca="1" si="107"/>
        <v>0</v>
      </c>
      <c r="Q143" s="7">
        <f t="shared" ca="1" si="107"/>
        <v>0</v>
      </c>
      <c r="R143" s="7">
        <f t="shared" ca="1" si="107"/>
        <v>0</v>
      </c>
      <c r="S143" s="7">
        <f t="shared" ca="1" si="107"/>
        <v>0</v>
      </c>
      <c r="T143" s="7">
        <f t="shared" ca="1" si="107"/>
        <v>0</v>
      </c>
      <c r="U143" s="7">
        <f t="shared" ca="1" si="107"/>
        <v>0</v>
      </c>
      <c r="V143" s="7">
        <f t="shared" ca="1" si="107"/>
        <v>0</v>
      </c>
      <c r="W143" s="7">
        <f t="shared" ca="1" si="107"/>
        <v>0</v>
      </c>
      <c r="X143" s="7">
        <f t="shared" ca="1" si="107"/>
        <v>0</v>
      </c>
      <c r="Y143" s="7">
        <f t="shared" ca="1" si="107"/>
        <v>0</v>
      </c>
      <c r="Z143" s="7">
        <f t="shared" ca="1" si="107"/>
        <v>0</v>
      </c>
      <c r="AA143" s="7">
        <f t="shared" ca="1" si="107"/>
        <v>0</v>
      </c>
      <c r="AB143" s="7">
        <f t="shared" ca="1" si="107"/>
        <v>0</v>
      </c>
      <c r="AC143" s="7">
        <f t="shared" ca="1" si="107"/>
        <v>0</v>
      </c>
      <c r="AD143" s="7">
        <f t="shared" ca="1" si="107"/>
        <v>0</v>
      </c>
      <c r="AE143" s="7">
        <f t="shared" ca="1" si="107"/>
        <v>0</v>
      </c>
      <c r="AF143" s="7">
        <f t="shared" ca="1" si="107"/>
        <v>0</v>
      </c>
      <c r="AG143" s="7">
        <f t="shared" ca="1" si="107"/>
        <v>0</v>
      </c>
      <c r="AH143" s="7">
        <f t="shared" ca="1" si="107"/>
        <v>0</v>
      </c>
      <c r="AI143" s="7">
        <f t="shared" ca="1" si="107"/>
        <v>0</v>
      </c>
      <c r="AJ143" s="7">
        <f t="shared" ca="1" si="107"/>
        <v>0</v>
      </c>
      <c r="AK143" s="7">
        <f t="shared" ca="1" si="107"/>
        <v>0</v>
      </c>
      <c r="AL143" s="7">
        <f t="shared" ca="1" si="107"/>
        <v>0</v>
      </c>
      <c r="AM143" s="7">
        <f t="shared" ca="1" si="107"/>
        <v>0</v>
      </c>
    </row>
    <row r="144" spans="1:39" x14ac:dyDescent="0.2">
      <c r="A144" s="3" t="s">
        <v>68</v>
      </c>
      <c r="C144" s="7">
        <f ca="1">C143*Inputs!$B$269</f>
        <v>0</v>
      </c>
      <c r="D144" s="7">
        <f ca="1">D143*Inputs!$B$269</f>
        <v>0</v>
      </c>
      <c r="E144" s="7">
        <f ca="1">E143*Inputs!$B$269</f>
        <v>0</v>
      </c>
      <c r="F144" s="7">
        <f ca="1">F143*Inputs!$B$269</f>
        <v>0</v>
      </c>
      <c r="G144" s="7">
        <f ca="1">G143*Inputs!$B$269</f>
        <v>0</v>
      </c>
      <c r="H144" s="7">
        <f ca="1">H143*Inputs!$B$269</f>
        <v>0</v>
      </c>
      <c r="I144" s="7">
        <f ca="1">I143*Inputs!$B$269</f>
        <v>0</v>
      </c>
      <c r="J144" s="7">
        <f ca="1">J143*Inputs!$B$269</f>
        <v>0</v>
      </c>
      <c r="K144" s="7">
        <f ca="1">K143*Inputs!$B$269</f>
        <v>0</v>
      </c>
      <c r="L144" s="7">
        <f ca="1">L143*Inputs!$B$269</f>
        <v>0</v>
      </c>
      <c r="M144" s="7">
        <f ca="1">M143*Inputs!$B$269</f>
        <v>0</v>
      </c>
      <c r="N144" s="7">
        <f ca="1">N143*Inputs!$B$269</f>
        <v>0</v>
      </c>
      <c r="O144" s="7">
        <f ca="1">O143*Inputs!$B$269</f>
        <v>0</v>
      </c>
      <c r="P144" s="7">
        <f ca="1">P143*Inputs!$B$269</f>
        <v>0</v>
      </c>
      <c r="Q144" s="7">
        <f ca="1">Q143*Inputs!$B$269</f>
        <v>0</v>
      </c>
      <c r="R144" s="7">
        <f ca="1">R143*Inputs!$B$269</f>
        <v>0</v>
      </c>
      <c r="S144" s="7">
        <f ca="1">S143*Inputs!$B$269</f>
        <v>0</v>
      </c>
      <c r="T144" s="7">
        <f ca="1">T143*Inputs!$B$269</f>
        <v>0</v>
      </c>
      <c r="U144" s="7">
        <f ca="1">U143*Inputs!$B$269</f>
        <v>0</v>
      </c>
      <c r="V144" s="7">
        <f ca="1">V143*Inputs!$B$269</f>
        <v>0</v>
      </c>
      <c r="W144" s="7">
        <f ca="1">W143*Inputs!$B$269</f>
        <v>0</v>
      </c>
      <c r="X144" s="7">
        <f ca="1">X143*Inputs!$B$269</f>
        <v>0</v>
      </c>
      <c r="Y144" s="7">
        <f ca="1">Y143*Inputs!$B$269</f>
        <v>0</v>
      </c>
      <c r="Z144" s="7">
        <f ca="1">Z143*Inputs!$B$269</f>
        <v>0</v>
      </c>
      <c r="AA144" s="7">
        <f ca="1">AA143*Inputs!$B$269</f>
        <v>0</v>
      </c>
      <c r="AB144" s="7">
        <f ca="1">AB143*Inputs!$B$269</f>
        <v>0</v>
      </c>
      <c r="AC144" s="7">
        <f ca="1">AC143*Inputs!$B$269</f>
        <v>0</v>
      </c>
      <c r="AD144" s="7">
        <f ca="1">AD143*Inputs!$B$269</f>
        <v>0</v>
      </c>
      <c r="AE144" s="7">
        <f ca="1">AE143*Inputs!$B$269</f>
        <v>0</v>
      </c>
      <c r="AF144" s="7">
        <f ca="1">AF143*Inputs!$B$269</f>
        <v>0</v>
      </c>
      <c r="AG144" s="7">
        <f ca="1">AG143*Inputs!$B$269</f>
        <v>0</v>
      </c>
      <c r="AH144" s="7">
        <f ca="1">AH143*Inputs!$B$269</f>
        <v>0</v>
      </c>
      <c r="AI144" s="7">
        <f ca="1">AI143*Inputs!$B$269</f>
        <v>0</v>
      </c>
      <c r="AJ144" s="7">
        <f ca="1">AJ143*Inputs!$B$269</f>
        <v>0</v>
      </c>
      <c r="AK144" s="7">
        <f ca="1">AK143*Inputs!$B$269</f>
        <v>0</v>
      </c>
      <c r="AL144" s="7">
        <f ca="1">AL143*Inputs!$B$269</f>
        <v>0</v>
      </c>
      <c r="AM144" s="7">
        <f ca="1">AM143*Inputs!$B$269</f>
        <v>0</v>
      </c>
    </row>
    <row r="145" spans="1:39" x14ac:dyDescent="0.2">
      <c r="A145" s="3" t="s">
        <v>149</v>
      </c>
      <c r="C145" s="7">
        <f ca="1">C142+SUM($C144:C144)</f>
        <v>16108.4375</v>
      </c>
      <c r="D145" s="7">
        <f ca="1">D142+SUM($C144:D144)</f>
        <v>30012.145312499997</v>
      </c>
      <c r="E145" s="7">
        <f ca="1">E142+SUM($C144:E144)</f>
        <v>50169.6494140625</v>
      </c>
      <c r="F145" s="7">
        <f ca="1">F142+SUM($C144:F144)</f>
        <v>52227.783801841113</v>
      </c>
      <c r="G145" s="7">
        <f ca="1">G142+SUM($C144:G144)</f>
        <v>250455.15989583102</v>
      </c>
      <c r="H145" s="7">
        <f ca="1">H142+SUM($C144:H144)</f>
        <v>296986.84009098983</v>
      </c>
      <c r="I145" s="7">
        <f ca="1">I142+SUM($C144:I144)</f>
        <v>363754.64435619779</v>
      </c>
      <c r="J145" s="7">
        <f ca="1">J142+SUM($C144:J144)</f>
        <v>435067.93012454931</v>
      </c>
      <c r="K145" s="7">
        <f ca="1">K142+SUM($C144:K144)</f>
        <v>493116.96835998015</v>
      </c>
      <c r="L145" s="7">
        <f ca="1">L142+SUM($C144:L144)</f>
        <v>638212.2751736166</v>
      </c>
      <c r="M145" s="7">
        <f ca="1">M142+SUM($C144:M144)</f>
        <v>695163.71186735749</v>
      </c>
      <c r="N145" s="7">
        <f ca="1">N142+SUM($C144:N144)</f>
        <v>805771.16934020713</v>
      </c>
      <c r="O145" s="7">
        <f ca="1">O142+SUM($C144:O144)</f>
        <v>922222.00124800857</v>
      </c>
      <c r="P145" s="7">
        <f ca="1">P142+SUM($C144:P144)</f>
        <v>1044762.6085180258</v>
      </c>
      <c r="Q145" s="7">
        <f ca="1">Q142+SUM($C144:Q144)</f>
        <v>1173648.7608708572</v>
      </c>
      <c r="R145" s="7">
        <f ca="1">R142+SUM($C144:R144)</f>
        <v>1309145.9322852024</v>
      </c>
      <c r="S145" s="7">
        <f ca="1">S142+SUM($C144:S144)</f>
        <v>1451529.6480111426</v>
      </c>
      <c r="T145" s="7">
        <f ca="1">T142+SUM($C144:T144)</f>
        <v>1491855.4011356728</v>
      </c>
      <c r="U145" s="7">
        <f ca="1">U142+SUM($C144:U144)</f>
        <v>1541415.1978627439</v>
      </c>
      <c r="V145" s="7">
        <f ca="1">V142+SUM($C144:V144)</f>
        <v>1592757.5777099284</v>
      </c>
      <c r="W145" s="7">
        <f ca="1">W142+SUM($C144:W144)</f>
        <v>1645948.7425475621</v>
      </c>
      <c r="X145" s="7">
        <f ca="1">X142+SUM($C144:X144)</f>
        <v>1701057.3316526653</v>
      </c>
      <c r="Y145" s="7">
        <f ca="1">Y142+SUM($C144:Y144)</f>
        <v>1737237.4169653396</v>
      </c>
      <c r="Z145" s="7">
        <f ca="1">Z142+SUM($C144:Z144)</f>
        <v>1774434.0167242812</v>
      </c>
      <c r="AA145" s="7">
        <f ca="1">AA142+SUM($C144:AA144)</f>
        <v>1812684.4017288706</v>
      </c>
      <c r="AB145" s="7">
        <f ca="1">AB142+SUM($C144:AB144)</f>
        <v>1852027.3427258399</v>
      </c>
      <c r="AC145" s="7">
        <f ca="1">AC142+SUM($C144:AC144)</f>
        <v>1892503.1702642585</v>
      </c>
      <c r="AD145" s="7">
        <f ca="1">AD142+SUM($C144:AD144)</f>
        <v>1934153.8368503558</v>
      </c>
      <c r="AE145" s="7">
        <f ca="1">AE142+SUM($C144:AE144)</f>
        <v>1987130.2375195618</v>
      </c>
      <c r="AF145" s="7">
        <f ca="1">AF142+SUM($C144:AF144)</f>
        <v>2041875.8715530399</v>
      </c>
      <c r="AG145" s="7">
        <f ca="1">AG142+SUM($C144:AG144)</f>
        <v>2098456.905652951</v>
      </c>
      <c r="AH145" s="7">
        <f ca="1">AH142+SUM($C144:AH144)</f>
        <v>2156942.0335442415</v>
      </c>
      <c r="AI145" s="7">
        <f ca="1">AI142+SUM($C144:AI144)</f>
        <v>2217402.5707053514</v>
      </c>
      <c r="AJ145" s="7">
        <f ca="1">AJ142+SUM($C144:AJ144)</f>
        <v>2279912.5525480784</v>
      </c>
      <c r="AK145" s="7">
        <f ca="1">AK142+SUM($C144:AK144)</f>
        <v>2344548.8361686133</v>
      </c>
      <c r="AL145" s="7">
        <f ca="1">AL142+SUM($C144:AL144)</f>
        <v>2411391.2057959661</v>
      </c>
      <c r="AM145" s="7">
        <f ca="1">AM142+SUM($C144:AM144)</f>
        <v>2480522.4820683482</v>
      </c>
    </row>
    <row r="146" spans="1:39" x14ac:dyDescent="0.2">
      <c r="A146" s="3" t="s">
        <v>19</v>
      </c>
      <c r="C146" s="7">
        <f ca="1">IF(C145&lt;0,-C145,0)</f>
        <v>0</v>
      </c>
      <c r="D146" s="7">
        <f ca="1">IF(D145+SUM($C146:C146)&lt;0,-(D145+SUM($C146:C146)),0)</f>
        <v>0</v>
      </c>
      <c r="E146" s="7">
        <f ca="1">IF(E145+SUM($C146:D146)&lt;0,-(E145+SUM($C146:D146)),0)</f>
        <v>0</v>
      </c>
      <c r="F146" s="7">
        <f ca="1">IF(F145+SUM($C146:E146)&lt;0,-(F145+SUM($C146:E146)),0)</f>
        <v>0</v>
      </c>
      <c r="G146" s="7">
        <f ca="1">IF(G145+SUM($C146:F146)&lt;0,-(G145+SUM($C146:F146)),0)</f>
        <v>0</v>
      </c>
      <c r="H146" s="7">
        <f ca="1">IF(H145+SUM($C146:G146)&lt;0,-(H145+SUM($C146:G146)),0)</f>
        <v>0</v>
      </c>
      <c r="I146" s="7">
        <f ca="1">IF(I145+SUM($C146:H146)&lt;0,-(I145+SUM($C146:H146)),0)</f>
        <v>0</v>
      </c>
      <c r="J146" s="7">
        <f ca="1">IF(J145+SUM($C146:I146)&lt;0,-(J145+SUM($C146:I146)),0)</f>
        <v>0</v>
      </c>
      <c r="K146" s="7">
        <f ca="1">IF(K145+SUM($C146:J146)&lt;0,-(K145+SUM($C146:J146)),0)</f>
        <v>0</v>
      </c>
      <c r="L146" s="7">
        <f ca="1">IF(L145+SUM($C146:K146)&lt;0,-(L145+SUM($C146:K146)),0)</f>
        <v>0</v>
      </c>
      <c r="M146" s="7">
        <f ca="1">IF(M145+SUM($C146:L146)&lt;0,-(M145+SUM($C146:L146)),0)</f>
        <v>0</v>
      </c>
      <c r="N146" s="7">
        <f ca="1">IF(N145+SUM($C146:M146)&lt;0,-(N145+SUM($C146:M146)),0)</f>
        <v>0</v>
      </c>
      <c r="O146" s="7">
        <f ca="1">IF(O145+SUM($C146:N146)&lt;0,-(O145+SUM($C146:N146)),0)</f>
        <v>0</v>
      </c>
      <c r="P146" s="7">
        <f ca="1">IF(P145+SUM($C146:O146)&lt;0,-(P145+SUM($C146:O146)),0)</f>
        <v>0</v>
      </c>
      <c r="Q146" s="7">
        <f ca="1">IF(Q145+SUM($C146:P146)&lt;0,-(Q145+SUM($C146:P146)),0)</f>
        <v>0</v>
      </c>
      <c r="R146" s="7">
        <f ca="1">IF(R145+SUM($C146:Q146)&lt;0,-(R145+SUM($C146:Q146)),0)</f>
        <v>0</v>
      </c>
      <c r="S146" s="7">
        <f ca="1">IF(S145+SUM($C146:R146)&lt;0,-(S145+SUM($C146:R146)),0)</f>
        <v>0</v>
      </c>
      <c r="T146" s="7">
        <f ca="1">IF(T145+SUM($C146:S146)&lt;0,-(T145+SUM($C146:S146)),0)</f>
        <v>0</v>
      </c>
      <c r="U146" s="7">
        <f ca="1">IF(U145+SUM($C146:T146)&lt;0,-(U145+SUM($C146:T146)),0)</f>
        <v>0</v>
      </c>
      <c r="V146" s="7">
        <f ca="1">IF(V145+SUM($C146:U146)&lt;0,-(V145+SUM($C146:U146)),0)</f>
        <v>0</v>
      </c>
      <c r="W146" s="7">
        <f ca="1">IF(W145+SUM($C146:V146)&lt;0,-(W145+SUM($C146:V146)),0)</f>
        <v>0</v>
      </c>
      <c r="X146" s="7">
        <f ca="1">IF(X145+SUM($C146:W146)&lt;0,-(X145+SUM($C146:W146)),0)</f>
        <v>0</v>
      </c>
      <c r="Y146" s="7">
        <f ca="1">IF(Y145+SUM($C146:X146)&lt;0,-(Y145+SUM($C146:X146)),0)</f>
        <v>0</v>
      </c>
      <c r="Z146" s="7">
        <f ca="1">IF(Z145+SUM($C146:Y146)&lt;0,-(Z145+SUM($C146:Y146)),0)</f>
        <v>0</v>
      </c>
      <c r="AA146" s="7">
        <f ca="1">IF(AA145+SUM($C146:Z146)&lt;0,-(AA145+SUM($C146:Z146)),0)</f>
        <v>0</v>
      </c>
      <c r="AB146" s="7">
        <f ca="1">IF(AB145+SUM($C146:AA146)&lt;0,-(AB145+SUM($C146:AA146)),0)</f>
        <v>0</v>
      </c>
      <c r="AC146" s="7">
        <f ca="1">IF(AC145+SUM($C146:AB146)&lt;0,-(AC145+SUM($C146:AB146)),0)</f>
        <v>0</v>
      </c>
      <c r="AD146" s="7">
        <f ca="1">IF(AD145+SUM($C146:AC146)&lt;0,-(AD145+SUM($C146:AC146)),0)</f>
        <v>0</v>
      </c>
      <c r="AE146" s="7">
        <f ca="1">IF(AE145+SUM($C146:AD146)&lt;0,-(AE145+SUM($C146:AD146)),0)</f>
        <v>0</v>
      </c>
      <c r="AF146" s="7">
        <f ca="1">IF(AF145+SUM($C146:AE146)&lt;0,-(AF145+SUM($C146:AE146)),0)</f>
        <v>0</v>
      </c>
      <c r="AG146" s="7">
        <f ca="1">IF(AG145+SUM($C146:AF146)&lt;0,-(AG145+SUM($C146:AF146)),0)</f>
        <v>0</v>
      </c>
      <c r="AH146" s="7">
        <f ca="1">IF(AH145+SUM($C146:AG146)&lt;0,-(AH145+SUM($C146:AG146)),0)</f>
        <v>0</v>
      </c>
      <c r="AI146" s="7">
        <f ca="1">IF(AI145+SUM($C146:AH146)&lt;0,-(AI145+SUM($C146:AH146)),0)</f>
        <v>0</v>
      </c>
      <c r="AJ146" s="7">
        <f ca="1">IF(AJ145+SUM($C146:AI146)&lt;0,-(AJ145+SUM($C146:AI146)),0)</f>
        <v>0</v>
      </c>
      <c r="AK146" s="7">
        <f ca="1">IF(AK145+SUM($C146:AJ146)&lt;0,-(AK145+SUM($C146:AJ146)),0)</f>
        <v>0</v>
      </c>
      <c r="AL146" s="7">
        <f ca="1">IF(AL145+SUM($C146:AK146)&lt;0,-(AL145+SUM($C146:AK146)),0)</f>
        <v>0</v>
      </c>
      <c r="AM146" s="7">
        <f ca="1">IF(AM145+SUM($C146:AL146)&lt;0,-(AM145+SUM($C146:AL146)),0)</f>
        <v>0</v>
      </c>
    </row>
    <row r="147" spans="1:39" x14ac:dyDescent="0.2"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</row>
    <row r="148" spans="1:39" x14ac:dyDescent="0.2">
      <c r="A148" s="24" t="str">
        <f>IF(Inputs!$B$289=6,IFERROR(_xlfn.XLOOKUP($B148,Inputs!$B$290:$B$299,Inputs!$A$290:$A$299,,0,1),""),IFERROR(_xlfn.XLOOKUP($B148,Inputs!$C$290:$C$299,Inputs!$A$290:$A$299,,0,1),""))</f>
        <v>Jewelry</v>
      </c>
      <c r="B148" s="26">
        <v>3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</row>
    <row r="149" spans="1:39" x14ac:dyDescent="0.2">
      <c r="A149" s="3" t="s">
        <v>21</v>
      </c>
      <c r="C149" s="7">
        <f ca="1">IFERROR(VLOOKUP($A148,$A$67:$H$96,C$1+2,FALSE),0)</f>
        <v>50748.140451472013</v>
      </c>
      <c r="D149" s="7">
        <f ca="1">C152</f>
        <v>50748.140451472013</v>
      </c>
      <c r="E149" s="7">
        <f t="shared" ref="E149:AM149" ca="1" si="108">D152</f>
        <v>51763.103260501455</v>
      </c>
      <c r="F149" s="7">
        <f t="shared" ca="1" si="108"/>
        <v>52798.365325711486</v>
      </c>
      <c r="G149" s="7">
        <f t="shared" ca="1" si="108"/>
        <v>53854.332632225713</v>
      </c>
      <c r="H149" s="7">
        <f t="shared" ca="1" si="108"/>
        <v>54931.41928487023</v>
      </c>
      <c r="I149" s="7">
        <f t="shared" ca="1" si="108"/>
        <v>56030.047670567634</v>
      </c>
      <c r="J149" s="7">
        <f t="shared" ca="1" si="108"/>
        <v>57150.648623978988</v>
      </c>
      <c r="K149" s="7">
        <f t="shared" ca="1" si="108"/>
        <v>58293.661596458565</v>
      </c>
      <c r="L149" s="7">
        <f t="shared" ca="1" si="108"/>
        <v>59459.534828387739</v>
      </c>
      <c r="M149" s="7">
        <f t="shared" ca="1" si="108"/>
        <v>60648.725524955495</v>
      </c>
      <c r="N149" s="7">
        <f t="shared" ca="1" si="108"/>
        <v>61861.700035454603</v>
      </c>
      <c r="O149" s="7">
        <f t="shared" ca="1" si="108"/>
        <v>63098.934036163693</v>
      </c>
      <c r="P149" s="7">
        <f t="shared" ca="1" si="108"/>
        <v>64360.912716886967</v>
      </c>
      <c r="Q149" s="7">
        <f t="shared" ca="1" si="108"/>
        <v>65648.130971224702</v>
      </c>
      <c r="R149" s="7">
        <f t="shared" ca="1" si="108"/>
        <v>66961.093590649194</v>
      </c>
      <c r="S149" s="7">
        <f t="shared" ca="1" si="108"/>
        <v>68300.315462462182</v>
      </c>
      <c r="T149" s="7">
        <f t="shared" ca="1" si="108"/>
        <v>69666.321771711431</v>
      </c>
      <c r="U149" s="7">
        <f t="shared" ca="1" si="108"/>
        <v>71059.648207145656</v>
      </c>
      <c r="V149" s="7">
        <f t="shared" ca="1" si="108"/>
        <v>72480.841171288572</v>
      </c>
      <c r="W149" s="7">
        <f t="shared" ca="1" si="108"/>
        <v>73930.45799471435</v>
      </c>
      <c r="X149" s="7">
        <f t="shared" ca="1" si="108"/>
        <v>75409.067154608638</v>
      </c>
      <c r="Y149" s="7">
        <f t="shared" ca="1" si="108"/>
        <v>76917.248497700813</v>
      </c>
      <c r="Z149" s="7">
        <f t="shared" ca="1" si="108"/>
        <v>78455.593467654835</v>
      </c>
      <c r="AA149" s="7">
        <f t="shared" ca="1" si="108"/>
        <v>80024.705337007937</v>
      </c>
      <c r="AB149" s="7">
        <f t="shared" ca="1" si="108"/>
        <v>81625.19944374809</v>
      </c>
      <c r="AC149" s="7">
        <f t="shared" ca="1" si="108"/>
        <v>83257.70343262305</v>
      </c>
      <c r="AD149" s="7">
        <f t="shared" ca="1" si="108"/>
        <v>84922.857501275517</v>
      </c>
      <c r="AE149" s="7">
        <f t="shared" ca="1" si="108"/>
        <v>86621.314651301029</v>
      </c>
      <c r="AF149" s="7">
        <f t="shared" ca="1" si="108"/>
        <v>88353.740944327044</v>
      </c>
      <c r="AG149" s="7">
        <f t="shared" ca="1" si="108"/>
        <v>90120.815763213584</v>
      </c>
      <c r="AH149" s="7">
        <f t="shared" ca="1" si="108"/>
        <v>91923.232078477857</v>
      </c>
      <c r="AI149" s="7">
        <f t="shared" ca="1" si="108"/>
        <v>93761.696720047417</v>
      </c>
      <c r="AJ149" s="7">
        <f t="shared" ca="1" si="108"/>
        <v>95636.93065444837</v>
      </c>
      <c r="AK149" s="7">
        <f t="shared" ca="1" si="108"/>
        <v>97549.669267537334</v>
      </c>
      <c r="AL149" s="7">
        <f t="shared" ca="1" si="108"/>
        <v>99500.662652888088</v>
      </c>
      <c r="AM149" s="7">
        <f t="shared" ca="1" si="108"/>
        <v>101490.67590594586</v>
      </c>
    </row>
    <row r="150" spans="1:39" x14ac:dyDescent="0.2">
      <c r="A150" s="3" t="s">
        <v>22</v>
      </c>
      <c r="C150" s="7">
        <f ca="1">-IF(D146&gt;0,C149,0)</f>
        <v>0</v>
      </c>
      <c r="D150" s="7">
        <f ca="1">-IF(E146&gt;0,D149,0)</f>
        <v>0</v>
      </c>
      <c r="E150" s="7">
        <f ca="1">-IF(F146&gt;0,E149,0)</f>
        <v>0</v>
      </c>
      <c r="F150" s="7">
        <f ca="1">-IF(G146&gt;0,F149,0)</f>
        <v>0</v>
      </c>
      <c r="G150" s="7">
        <f t="shared" ref="G150" ca="1" si="109">-IF(H146&gt;0,G149,0)</f>
        <v>0</v>
      </c>
      <c r="H150" s="7">
        <f t="shared" ref="H150" ca="1" si="110">-IF(I146&gt;0,H149,0)</f>
        <v>0</v>
      </c>
      <c r="I150" s="7">
        <f t="shared" ref="I150" ca="1" si="111">-IF(J146&gt;0,I149,0)</f>
        <v>0</v>
      </c>
      <c r="J150" s="7">
        <f t="shared" ref="J150" ca="1" si="112">-IF(K146&gt;0,J149,0)</f>
        <v>0</v>
      </c>
      <c r="K150" s="7">
        <f t="shared" ref="K150" ca="1" si="113">-IF(L146&gt;0,K149,0)</f>
        <v>0</v>
      </c>
      <c r="L150" s="7">
        <f t="shared" ref="L150" ca="1" si="114">-IF(M146&gt;0,L149,0)</f>
        <v>0</v>
      </c>
      <c r="M150" s="7">
        <f t="shared" ref="M150" ca="1" si="115">-IF(N146&gt;0,M149,0)</f>
        <v>0</v>
      </c>
      <c r="N150" s="7">
        <f t="shared" ref="N150" ca="1" si="116">-IF(O146&gt;0,N149,0)</f>
        <v>0</v>
      </c>
      <c r="O150" s="7">
        <f t="shared" ref="O150" ca="1" si="117">-IF(P146&gt;0,O149,0)</f>
        <v>0</v>
      </c>
      <c r="P150" s="7">
        <f t="shared" ref="P150" ca="1" si="118">-IF(Q146&gt;0,P149,0)</f>
        <v>0</v>
      </c>
      <c r="Q150" s="7">
        <f t="shared" ref="Q150" ca="1" si="119">-IF(R146&gt;0,Q149,0)</f>
        <v>0</v>
      </c>
      <c r="R150" s="7">
        <f t="shared" ref="R150" ca="1" si="120">-IF(S146&gt;0,R149,0)</f>
        <v>0</v>
      </c>
      <c r="S150" s="7">
        <f t="shared" ref="S150" ca="1" si="121">-IF(T146&gt;0,S149,0)</f>
        <v>0</v>
      </c>
      <c r="T150" s="7">
        <f t="shared" ref="T150" ca="1" si="122">-IF(U146&gt;0,T149,0)</f>
        <v>0</v>
      </c>
      <c r="U150" s="7">
        <f t="shared" ref="U150" ca="1" si="123">-IF(V146&gt;0,U149,0)</f>
        <v>0</v>
      </c>
      <c r="V150" s="7">
        <f t="shared" ref="V150" ca="1" si="124">-IF(W146&gt;0,V149,0)</f>
        <v>0</v>
      </c>
      <c r="W150" s="7">
        <f t="shared" ref="W150" ca="1" si="125">-IF(X146&gt;0,W149,0)</f>
        <v>0</v>
      </c>
      <c r="X150" s="7">
        <f t="shared" ref="X150" ca="1" si="126">-IF(Y146&gt;0,X149,0)</f>
        <v>0</v>
      </c>
      <c r="Y150" s="7">
        <f t="shared" ref="Y150" ca="1" si="127">-IF(Z146&gt;0,Y149,0)</f>
        <v>0</v>
      </c>
      <c r="Z150" s="7">
        <f t="shared" ref="Z150" ca="1" si="128">-IF(AA146&gt;0,Z149,0)</f>
        <v>0</v>
      </c>
      <c r="AA150" s="7">
        <f t="shared" ref="AA150" ca="1" si="129">-IF(AB146&gt;0,AA149,0)</f>
        <v>0</v>
      </c>
      <c r="AB150" s="7">
        <f t="shared" ref="AB150" ca="1" si="130">-IF(AC146&gt;0,AB149,0)</f>
        <v>0</v>
      </c>
      <c r="AC150" s="7">
        <f t="shared" ref="AC150" ca="1" si="131">-IF(AD146&gt;0,AC149,0)</f>
        <v>0</v>
      </c>
      <c r="AD150" s="7">
        <f t="shared" ref="AD150" ca="1" si="132">-IF(AE146&gt;0,AD149,0)</f>
        <v>0</v>
      </c>
      <c r="AE150" s="7">
        <f t="shared" ref="AE150" ca="1" si="133">-IF(AF146&gt;0,AE149,0)</f>
        <v>0</v>
      </c>
      <c r="AF150" s="7">
        <f t="shared" ref="AF150" ca="1" si="134">-IF(AG146&gt;0,AF149,0)</f>
        <v>0</v>
      </c>
      <c r="AG150" s="7">
        <f t="shared" ref="AG150" ca="1" si="135">-IF(AH146&gt;0,AG149,0)</f>
        <v>0</v>
      </c>
      <c r="AH150" s="7">
        <f t="shared" ref="AH150" ca="1" si="136">-IF(AI146&gt;0,AH149,0)</f>
        <v>0</v>
      </c>
      <c r="AI150" s="7">
        <f t="shared" ref="AI150" ca="1" si="137">-IF(AJ146&gt;0,AI149,0)</f>
        <v>0</v>
      </c>
      <c r="AJ150" s="7">
        <f t="shared" ref="AJ150" ca="1" si="138">-IF(AK146&gt;0,AJ149,0)</f>
        <v>0</v>
      </c>
      <c r="AK150" s="7">
        <f t="shared" ref="AK150" ca="1" si="139">-IF(AL146&gt;0,AK149,0)</f>
        <v>0</v>
      </c>
      <c r="AL150" s="7">
        <f t="shared" ref="AL150" ca="1" si="140">-IF(AM146&gt;0,AL149,0)</f>
        <v>0</v>
      </c>
      <c r="AM150" s="7">
        <f t="shared" ref="AM150" si="141">-IF(AN146&gt;0,AM149,0)</f>
        <v>0</v>
      </c>
    </row>
    <row r="151" spans="1:39" x14ac:dyDescent="0.2">
      <c r="A151" s="3" t="s">
        <v>23</v>
      </c>
      <c r="C151" s="7">
        <v>0</v>
      </c>
      <c r="D151" s="7">
        <f t="shared" ref="D151:AM151" ca="1" si="142">SUM(D149:D150)*VLOOKUP($A148,AssVar,2,FALSE)</f>
        <v>1014.9628090294402</v>
      </c>
      <c r="E151" s="7">
        <f t="shared" ca="1" si="142"/>
        <v>1035.262065210029</v>
      </c>
      <c r="F151" s="7">
        <f t="shared" ca="1" si="142"/>
        <v>1055.9673065142297</v>
      </c>
      <c r="G151" s="7">
        <f t="shared" ca="1" si="142"/>
        <v>1077.0866526445143</v>
      </c>
      <c r="H151" s="7">
        <f t="shared" ca="1" si="142"/>
        <v>1098.6283856974046</v>
      </c>
      <c r="I151" s="7">
        <f t="shared" ca="1" si="142"/>
        <v>1120.6009534113527</v>
      </c>
      <c r="J151" s="7">
        <f t="shared" ca="1" si="142"/>
        <v>1143.0129724795797</v>
      </c>
      <c r="K151" s="7">
        <f t="shared" ca="1" si="142"/>
        <v>1165.8732319291714</v>
      </c>
      <c r="L151" s="7">
        <f t="shared" ca="1" si="142"/>
        <v>1189.1906965677549</v>
      </c>
      <c r="M151" s="7">
        <f t="shared" ca="1" si="142"/>
        <v>1212.97451049911</v>
      </c>
      <c r="N151" s="7">
        <f t="shared" ca="1" si="142"/>
        <v>1237.234000709092</v>
      </c>
      <c r="O151" s="7">
        <f t="shared" ca="1" si="142"/>
        <v>1261.9786807232738</v>
      </c>
      <c r="P151" s="7">
        <f t="shared" ca="1" si="142"/>
        <v>1287.2182543377394</v>
      </c>
      <c r="Q151" s="7">
        <f t="shared" ca="1" si="142"/>
        <v>1312.9626194244941</v>
      </c>
      <c r="R151" s="7">
        <f t="shared" ca="1" si="142"/>
        <v>1339.2218718129839</v>
      </c>
      <c r="S151" s="7">
        <f t="shared" ca="1" si="142"/>
        <v>1366.0063092492437</v>
      </c>
      <c r="T151" s="7">
        <f t="shared" ca="1" si="142"/>
        <v>1393.3264354342286</v>
      </c>
      <c r="U151" s="7">
        <f t="shared" ca="1" si="142"/>
        <v>1421.1929641429131</v>
      </c>
      <c r="V151" s="7">
        <f t="shared" ca="1" si="142"/>
        <v>1449.6168234257714</v>
      </c>
      <c r="W151" s="7">
        <f t="shared" ca="1" si="142"/>
        <v>1478.6091598942871</v>
      </c>
      <c r="X151" s="7">
        <f t="shared" ca="1" si="142"/>
        <v>1508.1813430921727</v>
      </c>
      <c r="Y151" s="7">
        <f t="shared" ca="1" si="142"/>
        <v>1538.3449699540163</v>
      </c>
      <c r="Z151" s="7">
        <f t="shared" ca="1" si="142"/>
        <v>1569.1118693530968</v>
      </c>
      <c r="AA151" s="7">
        <f t="shared" ca="1" si="142"/>
        <v>1600.4941067401587</v>
      </c>
      <c r="AB151" s="7">
        <f t="shared" ca="1" si="142"/>
        <v>1632.5039888749618</v>
      </c>
      <c r="AC151" s="7">
        <f t="shared" ca="1" si="142"/>
        <v>1665.1540686524611</v>
      </c>
      <c r="AD151" s="7">
        <f t="shared" ca="1" si="142"/>
        <v>1698.4571500255104</v>
      </c>
      <c r="AE151" s="7">
        <f t="shared" ca="1" si="142"/>
        <v>1732.4262930260206</v>
      </c>
      <c r="AF151" s="7">
        <f t="shared" ca="1" si="142"/>
        <v>1767.0748188865409</v>
      </c>
      <c r="AG151" s="7">
        <f t="shared" ca="1" si="142"/>
        <v>1802.4163152642718</v>
      </c>
      <c r="AH151" s="7">
        <f t="shared" ca="1" si="142"/>
        <v>1838.4646415695572</v>
      </c>
      <c r="AI151" s="7">
        <f t="shared" ca="1" si="142"/>
        <v>1875.2339344009483</v>
      </c>
      <c r="AJ151" s="7">
        <f t="shared" ca="1" si="142"/>
        <v>1912.7386130889674</v>
      </c>
      <c r="AK151" s="7">
        <f t="shared" ca="1" si="142"/>
        <v>1950.9933853507466</v>
      </c>
      <c r="AL151" s="7">
        <f t="shared" ca="1" si="142"/>
        <v>1990.0132530577619</v>
      </c>
      <c r="AM151" s="7">
        <f t="shared" ca="1" si="142"/>
        <v>2029.8135181189173</v>
      </c>
    </row>
    <row r="152" spans="1:39" x14ac:dyDescent="0.2">
      <c r="A152" s="3" t="s">
        <v>24</v>
      </c>
      <c r="C152" s="7">
        <f ca="1">SUM(C149:C151)</f>
        <v>50748.140451472013</v>
      </c>
      <c r="D152" s="7">
        <f t="shared" ref="D152:AM152" ca="1" si="143">SUM(D149:D151)</f>
        <v>51763.103260501455</v>
      </c>
      <c r="E152" s="7">
        <f t="shared" ca="1" si="143"/>
        <v>52798.365325711486</v>
      </c>
      <c r="F152" s="7">
        <f t="shared" ca="1" si="143"/>
        <v>53854.332632225713</v>
      </c>
      <c r="G152" s="7">
        <f t="shared" ca="1" si="143"/>
        <v>54931.41928487023</v>
      </c>
      <c r="H152" s="7">
        <f t="shared" ca="1" si="143"/>
        <v>56030.047670567634</v>
      </c>
      <c r="I152" s="7">
        <f t="shared" ca="1" si="143"/>
        <v>57150.648623978988</v>
      </c>
      <c r="J152" s="7">
        <f t="shared" ca="1" si="143"/>
        <v>58293.661596458565</v>
      </c>
      <c r="K152" s="7">
        <f t="shared" ca="1" si="143"/>
        <v>59459.534828387739</v>
      </c>
      <c r="L152" s="7">
        <f t="shared" ca="1" si="143"/>
        <v>60648.725524955495</v>
      </c>
      <c r="M152" s="7">
        <f t="shared" ca="1" si="143"/>
        <v>61861.700035454603</v>
      </c>
      <c r="N152" s="7">
        <f t="shared" ca="1" si="143"/>
        <v>63098.934036163693</v>
      </c>
      <c r="O152" s="7">
        <f t="shared" ca="1" si="143"/>
        <v>64360.912716886967</v>
      </c>
      <c r="P152" s="7">
        <f t="shared" ca="1" si="143"/>
        <v>65648.130971224702</v>
      </c>
      <c r="Q152" s="7">
        <f t="shared" ca="1" si="143"/>
        <v>66961.093590649194</v>
      </c>
      <c r="R152" s="7">
        <f t="shared" ca="1" si="143"/>
        <v>68300.315462462182</v>
      </c>
      <c r="S152" s="7">
        <f t="shared" ca="1" si="143"/>
        <v>69666.321771711431</v>
      </c>
      <c r="T152" s="7">
        <f t="shared" ca="1" si="143"/>
        <v>71059.648207145656</v>
      </c>
      <c r="U152" s="7">
        <f t="shared" ca="1" si="143"/>
        <v>72480.841171288572</v>
      </c>
      <c r="V152" s="7">
        <f t="shared" ca="1" si="143"/>
        <v>73930.45799471435</v>
      </c>
      <c r="W152" s="7">
        <f t="shared" ca="1" si="143"/>
        <v>75409.067154608638</v>
      </c>
      <c r="X152" s="7">
        <f t="shared" ca="1" si="143"/>
        <v>76917.248497700813</v>
      </c>
      <c r="Y152" s="7">
        <f t="shared" ca="1" si="143"/>
        <v>78455.593467654835</v>
      </c>
      <c r="Z152" s="7">
        <f t="shared" ca="1" si="143"/>
        <v>80024.705337007937</v>
      </c>
      <c r="AA152" s="7">
        <f t="shared" ca="1" si="143"/>
        <v>81625.19944374809</v>
      </c>
      <c r="AB152" s="7">
        <f t="shared" ca="1" si="143"/>
        <v>83257.70343262305</v>
      </c>
      <c r="AC152" s="7">
        <f t="shared" ca="1" si="143"/>
        <v>84922.857501275517</v>
      </c>
      <c r="AD152" s="7">
        <f t="shared" ca="1" si="143"/>
        <v>86621.314651301029</v>
      </c>
      <c r="AE152" s="7">
        <f t="shared" ca="1" si="143"/>
        <v>88353.740944327044</v>
      </c>
      <c r="AF152" s="7">
        <f t="shared" ca="1" si="143"/>
        <v>90120.815763213584</v>
      </c>
      <c r="AG152" s="7">
        <f t="shared" ca="1" si="143"/>
        <v>91923.232078477857</v>
      </c>
      <c r="AH152" s="7">
        <f t="shared" ca="1" si="143"/>
        <v>93761.696720047417</v>
      </c>
      <c r="AI152" s="7">
        <f t="shared" ca="1" si="143"/>
        <v>95636.93065444837</v>
      </c>
      <c r="AJ152" s="7">
        <f t="shared" ca="1" si="143"/>
        <v>97549.669267537334</v>
      </c>
      <c r="AK152" s="7">
        <f t="shared" ca="1" si="143"/>
        <v>99500.662652888088</v>
      </c>
      <c r="AL152" s="7">
        <f t="shared" ca="1" si="143"/>
        <v>101490.67590594586</v>
      </c>
      <c r="AM152" s="7">
        <f t="shared" ca="1" si="143"/>
        <v>103520.48942406477</v>
      </c>
    </row>
    <row r="153" spans="1:39" x14ac:dyDescent="0.2">
      <c r="A153" s="3" t="s">
        <v>25</v>
      </c>
      <c r="C153" s="7">
        <f t="shared" ref="C153:AM153" ca="1" si="144">C150*VLOOKUP($A148,AssVar,3,FALSE)</f>
        <v>0</v>
      </c>
      <c r="D153" s="7">
        <f t="shared" ca="1" si="144"/>
        <v>0</v>
      </c>
      <c r="E153" s="7">
        <f t="shared" ca="1" si="144"/>
        <v>0</v>
      </c>
      <c r="F153" s="7">
        <f t="shared" ca="1" si="144"/>
        <v>0</v>
      </c>
      <c r="G153" s="7">
        <f t="shared" ca="1" si="144"/>
        <v>0</v>
      </c>
      <c r="H153" s="7">
        <f t="shared" ca="1" si="144"/>
        <v>0</v>
      </c>
      <c r="I153" s="7">
        <f t="shared" ca="1" si="144"/>
        <v>0</v>
      </c>
      <c r="J153" s="7">
        <f t="shared" ca="1" si="144"/>
        <v>0</v>
      </c>
      <c r="K153" s="7">
        <f t="shared" ca="1" si="144"/>
        <v>0</v>
      </c>
      <c r="L153" s="7">
        <f t="shared" ca="1" si="144"/>
        <v>0</v>
      </c>
      <c r="M153" s="7">
        <f t="shared" ca="1" si="144"/>
        <v>0</v>
      </c>
      <c r="N153" s="7">
        <f t="shared" ca="1" si="144"/>
        <v>0</v>
      </c>
      <c r="O153" s="7">
        <f t="shared" ca="1" si="144"/>
        <v>0</v>
      </c>
      <c r="P153" s="7">
        <f t="shared" ca="1" si="144"/>
        <v>0</v>
      </c>
      <c r="Q153" s="7">
        <f t="shared" ca="1" si="144"/>
        <v>0</v>
      </c>
      <c r="R153" s="7">
        <f t="shared" ca="1" si="144"/>
        <v>0</v>
      </c>
      <c r="S153" s="7">
        <f t="shared" ca="1" si="144"/>
        <v>0</v>
      </c>
      <c r="T153" s="7">
        <f t="shared" ca="1" si="144"/>
        <v>0</v>
      </c>
      <c r="U153" s="7">
        <f t="shared" ca="1" si="144"/>
        <v>0</v>
      </c>
      <c r="V153" s="7">
        <f t="shared" ca="1" si="144"/>
        <v>0</v>
      </c>
      <c r="W153" s="7">
        <f t="shared" ca="1" si="144"/>
        <v>0</v>
      </c>
      <c r="X153" s="7">
        <f t="shared" ca="1" si="144"/>
        <v>0</v>
      </c>
      <c r="Y153" s="7">
        <f t="shared" ca="1" si="144"/>
        <v>0</v>
      </c>
      <c r="Z153" s="7">
        <f t="shared" ca="1" si="144"/>
        <v>0</v>
      </c>
      <c r="AA153" s="7">
        <f t="shared" ca="1" si="144"/>
        <v>0</v>
      </c>
      <c r="AB153" s="7">
        <f t="shared" ca="1" si="144"/>
        <v>0</v>
      </c>
      <c r="AC153" s="7">
        <f t="shared" ca="1" si="144"/>
        <v>0</v>
      </c>
      <c r="AD153" s="7">
        <f t="shared" ca="1" si="144"/>
        <v>0</v>
      </c>
      <c r="AE153" s="7">
        <f t="shared" ca="1" si="144"/>
        <v>0</v>
      </c>
      <c r="AF153" s="7">
        <f t="shared" ca="1" si="144"/>
        <v>0</v>
      </c>
      <c r="AG153" s="7">
        <f t="shared" ca="1" si="144"/>
        <v>0</v>
      </c>
      <c r="AH153" s="7">
        <f t="shared" ca="1" si="144"/>
        <v>0</v>
      </c>
      <c r="AI153" s="7">
        <f t="shared" ca="1" si="144"/>
        <v>0</v>
      </c>
      <c r="AJ153" s="7">
        <f t="shared" ca="1" si="144"/>
        <v>0</v>
      </c>
      <c r="AK153" s="7">
        <f t="shared" ca="1" si="144"/>
        <v>0</v>
      </c>
      <c r="AL153" s="7">
        <f t="shared" ca="1" si="144"/>
        <v>0</v>
      </c>
      <c r="AM153" s="7">
        <f t="shared" si="144"/>
        <v>0</v>
      </c>
    </row>
    <row r="154" spans="1:39" x14ac:dyDescent="0.2">
      <c r="A154" s="3" t="s">
        <v>30</v>
      </c>
      <c r="C154" s="7">
        <f t="shared" ref="C154:AM154" ca="1" si="145">IFERROR(-IF(C149=0,VLOOKUP($A148,$8:$12,C$1+2,FALSE),0),0)</f>
        <v>0</v>
      </c>
      <c r="D154" s="7">
        <f t="shared" ca="1" si="145"/>
        <v>0</v>
      </c>
      <c r="E154" s="7">
        <f t="shared" ca="1" si="145"/>
        <v>0</v>
      </c>
      <c r="F154" s="7">
        <f t="shared" ca="1" si="145"/>
        <v>0</v>
      </c>
      <c r="G154" s="7">
        <f t="shared" ca="1" si="145"/>
        <v>0</v>
      </c>
      <c r="H154" s="7">
        <f t="shared" ca="1" si="145"/>
        <v>0</v>
      </c>
      <c r="I154" s="7">
        <f t="shared" ca="1" si="145"/>
        <v>0</v>
      </c>
      <c r="J154" s="7">
        <f t="shared" ca="1" si="145"/>
        <v>0</v>
      </c>
      <c r="K154" s="7">
        <f t="shared" ca="1" si="145"/>
        <v>0</v>
      </c>
      <c r="L154" s="7">
        <f t="shared" ca="1" si="145"/>
        <v>0</v>
      </c>
      <c r="M154" s="7">
        <f t="shared" ca="1" si="145"/>
        <v>0</v>
      </c>
      <c r="N154" s="7">
        <f t="shared" ca="1" si="145"/>
        <v>0</v>
      </c>
      <c r="O154" s="7">
        <f t="shared" ca="1" si="145"/>
        <v>0</v>
      </c>
      <c r="P154" s="7">
        <f t="shared" ca="1" si="145"/>
        <v>0</v>
      </c>
      <c r="Q154" s="7">
        <f t="shared" ca="1" si="145"/>
        <v>0</v>
      </c>
      <c r="R154" s="7">
        <f t="shared" ca="1" si="145"/>
        <v>0</v>
      </c>
      <c r="S154" s="7">
        <f t="shared" ca="1" si="145"/>
        <v>0</v>
      </c>
      <c r="T154" s="7">
        <f t="shared" ca="1" si="145"/>
        <v>0</v>
      </c>
      <c r="U154" s="7">
        <f t="shared" ca="1" si="145"/>
        <v>0</v>
      </c>
      <c r="V154" s="7">
        <f t="shared" ca="1" si="145"/>
        <v>0</v>
      </c>
      <c r="W154" s="7">
        <f t="shared" ca="1" si="145"/>
        <v>0</v>
      </c>
      <c r="X154" s="7">
        <f t="shared" ca="1" si="145"/>
        <v>0</v>
      </c>
      <c r="Y154" s="7">
        <f t="shared" ca="1" si="145"/>
        <v>0</v>
      </c>
      <c r="Z154" s="7">
        <f t="shared" ca="1" si="145"/>
        <v>0</v>
      </c>
      <c r="AA154" s="7">
        <f t="shared" ca="1" si="145"/>
        <v>0</v>
      </c>
      <c r="AB154" s="7">
        <f t="shared" ca="1" si="145"/>
        <v>0</v>
      </c>
      <c r="AC154" s="7">
        <f t="shared" ca="1" si="145"/>
        <v>0</v>
      </c>
      <c r="AD154" s="7">
        <f t="shared" ca="1" si="145"/>
        <v>0</v>
      </c>
      <c r="AE154" s="7">
        <f t="shared" ca="1" si="145"/>
        <v>0</v>
      </c>
      <c r="AF154" s="7">
        <f t="shared" ca="1" si="145"/>
        <v>0</v>
      </c>
      <c r="AG154" s="7">
        <f t="shared" ca="1" si="145"/>
        <v>0</v>
      </c>
      <c r="AH154" s="7">
        <f t="shared" ca="1" si="145"/>
        <v>0</v>
      </c>
      <c r="AI154" s="7">
        <f t="shared" ca="1" si="145"/>
        <v>0</v>
      </c>
      <c r="AJ154" s="7">
        <f t="shared" ca="1" si="145"/>
        <v>0</v>
      </c>
      <c r="AK154" s="7">
        <f t="shared" ca="1" si="145"/>
        <v>0</v>
      </c>
      <c r="AL154" s="7">
        <f t="shared" ca="1" si="145"/>
        <v>0</v>
      </c>
      <c r="AM154" s="7">
        <f t="shared" ca="1" si="145"/>
        <v>0</v>
      </c>
    </row>
    <row r="155" spans="1:39" x14ac:dyDescent="0.2">
      <c r="A155" s="3" t="s">
        <v>49</v>
      </c>
      <c r="C155" s="7">
        <f t="shared" ref="C155:AM155" ca="1" si="146">IFERROR(IF(C149=0,VLOOKUP($A148,$46:$50,C$1+2,FALSE),0),0)</f>
        <v>0</v>
      </c>
      <c r="D155" s="7">
        <f t="shared" ca="1" si="146"/>
        <v>0</v>
      </c>
      <c r="E155" s="7">
        <f t="shared" ca="1" si="146"/>
        <v>0</v>
      </c>
      <c r="F155" s="7">
        <f t="shared" ca="1" si="146"/>
        <v>0</v>
      </c>
      <c r="G155" s="7">
        <f t="shared" ca="1" si="146"/>
        <v>0</v>
      </c>
      <c r="H155" s="7">
        <f t="shared" ca="1" si="146"/>
        <v>0</v>
      </c>
      <c r="I155" s="7">
        <f t="shared" ca="1" si="146"/>
        <v>0</v>
      </c>
      <c r="J155" s="7">
        <f t="shared" ca="1" si="146"/>
        <v>0</v>
      </c>
      <c r="K155" s="7">
        <f t="shared" ca="1" si="146"/>
        <v>0</v>
      </c>
      <c r="L155" s="7">
        <f t="shared" ca="1" si="146"/>
        <v>0</v>
      </c>
      <c r="M155" s="7">
        <f t="shared" ca="1" si="146"/>
        <v>0</v>
      </c>
      <c r="N155" s="7">
        <f t="shared" ca="1" si="146"/>
        <v>0</v>
      </c>
      <c r="O155" s="7">
        <f t="shared" ca="1" si="146"/>
        <v>0</v>
      </c>
      <c r="P155" s="7">
        <f t="shared" ca="1" si="146"/>
        <v>0</v>
      </c>
      <c r="Q155" s="7">
        <f t="shared" ca="1" si="146"/>
        <v>0</v>
      </c>
      <c r="R155" s="7">
        <f t="shared" ca="1" si="146"/>
        <v>0</v>
      </c>
      <c r="S155" s="7">
        <f t="shared" ca="1" si="146"/>
        <v>0</v>
      </c>
      <c r="T155" s="7">
        <f t="shared" ca="1" si="146"/>
        <v>0</v>
      </c>
      <c r="U155" s="7">
        <f t="shared" ca="1" si="146"/>
        <v>0</v>
      </c>
      <c r="V155" s="7">
        <f t="shared" ca="1" si="146"/>
        <v>0</v>
      </c>
      <c r="W155" s="7">
        <f t="shared" ca="1" si="146"/>
        <v>0</v>
      </c>
      <c r="X155" s="7">
        <f t="shared" ca="1" si="146"/>
        <v>0</v>
      </c>
      <c r="Y155" s="7">
        <f t="shared" ca="1" si="146"/>
        <v>0</v>
      </c>
      <c r="Z155" s="7">
        <f t="shared" ca="1" si="146"/>
        <v>0</v>
      </c>
      <c r="AA155" s="7">
        <f t="shared" ca="1" si="146"/>
        <v>0</v>
      </c>
      <c r="AB155" s="7">
        <f t="shared" ca="1" si="146"/>
        <v>0</v>
      </c>
      <c r="AC155" s="7">
        <f t="shared" ca="1" si="146"/>
        <v>0</v>
      </c>
      <c r="AD155" s="7">
        <f t="shared" ca="1" si="146"/>
        <v>0</v>
      </c>
      <c r="AE155" s="7">
        <f t="shared" ca="1" si="146"/>
        <v>0</v>
      </c>
      <c r="AF155" s="7">
        <f t="shared" ca="1" si="146"/>
        <v>0</v>
      </c>
      <c r="AG155" s="7">
        <f t="shared" ca="1" si="146"/>
        <v>0</v>
      </c>
      <c r="AH155" s="7">
        <f t="shared" ca="1" si="146"/>
        <v>0</v>
      </c>
      <c r="AI155" s="7">
        <f t="shared" ca="1" si="146"/>
        <v>0</v>
      </c>
      <c r="AJ155" s="7">
        <f t="shared" ca="1" si="146"/>
        <v>0</v>
      </c>
      <c r="AK155" s="7">
        <f t="shared" ca="1" si="146"/>
        <v>0</v>
      </c>
      <c r="AL155" s="7">
        <f t="shared" ca="1" si="146"/>
        <v>0</v>
      </c>
      <c r="AM155" s="7">
        <f t="shared" ca="1" si="146"/>
        <v>0</v>
      </c>
    </row>
    <row r="156" spans="1:39" x14ac:dyDescent="0.2">
      <c r="A156" s="3" t="s">
        <v>35</v>
      </c>
      <c r="B156" s="14" t="str">
        <f>A148</f>
        <v>Jewelry</v>
      </c>
      <c r="C156" s="7">
        <f t="shared" ref="C156:AM156" ca="1" si="147">IF(AND(C149&gt;0,C152=0),VLOOKUP($A148,$85:$94,C$1+2,FALSE),0)</f>
        <v>0</v>
      </c>
      <c r="D156" s="7">
        <f t="shared" ca="1" si="147"/>
        <v>0</v>
      </c>
      <c r="E156" s="7">
        <f t="shared" ca="1" si="147"/>
        <v>0</v>
      </c>
      <c r="F156" s="7">
        <f t="shared" ca="1" si="147"/>
        <v>0</v>
      </c>
      <c r="G156" s="7">
        <f t="shared" ca="1" si="147"/>
        <v>0</v>
      </c>
      <c r="H156" s="7">
        <f t="shared" ca="1" si="147"/>
        <v>0</v>
      </c>
      <c r="I156" s="7">
        <f t="shared" ca="1" si="147"/>
        <v>0</v>
      </c>
      <c r="J156" s="7">
        <f t="shared" ca="1" si="147"/>
        <v>0</v>
      </c>
      <c r="K156" s="7">
        <f t="shared" ca="1" si="147"/>
        <v>0</v>
      </c>
      <c r="L156" s="7">
        <f t="shared" ca="1" si="147"/>
        <v>0</v>
      </c>
      <c r="M156" s="7">
        <f t="shared" ca="1" si="147"/>
        <v>0</v>
      </c>
      <c r="N156" s="7">
        <f t="shared" ca="1" si="147"/>
        <v>0</v>
      </c>
      <c r="O156" s="7">
        <f t="shared" ca="1" si="147"/>
        <v>0</v>
      </c>
      <c r="P156" s="7">
        <f t="shared" ca="1" si="147"/>
        <v>0</v>
      </c>
      <c r="Q156" s="7">
        <f t="shared" ca="1" si="147"/>
        <v>0</v>
      </c>
      <c r="R156" s="7">
        <f t="shared" ca="1" si="147"/>
        <v>0</v>
      </c>
      <c r="S156" s="7">
        <f t="shared" ca="1" si="147"/>
        <v>0</v>
      </c>
      <c r="T156" s="7">
        <f t="shared" ca="1" si="147"/>
        <v>0</v>
      </c>
      <c r="U156" s="7">
        <f t="shared" ca="1" si="147"/>
        <v>0</v>
      </c>
      <c r="V156" s="7">
        <f t="shared" ca="1" si="147"/>
        <v>0</v>
      </c>
      <c r="W156" s="7">
        <f t="shared" ca="1" si="147"/>
        <v>0</v>
      </c>
      <c r="X156" s="7">
        <f t="shared" ca="1" si="147"/>
        <v>0</v>
      </c>
      <c r="Y156" s="7">
        <f t="shared" ca="1" si="147"/>
        <v>0</v>
      </c>
      <c r="Z156" s="7">
        <f t="shared" ca="1" si="147"/>
        <v>0</v>
      </c>
      <c r="AA156" s="7">
        <f t="shared" ca="1" si="147"/>
        <v>0</v>
      </c>
      <c r="AB156" s="7">
        <f t="shared" ca="1" si="147"/>
        <v>0</v>
      </c>
      <c r="AC156" s="7">
        <f t="shared" ca="1" si="147"/>
        <v>0</v>
      </c>
      <c r="AD156" s="7">
        <f t="shared" ca="1" si="147"/>
        <v>0</v>
      </c>
      <c r="AE156" s="7">
        <f t="shared" ca="1" si="147"/>
        <v>0</v>
      </c>
      <c r="AF156" s="7">
        <f t="shared" ca="1" si="147"/>
        <v>0</v>
      </c>
      <c r="AG156" s="7">
        <f t="shared" ca="1" si="147"/>
        <v>0</v>
      </c>
      <c r="AH156" s="7">
        <f t="shared" ca="1" si="147"/>
        <v>0</v>
      </c>
      <c r="AI156" s="7">
        <f t="shared" ca="1" si="147"/>
        <v>0</v>
      </c>
      <c r="AJ156" s="7">
        <f t="shared" ca="1" si="147"/>
        <v>0</v>
      </c>
      <c r="AK156" s="7">
        <f t="shared" ca="1" si="147"/>
        <v>0</v>
      </c>
      <c r="AL156" s="7">
        <f t="shared" ca="1" si="147"/>
        <v>0</v>
      </c>
      <c r="AM156" s="7">
        <f t="shared" ca="1" si="147"/>
        <v>0</v>
      </c>
    </row>
    <row r="157" spans="1:39" x14ac:dyDescent="0.2">
      <c r="A157" s="3" t="s">
        <v>36</v>
      </c>
      <c r="C157" s="7">
        <f ca="1">-C150+SUM(C153:C156)</f>
        <v>0</v>
      </c>
      <c r="D157" s="7">
        <f t="shared" ref="D157" ca="1" si="148">-D150+SUM(D153:D156)</f>
        <v>0</v>
      </c>
      <c r="E157" s="7">
        <f t="shared" ref="E157:AM157" ca="1" si="149">-E150+SUM(E153:E156)</f>
        <v>0</v>
      </c>
      <c r="F157" s="7">
        <f t="shared" ca="1" si="149"/>
        <v>0</v>
      </c>
      <c r="G157" s="7">
        <f t="shared" ca="1" si="149"/>
        <v>0</v>
      </c>
      <c r="H157" s="7">
        <f t="shared" ca="1" si="149"/>
        <v>0</v>
      </c>
      <c r="I157" s="7">
        <f t="shared" ca="1" si="149"/>
        <v>0</v>
      </c>
      <c r="J157" s="7">
        <f t="shared" ca="1" si="149"/>
        <v>0</v>
      </c>
      <c r="K157" s="7">
        <f t="shared" ca="1" si="149"/>
        <v>0</v>
      </c>
      <c r="L157" s="7">
        <f t="shared" ca="1" si="149"/>
        <v>0</v>
      </c>
      <c r="M157" s="7">
        <f t="shared" ca="1" si="149"/>
        <v>0</v>
      </c>
      <c r="N157" s="7">
        <f t="shared" ca="1" si="149"/>
        <v>0</v>
      </c>
      <c r="O157" s="7">
        <f t="shared" ca="1" si="149"/>
        <v>0</v>
      </c>
      <c r="P157" s="7">
        <f t="shared" ca="1" si="149"/>
        <v>0</v>
      </c>
      <c r="Q157" s="7">
        <f t="shared" ca="1" si="149"/>
        <v>0</v>
      </c>
      <c r="R157" s="7">
        <f t="shared" ca="1" si="149"/>
        <v>0</v>
      </c>
      <c r="S157" s="7">
        <f t="shared" ca="1" si="149"/>
        <v>0</v>
      </c>
      <c r="T157" s="7">
        <f t="shared" ca="1" si="149"/>
        <v>0</v>
      </c>
      <c r="U157" s="7">
        <f t="shared" ca="1" si="149"/>
        <v>0</v>
      </c>
      <c r="V157" s="7">
        <f t="shared" ca="1" si="149"/>
        <v>0</v>
      </c>
      <c r="W157" s="7">
        <f t="shared" ca="1" si="149"/>
        <v>0</v>
      </c>
      <c r="X157" s="7">
        <f t="shared" ca="1" si="149"/>
        <v>0</v>
      </c>
      <c r="Y157" s="7">
        <f t="shared" ca="1" si="149"/>
        <v>0</v>
      </c>
      <c r="Z157" s="7">
        <f t="shared" ca="1" si="149"/>
        <v>0</v>
      </c>
      <c r="AA157" s="7">
        <f t="shared" ca="1" si="149"/>
        <v>0</v>
      </c>
      <c r="AB157" s="7">
        <f t="shared" ca="1" si="149"/>
        <v>0</v>
      </c>
      <c r="AC157" s="7">
        <f t="shared" ca="1" si="149"/>
        <v>0</v>
      </c>
      <c r="AD157" s="7">
        <f t="shared" ca="1" si="149"/>
        <v>0</v>
      </c>
      <c r="AE157" s="7">
        <f t="shared" ca="1" si="149"/>
        <v>0</v>
      </c>
      <c r="AF157" s="7">
        <f t="shared" ca="1" si="149"/>
        <v>0</v>
      </c>
      <c r="AG157" s="7">
        <f t="shared" ca="1" si="149"/>
        <v>0</v>
      </c>
      <c r="AH157" s="7">
        <f t="shared" ca="1" si="149"/>
        <v>0</v>
      </c>
      <c r="AI157" s="7">
        <f t="shared" ca="1" si="149"/>
        <v>0</v>
      </c>
      <c r="AJ157" s="7">
        <f t="shared" ca="1" si="149"/>
        <v>0</v>
      </c>
      <c r="AK157" s="7">
        <f t="shared" ca="1" si="149"/>
        <v>0</v>
      </c>
      <c r="AL157" s="7">
        <f t="shared" ca="1" si="149"/>
        <v>0</v>
      </c>
      <c r="AM157" s="7">
        <f t="shared" ca="1" si="149"/>
        <v>0</v>
      </c>
    </row>
    <row r="158" spans="1:39" x14ac:dyDescent="0.2">
      <c r="A158" s="3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</row>
    <row r="159" spans="1:39" x14ac:dyDescent="0.2">
      <c r="A159" s="3" t="s">
        <v>70</v>
      </c>
      <c r="C159" s="7">
        <f ca="1">C145+SUM($C157:C157)</f>
        <v>16108.4375</v>
      </c>
      <c r="D159" s="7">
        <f ca="1">D145+SUM($C157:D157)</f>
        <v>30012.145312499997</v>
      </c>
      <c r="E159" s="7">
        <f ca="1">E145+SUM($C157:E157)</f>
        <v>50169.6494140625</v>
      </c>
      <c r="F159" s="7">
        <f ca="1">F145+SUM($C157:F157)</f>
        <v>52227.783801841113</v>
      </c>
      <c r="G159" s="7">
        <f ca="1">G145+SUM($C157:G157)</f>
        <v>250455.15989583102</v>
      </c>
      <c r="H159" s="7">
        <f ca="1">H145+SUM($C157:H157)</f>
        <v>296986.84009098983</v>
      </c>
      <c r="I159" s="7">
        <f ca="1">I145+SUM($C157:I157)</f>
        <v>363754.64435619779</v>
      </c>
      <c r="J159" s="7">
        <f ca="1">J145+SUM($C157:J157)</f>
        <v>435067.93012454931</v>
      </c>
      <c r="K159" s="7">
        <f ca="1">K145+SUM($C157:K157)</f>
        <v>493116.96835998015</v>
      </c>
      <c r="L159" s="7">
        <f ca="1">L145+SUM($C157:L157)</f>
        <v>638212.2751736166</v>
      </c>
      <c r="M159" s="7">
        <f ca="1">M145+SUM($C157:M157)</f>
        <v>695163.71186735749</v>
      </c>
      <c r="N159" s="7">
        <f ca="1">N145+SUM($C157:N157)</f>
        <v>805771.16934020713</v>
      </c>
      <c r="O159" s="7">
        <f ca="1">O145+SUM($C157:O157)</f>
        <v>922222.00124800857</v>
      </c>
      <c r="P159" s="7">
        <f ca="1">P145+SUM($C157:P157)</f>
        <v>1044762.6085180258</v>
      </c>
      <c r="Q159" s="7">
        <f ca="1">Q145+SUM($C157:Q157)</f>
        <v>1173648.7608708572</v>
      </c>
      <c r="R159" s="7">
        <f ca="1">R145+SUM($C157:R157)</f>
        <v>1309145.9322852024</v>
      </c>
      <c r="S159" s="7">
        <f ca="1">S145+SUM($C157:S157)</f>
        <v>1451529.6480111426</v>
      </c>
      <c r="T159" s="7">
        <f ca="1">T145+SUM($C157:T157)</f>
        <v>1491855.4011356728</v>
      </c>
      <c r="U159" s="7">
        <f ca="1">U145+SUM($C157:U157)</f>
        <v>1541415.1978627439</v>
      </c>
      <c r="V159" s="7">
        <f ca="1">V145+SUM($C157:V157)</f>
        <v>1592757.5777099284</v>
      </c>
      <c r="W159" s="7">
        <f ca="1">W145+SUM($C157:W157)</f>
        <v>1645948.7425475621</v>
      </c>
      <c r="X159" s="7">
        <f ca="1">X145+SUM($C157:X157)</f>
        <v>1701057.3316526653</v>
      </c>
      <c r="Y159" s="7">
        <f ca="1">Y145+SUM($C157:Y157)</f>
        <v>1737237.4169653396</v>
      </c>
      <c r="Z159" s="7">
        <f ca="1">Z145+SUM($C157:Z157)</f>
        <v>1774434.0167242812</v>
      </c>
      <c r="AA159" s="7">
        <f ca="1">AA145+SUM($C157:AA157)</f>
        <v>1812684.4017288706</v>
      </c>
      <c r="AB159" s="7">
        <f ca="1">AB145+SUM($C157:AB157)</f>
        <v>1852027.3427258399</v>
      </c>
      <c r="AC159" s="7">
        <f ca="1">AC145+SUM($C157:AC157)</f>
        <v>1892503.1702642585</v>
      </c>
      <c r="AD159" s="7">
        <f ca="1">AD145+SUM($C157:AD157)</f>
        <v>1934153.8368503558</v>
      </c>
      <c r="AE159" s="7">
        <f ca="1">AE145+SUM($C157:AE157)</f>
        <v>1987130.2375195618</v>
      </c>
      <c r="AF159" s="7">
        <f ca="1">AF145+SUM($C157:AF157)</f>
        <v>2041875.8715530399</v>
      </c>
      <c r="AG159" s="7">
        <f ca="1">AG145+SUM($C157:AG157)</f>
        <v>2098456.905652951</v>
      </c>
      <c r="AH159" s="7">
        <f ca="1">AH145+SUM($C157:AH157)</f>
        <v>2156942.0335442415</v>
      </c>
      <c r="AI159" s="7">
        <f ca="1">AI145+SUM($C157:AI157)</f>
        <v>2217402.5707053514</v>
      </c>
      <c r="AJ159" s="7">
        <f ca="1">AJ145+SUM($C157:AJ157)</f>
        <v>2279912.5525480784</v>
      </c>
      <c r="AK159" s="7">
        <f ca="1">AK145+SUM($C157:AK157)</f>
        <v>2344548.8361686133</v>
      </c>
      <c r="AL159" s="7">
        <f ca="1">AL145+SUM($C157:AL157)</f>
        <v>2411391.2057959661</v>
      </c>
      <c r="AM159" s="7">
        <f ca="1">AM145+SUM($C157:AM157)</f>
        <v>2480522.4820683482</v>
      </c>
    </row>
    <row r="160" spans="1:39" x14ac:dyDescent="0.2">
      <c r="A160" s="3" t="s">
        <v>67</v>
      </c>
      <c r="C160" s="7">
        <f t="shared" ref="C160:AM160" ca="1" si="150">MAX(C159+buffer,0)-MAX(C145+buffer,0)</f>
        <v>0</v>
      </c>
      <c r="D160" s="7">
        <f t="shared" ca="1" si="150"/>
        <v>0</v>
      </c>
      <c r="E160" s="7">
        <f t="shared" ca="1" si="150"/>
        <v>0</v>
      </c>
      <c r="F160" s="7">
        <f t="shared" ca="1" si="150"/>
        <v>0</v>
      </c>
      <c r="G160" s="7">
        <f t="shared" ca="1" si="150"/>
        <v>0</v>
      </c>
      <c r="H160" s="7">
        <f t="shared" ca="1" si="150"/>
        <v>0</v>
      </c>
      <c r="I160" s="7">
        <f t="shared" ca="1" si="150"/>
        <v>0</v>
      </c>
      <c r="J160" s="7">
        <f t="shared" ca="1" si="150"/>
        <v>0</v>
      </c>
      <c r="K160" s="7">
        <f t="shared" ca="1" si="150"/>
        <v>0</v>
      </c>
      <c r="L160" s="7">
        <f t="shared" ca="1" si="150"/>
        <v>0</v>
      </c>
      <c r="M160" s="7">
        <f t="shared" ca="1" si="150"/>
        <v>0</v>
      </c>
      <c r="N160" s="7">
        <f t="shared" ca="1" si="150"/>
        <v>0</v>
      </c>
      <c r="O160" s="7">
        <f t="shared" ca="1" si="150"/>
        <v>0</v>
      </c>
      <c r="P160" s="7">
        <f t="shared" ca="1" si="150"/>
        <v>0</v>
      </c>
      <c r="Q160" s="7">
        <f t="shared" ca="1" si="150"/>
        <v>0</v>
      </c>
      <c r="R160" s="7">
        <f t="shared" ca="1" si="150"/>
        <v>0</v>
      </c>
      <c r="S160" s="7">
        <f t="shared" ca="1" si="150"/>
        <v>0</v>
      </c>
      <c r="T160" s="7">
        <f t="shared" ca="1" si="150"/>
        <v>0</v>
      </c>
      <c r="U160" s="7">
        <f t="shared" ca="1" si="150"/>
        <v>0</v>
      </c>
      <c r="V160" s="7">
        <f t="shared" ca="1" si="150"/>
        <v>0</v>
      </c>
      <c r="W160" s="7">
        <f t="shared" ca="1" si="150"/>
        <v>0</v>
      </c>
      <c r="X160" s="7">
        <f t="shared" ca="1" si="150"/>
        <v>0</v>
      </c>
      <c r="Y160" s="7">
        <f t="shared" ca="1" si="150"/>
        <v>0</v>
      </c>
      <c r="Z160" s="7">
        <f t="shared" ca="1" si="150"/>
        <v>0</v>
      </c>
      <c r="AA160" s="7">
        <f t="shared" ca="1" si="150"/>
        <v>0</v>
      </c>
      <c r="AB160" s="7">
        <f t="shared" ca="1" si="150"/>
        <v>0</v>
      </c>
      <c r="AC160" s="7">
        <f t="shared" ca="1" si="150"/>
        <v>0</v>
      </c>
      <c r="AD160" s="7">
        <f t="shared" ca="1" si="150"/>
        <v>0</v>
      </c>
      <c r="AE160" s="7">
        <f t="shared" ca="1" si="150"/>
        <v>0</v>
      </c>
      <c r="AF160" s="7">
        <f t="shared" ca="1" si="150"/>
        <v>0</v>
      </c>
      <c r="AG160" s="7">
        <f t="shared" ca="1" si="150"/>
        <v>0</v>
      </c>
      <c r="AH160" s="7">
        <f t="shared" ca="1" si="150"/>
        <v>0</v>
      </c>
      <c r="AI160" s="7">
        <f t="shared" ca="1" si="150"/>
        <v>0</v>
      </c>
      <c r="AJ160" s="7">
        <f t="shared" ca="1" si="150"/>
        <v>0</v>
      </c>
      <c r="AK160" s="7">
        <f t="shared" ca="1" si="150"/>
        <v>0</v>
      </c>
      <c r="AL160" s="7">
        <f t="shared" ca="1" si="150"/>
        <v>0</v>
      </c>
      <c r="AM160" s="7">
        <f t="shared" ca="1" si="150"/>
        <v>0</v>
      </c>
    </row>
    <row r="161" spans="1:39" x14ac:dyDescent="0.2">
      <c r="A161" s="3" t="s">
        <v>68</v>
      </c>
      <c r="C161" s="7">
        <f ca="1">C160*Inputs!$B$269</f>
        <v>0</v>
      </c>
      <c r="D161" s="7">
        <f ca="1">D160*Inputs!$B$269</f>
        <v>0</v>
      </c>
      <c r="E161" s="7">
        <f ca="1">E160*Inputs!$B$269</f>
        <v>0</v>
      </c>
      <c r="F161" s="7">
        <f ca="1">F160*Inputs!$B$269</f>
        <v>0</v>
      </c>
      <c r="G161" s="7">
        <f ca="1">G160*Inputs!$B$269</f>
        <v>0</v>
      </c>
      <c r="H161" s="7">
        <f ca="1">H160*Inputs!$B$269</f>
        <v>0</v>
      </c>
      <c r="I161" s="7">
        <f ca="1">I160*Inputs!$B$269</f>
        <v>0</v>
      </c>
      <c r="J161" s="7">
        <f ca="1">J160*Inputs!$B$269</f>
        <v>0</v>
      </c>
      <c r="K161" s="7">
        <f ca="1">K160*Inputs!$B$269</f>
        <v>0</v>
      </c>
      <c r="L161" s="7">
        <f ca="1">L160*Inputs!$B$269</f>
        <v>0</v>
      </c>
      <c r="M161" s="7">
        <f ca="1">M160*Inputs!$B$269</f>
        <v>0</v>
      </c>
      <c r="N161" s="7">
        <f ca="1">N160*Inputs!$B$269</f>
        <v>0</v>
      </c>
      <c r="O161" s="7">
        <f ca="1">O160*Inputs!$B$269</f>
        <v>0</v>
      </c>
      <c r="P161" s="7">
        <f ca="1">P160*Inputs!$B$269</f>
        <v>0</v>
      </c>
      <c r="Q161" s="7">
        <f ca="1">Q160*Inputs!$B$269</f>
        <v>0</v>
      </c>
      <c r="R161" s="7">
        <f ca="1">R160*Inputs!$B$269</f>
        <v>0</v>
      </c>
      <c r="S161" s="7">
        <f ca="1">S160*Inputs!$B$269</f>
        <v>0</v>
      </c>
      <c r="T161" s="7">
        <f ca="1">T160*Inputs!$B$269</f>
        <v>0</v>
      </c>
      <c r="U161" s="7">
        <f ca="1">U160*Inputs!$B$269</f>
        <v>0</v>
      </c>
      <c r="V161" s="7">
        <f ca="1">V160*Inputs!$B$269</f>
        <v>0</v>
      </c>
      <c r="W161" s="7">
        <f ca="1">W160*Inputs!$B$269</f>
        <v>0</v>
      </c>
      <c r="X161" s="7">
        <f ca="1">X160*Inputs!$B$269</f>
        <v>0</v>
      </c>
      <c r="Y161" s="7">
        <f ca="1">Y160*Inputs!$B$269</f>
        <v>0</v>
      </c>
      <c r="Z161" s="7">
        <f ca="1">Z160*Inputs!$B$269</f>
        <v>0</v>
      </c>
      <c r="AA161" s="7">
        <f ca="1">AA160*Inputs!$B$269</f>
        <v>0</v>
      </c>
      <c r="AB161" s="7">
        <f ca="1">AB160*Inputs!$B$269</f>
        <v>0</v>
      </c>
      <c r="AC161" s="7">
        <f ca="1">AC160*Inputs!$B$269</f>
        <v>0</v>
      </c>
      <c r="AD161" s="7">
        <f ca="1">AD160*Inputs!$B$269</f>
        <v>0</v>
      </c>
      <c r="AE161" s="7">
        <f ca="1">AE160*Inputs!$B$269</f>
        <v>0</v>
      </c>
      <c r="AF161" s="7">
        <f ca="1">AF160*Inputs!$B$269</f>
        <v>0</v>
      </c>
      <c r="AG161" s="7">
        <f ca="1">AG160*Inputs!$B$269</f>
        <v>0</v>
      </c>
      <c r="AH161" s="7">
        <f ca="1">AH160*Inputs!$B$269</f>
        <v>0</v>
      </c>
      <c r="AI161" s="7">
        <f ca="1">AI160*Inputs!$B$269</f>
        <v>0</v>
      </c>
      <c r="AJ161" s="7">
        <f ca="1">AJ160*Inputs!$B$269</f>
        <v>0</v>
      </c>
      <c r="AK161" s="7">
        <f ca="1">AK160*Inputs!$B$269</f>
        <v>0</v>
      </c>
      <c r="AL161" s="7">
        <f ca="1">AL160*Inputs!$B$269</f>
        <v>0</v>
      </c>
      <c r="AM161" s="7">
        <f ca="1">AM160*Inputs!$B$269</f>
        <v>0</v>
      </c>
    </row>
    <row r="162" spans="1:39" x14ac:dyDescent="0.2">
      <c r="A162" s="3" t="s">
        <v>149</v>
      </c>
      <c r="C162" s="7">
        <f ca="1">C159+SUM($C161:C161)</f>
        <v>16108.4375</v>
      </c>
      <c r="D162" s="7">
        <f ca="1">D159+SUM($C161:D161)</f>
        <v>30012.145312499997</v>
      </c>
      <c r="E162" s="7">
        <f ca="1">E159+SUM($C161:E161)</f>
        <v>50169.6494140625</v>
      </c>
      <c r="F162" s="7">
        <f ca="1">F159+SUM($C161:F161)</f>
        <v>52227.783801841113</v>
      </c>
      <c r="G162" s="7">
        <f ca="1">G159+SUM($C161:G161)</f>
        <v>250455.15989583102</v>
      </c>
      <c r="H162" s="7">
        <f ca="1">H159+SUM($C161:H161)</f>
        <v>296986.84009098983</v>
      </c>
      <c r="I162" s="7">
        <f ca="1">I159+SUM($C161:I161)</f>
        <v>363754.64435619779</v>
      </c>
      <c r="J162" s="7">
        <f ca="1">J159+SUM($C161:J161)</f>
        <v>435067.93012454931</v>
      </c>
      <c r="K162" s="7">
        <f ca="1">K159+SUM($C161:K161)</f>
        <v>493116.96835998015</v>
      </c>
      <c r="L162" s="7">
        <f ca="1">L159+SUM($C161:L161)</f>
        <v>638212.2751736166</v>
      </c>
      <c r="M162" s="7">
        <f ca="1">M159+SUM($C161:M161)</f>
        <v>695163.71186735749</v>
      </c>
      <c r="N162" s="7">
        <f ca="1">N159+SUM($C161:N161)</f>
        <v>805771.16934020713</v>
      </c>
      <c r="O162" s="7">
        <f ca="1">O159+SUM($C161:O161)</f>
        <v>922222.00124800857</v>
      </c>
      <c r="P162" s="7">
        <f ca="1">P159+SUM($C161:P161)</f>
        <v>1044762.6085180258</v>
      </c>
      <c r="Q162" s="7">
        <f ca="1">Q159+SUM($C161:Q161)</f>
        <v>1173648.7608708572</v>
      </c>
      <c r="R162" s="7">
        <f ca="1">R159+SUM($C161:R161)</f>
        <v>1309145.9322852024</v>
      </c>
      <c r="S162" s="7">
        <f ca="1">S159+SUM($C161:S161)</f>
        <v>1451529.6480111426</v>
      </c>
      <c r="T162" s="7">
        <f ca="1">T159+SUM($C161:T161)</f>
        <v>1491855.4011356728</v>
      </c>
      <c r="U162" s="7">
        <f ca="1">U159+SUM($C161:U161)</f>
        <v>1541415.1978627439</v>
      </c>
      <c r="V162" s="7">
        <f ca="1">V159+SUM($C161:V161)</f>
        <v>1592757.5777099284</v>
      </c>
      <c r="W162" s="7">
        <f ca="1">W159+SUM($C161:W161)</f>
        <v>1645948.7425475621</v>
      </c>
      <c r="X162" s="7">
        <f ca="1">X159+SUM($C161:X161)</f>
        <v>1701057.3316526653</v>
      </c>
      <c r="Y162" s="7">
        <f ca="1">Y159+SUM($C161:Y161)</f>
        <v>1737237.4169653396</v>
      </c>
      <c r="Z162" s="7">
        <f ca="1">Z159+SUM($C161:Z161)</f>
        <v>1774434.0167242812</v>
      </c>
      <c r="AA162" s="7">
        <f ca="1">AA159+SUM($C161:AA161)</f>
        <v>1812684.4017288706</v>
      </c>
      <c r="AB162" s="7">
        <f ca="1">AB159+SUM($C161:AB161)</f>
        <v>1852027.3427258399</v>
      </c>
      <c r="AC162" s="7">
        <f ca="1">AC159+SUM($C161:AC161)</f>
        <v>1892503.1702642585</v>
      </c>
      <c r="AD162" s="7">
        <f ca="1">AD159+SUM($C161:AD161)</f>
        <v>1934153.8368503558</v>
      </c>
      <c r="AE162" s="7">
        <f ca="1">AE159+SUM($C161:AE161)</f>
        <v>1987130.2375195618</v>
      </c>
      <c r="AF162" s="7">
        <f ca="1">AF159+SUM($C161:AF161)</f>
        <v>2041875.8715530399</v>
      </c>
      <c r="AG162" s="7">
        <f ca="1">AG159+SUM($C161:AG161)</f>
        <v>2098456.905652951</v>
      </c>
      <c r="AH162" s="7">
        <f ca="1">AH159+SUM($C161:AH161)</f>
        <v>2156942.0335442415</v>
      </c>
      <c r="AI162" s="7">
        <f ca="1">AI159+SUM($C161:AI161)</f>
        <v>2217402.5707053514</v>
      </c>
      <c r="AJ162" s="7">
        <f ca="1">AJ159+SUM($C161:AJ161)</f>
        <v>2279912.5525480784</v>
      </c>
      <c r="AK162" s="7">
        <f ca="1">AK159+SUM($C161:AK161)</f>
        <v>2344548.8361686133</v>
      </c>
      <c r="AL162" s="7">
        <f ca="1">AL159+SUM($C161:AL161)</f>
        <v>2411391.2057959661</v>
      </c>
      <c r="AM162" s="7">
        <f ca="1">AM159+SUM($C161:AM161)</f>
        <v>2480522.4820683482</v>
      </c>
    </row>
    <row r="163" spans="1:39" x14ac:dyDescent="0.2">
      <c r="A163" s="3" t="s">
        <v>19</v>
      </c>
      <c r="C163" s="7">
        <f ca="1">IF(C162&lt;0,-C162,0)</f>
        <v>0</v>
      </c>
      <c r="D163" s="7">
        <f ca="1">IF(D162+SUM($C163:C163)&lt;0,-(D162+SUM($C163:C163)),0)</f>
        <v>0</v>
      </c>
      <c r="E163" s="7">
        <f ca="1">IF(E162+SUM($C163:D163)&lt;0,-(E162+SUM($C163:D163)),0)</f>
        <v>0</v>
      </c>
      <c r="F163" s="7">
        <f ca="1">IF(F162+SUM($C163:E163)&lt;0,-(F162+SUM($C163:E163)),0)</f>
        <v>0</v>
      </c>
      <c r="G163" s="7">
        <f ca="1">IF(G162+SUM($C163:F163)&lt;0,-(G162+SUM($C163:F163)),0)</f>
        <v>0</v>
      </c>
      <c r="H163" s="7">
        <f ca="1">IF(H162+SUM($C163:G163)&lt;0,-(H162+SUM($C163:G163)),0)</f>
        <v>0</v>
      </c>
      <c r="I163" s="7">
        <f ca="1">IF(I162+SUM($C163:H163)&lt;0,-(I162+SUM($C163:H163)),0)</f>
        <v>0</v>
      </c>
      <c r="J163" s="7">
        <f ca="1">IF(J162+SUM($C163:I163)&lt;0,-(J162+SUM($C163:I163)),0)</f>
        <v>0</v>
      </c>
      <c r="K163" s="7">
        <f ca="1">IF(K162+SUM($C163:J163)&lt;0,-(K162+SUM($C163:J163)),0)</f>
        <v>0</v>
      </c>
      <c r="L163" s="7">
        <f ca="1">IF(L162+SUM($C163:K163)&lt;0,-(L162+SUM($C163:K163)),0)</f>
        <v>0</v>
      </c>
      <c r="M163" s="7">
        <f ca="1">IF(M162+SUM($C163:L163)&lt;0,-(M162+SUM($C163:L163)),0)</f>
        <v>0</v>
      </c>
      <c r="N163" s="7">
        <f ca="1">IF(N162+SUM($C163:M163)&lt;0,-(N162+SUM($C163:M163)),0)</f>
        <v>0</v>
      </c>
      <c r="O163" s="7">
        <f ca="1">IF(O162+SUM($C163:N163)&lt;0,-(O162+SUM($C163:N163)),0)</f>
        <v>0</v>
      </c>
      <c r="P163" s="7">
        <f ca="1">IF(P162+SUM($C163:O163)&lt;0,-(P162+SUM($C163:O163)),0)</f>
        <v>0</v>
      </c>
      <c r="Q163" s="7">
        <f ca="1">IF(Q162+SUM($C163:P163)&lt;0,-(Q162+SUM($C163:P163)),0)</f>
        <v>0</v>
      </c>
      <c r="R163" s="7">
        <f ca="1">IF(R162+SUM($C163:Q163)&lt;0,-(R162+SUM($C163:Q163)),0)</f>
        <v>0</v>
      </c>
      <c r="S163" s="7">
        <f ca="1">IF(S162+SUM($C163:R163)&lt;0,-(S162+SUM($C163:R163)),0)</f>
        <v>0</v>
      </c>
      <c r="T163" s="7">
        <f ca="1">IF(T162+SUM($C163:S163)&lt;0,-(T162+SUM($C163:S163)),0)</f>
        <v>0</v>
      </c>
      <c r="U163" s="7">
        <f ca="1">IF(U162+SUM($C163:T163)&lt;0,-(U162+SUM($C163:T163)),0)</f>
        <v>0</v>
      </c>
      <c r="V163" s="7">
        <f ca="1">IF(V162+SUM($C163:U163)&lt;0,-(V162+SUM($C163:U163)),0)</f>
        <v>0</v>
      </c>
      <c r="W163" s="7">
        <f ca="1">IF(W162+SUM($C163:V163)&lt;0,-(W162+SUM($C163:V163)),0)</f>
        <v>0</v>
      </c>
      <c r="X163" s="7">
        <f ca="1">IF(X162+SUM($C163:W163)&lt;0,-(X162+SUM($C163:W163)),0)</f>
        <v>0</v>
      </c>
      <c r="Y163" s="7">
        <f ca="1">IF(Y162+SUM($C163:X163)&lt;0,-(Y162+SUM($C163:X163)),0)</f>
        <v>0</v>
      </c>
      <c r="Z163" s="7">
        <f ca="1">IF(Z162+SUM($C163:Y163)&lt;0,-(Z162+SUM($C163:Y163)),0)</f>
        <v>0</v>
      </c>
      <c r="AA163" s="7">
        <f ca="1">IF(AA162+SUM($C163:Z163)&lt;0,-(AA162+SUM($C163:Z163)),0)</f>
        <v>0</v>
      </c>
      <c r="AB163" s="7">
        <f ca="1">IF(AB162+SUM($C163:AA163)&lt;0,-(AB162+SUM($C163:AA163)),0)</f>
        <v>0</v>
      </c>
      <c r="AC163" s="7">
        <f ca="1">IF(AC162+SUM($C163:AB163)&lt;0,-(AC162+SUM($C163:AB163)),0)</f>
        <v>0</v>
      </c>
      <c r="AD163" s="7">
        <f ca="1">IF(AD162+SUM($C163:AC163)&lt;0,-(AD162+SUM($C163:AC163)),0)</f>
        <v>0</v>
      </c>
      <c r="AE163" s="7">
        <f ca="1">IF(AE162+SUM($C163:AD163)&lt;0,-(AE162+SUM($C163:AD163)),0)</f>
        <v>0</v>
      </c>
      <c r="AF163" s="7">
        <f ca="1">IF(AF162+SUM($C163:AE163)&lt;0,-(AF162+SUM($C163:AE163)),0)</f>
        <v>0</v>
      </c>
      <c r="AG163" s="7">
        <f ca="1">IF(AG162+SUM($C163:AF163)&lt;0,-(AG162+SUM($C163:AF163)),0)</f>
        <v>0</v>
      </c>
      <c r="AH163" s="7">
        <f ca="1">IF(AH162+SUM($C163:AG163)&lt;0,-(AH162+SUM($C163:AG163)),0)</f>
        <v>0</v>
      </c>
      <c r="AI163" s="7">
        <f ca="1">IF(AI162+SUM($C163:AH163)&lt;0,-(AI162+SUM($C163:AH163)),0)</f>
        <v>0</v>
      </c>
      <c r="AJ163" s="7">
        <f ca="1">IF(AJ162+SUM($C163:AI163)&lt;0,-(AJ162+SUM($C163:AI163)),0)</f>
        <v>0</v>
      </c>
      <c r="AK163" s="7">
        <f ca="1">IF(AK162+SUM($C163:AJ163)&lt;0,-(AK162+SUM($C163:AJ163)),0)</f>
        <v>0</v>
      </c>
      <c r="AL163" s="7">
        <f ca="1">IF(AL162+SUM($C163:AK163)&lt;0,-(AL162+SUM($C163:AK163)),0)</f>
        <v>0</v>
      </c>
      <c r="AM163" s="7">
        <f ca="1">IF(AM162+SUM($C163:AL163)&lt;0,-(AM162+SUM($C163:AL163)),0)</f>
        <v>0</v>
      </c>
    </row>
    <row r="164" spans="1:39" x14ac:dyDescent="0.2"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</row>
    <row r="165" spans="1:39" x14ac:dyDescent="0.2">
      <c r="A165" s="24" t="str">
        <f>IF(Inputs!$B$289=6,IFERROR(_xlfn.XLOOKUP($B165,Inputs!$B$290:$B$299,Inputs!$A$290:$A$299,,0,1),""),IFERROR(_xlfn.XLOOKUP($B165,Inputs!$C$290:$C$299,Inputs!$A$290:$A$299,,0,1),""))</f>
        <v>Gudja</v>
      </c>
      <c r="B165" s="26">
        <v>4</v>
      </c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</row>
    <row r="166" spans="1:39" x14ac:dyDescent="0.2">
      <c r="A166" s="3" t="s">
        <v>21</v>
      </c>
      <c r="C166" s="7">
        <f ca="1">IFERROR(VLOOKUP($A165,$A$67:$H$96,C$1+2,FALSE),0)</f>
        <v>81793.332978359496</v>
      </c>
      <c r="D166" s="7">
        <f ca="1">C169</f>
        <v>81793.332978359496</v>
      </c>
      <c r="E166" s="7">
        <f t="shared" ref="E166:AM166" ca="1" si="151">D169</f>
        <v>84247.132967710277</v>
      </c>
      <c r="F166" s="7">
        <f t="shared" ca="1" si="151"/>
        <v>86774.546956741586</v>
      </c>
      <c r="G166" s="7">
        <f t="shared" ca="1" si="151"/>
        <v>89377.783365443829</v>
      </c>
      <c r="H166" s="7">
        <f t="shared" ca="1" si="151"/>
        <v>92059.116866407145</v>
      </c>
      <c r="I166" s="7">
        <f t="shared" ca="1" si="151"/>
        <v>94820.890372399357</v>
      </c>
      <c r="J166" s="7">
        <f t="shared" ca="1" si="151"/>
        <v>97665.517083571336</v>
      </c>
      <c r="K166" s="7">
        <f t="shared" ca="1" si="151"/>
        <v>100595.48259607848</v>
      </c>
      <c r="L166" s="7">
        <f t="shared" ca="1" si="151"/>
        <v>103613.34707396083</v>
      </c>
      <c r="M166" s="7">
        <f t="shared" ca="1" si="151"/>
        <v>106721.74748617965</v>
      </c>
      <c r="N166" s="7">
        <f t="shared" ca="1" si="151"/>
        <v>109923.39991076505</v>
      </c>
      <c r="O166" s="7">
        <f t="shared" ca="1" si="151"/>
        <v>113221.10190808799</v>
      </c>
      <c r="P166" s="7">
        <f t="shared" ca="1" si="151"/>
        <v>116617.73496533063</v>
      </c>
      <c r="Q166" s="7">
        <f t="shared" ca="1" si="151"/>
        <v>120116.26701429056</v>
      </c>
      <c r="R166" s="7">
        <f t="shared" ca="1" si="151"/>
        <v>123719.75502471927</v>
      </c>
      <c r="S166" s="7">
        <f t="shared" ca="1" si="151"/>
        <v>127431.34767546084</v>
      </c>
      <c r="T166" s="7">
        <f t="shared" ca="1" si="151"/>
        <v>131254.28810572467</v>
      </c>
      <c r="U166" s="7">
        <f t="shared" ca="1" si="151"/>
        <v>135191.91674889642</v>
      </c>
      <c r="V166" s="7">
        <f t="shared" ca="1" si="151"/>
        <v>139247.67425136332</v>
      </c>
      <c r="W166" s="7">
        <f t="shared" ca="1" si="151"/>
        <v>143425.10447890422</v>
      </c>
      <c r="X166" s="7">
        <f t="shared" ca="1" si="151"/>
        <v>147727.85761327134</v>
      </c>
      <c r="Y166" s="7">
        <f t="shared" ca="1" si="151"/>
        <v>152159.69334166948</v>
      </c>
      <c r="Z166" s="7">
        <f t="shared" ca="1" si="151"/>
        <v>156724.48414191956</v>
      </c>
      <c r="AA166" s="7">
        <f t="shared" ca="1" si="151"/>
        <v>161426.21866617716</v>
      </c>
      <c r="AB166" s="7">
        <f t="shared" ca="1" si="151"/>
        <v>166269.00522616247</v>
      </c>
      <c r="AC166" s="7">
        <f t="shared" ca="1" si="151"/>
        <v>171257.07538294734</v>
      </c>
      <c r="AD166" s="7">
        <f t="shared" ca="1" si="151"/>
        <v>176394.78764443577</v>
      </c>
      <c r="AE166" s="7">
        <f t="shared" ca="1" si="151"/>
        <v>181686.63127376884</v>
      </c>
      <c r="AF166" s="7">
        <f t="shared" ca="1" si="151"/>
        <v>187137.23021198192</v>
      </c>
      <c r="AG166" s="7">
        <f t="shared" ca="1" si="151"/>
        <v>192751.34711834136</v>
      </c>
      <c r="AH166" s="7">
        <f t="shared" ca="1" si="151"/>
        <v>198533.88753189161</v>
      </c>
      <c r="AI166" s="7">
        <f t="shared" ca="1" si="151"/>
        <v>204489.90415784836</v>
      </c>
      <c r="AJ166" s="7">
        <f t="shared" ca="1" si="151"/>
        <v>210624.60128258381</v>
      </c>
      <c r="AK166" s="7">
        <f t="shared" ca="1" si="151"/>
        <v>216943.33932106133</v>
      </c>
      <c r="AL166" s="7">
        <f t="shared" ca="1" si="151"/>
        <v>223451.63950069316</v>
      </c>
      <c r="AM166" s="7">
        <f t="shared" ca="1" si="151"/>
        <v>230155.18868571395</v>
      </c>
    </row>
    <row r="167" spans="1:39" x14ac:dyDescent="0.2">
      <c r="A167" s="3" t="s">
        <v>22</v>
      </c>
      <c r="C167" s="7">
        <f ca="1">-IF(D163&gt;0,C166,0)</f>
        <v>0</v>
      </c>
      <c r="D167" s="7">
        <f ca="1">-IF(E163&gt;0,D166,0)</f>
        <v>0</v>
      </c>
      <c r="E167" s="7">
        <f ca="1">-IF(F163&gt;0,E166,0)</f>
        <v>0</v>
      </c>
      <c r="F167" s="7">
        <f ca="1">-IF(G163&gt;0,F166,0)</f>
        <v>0</v>
      </c>
      <c r="G167" s="7">
        <f t="shared" ref="G167" ca="1" si="152">-IF(H163&gt;0,G166,0)</f>
        <v>0</v>
      </c>
      <c r="H167" s="7">
        <f t="shared" ref="H167" ca="1" si="153">-IF(I163&gt;0,H166,0)</f>
        <v>0</v>
      </c>
      <c r="I167" s="7">
        <f t="shared" ref="I167" ca="1" si="154">-IF(J163&gt;0,I166,0)</f>
        <v>0</v>
      </c>
      <c r="J167" s="7">
        <f t="shared" ref="J167" ca="1" si="155">-IF(K163&gt;0,J166,0)</f>
        <v>0</v>
      </c>
      <c r="K167" s="7">
        <f t="shared" ref="K167" ca="1" si="156">-IF(L163&gt;0,K166,0)</f>
        <v>0</v>
      </c>
      <c r="L167" s="7">
        <f t="shared" ref="L167" ca="1" si="157">-IF(M163&gt;0,L166,0)</f>
        <v>0</v>
      </c>
      <c r="M167" s="7">
        <f t="shared" ref="M167" ca="1" si="158">-IF(N163&gt;0,M166,0)</f>
        <v>0</v>
      </c>
      <c r="N167" s="7">
        <f t="shared" ref="N167" ca="1" si="159">-IF(O163&gt;0,N166,0)</f>
        <v>0</v>
      </c>
      <c r="O167" s="7">
        <f t="shared" ref="O167" ca="1" si="160">-IF(P163&gt;0,O166,0)</f>
        <v>0</v>
      </c>
      <c r="P167" s="7">
        <f t="shared" ref="P167" ca="1" si="161">-IF(Q163&gt;0,P166,0)</f>
        <v>0</v>
      </c>
      <c r="Q167" s="7">
        <f t="shared" ref="Q167" ca="1" si="162">-IF(R163&gt;0,Q166,0)</f>
        <v>0</v>
      </c>
      <c r="R167" s="7">
        <f t="shared" ref="R167" ca="1" si="163">-IF(S163&gt;0,R166,0)</f>
        <v>0</v>
      </c>
      <c r="S167" s="7">
        <f t="shared" ref="S167" ca="1" si="164">-IF(T163&gt;0,S166,0)</f>
        <v>0</v>
      </c>
      <c r="T167" s="7">
        <f t="shared" ref="T167" ca="1" si="165">-IF(U163&gt;0,T166,0)</f>
        <v>0</v>
      </c>
      <c r="U167" s="7">
        <f t="shared" ref="U167" ca="1" si="166">-IF(V163&gt;0,U166,0)</f>
        <v>0</v>
      </c>
      <c r="V167" s="7">
        <f t="shared" ref="V167" ca="1" si="167">-IF(W163&gt;0,V166,0)</f>
        <v>0</v>
      </c>
      <c r="W167" s="7">
        <f t="shared" ref="W167" ca="1" si="168">-IF(X163&gt;0,W166,0)</f>
        <v>0</v>
      </c>
      <c r="X167" s="7">
        <f t="shared" ref="X167" ca="1" si="169">-IF(Y163&gt;0,X166,0)</f>
        <v>0</v>
      </c>
      <c r="Y167" s="7">
        <f t="shared" ref="Y167" ca="1" si="170">-IF(Z163&gt;0,Y166,0)</f>
        <v>0</v>
      </c>
      <c r="Z167" s="7">
        <f t="shared" ref="Z167" ca="1" si="171">-IF(AA163&gt;0,Z166,0)</f>
        <v>0</v>
      </c>
      <c r="AA167" s="7">
        <f t="shared" ref="AA167" ca="1" si="172">-IF(AB163&gt;0,AA166,0)</f>
        <v>0</v>
      </c>
      <c r="AB167" s="7">
        <f t="shared" ref="AB167" ca="1" si="173">-IF(AC163&gt;0,AB166,0)</f>
        <v>0</v>
      </c>
      <c r="AC167" s="7">
        <f t="shared" ref="AC167" ca="1" si="174">-IF(AD163&gt;0,AC166,0)</f>
        <v>0</v>
      </c>
      <c r="AD167" s="7">
        <f t="shared" ref="AD167" ca="1" si="175">-IF(AE163&gt;0,AD166,0)</f>
        <v>0</v>
      </c>
      <c r="AE167" s="7">
        <f t="shared" ref="AE167" ca="1" si="176">-IF(AF163&gt;0,AE166,0)</f>
        <v>0</v>
      </c>
      <c r="AF167" s="7">
        <f t="shared" ref="AF167" ca="1" si="177">-IF(AG163&gt;0,AF166,0)</f>
        <v>0</v>
      </c>
      <c r="AG167" s="7">
        <f t="shared" ref="AG167" ca="1" si="178">-IF(AH163&gt;0,AG166,0)</f>
        <v>0</v>
      </c>
      <c r="AH167" s="7">
        <f t="shared" ref="AH167" ca="1" si="179">-IF(AI163&gt;0,AH166,0)</f>
        <v>0</v>
      </c>
      <c r="AI167" s="7">
        <f t="shared" ref="AI167" ca="1" si="180">-IF(AJ163&gt;0,AI166,0)</f>
        <v>0</v>
      </c>
      <c r="AJ167" s="7">
        <f t="shared" ref="AJ167" ca="1" si="181">-IF(AK163&gt;0,AJ166,0)</f>
        <v>0</v>
      </c>
      <c r="AK167" s="7">
        <f t="shared" ref="AK167" ca="1" si="182">-IF(AL163&gt;0,AK166,0)</f>
        <v>0</v>
      </c>
      <c r="AL167" s="7">
        <f t="shared" ref="AL167" ca="1" si="183">-IF(AM163&gt;0,AL166,0)</f>
        <v>0</v>
      </c>
      <c r="AM167" s="7">
        <f t="shared" ref="AM167" si="184">-IF(AN163&gt;0,AM166,0)</f>
        <v>0</v>
      </c>
    </row>
    <row r="168" spans="1:39" x14ac:dyDescent="0.2">
      <c r="A168" s="3" t="s">
        <v>23</v>
      </c>
      <c r="C168" s="7">
        <v>0</v>
      </c>
      <c r="D168" s="7">
        <f t="shared" ref="D168:AM168" ca="1" si="185">SUM(D166:D167)*VLOOKUP($A165,AssVar,2,FALSE)</f>
        <v>2453.7999893507849</v>
      </c>
      <c r="E168" s="7">
        <f t="shared" ca="1" si="185"/>
        <v>2527.4139890313081</v>
      </c>
      <c r="F168" s="7">
        <f t="shared" ca="1" si="185"/>
        <v>2603.2364087022474</v>
      </c>
      <c r="G168" s="7">
        <f t="shared" ca="1" si="185"/>
        <v>2681.3335009633147</v>
      </c>
      <c r="H168" s="7">
        <f t="shared" ca="1" si="185"/>
        <v>2761.7735059922143</v>
      </c>
      <c r="I168" s="7">
        <f t="shared" ca="1" si="185"/>
        <v>2844.6267111719808</v>
      </c>
      <c r="J168" s="7">
        <f t="shared" ca="1" si="185"/>
        <v>2929.9655125071399</v>
      </c>
      <c r="K168" s="7">
        <f t="shared" ca="1" si="185"/>
        <v>3017.8644778823541</v>
      </c>
      <c r="L168" s="7">
        <f t="shared" ca="1" si="185"/>
        <v>3108.4004122188248</v>
      </c>
      <c r="M168" s="7">
        <f t="shared" ca="1" si="185"/>
        <v>3201.6524245853893</v>
      </c>
      <c r="N168" s="7">
        <f t="shared" ca="1" si="185"/>
        <v>3297.7019973229512</v>
      </c>
      <c r="O168" s="7">
        <f t="shared" ca="1" si="185"/>
        <v>3396.6330572426396</v>
      </c>
      <c r="P168" s="7">
        <f t="shared" ca="1" si="185"/>
        <v>3498.5320489599189</v>
      </c>
      <c r="Q168" s="7">
        <f t="shared" ca="1" si="185"/>
        <v>3603.4880104287167</v>
      </c>
      <c r="R168" s="7">
        <f t="shared" ca="1" si="185"/>
        <v>3711.5926507415779</v>
      </c>
      <c r="S168" s="7">
        <f t="shared" ca="1" si="185"/>
        <v>3822.940430263825</v>
      </c>
      <c r="T168" s="7">
        <f t="shared" ca="1" si="185"/>
        <v>3937.6286431717399</v>
      </c>
      <c r="U168" s="7">
        <f t="shared" ca="1" si="185"/>
        <v>4055.7575024668922</v>
      </c>
      <c r="V168" s="7">
        <f t="shared" ca="1" si="185"/>
        <v>4177.4302275408991</v>
      </c>
      <c r="W168" s="7">
        <f t="shared" ca="1" si="185"/>
        <v>4302.7531343671262</v>
      </c>
      <c r="X168" s="7">
        <f t="shared" ca="1" si="185"/>
        <v>4431.8357283981395</v>
      </c>
      <c r="Y168" s="7">
        <f t="shared" ca="1" si="185"/>
        <v>4564.7908002500844</v>
      </c>
      <c r="Z168" s="7">
        <f t="shared" ca="1" si="185"/>
        <v>4701.7345242575866</v>
      </c>
      <c r="AA168" s="7">
        <f t="shared" ca="1" si="185"/>
        <v>4842.7865599853149</v>
      </c>
      <c r="AB168" s="7">
        <f t="shared" ca="1" si="185"/>
        <v>4988.0701567848737</v>
      </c>
      <c r="AC168" s="7">
        <f t="shared" ca="1" si="185"/>
        <v>5137.7122614884202</v>
      </c>
      <c r="AD168" s="7">
        <f t="shared" ca="1" si="185"/>
        <v>5291.8436293330733</v>
      </c>
      <c r="AE168" s="7">
        <f t="shared" ca="1" si="185"/>
        <v>5450.5989382130647</v>
      </c>
      <c r="AF168" s="7">
        <f t="shared" ca="1" si="185"/>
        <v>5614.1169063594571</v>
      </c>
      <c r="AG168" s="7">
        <f t="shared" ca="1" si="185"/>
        <v>5782.5404135502404</v>
      </c>
      <c r="AH168" s="7">
        <f t="shared" ca="1" si="185"/>
        <v>5956.0166259567477</v>
      </c>
      <c r="AI168" s="7">
        <f t="shared" ca="1" si="185"/>
        <v>6134.6971247354504</v>
      </c>
      <c r="AJ168" s="7">
        <f t="shared" ca="1" si="185"/>
        <v>6318.7380384775142</v>
      </c>
      <c r="AK168" s="7">
        <f t="shared" ca="1" si="185"/>
        <v>6508.3001796318395</v>
      </c>
      <c r="AL168" s="7">
        <f t="shared" ca="1" si="185"/>
        <v>6703.5491850207945</v>
      </c>
      <c r="AM168" s="7">
        <f t="shared" ca="1" si="185"/>
        <v>6904.6556605714186</v>
      </c>
    </row>
    <row r="169" spans="1:39" x14ac:dyDescent="0.2">
      <c r="A169" s="3" t="s">
        <v>24</v>
      </c>
      <c r="C169" s="7">
        <f ca="1">SUM(C166:C168)</f>
        <v>81793.332978359496</v>
      </c>
      <c r="D169" s="7">
        <f t="shared" ref="D169:AM169" ca="1" si="186">SUM(D166:D168)</f>
        <v>84247.132967710277</v>
      </c>
      <c r="E169" s="7">
        <f t="shared" ca="1" si="186"/>
        <v>86774.546956741586</v>
      </c>
      <c r="F169" s="7">
        <f t="shared" ca="1" si="186"/>
        <v>89377.783365443829</v>
      </c>
      <c r="G169" s="7">
        <f t="shared" ca="1" si="186"/>
        <v>92059.116866407145</v>
      </c>
      <c r="H169" s="7">
        <f t="shared" ca="1" si="186"/>
        <v>94820.890372399357</v>
      </c>
      <c r="I169" s="7">
        <f t="shared" ca="1" si="186"/>
        <v>97665.517083571336</v>
      </c>
      <c r="J169" s="7">
        <f t="shared" ca="1" si="186"/>
        <v>100595.48259607848</v>
      </c>
      <c r="K169" s="7">
        <f t="shared" ca="1" si="186"/>
        <v>103613.34707396083</v>
      </c>
      <c r="L169" s="7">
        <f t="shared" ca="1" si="186"/>
        <v>106721.74748617965</v>
      </c>
      <c r="M169" s="7">
        <f t="shared" ca="1" si="186"/>
        <v>109923.39991076505</v>
      </c>
      <c r="N169" s="7">
        <f t="shared" ca="1" si="186"/>
        <v>113221.10190808799</v>
      </c>
      <c r="O169" s="7">
        <f t="shared" ca="1" si="186"/>
        <v>116617.73496533063</v>
      </c>
      <c r="P169" s="7">
        <f t="shared" ca="1" si="186"/>
        <v>120116.26701429056</v>
      </c>
      <c r="Q169" s="7">
        <f t="shared" ca="1" si="186"/>
        <v>123719.75502471927</v>
      </c>
      <c r="R169" s="7">
        <f t="shared" ca="1" si="186"/>
        <v>127431.34767546084</v>
      </c>
      <c r="S169" s="7">
        <f t="shared" ca="1" si="186"/>
        <v>131254.28810572467</v>
      </c>
      <c r="T169" s="7">
        <f t="shared" ca="1" si="186"/>
        <v>135191.91674889642</v>
      </c>
      <c r="U169" s="7">
        <f t="shared" ca="1" si="186"/>
        <v>139247.67425136332</v>
      </c>
      <c r="V169" s="7">
        <f t="shared" ca="1" si="186"/>
        <v>143425.10447890422</v>
      </c>
      <c r="W169" s="7">
        <f t="shared" ca="1" si="186"/>
        <v>147727.85761327134</v>
      </c>
      <c r="X169" s="7">
        <f t="shared" ca="1" si="186"/>
        <v>152159.69334166948</v>
      </c>
      <c r="Y169" s="7">
        <f t="shared" ca="1" si="186"/>
        <v>156724.48414191956</v>
      </c>
      <c r="Z169" s="7">
        <f t="shared" ca="1" si="186"/>
        <v>161426.21866617716</v>
      </c>
      <c r="AA169" s="7">
        <f t="shared" ca="1" si="186"/>
        <v>166269.00522616247</v>
      </c>
      <c r="AB169" s="7">
        <f t="shared" ca="1" si="186"/>
        <v>171257.07538294734</v>
      </c>
      <c r="AC169" s="7">
        <f t="shared" ca="1" si="186"/>
        <v>176394.78764443577</v>
      </c>
      <c r="AD169" s="7">
        <f t="shared" ca="1" si="186"/>
        <v>181686.63127376884</v>
      </c>
      <c r="AE169" s="7">
        <f t="shared" ca="1" si="186"/>
        <v>187137.23021198192</v>
      </c>
      <c r="AF169" s="7">
        <f t="shared" ca="1" si="186"/>
        <v>192751.34711834136</v>
      </c>
      <c r="AG169" s="7">
        <f t="shared" ca="1" si="186"/>
        <v>198533.88753189161</v>
      </c>
      <c r="AH169" s="7">
        <f t="shared" ca="1" si="186"/>
        <v>204489.90415784836</v>
      </c>
      <c r="AI169" s="7">
        <f t="shared" ca="1" si="186"/>
        <v>210624.60128258381</v>
      </c>
      <c r="AJ169" s="7">
        <f t="shared" ca="1" si="186"/>
        <v>216943.33932106133</v>
      </c>
      <c r="AK169" s="7">
        <f t="shared" ca="1" si="186"/>
        <v>223451.63950069316</v>
      </c>
      <c r="AL169" s="7">
        <f t="shared" ca="1" si="186"/>
        <v>230155.18868571395</v>
      </c>
      <c r="AM169" s="7">
        <f t="shared" ca="1" si="186"/>
        <v>237059.84434628536</v>
      </c>
    </row>
    <row r="170" spans="1:39" x14ac:dyDescent="0.2">
      <c r="A170" s="3" t="s">
        <v>25</v>
      </c>
      <c r="C170" s="7">
        <f t="shared" ref="C170:AM170" ca="1" si="187">C167*VLOOKUP($A165,AssVar,3,FALSE)</f>
        <v>0</v>
      </c>
      <c r="D170" s="7">
        <f t="shared" ca="1" si="187"/>
        <v>0</v>
      </c>
      <c r="E170" s="7">
        <f t="shared" ca="1" si="187"/>
        <v>0</v>
      </c>
      <c r="F170" s="7">
        <f t="shared" ca="1" si="187"/>
        <v>0</v>
      </c>
      <c r="G170" s="7">
        <f t="shared" ca="1" si="187"/>
        <v>0</v>
      </c>
      <c r="H170" s="7">
        <f t="shared" ca="1" si="187"/>
        <v>0</v>
      </c>
      <c r="I170" s="7">
        <f t="shared" ca="1" si="187"/>
        <v>0</v>
      </c>
      <c r="J170" s="7">
        <f t="shared" ca="1" si="187"/>
        <v>0</v>
      </c>
      <c r="K170" s="7">
        <f t="shared" ca="1" si="187"/>
        <v>0</v>
      </c>
      <c r="L170" s="7">
        <f t="shared" ca="1" si="187"/>
        <v>0</v>
      </c>
      <c r="M170" s="7">
        <f t="shared" ca="1" si="187"/>
        <v>0</v>
      </c>
      <c r="N170" s="7">
        <f t="shared" ca="1" si="187"/>
        <v>0</v>
      </c>
      <c r="O170" s="7">
        <f t="shared" ca="1" si="187"/>
        <v>0</v>
      </c>
      <c r="P170" s="7">
        <f t="shared" ca="1" si="187"/>
        <v>0</v>
      </c>
      <c r="Q170" s="7">
        <f t="shared" ca="1" si="187"/>
        <v>0</v>
      </c>
      <c r="R170" s="7">
        <f t="shared" ca="1" si="187"/>
        <v>0</v>
      </c>
      <c r="S170" s="7">
        <f t="shared" ca="1" si="187"/>
        <v>0</v>
      </c>
      <c r="T170" s="7">
        <f t="shared" ca="1" si="187"/>
        <v>0</v>
      </c>
      <c r="U170" s="7">
        <f t="shared" ca="1" si="187"/>
        <v>0</v>
      </c>
      <c r="V170" s="7">
        <f t="shared" ca="1" si="187"/>
        <v>0</v>
      </c>
      <c r="W170" s="7">
        <f t="shared" ca="1" si="187"/>
        <v>0</v>
      </c>
      <c r="X170" s="7">
        <f t="shared" ca="1" si="187"/>
        <v>0</v>
      </c>
      <c r="Y170" s="7">
        <f t="shared" ca="1" si="187"/>
        <v>0</v>
      </c>
      <c r="Z170" s="7">
        <f t="shared" ca="1" si="187"/>
        <v>0</v>
      </c>
      <c r="AA170" s="7">
        <f t="shared" ca="1" si="187"/>
        <v>0</v>
      </c>
      <c r="AB170" s="7">
        <f t="shared" ca="1" si="187"/>
        <v>0</v>
      </c>
      <c r="AC170" s="7">
        <f t="shared" ca="1" si="187"/>
        <v>0</v>
      </c>
      <c r="AD170" s="7">
        <f t="shared" ca="1" si="187"/>
        <v>0</v>
      </c>
      <c r="AE170" s="7">
        <f t="shared" ca="1" si="187"/>
        <v>0</v>
      </c>
      <c r="AF170" s="7">
        <f t="shared" ca="1" si="187"/>
        <v>0</v>
      </c>
      <c r="AG170" s="7">
        <f t="shared" ca="1" si="187"/>
        <v>0</v>
      </c>
      <c r="AH170" s="7">
        <f t="shared" ca="1" si="187"/>
        <v>0</v>
      </c>
      <c r="AI170" s="7">
        <f t="shared" ca="1" si="187"/>
        <v>0</v>
      </c>
      <c r="AJ170" s="7">
        <f t="shared" ca="1" si="187"/>
        <v>0</v>
      </c>
      <c r="AK170" s="7">
        <f t="shared" ca="1" si="187"/>
        <v>0</v>
      </c>
      <c r="AL170" s="7">
        <f t="shared" ca="1" si="187"/>
        <v>0</v>
      </c>
      <c r="AM170" s="7">
        <f t="shared" si="187"/>
        <v>0</v>
      </c>
    </row>
    <row r="171" spans="1:39" x14ac:dyDescent="0.2">
      <c r="A171" s="3" t="s">
        <v>30</v>
      </c>
      <c r="C171" s="7">
        <f t="shared" ref="C171:AM171" ca="1" si="188">IFERROR(-IF(C166=0,VLOOKUP($A165,$8:$12,C$1+2,FALSE),0),0)</f>
        <v>0</v>
      </c>
      <c r="D171" s="7">
        <f t="shared" ca="1" si="188"/>
        <v>0</v>
      </c>
      <c r="E171" s="7">
        <f t="shared" ca="1" si="188"/>
        <v>0</v>
      </c>
      <c r="F171" s="7">
        <f t="shared" ca="1" si="188"/>
        <v>0</v>
      </c>
      <c r="G171" s="7">
        <f t="shared" ca="1" si="188"/>
        <v>0</v>
      </c>
      <c r="H171" s="7">
        <f t="shared" ca="1" si="188"/>
        <v>0</v>
      </c>
      <c r="I171" s="7">
        <f t="shared" ca="1" si="188"/>
        <v>0</v>
      </c>
      <c r="J171" s="7">
        <f t="shared" ca="1" si="188"/>
        <v>0</v>
      </c>
      <c r="K171" s="7">
        <f t="shared" ca="1" si="188"/>
        <v>0</v>
      </c>
      <c r="L171" s="7">
        <f t="shared" ca="1" si="188"/>
        <v>0</v>
      </c>
      <c r="M171" s="7">
        <f t="shared" ca="1" si="188"/>
        <v>0</v>
      </c>
      <c r="N171" s="7">
        <f t="shared" ca="1" si="188"/>
        <v>0</v>
      </c>
      <c r="O171" s="7">
        <f t="shared" ca="1" si="188"/>
        <v>0</v>
      </c>
      <c r="P171" s="7">
        <f t="shared" ca="1" si="188"/>
        <v>0</v>
      </c>
      <c r="Q171" s="7">
        <f t="shared" ca="1" si="188"/>
        <v>0</v>
      </c>
      <c r="R171" s="7">
        <f t="shared" ca="1" si="188"/>
        <v>0</v>
      </c>
      <c r="S171" s="7">
        <f t="shared" ca="1" si="188"/>
        <v>0</v>
      </c>
      <c r="T171" s="7">
        <f t="shared" ca="1" si="188"/>
        <v>0</v>
      </c>
      <c r="U171" s="7">
        <f t="shared" ca="1" si="188"/>
        <v>0</v>
      </c>
      <c r="V171" s="7">
        <f t="shared" ca="1" si="188"/>
        <v>0</v>
      </c>
      <c r="W171" s="7">
        <f t="shared" ca="1" si="188"/>
        <v>0</v>
      </c>
      <c r="X171" s="7">
        <f t="shared" ca="1" si="188"/>
        <v>0</v>
      </c>
      <c r="Y171" s="7">
        <f t="shared" ca="1" si="188"/>
        <v>0</v>
      </c>
      <c r="Z171" s="7">
        <f t="shared" ca="1" si="188"/>
        <v>0</v>
      </c>
      <c r="AA171" s="7">
        <f t="shared" ca="1" si="188"/>
        <v>0</v>
      </c>
      <c r="AB171" s="7">
        <f t="shared" ca="1" si="188"/>
        <v>0</v>
      </c>
      <c r="AC171" s="7">
        <f t="shared" ca="1" si="188"/>
        <v>0</v>
      </c>
      <c r="AD171" s="7">
        <f t="shared" ca="1" si="188"/>
        <v>0</v>
      </c>
      <c r="AE171" s="7">
        <f t="shared" ca="1" si="188"/>
        <v>0</v>
      </c>
      <c r="AF171" s="7">
        <f t="shared" ca="1" si="188"/>
        <v>0</v>
      </c>
      <c r="AG171" s="7">
        <f t="shared" ca="1" si="188"/>
        <v>0</v>
      </c>
      <c r="AH171" s="7">
        <f t="shared" ca="1" si="188"/>
        <v>0</v>
      </c>
      <c r="AI171" s="7">
        <f t="shared" ca="1" si="188"/>
        <v>0</v>
      </c>
      <c r="AJ171" s="7">
        <f t="shared" ca="1" si="188"/>
        <v>0</v>
      </c>
      <c r="AK171" s="7">
        <f t="shared" ca="1" si="188"/>
        <v>0</v>
      </c>
      <c r="AL171" s="7">
        <f t="shared" ca="1" si="188"/>
        <v>0</v>
      </c>
      <c r="AM171" s="7">
        <f t="shared" ca="1" si="188"/>
        <v>0</v>
      </c>
    </row>
    <row r="172" spans="1:39" x14ac:dyDescent="0.2">
      <c r="A172" s="3" t="s">
        <v>49</v>
      </c>
      <c r="C172" s="7">
        <f t="shared" ref="C172:AM172" ca="1" si="189">IFERROR(IF(C166=0,VLOOKUP($A165,$46:$50,C$1+2,FALSE),0),0)</f>
        <v>0</v>
      </c>
      <c r="D172" s="7">
        <f t="shared" ca="1" si="189"/>
        <v>0</v>
      </c>
      <c r="E172" s="7">
        <f t="shared" ca="1" si="189"/>
        <v>0</v>
      </c>
      <c r="F172" s="7">
        <f t="shared" ca="1" si="189"/>
        <v>0</v>
      </c>
      <c r="G172" s="7">
        <f t="shared" ca="1" si="189"/>
        <v>0</v>
      </c>
      <c r="H172" s="7">
        <f t="shared" ca="1" si="189"/>
        <v>0</v>
      </c>
      <c r="I172" s="7">
        <f t="shared" ca="1" si="189"/>
        <v>0</v>
      </c>
      <c r="J172" s="7">
        <f t="shared" ca="1" si="189"/>
        <v>0</v>
      </c>
      <c r="K172" s="7">
        <f t="shared" ca="1" si="189"/>
        <v>0</v>
      </c>
      <c r="L172" s="7">
        <f t="shared" ca="1" si="189"/>
        <v>0</v>
      </c>
      <c r="M172" s="7">
        <f t="shared" ca="1" si="189"/>
        <v>0</v>
      </c>
      <c r="N172" s="7">
        <f t="shared" ca="1" si="189"/>
        <v>0</v>
      </c>
      <c r="O172" s="7">
        <f t="shared" ca="1" si="189"/>
        <v>0</v>
      </c>
      <c r="P172" s="7">
        <f t="shared" ca="1" si="189"/>
        <v>0</v>
      </c>
      <c r="Q172" s="7">
        <f t="shared" ca="1" si="189"/>
        <v>0</v>
      </c>
      <c r="R172" s="7">
        <f t="shared" ca="1" si="189"/>
        <v>0</v>
      </c>
      <c r="S172" s="7">
        <f t="shared" ca="1" si="189"/>
        <v>0</v>
      </c>
      <c r="T172" s="7">
        <f t="shared" ca="1" si="189"/>
        <v>0</v>
      </c>
      <c r="U172" s="7">
        <f t="shared" ca="1" si="189"/>
        <v>0</v>
      </c>
      <c r="V172" s="7">
        <f t="shared" ca="1" si="189"/>
        <v>0</v>
      </c>
      <c r="W172" s="7">
        <f t="shared" ca="1" si="189"/>
        <v>0</v>
      </c>
      <c r="X172" s="7">
        <f t="shared" ca="1" si="189"/>
        <v>0</v>
      </c>
      <c r="Y172" s="7">
        <f t="shared" ca="1" si="189"/>
        <v>0</v>
      </c>
      <c r="Z172" s="7">
        <f t="shared" ca="1" si="189"/>
        <v>0</v>
      </c>
      <c r="AA172" s="7">
        <f t="shared" ca="1" si="189"/>
        <v>0</v>
      </c>
      <c r="AB172" s="7">
        <f t="shared" ca="1" si="189"/>
        <v>0</v>
      </c>
      <c r="AC172" s="7">
        <f t="shared" ca="1" si="189"/>
        <v>0</v>
      </c>
      <c r="AD172" s="7">
        <f t="shared" ca="1" si="189"/>
        <v>0</v>
      </c>
      <c r="AE172" s="7">
        <f t="shared" ca="1" si="189"/>
        <v>0</v>
      </c>
      <c r="AF172" s="7">
        <f t="shared" ca="1" si="189"/>
        <v>0</v>
      </c>
      <c r="AG172" s="7">
        <f t="shared" ca="1" si="189"/>
        <v>0</v>
      </c>
      <c r="AH172" s="7">
        <f t="shared" ca="1" si="189"/>
        <v>0</v>
      </c>
      <c r="AI172" s="7">
        <f t="shared" ca="1" si="189"/>
        <v>0</v>
      </c>
      <c r="AJ172" s="7">
        <f t="shared" ca="1" si="189"/>
        <v>0</v>
      </c>
      <c r="AK172" s="7">
        <f t="shared" ca="1" si="189"/>
        <v>0</v>
      </c>
      <c r="AL172" s="7">
        <f t="shared" ca="1" si="189"/>
        <v>0</v>
      </c>
      <c r="AM172" s="7">
        <f t="shared" ca="1" si="189"/>
        <v>0</v>
      </c>
    </row>
    <row r="173" spans="1:39" x14ac:dyDescent="0.2">
      <c r="A173" s="3" t="s">
        <v>35</v>
      </c>
      <c r="B173" s="14" t="str">
        <f>A165</f>
        <v>Gudja</v>
      </c>
      <c r="C173" s="7">
        <f t="shared" ref="C173:AM173" ca="1" si="190">IF(AND(C166&gt;0,C169=0),VLOOKUP($A165,$85:$94,C$1+2,FALSE),0)</f>
        <v>0</v>
      </c>
      <c r="D173" s="7">
        <f t="shared" ca="1" si="190"/>
        <v>0</v>
      </c>
      <c r="E173" s="7">
        <f t="shared" ca="1" si="190"/>
        <v>0</v>
      </c>
      <c r="F173" s="7">
        <f t="shared" ca="1" si="190"/>
        <v>0</v>
      </c>
      <c r="G173" s="7">
        <f t="shared" ca="1" si="190"/>
        <v>0</v>
      </c>
      <c r="H173" s="7">
        <f t="shared" ca="1" si="190"/>
        <v>0</v>
      </c>
      <c r="I173" s="7">
        <f t="shared" ca="1" si="190"/>
        <v>0</v>
      </c>
      <c r="J173" s="7">
        <f t="shared" ca="1" si="190"/>
        <v>0</v>
      </c>
      <c r="K173" s="7">
        <f t="shared" ca="1" si="190"/>
        <v>0</v>
      </c>
      <c r="L173" s="7">
        <f t="shared" ca="1" si="190"/>
        <v>0</v>
      </c>
      <c r="M173" s="7">
        <f t="shared" ca="1" si="190"/>
        <v>0</v>
      </c>
      <c r="N173" s="7">
        <f t="shared" ca="1" si="190"/>
        <v>0</v>
      </c>
      <c r="O173" s="7">
        <f t="shared" ca="1" si="190"/>
        <v>0</v>
      </c>
      <c r="P173" s="7">
        <f t="shared" ca="1" si="190"/>
        <v>0</v>
      </c>
      <c r="Q173" s="7">
        <f t="shared" ca="1" si="190"/>
        <v>0</v>
      </c>
      <c r="R173" s="7">
        <f t="shared" ca="1" si="190"/>
        <v>0</v>
      </c>
      <c r="S173" s="7">
        <f t="shared" ca="1" si="190"/>
        <v>0</v>
      </c>
      <c r="T173" s="7">
        <f t="shared" ca="1" si="190"/>
        <v>0</v>
      </c>
      <c r="U173" s="7">
        <f t="shared" ca="1" si="190"/>
        <v>0</v>
      </c>
      <c r="V173" s="7">
        <f t="shared" ca="1" si="190"/>
        <v>0</v>
      </c>
      <c r="W173" s="7">
        <f t="shared" ca="1" si="190"/>
        <v>0</v>
      </c>
      <c r="X173" s="7">
        <f t="shared" ca="1" si="190"/>
        <v>0</v>
      </c>
      <c r="Y173" s="7">
        <f t="shared" ca="1" si="190"/>
        <v>0</v>
      </c>
      <c r="Z173" s="7">
        <f t="shared" ca="1" si="190"/>
        <v>0</v>
      </c>
      <c r="AA173" s="7">
        <f t="shared" ca="1" si="190"/>
        <v>0</v>
      </c>
      <c r="AB173" s="7">
        <f t="shared" ca="1" si="190"/>
        <v>0</v>
      </c>
      <c r="AC173" s="7">
        <f t="shared" ca="1" si="190"/>
        <v>0</v>
      </c>
      <c r="AD173" s="7">
        <f t="shared" ca="1" si="190"/>
        <v>0</v>
      </c>
      <c r="AE173" s="7">
        <f t="shared" ca="1" si="190"/>
        <v>0</v>
      </c>
      <c r="AF173" s="7">
        <f t="shared" ca="1" si="190"/>
        <v>0</v>
      </c>
      <c r="AG173" s="7">
        <f t="shared" ca="1" si="190"/>
        <v>0</v>
      </c>
      <c r="AH173" s="7">
        <f t="shared" ca="1" si="190"/>
        <v>0</v>
      </c>
      <c r="AI173" s="7">
        <f t="shared" ca="1" si="190"/>
        <v>0</v>
      </c>
      <c r="AJ173" s="7">
        <f t="shared" ca="1" si="190"/>
        <v>0</v>
      </c>
      <c r="AK173" s="7">
        <f t="shared" ca="1" si="190"/>
        <v>0</v>
      </c>
      <c r="AL173" s="7">
        <f t="shared" ca="1" si="190"/>
        <v>0</v>
      </c>
      <c r="AM173" s="7">
        <f t="shared" ca="1" si="190"/>
        <v>0</v>
      </c>
    </row>
    <row r="174" spans="1:39" x14ac:dyDescent="0.2">
      <c r="A174" s="3" t="s">
        <v>36</v>
      </c>
      <c r="C174" s="7">
        <f ca="1">-C167+SUM(C170:C173)</f>
        <v>0</v>
      </c>
      <c r="D174" s="7">
        <f t="shared" ref="D174" ca="1" si="191">-D167+SUM(D170:D173)</f>
        <v>0</v>
      </c>
      <c r="E174" s="7">
        <f t="shared" ref="E174:AM174" ca="1" si="192">-E167+SUM(E170:E173)</f>
        <v>0</v>
      </c>
      <c r="F174" s="7">
        <f t="shared" ca="1" si="192"/>
        <v>0</v>
      </c>
      <c r="G174" s="7">
        <f t="shared" ca="1" si="192"/>
        <v>0</v>
      </c>
      <c r="H174" s="7">
        <f t="shared" ca="1" si="192"/>
        <v>0</v>
      </c>
      <c r="I174" s="7">
        <f t="shared" ca="1" si="192"/>
        <v>0</v>
      </c>
      <c r="J174" s="7">
        <f t="shared" ca="1" si="192"/>
        <v>0</v>
      </c>
      <c r="K174" s="7">
        <f t="shared" ca="1" si="192"/>
        <v>0</v>
      </c>
      <c r="L174" s="7">
        <f t="shared" ca="1" si="192"/>
        <v>0</v>
      </c>
      <c r="M174" s="7">
        <f t="shared" ca="1" si="192"/>
        <v>0</v>
      </c>
      <c r="N174" s="7">
        <f t="shared" ca="1" si="192"/>
        <v>0</v>
      </c>
      <c r="O174" s="7">
        <f t="shared" ca="1" si="192"/>
        <v>0</v>
      </c>
      <c r="P174" s="7">
        <f t="shared" ca="1" si="192"/>
        <v>0</v>
      </c>
      <c r="Q174" s="7">
        <f t="shared" ca="1" si="192"/>
        <v>0</v>
      </c>
      <c r="R174" s="7">
        <f t="shared" ca="1" si="192"/>
        <v>0</v>
      </c>
      <c r="S174" s="7">
        <f t="shared" ca="1" si="192"/>
        <v>0</v>
      </c>
      <c r="T174" s="7">
        <f t="shared" ca="1" si="192"/>
        <v>0</v>
      </c>
      <c r="U174" s="7">
        <f t="shared" ca="1" si="192"/>
        <v>0</v>
      </c>
      <c r="V174" s="7">
        <f t="shared" ca="1" si="192"/>
        <v>0</v>
      </c>
      <c r="W174" s="7">
        <f t="shared" ca="1" si="192"/>
        <v>0</v>
      </c>
      <c r="X174" s="7">
        <f t="shared" ca="1" si="192"/>
        <v>0</v>
      </c>
      <c r="Y174" s="7">
        <f t="shared" ca="1" si="192"/>
        <v>0</v>
      </c>
      <c r="Z174" s="7">
        <f t="shared" ca="1" si="192"/>
        <v>0</v>
      </c>
      <c r="AA174" s="7">
        <f t="shared" ca="1" si="192"/>
        <v>0</v>
      </c>
      <c r="AB174" s="7">
        <f t="shared" ca="1" si="192"/>
        <v>0</v>
      </c>
      <c r="AC174" s="7">
        <f t="shared" ca="1" si="192"/>
        <v>0</v>
      </c>
      <c r="AD174" s="7">
        <f t="shared" ca="1" si="192"/>
        <v>0</v>
      </c>
      <c r="AE174" s="7">
        <f t="shared" ca="1" si="192"/>
        <v>0</v>
      </c>
      <c r="AF174" s="7">
        <f t="shared" ca="1" si="192"/>
        <v>0</v>
      </c>
      <c r="AG174" s="7">
        <f t="shared" ca="1" si="192"/>
        <v>0</v>
      </c>
      <c r="AH174" s="7">
        <f t="shared" ca="1" si="192"/>
        <v>0</v>
      </c>
      <c r="AI174" s="7">
        <f t="shared" ca="1" si="192"/>
        <v>0</v>
      </c>
      <c r="AJ174" s="7">
        <f t="shared" ca="1" si="192"/>
        <v>0</v>
      </c>
      <c r="AK174" s="7">
        <f t="shared" ca="1" si="192"/>
        <v>0</v>
      </c>
      <c r="AL174" s="7">
        <f t="shared" ca="1" si="192"/>
        <v>0</v>
      </c>
      <c r="AM174" s="7">
        <f t="shared" ca="1" si="192"/>
        <v>0</v>
      </c>
    </row>
    <row r="175" spans="1:39" x14ac:dyDescent="0.2">
      <c r="A175" s="3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</row>
    <row r="176" spans="1:39" x14ac:dyDescent="0.2">
      <c r="A176" s="3" t="s">
        <v>70</v>
      </c>
      <c r="C176" s="7">
        <f ca="1">C162+SUM($C174:C174)</f>
        <v>16108.4375</v>
      </c>
      <c r="D176" s="7">
        <f ca="1">D162+SUM($C174:D174)</f>
        <v>30012.145312499997</v>
      </c>
      <c r="E176" s="7">
        <f ca="1">E162+SUM($C174:E174)</f>
        <v>50169.6494140625</v>
      </c>
      <c r="F176" s="7">
        <f ca="1">F162+SUM($C174:F174)</f>
        <v>52227.783801841113</v>
      </c>
      <c r="G176" s="7">
        <f ca="1">G162+SUM($C174:G174)</f>
        <v>250455.15989583102</v>
      </c>
      <c r="H176" s="7">
        <f ca="1">H162+SUM($C174:H174)</f>
        <v>296986.84009098983</v>
      </c>
      <c r="I176" s="7">
        <f ca="1">I162+SUM($C174:I174)</f>
        <v>363754.64435619779</v>
      </c>
      <c r="J176" s="7">
        <f ca="1">J162+SUM($C174:J174)</f>
        <v>435067.93012454931</v>
      </c>
      <c r="K176" s="7">
        <f ca="1">K162+SUM($C174:K174)</f>
        <v>493116.96835998015</v>
      </c>
      <c r="L176" s="7">
        <f ca="1">L162+SUM($C174:L174)</f>
        <v>638212.2751736166</v>
      </c>
      <c r="M176" s="7">
        <f ca="1">M162+SUM($C174:M174)</f>
        <v>695163.71186735749</v>
      </c>
      <c r="N176" s="7">
        <f ca="1">N162+SUM($C174:N174)</f>
        <v>805771.16934020713</v>
      </c>
      <c r="O176" s="7">
        <f ca="1">O162+SUM($C174:O174)</f>
        <v>922222.00124800857</v>
      </c>
      <c r="P176" s="7">
        <f ca="1">P162+SUM($C174:P174)</f>
        <v>1044762.6085180258</v>
      </c>
      <c r="Q176" s="7">
        <f ca="1">Q162+SUM($C174:Q174)</f>
        <v>1173648.7608708572</v>
      </c>
      <c r="R176" s="7">
        <f ca="1">R162+SUM($C174:R174)</f>
        <v>1309145.9322852024</v>
      </c>
      <c r="S176" s="7">
        <f ca="1">S162+SUM($C174:S174)</f>
        <v>1451529.6480111426</v>
      </c>
      <c r="T176" s="7">
        <f ca="1">T162+SUM($C174:T174)</f>
        <v>1491855.4011356728</v>
      </c>
      <c r="U176" s="7">
        <f ca="1">U162+SUM($C174:U174)</f>
        <v>1541415.1978627439</v>
      </c>
      <c r="V176" s="7">
        <f ca="1">V162+SUM($C174:V174)</f>
        <v>1592757.5777099284</v>
      </c>
      <c r="W176" s="7">
        <f ca="1">W162+SUM($C174:W174)</f>
        <v>1645948.7425475621</v>
      </c>
      <c r="X176" s="7">
        <f ca="1">X162+SUM($C174:X174)</f>
        <v>1701057.3316526653</v>
      </c>
      <c r="Y176" s="7">
        <f ca="1">Y162+SUM($C174:Y174)</f>
        <v>1737237.4169653396</v>
      </c>
      <c r="Z176" s="7">
        <f ca="1">Z162+SUM($C174:Z174)</f>
        <v>1774434.0167242812</v>
      </c>
      <c r="AA176" s="7">
        <f ca="1">AA162+SUM($C174:AA174)</f>
        <v>1812684.4017288706</v>
      </c>
      <c r="AB176" s="7">
        <f ca="1">AB162+SUM($C174:AB174)</f>
        <v>1852027.3427258399</v>
      </c>
      <c r="AC176" s="7">
        <f ca="1">AC162+SUM($C174:AC174)</f>
        <v>1892503.1702642585</v>
      </c>
      <c r="AD176" s="7">
        <f ca="1">AD162+SUM($C174:AD174)</f>
        <v>1934153.8368503558</v>
      </c>
      <c r="AE176" s="7">
        <f ca="1">AE162+SUM($C174:AE174)</f>
        <v>1987130.2375195618</v>
      </c>
      <c r="AF176" s="7">
        <f ca="1">AF162+SUM($C174:AF174)</f>
        <v>2041875.8715530399</v>
      </c>
      <c r="AG176" s="7">
        <f ca="1">AG162+SUM($C174:AG174)</f>
        <v>2098456.905652951</v>
      </c>
      <c r="AH176" s="7">
        <f ca="1">AH162+SUM($C174:AH174)</f>
        <v>2156942.0335442415</v>
      </c>
      <c r="AI176" s="7">
        <f ca="1">AI162+SUM($C174:AI174)</f>
        <v>2217402.5707053514</v>
      </c>
      <c r="AJ176" s="7">
        <f ca="1">AJ162+SUM($C174:AJ174)</f>
        <v>2279912.5525480784</v>
      </c>
      <c r="AK176" s="7">
        <f ca="1">AK162+SUM($C174:AK174)</f>
        <v>2344548.8361686133</v>
      </c>
      <c r="AL176" s="7">
        <f ca="1">AL162+SUM($C174:AL174)</f>
        <v>2411391.2057959661</v>
      </c>
      <c r="AM176" s="7">
        <f ca="1">AM162+SUM($C174:AM174)</f>
        <v>2480522.4820683482</v>
      </c>
    </row>
    <row r="177" spans="1:39" x14ac:dyDescent="0.2">
      <c r="A177" s="3" t="s">
        <v>67</v>
      </c>
      <c r="C177" s="7">
        <f t="shared" ref="C177:AM177" ca="1" si="193">MAX(C176+buffer,0)-MAX(C162+buffer,0)</f>
        <v>0</v>
      </c>
      <c r="D177" s="7">
        <f t="shared" ca="1" si="193"/>
        <v>0</v>
      </c>
      <c r="E177" s="7">
        <f t="shared" ca="1" si="193"/>
        <v>0</v>
      </c>
      <c r="F177" s="7">
        <f t="shared" ca="1" si="193"/>
        <v>0</v>
      </c>
      <c r="G177" s="7">
        <f t="shared" ca="1" si="193"/>
        <v>0</v>
      </c>
      <c r="H177" s="7">
        <f t="shared" ca="1" si="193"/>
        <v>0</v>
      </c>
      <c r="I177" s="7">
        <f t="shared" ca="1" si="193"/>
        <v>0</v>
      </c>
      <c r="J177" s="7">
        <f t="shared" ca="1" si="193"/>
        <v>0</v>
      </c>
      <c r="K177" s="7">
        <f t="shared" ca="1" si="193"/>
        <v>0</v>
      </c>
      <c r="L177" s="7">
        <f t="shared" ca="1" si="193"/>
        <v>0</v>
      </c>
      <c r="M177" s="7">
        <f t="shared" ca="1" si="193"/>
        <v>0</v>
      </c>
      <c r="N177" s="7">
        <f t="shared" ca="1" si="193"/>
        <v>0</v>
      </c>
      <c r="O177" s="7">
        <f t="shared" ca="1" si="193"/>
        <v>0</v>
      </c>
      <c r="P177" s="7">
        <f t="shared" ca="1" si="193"/>
        <v>0</v>
      </c>
      <c r="Q177" s="7">
        <f t="shared" ca="1" si="193"/>
        <v>0</v>
      </c>
      <c r="R177" s="7">
        <f t="shared" ca="1" si="193"/>
        <v>0</v>
      </c>
      <c r="S177" s="7">
        <f t="shared" ca="1" si="193"/>
        <v>0</v>
      </c>
      <c r="T177" s="7">
        <f t="shared" ca="1" si="193"/>
        <v>0</v>
      </c>
      <c r="U177" s="7">
        <f t="shared" ca="1" si="193"/>
        <v>0</v>
      </c>
      <c r="V177" s="7">
        <f t="shared" ca="1" si="193"/>
        <v>0</v>
      </c>
      <c r="W177" s="7">
        <f t="shared" ca="1" si="193"/>
        <v>0</v>
      </c>
      <c r="X177" s="7">
        <f t="shared" ca="1" si="193"/>
        <v>0</v>
      </c>
      <c r="Y177" s="7">
        <f t="shared" ca="1" si="193"/>
        <v>0</v>
      </c>
      <c r="Z177" s="7">
        <f t="shared" ca="1" si="193"/>
        <v>0</v>
      </c>
      <c r="AA177" s="7">
        <f t="shared" ca="1" si="193"/>
        <v>0</v>
      </c>
      <c r="AB177" s="7">
        <f t="shared" ca="1" si="193"/>
        <v>0</v>
      </c>
      <c r="AC177" s="7">
        <f t="shared" ca="1" si="193"/>
        <v>0</v>
      </c>
      <c r="AD177" s="7">
        <f t="shared" ca="1" si="193"/>
        <v>0</v>
      </c>
      <c r="AE177" s="7">
        <f t="shared" ca="1" si="193"/>
        <v>0</v>
      </c>
      <c r="AF177" s="7">
        <f t="shared" ca="1" si="193"/>
        <v>0</v>
      </c>
      <c r="AG177" s="7">
        <f t="shared" ca="1" si="193"/>
        <v>0</v>
      </c>
      <c r="AH177" s="7">
        <f t="shared" ca="1" si="193"/>
        <v>0</v>
      </c>
      <c r="AI177" s="7">
        <f t="shared" ca="1" si="193"/>
        <v>0</v>
      </c>
      <c r="AJ177" s="7">
        <f t="shared" ca="1" si="193"/>
        <v>0</v>
      </c>
      <c r="AK177" s="7">
        <f t="shared" ca="1" si="193"/>
        <v>0</v>
      </c>
      <c r="AL177" s="7">
        <f t="shared" ca="1" si="193"/>
        <v>0</v>
      </c>
      <c r="AM177" s="7">
        <f t="shared" ca="1" si="193"/>
        <v>0</v>
      </c>
    </row>
    <row r="178" spans="1:39" x14ac:dyDescent="0.2">
      <c r="A178" s="3" t="s">
        <v>68</v>
      </c>
      <c r="C178" s="7">
        <f ca="1">C177*Inputs!$B$269</f>
        <v>0</v>
      </c>
      <c r="D178" s="7">
        <f ca="1">D177*Inputs!$B$269</f>
        <v>0</v>
      </c>
      <c r="E178" s="7">
        <f ca="1">E177*Inputs!$B$269</f>
        <v>0</v>
      </c>
      <c r="F178" s="7">
        <f ca="1">F177*Inputs!$B$269</f>
        <v>0</v>
      </c>
      <c r="G178" s="7">
        <f ca="1">G177*Inputs!$B$269</f>
        <v>0</v>
      </c>
      <c r="H178" s="7">
        <f ca="1">H177*Inputs!$B$269</f>
        <v>0</v>
      </c>
      <c r="I178" s="7">
        <f ca="1">I177*Inputs!$B$269</f>
        <v>0</v>
      </c>
      <c r="J178" s="7">
        <f ca="1">J177*Inputs!$B$269</f>
        <v>0</v>
      </c>
      <c r="K178" s="7">
        <f ca="1">K177*Inputs!$B$269</f>
        <v>0</v>
      </c>
      <c r="L178" s="7">
        <f ca="1">L177*Inputs!$B$269</f>
        <v>0</v>
      </c>
      <c r="M178" s="7">
        <f ca="1">M177*Inputs!$B$269</f>
        <v>0</v>
      </c>
      <c r="N178" s="7">
        <f ca="1">N177*Inputs!$B$269</f>
        <v>0</v>
      </c>
      <c r="O178" s="7">
        <f ca="1">O177*Inputs!$B$269</f>
        <v>0</v>
      </c>
      <c r="P178" s="7">
        <f ca="1">P177*Inputs!$B$269</f>
        <v>0</v>
      </c>
      <c r="Q178" s="7">
        <f ca="1">Q177*Inputs!$B$269</f>
        <v>0</v>
      </c>
      <c r="R178" s="7">
        <f ca="1">R177*Inputs!$B$269</f>
        <v>0</v>
      </c>
      <c r="S178" s="7">
        <f ca="1">S177*Inputs!$B$269</f>
        <v>0</v>
      </c>
      <c r="T178" s="7">
        <f ca="1">T177*Inputs!$B$269</f>
        <v>0</v>
      </c>
      <c r="U178" s="7">
        <f ca="1">U177*Inputs!$B$269</f>
        <v>0</v>
      </c>
      <c r="V178" s="7">
        <f ca="1">V177*Inputs!$B$269</f>
        <v>0</v>
      </c>
      <c r="W178" s="7">
        <f ca="1">W177*Inputs!$B$269</f>
        <v>0</v>
      </c>
      <c r="X178" s="7">
        <f ca="1">X177*Inputs!$B$269</f>
        <v>0</v>
      </c>
      <c r="Y178" s="7">
        <f ca="1">Y177*Inputs!$B$269</f>
        <v>0</v>
      </c>
      <c r="Z178" s="7">
        <f ca="1">Z177*Inputs!$B$269</f>
        <v>0</v>
      </c>
      <c r="AA178" s="7">
        <f ca="1">AA177*Inputs!$B$269</f>
        <v>0</v>
      </c>
      <c r="AB178" s="7">
        <f ca="1">AB177*Inputs!$B$269</f>
        <v>0</v>
      </c>
      <c r="AC178" s="7">
        <f ca="1">AC177*Inputs!$B$269</f>
        <v>0</v>
      </c>
      <c r="AD178" s="7">
        <f ca="1">AD177*Inputs!$B$269</f>
        <v>0</v>
      </c>
      <c r="AE178" s="7">
        <f ca="1">AE177*Inputs!$B$269</f>
        <v>0</v>
      </c>
      <c r="AF178" s="7">
        <f ca="1">AF177*Inputs!$B$269</f>
        <v>0</v>
      </c>
      <c r="AG178" s="7">
        <f ca="1">AG177*Inputs!$B$269</f>
        <v>0</v>
      </c>
      <c r="AH178" s="7">
        <f ca="1">AH177*Inputs!$B$269</f>
        <v>0</v>
      </c>
      <c r="AI178" s="7">
        <f ca="1">AI177*Inputs!$B$269</f>
        <v>0</v>
      </c>
      <c r="AJ178" s="7">
        <f ca="1">AJ177*Inputs!$B$269</f>
        <v>0</v>
      </c>
      <c r="AK178" s="7">
        <f ca="1">AK177*Inputs!$B$269</f>
        <v>0</v>
      </c>
      <c r="AL178" s="7">
        <f ca="1">AL177*Inputs!$B$269</f>
        <v>0</v>
      </c>
      <c r="AM178" s="7">
        <f ca="1">AM177*Inputs!$B$269</f>
        <v>0</v>
      </c>
    </row>
    <row r="179" spans="1:39" x14ac:dyDescent="0.2">
      <c r="A179" s="3" t="s">
        <v>149</v>
      </c>
      <c r="C179" s="7">
        <f ca="1">C176+SUM($C178:C178)</f>
        <v>16108.4375</v>
      </c>
      <c r="D179" s="7">
        <f ca="1">D176+SUM($C178:D178)</f>
        <v>30012.145312499997</v>
      </c>
      <c r="E179" s="7">
        <f ca="1">E176+SUM($C178:E178)</f>
        <v>50169.6494140625</v>
      </c>
      <c r="F179" s="7">
        <f ca="1">F176+SUM($C178:F178)</f>
        <v>52227.783801841113</v>
      </c>
      <c r="G179" s="7">
        <f ca="1">G176+SUM($C178:G178)</f>
        <v>250455.15989583102</v>
      </c>
      <c r="H179" s="7">
        <f ca="1">H176+SUM($C178:H178)</f>
        <v>296986.84009098983</v>
      </c>
      <c r="I179" s="7">
        <f ca="1">I176+SUM($C178:I178)</f>
        <v>363754.64435619779</v>
      </c>
      <c r="J179" s="7">
        <f ca="1">J176+SUM($C178:J178)</f>
        <v>435067.93012454931</v>
      </c>
      <c r="K179" s="7">
        <f ca="1">K176+SUM($C178:K178)</f>
        <v>493116.96835998015</v>
      </c>
      <c r="L179" s="7">
        <f ca="1">L176+SUM($C178:L178)</f>
        <v>638212.2751736166</v>
      </c>
      <c r="M179" s="7">
        <f ca="1">M176+SUM($C178:M178)</f>
        <v>695163.71186735749</v>
      </c>
      <c r="N179" s="7">
        <f ca="1">N176+SUM($C178:N178)</f>
        <v>805771.16934020713</v>
      </c>
      <c r="O179" s="7">
        <f ca="1">O176+SUM($C178:O178)</f>
        <v>922222.00124800857</v>
      </c>
      <c r="P179" s="7">
        <f ca="1">P176+SUM($C178:P178)</f>
        <v>1044762.6085180258</v>
      </c>
      <c r="Q179" s="7">
        <f ca="1">Q176+SUM($C178:Q178)</f>
        <v>1173648.7608708572</v>
      </c>
      <c r="R179" s="7">
        <f ca="1">R176+SUM($C178:R178)</f>
        <v>1309145.9322852024</v>
      </c>
      <c r="S179" s="7">
        <f ca="1">S176+SUM($C178:S178)</f>
        <v>1451529.6480111426</v>
      </c>
      <c r="T179" s="7">
        <f ca="1">T176+SUM($C178:T178)</f>
        <v>1491855.4011356728</v>
      </c>
      <c r="U179" s="7">
        <f ca="1">U176+SUM($C178:U178)</f>
        <v>1541415.1978627439</v>
      </c>
      <c r="V179" s="7">
        <f ca="1">V176+SUM($C178:V178)</f>
        <v>1592757.5777099284</v>
      </c>
      <c r="W179" s="7">
        <f ca="1">W176+SUM($C178:W178)</f>
        <v>1645948.7425475621</v>
      </c>
      <c r="X179" s="7">
        <f ca="1">X176+SUM($C178:X178)</f>
        <v>1701057.3316526653</v>
      </c>
      <c r="Y179" s="7">
        <f ca="1">Y176+SUM($C178:Y178)</f>
        <v>1737237.4169653396</v>
      </c>
      <c r="Z179" s="7">
        <f ca="1">Z176+SUM($C178:Z178)</f>
        <v>1774434.0167242812</v>
      </c>
      <c r="AA179" s="7">
        <f ca="1">AA176+SUM($C178:AA178)</f>
        <v>1812684.4017288706</v>
      </c>
      <c r="AB179" s="7">
        <f ca="1">AB176+SUM($C178:AB178)</f>
        <v>1852027.3427258399</v>
      </c>
      <c r="AC179" s="7">
        <f ca="1">AC176+SUM($C178:AC178)</f>
        <v>1892503.1702642585</v>
      </c>
      <c r="AD179" s="7">
        <f ca="1">AD176+SUM($C178:AD178)</f>
        <v>1934153.8368503558</v>
      </c>
      <c r="AE179" s="7">
        <f ca="1">AE176+SUM($C178:AE178)</f>
        <v>1987130.2375195618</v>
      </c>
      <c r="AF179" s="7">
        <f ca="1">AF176+SUM($C178:AF178)</f>
        <v>2041875.8715530399</v>
      </c>
      <c r="AG179" s="7">
        <f ca="1">AG176+SUM($C178:AG178)</f>
        <v>2098456.905652951</v>
      </c>
      <c r="AH179" s="7">
        <f ca="1">AH176+SUM($C178:AH178)</f>
        <v>2156942.0335442415</v>
      </c>
      <c r="AI179" s="7">
        <f ca="1">AI176+SUM($C178:AI178)</f>
        <v>2217402.5707053514</v>
      </c>
      <c r="AJ179" s="7">
        <f ca="1">AJ176+SUM($C178:AJ178)</f>
        <v>2279912.5525480784</v>
      </c>
      <c r="AK179" s="7">
        <f ca="1">AK176+SUM($C178:AK178)</f>
        <v>2344548.8361686133</v>
      </c>
      <c r="AL179" s="7">
        <f ca="1">AL176+SUM($C178:AL178)</f>
        <v>2411391.2057959661</v>
      </c>
      <c r="AM179" s="7">
        <f ca="1">AM176+SUM($C178:AM178)</f>
        <v>2480522.4820683482</v>
      </c>
    </row>
    <row r="180" spans="1:39" x14ac:dyDescent="0.2">
      <c r="A180" s="3" t="s">
        <v>19</v>
      </c>
      <c r="C180" s="7">
        <f ca="1">IF(C179&lt;0,-C179,0)</f>
        <v>0</v>
      </c>
      <c r="D180" s="7">
        <f ca="1">IF(D179+SUM($C180:C180)&lt;0,-(D179+SUM($C180:C180)),0)</f>
        <v>0</v>
      </c>
      <c r="E180" s="7">
        <f ca="1">IF(E179+SUM($C180:D180)&lt;0,-(E179+SUM($C180:D180)),0)</f>
        <v>0</v>
      </c>
      <c r="F180" s="7">
        <f ca="1">IF(F179+SUM($C180:E180)&lt;0,-(F179+SUM($C180:E180)),0)</f>
        <v>0</v>
      </c>
      <c r="G180" s="7">
        <f ca="1">IF(G179+SUM($C180:F180)&lt;0,-(G179+SUM($C180:F180)),0)</f>
        <v>0</v>
      </c>
      <c r="H180" s="7">
        <f ca="1">IF(H179+SUM($C180:G180)&lt;0,-(H179+SUM($C180:G180)),0)</f>
        <v>0</v>
      </c>
      <c r="I180" s="7">
        <f ca="1">IF(I179+SUM($C180:H180)&lt;0,-(I179+SUM($C180:H180)),0)</f>
        <v>0</v>
      </c>
      <c r="J180" s="7">
        <f ca="1">IF(J179+SUM($C180:I180)&lt;0,-(J179+SUM($C180:I180)),0)</f>
        <v>0</v>
      </c>
      <c r="K180" s="7">
        <f ca="1">IF(K179+SUM($C180:J180)&lt;0,-(K179+SUM($C180:J180)),0)</f>
        <v>0</v>
      </c>
      <c r="L180" s="7">
        <f ca="1">IF(L179+SUM($C180:K180)&lt;0,-(L179+SUM($C180:K180)),0)</f>
        <v>0</v>
      </c>
      <c r="M180" s="7">
        <f ca="1">IF(M179+SUM($C180:L180)&lt;0,-(M179+SUM($C180:L180)),0)</f>
        <v>0</v>
      </c>
      <c r="N180" s="7">
        <f ca="1">IF(N179+SUM($C180:M180)&lt;0,-(N179+SUM($C180:M180)),0)</f>
        <v>0</v>
      </c>
      <c r="O180" s="7">
        <f ca="1">IF(O179+SUM($C180:N180)&lt;0,-(O179+SUM($C180:N180)),0)</f>
        <v>0</v>
      </c>
      <c r="P180" s="7">
        <f ca="1">IF(P179+SUM($C180:O180)&lt;0,-(P179+SUM($C180:O180)),0)</f>
        <v>0</v>
      </c>
      <c r="Q180" s="7">
        <f ca="1">IF(Q179+SUM($C180:P180)&lt;0,-(Q179+SUM($C180:P180)),0)</f>
        <v>0</v>
      </c>
      <c r="R180" s="7">
        <f ca="1">IF(R179+SUM($C180:Q180)&lt;0,-(R179+SUM($C180:Q180)),0)</f>
        <v>0</v>
      </c>
      <c r="S180" s="7">
        <f ca="1">IF(S179+SUM($C180:R180)&lt;0,-(S179+SUM($C180:R180)),0)</f>
        <v>0</v>
      </c>
      <c r="T180" s="7">
        <f ca="1">IF(T179+SUM($C180:S180)&lt;0,-(T179+SUM($C180:S180)),0)</f>
        <v>0</v>
      </c>
      <c r="U180" s="7">
        <f ca="1">IF(U179+SUM($C180:T180)&lt;0,-(U179+SUM($C180:T180)),0)</f>
        <v>0</v>
      </c>
      <c r="V180" s="7">
        <f ca="1">IF(V179+SUM($C180:U180)&lt;0,-(V179+SUM($C180:U180)),0)</f>
        <v>0</v>
      </c>
      <c r="W180" s="7">
        <f ca="1">IF(W179+SUM($C180:V180)&lt;0,-(W179+SUM($C180:V180)),0)</f>
        <v>0</v>
      </c>
      <c r="X180" s="7">
        <f ca="1">IF(X179+SUM($C180:W180)&lt;0,-(X179+SUM($C180:W180)),0)</f>
        <v>0</v>
      </c>
      <c r="Y180" s="7">
        <f ca="1">IF(Y179+SUM($C180:X180)&lt;0,-(Y179+SUM($C180:X180)),0)</f>
        <v>0</v>
      </c>
      <c r="Z180" s="7">
        <f ca="1">IF(Z179+SUM($C180:Y180)&lt;0,-(Z179+SUM($C180:Y180)),0)</f>
        <v>0</v>
      </c>
      <c r="AA180" s="7">
        <f ca="1">IF(AA179+SUM($C180:Z180)&lt;0,-(AA179+SUM($C180:Z180)),0)</f>
        <v>0</v>
      </c>
      <c r="AB180" s="7">
        <f ca="1">IF(AB179+SUM($C180:AA180)&lt;0,-(AB179+SUM($C180:AA180)),0)</f>
        <v>0</v>
      </c>
      <c r="AC180" s="7">
        <f ca="1">IF(AC179+SUM($C180:AB180)&lt;0,-(AC179+SUM($C180:AB180)),0)</f>
        <v>0</v>
      </c>
      <c r="AD180" s="7">
        <f ca="1">IF(AD179+SUM($C180:AC180)&lt;0,-(AD179+SUM($C180:AC180)),0)</f>
        <v>0</v>
      </c>
      <c r="AE180" s="7">
        <f ca="1">IF(AE179+SUM($C180:AD180)&lt;0,-(AE179+SUM($C180:AD180)),0)</f>
        <v>0</v>
      </c>
      <c r="AF180" s="7">
        <f ca="1">IF(AF179+SUM($C180:AE180)&lt;0,-(AF179+SUM($C180:AE180)),0)</f>
        <v>0</v>
      </c>
      <c r="AG180" s="7">
        <f ca="1">IF(AG179+SUM($C180:AF180)&lt;0,-(AG179+SUM($C180:AF180)),0)</f>
        <v>0</v>
      </c>
      <c r="AH180" s="7">
        <f ca="1">IF(AH179+SUM($C180:AG180)&lt;0,-(AH179+SUM($C180:AG180)),0)</f>
        <v>0</v>
      </c>
      <c r="AI180" s="7">
        <f ca="1">IF(AI179+SUM($C180:AH180)&lt;0,-(AI179+SUM($C180:AH180)),0)</f>
        <v>0</v>
      </c>
      <c r="AJ180" s="7">
        <f ca="1">IF(AJ179+SUM($C180:AI180)&lt;0,-(AJ179+SUM($C180:AI180)),0)</f>
        <v>0</v>
      </c>
      <c r="AK180" s="7">
        <f ca="1">IF(AK179+SUM($C180:AJ180)&lt;0,-(AK179+SUM($C180:AJ180)),0)</f>
        <v>0</v>
      </c>
      <c r="AL180" s="7">
        <f ca="1">IF(AL179+SUM($C180:AK180)&lt;0,-(AL179+SUM($C180:AK180)),0)</f>
        <v>0</v>
      </c>
      <c r="AM180" s="7">
        <f ca="1">IF(AM179+SUM($C180:AL180)&lt;0,-(AM179+SUM($C180:AL180)),0)</f>
        <v>0</v>
      </c>
    </row>
    <row r="181" spans="1:39" x14ac:dyDescent="0.2"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</row>
    <row r="182" spans="1:39" x14ac:dyDescent="0.2">
      <c r="A182" s="24" t="str">
        <f>IF(Inputs!$B$289=6,IFERROR(_xlfn.XLOOKUP($B182,Inputs!$B$290:$B$299,Inputs!$A$290:$A$299,,0,1),""),IFERROR(_xlfn.XLOOKUP($B182,Inputs!$C$290:$C$299,Inputs!$A$290:$A$299,,0,1),""))</f>
        <v>Antiques</v>
      </c>
      <c r="B182" s="26">
        <v>5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</row>
    <row r="183" spans="1:39" x14ac:dyDescent="0.2">
      <c r="A183" s="3" t="s">
        <v>21</v>
      </c>
      <c r="C183" s="7">
        <f ca="1">IFERROR(VLOOKUP($A182,$A$67:$H$96,C$1+2,FALSE),0)</f>
        <v>83226.9503404141</v>
      </c>
      <c r="D183" s="7">
        <f ca="1">C186</f>
        <v>83226.9503404141</v>
      </c>
      <c r="E183" s="7">
        <f t="shared" ref="E183" ca="1" si="194">D186</f>
        <v>84891.489347222378</v>
      </c>
      <c r="F183" s="7">
        <f t="shared" ref="F183" ca="1" si="195">E186</f>
        <v>86589.319134166828</v>
      </c>
      <c r="G183" s="7">
        <f t="shared" ref="G183" ca="1" si="196">F186</f>
        <v>88321.105516850163</v>
      </c>
      <c r="H183" s="7">
        <f t="shared" ref="H183" ca="1" si="197">G186</f>
        <v>90087.52762718717</v>
      </c>
      <c r="I183" s="7">
        <f t="shared" ref="I183" ca="1" si="198">H186</f>
        <v>91889.278179730914</v>
      </c>
      <c r="J183" s="7">
        <f t="shared" ref="J183" ca="1" si="199">I186</f>
        <v>93727.063743325532</v>
      </c>
      <c r="K183" s="7">
        <f t="shared" ref="K183" ca="1" si="200">J186</f>
        <v>95601.605018192044</v>
      </c>
      <c r="L183" s="7">
        <f t="shared" ref="L183" ca="1" si="201">K186</f>
        <v>97513.637118555882</v>
      </c>
      <c r="M183" s="7">
        <f t="shared" ref="M183" ca="1" si="202">L186</f>
        <v>99463.909860927</v>
      </c>
      <c r="N183" s="7">
        <f t="shared" ref="N183" ca="1" si="203">M186</f>
        <v>101453.18805814553</v>
      </c>
      <c r="O183" s="7">
        <f t="shared" ref="O183" ca="1" si="204">N186</f>
        <v>103482.25181930844</v>
      </c>
      <c r="P183" s="7">
        <f t="shared" ref="P183" ca="1" si="205">O186</f>
        <v>105551.89685569461</v>
      </c>
      <c r="Q183" s="7">
        <f t="shared" ref="Q183" ca="1" si="206">P186</f>
        <v>107662.9347928085</v>
      </c>
      <c r="R183" s="7">
        <f t="shared" ref="R183" ca="1" si="207">Q186</f>
        <v>109816.19348866468</v>
      </c>
      <c r="S183" s="7">
        <f t="shared" ref="S183" ca="1" si="208">R186</f>
        <v>112012.51735843797</v>
      </c>
      <c r="T183" s="7">
        <f t="shared" ref="T183" ca="1" si="209">S186</f>
        <v>114252.76770560672</v>
      </c>
      <c r="U183" s="7">
        <f t="shared" ref="U183" ca="1" si="210">T186</f>
        <v>116537.82305971885</v>
      </c>
      <c r="V183" s="7">
        <f t="shared" ref="V183" ca="1" si="211">U186</f>
        <v>118868.57952091323</v>
      </c>
      <c r="W183" s="7">
        <f t="shared" ref="W183" ca="1" si="212">V186</f>
        <v>121245.95111133149</v>
      </c>
      <c r="X183" s="7">
        <f t="shared" ref="X183" ca="1" si="213">W186</f>
        <v>123670.87013355813</v>
      </c>
      <c r="Y183" s="7">
        <f t="shared" ref="Y183" ca="1" si="214">X186</f>
        <v>126144.2875362293</v>
      </c>
      <c r="Z183" s="7">
        <f t="shared" ref="Z183" ca="1" si="215">Y186</f>
        <v>128667.17328695388</v>
      </c>
      <c r="AA183" s="7">
        <f t="shared" ref="AA183" ca="1" si="216">Z186</f>
        <v>131240.51675269296</v>
      </c>
      <c r="AB183" s="7">
        <f t="shared" ref="AB183" ca="1" si="217">AA186</f>
        <v>133865.32708774682</v>
      </c>
      <c r="AC183" s="7">
        <f t="shared" ref="AC183" ca="1" si="218">AB186</f>
        <v>136542.63362950174</v>
      </c>
      <c r="AD183" s="7">
        <f t="shared" ref="AD183" ca="1" si="219">AC186</f>
        <v>139273.48630209177</v>
      </c>
      <c r="AE183" s="7">
        <f t="shared" ref="AE183" ca="1" si="220">AD186</f>
        <v>142058.9560281336</v>
      </c>
      <c r="AF183" s="7">
        <f t="shared" ref="AF183" ca="1" si="221">AE186</f>
        <v>144900.13514869628</v>
      </c>
      <c r="AG183" s="7">
        <f t="shared" ref="AG183" ca="1" si="222">AF186</f>
        <v>147798.13785167021</v>
      </c>
      <c r="AH183" s="7">
        <f t="shared" ref="AH183" ca="1" si="223">AG186</f>
        <v>150754.10060870362</v>
      </c>
      <c r="AI183" s="7">
        <f t="shared" ref="AI183" ca="1" si="224">AH186</f>
        <v>153769.18262087769</v>
      </c>
      <c r="AJ183" s="7">
        <f t="shared" ref="AJ183" ca="1" si="225">AI186</f>
        <v>156844.56627329523</v>
      </c>
      <c r="AK183" s="7">
        <f t="shared" ref="AK183" ca="1" si="226">AJ186</f>
        <v>159981.45759876113</v>
      </c>
      <c r="AL183" s="7">
        <f t="shared" ref="AL183" ca="1" si="227">AK186</f>
        <v>163181.08675073634</v>
      </c>
      <c r="AM183" s="7">
        <f t="shared" ref="AM183" ca="1" si="228">AL186</f>
        <v>166444.70848575106</v>
      </c>
    </row>
    <row r="184" spans="1:39" x14ac:dyDescent="0.2">
      <c r="A184" s="3" t="s">
        <v>22</v>
      </c>
      <c r="C184" s="7">
        <f ca="1">-IF(D180&gt;0,C183,0)</f>
        <v>0</v>
      </c>
      <c r="D184" s="7">
        <f ca="1">-IF(E180&gt;0,D183,0)</f>
        <v>0</v>
      </c>
      <c r="E184" s="7">
        <f ca="1">-IF(F180&gt;0,E183,0)</f>
        <v>0</v>
      </c>
      <c r="F184" s="7">
        <f ca="1">-IF(G180&gt;0,F183,0)</f>
        <v>0</v>
      </c>
      <c r="G184" s="7">
        <f t="shared" ref="G184" ca="1" si="229">-IF(H180&gt;0,G183,0)</f>
        <v>0</v>
      </c>
      <c r="H184" s="7">
        <f t="shared" ref="H184" ca="1" si="230">-IF(I180&gt;0,H183,0)</f>
        <v>0</v>
      </c>
      <c r="I184" s="7">
        <f t="shared" ref="I184" ca="1" si="231">-IF(J180&gt;0,I183,0)</f>
        <v>0</v>
      </c>
      <c r="J184" s="7">
        <f t="shared" ref="J184" ca="1" si="232">-IF(K180&gt;0,J183,0)</f>
        <v>0</v>
      </c>
      <c r="K184" s="7">
        <f t="shared" ref="K184" ca="1" si="233">-IF(L180&gt;0,K183,0)</f>
        <v>0</v>
      </c>
      <c r="L184" s="7">
        <f t="shared" ref="L184" ca="1" si="234">-IF(M180&gt;0,L183,0)</f>
        <v>0</v>
      </c>
      <c r="M184" s="7">
        <f t="shared" ref="M184" ca="1" si="235">-IF(N180&gt;0,M183,0)</f>
        <v>0</v>
      </c>
      <c r="N184" s="7">
        <f t="shared" ref="N184" ca="1" si="236">-IF(O180&gt;0,N183,0)</f>
        <v>0</v>
      </c>
      <c r="O184" s="7">
        <f t="shared" ref="O184" ca="1" si="237">-IF(P180&gt;0,O183,0)</f>
        <v>0</v>
      </c>
      <c r="P184" s="7">
        <f t="shared" ref="P184" ca="1" si="238">-IF(Q180&gt;0,P183,0)</f>
        <v>0</v>
      </c>
      <c r="Q184" s="7">
        <f t="shared" ref="Q184" ca="1" si="239">-IF(R180&gt;0,Q183,0)</f>
        <v>0</v>
      </c>
      <c r="R184" s="7">
        <f t="shared" ref="R184" ca="1" si="240">-IF(S180&gt;0,R183,0)</f>
        <v>0</v>
      </c>
      <c r="S184" s="7">
        <f t="shared" ref="S184" ca="1" si="241">-IF(T180&gt;0,S183,0)</f>
        <v>0</v>
      </c>
      <c r="T184" s="7">
        <f t="shared" ref="T184" ca="1" si="242">-IF(U180&gt;0,T183,0)</f>
        <v>0</v>
      </c>
      <c r="U184" s="7">
        <f t="shared" ref="U184" ca="1" si="243">-IF(V180&gt;0,U183,0)</f>
        <v>0</v>
      </c>
      <c r="V184" s="7">
        <f t="shared" ref="V184" ca="1" si="244">-IF(W180&gt;0,V183,0)</f>
        <v>0</v>
      </c>
      <c r="W184" s="7">
        <f t="shared" ref="W184" ca="1" si="245">-IF(X180&gt;0,W183,0)</f>
        <v>0</v>
      </c>
      <c r="X184" s="7">
        <f t="shared" ref="X184" ca="1" si="246">-IF(Y180&gt;0,X183,0)</f>
        <v>0</v>
      </c>
      <c r="Y184" s="7">
        <f t="shared" ref="Y184" ca="1" si="247">-IF(Z180&gt;0,Y183,0)</f>
        <v>0</v>
      </c>
      <c r="Z184" s="7">
        <f t="shared" ref="Z184" ca="1" si="248">-IF(AA180&gt;0,Z183,0)</f>
        <v>0</v>
      </c>
      <c r="AA184" s="7">
        <f t="shared" ref="AA184" ca="1" si="249">-IF(AB180&gt;0,AA183,0)</f>
        <v>0</v>
      </c>
      <c r="AB184" s="7">
        <f t="shared" ref="AB184" ca="1" si="250">-IF(AC180&gt;0,AB183,0)</f>
        <v>0</v>
      </c>
      <c r="AC184" s="7">
        <f t="shared" ref="AC184" ca="1" si="251">-IF(AD180&gt;0,AC183,0)</f>
        <v>0</v>
      </c>
      <c r="AD184" s="7">
        <f t="shared" ref="AD184" ca="1" si="252">-IF(AE180&gt;0,AD183,0)</f>
        <v>0</v>
      </c>
      <c r="AE184" s="7">
        <f t="shared" ref="AE184" ca="1" si="253">-IF(AF180&gt;0,AE183,0)</f>
        <v>0</v>
      </c>
      <c r="AF184" s="7">
        <f t="shared" ref="AF184" ca="1" si="254">-IF(AG180&gt;0,AF183,0)</f>
        <v>0</v>
      </c>
      <c r="AG184" s="7">
        <f t="shared" ref="AG184" ca="1" si="255">-IF(AH180&gt;0,AG183,0)</f>
        <v>0</v>
      </c>
      <c r="AH184" s="7">
        <f t="shared" ref="AH184" ca="1" si="256">-IF(AI180&gt;0,AH183,0)</f>
        <v>0</v>
      </c>
      <c r="AI184" s="7">
        <f t="shared" ref="AI184" ca="1" si="257">-IF(AJ180&gt;0,AI183,0)</f>
        <v>0</v>
      </c>
      <c r="AJ184" s="7">
        <f t="shared" ref="AJ184" ca="1" si="258">-IF(AK180&gt;0,AJ183,0)</f>
        <v>0</v>
      </c>
      <c r="AK184" s="7">
        <f t="shared" ref="AK184" ca="1" si="259">-IF(AL180&gt;0,AK183,0)</f>
        <v>0</v>
      </c>
      <c r="AL184" s="7">
        <f t="shared" ref="AL184" ca="1" si="260">-IF(AM180&gt;0,AL183,0)</f>
        <v>0</v>
      </c>
      <c r="AM184" s="7">
        <f t="shared" ref="AM184" si="261">-IF(AN180&gt;0,AM183,0)</f>
        <v>0</v>
      </c>
    </row>
    <row r="185" spans="1:39" x14ac:dyDescent="0.2">
      <c r="A185" s="3" t="s">
        <v>23</v>
      </c>
      <c r="C185" s="7">
        <v>0</v>
      </c>
      <c r="D185" s="7">
        <f t="shared" ref="D185:AM185" ca="1" si="262">SUM(D183:D184)*VLOOKUP($A182,AssVar,2,FALSE)</f>
        <v>1664.539006808282</v>
      </c>
      <c r="E185" s="7">
        <f t="shared" ca="1" si="262"/>
        <v>1697.8297869444475</v>
      </c>
      <c r="F185" s="7">
        <f t="shared" ca="1" si="262"/>
        <v>1731.7863826833366</v>
      </c>
      <c r="G185" s="7">
        <f t="shared" ca="1" si="262"/>
        <v>1766.4221103370032</v>
      </c>
      <c r="H185" s="7">
        <f t="shared" ca="1" si="262"/>
        <v>1801.7505525437434</v>
      </c>
      <c r="I185" s="7">
        <f t="shared" ca="1" si="262"/>
        <v>1837.7855635946182</v>
      </c>
      <c r="J185" s="7">
        <f t="shared" ca="1" si="262"/>
        <v>1874.5412748665108</v>
      </c>
      <c r="K185" s="7">
        <f t="shared" ca="1" si="262"/>
        <v>1912.032100363841</v>
      </c>
      <c r="L185" s="7">
        <f t="shared" ca="1" si="262"/>
        <v>1950.2727423711176</v>
      </c>
      <c r="M185" s="7">
        <f t="shared" ca="1" si="262"/>
        <v>1989.2781972185401</v>
      </c>
      <c r="N185" s="7">
        <f t="shared" ca="1" si="262"/>
        <v>2029.0637611629106</v>
      </c>
      <c r="O185" s="7">
        <f t="shared" ca="1" si="262"/>
        <v>2069.6450363861686</v>
      </c>
      <c r="P185" s="7">
        <f t="shared" ca="1" si="262"/>
        <v>2111.037937113892</v>
      </c>
      <c r="Q185" s="7">
        <f t="shared" ca="1" si="262"/>
        <v>2153.2586958561701</v>
      </c>
      <c r="R185" s="7">
        <f t="shared" ca="1" si="262"/>
        <v>2196.3238697732936</v>
      </c>
      <c r="S185" s="7">
        <f t="shared" ca="1" si="262"/>
        <v>2240.2503471687592</v>
      </c>
      <c r="T185" s="7">
        <f t="shared" ca="1" si="262"/>
        <v>2285.0553541121344</v>
      </c>
      <c r="U185" s="7">
        <f t="shared" ca="1" si="262"/>
        <v>2330.7564611943772</v>
      </c>
      <c r="V185" s="7">
        <f t="shared" ca="1" si="262"/>
        <v>2377.3715904182645</v>
      </c>
      <c r="W185" s="7">
        <f t="shared" ca="1" si="262"/>
        <v>2424.9190222266297</v>
      </c>
      <c r="X185" s="7">
        <f t="shared" ca="1" si="262"/>
        <v>2473.4174026711626</v>
      </c>
      <c r="Y185" s="7">
        <f t="shared" ca="1" si="262"/>
        <v>2522.8857507245862</v>
      </c>
      <c r="Z185" s="7">
        <f t="shared" ca="1" si="262"/>
        <v>2573.3434657390776</v>
      </c>
      <c r="AA185" s="7">
        <f t="shared" ca="1" si="262"/>
        <v>2624.810335053859</v>
      </c>
      <c r="AB185" s="7">
        <f t="shared" ca="1" si="262"/>
        <v>2677.3065417549365</v>
      </c>
      <c r="AC185" s="7">
        <f t="shared" ca="1" si="262"/>
        <v>2730.8526725900347</v>
      </c>
      <c r="AD185" s="7">
        <f t="shared" ca="1" si="262"/>
        <v>2785.4697260418357</v>
      </c>
      <c r="AE185" s="7">
        <f t="shared" ca="1" si="262"/>
        <v>2841.1791205626719</v>
      </c>
      <c r="AF185" s="7">
        <f t="shared" ca="1" si="262"/>
        <v>2898.0027029739258</v>
      </c>
      <c r="AG185" s="7">
        <f t="shared" ca="1" si="262"/>
        <v>2955.9627570334042</v>
      </c>
      <c r="AH185" s="7">
        <f t="shared" ca="1" si="262"/>
        <v>3015.0820121740726</v>
      </c>
      <c r="AI185" s="7">
        <f t="shared" ca="1" si="262"/>
        <v>3075.383652417554</v>
      </c>
      <c r="AJ185" s="7">
        <f t="shared" ca="1" si="262"/>
        <v>3136.8913254659046</v>
      </c>
      <c r="AK185" s="7">
        <f t="shared" ca="1" si="262"/>
        <v>3199.6291519752226</v>
      </c>
      <c r="AL185" s="7">
        <f t="shared" ca="1" si="262"/>
        <v>3263.6217350147272</v>
      </c>
      <c r="AM185" s="7">
        <f t="shared" ca="1" si="262"/>
        <v>3328.8941697150212</v>
      </c>
    </row>
    <row r="186" spans="1:39" x14ac:dyDescent="0.2">
      <c r="A186" s="3" t="s">
        <v>24</v>
      </c>
      <c r="C186" s="7">
        <f ca="1">SUM(C183:C185)</f>
        <v>83226.9503404141</v>
      </c>
      <c r="D186" s="7">
        <f t="shared" ref="D186:AM186" ca="1" si="263">SUM(D183:D185)</f>
        <v>84891.489347222378</v>
      </c>
      <c r="E186" s="7">
        <f t="shared" ca="1" si="263"/>
        <v>86589.319134166828</v>
      </c>
      <c r="F186" s="7">
        <f t="shared" ca="1" si="263"/>
        <v>88321.105516850163</v>
      </c>
      <c r="G186" s="7">
        <f t="shared" ca="1" si="263"/>
        <v>90087.52762718717</v>
      </c>
      <c r="H186" s="7">
        <f t="shared" ca="1" si="263"/>
        <v>91889.278179730914</v>
      </c>
      <c r="I186" s="7">
        <f t="shared" ca="1" si="263"/>
        <v>93727.063743325532</v>
      </c>
      <c r="J186" s="7">
        <f t="shared" ca="1" si="263"/>
        <v>95601.605018192044</v>
      </c>
      <c r="K186" s="7">
        <f t="shared" ca="1" si="263"/>
        <v>97513.637118555882</v>
      </c>
      <c r="L186" s="7">
        <f t="shared" ca="1" si="263"/>
        <v>99463.909860927</v>
      </c>
      <c r="M186" s="7">
        <f t="shared" ca="1" si="263"/>
        <v>101453.18805814553</v>
      </c>
      <c r="N186" s="7">
        <f t="shared" ca="1" si="263"/>
        <v>103482.25181930844</v>
      </c>
      <c r="O186" s="7">
        <f t="shared" ca="1" si="263"/>
        <v>105551.89685569461</v>
      </c>
      <c r="P186" s="7">
        <f t="shared" ca="1" si="263"/>
        <v>107662.9347928085</v>
      </c>
      <c r="Q186" s="7">
        <f t="shared" ca="1" si="263"/>
        <v>109816.19348866468</v>
      </c>
      <c r="R186" s="7">
        <f t="shared" ca="1" si="263"/>
        <v>112012.51735843797</v>
      </c>
      <c r="S186" s="7">
        <f t="shared" ca="1" si="263"/>
        <v>114252.76770560672</v>
      </c>
      <c r="T186" s="7">
        <f t="shared" ca="1" si="263"/>
        <v>116537.82305971885</v>
      </c>
      <c r="U186" s="7">
        <f t="shared" ca="1" si="263"/>
        <v>118868.57952091323</v>
      </c>
      <c r="V186" s="7">
        <f t="shared" ca="1" si="263"/>
        <v>121245.95111133149</v>
      </c>
      <c r="W186" s="7">
        <f t="shared" ca="1" si="263"/>
        <v>123670.87013355813</v>
      </c>
      <c r="X186" s="7">
        <f t="shared" ca="1" si="263"/>
        <v>126144.2875362293</v>
      </c>
      <c r="Y186" s="7">
        <f t="shared" ca="1" si="263"/>
        <v>128667.17328695388</v>
      </c>
      <c r="Z186" s="7">
        <f t="shared" ca="1" si="263"/>
        <v>131240.51675269296</v>
      </c>
      <c r="AA186" s="7">
        <f t="shared" ca="1" si="263"/>
        <v>133865.32708774682</v>
      </c>
      <c r="AB186" s="7">
        <f t="shared" ca="1" si="263"/>
        <v>136542.63362950174</v>
      </c>
      <c r="AC186" s="7">
        <f t="shared" ca="1" si="263"/>
        <v>139273.48630209177</v>
      </c>
      <c r="AD186" s="7">
        <f t="shared" ca="1" si="263"/>
        <v>142058.9560281336</v>
      </c>
      <c r="AE186" s="7">
        <f t="shared" ca="1" si="263"/>
        <v>144900.13514869628</v>
      </c>
      <c r="AF186" s="7">
        <f t="shared" ca="1" si="263"/>
        <v>147798.13785167021</v>
      </c>
      <c r="AG186" s="7">
        <f t="shared" ca="1" si="263"/>
        <v>150754.10060870362</v>
      </c>
      <c r="AH186" s="7">
        <f t="shared" ca="1" si="263"/>
        <v>153769.18262087769</v>
      </c>
      <c r="AI186" s="7">
        <f t="shared" ca="1" si="263"/>
        <v>156844.56627329523</v>
      </c>
      <c r="AJ186" s="7">
        <f t="shared" ca="1" si="263"/>
        <v>159981.45759876113</v>
      </c>
      <c r="AK186" s="7">
        <f t="shared" ca="1" si="263"/>
        <v>163181.08675073634</v>
      </c>
      <c r="AL186" s="7">
        <f t="shared" ca="1" si="263"/>
        <v>166444.70848575106</v>
      </c>
      <c r="AM186" s="7">
        <f t="shared" ca="1" si="263"/>
        <v>169773.60265546609</v>
      </c>
    </row>
    <row r="187" spans="1:39" x14ac:dyDescent="0.2">
      <c r="A187" s="3" t="s">
        <v>25</v>
      </c>
      <c r="C187" s="7">
        <f t="shared" ref="C187:AM187" ca="1" si="264">C184*VLOOKUP($A182,AssVar,3,FALSE)</f>
        <v>0</v>
      </c>
      <c r="D187" s="7">
        <f t="shared" ca="1" si="264"/>
        <v>0</v>
      </c>
      <c r="E187" s="7">
        <f t="shared" ca="1" si="264"/>
        <v>0</v>
      </c>
      <c r="F187" s="7">
        <f t="shared" ca="1" si="264"/>
        <v>0</v>
      </c>
      <c r="G187" s="7">
        <f t="shared" ca="1" si="264"/>
        <v>0</v>
      </c>
      <c r="H187" s="7">
        <f t="shared" ca="1" si="264"/>
        <v>0</v>
      </c>
      <c r="I187" s="7">
        <f t="shared" ca="1" si="264"/>
        <v>0</v>
      </c>
      <c r="J187" s="7">
        <f t="shared" ca="1" si="264"/>
        <v>0</v>
      </c>
      <c r="K187" s="7">
        <f t="shared" ca="1" si="264"/>
        <v>0</v>
      </c>
      <c r="L187" s="7">
        <f t="shared" ca="1" si="264"/>
        <v>0</v>
      </c>
      <c r="M187" s="7">
        <f t="shared" ca="1" si="264"/>
        <v>0</v>
      </c>
      <c r="N187" s="7">
        <f t="shared" ca="1" si="264"/>
        <v>0</v>
      </c>
      <c r="O187" s="7">
        <f t="shared" ca="1" si="264"/>
        <v>0</v>
      </c>
      <c r="P187" s="7">
        <f t="shared" ca="1" si="264"/>
        <v>0</v>
      </c>
      <c r="Q187" s="7">
        <f t="shared" ca="1" si="264"/>
        <v>0</v>
      </c>
      <c r="R187" s="7">
        <f t="shared" ca="1" si="264"/>
        <v>0</v>
      </c>
      <c r="S187" s="7">
        <f t="shared" ca="1" si="264"/>
        <v>0</v>
      </c>
      <c r="T187" s="7">
        <f t="shared" ca="1" si="264"/>
        <v>0</v>
      </c>
      <c r="U187" s="7">
        <f t="shared" ca="1" si="264"/>
        <v>0</v>
      </c>
      <c r="V187" s="7">
        <f t="shared" ca="1" si="264"/>
        <v>0</v>
      </c>
      <c r="W187" s="7">
        <f t="shared" ca="1" si="264"/>
        <v>0</v>
      </c>
      <c r="X187" s="7">
        <f t="shared" ca="1" si="264"/>
        <v>0</v>
      </c>
      <c r="Y187" s="7">
        <f t="shared" ca="1" si="264"/>
        <v>0</v>
      </c>
      <c r="Z187" s="7">
        <f t="shared" ca="1" si="264"/>
        <v>0</v>
      </c>
      <c r="AA187" s="7">
        <f t="shared" ca="1" si="264"/>
        <v>0</v>
      </c>
      <c r="AB187" s="7">
        <f t="shared" ca="1" si="264"/>
        <v>0</v>
      </c>
      <c r="AC187" s="7">
        <f t="shared" ca="1" si="264"/>
        <v>0</v>
      </c>
      <c r="AD187" s="7">
        <f t="shared" ca="1" si="264"/>
        <v>0</v>
      </c>
      <c r="AE187" s="7">
        <f t="shared" ca="1" si="264"/>
        <v>0</v>
      </c>
      <c r="AF187" s="7">
        <f t="shared" ca="1" si="264"/>
        <v>0</v>
      </c>
      <c r="AG187" s="7">
        <f t="shared" ca="1" si="264"/>
        <v>0</v>
      </c>
      <c r="AH187" s="7">
        <f t="shared" ca="1" si="264"/>
        <v>0</v>
      </c>
      <c r="AI187" s="7">
        <f t="shared" ca="1" si="264"/>
        <v>0</v>
      </c>
      <c r="AJ187" s="7">
        <f t="shared" ca="1" si="264"/>
        <v>0</v>
      </c>
      <c r="AK187" s="7">
        <f t="shared" ca="1" si="264"/>
        <v>0</v>
      </c>
      <c r="AL187" s="7">
        <f t="shared" ca="1" si="264"/>
        <v>0</v>
      </c>
      <c r="AM187" s="7">
        <f t="shared" si="264"/>
        <v>0</v>
      </c>
    </row>
    <row r="188" spans="1:39" x14ac:dyDescent="0.2">
      <c r="A188" s="3" t="s">
        <v>30</v>
      </c>
      <c r="C188" s="7">
        <f t="shared" ref="C188:AM188" ca="1" si="265">IFERROR(-IF(C183=0,VLOOKUP($A182,$8:$12,C$1+2,FALSE),0),0)</f>
        <v>0</v>
      </c>
      <c r="D188" s="7">
        <f t="shared" ca="1" si="265"/>
        <v>0</v>
      </c>
      <c r="E188" s="7">
        <f t="shared" ca="1" si="265"/>
        <v>0</v>
      </c>
      <c r="F188" s="7">
        <f t="shared" ca="1" si="265"/>
        <v>0</v>
      </c>
      <c r="G188" s="7">
        <f t="shared" ca="1" si="265"/>
        <v>0</v>
      </c>
      <c r="H188" s="7">
        <f t="shared" ca="1" si="265"/>
        <v>0</v>
      </c>
      <c r="I188" s="7">
        <f t="shared" ca="1" si="265"/>
        <v>0</v>
      </c>
      <c r="J188" s="7">
        <f t="shared" ca="1" si="265"/>
        <v>0</v>
      </c>
      <c r="K188" s="7">
        <f t="shared" ca="1" si="265"/>
        <v>0</v>
      </c>
      <c r="L188" s="7">
        <f t="shared" ca="1" si="265"/>
        <v>0</v>
      </c>
      <c r="M188" s="7">
        <f t="shared" ca="1" si="265"/>
        <v>0</v>
      </c>
      <c r="N188" s="7">
        <f t="shared" ca="1" si="265"/>
        <v>0</v>
      </c>
      <c r="O188" s="7">
        <f t="shared" ca="1" si="265"/>
        <v>0</v>
      </c>
      <c r="P188" s="7">
        <f t="shared" ca="1" si="265"/>
        <v>0</v>
      </c>
      <c r="Q188" s="7">
        <f t="shared" ca="1" si="265"/>
        <v>0</v>
      </c>
      <c r="R188" s="7">
        <f t="shared" ca="1" si="265"/>
        <v>0</v>
      </c>
      <c r="S188" s="7">
        <f t="shared" ca="1" si="265"/>
        <v>0</v>
      </c>
      <c r="T188" s="7">
        <f t="shared" ca="1" si="265"/>
        <v>0</v>
      </c>
      <c r="U188" s="7">
        <f t="shared" ca="1" si="265"/>
        <v>0</v>
      </c>
      <c r="V188" s="7">
        <f t="shared" ca="1" si="265"/>
        <v>0</v>
      </c>
      <c r="W188" s="7">
        <f t="shared" ca="1" si="265"/>
        <v>0</v>
      </c>
      <c r="X188" s="7">
        <f t="shared" ca="1" si="265"/>
        <v>0</v>
      </c>
      <c r="Y188" s="7">
        <f t="shared" ca="1" si="265"/>
        <v>0</v>
      </c>
      <c r="Z188" s="7">
        <f t="shared" ca="1" si="265"/>
        <v>0</v>
      </c>
      <c r="AA188" s="7">
        <f t="shared" ca="1" si="265"/>
        <v>0</v>
      </c>
      <c r="AB188" s="7">
        <f t="shared" ca="1" si="265"/>
        <v>0</v>
      </c>
      <c r="AC188" s="7">
        <f t="shared" ca="1" si="265"/>
        <v>0</v>
      </c>
      <c r="AD188" s="7">
        <f t="shared" ca="1" si="265"/>
        <v>0</v>
      </c>
      <c r="AE188" s="7">
        <f t="shared" ca="1" si="265"/>
        <v>0</v>
      </c>
      <c r="AF188" s="7">
        <f t="shared" ca="1" si="265"/>
        <v>0</v>
      </c>
      <c r="AG188" s="7">
        <f t="shared" ca="1" si="265"/>
        <v>0</v>
      </c>
      <c r="AH188" s="7">
        <f t="shared" ca="1" si="265"/>
        <v>0</v>
      </c>
      <c r="AI188" s="7">
        <f t="shared" ca="1" si="265"/>
        <v>0</v>
      </c>
      <c r="AJ188" s="7">
        <f t="shared" ca="1" si="265"/>
        <v>0</v>
      </c>
      <c r="AK188" s="7">
        <f t="shared" ca="1" si="265"/>
        <v>0</v>
      </c>
      <c r="AL188" s="7">
        <f t="shared" ca="1" si="265"/>
        <v>0</v>
      </c>
      <c r="AM188" s="7">
        <f t="shared" ca="1" si="265"/>
        <v>0</v>
      </c>
    </row>
    <row r="189" spans="1:39" x14ac:dyDescent="0.2">
      <c r="A189" s="3" t="s">
        <v>49</v>
      </c>
      <c r="C189" s="7">
        <f t="shared" ref="C189:AM189" ca="1" si="266">IFERROR(IF(C183=0,VLOOKUP($A182,$46:$50,C$1+2,FALSE),0),0)</f>
        <v>0</v>
      </c>
      <c r="D189" s="7">
        <f t="shared" ca="1" si="266"/>
        <v>0</v>
      </c>
      <c r="E189" s="7">
        <f t="shared" ca="1" si="266"/>
        <v>0</v>
      </c>
      <c r="F189" s="7">
        <f t="shared" ca="1" si="266"/>
        <v>0</v>
      </c>
      <c r="G189" s="7">
        <f t="shared" ca="1" si="266"/>
        <v>0</v>
      </c>
      <c r="H189" s="7">
        <f t="shared" ca="1" si="266"/>
        <v>0</v>
      </c>
      <c r="I189" s="7">
        <f t="shared" ca="1" si="266"/>
        <v>0</v>
      </c>
      <c r="J189" s="7">
        <f t="shared" ca="1" si="266"/>
        <v>0</v>
      </c>
      <c r="K189" s="7">
        <f t="shared" ca="1" si="266"/>
        <v>0</v>
      </c>
      <c r="L189" s="7">
        <f t="shared" ca="1" si="266"/>
        <v>0</v>
      </c>
      <c r="M189" s="7">
        <f t="shared" ca="1" si="266"/>
        <v>0</v>
      </c>
      <c r="N189" s="7">
        <f t="shared" ca="1" si="266"/>
        <v>0</v>
      </c>
      <c r="O189" s="7">
        <f t="shared" ca="1" si="266"/>
        <v>0</v>
      </c>
      <c r="P189" s="7">
        <f t="shared" ca="1" si="266"/>
        <v>0</v>
      </c>
      <c r="Q189" s="7">
        <f t="shared" ca="1" si="266"/>
        <v>0</v>
      </c>
      <c r="R189" s="7">
        <f t="shared" ca="1" si="266"/>
        <v>0</v>
      </c>
      <c r="S189" s="7">
        <f t="shared" ca="1" si="266"/>
        <v>0</v>
      </c>
      <c r="T189" s="7">
        <f t="shared" ca="1" si="266"/>
        <v>0</v>
      </c>
      <c r="U189" s="7">
        <f t="shared" ca="1" si="266"/>
        <v>0</v>
      </c>
      <c r="V189" s="7">
        <f t="shared" ca="1" si="266"/>
        <v>0</v>
      </c>
      <c r="W189" s="7">
        <f t="shared" ca="1" si="266"/>
        <v>0</v>
      </c>
      <c r="X189" s="7">
        <f t="shared" ca="1" si="266"/>
        <v>0</v>
      </c>
      <c r="Y189" s="7">
        <f t="shared" ca="1" si="266"/>
        <v>0</v>
      </c>
      <c r="Z189" s="7">
        <f t="shared" ca="1" si="266"/>
        <v>0</v>
      </c>
      <c r="AA189" s="7">
        <f t="shared" ca="1" si="266"/>
        <v>0</v>
      </c>
      <c r="AB189" s="7">
        <f t="shared" ca="1" si="266"/>
        <v>0</v>
      </c>
      <c r="AC189" s="7">
        <f t="shared" ca="1" si="266"/>
        <v>0</v>
      </c>
      <c r="AD189" s="7">
        <f t="shared" ca="1" si="266"/>
        <v>0</v>
      </c>
      <c r="AE189" s="7">
        <f t="shared" ca="1" si="266"/>
        <v>0</v>
      </c>
      <c r="AF189" s="7">
        <f t="shared" ca="1" si="266"/>
        <v>0</v>
      </c>
      <c r="AG189" s="7">
        <f t="shared" ca="1" si="266"/>
        <v>0</v>
      </c>
      <c r="AH189" s="7">
        <f t="shared" ca="1" si="266"/>
        <v>0</v>
      </c>
      <c r="AI189" s="7">
        <f t="shared" ca="1" si="266"/>
        <v>0</v>
      </c>
      <c r="AJ189" s="7">
        <f t="shared" ca="1" si="266"/>
        <v>0</v>
      </c>
      <c r="AK189" s="7">
        <f t="shared" ca="1" si="266"/>
        <v>0</v>
      </c>
      <c r="AL189" s="7">
        <f t="shared" ca="1" si="266"/>
        <v>0</v>
      </c>
      <c r="AM189" s="7">
        <f t="shared" ca="1" si="266"/>
        <v>0</v>
      </c>
    </row>
    <row r="190" spans="1:39" x14ac:dyDescent="0.2">
      <c r="A190" s="3" t="s">
        <v>35</v>
      </c>
      <c r="B190" s="14" t="str">
        <f>A182</f>
        <v>Antiques</v>
      </c>
      <c r="C190" s="7">
        <f t="shared" ref="C190:AM190" ca="1" si="267">IF(AND(C183&gt;0,C186=0),VLOOKUP($A182,$85:$94,C$1+2,FALSE),0)</f>
        <v>0</v>
      </c>
      <c r="D190" s="7">
        <f t="shared" ca="1" si="267"/>
        <v>0</v>
      </c>
      <c r="E190" s="7">
        <f t="shared" ca="1" si="267"/>
        <v>0</v>
      </c>
      <c r="F190" s="7">
        <f t="shared" ca="1" si="267"/>
        <v>0</v>
      </c>
      <c r="G190" s="7">
        <f t="shared" ca="1" si="267"/>
        <v>0</v>
      </c>
      <c r="H190" s="7">
        <f t="shared" ca="1" si="267"/>
        <v>0</v>
      </c>
      <c r="I190" s="7">
        <f t="shared" ca="1" si="267"/>
        <v>0</v>
      </c>
      <c r="J190" s="7">
        <f t="shared" ca="1" si="267"/>
        <v>0</v>
      </c>
      <c r="K190" s="7">
        <f t="shared" ca="1" si="267"/>
        <v>0</v>
      </c>
      <c r="L190" s="7">
        <f t="shared" ca="1" si="267"/>
        <v>0</v>
      </c>
      <c r="M190" s="7">
        <f t="shared" ca="1" si="267"/>
        <v>0</v>
      </c>
      <c r="N190" s="7">
        <f t="shared" ca="1" si="267"/>
        <v>0</v>
      </c>
      <c r="O190" s="7">
        <f t="shared" ca="1" si="267"/>
        <v>0</v>
      </c>
      <c r="P190" s="7">
        <f t="shared" ca="1" si="267"/>
        <v>0</v>
      </c>
      <c r="Q190" s="7">
        <f t="shared" ca="1" si="267"/>
        <v>0</v>
      </c>
      <c r="R190" s="7">
        <f t="shared" ca="1" si="267"/>
        <v>0</v>
      </c>
      <c r="S190" s="7">
        <f t="shared" ca="1" si="267"/>
        <v>0</v>
      </c>
      <c r="T190" s="7">
        <f t="shared" ca="1" si="267"/>
        <v>0</v>
      </c>
      <c r="U190" s="7">
        <f t="shared" ca="1" si="267"/>
        <v>0</v>
      </c>
      <c r="V190" s="7">
        <f t="shared" ca="1" si="267"/>
        <v>0</v>
      </c>
      <c r="W190" s="7">
        <f t="shared" ca="1" si="267"/>
        <v>0</v>
      </c>
      <c r="X190" s="7">
        <f t="shared" ca="1" si="267"/>
        <v>0</v>
      </c>
      <c r="Y190" s="7">
        <f t="shared" ca="1" si="267"/>
        <v>0</v>
      </c>
      <c r="Z190" s="7">
        <f t="shared" ca="1" si="267"/>
        <v>0</v>
      </c>
      <c r="AA190" s="7">
        <f t="shared" ca="1" si="267"/>
        <v>0</v>
      </c>
      <c r="AB190" s="7">
        <f t="shared" ca="1" si="267"/>
        <v>0</v>
      </c>
      <c r="AC190" s="7">
        <f t="shared" ca="1" si="267"/>
        <v>0</v>
      </c>
      <c r="AD190" s="7">
        <f t="shared" ca="1" si="267"/>
        <v>0</v>
      </c>
      <c r="AE190" s="7">
        <f t="shared" ca="1" si="267"/>
        <v>0</v>
      </c>
      <c r="AF190" s="7">
        <f t="shared" ca="1" si="267"/>
        <v>0</v>
      </c>
      <c r="AG190" s="7">
        <f t="shared" ca="1" si="267"/>
        <v>0</v>
      </c>
      <c r="AH190" s="7">
        <f t="shared" ca="1" si="267"/>
        <v>0</v>
      </c>
      <c r="AI190" s="7">
        <f t="shared" ca="1" si="267"/>
        <v>0</v>
      </c>
      <c r="AJ190" s="7">
        <f t="shared" ca="1" si="267"/>
        <v>0</v>
      </c>
      <c r="AK190" s="7">
        <f t="shared" ca="1" si="267"/>
        <v>0</v>
      </c>
      <c r="AL190" s="7">
        <f t="shared" ca="1" si="267"/>
        <v>0</v>
      </c>
      <c r="AM190" s="7">
        <f t="shared" ca="1" si="267"/>
        <v>0</v>
      </c>
    </row>
    <row r="191" spans="1:39" x14ac:dyDescent="0.2">
      <c r="A191" s="3" t="s">
        <v>36</v>
      </c>
      <c r="C191" s="7">
        <f ca="1">-C184+SUM(C187:C190)</f>
        <v>0</v>
      </c>
      <c r="D191" s="7">
        <f t="shared" ref="D191" ca="1" si="268">-D184+SUM(D187:D190)</f>
        <v>0</v>
      </c>
      <c r="E191" s="7">
        <f t="shared" ref="E191:AM191" ca="1" si="269">-E184+SUM(E187:E190)</f>
        <v>0</v>
      </c>
      <c r="F191" s="7">
        <f t="shared" ca="1" si="269"/>
        <v>0</v>
      </c>
      <c r="G191" s="7">
        <f t="shared" ca="1" si="269"/>
        <v>0</v>
      </c>
      <c r="H191" s="7">
        <f t="shared" ca="1" si="269"/>
        <v>0</v>
      </c>
      <c r="I191" s="7">
        <f t="shared" ca="1" si="269"/>
        <v>0</v>
      </c>
      <c r="J191" s="7">
        <f t="shared" ca="1" si="269"/>
        <v>0</v>
      </c>
      <c r="K191" s="7">
        <f t="shared" ca="1" si="269"/>
        <v>0</v>
      </c>
      <c r="L191" s="7">
        <f t="shared" ca="1" si="269"/>
        <v>0</v>
      </c>
      <c r="M191" s="7">
        <f t="shared" ca="1" si="269"/>
        <v>0</v>
      </c>
      <c r="N191" s="7">
        <f t="shared" ca="1" si="269"/>
        <v>0</v>
      </c>
      <c r="O191" s="7">
        <f t="shared" ca="1" si="269"/>
        <v>0</v>
      </c>
      <c r="P191" s="7">
        <f t="shared" ca="1" si="269"/>
        <v>0</v>
      </c>
      <c r="Q191" s="7">
        <f t="shared" ca="1" si="269"/>
        <v>0</v>
      </c>
      <c r="R191" s="7">
        <f t="shared" ca="1" si="269"/>
        <v>0</v>
      </c>
      <c r="S191" s="7">
        <f t="shared" ca="1" si="269"/>
        <v>0</v>
      </c>
      <c r="T191" s="7">
        <f t="shared" ca="1" si="269"/>
        <v>0</v>
      </c>
      <c r="U191" s="7">
        <f t="shared" ca="1" si="269"/>
        <v>0</v>
      </c>
      <c r="V191" s="7">
        <f t="shared" ca="1" si="269"/>
        <v>0</v>
      </c>
      <c r="W191" s="7">
        <f t="shared" ca="1" si="269"/>
        <v>0</v>
      </c>
      <c r="X191" s="7">
        <f t="shared" ca="1" si="269"/>
        <v>0</v>
      </c>
      <c r="Y191" s="7">
        <f t="shared" ca="1" si="269"/>
        <v>0</v>
      </c>
      <c r="Z191" s="7">
        <f t="shared" ca="1" si="269"/>
        <v>0</v>
      </c>
      <c r="AA191" s="7">
        <f t="shared" ca="1" si="269"/>
        <v>0</v>
      </c>
      <c r="AB191" s="7">
        <f t="shared" ca="1" si="269"/>
        <v>0</v>
      </c>
      <c r="AC191" s="7">
        <f t="shared" ca="1" si="269"/>
        <v>0</v>
      </c>
      <c r="AD191" s="7">
        <f t="shared" ca="1" si="269"/>
        <v>0</v>
      </c>
      <c r="AE191" s="7">
        <f t="shared" ca="1" si="269"/>
        <v>0</v>
      </c>
      <c r="AF191" s="7">
        <f t="shared" ca="1" si="269"/>
        <v>0</v>
      </c>
      <c r="AG191" s="7">
        <f t="shared" ca="1" si="269"/>
        <v>0</v>
      </c>
      <c r="AH191" s="7">
        <f t="shared" ca="1" si="269"/>
        <v>0</v>
      </c>
      <c r="AI191" s="7">
        <f t="shared" ca="1" si="269"/>
        <v>0</v>
      </c>
      <c r="AJ191" s="7">
        <f t="shared" ca="1" si="269"/>
        <v>0</v>
      </c>
      <c r="AK191" s="7">
        <f t="shared" ca="1" si="269"/>
        <v>0</v>
      </c>
      <c r="AL191" s="7">
        <f t="shared" ca="1" si="269"/>
        <v>0</v>
      </c>
      <c r="AM191" s="7">
        <f t="shared" ca="1" si="269"/>
        <v>0</v>
      </c>
    </row>
    <row r="192" spans="1:39" x14ac:dyDescent="0.2">
      <c r="A192" s="3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</row>
    <row r="193" spans="1:39" x14ac:dyDescent="0.2">
      <c r="A193" s="3" t="s">
        <v>70</v>
      </c>
      <c r="C193" s="7">
        <f ca="1">C179+SUM($C191:C191)</f>
        <v>16108.4375</v>
      </c>
      <c r="D193" s="7">
        <f ca="1">D179+SUM($C191:D191)</f>
        <v>30012.145312499997</v>
      </c>
      <c r="E193" s="7">
        <f ca="1">E179+SUM($C191:E191)</f>
        <v>50169.6494140625</v>
      </c>
      <c r="F193" s="7">
        <f ca="1">F179+SUM($C191:F191)</f>
        <v>52227.783801841113</v>
      </c>
      <c r="G193" s="7">
        <f ca="1">G179+SUM($C191:G191)</f>
        <v>250455.15989583102</v>
      </c>
      <c r="H193" s="7">
        <f ca="1">H179+SUM($C191:H191)</f>
        <v>296986.84009098983</v>
      </c>
      <c r="I193" s="7">
        <f ca="1">I179+SUM($C191:I191)</f>
        <v>363754.64435619779</v>
      </c>
      <c r="J193" s="7">
        <f ca="1">J179+SUM($C191:J191)</f>
        <v>435067.93012454931</v>
      </c>
      <c r="K193" s="7">
        <f ca="1">K179+SUM($C191:K191)</f>
        <v>493116.96835998015</v>
      </c>
      <c r="L193" s="7">
        <f ca="1">L179+SUM($C191:L191)</f>
        <v>638212.2751736166</v>
      </c>
      <c r="M193" s="7">
        <f ca="1">M179+SUM($C191:M191)</f>
        <v>695163.71186735749</v>
      </c>
      <c r="N193" s="7">
        <f ca="1">N179+SUM($C191:N191)</f>
        <v>805771.16934020713</v>
      </c>
      <c r="O193" s="7">
        <f ca="1">O179+SUM($C191:O191)</f>
        <v>922222.00124800857</v>
      </c>
      <c r="P193" s="7">
        <f ca="1">P179+SUM($C191:P191)</f>
        <v>1044762.6085180258</v>
      </c>
      <c r="Q193" s="7">
        <f ca="1">Q179+SUM($C191:Q191)</f>
        <v>1173648.7608708572</v>
      </c>
      <c r="R193" s="7">
        <f ca="1">R179+SUM($C191:R191)</f>
        <v>1309145.9322852024</v>
      </c>
      <c r="S193" s="7">
        <f ca="1">S179+SUM($C191:S191)</f>
        <v>1451529.6480111426</v>
      </c>
      <c r="T193" s="7">
        <f ca="1">T179+SUM($C191:T191)</f>
        <v>1491855.4011356728</v>
      </c>
      <c r="U193" s="7">
        <f ca="1">U179+SUM($C191:U191)</f>
        <v>1541415.1978627439</v>
      </c>
      <c r="V193" s="7">
        <f ca="1">V179+SUM($C191:V191)</f>
        <v>1592757.5777099284</v>
      </c>
      <c r="W193" s="7">
        <f ca="1">W179+SUM($C191:W191)</f>
        <v>1645948.7425475621</v>
      </c>
      <c r="X193" s="7">
        <f ca="1">X179+SUM($C191:X191)</f>
        <v>1701057.3316526653</v>
      </c>
      <c r="Y193" s="7">
        <f ca="1">Y179+SUM($C191:Y191)</f>
        <v>1737237.4169653396</v>
      </c>
      <c r="Z193" s="7">
        <f ca="1">Z179+SUM($C191:Z191)</f>
        <v>1774434.0167242812</v>
      </c>
      <c r="AA193" s="7">
        <f ca="1">AA179+SUM($C191:AA191)</f>
        <v>1812684.4017288706</v>
      </c>
      <c r="AB193" s="7">
        <f ca="1">AB179+SUM($C191:AB191)</f>
        <v>1852027.3427258399</v>
      </c>
      <c r="AC193" s="7">
        <f ca="1">AC179+SUM($C191:AC191)</f>
        <v>1892503.1702642585</v>
      </c>
      <c r="AD193" s="7">
        <f ca="1">AD179+SUM($C191:AD191)</f>
        <v>1934153.8368503558</v>
      </c>
      <c r="AE193" s="7">
        <f ca="1">AE179+SUM($C191:AE191)</f>
        <v>1987130.2375195618</v>
      </c>
      <c r="AF193" s="7">
        <f ca="1">AF179+SUM($C191:AF191)</f>
        <v>2041875.8715530399</v>
      </c>
      <c r="AG193" s="7">
        <f ca="1">AG179+SUM($C191:AG191)</f>
        <v>2098456.905652951</v>
      </c>
      <c r="AH193" s="7">
        <f ca="1">AH179+SUM($C191:AH191)</f>
        <v>2156942.0335442415</v>
      </c>
      <c r="AI193" s="7">
        <f ca="1">AI179+SUM($C191:AI191)</f>
        <v>2217402.5707053514</v>
      </c>
      <c r="AJ193" s="7">
        <f ca="1">AJ179+SUM($C191:AJ191)</f>
        <v>2279912.5525480784</v>
      </c>
      <c r="AK193" s="7">
        <f ca="1">AK179+SUM($C191:AK191)</f>
        <v>2344548.8361686133</v>
      </c>
      <c r="AL193" s="7">
        <f ca="1">AL179+SUM($C191:AL191)</f>
        <v>2411391.2057959661</v>
      </c>
      <c r="AM193" s="7">
        <f ca="1">AM179+SUM($C191:AM191)</f>
        <v>2480522.4820683482</v>
      </c>
    </row>
    <row r="194" spans="1:39" x14ac:dyDescent="0.2">
      <c r="A194" s="3" t="s">
        <v>67</v>
      </c>
      <c r="C194" s="7">
        <f t="shared" ref="C194:AM194" ca="1" si="270">MAX(C193+buffer,0)-MAX(C179+buffer,0)</f>
        <v>0</v>
      </c>
      <c r="D194" s="7">
        <f t="shared" ca="1" si="270"/>
        <v>0</v>
      </c>
      <c r="E194" s="7">
        <f t="shared" ca="1" si="270"/>
        <v>0</v>
      </c>
      <c r="F194" s="7">
        <f t="shared" ca="1" si="270"/>
        <v>0</v>
      </c>
      <c r="G194" s="7">
        <f t="shared" ca="1" si="270"/>
        <v>0</v>
      </c>
      <c r="H194" s="7">
        <f t="shared" ca="1" si="270"/>
        <v>0</v>
      </c>
      <c r="I194" s="7">
        <f t="shared" ca="1" si="270"/>
        <v>0</v>
      </c>
      <c r="J194" s="7">
        <f t="shared" ca="1" si="270"/>
        <v>0</v>
      </c>
      <c r="K194" s="7">
        <f t="shared" ca="1" si="270"/>
        <v>0</v>
      </c>
      <c r="L194" s="7">
        <f t="shared" ca="1" si="270"/>
        <v>0</v>
      </c>
      <c r="M194" s="7">
        <f t="shared" ca="1" si="270"/>
        <v>0</v>
      </c>
      <c r="N194" s="7">
        <f t="shared" ca="1" si="270"/>
        <v>0</v>
      </c>
      <c r="O194" s="7">
        <f t="shared" ca="1" si="270"/>
        <v>0</v>
      </c>
      <c r="P194" s="7">
        <f t="shared" ca="1" si="270"/>
        <v>0</v>
      </c>
      <c r="Q194" s="7">
        <f t="shared" ca="1" si="270"/>
        <v>0</v>
      </c>
      <c r="R194" s="7">
        <f t="shared" ca="1" si="270"/>
        <v>0</v>
      </c>
      <c r="S194" s="7">
        <f t="shared" ca="1" si="270"/>
        <v>0</v>
      </c>
      <c r="T194" s="7">
        <f t="shared" ca="1" si="270"/>
        <v>0</v>
      </c>
      <c r="U194" s="7">
        <f t="shared" ca="1" si="270"/>
        <v>0</v>
      </c>
      <c r="V194" s="7">
        <f t="shared" ca="1" si="270"/>
        <v>0</v>
      </c>
      <c r="W194" s="7">
        <f t="shared" ca="1" si="270"/>
        <v>0</v>
      </c>
      <c r="X194" s="7">
        <f t="shared" ca="1" si="270"/>
        <v>0</v>
      </c>
      <c r="Y194" s="7">
        <f t="shared" ca="1" si="270"/>
        <v>0</v>
      </c>
      <c r="Z194" s="7">
        <f t="shared" ca="1" si="270"/>
        <v>0</v>
      </c>
      <c r="AA194" s="7">
        <f t="shared" ca="1" si="270"/>
        <v>0</v>
      </c>
      <c r="AB194" s="7">
        <f t="shared" ca="1" si="270"/>
        <v>0</v>
      </c>
      <c r="AC194" s="7">
        <f t="shared" ca="1" si="270"/>
        <v>0</v>
      </c>
      <c r="AD194" s="7">
        <f t="shared" ca="1" si="270"/>
        <v>0</v>
      </c>
      <c r="AE194" s="7">
        <f t="shared" ca="1" si="270"/>
        <v>0</v>
      </c>
      <c r="AF194" s="7">
        <f t="shared" ca="1" si="270"/>
        <v>0</v>
      </c>
      <c r="AG194" s="7">
        <f t="shared" ca="1" si="270"/>
        <v>0</v>
      </c>
      <c r="AH194" s="7">
        <f t="shared" ca="1" si="270"/>
        <v>0</v>
      </c>
      <c r="AI194" s="7">
        <f t="shared" ca="1" si="270"/>
        <v>0</v>
      </c>
      <c r="AJ194" s="7">
        <f t="shared" ca="1" si="270"/>
        <v>0</v>
      </c>
      <c r="AK194" s="7">
        <f t="shared" ca="1" si="270"/>
        <v>0</v>
      </c>
      <c r="AL194" s="7">
        <f t="shared" ca="1" si="270"/>
        <v>0</v>
      </c>
      <c r="AM194" s="7">
        <f t="shared" ca="1" si="270"/>
        <v>0</v>
      </c>
    </row>
    <row r="195" spans="1:39" x14ac:dyDescent="0.2">
      <c r="A195" s="3" t="s">
        <v>68</v>
      </c>
      <c r="C195" s="7">
        <f ca="1">C194*Inputs!$B$269</f>
        <v>0</v>
      </c>
      <c r="D195" s="7">
        <f ca="1">D194*Inputs!$B$269</f>
        <v>0</v>
      </c>
      <c r="E195" s="7">
        <f ca="1">E194*Inputs!$B$269</f>
        <v>0</v>
      </c>
      <c r="F195" s="7">
        <f ca="1">F194*Inputs!$B$269</f>
        <v>0</v>
      </c>
      <c r="G195" s="7">
        <f ca="1">G194*Inputs!$B$269</f>
        <v>0</v>
      </c>
      <c r="H195" s="7">
        <f ca="1">H194*Inputs!$B$269</f>
        <v>0</v>
      </c>
      <c r="I195" s="7">
        <f ca="1">I194*Inputs!$B$269</f>
        <v>0</v>
      </c>
      <c r="J195" s="7">
        <f ca="1">J194*Inputs!$B$269</f>
        <v>0</v>
      </c>
      <c r="K195" s="7">
        <f ca="1">K194*Inputs!$B$269</f>
        <v>0</v>
      </c>
      <c r="L195" s="7">
        <f ca="1">L194*Inputs!$B$269</f>
        <v>0</v>
      </c>
      <c r="M195" s="7">
        <f ca="1">M194*Inputs!$B$269</f>
        <v>0</v>
      </c>
      <c r="N195" s="7">
        <f ca="1">N194*Inputs!$B$269</f>
        <v>0</v>
      </c>
      <c r="O195" s="7">
        <f ca="1">O194*Inputs!$B$269</f>
        <v>0</v>
      </c>
      <c r="P195" s="7">
        <f ca="1">P194*Inputs!$B$269</f>
        <v>0</v>
      </c>
      <c r="Q195" s="7">
        <f ca="1">Q194*Inputs!$B$269</f>
        <v>0</v>
      </c>
      <c r="R195" s="7">
        <f ca="1">R194*Inputs!$B$269</f>
        <v>0</v>
      </c>
      <c r="S195" s="7">
        <f ca="1">S194*Inputs!$B$269</f>
        <v>0</v>
      </c>
      <c r="T195" s="7">
        <f ca="1">T194*Inputs!$B$269</f>
        <v>0</v>
      </c>
      <c r="U195" s="7">
        <f ca="1">U194*Inputs!$B$269</f>
        <v>0</v>
      </c>
      <c r="V195" s="7">
        <f ca="1">V194*Inputs!$B$269</f>
        <v>0</v>
      </c>
      <c r="W195" s="7">
        <f ca="1">W194*Inputs!$B$269</f>
        <v>0</v>
      </c>
      <c r="X195" s="7">
        <f ca="1">X194*Inputs!$B$269</f>
        <v>0</v>
      </c>
      <c r="Y195" s="7">
        <f ca="1">Y194*Inputs!$B$269</f>
        <v>0</v>
      </c>
      <c r="Z195" s="7">
        <f ca="1">Z194*Inputs!$B$269</f>
        <v>0</v>
      </c>
      <c r="AA195" s="7">
        <f ca="1">AA194*Inputs!$B$269</f>
        <v>0</v>
      </c>
      <c r="AB195" s="7">
        <f ca="1">AB194*Inputs!$B$269</f>
        <v>0</v>
      </c>
      <c r="AC195" s="7">
        <f ca="1">AC194*Inputs!$B$269</f>
        <v>0</v>
      </c>
      <c r="AD195" s="7">
        <f ca="1">AD194*Inputs!$B$269</f>
        <v>0</v>
      </c>
      <c r="AE195" s="7">
        <f ca="1">AE194*Inputs!$B$269</f>
        <v>0</v>
      </c>
      <c r="AF195" s="7">
        <f ca="1">AF194*Inputs!$B$269</f>
        <v>0</v>
      </c>
      <c r="AG195" s="7">
        <f ca="1">AG194*Inputs!$B$269</f>
        <v>0</v>
      </c>
      <c r="AH195" s="7">
        <f ca="1">AH194*Inputs!$B$269</f>
        <v>0</v>
      </c>
      <c r="AI195" s="7">
        <f ca="1">AI194*Inputs!$B$269</f>
        <v>0</v>
      </c>
      <c r="AJ195" s="7">
        <f ca="1">AJ194*Inputs!$B$269</f>
        <v>0</v>
      </c>
      <c r="AK195" s="7">
        <f ca="1">AK194*Inputs!$B$269</f>
        <v>0</v>
      </c>
      <c r="AL195" s="7">
        <f ca="1">AL194*Inputs!$B$269</f>
        <v>0</v>
      </c>
      <c r="AM195" s="7">
        <f ca="1">AM194*Inputs!$B$269</f>
        <v>0</v>
      </c>
    </row>
    <row r="196" spans="1:39" x14ac:dyDescent="0.2">
      <c r="A196" s="3" t="s">
        <v>149</v>
      </c>
      <c r="C196" s="7">
        <f ca="1">C193+SUM($C195:C195)</f>
        <v>16108.4375</v>
      </c>
      <c r="D196" s="7">
        <f ca="1">D193+SUM($C195:D195)</f>
        <v>30012.145312499997</v>
      </c>
      <c r="E196" s="7">
        <f ca="1">E193+SUM($C195:E195)</f>
        <v>50169.6494140625</v>
      </c>
      <c r="F196" s="7">
        <f ca="1">F193+SUM($C195:F195)</f>
        <v>52227.783801841113</v>
      </c>
      <c r="G196" s="7">
        <f ca="1">G193+SUM($C195:G195)</f>
        <v>250455.15989583102</v>
      </c>
      <c r="H196" s="7">
        <f ca="1">H193+SUM($C195:H195)</f>
        <v>296986.84009098983</v>
      </c>
      <c r="I196" s="7">
        <f ca="1">I193+SUM($C195:I195)</f>
        <v>363754.64435619779</v>
      </c>
      <c r="J196" s="7">
        <f ca="1">J193+SUM($C195:J195)</f>
        <v>435067.93012454931</v>
      </c>
      <c r="K196" s="7">
        <f ca="1">K193+SUM($C195:K195)</f>
        <v>493116.96835998015</v>
      </c>
      <c r="L196" s="7">
        <f ca="1">L193+SUM($C195:L195)</f>
        <v>638212.2751736166</v>
      </c>
      <c r="M196" s="7">
        <f ca="1">M193+SUM($C195:M195)</f>
        <v>695163.71186735749</v>
      </c>
      <c r="N196" s="7">
        <f ca="1">N193+SUM($C195:N195)</f>
        <v>805771.16934020713</v>
      </c>
      <c r="O196" s="7">
        <f ca="1">O193+SUM($C195:O195)</f>
        <v>922222.00124800857</v>
      </c>
      <c r="P196" s="7">
        <f ca="1">P193+SUM($C195:P195)</f>
        <v>1044762.6085180258</v>
      </c>
      <c r="Q196" s="7">
        <f ca="1">Q193+SUM($C195:Q195)</f>
        <v>1173648.7608708572</v>
      </c>
      <c r="R196" s="7">
        <f ca="1">R193+SUM($C195:R195)</f>
        <v>1309145.9322852024</v>
      </c>
      <c r="S196" s="7">
        <f ca="1">S193+SUM($C195:S195)</f>
        <v>1451529.6480111426</v>
      </c>
      <c r="T196" s="7">
        <f ca="1">T193+SUM($C195:T195)</f>
        <v>1491855.4011356728</v>
      </c>
      <c r="U196" s="7">
        <f ca="1">U193+SUM($C195:U195)</f>
        <v>1541415.1978627439</v>
      </c>
      <c r="V196" s="7">
        <f ca="1">V193+SUM($C195:V195)</f>
        <v>1592757.5777099284</v>
      </c>
      <c r="W196" s="7">
        <f ca="1">W193+SUM($C195:W195)</f>
        <v>1645948.7425475621</v>
      </c>
      <c r="X196" s="7">
        <f ca="1">X193+SUM($C195:X195)</f>
        <v>1701057.3316526653</v>
      </c>
      <c r="Y196" s="7">
        <f ca="1">Y193+SUM($C195:Y195)</f>
        <v>1737237.4169653396</v>
      </c>
      <c r="Z196" s="7">
        <f ca="1">Z193+SUM($C195:Z195)</f>
        <v>1774434.0167242812</v>
      </c>
      <c r="AA196" s="7">
        <f ca="1">AA193+SUM($C195:AA195)</f>
        <v>1812684.4017288706</v>
      </c>
      <c r="AB196" s="7">
        <f ca="1">AB193+SUM($C195:AB195)</f>
        <v>1852027.3427258399</v>
      </c>
      <c r="AC196" s="7">
        <f ca="1">AC193+SUM($C195:AC195)</f>
        <v>1892503.1702642585</v>
      </c>
      <c r="AD196" s="7">
        <f ca="1">AD193+SUM($C195:AD195)</f>
        <v>1934153.8368503558</v>
      </c>
      <c r="AE196" s="7">
        <f ca="1">AE193+SUM($C195:AE195)</f>
        <v>1987130.2375195618</v>
      </c>
      <c r="AF196" s="7">
        <f ca="1">AF193+SUM($C195:AF195)</f>
        <v>2041875.8715530399</v>
      </c>
      <c r="AG196" s="7">
        <f ca="1">AG193+SUM($C195:AG195)</f>
        <v>2098456.905652951</v>
      </c>
      <c r="AH196" s="7">
        <f ca="1">AH193+SUM($C195:AH195)</f>
        <v>2156942.0335442415</v>
      </c>
      <c r="AI196" s="7">
        <f ca="1">AI193+SUM($C195:AI195)</f>
        <v>2217402.5707053514</v>
      </c>
      <c r="AJ196" s="7">
        <f ca="1">AJ193+SUM($C195:AJ195)</f>
        <v>2279912.5525480784</v>
      </c>
      <c r="AK196" s="7">
        <f ca="1">AK193+SUM($C195:AK195)</f>
        <v>2344548.8361686133</v>
      </c>
      <c r="AL196" s="7">
        <f ca="1">AL193+SUM($C195:AL195)</f>
        <v>2411391.2057959661</v>
      </c>
      <c r="AM196" s="7">
        <f ca="1">AM193+SUM($C195:AM195)</f>
        <v>2480522.4820683482</v>
      </c>
    </row>
    <row r="197" spans="1:39" x14ac:dyDescent="0.2">
      <c r="A197" s="3" t="s">
        <v>19</v>
      </c>
      <c r="C197" s="7">
        <f ca="1">IF(C196&lt;0,-C196,0)</f>
        <v>0</v>
      </c>
      <c r="D197" s="7">
        <f ca="1">IF(D196+SUM($C197:C197)&lt;0,-(D196+SUM($C197:C197)),0)</f>
        <v>0</v>
      </c>
      <c r="E197" s="7">
        <f ca="1">IF(E196+SUM($C197:D197)&lt;0,-(E196+SUM($C197:D197)),0)</f>
        <v>0</v>
      </c>
      <c r="F197" s="7">
        <f ca="1">IF(F196+SUM($C197:E197)&lt;0,-(F196+SUM($C197:E197)),0)</f>
        <v>0</v>
      </c>
      <c r="G197" s="7">
        <f ca="1">IF(G196+SUM($C197:F197)&lt;0,-(G196+SUM($C197:F197)),0)</f>
        <v>0</v>
      </c>
      <c r="H197" s="7">
        <f ca="1">IF(H196+SUM($C197:G197)&lt;0,-(H196+SUM($C197:G197)),0)</f>
        <v>0</v>
      </c>
      <c r="I197" s="7">
        <f ca="1">IF(I196+SUM($C197:H197)&lt;0,-(I196+SUM($C197:H197)),0)</f>
        <v>0</v>
      </c>
      <c r="J197" s="7">
        <f ca="1">IF(J196+SUM($C197:I197)&lt;0,-(J196+SUM($C197:I197)),0)</f>
        <v>0</v>
      </c>
      <c r="K197" s="7">
        <f ca="1">IF(K196+SUM($C197:J197)&lt;0,-(K196+SUM($C197:J197)),0)</f>
        <v>0</v>
      </c>
      <c r="L197" s="7">
        <f ca="1">IF(L196+SUM($C197:K197)&lt;0,-(L196+SUM($C197:K197)),0)</f>
        <v>0</v>
      </c>
      <c r="M197" s="7">
        <f ca="1">IF(M196+SUM($C197:L197)&lt;0,-(M196+SUM($C197:L197)),0)</f>
        <v>0</v>
      </c>
      <c r="N197" s="7">
        <f ca="1">IF(N196+SUM($C197:M197)&lt;0,-(N196+SUM($C197:M197)),0)</f>
        <v>0</v>
      </c>
      <c r="O197" s="7">
        <f ca="1">IF(O196+SUM($C197:N197)&lt;0,-(O196+SUM($C197:N197)),0)</f>
        <v>0</v>
      </c>
      <c r="P197" s="7">
        <f ca="1">IF(P196+SUM($C197:O197)&lt;0,-(P196+SUM($C197:O197)),0)</f>
        <v>0</v>
      </c>
      <c r="Q197" s="7">
        <f ca="1">IF(Q196+SUM($C197:P197)&lt;0,-(Q196+SUM($C197:P197)),0)</f>
        <v>0</v>
      </c>
      <c r="R197" s="7">
        <f ca="1">IF(R196+SUM($C197:Q197)&lt;0,-(R196+SUM($C197:Q197)),0)</f>
        <v>0</v>
      </c>
      <c r="S197" s="7">
        <f ca="1">IF(S196+SUM($C197:R197)&lt;0,-(S196+SUM($C197:R197)),0)</f>
        <v>0</v>
      </c>
      <c r="T197" s="7">
        <f ca="1">IF(T196+SUM($C197:S197)&lt;0,-(T196+SUM($C197:S197)),0)</f>
        <v>0</v>
      </c>
      <c r="U197" s="7">
        <f ca="1">IF(U196+SUM($C197:T197)&lt;0,-(U196+SUM($C197:T197)),0)</f>
        <v>0</v>
      </c>
      <c r="V197" s="7">
        <f ca="1">IF(V196+SUM($C197:U197)&lt;0,-(V196+SUM($C197:U197)),0)</f>
        <v>0</v>
      </c>
      <c r="W197" s="7">
        <f ca="1">IF(W196+SUM($C197:V197)&lt;0,-(W196+SUM($C197:V197)),0)</f>
        <v>0</v>
      </c>
      <c r="X197" s="7">
        <f ca="1">IF(X196+SUM($C197:W197)&lt;0,-(X196+SUM($C197:W197)),0)</f>
        <v>0</v>
      </c>
      <c r="Y197" s="7">
        <f ca="1">IF(Y196+SUM($C197:X197)&lt;0,-(Y196+SUM($C197:X197)),0)</f>
        <v>0</v>
      </c>
      <c r="Z197" s="7">
        <f ca="1">IF(Z196+SUM($C197:Y197)&lt;0,-(Z196+SUM($C197:Y197)),0)</f>
        <v>0</v>
      </c>
      <c r="AA197" s="7">
        <f ca="1">IF(AA196+SUM($C197:Z197)&lt;0,-(AA196+SUM($C197:Z197)),0)</f>
        <v>0</v>
      </c>
      <c r="AB197" s="7">
        <f ca="1">IF(AB196+SUM($C197:AA197)&lt;0,-(AB196+SUM($C197:AA197)),0)</f>
        <v>0</v>
      </c>
      <c r="AC197" s="7">
        <f ca="1">IF(AC196+SUM($C197:AB197)&lt;0,-(AC196+SUM($C197:AB197)),0)</f>
        <v>0</v>
      </c>
      <c r="AD197" s="7">
        <f ca="1">IF(AD196+SUM($C197:AC197)&lt;0,-(AD196+SUM($C197:AC197)),0)</f>
        <v>0</v>
      </c>
      <c r="AE197" s="7">
        <f ca="1">IF(AE196+SUM($C197:AD197)&lt;0,-(AE196+SUM($C197:AD197)),0)</f>
        <v>0</v>
      </c>
      <c r="AF197" s="7">
        <f ca="1">IF(AF196+SUM($C197:AE197)&lt;0,-(AF196+SUM($C197:AE197)),0)</f>
        <v>0</v>
      </c>
      <c r="AG197" s="7">
        <f ca="1">IF(AG196+SUM($C197:AF197)&lt;0,-(AG196+SUM($C197:AF197)),0)</f>
        <v>0</v>
      </c>
      <c r="AH197" s="7">
        <f ca="1">IF(AH196+SUM($C197:AG197)&lt;0,-(AH196+SUM($C197:AG197)),0)</f>
        <v>0</v>
      </c>
      <c r="AI197" s="7">
        <f ca="1">IF(AI196+SUM($C197:AH197)&lt;0,-(AI196+SUM($C197:AH197)),0)</f>
        <v>0</v>
      </c>
      <c r="AJ197" s="7">
        <f ca="1">IF(AJ196+SUM($C197:AI197)&lt;0,-(AJ196+SUM($C197:AI197)),0)</f>
        <v>0</v>
      </c>
      <c r="AK197" s="7">
        <f ca="1">IF(AK196+SUM($C197:AJ197)&lt;0,-(AK196+SUM($C197:AJ197)),0)</f>
        <v>0</v>
      </c>
      <c r="AL197" s="7">
        <f ca="1">IF(AL196+SUM($C197:AK197)&lt;0,-(AL196+SUM($C197:AK197)),0)</f>
        <v>0</v>
      </c>
      <c r="AM197" s="7">
        <f ca="1">IF(AM196+SUM($C197:AL197)&lt;0,-(AM196+SUM($C197:AL197)),0)</f>
        <v>0</v>
      </c>
    </row>
    <row r="198" spans="1:39" x14ac:dyDescent="0.2"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</row>
    <row r="199" spans="1:39" x14ac:dyDescent="0.2">
      <c r="A199" s="24" t="str">
        <f>IF(Inputs!$B$289=6,IFERROR(_xlfn.XLOOKUP($B199,Inputs!$B$290:$B$299,Inputs!$A$290:$A$299,,0,1),""),IFERROR(_xlfn.XLOOKUP($B199,Inputs!$C$290:$C$299,Inputs!$A$290:$A$299,,0,1),""))</f>
        <v>Marsa</v>
      </c>
      <c r="B199" s="26">
        <v>6</v>
      </c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</row>
    <row r="200" spans="1:39" x14ac:dyDescent="0.2">
      <c r="A200" s="3" t="s">
        <v>21</v>
      </c>
      <c r="C200" s="7">
        <f ca="1">IFERROR(VLOOKUP($A199,$A$67:$H$96,C$1+2,FALSE),0)</f>
        <v>122689.99946753924</v>
      </c>
      <c r="D200" s="7">
        <f ca="1">C203</f>
        <v>122689.99946753924</v>
      </c>
      <c r="E200" s="7">
        <f t="shared" ref="E200" ca="1" si="271">D203</f>
        <v>126370.69945156541</v>
      </c>
      <c r="F200" s="7">
        <f t="shared" ref="F200" ca="1" si="272">E203</f>
        <v>130161.82043511237</v>
      </c>
      <c r="G200" s="7">
        <f t="shared" ref="G200" ca="1" si="273">F203</f>
        <v>134066.67504816575</v>
      </c>
      <c r="H200" s="7">
        <f t="shared" ref="H200" ca="1" si="274">G203</f>
        <v>138088.67529961071</v>
      </c>
      <c r="I200" s="7">
        <f t="shared" ref="I200" ca="1" si="275">H203</f>
        <v>142231.33555859904</v>
      </c>
      <c r="J200" s="7">
        <f t="shared" ref="J200" ca="1" si="276">I203</f>
        <v>146498.275625357</v>
      </c>
      <c r="K200" s="7">
        <f t="shared" ref="K200" ca="1" si="277">J203</f>
        <v>150893.22389411772</v>
      </c>
      <c r="L200" s="7">
        <f t="shared" ref="L200" ca="1" si="278">K203</f>
        <v>155420.02061094125</v>
      </c>
      <c r="M200" s="7">
        <f t="shared" ref="M200" ca="1" si="279">L203</f>
        <v>160082.62122926948</v>
      </c>
      <c r="N200" s="7">
        <f t="shared" ref="N200" ca="1" si="280">M203</f>
        <v>164885.09986614756</v>
      </c>
      <c r="O200" s="7">
        <f t="shared" ref="O200" ca="1" si="281">N203</f>
        <v>169831.65286213197</v>
      </c>
      <c r="P200" s="7">
        <f t="shared" ref="P200" ca="1" si="282">O203</f>
        <v>174926.60244799595</v>
      </c>
      <c r="Q200" s="7">
        <f t="shared" ref="Q200" ca="1" si="283">P203</f>
        <v>180174.40052143583</v>
      </c>
      <c r="R200" s="7">
        <f t="shared" ref="R200" ca="1" si="284">Q203</f>
        <v>185579.6325370789</v>
      </c>
      <c r="S200" s="7">
        <f t="shared" ref="S200" ca="1" si="285">R203</f>
        <v>191147.02151319126</v>
      </c>
      <c r="T200" s="7">
        <f t="shared" ref="T200" ca="1" si="286">S203</f>
        <v>196881.43215858701</v>
      </c>
      <c r="U200" s="7">
        <f t="shared" ref="U200" ca="1" si="287">T203</f>
        <v>202787.87512334462</v>
      </c>
      <c r="V200" s="7">
        <f t="shared" ref="V200" ca="1" si="288">U203</f>
        <v>208871.51137704495</v>
      </c>
      <c r="W200" s="7">
        <f t="shared" ref="W200" ca="1" si="289">V203</f>
        <v>215137.6567183563</v>
      </c>
      <c r="X200" s="7">
        <f t="shared" ref="X200" ca="1" si="290">W203</f>
        <v>221591.786419907</v>
      </c>
      <c r="Y200" s="7">
        <f t="shared" ref="Y200" ca="1" si="291">X203</f>
        <v>228239.54001250421</v>
      </c>
      <c r="Z200" s="7">
        <f t="shared" ref="Z200" ca="1" si="292">Y203</f>
        <v>235086.72621287932</v>
      </c>
      <c r="AA200" s="7">
        <f t="shared" ref="AA200" ca="1" si="293">Z203</f>
        <v>242139.32799926569</v>
      </c>
      <c r="AB200" s="7">
        <f t="shared" ref="AB200" ca="1" si="294">AA203</f>
        <v>249403.50783924366</v>
      </c>
      <c r="AC200" s="7">
        <f t="shared" ref="AC200" ca="1" si="295">AB203</f>
        <v>256885.61307442095</v>
      </c>
      <c r="AD200" s="7">
        <f t="shared" ref="AD200" ca="1" si="296">AC203</f>
        <v>264592.18146665359</v>
      </c>
      <c r="AE200" s="7">
        <f t="shared" ref="AE200" ca="1" si="297">AD203</f>
        <v>272529.94691065321</v>
      </c>
      <c r="AF200" s="7">
        <f t="shared" ref="AF200" ca="1" si="298">AE203</f>
        <v>280705.84531797282</v>
      </c>
      <c r="AG200" s="7">
        <f t="shared" ref="AG200" ca="1" si="299">AF203</f>
        <v>289127.02067751199</v>
      </c>
      <c r="AH200" s="7">
        <f t="shared" ref="AH200" ca="1" si="300">AG203</f>
        <v>297800.83129783737</v>
      </c>
      <c r="AI200" s="7">
        <f t="shared" ref="AI200" ca="1" si="301">AH203</f>
        <v>306734.8562367725</v>
      </c>
      <c r="AJ200" s="7">
        <f t="shared" ref="AJ200" ca="1" si="302">AI203</f>
        <v>315936.90192387567</v>
      </c>
      <c r="AK200" s="7">
        <f t="shared" ref="AK200" ca="1" si="303">AJ203</f>
        <v>325415.00898159196</v>
      </c>
      <c r="AL200" s="7">
        <f t="shared" ref="AL200" ca="1" si="304">AK203</f>
        <v>335177.45925103972</v>
      </c>
      <c r="AM200" s="7">
        <f t="shared" ref="AM200" ca="1" si="305">AL203</f>
        <v>345232.78302857094</v>
      </c>
    </row>
    <row r="201" spans="1:39" x14ac:dyDescent="0.2">
      <c r="A201" s="3" t="s">
        <v>22</v>
      </c>
      <c r="C201" s="7">
        <f ca="1">-IF(D197&gt;0,C200,0)</f>
        <v>0</v>
      </c>
      <c r="D201" s="7">
        <f ca="1">-IF(E197&gt;0,D200,0)</f>
        <v>0</v>
      </c>
      <c r="E201" s="7">
        <f ca="1">-IF(F197&gt;0,E200,0)</f>
        <v>0</v>
      </c>
      <c r="F201" s="7">
        <f ca="1">-IF(G197&gt;0,F200,0)</f>
        <v>0</v>
      </c>
      <c r="G201" s="7">
        <f t="shared" ref="G201" ca="1" si="306">-IF(H197&gt;0,G200,0)</f>
        <v>0</v>
      </c>
      <c r="H201" s="7">
        <f t="shared" ref="H201" ca="1" si="307">-IF(I197&gt;0,H200,0)</f>
        <v>0</v>
      </c>
      <c r="I201" s="7">
        <f t="shared" ref="I201" ca="1" si="308">-IF(J197&gt;0,I200,0)</f>
        <v>0</v>
      </c>
      <c r="J201" s="7">
        <f t="shared" ref="J201" ca="1" si="309">-IF(K197&gt;0,J200,0)</f>
        <v>0</v>
      </c>
      <c r="K201" s="7">
        <f t="shared" ref="K201" ca="1" si="310">-IF(L197&gt;0,K200,0)</f>
        <v>0</v>
      </c>
      <c r="L201" s="7">
        <f t="shared" ref="L201" ca="1" si="311">-IF(M197&gt;0,L200,0)</f>
        <v>0</v>
      </c>
      <c r="M201" s="7">
        <f t="shared" ref="M201" ca="1" si="312">-IF(N197&gt;0,M200,0)</f>
        <v>0</v>
      </c>
      <c r="N201" s="7">
        <f t="shared" ref="N201" ca="1" si="313">-IF(O197&gt;0,N200,0)</f>
        <v>0</v>
      </c>
      <c r="O201" s="7">
        <f t="shared" ref="O201" ca="1" si="314">-IF(P197&gt;0,O200,0)</f>
        <v>0</v>
      </c>
      <c r="P201" s="7">
        <f t="shared" ref="P201" ca="1" si="315">-IF(Q197&gt;0,P200,0)</f>
        <v>0</v>
      </c>
      <c r="Q201" s="7">
        <f t="shared" ref="Q201" ca="1" si="316">-IF(R197&gt;0,Q200,0)</f>
        <v>0</v>
      </c>
      <c r="R201" s="7">
        <f t="shared" ref="R201" ca="1" si="317">-IF(S197&gt;0,R200,0)</f>
        <v>0</v>
      </c>
      <c r="S201" s="7">
        <f t="shared" ref="S201" ca="1" si="318">-IF(T197&gt;0,S200,0)</f>
        <v>0</v>
      </c>
      <c r="T201" s="7">
        <f t="shared" ref="T201" ca="1" si="319">-IF(U197&gt;0,T200,0)</f>
        <v>0</v>
      </c>
      <c r="U201" s="7">
        <f t="shared" ref="U201" ca="1" si="320">-IF(V197&gt;0,U200,0)</f>
        <v>0</v>
      </c>
      <c r="V201" s="7">
        <f t="shared" ref="V201" ca="1" si="321">-IF(W197&gt;0,V200,0)</f>
        <v>0</v>
      </c>
      <c r="W201" s="7">
        <f t="shared" ref="W201" ca="1" si="322">-IF(X197&gt;0,W200,0)</f>
        <v>0</v>
      </c>
      <c r="X201" s="7">
        <f t="shared" ref="X201" ca="1" si="323">-IF(Y197&gt;0,X200,0)</f>
        <v>0</v>
      </c>
      <c r="Y201" s="7">
        <f t="shared" ref="Y201" ca="1" si="324">-IF(Z197&gt;0,Y200,0)</f>
        <v>0</v>
      </c>
      <c r="Z201" s="7">
        <f t="shared" ref="Z201" ca="1" si="325">-IF(AA197&gt;0,Z200,0)</f>
        <v>0</v>
      </c>
      <c r="AA201" s="7">
        <f t="shared" ref="AA201" ca="1" si="326">-IF(AB197&gt;0,AA200,0)</f>
        <v>0</v>
      </c>
      <c r="AB201" s="7">
        <f t="shared" ref="AB201" ca="1" si="327">-IF(AC197&gt;0,AB200,0)</f>
        <v>0</v>
      </c>
      <c r="AC201" s="7">
        <f t="shared" ref="AC201" ca="1" si="328">-IF(AD197&gt;0,AC200,0)</f>
        <v>0</v>
      </c>
      <c r="AD201" s="7">
        <f t="shared" ref="AD201" ca="1" si="329">-IF(AE197&gt;0,AD200,0)</f>
        <v>0</v>
      </c>
      <c r="AE201" s="7">
        <f t="shared" ref="AE201" ca="1" si="330">-IF(AF197&gt;0,AE200,0)</f>
        <v>0</v>
      </c>
      <c r="AF201" s="7">
        <f t="shared" ref="AF201" ca="1" si="331">-IF(AG197&gt;0,AF200,0)</f>
        <v>0</v>
      </c>
      <c r="AG201" s="7">
        <f t="shared" ref="AG201" ca="1" si="332">-IF(AH197&gt;0,AG200,0)</f>
        <v>0</v>
      </c>
      <c r="AH201" s="7">
        <f t="shared" ref="AH201" ca="1" si="333">-IF(AI197&gt;0,AH200,0)</f>
        <v>0</v>
      </c>
      <c r="AI201" s="7">
        <f t="shared" ref="AI201" ca="1" si="334">-IF(AJ197&gt;0,AI200,0)</f>
        <v>0</v>
      </c>
      <c r="AJ201" s="7">
        <f t="shared" ref="AJ201" ca="1" si="335">-IF(AK197&gt;0,AJ200,0)</f>
        <v>0</v>
      </c>
      <c r="AK201" s="7">
        <f t="shared" ref="AK201" ca="1" si="336">-IF(AL197&gt;0,AK200,0)</f>
        <v>0</v>
      </c>
      <c r="AL201" s="7">
        <f t="shared" ref="AL201" ca="1" si="337">-IF(AM197&gt;0,AL200,0)</f>
        <v>0</v>
      </c>
      <c r="AM201" s="7">
        <f t="shared" ref="AM201" si="338">-IF(AN197&gt;0,AM200,0)</f>
        <v>0</v>
      </c>
    </row>
    <row r="202" spans="1:39" x14ac:dyDescent="0.2">
      <c r="A202" s="3" t="s">
        <v>23</v>
      </c>
      <c r="C202" s="7">
        <v>0</v>
      </c>
      <c r="D202" s="7">
        <f t="shared" ref="D202:AM202" ca="1" si="339">SUM(D200:D201)*VLOOKUP($A199,AssVar,2,FALSE)</f>
        <v>3680.6999840261769</v>
      </c>
      <c r="E202" s="7">
        <f t="shared" ca="1" si="339"/>
        <v>3791.1209835469622</v>
      </c>
      <c r="F202" s="7">
        <f t="shared" ca="1" si="339"/>
        <v>3904.8546130533709</v>
      </c>
      <c r="G202" s="7">
        <f t="shared" ca="1" si="339"/>
        <v>4022.0002514449725</v>
      </c>
      <c r="H202" s="7">
        <f t="shared" ca="1" si="339"/>
        <v>4142.6602589883214</v>
      </c>
      <c r="I202" s="7">
        <f t="shared" ca="1" si="339"/>
        <v>4266.9400667579712</v>
      </c>
      <c r="J202" s="7">
        <f t="shared" ca="1" si="339"/>
        <v>4394.9482687607097</v>
      </c>
      <c r="K202" s="7">
        <f t="shared" ca="1" si="339"/>
        <v>4526.7967168235318</v>
      </c>
      <c r="L202" s="7">
        <f t="shared" ca="1" si="339"/>
        <v>4662.600618328237</v>
      </c>
      <c r="M202" s="7">
        <f t="shared" ca="1" si="339"/>
        <v>4802.4786368780842</v>
      </c>
      <c r="N202" s="7">
        <f t="shared" ca="1" si="339"/>
        <v>4946.5529959844271</v>
      </c>
      <c r="O202" s="7">
        <f t="shared" ca="1" si="339"/>
        <v>5094.9495858639593</v>
      </c>
      <c r="P202" s="7">
        <f t="shared" ca="1" si="339"/>
        <v>5247.798073439878</v>
      </c>
      <c r="Q202" s="7">
        <f t="shared" ca="1" si="339"/>
        <v>5405.2320156430751</v>
      </c>
      <c r="R202" s="7">
        <f t="shared" ca="1" si="339"/>
        <v>5567.3889761123664</v>
      </c>
      <c r="S202" s="7">
        <f t="shared" ca="1" si="339"/>
        <v>5734.4106453957374</v>
      </c>
      <c r="T202" s="7">
        <f t="shared" ca="1" si="339"/>
        <v>5906.4429647576098</v>
      </c>
      <c r="U202" s="7">
        <f t="shared" ca="1" si="339"/>
        <v>6083.6362537003388</v>
      </c>
      <c r="V202" s="7">
        <f t="shared" ca="1" si="339"/>
        <v>6266.1453413113486</v>
      </c>
      <c r="W202" s="7">
        <f t="shared" ca="1" si="339"/>
        <v>6454.1297015506889</v>
      </c>
      <c r="X202" s="7">
        <f t="shared" ca="1" si="339"/>
        <v>6647.7535925972097</v>
      </c>
      <c r="Y202" s="7">
        <f t="shared" ca="1" si="339"/>
        <v>6847.1862003751257</v>
      </c>
      <c r="Z202" s="7">
        <f t="shared" ca="1" si="339"/>
        <v>7052.601786386379</v>
      </c>
      <c r="AA202" s="7">
        <f t="shared" ca="1" si="339"/>
        <v>7264.17983997797</v>
      </c>
      <c r="AB202" s="7">
        <f t="shared" ca="1" si="339"/>
        <v>7482.1052351773096</v>
      </c>
      <c r="AC202" s="7">
        <f t="shared" ca="1" si="339"/>
        <v>7706.568392232628</v>
      </c>
      <c r="AD202" s="7">
        <f t="shared" ca="1" si="339"/>
        <v>7937.7654439996077</v>
      </c>
      <c r="AE202" s="7">
        <f t="shared" ca="1" si="339"/>
        <v>8175.8984073195961</v>
      </c>
      <c r="AF202" s="7">
        <f t="shared" ca="1" si="339"/>
        <v>8421.1753595391838</v>
      </c>
      <c r="AG202" s="7">
        <f t="shared" ca="1" si="339"/>
        <v>8673.8106203253592</v>
      </c>
      <c r="AH202" s="7">
        <f t="shared" ca="1" si="339"/>
        <v>8934.0249389351211</v>
      </c>
      <c r="AI202" s="7">
        <f t="shared" ca="1" si="339"/>
        <v>9202.0456871031747</v>
      </c>
      <c r="AJ202" s="7">
        <f t="shared" ca="1" si="339"/>
        <v>9478.10705771627</v>
      </c>
      <c r="AK202" s="7">
        <f t="shared" ca="1" si="339"/>
        <v>9762.4502694477578</v>
      </c>
      <c r="AL202" s="7">
        <f t="shared" ca="1" si="339"/>
        <v>10055.323777531192</v>
      </c>
      <c r="AM202" s="7">
        <f t="shared" ca="1" si="339"/>
        <v>10356.983490857128</v>
      </c>
    </row>
    <row r="203" spans="1:39" x14ac:dyDescent="0.2">
      <c r="A203" s="3" t="s">
        <v>24</v>
      </c>
      <c r="C203" s="7">
        <f ca="1">SUM(C200:C202)</f>
        <v>122689.99946753924</v>
      </c>
      <c r="D203" s="7">
        <f t="shared" ref="D203:AM203" ca="1" si="340">SUM(D200:D202)</f>
        <v>126370.69945156541</v>
      </c>
      <c r="E203" s="7">
        <f t="shared" ca="1" si="340"/>
        <v>130161.82043511237</v>
      </c>
      <c r="F203" s="7">
        <f t="shared" ca="1" si="340"/>
        <v>134066.67504816575</v>
      </c>
      <c r="G203" s="7">
        <f t="shared" ca="1" si="340"/>
        <v>138088.67529961071</v>
      </c>
      <c r="H203" s="7">
        <f t="shared" ca="1" si="340"/>
        <v>142231.33555859904</v>
      </c>
      <c r="I203" s="7">
        <f t="shared" ca="1" si="340"/>
        <v>146498.275625357</v>
      </c>
      <c r="J203" s="7">
        <f t="shared" ca="1" si="340"/>
        <v>150893.22389411772</v>
      </c>
      <c r="K203" s="7">
        <f t="shared" ca="1" si="340"/>
        <v>155420.02061094125</v>
      </c>
      <c r="L203" s="7">
        <f t="shared" ca="1" si="340"/>
        <v>160082.62122926948</v>
      </c>
      <c r="M203" s="7">
        <f t="shared" ca="1" si="340"/>
        <v>164885.09986614756</v>
      </c>
      <c r="N203" s="7">
        <f t="shared" ca="1" si="340"/>
        <v>169831.65286213197</v>
      </c>
      <c r="O203" s="7">
        <f t="shared" ca="1" si="340"/>
        <v>174926.60244799595</v>
      </c>
      <c r="P203" s="7">
        <f t="shared" ca="1" si="340"/>
        <v>180174.40052143583</v>
      </c>
      <c r="Q203" s="7">
        <f t="shared" ca="1" si="340"/>
        <v>185579.6325370789</v>
      </c>
      <c r="R203" s="7">
        <f t="shared" ca="1" si="340"/>
        <v>191147.02151319126</v>
      </c>
      <c r="S203" s="7">
        <f t="shared" ca="1" si="340"/>
        <v>196881.43215858701</v>
      </c>
      <c r="T203" s="7">
        <f t="shared" ca="1" si="340"/>
        <v>202787.87512334462</v>
      </c>
      <c r="U203" s="7">
        <f t="shared" ca="1" si="340"/>
        <v>208871.51137704495</v>
      </c>
      <c r="V203" s="7">
        <f t="shared" ca="1" si="340"/>
        <v>215137.6567183563</v>
      </c>
      <c r="W203" s="7">
        <f t="shared" ca="1" si="340"/>
        <v>221591.786419907</v>
      </c>
      <c r="X203" s="7">
        <f t="shared" ca="1" si="340"/>
        <v>228239.54001250421</v>
      </c>
      <c r="Y203" s="7">
        <f t="shared" ca="1" si="340"/>
        <v>235086.72621287932</v>
      </c>
      <c r="Z203" s="7">
        <f t="shared" ca="1" si="340"/>
        <v>242139.32799926569</v>
      </c>
      <c r="AA203" s="7">
        <f t="shared" ca="1" si="340"/>
        <v>249403.50783924366</v>
      </c>
      <c r="AB203" s="7">
        <f t="shared" ca="1" si="340"/>
        <v>256885.61307442095</v>
      </c>
      <c r="AC203" s="7">
        <f t="shared" ca="1" si="340"/>
        <v>264592.18146665359</v>
      </c>
      <c r="AD203" s="7">
        <f t="shared" ca="1" si="340"/>
        <v>272529.94691065321</v>
      </c>
      <c r="AE203" s="7">
        <f t="shared" ca="1" si="340"/>
        <v>280705.84531797282</v>
      </c>
      <c r="AF203" s="7">
        <f t="shared" ca="1" si="340"/>
        <v>289127.02067751199</v>
      </c>
      <c r="AG203" s="7">
        <f t="shared" ca="1" si="340"/>
        <v>297800.83129783737</v>
      </c>
      <c r="AH203" s="7">
        <f t="shared" ca="1" si="340"/>
        <v>306734.8562367725</v>
      </c>
      <c r="AI203" s="7">
        <f t="shared" ca="1" si="340"/>
        <v>315936.90192387567</v>
      </c>
      <c r="AJ203" s="7">
        <f t="shared" ca="1" si="340"/>
        <v>325415.00898159196</v>
      </c>
      <c r="AK203" s="7">
        <f t="shared" ca="1" si="340"/>
        <v>335177.45925103972</v>
      </c>
      <c r="AL203" s="7">
        <f t="shared" ca="1" si="340"/>
        <v>345232.78302857094</v>
      </c>
      <c r="AM203" s="7">
        <f t="shared" ca="1" si="340"/>
        <v>355589.76651942806</v>
      </c>
    </row>
    <row r="204" spans="1:39" x14ac:dyDescent="0.2">
      <c r="A204" s="3" t="s">
        <v>25</v>
      </c>
      <c r="C204" s="7">
        <f t="shared" ref="C204:AM204" ca="1" si="341">C201*VLOOKUP($A199,AssVar,3,FALSE)</f>
        <v>0</v>
      </c>
      <c r="D204" s="7">
        <f t="shared" ca="1" si="341"/>
        <v>0</v>
      </c>
      <c r="E204" s="7">
        <f t="shared" ca="1" si="341"/>
        <v>0</v>
      </c>
      <c r="F204" s="7">
        <f t="shared" ca="1" si="341"/>
        <v>0</v>
      </c>
      <c r="G204" s="7">
        <f t="shared" ca="1" si="341"/>
        <v>0</v>
      </c>
      <c r="H204" s="7">
        <f t="shared" ca="1" si="341"/>
        <v>0</v>
      </c>
      <c r="I204" s="7">
        <f t="shared" ca="1" si="341"/>
        <v>0</v>
      </c>
      <c r="J204" s="7">
        <f t="shared" ca="1" si="341"/>
        <v>0</v>
      </c>
      <c r="K204" s="7">
        <f t="shared" ca="1" si="341"/>
        <v>0</v>
      </c>
      <c r="L204" s="7">
        <f t="shared" ca="1" si="341"/>
        <v>0</v>
      </c>
      <c r="M204" s="7">
        <f t="shared" ca="1" si="341"/>
        <v>0</v>
      </c>
      <c r="N204" s="7">
        <f t="shared" ca="1" si="341"/>
        <v>0</v>
      </c>
      <c r="O204" s="7">
        <f t="shared" ca="1" si="341"/>
        <v>0</v>
      </c>
      <c r="P204" s="7">
        <f t="shared" ca="1" si="341"/>
        <v>0</v>
      </c>
      <c r="Q204" s="7">
        <f t="shared" ca="1" si="341"/>
        <v>0</v>
      </c>
      <c r="R204" s="7">
        <f t="shared" ca="1" si="341"/>
        <v>0</v>
      </c>
      <c r="S204" s="7">
        <f t="shared" ca="1" si="341"/>
        <v>0</v>
      </c>
      <c r="T204" s="7">
        <f t="shared" ca="1" si="341"/>
        <v>0</v>
      </c>
      <c r="U204" s="7">
        <f t="shared" ca="1" si="341"/>
        <v>0</v>
      </c>
      <c r="V204" s="7">
        <f t="shared" ca="1" si="341"/>
        <v>0</v>
      </c>
      <c r="W204" s="7">
        <f t="shared" ca="1" si="341"/>
        <v>0</v>
      </c>
      <c r="X204" s="7">
        <f t="shared" ca="1" si="341"/>
        <v>0</v>
      </c>
      <c r="Y204" s="7">
        <f t="shared" ca="1" si="341"/>
        <v>0</v>
      </c>
      <c r="Z204" s="7">
        <f t="shared" ca="1" si="341"/>
        <v>0</v>
      </c>
      <c r="AA204" s="7">
        <f t="shared" ca="1" si="341"/>
        <v>0</v>
      </c>
      <c r="AB204" s="7">
        <f t="shared" ca="1" si="341"/>
        <v>0</v>
      </c>
      <c r="AC204" s="7">
        <f t="shared" ca="1" si="341"/>
        <v>0</v>
      </c>
      <c r="AD204" s="7">
        <f t="shared" ca="1" si="341"/>
        <v>0</v>
      </c>
      <c r="AE204" s="7">
        <f t="shared" ca="1" si="341"/>
        <v>0</v>
      </c>
      <c r="AF204" s="7">
        <f t="shared" ca="1" si="341"/>
        <v>0</v>
      </c>
      <c r="AG204" s="7">
        <f t="shared" ca="1" si="341"/>
        <v>0</v>
      </c>
      <c r="AH204" s="7">
        <f t="shared" ca="1" si="341"/>
        <v>0</v>
      </c>
      <c r="AI204" s="7">
        <f t="shared" ca="1" si="341"/>
        <v>0</v>
      </c>
      <c r="AJ204" s="7">
        <f t="shared" ca="1" si="341"/>
        <v>0</v>
      </c>
      <c r="AK204" s="7">
        <f t="shared" ca="1" si="341"/>
        <v>0</v>
      </c>
      <c r="AL204" s="7">
        <f t="shared" ca="1" si="341"/>
        <v>0</v>
      </c>
      <c r="AM204" s="7">
        <f t="shared" si="341"/>
        <v>0</v>
      </c>
    </row>
    <row r="205" spans="1:39" x14ac:dyDescent="0.2">
      <c r="A205" s="3" t="s">
        <v>30</v>
      </c>
      <c r="C205" s="7">
        <f t="shared" ref="C205:AM205" ca="1" si="342">IFERROR(-IF(C200=0,VLOOKUP($A199,$8:$12,C$1+2,FALSE),0),0)</f>
        <v>0</v>
      </c>
      <c r="D205" s="7">
        <f t="shared" ca="1" si="342"/>
        <v>0</v>
      </c>
      <c r="E205" s="7">
        <f t="shared" ca="1" si="342"/>
        <v>0</v>
      </c>
      <c r="F205" s="7">
        <f t="shared" ca="1" si="342"/>
        <v>0</v>
      </c>
      <c r="G205" s="7">
        <f t="shared" ca="1" si="342"/>
        <v>0</v>
      </c>
      <c r="H205" s="7">
        <f t="shared" ca="1" si="342"/>
        <v>0</v>
      </c>
      <c r="I205" s="7">
        <f t="shared" ca="1" si="342"/>
        <v>0</v>
      </c>
      <c r="J205" s="7">
        <f t="shared" ca="1" si="342"/>
        <v>0</v>
      </c>
      <c r="K205" s="7">
        <f t="shared" ca="1" si="342"/>
        <v>0</v>
      </c>
      <c r="L205" s="7">
        <f t="shared" ca="1" si="342"/>
        <v>0</v>
      </c>
      <c r="M205" s="7">
        <f t="shared" ca="1" si="342"/>
        <v>0</v>
      </c>
      <c r="N205" s="7">
        <f t="shared" ca="1" si="342"/>
        <v>0</v>
      </c>
      <c r="O205" s="7">
        <f t="shared" ca="1" si="342"/>
        <v>0</v>
      </c>
      <c r="P205" s="7">
        <f t="shared" ca="1" si="342"/>
        <v>0</v>
      </c>
      <c r="Q205" s="7">
        <f t="shared" ca="1" si="342"/>
        <v>0</v>
      </c>
      <c r="R205" s="7">
        <f t="shared" ca="1" si="342"/>
        <v>0</v>
      </c>
      <c r="S205" s="7">
        <f t="shared" ca="1" si="342"/>
        <v>0</v>
      </c>
      <c r="T205" s="7">
        <f t="shared" ca="1" si="342"/>
        <v>0</v>
      </c>
      <c r="U205" s="7">
        <f t="shared" ca="1" si="342"/>
        <v>0</v>
      </c>
      <c r="V205" s="7">
        <f t="shared" ca="1" si="342"/>
        <v>0</v>
      </c>
      <c r="W205" s="7">
        <f t="shared" ca="1" si="342"/>
        <v>0</v>
      </c>
      <c r="X205" s="7">
        <f t="shared" ca="1" si="342"/>
        <v>0</v>
      </c>
      <c r="Y205" s="7">
        <f t="shared" ca="1" si="342"/>
        <v>0</v>
      </c>
      <c r="Z205" s="7">
        <f t="shared" ca="1" si="342"/>
        <v>0</v>
      </c>
      <c r="AA205" s="7">
        <f t="shared" ca="1" si="342"/>
        <v>0</v>
      </c>
      <c r="AB205" s="7">
        <f t="shared" ca="1" si="342"/>
        <v>0</v>
      </c>
      <c r="AC205" s="7">
        <f t="shared" ca="1" si="342"/>
        <v>0</v>
      </c>
      <c r="AD205" s="7">
        <f t="shared" ca="1" si="342"/>
        <v>0</v>
      </c>
      <c r="AE205" s="7">
        <f t="shared" ca="1" si="342"/>
        <v>0</v>
      </c>
      <c r="AF205" s="7">
        <f t="shared" ca="1" si="342"/>
        <v>0</v>
      </c>
      <c r="AG205" s="7">
        <f t="shared" ca="1" si="342"/>
        <v>0</v>
      </c>
      <c r="AH205" s="7">
        <f t="shared" ca="1" si="342"/>
        <v>0</v>
      </c>
      <c r="AI205" s="7">
        <f t="shared" ca="1" si="342"/>
        <v>0</v>
      </c>
      <c r="AJ205" s="7">
        <f t="shared" ca="1" si="342"/>
        <v>0</v>
      </c>
      <c r="AK205" s="7">
        <f t="shared" ca="1" si="342"/>
        <v>0</v>
      </c>
      <c r="AL205" s="7">
        <f t="shared" ca="1" si="342"/>
        <v>0</v>
      </c>
      <c r="AM205" s="7">
        <f t="shared" ca="1" si="342"/>
        <v>0</v>
      </c>
    </row>
    <row r="206" spans="1:39" x14ac:dyDescent="0.2">
      <c r="A206" s="3" t="s">
        <v>49</v>
      </c>
      <c r="C206" s="7">
        <f t="shared" ref="C206:AM206" ca="1" si="343">IFERROR(IF(C200=0,VLOOKUP($A199,$46:$50,C$1+2,FALSE),0),0)</f>
        <v>0</v>
      </c>
      <c r="D206" s="7">
        <f t="shared" ca="1" si="343"/>
        <v>0</v>
      </c>
      <c r="E206" s="7">
        <f t="shared" ca="1" si="343"/>
        <v>0</v>
      </c>
      <c r="F206" s="7">
        <f t="shared" ca="1" si="343"/>
        <v>0</v>
      </c>
      <c r="G206" s="7">
        <f t="shared" ca="1" si="343"/>
        <v>0</v>
      </c>
      <c r="H206" s="7">
        <f t="shared" ca="1" si="343"/>
        <v>0</v>
      </c>
      <c r="I206" s="7">
        <f t="shared" ca="1" si="343"/>
        <v>0</v>
      </c>
      <c r="J206" s="7">
        <f t="shared" ca="1" si="343"/>
        <v>0</v>
      </c>
      <c r="K206" s="7">
        <f t="shared" ca="1" si="343"/>
        <v>0</v>
      </c>
      <c r="L206" s="7">
        <f t="shared" ca="1" si="343"/>
        <v>0</v>
      </c>
      <c r="M206" s="7">
        <f t="shared" ca="1" si="343"/>
        <v>0</v>
      </c>
      <c r="N206" s="7">
        <f t="shared" ca="1" si="343"/>
        <v>0</v>
      </c>
      <c r="O206" s="7">
        <f t="shared" ca="1" si="343"/>
        <v>0</v>
      </c>
      <c r="P206" s="7">
        <f t="shared" ca="1" si="343"/>
        <v>0</v>
      </c>
      <c r="Q206" s="7">
        <f t="shared" ca="1" si="343"/>
        <v>0</v>
      </c>
      <c r="R206" s="7">
        <f t="shared" ca="1" si="343"/>
        <v>0</v>
      </c>
      <c r="S206" s="7">
        <f t="shared" ca="1" si="343"/>
        <v>0</v>
      </c>
      <c r="T206" s="7">
        <f t="shared" ca="1" si="343"/>
        <v>0</v>
      </c>
      <c r="U206" s="7">
        <f t="shared" ca="1" si="343"/>
        <v>0</v>
      </c>
      <c r="V206" s="7">
        <f t="shared" ca="1" si="343"/>
        <v>0</v>
      </c>
      <c r="W206" s="7">
        <f t="shared" ca="1" si="343"/>
        <v>0</v>
      </c>
      <c r="X206" s="7">
        <f t="shared" ca="1" si="343"/>
        <v>0</v>
      </c>
      <c r="Y206" s="7">
        <f t="shared" ca="1" si="343"/>
        <v>0</v>
      </c>
      <c r="Z206" s="7">
        <f t="shared" ca="1" si="343"/>
        <v>0</v>
      </c>
      <c r="AA206" s="7">
        <f t="shared" ca="1" si="343"/>
        <v>0</v>
      </c>
      <c r="AB206" s="7">
        <f t="shared" ca="1" si="343"/>
        <v>0</v>
      </c>
      <c r="AC206" s="7">
        <f t="shared" ca="1" si="343"/>
        <v>0</v>
      </c>
      <c r="AD206" s="7">
        <f t="shared" ca="1" si="343"/>
        <v>0</v>
      </c>
      <c r="AE206" s="7">
        <f t="shared" ca="1" si="343"/>
        <v>0</v>
      </c>
      <c r="AF206" s="7">
        <f t="shared" ca="1" si="343"/>
        <v>0</v>
      </c>
      <c r="AG206" s="7">
        <f t="shared" ca="1" si="343"/>
        <v>0</v>
      </c>
      <c r="AH206" s="7">
        <f t="shared" ca="1" si="343"/>
        <v>0</v>
      </c>
      <c r="AI206" s="7">
        <f t="shared" ca="1" si="343"/>
        <v>0</v>
      </c>
      <c r="AJ206" s="7">
        <f t="shared" ca="1" si="343"/>
        <v>0</v>
      </c>
      <c r="AK206" s="7">
        <f t="shared" ca="1" si="343"/>
        <v>0</v>
      </c>
      <c r="AL206" s="7">
        <f t="shared" ca="1" si="343"/>
        <v>0</v>
      </c>
      <c r="AM206" s="7">
        <f t="shared" ca="1" si="343"/>
        <v>0</v>
      </c>
    </row>
    <row r="207" spans="1:39" x14ac:dyDescent="0.2">
      <c r="A207" s="3" t="s">
        <v>35</v>
      </c>
      <c r="B207" s="14" t="str">
        <f>A199</f>
        <v>Marsa</v>
      </c>
      <c r="C207" s="7">
        <f t="shared" ref="C207:AM207" ca="1" si="344">IF(AND(C200&gt;0,C203=0),VLOOKUP($A199,$85:$94,C$1+2,FALSE),0)</f>
        <v>0</v>
      </c>
      <c r="D207" s="7">
        <f t="shared" ca="1" si="344"/>
        <v>0</v>
      </c>
      <c r="E207" s="7">
        <f t="shared" ca="1" si="344"/>
        <v>0</v>
      </c>
      <c r="F207" s="7">
        <f t="shared" ca="1" si="344"/>
        <v>0</v>
      </c>
      <c r="G207" s="7">
        <f t="shared" ca="1" si="344"/>
        <v>0</v>
      </c>
      <c r="H207" s="7">
        <f t="shared" ca="1" si="344"/>
        <v>0</v>
      </c>
      <c r="I207" s="7">
        <f t="shared" ca="1" si="344"/>
        <v>0</v>
      </c>
      <c r="J207" s="7">
        <f t="shared" ca="1" si="344"/>
        <v>0</v>
      </c>
      <c r="K207" s="7">
        <f t="shared" ca="1" si="344"/>
        <v>0</v>
      </c>
      <c r="L207" s="7">
        <f t="shared" ca="1" si="344"/>
        <v>0</v>
      </c>
      <c r="M207" s="7">
        <f t="shared" ca="1" si="344"/>
        <v>0</v>
      </c>
      <c r="N207" s="7">
        <f t="shared" ca="1" si="344"/>
        <v>0</v>
      </c>
      <c r="O207" s="7">
        <f t="shared" ca="1" si="344"/>
        <v>0</v>
      </c>
      <c r="P207" s="7">
        <f t="shared" ca="1" si="344"/>
        <v>0</v>
      </c>
      <c r="Q207" s="7">
        <f t="shared" ca="1" si="344"/>
        <v>0</v>
      </c>
      <c r="R207" s="7">
        <f t="shared" ca="1" si="344"/>
        <v>0</v>
      </c>
      <c r="S207" s="7">
        <f t="shared" ca="1" si="344"/>
        <v>0</v>
      </c>
      <c r="T207" s="7">
        <f t="shared" ca="1" si="344"/>
        <v>0</v>
      </c>
      <c r="U207" s="7">
        <f t="shared" ca="1" si="344"/>
        <v>0</v>
      </c>
      <c r="V207" s="7">
        <f t="shared" ca="1" si="344"/>
        <v>0</v>
      </c>
      <c r="W207" s="7">
        <f t="shared" ca="1" si="344"/>
        <v>0</v>
      </c>
      <c r="X207" s="7">
        <f t="shared" ca="1" si="344"/>
        <v>0</v>
      </c>
      <c r="Y207" s="7">
        <f t="shared" ca="1" si="344"/>
        <v>0</v>
      </c>
      <c r="Z207" s="7">
        <f t="shared" ca="1" si="344"/>
        <v>0</v>
      </c>
      <c r="AA207" s="7">
        <f t="shared" ca="1" si="344"/>
        <v>0</v>
      </c>
      <c r="AB207" s="7">
        <f t="shared" ca="1" si="344"/>
        <v>0</v>
      </c>
      <c r="AC207" s="7">
        <f t="shared" ca="1" si="344"/>
        <v>0</v>
      </c>
      <c r="AD207" s="7">
        <f t="shared" ca="1" si="344"/>
        <v>0</v>
      </c>
      <c r="AE207" s="7">
        <f t="shared" ca="1" si="344"/>
        <v>0</v>
      </c>
      <c r="AF207" s="7">
        <f t="shared" ca="1" si="344"/>
        <v>0</v>
      </c>
      <c r="AG207" s="7">
        <f t="shared" ca="1" si="344"/>
        <v>0</v>
      </c>
      <c r="AH207" s="7">
        <f t="shared" ca="1" si="344"/>
        <v>0</v>
      </c>
      <c r="AI207" s="7">
        <f t="shared" ca="1" si="344"/>
        <v>0</v>
      </c>
      <c r="AJ207" s="7">
        <f t="shared" ca="1" si="344"/>
        <v>0</v>
      </c>
      <c r="AK207" s="7">
        <f t="shared" ca="1" si="344"/>
        <v>0</v>
      </c>
      <c r="AL207" s="7">
        <f t="shared" ca="1" si="344"/>
        <v>0</v>
      </c>
      <c r="AM207" s="7">
        <f t="shared" ca="1" si="344"/>
        <v>0</v>
      </c>
    </row>
    <row r="208" spans="1:39" x14ac:dyDescent="0.2">
      <c r="A208" s="3" t="s">
        <v>36</v>
      </c>
      <c r="C208" s="7">
        <f ca="1">-C201+SUM(C204:C207)</f>
        <v>0</v>
      </c>
      <c r="D208" s="7">
        <f t="shared" ref="D208" ca="1" si="345">-D201+SUM(D204:D207)</f>
        <v>0</v>
      </c>
      <c r="E208" s="7">
        <f t="shared" ref="E208:AM208" ca="1" si="346">-E201+SUM(E204:E207)</f>
        <v>0</v>
      </c>
      <c r="F208" s="7">
        <f t="shared" ca="1" si="346"/>
        <v>0</v>
      </c>
      <c r="G208" s="7">
        <f t="shared" ca="1" si="346"/>
        <v>0</v>
      </c>
      <c r="H208" s="7">
        <f t="shared" ca="1" si="346"/>
        <v>0</v>
      </c>
      <c r="I208" s="7">
        <f t="shared" ca="1" si="346"/>
        <v>0</v>
      </c>
      <c r="J208" s="7">
        <f t="shared" ca="1" si="346"/>
        <v>0</v>
      </c>
      <c r="K208" s="7">
        <f t="shared" ca="1" si="346"/>
        <v>0</v>
      </c>
      <c r="L208" s="7">
        <f t="shared" ca="1" si="346"/>
        <v>0</v>
      </c>
      <c r="M208" s="7">
        <f t="shared" ca="1" si="346"/>
        <v>0</v>
      </c>
      <c r="N208" s="7">
        <f t="shared" ca="1" si="346"/>
        <v>0</v>
      </c>
      <c r="O208" s="7">
        <f t="shared" ca="1" si="346"/>
        <v>0</v>
      </c>
      <c r="P208" s="7">
        <f t="shared" ca="1" si="346"/>
        <v>0</v>
      </c>
      <c r="Q208" s="7">
        <f t="shared" ca="1" si="346"/>
        <v>0</v>
      </c>
      <c r="R208" s="7">
        <f t="shared" ca="1" si="346"/>
        <v>0</v>
      </c>
      <c r="S208" s="7">
        <f t="shared" ca="1" si="346"/>
        <v>0</v>
      </c>
      <c r="T208" s="7">
        <f t="shared" ca="1" si="346"/>
        <v>0</v>
      </c>
      <c r="U208" s="7">
        <f t="shared" ca="1" si="346"/>
        <v>0</v>
      </c>
      <c r="V208" s="7">
        <f t="shared" ca="1" si="346"/>
        <v>0</v>
      </c>
      <c r="W208" s="7">
        <f t="shared" ca="1" si="346"/>
        <v>0</v>
      </c>
      <c r="X208" s="7">
        <f t="shared" ca="1" si="346"/>
        <v>0</v>
      </c>
      <c r="Y208" s="7">
        <f t="shared" ca="1" si="346"/>
        <v>0</v>
      </c>
      <c r="Z208" s="7">
        <f t="shared" ca="1" si="346"/>
        <v>0</v>
      </c>
      <c r="AA208" s="7">
        <f t="shared" ca="1" si="346"/>
        <v>0</v>
      </c>
      <c r="AB208" s="7">
        <f t="shared" ca="1" si="346"/>
        <v>0</v>
      </c>
      <c r="AC208" s="7">
        <f t="shared" ca="1" si="346"/>
        <v>0</v>
      </c>
      <c r="AD208" s="7">
        <f t="shared" ca="1" si="346"/>
        <v>0</v>
      </c>
      <c r="AE208" s="7">
        <f t="shared" ca="1" si="346"/>
        <v>0</v>
      </c>
      <c r="AF208" s="7">
        <f t="shared" ca="1" si="346"/>
        <v>0</v>
      </c>
      <c r="AG208" s="7">
        <f t="shared" ca="1" si="346"/>
        <v>0</v>
      </c>
      <c r="AH208" s="7">
        <f t="shared" ca="1" si="346"/>
        <v>0</v>
      </c>
      <c r="AI208" s="7">
        <f t="shared" ca="1" si="346"/>
        <v>0</v>
      </c>
      <c r="AJ208" s="7">
        <f t="shared" ca="1" si="346"/>
        <v>0</v>
      </c>
      <c r="AK208" s="7">
        <f t="shared" ca="1" si="346"/>
        <v>0</v>
      </c>
      <c r="AL208" s="7">
        <f t="shared" ca="1" si="346"/>
        <v>0</v>
      </c>
      <c r="AM208" s="7">
        <f t="shared" ca="1" si="346"/>
        <v>0</v>
      </c>
    </row>
    <row r="209" spans="1:39" x14ac:dyDescent="0.2">
      <c r="A209" s="3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</row>
    <row r="210" spans="1:39" x14ac:dyDescent="0.2">
      <c r="A210" s="3" t="s">
        <v>70</v>
      </c>
      <c r="C210" s="7">
        <f ca="1">C196+SUM($C208:C208)</f>
        <v>16108.4375</v>
      </c>
      <c r="D210" s="7">
        <f ca="1">D196+SUM($C208:D208)</f>
        <v>30012.145312499997</v>
      </c>
      <c r="E210" s="7">
        <f ca="1">E196+SUM($C208:E208)</f>
        <v>50169.6494140625</v>
      </c>
      <c r="F210" s="7">
        <f ca="1">F196+SUM($C208:F208)</f>
        <v>52227.783801841113</v>
      </c>
      <c r="G210" s="7">
        <f ca="1">G196+SUM($C208:G208)</f>
        <v>250455.15989583102</v>
      </c>
      <c r="H210" s="7">
        <f ca="1">H196+SUM($C208:H208)</f>
        <v>296986.84009098983</v>
      </c>
      <c r="I210" s="7">
        <f ca="1">I196+SUM($C208:I208)</f>
        <v>363754.64435619779</v>
      </c>
      <c r="J210" s="7">
        <f ca="1">J196+SUM($C208:J208)</f>
        <v>435067.93012454931</v>
      </c>
      <c r="K210" s="7">
        <f ca="1">K196+SUM($C208:K208)</f>
        <v>493116.96835998015</v>
      </c>
      <c r="L210" s="7">
        <f ca="1">L196+SUM($C208:L208)</f>
        <v>638212.2751736166</v>
      </c>
      <c r="M210" s="7">
        <f ca="1">M196+SUM($C208:M208)</f>
        <v>695163.71186735749</v>
      </c>
      <c r="N210" s="7">
        <f ca="1">N196+SUM($C208:N208)</f>
        <v>805771.16934020713</v>
      </c>
      <c r="O210" s="7">
        <f ca="1">O196+SUM($C208:O208)</f>
        <v>922222.00124800857</v>
      </c>
      <c r="P210" s="7">
        <f ca="1">P196+SUM($C208:P208)</f>
        <v>1044762.6085180258</v>
      </c>
      <c r="Q210" s="7">
        <f ca="1">Q196+SUM($C208:Q208)</f>
        <v>1173648.7608708572</v>
      </c>
      <c r="R210" s="7">
        <f ca="1">R196+SUM($C208:R208)</f>
        <v>1309145.9322852024</v>
      </c>
      <c r="S210" s="7">
        <f ca="1">S196+SUM($C208:S208)</f>
        <v>1451529.6480111426</v>
      </c>
      <c r="T210" s="7">
        <f ca="1">T196+SUM($C208:T208)</f>
        <v>1491855.4011356728</v>
      </c>
      <c r="U210" s="7">
        <f ca="1">U196+SUM($C208:U208)</f>
        <v>1541415.1978627439</v>
      </c>
      <c r="V210" s="7">
        <f ca="1">V196+SUM($C208:V208)</f>
        <v>1592757.5777099284</v>
      </c>
      <c r="W210" s="7">
        <f ca="1">W196+SUM($C208:W208)</f>
        <v>1645948.7425475621</v>
      </c>
      <c r="X210" s="7">
        <f ca="1">X196+SUM($C208:X208)</f>
        <v>1701057.3316526653</v>
      </c>
      <c r="Y210" s="7">
        <f ca="1">Y196+SUM($C208:Y208)</f>
        <v>1737237.4169653396</v>
      </c>
      <c r="Z210" s="7">
        <f ca="1">Z196+SUM($C208:Z208)</f>
        <v>1774434.0167242812</v>
      </c>
      <c r="AA210" s="7">
        <f ca="1">AA196+SUM($C208:AA208)</f>
        <v>1812684.4017288706</v>
      </c>
      <c r="AB210" s="7">
        <f ca="1">AB196+SUM($C208:AB208)</f>
        <v>1852027.3427258399</v>
      </c>
      <c r="AC210" s="7">
        <f ca="1">AC196+SUM($C208:AC208)</f>
        <v>1892503.1702642585</v>
      </c>
      <c r="AD210" s="7">
        <f ca="1">AD196+SUM($C208:AD208)</f>
        <v>1934153.8368503558</v>
      </c>
      <c r="AE210" s="7">
        <f ca="1">AE196+SUM($C208:AE208)</f>
        <v>1987130.2375195618</v>
      </c>
      <c r="AF210" s="7">
        <f ca="1">AF196+SUM($C208:AF208)</f>
        <v>2041875.8715530399</v>
      </c>
      <c r="AG210" s="7">
        <f ca="1">AG196+SUM($C208:AG208)</f>
        <v>2098456.905652951</v>
      </c>
      <c r="AH210" s="7">
        <f ca="1">AH196+SUM($C208:AH208)</f>
        <v>2156942.0335442415</v>
      </c>
      <c r="AI210" s="7">
        <f ca="1">AI196+SUM($C208:AI208)</f>
        <v>2217402.5707053514</v>
      </c>
      <c r="AJ210" s="7">
        <f ca="1">AJ196+SUM($C208:AJ208)</f>
        <v>2279912.5525480784</v>
      </c>
      <c r="AK210" s="7">
        <f ca="1">AK196+SUM($C208:AK208)</f>
        <v>2344548.8361686133</v>
      </c>
      <c r="AL210" s="7">
        <f ca="1">AL196+SUM($C208:AL208)</f>
        <v>2411391.2057959661</v>
      </c>
      <c r="AM210" s="7">
        <f ca="1">AM196+SUM($C208:AM208)</f>
        <v>2480522.4820683482</v>
      </c>
    </row>
    <row r="211" spans="1:39" x14ac:dyDescent="0.2">
      <c r="A211" s="3" t="s">
        <v>67</v>
      </c>
      <c r="C211" s="7">
        <f t="shared" ref="C211:AM211" ca="1" si="347">MAX(C210+buffer,0)-MAX(C196+buffer,0)</f>
        <v>0</v>
      </c>
      <c r="D211" s="7">
        <f t="shared" ca="1" si="347"/>
        <v>0</v>
      </c>
      <c r="E211" s="7">
        <f t="shared" ca="1" si="347"/>
        <v>0</v>
      </c>
      <c r="F211" s="7">
        <f t="shared" ca="1" si="347"/>
        <v>0</v>
      </c>
      <c r="G211" s="7">
        <f t="shared" ca="1" si="347"/>
        <v>0</v>
      </c>
      <c r="H211" s="7">
        <f t="shared" ca="1" si="347"/>
        <v>0</v>
      </c>
      <c r="I211" s="7">
        <f t="shared" ca="1" si="347"/>
        <v>0</v>
      </c>
      <c r="J211" s="7">
        <f t="shared" ca="1" si="347"/>
        <v>0</v>
      </c>
      <c r="K211" s="7">
        <f t="shared" ca="1" si="347"/>
        <v>0</v>
      </c>
      <c r="L211" s="7">
        <f t="shared" ca="1" si="347"/>
        <v>0</v>
      </c>
      <c r="M211" s="7">
        <f t="shared" ca="1" si="347"/>
        <v>0</v>
      </c>
      <c r="N211" s="7">
        <f t="shared" ca="1" si="347"/>
        <v>0</v>
      </c>
      <c r="O211" s="7">
        <f t="shared" ca="1" si="347"/>
        <v>0</v>
      </c>
      <c r="P211" s="7">
        <f t="shared" ca="1" si="347"/>
        <v>0</v>
      </c>
      <c r="Q211" s="7">
        <f t="shared" ca="1" si="347"/>
        <v>0</v>
      </c>
      <c r="R211" s="7">
        <f t="shared" ca="1" si="347"/>
        <v>0</v>
      </c>
      <c r="S211" s="7">
        <f t="shared" ca="1" si="347"/>
        <v>0</v>
      </c>
      <c r="T211" s="7">
        <f t="shared" ca="1" si="347"/>
        <v>0</v>
      </c>
      <c r="U211" s="7">
        <f t="shared" ca="1" si="347"/>
        <v>0</v>
      </c>
      <c r="V211" s="7">
        <f t="shared" ca="1" si="347"/>
        <v>0</v>
      </c>
      <c r="W211" s="7">
        <f t="shared" ca="1" si="347"/>
        <v>0</v>
      </c>
      <c r="X211" s="7">
        <f t="shared" ca="1" si="347"/>
        <v>0</v>
      </c>
      <c r="Y211" s="7">
        <f t="shared" ca="1" si="347"/>
        <v>0</v>
      </c>
      <c r="Z211" s="7">
        <f t="shared" ca="1" si="347"/>
        <v>0</v>
      </c>
      <c r="AA211" s="7">
        <f t="shared" ca="1" si="347"/>
        <v>0</v>
      </c>
      <c r="AB211" s="7">
        <f t="shared" ca="1" si="347"/>
        <v>0</v>
      </c>
      <c r="AC211" s="7">
        <f t="shared" ca="1" si="347"/>
        <v>0</v>
      </c>
      <c r="AD211" s="7">
        <f t="shared" ca="1" si="347"/>
        <v>0</v>
      </c>
      <c r="AE211" s="7">
        <f t="shared" ca="1" si="347"/>
        <v>0</v>
      </c>
      <c r="AF211" s="7">
        <f t="shared" ca="1" si="347"/>
        <v>0</v>
      </c>
      <c r="AG211" s="7">
        <f t="shared" ca="1" si="347"/>
        <v>0</v>
      </c>
      <c r="AH211" s="7">
        <f t="shared" ca="1" si="347"/>
        <v>0</v>
      </c>
      <c r="AI211" s="7">
        <f t="shared" ca="1" si="347"/>
        <v>0</v>
      </c>
      <c r="AJ211" s="7">
        <f t="shared" ca="1" si="347"/>
        <v>0</v>
      </c>
      <c r="AK211" s="7">
        <f t="shared" ca="1" si="347"/>
        <v>0</v>
      </c>
      <c r="AL211" s="7">
        <f t="shared" ca="1" si="347"/>
        <v>0</v>
      </c>
      <c r="AM211" s="7">
        <f t="shared" ca="1" si="347"/>
        <v>0</v>
      </c>
    </row>
    <row r="212" spans="1:39" x14ac:dyDescent="0.2">
      <c r="A212" s="3" t="s">
        <v>68</v>
      </c>
      <c r="C212" s="7">
        <f ca="1">C211*Inputs!$B$269</f>
        <v>0</v>
      </c>
      <c r="D212" s="7">
        <f ca="1">D211*Inputs!$B$269</f>
        <v>0</v>
      </c>
      <c r="E212" s="7">
        <f ca="1">E211*Inputs!$B$269</f>
        <v>0</v>
      </c>
      <c r="F212" s="7">
        <f ca="1">F211*Inputs!$B$269</f>
        <v>0</v>
      </c>
      <c r="G212" s="7">
        <f ca="1">G211*Inputs!$B$269</f>
        <v>0</v>
      </c>
      <c r="H212" s="7">
        <f ca="1">H211*Inputs!$B$269</f>
        <v>0</v>
      </c>
      <c r="I212" s="7">
        <f ca="1">I211*Inputs!$B$269</f>
        <v>0</v>
      </c>
      <c r="J212" s="7">
        <f ca="1">J211*Inputs!$B$269</f>
        <v>0</v>
      </c>
      <c r="K212" s="7">
        <f ca="1">K211*Inputs!$B$269</f>
        <v>0</v>
      </c>
      <c r="L212" s="7">
        <f ca="1">L211*Inputs!$B$269</f>
        <v>0</v>
      </c>
      <c r="M212" s="7">
        <f ca="1">M211*Inputs!$B$269</f>
        <v>0</v>
      </c>
      <c r="N212" s="7">
        <f ca="1">N211*Inputs!$B$269</f>
        <v>0</v>
      </c>
      <c r="O212" s="7">
        <f ca="1">O211*Inputs!$B$269</f>
        <v>0</v>
      </c>
      <c r="P212" s="7">
        <f ca="1">P211*Inputs!$B$269</f>
        <v>0</v>
      </c>
      <c r="Q212" s="7">
        <f ca="1">Q211*Inputs!$B$269</f>
        <v>0</v>
      </c>
      <c r="R212" s="7">
        <f ca="1">R211*Inputs!$B$269</f>
        <v>0</v>
      </c>
      <c r="S212" s="7">
        <f ca="1">S211*Inputs!$B$269</f>
        <v>0</v>
      </c>
      <c r="T212" s="7">
        <f ca="1">T211*Inputs!$B$269</f>
        <v>0</v>
      </c>
      <c r="U212" s="7">
        <f ca="1">U211*Inputs!$B$269</f>
        <v>0</v>
      </c>
      <c r="V212" s="7">
        <f ca="1">V211*Inputs!$B$269</f>
        <v>0</v>
      </c>
      <c r="W212" s="7">
        <f ca="1">W211*Inputs!$B$269</f>
        <v>0</v>
      </c>
      <c r="X212" s="7">
        <f ca="1">X211*Inputs!$B$269</f>
        <v>0</v>
      </c>
      <c r="Y212" s="7">
        <f ca="1">Y211*Inputs!$B$269</f>
        <v>0</v>
      </c>
      <c r="Z212" s="7">
        <f ca="1">Z211*Inputs!$B$269</f>
        <v>0</v>
      </c>
      <c r="AA212" s="7">
        <f ca="1">AA211*Inputs!$B$269</f>
        <v>0</v>
      </c>
      <c r="AB212" s="7">
        <f ca="1">AB211*Inputs!$B$269</f>
        <v>0</v>
      </c>
      <c r="AC212" s="7">
        <f ca="1">AC211*Inputs!$B$269</f>
        <v>0</v>
      </c>
      <c r="AD212" s="7">
        <f ca="1">AD211*Inputs!$B$269</f>
        <v>0</v>
      </c>
      <c r="AE212" s="7">
        <f ca="1">AE211*Inputs!$B$269</f>
        <v>0</v>
      </c>
      <c r="AF212" s="7">
        <f ca="1">AF211*Inputs!$B$269</f>
        <v>0</v>
      </c>
      <c r="AG212" s="7">
        <f ca="1">AG211*Inputs!$B$269</f>
        <v>0</v>
      </c>
      <c r="AH212" s="7">
        <f ca="1">AH211*Inputs!$B$269</f>
        <v>0</v>
      </c>
      <c r="AI212" s="7">
        <f ca="1">AI211*Inputs!$B$269</f>
        <v>0</v>
      </c>
      <c r="AJ212" s="7">
        <f ca="1">AJ211*Inputs!$B$269</f>
        <v>0</v>
      </c>
      <c r="AK212" s="7">
        <f ca="1">AK211*Inputs!$B$269</f>
        <v>0</v>
      </c>
      <c r="AL212" s="7">
        <f ca="1">AL211*Inputs!$B$269</f>
        <v>0</v>
      </c>
      <c r="AM212" s="7">
        <f ca="1">AM211*Inputs!$B$269</f>
        <v>0</v>
      </c>
    </row>
    <row r="213" spans="1:39" x14ac:dyDescent="0.2">
      <c r="A213" s="3" t="s">
        <v>149</v>
      </c>
      <c r="C213" s="7">
        <f ca="1">C210+SUM($C212:C212)</f>
        <v>16108.4375</v>
      </c>
      <c r="D213" s="7">
        <f ca="1">D210+SUM($C212:D212)</f>
        <v>30012.145312499997</v>
      </c>
      <c r="E213" s="7">
        <f ca="1">E210+SUM($C212:E212)</f>
        <v>50169.6494140625</v>
      </c>
      <c r="F213" s="7">
        <f ca="1">F210+SUM($C212:F212)</f>
        <v>52227.783801841113</v>
      </c>
      <c r="G213" s="7">
        <f ca="1">G210+SUM($C212:G212)</f>
        <v>250455.15989583102</v>
      </c>
      <c r="H213" s="7">
        <f ca="1">H210+SUM($C212:H212)</f>
        <v>296986.84009098983</v>
      </c>
      <c r="I213" s="7">
        <f ca="1">I210+SUM($C212:I212)</f>
        <v>363754.64435619779</v>
      </c>
      <c r="J213" s="7">
        <f ca="1">J210+SUM($C212:J212)</f>
        <v>435067.93012454931</v>
      </c>
      <c r="K213" s="7">
        <f ca="1">K210+SUM($C212:K212)</f>
        <v>493116.96835998015</v>
      </c>
      <c r="L213" s="7">
        <f ca="1">L210+SUM($C212:L212)</f>
        <v>638212.2751736166</v>
      </c>
      <c r="M213" s="7">
        <f ca="1">M210+SUM($C212:M212)</f>
        <v>695163.71186735749</v>
      </c>
      <c r="N213" s="7">
        <f ca="1">N210+SUM($C212:N212)</f>
        <v>805771.16934020713</v>
      </c>
      <c r="O213" s="7">
        <f ca="1">O210+SUM($C212:O212)</f>
        <v>922222.00124800857</v>
      </c>
      <c r="P213" s="7">
        <f ca="1">P210+SUM($C212:P212)</f>
        <v>1044762.6085180258</v>
      </c>
      <c r="Q213" s="7">
        <f ca="1">Q210+SUM($C212:Q212)</f>
        <v>1173648.7608708572</v>
      </c>
      <c r="R213" s="7">
        <f ca="1">R210+SUM($C212:R212)</f>
        <v>1309145.9322852024</v>
      </c>
      <c r="S213" s="7">
        <f ca="1">S210+SUM($C212:S212)</f>
        <v>1451529.6480111426</v>
      </c>
      <c r="T213" s="7">
        <f ca="1">T210+SUM($C212:T212)</f>
        <v>1491855.4011356728</v>
      </c>
      <c r="U213" s="7">
        <f ca="1">U210+SUM($C212:U212)</f>
        <v>1541415.1978627439</v>
      </c>
      <c r="V213" s="7">
        <f ca="1">V210+SUM($C212:V212)</f>
        <v>1592757.5777099284</v>
      </c>
      <c r="W213" s="7">
        <f ca="1">W210+SUM($C212:W212)</f>
        <v>1645948.7425475621</v>
      </c>
      <c r="X213" s="7">
        <f ca="1">X210+SUM($C212:X212)</f>
        <v>1701057.3316526653</v>
      </c>
      <c r="Y213" s="7">
        <f ca="1">Y210+SUM($C212:Y212)</f>
        <v>1737237.4169653396</v>
      </c>
      <c r="Z213" s="7">
        <f ca="1">Z210+SUM($C212:Z212)</f>
        <v>1774434.0167242812</v>
      </c>
      <c r="AA213" s="7">
        <f ca="1">AA210+SUM($C212:AA212)</f>
        <v>1812684.4017288706</v>
      </c>
      <c r="AB213" s="7">
        <f ca="1">AB210+SUM($C212:AB212)</f>
        <v>1852027.3427258399</v>
      </c>
      <c r="AC213" s="7">
        <f ca="1">AC210+SUM($C212:AC212)</f>
        <v>1892503.1702642585</v>
      </c>
      <c r="AD213" s="7">
        <f ca="1">AD210+SUM($C212:AD212)</f>
        <v>1934153.8368503558</v>
      </c>
      <c r="AE213" s="7">
        <f ca="1">AE210+SUM($C212:AE212)</f>
        <v>1987130.2375195618</v>
      </c>
      <c r="AF213" s="7">
        <f ca="1">AF210+SUM($C212:AF212)</f>
        <v>2041875.8715530399</v>
      </c>
      <c r="AG213" s="7">
        <f ca="1">AG210+SUM($C212:AG212)</f>
        <v>2098456.905652951</v>
      </c>
      <c r="AH213" s="7">
        <f ca="1">AH210+SUM($C212:AH212)</f>
        <v>2156942.0335442415</v>
      </c>
      <c r="AI213" s="7">
        <f ca="1">AI210+SUM($C212:AI212)</f>
        <v>2217402.5707053514</v>
      </c>
      <c r="AJ213" s="7">
        <f ca="1">AJ210+SUM($C212:AJ212)</f>
        <v>2279912.5525480784</v>
      </c>
      <c r="AK213" s="7">
        <f ca="1">AK210+SUM($C212:AK212)</f>
        <v>2344548.8361686133</v>
      </c>
      <c r="AL213" s="7">
        <f ca="1">AL210+SUM($C212:AL212)</f>
        <v>2411391.2057959661</v>
      </c>
      <c r="AM213" s="7">
        <f ca="1">AM210+SUM($C212:AM212)</f>
        <v>2480522.4820683482</v>
      </c>
    </row>
    <row r="214" spans="1:39" x14ac:dyDescent="0.2">
      <c r="A214" s="3" t="s">
        <v>19</v>
      </c>
      <c r="C214" s="7">
        <f ca="1">IF(C213&lt;0,-C213,0)</f>
        <v>0</v>
      </c>
      <c r="D214" s="7">
        <f ca="1">IF(D213+SUM($C214:C214)&lt;0,-(D213+SUM($C214:C214)),0)</f>
        <v>0</v>
      </c>
      <c r="E214" s="7">
        <f ca="1">IF(E213+SUM($C214:D214)&lt;0,-(E213+SUM($C214:D214)),0)</f>
        <v>0</v>
      </c>
      <c r="F214" s="7">
        <f ca="1">IF(F213+SUM($C214:E214)&lt;0,-(F213+SUM($C214:E214)),0)</f>
        <v>0</v>
      </c>
      <c r="G214" s="7">
        <f ca="1">IF(G213+SUM($C214:F214)&lt;0,-(G213+SUM($C214:F214)),0)</f>
        <v>0</v>
      </c>
      <c r="H214" s="7">
        <f ca="1">IF(H213+SUM($C214:G214)&lt;0,-(H213+SUM($C214:G214)),0)</f>
        <v>0</v>
      </c>
      <c r="I214" s="7">
        <f ca="1">IF(I213+SUM($C214:H214)&lt;0,-(I213+SUM($C214:H214)),0)</f>
        <v>0</v>
      </c>
      <c r="J214" s="7">
        <f ca="1">IF(J213+SUM($C214:I214)&lt;0,-(J213+SUM($C214:I214)),0)</f>
        <v>0</v>
      </c>
      <c r="K214" s="7">
        <f ca="1">IF(K213+SUM($C214:J214)&lt;0,-(K213+SUM($C214:J214)),0)</f>
        <v>0</v>
      </c>
      <c r="L214" s="7">
        <f ca="1">IF(L213+SUM($C214:K214)&lt;0,-(L213+SUM($C214:K214)),0)</f>
        <v>0</v>
      </c>
      <c r="M214" s="7">
        <f ca="1">IF(M213+SUM($C214:L214)&lt;0,-(M213+SUM($C214:L214)),0)</f>
        <v>0</v>
      </c>
      <c r="N214" s="7">
        <f ca="1">IF(N213+SUM($C214:M214)&lt;0,-(N213+SUM($C214:M214)),0)</f>
        <v>0</v>
      </c>
      <c r="O214" s="7">
        <f ca="1">IF(O213+SUM($C214:N214)&lt;0,-(O213+SUM($C214:N214)),0)</f>
        <v>0</v>
      </c>
      <c r="P214" s="7">
        <f ca="1">IF(P213+SUM($C214:O214)&lt;0,-(P213+SUM($C214:O214)),0)</f>
        <v>0</v>
      </c>
      <c r="Q214" s="7">
        <f ca="1">IF(Q213+SUM($C214:P214)&lt;0,-(Q213+SUM($C214:P214)),0)</f>
        <v>0</v>
      </c>
      <c r="R214" s="7">
        <f ca="1">IF(R213+SUM($C214:Q214)&lt;0,-(R213+SUM($C214:Q214)),0)</f>
        <v>0</v>
      </c>
      <c r="S214" s="7">
        <f ca="1">IF(S213+SUM($C214:R214)&lt;0,-(S213+SUM($C214:R214)),0)</f>
        <v>0</v>
      </c>
      <c r="T214" s="7">
        <f ca="1">IF(T213+SUM($C214:S214)&lt;0,-(T213+SUM($C214:S214)),0)</f>
        <v>0</v>
      </c>
      <c r="U214" s="7">
        <f ca="1">IF(U213+SUM($C214:T214)&lt;0,-(U213+SUM($C214:T214)),0)</f>
        <v>0</v>
      </c>
      <c r="V214" s="7">
        <f ca="1">IF(V213+SUM($C214:U214)&lt;0,-(V213+SUM($C214:U214)),0)</f>
        <v>0</v>
      </c>
      <c r="W214" s="7">
        <f ca="1">IF(W213+SUM($C214:V214)&lt;0,-(W213+SUM($C214:V214)),0)</f>
        <v>0</v>
      </c>
      <c r="X214" s="7">
        <f ca="1">IF(X213+SUM($C214:W214)&lt;0,-(X213+SUM($C214:W214)),0)</f>
        <v>0</v>
      </c>
      <c r="Y214" s="7">
        <f ca="1">IF(Y213+SUM($C214:X214)&lt;0,-(Y213+SUM($C214:X214)),0)</f>
        <v>0</v>
      </c>
      <c r="Z214" s="7">
        <f ca="1">IF(Z213+SUM($C214:Y214)&lt;0,-(Z213+SUM($C214:Y214)),0)</f>
        <v>0</v>
      </c>
      <c r="AA214" s="7">
        <f ca="1">IF(AA213+SUM($C214:Z214)&lt;0,-(AA213+SUM($C214:Z214)),0)</f>
        <v>0</v>
      </c>
      <c r="AB214" s="7">
        <f ca="1">IF(AB213+SUM($C214:AA214)&lt;0,-(AB213+SUM($C214:AA214)),0)</f>
        <v>0</v>
      </c>
      <c r="AC214" s="7">
        <f ca="1">IF(AC213+SUM($C214:AB214)&lt;0,-(AC213+SUM($C214:AB214)),0)</f>
        <v>0</v>
      </c>
      <c r="AD214" s="7">
        <f ca="1">IF(AD213+SUM($C214:AC214)&lt;0,-(AD213+SUM($C214:AC214)),0)</f>
        <v>0</v>
      </c>
      <c r="AE214" s="7">
        <f ca="1">IF(AE213+SUM($C214:AD214)&lt;0,-(AE213+SUM($C214:AD214)),0)</f>
        <v>0</v>
      </c>
      <c r="AF214" s="7">
        <f ca="1">IF(AF213+SUM($C214:AE214)&lt;0,-(AF213+SUM($C214:AE214)),0)</f>
        <v>0</v>
      </c>
      <c r="AG214" s="7">
        <f ca="1">IF(AG213+SUM($C214:AF214)&lt;0,-(AG213+SUM($C214:AF214)),0)</f>
        <v>0</v>
      </c>
      <c r="AH214" s="7">
        <f ca="1">IF(AH213+SUM($C214:AG214)&lt;0,-(AH213+SUM($C214:AG214)),0)</f>
        <v>0</v>
      </c>
      <c r="AI214" s="7">
        <f ca="1">IF(AI213+SUM($C214:AH214)&lt;0,-(AI213+SUM($C214:AH214)),0)</f>
        <v>0</v>
      </c>
      <c r="AJ214" s="7">
        <f ca="1">IF(AJ213+SUM($C214:AI214)&lt;0,-(AJ213+SUM($C214:AI214)),0)</f>
        <v>0</v>
      </c>
      <c r="AK214" s="7">
        <f ca="1">IF(AK213+SUM($C214:AJ214)&lt;0,-(AK213+SUM($C214:AJ214)),0)</f>
        <v>0</v>
      </c>
      <c r="AL214" s="7">
        <f ca="1">IF(AL213+SUM($C214:AK214)&lt;0,-(AL213+SUM($C214:AK214)),0)</f>
        <v>0</v>
      </c>
      <c r="AM214" s="7">
        <f ca="1">IF(AM213+SUM($C214:AL214)&lt;0,-(AM213+SUM($C214:AL214)),0)</f>
        <v>0</v>
      </c>
    </row>
    <row r="215" spans="1:39" x14ac:dyDescent="0.2"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</row>
    <row r="216" spans="1:39" x14ac:dyDescent="0.2">
      <c r="A216" s="24" t="str">
        <f>IF(Inputs!$B$289=6,IFERROR(_xlfn.XLOOKUP($B216,Inputs!$B$290:$B$299,Inputs!$A$290:$A$299,,0,1),""),IFERROR(_xlfn.XLOOKUP($B216,Inputs!$C$290:$C$299,Inputs!$A$290:$A$299,,0,1),""))</f>
        <v>Gzira</v>
      </c>
      <c r="B216" s="26">
        <v>7</v>
      </c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</row>
    <row r="217" spans="1:39" x14ac:dyDescent="0.2">
      <c r="A217" s="3" t="s">
        <v>21</v>
      </c>
      <c r="C217" s="7">
        <f ca="1">IFERROR(VLOOKUP($A216,$A$67:$H$96,C$1+2,FALSE),0)</f>
        <v>153362.49933442406</v>
      </c>
      <c r="D217" s="7">
        <f ca="1">C220</f>
        <v>153362.49933442406</v>
      </c>
      <c r="E217" s="7">
        <f t="shared" ref="E217" ca="1" si="348">D220</f>
        <v>157963.3743144568</v>
      </c>
      <c r="F217" s="7">
        <f t="shared" ref="F217" ca="1" si="349">E220</f>
        <v>162702.27554389052</v>
      </c>
      <c r="G217" s="7">
        <f t="shared" ref="G217" ca="1" si="350">F220</f>
        <v>167583.34381020724</v>
      </c>
      <c r="H217" s="7">
        <f t="shared" ref="H217" ca="1" si="351">G220</f>
        <v>172610.84412451345</v>
      </c>
      <c r="I217" s="7">
        <f t="shared" ref="I217" ca="1" si="352">H220</f>
        <v>177789.16944824884</v>
      </c>
      <c r="J217" s="7">
        <f t="shared" ref="J217" ca="1" si="353">I220</f>
        <v>183122.84453169629</v>
      </c>
      <c r="K217" s="7">
        <f t="shared" ref="K217" ca="1" si="354">J220</f>
        <v>188616.52986764719</v>
      </c>
      <c r="L217" s="7">
        <f t="shared" ref="L217" ca="1" si="355">K220</f>
        <v>194275.02576367659</v>
      </c>
      <c r="M217" s="7">
        <f t="shared" ref="M217" ca="1" si="356">L220</f>
        <v>200103.2765365869</v>
      </c>
      <c r="N217" s="7">
        <f t="shared" ref="N217" ca="1" si="357">M220</f>
        <v>206106.37483268449</v>
      </c>
      <c r="O217" s="7">
        <f t="shared" ref="O217" ca="1" si="358">N220</f>
        <v>212289.56607766502</v>
      </c>
      <c r="P217" s="7">
        <f t="shared" ref="P217" ca="1" si="359">O220</f>
        <v>218658.25305999498</v>
      </c>
      <c r="Q217" s="7">
        <f t="shared" ref="Q217" ca="1" si="360">P220</f>
        <v>225218.00065179483</v>
      </c>
      <c r="R217" s="7">
        <f t="shared" ref="R217" ca="1" si="361">Q220</f>
        <v>231974.54067134869</v>
      </c>
      <c r="S217" s="7">
        <f t="shared" ref="S217" ca="1" si="362">R220</f>
        <v>238933.77689148913</v>
      </c>
      <c r="T217" s="7">
        <f t="shared" ref="T217" ca="1" si="363">S220</f>
        <v>246101.79019823382</v>
      </c>
      <c r="U217" s="7">
        <f t="shared" ref="U217" ca="1" si="364">T220</f>
        <v>253484.84390418083</v>
      </c>
      <c r="V217" s="7">
        <f t="shared" ref="V217" ca="1" si="365">U220</f>
        <v>261089.38922130625</v>
      </c>
      <c r="W217" s="7">
        <f t="shared" ref="W217" ca="1" si="366">V220</f>
        <v>268922.07089794544</v>
      </c>
      <c r="X217" s="7">
        <f t="shared" ref="X217" ca="1" si="367">W220</f>
        <v>276989.73302488378</v>
      </c>
      <c r="Y217" s="7">
        <f t="shared" ref="Y217" ca="1" si="368">X220</f>
        <v>285299.42501563032</v>
      </c>
      <c r="Z217" s="7">
        <f t="shared" ref="Z217" ca="1" si="369">Y220</f>
        <v>293858.4077660992</v>
      </c>
      <c r="AA217" s="7">
        <f t="shared" ref="AA217" ca="1" si="370">Z220</f>
        <v>302674.15999908216</v>
      </c>
      <c r="AB217" s="7">
        <f t="shared" ref="AB217" ca="1" si="371">AA220</f>
        <v>311754.38479905459</v>
      </c>
      <c r="AC217" s="7">
        <f t="shared" ref="AC217" ca="1" si="372">AB220</f>
        <v>321107.01634302625</v>
      </c>
      <c r="AD217" s="7">
        <f t="shared" ref="AD217" ca="1" si="373">AC220</f>
        <v>330740.22683331702</v>
      </c>
      <c r="AE217" s="7">
        <f t="shared" ref="AE217" ca="1" si="374">AD220</f>
        <v>340662.43363831652</v>
      </c>
      <c r="AF217" s="7">
        <f t="shared" ref="AF217" ca="1" si="375">AE220</f>
        <v>350882.30664746603</v>
      </c>
      <c r="AG217" s="7">
        <f t="shared" ref="AG217" ca="1" si="376">AF220</f>
        <v>361408.77584689</v>
      </c>
      <c r="AH217" s="7">
        <f t="shared" ref="AH217" ca="1" si="377">AG220</f>
        <v>372251.03912229667</v>
      </c>
      <c r="AI217" s="7">
        <f t="shared" ref="AI217" ca="1" si="378">AH220</f>
        <v>383418.57029596559</v>
      </c>
      <c r="AJ217" s="7">
        <f t="shared" ref="AJ217" ca="1" si="379">AI220</f>
        <v>394921.12740484456</v>
      </c>
      <c r="AK217" s="7">
        <f t="shared" ref="AK217" ca="1" si="380">AJ220</f>
        <v>406768.76122698991</v>
      </c>
      <c r="AL217" s="7">
        <f t="shared" ref="AL217" ca="1" si="381">AK220</f>
        <v>418971.82406379964</v>
      </c>
      <c r="AM217" s="7">
        <f t="shared" ref="AM217" ca="1" si="382">AL220</f>
        <v>431540.97878571361</v>
      </c>
    </row>
    <row r="218" spans="1:39" x14ac:dyDescent="0.2">
      <c r="A218" s="3" t="s">
        <v>22</v>
      </c>
      <c r="C218" s="7">
        <f ca="1">-IF(D214&gt;0,C217,0)</f>
        <v>0</v>
      </c>
      <c r="D218" s="7">
        <f ca="1">-IF(E214&gt;0,D217,0)</f>
        <v>0</v>
      </c>
      <c r="E218" s="7">
        <f ca="1">-IF(F214&gt;0,E217,0)</f>
        <v>0</v>
      </c>
      <c r="F218" s="7">
        <f ca="1">-IF(G214&gt;0,F217,0)</f>
        <v>0</v>
      </c>
      <c r="G218" s="7">
        <f t="shared" ref="G218" ca="1" si="383">-IF(H214&gt;0,G217,0)</f>
        <v>0</v>
      </c>
      <c r="H218" s="7">
        <f t="shared" ref="H218" ca="1" si="384">-IF(I214&gt;0,H217,0)</f>
        <v>0</v>
      </c>
      <c r="I218" s="7">
        <f t="shared" ref="I218" ca="1" si="385">-IF(J214&gt;0,I217,0)</f>
        <v>0</v>
      </c>
      <c r="J218" s="7">
        <f t="shared" ref="J218" ca="1" si="386">-IF(K214&gt;0,J217,0)</f>
        <v>0</v>
      </c>
      <c r="K218" s="7">
        <f t="shared" ref="K218" ca="1" si="387">-IF(L214&gt;0,K217,0)</f>
        <v>0</v>
      </c>
      <c r="L218" s="7">
        <f t="shared" ref="L218" ca="1" si="388">-IF(M214&gt;0,L217,0)</f>
        <v>0</v>
      </c>
      <c r="M218" s="7">
        <f t="shared" ref="M218" ca="1" si="389">-IF(N214&gt;0,M217,0)</f>
        <v>0</v>
      </c>
      <c r="N218" s="7">
        <f t="shared" ref="N218" ca="1" si="390">-IF(O214&gt;0,N217,0)</f>
        <v>0</v>
      </c>
      <c r="O218" s="7">
        <f t="shared" ref="O218" ca="1" si="391">-IF(P214&gt;0,O217,0)</f>
        <v>0</v>
      </c>
      <c r="P218" s="7">
        <f t="shared" ref="P218" ca="1" si="392">-IF(Q214&gt;0,P217,0)</f>
        <v>0</v>
      </c>
      <c r="Q218" s="7">
        <f t="shared" ref="Q218" ca="1" si="393">-IF(R214&gt;0,Q217,0)</f>
        <v>0</v>
      </c>
      <c r="R218" s="7">
        <f t="shared" ref="R218" ca="1" si="394">-IF(S214&gt;0,R217,0)</f>
        <v>0</v>
      </c>
      <c r="S218" s="7">
        <f t="shared" ref="S218" ca="1" si="395">-IF(T214&gt;0,S217,0)</f>
        <v>0</v>
      </c>
      <c r="T218" s="7">
        <f t="shared" ref="T218" ca="1" si="396">-IF(U214&gt;0,T217,0)</f>
        <v>0</v>
      </c>
      <c r="U218" s="7">
        <f t="shared" ref="U218" ca="1" si="397">-IF(V214&gt;0,U217,0)</f>
        <v>0</v>
      </c>
      <c r="V218" s="7">
        <f t="shared" ref="V218" ca="1" si="398">-IF(W214&gt;0,V217,0)</f>
        <v>0</v>
      </c>
      <c r="W218" s="7">
        <f t="shared" ref="W218" ca="1" si="399">-IF(X214&gt;0,W217,0)</f>
        <v>0</v>
      </c>
      <c r="X218" s="7">
        <f t="shared" ref="X218" ca="1" si="400">-IF(Y214&gt;0,X217,0)</f>
        <v>0</v>
      </c>
      <c r="Y218" s="7">
        <f t="shared" ref="Y218" ca="1" si="401">-IF(Z214&gt;0,Y217,0)</f>
        <v>0</v>
      </c>
      <c r="Z218" s="7">
        <f t="shared" ref="Z218" ca="1" si="402">-IF(AA214&gt;0,Z217,0)</f>
        <v>0</v>
      </c>
      <c r="AA218" s="7">
        <f t="shared" ref="AA218" ca="1" si="403">-IF(AB214&gt;0,AA217,0)</f>
        <v>0</v>
      </c>
      <c r="AB218" s="7">
        <f t="shared" ref="AB218" ca="1" si="404">-IF(AC214&gt;0,AB217,0)</f>
        <v>0</v>
      </c>
      <c r="AC218" s="7">
        <f t="shared" ref="AC218" ca="1" si="405">-IF(AD214&gt;0,AC217,0)</f>
        <v>0</v>
      </c>
      <c r="AD218" s="7">
        <f t="shared" ref="AD218" ca="1" si="406">-IF(AE214&gt;0,AD217,0)</f>
        <v>0</v>
      </c>
      <c r="AE218" s="7">
        <f t="shared" ref="AE218" ca="1" si="407">-IF(AF214&gt;0,AE217,0)</f>
        <v>0</v>
      </c>
      <c r="AF218" s="7">
        <f t="shared" ref="AF218" ca="1" si="408">-IF(AG214&gt;0,AF217,0)</f>
        <v>0</v>
      </c>
      <c r="AG218" s="7">
        <f t="shared" ref="AG218" ca="1" si="409">-IF(AH214&gt;0,AG217,0)</f>
        <v>0</v>
      </c>
      <c r="AH218" s="7">
        <f t="shared" ref="AH218" ca="1" si="410">-IF(AI214&gt;0,AH217,0)</f>
        <v>0</v>
      </c>
      <c r="AI218" s="7">
        <f t="shared" ref="AI218" ca="1" si="411">-IF(AJ214&gt;0,AI217,0)</f>
        <v>0</v>
      </c>
      <c r="AJ218" s="7">
        <f t="shared" ref="AJ218" ca="1" si="412">-IF(AK214&gt;0,AJ217,0)</f>
        <v>0</v>
      </c>
      <c r="AK218" s="7">
        <f t="shared" ref="AK218" ca="1" si="413">-IF(AL214&gt;0,AK217,0)</f>
        <v>0</v>
      </c>
      <c r="AL218" s="7">
        <f t="shared" ref="AL218" ca="1" si="414">-IF(AM214&gt;0,AL217,0)</f>
        <v>0</v>
      </c>
      <c r="AM218" s="7">
        <f t="shared" ref="AM218" si="415">-IF(AN214&gt;0,AM217,0)</f>
        <v>0</v>
      </c>
    </row>
    <row r="219" spans="1:39" x14ac:dyDescent="0.2">
      <c r="A219" s="3" t="s">
        <v>23</v>
      </c>
      <c r="C219" s="7">
        <v>0</v>
      </c>
      <c r="D219" s="7">
        <f t="shared" ref="D219:AM219" ca="1" si="416">SUM(D217:D218)*VLOOKUP($A216,AssVar,2,FALSE)</f>
        <v>4600.8749800327214</v>
      </c>
      <c r="E219" s="7">
        <f t="shared" ca="1" si="416"/>
        <v>4738.9012294337035</v>
      </c>
      <c r="F219" s="7">
        <f t="shared" ca="1" si="416"/>
        <v>4881.0682663167154</v>
      </c>
      <c r="G219" s="7">
        <f t="shared" ca="1" si="416"/>
        <v>5027.5003143062168</v>
      </c>
      <c r="H219" s="7">
        <f t="shared" ca="1" si="416"/>
        <v>5178.3253237354029</v>
      </c>
      <c r="I219" s="7">
        <f t="shared" ca="1" si="416"/>
        <v>5333.6750834474651</v>
      </c>
      <c r="J219" s="7">
        <f t="shared" ca="1" si="416"/>
        <v>5493.6853359508887</v>
      </c>
      <c r="K219" s="7">
        <f t="shared" ca="1" si="416"/>
        <v>5658.4958960294152</v>
      </c>
      <c r="L219" s="7">
        <f t="shared" ca="1" si="416"/>
        <v>5828.2507729102972</v>
      </c>
      <c r="M219" s="7">
        <f t="shared" ca="1" si="416"/>
        <v>6003.0982960976071</v>
      </c>
      <c r="N219" s="7">
        <f t="shared" ca="1" si="416"/>
        <v>6183.191244980535</v>
      </c>
      <c r="O219" s="7">
        <f t="shared" ca="1" si="416"/>
        <v>6368.6869823299503</v>
      </c>
      <c r="P219" s="7">
        <f t="shared" ca="1" si="416"/>
        <v>6559.747591799849</v>
      </c>
      <c r="Q219" s="7">
        <f t="shared" ca="1" si="416"/>
        <v>6756.540019553845</v>
      </c>
      <c r="R219" s="7">
        <f t="shared" ca="1" si="416"/>
        <v>6959.2362201404603</v>
      </c>
      <c r="S219" s="7">
        <f t="shared" ca="1" si="416"/>
        <v>7168.0133067446741</v>
      </c>
      <c r="T219" s="7">
        <f t="shared" ca="1" si="416"/>
        <v>7383.0537059470144</v>
      </c>
      <c r="U219" s="7">
        <f t="shared" ca="1" si="416"/>
        <v>7604.5453171254248</v>
      </c>
      <c r="V219" s="7">
        <f t="shared" ca="1" si="416"/>
        <v>7832.6816766391876</v>
      </c>
      <c r="W219" s="7">
        <f t="shared" ca="1" si="416"/>
        <v>8067.6621269383631</v>
      </c>
      <c r="X219" s="7">
        <f t="shared" ca="1" si="416"/>
        <v>8309.6919907465126</v>
      </c>
      <c r="Y219" s="7">
        <f t="shared" ca="1" si="416"/>
        <v>8558.9827504689092</v>
      </c>
      <c r="Z219" s="7">
        <f t="shared" ca="1" si="416"/>
        <v>8815.7522329829753</v>
      </c>
      <c r="AA219" s="7">
        <f t="shared" ca="1" si="416"/>
        <v>9080.2247999724641</v>
      </c>
      <c r="AB219" s="7">
        <f t="shared" ca="1" si="416"/>
        <v>9352.6315439716382</v>
      </c>
      <c r="AC219" s="7">
        <f t="shared" ca="1" si="416"/>
        <v>9633.2104902907868</v>
      </c>
      <c r="AD219" s="7">
        <f t="shared" ca="1" si="416"/>
        <v>9922.2068049995105</v>
      </c>
      <c r="AE219" s="7">
        <f t="shared" ca="1" si="416"/>
        <v>10219.873009149494</v>
      </c>
      <c r="AF219" s="7">
        <f t="shared" ca="1" si="416"/>
        <v>10526.46919942398</v>
      </c>
      <c r="AG219" s="7">
        <f t="shared" ca="1" si="416"/>
        <v>10842.2632754067</v>
      </c>
      <c r="AH219" s="7">
        <f t="shared" ca="1" si="416"/>
        <v>11167.5311736689</v>
      </c>
      <c r="AI219" s="7">
        <f t="shared" ca="1" si="416"/>
        <v>11502.557108878967</v>
      </c>
      <c r="AJ219" s="7">
        <f t="shared" ca="1" si="416"/>
        <v>11847.633822145337</v>
      </c>
      <c r="AK219" s="7">
        <f t="shared" ca="1" si="416"/>
        <v>12203.062836809697</v>
      </c>
      <c r="AL219" s="7">
        <f t="shared" ca="1" si="416"/>
        <v>12569.154721913988</v>
      </c>
      <c r="AM219" s="7">
        <f t="shared" ca="1" si="416"/>
        <v>12946.229363571409</v>
      </c>
    </row>
    <row r="220" spans="1:39" x14ac:dyDescent="0.2">
      <c r="A220" s="3" t="s">
        <v>24</v>
      </c>
      <c r="C220" s="7">
        <f ca="1">SUM(C217:C219)</f>
        <v>153362.49933442406</v>
      </c>
      <c r="D220" s="7">
        <f t="shared" ref="D220:AM220" ca="1" si="417">SUM(D217:D219)</f>
        <v>157963.3743144568</v>
      </c>
      <c r="E220" s="7">
        <f t="shared" ca="1" si="417"/>
        <v>162702.27554389052</v>
      </c>
      <c r="F220" s="7">
        <f t="shared" ca="1" si="417"/>
        <v>167583.34381020724</v>
      </c>
      <c r="G220" s="7">
        <f t="shared" ca="1" si="417"/>
        <v>172610.84412451345</v>
      </c>
      <c r="H220" s="7">
        <f t="shared" ca="1" si="417"/>
        <v>177789.16944824884</v>
      </c>
      <c r="I220" s="7">
        <f t="shared" ca="1" si="417"/>
        <v>183122.84453169629</v>
      </c>
      <c r="J220" s="7">
        <f t="shared" ca="1" si="417"/>
        <v>188616.52986764719</v>
      </c>
      <c r="K220" s="7">
        <f t="shared" ca="1" si="417"/>
        <v>194275.02576367659</v>
      </c>
      <c r="L220" s="7">
        <f t="shared" ca="1" si="417"/>
        <v>200103.2765365869</v>
      </c>
      <c r="M220" s="7">
        <f t="shared" ca="1" si="417"/>
        <v>206106.37483268449</v>
      </c>
      <c r="N220" s="7">
        <f t="shared" ca="1" si="417"/>
        <v>212289.56607766502</v>
      </c>
      <c r="O220" s="7">
        <f t="shared" ca="1" si="417"/>
        <v>218658.25305999498</v>
      </c>
      <c r="P220" s="7">
        <f t="shared" ca="1" si="417"/>
        <v>225218.00065179483</v>
      </c>
      <c r="Q220" s="7">
        <f t="shared" ca="1" si="417"/>
        <v>231974.54067134869</v>
      </c>
      <c r="R220" s="7">
        <f t="shared" ca="1" si="417"/>
        <v>238933.77689148913</v>
      </c>
      <c r="S220" s="7">
        <f t="shared" ca="1" si="417"/>
        <v>246101.79019823382</v>
      </c>
      <c r="T220" s="7">
        <f t="shared" ca="1" si="417"/>
        <v>253484.84390418083</v>
      </c>
      <c r="U220" s="7">
        <f t="shared" ca="1" si="417"/>
        <v>261089.38922130625</v>
      </c>
      <c r="V220" s="7">
        <f t="shared" ca="1" si="417"/>
        <v>268922.07089794544</v>
      </c>
      <c r="W220" s="7">
        <f t="shared" ca="1" si="417"/>
        <v>276989.73302488378</v>
      </c>
      <c r="X220" s="7">
        <f t="shared" ca="1" si="417"/>
        <v>285299.42501563032</v>
      </c>
      <c r="Y220" s="7">
        <f t="shared" ca="1" si="417"/>
        <v>293858.4077660992</v>
      </c>
      <c r="Z220" s="7">
        <f t="shared" ca="1" si="417"/>
        <v>302674.15999908216</v>
      </c>
      <c r="AA220" s="7">
        <f t="shared" ca="1" si="417"/>
        <v>311754.38479905459</v>
      </c>
      <c r="AB220" s="7">
        <f t="shared" ca="1" si="417"/>
        <v>321107.01634302625</v>
      </c>
      <c r="AC220" s="7">
        <f t="shared" ca="1" si="417"/>
        <v>330740.22683331702</v>
      </c>
      <c r="AD220" s="7">
        <f t="shared" ca="1" si="417"/>
        <v>340662.43363831652</v>
      </c>
      <c r="AE220" s="7">
        <f t="shared" ca="1" si="417"/>
        <v>350882.30664746603</v>
      </c>
      <c r="AF220" s="7">
        <f t="shared" ca="1" si="417"/>
        <v>361408.77584689</v>
      </c>
      <c r="AG220" s="7">
        <f t="shared" ca="1" si="417"/>
        <v>372251.03912229667</v>
      </c>
      <c r="AH220" s="7">
        <f t="shared" ca="1" si="417"/>
        <v>383418.57029596559</v>
      </c>
      <c r="AI220" s="7">
        <f t="shared" ca="1" si="417"/>
        <v>394921.12740484456</v>
      </c>
      <c r="AJ220" s="7">
        <f t="shared" ca="1" si="417"/>
        <v>406768.76122698991</v>
      </c>
      <c r="AK220" s="7">
        <f t="shared" ca="1" si="417"/>
        <v>418971.82406379964</v>
      </c>
      <c r="AL220" s="7">
        <f t="shared" ca="1" si="417"/>
        <v>431540.97878571361</v>
      </c>
      <c r="AM220" s="7">
        <f t="shared" ca="1" si="417"/>
        <v>444487.208149285</v>
      </c>
    </row>
    <row r="221" spans="1:39" x14ac:dyDescent="0.2">
      <c r="A221" s="3" t="s">
        <v>25</v>
      </c>
      <c r="C221" s="7">
        <f t="shared" ref="C221:AM221" ca="1" si="418">C218*VLOOKUP($A216,AssVar,3,FALSE)</f>
        <v>0</v>
      </c>
      <c r="D221" s="7">
        <f t="shared" ca="1" si="418"/>
        <v>0</v>
      </c>
      <c r="E221" s="7">
        <f t="shared" ca="1" si="418"/>
        <v>0</v>
      </c>
      <c r="F221" s="7">
        <f t="shared" ca="1" si="418"/>
        <v>0</v>
      </c>
      <c r="G221" s="7">
        <f t="shared" ca="1" si="418"/>
        <v>0</v>
      </c>
      <c r="H221" s="7">
        <f t="shared" ca="1" si="418"/>
        <v>0</v>
      </c>
      <c r="I221" s="7">
        <f t="shared" ca="1" si="418"/>
        <v>0</v>
      </c>
      <c r="J221" s="7">
        <f t="shared" ca="1" si="418"/>
        <v>0</v>
      </c>
      <c r="K221" s="7">
        <f t="shared" ca="1" si="418"/>
        <v>0</v>
      </c>
      <c r="L221" s="7">
        <f t="shared" ca="1" si="418"/>
        <v>0</v>
      </c>
      <c r="M221" s="7">
        <f t="shared" ca="1" si="418"/>
        <v>0</v>
      </c>
      <c r="N221" s="7">
        <f t="shared" ca="1" si="418"/>
        <v>0</v>
      </c>
      <c r="O221" s="7">
        <f t="shared" ca="1" si="418"/>
        <v>0</v>
      </c>
      <c r="P221" s="7">
        <f t="shared" ca="1" si="418"/>
        <v>0</v>
      </c>
      <c r="Q221" s="7">
        <f t="shared" ca="1" si="418"/>
        <v>0</v>
      </c>
      <c r="R221" s="7">
        <f t="shared" ca="1" si="418"/>
        <v>0</v>
      </c>
      <c r="S221" s="7">
        <f t="shared" ca="1" si="418"/>
        <v>0</v>
      </c>
      <c r="T221" s="7">
        <f t="shared" ca="1" si="418"/>
        <v>0</v>
      </c>
      <c r="U221" s="7">
        <f t="shared" ca="1" si="418"/>
        <v>0</v>
      </c>
      <c r="V221" s="7">
        <f t="shared" ca="1" si="418"/>
        <v>0</v>
      </c>
      <c r="W221" s="7">
        <f t="shared" ca="1" si="418"/>
        <v>0</v>
      </c>
      <c r="X221" s="7">
        <f t="shared" ca="1" si="418"/>
        <v>0</v>
      </c>
      <c r="Y221" s="7">
        <f t="shared" ca="1" si="418"/>
        <v>0</v>
      </c>
      <c r="Z221" s="7">
        <f t="shared" ca="1" si="418"/>
        <v>0</v>
      </c>
      <c r="AA221" s="7">
        <f t="shared" ca="1" si="418"/>
        <v>0</v>
      </c>
      <c r="AB221" s="7">
        <f t="shared" ca="1" si="418"/>
        <v>0</v>
      </c>
      <c r="AC221" s="7">
        <f t="shared" ca="1" si="418"/>
        <v>0</v>
      </c>
      <c r="AD221" s="7">
        <f t="shared" ca="1" si="418"/>
        <v>0</v>
      </c>
      <c r="AE221" s="7">
        <f t="shared" ca="1" si="418"/>
        <v>0</v>
      </c>
      <c r="AF221" s="7">
        <f t="shared" ca="1" si="418"/>
        <v>0</v>
      </c>
      <c r="AG221" s="7">
        <f t="shared" ca="1" si="418"/>
        <v>0</v>
      </c>
      <c r="AH221" s="7">
        <f t="shared" ca="1" si="418"/>
        <v>0</v>
      </c>
      <c r="AI221" s="7">
        <f t="shared" ca="1" si="418"/>
        <v>0</v>
      </c>
      <c r="AJ221" s="7">
        <f t="shared" ca="1" si="418"/>
        <v>0</v>
      </c>
      <c r="AK221" s="7">
        <f t="shared" ca="1" si="418"/>
        <v>0</v>
      </c>
      <c r="AL221" s="7">
        <f t="shared" ca="1" si="418"/>
        <v>0</v>
      </c>
      <c r="AM221" s="7">
        <f t="shared" si="418"/>
        <v>0</v>
      </c>
    </row>
    <row r="222" spans="1:39" x14ac:dyDescent="0.2">
      <c r="A222" s="3" t="s">
        <v>30</v>
      </c>
      <c r="C222" s="7">
        <f t="shared" ref="C222:AM222" ca="1" si="419">IFERROR(-IF(C217=0,VLOOKUP($A216,$8:$12,C$1+2,FALSE),0),0)</f>
        <v>0</v>
      </c>
      <c r="D222" s="7">
        <f t="shared" ca="1" si="419"/>
        <v>0</v>
      </c>
      <c r="E222" s="7">
        <f t="shared" ca="1" si="419"/>
        <v>0</v>
      </c>
      <c r="F222" s="7">
        <f t="shared" ca="1" si="419"/>
        <v>0</v>
      </c>
      <c r="G222" s="7">
        <f t="shared" ca="1" si="419"/>
        <v>0</v>
      </c>
      <c r="H222" s="7">
        <f t="shared" ca="1" si="419"/>
        <v>0</v>
      </c>
      <c r="I222" s="7">
        <f t="shared" ca="1" si="419"/>
        <v>0</v>
      </c>
      <c r="J222" s="7">
        <f t="shared" ca="1" si="419"/>
        <v>0</v>
      </c>
      <c r="K222" s="7">
        <f t="shared" ca="1" si="419"/>
        <v>0</v>
      </c>
      <c r="L222" s="7">
        <f t="shared" ca="1" si="419"/>
        <v>0</v>
      </c>
      <c r="M222" s="7">
        <f t="shared" ca="1" si="419"/>
        <v>0</v>
      </c>
      <c r="N222" s="7">
        <f t="shared" ca="1" si="419"/>
        <v>0</v>
      </c>
      <c r="O222" s="7">
        <f t="shared" ca="1" si="419"/>
        <v>0</v>
      </c>
      <c r="P222" s="7">
        <f t="shared" ca="1" si="419"/>
        <v>0</v>
      </c>
      <c r="Q222" s="7">
        <f t="shared" ca="1" si="419"/>
        <v>0</v>
      </c>
      <c r="R222" s="7">
        <f t="shared" ca="1" si="419"/>
        <v>0</v>
      </c>
      <c r="S222" s="7">
        <f t="shared" ca="1" si="419"/>
        <v>0</v>
      </c>
      <c r="T222" s="7">
        <f t="shared" ca="1" si="419"/>
        <v>0</v>
      </c>
      <c r="U222" s="7">
        <f t="shared" ca="1" si="419"/>
        <v>0</v>
      </c>
      <c r="V222" s="7">
        <f t="shared" ca="1" si="419"/>
        <v>0</v>
      </c>
      <c r="W222" s="7">
        <f t="shared" ca="1" si="419"/>
        <v>0</v>
      </c>
      <c r="X222" s="7">
        <f t="shared" ca="1" si="419"/>
        <v>0</v>
      </c>
      <c r="Y222" s="7">
        <f t="shared" ca="1" si="419"/>
        <v>0</v>
      </c>
      <c r="Z222" s="7">
        <f t="shared" ca="1" si="419"/>
        <v>0</v>
      </c>
      <c r="AA222" s="7">
        <f t="shared" ca="1" si="419"/>
        <v>0</v>
      </c>
      <c r="AB222" s="7">
        <f t="shared" ca="1" si="419"/>
        <v>0</v>
      </c>
      <c r="AC222" s="7">
        <f t="shared" ca="1" si="419"/>
        <v>0</v>
      </c>
      <c r="AD222" s="7">
        <f t="shared" ca="1" si="419"/>
        <v>0</v>
      </c>
      <c r="AE222" s="7">
        <f t="shared" ca="1" si="419"/>
        <v>0</v>
      </c>
      <c r="AF222" s="7">
        <f t="shared" ca="1" si="419"/>
        <v>0</v>
      </c>
      <c r="AG222" s="7">
        <f t="shared" ca="1" si="419"/>
        <v>0</v>
      </c>
      <c r="AH222" s="7">
        <f t="shared" ca="1" si="419"/>
        <v>0</v>
      </c>
      <c r="AI222" s="7">
        <f t="shared" ca="1" si="419"/>
        <v>0</v>
      </c>
      <c r="AJ222" s="7">
        <f t="shared" ca="1" si="419"/>
        <v>0</v>
      </c>
      <c r="AK222" s="7">
        <f t="shared" ca="1" si="419"/>
        <v>0</v>
      </c>
      <c r="AL222" s="7">
        <f t="shared" ca="1" si="419"/>
        <v>0</v>
      </c>
      <c r="AM222" s="7">
        <f t="shared" ca="1" si="419"/>
        <v>0</v>
      </c>
    </row>
    <row r="223" spans="1:39" x14ac:dyDescent="0.2">
      <c r="A223" s="3" t="s">
        <v>49</v>
      </c>
      <c r="C223" s="7">
        <f t="shared" ref="C223:AM223" ca="1" si="420">IFERROR(IF(C217=0,VLOOKUP($A216,$46:$50,C$1+2,FALSE),0),0)</f>
        <v>0</v>
      </c>
      <c r="D223" s="7">
        <f t="shared" ca="1" si="420"/>
        <v>0</v>
      </c>
      <c r="E223" s="7">
        <f t="shared" ca="1" si="420"/>
        <v>0</v>
      </c>
      <c r="F223" s="7">
        <f t="shared" ca="1" si="420"/>
        <v>0</v>
      </c>
      <c r="G223" s="7">
        <f t="shared" ca="1" si="420"/>
        <v>0</v>
      </c>
      <c r="H223" s="7">
        <f t="shared" ca="1" si="420"/>
        <v>0</v>
      </c>
      <c r="I223" s="7">
        <f t="shared" ca="1" si="420"/>
        <v>0</v>
      </c>
      <c r="J223" s="7">
        <f t="shared" ca="1" si="420"/>
        <v>0</v>
      </c>
      <c r="K223" s="7">
        <f t="shared" ca="1" si="420"/>
        <v>0</v>
      </c>
      <c r="L223" s="7">
        <f t="shared" ca="1" si="420"/>
        <v>0</v>
      </c>
      <c r="M223" s="7">
        <f t="shared" ca="1" si="420"/>
        <v>0</v>
      </c>
      <c r="N223" s="7">
        <f t="shared" ca="1" si="420"/>
        <v>0</v>
      </c>
      <c r="O223" s="7">
        <f t="shared" ca="1" si="420"/>
        <v>0</v>
      </c>
      <c r="P223" s="7">
        <f t="shared" ca="1" si="420"/>
        <v>0</v>
      </c>
      <c r="Q223" s="7">
        <f t="shared" ca="1" si="420"/>
        <v>0</v>
      </c>
      <c r="R223" s="7">
        <f t="shared" ca="1" si="420"/>
        <v>0</v>
      </c>
      <c r="S223" s="7">
        <f t="shared" ca="1" si="420"/>
        <v>0</v>
      </c>
      <c r="T223" s="7">
        <f t="shared" ca="1" si="420"/>
        <v>0</v>
      </c>
      <c r="U223" s="7">
        <f t="shared" ca="1" si="420"/>
        <v>0</v>
      </c>
      <c r="V223" s="7">
        <f t="shared" ca="1" si="420"/>
        <v>0</v>
      </c>
      <c r="W223" s="7">
        <f t="shared" ca="1" si="420"/>
        <v>0</v>
      </c>
      <c r="X223" s="7">
        <f t="shared" ca="1" si="420"/>
        <v>0</v>
      </c>
      <c r="Y223" s="7">
        <f t="shared" ca="1" si="420"/>
        <v>0</v>
      </c>
      <c r="Z223" s="7">
        <f t="shared" ca="1" si="420"/>
        <v>0</v>
      </c>
      <c r="AA223" s="7">
        <f t="shared" ca="1" si="420"/>
        <v>0</v>
      </c>
      <c r="AB223" s="7">
        <f t="shared" ca="1" si="420"/>
        <v>0</v>
      </c>
      <c r="AC223" s="7">
        <f t="shared" ca="1" si="420"/>
        <v>0</v>
      </c>
      <c r="AD223" s="7">
        <f t="shared" ca="1" si="420"/>
        <v>0</v>
      </c>
      <c r="AE223" s="7">
        <f t="shared" ca="1" si="420"/>
        <v>0</v>
      </c>
      <c r="AF223" s="7">
        <f t="shared" ca="1" si="420"/>
        <v>0</v>
      </c>
      <c r="AG223" s="7">
        <f t="shared" ca="1" si="420"/>
        <v>0</v>
      </c>
      <c r="AH223" s="7">
        <f t="shared" ca="1" si="420"/>
        <v>0</v>
      </c>
      <c r="AI223" s="7">
        <f t="shared" ca="1" si="420"/>
        <v>0</v>
      </c>
      <c r="AJ223" s="7">
        <f t="shared" ca="1" si="420"/>
        <v>0</v>
      </c>
      <c r="AK223" s="7">
        <f t="shared" ca="1" si="420"/>
        <v>0</v>
      </c>
      <c r="AL223" s="7">
        <f t="shared" ca="1" si="420"/>
        <v>0</v>
      </c>
      <c r="AM223" s="7">
        <f t="shared" ca="1" si="420"/>
        <v>0</v>
      </c>
    </row>
    <row r="224" spans="1:39" x14ac:dyDescent="0.2">
      <c r="A224" s="3" t="s">
        <v>35</v>
      </c>
      <c r="B224" s="14" t="str">
        <f>A216</f>
        <v>Gzira</v>
      </c>
      <c r="C224" s="7">
        <f t="shared" ref="C224:AM224" ca="1" si="421">IF(AND(C217&gt;0,C220=0),VLOOKUP($A216,$85:$94,C$1+2,FALSE),0)</f>
        <v>0</v>
      </c>
      <c r="D224" s="7">
        <f t="shared" ca="1" si="421"/>
        <v>0</v>
      </c>
      <c r="E224" s="7">
        <f t="shared" ca="1" si="421"/>
        <v>0</v>
      </c>
      <c r="F224" s="7">
        <f t="shared" ca="1" si="421"/>
        <v>0</v>
      </c>
      <c r="G224" s="7">
        <f t="shared" ca="1" si="421"/>
        <v>0</v>
      </c>
      <c r="H224" s="7">
        <f t="shared" ca="1" si="421"/>
        <v>0</v>
      </c>
      <c r="I224" s="7">
        <f t="shared" ca="1" si="421"/>
        <v>0</v>
      </c>
      <c r="J224" s="7">
        <f t="shared" ca="1" si="421"/>
        <v>0</v>
      </c>
      <c r="K224" s="7">
        <f t="shared" ca="1" si="421"/>
        <v>0</v>
      </c>
      <c r="L224" s="7">
        <f t="shared" ca="1" si="421"/>
        <v>0</v>
      </c>
      <c r="M224" s="7">
        <f t="shared" ca="1" si="421"/>
        <v>0</v>
      </c>
      <c r="N224" s="7">
        <f t="shared" ca="1" si="421"/>
        <v>0</v>
      </c>
      <c r="O224" s="7">
        <f t="shared" ca="1" si="421"/>
        <v>0</v>
      </c>
      <c r="P224" s="7">
        <f t="shared" ca="1" si="421"/>
        <v>0</v>
      </c>
      <c r="Q224" s="7">
        <f t="shared" ca="1" si="421"/>
        <v>0</v>
      </c>
      <c r="R224" s="7">
        <f t="shared" ca="1" si="421"/>
        <v>0</v>
      </c>
      <c r="S224" s="7">
        <f t="shared" ca="1" si="421"/>
        <v>0</v>
      </c>
      <c r="T224" s="7">
        <f t="shared" ca="1" si="421"/>
        <v>0</v>
      </c>
      <c r="U224" s="7">
        <f t="shared" ca="1" si="421"/>
        <v>0</v>
      </c>
      <c r="V224" s="7">
        <f t="shared" ca="1" si="421"/>
        <v>0</v>
      </c>
      <c r="W224" s="7">
        <f t="shared" ca="1" si="421"/>
        <v>0</v>
      </c>
      <c r="X224" s="7">
        <f t="shared" ca="1" si="421"/>
        <v>0</v>
      </c>
      <c r="Y224" s="7">
        <f t="shared" ca="1" si="421"/>
        <v>0</v>
      </c>
      <c r="Z224" s="7">
        <f t="shared" ca="1" si="421"/>
        <v>0</v>
      </c>
      <c r="AA224" s="7">
        <f t="shared" ca="1" si="421"/>
        <v>0</v>
      </c>
      <c r="AB224" s="7">
        <f t="shared" ca="1" si="421"/>
        <v>0</v>
      </c>
      <c r="AC224" s="7">
        <f t="shared" ca="1" si="421"/>
        <v>0</v>
      </c>
      <c r="AD224" s="7">
        <f t="shared" ca="1" si="421"/>
        <v>0</v>
      </c>
      <c r="AE224" s="7">
        <f t="shared" ca="1" si="421"/>
        <v>0</v>
      </c>
      <c r="AF224" s="7">
        <f t="shared" ca="1" si="421"/>
        <v>0</v>
      </c>
      <c r="AG224" s="7">
        <f t="shared" ca="1" si="421"/>
        <v>0</v>
      </c>
      <c r="AH224" s="7">
        <f t="shared" ca="1" si="421"/>
        <v>0</v>
      </c>
      <c r="AI224" s="7">
        <f t="shared" ca="1" si="421"/>
        <v>0</v>
      </c>
      <c r="AJ224" s="7">
        <f t="shared" ca="1" si="421"/>
        <v>0</v>
      </c>
      <c r="AK224" s="7">
        <f t="shared" ca="1" si="421"/>
        <v>0</v>
      </c>
      <c r="AL224" s="7">
        <f t="shared" ca="1" si="421"/>
        <v>0</v>
      </c>
      <c r="AM224" s="7">
        <f t="shared" ca="1" si="421"/>
        <v>0</v>
      </c>
    </row>
    <row r="225" spans="1:39" x14ac:dyDescent="0.2">
      <c r="A225" s="3" t="s">
        <v>36</v>
      </c>
      <c r="C225" s="7">
        <f ca="1">-C218+SUM(C221:C224)</f>
        <v>0</v>
      </c>
      <c r="D225" s="7">
        <f t="shared" ref="D225" ca="1" si="422">-D218+SUM(D221:D224)</f>
        <v>0</v>
      </c>
      <c r="E225" s="7">
        <f t="shared" ref="E225:AM225" ca="1" si="423">-E218+SUM(E221:E224)</f>
        <v>0</v>
      </c>
      <c r="F225" s="7">
        <f t="shared" ca="1" si="423"/>
        <v>0</v>
      </c>
      <c r="G225" s="7">
        <f t="shared" ca="1" si="423"/>
        <v>0</v>
      </c>
      <c r="H225" s="7">
        <f t="shared" ca="1" si="423"/>
        <v>0</v>
      </c>
      <c r="I225" s="7">
        <f t="shared" ca="1" si="423"/>
        <v>0</v>
      </c>
      <c r="J225" s="7">
        <f t="shared" ca="1" si="423"/>
        <v>0</v>
      </c>
      <c r="K225" s="7">
        <f t="shared" ca="1" si="423"/>
        <v>0</v>
      </c>
      <c r="L225" s="7">
        <f t="shared" ca="1" si="423"/>
        <v>0</v>
      </c>
      <c r="M225" s="7">
        <f t="shared" ca="1" si="423"/>
        <v>0</v>
      </c>
      <c r="N225" s="7">
        <f t="shared" ca="1" si="423"/>
        <v>0</v>
      </c>
      <c r="O225" s="7">
        <f t="shared" ca="1" si="423"/>
        <v>0</v>
      </c>
      <c r="P225" s="7">
        <f t="shared" ca="1" si="423"/>
        <v>0</v>
      </c>
      <c r="Q225" s="7">
        <f t="shared" ca="1" si="423"/>
        <v>0</v>
      </c>
      <c r="R225" s="7">
        <f t="shared" ca="1" si="423"/>
        <v>0</v>
      </c>
      <c r="S225" s="7">
        <f t="shared" ca="1" si="423"/>
        <v>0</v>
      </c>
      <c r="T225" s="7">
        <f t="shared" ca="1" si="423"/>
        <v>0</v>
      </c>
      <c r="U225" s="7">
        <f t="shared" ca="1" si="423"/>
        <v>0</v>
      </c>
      <c r="V225" s="7">
        <f t="shared" ca="1" si="423"/>
        <v>0</v>
      </c>
      <c r="W225" s="7">
        <f t="shared" ca="1" si="423"/>
        <v>0</v>
      </c>
      <c r="X225" s="7">
        <f t="shared" ca="1" si="423"/>
        <v>0</v>
      </c>
      <c r="Y225" s="7">
        <f t="shared" ca="1" si="423"/>
        <v>0</v>
      </c>
      <c r="Z225" s="7">
        <f t="shared" ca="1" si="423"/>
        <v>0</v>
      </c>
      <c r="AA225" s="7">
        <f t="shared" ca="1" si="423"/>
        <v>0</v>
      </c>
      <c r="AB225" s="7">
        <f t="shared" ca="1" si="423"/>
        <v>0</v>
      </c>
      <c r="AC225" s="7">
        <f t="shared" ca="1" si="423"/>
        <v>0</v>
      </c>
      <c r="AD225" s="7">
        <f t="shared" ca="1" si="423"/>
        <v>0</v>
      </c>
      <c r="AE225" s="7">
        <f t="shared" ca="1" si="423"/>
        <v>0</v>
      </c>
      <c r="AF225" s="7">
        <f t="shared" ca="1" si="423"/>
        <v>0</v>
      </c>
      <c r="AG225" s="7">
        <f t="shared" ca="1" si="423"/>
        <v>0</v>
      </c>
      <c r="AH225" s="7">
        <f t="shared" ca="1" si="423"/>
        <v>0</v>
      </c>
      <c r="AI225" s="7">
        <f t="shared" ca="1" si="423"/>
        <v>0</v>
      </c>
      <c r="AJ225" s="7">
        <f t="shared" ca="1" si="423"/>
        <v>0</v>
      </c>
      <c r="AK225" s="7">
        <f t="shared" ca="1" si="423"/>
        <v>0</v>
      </c>
      <c r="AL225" s="7">
        <f t="shared" ca="1" si="423"/>
        <v>0</v>
      </c>
      <c r="AM225" s="7">
        <f t="shared" ca="1" si="423"/>
        <v>0</v>
      </c>
    </row>
    <row r="226" spans="1:39" x14ac:dyDescent="0.2">
      <c r="A226" s="3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</row>
    <row r="227" spans="1:39" x14ac:dyDescent="0.2">
      <c r="A227" s="3" t="s">
        <v>70</v>
      </c>
      <c r="C227" s="7">
        <f ca="1">C213+SUM($C225:C225)</f>
        <v>16108.4375</v>
      </c>
      <c r="D227" s="7">
        <f ca="1">D213+SUM($C225:D225)</f>
        <v>30012.145312499997</v>
      </c>
      <c r="E227" s="7">
        <f ca="1">E213+SUM($C225:E225)</f>
        <v>50169.6494140625</v>
      </c>
      <c r="F227" s="7">
        <f ca="1">F213+SUM($C225:F225)</f>
        <v>52227.783801841113</v>
      </c>
      <c r="G227" s="7">
        <f ca="1">G213+SUM($C225:G225)</f>
        <v>250455.15989583102</v>
      </c>
      <c r="H227" s="7">
        <f ca="1">H213+SUM($C225:H225)</f>
        <v>296986.84009098983</v>
      </c>
      <c r="I227" s="7">
        <f ca="1">I213+SUM($C225:I225)</f>
        <v>363754.64435619779</v>
      </c>
      <c r="J227" s="7">
        <f ca="1">J213+SUM($C225:J225)</f>
        <v>435067.93012454931</v>
      </c>
      <c r="K227" s="7">
        <f ca="1">K213+SUM($C225:K225)</f>
        <v>493116.96835998015</v>
      </c>
      <c r="L227" s="7">
        <f ca="1">L213+SUM($C225:L225)</f>
        <v>638212.2751736166</v>
      </c>
      <c r="M227" s="7">
        <f ca="1">M213+SUM($C225:M225)</f>
        <v>695163.71186735749</v>
      </c>
      <c r="N227" s="7">
        <f ca="1">N213+SUM($C225:N225)</f>
        <v>805771.16934020713</v>
      </c>
      <c r="O227" s="7">
        <f ca="1">O213+SUM($C225:O225)</f>
        <v>922222.00124800857</v>
      </c>
      <c r="P227" s="7">
        <f ca="1">P213+SUM($C225:P225)</f>
        <v>1044762.6085180258</v>
      </c>
      <c r="Q227" s="7">
        <f ca="1">Q213+SUM($C225:Q225)</f>
        <v>1173648.7608708572</v>
      </c>
      <c r="R227" s="7">
        <f ca="1">R213+SUM($C225:R225)</f>
        <v>1309145.9322852024</v>
      </c>
      <c r="S227" s="7">
        <f ca="1">S213+SUM($C225:S225)</f>
        <v>1451529.6480111426</v>
      </c>
      <c r="T227" s="7">
        <f ca="1">T213+SUM($C225:T225)</f>
        <v>1491855.4011356728</v>
      </c>
      <c r="U227" s="7">
        <f ca="1">U213+SUM($C225:U225)</f>
        <v>1541415.1978627439</v>
      </c>
      <c r="V227" s="7">
        <f ca="1">V213+SUM($C225:V225)</f>
        <v>1592757.5777099284</v>
      </c>
      <c r="W227" s="7">
        <f ca="1">W213+SUM($C225:W225)</f>
        <v>1645948.7425475621</v>
      </c>
      <c r="X227" s="7">
        <f ca="1">X213+SUM($C225:X225)</f>
        <v>1701057.3316526653</v>
      </c>
      <c r="Y227" s="7">
        <f ca="1">Y213+SUM($C225:Y225)</f>
        <v>1737237.4169653396</v>
      </c>
      <c r="Z227" s="7">
        <f ca="1">Z213+SUM($C225:Z225)</f>
        <v>1774434.0167242812</v>
      </c>
      <c r="AA227" s="7">
        <f ca="1">AA213+SUM($C225:AA225)</f>
        <v>1812684.4017288706</v>
      </c>
      <c r="AB227" s="7">
        <f ca="1">AB213+SUM($C225:AB225)</f>
        <v>1852027.3427258399</v>
      </c>
      <c r="AC227" s="7">
        <f ca="1">AC213+SUM($C225:AC225)</f>
        <v>1892503.1702642585</v>
      </c>
      <c r="AD227" s="7">
        <f ca="1">AD213+SUM($C225:AD225)</f>
        <v>1934153.8368503558</v>
      </c>
      <c r="AE227" s="7">
        <f ca="1">AE213+SUM($C225:AE225)</f>
        <v>1987130.2375195618</v>
      </c>
      <c r="AF227" s="7">
        <f ca="1">AF213+SUM($C225:AF225)</f>
        <v>2041875.8715530399</v>
      </c>
      <c r="AG227" s="7">
        <f ca="1">AG213+SUM($C225:AG225)</f>
        <v>2098456.905652951</v>
      </c>
      <c r="AH227" s="7">
        <f ca="1">AH213+SUM($C225:AH225)</f>
        <v>2156942.0335442415</v>
      </c>
      <c r="AI227" s="7">
        <f ca="1">AI213+SUM($C225:AI225)</f>
        <v>2217402.5707053514</v>
      </c>
      <c r="AJ227" s="7">
        <f ca="1">AJ213+SUM($C225:AJ225)</f>
        <v>2279912.5525480784</v>
      </c>
      <c r="AK227" s="7">
        <f ca="1">AK213+SUM($C225:AK225)</f>
        <v>2344548.8361686133</v>
      </c>
      <c r="AL227" s="7">
        <f ca="1">AL213+SUM($C225:AL225)</f>
        <v>2411391.2057959661</v>
      </c>
      <c r="AM227" s="7">
        <f ca="1">AM213+SUM($C225:AM225)</f>
        <v>2480522.4820683482</v>
      </c>
    </row>
    <row r="228" spans="1:39" x14ac:dyDescent="0.2">
      <c r="A228" s="3" t="s">
        <v>67</v>
      </c>
      <c r="C228" s="7">
        <f t="shared" ref="C228:AM228" ca="1" si="424">MAX(C227+buffer,0)-MAX(C213+buffer,0)</f>
        <v>0</v>
      </c>
      <c r="D228" s="7">
        <f t="shared" ca="1" si="424"/>
        <v>0</v>
      </c>
      <c r="E228" s="7">
        <f t="shared" ca="1" si="424"/>
        <v>0</v>
      </c>
      <c r="F228" s="7">
        <f t="shared" ca="1" si="424"/>
        <v>0</v>
      </c>
      <c r="G228" s="7">
        <f t="shared" ca="1" si="424"/>
        <v>0</v>
      </c>
      <c r="H228" s="7">
        <f t="shared" ca="1" si="424"/>
        <v>0</v>
      </c>
      <c r="I228" s="7">
        <f t="shared" ca="1" si="424"/>
        <v>0</v>
      </c>
      <c r="J228" s="7">
        <f t="shared" ca="1" si="424"/>
        <v>0</v>
      </c>
      <c r="K228" s="7">
        <f t="shared" ca="1" si="424"/>
        <v>0</v>
      </c>
      <c r="L228" s="7">
        <f t="shared" ca="1" si="424"/>
        <v>0</v>
      </c>
      <c r="M228" s="7">
        <f t="shared" ca="1" si="424"/>
        <v>0</v>
      </c>
      <c r="N228" s="7">
        <f t="shared" ca="1" si="424"/>
        <v>0</v>
      </c>
      <c r="O228" s="7">
        <f t="shared" ca="1" si="424"/>
        <v>0</v>
      </c>
      <c r="P228" s="7">
        <f t="shared" ca="1" si="424"/>
        <v>0</v>
      </c>
      <c r="Q228" s="7">
        <f t="shared" ca="1" si="424"/>
        <v>0</v>
      </c>
      <c r="R228" s="7">
        <f t="shared" ca="1" si="424"/>
        <v>0</v>
      </c>
      <c r="S228" s="7">
        <f t="shared" ca="1" si="424"/>
        <v>0</v>
      </c>
      <c r="T228" s="7">
        <f t="shared" ca="1" si="424"/>
        <v>0</v>
      </c>
      <c r="U228" s="7">
        <f t="shared" ca="1" si="424"/>
        <v>0</v>
      </c>
      <c r="V228" s="7">
        <f t="shared" ca="1" si="424"/>
        <v>0</v>
      </c>
      <c r="W228" s="7">
        <f t="shared" ca="1" si="424"/>
        <v>0</v>
      </c>
      <c r="X228" s="7">
        <f t="shared" ca="1" si="424"/>
        <v>0</v>
      </c>
      <c r="Y228" s="7">
        <f t="shared" ca="1" si="424"/>
        <v>0</v>
      </c>
      <c r="Z228" s="7">
        <f t="shared" ca="1" si="424"/>
        <v>0</v>
      </c>
      <c r="AA228" s="7">
        <f t="shared" ca="1" si="424"/>
        <v>0</v>
      </c>
      <c r="AB228" s="7">
        <f t="shared" ca="1" si="424"/>
        <v>0</v>
      </c>
      <c r="AC228" s="7">
        <f t="shared" ca="1" si="424"/>
        <v>0</v>
      </c>
      <c r="AD228" s="7">
        <f t="shared" ca="1" si="424"/>
        <v>0</v>
      </c>
      <c r="AE228" s="7">
        <f t="shared" ca="1" si="424"/>
        <v>0</v>
      </c>
      <c r="AF228" s="7">
        <f t="shared" ca="1" si="424"/>
        <v>0</v>
      </c>
      <c r="AG228" s="7">
        <f t="shared" ca="1" si="424"/>
        <v>0</v>
      </c>
      <c r="AH228" s="7">
        <f t="shared" ca="1" si="424"/>
        <v>0</v>
      </c>
      <c r="AI228" s="7">
        <f t="shared" ca="1" si="424"/>
        <v>0</v>
      </c>
      <c r="AJ228" s="7">
        <f t="shared" ca="1" si="424"/>
        <v>0</v>
      </c>
      <c r="AK228" s="7">
        <f t="shared" ca="1" si="424"/>
        <v>0</v>
      </c>
      <c r="AL228" s="7">
        <f t="shared" ca="1" si="424"/>
        <v>0</v>
      </c>
      <c r="AM228" s="7">
        <f t="shared" ca="1" si="424"/>
        <v>0</v>
      </c>
    </row>
    <row r="229" spans="1:39" x14ac:dyDescent="0.2">
      <c r="A229" s="3" t="s">
        <v>68</v>
      </c>
      <c r="C229" s="7">
        <f ca="1">C228*Inputs!$B$269</f>
        <v>0</v>
      </c>
      <c r="D229" s="7">
        <f ca="1">D228*Inputs!$B$269</f>
        <v>0</v>
      </c>
      <c r="E229" s="7">
        <f ca="1">E228*Inputs!$B$269</f>
        <v>0</v>
      </c>
      <c r="F229" s="7">
        <f ca="1">F228*Inputs!$B$269</f>
        <v>0</v>
      </c>
      <c r="G229" s="7">
        <f ca="1">G228*Inputs!$B$269</f>
        <v>0</v>
      </c>
      <c r="H229" s="7">
        <f ca="1">H228*Inputs!$B$269</f>
        <v>0</v>
      </c>
      <c r="I229" s="7">
        <f ca="1">I228*Inputs!$B$269</f>
        <v>0</v>
      </c>
      <c r="J229" s="7">
        <f ca="1">J228*Inputs!$B$269</f>
        <v>0</v>
      </c>
      <c r="K229" s="7">
        <f ca="1">K228*Inputs!$B$269</f>
        <v>0</v>
      </c>
      <c r="L229" s="7">
        <f ca="1">L228*Inputs!$B$269</f>
        <v>0</v>
      </c>
      <c r="M229" s="7">
        <f ca="1">M228*Inputs!$B$269</f>
        <v>0</v>
      </c>
      <c r="N229" s="7">
        <f ca="1">N228*Inputs!$B$269</f>
        <v>0</v>
      </c>
      <c r="O229" s="7">
        <f ca="1">O228*Inputs!$B$269</f>
        <v>0</v>
      </c>
      <c r="P229" s="7">
        <f ca="1">P228*Inputs!$B$269</f>
        <v>0</v>
      </c>
      <c r="Q229" s="7">
        <f ca="1">Q228*Inputs!$B$269</f>
        <v>0</v>
      </c>
      <c r="R229" s="7">
        <f ca="1">R228*Inputs!$B$269</f>
        <v>0</v>
      </c>
      <c r="S229" s="7">
        <f ca="1">S228*Inputs!$B$269</f>
        <v>0</v>
      </c>
      <c r="T229" s="7">
        <f ca="1">T228*Inputs!$B$269</f>
        <v>0</v>
      </c>
      <c r="U229" s="7">
        <f ca="1">U228*Inputs!$B$269</f>
        <v>0</v>
      </c>
      <c r="V229" s="7">
        <f ca="1">V228*Inputs!$B$269</f>
        <v>0</v>
      </c>
      <c r="W229" s="7">
        <f ca="1">W228*Inputs!$B$269</f>
        <v>0</v>
      </c>
      <c r="X229" s="7">
        <f ca="1">X228*Inputs!$B$269</f>
        <v>0</v>
      </c>
      <c r="Y229" s="7">
        <f ca="1">Y228*Inputs!$B$269</f>
        <v>0</v>
      </c>
      <c r="Z229" s="7">
        <f ca="1">Z228*Inputs!$B$269</f>
        <v>0</v>
      </c>
      <c r="AA229" s="7">
        <f ca="1">AA228*Inputs!$B$269</f>
        <v>0</v>
      </c>
      <c r="AB229" s="7">
        <f ca="1">AB228*Inputs!$B$269</f>
        <v>0</v>
      </c>
      <c r="AC229" s="7">
        <f ca="1">AC228*Inputs!$B$269</f>
        <v>0</v>
      </c>
      <c r="AD229" s="7">
        <f ca="1">AD228*Inputs!$B$269</f>
        <v>0</v>
      </c>
      <c r="AE229" s="7">
        <f ca="1">AE228*Inputs!$B$269</f>
        <v>0</v>
      </c>
      <c r="AF229" s="7">
        <f ca="1">AF228*Inputs!$B$269</f>
        <v>0</v>
      </c>
      <c r="AG229" s="7">
        <f ca="1">AG228*Inputs!$B$269</f>
        <v>0</v>
      </c>
      <c r="AH229" s="7">
        <f ca="1">AH228*Inputs!$B$269</f>
        <v>0</v>
      </c>
      <c r="AI229" s="7">
        <f ca="1">AI228*Inputs!$B$269</f>
        <v>0</v>
      </c>
      <c r="AJ229" s="7">
        <f ca="1">AJ228*Inputs!$B$269</f>
        <v>0</v>
      </c>
      <c r="AK229" s="7">
        <f ca="1">AK228*Inputs!$B$269</f>
        <v>0</v>
      </c>
      <c r="AL229" s="7">
        <f ca="1">AL228*Inputs!$B$269</f>
        <v>0</v>
      </c>
      <c r="AM229" s="7">
        <f ca="1">AM228*Inputs!$B$269</f>
        <v>0</v>
      </c>
    </row>
    <row r="230" spans="1:39" x14ac:dyDescent="0.2">
      <c r="A230" s="3" t="s">
        <v>149</v>
      </c>
      <c r="C230" s="7">
        <f ca="1">C227+SUM($C229:C229)</f>
        <v>16108.4375</v>
      </c>
      <c r="D230" s="7">
        <f ca="1">D227+SUM($C229:D229)</f>
        <v>30012.145312499997</v>
      </c>
      <c r="E230" s="7">
        <f ca="1">E227+SUM($C229:E229)</f>
        <v>50169.6494140625</v>
      </c>
      <c r="F230" s="7">
        <f ca="1">F227+SUM($C229:F229)</f>
        <v>52227.783801841113</v>
      </c>
      <c r="G230" s="7">
        <f ca="1">G227+SUM($C229:G229)</f>
        <v>250455.15989583102</v>
      </c>
      <c r="H230" s="7">
        <f ca="1">H227+SUM($C229:H229)</f>
        <v>296986.84009098983</v>
      </c>
      <c r="I230" s="7">
        <f ca="1">I227+SUM($C229:I229)</f>
        <v>363754.64435619779</v>
      </c>
      <c r="J230" s="7">
        <f ca="1">J227+SUM($C229:J229)</f>
        <v>435067.93012454931</v>
      </c>
      <c r="K230" s="7">
        <f ca="1">K227+SUM($C229:K229)</f>
        <v>493116.96835998015</v>
      </c>
      <c r="L230" s="7">
        <f ca="1">L227+SUM($C229:L229)</f>
        <v>638212.2751736166</v>
      </c>
      <c r="M230" s="7">
        <f ca="1">M227+SUM($C229:M229)</f>
        <v>695163.71186735749</v>
      </c>
      <c r="N230" s="7">
        <f ca="1">N227+SUM($C229:N229)</f>
        <v>805771.16934020713</v>
      </c>
      <c r="O230" s="7">
        <f ca="1">O227+SUM($C229:O229)</f>
        <v>922222.00124800857</v>
      </c>
      <c r="P230" s="7">
        <f ca="1">P227+SUM($C229:P229)</f>
        <v>1044762.6085180258</v>
      </c>
      <c r="Q230" s="7">
        <f ca="1">Q227+SUM($C229:Q229)</f>
        <v>1173648.7608708572</v>
      </c>
      <c r="R230" s="7">
        <f ca="1">R227+SUM($C229:R229)</f>
        <v>1309145.9322852024</v>
      </c>
      <c r="S230" s="7">
        <f ca="1">S227+SUM($C229:S229)</f>
        <v>1451529.6480111426</v>
      </c>
      <c r="T230" s="7">
        <f ca="1">T227+SUM($C229:T229)</f>
        <v>1491855.4011356728</v>
      </c>
      <c r="U230" s="7">
        <f ca="1">U227+SUM($C229:U229)</f>
        <v>1541415.1978627439</v>
      </c>
      <c r="V230" s="7">
        <f ca="1">V227+SUM($C229:V229)</f>
        <v>1592757.5777099284</v>
      </c>
      <c r="W230" s="7">
        <f ca="1">W227+SUM($C229:W229)</f>
        <v>1645948.7425475621</v>
      </c>
      <c r="X230" s="7">
        <f ca="1">X227+SUM($C229:X229)</f>
        <v>1701057.3316526653</v>
      </c>
      <c r="Y230" s="7">
        <f ca="1">Y227+SUM($C229:Y229)</f>
        <v>1737237.4169653396</v>
      </c>
      <c r="Z230" s="7">
        <f ca="1">Z227+SUM($C229:Z229)</f>
        <v>1774434.0167242812</v>
      </c>
      <c r="AA230" s="7">
        <f ca="1">AA227+SUM($C229:AA229)</f>
        <v>1812684.4017288706</v>
      </c>
      <c r="AB230" s="7">
        <f ca="1">AB227+SUM($C229:AB229)</f>
        <v>1852027.3427258399</v>
      </c>
      <c r="AC230" s="7">
        <f ca="1">AC227+SUM($C229:AC229)</f>
        <v>1892503.1702642585</v>
      </c>
      <c r="AD230" s="7">
        <f ca="1">AD227+SUM($C229:AD229)</f>
        <v>1934153.8368503558</v>
      </c>
      <c r="AE230" s="7">
        <f ca="1">AE227+SUM($C229:AE229)</f>
        <v>1987130.2375195618</v>
      </c>
      <c r="AF230" s="7">
        <f ca="1">AF227+SUM($C229:AF229)</f>
        <v>2041875.8715530399</v>
      </c>
      <c r="AG230" s="7">
        <f ca="1">AG227+SUM($C229:AG229)</f>
        <v>2098456.905652951</v>
      </c>
      <c r="AH230" s="7">
        <f ca="1">AH227+SUM($C229:AH229)</f>
        <v>2156942.0335442415</v>
      </c>
      <c r="AI230" s="7">
        <f ca="1">AI227+SUM($C229:AI229)</f>
        <v>2217402.5707053514</v>
      </c>
      <c r="AJ230" s="7">
        <f ca="1">AJ227+SUM($C229:AJ229)</f>
        <v>2279912.5525480784</v>
      </c>
      <c r="AK230" s="7">
        <f ca="1">AK227+SUM($C229:AK229)</f>
        <v>2344548.8361686133</v>
      </c>
      <c r="AL230" s="7">
        <f ca="1">AL227+SUM($C229:AL229)</f>
        <v>2411391.2057959661</v>
      </c>
      <c r="AM230" s="7">
        <f ca="1">AM227+SUM($C229:AM229)</f>
        <v>2480522.4820683482</v>
      </c>
    </row>
    <row r="231" spans="1:39" x14ac:dyDescent="0.2">
      <c r="A231" s="3" t="s">
        <v>19</v>
      </c>
      <c r="C231" s="7">
        <f ca="1">IF(C230&lt;0,-C230,0)</f>
        <v>0</v>
      </c>
      <c r="D231" s="7">
        <f ca="1">IF(D230+SUM($C231:C231)&lt;0,-(D230+SUM($C231:C231)),0)</f>
        <v>0</v>
      </c>
      <c r="E231" s="7">
        <f ca="1">IF(E230+SUM($C231:D231)&lt;0,-(E230+SUM($C231:D231)),0)</f>
        <v>0</v>
      </c>
      <c r="F231" s="7">
        <f ca="1">IF(F230+SUM($C231:E231)&lt;0,-(F230+SUM($C231:E231)),0)</f>
        <v>0</v>
      </c>
      <c r="G231" s="7">
        <f ca="1">IF(G230+SUM($C231:F231)&lt;0,-(G230+SUM($C231:F231)),0)</f>
        <v>0</v>
      </c>
      <c r="H231" s="7">
        <f ca="1">IF(H230+SUM($C231:G231)&lt;0,-(H230+SUM($C231:G231)),0)</f>
        <v>0</v>
      </c>
      <c r="I231" s="7">
        <f ca="1">IF(I230+SUM($C231:H231)&lt;0,-(I230+SUM($C231:H231)),0)</f>
        <v>0</v>
      </c>
      <c r="J231" s="7">
        <f ca="1">IF(J230+SUM($C231:I231)&lt;0,-(J230+SUM($C231:I231)),0)</f>
        <v>0</v>
      </c>
      <c r="K231" s="7">
        <f ca="1">IF(K230+SUM($C231:J231)&lt;0,-(K230+SUM($C231:J231)),0)</f>
        <v>0</v>
      </c>
      <c r="L231" s="7">
        <f ca="1">IF(L230+SUM($C231:K231)&lt;0,-(L230+SUM($C231:K231)),0)</f>
        <v>0</v>
      </c>
      <c r="M231" s="7">
        <f ca="1">IF(M230+SUM($C231:L231)&lt;0,-(M230+SUM($C231:L231)),0)</f>
        <v>0</v>
      </c>
      <c r="N231" s="7">
        <f ca="1">IF(N230+SUM($C231:M231)&lt;0,-(N230+SUM($C231:M231)),0)</f>
        <v>0</v>
      </c>
      <c r="O231" s="7">
        <f ca="1">IF(O230+SUM($C231:N231)&lt;0,-(O230+SUM($C231:N231)),0)</f>
        <v>0</v>
      </c>
      <c r="P231" s="7">
        <f ca="1">IF(P230+SUM($C231:O231)&lt;0,-(P230+SUM($C231:O231)),0)</f>
        <v>0</v>
      </c>
      <c r="Q231" s="7">
        <f ca="1">IF(Q230+SUM($C231:P231)&lt;0,-(Q230+SUM($C231:P231)),0)</f>
        <v>0</v>
      </c>
      <c r="R231" s="7">
        <f ca="1">IF(R230+SUM($C231:Q231)&lt;0,-(R230+SUM($C231:Q231)),0)</f>
        <v>0</v>
      </c>
      <c r="S231" s="7">
        <f ca="1">IF(S230+SUM($C231:R231)&lt;0,-(S230+SUM($C231:R231)),0)</f>
        <v>0</v>
      </c>
      <c r="T231" s="7">
        <f ca="1">IF(T230+SUM($C231:S231)&lt;0,-(T230+SUM($C231:S231)),0)</f>
        <v>0</v>
      </c>
      <c r="U231" s="7">
        <f ca="1">IF(U230+SUM($C231:T231)&lt;0,-(U230+SUM($C231:T231)),0)</f>
        <v>0</v>
      </c>
      <c r="V231" s="7">
        <f ca="1">IF(V230+SUM($C231:U231)&lt;0,-(V230+SUM($C231:U231)),0)</f>
        <v>0</v>
      </c>
      <c r="W231" s="7">
        <f ca="1">IF(W230+SUM($C231:V231)&lt;0,-(W230+SUM($C231:V231)),0)</f>
        <v>0</v>
      </c>
      <c r="X231" s="7">
        <f ca="1">IF(X230+SUM($C231:W231)&lt;0,-(X230+SUM($C231:W231)),0)</f>
        <v>0</v>
      </c>
      <c r="Y231" s="7">
        <f ca="1">IF(Y230+SUM($C231:X231)&lt;0,-(Y230+SUM($C231:X231)),0)</f>
        <v>0</v>
      </c>
      <c r="Z231" s="7">
        <f ca="1">IF(Z230+SUM($C231:Y231)&lt;0,-(Z230+SUM($C231:Y231)),0)</f>
        <v>0</v>
      </c>
      <c r="AA231" s="7">
        <f ca="1">IF(AA230+SUM($C231:Z231)&lt;0,-(AA230+SUM($C231:Z231)),0)</f>
        <v>0</v>
      </c>
      <c r="AB231" s="7">
        <f ca="1">IF(AB230+SUM($C231:AA231)&lt;0,-(AB230+SUM($C231:AA231)),0)</f>
        <v>0</v>
      </c>
      <c r="AC231" s="7">
        <f ca="1">IF(AC230+SUM($C231:AB231)&lt;0,-(AC230+SUM($C231:AB231)),0)</f>
        <v>0</v>
      </c>
      <c r="AD231" s="7">
        <f ca="1">IF(AD230+SUM($C231:AC231)&lt;0,-(AD230+SUM($C231:AC231)),0)</f>
        <v>0</v>
      </c>
      <c r="AE231" s="7">
        <f ca="1">IF(AE230+SUM($C231:AD231)&lt;0,-(AE230+SUM($C231:AD231)),0)</f>
        <v>0</v>
      </c>
      <c r="AF231" s="7">
        <f ca="1">IF(AF230+SUM($C231:AE231)&lt;0,-(AF230+SUM($C231:AE231)),0)</f>
        <v>0</v>
      </c>
      <c r="AG231" s="7">
        <f ca="1">IF(AG230+SUM($C231:AF231)&lt;0,-(AG230+SUM($C231:AF231)),0)</f>
        <v>0</v>
      </c>
      <c r="AH231" s="7">
        <f ca="1">IF(AH230+SUM($C231:AG231)&lt;0,-(AH230+SUM($C231:AG231)),0)</f>
        <v>0</v>
      </c>
      <c r="AI231" s="7">
        <f ca="1">IF(AI230+SUM($C231:AH231)&lt;0,-(AI230+SUM($C231:AH231)),0)</f>
        <v>0</v>
      </c>
      <c r="AJ231" s="7">
        <f ca="1">IF(AJ230+SUM($C231:AI231)&lt;0,-(AJ230+SUM($C231:AI231)),0)</f>
        <v>0</v>
      </c>
      <c r="AK231" s="7">
        <f ca="1">IF(AK230+SUM($C231:AJ231)&lt;0,-(AK230+SUM($C231:AJ231)),0)</f>
        <v>0</v>
      </c>
      <c r="AL231" s="7">
        <f ca="1">IF(AL230+SUM($C231:AK231)&lt;0,-(AL230+SUM($C231:AK231)),0)</f>
        <v>0</v>
      </c>
      <c r="AM231" s="7">
        <f ca="1">IF(AM230+SUM($C231:AL231)&lt;0,-(AM230+SUM($C231:AL231)),0)</f>
        <v>0</v>
      </c>
    </row>
    <row r="232" spans="1:39" x14ac:dyDescent="0.2"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</row>
    <row r="233" spans="1:39" x14ac:dyDescent="0.2">
      <c r="A233" s="24" t="str">
        <f>IF(Inputs!$B$289=6,IFERROR(_xlfn.XLOOKUP($B233,Inputs!$B$290:$B$299,Inputs!$A$290:$A$299,,0,1),""),IFERROR(_xlfn.XLOOKUP($B233,Inputs!$C$290:$C$299,Inputs!$A$290:$A$299,,0,1),""))</f>
        <v>Boat</v>
      </c>
      <c r="B233" s="26">
        <v>8</v>
      </c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</row>
    <row r="234" spans="1:39" x14ac:dyDescent="0.2">
      <c r="A234" s="3" t="s">
        <v>21</v>
      </c>
      <c r="C234" s="7">
        <f ca="1">IFERROR(VLOOKUP($A233,$A$67:$H$96,C$1+2,FALSE),0)</f>
        <v>173206.90804157319</v>
      </c>
      <c r="D234" s="7">
        <f ca="1">C237</f>
        <v>173206.90804157319</v>
      </c>
      <c r="E234" s="7">
        <f t="shared" ref="E234" ca="1" si="425">D237</f>
        <v>164546.56263949454</v>
      </c>
      <c r="F234" s="7">
        <f t="shared" ref="F234" ca="1" si="426">E237</f>
        <v>156319.23450751981</v>
      </c>
      <c r="G234" s="7">
        <f t="shared" ref="G234" ca="1" si="427">F237</f>
        <v>148503.27278214382</v>
      </c>
      <c r="H234" s="7">
        <f t="shared" ref="H234" ca="1" si="428">G237</f>
        <v>141078.10914303662</v>
      </c>
      <c r="I234" s="7">
        <f t="shared" ref="I234" ca="1" si="429">H237</f>
        <v>134024.2036858848</v>
      </c>
      <c r="J234" s="7">
        <f t="shared" ref="J234" ca="1" si="430">I237</f>
        <v>127322.99350159056</v>
      </c>
      <c r="K234" s="7">
        <f t="shared" ref="K234" ca="1" si="431">J237</f>
        <v>120956.84382651103</v>
      </c>
      <c r="L234" s="7">
        <f t="shared" ref="L234" ca="1" si="432">K237</f>
        <v>114909.00163518547</v>
      </c>
      <c r="M234" s="7">
        <f t="shared" ref="M234" ca="1" si="433">L237</f>
        <v>109163.55155342619</v>
      </c>
      <c r="N234" s="7">
        <f t="shared" ref="N234" ca="1" si="434">M237</f>
        <v>103705.37397575489</v>
      </c>
      <c r="O234" s="7">
        <f t="shared" ref="O234" ca="1" si="435">N237</f>
        <v>98520.105276967151</v>
      </c>
      <c r="P234" s="7">
        <f t="shared" ref="P234" ca="1" si="436">O237</f>
        <v>93594.10001311879</v>
      </c>
      <c r="Q234" s="7">
        <f t="shared" ref="Q234" ca="1" si="437">P237</f>
        <v>88914.395012462846</v>
      </c>
      <c r="R234" s="7">
        <f t="shared" ref="R234" ca="1" si="438">Q237</f>
        <v>84468.6752618397</v>
      </c>
      <c r="S234" s="7">
        <f t="shared" ref="S234" ca="1" si="439">R237</f>
        <v>80245.24149874771</v>
      </c>
      <c r="T234" s="7">
        <f t="shared" ref="T234" ca="1" si="440">S237</f>
        <v>76232.97942381032</v>
      </c>
      <c r="U234" s="7">
        <f t="shared" ref="U234" ca="1" si="441">T237</f>
        <v>72421.330452619804</v>
      </c>
      <c r="V234" s="7">
        <f t="shared" ref="V234" ca="1" si="442">U237</f>
        <v>68800.263929988811</v>
      </c>
      <c r="W234" s="7">
        <f t="shared" ref="W234" ca="1" si="443">V237</f>
        <v>65360.250733489367</v>
      </c>
      <c r="X234" s="7">
        <f t="shared" ref="X234" ca="1" si="444">W237</f>
        <v>62092.238196814898</v>
      </c>
      <c r="Y234" s="7">
        <f t="shared" ref="Y234" ca="1" si="445">X237</f>
        <v>58987.626286974155</v>
      </c>
      <c r="Z234" s="7">
        <f t="shared" ref="Z234" ca="1" si="446">Y237</f>
        <v>56038.244972625449</v>
      </c>
      <c r="AA234" s="7">
        <f t="shared" ref="AA234" ca="1" si="447">Z237</f>
        <v>53236.332723994179</v>
      </c>
      <c r="AB234" s="7">
        <f t="shared" ref="AB234" ca="1" si="448">AA237</f>
        <v>50574.516087794473</v>
      </c>
      <c r="AC234" s="7">
        <f t="shared" ref="AC234" ca="1" si="449">AB237</f>
        <v>48045.790283404749</v>
      </c>
      <c r="AD234" s="7">
        <f t="shared" ref="AD234" ca="1" si="450">AC237</f>
        <v>45643.50076923451</v>
      </c>
      <c r="AE234" s="7">
        <f t="shared" ref="AE234" ca="1" si="451">AD237</f>
        <v>43361.325730772784</v>
      </c>
      <c r="AF234" s="7">
        <f t="shared" ref="AF234" ca="1" si="452">AE237</f>
        <v>41193.259444234143</v>
      </c>
      <c r="AG234" s="7">
        <f t="shared" ref="AG234" ca="1" si="453">AF237</f>
        <v>39133.596472022437</v>
      </c>
      <c r="AH234" s="7">
        <f t="shared" ref="AH234" ca="1" si="454">AG237</f>
        <v>37176.916648421313</v>
      </c>
      <c r="AI234" s="7">
        <f t="shared" ref="AI234" ca="1" si="455">AH237</f>
        <v>35318.070816000247</v>
      </c>
      <c r="AJ234" s="7">
        <f t="shared" ref="AJ234" ca="1" si="456">AI237</f>
        <v>33552.167275200234</v>
      </c>
      <c r="AK234" s="7">
        <f t="shared" ref="AK234" ca="1" si="457">AJ237</f>
        <v>31874.558911440221</v>
      </c>
      <c r="AL234" s="7">
        <f t="shared" ref="AL234" ca="1" si="458">AK237</f>
        <v>30280.830965868208</v>
      </c>
      <c r="AM234" s="7">
        <f t="shared" ref="AM234" ca="1" si="459">AL237</f>
        <v>28766.789417574797</v>
      </c>
    </row>
    <row r="235" spans="1:39" x14ac:dyDescent="0.2">
      <c r="A235" s="3" t="s">
        <v>22</v>
      </c>
      <c r="C235" s="7">
        <f ca="1">-IF(D231&gt;0,C234,0)</f>
        <v>0</v>
      </c>
      <c r="D235" s="7">
        <f ca="1">-IF(E231&gt;0,D234,0)</f>
        <v>0</v>
      </c>
      <c r="E235" s="7">
        <f ca="1">-IF(F231&gt;0,E234,0)</f>
        <v>0</v>
      </c>
      <c r="F235" s="7">
        <f ca="1">-IF(G231&gt;0,F234,0)</f>
        <v>0</v>
      </c>
      <c r="G235" s="7">
        <f t="shared" ref="G235" ca="1" si="460">-IF(H231&gt;0,G234,0)</f>
        <v>0</v>
      </c>
      <c r="H235" s="7">
        <f t="shared" ref="H235" ca="1" si="461">-IF(I231&gt;0,H234,0)</f>
        <v>0</v>
      </c>
      <c r="I235" s="7">
        <f t="shared" ref="I235" ca="1" si="462">-IF(J231&gt;0,I234,0)</f>
        <v>0</v>
      </c>
      <c r="J235" s="7">
        <f t="shared" ref="J235" ca="1" si="463">-IF(K231&gt;0,J234,0)</f>
        <v>0</v>
      </c>
      <c r="K235" s="7">
        <f t="shared" ref="K235" ca="1" si="464">-IF(L231&gt;0,K234,0)</f>
        <v>0</v>
      </c>
      <c r="L235" s="7">
        <f t="shared" ref="L235" ca="1" si="465">-IF(M231&gt;0,L234,0)</f>
        <v>0</v>
      </c>
      <c r="M235" s="7">
        <f t="shared" ref="M235" ca="1" si="466">-IF(N231&gt;0,M234,0)</f>
        <v>0</v>
      </c>
      <c r="N235" s="7">
        <f t="shared" ref="N235" ca="1" si="467">-IF(O231&gt;0,N234,0)</f>
        <v>0</v>
      </c>
      <c r="O235" s="7">
        <f t="shared" ref="O235" ca="1" si="468">-IF(P231&gt;0,O234,0)</f>
        <v>0</v>
      </c>
      <c r="P235" s="7">
        <f t="shared" ref="P235" ca="1" si="469">-IF(Q231&gt;0,P234,0)</f>
        <v>0</v>
      </c>
      <c r="Q235" s="7">
        <f t="shared" ref="Q235" ca="1" si="470">-IF(R231&gt;0,Q234,0)</f>
        <v>0</v>
      </c>
      <c r="R235" s="7">
        <f t="shared" ref="R235" ca="1" si="471">-IF(S231&gt;0,R234,0)</f>
        <v>0</v>
      </c>
      <c r="S235" s="7">
        <f t="shared" ref="S235" ca="1" si="472">-IF(T231&gt;0,S234,0)</f>
        <v>0</v>
      </c>
      <c r="T235" s="7">
        <f t="shared" ref="T235" ca="1" si="473">-IF(U231&gt;0,T234,0)</f>
        <v>0</v>
      </c>
      <c r="U235" s="7">
        <f t="shared" ref="U235" ca="1" si="474">-IF(V231&gt;0,U234,0)</f>
        <v>0</v>
      </c>
      <c r="V235" s="7">
        <f t="shared" ref="V235" ca="1" si="475">-IF(W231&gt;0,V234,0)</f>
        <v>0</v>
      </c>
      <c r="W235" s="7">
        <f t="shared" ref="W235" ca="1" si="476">-IF(X231&gt;0,W234,0)</f>
        <v>0</v>
      </c>
      <c r="X235" s="7">
        <f t="shared" ref="X235" ca="1" si="477">-IF(Y231&gt;0,X234,0)</f>
        <v>0</v>
      </c>
      <c r="Y235" s="7">
        <f t="shared" ref="Y235" ca="1" si="478">-IF(Z231&gt;0,Y234,0)</f>
        <v>0</v>
      </c>
      <c r="Z235" s="7">
        <f t="shared" ref="Z235" ca="1" si="479">-IF(AA231&gt;0,Z234,0)</f>
        <v>0</v>
      </c>
      <c r="AA235" s="7">
        <f t="shared" ref="AA235" ca="1" si="480">-IF(AB231&gt;0,AA234,0)</f>
        <v>0</v>
      </c>
      <c r="AB235" s="7">
        <f t="shared" ref="AB235" ca="1" si="481">-IF(AC231&gt;0,AB234,0)</f>
        <v>0</v>
      </c>
      <c r="AC235" s="7">
        <f t="shared" ref="AC235" ca="1" si="482">-IF(AD231&gt;0,AC234,0)</f>
        <v>0</v>
      </c>
      <c r="AD235" s="7">
        <f t="shared" ref="AD235" ca="1" si="483">-IF(AE231&gt;0,AD234,0)</f>
        <v>0</v>
      </c>
      <c r="AE235" s="7">
        <f t="shared" ref="AE235" ca="1" si="484">-IF(AF231&gt;0,AE234,0)</f>
        <v>0</v>
      </c>
      <c r="AF235" s="7">
        <f t="shared" ref="AF235" ca="1" si="485">-IF(AG231&gt;0,AF234,0)</f>
        <v>0</v>
      </c>
      <c r="AG235" s="7">
        <f t="shared" ref="AG235" ca="1" si="486">-IF(AH231&gt;0,AG234,0)</f>
        <v>0</v>
      </c>
      <c r="AH235" s="7">
        <f t="shared" ref="AH235" ca="1" si="487">-IF(AI231&gt;0,AH234,0)</f>
        <v>0</v>
      </c>
      <c r="AI235" s="7">
        <f t="shared" ref="AI235" ca="1" si="488">-IF(AJ231&gt;0,AI234,0)</f>
        <v>0</v>
      </c>
      <c r="AJ235" s="7">
        <f t="shared" ref="AJ235" ca="1" si="489">-IF(AK231&gt;0,AJ234,0)</f>
        <v>0</v>
      </c>
      <c r="AK235" s="7">
        <f t="shared" ref="AK235" ca="1" si="490">-IF(AL231&gt;0,AK234,0)</f>
        <v>0</v>
      </c>
      <c r="AL235" s="7">
        <f t="shared" ref="AL235" ca="1" si="491">-IF(AM231&gt;0,AL234,0)</f>
        <v>0</v>
      </c>
      <c r="AM235" s="7">
        <f t="shared" ref="AM235" si="492">-IF(AN231&gt;0,AM234,0)</f>
        <v>0</v>
      </c>
    </row>
    <row r="236" spans="1:39" x14ac:dyDescent="0.2">
      <c r="A236" s="3" t="s">
        <v>23</v>
      </c>
      <c r="C236" s="7">
        <v>0</v>
      </c>
      <c r="D236" s="7">
        <f t="shared" ref="D236:AM236" ca="1" si="493">SUM(D234:D235)*VLOOKUP($A233,AssVar,2,FALSE)</f>
        <v>-8660.3454020786594</v>
      </c>
      <c r="E236" s="7">
        <f t="shared" ca="1" si="493"/>
        <v>-8227.3281319747275</v>
      </c>
      <c r="F236" s="7">
        <f t="shared" ca="1" si="493"/>
        <v>-7815.9617253759907</v>
      </c>
      <c r="G236" s="7">
        <f t="shared" ca="1" si="493"/>
        <v>-7425.1636391071916</v>
      </c>
      <c r="H236" s="7">
        <f t="shared" ca="1" si="493"/>
        <v>-7053.9054571518318</v>
      </c>
      <c r="I236" s="7">
        <f t="shared" ca="1" si="493"/>
        <v>-6701.2101842942402</v>
      </c>
      <c r="J236" s="7">
        <f t="shared" ca="1" si="493"/>
        <v>-6366.1496750795286</v>
      </c>
      <c r="K236" s="7">
        <f t="shared" ca="1" si="493"/>
        <v>-6047.8421913255515</v>
      </c>
      <c r="L236" s="7">
        <f t="shared" ca="1" si="493"/>
        <v>-5745.4500817592743</v>
      </c>
      <c r="M236" s="7">
        <f t="shared" ca="1" si="493"/>
        <v>-5458.1775776713102</v>
      </c>
      <c r="N236" s="7">
        <f t="shared" ca="1" si="493"/>
        <v>-5185.2686987877451</v>
      </c>
      <c r="O236" s="7">
        <f t="shared" ca="1" si="493"/>
        <v>-4926.0052638483576</v>
      </c>
      <c r="P236" s="7">
        <f t="shared" ca="1" si="493"/>
        <v>-4679.7050006559393</v>
      </c>
      <c r="Q236" s="7">
        <f t="shared" ca="1" si="493"/>
        <v>-4445.7197506231423</v>
      </c>
      <c r="R236" s="7">
        <f t="shared" ca="1" si="493"/>
        <v>-4223.4337630919854</v>
      </c>
      <c r="S236" s="7">
        <f t="shared" ca="1" si="493"/>
        <v>-4012.2620749373855</v>
      </c>
      <c r="T236" s="7">
        <f t="shared" ca="1" si="493"/>
        <v>-3811.648971190516</v>
      </c>
      <c r="U236" s="7">
        <f t="shared" ca="1" si="493"/>
        <v>-3621.0665226309902</v>
      </c>
      <c r="V236" s="7">
        <f t="shared" ca="1" si="493"/>
        <v>-3440.0131964994407</v>
      </c>
      <c r="W236" s="7">
        <f t="shared" ca="1" si="493"/>
        <v>-3268.0125366744687</v>
      </c>
      <c r="X236" s="7">
        <f t="shared" ca="1" si="493"/>
        <v>-3104.6119098407453</v>
      </c>
      <c r="Y236" s="7">
        <f t="shared" ca="1" si="493"/>
        <v>-2949.3813143487077</v>
      </c>
      <c r="Z236" s="7">
        <f t="shared" ca="1" si="493"/>
        <v>-2801.9122486312726</v>
      </c>
      <c r="AA236" s="7">
        <f t="shared" ca="1" si="493"/>
        <v>-2661.8166361997091</v>
      </c>
      <c r="AB236" s="7">
        <f t="shared" ca="1" si="493"/>
        <v>-2528.7258043897236</v>
      </c>
      <c r="AC236" s="7">
        <f t="shared" ca="1" si="493"/>
        <v>-2402.2895141702375</v>
      </c>
      <c r="AD236" s="7">
        <f t="shared" ca="1" si="493"/>
        <v>-2282.1750384617258</v>
      </c>
      <c r="AE236" s="7">
        <f t="shared" ca="1" si="493"/>
        <v>-2168.0662865386394</v>
      </c>
      <c r="AF236" s="7">
        <f t="shared" ca="1" si="493"/>
        <v>-2059.6629722117073</v>
      </c>
      <c r="AG236" s="7">
        <f t="shared" ca="1" si="493"/>
        <v>-1956.6798236011218</v>
      </c>
      <c r="AH236" s="7">
        <f t="shared" ca="1" si="493"/>
        <v>-1858.8458324210658</v>
      </c>
      <c r="AI236" s="7">
        <f t="shared" ca="1" si="493"/>
        <v>-1765.9035408000125</v>
      </c>
      <c r="AJ236" s="7">
        <f t="shared" ca="1" si="493"/>
        <v>-1677.6083637600118</v>
      </c>
      <c r="AK236" s="7">
        <f t="shared" ca="1" si="493"/>
        <v>-1593.7279455720111</v>
      </c>
      <c r="AL236" s="7">
        <f t="shared" ca="1" si="493"/>
        <v>-1514.0415482934104</v>
      </c>
      <c r="AM236" s="7">
        <f t="shared" ca="1" si="493"/>
        <v>-1438.33947087874</v>
      </c>
    </row>
    <row r="237" spans="1:39" x14ac:dyDescent="0.2">
      <c r="A237" s="3" t="s">
        <v>24</v>
      </c>
      <c r="C237" s="7">
        <f ca="1">SUM(C234:C236)</f>
        <v>173206.90804157319</v>
      </c>
      <c r="D237" s="7">
        <f t="shared" ref="D237:AM237" ca="1" si="494">SUM(D234:D236)</f>
        <v>164546.56263949454</v>
      </c>
      <c r="E237" s="7">
        <f t="shared" ca="1" si="494"/>
        <v>156319.23450751981</v>
      </c>
      <c r="F237" s="7">
        <f t="shared" ca="1" si="494"/>
        <v>148503.27278214382</v>
      </c>
      <c r="G237" s="7">
        <f t="shared" ca="1" si="494"/>
        <v>141078.10914303662</v>
      </c>
      <c r="H237" s="7">
        <f t="shared" ca="1" si="494"/>
        <v>134024.2036858848</v>
      </c>
      <c r="I237" s="7">
        <f t="shared" ca="1" si="494"/>
        <v>127322.99350159056</v>
      </c>
      <c r="J237" s="7">
        <f t="shared" ca="1" si="494"/>
        <v>120956.84382651103</v>
      </c>
      <c r="K237" s="7">
        <f t="shared" ca="1" si="494"/>
        <v>114909.00163518547</v>
      </c>
      <c r="L237" s="7">
        <f t="shared" ca="1" si="494"/>
        <v>109163.55155342619</v>
      </c>
      <c r="M237" s="7">
        <f t="shared" ca="1" si="494"/>
        <v>103705.37397575489</v>
      </c>
      <c r="N237" s="7">
        <f t="shared" ca="1" si="494"/>
        <v>98520.105276967151</v>
      </c>
      <c r="O237" s="7">
        <f t="shared" ca="1" si="494"/>
        <v>93594.10001311879</v>
      </c>
      <c r="P237" s="7">
        <f t="shared" ca="1" si="494"/>
        <v>88914.395012462846</v>
      </c>
      <c r="Q237" s="7">
        <f t="shared" ca="1" si="494"/>
        <v>84468.6752618397</v>
      </c>
      <c r="R237" s="7">
        <f t="shared" ca="1" si="494"/>
        <v>80245.24149874771</v>
      </c>
      <c r="S237" s="7">
        <f t="shared" ca="1" si="494"/>
        <v>76232.97942381032</v>
      </c>
      <c r="T237" s="7">
        <f t="shared" ca="1" si="494"/>
        <v>72421.330452619804</v>
      </c>
      <c r="U237" s="7">
        <f t="shared" ca="1" si="494"/>
        <v>68800.263929988811</v>
      </c>
      <c r="V237" s="7">
        <f t="shared" ca="1" si="494"/>
        <v>65360.250733489367</v>
      </c>
      <c r="W237" s="7">
        <f t="shared" ca="1" si="494"/>
        <v>62092.238196814898</v>
      </c>
      <c r="X237" s="7">
        <f t="shared" ca="1" si="494"/>
        <v>58987.626286974155</v>
      </c>
      <c r="Y237" s="7">
        <f t="shared" ca="1" si="494"/>
        <v>56038.244972625449</v>
      </c>
      <c r="Z237" s="7">
        <f t="shared" ca="1" si="494"/>
        <v>53236.332723994179</v>
      </c>
      <c r="AA237" s="7">
        <f t="shared" ca="1" si="494"/>
        <v>50574.516087794473</v>
      </c>
      <c r="AB237" s="7">
        <f t="shared" ca="1" si="494"/>
        <v>48045.790283404749</v>
      </c>
      <c r="AC237" s="7">
        <f t="shared" ca="1" si="494"/>
        <v>45643.50076923451</v>
      </c>
      <c r="AD237" s="7">
        <f t="shared" ca="1" si="494"/>
        <v>43361.325730772784</v>
      </c>
      <c r="AE237" s="7">
        <f t="shared" ca="1" si="494"/>
        <v>41193.259444234143</v>
      </c>
      <c r="AF237" s="7">
        <f t="shared" ca="1" si="494"/>
        <v>39133.596472022437</v>
      </c>
      <c r="AG237" s="7">
        <f t="shared" ca="1" si="494"/>
        <v>37176.916648421313</v>
      </c>
      <c r="AH237" s="7">
        <f t="shared" ca="1" si="494"/>
        <v>35318.070816000247</v>
      </c>
      <c r="AI237" s="7">
        <f t="shared" ca="1" si="494"/>
        <v>33552.167275200234</v>
      </c>
      <c r="AJ237" s="7">
        <f t="shared" ca="1" si="494"/>
        <v>31874.558911440221</v>
      </c>
      <c r="AK237" s="7">
        <f t="shared" ca="1" si="494"/>
        <v>30280.830965868208</v>
      </c>
      <c r="AL237" s="7">
        <f t="shared" ca="1" si="494"/>
        <v>28766.789417574797</v>
      </c>
      <c r="AM237" s="7">
        <f t="shared" ca="1" si="494"/>
        <v>27328.449946696055</v>
      </c>
    </row>
    <row r="238" spans="1:39" x14ac:dyDescent="0.2">
      <c r="A238" s="3" t="s">
        <v>25</v>
      </c>
      <c r="C238" s="7">
        <f t="shared" ref="C238:AM238" ca="1" si="495">C235*VLOOKUP($A233,AssVar,3,FALSE)</f>
        <v>0</v>
      </c>
      <c r="D238" s="7">
        <f t="shared" ca="1" si="495"/>
        <v>0</v>
      </c>
      <c r="E238" s="7">
        <f t="shared" ca="1" si="495"/>
        <v>0</v>
      </c>
      <c r="F238" s="7">
        <f t="shared" ca="1" si="495"/>
        <v>0</v>
      </c>
      <c r="G238" s="7">
        <f t="shared" ca="1" si="495"/>
        <v>0</v>
      </c>
      <c r="H238" s="7">
        <f t="shared" ca="1" si="495"/>
        <v>0</v>
      </c>
      <c r="I238" s="7">
        <f t="shared" ca="1" si="495"/>
        <v>0</v>
      </c>
      <c r="J238" s="7">
        <f t="shared" ca="1" si="495"/>
        <v>0</v>
      </c>
      <c r="K238" s="7">
        <f t="shared" ca="1" si="495"/>
        <v>0</v>
      </c>
      <c r="L238" s="7">
        <f t="shared" ca="1" si="495"/>
        <v>0</v>
      </c>
      <c r="M238" s="7">
        <f t="shared" ca="1" si="495"/>
        <v>0</v>
      </c>
      <c r="N238" s="7">
        <f t="shared" ca="1" si="495"/>
        <v>0</v>
      </c>
      <c r="O238" s="7">
        <f t="shared" ca="1" si="495"/>
        <v>0</v>
      </c>
      <c r="P238" s="7">
        <f t="shared" ca="1" si="495"/>
        <v>0</v>
      </c>
      <c r="Q238" s="7">
        <f t="shared" ca="1" si="495"/>
        <v>0</v>
      </c>
      <c r="R238" s="7">
        <f t="shared" ca="1" si="495"/>
        <v>0</v>
      </c>
      <c r="S238" s="7">
        <f t="shared" ca="1" si="495"/>
        <v>0</v>
      </c>
      <c r="T238" s="7">
        <f t="shared" ca="1" si="495"/>
        <v>0</v>
      </c>
      <c r="U238" s="7">
        <f t="shared" ca="1" si="495"/>
        <v>0</v>
      </c>
      <c r="V238" s="7">
        <f t="shared" ca="1" si="495"/>
        <v>0</v>
      </c>
      <c r="W238" s="7">
        <f t="shared" ca="1" si="495"/>
        <v>0</v>
      </c>
      <c r="X238" s="7">
        <f t="shared" ca="1" si="495"/>
        <v>0</v>
      </c>
      <c r="Y238" s="7">
        <f t="shared" ca="1" si="495"/>
        <v>0</v>
      </c>
      <c r="Z238" s="7">
        <f t="shared" ca="1" si="495"/>
        <v>0</v>
      </c>
      <c r="AA238" s="7">
        <f t="shared" ca="1" si="495"/>
        <v>0</v>
      </c>
      <c r="AB238" s="7">
        <f t="shared" ca="1" si="495"/>
        <v>0</v>
      </c>
      <c r="AC238" s="7">
        <f t="shared" ca="1" si="495"/>
        <v>0</v>
      </c>
      <c r="AD238" s="7">
        <f t="shared" ca="1" si="495"/>
        <v>0</v>
      </c>
      <c r="AE238" s="7">
        <f t="shared" ca="1" si="495"/>
        <v>0</v>
      </c>
      <c r="AF238" s="7">
        <f t="shared" ca="1" si="495"/>
        <v>0</v>
      </c>
      <c r="AG238" s="7">
        <f t="shared" ca="1" si="495"/>
        <v>0</v>
      </c>
      <c r="AH238" s="7">
        <f t="shared" ca="1" si="495"/>
        <v>0</v>
      </c>
      <c r="AI238" s="7">
        <f t="shared" ca="1" si="495"/>
        <v>0</v>
      </c>
      <c r="AJ238" s="7">
        <f t="shared" ca="1" si="495"/>
        <v>0</v>
      </c>
      <c r="AK238" s="7">
        <f t="shared" ca="1" si="495"/>
        <v>0</v>
      </c>
      <c r="AL238" s="7">
        <f t="shared" ca="1" si="495"/>
        <v>0</v>
      </c>
      <c r="AM238" s="7">
        <f t="shared" si="495"/>
        <v>0</v>
      </c>
    </row>
    <row r="239" spans="1:39" x14ac:dyDescent="0.2">
      <c r="A239" s="3" t="s">
        <v>30</v>
      </c>
      <c r="C239" s="7">
        <f t="shared" ref="C239:AM239" ca="1" si="496">IFERROR(-IF(C234=0,VLOOKUP($A233,$8:$12,C$1+2,FALSE),0),0)</f>
        <v>0</v>
      </c>
      <c r="D239" s="7">
        <f t="shared" ca="1" si="496"/>
        <v>0</v>
      </c>
      <c r="E239" s="7">
        <f t="shared" ca="1" si="496"/>
        <v>0</v>
      </c>
      <c r="F239" s="7">
        <f t="shared" ca="1" si="496"/>
        <v>0</v>
      </c>
      <c r="G239" s="7">
        <f t="shared" ca="1" si="496"/>
        <v>0</v>
      </c>
      <c r="H239" s="7">
        <f t="shared" ca="1" si="496"/>
        <v>0</v>
      </c>
      <c r="I239" s="7">
        <f t="shared" ca="1" si="496"/>
        <v>0</v>
      </c>
      <c r="J239" s="7">
        <f t="shared" ca="1" si="496"/>
        <v>0</v>
      </c>
      <c r="K239" s="7">
        <f t="shared" ca="1" si="496"/>
        <v>0</v>
      </c>
      <c r="L239" s="7">
        <f t="shared" ca="1" si="496"/>
        <v>0</v>
      </c>
      <c r="M239" s="7">
        <f t="shared" ca="1" si="496"/>
        <v>0</v>
      </c>
      <c r="N239" s="7">
        <f t="shared" ca="1" si="496"/>
        <v>0</v>
      </c>
      <c r="O239" s="7">
        <f t="shared" ca="1" si="496"/>
        <v>0</v>
      </c>
      <c r="P239" s="7">
        <f t="shared" ca="1" si="496"/>
        <v>0</v>
      </c>
      <c r="Q239" s="7">
        <f t="shared" ca="1" si="496"/>
        <v>0</v>
      </c>
      <c r="R239" s="7">
        <f t="shared" ca="1" si="496"/>
        <v>0</v>
      </c>
      <c r="S239" s="7">
        <f t="shared" ca="1" si="496"/>
        <v>0</v>
      </c>
      <c r="T239" s="7">
        <f t="shared" ca="1" si="496"/>
        <v>0</v>
      </c>
      <c r="U239" s="7">
        <f t="shared" ca="1" si="496"/>
        <v>0</v>
      </c>
      <c r="V239" s="7">
        <f t="shared" ca="1" si="496"/>
        <v>0</v>
      </c>
      <c r="W239" s="7">
        <f t="shared" ca="1" si="496"/>
        <v>0</v>
      </c>
      <c r="X239" s="7">
        <f t="shared" ca="1" si="496"/>
        <v>0</v>
      </c>
      <c r="Y239" s="7">
        <f t="shared" ca="1" si="496"/>
        <v>0</v>
      </c>
      <c r="Z239" s="7">
        <f t="shared" ca="1" si="496"/>
        <v>0</v>
      </c>
      <c r="AA239" s="7">
        <f t="shared" ca="1" si="496"/>
        <v>0</v>
      </c>
      <c r="AB239" s="7">
        <f t="shared" ca="1" si="496"/>
        <v>0</v>
      </c>
      <c r="AC239" s="7">
        <f t="shared" ca="1" si="496"/>
        <v>0</v>
      </c>
      <c r="AD239" s="7">
        <f t="shared" ca="1" si="496"/>
        <v>0</v>
      </c>
      <c r="AE239" s="7">
        <f t="shared" ca="1" si="496"/>
        <v>0</v>
      </c>
      <c r="AF239" s="7">
        <f t="shared" ca="1" si="496"/>
        <v>0</v>
      </c>
      <c r="AG239" s="7">
        <f t="shared" ca="1" si="496"/>
        <v>0</v>
      </c>
      <c r="AH239" s="7">
        <f t="shared" ca="1" si="496"/>
        <v>0</v>
      </c>
      <c r="AI239" s="7">
        <f t="shared" ca="1" si="496"/>
        <v>0</v>
      </c>
      <c r="AJ239" s="7">
        <f t="shared" ca="1" si="496"/>
        <v>0</v>
      </c>
      <c r="AK239" s="7">
        <f t="shared" ca="1" si="496"/>
        <v>0</v>
      </c>
      <c r="AL239" s="7">
        <f t="shared" ca="1" si="496"/>
        <v>0</v>
      </c>
      <c r="AM239" s="7">
        <f t="shared" ca="1" si="496"/>
        <v>0</v>
      </c>
    </row>
    <row r="240" spans="1:39" x14ac:dyDescent="0.2">
      <c r="A240" s="3" t="s">
        <v>49</v>
      </c>
      <c r="C240" s="7">
        <f t="shared" ref="C240:AM240" ca="1" si="497">IFERROR(IF(C234=0,VLOOKUP($A233,$46:$50,C$1+2,FALSE),0),0)</f>
        <v>0</v>
      </c>
      <c r="D240" s="7">
        <f t="shared" ca="1" si="497"/>
        <v>0</v>
      </c>
      <c r="E240" s="7">
        <f t="shared" ca="1" si="497"/>
        <v>0</v>
      </c>
      <c r="F240" s="7">
        <f t="shared" ca="1" si="497"/>
        <v>0</v>
      </c>
      <c r="G240" s="7">
        <f t="shared" ca="1" si="497"/>
        <v>0</v>
      </c>
      <c r="H240" s="7">
        <f t="shared" ca="1" si="497"/>
        <v>0</v>
      </c>
      <c r="I240" s="7">
        <f t="shared" ca="1" si="497"/>
        <v>0</v>
      </c>
      <c r="J240" s="7">
        <f t="shared" ca="1" si="497"/>
        <v>0</v>
      </c>
      <c r="K240" s="7">
        <f t="shared" ca="1" si="497"/>
        <v>0</v>
      </c>
      <c r="L240" s="7">
        <f t="shared" ca="1" si="497"/>
        <v>0</v>
      </c>
      <c r="M240" s="7">
        <f t="shared" ca="1" si="497"/>
        <v>0</v>
      </c>
      <c r="N240" s="7">
        <f t="shared" ca="1" si="497"/>
        <v>0</v>
      </c>
      <c r="O240" s="7">
        <f t="shared" ca="1" si="497"/>
        <v>0</v>
      </c>
      <c r="P240" s="7">
        <f t="shared" ca="1" si="497"/>
        <v>0</v>
      </c>
      <c r="Q240" s="7">
        <f t="shared" ca="1" si="497"/>
        <v>0</v>
      </c>
      <c r="R240" s="7">
        <f t="shared" ca="1" si="497"/>
        <v>0</v>
      </c>
      <c r="S240" s="7">
        <f t="shared" ca="1" si="497"/>
        <v>0</v>
      </c>
      <c r="T240" s="7">
        <f t="shared" ca="1" si="497"/>
        <v>0</v>
      </c>
      <c r="U240" s="7">
        <f t="shared" ca="1" si="497"/>
        <v>0</v>
      </c>
      <c r="V240" s="7">
        <f t="shared" ca="1" si="497"/>
        <v>0</v>
      </c>
      <c r="W240" s="7">
        <f t="shared" ca="1" si="497"/>
        <v>0</v>
      </c>
      <c r="X240" s="7">
        <f t="shared" ca="1" si="497"/>
        <v>0</v>
      </c>
      <c r="Y240" s="7">
        <f t="shared" ca="1" si="497"/>
        <v>0</v>
      </c>
      <c r="Z240" s="7">
        <f t="shared" ca="1" si="497"/>
        <v>0</v>
      </c>
      <c r="AA240" s="7">
        <f t="shared" ca="1" si="497"/>
        <v>0</v>
      </c>
      <c r="AB240" s="7">
        <f t="shared" ca="1" si="497"/>
        <v>0</v>
      </c>
      <c r="AC240" s="7">
        <f t="shared" ca="1" si="497"/>
        <v>0</v>
      </c>
      <c r="AD240" s="7">
        <f t="shared" ca="1" si="497"/>
        <v>0</v>
      </c>
      <c r="AE240" s="7">
        <f t="shared" ca="1" si="497"/>
        <v>0</v>
      </c>
      <c r="AF240" s="7">
        <f t="shared" ca="1" si="497"/>
        <v>0</v>
      </c>
      <c r="AG240" s="7">
        <f t="shared" ca="1" si="497"/>
        <v>0</v>
      </c>
      <c r="AH240" s="7">
        <f t="shared" ca="1" si="497"/>
        <v>0</v>
      </c>
      <c r="AI240" s="7">
        <f t="shared" ca="1" si="497"/>
        <v>0</v>
      </c>
      <c r="AJ240" s="7">
        <f t="shared" ca="1" si="497"/>
        <v>0</v>
      </c>
      <c r="AK240" s="7">
        <f t="shared" ca="1" si="497"/>
        <v>0</v>
      </c>
      <c r="AL240" s="7">
        <f t="shared" ca="1" si="497"/>
        <v>0</v>
      </c>
      <c r="AM240" s="7">
        <f t="shared" ca="1" si="497"/>
        <v>0</v>
      </c>
    </row>
    <row r="241" spans="1:39" x14ac:dyDescent="0.2">
      <c r="A241" s="3" t="s">
        <v>35</v>
      </c>
      <c r="B241" s="14" t="str">
        <f>A233</f>
        <v>Boat</v>
      </c>
      <c r="C241" s="7">
        <f t="shared" ref="C241:AM241" ca="1" si="498">IF(AND(C234&gt;0,C237=0),VLOOKUP($A233,$85:$94,C$1+2,FALSE),0)</f>
        <v>0</v>
      </c>
      <c r="D241" s="7">
        <f t="shared" ca="1" si="498"/>
        <v>0</v>
      </c>
      <c r="E241" s="7">
        <f t="shared" ca="1" si="498"/>
        <v>0</v>
      </c>
      <c r="F241" s="7">
        <f t="shared" ca="1" si="498"/>
        <v>0</v>
      </c>
      <c r="G241" s="7">
        <f t="shared" ca="1" si="498"/>
        <v>0</v>
      </c>
      <c r="H241" s="7">
        <f t="shared" ca="1" si="498"/>
        <v>0</v>
      </c>
      <c r="I241" s="7">
        <f t="shared" ca="1" si="498"/>
        <v>0</v>
      </c>
      <c r="J241" s="7">
        <f t="shared" ca="1" si="498"/>
        <v>0</v>
      </c>
      <c r="K241" s="7">
        <f t="shared" ca="1" si="498"/>
        <v>0</v>
      </c>
      <c r="L241" s="7">
        <f t="shared" ca="1" si="498"/>
        <v>0</v>
      </c>
      <c r="M241" s="7">
        <f t="shared" ca="1" si="498"/>
        <v>0</v>
      </c>
      <c r="N241" s="7">
        <f t="shared" ca="1" si="498"/>
        <v>0</v>
      </c>
      <c r="O241" s="7">
        <f t="shared" ca="1" si="498"/>
        <v>0</v>
      </c>
      <c r="P241" s="7">
        <f t="shared" ca="1" si="498"/>
        <v>0</v>
      </c>
      <c r="Q241" s="7">
        <f t="shared" ca="1" si="498"/>
        <v>0</v>
      </c>
      <c r="R241" s="7">
        <f t="shared" ca="1" si="498"/>
        <v>0</v>
      </c>
      <c r="S241" s="7">
        <f t="shared" ca="1" si="498"/>
        <v>0</v>
      </c>
      <c r="T241" s="7">
        <f t="shared" ca="1" si="498"/>
        <v>0</v>
      </c>
      <c r="U241" s="7">
        <f t="shared" ca="1" si="498"/>
        <v>0</v>
      </c>
      <c r="V241" s="7">
        <f t="shared" ca="1" si="498"/>
        <v>0</v>
      </c>
      <c r="W241" s="7">
        <f t="shared" ca="1" si="498"/>
        <v>0</v>
      </c>
      <c r="X241" s="7">
        <f t="shared" ca="1" si="498"/>
        <v>0</v>
      </c>
      <c r="Y241" s="7">
        <f t="shared" ca="1" si="498"/>
        <v>0</v>
      </c>
      <c r="Z241" s="7">
        <f t="shared" ca="1" si="498"/>
        <v>0</v>
      </c>
      <c r="AA241" s="7">
        <f t="shared" ca="1" si="498"/>
        <v>0</v>
      </c>
      <c r="AB241" s="7">
        <f t="shared" ca="1" si="498"/>
        <v>0</v>
      </c>
      <c r="AC241" s="7">
        <f t="shared" ca="1" si="498"/>
        <v>0</v>
      </c>
      <c r="AD241" s="7">
        <f t="shared" ca="1" si="498"/>
        <v>0</v>
      </c>
      <c r="AE241" s="7">
        <f t="shared" ca="1" si="498"/>
        <v>0</v>
      </c>
      <c r="AF241" s="7">
        <f t="shared" ca="1" si="498"/>
        <v>0</v>
      </c>
      <c r="AG241" s="7">
        <f t="shared" ca="1" si="498"/>
        <v>0</v>
      </c>
      <c r="AH241" s="7">
        <f t="shared" ca="1" si="498"/>
        <v>0</v>
      </c>
      <c r="AI241" s="7">
        <f t="shared" ca="1" si="498"/>
        <v>0</v>
      </c>
      <c r="AJ241" s="7">
        <f t="shared" ca="1" si="498"/>
        <v>0</v>
      </c>
      <c r="AK241" s="7">
        <f t="shared" ca="1" si="498"/>
        <v>0</v>
      </c>
      <c r="AL241" s="7">
        <f t="shared" ca="1" si="498"/>
        <v>0</v>
      </c>
      <c r="AM241" s="7">
        <f t="shared" ca="1" si="498"/>
        <v>0</v>
      </c>
    </row>
    <row r="242" spans="1:39" x14ac:dyDescent="0.2">
      <c r="A242" s="3" t="s">
        <v>36</v>
      </c>
      <c r="C242" s="7">
        <f ca="1">-C235+SUM(C238:C241)</f>
        <v>0</v>
      </c>
      <c r="D242" s="7">
        <f t="shared" ref="D242" ca="1" si="499">-D235+SUM(D238:D241)</f>
        <v>0</v>
      </c>
      <c r="E242" s="7">
        <f t="shared" ref="E242:AM242" ca="1" si="500">-E235+SUM(E238:E241)</f>
        <v>0</v>
      </c>
      <c r="F242" s="7">
        <f t="shared" ca="1" si="500"/>
        <v>0</v>
      </c>
      <c r="G242" s="7">
        <f t="shared" ca="1" si="500"/>
        <v>0</v>
      </c>
      <c r="H242" s="7">
        <f t="shared" ca="1" si="500"/>
        <v>0</v>
      </c>
      <c r="I242" s="7">
        <f t="shared" ca="1" si="500"/>
        <v>0</v>
      </c>
      <c r="J242" s="7">
        <f t="shared" ca="1" si="500"/>
        <v>0</v>
      </c>
      <c r="K242" s="7">
        <f t="shared" ca="1" si="500"/>
        <v>0</v>
      </c>
      <c r="L242" s="7">
        <f t="shared" ca="1" si="500"/>
        <v>0</v>
      </c>
      <c r="M242" s="7">
        <f t="shared" ca="1" si="500"/>
        <v>0</v>
      </c>
      <c r="N242" s="7">
        <f t="shared" ca="1" si="500"/>
        <v>0</v>
      </c>
      <c r="O242" s="7">
        <f t="shared" ca="1" si="500"/>
        <v>0</v>
      </c>
      <c r="P242" s="7">
        <f t="shared" ca="1" si="500"/>
        <v>0</v>
      </c>
      <c r="Q242" s="7">
        <f t="shared" ca="1" si="500"/>
        <v>0</v>
      </c>
      <c r="R242" s="7">
        <f t="shared" ca="1" si="500"/>
        <v>0</v>
      </c>
      <c r="S242" s="7">
        <f t="shared" ca="1" si="500"/>
        <v>0</v>
      </c>
      <c r="T242" s="7">
        <f t="shared" ca="1" si="500"/>
        <v>0</v>
      </c>
      <c r="U242" s="7">
        <f t="shared" ca="1" si="500"/>
        <v>0</v>
      </c>
      <c r="V242" s="7">
        <f t="shared" ca="1" si="500"/>
        <v>0</v>
      </c>
      <c r="W242" s="7">
        <f t="shared" ca="1" si="500"/>
        <v>0</v>
      </c>
      <c r="X242" s="7">
        <f t="shared" ca="1" si="500"/>
        <v>0</v>
      </c>
      <c r="Y242" s="7">
        <f t="shared" ca="1" si="500"/>
        <v>0</v>
      </c>
      <c r="Z242" s="7">
        <f t="shared" ca="1" si="500"/>
        <v>0</v>
      </c>
      <c r="AA242" s="7">
        <f t="shared" ca="1" si="500"/>
        <v>0</v>
      </c>
      <c r="AB242" s="7">
        <f t="shared" ca="1" si="500"/>
        <v>0</v>
      </c>
      <c r="AC242" s="7">
        <f t="shared" ca="1" si="500"/>
        <v>0</v>
      </c>
      <c r="AD242" s="7">
        <f t="shared" ca="1" si="500"/>
        <v>0</v>
      </c>
      <c r="AE242" s="7">
        <f t="shared" ca="1" si="500"/>
        <v>0</v>
      </c>
      <c r="AF242" s="7">
        <f t="shared" ca="1" si="500"/>
        <v>0</v>
      </c>
      <c r="AG242" s="7">
        <f t="shared" ca="1" si="500"/>
        <v>0</v>
      </c>
      <c r="AH242" s="7">
        <f t="shared" ca="1" si="500"/>
        <v>0</v>
      </c>
      <c r="AI242" s="7">
        <f t="shared" ca="1" si="500"/>
        <v>0</v>
      </c>
      <c r="AJ242" s="7">
        <f t="shared" ca="1" si="500"/>
        <v>0</v>
      </c>
      <c r="AK242" s="7">
        <f t="shared" ca="1" si="500"/>
        <v>0</v>
      </c>
      <c r="AL242" s="7">
        <f t="shared" ca="1" si="500"/>
        <v>0</v>
      </c>
      <c r="AM242" s="7">
        <f t="shared" ca="1" si="500"/>
        <v>0</v>
      </c>
    </row>
    <row r="243" spans="1:39" x14ac:dyDescent="0.2">
      <c r="A243" s="3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</row>
    <row r="244" spans="1:39" x14ac:dyDescent="0.2">
      <c r="A244" s="3" t="s">
        <v>70</v>
      </c>
      <c r="C244" s="7">
        <f ca="1">C230+SUM($C242:C242)</f>
        <v>16108.4375</v>
      </c>
      <c r="D244" s="7">
        <f ca="1">D230+SUM($C242:D242)</f>
        <v>30012.145312499997</v>
      </c>
      <c r="E244" s="7">
        <f ca="1">E230+SUM($C242:E242)</f>
        <v>50169.6494140625</v>
      </c>
      <c r="F244" s="7">
        <f ca="1">F230+SUM($C242:F242)</f>
        <v>52227.783801841113</v>
      </c>
      <c r="G244" s="7">
        <f ca="1">G230+SUM($C242:G242)</f>
        <v>250455.15989583102</v>
      </c>
      <c r="H244" s="7">
        <f ca="1">H230+SUM($C242:H242)</f>
        <v>296986.84009098983</v>
      </c>
      <c r="I244" s="7">
        <f ca="1">I230+SUM($C242:I242)</f>
        <v>363754.64435619779</v>
      </c>
      <c r="J244" s="7">
        <f ca="1">J230+SUM($C242:J242)</f>
        <v>435067.93012454931</v>
      </c>
      <c r="K244" s="7">
        <f ca="1">K230+SUM($C242:K242)</f>
        <v>493116.96835998015</v>
      </c>
      <c r="L244" s="7">
        <f ca="1">L230+SUM($C242:L242)</f>
        <v>638212.2751736166</v>
      </c>
      <c r="M244" s="7">
        <f ca="1">M230+SUM($C242:M242)</f>
        <v>695163.71186735749</v>
      </c>
      <c r="N244" s="7">
        <f ca="1">N230+SUM($C242:N242)</f>
        <v>805771.16934020713</v>
      </c>
      <c r="O244" s="7">
        <f ca="1">O230+SUM($C242:O242)</f>
        <v>922222.00124800857</v>
      </c>
      <c r="P244" s="7">
        <f ca="1">P230+SUM($C242:P242)</f>
        <v>1044762.6085180258</v>
      </c>
      <c r="Q244" s="7">
        <f ca="1">Q230+SUM($C242:Q242)</f>
        <v>1173648.7608708572</v>
      </c>
      <c r="R244" s="7">
        <f ca="1">R230+SUM($C242:R242)</f>
        <v>1309145.9322852024</v>
      </c>
      <c r="S244" s="7">
        <f ca="1">S230+SUM($C242:S242)</f>
        <v>1451529.6480111426</v>
      </c>
      <c r="T244" s="7">
        <f ca="1">T230+SUM($C242:T242)</f>
        <v>1491855.4011356728</v>
      </c>
      <c r="U244" s="7">
        <f ca="1">U230+SUM($C242:U242)</f>
        <v>1541415.1978627439</v>
      </c>
      <c r="V244" s="7">
        <f ca="1">V230+SUM($C242:V242)</f>
        <v>1592757.5777099284</v>
      </c>
      <c r="W244" s="7">
        <f ca="1">W230+SUM($C242:W242)</f>
        <v>1645948.7425475621</v>
      </c>
      <c r="X244" s="7">
        <f ca="1">X230+SUM($C242:X242)</f>
        <v>1701057.3316526653</v>
      </c>
      <c r="Y244" s="7">
        <f ca="1">Y230+SUM($C242:Y242)</f>
        <v>1737237.4169653396</v>
      </c>
      <c r="Z244" s="7">
        <f ca="1">Z230+SUM($C242:Z242)</f>
        <v>1774434.0167242812</v>
      </c>
      <c r="AA244" s="7">
        <f ca="1">AA230+SUM($C242:AA242)</f>
        <v>1812684.4017288706</v>
      </c>
      <c r="AB244" s="7">
        <f ca="1">AB230+SUM($C242:AB242)</f>
        <v>1852027.3427258399</v>
      </c>
      <c r="AC244" s="7">
        <f ca="1">AC230+SUM($C242:AC242)</f>
        <v>1892503.1702642585</v>
      </c>
      <c r="AD244" s="7">
        <f ca="1">AD230+SUM($C242:AD242)</f>
        <v>1934153.8368503558</v>
      </c>
      <c r="AE244" s="7">
        <f ca="1">AE230+SUM($C242:AE242)</f>
        <v>1987130.2375195618</v>
      </c>
      <c r="AF244" s="7">
        <f ca="1">AF230+SUM($C242:AF242)</f>
        <v>2041875.8715530399</v>
      </c>
      <c r="AG244" s="7">
        <f ca="1">AG230+SUM($C242:AG242)</f>
        <v>2098456.905652951</v>
      </c>
      <c r="AH244" s="7">
        <f ca="1">AH230+SUM($C242:AH242)</f>
        <v>2156942.0335442415</v>
      </c>
      <c r="AI244" s="7">
        <f ca="1">AI230+SUM($C242:AI242)</f>
        <v>2217402.5707053514</v>
      </c>
      <c r="AJ244" s="7">
        <f ca="1">AJ230+SUM($C242:AJ242)</f>
        <v>2279912.5525480784</v>
      </c>
      <c r="AK244" s="7">
        <f ca="1">AK230+SUM($C242:AK242)</f>
        <v>2344548.8361686133</v>
      </c>
      <c r="AL244" s="7">
        <f ca="1">AL230+SUM($C242:AL242)</f>
        <v>2411391.2057959661</v>
      </c>
      <c r="AM244" s="7">
        <f ca="1">AM230+SUM($C242:AM242)</f>
        <v>2480522.4820683482</v>
      </c>
    </row>
    <row r="245" spans="1:39" x14ac:dyDescent="0.2">
      <c r="A245" s="3" t="s">
        <v>67</v>
      </c>
      <c r="C245" s="7">
        <f t="shared" ref="C245:AM245" ca="1" si="501">MAX(C244+buffer,0)-MAX(C230+buffer,0)</f>
        <v>0</v>
      </c>
      <c r="D245" s="7">
        <f t="shared" ca="1" si="501"/>
        <v>0</v>
      </c>
      <c r="E245" s="7">
        <f t="shared" ca="1" si="501"/>
        <v>0</v>
      </c>
      <c r="F245" s="7">
        <f t="shared" ca="1" si="501"/>
        <v>0</v>
      </c>
      <c r="G245" s="7">
        <f t="shared" ca="1" si="501"/>
        <v>0</v>
      </c>
      <c r="H245" s="7">
        <f t="shared" ca="1" si="501"/>
        <v>0</v>
      </c>
      <c r="I245" s="7">
        <f t="shared" ca="1" si="501"/>
        <v>0</v>
      </c>
      <c r="J245" s="7">
        <f t="shared" ca="1" si="501"/>
        <v>0</v>
      </c>
      <c r="K245" s="7">
        <f t="shared" ca="1" si="501"/>
        <v>0</v>
      </c>
      <c r="L245" s="7">
        <f t="shared" ca="1" si="501"/>
        <v>0</v>
      </c>
      <c r="M245" s="7">
        <f t="shared" ca="1" si="501"/>
        <v>0</v>
      </c>
      <c r="N245" s="7">
        <f t="shared" ca="1" si="501"/>
        <v>0</v>
      </c>
      <c r="O245" s="7">
        <f t="shared" ca="1" si="501"/>
        <v>0</v>
      </c>
      <c r="P245" s="7">
        <f t="shared" ca="1" si="501"/>
        <v>0</v>
      </c>
      <c r="Q245" s="7">
        <f t="shared" ca="1" si="501"/>
        <v>0</v>
      </c>
      <c r="R245" s="7">
        <f t="shared" ca="1" si="501"/>
        <v>0</v>
      </c>
      <c r="S245" s="7">
        <f t="shared" ca="1" si="501"/>
        <v>0</v>
      </c>
      <c r="T245" s="7">
        <f t="shared" ca="1" si="501"/>
        <v>0</v>
      </c>
      <c r="U245" s="7">
        <f t="shared" ca="1" si="501"/>
        <v>0</v>
      </c>
      <c r="V245" s="7">
        <f t="shared" ca="1" si="501"/>
        <v>0</v>
      </c>
      <c r="W245" s="7">
        <f t="shared" ca="1" si="501"/>
        <v>0</v>
      </c>
      <c r="X245" s="7">
        <f t="shared" ca="1" si="501"/>
        <v>0</v>
      </c>
      <c r="Y245" s="7">
        <f t="shared" ca="1" si="501"/>
        <v>0</v>
      </c>
      <c r="Z245" s="7">
        <f t="shared" ca="1" si="501"/>
        <v>0</v>
      </c>
      <c r="AA245" s="7">
        <f t="shared" ca="1" si="501"/>
        <v>0</v>
      </c>
      <c r="AB245" s="7">
        <f t="shared" ca="1" si="501"/>
        <v>0</v>
      </c>
      <c r="AC245" s="7">
        <f t="shared" ca="1" si="501"/>
        <v>0</v>
      </c>
      <c r="AD245" s="7">
        <f t="shared" ca="1" si="501"/>
        <v>0</v>
      </c>
      <c r="AE245" s="7">
        <f t="shared" ca="1" si="501"/>
        <v>0</v>
      </c>
      <c r="AF245" s="7">
        <f t="shared" ca="1" si="501"/>
        <v>0</v>
      </c>
      <c r="AG245" s="7">
        <f t="shared" ca="1" si="501"/>
        <v>0</v>
      </c>
      <c r="AH245" s="7">
        <f t="shared" ca="1" si="501"/>
        <v>0</v>
      </c>
      <c r="AI245" s="7">
        <f t="shared" ca="1" si="501"/>
        <v>0</v>
      </c>
      <c r="AJ245" s="7">
        <f t="shared" ca="1" si="501"/>
        <v>0</v>
      </c>
      <c r="AK245" s="7">
        <f t="shared" ca="1" si="501"/>
        <v>0</v>
      </c>
      <c r="AL245" s="7">
        <f t="shared" ca="1" si="501"/>
        <v>0</v>
      </c>
      <c r="AM245" s="7">
        <f t="shared" ca="1" si="501"/>
        <v>0</v>
      </c>
    </row>
    <row r="246" spans="1:39" x14ac:dyDescent="0.2">
      <c r="A246" s="3" t="s">
        <v>68</v>
      </c>
      <c r="C246" s="7">
        <f ca="1">C245*Inputs!$B$269</f>
        <v>0</v>
      </c>
      <c r="D246" s="7">
        <f ca="1">D245*Inputs!$B$269</f>
        <v>0</v>
      </c>
      <c r="E246" s="7">
        <f ca="1">E245*Inputs!$B$269</f>
        <v>0</v>
      </c>
      <c r="F246" s="7">
        <f ca="1">F245*Inputs!$B$269</f>
        <v>0</v>
      </c>
      <c r="G246" s="7">
        <f ca="1">G245*Inputs!$B$269</f>
        <v>0</v>
      </c>
      <c r="H246" s="7">
        <f ca="1">H245*Inputs!$B$269</f>
        <v>0</v>
      </c>
      <c r="I246" s="7">
        <f ca="1">I245*Inputs!$B$269</f>
        <v>0</v>
      </c>
      <c r="J246" s="7">
        <f ca="1">J245*Inputs!$B$269</f>
        <v>0</v>
      </c>
      <c r="K246" s="7">
        <f ca="1">K245*Inputs!$B$269</f>
        <v>0</v>
      </c>
      <c r="L246" s="7">
        <f ca="1">L245*Inputs!$B$269</f>
        <v>0</v>
      </c>
      <c r="M246" s="7">
        <f ca="1">M245*Inputs!$B$269</f>
        <v>0</v>
      </c>
      <c r="N246" s="7">
        <f ca="1">N245*Inputs!$B$269</f>
        <v>0</v>
      </c>
      <c r="O246" s="7">
        <f ca="1">O245*Inputs!$B$269</f>
        <v>0</v>
      </c>
      <c r="P246" s="7">
        <f ca="1">P245*Inputs!$B$269</f>
        <v>0</v>
      </c>
      <c r="Q246" s="7">
        <f ca="1">Q245*Inputs!$B$269</f>
        <v>0</v>
      </c>
      <c r="R246" s="7">
        <f ca="1">R245*Inputs!$B$269</f>
        <v>0</v>
      </c>
      <c r="S246" s="7">
        <f ca="1">S245*Inputs!$B$269</f>
        <v>0</v>
      </c>
      <c r="T246" s="7">
        <f ca="1">T245*Inputs!$B$269</f>
        <v>0</v>
      </c>
      <c r="U246" s="7">
        <f ca="1">U245*Inputs!$B$269</f>
        <v>0</v>
      </c>
      <c r="V246" s="7">
        <f ca="1">V245*Inputs!$B$269</f>
        <v>0</v>
      </c>
      <c r="W246" s="7">
        <f ca="1">W245*Inputs!$B$269</f>
        <v>0</v>
      </c>
      <c r="X246" s="7">
        <f ca="1">X245*Inputs!$B$269</f>
        <v>0</v>
      </c>
      <c r="Y246" s="7">
        <f ca="1">Y245*Inputs!$B$269</f>
        <v>0</v>
      </c>
      <c r="Z246" s="7">
        <f ca="1">Z245*Inputs!$B$269</f>
        <v>0</v>
      </c>
      <c r="AA246" s="7">
        <f ca="1">AA245*Inputs!$B$269</f>
        <v>0</v>
      </c>
      <c r="AB246" s="7">
        <f ca="1">AB245*Inputs!$B$269</f>
        <v>0</v>
      </c>
      <c r="AC246" s="7">
        <f ca="1">AC245*Inputs!$B$269</f>
        <v>0</v>
      </c>
      <c r="AD246" s="7">
        <f ca="1">AD245*Inputs!$B$269</f>
        <v>0</v>
      </c>
      <c r="AE246" s="7">
        <f ca="1">AE245*Inputs!$B$269</f>
        <v>0</v>
      </c>
      <c r="AF246" s="7">
        <f ca="1">AF245*Inputs!$B$269</f>
        <v>0</v>
      </c>
      <c r="AG246" s="7">
        <f ca="1">AG245*Inputs!$B$269</f>
        <v>0</v>
      </c>
      <c r="AH246" s="7">
        <f ca="1">AH245*Inputs!$B$269</f>
        <v>0</v>
      </c>
      <c r="AI246" s="7">
        <f ca="1">AI245*Inputs!$B$269</f>
        <v>0</v>
      </c>
      <c r="AJ246" s="7">
        <f ca="1">AJ245*Inputs!$B$269</f>
        <v>0</v>
      </c>
      <c r="AK246" s="7">
        <f ca="1">AK245*Inputs!$B$269</f>
        <v>0</v>
      </c>
      <c r="AL246" s="7">
        <f ca="1">AL245*Inputs!$B$269</f>
        <v>0</v>
      </c>
      <c r="AM246" s="7">
        <f ca="1">AM245*Inputs!$B$269</f>
        <v>0</v>
      </c>
    </row>
    <row r="247" spans="1:39" x14ac:dyDescent="0.2">
      <c r="A247" s="3" t="s">
        <v>149</v>
      </c>
      <c r="C247" s="7">
        <f ca="1">C244+SUM($C246:C246)</f>
        <v>16108.4375</v>
      </c>
      <c r="D247" s="7">
        <f ca="1">D244+SUM($C246:D246)</f>
        <v>30012.145312499997</v>
      </c>
      <c r="E247" s="7">
        <f ca="1">E244+SUM($C246:E246)</f>
        <v>50169.6494140625</v>
      </c>
      <c r="F247" s="7">
        <f ca="1">F244+SUM($C246:F246)</f>
        <v>52227.783801841113</v>
      </c>
      <c r="G247" s="7">
        <f ca="1">G244+SUM($C246:G246)</f>
        <v>250455.15989583102</v>
      </c>
      <c r="H247" s="7">
        <f ca="1">H244+SUM($C246:H246)</f>
        <v>296986.84009098983</v>
      </c>
      <c r="I247" s="7">
        <f ca="1">I244+SUM($C246:I246)</f>
        <v>363754.64435619779</v>
      </c>
      <c r="J247" s="7">
        <f ca="1">J244+SUM($C246:J246)</f>
        <v>435067.93012454931</v>
      </c>
      <c r="K247" s="7">
        <f ca="1">K244+SUM($C246:K246)</f>
        <v>493116.96835998015</v>
      </c>
      <c r="L247" s="7">
        <f ca="1">L244+SUM($C246:L246)</f>
        <v>638212.2751736166</v>
      </c>
      <c r="M247" s="7">
        <f ca="1">M244+SUM($C246:M246)</f>
        <v>695163.71186735749</v>
      </c>
      <c r="N247" s="7">
        <f ca="1">N244+SUM($C246:N246)</f>
        <v>805771.16934020713</v>
      </c>
      <c r="O247" s="7">
        <f ca="1">O244+SUM($C246:O246)</f>
        <v>922222.00124800857</v>
      </c>
      <c r="P247" s="7">
        <f ca="1">P244+SUM($C246:P246)</f>
        <v>1044762.6085180258</v>
      </c>
      <c r="Q247" s="7">
        <f ca="1">Q244+SUM($C246:Q246)</f>
        <v>1173648.7608708572</v>
      </c>
      <c r="R247" s="7">
        <f ca="1">R244+SUM($C246:R246)</f>
        <v>1309145.9322852024</v>
      </c>
      <c r="S247" s="7">
        <f ca="1">S244+SUM($C246:S246)</f>
        <v>1451529.6480111426</v>
      </c>
      <c r="T247" s="7">
        <f ca="1">T244+SUM($C246:T246)</f>
        <v>1491855.4011356728</v>
      </c>
      <c r="U247" s="7">
        <f ca="1">U244+SUM($C246:U246)</f>
        <v>1541415.1978627439</v>
      </c>
      <c r="V247" s="7">
        <f ca="1">V244+SUM($C246:V246)</f>
        <v>1592757.5777099284</v>
      </c>
      <c r="W247" s="7">
        <f ca="1">W244+SUM($C246:W246)</f>
        <v>1645948.7425475621</v>
      </c>
      <c r="X247" s="7">
        <f ca="1">X244+SUM($C246:X246)</f>
        <v>1701057.3316526653</v>
      </c>
      <c r="Y247" s="7">
        <f ca="1">Y244+SUM($C246:Y246)</f>
        <v>1737237.4169653396</v>
      </c>
      <c r="Z247" s="7">
        <f ca="1">Z244+SUM($C246:Z246)</f>
        <v>1774434.0167242812</v>
      </c>
      <c r="AA247" s="7">
        <f ca="1">AA244+SUM($C246:AA246)</f>
        <v>1812684.4017288706</v>
      </c>
      <c r="AB247" s="7">
        <f ca="1">AB244+SUM($C246:AB246)</f>
        <v>1852027.3427258399</v>
      </c>
      <c r="AC247" s="7">
        <f ca="1">AC244+SUM($C246:AC246)</f>
        <v>1892503.1702642585</v>
      </c>
      <c r="AD247" s="7">
        <f ca="1">AD244+SUM($C246:AD246)</f>
        <v>1934153.8368503558</v>
      </c>
      <c r="AE247" s="7">
        <f ca="1">AE244+SUM($C246:AE246)</f>
        <v>1987130.2375195618</v>
      </c>
      <c r="AF247" s="7">
        <f ca="1">AF244+SUM($C246:AF246)</f>
        <v>2041875.8715530399</v>
      </c>
      <c r="AG247" s="7">
        <f ca="1">AG244+SUM($C246:AG246)</f>
        <v>2098456.905652951</v>
      </c>
      <c r="AH247" s="7">
        <f ca="1">AH244+SUM($C246:AH246)</f>
        <v>2156942.0335442415</v>
      </c>
      <c r="AI247" s="7">
        <f ca="1">AI244+SUM($C246:AI246)</f>
        <v>2217402.5707053514</v>
      </c>
      <c r="AJ247" s="7">
        <f ca="1">AJ244+SUM($C246:AJ246)</f>
        <v>2279912.5525480784</v>
      </c>
      <c r="AK247" s="7">
        <f ca="1">AK244+SUM($C246:AK246)</f>
        <v>2344548.8361686133</v>
      </c>
      <c r="AL247" s="7">
        <f ca="1">AL244+SUM($C246:AL246)</f>
        <v>2411391.2057959661</v>
      </c>
      <c r="AM247" s="7">
        <f ca="1">AM244+SUM($C246:AM246)</f>
        <v>2480522.4820683482</v>
      </c>
    </row>
    <row r="248" spans="1:39" x14ac:dyDescent="0.2">
      <c r="A248" s="3" t="s">
        <v>19</v>
      </c>
      <c r="C248" s="7">
        <f ca="1">IF(C247&lt;0,-C247,0)</f>
        <v>0</v>
      </c>
      <c r="D248" s="7">
        <f ca="1">IF(D247+SUM($C248:C248)&lt;0,-(D247+SUM($C248:C248)),0)</f>
        <v>0</v>
      </c>
      <c r="E248" s="7">
        <f ca="1">IF(E247+SUM($C248:D248)&lt;0,-(E247+SUM($C248:D248)),0)</f>
        <v>0</v>
      </c>
      <c r="F248" s="7">
        <f ca="1">IF(F247+SUM($C248:E248)&lt;0,-(F247+SUM($C248:E248)),0)</f>
        <v>0</v>
      </c>
      <c r="G248" s="7">
        <f ca="1">IF(G247+SUM($C248:F248)&lt;0,-(G247+SUM($C248:F248)),0)</f>
        <v>0</v>
      </c>
      <c r="H248" s="7">
        <f ca="1">IF(H247+SUM($C248:G248)&lt;0,-(H247+SUM($C248:G248)),0)</f>
        <v>0</v>
      </c>
      <c r="I248" s="7">
        <f ca="1">IF(I247+SUM($C248:H248)&lt;0,-(I247+SUM($C248:H248)),0)</f>
        <v>0</v>
      </c>
      <c r="J248" s="7">
        <f ca="1">IF(J247+SUM($C248:I248)&lt;0,-(J247+SUM($C248:I248)),0)</f>
        <v>0</v>
      </c>
      <c r="K248" s="7">
        <f ca="1">IF(K247+SUM($C248:J248)&lt;0,-(K247+SUM($C248:J248)),0)</f>
        <v>0</v>
      </c>
      <c r="L248" s="7">
        <f ca="1">IF(L247+SUM($C248:K248)&lt;0,-(L247+SUM($C248:K248)),0)</f>
        <v>0</v>
      </c>
      <c r="M248" s="7">
        <f ca="1">IF(M247+SUM($C248:L248)&lt;0,-(M247+SUM($C248:L248)),0)</f>
        <v>0</v>
      </c>
      <c r="N248" s="7">
        <f ca="1">IF(N247+SUM($C248:M248)&lt;0,-(N247+SUM($C248:M248)),0)</f>
        <v>0</v>
      </c>
      <c r="O248" s="7">
        <f ca="1">IF(O247+SUM($C248:N248)&lt;0,-(O247+SUM($C248:N248)),0)</f>
        <v>0</v>
      </c>
      <c r="P248" s="7">
        <f ca="1">IF(P247+SUM($C248:O248)&lt;0,-(P247+SUM($C248:O248)),0)</f>
        <v>0</v>
      </c>
      <c r="Q248" s="7">
        <f ca="1">IF(Q247+SUM($C248:P248)&lt;0,-(Q247+SUM($C248:P248)),0)</f>
        <v>0</v>
      </c>
      <c r="R248" s="7">
        <f ca="1">IF(R247+SUM($C248:Q248)&lt;0,-(R247+SUM($C248:Q248)),0)</f>
        <v>0</v>
      </c>
      <c r="S248" s="7">
        <f ca="1">IF(S247+SUM($C248:R248)&lt;0,-(S247+SUM($C248:R248)),0)</f>
        <v>0</v>
      </c>
      <c r="T248" s="7">
        <f ca="1">IF(T247+SUM($C248:S248)&lt;0,-(T247+SUM($C248:S248)),0)</f>
        <v>0</v>
      </c>
      <c r="U248" s="7">
        <f ca="1">IF(U247+SUM($C248:T248)&lt;0,-(U247+SUM($C248:T248)),0)</f>
        <v>0</v>
      </c>
      <c r="V248" s="7">
        <f ca="1">IF(V247+SUM($C248:U248)&lt;0,-(V247+SUM($C248:U248)),0)</f>
        <v>0</v>
      </c>
      <c r="W248" s="7">
        <f ca="1">IF(W247+SUM($C248:V248)&lt;0,-(W247+SUM($C248:V248)),0)</f>
        <v>0</v>
      </c>
      <c r="X248" s="7">
        <f ca="1">IF(X247+SUM($C248:W248)&lt;0,-(X247+SUM($C248:W248)),0)</f>
        <v>0</v>
      </c>
      <c r="Y248" s="7">
        <f ca="1">IF(Y247+SUM($C248:X248)&lt;0,-(Y247+SUM($C248:X248)),0)</f>
        <v>0</v>
      </c>
      <c r="Z248" s="7">
        <f ca="1">IF(Z247+SUM($C248:Y248)&lt;0,-(Z247+SUM($C248:Y248)),0)</f>
        <v>0</v>
      </c>
      <c r="AA248" s="7">
        <f ca="1">IF(AA247+SUM($C248:Z248)&lt;0,-(AA247+SUM($C248:Z248)),0)</f>
        <v>0</v>
      </c>
      <c r="AB248" s="7">
        <f ca="1">IF(AB247+SUM($C248:AA248)&lt;0,-(AB247+SUM($C248:AA248)),0)</f>
        <v>0</v>
      </c>
      <c r="AC248" s="7">
        <f ca="1">IF(AC247+SUM($C248:AB248)&lt;0,-(AC247+SUM($C248:AB248)),0)</f>
        <v>0</v>
      </c>
      <c r="AD248" s="7">
        <f ca="1">IF(AD247+SUM($C248:AC248)&lt;0,-(AD247+SUM($C248:AC248)),0)</f>
        <v>0</v>
      </c>
      <c r="AE248" s="7">
        <f ca="1">IF(AE247+SUM($C248:AD248)&lt;0,-(AE247+SUM($C248:AD248)),0)</f>
        <v>0</v>
      </c>
      <c r="AF248" s="7">
        <f ca="1">IF(AF247+SUM($C248:AE248)&lt;0,-(AF247+SUM($C248:AE248)),0)</f>
        <v>0</v>
      </c>
      <c r="AG248" s="7">
        <f ca="1">IF(AG247+SUM($C248:AF248)&lt;0,-(AG247+SUM($C248:AF248)),0)</f>
        <v>0</v>
      </c>
      <c r="AH248" s="7">
        <f ca="1">IF(AH247+SUM($C248:AG248)&lt;0,-(AH247+SUM($C248:AG248)),0)</f>
        <v>0</v>
      </c>
      <c r="AI248" s="7">
        <f ca="1">IF(AI247+SUM($C248:AH248)&lt;0,-(AI247+SUM($C248:AH248)),0)</f>
        <v>0</v>
      </c>
      <c r="AJ248" s="7">
        <f ca="1">IF(AJ247+SUM($C248:AI248)&lt;0,-(AJ247+SUM($C248:AI248)),0)</f>
        <v>0</v>
      </c>
      <c r="AK248" s="7">
        <f ca="1">IF(AK247+SUM($C248:AJ248)&lt;0,-(AK247+SUM($C248:AJ248)),0)</f>
        <v>0</v>
      </c>
      <c r="AL248" s="7">
        <f ca="1">IF(AL247+SUM($C248:AK248)&lt;0,-(AL247+SUM($C248:AK248)),0)</f>
        <v>0</v>
      </c>
      <c r="AM248" s="7">
        <f ca="1">IF(AM247+SUM($C248:AL248)&lt;0,-(AM247+SUM($C248:AL248)),0)</f>
        <v>0</v>
      </c>
    </row>
    <row r="249" spans="1:39" x14ac:dyDescent="0.2"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</row>
    <row r="250" spans="1:39" x14ac:dyDescent="0.2">
      <c r="A250" s="24" t="str">
        <f>IF(Inputs!$B$289=6,IFERROR(_xlfn.XLOOKUP($B250,Inputs!$B$290:$B$299,Inputs!$A$290:$A$299,,0,1),""),IFERROR(_xlfn.XLOOKUP($B250,Inputs!$C$290:$C$299,Inputs!$A$290:$A$299,,0,1),""))</f>
        <v>Qormi</v>
      </c>
      <c r="B250" s="26">
        <v>9</v>
      </c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</row>
    <row r="251" spans="1:39" x14ac:dyDescent="0.2">
      <c r="A251" s="3" t="s">
        <v>21</v>
      </c>
      <c r="C251" s="7">
        <f ca="1">IFERROR(VLOOKUP($A250,$A$67:$H$96,C$1+2,FALSE),0)</f>
        <v>224931.66569048862</v>
      </c>
      <c r="D251" s="7">
        <f ca="1">C254</f>
        <v>224931.66569048862</v>
      </c>
      <c r="E251" s="7">
        <f t="shared" ref="E251" ca="1" si="502">D254</f>
        <v>231679.61566120328</v>
      </c>
      <c r="F251" s="7">
        <f t="shared" ref="F251" ca="1" si="503">E254</f>
        <v>238630.00413103937</v>
      </c>
      <c r="G251" s="7">
        <f t="shared" ref="G251" ca="1" si="504">F254</f>
        <v>245788.90425497055</v>
      </c>
      <c r="H251" s="7">
        <f t="shared" ref="H251" ca="1" si="505">G254</f>
        <v>253162.57138261967</v>
      </c>
      <c r="I251" s="7">
        <f t="shared" ref="I251" ca="1" si="506">H254</f>
        <v>260757.44852409826</v>
      </c>
      <c r="J251" s="7">
        <f t="shared" ref="J251" ca="1" si="507">I254</f>
        <v>268580.17197982123</v>
      </c>
      <c r="K251" s="7">
        <f t="shared" ref="K251" ca="1" si="508">J254</f>
        <v>276637.57713921589</v>
      </c>
      <c r="L251" s="7">
        <f t="shared" ref="L251" ca="1" si="509">K254</f>
        <v>284936.70445339236</v>
      </c>
      <c r="M251" s="7">
        <f t="shared" ref="M251" ca="1" si="510">L254</f>
        <v>293484.80558699416</v>
      </c>
      <c r="N251" s="7">
        <f t="shared" ref="N251" ca="1" si="511">M254</f>
        <v>302289.34975460399</v>
      </c>
      <c r="O251" s="7">
        <f t="shared" ref="O251" ca="1" si="512">N254</f>
        <v>311358.03024724213</v>
      </c>
      <c r="P251" s="7">
        <f t="shared" ref="P251" ca="1" si="513">O254</f>
        <v>320698.77115465939</v>
      </c>
      <c r="Q251" s="7">
        <f t="shared" ref="Q251" ca="1" si="514">P254</f>
        <v>330319.73428929917</v>
      </c>
      <c r="R251" s="7">
        <f t="shared" ref="R251" ca="1" si="515">Q254</f>
        <v>340229.32631797815</v>
      </c>
      <c r="S251" s="7">
        <f t="shared" ref="S251" ca="1" si="516">R254</f>
        <v>350436.20610751747</v>
      </c>
      <c r="T251" s="7">
        <f t="shared" ref="T251" ca="1" si="517">S254</f>
        <v>360949.29229074297</v>
      </c>
      <c r="U251" s="7">
        <f t="shared" ref="U251" ca="1" si="518">T254</f>
        <v>371777.77105946525</v>
      </c>
      <c r="V251" s="7">
        <f t="shared" ref="V251" ca="1" si="519">U254</f>
        <v>382931.10419124918</v>
      </c>
      <c r="W251" s="7">
        <f t="shared" ref="W251" ca="1" si="520">V254</f>
        <v>394419.03731698665</v>
      </c>
      <c r="X251" s="7">
        <f t="shared" ref="X251" ca="1" si="521">W254</f>
        <v>406251.60843649623</v>
      </c>
      <c r="Y251" s="7">
        <f t="shared" ref="Y251" ca="1" si="522">X254</f>
        <v>418439.15668959112</v>
      </c>
      <c r="Z251" s="7">
        <f t="shared" ref="Z251" ca="1" si="523">Y254</f>
        <v>430992.33139027888</v>
      </c>
      <c r="AA251" s="7">
        <f t="shared" ref="AA251" ca="1" si="524">Z254</f>
        <v>443922.10133198724</v>
      </c>
      <c r="AB251" s="7">
        <f t="shared" ref="AB251" ca="1" si="525">AA254</f>
        <v>457239.76437194686</v>
      </c>
      <c r="AC251" s="7">
        <f t="shared" ref="AC251" ca="1" si="526">AB254</f>
        <v>470956.95730310527</v>
      </c>
      <c r="AD251" s="7">
        <f t="shared" ref="AD251" ca="1" si="527">AC254</f>
        <v>485085.66602219845</v>
      </c>
      <c r="AE251" s="7">
        <f t="shared" ref="AE251" ca="1" si="528">AD254</f>
        <v>499638.23600286437</v>
      </c>
      <c r="AF251" s="7">
        <f t="shared" ref="AF251" ca="1" si="529">AE254</f>
        <v>514627.38308295031</v>
      </c>
      <c r="AG251" s="7">
        <f t="shared" ref="AG251" ca="1" si="530">AF254</f>
        <v>530066.20457543887</v>
      </c>
      <c r="AH251" s="7">
        <f t="shared" ref="AH251" ca="1" si="531">AG254</f>
        <v>545968.19071270199</v>
      </c>
      <c r="AI251" s="7">
        <f t="shared" ref="AI251" ca="1" si="532">AH254</f>
        <v>562347.23643408308</v>
      </c>
      <c r="AJ251" s="7">
        <f t="shared" ref="AJ251" ca="1" si="533">AI254</f>
        <v>579217.65352710558</v>
      </c>
      <c r="AK251" s="7">
        <f t="shared" ref="AK251" ca="1" si="534">AJ254</f>
        <v>596594.18313291878</v>
      </c>
      <c r="AL251" s="7">
        <f t="shared" ref="AL251" ca="1" si="535">AK254</f>
        <v>614492.00862690632</v>
      </c>
      <c r="AM251" s="7">
        <f t="shared" ref="AM251" ca="1" si="536">AL254</f>
        <v>632926.76888571354</v>
      </c>
    </row>
    <row r="252" spans="1:39" x14ac:dyDescent="0.2">
      <c r="A252" s="3" t="s">
        <v>22</v>
      </c>
      <c r="C252" s="7">
        <f ca="1">-IF(D248&gt;0,C251,0)</f>
        <v>0</v>
      </c>
      <c r="D252" s="7">
        <f ca="1">-IF(E248&gt;0,D251,0)</f>
        <v>0</v>
      </c>
      <c r="E252" s="7">
        <f ca="1">-IF(F248&gt;0,E251,0)</f>
        <v>0</v>
      </c>
      <c r="F252" s="7">
        <f ca="1">-IF(G248&gt;0,F251,0)</f>
        <v>0</v>
      </c>
      <c r="G252" s="7">
        <f t="shared" ref="G252" ca="1" si="537">-IF(H248&gt;0,G251,0)</f>
        <v>0</v>
      </c>
      <c r="H252" s="7">
        <f t="shared" ref="H252" ca="1" si="538">-IF(I248&gt;0,H251,0)</f>
        <v>0</v>
      </c>
      <c r="I252" s="7">
        <f t="shared" ref="I252" ca="1" si="539">-IF(J248&gt;0,I251,0)</f>
        <v>0</v>
      </c>
      <c r="J252" s="7">
        <f t="shared" ref="J252" ca="1" si="540">-IF(K248&gt;0,J251,0)</f>
        <v>0</v>
      </c>
      <c r="K252" s="7">
        <f t="shared" ref="K252" ca="1" si="541">-IF(L248&gt;0,K251,0)</f>
        <v>0</v>
      </c>
      <c r="L252" s="7">
        <f t="shared" ref="L252" ca="1" si="542">-IF(M248&gt;0,L251,0)</f>
        <v>0</v>
      </c>
      <c r="M252" s="7">
        <f t="shared" ref="M252" ca="1" si="543">-IF(N248&gt;0,M251,0)</f>
        <v>0</v>
      </c>
      <c r="N252" s="7">
        <f t="shared" ref="N252" ca="1" si="544">-IF(O248&gt;0,N251,0)</f>
        <v>0</v>
      </c>
      <c r="O252" s="7">
        <f t="shared" ref="O252" ca="1" si="545">-IF(P248&gt;0,O251,0)</f>
        <v>0</v>
      </c>
      <c r="P252" s="7">
        <f t="shared" ref="P252" ca="1" si="546">-IF(Q248&gt;0,P251,0)</f>
        <v>0</v>
      </c>
      <c r="Q252" s="7">
        <f t="shared" ref="Q252" ca="1" si="547">-IF(R248&gt;0,Q251,0)</f>
        <v>0</v>
      </c>
      <c r="R252" s="7">
        <f t="shared" ref="R252" ca="1" si="548">-IF(S248&gt;0,R251,0)</f>
        <v>0</v>
      </c>
      <c r="S252" s="7">
        <f t="shared" ref="S252" ca="1" si="549">-IF(T248&gt;0,S251,0)</f>
        <v>0</v>
      </c>
      <c r="T252" s="7">
        <f t="shared" ref="T252" ca="1" si="550">-IF(U248&gt;0,T251,0)</f>
        <v>0</v>
      </c>
      <c r="U252" s="7">
        <f t="shared" ref="U252" ca="1" si="551">-IF(V248&gt;0,U251,0)</f>
        <v>0</v>
      </c>
      <c r="V252" s="7">
        <f t="shared" ref="V252" ca="1" si="552">-IF(W248&gt;0,V251,0)</f>
        <v>0</v>
      </c>
      <c r="W252" s="7">
        <f t="shared" ref="W252" ca="1" si="553">-IF(X248&gt;0,W251,0)</f>
        <v>0</v>
      </c>
      <c r="X252" s="7">
        <f t="shared" ref="X252" ca="1" si="554">-IF(Y248&gt;0,X251,0)</f>
        <v>0</v>
      </c>
      <c r="Y252" s="7">
        <f t="shared" ref="Y252" ca="1" si="555">-IF(Z248&gt;0,Y251,0)</f>
        <v>0</v>
      </c>
      <c r="Z252" s="7">
        <f t="shared" ref="Z252" ca="1" si="556">-IF(AA248&gt;0,Z251,0)</f>
        <v>0</v>
      </c>
      <c r="AA252" s="7">
        <f t="shared" ref="AA252" ca="1" si="557">-IF(AB248&gt;0,AA251,0)</f>
        <v>0</v>
      </c>
      <c r="AB252" s="7">
        <f t="shared" ref="AB252" ca="1" si="558">-IF(AC248&gt;0,AB251,0)</f>
        <v>0</v>
      </c>
      <c r="AC252" s="7">
        <f t="shared" ref="AC252" ca="1" si="559">-IF(AD248&gt;0,AC251,0)</f>
        <v>0</v>
      </c>
      <c r="AD252" s="7">
        <f t="shared" ref="AD252" ca="1" si="560">-IF(AE248&gt;0,AD251,0)</f>
        <v>0</v>
      </c>
      <c r="AE252" s="7">
        <f t="shared" ref="AE252" ca="1" si="561">-IF(AF248&gt;0,AE251,0)</f>
        <v>0</v>
      </c>
      <c r="AF252" s="7">
        <f t="shared" ref="AF252" ca="1" si="562">-IF(AG248&gt;0,AF251,0)</f>
        <v>0</v>
      </c>
      <c r="AG252" s="7">
        <f t="shared" ref="AG252" ca="1" si="563">-IF(AH248&gt;0,AG251,0)</f>
        <v>0</v>
      </c>
      <c r="AH252" s="7">
        <f t="shared" ref="AH252" ca="1" si="564">-IF(AI248&gt;0,AH251,0)</f>
        <v>0</v>
      </c>
      <c r="AI252" s="7">
        <f t="shared" ref="AI252" ca="1" si="565">-IF(AJ248&gt;0,AI251,0)</f>
        <v>0</v>
      </c>
      <c r="AJ252" s="7">
        <f t="shared" ref="AJ252" ca="1" si="566">-IF(AK248&gt;0,AJ251,0)</f>
        <v>0</v>
      </c>
      <c r="AK252" s="7">
        <f t="shared" ref="AK252" ca="1" si="567">-IF(AL248&gt;0,AK251,0)</f>
        <v>0</v>
      </c>
      <c r="AL252" s="7">
        <f t="shared" ref="AL252" ca="1" si="568">-IF(AM248&gt;0,AL251,0)</f>
        <v>0</v>
      </c>
      <c r="AM252" s="7">
        <f t="shared" ref="AM252" si="569">-IF(AN248&gt;0,AM251,0)</f>
        <v>0</v>
      </c>
    </row>
    <row r="253" spans="1:39" x14ac:dyDescent="0.2">
      <c r="A253" s="3" t="s">
        <v>23</v>
      </c>
      <c r="C253" s="7">
        <v>0</v>
      </c>
      <c r="D253" s="7">
        <f t="shared" ref="D253:AM253" ca="1" si="570">SUM(D251:D252)*VLOOKUP($A250,AssVar,2,FALSE)</f>
        <v>6747.9499707146579</v>
      </c>
      <c r="E253" s="7">
        <f t="shared" ca="1" si="570"/>
        <v>6950.388469836098</v>
      </c>
      <c r="F253" s="7">
        <f t="shared" ca="1" si="570"/>
        <v>7158.900123931181</v>
      </c>
      <c r="G253" s="7">
        <f t="shared" ca="1" si="570"/>
        <v>7373.6671276491161</v>
      </c>
      <c r="H253" s="7">
        <f t="shared" ca="1" si="570"/>
        <v>7594.8771414785897</v>
      </c>
      <c r="I253" s="7">
        <f t="shared" ca="1" si="570"/>
        <v>7822.7234557229476</v>
      </c>
      <c r="J253" s="7">
        <f t="shared" ca="1" si="570"/>
        <v>8057.4051593946369</v>
      </c>
      <c r="K253" s="7">
        <f t="shared" ca="1" si="570"/>
        <v>8299.1273141764759</v>
      </c>
      <c r="L253" s="7">
        <f t="shared" ca="1" si="570"/>
        <v>8548.1011336017709</v>
      </c>
      <c r="M253" s="7">
        <f t="shared" ca="1" si="570"/>
        <v>8804.5441676098253</v>
      </c>
      <c r="N253" s="7">
        <f t="shared" ca="1" si="570"/>
        <v>9068.6804926381192</v>
      </c>
      <c r="O253" s="7">
        <f t="shared" ca="1" si="570"/>
        <v>9340.7409074172629</v>
      </c>
      <c r="P253" s="7">
        <f t="shared" ca="1" si="570"/>
        <v>9620.9631346397819</v>
      </c>
      <c r="Q253" s="7">
        <f t="shared" ca="1" si="570"/>
        <v>9909.5920286789751</v>
      </c>
      <c r="R253" s="7">
        <f t="shared" ca="1" si="570"/>
        <v>10206.879789539344</v>
      </c>
      <c r="S253" s="7">
        <f t="shared" ca="1" si="570"/>
        <v>10513.086183225523</v>
      </c>
      <c r="T253" s="7">
        <f t="shared" ca="1" si="570"/>
        <v>10828.478768722289</v>
      </c>
      <c r="U253" s="7">
        <f t="shared" ca="1" si="570"/>
        <v>11153.333131783957</v>
      </c>
      <c r="V253" s="7">
        <f t="shared" ca="1" si="570"/>
        <v>11487.933125737474</v>
      </c>
      <c r="W253" s="7">
        <f t="shared" ca="1" si="570"/>
        <v>11832.571119509599</v>
      </c>
      <c r="X253" s="7">
        <f t="shared" ca="1" si="570"/>
        <v>12187.548253094887</v>
      </c>
      <c r="Y253" s="7">
        <f t="shared" ca="1" si="570"/>
        <v>12553.174700687734</v>
      </c>
      <c r="Z253" s="7">
        <f t="shared" ca="1" si="570"/>
        <v>12929.769941708366</v>
      </c>
      <c r="AA253" s="7">
        <f t="shared" ca="1" si="570"/>
        <v>13317.663039959616</v>
      </c>
      <c r="AB253" s="7">
        <f t="shared" ca="1" si="570"/>
        <v>13717.192931158404</v>
      </c>
      <c r="AC253" s="7">
        <f t="shared" ca="1" si="570"/>
        <v>14128.708719093158</v>
      </c>
      <c r="AD253" s="7">
        <f t="shared" ca="1" si="570"/>
        <v>14552.569980665952</v>
      </c>
      <c r="AE253" s="7">
        <f t="shared" ca="1" si="570"/>
        <v>14989.147080085932</v>
      </c>
      <c r="AF253" s="7">
        <f t="shared" ca="1" si="570"/>
        <v>15438.821492488509</v>
      </c>
      <c r="AG253" s="7">
        <f t="shared" ca="1" si="570"/>
        <v>15901.986137263166</v>
      </c>
      <c r="AH253" s="7">
        <f t="shared" ca="1" si="570"/>
        <v>16379.045721381059</v>
      </c>
      <c r="AI253" s="7">
        <f t="shared" ca="1" si="570"/>
        <v>16870.417093022494</v>
      </c>
      <c r="AJ253" s="7">
        <f t="shared" ca="1" si="570"/>
        <v>17376.529605813168</v>
      </c>
      <c r="AK253" s="7">
        <f t="shared" ca="1" si="570"/>
        <v>17897.825493987562</v>
      </c>
      <c r="AL253" s="7">
        <f t="shared" ca="1" si="570"/>
        <v>18434.76025880719</v>
      </c>
      <c r="AM253" s="7">
        <f t="shared" ca="1" si="570"/>
        <v>18987.803066571407</v>
      </c>
    </row>
    <row r="254" spans="1:39" x14ac:dyDescent="0.2">
      <c r="A254" s="3" t="s">
        <v>24</v>
      </c>
      <c r="C254" s="7">
        <f ca="1">SUM(C251:C253)</f>
        <v>224931.66569048862</v>
      </c>
      <c r="D254" s="7">
        <f t="shared" ref="D254:AM254" ca="1" si="571">SUM(D251:D253)</f>
        <v>231679.61566120328</v>
      </c>
      <c r="E254" s="7">
        <f t="shared" ca="1" si="571"/>
        <v>238630.00413103937</v>
      </c>
      <c r="F254" s="7">
        <f t="shared" ca="1" si="571"/>
        <v>245788.90425497055</v>
      </c>
      <c r="G254" s="7">
        <f t="shared" ca="1" si="571"/>
        <v>253162.57138261967</v>
      </c>
      <c r="H254" s="7">
        <f t="shared" ca="1" si="571"/>
        <v>260757.44852409826</v>
      </c>
      <c r="I254" s="7">
        <f t="shared" ca="1" si="571"/>
        <v>268580.17197982123</v>
      </c>
      <c r="J254" s="7">
        <f t="shared" ca="1" si="571"/>
        <v>276637.57713921589</v>
      </c>
      <c r="K254" s="7">
        <f t="shared" ca="1" si="571"/>
        <v>284936.70445339236</v>
      </c>
      <c r="L254" s="7">
        <f t="shared" ca="1" si="571"/>
        <v>293484.80558699416</v>
      </c>
      <c r="M254" s="7">
        <f t="shared" ca="1" si="571"/>
        <v>302289.34975460399</v>
      </c>
      <c r="N254" s="7">
        <f t="shared" ca="1" si="571"/>
        <v>311358.03024724213</v>
      </c>
      <c r="O254" s="7">
        <f t="shared" ca="1" si="571"/>
        <v>320698.77115465939</v>
      </c>
      <c r="P254" s="7">
        <f t="shared" ca="1" si="571"/>
        <v>330319.73428929917</v>
      </c>
      <c r="Q254" s="7">
        <f t="shared" ca="1" si="571"/>
        <v>340229.32631797815</v>
      </c>
      <c r="R254" s="7">
        <f t="shared" ca="1" si="571"/>
        <v>350436.20610751747</v>
      </c>
      <c r="S254" s="7">
        <f t="shared" ca="1" si="571"/>
        <v>360949.29229074297</v>
      </c>
      <c r="T254" s="7">
        <f t="shared" ca="1" si="571"/>
        <v>371777.77105946525</v>
      </c>
      <c r="U254" s="7">
        <f t="shared" ca="1" si="571"/>
        <v>382931.10419124918</v>
      </c>
      <c r="V254" s="7">
        <f t="shared" ca="1" si="571"/>
        <v>394419.03731698665</v>
      </c>
      <c r="W254" s="7">
        <f t="shared" ca="1" si="571"/>
        <v>406251.60843649623</v>
      </c>
      <c r="X254" s="7">
        <f t="shared" ca="1" si="571"/>
        <v>418439.15668959112</v>
      </c>
      <c r="Y254" s="7">
        <f t="shared" ca="1" si="571"/>
        <v>430992.33139027888</v>
      </c>
      <c r="Z254" s="7">
        <f t="shared" ca="1" si="571"/>
        <v>443922.10133198724</v>
      </c>
      <c r="AA254" s="7">
        <f t="shared" ca="1" si="571"/>
        <v>457239.76437194686</v>
      </c>
      <c r="AB254" s="7">
        <f t="shared" ca="1" si="571"/>
        <v>470956.95730310527</v>
      </c>
      <c r="AC254" s="7">
        <f t="shared" ca="1" si="571"/>
        <v>485085.66602219845</v>
      </c>
      <c r="AD254" s="7">
        <f t="shared" ca="1" si="571"/>
        <v>499638.23600286437</v>
      </c>
      <c r="AE254" s="7">
        <f t="shared" ca="1" si="571"/>
        <v>514627.38308295031</v>
      </c>
      <c r="AF254" s="7">
        <f t="shared" ca="1" si="571"/>
        <v>530066.20457543887</v>
      </c>
      <c r="AG254" s="7">
        <f t="shared" ca="1" si="571"/>
        <v>545968.19071270199</v>
      </c>
      <c r="AH254" s="7">
        <f t="shared" ca="1" si="571"/>
        <v>562347.23643408308</v>
      </c>
      <c r="AI254" s="7">
        <f t="shared" ca="1" si="571"/>
        <v>579217.65352710558</v>
      </c>
      <c r="AJ254" s="7">
        <f t="shared" ca="1" si="571"/>
        <v>596594.18313291878</v>
      </c>
      <c r="AK254" s="7">
        <f t="shared" ca="1" si="571"/>
        <v>614492.00862690632</v>
      </c>
      <c r="AL254" s="7">
        <f t="shared" ca="1" si="571"/>
        <v>632926.76888571354</v>
      </c>
      <c r="AM254" s="7">
        <f t="shared" ca="1" si="571"/>
        <v>651914.5719522849</v>
      </c>
    </row>
    <row r="255" spans="1:39" x14ac:dyDescent="0.2">
      <c r="A255" s="3" t="s">
        <v>25</v>
      </c>
      <c r="C255" s="7">
        <f t="shared" ref="C255:AM255" ca="1" si="572">C252*VLOOKUP($A250,AssVar,3,FALSE)</f>
        <v>0</v>
      </c>
      <c r="D255" s="7">
        <f t="shared" ca="1" si="572"/>
        <v>0</v>
      </c>
      <c r="E255" s="7">
        <f t="shared" ca="1" si="572"/>
        <v>0</v>
      </c>
      <c r="F255" s="7">
        <f t="shared" ca="1" si="572"/>
        <v>0</v>
      </c>
      <c r="G255" s="7">
        <f t="shared" ca="1" si="572"/>
        <v>0</v>
      </c>
      <c r="H255" s="7">
        <f t="shared" ca="1" si="572"/>
        <v>0</v>
      </c>
      <c r="I255" s="7">
        <f t="shared" ca="1" si="572"/>
        <v>0</v>
      </c>
      <c r="J255" s="7">
        <f t="shared" ca="1" si="572"/>
        <v>0</v>
      </c>
      <c r="K255" s="7">
        <f t="shared" ca="1" si="572"/>
        <v>0</v>
      </c>
      <c r="L255" s="7">
        <f t="shared" ca="1" si="572"/>
        <v>0</v>
      </c>
      <c r="M255" s="7">
        <f t="shared" ca="1" si="572"/>
        <v>0</v>
      </c>
      <c r="N255" s="7">
        <f t="shared" ca="1" si="572"/>
        <v>0</v>
      </c>
      <c r="O255" s="7">
        <f t="shared" ca="1" si="572"/>
        <v>0</v>
      </c>
      <c r="P255" s="7">
        <f t="shared" ca="1" si="572"/>
        <v>0</v>
      </c>
      <c r="Q255" s="7">
        <f t="shared" ca="1" si="572"/>
        <v>0</v>
      </c>
      <c r="R255" s="7">
        <f t="shared" ca="1" si="572"/>
        <v>0</v>
      </c>
      <c r="S255" s="7">
        <f t="shared" ca="1" si="572"/>
        <v>0</v>
      </c>
      <c r="T255" s="7">
        <f t="shared" ca="1" si="572"/>
        <v>0</v>
      </c>
      <c r="U255" s="7">
        <f t="shared" ca="1" si="572"/>
        <v>0</v>
      </c>
      <c r="V255" s="7">
        <f t="shared" ca="1" si="572"/>
        <v>0</v>
      </c>
      <c r="W255" s="7">
        <f t="shared" ca="1" si="572"/>
        <v>0</v>
      </c>
      <c r="X255" s="7">
        <f t="shared" ca="1" si="572"/>
        <v>0</v>
      </c>
      <c r="Y255" s="7">
        <f t="shared" ca="1" si="572"/>
        <v>0</v>
      </c>
      <c r="Z255" s="7">
        <f t="shared" ca="1" si="572"/>
        <v>0</v>
      </c>
      <c r="AA255" s="7">
        <f t="shared" ca="1" si="572"/>
        <v>0</v>
      </c>
      <c r="AB255" s="7">
        <f t="shared" ca="1" si="572"/>
        <v>0</v>
      </c>
      <c r="AC255" s="7">
        <f t="shared" ca="1" si="572"/>
        <v>0</v>
      </c>
      <c r="AD255" s="7">
        <f t="shared" ca="1" si="572"/>
        <v>0</v>
      </c>
      <c r="AE255" s="7">
        <f t="shared" ca="1" si="572"/>
        <v>0</v>
      </c>
      <c r="AF255" s="7">
        <f t="shared" ca="1" si="572"/>
        <v>0</v>
      </c>
      <c r="AG255" s="7">
        <f t="shared" ca="1" si="572"/>
        <v>0</v>
      </c>
      <c r="AH255" s="7">
        <f t="shared" ca="1" si="572"/>
        <v>0</v>
      </c>
      <c r="AI255" s="7">
        <f t="shared" ca="1" si="572"/>
        <v>0</v>
      </c>
      <c r="AJ255" s="7">
        <f t="shared" ca="1" si="572"/>
        <v>0</v>
      </c>
      <c r="AK255" s="7">
        <f t="shared" ca="1" si="572"/>
        <v>0</v>
      </c>
      <c r="AL255" s="7">
        <f t="shared" ca="1" si="572"/>
        <v>0</v>
      </c>
      <c r="AM255" s="7">
        <f t="shared" si="572"/>
        <v>0</v>
      </c>
    </row>
    <row r="256" spans="1:39" x14ac:dyDescent="0.2">
      <c r="A256" s="3" t="s">
        <v>30</v>
      </c>
      <c r="C256" s="7">
        <f t="shared" ref="C256:AM256" ca="1" si="573">IFERROR(-IF(C251=0,VLOOKUP($A250,$8:$12,C$1+2,FALSE),0),0)</f>
        <v>0</v>
      </c>
      <c r="D256" s="7">
        <f t="shared" ca="1" si="573"/>
        <v>0</v>
      </c>
      <c r="E256" s="7">
        <f t="shared" ca="1" si="573"/>
        <v>0</v>
      </c>
      <c r="F256" s="7">
        <f t="shared" ca="1" si="573"/>
        <v>0</v>
      </c>
      <c r="G256" s="7">
        <f t="shared" ca="1" si="573"/>
        <v>0</v>
      </c>
      <c r="H256" s="7">
        <f t="shared" ca="1" si="573"/>
        <v>0</v>
      </c>
      <c r="I256" s="7">
        <f t="shared" ca="1" si="573"/>
        <v>0</v>
      </c>
      <c r="J256" s="7">
        <f t="shared" ca="1" si="573"/>
        <v>0</v>
      </c>
      <c r="K256" s="7">
        <f t="shared" ca="1" si="573"/>
        <v>0</v>
      </c>
      <c r="L256" s="7">
        <f t="shared" ca="1" si="573"/>
        <v>0</v>
      </c>
      <c r="M256" s="7">
        <f t="shared" ca="1" si="573"/>
        <v>0</v>
      </c>
      <c r="N256" s="7">
        <f t="shared" ca="1" si="573"/>
        <v>0</v>
      </c>
      <c r="O256" s="7">
        <f t="shared" ca="1" si="573"/>
        <v>0</v>
      </c>
      <c r="P256" s="7">
        <f t="shared" ca="1" si="573"/>
        <v>0</v>
      </c>
      <c r="Q256" s="7">
        <f t="shared" ca="1" si="573"/>
        <v>0</v>
      </c>
      <c r="R256" s="7">
        <f t="shared" ca="1" si="573"/>
        <v>0</v>
      </c>
      <c r="S256" s="7">
        <f t="shared" ca="1" si="573"/>
        <v>0</v>
      </c>
      <c r="T256" s="7">
        <f t="shared" ca="1" si="573"/>
        <v>0</v>
      </c>
      <c r="U256" s="7">
        <f t="shared" ca="1" si="573"/>
        <v>0</v>
      </c>
      <c r="V256" s="7">
        <f t="shared" ca="1" si="573"/>
        <v>0</v>
      </c>
      <c r="W256" s="7">
        <f t="shared" ca="1" si="573"/>
        <v>0</v>
      </c>
      <c r="X256" s="7">
        <f t="shared" ca="1" si="573"/>
        <v>0</v>
      </c>
      <c r="Y256" s="7">
        <f t="shared" ca="1" si="573"/>
        <v>0</v>
      </c>
      <c r="Z256" s="7">
        <f t="shared" ca="1" si="573"/>
        <v>0</v>
      </c>
      <c r="AA256" s="7">
        <f t="shared" ca="1" si="573"/>
        <v>0</v>
      </c>
      <c r="AB256" s="7">
        <f t="shared" ca="1" si="573"/>
        <v>0</v>
      </c>
      <c r="AC256" s="7">
        <f t="shared" ca="1" si="573"/>
        <v>0</v>
      </c>
      <c r="AD256" s="7">
        <f t="shared" ca="1" si="573"/>
        <v>0</v>
      </c>
      <c r="AE256" s="7">
        <f t="shared" ca="1" si="573"/>
        <v>0</v>
      </c>
      <c r="AF256" s="7">
        <f t="shared" ca="1" si="573"/>
        <v>0</v>
      </c>
      <c r="AG256" s="7">
        <f t="shared" ca="1" si="573"/>
        <v>0</v>
      </c>
      <c r="AH256" s="7">
        <f t="shared" ca="1" si="573"/>
        <v>0</v>
      </c>
      <c r="AI256" s="7">
        <f t="shared" ca="1" si="573"/>
        <v>0</v>
      </c>
      <c r="AJ256" s="7">
        <f t="shared" ca="1" si="573"/>
        <v>0</v>
      </c>
      <c r="AK256" s="7">
        <f t="shared" ca="1" si="573"/>
        <v>0</v>
      </c>
      <c r="AL256" s="7">
        <f t="shared" ca="1" si="573"/>
        <v>0</v>
      </c>
      <c r="AM256" s="7">
        <f t="shared" ca="1" si="573"/>
        <v>0</v>
      </c>
    </row>
    <row r="257" spans="1:39" x14ac:dyDescent="0.2">
      <c r="A257" s="3" t="s">
        <v>49</v>
      </c>
      <c r="C257" s="7">
        <f t="shared" ref="C257:AM257" ca="1" si="574">IFERROR(IF(C251=0,VLOOKUP($A250,$46:$50,C$1+2,FALSE),0),0)</f>
        <v>0</v>
      </c>
      <c r="D257" s="7">
        <f t="shared" ca="1" si="574"/>
        <v>0</v>
      </c>
      <c r="E257" s="7">
        <f t="shared" ca="1" si="574"/>
        <v>0</v>
      </c>
      <c r="F257" s="7">
        <f t="shared" ca="1" si="574"/>
        <v>0</v>
      </c>
      <c r="G257" s="7">
        <f t="shared" ca="1" si="574"/>
        <v>0</v>
      </c>
      <c r="H257" s="7">
        <f t="shared" ca="1" si="574"/>
        <v>0</v>
      </c>
      <c r="I257" s="7">
        <f t="shared" ca="1" si="574"/>
        <v>0</v>
      </c>
      <c r="J257" s="7">
        <f t="shared" ca="1" si="574"/>
        <v>0</v>
      </c>
      <c r="K257" s="7">
        <f t="shared" ca="1" si="574"/>
        <v>0</v>
      </c>
      <c r="L257" s="7">
        <f t="shared" ca="1" si="574"/>
        <v>0</v>
      </c>
      <c r="M257" s="7">
        <f t="shared" ca="1" si="574"/>
        <v>0</v>
      </c>
      <c r="N257" s="7">
        <f t="shared" ca="1" si="574"/>
        <v>0</v>
      </c>
      <c r="O257" s="7">
        <f t="shared" ca="1" si="574"/>
        <v>0</v>
      </c>
      <c r="P257" s="7">
        <f t="shared" ca="1" si="574"/>
        <v>0</v>
      </c>
      <c r="Q257" s="7">
        <f t="shared" ca="1" si="574"/>
        <v>0</v>
      </c>
      <c r="R257" s="7">
        <f t="shared" ca="1" si="574"/>
        <v>0</v>
      </c>
      <c r="S257" s="7">
        <f t="shared" ca="1" si="574"/>
        <v>0</v>
      </c>
      <c r="T257" s="7">
        <f t="shared" ca="1" si="574"/>
        <v>0</v>
      </c>
      <c r="U257" s="7">
        <f t="shared" ca="1" si="574"/>
        <v>0</v>
      </c>
      <c r="V257" s="7">
        <f t="shared" ca="1" si="574"/>
        <v>0</v>
      </c>
      <c r="W257" s="7">
        <f t="shared" ca="1" si="574"/>
        <v>0</v>
      </c>
      <c r="X257" s="7">
        <f t="shared" ca="1" si="574"/>
        <v>0</v>
      </c>
      <c r="Y257" s="7">
        <f t="shared" ca="1" si="574"/>
        <v>0</v>
      </c>
      <c r="Z257" s="7">
        <f t="shared" ca="1" si="574"/>
        <v>0</v>
      </c>
      <c r="AA257" s="7">
        <f t="shared" ca="1" si="574"/>
        <v>0</v>
      </c>
      <c r="AB257" s="7">
        <f t="shared" ca="1" si="574"/>
        <v>0</v>
      </c>
      <c r="AC257" s="7">
        <f t="shared" ca="1" si="574"/>
        <v>0</v>
      </c>
      <c r="AD257" s="7">
        <f t="shared" ca="1" si="574"/>
        <v>0</v>
      </c>
      <c r="AE257" s="7">
        <f t="shared" ca="1" si="574"/>
        <v>0</v>
      </c>
      <c r="AF257" s="7">
        <f t="shared" ca="1" si="574"/>
        <v>0</v>
      </c>
      <c r="AG257" s="7">
        <f t="shared" ca="1" si="574"/>
        <v>0</v>
      </c>
      <c r="AH257" s="7">
        <f t="shared" ca="1" si="574"/>
        <v>0</v>
      </c>
      <c r="AI257" s="7">
        <f t="shared" ca="1" si="574"/>
        <v>0</v>
      </c>
      <c r="AJ257" s="7">
        <f t="shared" ca="1" si="574"/>
        <v>0</v>
      </c>
      <c r="AK257" s="7">
        <f t="shared" ca="1" si="574"/>
        <v>0</v>
      </c>
      <c r="AL257" s="7">
        <f t="shared" ca="1" si="574"/>
        <v>0</v>
      </c>
      <c r="AM257" s="7">
        <f t="shared" ca="1" si="574"/>
        <v>0</v>
      </c>
    </row>
    <row r="258" spans="1:39" x14ac:dyDescent="0.2">
      <c r="A258" s="3" t="s">
        <v>35</v>
      </c>
      <c r="B258" s="14" t="str">
        <f>A250</f>
        <v>Qormi</v>
      </c>
      <c r="C258" s="7">
        <f t="shared" ref="C258:AM258" ca="1" si="575">IF(AND(C251&gt;0,C254=0),VLOOKUP($A250,$85:$94,C$1+2,FALSE),0)</f>
        <v>0</v>
      </c>
      <c r="D258" s="7">
        <f t="shared" ca="1" si="575"/>
        <v>0</v>
      </c>
      <c r="E258" s="7">
        <f t="shared" ca="1" si="575"/>
        <v>0</v>
      </c>
      <c r="F258" s="7">
        <f t="shared" ca="1" si="575"/>
        <v>0</v>
      </c>
      <c r="G258" s="7">
        <f t="shared" ca="1" si="575"/>
        <v>0</v>
      </c>
      <c r="H258" s="7">
        <f t="shared" ca="1" si="575"/>
        <v>0</v>
      </c>
      <c r="I258" s="7">
        <f t="shared" ca="1" si="575"/>
        <v>0</v>
      </c>
      <c r="J258" s="7">
        <f t="shared" ca="1" si="575"/>
        <v>0</v>
      </c>
      <c r="K258" s="7">
        <f t="shared" ca="1" si="575"/>
        <v>0</v>
      </c>
      <c r="L258" s="7">
        <f t="shared" ca="1" si="575"/>
        <v>0</v>
      </c>
      <c r="M258" s="7">
        <f t="shared" ca="1" si="575"/>
        <v>0</v>
      </c>
      <c r="N258" s="7">
        <f t="shared" ca="1" si="575"/>
        <v>0</v>
      </c>
      <c r="O258" s="7">
        <f t="shared" ca="1" si="575"/>
        <v>0</v>
      </c>
      <c r="P258" s="7">
        <f t="shared" ca="1" si="575"/>
        <v>0</v>
      </c>
      <c r="Q258" s="7">
        <f t="shared" ca="1" si="575"/>
        <v>0</v>
      </c>
      <c r="R258" s="7">
        <f t="shared" ca="1" si="575"/>
        <v>0</v>
      </c>
      <c r="S258" s="7">
        <f t="shared" ca="1" si="575"/>
        <v>0</v>
      </c>
      <c r="T258" s="7">
        <f t="shared" ca="1" si="575"/>
        <v>0</v>
      </c>
      <c r="U258" s="7">
        <f t="shared" ca="1" si="575"/>
        <v>0</v>
      </c>
      <c r="V258" s="7">
        <f t="shared" ca="1" si="575"/>
        <v>0</v>
      </c>
      <c r="W258" s="7">
        <f t="shared" ca="1" si="575"/>
        <v>0</v>
      </c>
      <c r="X258" s="7">
        <f t="shared" ca="1" si="575"/>
        <v>0</v>
      </c>
      <c r="Y258" s="7">
        <f t="shared" ca="1" si="575"/>
        <v>0</v>
      </c>
      <c r="Z258" s="7">
        <f t="shared" ca="1" si="575"/>
        <v>0</v>
      </c>
      <c r="AA258" s="7">
        <f t="shared" ca="1" si="575"/>
        <v>0</v>
      </c>
      <c r="AB258" s="7">
        <f t="shared" ca="1" si="575"/>
        <v>0</v>
      </c>
      <c r="AC258" s="7">
        <f t="shared" ca="1" si="575"/>
        <v>0</v>
      </c>
      <c r="AD258" s="7">
        <f t="shared" ca="1" si="575"/>
        <v>0</v>
      </c>
      <c r="AE258" s="7">
        <f t="shared" ca="1" si="575"/>
        <v>0</v>
      </c>
      <c r="AF258" s="7">
        <f t="shared" ca="1" si="575"/>
        <v>0</v>
      </c>
      <c r="AG258" s="7">
        <f t="shared" ca="1" si="575"/>
        <v>0</v>
      </c>
      <c r="AH258" s="7">
        <f t="shared" ca="1" si="575"/>
        <v>0</v>
      </c>
      <c r="AI258" s="7">
        <f t="shared" ca="1" si="575"/>
        <v>0</v>
      </c>
      <c r="AJ258" s="7">
        <f t="shared" ca="1" si="575"/>
        <v>0</v>
      </c>
      <c r="AK258" s="7">
        <f t="shared" ca="1" si="575"/>
        <v>0</v>
      </c>
      <c r="AL258" s="7">
        <f t="shared" ca="1" si="575"/>
        <v>0</v>
      </c>
      <c r="AM258" s="7">
        <f t="shared" ca="1" si="575"/>
        <v>0</v>
      </c>
    </row>
    <row r="259" spans="1:39" x14ac:dyDescent="0.2">
      <c r="A259" s="3" t="s">
        <v>36</v>
      </c>
      <c r="C259" s="7">
        <f ca="1">-C252+SUM(C255:C258)</f>
        <v>0</v>
      </c>
      <c r="D259" s="7">
        <f t="shared" ref="D259" ca="1" si="576">-D252+SUM(D255:D258)</f>
        <v>0</v>
      </c>
      <c r="E259" s="7">
        <f t="shared" ref="E259:AM259" ca="1" si="577">-E252+SUM(E255:E258)</f>
        <v>0</v>
      </c>
      <c r="F259" s="7">
        <f t="shared" ca="1" si="577"/>
        <v>0</v>
      </c>
      <c r="G259" s="7">
        <f t="shared" ca="1" si="577"/>
        <v>0</v>
      </c>
      <c r="H259" s="7">
        <f t="shared" ca="1" si="577"/>
        <v>0</v>
      </c>
      <c r="I259" s="7">
        <f t="shared" ca="1" si="577"/>
        <v>0</v>
      </c>
      <c r="J259" s="7">
        <f t="shared" ca="1" si="577"/>
        <v>0</v>
      </c>
      <c r="K259" s="7">
        <f t="shared" ca="1" si="577"/>
        <v>0</v>
      </c>
      <c r="L259" s="7">
        <f t="shared" ca="1" si="577"/>
        <v>0</v>
      </c>
      <c r="M259" s="7">
        <f t="shared" ca="1" si="577"/>
        <v>0</v>
      </c>
      <c r="N259" s="7">
        <f t="shared" ca="1" si="577"/>
        <v>0</v>
      </c>
      <c r="O259" s="7">
        <f t="shared" ca="1" si="577"/>
        <v>0</v>
      </c>
      <c r="P259" s="7">
        <f t="shared" ca="1" si="577"/>
        <v>0</v>
      </c>
      <c r="Q259" s="7">
        <f t="shared" ca="1" si="577"/>
        <v>0</v>
      </c>
      <c r="R259" s="7">
        <f t="shared" ca="1" si="577"/>
        <v>0</v>
      </c>
      <c r="S259" s="7">
        <f t="shared" ca="1" si="577"/>
        <v>0</v>
      </c>
      <c r="T259" s="7">
        <f t="shared" ca="1" si="577"/>
        <v>0</v>
      </c>
      <c r="U259" s="7">
        <f t="shared" ca="1" si="577"/>
        <v>0</v>
      </c>
      <c r="V259" s="7">
        <f t="shared" ca="1" si="577"/>
        <v>0</v>
      </c>
      <c r="W259" s="7">
        <f t="shared" ca="1" si="577"/>
        <v>0</v>
      </c>
      <c r="X259" s="7">
        <f t="shared" ca="1" si="577"/>
        <v>0</v>
      </c>
      <c r="Y259" s="7">
        <f t="shared" ca="1" si="577"/>
        <v>0</v>
      </c>
      <c r="Z259" s="7">
        <f t="shared" ca="1" si="577"/>
        <v>0</v>
      </c>
      <c r="AA259" s="7">
        <f t="shared" ca="1" si="577"/>
        <v>0</v>
      </c>
      <c r="AB259" s="7">
        <f t="shared" ca="1" si="577"/>
        <v>0</v>
      </c>
      <c r="AC259" s="7">
        <f t="shared" ca="1" si="577"/>
        <v>0</v>
      </c>
      <c r="AD259" s="7">
        <f t="shared" ca="1" si="577"/>
        <v>0</v>
      </c>
      <c r="AE259" s="7">
        <f t="shared" ca="1" si="577"/>
        <v>0</v>
      </c>
      <c r="AF259" s="7">
        <f t="shared" ca="1" si="577"/>
        <v>0</v>
      </c>
      <c r="AG259" s="7">
        <f t="shared" ca="1" si="577"/>
        <v>0</v>
      </c>
      <c r="AH259" s="7">
        <f t="shared" ca="1" si="577"/>
        <v>0</v>
      </c>
      <c r="AI259" s="7">
        <f t="shared" ca="1" si="577"/>
        <v>0</v>
      </c>
      <c r="AJ259" s="7">
        <f t="shared" ca="1" si="577"/>
        <v>0</v>
      </c>
      <c r="AK259" s="7">
        <f t="shared" ca="1" si="577"/>
        <v>0</v>
      </c>
      <c r="AL259" s="7">
        <f t="shared" ca="1" si="577"/>
        <v>0</v>
      </c>
      <c r="AM259" s="7">
        <f t="shared" ca="1" si="577"/>
        <v>0</v>
      </c>
    </row>
    <row r="260" spans="1:39" x14ac:dyDescent="0.2">
      <c r="A260" s="3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</row>
    <row r="261" spans="1:39" x14ac:dyDescent="0.2">
      <c r="A261" s="3" t="s">
        <v>70</v>
      </c>
      <c r="C261" s="7">
        <f ca="1">C247+SUM($C259:C259)</f>
        <v>16108.4375</v>
      </c>
      <c r="D261" s="7">
        <f ca="1">D247+SUM($C259:D259)</f>
        <v>30012.145312499997</v>
      </c>
      <c r="E261" s="7">
        <f ca="1">E247+SUM($C259:E259)</f>
        <v>50169.6494140625</v>
      </c>
      <c r="F261" s="7">
        <f ca="1">F247+SUM($C259:F259)</f>
        <v>52227.783801841113</v>
      </c>
      <c r="G261" s="7">
        <f ca="1">G247+SUM($C259:G259)</f>
        <v>250455.15989583102</v>
      </c>
      <c r="H261" s="7">
        <f ca="1">H247+SUM($C259:H259)</f>
        <v>296986.84009098983</v>
      </c>
      <c r="I261" s="7">
        <f ca="1">I247+SUM($C259:I259)</f>
        <v>363754.64435619779</v>
      </c>
      <c r="J261" s="7">
        <f ca="1">J247+SUM($C259:J259)</f>
        <v>435067.93012454931</v>
      </c>
      <c r="K261" s="7">
        <f ca="1">K247+SUM($C259:K259)</f>
        <v>493116.96835998015</v>
      </c>
      <c r="L261" s="7">
        <f ca="1">L247+SUM($C259:L259)</f>
        <v>638212.2751736166</v>
      </c>
      <c r="M261" s="7">
        <f ca="1">M247+SUM($C259:M259)</f>
        <v>695163.71186735749</v>
      </c>
      <c r="N261" s="7">
        <f ca="1">N247+SUM($C259:N259)</f>
        <v>805771.16934020713</v>
      </c>
      <c r="O261" s="7">
        <f ca="1">O247+SUM($C259:O259)</f>
        <v>922222.00124800857</v>
      </c>
      <c r="P261" s="7">
        <f ca="1">P247+SUM($C259:P259)</f>
        <v>1044762.6085180258</v>
      </c>
      <c r="Q261" s="7">
        <f ca="1">Q247+SUM($C259:Q259)</f>
        <v>1173648.7608708572</v>
      </c>
      <c r="R261" s="7">
        <f ca="1">R247+SUM($C259:R259)</f>
        <v>1309145.9322852024</v>
      </c>
      <c r="S261" s="7">
        <f ca="1">S247+SUM($C259:S259)</f>
        <v>1451529.6480111426</v>
      </c>
      <c r="T261" s="7">
        <f ca="1">T247+SUM($C259:T259)</f>
        <v>1491855.4011356728</v>
      </c>
      <c r="U261" s="7">
        <f ca="1">U247+SUM($C259:U259)</f>
        <v>1541415.1978627439</v>
      </c>
      <c r="V261" s="7">
        <f ca="1">V247+SUM($C259:V259)</f>
        <v>1592757.5777099284</v>
      </c>
      <c r="W261" s="7">
        <f ca="1">W247+SUM($C259:W259)</f>
        <v>1645948.7425475621</v>
      </c>
      <c r="X261" s="7">
        <f ca="1">X247+SUM($C259:X259)</f>
        <v>1701057.3316526653</v>
      </c>
      <c r="Y261" s="7">
        <f ca="1">Y247+SUM($C259:Y259)</f>
        <v>1737237.4169653396</v>
      </c>
      <c r="Z261" s="7">
        <f ca="1">Z247+SUM($C259:Z259)</f>
        <v>1774434.0167242812</v>
      </c>
      <c r="AA261" s="7">
        <f ca="1">AA247+SUM($C259:AA259)</f>
        <v>1812684.4017288706</v>
      </c>
      <c r="AB261" s="7">
        <f ca="1">AB247+SUM($C259:AB259)</f>
        <v>1852027.3427258399</v>
      </c>
      <c r="AC261" s="7">
        <f ca="1">AC247+SUM($C259:AC259)</f>
        <v>1892503.1702642585</v>
      </c>
      <c r="AD261" s="7">
        <f ca="1">AD247+SUM($C259:AD259)</f>
        <v>1934153.8368503558</v>
      </c>
      <c r="AE261" s="7">
        <f ca="1">AE247+SUM($C259:AE259)</f>
        <v>1987130.2375195618</v>
      </c>
      <c r="AF261" s="7">
        <f ca="1">AF247+SUM($C259:AF259)</f>
        <v>2041875.8715530399</v>
      </c>
      <c r="AG261" s="7">
        <f ca="1">AG247+SUM($C259:AG259)</f>
        <v>2098456.905652951</v>
      </c>
      <c r="AH261" s="7">
        <f ca="1">AH247+SUM($C259:AH259)</f>
        <v>2156942.0335442415</v>
      </c>
      <c r="AI261" s="7">
        <f ca="1">AI247+SUM($C259:AI259)</f>
        <v>2217402.5707053514</v>
      </c>
      <c r="AJ261" s="7">
        <f ca="1">AJ247+SUM($C259:AJ259)</f>
        <v>2279912.5525480784</v>
      </c>
      <c r="AK261" s="7">
        <f ca="1">AK247+SUM($C259:AK259)</f>
        <v>2344548.8361686133</v>
      </c>
      <c r="AL261" s="7">
        <f ca="1">AL247+SUM($C259:AL259)</f>
        <v>2411391.2057959661</v>
      </c>
      <c r="AM261" s="7">
        <f ca="1">AM247+SUM($C259:AM259)</f>
        <v>2480522.4820683482</v>
      </c>
    </row>
    <row r="262" spans="1:39" x14ac:dyDescent="0.2">
      <c r="A262" s="3" t="s">
        <v>67</v>
      </c>
      <c r="C262" s="7">
        <f t="shared" ref="C262:AM262" ca="1" si="578">MAX(C261+buffer,0)-MAX(C247+buffer,0)</f>
        <v>0</v>
      </c>
      <c r="D262" s="7">
        <f t="shared" ca="1" si="578"/>
        <v>0</v>
      </c>
      <c r="E262" s="7">
        <f t="shared" ca="1" si="578"/>
        <v>0</v>
      </c>
      <c r="F262" s="7">
        <f t="shared" ca="1" si="578"/>
        <v>0</v>
      </c>
      <c r="G262" s="7">
        <f t="shared" ca="1" si="578"/>
        <v>0</v>
      </c>
      <c r="H262" s="7">
        <f t="shared" ca="1" si="578"/>
        <v>0</v>
      </c>
      <c r="I262" s="7">
        <f t="shared" ca="1" si="578"/>
        <v>0</v>
      </c>
      <c r="J262" s="7">
        <f t="shared" ca="1" si="578"/>
        <v>0</v>
      </c>
      <c r="K262" s="7">
        <f t="shared" ca="1" si="578"/>
        <v>0</v>
      </c>
      <c r="L262" s="7">
        <f t="shared" ca="1" si="578"/>
        <v>0</v>
      </c>
      <c r="M262" s="7">
        <f t="shared" ca="1" si="578"/>
        <v>0</v>
      </c>
      <c r="N262" s="7">
        <f t="shared" ca="1" si="578"/>
        <v>0</v>
      </c>
      <c r="O262" s="7">
        <f t="shared" ca="1" si="578"/>
        <v>0</v>
      </c>
      <c r="P262" s="7">
        <f t="shared" ca="1" si="578"/>
        <v>0</v>
      </c>
      <c r="Q262" s="7">
        <f t="shared" ca="1" si="578"/>
        <v>0</v>
      </c>
      <c r="R262" s="7">
        <f t="shared" ca="1" si="578"/>
        <v>0</v>
      </c>
      <c r="S262" s="7">
        <f t="shared" ca="1" si="578"/>
        <v>0</v>
      </c>
      <c r="T262" s="7">
        <f t="shared" ca="1" si="578"/>
        <v>0</v>
      </c>
      <c r="U262" s="7">
        <f t="shared" ca="1" si="578"/>
        <v>0</v>
      </c>
      <c r="V262" s="7">
        <f t="shared" ca="1" si="578"/>
        <v>0</v>
      </c>
      <c r="W262" s="7">
        <f t="shared" ca="1" si="578"/>
        <v>0</v>
      </c>
      <c r="X262" s="7">
        <f t="shared" ca="1" si="578"/>
        <v>0</v>
      </c>
      <c r="Y262" s="7">
        <f t="shared" ca="1" si="578"/>
        <v>0</v>
      </c>
      <c r="Z262" s="7">
        <f t="shared" ca="1" si="578"/>
        <v>0</v>
      </c>
      <c r="AA262" s="7">
        <f t="shared" ca="1" si="578"/>
        <v>0</v>
      </c>
      <c r="AB262" s="7">
        <f t="shared" ca="1" si="578"/>
        <v>0</v>
      </c>
      <c r="AC262" s="7">
        <f t="shared" ca="1" si="578"/>
        <v>0</v>
      </c>
      <c r="AD262" s="7">
        <f t="shared" ca="1" si="578"/>
        <v>0</v>
      </c>
      <c r="AE262" s="7">
        <f t="shared" ca="1" si="578"/>
        <v>0</v>
      </c>
      <c r="AF262" s="7">
        <f t="shared" ca="1" si="578"/>
        <v>0</v>
      </c>
      <c r="AG262" s="7">
        <f t="shared" ca="1" si="578"/>
        <v>0</v>
      </c>
      <c r="AH262" s="7">
        <f t="shared" ca="1" si="578"/>
        <v>0</v>
      </c>
      <c r="AI262" s="7">
        <f t="shared" ca="1" si="578"/>
        <v>0</v>
      </c>
      <c r="AJ262" s="7">
        <f t="shared" ca="1" si="578"/>
        <v>0</v>
      </c>
      <c r="AK262" s="7">
        <f t="shared" ca="1" si="578"/>
        <v>0</v>
      </c>
      <c r="AL262" s="7">
        <f t="shared" ca="1" si="578"/>
        <v>0</v>
      </c>
      <c r="AM262" s="7">
        <f t="shared" ca="1" si="578"/>
        <v>0</v>
      </c>
    </row>
    <row r="263" spans="1:39" x14ac:dyDescent="0.2">
      <c r="A263" s="3" t="s">
        <v>68</v>
      </c>
      <c r="C263" s="7">
        <f ca="1">C262*Inputs!$B$269</f>
        <v>0</v>
      </c>
      <c r="D263" s="7">
        <f ca="1">D262*Inputs!$B$269</f>
        <v>0</v>
      </c>
      <c r="E263" s="7">
        <f ca="1">E262*Inputs!$B$269</f>
        <v>0</v>
      </c>
      <c r="F263" s="7">
        <f ca="1">F262*Inputs!$B$269</f>
        <v>0</v>
      </c>
      <c r="G263" s="7">
        <f ca="1">G262*Inputs!$B$269</f>
        <v>0</v>
      </c>
      <c r="H263" s="7">
        <f ca="1">H262*Inputs!$B$269</f>
        <v>0</v>
      </c>
      <c r="I263" s="7">
        <f ca="1">I262*Inputs!$B$269</f>
        <v>0</v>
      </c>
      <c r="J263" s="7">
        <f ca="1">J262*Inputs!$B$269</f>
        <v>0</v>
      </c>
      <c r="K263" s="7">
        <f ca="1">K262*Inputs!$B$269</f>
        <v>0</v>
      </c>
      <c r="L263" s="7">
        <f ca="1">L262*Inputs!$B$269</f>
        <v>0</v>
      </c>
      <c r="M263" s="7">
        <f ca="1">M262*Inputs!$B$269</f>
        <v>0</v>
      </c>
      <c r="N263" s="7">
        <f ca="1">N262*Inputs!$B$269</f>
        <v>0</v>
      </c>
      <c r="O263" s="7">
        <f ca="1">O262*Inputs!$B$269</f>
        <v>0</v>
      </c>
      <c r="P263" s="7">
        <f ca="1">P262*Inputs!$B$269</f>
        <v>0</v>
      </c>
      <c r="Q263" s="7">
        <f ca="1">Q262*Inputs!$B$269</f>
        <v>0</v>
      </c>
      <c r="R263" s="7">
        <f ca="1">R262*Inputs!$B$269</f>
        <v>0</v>
      </c>
      <c r="S263" s="7">
        <f ca="1">S262*Inputs!$B$269</f>
        <v>0</v>
      </c>
      <c r="T263" s="7">
        <f ca="1">T262*Inputs!$B$269</f>
        <v>0</v>
      </c>
      <c r="U263" s="7">
        <f ca="1">U262*Inputs!$B$269</f>
        <v>0</v>
      </c>
      <c r="V263" s="7">
        <f ca="1">V262*Inputs!$B$269</f>
        <v>0</v>
      </c>
      <c r="W263" s="7">
        <f ca="1">W262*Inputs!$B$269</f>
        <v>0</v>
      </c>
      <c r="X263" s="7">
        <f ca="1">X262*Inputs!$B$269</f>
        <v>0</v>
      </c>
      <c r="Y263" s="7">
        <f ca="1">Y262*Inputs!$B$269</f>
        <v>0</v>
      </c>
      <c r="Z263" s="7">
        <f ca="1">Z262*Inputs!$B$269</f>
        <v>0</v>
      </c>
      <c r="AA263" s="7">
        <f ca="1">AA262*Inputs!$B$269</f>
        <v>0</v>
      </c>
      <c r="AB263" s="7">
        <f ca="1">AB262*Inputs!$B$269</f>
        <v>0</v>
      </c>
      <c r="AC263" s="7">
        <f ca="1">AC262*Inputs!$B$269</f>
        <v>0</v>
      </c>
      <c r="AD263" s="7">
        <f ca="1">AD262*Inputs!$B$269</f>
        <v>0</v>
      </c>
      <c r="AE263" s="7">
        <f ca="1">AE262*Inputs!$B$269</f>
        <v>0</v>
      </c>
      <c r="AF263" s="7">
        <f ca="1">AF262*Inputs!$B$269</f>
        <v>0</v>
      </c>
      <c r="AG263" s="7">
        <f ca="1">AG262*Inputs!$B$269</f>
        <v>0</v>
      </c>
      <c r="AH263" s="7">
        <f ca="1">AH262*Inputs!$B$269</f>
        <v>0</v>
      </c>
      <c r="AI263" s="7">
        <f ca="1">AI262*Inputs!$B$269</f>
        <v>0</v>
      </c>
      <c r="AJ263" s="7">
        <f ca="1">AJ262*Inputs!$B$269</f>
        <v>0</v>
      </c>
      <c r="AK263" s="7">
        <f ca="1">AK262*Inputs!$B$269</f>
        <v>0</v>
      </c>
      <c r="AL263" s="7">
        <f ca="1">AL262*Inputs!$B$269</f>
        <v>0</v>
      </c>
      <c r="AM263" s="7">
        <f ca="1">AM262*Inputs!$B$269</f>
        <v>0</v>
      </c>
    </row>
    <row r="264" spans="1:39" x14ac:dyDescent="0.2">
      <c r="A264" s="3" t="s">
        <v>149</v>
      </c>
      <c r="C264" s="7">
        <f ca="1">C261+SUM($C263:C263)</f>
        <v>16108.4375</v>
      </c>
      <c r="D264" s="7">
        <f ca="1">D261+SUM($C263:D263)</f>
        <v>30012.145312499997</v>
      </c>
      <c r="E264" s="7">
        <f ca="1">E261+SUM($C263:E263)</f>
        <v>50169.6494140625</v>
      </c>
      <c r="F264" s="7">
        <f ca="1">F261+SUM($C263:F263)</f>
        <v>52227.783801841113</v>
      </c>
      <c r="G264" s="7">
        <f ca="1">G261+SUM($C263:G263)</f>
        <v>250455.15989583102</v>
      </c>
      <c r="H264" s="7">
        <f ca="1">H261+SUM($C263:H263)</f>
        <v>296986.84009098983</v>
      </c>
      <c r="I264" s="7">
        <f ca="1">I261+SUM($C263:I263)</f>
        <v>363754.64435619779</v>
      </c>
      <c r="J264" s="7">
        <f ca="1">J261+SUM($C263:J263)</f>
        <v>435067.93012454931</v>
      </c>
      <c r="K264" s="7">
        <f ca="1">K261+SUM($C263:K263)</f>
        <v>493116.96835998015</v>
      </c>
      <c r="L264" s="7">
        <f ca="1">L261+SUM($C263:L263)</f>
        <v>638212.2751736166</v>
      </c>
      <c r="M264" s="7">
        <f ca="1">M261+SUM($C263:M263)</f>
        <v>695163.71186735749</v>
      </c>
      <c r="N264" s="7">
        <f ca="1">N261+SUM($C263:N263)</f>
        <v>805771.16934020713</v>
      </c>
      <c r="O264" s="7">
        <f ca="1">O261+SUM($C263:O263)</f>
        <v>922222.00124800857</v>
      </c>
      <c r="P264" s="7">
        <f ca="1">P261+SUM($C263:P263)</f>
        <v>1044762.6085180258</v>
      </c>
      <c r="Q264" s="7">
        <f ca="1">Q261+SUM($C263:Q263)</f>
        <v>1173648.7608708572</v>
      </c>
      <c r="R264" s="7">
        <f ca="1">R261+SUM($C263:R263)</f>
        <v>1309145.9322852024</v>
      </c>
      <c r="S264" s="7">
        <f ca="1">S261+SUM($C263:S263)</f>
        <v>1451529.6480111426</v>
      </c>
      <c r="T264" s="7">
        <f ca="1">T261+SUM($C263:T263)</f>
        <v>1491855.4011356728</v>
      </c>
      <c r="U264" s="7">
        <f ca="1">U261+SUM($C263:U263)</f>
        <v>1541415.1978627439</v>
      </c>
      <c r="V264" s="7">
        <f ca="1">V261+SUM($C263:V263)</f>
        <v>1592757.5777099284</v>
      </c>
      <c r="W264" s="7">
        <f ca="1">W261+SUM($C263:W263)</f>
        <v>1645948.7425475621</v>
      </c>
      <c r="X264" s="7">
        <f ca="1">X261+SUM($C263:X263)</f>
        <v>1701057.3316526653</v>
      </c>
      <c r="Y264" s="7">
        <f ca="1">Y261+SUM($C263:Y263)</f>
        <v>1737237.4169653396</v>
      </c>
      <c r="Z264" s="7">
        <f ca="1">Z261+SUM($C263:Z263)</f>
        <v>1774434.0167242812</v>
      </c>
      <c r="AA264" s="7">
        <f ca="1">AA261+SUM($C263:AA263)</f>
        <v>1812684.4017288706</v>
      </c>
      <c r="AB264" s="7">
        <f ca="1">AB261+SUM($C263:AB263)</f>
        <v>1852027.3427258399</v>
      </c>
      <c r="AC264" s="7">
        <f ca="1">AC261+SUM($C263:AC263)</f>
        <v>1892503.1702642585</v>
      </c>
      <c r="AD264" s="7">
        <f ca="1">AD261+SUM($C263:AD263)</f>
        <v>1934153.8368503558</v>
      </c>
      <c r="AE264" s="7">
        <f ca="1">AE261+SUM($C263:AE263)</f>
        <v>1987130.2375195618</v>
      </c>
      <c r="AF264" s="7">
        <f ca="1">AF261+SUM($C263:AF263)</f>
        <v>2041875.8715530399</v>
      </c>
      <c r="AG264" s="7">
        <f ca="1">AG261+SUM($C263:AG263)</f>
        <v>2098456.905652951</v>
      </c>
      <c r="AH264" s="7">
        <f ca="1">AH261+SUM($C263:AH263)</f>
        <v>2156942.0335442415</v>
      </c>
      <c r="AI264" s="7">
        <f ca="1">AI261+SUM($C263:AI263)</f>
        <v>2217402.5707053514</v>
      </c>
      <c r="AJ264" s="7">
        <f ca="1">AJ261+SUM($C263:AJ263)</f>
        <v>2279912.5525480784</v>
      </c>
      <c r="AK264" s="7">
        <f ca="1">AK261+SUM($C263:AK263)</f>
        <v>2344548.8361686133</v>
      </c>
      <c r="AL264" s="7">
        <f ca="1">AL261+SUM($C263:AL263)</f>
        <v>2411391.2057959661</v>
      </c>
      <c r="AM264" s="7">
        <f ca="1">AM261+SUM($C263:AM263)</f>
        <v>2480522.4820683482</v>
      </c>
    </row>
    <row r="265" spans="1:39" x14ac:dyDescent="0.2">
      <c r="A265" s="3" t="s">
        <v>19</v>
      </c>
      <c r="C265" s="7">
        <f ca="1">IF(C264&lt;0,-C264,0)</f>
        <v>0</v>
      </c>
      <c r="D265" s="7">
        <f ca="1">IF(D264+SUM($C265:C265)&lt;0,-(D264+SUM($C265:C265)),0)</f>
        <v>0</v>
      </c>
      <c r="E265" s="7">
        <f ca="1">IF(E264+SUM($C265:D265)&lt;0,-(E264+SUM($C265:D265)),0)</f>
        <v>0</v>
      </c>
      <c r="F265" s="7">
        <f ca="1">IF(F264+SUM($C265:E265)&lt;0,-(F264+SUM($C265:E265)),0)</f>
        <v>0</v>
      </c>
      <c r="G265" s="7">
        <f ca="1">IF(G264+SUM($C265:F265)&lt;0,-(G264+SUM($C265:F265)),0)</f>
        <v>0</v>
      </c>
      <c r="H265" s="7">
        <f ca="1">IF(H264+SUM($C265:G265)&lt;0,-(H264+SUM($C265:G265)),0)</f>
        <v>0</v>
      </c>
      <c r="I265" s="7">
        <f ca="1">IF(I264+SUM($C265:H265)&lt;0,-(I264+SUM($C265:H265)),0)</f>
        <v>0</v>
      </c>
      <c r="J265" s="7">
        <f ca="1">IF(J264+SUM($C265:I265)&lt;0,-(J264+SUM($C265:I265)),0)</f>
        <v>0</v>
      </c>
      <c r="K265" s="7">
        <f ca="1">IF(K264+SUM($C265:J265)&lt;0,-(K264+SUM($C265:J265)),0)</f>
        <v>0</v>
      </c>
      <c r="L265" s="7">
        <f ca="1">IF(L264+SUM($C265:K265)&lt;0,-(L264+SUM($C265:K265)),0)</f>
        <v>0</v>
      </c>
      <c r="M265" s="7">
        <f ca="1">IF(M264+SUM($C265:L265)&lt;0,-(M264+SUM($C265:L265)),0)</f>
        <v>0</v>
      </c>
      <c r="N265" s="7">
        <f ca="1">IF(N264+SUM($C265:M265)&lt;0,-(N264+SUM($C265:M265)),0)</f>
        <v>0</v>
      </c>
      <c r="O265" s="7">
        <f ca="1">IF(O264+SUM($C265:N265)&lt;0,-(O264+SUM($C265:N265)),0)</f>
        <v>0</v>
      </c>
      <c r="P265" s="7">
        <f ca="1">IF(P264+SUM($C265:O265)&lt;0,-(P264+SUM($C265:O265)),0)</f>
        <v>0</v>
      </c>
      <c r="Q265" s="7">
        <f ca="1">IF(Q264+SUM($C265:P265)&lt;0,-(Q264+SUM($C265:P265)),0)</f>
        <v>0</v>
      </c>
      <c r="R265" s="7">
        <f ca="1">IF(R264+SUM($C265:Q265)&lt;0,-(R264+SUM($C265:Q265)),0)</f>
        <v>0</v>
      </c>
      <c r="S265" s="7">
        <f ca="1">IF(S264+SUM($C265:R265)&lt;0,-(S264+SUM($C265:R265)),0)</f>
        <v>0</v>
      </c>
      <c r="T265" s="7">
        <f ca="1">IF(T264+SUM($C265:S265)&lt;0,-(T264+SUM($C265:S265)),0)</f>
        <v>0</v>
      </c>
      <c r="U265" s="7">
        <f ca="1">IF(U264+SUM($C265:T265)&lt;0,-(U264+SUM($C265:T265)),0)</f>
        <v>0</v>
      </c>
      <c r="V265" s="7">
        <f ca="1">IF(V264+SUM($C265:U265)&lt;0,-(V264+SUM($C265:U265)),0)</f>
        <v>0</v>
      </c>
      <c r="W265" s="7">
        <f ca="1">IF(W264+SUM($C265:V265)&lt;0,-(W264+SUM($C265:V265)),0)</f>
        <v>0</v>
      </c>
      <c r="X265" s="7">
        <f ca="1">IF(X264+SUM($C265:W265)&lt;0,-(X264+SUM($C265:W265)),0)</f>
        <v>0</v>
      </c>
      <c r="Y265" s="7">
        <f ca="1">IF(Y264+SUM($C265:X265)&lt;0,-(Y264+SUM($C265:X265)),0)</f>
        <v>0</v>
      </c>
      <c r="Z265" s="7">
        <f ca="1">IF(Z264+SUM($C265:Y265)&lt;0,-(Z264+SUM($C265:Y265)),0)</f>
        <v>0</v>
      </c>
      <c r="AA265" s="7">
        <f ca="1">IF(AA264+SUM($C265:Z265)&lt;0,-(AA264+SUM($C265:Z265)),0)</f>
        <v>0</v>
      </c>
      <c r="AB265" s="7">
        <f ca="1">IF(AB264+SUM($C265:AA265)&lt;0,-(AB264+SUM($C265:AA265)),0)</f>
        <v>0</v>
      </c>
      <c r="AC265" s="7">
        <f ca="1">IF(AC264+SUM($C265:AB265)&lt;0,-(AC264+SUM($C265:AB265)),0)</f>
        <v>0</v>
      </c>
      <c r="AD265" s="7">
        <f ca="1">IF(AD264+SUM($C265:AC265)&lt;0,-(AD264+SUM($C265:AC265)),0)</f>
        <v>0</v>
      </c>
      <c r="AE265" s="7">
        <f ca="1">IF(AE264+SUM($C265:AD265)&lt;0,-(AE264+SUM($C265:AD265)),0)</f>
        <v>0</v>
      </c>
      <c r="AF265" s="7">
        <f ca="1">IF(AF264+SUM($C265:AE265)&lt;0,-(AF264+SUM($C265:AE265)),0)</f>
        <v>0</v>
      </c>
      <c r="AG265" s="7">
        <f ca="1">IF(AG264+SUM($C265:AF265)&lt;0,-(AG264+SUM($C265:AF265)),0)</f>
        <v>0</v>
      </c>
      <c r="AH265" s="7">
        <f ca="1">IF(AH264+SUM($C265:AG265)&lt;0,-(AH264+SUM($C265:AG265)),0)</f>
        <v>0</v>
      </c>
      <c r="AI265" s="7">
        <f ca="1">IF(AI264+SUM($C265:AH265)&lt;0,-(AI264+SUM($C265:AH265)),0)</f>
        <v>0</v>
      </c>
      <c r="AJ265" s="7">
        <f ca="1">IF(AJ264+SUM($C265:AI265)&lt;0,-(AJ264+SUM($C265:AI265)),0)</f>
        <v>0</v>
      </c>
      <c r="AK265" s="7">
        <f ca="1">IF(AK264+SUM($C265:AJ265)&lt;0,-(AK264+SUM($C265:AJ265)),0)</f>
        <v>0</v>
      </c>
      <c r="AL265" s="7">
        <f ca="1">IF(AL264+SUM($C265:AK265)&lt;0,-(AL264+SUM($C265:AK265)),0)</f>
        <v>0</v>
      </c>
      <c r="AM265" s="7">
        <f ca="1">IF(AM264+SUM($C265:AL265)&lt;0,-(AM264+SUM($C265:AL265)),0)</f>
        <v>0</v>
      </c>
    </row>
    <row r="266" spans="1:39" x14ac:dyDescent="0.2"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</row>
    <row r="267" spans="1:39" x14ac:dyDescent="0.2">
      <c r="A267" s="24" t="str">
        <f>IF(Inputs!$B$289=6,IFERROR(_xlfn.XLOOKUP($B267,Inputs!$B$290:$B$299,Inputs!$A$290:$A$299,,0,1),""),IFERROR(_xlfn.XLOOKUP($B267,Inputs!$C$290:$C$299,Inputs!$A$290:$A$299,,0,1),""))</f>
        <v>Sliema</v>
      </c>
      <c r="B267" s="26">
        <v>10</v>
      </c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</row>
    <row r="268" spans="1:39" x14ac:dyDescent="0.2">
      <c r="A268" s="3" t="s">
        <v>21</v>
      </c>
      <c r="C268" s="7">
        <f ca="1">IFERROR(VLOOKUP($A267,$A$67:$H$96,C$1+2,FALSE),0)</f>
        <v>306724.99866884813</v>
      </c>
      <c r="D268" s="7">
        <f ca="1">C271</f>
        <v>306724.99866884813</v>
      </c>
      <c r="E268" s="7">
        <f t="shared" ref="E268:AM268" ca="1" si="579">D271</f>
        <v>315926.7486289136</v>
      </c>
      <c r="F268" s="7">
        <f t="shared" ca="1" si="579"/>
        <v>325404.55108778103</v>
      </c>
      <c r="G268" s="7">
        <f t="shared" ca="1" si="579"/>
        <v>335166.68762041448</v>
      </c>
      <c r="H268" s="7">
        <f t="shared" ca="1" si="579"/>
        <v>345221.68824902689</v>
      </c>
      <c r="I268" s="7">
        <f t="shared" ca="1" si="579"/>
        <v>355578.33889649768</v>
      </c>
      <c r="J268" s="7">
        <f t="shared" ca="1" si="579"/>
        <v>366245.68906339258</v>
      </c>
      <c r="K268" s="7">
        <f t="shared" ca="1" si="579"/>
        <v>377233.05973529437</v>
      </c>
      <c r="L268" s="7">
        <f t="shared" ca="1" si="579"/>
        <v>388550.05152735318</v>
      </c>
      <c r="M268" s="7">
        <f t="shared" ca="1" si="579"/>
        <v>400206.5530731738</v>
      </c>
      <c r="N268" s="7">
        <f t="shared" ca="1" si="579"/>
        <v>412212.74966536899</v>
      </c>
      <c r="O268" s="7">
        <f t="shared" ca="1" si="579"/>
        <v>424579.13215533004</v>
      </c>
      <c r="P268" s="7">
        <f t="shared" ca="1" si="579"/>
        <v>437316.50611998996</v>
      </c>
      <c r="Q268" s="7">
        <f t="shared" ca="1" si="579"/>
        <v>450436.00130358967</v>
      </c>
      <c r="R268" s="7">
        <f t="shared" ca="1" si="579"/>
        <v>463949.08134269738</v>
      </c>
      <c r="S268" s="7">
        <f t="shared" ca="1" si="579"/>
        <v>477867.55378297827</v>
      </c>
      <c r="T268" s="7">
        <f t="shared" ca="1" si="579"/>
        <v>492203.58039646765</v>
      </c>
      <c r="U268" s="7">
        <f t="shared" ca="1" si="579"/>
        <v>506969.68780836166</v>
      </c>
      <c r="V268" s="7">
        <f t="shared" ca="1" si="579"/>
        <v>522178.7784426125</v>
      </c>
      <c r="W268" s="7">
        <f t="shared" ca="1" si="579"/>
        <v>537844.14179589087</v>
      </c>
      <c r="X268" s="7">
        <f t="shared" ca="1" si="579"/>
        <v>553979.46604976756</v>
      </c>
      <c r="Y268" s="7">
        <f t="shared" ca="1" si="579"/>
        <v>570598.85003126063</v>
      </c>
      <c r="Z268" s="7">
        <f t="shared" ca="1" si="579"/>
        <v>587716.81553219841</v>
      </c>
      <c r="AA268" s="7">
        <f t="shared" ca="1" si="579"/>
        <v>605348.31999816431</v>
      </c>
      <c r="AB268" s="7">
        <f t="shared" ca="1" si="579"/>
        <v>623508.76959810918</v>
      </c>
      <c r="AC268" s="7">
        <f t="shared" ca="1" si="579"/>
        <v>642214.03268605249</v>
      </c>
      <c r="AD268" s="7">
        <f t="shared" ca="1" si="579"/>
        <v>661480.45366663404</v>
      </c>
      <c r="AE268" s="7">
        <f t="shared" ca="1" si="579"/>
        <v>681324.86727663304</v>
      </c>
      <c r="AF268" s="7">
        <f t="shared" ca="1" si="579"/>
        <v>701764.61329493206</v>
      </c>
      <c r="AG268" s="7">
        <f t="shared" ca="1" si="579"/>
        <v>722817.55169378</v>
      </c>
      <c r="AH268" s="7">
        <f t="shared" ca="1" si="579"/>
        <v>744502.07824459334</v>
      </c>
      <c r="AI268" s="7">
        <f t="shared" ca="1" si="579"/>
        <v>766837.14059193118</v>
      </c>
      <c r="AJ268" s="7">
        <f t="shared" ca="1" si="579"/>
        <v>789842.25480968913</v>
      </c>
      <c r="AK268" s="7">
        <f t="shared" ca="1" si="579"/>
        <v>813537.52245397982</v>
      </c>
      <c r="AL268" s="7">
        <f t="shared" ca="1" si="579"/>
        <v>837943.64812759927</v>
      </c>
      <c r="AM268" s="7">
        <f t="shared" ca="1" si="579"/>
        <v>863081.95757142722</v>
      </c>
    </row>
    <row r="269" spans="1:39" x14ac:dyDescent="0.2">
      <c r="A269" s="3" t="s">
        <v>22</v>
      </c>
      <c r="C269" s="7">
        <f ca="1">-IF(D265&gt;0,C268,0)</f>
        <v>0</v>
      </c>
      <c r="D269" s="7">
        <f ca="1">-IF(E265&gt;0,D268,0)</f>
        <v>0</v>
      </c>
      <c r="E269" s="7">
        <f ca="1">-IF(F265&gt;0,E268,0)</f>
        <v>0</v>
      </c>
      <c r="F269" s="7">
        <f ca="1">-IF(G265&gt;0,F268,0)</f>
        <v>0</v>
      </c>
      <c r="G269" s="7">
        <f t="shared" ref="G269" ca="1" si="580">-IF(H265&gt;0,G268,0)</f>
        <v>0</v>
      </c>
      <c r="H269" s="7">
        <f t="shared" ref="H269" ca="1" si="581">-IF(I265&gt;0,H268,0)</f>
        <v>0</v>
      </c>
      <c r="I269" s="7">
        <f t="shared" ref="I269" ca="1" si="582">-IF(J265&gt;0,I268,0)</f>
        <v>0</v>
      </c>
      <c r="J269" s="7">
        <f t="shared" ref="J269" ca="1" si="583">-IF(K265&gt;0,J268,0)</f>
        <v>0</v>
      </c>
      <c r="K269" s="7">
        <f t="shared" ref="K269" ca="1" si="584">-IF(L265&gt;0,K268,0)</f>
        <v>0</v>
      </c>
      <c r="L269" s="7">
        <f t="shared" ref="L269" ca="1" si="585">-IF(M265&gt;0,L268,0)</f>
        <v>0</v>
      </c>
      <c r="M269" s="7">
        <f t="shared" ref="M269" ca="1" si="586">-IF(N265&gt;0,M268,0)</f>
        <v>0</v>
      </c>
      <c r="N269" s="7">
        <f t="shared" ref="N269" ca="1" si="587">-IF(O265&gt;0,N268,0)</f>
        <v>0</v>
      </c>
      <c r="O269" s="7">
        <f t="shared" ref="O269" ca="1" si="588">-IF(P265&gt;0,O268,0)</f>
        <v>0</v>
      </c>
      <c r="P269" s="7">
        <f t="shared" ref="P269" ca="1" si="589">-IF(Q265&gt;0,P268,0)</f>
        <v>0</v>
      </c>
      <c r="Q269" s="7">
        <f t="shared" ref="Q269" ca="1" si="590">-IF(R265&gt;0,Q268,0)</f>
        <v>0</v>
      </c>
      <c r="R269" s="7">
        <f t="shared" ref="R269" ca="1" si="591">-IF(S265&gt;0,R268,0)</f>
        <v>0</v>
      </c>
      <c r="S269" s="7">
        <f t="shared" ref="S269" ca="1" si="592">-IF(T265&gt;0,S268,0)</f>
        <v>0</v>
      </c>
      <c r="T269" s="7">
        <f t="shared" ref="T269" ca="1" si="593">-IF(U265&gt;0,T268,0)</f>
        <v>0</v>
      </c>
      <c r="U269" s="7">
        <f t="shared" ref="U269" ca="1" si="594">-IF(V265&gt;0,U268,0)</f>
        <v>0</v>
      </c>
      <c r="V269" s="7">
        <f t="shared" ref="V269" ca="1" si="595">-IF(W265&gt;0,V268,0)</f>
        <v>0</v>
      </c>
      <c r="W269" s="7">
        <f t="shared" ref="W269" ca="1" si="596">-IF(X265&gt;0,W268,0)</f>
        <v>0</v>
      </c>
      <c r="X269" s="7">
        <f t="shared" ref="X269" ca="1" si="597">-IF(Y265&gt;0,X268,0)</f>
        <v>0</v>
      </c>
      <c r="Y269" s="7">
        <f t="shared" ref="Y269" ca="1" si="598">-IF(Z265&gt;0,Y268,0)</f>
        <v>0</v>
      </c>
      <c r="Z269" s="7">
        <f t="shared" ref="Z269" ca="1" si="599">-IF(AA265&gt;0,Z268,0)</f>
        <v>0</v>
      </c>
      <c r="AA269" s="7">
        <f t="shared" ref="AA269" ca="1" si="600">-IF(AB265&gt;0,AA268,0)</f>
        <v>0</v>
      </c>
      <c r="AB269" s="7">
        <f t="shared" ref="AB269" ca="1" si="601">-IF(AC265&gt;0,AB268,0)</f>
        <v>0</v>
      </c>
      <c r="AC269" s="7">
        <f t="shared" ref="AC269" ca="1" si="602">-IF(AD265&gt;0,AC268,0)</f>
        <v>0</v>
      </c>
      <c r="AD269" s="7">
        <f t="shared" ref="AD269" ca="1" si="603">-IF(AE265&gt;0,AD268,0)</f>
        <v>0</v>
      </c>
      <c r="AE269" s="7">
        <f t="shared" ref="AE269" ca="1" si="604">-IF(AF265&gt;0,AE268,0)</f>
        <v>0</v>
      </c>
      <c r="AF269" s="7">
        <f t="shared" ref="AF269" ca="1" si="605">-IF(AG265&gt;0,AF268,0)</f>
        <v>0</v>
      </c>
      <c r="AG269" s="7">
        <f t="shared" ref="AG269" ca="1" si="606">-IF(AH265&gt;0,AG268,0)</f>
        <v>0</v>
      </c>
      <c r="AH269" s="7">
        <f t="shared" ref="AH269" ca="1" si="607">-IF(AI265&gt;0,AH268,0)</f>
        <v>0</v>
      </c>
      <c r="AI269" s="7">
        <f t="shared" ref="AI269" ca="1" si="608">-IF(AJ265&gt;0,AI268,0)</f>
        <v>0</v>
      </c>
      <c r="AJ269" s="7">
        <f t="shared" ref="AJ269" ca="1" si="609">-IF(AK265&gt;0,AJ268,0)</f>
        <v>0</v>
      </c>
      <c r="AK269" s="7">
        <f t="shared" ref="AK269" ca="1" si="610">-IF(AL265&gt;0,AK268,0)</f>
        <v>0</v>
      </c>
      <c r="AL269" s="7">
        <f t="shared" ref="AL269" ca="1" si="611">-IF(AM265&gt;0,AL268,0)</f>
        <v>0</v>
      </c>
      <c r="AM269" s="7">
        <f t="shared" ref="AM269" si="612">-IF(AN265&gt;0,AM268,0)</f>
        <v>0</v>
      </c>
    </row>
    <row r="270" spans="1:39" x14ac:dyDescent="0.2">
      <c r="A270" s="3" t="s">
        <v>23</v>
      </c>
      <c r="C270" s="7">
        <v>0</v>
      </c>
      <c r="D270" s="7">
        <f t="shared" ref="D270:AM270" ca="1" si="613">SUM(D268:D269)*VLOOKUP($A267,AssVar,2,FALSE)</f>
        <v>9201.7499600654428</v>
      </c>
      <c r="E270" s="7">
        <f t="shared" ca="1" si="613"/>
        <v>9477.802458867407</v>
      </c>
      <c r="F270" s="7">
        <f t="shared" ca="1" si="613"/>
        <v>9762.1365326334308</v>
      </c>
      <c r="G270" s="7">
        <f t="shared" ca="1" si="613"/>
        <v>10055.000628612434</v>
      </c>
      <c r="H270" s="7">
        <f t="shared" ca="1" si="613"/>
        <v>10356.650647470806</v>
      </c>
      <c r="I270" s="7">
        <f t="shared" ca="1" si="613"/>
        <v>10667.35016689493</v>
      </c>
      <c r="J270" s="7">
        <f t="shared" ca="1" si="613"/>
        <v>10987.370671901777</v>
      </c>
      <c r="K270" s="7">
        <f t="shared" ca="1" si="613"/>
        <v>11316.99179205883</v>
      </c>
      <c r="L270" s="7">
        <f t="shared" ca="1" si="613"/>
        <v>11656.501545820594</v>
      </c>
      <c r="M270" s="7">
        <f t="shared" ca="1" si="613"/>
        <v>12006.196592195214</v>
      </c>
      <c r="N270" s="7">
        <f t="shared" ca="1" si="613"/>
        <v>12366.38248996107</v>
      </c>
      <c r="O270" s="7">
        <f t="shared" ca="1" si="613"/>
        <v>12737.373964659901</v>
      </c>
      <c r="P270" s="7">
        <f t="shared" ca="1" si="613"/>
        <v>13119.495183599698</v>
      </c>
      <c r="Q270" s="7">
        <f t="shared" ca="1" si="613"/>
        <v>13513.08003910769</v>
      </c>
      <c r="R270" s="7">
        <f t="shared" ca="1" si="613"/>
        <v>13918.472440280921</v>
      </c>
      <c r="S270" s="7">
        <f t="shared" ca="1" si="613"/>
        <v>14336.026613489348</v>
      </c>
      <c r="T270" s="7">
        <f t="shared" ca="1" si="613"/>
        <v>14766.107411894029</v>
      </c>
      <c r="U270" s="7">
        <f t="shared" ca="1" si="613"/>
        <v>15209.09063425085</v>
      </c>
      <c r="V270" s="7">
        <f t="shared" ca="1" si="613"/>
        <v>15665.363353278375</v>
      </c>
      <c r="W270" s="7">
        <f t="shared" ca="1" si="613"/>
        <v>16135.324253876726</v>
      </c>
      <c r="X270" s="7">
        <f t="shared" ca="1" si="613"/>
        <v>16619.383981493025</v>
      </c>
      <c r="Y270" s="7">
        <f t="shared" ca="1" si="613"/>
        <v>17117.965500937818</v>
      </c>
      <c r="Z270" s="7">
        <f t="shared" ca="1" si="613"/>
        <v>17631.504465965951</v>
      </c>
      <c r="AA270" s="7">
        <f t="shared" ca="1" si="613"/>
        <v>18160.449599944928</v>
      </c>
      <c r="AB270" s="7">
        <f t="shared" ca="1" si="613"/>
        <v>18705.263087943276</v>
      </c>
      <c r="AC270" s="7">
        <f t="shared" ca="1" si="613"/>
        <v>19266.420980581574</v>
      </c>
      <c r="AD270" s="7">
        <f t="shared" ca="1" si="613"/>
        <v>19844.413609999021</v>
      </c>
      <c r="AE270" s="7">
        <f t="shared" ca="1" si="613"/>
        <v>20439.746018298989</v>
      </c>
      <c r="AF270" s="7">
        <f t="shared" ca="1" si="613"/>
        <v>21052.93839884796</v>
      </c>
      <c r="AG270" s="7">
        <f t="shared" ca="1" si="613"/>
        <v>21684.5265508134</v>
      </c>
      <c r="AH270" s="7">
        <f t="shared" ca="1" si="613"/>
        <v>22335.0623473378</v>
      </c>
      <c r="AI270" s="7">
        <f t="shared" ca="1" si="613"/>
        <v>23005.114217757935</v>
      </c>
      <c r="AJ270" s="7">
        <f t="shared" ca="1" si="613"/>
        <v>23695.267644290674</v>
      </c>
      <c r="AK270" s="7">
        <f t="shared" ca="1" si="613"/>
        <v>24406.125673619394</v>
      </c>
      <c r="AL270" s="7">
        <f t="shared" ca="1" si="613"/>
        <v>25138.309443827977</v>
      </c>
      <c r="AM270" s="7">
        <f t="shared" ca="1" si="613"/>
        <v>25892.458727142817</v>
      </c>
    </row>
    <row r="271" spans="1:39" x14ac:dyDescent="0.2">
      <c r="A271" s="3" t="s">
        <v>24</v>
      </c>
      <c r="C271" s="7">
        <f ca="1">SUM(C268:C270)</f>
        <v>306724.99866884813</v>
      </c>
      <c r="D271" s="7">
        <f t="shared" ref="D271:AM271" ca="1" si="614">SUM(D268:D270)</f>
        <v>315926.7486289136</v>
      </c>
      <c r="E271" s="7">
        <f t="shared" ca="1" si="614"/>
        <v>325404.55108778103</v>
      </c>
      <c r="F271" s="7">
        <f t="shared" ca="1" si="614"/>
        <v>335166.68762041448</v>
      </c>
      <c r="G271" s="7">
        <f t="shared" ca="1" si="614"/>
        <v>345221.68824902689</v>
      </c>
      <c r="H271" s="7">
        <f t="shared" ca="1" si="614"/>
        <v>355578.33889649768</v>
      </c>
      <c r="I271" s="7">
        <f t="shared" ca="1" si="614"/>
        <v>366245.68906339258</v>
      </c>
      <c r="J271" s="7">
        <f t="shared" ca="1" si="614"/>
        <v>377233.05973529437</v>
      </c>
      <c r="K271" s="7">
        <f t="shared" ca="1" si="614"/>
        <v>388550.05152735318</v>
      </c>
      <c r="L271" s="7">
        <f t="shared" ca="1" si="614"/>
        <v>400206.5530731738</v>
      </c>
      <c r="M271" s="7">
        <f t="shared" ca="1" si="614"/>
        <v>412212.74966536899</v>
      </c>
      <c r="N271" s="7">
        <f t="shared" ca="1" si="614"/>
        <v>424579.13215533004</v>
      </c>
      <c r="O271" s="7">
        <f t="shared" ca="1" si="614"/>
        <v>437316.50611998996</v>
      </c>
      <c r="P271" s="7">
        <f t="shared" ca="1" si="614"/>
        <v>450436.00130358967</v>
      </c>
      <c r="Q271" s="7">
        <f t="shared" ca="1" si="614"/>
        <v>463949.08134269738</v>
      </c>
      <c r="R271" s="7">
        <f t="shared" ca="1" si="614"/>
        <v>477867.55378297827</v>
      </c>
      <c r="S271" s="7">
        <f t="shared" ca="1" si="614"/>
        <v>492203.58039646765</v>
      </c>
      <c r="T271" s="7">
        <f t="shared" ca="1" si="614"/>
        <v>506969.68780836166</v>
      </c>
      <c r="U271" s="7">
        <f t="shared" ca="1" si="614"/>
        <v>522178.7784426125</v>
      </c>
      <c r="V271" s="7">
        <f t="shared" ca="1" si="614"/>
        <v>537844.14179589087</v>
      </c>
      <c r="W271" s="7">
        <f t="shared" ca="1" si="614"/>
        <v>553979.46604976756</v>
      </c>
      <c r="X271" s="7">
        <f t="shared" ca="1" si="614"/>
        <v>570598.85003126063</v>
      </c>
      <c r="Y271" s="7">
        <f t="shared" ca="1" si="614"/>
        <v>587716.81553219841</v>
      </c>
      <c r="Z271" s="7">
        <f t="shared" ca="1" si="614"/>
        <v>605348.31999816431</v>
      </c>
      <c r="AA271" s="7">
        <f t="shared" ca="1" si="614"/>
        <v>623508.76959810918</v>
      </c>
      <c r="AB271" s="7">
        <f t="shared" ca="1" si="614"/>
        <v>642214.03268605249</v>
      </c>
      <c r="AC271" s="7">
        <f t="shared" ca="1" si="614"/>
        <v>661480.45366663404</v>
      </c>
      <c r="AD271" s="7">
        <f t="shared" ca="1" si="614"/>
        <v>681324.86727663304</v>
      </c>
      <c r="AE271" s="7">
        <f t="shared" ca="1" si="614"/>
        <v>701764.61329493206</v>
      </c>
      <c r="AF271" s="7">
        <f t="shared" ca="1" si="614"/>
        <v>722817.55169378</v>
      </c>
      <c r="AG271" s="7">
        <f t="shared" ca="1" si="614"/>
        <v>744502.07824459334</v>
      </c>
      <c r="AH271" s="7">
        <f t="shared" ca="1" si="614"/>
        <v>766837.14059193118</v>
      </c>
      <c r="AI271" s="7">
        <f t="shared" ca="1" si="614"/>
        <v>789842.25480968913</v>
      </c>
      <c r="AJ271" s="7">
        <f t="shared" ca="1" si="614"/>
        <v>813537.52245397982</v>
      </c>
      <c r="AK271" s="7">
        <f t="shared" ca="1" si="614"/>
        <v>837943.64812759927</v>
      </c>
      <c r="AL271" s="7">
        <f t="shared" ca="1" si="614"/>
        <v>863081.95757142722</v>
      </c>
      <c r="AM271" s="7">
        <f t="shared" ca="1" si="614"/>
        <v>888974.41629856999</v>
      </c>
    </row>
    <row r="272" spans="1:39" x14ac:dyDescent="0.2">
      <c r="A272" s="3" t="s">
        <v>25</v>
      </c>
      <c r="C272" s="7">
        <f t="shared" ref="C272:AM272" ca="1" si="615">C269*VLOOKUP($A267,AssVar,3,FALSE)</f>
        <v>0</v>
      </c>
      <c r="D272" s="7">
        <f t="shared" ca="1" si="615"/>
        <v>0</v>
      </c>
      <c r="E272" s="7">
        <f t="shared" ca="1" si="615"/>
        <v>0</v>
      </c>
      <c r="F272" s="7">
        <f t="shared" ca="1" si="615"/>
        <v>0</v>
      </c>
      <c r="G272" s="7">
        <f t="shared" ca="1" si="615"/>
        <v>0</v>
      </c>
      <c r="H272" s="7">
        <f t="shared" ca="1" si="615"/>
        <v>0</v>
      </c>
      <c r="I272" s="7">
        <f t="shared" ca="1" si="615"/>
        <v>0</v>
      </c>
      <c r="J272" s="7">
        <f t="shared" ca="1" si="615"/>
        <v>0</v>
      </c>
      <c r="K272" s="7">
        <f t="shared" ca="1" si="615"/>
        <v>0</v>
      </c>
      <c r="L272" s="7">
        <f t="shared" ca="1" si="615"/>
        <v>0</v>
      </c>
      <c r="M272" s="7">
        <f t="shared" ca="1" si="615"/>
        <v>0</v>
      </c>
      <c r="N272" s="7">
        <f t="shared" ca="1" si="615"/>
        <v>0</v>
      </c>
      <c r="O272" s="7">
        <f t="shared" ca="1" si="615"/>
        <v>0</v>
      </c>
      <c r="P272" s="7">
        <f t="shared" ca="1" si="615"/>
        <v>0</v>
      </c>
      <c r="Q272" s="7">
        <f t="shared" ca="1" si="615"/>
        <v>0</v>
      </c>
      <c r="R272" s="7">
        <f t="shared" ca="1" si="615"/>
        <v>0</v>
      </c>
      <c r="S272" s="7">
        <f t="shared" ca="1" si="615"/>
        <v>0</v>
      </c>
      <c r="T272" s="7">
        <f t="shared" ca="1" si="615"/>
        <v>0</v>
      </c>
      <c r="U272" s="7">
        <f t="shared" ca="1" si="615"/>
        <v>0</v>
      </c>
      <c r="V272" s="7">
        <f t="shared" ca="1" si="615"/>
        <v>0</v>
      </c>
      <c r="W272" s="7">
        <f t="shared" ca="1" si="615"/>
        <v>0</v>
      </c>
      <c r="X272" s="7">
        <f t="shared" ca="1" si="615"/>
        <v>0</v>
      </c>
      <c r="Y272" s="7">
        <f t="shared" ca="1" si="615"/>
        <v>0</v>
      </c>
      <c r="Z272" s="7">
        <f t="shared" ca="1" si="615"/>
        <v>0</v>
      </c>
      <c r="AA272" s="7">
        <f t="shared" ca="1" si="615"/>
        <v>0</v>
      </c>
      <c r="AB272" s="7">
        <f t="shared" ca="1" si="615"/>
        <v>0</v>
      </c>
      <c r="AC272" s="7">
        <f t="shared" ca="1" si="615"/>
        <v>0</v>
      </c>
      <c r="AD272" s="7">
        <f t="shared" ca="1" si="615"/>
        <v>0</v>
      </c>
      <c r="AE272" s="7">
        <f t="shared" ca="1" si="615"/>
        <v>0</v>
      </c>
      <c r="AF272" s="7">
        <f t="shared" ca="1" si="615"/>
        <v>0</v>
      </c>
      <c r="AG272" s="7">
        <f t="shared" ca="1" si="615"/>
        <v>0</v>
      </c>
      <c r="AH272" s="7">
        <f t="shared" ca="1" si="615"/>
        <v>0</v>
      </c>
      <c r="AI272" s="7">
        <f t="shared" ca="1" si="615"/>
        <v>0</v>
      </c>
      <c r="AJ272" s="7">
        <f t="shared" ca="1" si="615"/>
        <v>0</v>
      </c>
      <c r="AK272" s="7">
        <f t="shared" ca="1" si="615"/>
        <v>0</v>
      </c>
      <c r="AL272" s="7">
        <f t="shared" ca="1" si="615"/>
        <v>0</v>
      </c>
      <c r="AM272" s="7">
        <f t="shared" si="615"/>
        <v>0</v>
      </c>
    </row>
    <row r="273" spans="1:39" x14ac:dyDescent="0.2">
      <c r="A273" s="3" t="s">
        <v>30</v>
      </c>
      <c r="C273" s="7">
        <f t="shared" ref="C273:AM273" ca="1" si="616">IFERROR(-IF(C268=0,VLOOKUP($A267,$8:$12,C$1+2,FALSE),0),0)</f>
        <v>0</v>
      </c>
      <c r="D273" s="7">
        <f t="shared" ca="1" si="616"/>
        <v>0</v>
      </c>
      <c r="E273" s="7">
        <f t="shared" ca="1" si="616"/>
        <v>0</v>
      </c>
      <c r="F273" s="7">
        <f t="shared" ca="1" si="616"/>
        <v>0</v>
      </c>
      <c r="G273" s="7">
        <f t="shared" ca="1" si="616"/>
        <v>0</v>
      </c>
      <c r="H273" s="7">
        <f t="shared" ca="1" si="616"/>
        <v>0</v>
      </c>
      <c r="I273" s="7">
        <f t="shared" ca="1" si="616"/>
        <v>0</v>
      </c>
      <c r="J273" s="7">
        <f t="shared" ca="1" si="616"/>
        <v>0</v>
      </c>
      <c r="K273" s="7">
        <f t="shared" ca="1" si="616"/>
        <v>0</v>
      </c>
      <c r="L273" s="7">
        <f t="shared" ca="1" si="616"/>
        <v>0</v>
      </c>
      <c r="M273" s="7">
        <f t="shared" ca="1" si="616"/>
        <v>0</v>
      </c>
      <c r="N273" s="7">
        <f t="shared" ca="1" si="616"/>
        <v>0</v>
      </c>
      <c r="O273" s="7">
        <f t="shared" ca="1" si="616"/>
        <v>0</v>
      </c>
      <c r="P273" s="7">
        <f t="shared" ca="1" si="616"/>
        <v>0</v>
      </c>
      <c r="Q273" s="7">
        <f t="shared" ca="1" si="616"/>
        <v>0</v>
      </c>
      <c r="R273" s="7">
        <f t="shared" ca="1" si="616"/>
        <v>0</v>
      </c>
      <c r="S273" s="7">
        <f t="shared" ca="1" si="616"/>
        <v>0</v>
      </c>
      <c r="T273" s="7">
        <f t="shared" ca="1" si="616"/>
        <v>0</v>
      </c>
      <c r="U273" s="7">
        <f t="shared" ca="1" si="616"/>
        <v>0</v>
      </c>
      <c r="V273" s="7">
        <f t="shared" ca="1" si="616"/>
        <v>0</v>
      </c>
      <c r="W273" s="7">
        <f t="shared" ca="1" si="616"/>
        <v>0</v>
      </c>
      <c r="X273" s="7">
        <f t="shared" ca="1" si="616"/>
        <v>0</v>
      </c>
      <c r="Y273" s="7">
        <f t="shared" ca="1" si="616"/>
        <v>0</v>
      </c>
      <c r="Z273" s="7">
        <f t="shared" ca="1" si="616"/>
        <v>0</v>
      </c>
      <c r="AA273" s="7">
        <f t="shared" ca="1" si="616"/>
        <v>0</v>
      </c>
      <c r="AB273" s="7">
        <f t="shared" ca="1" si="616"/>
        <v>0</v>
      </c>
      <c r="AC273" s="7">
        <f t="shared" ca="1" si="616"/>
        <v>0</v>
      </c>
      <c r="AD273" s="7">
        <f t="shared" ca="1" si="616"/>
        <v>0</v>
      </c>
      <c r="AE273" s="7">
        <f t="shared" ca="1" si="616"/>
        <v>0</v>
      </c>
      <c r="AF273" s="7">
        <f t="shared" ca="1" si="616"/>
        <v>0</v>
      </c>
      <c r="AG273" s="7">
        <f t="shared" ca="1" si="616"/>
        <v>0</v>
      </c>
      <c r="AH273" s="7">
        <f t="shared" ca="1" si="616"/>
        <v>0</v>
      </c>
      <c r="AI273" s="7">
        <f t="shared" ca="1" si="616"/>
        <v>0</v>
      </c>
      <c r="AJ273" s="7">
        <f t="shared" ca="1" si="616"/>
        <v>0</v>
      </c>
      <c r="AK273" s="7">
        <f t="shared" ca="1" si="616"/>
        <v>0</v>
      </c>
      <c r="AL273" s="7">
        <f t="shared" ca="1" si="616"/>
        <v>0</v>
      </c>
      <c r="AM273" s="7">
        <f t="shared" ca="1" si="616"/>
        <v>0</v>
      </c>
    </row>
    <row r="274" spans="1:39" x14ac:dyDescent="0.2">
      <c r="A274" s="3" t="s">
        <v>49</v>
      </c>
      <c r="C274" s="7">
        <f t="shared" ref="C274:AM274" ca="1" si="617">IFERROR(IF(C268=0,VLOOKUP($A267,$46:$50,C$1+2,FALSE),0),0)</f>
        <v>0</v>
      </c>
      <c r="D274" s="7">
        <f t="shared" ca="1" si="617"/>
        <v>0</v>
      </c>
      <c r="E274" s="7">
        <f t="shared" ca="1" si="617"/>
        <v>0</v>
      </c>
      <c r="F274" s="7">
        <f t="shared" ca="1" si="617"/>
        <v>0</v>
      </c>
      <c r="G274" s="7">
        <f t="shared" ca="1" si="617"/>
        <v>0</v>
      </c>
      <c r="H274" s="7">
        <f t="shared" ca="1" si="617"/>
        <v>0</v>
      </c>
      <c r="I274" s="7">
        <f t="shared" ca="1" si="617"/>
        <v>0</v>
      </c>
      <c r="J274" s="7">
        <f t="shared" ca="1" si="617"/>
        <v>0</v>
      </c>
      <c r="K274" s="7">
        <f t="shared" ca="1" si="617"/>
        <v>0</v>
      </c>
      <c r="L274" s="7">
        <f t="shared" ca="1" si="617"/>
        <v>0</v>
      </c>
      <c r="M274" s="7">
        <f t="shared" ca="1" si="617"/>
        <v>0</v>
      </c>
      <c r="N274" s="7">
        <f t="shared" ca="1" si="617"/>
        <v>0</v>
      </c>
      <c r="O274" s="7">
        <f t="shared" ca="1" si="617"/>
        <v>0</v>
      </c>
      <c r="P274" s="7">
        <f t="shared" ca="1" si="617"/>
        <v>0</v>
      </c>
      <c r="Q274" s="7">
        <f t="shared" ca="1" si="617"/>
        <v>0</v>
      </c>
      <c r="R274" s="7">
        <f t="shared" ca="1" si="617"/>
        <v>0</v>
      </c>
      <c r="S274" s="7">
        <f t="shared" ca="1" si="617"/>
        <v>0</v>
      </c>
      <c r="T274" s="7">
        <f t="shared" ca="1" si="617"/>
        <v>0</v>
      </c>
      <c r="U274" s="7">
        <f t="shared" ca="1" si="617"/>
        <v>0</v>
      </c>
      <c r="V274" s="7">
        <f t="shared" ca="1" si="617"/>
        <v>0</v>
      </c>
      <c r="W274" s="7">
        <f t="shared" ca="1" si="617"/>
        <v>0</v>
      </c>
      <c r="X274" s="7">
        <f t="shared" ca="1" si="617"/>
        <v>0</v>
      </c>
      <c r="Y274" s="7">
        <f t="shared" ca="1" si="617"/>
        <v>0</v>
      </c>
      <c r="Z274" s="7">
        <f t="shared" ca="1" si="617"/>
        <v>0</v>
      </c>
      <c r="AA274" s="7">
        <f t="shared" ca="1" si="617"/>
        <v>0</v>
      </c>
      <c r="AB274" s="7">
        <f t="shared" ca="1" si="617"/>
        <v>0</v>
      </c>
      <c r="AC274" s="7">
        <f t="shared" ca="1" si="617"/>
        <v>0</v>
      </c>
      <c r="AD274" s="7">
        <f t="shared" ca="1" si="617"/>
        <v>0</v>
      </c>
      <c r="AE274" s="7">
        <f t="shared" ca="1" si="617"/>
        <v>0</v>
      </c>
      <c r="AF274" s="7">
        <f t="shared" ca="1" si="617"/>
        <v>0</v>
      </c>
      <c r="AG274" s="7">
        <f t="shared" ca="1" si="617"/>
        <v>0</v>
      </c>
      <c r="AH274" s="7">
        <f t="shared" ca="1" si="617"/>
        <v>0</v>
      </c>
      <c r="AI274" s="7">
        <f t="shared" ca="1" si="617"/>
        <v>0</v>
      </c>
      <c r="AJ274" s="7">
        <f t="shared" ca="1" si="617"/>
        <v>0</v>
      </c>
      <c r="AK274" s="7">
        <f t="shared" ca="1" si="617"/>
        <v>0</v>
      </c>
      <c r="AL274" s="7">
        <f t="shared" ca="1" si="617"/>
        <v>0</v>
      </c>
      <c r="AM274" s="7">
        <f t="shared" ca="1" si="617"/>
        <v>0</v>
      </c>
    </row>
    <row r="275" spans="1:39" x14ac:dyDescent="0.2">
      <c r="A275" s="3" t="s">
        <v>35</v>
      </c>
      <c r="B275" s="14" t="str">
        <f>A267</f>
        <v>Sliema</v>
      </c>
      <c r="C275" s="7">
        <f t="shared" ref="C275:AM275" ca="1" si="618">IF(AND(C268&gt;0,C271=0),VLOOKUP($A267,$85:$94,C$1+2,FALSE),0)</f>
        <v>0</v>
      </c>
      <c r="D275" s="7">
        <f t="shared" ca="1" si="618"/>
        <v>0</v>
      </c>
      <c r="E275" s="7">
        <f t="shared" ca="1" si="618"/>
        <v>0</v>
      </c>
      <c r="F275" s="7">
        <f t="shared" ca="1" si="618"/>
        <v>0</v>
      </c>
      <c r="G275" s="7">
        <f t="shared" ca="1" si="618"/>
        <v>0</v>
      </c>
      <c r="H275" s="7">
        <f t="shared" ca="1" si="618"/>
        <v>0</v>
      </c>
      <c r="I275" s="7">
        <f t="shared" ca="1" si="618"/>
        <v>0</v>
      </c>
      <c r="J275" s="7">
        <f t="shared" ca="1" si="618"/>
        <v>0</v>
      </c>
      <c r="K275" s="7">
        <f t="shared" ca="1" si="618"/>
        <v>0</v>
      </c>
      <c r="L275" s="7">
        <f t="shared" ca="1" si="618"/>
        <v>0</v>
      </c>
      <c r="M275" s="7">
        <f t="shared" ca="1" si="618"/>
        <v>0</v>
      </c>
      <c r="N275" s="7">
        <f t="shared" ca="1" si="618"/>
        <v>0</v>
      </c>
      <c r="O275" s="7">
        <f t="shared" ca="1" si="618"/>
        <v>0</v>
      </c>
      <c r="P275" s="7">
        <f t="shared" ca="1" si="618"/>
        <v>0</v>
      </c>
      <c r="Q275" s="7">
        <f t="shared" ca="1" si="618"/>
        <v>0</v>
      </c>
      <c r="R275" s="7">
        <f t="shared" ca="1" si="618"/>
        <v>0</v>
      </c>
      <c r="S275" s="7">
        <f t="shared" ca="1" si="618"/>
        <v>0</v>
      </c>
      <c r="T275" s="7">
        <f t="shared" ca="1" si="618"/>
        <v>0</v>
      </c>
      <c r="U275" s="7">
        <f t="shared" ca="1" si="618"/>
        <v>0</v>
      </c>
      <c r="V275" s="7">
        <f t="shared" ca="1" si="618"/>
        <v>0</v>
      </c>
      <c r="W275" s="7">
        <f t="shared" ca="1" si="618"/>
        <v>0</v>
      </c>
      <c r="X275" s="7">
        <f t="shared" ca="1" si="618"/>
        <v>0</v>
      </c>
      <c r="Y275" s="7">
        <f t="shared" ca="1" si="618"/>
        <v>0</v>
      </c>
      <c r="Z275" s="7">
        <f t="shared" ca="1" si="618"/>
        <v>0</v>
      </c>
      <c r="AA275" s="7">
        <f t="shared" ca="1" si="618"/>
        <v>0</v>
      </c>
      <c r="AB275" s="7">
        <f t="shared" ca="1" si="618"/>
        <v>0</v>
      </c>
      <c r="AC275" s="7">
        <f t="shared" ca="1" si="618"/>
        <v>0</v>
      </c>
      <c r="AD275" s="7">
        <f t="shared" ca="1" si="618"/>
        <v>0</v>
      </c>
      <c r="AE275" s="7">
        <f t="shared" ca="1" si="618"/>
        <v>0</v>
      </c>
      <c r="AF275" s="7">
        <f t="shared" ca="1" si="618"/>
        <v>0</v>
      </c>
      <c r="AG275" s="7">
        <f t="shared" ca="1" si="618"/>
        <v>0</v>
      </c>
      <c r="AH275" s="7">
        <f t="shared" ca="1" si="618"/>
        <v>0</v>
      </c>
      <c r="AI275" s="7">
        <f t="shared" ca="1" si="618"/>
        <v>0</v>
      </c>
      <c r="AJ275" s="7">
        <f t="shared" ca="1" si="618"/>
        <v>0</v>
      </c>
      <c r="AK275" s="7">
        <f t="shared" ca="1" si="618"/>
        <v>0</v>
      </c>
      <c r="AL275" s="7">
        <f t="shared" ca="1" si="618"/>
        <v>0</v>
      </c>
      <c r="AM275" s="7">
        <f t="shared" ca="1" si="618"/>
        <v>0</v>
      </c>
    </row>
    <row r="276" spans="1:39" x14ac:dyDescent="0.2">
      <c r="A276" s="3" t="s">
        <v>36</v>
      </c>
      <c r="C276" s="7">
        <f ca="1">-C269+SUM(C272:C275)</f>
        <v>0</v>
      </c>
      <c r="D276" s="7">
        <f t="shared" ref="D276" ca="1" si="619">-D269+SUM(D272:D275)</f>
        <v>0</v>
      </c>
      <c r="E276" s="7">
        <f t="shared" ref="E276:AM276" ca="1" si="620">-E269+SUM(E272:E275)</f>
        <v>0</v>
      </c>
      <c r="F276" s="7">
        <f t="shared" ca="1" si="620"/>
        <v>0</v>
      </c>
      <c r="G276" s="7">
        <f t="shared" ca="1" si="620"/>
        <v>0</v>
      </c>
      <c r="H276" s="7">
        <f t="shared" ca="1" si="620"/>
        <v>0</v>
      </c>
      <c r="I276" s="7">
        <f t="shared" ca="1" si="620"/>
        <v>0</v>
      </c>
      <c r="J276" s="7">
        <f t="shared" ca="1" si="620"/>
        <v>0</v>
      </c>
      <c r="K276" s="7">
        <f t="shared" ca="1" si="620"/>
        <v>0</v>
      </c>
      <c r="L276" s="7">
        <f t="shared" ca="1" si="620"/>
        <v>0</v>
      </c>
      <c r="M276" s="7">
        <f t="shared" ca="1" si="620"/>
        <v>0</v>
      </c>
      <c r="N276" s="7">
        <f t="shared" ca="1" si="620"/>
        <v>0</v>
      </c>
      <c r="O276" s="7">
        <f t="shared" ca="1" si="620"/>
        <v>0</v>
      </c>
      <c r="P276" s="7">
        <f t="shared" ca="1" si="620"/>
        <v>0</v>
      </c>
      <c r="Q276" s="7">
        <f t="shared" ca="1" si="620"/>
        <v>0</v>
      </c>
      <c r="R276" s="7">
        <f t="shared" ca="1" si="620"/>
        <v>0</v>
      </c>
      <c r="S276" s="7">
        <f t="shared" ca="1" si="620"/>
        <v>0</v>
      </c>
      <c r="T276" s="7">
        <f t="shared" ca="1" si="620"/>
        <v>0</v>
      </c>
      <c r="U276" s="7">
        <f t="shared" ca="1" si="620"/>
        <v>0</v>
      </c>
      <c r="V276" s="7">
        <f t="shared" ca="1" si="620"/>
        <v>0</v>
      </c>
      <c r="W276" s="7">
        <f t="shared" ca="1" si="620"/>
        <v>0</v>
      </c>
      <c r="X276" s="7">
        <f t="shared" ca="1" si="620"/>
        <v>0</v>
      </c>
      <c r="Y276" s="7">
        <f t="shared" ca="1" si="620"/>
        <v>0</v>
      </c>
      <c r="Z276" s="7">
        <f t="shared" ca="1" si="620"/>
        <v>0</v>
      </c>
      <c r="AA276" s="7">
        <f t="shared" ca="1" si="620"/>
        <v>0</v>
      </c>
      <c r="AB276" s="7">
        <f t="shared" ca="1" si="620"/>
        <v>0</v>
      </c>
      <c r="AC276" s="7">
        <f t="shared" ca="1" si="620"/>
        <v>0</v>
      </c>
      <c r="AD276" s="7">
        <f t="shared" ca="1" si="620"/>
        <v>0</v>
      </c>
      <c r="AE276" s="7">
        <f t="shared" ca="1" si="620"/>
        <v>0</v>
      </c>
      <c r="AF276" s="7">
        <f t="shared" ca="1" si="620"/>
        <v>0</v>
      </c>
      <c r="AG276" s="7">
        <f t="shared" ca="1" si="620"/>
        <v>0</v>
      </c>
      <c r="AH276" s="7">
        <f t="shared" ca="1" si="620"/>
        <v>0</v>
      </c>
      <c r="AI276" s="7">
        <f t="shared" ca="1" si="620"/>
        <v>0</v>
      </c>
      <c r="AJ276" s="7">
        <f t="shared" ca="1" si="620"/>
        <v>0</v>
      </c>
      <c r="AK276" s="7">
        <f t="shared" ca="1" si="620"/>
        <v>0</v>
      </c>
      <c r="AL276" s="7">
        <f t="shared" ca="1" si="620"/>
        <v>0</v>
      </c>
      <c r="AM276" s="7">
        <f t="shared" ca="1" si="620"/>
        <v>0</v>
      </c>
    </row>
    <row r="277" spans="1:39" x14ac:dyDescent="0.2">
      <c r="A277" s="3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</row>
    <row r="278" spans="1:39" x14ac:dyDescent="0.2">
      <c r="A278" s="3" t="s">
        <v>70</v>
      </c>
      <c r="C278" s="7">
        <f ca="1">C264+SUM($C276:C276)</f>
        <v>16108.4375</v>
      </c>
      <c r="D278" s="7">
        <f ca="1">D264+SUM($C276:D276)</f>
        <v>30012.145312499997</v>
      </c>
      <c r="E278" s="7">
        <f ca="1">E264+SUM($C276:E276)</f>
        <v>50169.6494140625</v>
      </c>
      <c r="F278" s="7">
        <f ca="1">F264+SUM($C276:F276)</f>
        <v>52227.783801841113</v>
      </c>
      <c r="G278" s="7">
        <f ca="1">G264+SUM($C276:G276)</f>
        <v>250455.15989583102</v>
      </c>
      <c r="H278" s="7">
        <f ca="1">H264+SUM($C276:H276)</f>
        <v>296986.84009098983</v>
      </c>
      <c r="I278" s="7">
        <f ca="1">I264+SUM($C276:I276)</f>
        <v>363754.64435619779</v>
      </c>
      <c r="J278" s="7">
        <f ca="1">J264+SUM($C276:J276)</f>
        <v>435067.93012454931</v>
      </c>
      <c r="K278" s="7">
        <f ca="1">K264+SUM($C276:K276)</f>
        <v>493116.96835998015</v>
      </c>
      <c r="L278" s="7">
        <f ca="1">L264+SUM($C276:L276)</f>
        <v>638212.2751736166</v>
      </c>
      <c r="M278" s="7">
        <f ca="1">M264+SUM($C276:M276)</f>
        <v>695163.71186735749</v>
      </c>
      <c r="N278" s="7">
        <f ca="1">N264+SUM($C276:N276)</f>
        <v>805771.16934020713</v>
      </c>
      <c r="O278" s="7">
        <f ca="1">O264+SUM($C276:O276)</f>
        <v>922222.00124800857</v>
      </c>
      <c r="P278" s="7">
        <f ca="1">P264+SUM($C276:P276)</f>
        <v>1044762.6085180258</v>
      </c>
      <c r="Q278" s="7">
        <f ca="1">Q264+SUM($C276:Q276)</f>
        <v>1173648.7608708572</v>
      </c>
      <c r="R278" s="7">
        <f ca="1">R264+SUM($C276:R276)</f>
        <v>1309145.9322852024</v>
      </c>
      <c r="S278" s="7">
        <f ca="1">S264+SUM($C276:S276)</f>
        <v>1451529.6480111426</v>
      </c>
      <c r="T278" s="7">
        <f ca="1">T264+SUM($C276:T276)</f>
        <v>1491855.4011356728</v>
      </c>
      <c r="U278" s="7">
        <f ca="1">U264+SUM($C276:U276)</f>
        <v>1541415.1978627439</v>
      </c>
      <c r="V278" s="7">
        <f ca="1">V264+SUM($C276:V276)</f>
        <v>1592757.5777099284</v>
      </c>
      <c r="W278" s="7">
        <f ca="1">W264+SUM($C276:W276)</f>
        <v>1645948.7425475621</v>
      </c>
      <c r="X278" s="7">
        <f ca="1">X264+SUM($C276:X276)</f>
        <v>1701057.3316526653</v>
      </c>
      <c r="Y278" s="7">
        <f ca="1">Y264+SUM($C276:Y276)</f>
        <v>1737237.4169653396</v>
      </c>
      <c r="Z278" s="7">
        <f ca="1">Z264+SUM($C276:Z276)</f>
        <v>1774434.0167242812</v>
      </c>
      <c r="AA278" s="7">
        <f ca="1">AA264+SUM($C276:AA276)</f>
        <v>1812684.4017288706</v>
      </c>
      <c r="AB278" s="7">
        <f ca="1">AB264+SUM($C276:AB276)</f>
        <v>1852027.3427258399</v>
      </c>
      <c r="AC278" s="7">
        <f ca="1">AC264+SUM($C276:AC276)</f>
        <v>1892503.1702642585</v>
      </c>
      <c r="AD278" s="7">
        <f ca="1">AD264+SUM($C276:AD276)</f>
        <v>1934153.8368503558</v>
      </c>
      <c r="AE278" s="7">
        <f ca="1">AE264+SUM($C276:AE276)</f>
        <v>1987130.2375195618</v>
      </c>
      <c r="AF278" s="7">
        <f ca="1">AF264+SUM($C276:AF276)</f>
        <v>2041875.8715530399</v>
      </c>
      <c r="AG278" s="7">
        <f ca="1">AG264+SUM($C276:AG276)</f>
        <v>2098456.905652951</v>
      </c>
      <c r="AH278" s="7">
        <f ca="1">AH264+SUM($C276:AH276)</f>
        <v>2156942.0335442415</v>
      </c>
      <c r="AI278" s="7">
        <f ca="1">AI264+SUM($C276:AI276)</f>
        <v>2217402.5707053514</v>
      </c>
      <c r="AJ278" s="7">
        <f ca="1">AJ264+SUM($C276:AJ276)</f>
        <v>2279912.5525480784</v>
      </c>
      <c r="AK278" s="7">
        <f ca="1">AK264+SUM($C276:AK276)</f>
        <v>2344548.8361686133</v>
      </c>
      <c r="AL278" s="7">
        <f ca="1">AL264+SUM($C276:AL276)</f>
        <v>2411391.2057959661</v>
      </c>
      <c r="AM278" s="7">
        <f ca="1">AM264+SUM($C276:AM276)</f>
        <v>2480522.4820683482</v>
      </c>
    </row>
    <row r="279" spans="1:39" x14ac:dyDescent="0.2">
      <c r="A279" s="3" t="s">
        <v>67</v>
      </c>
      <c r="C279" s="7">
        <f t="shared" ref="C279:AM279" ca="1" si="621">MAX(C278+buffer,0)-MAX(C264+buffer,0)</f>
        <v>0</v>
      </c>
      <c r="D279" s="7">
        <f t="shared" ca="1" si="621"/>
        <v>0</v>
      </c>
      <c r="E279" s="7">
        <f t="shared" ca="1" si="621"/>
        <v>0</v>
      </c>
      <c r="F279" s="7">
        <f t="shared" ca="1" si="621"/>
        <v>0</v>
      </c>
      <c r="G279" s="7">
        <f t="shared" ca="1" si="621"/>
        <v>0</v>
      </c>
      <c r="H279" s="7">
        <f t="shared" ca="1" si="621"/>
        <v>0</v>
      </c>
      <c r="I279" s="7">
        <f t="shared" ca="1" si="621"/>
        <v>0</v>
      </c>
      <c r="J279" s="7">
        <f t="shared" ca="1" si="621"/>
        <v>0</v>
      </c>
      <c r="K279" s="7">
        <f t="shared" ca="1" si="621"/>
        <v>0</v>
      </c>
      <c r="L279" s="7">
        <f t="shared" ca="1" si="621"/>
        <v>0</v>
      </c>
      <c r="M279" s="7">
        <f t="shared" ca="1" si="621"/>
        <v>0</v>
      </c>
      <c r="N279" s="7">
        <f t="shared" ca="1" si="621"/>
        <v>0</v>
      </c>
      <c r="O279" s="7">
        <f t="shared" ca="1" si="621"/>
        <v>0</v>
      </c>
      <c r="P279" s="7">
        <f t="shared" ca="1" si="621"/>
        <v>0</v>
      </c>
      <c r="Q279" s="7">
        <f t="shared" ca="1" si="621"/>
        <v>0</v>
      </c>
      <c r="R279" s="7">
        <f t="shared" ca="1" si="621"/>
        <v>0</v>
      </c>
      <c r="S279" s="7">
        <f t="shared" ca="1" si="621"/>
        <v>0</v>
      </c>
      <c r="T279" s="7">
        <f t="shared" ca="1" si="621"/>
        <v>0</v>
      </c>
      <c r="U279" s="7">
        <f t="shared" ca="1" si="621"/>
        <v>0</v>
      </c>
      <c r="V279" s="7">
        <f t="shared" ca="1" si="621"/>
        <v>0</v>
      </c>
      <c r="W279" s="7">
        <f t="shared" ca="1" si="621"/>
        <v>0</v>
      </c>
      <c r="X279" s="7">
        <f t="shared" ca="1" si="621"/>
        <v>0</v>
      </c>
      <c r="Y279" s="7">
        <f t="shared" ca="1" si="621"/>
        <v>0</v>
      </c>
      <c r="Z279" s="7">
        <f t="shared" ca="1" si="621"/>
        <v>0</v>
      </c>
      <c r="AA279" s="7">
        <f t="shared" ca="1" si="621"/>
        <v>0</v>
      </c>
      <c r="AB279" s="7">
        <f t="shared" ca="1" si="621"/>
        <v>0</v>
      </c>
      <c r="AC279" s="7">
        <f t="shared" ca="1" si="621"/>
        <v>0</v>
      </c>
      <c r="AD279" s="7">
        <f t="shared" ca="1" si="621"/>
        <v>0</v>
      </c>
      <c r="AE279" s="7">
        <f t="shared" ca="1" si="621"/>
        <v>0</v>
      </c>
      <c r="AF279" s="7">
        <f t="shared" ca="1" si="621"/>
        <v>0</v>
      </c>
      <c r="AG279" s="7">
        <f t="shared" ca="1" si="621"/>
        <v>0</v>
      </c>
      <c r="AH279" s="7">
        <f t="shared" ca="1" si="621"/>
        <v>0</v>
      </c>
      <c r="AI279" s="7">
        <f t="shared" ca="1" si="621"/>
        <v>0</v>
      </c>
      <c r="AJ279" s="7">
        <f t="shared" ca="1" si="621"/>
        <v>0</v>
      </c>
      <c r="AK279" s="7">
        <f t="shared" ca="1" si="621"/>
        <v>0</v>
      </c>
      <c r="AL279" s="7">
        <f t="shared" ca="1" si="621"/>
        <v>0</v>
      </c>
      <c r="AM279" s="7">
        <f t="shared" ca="1" si="621"/>
        <v>0</v>
      </c>
    </row>
    <row r="280" spans="1:39" x14ac:dyDescent="0.2">
      <c r="A280" s="3" t="s">
        <v>68</v>
      </c>
      <c r="C280" s="7">
        <f ca="1">C279*Inputs!$B$269</f>
        <v>0</v>
      </c>
      <c r="D280" s="7">
        <f ca="1">D279*Inputs!$B$269</f>
        <v>0</v>
      </c>
      <c r="E280" s="7">
        <f ca="1">E279*Inputs!$B$269</f>
        <v>0</v>
      </c>
      <c r="F280" s="7">
        <f ca="1">F279*Inputs!$B$269</f>
        <v>0</v>
      </c>
      <c r="G280" s="7">
        <f ca="1">G279*Inputs!$B$269</f>
        <v>0</v>
      </c>
      <c r="H280" s="7">
        <f ca="1">H279*Inputs!$B$269</f>
        <v>0</v>
      </c>
      <c r="I280" s="7">
        <f ca="1">I279*Inputs!$B$269</f>
        <v>0</v>
      </c>
      <c r="J280" s="7">
        <f ca="1">J279*Inputs!$B$269</f>
        <v>0</v>
      </c>
      <c r="K280" s="7">
        <f ca="1">K279*Inputs!$B$269</f>
        <v>0</v>
      </c>
      <c r="L280" s="7">
        <f ca="1">L279*Inputs!$B$269</f>
        <v>0</v>
      </c>
      <c r="M280" s="7">
        <f ca="1">M279*Inputs!$B$269</f>
        <v>0</v>
      </c>
      <c r="N280" s="7">
        <f ca="1">N279*Inputs!$B$269</f>
        <v>0</v>
      </c>
      <c r="O280" s="7">
        <f ca="1">O279*Inputs!$B$269</f>
        <v>0</v>
      </c>
      <c r="P280" s="7">
        <f ca="1">P279*Inputs!$B$269</f>
        <v>0</v>
      </c>
      <c r="Q280" s="7">
        <f ca="1">Q279*Inputs!$B$269</f>
        <v>0</v>
      </c>
      <c r="R280" s="7">
        <f ca="1">R279*Inputs!$B$269</f>
        <v>0</v>
      </c>
      <c r="S280" s="7">
        <f ca="1">S279*Inputs!$B$269</f>
        <v>0</v>
      </c>
      <c r="T280" s="7">
        <f ca="1">T279*Inputs!$B$269</f>
        <v>0</v>
      </c>
      <c r="U280" s="7">
        <f ca="1">U279*Inputs!$B$269</f>
        <v>0</v>
      </c>
      <c r="V280" s="7">
        <f ca="1">V279*Inputs!$B$269</f>
        <v>0</v>
      </c>
      <c r="W280" s="7">
        <f ca="1">W279*Inputs!$B$269</f>
        <v>0</v>
      </c>
      <c r="X280" s="7">
        <f ca="1">X279*Inputs!$B$269</f>
        <v>0</v>
      </c>
      <c r="Y280" s="7">
        <f ca="1">Y279*Inputs!$B$269</f>
        <v>0</v>
      </c>
      <c r="Z280" s="7">
        <f ca="1">Z279*Inputs!$B$269</f>
        <v>0</v>
      </c>
      <c r="AA280" s="7">
        <f ca="1">AA279*Inputs!$B$269</f>
        <v>0</v>
      </c>
      <c r="AB280" s="7">
        <f ca="1">AB279*Inputs!$B$269</f>
        <v>0</v>
      </c>
      <c r="AC280" s="7">
        <f ca="1">AC279*Inputs!$B$269</f>
        <v>0</v>
      </c>
      <c r="AD280" s="7">
        <f ca="1">AD279*Inputs!$B$269</f>
        <v>0</v>
      </c>
      <c r="AE280" s="7">
        <f ca="1">AE279*Inputs!$B$269</f>
        <v>0</v>
      </c>
      <c r="AF280" s="7">
        <f ca="1">AF279*Inputs!$B$269</f>
        <v>0</v>
      </c>
      <c r="AG280" s="7">
        <f ca="1">AG279*Inputs!$B$269</f>
        <v>0</v>
      </c>
      <c r="AH280" s="7">
        <f ca="1">AH279*Inputs!$B$269</f>
        <v>0</v>
      </c>
      <c r="AI280" s="7">
        <f ca="1">AI279*Inputs!$B$269</f>
        <v>0</v>
      </c>
      <c r="AJ280" s="7">
        <f ca="1">AJ279*Inputs!$B$269</f>
        <v>0</v>
      </c>
      <c r="AK280" s="7">
        <f ca="1">AK279*Inputs!$B$269</f>
        <v>0</v>
      </c>
      <c r="AL280" s="7">
        <f ca="1">AL279*Inputs!$B$269</f>
        <v>0</v>
      </c>
      <c r="AM280" s="7">
        <f ca="1">AM279*Inputs!$B$269</f>
        <v>0</v>
      </c>
    </row>
    <row r="281" spans="1:39" x14ac:dyDescent="0.2">
      <c r="A281" s="3" t="s">
        <v>149</v>
      </c>
      <c r="C281" s="7">
        <f ca="1">C278+SUM($C280:C280)</f>
        <v>16108.4375</v>
      </c>
      <c r="D281" s="7">
        <f ca="1">D278+SUM($C280:D280)</f>
        <v>30012.145312499997</v>
      </c>
      <c r="E281" s="7">
        <f ca="1">E278+SUM($C280:E280)</f>
        <v>50169.6494140625</v>
      </c>
      <c r="F281" s="7">
        <f ca="1">F278+SUM($C280:F280)</f>
        <v>52227.783801841113</v>
      </c>
      <c r="G281" s="7">
        <f ca="1">G278+SUM($C280:G280)</f>
        <v>250455.15989583102</v>
      </c>
      <c r="H281" s="7">
        <f ca="1">H278+SUM($C280:H280)</f>
        <v>296986.84009098983</v>
      </c>
      <c r="I281" s="7">
        <f ca="1">I278+SUM($C280:I280)</f>
        <v>363754.64435619779</v>
      </c>
      <c r="J281" s="7">
        <f ca="1">J278+SUM($C280:J280)</f>
        <v>435067.93012454931</v>
      </c>
      <c r="K281" s="7">
        <f ca="1">K278+SUM($C280:K280)</f>
        <v>493116.96835998015</v>
      </c>
      <c r="L281" s="7">
        <f ca="1">L278+SUM($C280:L280)</f>
        <v>638212.2751736166</v>
      </c>
      <c r="M281" s="7">
        <f ca="1">M278+SUM($C280:M280)</f>
        <v>695163.71186735749</v>
      </c>
      <c r="N281" s="7">
        <f ca="1">N278+SUM($C280:N280)</f>
        <v>805771.16934020713</v>
      </c>
      <c r="O281" s="7">
        <f ca="1">O278+SUM($C280:O280)</f>
        <v>922222.00124800857</v>
      </c>
      <c r="P281" s="7">
        <f ca="1">P278+SUM($C280:P280)</f>
        <v>1044762.6085180258</v>
      </c>
      <c r="Q281" s="7">
        <f ca="1">Q278+SUM($C280:Q280)</f>
        <v>1173648.7608708572</v>
      </c>
      <c r="R281" s="7">
        <f ca="1">R278+SUM($C280:R280)</f>
        <v>1309145.9322852024</v>
      </c>
      <c r="S281" s="7">
        <f ca="1">S278+SUM($C280:S280)</f>
        <v>1451529.6480111426</v>
      </c>
      <c r="T281" s="7">
        <f ca="1">T278+SUM($C280:T280)</f>
        <v>1491855.4011356728</v>
      </c>
      <c r="U281" s="7">
        <f ca="1">U278+SUM($C280:U280)</f>
        <v>1541415.1978627439</v>
      </c>
      <c r="V281" s="7">
        <f ca="1">V278+SUM($C280:V280)</f>
        <v>1592757.5777099284</v>
      </c>
      <c r="W281" s="7">
        <f ca="1">W278+SUM($C280:W280)</f>
        <v>1645948.7425475621</v>
      </c>
      <c r="X281" s="7">
        <f ca="1">X278+SUM($C280:X280)</f>
        <v>1701057.3316526653</v>
      </c>
      <c r="Y281" s="7">
        <f ca="1">Y278+SUM($C280:Y280)</f>
        <v>1737237.4169653396</v>
      </c>
      <c r="Z281" s="7">
        <f ca="1">Z278+SUM($C280:Z280)</f>
        <v>1774434.0167242812</v>
      </c>
      <c r="AA281" s="7">
        <f ca="1">AA278+SUM($C280:AA280)</f>
        <v>1812684.4017288706</v>
      </c>
      <c r="AB281" s="7">
        <f ca="1">AB278+SUM($C280:AB280)</f>
        <v>1852027.3427258399</v>
      </c>
      <c r="AC281" s="7">
        <f ca="1">AC278+SUM($C280:AC280)</f>
        <v>1892503.1702642585</v>
      </c>
      <c r="AD281" s="7">
        <f ca="1">AD278+SUM($C280:AD280)</f>
        <v>1934153.8368503558</v>
      </c>
      <c r="AE281" s="7">
        <f ca="1">AE278+SUM($C280:AE280)</f>
        <v>1987130.2375195618</v>
      </c>
      <c r="AF281" s="7">
        <f ca="1">AF278+SUM($C280:AF280)</f>
        <v>2041875.8715530399</v>
      </c>
      <c r="AG281" s="7">
        <f ca="1">AG278+SUM($C280:AG280)</f>
        <v>2098456.905652951</v>
      </c>
      <c r="AH281" s="7">
        <f ca="1">AH278+SUM($C280:AH280)</f>
        <v>2156942.0335442415</v>
      </c>
      <c r="AI281" s="7">
        <f ca="1">AI278+SUM($C280:AI280)</f>
        <v>2217402.5707053514</v>
      </c>
      <c r="AJ281" s="7">
        <f ca="1">AJ278+SUM($C280:AJ280)</f>
        <v>2279912.5525480784</v>
      </c>
      <c r="AK281" s="7">
        <f ca="1">AK278+SUM($C280:AK280)</f>
        <v>2344548.8361686133</v>
      </c>
      <c r="AL281" s="7">
        <f ca="1">AL278+SUM($C280:AL280)</f>
        <v>2411391.2057959661</v>
      </c>
      <c r="AM281" s="7">
        <f ca="1">AM278+SUM($C280:AM280)</f>
        <v>2480522.4820683482</v>
      </c>
    </row>
    <row r="282" spans="1:39" x14ac:dyDescent="0.2">
      <c r="A282" s="3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</row>
    <row r="283" spans="1:39" x14ac:dyDescent="0.2">
      <c r="A283" s="3" t="s">
        <v>147</v>
      </c>
      <c r="C283" s="7">
        <f t="shared" ref="C283:AM283" ca="1" si="622">C281+buffer</f>
        <v>66108.4375</v>
      </c>
      <c r="D283" s="7">
        <f t="shared" ca="1" si="622"/>
        <v>80012.145312499997</v>
      </c>
      <c r="E283" s="7">
        <f t="shared" ca="1" si="622"/>
        <v>100169.6494140625</v>
      </c>
      <c r="F283" s="7">
        <f t="shared" ca="1" si="622"/>
        <v>102227.78380184111</v>
      </c>
      <c r="G283" s="7">
        <f t="shared" ca="1" si="622"/>
        <v>300455.15989583102</v>
      </c>
      <c r="H283" s="7">
        <f t="shared" ca="1" si="622"/>
        <v>346986.84009098983</v>
      </c>
      <c r="I283" s="7">
        <f t="shared" ca="1" si="622"/>
        <v>413754.64435619779</v>
      </c>
      <c r="J283" s="7">
        <f t="shared" ca="1" si="622"/>
        <v>485067.93012454931</v>
      </c>
      <c r="K283" s="7">
        <f t="shared" ca="1" si="622"/>
        <v>543116.96835998015</v>
      </c>
      <c r="L283" s="7">
        <f t="shared" ca="1" si="622"/>
        <v>688212.2751736166</v>
      </c>
      <c r="M283" s="7">
        <f t="shared" ca="1" si="622"/>
        <v>745163.71186735749</v>
      </c>
      <c r="N283" s="7">
        <f t="shared" ca="1" si="622"/>
        <v>855771.16934020713</v>
      </c>
      <c r="O283" s="7">
        <f t="shared" ca="1" si="622"/>
        <v>972222.00124800857</v>
      </c>
      <c r="P283" s="7">
        <f t="shared" ca="1" si="622"/>
        <v>1094762.6085180258</v>
      </c>
      <c r="Q283" s="7">
        <f t="shared" ca="1" si="622"/>
        <v>1223648.7608708572</v>
      </c>
      <c r="R283" s="7">
        <f t="shared" ca="1" si="622"/>
        <v>1359145.9322852024</v>
      </c>
      <c r="S283" s="7">
        <f t="shared" ca="1" si="622"/>
        <v>1501529.6480111426</v>
      </c>
      <c r="T283" s="7">
        <f t="shared" ca="1" si="622"/>
        <v>1541855.4011356728</v>
      </c>
      <c r="U283" s="7">
        <f t="shared" ca="1" si="622"/>
        <v>1591415.1978627439</v>
      </c>
      <c r="V283" s="7">
        <f t="shared" ca="1" si="622"/>
        <v>1642757.5777099284</v>
      </c>
      <c r="W283" s="7">
        <f t="shared" ca="1" si="622"/>
        <v>1695948.7425475621</v>
      </c>
      <c r="X283" s="7">
        <f t="shared" ca="1" si="622"/>
        <v>1751057.3316526653</v>
      </c>
      <c r="Y283" s="7">
        <f t="shared" ca="1" si="622"/>
        <v>1787237.4169653396</v>
      </c>
      <c r="Z283" s="7">
        <f t="shared" ca="1" si="622"/>
        <v>1824434.0167242812</v>
      </c>
      <c r="AA283" s="7">
        <f t="shared" ca="1" si="622"/>
        <v>1862684.4017288706</v>
      </c>
      <c r="AB283" s="7">
        <f t="shared" ca="1" si="622"/>
        <v>1902027.3427258399</v>
      </c>
      <c r="AC283" s="7">
        <f t="shared" ca="1" si="622"/>
        <v>1942503.1702642585</v>
      </c>
      <c r="AD283" s="7">
        <f t="shared" ca="1" si="622"/>
        <v>1984153.8368503558</v>
      </c>
      <c r="AE283" s="7">
        <f t="shared" ca="1" si="622"/>
        <v>2037130.2375195618</v>
      </c>
      <c r="AF283" s="7">
        <f t="shared" ca="1" si="622"/>
        <v>2091875.8715530399</v>
      </c>
      <c r="AG283" s="7">
        <f t="shared" ca="1" si="622"/>
        <v>2148456.905652951</v>
      </c>
      <c r="AH283" s="7">
        <f t="shared" ca="1" si="622"/>
        <v>2206942.0335442415</v>
      </c>
      <c r="AI283" s="7">
        <f t="shared" ca="1" si="622"/>
        <v>2267402.5707053514</v>
      </c>
      <c r="AJ283" s="7">
        <f t="shared" ca="1" si="622"/>
        <v>2329912.5525480784</v>
      </c>
      <c r="AK283" s="7">
        <f t="shared" ca="1" si="622"/>
        <v>2394548.8361686133</v>
      </c>
      <c r="AL283" s="7">
        <f t="shared" ca="1" si="622"/>
        <v>2461391.2057959661</v>
      </c>
      <c r="AM283" s="7">
        <f t="shared" ca="1" si="622"/>
        <v>2530522.4820683482</v>
      </c>
    </row>
    <row r="284" spans="1:39" x14ac:dyDescent="0.2">
      <c r="A284" s="4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</row>
    <row r="285" spans="1:39" x14ac:dyDescent="0.2">
      <c r="A285" s="29" t="s">
        <v>58</v>
      </c>
      <c r="B285" s="2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</row>
    <row r="286" spans="1:39" x14ac:dyDescent="0.2">
      <c r="A286" s="3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</row>
    <row r="287" spans="1:39" x14ac:dyDescent="0.2">
      <c r="A287" s="18" t="s">
        <v>194</v>
      </c>
      <c r="B287" s="19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</row>
    <row r="288" spans="1:39" x14ac:dyDescent="0.2">
      <c r="A288" s="22" t="str">
        <f>B$122</f>
        <v>Painting</v>
      </c>
      <c r="B288" s="19"/>
      <c r="C288" s="20">
        <f ca="1">SUM($C116:C116)</f>
        <v>0</v>
      </c>
      <c r="D288" s="20">
        <f ca="1">SUM($C116:D116)</f>
        <v>0</v>
      </c>
      <c r="E288" s="20">
        <f ca="1">SUM($C116:E116)</f>
        <v>0</v>
      </c>
      <c r="F288" s="20">
        <f ca="1">SUM($C116:F116)</f>
        <v>0</v>
      </c>
      <c r="G288" s="20">
        <f ca="1">SUM($C116:G116)</f>
        <v>0</v>
      </c>
      <c r="H288" s="20">
        <f ca="1">SUM($C116:H116)</f>
        <v>0</v>
      </c>
      <c r="I288" s="20">
        <f ca="1">SUM($C116:I116)</f>
        <v>0</v>
      </c>
      <c r="J288" s="20">
        <f ca="1">SUM($C116:J116)</f>
        <v>0</v>
      </c>
      <c r="K288" s="20">
        <f ca="1">SUM($C116:K116)</f>
        <v>0</v>
      </c>
      <c r="L288" s="20">
        <f ca="1">SUM($C116:L116)</f>
        <v>0</v>
      </c>
      <c r="M288" s="20">
        <f ca="1">SUM($C116:M116)</f>
        <v>0</v>
      </c>
      <c r="N288" s="20">
        <f ca="1">SUM($C116:N116)</f>
        <v>0</v>
      </c>
      <c r="O288" s="20">
        <f ca="1">SUM($C116:O116)</f>
        <v>0</v>
      </c>
      <c r="P288" s="20">
        <f ca="1">SUM($C116:P116)</f>
        <v>0</v>
      </c>
      <c r="Q288" s="20">
        <f ca="1">SUM($C116:Q116)</f>
        <v>0</v>
      </c>
      <c r="R288" s="20">
        <f ca="1">SUM($C116:R116)</f>
        <v>0</v>
      </c>
      <c r="S288" s="20">
        <f ca="1">SUM($C116:S116)</f>
        <v>0</v>
      </c>
      <c r="T288" s="20">
        <f ca="1">SUM($C116:T116)</f>
        <v>0</v>
      </c>
      <c r="U288" s="20">
        <f ca="1">SUM($C116:U116)</f>
        <v>0</v>
      </c>
      <c r="V288" s="20">
        <f ca="1">SUM($C116:V116)</f>
        <v>0</v>
      </c>
      <c r="W288" s="20">
        <f ca="1">SUM($C116:W116)</f>
        <v>0</v>
      </c>
      <c r="X288" s="20">
        <f ca="1">SUM($C116:X116)</f>
        <v>0</v>
      </c>
      <c r="Y288" s="20">
        <f ca="1">SUM($C116:Y116)</f>
        <v>0</v>
      </c>
      <c r="Z288" s="20">
        <f ca="1">SUM($C116:Z116)</f>
        <v>0</v>
      </c>
      <c r="AA288" s="20">
        <f ca="1">SUM($C116:AA116)</f>
        <v>0</v>
      </c>
      <c r="AB288" s="20">
        <f ca="1">SUM($C116:AB116)</f>
        <v>0</v>
      </c>
      <c r="AC288" s="20">
        <f ca="1">SUM($C116:AC116)</f>
        <v>0</v>
      </c>
      <c r="AD288" s="20">
        <f ca="1">SUM($C116:AD116)</f>
        <v>0</v>
      </c>
      <c r="AE288" s="20">
        <f ca="1">SUM($C116:AE116)</f>
        <v>0</v>
      </c>
      <c r="AF288" s="20">
        <f ca="1">SUM($C116:AF116)</f>
        <v>0</v>
      </c>
      <c r="AG288" s="20">
        <f ca="1">SUM($C116:AG116)</f>
        <v>0</v>
      </c>
      <c r="AH288" s="20">
        <f ca="1">SUM($C116:AH116)</f>
        <v>0</v>
      </c>
      <c r="AI288" s="20">
        <f ca="1">SUM($C116:AI116)</f>
        <v>0</v>
      </c>
      <c r="AJ288" s="20">
        <f ca="1">SUM($C116:AJ116)</f>
        <v>0</v>
      </c>
      <c r="AK288" s="20">
        <f ca="1">SUM($C116:AK116)</f>
        <v>0</v>
      </c>
      <c r="AL288" s="20">
        <f ca="1">SUM($C116:AL116)</f>
        <v>0</v>
      </c>
      <c r="AM288" s="20">
        <f ca="1">SUM($C116:AM116)</f>
        <v>0</v>
      </c>
    </row>
    <row r="289" spans="1:39" x14ac:dyDescent="0.2">
      <c r="A289" s="22" t="str">
        <f>B$139</f>
        <v>Car</v>
      </c>
      <c r="B289" s="19"/>
      <c r="C289" s="20">
        <f ca="1">SUM($C133:C133)</f>
        <v>0</v>
      </c>
      <c r="D289" s="20">
        <f ca="1">SUM($C133:D133)</f>
        <v>0</v>
      </c>
      <c r="E289" s="20">
        <f ca="1">SUM($C133:E133)</f>
        <v>0</v>
      </c>
      <c r="F289" s="20">
        <f ca="1">SUM($C133:F133)</f>
        <v>0</v>
      </c>
      <c r="G289" s="20">
        <f ca="1">SUM($C133:G133)</f>
        <v>0</v>
      </c>
      <c r="H289" s="20">
        <f ca="1">SUM($C133:H133)</f>
        <v>0</v>
      </c>
      <c r="I289" s="20">
        <f ca="1">SUM($C133:I133)</f>
        <v>0</v>
      </c>
      <c r="J289" s="20">
        <f ca="1">SUM($C133:J133)</f>
        <v>0</v>
      </c>
      <c r="K289" s="20">
        <f ca="1">SUM($C133:K133)</f>
        <v>0</v>
      </c>
      <c r="L289" s="20">
        <f ca="1">SUM($C133:L133)</f>
        <v>0</v>
      </c>
      <c r="M289" s="20">
        <f ca="1">SUM($C133:M133)</f>
        <v>0</v>
      </c>
      <c r="N289" s="20">
        <f ca="1">SUM($C133:N133)</f>
        <v>0</v>
      </c>
      <c r="O289" s="20">
        <f ca="1">SUM($C133:O133)</f>
        <v>0</v>
      </c>
      <c r="P289" s="20">
        <f ca="1">SUM($C133:P133)</f>
        <v>0</v>
      </c>
      <c r="Q289" s="20">
        <f ca="1">SUM($C133:Q133)</f>
        <v>0</v>
      </c>
      <c r="R289" s="20">
        <f ca="1">SUM($C133:R133)</f>
        <v>0</v>
      </c>
      <c r="S289" s="20">
        <f ca="1">SUM($C133:S133)</f>
        <v>0</v>
      </c>
      <c r="T289" s="20">
        <f ca="1">SUM($C133:T133)</f>
        <v>0</v>
      </c>
      <c r="U289" s="20">
        <f ca="1">SUM($C133:U133)</f>
        <v>0</v>
      </c>
      <c r="V289" s="20">
        <f ca="1">SUM($C133:V133)</f>
        <v>0</v>
      </c>
      <c r="W289" s="20">
        <f ca="1">SUM($C133:W133)</f>
        <v>0</v>
      </c>
      <c r="X289" s="20">
        <f ca="1">SUM($C133:X133)</f>
        <v>0</v>
      </c>
      <c r="Y289" s="20">
        <f ca="1">SUM($C133:Y133)</f>
        <v>0</v>
      </c>
      <c r="Z289" s="20">
        <f ca="1">SUM($C133:Z133)</f>
        <v>0</v>
      </c>
      <c r="AA289" s="20">
        <f ca="1">SUM($C133:AA133)</f>
        <v>0</v>
      </c>
      <c r="AB289" s="20">
        <f ca="1">SUM($C133:AB133)</f>
        <v>0</v>
      </c>
      <c r="AC289" s="20">
        <f ca="1">SUM($C133:AC133)</f>
        <v>0</v>
      </c>
      <c r="AD289" s="20">
        <f ca="1">SUM($C133:AD133)</f>
        <v>0</v>
      </c>
      <c r="AE289" s="20">
        <f ca="1">SUM($C133:AE133)</f>
        <v>0</v>
      </c>
      <c r="AF289" s="20">
        <f ca="1">SUM($C133:AF133)</f>
        <v>0</v>
      </c>
      <c r="AG289" s="20">
        <f ca="1">SUM($C133:AG133)</f>
        <v>0</v>
      </c>
      <c r="AH289" s="20">
        <f ca="1">SUM($C133:AH133)</f>
        <v>0</v>
      </c>
      <c r="AI289" s="20">
        <f ca="1">SUM($C133:AI133)</f>
        <v>0</v>
      </c>
      <c r="AJ289" s="20">
        <f ca="1">SUM($C133:AJ133)</f>
        <v>0</v>
      </c>
      <c r="AK289" s="20">
        <f ca="1">SUM($C133:AK133)</f>
        <v>0</v>
      </c>
      <c r="AL289" s="20">
        <f ca="1">SUM($C133:AL133)</f>
        <v>0</v>
      </c>
      <c r="AM289" s="20">
        <f ca="1">SUM($C133:AM133)</f>
        <v>0</v>
      </c>
    </row>
    <row r="290" spans="1:39" x14ac:dyDescent="0.2">
      <c r="A290" s="22" t="str">
        <f>B$156</f>
        <v>Jewelry</v>
      </c>
      <c r="B290" s="19"/>
      <c r="C290" s="20">
        <f ca="1">SUM($C150:C150)</f>
        <v>0</v>
      </c>
      <c r="D290" s="20">
        <f ca="1">SUM($C150:D150)</f>
        <v>0</v>
      </c>
      <c r="E290" s="20">
        <f ca="1">SUM($C150:E150)</f>
        <v>0</v>
      </c>
      <c r="F290" s="20">
        <f ca="1">SUM($C150:F150)</f>
        <v>0</v>
      </c>
      <c r="G290" s="20">
        <f ca="1">SUM($C150:G150)</f>
        <v>0</v>
      </c>
      <c r="H290" s="20">
        <f ca="1">SUM($C150:H150)</f>
        <v>0</v>
      </c>
      <c r="I290" s="20">
        <f ca="1">SUM($C150:I150)</f>
        <v>0</v>
      </c>
      <c r="J290" s="20">
        <f ca="1">SUM($C150:J150)</f>
        <v>0</v>
      </c>
      <c r="K290" s="20">
        <f ca="1">SUM($C150:K150)</f>
        <v>0</v>
      </c>
      <c r="L290" s="20">
        <f ca="1">SUM($C150:L150)</f>
        <v>0</v>
      </c>
      <c r="M290" s="20">
        <f ca="1">SUM($C150:M150)</f>
        <v>0</v>
      </c>
      <c r="N290" s="20">
        <f ca="1">SUM($C150:N150)</f>
        <v>0</v>
      </c>
      <c r="O290" s="20">
        <f ca="1">SUM($C150:O150)</f>
        <v>0</v>
      </c>
      <c r="P290" s="20">
        <f ca="1">SUM($C150:P150)</f>
        <v>0</v>
      </c>
      <c r="Q290" s="20">
        <f ca="1">SUM($C150:Q150)</f>
        <v>0</v>
      </c>
      <c r="R290" s="20">
        <f ca="1">SUM($C150:R150)</f>
        <v>0</v>
      </c>
      <c r="S290" s="20">
        <f ca="1">SUM($C150:S150)</f>
        <v>0</v>
      </c>
      <c r="T290" s="20">
        <f ca="1">SUM($C150:T150)</f>
        <v>0</v>
      </c>
      <c r="U290" s="20">
        <f ca="1">SUM($C150:U150)</f>
        <v>0</v>
      </c>
      <c r="V290" s="20">
        <f ca="1">SUM($C150:V150)</f>
        <v>0</v>
      </c>
      <c r="W290" s="20">
        <f ca="1">SUM($C150:W150)</f>
        <v>0</v>
      </c>
      <c r="X290" s="20">
        <f ca="1">SUM($C150:X150)</f>
        <v>0</v>
      </c>
      <c r="Y290" s="20">
        <f ca="1">SUM($C150:Y150)</f>
        <v>0</v>
      </c>
      <c r="Z290" s="20">
        <f ca="1">SUM($C150:Z150)</f>
        <v>0</v>
      </c>
      <c r="AA290" s="20">
        <f ca="1">SUM($C150:AA150)</f>
        <v>0</v>
      </c>
      <c r="AB290" s="20">
        <f ca="1">SUM($C150:AB150)</f>
        <v>0</v>
      </c>
      <c r="AC290" s="20">
        <f ca="1">SUM($C150:AC150)</f>
        <v>0</v>
      </c>
      <c r="AD290" s="20">
        <f ca="1">SUM($C150:AD150)</f>
        <v>0</v>
      </c>
      <c r="AE290" s="20">
        <f ca="1">SUM($C150:AE150)</f>
        <v>0</v>
      </c>
      <c r="AF290" s="20">
        <f ca="1">SUM($C150:AF150)</f>
        <v>0</v>
      </c>
      <c r="AG290" s="20">
        <f ca="1">SUM($C150:AG150)</f>
        <v>0</v>
      </c>
      <c r="AH290" s="20">
        <f ca="1">SUM($C150:AH150)</f>
        <v>0</v>
      </c>
      <c r="AI290" s="20">
        <f ca="1">SUM($C150:AI150)</f>
        <v>0</v>
      </c>
      <c r="AJ290" s="20">
        <f ca="1">SUM($C150:AJ150)</f>
        <v>0</v>
      </c>
      <c r="AK290" s="20">
        <f ca="1">SUM($C150:AK150)</f>
        <v>0</v>
      </c>
      <c r="AL290" s="20">
        <f ca="1">SUM($C150:AL150)</f>
        <v>0</v>
      </c>
      <c r="AM290" s="20">
        <f ca="1">SUM($C150:AM150)</f>
        <v>0</v>
      </c>
    </row>
    <row r="291" spans="1:39" x14ac:dyDescent="0.2">
      <c r="A291" s="22" t="str">
        <f>B$173</f>
        <v>Gudja</v>
      </c>
      <c r="B291" s="19"/>
      <c r="C291" s="20">
        <f ca="1">SUM($C167:C167)</f>
        <v>0</v>
      </c>
      <c r="D291" s="20">
        <f ca="1">SUM($C167:D167)</f>
        <v>0</v>
      </c>
      <c r="E291" s="20">
        <f ca="1">SUM($C167:E167)</f>
        <v>0</v>
      </c>
      <c r="F291" s="20">
        <f ca="1">SUM($C167:F167)</f>
        <v>0</v>
      </c>
      <c r="G291" s="20">
        <f ca="1">SUM($C167:G167)</f>
        <v>0</v>
      </c>
      <c r="H291" s="20">
        <f ca="1">SUM($C167:H167)</f>
        <v>0</v>
      </c>
      <c r="I291" s="20">
        <f ca="1">SUM($C167:I167)</f>
        <v>0</v>
      </c>
      <c r="J291" s="20">
        <f ca="1">SUM($C167:J167)</f>
        <v>0</v>
      </c>
      <c r="K291" s="20">
        <f ca="1">SUM($C167:K167)</f>
        <v>0</v>
      </c>
      <c r="L291" s="20">
        <f ca="1">SUM($C167:L167)</f>
        <v>0</v>
      </c>
      <c r="M291" s="20">
        <f ca="1">SUM($C167:M167)</f>
        <v>0</v>
      </c>
      <c r="N291" s="20">
        <f ca="1">SUM($C167:N167)</f>
        <v>0</v>
      </c>
      <c r="O291" s="20">
        <f ca="1">SUM($C167:O167)</f>
        <v>0</v>
      </c>
      <c r="P291" s="20">
        <f ca="1">SUM($C167:P167)</f>
        <v>0</v>
      </c>
      <c r="Q291" s="20">
        <f ca="1">SUM($C167:Q167)</f>
        <v>0</v>
      </c>
      <c r="R291" s="20">
        <f ca="1">SUM($C167:R167)</f>
        <v>0</v>
      </c>
      <c r="S291" s="20">
        <f ca="1">SUM($C167:S167)</f>
        <v>0</v>
      </c>
      <c r="T291" s="20">
        <f ca="1">SUM($C167:T167)</f>
        <v>0</v>
      </c>
      <c r="U291" s="20">
        <f ca="1">SUM($C167:U167)</f>
        <v>0</v>
      </c>
      <c r="V291" s="20">
        <f ca="1">SUM($C167:V167)</f>
        <v>0</v>
      </c>
      <c r="W291" s="20">
        <f ca="1">SUM($C167:W167)</f>
        <v>0</v>
      </c>
      <c r="X291" s="20">
        <f ca="1">SUM($C167:X167)</f>
        <v>0</v>
      </c>
      <c r="Y291" s="20">
        <f ca="1">SUM($C167:Y167)</f>
        <v>0</v>
      </c>
      <c r="Z291" s="20">
        <f ca="1">SUM($C167:Z167)</f>
        <v>0</v>
      </c>
      <c r="AA291" s="20">
        <f ca="1">SUM($C167:AA167)</f>
        <v>0</v>
      </c>
      <c r="AB291" s="20">
        <f ca="1">SUM($C167:AB167)</f>
        <v>0</v>
      </c>
      <c r="AC291" s="20">
        <f ca="1">SUM($C167:AC167)</f>
        <v>0</v>
      </c>
      <c r="AD291" s="20">
        <f ca="1">SUM($C167:AD167)</f>
        <v>0</v>
      </c>
      <c r="AE291" s="20">
        <f ca="1">SUM($C167:AE167)</f>
        <v>0</v>
      </c>
      <c r="AF291" s="20">
        <f ca="1">SUM($C167:AF167)</f>
        <v>0</v>
      </c>
      <c r="AG291" s="20">
        <f ca="1">SUM($C167:AG167)</f>
        <v>0</v>
      </c>
      <c r="AH291" s="20">
        <f ca="1">SUM($C167:AH167)</f>
        <v>0</v>
      </c>
      <c r="AI291" s="20">
        <f ca="1">SUM($C167:AI167)</f>
        <v>0</v>
      </c>
      <c r="AJ291" s="20">
        <f ca="1">SUM($C167:AJ167)</f>
        <v>0</v>
      </c>
      <c r="AK291" s="20">
        <f ca="1">SUM($C167:AK167)</f>
        <v>0</v>
      </c>
      <c r="AL291" s="20">
        <f ca="1">SUM($C167:AL167)</f>
        <v>0</v>
      </c>
      <c r="AM291" s="20">
        <f ca="1">SUM($C167:AM167)</f>
        <v>0</v>
      </c>
    </row>
    <row r="292" spans="1:39" x14ac:dyDescent="0.2">
      <c r="A292" s="22" t="str">
        <f>B$190</f>
        <v>Antiques</v>
      </c>
      <c r="B292" s="19"/>
      <c r="C292" s="20">
        <f ca="1">SUM($C184:C184)</f>
        <v>0</v>
      </c>
      <c r="D292" s="20">
        <f ca="1">SUM($C184:D184)</f>
        <v>0</v>
      </c>
      <c r="E292" s="20">
        <f ca="1">SUM($C184:E184)</f>
        <v>0</v>
      </c>
      <c r="F292" s="20">
        <f ca="1">SUM($C184:F184)</f>
        <v>0</v>
      </c>
      <c r="G292" s="20">
        <f ca="1">SUM($C184:G184)</f>
        <v>0</v>
      </c>
      <c r="H292" s="20">
        <f ca="1">SUM($C184:H184)</f>
        <v>0</v>
      </c>
      <c r="I292" s="20">
        <f ca="1">SUM($C184:I184)</f>
        <v>0</v>
      </c>
      <c r="J292" s="20">
        <f ca="1">SUM($C184:J184)</f>
        <v>0</v>
      </c>
      <c r="K292" s="20">
        <f ca="1">SUM($C184:K184)</f>
        <v>0</v>
      </c>
      <c r="L292" s="20">
        <f ca="1">SUM($C184:L184)</f>
        <v>0</v>
      </c>
      <c r="M292" s="20">
        <f ca="1">SUM($C184:M184)</f>
        <v>0</v>
      </c>
      <c r="N292" s="20">
        <f ca="1">SUM($C184:N184)</f>
        <v>0</v>
      </c>
      <c r="O292" s="20">
        <f ca="1">SUM($C184:O184)</f>
        <v>0</v>
      </c>
      <c r="P292" s="20">
        <f ca="1">SUM($C184:P184)</f>
        <v>0</v>
      </c>
      <c r="Q292" s="20">
        <f ca="1">SUM($C184:Q184)</f>
        <v>0</v>
      </c>
      <c r="R292" s="20">
        <f ca="1">SUM($C184:R184)</f>
        <v>0</v>
      </c>
      <c r="S292" s="20">
        <f ca="1">SUM($C184:S184)</f>
        <v>0</v>
      </c>
      <c r="T292" s="20">
        <f ca="1">SUM($C184:T184)</f>
        <v>0</v>
      </c>
      <c r="U292" s="20">
        <f ca="1">SUM($C184:U184)</f>
        <v>0</v>
      </c>
      <c r="V292" s="20">
        <f ca="1">SUM($C184:V184)</f>
        <v>0</v>
      </c>
      <c r="W292" s="20">
        <f ca="1">SUM($C184:W184)</f>
        <v>0</v>
      </c>
      <c r="X292" s="20">
        <f ca="1">SUM($C184:X184)</f>
        <v>0</v>
      </c>
      <c r="Y292" s="20">
        <f ca="1">SUM($C184:Y184)</f>
        <v>0</v>
      </c>
      <c r="Z292" s="20">
        <f ca="1">SUM($C184:Z184)</f>
        <v>0</v>
      </c>
      <c r="AA292" s="20">
        <f ca="1">SUM($C184:AA184)</f>
        <v>0</v>
      </c>
      <c r="AB292" s="20">
        <f ca="1">SUM($C184:AB184)</f>
        <v>0</v>
      </c>
      <c r="AC292" s="20">
        <f ca="1">SUM($C184:AC184)</f>
        <v>0</v>
      </c>
      <c r="AD292" s="20">
        <f ca="1">SUM($C184:AD184)</f>
        <v>0</v>
      </c>
      <c r="AE292" s="20">
        <f ca="1">SUM($C184:AE184)</f>
        <v>0</v>
      </c>
      <c r="AF292" s="20">
        <f ca="1">SUM($C184:AF184)</f>
        <v>0</v>
      </c>
      <c r="AG292" s="20">
        <f ca="1">SUM($C184:AG184)</f>
        <v>0</v>
      </c>
      <c r="AH292" s="20">
        <f ca="1">SUM($C184:AH184)</f>
        <v>0</v>
      </c>
      <c r="AI292" s="20">
        <f ca="1">SUM($C184:AI184)</f>
        <v>0</v>
      </c>
      <c r="AJ292" s="20">
        <f ca="1">SUM($C184:AJ184)</f>
        <v>0</v>
      </c>
      <c r="AK292" s="20">
        <f ca="1">SUM($C184:AK184)</f>
        <v>0</v>
      </c>
      <c r="AL292" s="20">
        <f ca="1">SUM($C184:AL184)</f>
        <v>0</v>
      </c>
      <c r="AM292" s="20">
        <f ca="1">SUM($C184:AM184)</f>
        <v>0</v>
      </c>
    </row>
    <row r="293" spans="1:39" x14ac:dyDescent="0.2">
      <c r="A293" s="22" t="str">
        <f>B$207</f>
        <v>Marsa</v>
      </c>
      <c r="B293" s="19"/>
      <c r="C293" s="20">
        <f ca="1">SUM($C201:C201)</f>
        <v>0</v>
      </c>
      <c r="D293" s="20">
        <f ca="1">SUM($C201:D201)</f>
        <v>0</v>
      </c>
      <c r="E293" s="20">
        <f ca="1">SUM($C201:E201)</f>
        <v>0</v>
      </c>
      <c r="F293" s="20">
        <f ca="1">SUM($C201:F201)</f>
        <v>0</v>
      </c>
      <c r="G293" s="20">
        <f ca="1">SUM($C201:G201)</f>
        <v>0</v>
      </c>
      <c r="H293" s="20">
        <f ca="1">SUM($C201:H201)</f>
        <v>0</v>
      </c>
      <c r="I293" s="20">
        <f ca="1">SUM($C201:I201)</f>
        <v>0</v>
      </c>
      <c r="J293" s="20">
        <f ca="1">SUM($C201:J201)</f>
        <v>0</v>
      </c>
      <c r="K293" s="20">
        <f ca="1">SUM($C201:K201)</f>
        <v>0</v>
      </c>
      <c r="L293" s="20">
        <f ca="1">SUM($C201:L201)</f>
        <v>0</v>
      </c>
      <c r="M293" s="20">
        <f ca="1">SUM($C201:M201)</f>
        <v>0</v>
      </c>
      <c r="N293" s="20">
        <f ca="1">SUM($C201:N201)</f>
        <v>0</v>
      </c>
      <c r="O293" s="20">
        <f ca="1">SUM($C201:O201)</f>
        <v>0</v>
      </c>
      <c r="P293" s="20">
        <f ca="1">SUM($C201:P201)</f>
        <v>0</v>
      </c>
      <c r="Q293" s="20">
        <f ca="1">SUM($C201:Q201)</f>
        <v>0</v>
      </c>
      <c r="R293" s="20">
        <f ca="1">SUM($C201:R201)</f>
        <v>0</v>
      </c>
      <c r="S293" s="20">
        <f ca="1">SUM($C201:S201)</f>
        <v>0</v>
      </c>
      <c r="T293" s="20">
        <f ca="1">SUM($C201:T201)</f>
        <v>0</v>
      </c>
      <c r="U293" s="20">
        <f ca="1">SUM($C201:U201)</f>
        <v>0</v>
      </c>
      <c r="V293" s="20">
        <f ca="1">SUM($C201:V201)</f>
        <v>0</v>
      </c>
      <c r="W293" s="20">
        <f ca="1">SUM($C201:W201)</f>
        <v>0</v>
      </c>
      <c r="X293" s="20">
        <f ca="1">SUM($C201:X201)</f>
        <v>0</v>
      </c>
      <c r="Y293" s="20">
        <f ca="1">SUM($C201:Y201)</f>
        <v>0</v>
      </c>
      <c r="Z293" s="20">
        <f ca="1">SUM($C201:Z201)</f>
        <v>0</v>
      </c>
      <c r="AA293" s="20">
        <f ca="1">SUM($C201:AA201)</f>
        <v>0</v>
      </c>
      <c r="AB293" s="20">
        <f ca="1">SUM($C201:AB201)</f>
        <v>0</v>
      </c>
      <c r="AC293" s="20">
        <f ca="1">SUM($C201:AC201)</f>
        <v>0</v>
      </c>
      <c r="AD293" s="20">
        <f ca="1">SUM($C201:AD201)</f>
        <v>0</v>
      </c>
      <c r="AE293" s="20">
        <f ca="1">SUM($C201:AE201)</f>
        <v>0</v>
      </c>
      <c r="AF293" s="20">
        <f ca="1">SUM($C201:AF201)</f>
        <v>0</v>
      </c>
      <c r="AG293" s="20">
        <f ca="1">SUM($C201:AG201)</f>
        <v>0</v>
      </c>
      <c r="AH293" s="20">
        <f ca="1">SUM($C201:AH201)</f>
        <v>0</v>
      </c>
      <c r="AI293" s="20">
        <f ca="1">SUM($C201:AI201)</f>
        <v>0</v>
      </c>
      <c r="AJ293" s="20">
        <f ca="1">SUM($C201:AJ201)</f>
        <v>0</v>
      </c>
      <c r="AK293" s="20">
        <f ca="1">SUM($C201:AK201)</f>
        <v>0</v>
      </c>
      <c r="AL293" s="20">
        <f ca="1">SUM($C201:AL201)</f>
        <v>0</v>
      </c>
      <c r="AM293" s="20">
        <f ca="1">SUM($C201:AM201)</f>
        <v>0</v>
      </c>
    </row>
    <row r="294" spans="1:39" x14ac:dyDescent="0.2">
      <c r="A294" s="22" t="str">
        <f>B$224</f>
        <v>Gzira</v>
      </c>
      <c r="B294" s="19"/>
      <c r="C294" s="20">
        <f ca="1">SUM($C218:C218)</f>
        <v>0</v>
      </c>
      <c r="D294" s="20">
        <f ca="1">SUM($C218:D218)</f>
        <v>0</v>
      </c>
      <c r="E294" s="20">
        <f ca="1">SUM($C218:E218)</f>
        <v>0</v>
      </c>
      <c r="F294" s="20">
        <f ca="1">SUM($C218:F218)</f>
        <v>0</v>
      </c>
      <c r="G294" s="20">
        <f ca="1">SUM($C218:G218)</f>
        <v>0</v>
      </c>
      <c r="H294" s="20">
        <f ca="1">SUM($C218:H218)</f>
        <v>0</v>
      </c>
      <c r="I294" s="20">
        <f ca="1">SUM($C218:I218)</f>
        <v>0</v>
      </c>
      <c r="J294" s="20">
        <f ca="1">SUM($C218:J218)</f>
        <v>0</v>
      </c>
      <c r="K294" s="20">
        <f ca="1">SUM($C218:K218)</f>
        <v>0</v>
      </c>
      <c r="L294" s="20">
        <f ca="1">SUM($C218:L218)</f>
        <v>0</v>
      </c>
      <c r="M294" s="20">
        <f ca="1">SUM($C218:M218)</f>
        <v>0</v>
      </c>
      <c r="N294" s="20">
        <f ca="1">SUM($C218:N218)</f>
        <v>0</v>
      </c>
      <c r="O294" s="20">
        <f ca="1">SUM($C218:O218)</f>
        <v>0</v>
      </c>
      <c r="P294" s="20">
        <f ca="1">SUM($C218:P218)</f>
        <v>0</v>
      </c>
      <c r="Q294" s="20">
        <f ca="1">SUM($C218:Q218)</f>
        <v>0</v>
      </c>
      <c r="R294" s="20">
        <f ca="1">SUM($C218:R218)</f>
        <v>0</v>
      </c>
      <c r="S294" s="20">
        <f ca="1">SUM($C218:S218)</f>
        <v>0</v>
      </c>
      <c r="T294" s="20">
        <f ca="1">SUM($C218:T218)</f>
        <v>0</v>
      </c>
      <c r="U294" s="20">
        <f ca="1">SUM($C218:U218)</f>
        <v>0</v>
      </c>
      <c r="V294" s="20">
        <f ca="1">SUM($C218:V218)</f>
        <v>0</v>
      </c>
      <c r="W294" s="20">
        <f ca="1">SUM($C218:W218)</f>
        <v>0</v>
      </c>
      <c r="X294" s="20">
        <f ca="1">SUM($C218:X218)</f>
        <v>0</v>
      </c>
      <c r="Y294" s="20">
        <f ca="1">SUM($C218:Y218)</f>
        <v>0</v>
      </c>
      <c r="Z294" s="20">
        <f ca="1">SUM($C218:Z218)</f>
        <v>0</v>
      </c>
      <c r="AA294" s="20">
        <f ca="1">SUM($C218:AA218)</f>
        <v>0</v>
      </c>
      <c r="AB294" s="20">
        <f ca="1">SUM($C218:AB218)</f>
        <v>0</v>
      </c>
      <c r="AC294" s="20">
        <f ca="1">SUM($C218:AC218)</f>
        <v>0</v>
      </c>
      <c r="AD294" s="20">
        <f ca="1">SUM($C218:AD218)</f>
        <v>0</v>
      </c>
      <c r="AE294" s="20">
        <f ca="1">SUM($C218:AE218)</f>
        <v>0</v>
      </c>
      <c r="AF294" s="20">
        <f ca="1">SUM($C218:AF218)</f>
        <v>0</v>
      </c>
      <c r="AG294" s="20">
        <f ca="1">SUM($C218:AG218)</f>
        <v>0</v>
      </c>
      <c r="AH294" s="20">
        <f ca="1">SUM($C218:AH218)</f>
        <v>0</v>
      </c>
      <c r="AI294" s="20">
        <f ca="1">SUM($C218:AI218)</f>
        <v>0</v>
      </c>
      <c r="AJ294" s="20">
        <f ca="1">SUM($C218:AJ218)</f>
        <v>0</v>
      </c>
      <c r="AK294" s="20">
        <f ca="1">SUM($C218:AK218)</f>
        <v>0</v>
      </c>
      <c r="AL294" s="20">
        <f ca="1">SUM($C218:AL218)</f>
        <v>0</v>
      </c>
      <c r="AM294" s="20">
        <f ca="1">SUM($C218:AM218)</f>
        <v>0</v>
      </c>
    </row>
    <row r="295" spans="1:39" x14ac:dyDescent="0.2">
      <c r="A295" s="22" t="str">
        <f>B$241</f>
        <v>Boat</v>
      </c>
      <c r="B295" s="19"/>
      <c r="C295" s="20">
        <f ca="1">SUM($C235:C235)</f>
        <v>0</v>
      </c>
      <c r="D295" s="20">
        <f ca="1">SUM($C235:D235)</f>
        <v>0</v>
      </c>
      <c r="E295" s="20">
        <f ca="1">SUM($C235:E235)</f>
        <v>0</v>
      </c>
      <c r="F295" s="20">
        <f ca="1">SUM($C235:F235)</f>
        <v>0</v>
      </c>
      <c r="G295" s="20">
        <f ca="1">SUM($C235:G235)</f>
        <v>0</v>
      </c>
      <c r="H295" s="20">
        <f ca="1">SUM($C235:H235)</f>
        <v>0</v>
      </c>
      <c r="I295" s="20">
        <f ca="1">SUM($C235:I235)</f>
        <v>0</v>
      </c>
      <c r="J295" s="20">
        <f ca="1">SUM($C235:J235)</f>
        <v>0</v>
      </c>
      <c r="K295" s="20">
        <f ca="1">SUM($C235:K235)</f>
        <v>0</v>
      </c>
      <c r="L295" s="20">
        <f ca="1">SUM($C235:L235)</f>
        <v>0</v>
      </c>
      <c r="M295" s="20">
        <f ca="1">SUM($C235:M235)</f>
        <v>0</v>
      </c>
      <c r="N295" s="20">
        <f ca="1">SUM($C235:N235)</f>
        <v>0</v>
      </c>
      <c r="O295" s="20">
        <f ca="1">SUM($C235:O235)</f>
        <v>0</v>
      </c>
      <c r="P295" s="20">
        <f ca="1">SUM($C235:P235)</f>
        <v>0</v>
      </c>
      <c r="Q295" s="20">
        <f ca="1">SUM($C235:Q235)</f>
        <v>0</v>
      </c>
      <c r="R295" s="20">
        <f ca="1">SUM($C235:R235)</f>
        <v>0</v>
      </c>
      <c r="S295" s="20">
        <f ca="1">SUM($C235:S235)</f>
        <v>0</v>
      </c>
      <c r="T295" s="20">
        <f ca="1">SUM($C235:T235)</f>
        <v>0</v>
      </c>
      <c r="U295" s="20">
        <f ca="1">SUM($C235:U235)</f>
        <v>0</v>
      </c>
      <c r="V295" s="20">
        <f ca="1">SUM($C235:V235)</f>
        <v>0</v>
      </c>
      <c r="W295" s="20">
        <f ca="1">SUM($C235:W235)</f>
        <v>0</v>
      </c>
      <c r="X295" s="20">
        <f ca="1">SUM($C235:X235)</f>
        <v>0</v>
      </c>
      <c r="Y295" s="20">
        <f ca="1">SUM($C235:Y235)</f>
        <v>0</v>
      </c>
      <c r="Z295" s="20">
        <f ca="1">SUM($C235:Z235)</f>
        <v>0</v>
      </c>
      <c r="AA295" s="20">
        <f ca="1">SUM($C235:AA235)</f>
        <v>0</v>
      </c>
      <c r="AB295" s="20">
        <f ca="1">SUM($C235:AB235)</f>
        <v>0</v>
      </c>
      <c r="AC295" s="20">
        <f ca="1">SUM($C235:AC235)</f>
        <v>0</v>
      </c>
      <c r="AD295" s="20">
        <f ca="1">SUM($C235:AD235)</f>
        <v>0</v>
      </c>
      <c r="AE295" s="20">
        <f ca="1">SUM($C235:AE235)</f>
        <v>0</v>
      </c>
      <c r="AF295" s="20">
        <f ca="1">SUM($C235:AF235)</f>
        <v>0</v>
      </c>
      <c r="AG295" s="20">
        <f ca="1">SUM($C235:AG235)</f>
        <v>0</v>
      </c>
      <c r="AH295" s="20">
        <f ca="1">SUM($C235:AH235)</f>
        <v>0</v>
      </c>
      <c r="AI295" s="20">
        <f ca="1">SUM($C235:AI235)</f>
        <v>0</v>
      </c>
      <c r="AJ295" s="20">
        <f ca="1">SUM($C235:AJ235)</f>
        <v>0</v>
      </c>
      <c r="AK295" s="20">
        <f ca="1">SUM($C235:AK235)</f>
        <v>0</v>
      </c>
      <c r="AL295" s="20">
        <f ca="1">SUM($C235:AL235)</f>
        <v>0</v>
      </c>
      <c r="AM295" s="20">
        <f ca="1">SUM($C235:AM235)</f>
        <v>0</v>
      </c>
    </row>
    <row r="296" spans="1:39" x14ac:dyDescent="0.2">
      <c r="A296" s="22" t="str">
        <f>B$258</f>
        <v>Qormi</v>
      </c>
      <c r="B296" s="19"/>
      <c r="C296" s="20">
        <f ca="1">SUM($C252:C252)</f>
        <v>0</v>
      </c>
      <c r="D296" s="20">
        <f ca="1">SUM($C252:D252)</f>
        <v>0</v>
      </c>
      <c r="E296" s="20">
        <f ca="1">SUM($C252:E252)</f>
        <v>0</v>
      </c>
      <c r="F296" s="20">
        <f ca="1">SUM($C252:F252)</f>
        <v>0</v>
      </c>
      <c r="G296" s="20">
        <f ca="1">SUM($C252:G252)</f>
        <v>0</v>
      </c>
      <c r="H296" s="20">
        <f ca="1">SUM($C252:H252)</f>
        <v>0</v>
      </c>
      <c r="I296" s="20">
        <f ca="1">SUM($C252:I252)</f>
        <v>0</v>
      </c>
      <c r="J296" s="20">
        <f ca="1">SUM($C252:J252)</f>
        <v>0</v>
      </c>
      <c r="K296" s="20">
        <f ca="1">SUM($C252:K252)</f>
        <v>0</v>
      </c>
      <c r="L296" s="20">
        <f ca="1">SUM($C252:L252)</f>
        <v>0</v>
      </c>
      <c r="M296" s="20">
        <f ca="1">SUM($C252:M252)</f>
        <v>0</v>
      </c>
      <c r="N296" s="20">
        <f ca="1">SUM($C252:N252)</f>
        <v>0</v>
      </c>
      <c r="O296" s="20">
        <f ca="1">SUM($C252:O252)</f>
        <v>0</v>
      </c>
      <c r="P296" s="20">
        <f ca="1">SUM($C252:P252)</f>
        <v>0</v>
      </c>
      <c r="Q296" s="20">
        <f ca="1">SUM($C252:Q252)</f>
        <v>0</v>
      </c>
      <c r="R296" s="20">
        <f ca="1">SUM($C252:R252)</f>
        <v>0</v>
      </c>
      <c r="S296" s="20">
        <f ca="1">SUM($C252:S252)</f>
        <v>0</v>
      </c>
      <c r="T296" s="20">
        <f ca="1">SUM($C252:T252)</f>
        <v>0</v>
      </c>
      <c r="U296" s="20">
        <f ca="1">SUM($C252:U252)</f>
        <v>0</v>
      </c>
      <c r="V296" s="20">
        <f ca="1">SUM($C252:V252)</f>
        <v>0</v>
      </c>
      <c r="W296" s="20">
        <f ca="1">SUM($C252:W252)</f>
        <v>0</v>
      </c>
      <c r="X296" s="20">
        <f ca="1">SUM($C252:X252)</f>
        <v>0</v>
      </c>
      <c r="Y296" s="20">
        <f ca="1">SUM($C252:Y252)</f>
        <v>0</v>
      </c>
      <c r="Z296" s="20">
        <f ca="1">SUM($C252:Z252)</f>
        <v>0</v>
      </c>
      <c r="AA296" s="20">
        <f ca="1">SUM($C252:AA252)</f>
        <v>0</v>
      </c>
      <c r="AB296" s="20">
        <f ca="1">SUM($C252:AB252)</f>
        <v>0</v>
      </c>
      <c r="AC296" s="20">
        <f ca="1">SUM($C252:AC252)</f>
        <v>0</v>
      </c>
      <c r="AD296" s="20">
        <f ca="1">SUM($C252:AD252)</f>
        <v>0</v>
      </c>
      <c r="AE296" s="20">
        <f ca="1">SUM($C252:AE252)</f>
        <v>0</v>
      </c>
      <c r="AF296" s="20">
        <f ca="1">SUM($C252:AF252)</f>
        <v>0</v>
      </c>
      <c r="AG296" s="20">
        <f ca="1">SUM($C252:AG252)</f>
        <v>0</v>
      </c>
      <c r="AH296" s="20">
        <f ca="1">SUM($C252:AH252)</f>
        <v>0</v>
      </c>
      <c r="AI296" s="20">
        <f ca="1">SUM($C252:AI252)</f>
        <v>0</v>
      </c>
      <c r="AJ296" s="20">
        <f ca="1">SUM($C252:AJ252)</f>
        <v>0</v>
      </c>
      <c r="AK296" s="20">
        <f ca="1">SUM($C252:AK252)</f>
        <v>0</v>
      </c>
      <c r="AL296" s="20">
        <f ca="1">SUM($C252:AL252)</f>
        <v>0</v>
      </c>
      <c r="AM296" s="20">
        <f ca="1">SUM($C252:AM252)</f>
        <v>0</v>
      </c>
    </row>
    <row r="297" spans="1:39" x14ac:dyDescent="0.2">
      <c r="A297" s="22" t="str">
        <f>B$275</f>
        <v>Sliema</v>
      </c>
      <c r="B297" s="19"/>
      <c r="C297" s="20">
        <f ca="1">SUM($C269:C269)</f>
        <v>0</v>
      </c>
      <c r="D297" s="20">
        <f ca="1">SUM($C269:D269)</f>
        <v>0</v>
      </c>
      <c r="E297" s="20">
        <f ca="1">SUM($C269:E269)</f>
        <v>0</v>
      </c>
      <c r="F297" s="20">
        <f ca="1">SUM($C269:F269)</f>
        <v>0</v>
      </c>
      <c r="G297" s="20">
        <f ca="1">SUM($C269:G269)</f>
        <v>0</v>
      </c>
      <c r="H297" s="20">
        <f ca="1">SUM($C269:H269)</f>
        <v>0</v>
      </c>
      <c r="I297" s="20">
        <f ca="1">SUM($C269:I269)</f>
        <v>0</v>
      </c>
      <c r="J297" s="20">
        <f ca="1">SUM($C269:J269)</f>
        <v>0</v>
      </c>
      <c r="K297" s="20">
        <f ca="1">SUM($C269:K269)</f>
        <v>0</v>
      </c>
      <c r="L297" s="20">
        <f ca="1">SUM($C269:L269)</f>
        <v>0</v>
      </c>
      <c r="M297" s="20">
        <f ca="1">SUM($C269:M269)</f>
        <v>0</v>
      </c>
      <c r="N297" s="20">
        <f ca="1">SUM($C269:N269)</f>
        <v>0</v>
      </c>
      <c r="O297" s="20">
        <f ca="1">SUM($C269:O269)</f>
        <v>0</v>
      </c>
      <c r="P297" s="20">
        <f ca="1">SUM($C269:P269)</f>
        <v>0</v>
      </c>
      <c r="Q297" s="20">
        <f ca="1">SUM($C269:Q269)</f>
        <v>0</v>
      </c>
      <c r="R297" s="20">
        <f ca="1">SUM($C269:R269)</f>
        <v>0</v>
      </c>
      <c r="S297" s="20">
        <f ca="1">SUM($C269:S269)</f>
        <v>0</v>
      </c>
      <c r="T297" s="20">
        <f ca="1">SUM($C269:T269)</f>
        <v>0</v>
      </c>
      <c r="U297" s="20">
        <f ca="1">SUM($C269:U269)</f>
        <v>0</v>
      </c>
      <c r="V297" s="20">
        <f ca="1">SUM($C269:V269)</f>
        <v>0</v>
      </c>
      <c r="W297" s="20">
        <f ca="1">SUM($C269:W269)</f>
        <v>0</v>
      </c>
      <c r="X297" s="20">
        <f ca="1">SUM($C269:X269)</f>
        <v>0</v>
      </c>
      <c r="Y297" s="20">
        <f ca="1">SUM($C269:Y269)</f>
        <v>0</v>
      </c>
      <c r="Z297" s="20">
        <f ca="1">SUM($C269:Z269)</f>
        <v>0</v>
      </c>
      <c r="AA297" s="20">
        <f ca="1">SUM($C269:AA269)</f>
        <v>0</v>
      </c>
      <c r="AB297" s="20">
        <f ca="1">SUM($C269:AB269)</f>
        <v>0</v>
      </c>
      <c r="AC297" s="20">
        <f ca="1">SUM($C269:AC269)</f>
        <v>0</v>
      </c>
      <c r="AD297" s="20">
        <f ca="1">SUM($C269:AD269)</f>
        <v>0</v>
      </c>
      <c r="AE297" s="20">
        <f ca="1">SUM($C269:AE269)</f>
        <v>0</v>
      </c>
      <c r="AF297" s="20">
        <f ca="1">SUM($C269:AF269)</f>
        <v>0</v>
      </c>
      <c r="AG297" s="20">
        <f ca="1">SUM($C269:AG269)</f>
        <v>0</v>
      </c>
      <c r="AH297" s="20">
        <f ca="1">SUM($C269:AH269)</f>
        <v>0</v>
      </c>
      <c r="AI297" s="20">
        <f ca="1">SUM($C269:AI269)</f>
        <v>0</v>
      </c>
      <c r="AJ297" s="20">
        <f ca="1">SUM($C269:AJ269)</f>
        <v>0</v>
      </c>
      <c r="AK297" s="20">
        <f ca="1">SUM($C269:AK269)</f>
        <v>0</v>
      </c>
      <c r="AL297" s="20">
        <f ca="1">SUM($C269:AL269)</f>
        <v>0</v>
      </c>
      <c r="AM297" s="20">
        <f ca="1">SUM($C269:AM269)</f>
        <v>0</v>
      </c>
    </row>
    <row r="298" spans="1:39" x14ac:dyDescent="0.2">
      <c r="A298" s="21"/>
      <c r="B298" s="19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</row>
    <row r="299" spans="1:39" x14ac:dyDescent="0.2">
      <c r="A299" s="18" t="s">
        <v>195</v>
      </c>
      <c r="B299" s="19"/>
      <c r="C299" s="20"/>
      <c r="D299" s="91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</row>
    <row r="300" spans="1:39" x14ac:dyDescent="0.2">
      <c r="A300" s="22" t="str">
        <f>$A71</f>
        <v>Sliema</v>
      </c>
      <c r="B300" s="19"/>
      <c r="C300" s="20">
        <f t="shared" ref="C300:AM300" ca="1" si="623">IFERROR(IF(VLOOKUP($A300,$287:$297,C$1+2,FALSE)=0,C71,0),C71)</f>
        <v>306724.99866884813</v>
      </c>
      <c r="D300" s="20">
        <f t="shared" ca="1" si="623"/>
        <v>315926.7486289136</v>
      </c>
      <c r="E300" s="20">
        <f t="shared" ca="1" si="623"/>
        <v>325404.55108778103</v>
      </c>
      <c r="F300" s="20">
        <f t="shared" ca="1" si="623"/>
        <v>335166.68762041448</v>
      </c>
      <c r="G300" s="20">
        <f t="shared" ca="1" si="623"/>
        <v>345221.68824902695</v>
      </c>
      <c r="H300" s="20">
        <f t="shared" ca="1" si="623"/>
        <v>355578.33889649779</v>
      </c>
      <c r="I300" s="20">
        <f t="shared" ca="1" si="623"/>
        <v>366245.68906339275</v>
      </c>
      <c r="J300" s="20">
        <f t="shared" ca="1" si="623"/>
        <v>377233.05973529455</v>
      </c>
      <c r="K300" s="20">
        <f t="shared" ca="1" si="623"/>
        <v>388550.05152735341</v>
      </c>
      <c r="L300" s="20">
        <f t="shared" ca="1" si="623"/>
        <v>400206.55307317403</v>
      </c>
      <c r="M300" s="20">
        <f t="shared" ca="1" si="623"/>
        <v>412212.74966536928</v>
      </c>
      <c r="N300" s="20">
        <f t="shared" ca="1" si="623"/>
        <v>424579.13215533039</v>
      </c>
      <c r="O300" s="20">
        <f t="shared" ca="1" si="623"/>
        <v>437316.50611999031</v>
      </c>
      <c r="P300" s="20">
        <f t="shared" ca="1" si="623"/>
        <v>450436.00130359002</v>
      </c>
      <c r="Q300" s="20">
        <f t="shared" ca="1" si="623"/>
        <v>463949.08134269773</v>
      </c>
      <c r="R300" s="20">
        <f t="shared" ca="1" si="623"/>
        <v>477867.55378297868</v>
      </c>
      <c r="S300" s="20">
        <f t="shared" ca="1" si="623"/>
        <v>492203.58039646805</v>
      </c>
      <c r="T300" s="20">
        <f t="shared" ca="1" si="623"/>
        <v>506969.68780836213</v>
      </c>
      <c r="U300" s="20">
        <f t="shared" ca="1" si="623"/>
        <v>522178.77844261302</v>
      </c>
      <c r="V300" s="20">
        <f t="shared" ca="1" si="623"/>
        <v>537844.14179589145</v>
      </c>
      <c r="W300" s="20">
        <f t="shared" ca="1" si="623"/>
        <v>553979.46604976826</v>
      </c>
      <c r="X300" s="20">
        <f t="shared" ca="1" si="623"/>
        <v>570598.85003126133</v>
      </c>
      <c r="Y300" s="20">
        <f t="shared" ca="1" si="623"/>
        <v>587716.81553219922</v>
      </c>
      <c r="Z300" s="20">
        <f t="shared" ca="1" si="623"/>
        <v>605348.31999816524</v>
      </c>
      <c r="AA300" s="20">
        <f t="shared" ca="1" si="623"/>
        <v>623508.76959811023</v>
      </c>
      <c r="AB300" s="20">
        <f t="shared" ca="1" si="623"/>
        <v>642214.03268605354</v>
      </c>
      <c r="AC300" s="20">
        <f t="shared" ca="1" si="623"/>
        <v>661480.45366663521</v>
      </c>
      <c r="AD300" s="20">
        <f t="shared" ca="1" si="623"/>
        <v>681324.86727663432</v>
      </c>
      <c r="AE300" s="20">
        <f t="shared" ca="1" si="623"/>
        <v>701764.61329493334</v>
      </c>
      <c r="AF300" s="20">
        <f t="shared" ca="1" si="623"/>
        <v>722817.5516937814</v>
      </c>
      <c r="AG300" s="20">
        <f t="shared" ca="1" si="623"/>
        <v>744502.07824459486</v>
      </c>
      <c r="AH300" s="20">
        <f t="shared" ca="1" si="623"/>
        <v>766837.14059193269</v>
      </c>
      <c r="AI300" s="20">
        <f t="shared" ca="1" si="623"/>
        <v>789842.25480969064</v>
      </c>
      <c r="AJ300" s="20">
        <f t="shared" ca="1" si="623"/>
        <v>813537.52245398134</v>
      </c>
      <c r="AK300" s="20">
        <f t="shared" ca="1" si="623"/>
        <v>837943.64812760078</v>
      </c>
      <c r="AL300" s="20">
        <f t="shared" ca="1" si="623"/>
        <v>863081.95757142885</v>
      </c>
      <c r="AM300" s="20">
        <f t="shared" ca="1" si="623"/>
        <v>888974.41629857174</v>
      </c>
    </row>
    <row r="301" spans="1:39" x14ac:dyDescent="0.2">
      <c r="A301" s="22" t="str">
        <f>$A72</f>
        <v>Gzira</v>
      </c>
      <c r="B301" s="19"/>
      <c r="C301" s="20">
        <f t="shared" ref="C301:AM301" ca="1" si="624">IFERROR(IF(VLOOKUP($A301,$287:$297,C$1+2,FALSE)=0,C72,0),C72)</f>
        <v>153362.49933442406</v>
      </c>
      <c r="D301" s="20">
        <f t="shared" ca="1" si="624"/>
        <v>157963.3743144568</v>
      </c>
      <c r="E301" s="20">
        <f t="shared" ca="1" si="624"/>
        <v>162702.27554389052</v>
      </c>
      <c r="F301" s="20">
        <f t="shared" ca="1" si="624"/>
        <v>167583.34381020724</v>
      </c>
      <c r="G301" s="20">
        <f t="shared" ca="1" si="624"/>
        <v>172610.84412451347</v>
      </c>
      <c r="H301" s="20">
        <f t="shared" ca="1" si="624"/>
        <v>177789.1694482489</v>
      </c>
      <c r="I301" s="20">
        <f t="shared" ca="1" si="624"/>
        <v>183122.84453169638</v>
      </c>
      <c r="J301" s="20">
        <f t="shared" ca="1" si="624"/>
        <v>188616.52986764727</v>
      </c>
      <c r="K301" s="20">
        <f t="shared" ca="1" si="624"/>
        <v>194275.02576367671</v>
      </c>
      <c r="L301" s="20">
        <f t="shared" ca="1" si="624"/>
        <v>200103.27653658701</v>
      </c>
      <c r="M301" s="20">
        <f t="shared" ca="1" si="624"/>
        <v>206106.37483268464</v>
      </c>
      <c r="N301" s="20">
        <f t="shared" ca="1" si="624"/>
        <v>212289.56607766519</v>
      </c>
      <c r="O301" s="20">
        <f t="shared" ca="1" si="624"/>
        <v>218658.25305999516</v>
      </c>
      <c r="P301" s="20">
        <f t="shared" ca="1" si="624"/>
        <v>225218.00065179501</v>
      </c>
      <c r="Q301" s="20">
        <f t="shared" ca="1" si="624"/>
        <v>231974.54067134886</v>
      </c>
      <c r="R301" s="20">
        <f t="shared" ca="1" si="624"/>
        <v>238933.77689148934</v>
      </c>
      <c r="S301" s="20">
        <f t="shared" ca="1" si="624"/>
        <v>246101.79019823403</v>
      </c>
      <c r="T301" s="20">
        <f t="shared" ca="1" si="624"/>
        <v>253484.84390418106</v>
      </c>
      <c r="U301" s="20">
        <f t="shared" ca="1" si="624"/>
        <v>261089.38922130651</v>
      </c>
      <c r="V301" s="20">
        <f t="shared" ca="1" si="624"/>
        <v>268922.07089794573</v>
      </c>
      <c r="W301" s="20">
        <f t="shared" ca="1" si="624"/>
        <v>276989.73302488413</v>
      </c>
      <c r="X301" s="20">
        <f t="shared" ca="1" si="624"/>
        <v>285299.42501563067</v>
      </c>
      <c r="Y301" s="20">
        <f t="shared" ca="1" si="624"/>
        <v>293858.40776609961</v>
      </c>
      <c r="Z301" s="20">
        <f t="shared" ca="1" si="624"/>
        <v>302674.15999908262</v>
      </c>
      <c r="AA301" s="20">
        <f t="shared" ca="1" si="624"/>
        <v>311754.38479905511</v>
      </c>
      <c r="AB301" s="20">
        <f t="shared" ca="1" si="624"/>
        <v>321107.01634302677</v>
      </c>
      <c r="AC301" s="20">
        <f t="shared" ca="1" si="624"/>
        <v>330740.2268333176</v>
      </c>
      <c r="AD301" s="20">
        <f t="shared" ca="1" si="624"/>
        <v>340662.43363831716</v>
      </c>
      <c r="AE301" s="20">
        <f t="shared" ca="1" si="624"/>
        <v>350882.30664746667</v>
      </c>
      <c r="AF301" s="20">
        <f t="shared" ca="1" si="624"/>
        <v>361408.7758468907</v>
      </c>
      <c r="AG301" s="20">
        <f t="shared" ca="1" si="624"/>
        <v>372251.03912229743</v>
      </c>
      <c r="AH301" s="20">
        <f t="shared" ca="1" si="624"/>
        <v>383418.57029596635</v>
      </c>
      <c r="AI301" s="20">
        <f t="shared" ca="1" si="624"/>
        <v>394921.12740484532</v>
      </c>
      <c r="AJ301" s="20">
        <f t="shared" ca="1" si="624"/>
        <v>406768.76122699067</v>
      </c>
      <c r="AK301" s="20">
        <f t="shared" ca="1" si="624"/>
        <v>418971.82406380039</v>
      </c>
      <c r="AL301" s="20">
        <f t="shared" ca="1" si="624"/>
        <v>431540.97878571443</v>
      </c>
      <c r="AM301" s="20">
        <f t="shared" ca="1" si="624"/>
        <v>444487.20814928587</v>
      </c>
    </row>
    <row r="302" spans="1:39" x14ac:dyDescent="0.2">
      <c r="A302" s="22" t="str">
        <f>$A73</f>
        <v>Qormi</v>
      </c>
      <c r="B302" s="19"/>
      <c r="C302" s="20">
        <f t="shared" ref="C302:AM302" ca="1" si="625">IFERROR(IF(VLOOKUP($A302,$287:$297,C$1+2,FALSE)=0,C73,0),C73)</f>
        <v>224931.66569048862</v>
      </c>
      <c r="D302" s="20">
        <f t="shared" ca="1" si="625"/>
        <v>231679.61566120328</v>
      </c>
      <c r="E302" s="20">
        <f t="shared" ca="1" si="625"/>
        <v>238630.00413103937</v>
      </c>
      <c r="F302" s="20">
        <f t="shared" ca="1" si="625"/>
        <v>245788.90425497055</v>
      </c>
      <c r="G302" s="20">
        <f t="shared" ca="1" si="625"/>
        <v>253162.57138261967</v>
      </c>
      <c r="H302" s="20">
        <f t="shared" ca="1" si="625"/>
        <v>260757.44852409826</v>
      </c>
      <c r="I302" s="20">
        <f t="shared" ca="1" si="625"/>
        <v>268580.17197982123</v>
      </c>
      <c r="J302" s="20">
        <f t="shared" ca="1" si="625"/>
        <v>276637.57713921589</v>
      </c>
      <c r="K302" s="20">
        <f t="shared" ca="1" si="625"/>
        <v>284936.70445339236</v>
      </c>
      <c r="L302" s="20">
        <f t="shared" ca="1" si="625"/>
        <v>293484.80558699416</v>
      </c>
      <c r="M302" s="20">
        <f t="shared" ca="1" si="625"/>
        <v>302289.34975460399</v>
      </c>
      <c r="N302" s="20">
        <f t="shared" ca="1" si="625"/>
        <v>311358.03024724213</v>
      </c>
      <c r="O302" s="20">
        <f t="shared" ca="1" si="625"/>
        <v>320698.77115465939</v>
      </c>
      <c r="P302" s="20">
        <f t="shared" ca="1" si="625"/>
        <v>330319.73428929917</v>
      </c>
      <c r="Q302" s="20">
        <f t="shared" ca="1" si="625"/>
        <v>340229.32631797815</v>
      </c>
      <c r="R302" s="20">
        <f t="shared" ca="1" si="625"/>
        <v>350436.20610751753</v>
      </c>
      <c r="S302" s="20">
        <f t="shared" ca="1" si="625"/>
        <v>360949.29229074309</v>
      </c>
      <c r="T302" s="20">
        <f t="shared" ca="1" si="625"/>
        <v>371777.77105946542</v>
      </c>
      <c r="U302" s="20">
        <f t="shared" ca="1" si="625"/>
        <v>382931.10419124941</v>
      </c>
      <c r="V302" s="20">
        <f t="shared" ca="1" si="625"/>
        <v>394419.03731698688</v>
      </c>
      <c r="W302" s="20">
        <f t="shared" ca="1" si="625"/>
        <v>406251.60843649652</v>
      </c>
      <c r="X302" s="20">
        <f t="shared" ca="1" si="625"/>
        <v>418439.15668959141</v>
      </c>
      <c r="Y302" s="20">
        <f t="shared" ca="1" si="625"/>
        <v>430992.33139027917</v>
      </c>
      <c r="Z302" s="20">
        <f t="shared" ca="1" si="625"/>
        <v>443922.10133198753</v>
      </c>
      <c r="AA302" s="20">
        <f t="shared" ca="1" si="625"/>
        <v>457239.76437194715</v>
      </c>
      <c r="AB302" s="20">
        <f t="shared" ca="1" si="625"/>
        <v>470956.95730310556</v>
      </c>
      <c r="AC302" s="20">
        <f t="shared" ca="1" si="625"/>
        <v>485085.66602219874</v>
      </c>
      <c r="AD302" s="20">
        <f t="shared" ca="1" si="625"/>
        <v>499638.23600286472</v>
      </c>
      <c r="AE302" s="20">
        <f t="shared" ca="1" si="625"/>
        <v>514627.38308295066</v>
      </c>
      <c r="AF302" s="20">
        <f t="shared" ca="1" si="625"/>
        <v>530066.20457543922</v>
      </c>
      <c r="AG302" s="20">
        <f t="shared" ca="1" si="625"/>
        <v>545968.19071270246</v>
      </c>
      <c r="AH302" s="20">
        <f t="shared" ca="1" si="625"/>
        <v>562347.23643408355</v>
      </c>
      <c r="AI302" s="20">
        <f t="shared" ca="1" si="625"/>
        <v>579217.65352710604</v>
      </c>
      <c r="AJ302" s="20">
        <f t="shared" ca="1" si="625"/>
        <v>596594.18313291925</v>
      </c>
      <c r="AK302" s="20">
        <f t="shared" ca="1" si="625"/>
        <v>614492.0086269069</v>
      </c>
      <c r="AL302" s="20">
        <f t="shared" ca="1" si="625"/>
        <v>632926.76888571412</v>
      </c>
      <c r="AM302" s="20">
        <f t="shared" ca="1" si="625"/>
        <v>651914.57195228559</v>
      </c>
    </row>
    <row r="303" spans="1:39" x14ac:dyDescent="0.2">
      <c r="A303" s="22" t="str">
        <f>$A74</f>
        <v>Gudja</v>
      </c>
      <c r="B303" s="19"/>
      <c r="C303" s="20">
        <f t="shared" ref="C303:AM303" ca="1" si="626">IFERROR(IF(VLOOKUP($A303,$287:$297,C$1+2,FALSE)=0,C74,0),C74)</f>
        <v>81793.332978359496</v>
      </c>
      <c r="D303" s="20">
        <f t="shared" ca="1" si="626"/>
        <v>84247.132967710277</v>
      </c>
      <c r="E303" s="20">
        <f t="shared" ca="1" si="626"/>
        <v>86774.546956741586</v>
      </c>
      <c r="F303" s="20">
        <f t="shared" ca="1" si="626"/>
        <v>89377.783365443829</v>
      </c>
      <c r="G303" s="20">
        <f t="shared" ca="1" si="626"/>
        <v>92059.116866407145</v>
      </c>
      <c r="H303" s="20">
        <f t="shared" ca="1" si="626"/>
        <v>94820.890372399357</v>
      </c>
      <c r="I303" s="20">
        <f t="shared" ca="1" si="626"/>
        <v>97665.517083571336</v>
      </c>
      <c r="J303" s="20">
        <f t="shared" ca="1" si="626"/>
        <v>100595.48259607848</v>
      </c>
      <c r="K303" s="20">
        <f t="shared" ca="1" si="626"/>
        <v>103613.34707396083</v>
      </c>
      <c r="L303" s="20">
        <f t="shared" ca="1" si="626"/>
        <v>106721.74748617967</v>
      </c>
      <c r="M303" s="20">
        <f t="shared" ca="1" si="626"/>
        <v>109923.39991076506</v>
      </c>
      <c r="N303" s="20">
        <f t="shared" ca="1" si="626"/>
        <v>113221.10190808802</v>
      </c>
      <c r="O303" s="20">
        <f t="shared" ca="1" si="626"/>
        <v>116617.73496533066</v>
      </c>
      <c r="P303" s="20">
        <f t="shared" ca="1" si="626"/>
        <v>120116.26701429058</v>
      </c>
      <c r="Q303" s="20">
        <f t="shared" ca="1" si="626"/>
        <v>123719.7550247193</v>
      </c>
      <c r="R303" s="20">
        <f t="shared" ca="1" si="626"/>
        <v>127431.34767546089</v>
      </c>
      <c r="S303" s="20">
        <f t="shared" ca="1" si="626"/>
        <v>131254.28810572473</v>
      </c>
      <c r="T303" s="20">
        <f t="shared" ca="1" si="626"/>
        <v>135191.91674889647</v>
      </c>
      <c r="U303" s="20">
        <f t="shared" ca="1" si="626"/>
        <v>139247.67425136338</v>
      </c>
      <c r="V303" s="20">
        <f t="shared" ca="1" si="626"/>
        <v>143425.10447890428</v>
      </c>
      <c r="W303" s="20">
        <f t="shared" ca="1" si="626"/>
        <v>147727.85761327142</v>
      </c>
      <c r="X303" s="20">
        <f t="shared" ca="1" si="626"/>
        <v>152159.69334166957</v>
      </c>
      <c r="Y303" s="20">
        <f t="shared" ca="1" si="626"/>
        <v>156724.48414191965</v>
      </c>
      <c r="Z303" s="20">
        <f t="shared" ca="1" si="626"/>
        <v>161426.21866617724</v>
      </c>
      <c r="AA303" s="20">
        <f t="shared" ca="1" si="626"/>
        <v>166269.00522616255</v>
      </c>
      <c r="AB303" s="20">
        <f t="shared" ca="1" si="626"/>
        <v>171257.07538294743</v>
      </c>
      <c r="AC303" s="20">
        <f t="shared" ca="1" si="626"/>
        <v>176394.78764443586</v>
      </c>
      <c r="AD303" s="20">
        <f t="shared" ca="1" si="626"/>
        <v>181686.63127376893</v>
      </c>
      <c r="AE303" s="20">
        <f t="shared" ca="1" si="626"/>
        <v>187137.23021198201</v>
      </c>
      <c r="AF303" s="20">
        <f t="shared" ca="1" si="626"/>
        <v>192751.34711834148</v>
      </c>
      <c r="AG303" s="20">
        <f t="shared" ca="1" si="626"/>
        <v>198533.88753189173</v>
      </c>
      <c r="AH303" s="20">
        <f t="shared" ca="1" si="626"/>
        <v>204489.90415784848</v>
      </c>
      <c r="AI303" s="20">
        <f t="shared" ca="1" si="626"/>
        <v>210624.60128258393</v>
      </c>
      <c r="AJ303" s="20">
        <f t="shared" ca="1" si="626"/>
        <v>216943.33932106144</v>
      </c>
      <c r="AK303" s="20">
        <f t="shared" ca="1" si="626"/>
        <v>223451.6395006933</v>
      </c>
      <c r="AL303" s="20">
        <f t="shared" ca="1" si="626"/>
        <v>230155.18868571409</v>
      </c>
      <c r="AM303" s="20">
        <f t="shared" ca="1" si="626"/>
        <v>237059.84434628554</v>
      </c>
    </row>
    <row r="304" spans="1:39" x14ac:dyDescent="0.2">
      <c r="A304" s="22" t="str">
        <f>$A75</f>
        <v>Marsa</v>
      </c>
      <c r="B304" s="19"/>
      <c r="C304" s="20">
        <f t="shared" ref="C304:AM304" ca="1" si="627">IFERROR(IF(VLOOKUP($A304,$287:$297,C$1+2,FALSE)=0,C75,0),C75)</f>
        <v>122689.99946753924</v>
      </c>
      <c r="D304" s="20">
        <f t="shared" ca="1" si="627"/>
        <v>126370.69945156542</v>
      </c>
      <c r="E304" s="20">
        <f t="shared" ca="1" si="627"/>
        <v>130161.82043511239</v>
      </c>
      <c r="F304" s="20">
        <f t="shared" ca="1" si="627"/>
        <v>134066.67504816575</v>
      </c>
      <c r="G304" s="20">
        <f t="shared" ca="1" si="627"/>
        <v>138088.67529961074</v>
      </c>
      <c r="H304" s="20">
        <f t="shared" ca="1" si="627"/>
        <v>142231.33555859906</v>
      </c>
      <c r="I304" s="20">
        <f t="shared" ca="1" si="627"/>
        <v>146498.27562535706</v>
      </c>
      <c r="J304" s="20">
        <f t="shared" ca="1" si="627"/>
        <v>150893.22389411778</v>
      </c>
      <c r="K304" s="20">
        <f t="shared" ca="1" si="627"/>
        <v>155420.02061094131</v>
      </c>
      <c r="L304" s="20">
        <f t="shared" ca="1" si="627"/>
        <v>160082.62122926954</v>
      </c>
      <c r="M304" s="20">
        <f t="shared" ca="1" si="627"/>
        <v>164885.09986614762</v>
      </c>
      <c r="N304" s="20">
        <f t="shared" ca="1" si="627"/>
        <v>169831.65286213206</v>
      </c>
      <c r="O304" s="20">
        <f t="shared" ca="1" si="627"/>
        <v>174926.60244799603</v>
      </c>
      <c r="P304" s="20">
        <f t="shared" ca="1" si="627"/>
        <v>180174.40052143592</v>
      </c>
      <c r="Q304" s="20">
        <f t="shared" ca="1" si="627"/>
        <v>185579.63253707901</v>
      </c>
      <c r="R304" s="20">
        <f t="shared" ca="1" si="627"/>
        <v>191147.0215131914</v>
      </c>
      <c r="S304" s="20">
        <f t="shared" ca="1" si="627"/>
        <v>196881.43215858715</v>
      </c>
      <c r="T304" s="20">
        <f t="shared" ca="1" si="627"/>
        <v>202787.87512334477</v>
      </c>
      <c r="U304" s="20">
        <f t="shared" ca="1" si="627"/>
        <v>208871.51137704513</v>
      </c>
      <c r="V304" s="20">
        <f t="shared" ca="1" si="627"/>
        <v>215137.65671835648</v>
      </c>
      <c r="W304" s="20">
        <f t="shared" ca="1" si="627"/>
        <v>221591.78641990718</v>
      </c>
      <c r="X304" s="20">
        <f t="shared" ca="1" si="627"/>
        <v>228239.54001250441</v>
      </c>
      <c r="Y304" s="20">
        <f t="shared" ca="1" si="627"/>
        <v>235086.72621287956</v>
      </c>
      <c r="Z304" s="20">
        <f t="shared" ca="1" si="627"/>
        <v>242139.32799926595</v>
      </c>
      <c r="AA304" s="20">
        <f t="shared" ca="1" si="627"/>
        <v>249403.50783924395</v>
      </c>
      <c r="AB304" s="20">
        <f t="shared" ca="1" si="627"/>
        <v>256885.61307442127</v>
      </c>
      <c r="AC304" s="20">
        <f t="shared" ca="1" si="627"/>
        <v>264592.18146665394</v>
      </c>
      <c r="AD304" s="20">
        <f t="shared" ca="1" si="627"/>
        <v>272529.94691065355</v>
      </c>
      <c r="AE304" s="20">
        <f t="shared" ca="1" si="627"/>
        <v>280705.84531797317</v>
      </c>
      <c r="AF304" s="20">
        <f t="shared" ca="1" si="627"/>
        <v>289127.0206775124</v>
      </c>
      <c r="AG304" s="20">
        <f t="shared" ca="1" si="627"/>
        <v>297800.83129783778</v>
      </c>
      <c r="AH304" s="20">
        <f t="shared" ca="1" si="627"/>
        <v>306734.8562367729</v>
      </c>
      <c r="AI304" s="20">
        <f t="shared" ca="1" si="627"/>
        <v>315936.90192387608</v>
      </c>
      <c r="AJ304" s="20">
        <f t="shared" ca="1" si="627"/>
        <v>325415.00898159237</v>
      </c>
      <c r="AK304" s="20">
        <f t="shared" ca="1" si="627"/>
        <v>335177.45925104013</v>
      </c>
      <c r="AL304" s="20">
        <f t="shared" ca="1" si="627"/>
        <v>345232.78302857134</v>
      </c>
      <c r="AM304" s="20">
        <f t="shared" ca="1" si="627"/>
        <v>355589.76651942846</v>
      </c>
    </row>
    <row r="305" spans="1:39" x14ac:dyDescent="0.2">
      <c r="A305" s="22" t="str">
        <f>A77</f>
        <v>Jewelry</v>
      </c>
      <c r="B305" s="19"/>
      <c r="C305" s="20">
        <f t="shared" ref="C305:AM305" ca="1" si="628">IFERROR(IF(VLOOKUP($A305,$287:$297,C$1+2,FALSE)=0,C77,0),C77)</f>
        <v>50748.140451472013</v>
      </c>
      <c r="D305" s="20">
        <f t="shared" ca="1" si="628"/>
        <v>51763.103260501455</v>
      </c>
      <c r="E305" s="20">
        <f t="shared" ca="1" si="628"/>
        <v>52798.365325711486</v>
      </c>
      <c r="F305" s="20">
        <f t="shared" ca="1" si="628"/>
        <v>53854.33263222572</v>
      </c>
      <c r="G305" s="20">
        <f t="shared" ca="1" si="628"/>
        <v>54931.419284870237</v>
      </c>
      <c r="H305" s="20">
        <f t="shared" ca="1" si="628"/>
        <v>56030.047670567641</v>
      </c>
      <c r="I305" s="20">
        <f t="shared" ca="1" si="628"/>
        <v>57150.648623978996</v>
      </c>
      <c r="J305" s="20">
        <f t="shared" ca="1" si="628"/>
        <v>58293.66159645858</v>
      </c>
      <c r="K305" s="20">
        <f t="shared" ca="1" si="628"/>
        <v>59459.534828387754</v>
      </c>
      <c r="L305" s="20">
        <f t="shared" ca="1" si="628"/>
        <v>60648.725524955509</v>
      </c>
      <c r="M305" s="20">
        <f t="shared" ca="1" si="628"/>
        <v>61861.700035454618</v>
      </c>
      <c r="N305" s="20">
        <f t="shared" ca="1" si="628"/>
        <v>63098.934036163715</v>
      </c>
      <c r="O305" s="20">
        <f t="shared" ca="1" si="628"/>
        <v>64360.912716886989</v>
      </c>
      <c r="P305" s="20">
        <f t="shared" ca="1" si="628"/>
        <v>65648.130971224731</v>
      </c>
      <c r="Q305" s="20">
        <f t="shared" ca="1" si="628"/>
        <v>66961.093590649223</v>
      </c>
      <c r="R305" s="20">
        <f t="shared" ca="1" si="628"/>
        <v>68300.315462462211</v>
      </c>
      <c r="S305" s="20">
        <f t="shared" ca="1" si="628"/>
        <v>69666.32177171146</v>
      </c>
      <c r="T305" s="20">
        <f t="shared" ca="1" si="628"/>
        <v>71059.648207145685</v>
      </c>
      <c r="U305" s="20">
        <f t="shared" ca="1" si="628"/>
        <v>72480.841171288601</v>
      </c>
      <c r="V305" s="20">
        <f t="shared" ca="1" si="628"/>
        <v>73930.457994714379</v>
      </c>
      <c r="W305" s="20">
        <f t="shared" ca="1" si="628"/>
        <v>75409.067154608667</v>
      </c>
      <c r="X305" s="20">
        <f t="shared" ca="1" si="628"/>
        <v>76917.248497700843</v>
      </c>
      <c r="Y305" s="20">
        <f t="shared" ca="1" si="628"/>
        <v>78455.593467654864</v>
      </c>
      <c r="Z305" s="20">
        <f t="shared" ca="1" si="628"/>
        <v>80024.705337007967</v>
      </c>
      <c r="AA305" s="20">
        <f t="shared" ca="1" si="628"/>
        <v>81625.199443748133</v>
      </c>
      <c r="AB305" s="20">
        <f t="shared" ca="1" si="628"/>
        <v>83257.703432623093</v>
      </c>
      <c r="AC305" s="20">
        <f t="shared" ca="1" si="628"/>
        <v>84922.857501275561</v>
      </c>
      <c r="AD305" s="20">
        <f t="shared" ca="1" si="628"/>
        <v>86621.314651301072</v>
      </c>
      <c r="AE305" s="20">
        <f t="shared" ca="1" si="628"/>
        <v>88353.740944327103</v>
      </c>
      <c r="AF305" s="20">
        <f t="shared" ca="1" si="628"/>
        <v>90120.815763213643</v>
      </c>
      <c r="AG305" s="20">
        <f t="shared" ca="1" si="628"/>
        <v>91923.232078477915</v>
      </c>
      <c r="AH305" s="20">
        <f t="shared" ca="1" si="628"/>
        <v>93761.696720047476</v>
      </c>
      <c r="AI305" s="20">
        <f t="shared" ca="1" si="628"/>
        <v>95636.930654448428</v>
      </c>
      <c r="AJ305" s="20">
        <f t="shared" ca="1" si="628"/>
        <v>97549.669267537392</v>
      </c>
      <c r="AK305" s="20">
        <f t="shared" ca="1" si="628"/>
        <v>99500.662652888146</v>
      </c>
      <c r="AL305" s="20">
        <f t="shared" ca="1" si="628"/>
        <v>101490.67590594591</v>
      </c>
      <c r="AM305" s="20">
        <f t="shared" ca="1" si="628"/>
        <v>103520.48942406483</v>
      </c>
    </row>
    <row r="306" spans="1:39" x14ac:dyDescent="0.2">
      <c r="A306" s="22" t="str">
        <f>A78</f>
        <v>Car</v>
      </c>
      <c r="B306" s="19"/>
      <c r="C306" s="20">
        <f t="shared" ref="C306:AM306" ca="1" si="629">IFERROR(IF(VLOOKUP($A306,$287:$297,C$1+2,FALSE)=0,C78,0),C78)</f>
        <v>38490.424009238486</v>
      </c>
      <c r="D306" s="20">
        <f t="shared" ca="1" si="629"/>
        <v>36565.902808776562</v>
      </c>
      <c r="E306" s="20">
        <f t="shared" ca="1" si="629"/>
        <v>34737.607668337732</v>
      </c>
      <c r="F306" s="20">
        <f t="shared" ca="1" si="629"/>
        <v>33000.727284920846</v>
      </c>
      <c r="G306" s="20">
        <f t="shared" ca="1" si="629"/>
        <v>31350.690920674802</v>
      </c>
      <c r="H306" s="20">
        <f t="shared" ca="1" si="629"/>
        <v>29783.156374641061</v>
      </c>
      <c r="I306" s="20">
        <f t="shared" ca="1" si="629"/>
        <v>28293.998555909006</v>
      </c>
      <c r="J306" s="20">
        <f t="shared" ca="1" si="629"/>
        <v>26879.298628113553</v>
      </c>
      <c r="K306" s="20">
        <f t="shared" ca="1" si="629"/>
        <v>25535.333696707872</v>
      </c>
      <c r="L306" s="20">
        <f t="shared" ca="1" si="629"/>
        <v>24258.567011872477</v>
      </c>
      <c r="M306" s="20">
        <f t="shared" ca="1" si="629"/>
        <v>23045.638661278852</v>
      </c>
      <c r="N306" s="20">
        <f t="shared" ca="1" si="629"/>
        <v>21893.356728214909</v>
      </c>
      <c r="O306" s="20">
        <f t="shared" ca="1" si="629"/>
        <v>20798.688891804162</v>
      </c>
      <c r="P306" s="20">
        <f t="shared" ca="1" si="629"/>
        <v>19758.754447213953</v>
      </c>
      <c r="Q306" s="20">
        <f t="shared" ca="1" si="629"/>
        <v>18770.816724853255</v>
      </c>
      <c r="R306" s="20">
        <f t="shared" ca="1" si="629"/>
        <v>17832.275888610591</v>
      </c>
      <c r="S306" s="20">
        <f t="shared" ca="1" si="629"/>
        <v>16940.662094180061</v>
      </c>
      <c r="T306" s="20">
        <f t="shared" ca="1" si="629"/>
        <v>16093.628989471057</v>
      </c>
      <c r="U306" s="20">
        <f t="shared" ca="1" si="629"/>
        <v>15288.947539997504</v>
      </c>
      <c r="V306" s="20">
        <f t="shared" ca="1" si="629"/>
        <v>14524.500162997627</v>
      </c>
      <c r="W306" s="20">
        <f t="shared" ca="1" si="629"/>
        <v>13798.275154847744</v>
      </c>
      <c r="X306" s="20">
        <f t="shared" ca="1" si="629"/>
        <v>13108.361397105356</v>
      </c>
      <c r="Y306" s="20">
        <f t="shared" ca="1" si="629"/>
        <v>12452.943327250088</v>
      </c>
      <c r="Z306" s="20">
        <f t="shared" ca="1" si="629"/>
        <v>11830.296160887583</v>
      </c>
      <c r="AA306" s="20">
        <f t="shared" ca="1" si="629"/>
        <v>11238.781352843203</v>
      </c>
      <c r="AB306" s="20">
        <f t="shared" ca="1" si="629"/>
        <v>10676.842285201043</v>
      </c>
      <c r="AC306" s="20">
        <f t="shared" ca="1" si="629"/>
        <v>10143.00017094099</v>
      </c>
      <c r="AD306" s="20">
        <f t="shared" ca="1" si="629"/>
        <v>9635.8501623939392</v>
      </c>
      <c r="AE306" s="20">
        <f t="shared" ca="1" si="629"/>
        <v>9154.0576542742419</v>
      </c>
      <c r="AF306" s="20">
        <f t="shared" ca="1" si="629"/>
        <v>8696.3547715605291</v>
      </c>
      <c r="AG306" s="20">
        <f t="shared" ca="1" si="629"/>
        <v>8261.5370329825018</v>
      </c>
      <c r="AH306" s="20">
        <f t="shared" ca="1" si="629"/>
        <v>7848.4601813333766</v>
      </c>
      <c r="AI306" s="20">
        <f t="shared" ca="1" si="629"/>
        <v>7456.0371722667078</v>
      </c>
      <c r="AJ306" s="20">
        <f t="shared" ca="1" si="629"/>
        <v>7083.235313653372</v>
      </c>
      <c r="AK306" s="20">
        <f t="shared" ca="1" si="629"/>
        <v>6729.0735479707027</v>
      </c>
      <c r="AL306" s="20">
        <f t="shared" ca="1" si="629"/>
        <v>6392.6198705721672</v>
      </c>
      <c r="AM306" s="20">
        <f t="shared" ca="1" si="629"/>
        <v>6072.9888770435582</v>
      </c>
    </row>
    <row r="307" spans="1:39" x14ac:dyDescent="0.2">
      <c r="A307" s="22" t="str">
        <f>A79</f>
        <v>Painting</v>
      </c>
      <c r="B307" s="19"/>
      <c r="C307" s="20">
        <f t="shared" ref="C307:AM307" ca="1" si="630">IFERROR(IF(VLOOKUP($A307,$287:$297,C$1+2,FALSE)=0,C79,0),C79)</f>
        <v>20448.333244589874</v>
      </c>
      <c r="D307" s="20">
        <f t="shared" ca="1" si="630"/>
        <v>21061.783241927569</v>
      </c>
      <c r="E307" s="20">
        <f t="shared" ca="1" si="630"/>
        <v>21693.636739185396</v>
      </c>
      <c r="F307" s="20">
        <f t="shared" ca="1" si="630"/>
        <v>22344.445841360957</v>
      </c>
      <c r="G307" s="20">
        <f t="shared" ca="1" si="630"/>
        <v>23014.779216601786</v>
      </c>
      <c r="H307" s="20">
        <f t="shared" ca="1" si="630"/>
        <v>23705.222593099839</v>
      </c>
      <c r="I307" s="20">
        <f t="shared" ca="1" si="630"/>
        <v>24416.379270892834</v>
      </c>
      <c r="J307" s="20">
        <f t="shared" ca="1" si="630"/>
        <v>25148.87064901962</v>
      </c>
      <c r="K307" s="20">
        <f t="shared" ca="1" si="630"/>
        <v>25903.336768490208</v>
      </c>
      <c r="L307" s="20">
        <f t="shared" ca="1" si="630"/>
        <v>26680.436871544916</v>
      </c>
      <c r="M307" s="20">
        <f t="shared" ca="1" si="630"/>
        <v>27480.849977691265</v>
      </c>
      <c r="N307" s="20">
        <f t="shared" ca="1" si="630"/>
        <v>28305.275477022005</v>
      </c>
      <c r="O307" s="20">
        <f t="shared" ca="1" si="630"/>
        <v>29154.433741332665</v>
      </c>
      <c r="P307" s="20">
        <f t="shared" ca="1" si="630"/>
        <v>30029.066753572646</v>
      </c>
      <c r="Q307" s="20">
        <f t="shared" ca="1" si="630"/>
        <v>30929.938756179825</v>
      </c>
      <c r="R307" s="20">
        <f t="shared" ca="1" si="630"/>
        <v>31857.836918865221</v>
      </c>
      <c r="S307" s="20">
        <f t="shared" ca="1" si="630"/>
        <v>32813.572026431182</v>
      </c>
      <c r="T307" s="20">
        <f t="shared" ca="1" si="630"/>
        <v>33797.979187224119</v>
      </c>
      <c r="U307" s="20">
        <f t="shared" ca="1" si="630"/>
        <v>34811.918562840845</v>
      </c>
      <c r="V307" s="20">
        <f t="shared" ca="1" si="630"/>
        <v>35856.27611972607</v>
      </c>
      <c r="W307" s="20">
        <f t="shared" ca="1" si="630"/>
        <v>36931.964403317856</v>
      </c>
      <c r="X307" s="20">
        <f t="shared" ca="1" si="630"/>
        <v>38039.923335417392</v>
      </c>
      <c r="Y307" s="20">
        <f t="shared" ca="1" si="630"/>
        <v>39181.121035479911</v>
      </c>
      <c r="Z307" s="20">
        <f t="shared" ca="1" si="630"/>
        <v>40356.554666544311</v>
      </c>
      <c r="AA307" s="20">
        <f t="shared" ca="1" si="630"/>
        <v>41567.251306540638</v>
      </c>
      <c r="AB307" s="20">
        <f t="shared" ca="1" si="630"/>
        <v>42814.268845736857</v>
      </c>
      <c r="AC307" s="20">
        <f t="shared" ca="1" si="630"/>
        <v>44098.696911108964</v>
      </c>
      <c r="AD307" s="20">
        <f t="shared" ca="1" si="630"/>
        <v>45421.657818442232</v>
      </c>
      <c r="AE307" s="20">
        <f t="shared" ca="1" si="630"/>
        <v>46784.307552995502</v>
      </c>
      <c r="AF307" s="20">
        <f t="shared" ca="1" si="630"/>
        <v>48187.83677958537</v>
      </c>
      <c r="AG307" s="20">
        <f t="shared" ca="1" si="630"/>
        <v>49633.471882972932</v>
      </c>
      <c r="AH307" s="20">
        <f t="shared" ca="1" si="630"/>
        <v>51122.476039462119</v>
      </c>
      <c r="AI307" s="20">
        <f t="shared" ca="1" si="630"/>
        <v>52656.150320645982</v>
      </c>
      <c r="AJ307" s="20">
        <f t="shared" ca="1" si="630"/>
        <v>54235.834830265361</v>
      </c>
      <c r="AK307" s="20">
        <f t="shared" ca="1" si="630"/>
        <v>55862.909875173325</v>
      </c>
      <c r="AL307" s="20">
        <f t="shared" ca="1" si="630"/>
        <v>57538.797171428523</v>
      </c>
      <c r="AM307" s="20">
        <f t="shared" ca="1" si="630"/>
        <v>59264.961086571384</v>
      </c>
    </row>
    <row r="308" spans="1:39" x14ac:dyDescent="0.2">
      <c r="A308" s="22" t="str">
        <f>A80</f>
        <v>Boat</v>
      </c>
      <c r="B308" s="19"/>
      <c r="C308" s="20">
        <f t="shared" ref="C308:AM308" ca="1" si="631">IFERROR(IF(VLOOKUP($A308,$287:$297,C$1+2,FALSE)=0,C80,0),C80)</f>
        <v>173206.90804157319</v>
      </c>
      <c r="D308" s="20">
        <f t="shared" ca="1" si="631"/>
        <v>164546.56263949451</v>
      </c>
      <c r="E308" s="20">
        <f t="shared" ca="1" si="631"/>
        <v>156319.23450751978</v>
      </c>
      <c r="F308" s="20">
        <f t="shared" ca="1" si="631"/>
        <v>148503.27278214379</v>
      </c>
      <c r="G308" s="20">
        <f t="shared" ca="1" si="631"/>
        <v>141078.10914303659</v>
      </c>
      <c r="H308" s="20">
        <f t="shared" ca="1" si="631"/>
        <v>134024.20368588474</v>
      </c>
      <c r="I308" s="20">
        <f t="shared" ca="1" si="631"/>
        <v>127322.99350159049</v>
      </c>
      <c r="J308" s="20">
        <f t="shared" ca="1" si="631"/>
        <v>120956.84382651096</v>
      </c>
      <c r="K308" s="20">
        <f t="shared" ca="1" si="631"/>
        <v>114909.0016351854</v>
      </c>
      <c r="L308" s="20">
        <f t="shared" ca="1" si="631"/>
        <v>109163.55155342612</v>
      </c>
      <c r="M308" s="20">
        <f t="shared" ca="1" si="631"/>
        <v>103705.37397575482</v>
      </c>
      <c r="N308" s="20">
        <f t="shared" ca="1" si="631"/>
        <v>98520.105276967079</v>
      </c>
      <c r="O308" s="20">
        <f t="shared" ca="1" si="631"/>
        <v>93594.100013118717</v>
      </c>
      <c r="P308" s="20">
        <f t="shared" ca="1" si="631"/>
        <v>88914.395012462774</v>
      </c>
      <c r="Q308" s="20">
        <f t="shared" ca="1" si="631"/>
        <v>84468.675261839628</v>
      </c>
      <c r="R308" s="20">
        <f t="shared" ca="1" si="631"/>
        <v>80245.241498747637</v>
      </c>
      <c r="S308" s="20">
        <f t="shared" ca="1" si="631"/>
        <v>76232.979423810248</v>
      </c>
      <c r="T308" s="20">
        <f t="shared" ca="1" si="631"/>
        <v>72421.330452619732</v>
      </c>
      <c r="U308" s="20">
        <f t="shared" ca="1" si="631"/>
        <v>68800.263929988738</v>
      </c>
      <c r="V308" s="20">
        <f t="shared" ca="1" si="631"/>
        <v>65360.250733489294</v>
      </c>
      <c r="W308" s="20">
        <f t="shared" ca="1" si="631"/>
        <v>62092.238196814826</v>
      </c>
      <c r="X308" s="20">
        <f t="shared" ca="1" si="631"/>
        <v>58987.626286974082</v>
      </c>
      <c r="Y308" s="20">
        <f t="shared" ca="1" si="631"/>
        <v>56038.244972625376</v>
      </c>
      <c r="Z308" s="20">
        <f t="shared" ca="1" si="631"/>
        <v>53236.332723994106</v>
      </c>
      <c r="AA308" s="20">
        <f t="shared" ca="1" si="631"/>
        <v>50574.5160877944</v>
      </c>
      <c r="AB308" s="20">
        <f t="shared" ca="1" si="631"/>
        <v>48045.790283404676</v>
      </c>
      <c r="AC308" s="20">
        <f t="shared" ca="1" si="631"/>
        <v>45643.500769234437</v>
      </c>
      <c r="AD308" s="20">
        <f t="shared" ca="1" si="631"/>
        <v>43361.325730772711</v>
      </c>
      <c r="AE308" s="20">
        <f t="shared" ca="1" si="631"/>
        <v>41193.259444234071</v>
      </c>
      <c r="AF308" s="20">
        <f t="shared" ca="1" si="631"/>
        <v>39133.596472022364</v>
      </c>
      <c r="AG308" s="20">
        <f t="shared" ca="1" si="631"/>
        <v>37176.916648421247</v>
      </c>
      <c r="AH308" s="20">
        <f t="shared" ca="1" si="631"/>
        <v>35318.070816000181</v>
      </c>
      <c r="AI308" s="20">
        <f t="shared" ca="1" si="631"/>
        <v>33552.167275200169</v>
      </c>
      <c r="AJ308" s="20">
        <f t="shared" ca="1" si="631"/>
        <v>31874.558911440159</v>
      </c>
      <c r="AK308" s="20">
        <f t="shared" ca="1" si="631"/>
        <v>30280.83096586815</v>
      </c>
      <c r="AL308" s="20">
        <f t="shared" ca="1" si="631"/>
        <v>28766.789417574742</v>
      </c>
      <c r="AM308" s="20">
        <f t="shared" ca="1" si="631"/>
        <v>27328.449946696004</v>
      </c>
    </row>
    <row r="309" spans="1:39" x14ac:dyDescent="0.2">
      <c r="A309" s="22" t="str">
        <f>A81</f>
        <v>Antiques</v>
      </c>
      <c r="B309" s="19"/>
      <c r="C309" s="20">
        <f t="shared" ref="C309:AM309" ca="1" si="632">IFERROR(IF(VLOOKUP($A309,$287:$297,C$1+2,FALSE)=0,C81,0),C81)</f>
        <v>83226.9503404141</v>
      </c>
      <c r="D309" s="20">
        <f t="shared" ca="1" si="632"/>
        <v>84891.489347222378</v>
      </c>
      <c r="E309" s="20">
        <f t="shared" ca="1" si="632"/>
        <v>86589.319134166828</v>
      </c>
      <c r="F309" s="20">
        <f t="shared" ca="1" si="632"/>
        <v>88321.105516850163</v>
      </c>
      <c r="G309" s="20">
        <f t="shared" ca="1" si="632"/>
        <v>90087.52762718717</v>
      </c>
      <c r="H309" s="20">
        <f t="shared" ca="1" si="632"/>
        <v>91889.278179730914</v>
      </c>
      <c r="I309" s="20">
        <f t="shared" ca="1" si="632"/>
        <v>93727.063743325532</v>
      </c>
      <c r="J309" s="20">
        <f t="shared" ca="1" si="632"/>
        <v>95601.605018192044</v>
      </c>
      <c r="K309" s="20">
        <f t="shared" ca="1" si="632"/>
        <v>97513.637118555882</v>
      </c>
      <c r="L309" s="20">
        <f t="shared" ca="1" si="632"/>
        <v>99463.909860927</v>
      </c>
      <c r="M309" s="20">
        <f t="shared" ca="1" si="632"/>
        <v>101453.18805814555</v>
      </c>
      <c r="N309" s="20">
        <f t="shared" ca="1" si="632"/>
        <v>103482.25181930845</v>
      </c>
      <c r="O309" s="20">
        <f t="shared" ca="1" si="632"/>
        <v>105551.89685569462</v>
      </c>
      <c r="P309" s="20">
        <f t="shared" ca="1" si="632"/>
        <v>107662.93479280852</v>
      </c>
      <c r="Q309" s="20">
        <f t="shared" ca="1" si="632"/>
        <v>109816.19348866469</v>
      </c>
      <c r="R309" s="20">
        <f t="shared" ca="1" si="632"/>
        <v>112012.51735843798</v>
      </c>
      <c r="S309" s="20">
        <f t="shared" ca="1" si="632"/>
        <v>114252.76770560675</v>
      </c>
      <c r="T309" s="20">
        <f t="shared" ca="1" si="632"/>
        <v>116537.82305971888</v>
      </c>
      <c r="U309" s="20">
        <f t="shared" ca="1" si="632"/>
        <v>118868.57952091326</v>
      </c>
      <c r="V309" s="20">
        <f t="shared" ca="1" si="632"/>
        <v>121245.95111133152</v>
      </c>
      <c r="W309" s="20">
        <f t="shared" ca="1" si="632"/>
        <v>123670.87013355816</v>
      </c>
      <c r="X309" s="20">
        <f t="shared" ca="1" si="632"/>
        <v>126144.28753622933</v>
      </c>
      <c r="Y309" s="20">
        <f t="shared" ca="1" si="632"/>
        <v>128667.17328695391</v>
      </c>
      <c r="Z309" s="20">
        <f t="shared" ca="1" si="632"/>
        <v>131240.51675269299</v>
      </c>
      <c r="AA309" s="20">
        <f t="shared" ca="1" si="632"/>
        <v>133865.32708774685</v>
      </c>
      <c r="AB309" s="20">
        <f t="shared" ca="1" si="632"/>
        <v>136542.6336295018</v>
      </c>
      <c r="AC309" s="20">
        <f t="shared" ca="1" si="632"/>
        <v>139273.48630209183</v>
      </c>
      <c r="AD309" s="20">
        <f t="shared" ca="1" si="632"/>
        <v>142058.95602813366</v>
      </c>
      <c r="AE309" s="20">
        <f t="shared" ca="1" si="632"/>
        <v>144900.13514869634</v>
      </c>
      <c r="AF309" s="20">
        <f t="shared" ca="1" si="632"/>
        <v>147798.13785167027</v>
      </c>
      <c r="AG309" s="20">
        <f t="shared" ca="1" si="632"/>
        <v>150754.10060870368</v>
      </c>
      <c r="AH309" s="20">
        <f t="shared" ca="1" si="632"/>
        <v>153769.18262087775</v>
      </c>
      <c r="AI309" s="20">
        <f t="shared" ca="1" si="632"/>
        <v>156844.56627329532</v>
      </c>
      <c r="AJ309" s="20">
        <f t="shared" ca="1" si="632"/>
        <v>159981.45759876122</v>
      </c>
      <c r="AK309" s="20">
        <f t="shared" ca="1" si="632"/>
        <v>163181.08675073646</v>
      </c>
      <c r="AL309" s="20">
        <f t="shared" ca="1" si="632"/>
        <v>166444.70848575118</v>
      </c>
      <c r="AM309" s="20">
        <f t="shared" ca="1" si="632"/>
        <v>169773.60265546621</v>
      </c>
    </row>
    <row r="310" spans="1:39" x14ac:dyDescent="0.2"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</row>
    <row r="311" spans="1:39" x14ac:dyDescent="0.2">
      <c r="A311" s="18" t="s">
        <v>196</v>
      </c>
      <c r="B311" s="19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</row>
    <row r="312" spans="1:39" x14ac:dyDescent="0.2">
      <c r="A312" s="22" t="str">
        <f>B$122</f>
        <v>Painting</v>
      </c>
      <c r="B312" s="19"/>
      <c r="C312" s="20">
        <f ca="1">SUM($C122:C122)</f>
        <v>0</v>
      </c>
      <c r="D312" s="20">
        <f ca="1">SUM($C122:D122)</f>
        <v>0</v>
      </c>
      <c r="E312" s="20">
        <f ca="1">SUM($C122:E122)</f>
        <v>0</v>
      </c>
      <c r="F312" s="20">
        <f ca="1">SUM($C122:F122)</f>
        <v>0</v>
      </c>
      <c r="G312" s="20">
        <f ca="1">SUM($C122:G122)</f>
        <v>0</v>
      </c>
      <c r="H312" s="20">
        <f ca="1">SUM($C122:H122)</f>
        <v>0</v>
      </c>
      <c r="I312" s="20">
        <f ca="1">SUM($C122:I122)</f>
        <v>0</v>
      </c>
      <c r="J312" s="20">
        <f ca="1">SUM($C122:J122)</f>
        <v>0</v>
      </c>
      <c r="K312" s="20">
        <f ca="1">SUM($C122:K122)</f>
        <v>0</v>
      </c>
      <c r="L312" s="20">
        <f ca="1">SUM($C122:L122)</f>
        <v>0</v>
      </c>
      <c r="M312" s="20">
        <f ca="1">SUM($C122:M122)</f>
        <v>0</v>
      </c>
      <c r="N312" s="20">
        <f ca="1">SUM($C122:N122)</f>
        <v>0</v>
      </c>
      <c r="O312" s="20">
        <f ca="1">SUM($C122:O122)</f>
        <v>0</v>
      </c>
      <c r="P312" s="20">
        <f ca="1">SUM($C122:P122)</f>
        <v>0</v>
      </c>
      <c r="Q312" s="20">
        <f ca="1">SUM($C122:Q122)</f>
        <v>0</v>
      </c>
      <c r="R312" s="20">
        <f ca="1">SUM($C122:R122)</f>
        <v>0</v>
      </c>
      <c r="S312" s="20">
        <f ca="1">SUM($C122:S122)</f>
        <v>0</v>
      </c>
      <c r="T312" s="20">
        <f ca="1">SUM($C122:T122)</f>
        <v>0</v>
      </c>
      <c r="U312" s="20">
        <f ca="1">SUM($C122:U122)</f>
        <v>0</v>
      </c>
      <c r="V312" s="20">
        <f ca="1">SUM($C122:V122)</f>
        <v>0</v>
      </c>
      <c r="W312" s="20">
        <f ca="1">SUM($C122:W122)</f>
        <v>0</v>
      </c>
      <c r="X312" s="20">
        <f ca="1">SUM($C122:X122)</f>
        <v>0</v>
      </c>
      <c r="Y312" s="20">
        <f ca="1">SUM($C122:Y122)</f>
        <v>0</v>
      </c>
      <c r="Z312" s="20">
        <f ca="1">SUM($C122:Z122)</f>
        <v>0</v>
      </c>
      <c r="AA312" s="20">
        <f ca="1">SUM($C122:AA122)</f>
        <v>0</v>
      </c>
      <c r="AB312" s="20">
        <f ca="1">SUM($C122:AB122)</f>
        <v>0</v>
      </c>
      <c r="AC312" s="20">
        <f ca="1">SUM($C122:AC122)</f>
        <v>0</v>
      </c>
      <c r="AD312" s="20">
        <f ca="1">SUM($C122:AD122)</f>
        <v>0</v>
      </c>
      <c r="AE312" s="20">
        <f ca="1">SUM($C122:AE122)</f>
        <v>0</v>
      </c>
      <c r="AF312" s="20">
        <f ca="1">SUM($C122:AF122)</f>
        <v>0</v>
      </c>
      <c r="AG312" s="20">
        <f ca="1">SUM($C122:AG122)</f>
        <v>0</v>
      </c>
      <c r="AH312" s="20">
        <f ca="1">SUM($C122:AH122)</f>
        <v>0</v>
      </c>
      <c r="AI312" s="20">
        <f ca="1">SUM($C122:AI122)</f>
        <v>0</v>
      </c>
      <c r="AJ312" s="20">
        <f ca="1">SUM($C122:AJ122)</f>
        <v>0</v>
      </c>
      <c r="AK312" s="20">
        <f ca="1">SUM($C122:AK122)</f>
        <v>0</v>
      </c>
      <c r="AL312" s="20">
        <f ca="1">SUM($C122:AL122)</f>
        <v>0</v>
      </c>
      <c r="AM312" s="20">
        <f ca="1">SUM($C122:AM122)</f>
        <v>0</v>
      </c>
    </row>
    <row r="313" spans="1:39" x14ac:dyDescent="0.2">
      <c r="A313" s="22" t="str">
        <f>B$139</f>
        <v>Car</v>
      </c>
      <c r="B313" s="19"/>
      <c r="C313" s="20">
        <f ca="1">SUM($C139:C139)</f>
        <v>0</v>
      </c>
      <c r="D313" s="20">
        <f ca="1">SUM($C139:D139)</f>
        <v>0</v>
      </c>
      <c r="E313" s="20">
        <f ca="1">SUM($C139:E139)</f>
        <v>0</v>
      </c>
      <c r="F313" s="20">
        <f ca="1">SUM($C139:F139)</f>
        <v>0</v>
      </c>
      <c r="G313" s="20">
        <f ca="1">SUM($C139:G139)</f>
        <v>0</v>
      </c>
      <c r="H313" s="20">
        <f ca="1">SUM($C139:H139)</f>
        <v>0</v>
      </c>
      <c r="I313" s="20">
        <f ca="1">SUM($C139:I139)</f>
        <v>0</v>
      </c>
      <c r="J313" s="20">
        <f ca="1">SUM($C139:J139)</f>
        <v>0</v>
      </c>
      <c r="K313" s="20">
        <f ca="1">SUM($C139:K139)</f>
        <v>0</v>
      </c>
      <c r="L313" s="20">
        <f ca="1">SUM($C139:L139)</f>
        <v>0</v>
      </c>
      <c r="M313" s="20">
        <f ca="1">SUM($C139:M139)</f>
        <v>0</v>
      </c>
      <c r="N313" s="20">
        <f ca="1">SUM($C139:N139)</f>
        <v>0</v>
      </c>
      <c r="O313" s="20">
        <f ca="1">SUM($C139:O139)</f>
        <v>0</v>
      </c>
      <c r="P313" s="20">
        <f ca="1">SUM($C139:P139)</f>
        <v>0</v>
      </c>
      <c r="Q313" s="20">
        <f ca="1">SUM($C139:Q139)</f>
        <v>0</v>
      </c>
      <c r="R313" s="20">
        <f ca="1">SUM($C139:R139)</f>
        <v>0</v>
      </c>
      <c r="S313" s="20">
        <f ca="1">SUM($C139:S139)</f>
        <v>0</v>
      </c>
      <c r="T313" s="20">
        <f ca="1">SUM($C139:T139)</f>
        <v>0</v>
      </c>
      <c r="U313" s="20">
        <f ca="1">SUM($C139:U139)</f>
        <v>0</v>
      </c>
      <c r="V313" s="20">
        <f ca="1">SUM($C139:V139)</f>
        <v>0</v>
      </c>
      <c r="W313" s="20">
        <f ca="1">SUM($C139:W139)</f>
        <v>0</v>
      </c>
      <c r="X313" s="20">
        <f ca="1">SUM($C139:X139)</f>
        <v>0</v>
      </c>
      <c r="Y313" s="20">
        <f ca="1">SUM($C139:Y139)</f>
        <v>0</v>
      </c>
      <c r="Z313" s="20">
        <f ca="1">SUM($C139:Z139)</f>
        <v>0</v>
      </c>
      <c r="AA313" s="20">
        <f ca="1">SUM($C139:AA139)</f>
        <v>0</v>
      </c>
      <c r="AB313" s="20">
        <f ca="1">SUM($C139:AB139)</f>
        <v>0</v>
      </c>
      <c r="AC313" s="20">
        <f ca="1">SUM($C139:AC139)</f>
        <v>0</v>
      </c>
      <c r="AD313" s="20">
        <f ca="1">SUM($C139:AD139)</f>
        <v>0</v>
      </c>
      <c r="AE313" s="20">
        <f ca="1">SUM($C139:AE139)</f>
        <v>0</v>
      </c>
      <c r="AF313" s="20">
        <f ca="1">SUM($C139:AF139)</f>
        <v>0</v>
      </c>
      <c r="AG313" s="20">
        <f ca="1">SUM($C139:AG139)</f>
        <v>0</v>
      </c>
      <c r="AH313" s="20">
        <f ca="1">SUM($C139:AH139)</f>
        <v>0</v>
      </c>
      <c r="AI313" s="20">
        <f ca="1">SUM($C139:AI139)</f>
        <v>0</v>
      </c>
      <c r="AJ313" s="20">
        <f ca="1">SUM($C139:AJ139)</f>
        <v>0</v>
      </c>
      <c r="AK313" s="20">
        <f ca="1">SUM($C139:AK139)</f>
        <v>0</v>
      </c>
      <c r="AL313" s="20">
        <f ca="1">SUM($C139:AL139)</f>
        <v>0</v>
      </c>
      <c r="AM313" s="20">
        <f ca="1">SUM($C139:AM139)</f>
        <v>0</v>
      </c>
    </row>
    <row r="314" spans="1:39" x14ac:dyDescent="0.2">
      <c r="A314" s="22" t="str">
        <f>B$156</f>
        <v>Jewelry</v>
      </c>
      <c r="B314" s="19"/>
      <c r="C314" s="20">
        <f ca="1">SUM($C156:C156)</f>
        <v>0</v>
      </c>
      <c r="D314" s="20">
        <f ca="1">SUM($C156:D156)</f>
        <v>0</v>
      </c>
      <c r="E314" s="20">
        <f ca="1">SUM($C156:E156)</f>
        <v>0</v>
      </c>
      <c r="F314" s="20">
        <f ca="1">SUM($C156:F156)</f>
        <v>0</v>
      </c>
      <c r="G314" s="20">
        <f ca="1">SUM($C156:G156)</f>
        <v>0</v>
      </c>
      <c r="H314" s="20">
        <f ca="1">SUM($C156:H156)</f>
        <v>0</v>
      </c>
      <c r="I314" s="20">
        <f ca="1">SUM($C156:I156)</f>
        <v>0</v>
      </c>
      <c r="J314" s="20">
        <f ca="1">SUM($C156:J156)</f>
        <v>0</v>
      </c>
      <c r="K314" s="20">
        <f ca="1">SUM($C156:K156)</f>
        <v>0</v>
      </c>
      <c r="L314" s="20">
        <f ca="1">SUM($C156:L156)</f>
        <v>0</v>
      </c>
      <c r="M314" s="20">
        <f ca="1">SUM($C156:M156)</f>
        <v>0</v>
      </c>
      <c r="N314" s="20">
        <f ca="1">SUM($C156:N156)</f>
        <v>0</v>
      </c>
      <c r="O314" s="20">
        <f ca="1">SUM($C156:O156)</f>
        <v>0</v>
      </c>
      <c r="P314" s="20">
        <f ca="1">SUM($C156:P156)</f>
        <v>0</v>
      </c>
      <c r="Q314" s="20">
        <f ca="1">SUM($C156:Q156)</f>
        <v>0</v>
      </c>
      <c r="R314" s="20">
        <f ca="1">SUM($C156:R156)</f>
        <v>0</v>
      </c>
      <c r="S314" s="20">
        <f ca="1">SUM($C156:S156)</f>
        <v>0</v>
      </c>
      <c r="T314" s="20">
        <f ca="1">SUM($C156:T156)</f>
        <v>0</v>
      </c>
      <c r="U314" s="20">
        <f ca="1">SUM($C156:U156)</f>
        <v>0</v>
      </c>
      <c r="V314" s="20">
        <f ca="1">SUM($C156:V156)</f>
        <v>0</v>
      </c>
      <c r="W314" s="20">
        <f ca="1">SUM($C156:W156)</f>
        <v>0</v>
      </c>
      <c r="X314" s="20">
        <f ca="1">SUM($C156:X156)</f>
        <v>0</v>
      </c>
      <c r="Y314" s="20">
        <f ca="1">SUM($C156:Y156)</f>
        <v>0</v>
      </c>
      <c r="Z314" s="20">
        <f ca="1">SUM($C156:Z156)</f>
        <v>0</v>
      </c>
      <c r="AA314" s="20">
        <f ca="1">SUM($C156:AA156)</f>
        <v>0</v>
      </c>
      <c r="AB314" s="20">
        <f ca="1">SUM($C156:AB156)</f>
        <v>0</v>
      </c>
      <c r="AC314" s="20">
        <f ca="1">SUM($C156:AC156)</f>
        <v>0</v>
      </c>
      <c r="AD314" s="20">
        <f ca="1">SUM($C156:AD156)</f>
        <v>0</v>
      </c>
      <c r="AE314" s="20">
        <f ca="1">SUM($C156:AE156)</f>
        <v>0</v>
      </c>
      <c r="AF314" s="20">
        <f ca="1">SUM($C156:AF156)</f>
        <v>0</v>
      </c>
      <c r="AG314" s="20">
        <f ca="1">SUM($C156:AG156)</f>
        <v>0</v>
      </c>
      <c r="AH314" s="20">
        <f ca="1">SUM($C156:AH156)</f>
        <v>0</v>
      </c>
      <c r="AI314" s="20">
        <f ca="1">SUM($C156:AI156)</f>
        <v>0</v>
      </c>
      <c r="AJ314" s="20">
        <f ca="1">SUM($C156:AJ156)</f>
        <v>0</v>
      </c>
      <c r="AK314" s="20">
        <f ca="1">SUM($C156:AK156)</f>
        <v>0</v>
      </c>
      <c r="AL314" s="20">
        <f ca="1">SUM($C156:AL156)</f>
        <v>0</v>
      </c>
      <c r="AM314" s="20">
        <f ca="1">SUM($C156:AM156)</f>
        <v>0</v>
      </c>
    </row>
    <row r="315" spans="1:39" x14ac:dyDescent="0.2">
      <c r="A315" s="22" t="str">
        <f>B$173</f>
        <v>Gudja</v>
      </c>
      <c r="B315" s="19"/>
      <c r="C315" s="20">
        <f ca="1">SUM($C173:C173)</f>
        <v>0</v>
      </c>
      <c r="D315" s="20">
        <f ca="1">SUM($C173:D173)</f>
        <v>0</v>
      </c>
      <c r="E315" s="20">
        <f ca="1">SUM($C173:E173)</f>
        <v>0</v>
      </c>
      <c r="F315" s="20">
        <f ca="1">SUM($C173:F173)</f>
        <v>0</v>
      </c>
      <c r="G315" s="20">
        <f ca="1">SUM($C173:G173)</f>
        <v>0</v>
      </c>
      <c r="H315" s="20">
        <f ca="1">SUM($C173:H173)</f>
        <v>0</v>
      </c>
      <c r="I315" s="20">
        <f ca="1">SUM($C173:I173)</f>
        <v>0</v>
      </c>
      <c r="J315" s="20">
        <f ca="1">SUM($C173:J173)</f>
        <v>0</v>
      </c>
      <c r="K315" s="20">
        <f ca="1">SUM($C173:K173)</f>
        <v>0</v>
      </c>
      <c r="L315" s="20">
        <f ca="1">SUM($C173:L173)</f>
        <v>0</v>
      </c>
      <c r="M315" s="20">
        <f ca="1">SUM($C173:M173)</f>
        <v>0</v>
      </c>
      <c r="N315" s="20">
        <f ca="1">SUM($C173:N173)</f>
        <v>0</v>
      </c>
      <c r="O315" s="20">
        <f ca="1">SUM($C173:O173)</f>
        <v>0</v>
      </c>
      <c r="P315" s="20">
        <f ca="1">SUM($C173:P173)</f>
        <v>0</v>
      </c>
      <c r="Q315" s="20">
        <f ca="1">SUM($C173:Q173)</f>
        <v>0</v>
      </c>
      <c r="R315" s="20">
        <f ca="1">SUM($C173:R173)</f>
        <v>0</v>
      </c>
      <c r="S315" s="20">
        <f ca="1">SUM($C173:S173)</f>
        <v>0</v>
      </c>
      <c r="T315" s="20">
        <f ca="1">SUM($C173:T173)</f>
        <v>0</v>
      </c>
      <c r="U315" s="20">
        <f ca="1">SUM($C173:U173)</f>
        <v>0</v>
      </c>
      <c r="V315" s="20">
        <f ca="1">SUM($C173:V173)</f>
        <v>0</v>
      </c>
      <c r="W315" s="20">
        <f ca="1">SUM($C173:W173)</f>
        <v>0</v>
      </c>
      <c r="X315" s="20">
        <f ca="1">SUM($C173:X173)</f>
        <v>0</v>
      </c>
      <c r="Y315" s="20">
        <f ca="1">SUM($C173:Y173)</f>
        <v>0</v>
      </c>
      <c r="Z315" s="20">
        <f ca="1">SUM($C173:Z173)</f>
        <v>0</v>
      </c>
      <c r="AA315" s="20">
        <f ca="1">SUM($C173:AA173)</f>
        <v>0</v>
      </c>
      <c r="AB315" s="20">
        <f ca="1">SUM($C173:AB173)</f>
        <v>0</v>
      </c>
      <c r="AC315" s="20">
        <f ca="1">SUM($C173:AC173)</f>
        <v>0</v>
      </c>
      <c r="AD315" s="20">
        <f ca="1">SUM($C173:AD173)</f>
        <v>0</v>
      </c>
      <c r="AE315" s="20">
        <f ca="1">SUM($C173:AE173)</f>
        <v>0</v>
      </c>
      <c r="AF315" s="20">
        <f ca="1">SUM($C173:AF173)</f>
        <v>0</v>
      </c>
      <c r="AG315" s="20">
        <f ca="1">SUM($C173:AG173)</f>
        <v>0</v>
      </c>
      <c r="AH315" s="20">
        <f ca="1">SUM($C173:AH173)</f>
        <v>0</v>
      </c>
      <c r="AI315" s="20">
        <f ca="1">SUM($C173:AI173)</f>
        <v>0</v>
      </c>
      <c r="AJ315" s="20">
        <f ca="1">SUM($C173:AJ173)</f>
        <v>0</v>
      </c>
      <c r="AK315" s="20">
        <f ca="1">SUM($C173:AK173)</f>
        <v>0</v>
      </c>
      <c r="AL315" s="20">
        <f ca="1">SUM($C173:AL173)</f>
        <v>0</v>
      </c>
      <c r="AM315" s="20">
        <f ca="1">SUM($C173:AM173)</f>
        <v>0</v>
      </c>
    </row>
    <row r="316" spans="1:39" x14ac:dyDescent="0.2">
      <c r="A316" s="22" t="str">
        <f>B$190</f>
        <v>Antiques</v>
      </c>
      <c r="B316" s="19"/>
      <c r="C316" s="20">
        <f ca="1">SUM($C190:C190)</f>
        <v>0</v>
      </c>
      <c r="D316" s="20">
        <f ca="1">SUM($C190:D190)</f>
        <v>0</v>
      </c>
      <c r="E316" s="20">
        <f ca="1">SUM($C190:E190)</f>
        <v>0</v>
      </c>
      <c r="F316" s="20">
        <f ca="1">SUM($C190:F190)</f>
        <v>0</v>
      </c>
      <c r="G316" s="20">
        <f ca="1">SUM($C190:G190)</f>
        <v>0</v>
      </c>
      <c r="H316" s="20">
        <f ca="1">SUM($C190:H190)</f>
        <v>0</v>
      </c>
      <c r="I316" s="20">
        <f ca="1">SUM($C190:I190)</f>
        <v>0</v>
      </c>
      <c r="J316" s="20">
        <f ca="1">SUM($C190:J190)</f>
        <v>0</v>
      </c>
      <c r="K316" s="20">
        <f ca="1">SUM($C190:K190)</f>
        <v>0</v>
      </c>
      <c r="L316" s="20">
        <f ca="1">SUM($C190:L190)</f>
        <v>0</v>
      </c>
      <c r="M316" s="20">
        <f ca="1">SUM($C190:M190)</f>
        <v>0</v>
      </c>
      <c r="N316" s="20">
        <f ca="1">SUM($C190:N190)</f>
        <v>0</v>
      </c>
      <c r="O316" s="20">
        <f ca="1">SUM($C190:O190)</f>
        <v>0</v>
      </c>
      <c r="P316" s="20">
        <f ca="1">SUM($C190:P190)</f>
        <v>0</v>
      </c>
      <c r="Q316" s="20">
        <f ca="1">SUM($C190:Q190)</f>
        <v>0</v>
      </c>
      <c r="R316" s="20">
        <f ca="1">SUM($C190:R190)</f>
        <v>0</v>
      </c>
      <c r="S316" s="20">
        <f ca="1">SUM($C190:S190)</f>
        <v>0</v>
      </c>
      <c r="T316" s="20">
        <f ca="1">SUM($C190:T190)</f>
        <v>0</v>
      </c>
      <c r="U316" s="20">
        <f ca="1">SUM($C190:U190)</f>
        <v>0</v>
      </c>
      <c r="V316" s="20">
        <f ca="1">SUM($C190:V190)</f>
        <v>0</v>
      </c>
      <c r="W316" s="20">
        <f ca="1">SUM($C190:W190)</f>
        <v>0</v>
      </c>
      <c r="X316" s="20">
        <f ca="1">SUM($C190:X190)</f>
        <v>0</v>
      </c>
      <c r="Y316" s="20">
        <f ca="1">SUM($C190:Y190)</f>
        <v>0</v>
      </c>
      <c r="Z316" s="20">
        <f ca="1">SUM($C190:Z190)</f>
        <v>0</v>
      </c>
      <c r="AA316" s="20">
        <f ca="1">SUM($C190:AA190)</f>
        <v>0</v>
      </c>
      <c r="AB316" s="20">
        <f ca="1">SUM($C190:AB190)</f>
        <v>0</v>
      </c>
      <c r="AC316" s="20">
        <f ca="1">SUM($C190:AC190)</f>
        <v>0</v>
      </c>
      <c r="AD316" s="20">
        <f ca="1">SUM($C190:AD190)</f>
        <v>0</v>
      </c>
      <c r="AE316" s="20">
        <f ca="1">SUM($C190:AE190)</f>
        <v>0</v>
      </c>
      <c r="AF316" s="20">
        <f ca="1">SUM($C190:AF190)</f>
        <v>0</v>
      </c>
      <c r="AG316" s="20">
        <f ca="1">SUM($C190:AG190)</f>
        <v>0</v>
      </c>
      <c r="AH316" s="20">
        <f ca="1">SUM($C190:AH190)</f>
        <v>0</v>
      </c>
      <c r="AI316" s="20">
        <f ca="1">SUM($C190:AI190)</f>
        <v>0</v>
      </c>
      <c r="AJ316" s="20">
        <f ca="1">SUM($C190:AJ190)</f>
        <v>0</v>
      </c>
      <c r="AK316" s="20">
        <f ca="1">SUM($C190:AK190)</f>
        <v>0</v>
      </c>
      <c r="AL316" s="20">
        <f ca="1">SUM($C190:AL190)</f>
        <v>0</v>
      </c>
      <c r="AM316" s="20">
        <f ca="1">SUM($C190:AM190)</f>
        <v>0</v>
      </c>
    </row>
    <row r="317" spans="1:39" x14ac:dyDescent="0.2">
      <c r="A317" s="22" t="str">
        <f>B$207</f>
        <v>Marsa</v>
      </c>
      <c r="B317" s="19"/>
      <c r="C317" s="20">
        <f ca="1">SUM($C207:C207)</f>
        <v>0</v>
      </c>
      <c r="D317" s="20">
        <f ca="1">SUM($C207:D207)</f>
        <v>0</v>
      </c>
      <c r="E317" s="20">
        <f ca="1">SUM($C207:E207)</f>
        <v>0</v>
      </c>
      <c r="F317" s="20">
        <f ca="1">SUM($C207:F207)</f>
        <v>0</v>
      </c>
      <c r="G317" s="20">
        <f ca="1">SUM($C207:G207)</f>
        <v>0</v>
      </c>
      <c r="H317" s="20">
        <f ca="1">SUM($C207:H207)</f>
        <v>0</v>
      </c>
      <c r="I317" s="20">
        <f ca="1">SUM($C207:I207)</f>
        <v>0</v>
      </c>
      <c r="J317" s="20">
        <f ca="1">SUM($C207:J207)</f>
        <v>0</v>
      </c>
      <c r="K317" s="20">
        <f ca="1">SUM($C207:K207)</f>
        <v>0</v>
      </c>
      <c r="L317" s="20">
        <f ca="1">SUM($C207:L207)</f>
        <v>0</v>
      </c>
      <c r="M317" s="20">
        <f ca="1">SUM($C207:M207)</f>
        <v>0</v>
      </c>
      <c r="N317" s="20">
        <f ca="1">SUM($C207:N207)</f>
        <v>0</v>
      </c>
      <c r="O317" s="20">
        <f ca="1">SUM($C207:O207)</f>
        <v>0</v>
      </c>
      <c r="P317" s="20">
        <f ca="1">SUM($C207:P207)</f>
        <v>0</v>
      </c>
      <c r="Q317" s="20">
        <f ca="1">SUM($C207:Q207)</f>
        <v>0</v>
      </c>
      <c r="R317" s="20">
        <f ca="1">SUM($C207:R207)</f>
        <v>0</v>
      </c>
      <c r="S317" s="20">
        <f ca="1">SUM($C207:S207)</f>
        <v>0</v>
      </c>
      <c r="T317" s="20">
        <f ca="1">SUM($C207:T207)</f>
        <v>0</v>
      </c>
      <c r="U317" s="20">
        <f ca="1">SUM($C207:U207)</f>
        <v>0</v>
      </c>
      <c r="V317" s="20">
        <f ca="1">SUM($C207:V207)</f>
        <v>0</v>
      </c>
      <c r="W317" s="20">
        <f ca="1">SUM($C207:W207)</f>
        <v>0</v>
      </c>
      <c r="X317" s="20">
        <f ca="1">SUM($C207:X207)</f>
        <v>0</v>
      </c>
      <c r="Y317" s="20">
        <f ca="1">SUM($C207:Y207)</f>
        <v>0</v>
      </c>
      <c r="Z317" s="20">
        <f ca="1">SUM($C207:Z207)</f>
        <v>0</v>
      </c>
      <c r="AA317" s="20">
        <f ca="1">SUM($C207:AA207)</f>
        <v>0</v>
      </c>
      <c r="AB317" s="20">
        <f ca="1">SUM($C207:AB207)</f>
        <v>0</v>
      </c>
      <c r="AC317" s="20">
        <f ca="1">SUM($C207:AC207)</f>
        <v>0</v>
      </c>
      <c r="AD317" s="20">
        <f ca="1">SUM($C207:AD207)</f>
        <v>0</v>
      </c>
      <c r="AE317" s="20">
        <f ca="1">SUM($C207:AE207)</f>
        <v>0</v>
      </c>
      <c r="AF317" s="20">
        <f ca="1">SUM($C207:AF207)</f>
        <v>0</v>
      </c>
      <c r="AG317" s="20">
        <f ca="1">SUM($C207:AG207)</f>
        <v>0</v>
      </c>
      <c r="AH317" s="20">
        <f ca="1">SUM($C207:AH207)</f>
        <v>0</v>
      </c>
      <c r="AI317" s="20">
        <f ca="1">SUM($C207:AI207)</f>
        <v>0</v>
      </c>
      <c r="AJ317" s="20">
        <f ca="1">SUM($C207:AJ207)</f>
        <v>0</v>
      </c>
      <c r="AK317" s="20">
        <f ca="1">SUM($C207:AK207)</f>
        <v>0</v>
      </c>
      <c r="AL317" s="20">
        <f ca="1">SUM($C207:AL207)</f>
        <v>0</v>
      </c>
      <c r="AM317" s="20">
        <f ca="1">SUM($C207:AM207)</f>
        <v>0</v>
      </c>
    </row>
    <row r="318" spans="1:39" x14ac:dyDescent="0.2">
      <c r="A318" s="22" t="str">
        <f>B$224</f>
        <v>Gzira</v>
      </c>
      <c r="B318" s="19"/>
      <c r="C318" s="20">
        <f ca="1">SUM($C224:C224)</f>
        <v>0</v>
      </c>
      <c r="D318" s="20">
        <f ca="1">SUM($C224:D224)</f>
        <v>0</v>
      </c>
      <c r="E318" s="20">
        <f ca="1">SUM($C224:E224)</f>
        <v>0</v>
      </c>
      <c r="F318" s="20">
        <f ca="1">SUM($C224:F224)</f>
        <v>0</v>
      </c>
      <c r="G318" s="20">
        <f ca="1">SUM($C224:G224)</f>
        <v>0</v>
      </c>
      <c r="H318" s="20">
        <f ca="1">SUM($C224:H224)</f>
        <v>0</v>
      </c>
      <c r="I318" s="20">
        <f ca="1">SUM($C224:I224)</f>
        <v>0</v>
      </c>
      <c r="J318" s="20">
        <f ca="1">SUM($C224:J224)</f>
        <v>0</v>
      </c>
      <c r="K318" s="20">
        <f ca="1">SUM($C224:K224)</f>
        <v>0</v>
      </c>
      <c r="L318" s="20">
        <f ca="1">SUM($C224:L224)</f>
        <v>0</v>
      </c>
      <c r="M318" s="20">
        <f ca="1">SUM($C224:M224)</f>
        <v>0</v>
      </c>
      <c r="N318" s="20">
        <f ca="1">SUM($C224:N224)</f>
        <v>0</v>
      </c>
      <c r="O318" s="20">
        <f ca="1">SUM($C224:O224)</f>
        <v>0</v>
      </c>
      <c r="P318" s="20">
        <f ca="1">SUM($C224:P224)</f>
        <v>0</v>
      </c>
      <c r="Q318" s="20">
        <f ca="1">SUM($C224:Q224)</f>
        <v>0</v>
      </c>
      <c r="R318" s="20">
        <f ca="1">SUM($C224:R224)</f>
        <v>0</v>
      </c>
      <c r="S318" s="20">
        <f ca="1">SUM($C224:S224)</f>
        <v>0</v>
      </c>
      <c r="T318" s="20">
        <f ca="1">SUM($C224:T224)</f>
        <v>0</v>
      </c>
      <c r="U318" s="20">
        <f ca="1">SUM($C224:U224)</f>
        <v>0</v>
      </c>
      <c r="V318" s="20">
        <f ca="1">SUM($C224:V224)</f>
        <v>0</v>
      </c>
      <c r="W318" s="20">
        <f ca="1">SUM($C224:W224)</f>
        <v>0</v>
      </c>
      <c r="X318" s="20">
        <f ca="1">SUM($C224:X224)</f>
        <v>0</v>
      </c>
      <c r="Y318" s="20">
        <f ca="1">SUM($C224:Y224)</f>
        <v>0</v>
      </c>
      <c r="Z318" s="20">
        <f ca="1">SUM($C224:Z224)</f>
        <v>0</v>
      </c>
      <c r="AA318" s="20">
        <f ca="1">SUM($C224:AA224)</f>
        <v>0</v>
      </c>
      <c r="AB318" s="20">
        <f ca="1">SUM($C224:AB224)</f>
        <v>0</v>
      </c>
      <c r="AC318" s="20">
        <f ca="1">SUM($C224:AC224)</f>
        <v>0</v>
      </c>
      <c r="AD318" s="20">
        <f ca="1">SUM($C224:AD224)</f>
        <v>0</v>
      </c>
      <c r="AE318" s="20">
        <f ca="1">SUM($C224:AE224)</f>
        <v>0</v>
      </c>
      <c r="AF318" s="20">
        <f ca="1">SUM($C224:AF224)</f>
        <v>0</v>
      </c>
      <c r="AG318" s="20">
        <f ca="1">SUM($C224:AG224)</f>
        <v>0</v>
      </c>
      <c r="AH318" s="20">
        <f ca="1">SUM($C224:AH224)</f>
        <v>0</v>
      </c>
      <c r="AI318" s="20">
        <f ca="1">SUM($C224:AI224)</f>
        <v>0</v>
      </c>
      <c r="AJ318" s="20">
        <f ca="1">SUM($C224:AJ224)</f>
        <v>0</v>
      </c>
      <c r="AK318" s="20">
        <f ca="1">SUM($C224:AK224)</f>
        <v>0</v>
      </c>
      <c r="AL318" s="20">
        <f ca="1">SUM($C224:AL224)</f>
        <v>0</v>
      </c>
      <c r="AM318" s="20">
        <f ca="1">SUM($C224:AM224)</f>
        <v>0</v>
      </c>
    </row>
    <row r="319" spans="1:39" x14ac:dyDescent="0.2">
      <c r="A319" s="22" t="str">
        <f>B$241</f>
        <v>Boat</v>
      </c>
      <c r="B319" s="19"/>
      <c r="C319" s="20">
        <f ca="1">SUM($C241:C241)</f>
        <v>0</v>
      </c>
      <c r="D319" s="20">
        <f ca="1">SUM($C241:D241)</f>
        <v>0</v>
      </c>
      <c r="E319" s="20">
        <f ca="1">SUM($C241:E241)</f>
        <v>0</v>
      </c>
      <c r="F319" s="20">
        <f ca="1">SUM($C241:F241)</f>
        <v>0</v>
      </c>
      <c r="G319" s="20">
        <f ca="1">SUM($C241:G241)</f>
        <v>0</v>
      </c>
      <c r="H319" s="20">
        <f ca="1">SUM($C241:H241)</f>
        <v>0</v>
      </c>
      <c r="I319" s="20">
        <f ca="1">SUM($C241:I241)</f>
        <v>0</v>
      </c>
      <c r="J319" s="20">
        <f ca="1">SUM($C241:J241)</f>
        <v>0</v>
      </c>
      <c r="K319" s="20">
        <f ca="1">SUM($C241:K241)</f>
        <v>0</v>
      </c>
      <c r="L319" s="20">
        <f ca="1">SUM($C241:L241)</f>
        <v>0</v>
      </c>
      <c r="M319" s="20">
        <f ca="1">SUM($C241:M241)</f>
        <v>0</v>
      </c>
      <c r="N319" s="20">
        <f ca="1">SUM($C241:N241)</f>
        <v>0</v>
      </c>
      <c r="O319" s="20">
        <f ca="1">SUM($C241:O241)</f>
        <v>0</v>
      </c>
      <c r="P319" s="20">
        <f ca="1">SUM($C241:P241)</f>
        <v>0</v>
      </c>
      <c r="Q319" s="20">
        <f ca="1">SUM($C241:Q241)</f>
        <v>0</v>
      </c>
      <c r="R319" s="20">
        <f ca="1">SUM($C241:R241)</f>
        <v>0</v>
      </c>
      <c r="S319" s="20">
        <f ca="1">SUM($C241:S241)</f>
        <v>0</v>
      </c>
      <c r="T319" s="20">
        <f ca="1">SUM($C241:T241)</f>
        <v>0</v>
      </c>
      <c r="U319" s="20">
        <f ca="1">SUM($C241:U241)</f>
        <v>0</v>
      </c>
      <c r="V319" s="20">
        <f ca="1">SUM($C241:V241)</f>
        <v>0</v>
      </c>
      <c r="W319" s="20">
        <f ca="1">SUM($C241:W241)</f>
        <v>0</v>
      </c>
      <c r="X319" s="20">
        <f ca="1">SUM($C241:X241)</f>
        <v>0</v>
      </c>
      <c r="Y319" s="20">
        <f ca="1">SUM($C241:Y241)</f>
        <v>0</v>
      </c>
      <c r="Z319" s="20">
        <f ca="1">SUM($C241:Z241)</f>
        <v>0</v>
      </c>
      <c r="AA319" s="20">
        <f ca="1">SUM($C241:AA241)</f>
        <v>0</v>
      </c>
      <c r="AB319" s="20">
        <f ca="1">SUM($C241:AB241)</f>
        <v>0</v>
      </c>
      <c r="AC319" s="20">
        <f ca="1">SUM($C241:AC241)</f>
        <v>0</v>
      </c>
      <c r="AD319" s="20">
        <f ca="1">SUM($C241:AD241)</f>
        <v>0</v>
      </c>
      <c r="AE319" s="20">
        <f ca="1">SUM($C241:AE241)</f>
        <v>0</v>
      </c>
      <c r="AF319" s="20">
        <f ca="1">SUM($C241:AF241)</f>
        <v>0</v>
      </c>
      <c r="AG319" s="20">
        <f ca="1">SUM($C241:AG241)</f>
        <v>0</v>
      </c>
      <c r="AH319" s="20">
        <f ca="1">SUM($C241:AH241)</f>
        <v>0</v>
      </c>
      <c r="AI319" s="20">
        <f ca="1">SUM($C241:AI241)</f>
        <v>0</v>
      </c>
      <c r="AJ319" s="20">
        <f ca="1">SUM($C241:AJ241)</f>
        <v>0</v>
      </c>
      <c r="AK319" s="20">
        <f ca="1">SUM($C241:AK241)</f>
        <v>0</v>
      </c>
      <c r="AL319" s="20">
        <f ca="1">SUM($C241:AL241)</f>
        <v>0</v>
      </c>
      <c r="AM319" s="20">
        <f ca="1">SUM($C241:AM241)</f>
        <v>0</v>
      </c>
    </row>
    <row r="320" spans="1:39" x14ac:dyDescent="0.2">
      <c r="A320" s="22" t="str">
        <f>B$258</f>
        <v>Qormi</v>
      </c>
      <c r="B320" s="19"/>
      <c r="C320" s="20">
        <f ca="1">SUM($C258:C258)</f>
        <v>0</v>
      </c>
      <c r="D320" s="20">
        <f ca="1">SUM($C258:D258)</f>
        <v>0</v>
      </c>
      <c r="E320" s="20">
        <f ca="1">SUM($C258:E258)</f>
        <v>0</v>
      </c>
      <c r="F320" s="20">
        <f ca="1">SUM($C258:F258)</f>
        <v>0</v>
      </c>
      <c r="G320" s="20">
        <f ca="1">SUM($C258:G258)</f>
        <v>0</v>
      </c>
      <c r="H320" s="20">
        <f ca="1">SUM($C258:H258)</f>
        <v>0</v>
      </c>
      <c r="I320" s="20">
        <f ca="1">SUM($C258:I258)</f>
        <v>0</v>
      </c>
      <c r="J320" s="20">
        <f ca="1">SUM($C258:J258)</f>
        <v>0</v>
      </c>
      <c r="K320" s="20">
        <f ca="1">SUM($C258:K258)</f>
        <v>0</v>
      </c>
      <c r="L320" s="20">
        <f ca="1">SUM($C258:L258)</f>
        <v>0</v>
      </c>
      <c r="M320" s="20">
        <f ca="1">SUM($C258:M258)</f>
        <v>0</v>
      </c>
      <c r="N320" s="20">
        <f ca="1">SUM($C258:N258)</f>
        <v>0</v>
      </c>
      <c r="O320" s="20">
        <f ca="1">SUM($C258:O258)</f>
        <v>0</v>
      </c>
      <c r="P320" s="20">
        <f ca="1">SUM($C258:P258)</f>
        <v>0</v>
      </c>
      <c r="Q320" s="20">
        <f ca="1">SUM($C258:Q258)</f>
        <v>0</v>
      </c>
      <c r="R320" s="20">
        <f ca="1">SUM($C258:R258)</f>
        <v>0</v>
      </c>
      <c r="S320" s="20">
        <f ca="1">SUM($C258:S258)</f>
        <v>0</v>
      </c>
      <c r="T320" s="20">
        <f ca="1">SUM($C258:T258)</f>
        <v>0</v>
      </c>
      <c r="U320" s="20">
        <f ca="1">SUM($C258:U258)</f>
        <v>0</v>
      </c>
      <c r="V320" s="20">
        <f ca="1">SUM($C258:V258)</f>
        <v>0</v>
      </c>
      <c r="W320" s="20">
        <f ca="1">SUM($C258:W258)</f>
        <v>0</v>
      </c>
      <c r="X320" s="20">
        <f ca="1">SUM($C258:X258)</f>
        <v>0</v>
      </c>
      <c r="Y320" s="20">
        <f ca="1">SUM($C258:Y258)</f>
        <v>0</v>
      </c>
      <c r="Z320" s="20">
        <f ca="1">SUM($C258:Z258)</f>
        <v>0</v>
      </c>
      <c r="AA320" s="20">
        <f ca="1">SUM($C258:AA258)</f>
        <v>0</v>
      </c>
      <c r="AB320" s="20">
        <f ca="1">SUM($C258:AB258)</f>
        <v>0</v>
      </c>
      <c r="AC320" s="20">
        <f ca="1">SUM($C258:AC258)</f>
        <v>0</v>
      </c>
      <c r="AD320" s="20">
        <f ca="1">SUM($C258:AD258)</f>
        <v>0</v>
      </c>
      <c r="AE320" s="20">
        <f ca="1">SUM($C258:AE258)</f>
        <v>0</v>
      </c>
      <c r="AF320" s="20">
        <f ca="1">SUM($C258:AF258)</f>
        <v>0</v>
      </c>
      <c r="AG320" s="20">
        <f ca="1">SUM($C258:AG258)</f>
        <v>0</v>
      </c>
      <c r="AH320" s="20">
        <f ca="1">SUM($C258:AH258)</f>
        <v>0</v>
      </c>
      <c r="AI320" s="20">
        <f ca="1">SUM($C258:AI258)</f>
        <v>0</v>
      </c>
      <c r="AJ320" s="20">
        <f ca="1">SUM($C258:AJ258)</f>
        <v>0</v>
      </c>
      <c r="AK320" s="20">
        <f ca="1">SUM($C258:AK258)</f>
        <v>0</v>
      </c>
      <c r="AL320" s="20">
        <f ca="1">SUM($C258:AL258)</f>
        <v>0</v>
      </c>
      <c r="AM320" s="20">
        <f ca="1">SUM($C258:AM258)</f>
        <v>0</v>
      </c>
    </row>
    <row r="321" spans="1:39" x14ac:dyDescent="0.2">
      <c r="A321" s="22" t="str">
        <f>B$275</f>
        <v>Sliema</v>
      </c>
      <c r="B321" s="19"/>
      <c r="C321" s="20">
        <f ca="1">SUM($C275:C275)</f>
        <v>0</v>
      </c>
      <c r="D321" s="20">
        <f ca="1">SUM($C275:D275)</f>
        <v>0</v>
      </c>
      <c r="E321" s="20">
        <f ca="1">SUM($C275:E275)</f>
        <v>0</v>
      </c>
      <c r="F321" s="20">
        <f ca="1">SUM($C275:F275)</f>
        <v>0</v>
      </c>
      <c r="G321" s="20">
        <f ca="1">SUM($C275:G275)</f>
        <v>0</v>
      </c>
      <c r="H321" s="20">
        <f ca="1">SUM($C275:H275)</f>
        <v>0</v>
      </c>
      <c r="I321" s="20">
        <f ca="1">SUM($C275:I275)</f>
        <v>0</v>
      </c>
      <c r="J321" s="20">
        <f ca="1">SUM($C275:J275)</f>
        <v>0</v>
      </c>
      <c r="K321" s="20">
        <f ca="1">SUM($C275:K275)</f>
        <v>0</v>
      </c>
      <c r="L321" s="20">
        <f ca="1">SUM($C275:L275)</f>
        <v>0</v>
      </c>
      <c r="M321" s="20">
        <f ca="1">SUM($C275:M275)</f>
        <v>0</v>
      </c>
      <c r="N321" s="20">
        <f ca="1">SUM($C275:N275)</f>
        <v>0</v>
      </c>
      <c r="O321" s="20">
        <f ca="1">SUM($C275:O275)</f>
        <v>0</v>
      </c>
      <c r="P321" s="20">
        <f ca="1">SUM($C275:P275)</f>
        <v>0</v>
      </c>
      <c r="Q321" s="20">
        <f ca="1">SUM($C275:Q275)</f>
        <v>0</v>
      </c>
      <c r="R321" s="20">
        <f ca="1">SUM($C275:R275)</f>
        <v>0</v>
      </c>
      <c r="S321" s="20">
        <f ca="1">SUM($C275:S275)</f>
        <v>0</v>
      </c>
      <c r="T321" s="20">
        <f ca="1">SUM($C275:T275)</f>
        <v>0</v>
      </c>
      <c r="U321" s="20">
        <f ca="1">SUM($C275:U275)</f>
        <v>0</v>
      </c>
      <c r="V321" s="20">
        <f ca="1">SUM($C275:V275)</f>
        <v>0</v>
      </c>
      <c r="W321" s="20">
        <f ca="1">SUM($C275:W275)</f>
        <v>0</v>
      </c>
      <c r="X321" s="20">
        <f ca="1">SUM($C275:X275)</f>
        <v>0</v>
      </c>
      <c r="Y321" s="20">
        <f ca="1">SUM($C275:Y275)</f>
        <v>0</v>
      </c>
      <c r="Z321" s="20">
        <f ca="1">SUM($C275:Z275)</f>
        <v>0</v>
      </c>
      <c r="AA321" s="20">
        <f ca="1">SUM($C275:AA275)</f>
        <v>0</v>
      </c>
      <c r="AB321" s="20">
        <f ca="1">SUM($C275:AB275)</f>
        <v>0</v>
      </c>
      <c r="AC321" s="20">
        <f ca="1">SUM($C275:AC275)</f>
        <v>0</v>
      </c>
      <c r="AD321" s="20">
        <f ca="1">SUM($C275:AD275)</f>
        <v>0</v>
      </c>
      <c r="AE321" s="20">
        <f ca="1">SUM($C275:AE275)</f>
        <v>0</v>
      </c>
      <c r="AF321" s="20">
        <f ca="1">SUM($C275:AF275)</f>
        <v>0</v>
      </c>
      <c r="AG321" s="20">
        <f ca="1">SUM($C275:AG275)</f>
        <v>0</v>
      </c>
      <c r="AH321" s="20">
        <f ca="1">SUM($C275:AH275)</f>
        <v>0</v>
      </c>
      <c r="AI321" s="20">
        <f ca="1">SUM($C275:AI275)</f>
        <v>0</v>
      </c>
      <c r="AJ321" s="20">
        <f ca="1">SUM($C275:AJ275)</f>
        <v>0</v>
      </c>
      <c r="AK321" s="20">
        <f ca="1">SUM($C275:AK275)</f>
        <v>0</v>
      </c>
      <c r="AL321" s="20">
        <f ca="1">SUM($C275:AL275)</f>
        <v>0</v>
      </c>
      <c r="AM321" s="20">
        <f ca="1">SUM($C275:AM275)</f>
        <v>0</v>
      </c>
    </row>
    <row r="322" spans="1:39" x14ac:dyDescent="0.2">
      <c r="A322" s="21"/>
      <c r="B322" s="19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</row>
    <row r="323" spans="1:39" x14ac:dyDescent="0.2">
      <c r="A323" s="3" t="s">
        <v>204</v>
      </c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</row>
    <row r="324" spans="1:39" x14ac:dyDescent="0.2">
      <c r="A324" s="16" t="str">
        <f>A300</f>
        <v>Sliema</v>
      </c>
      <c r="C324" s="7">
        <f t="shared" ref="C324:AM324" ca="1" si="633">IFERROR(IF(VLOOKUP($A324,$311:$321,C$1+2,FALSE)=0,C85,0),C85)</f>
        <v>-46591.052384870025</v>
      </c>
      <c r="D324" s="7">
        <f t="shared" ca="1" si="633"/>
        <v>-41924.97244406183</v>
      </c>
      <c r="E324" s="7">
        <f t="shared" ca="1" si="633"/>
        <v>-37116.969216818994</v>
      </c>
      <c r="F324" s="7">
        <f t="shared" ca="1" si="633"/>
        <v>-32162.725970576364</v>
      </c>
      <c r="G324" s="7">
        <f t="shared" ca="1" si="633"/>
        <v>-27057.79467521701</v>
      </c>
      <c r="H324" s="7">
        <f t="shared" ca="1" si="633"/>
        <v>-21797.592009531552</v>
      </c>
      <c r="I324" s="7">
        <f t="shared" ca="1" si="633"/>
        <v>-16377.395246210348</v>
      </c>
      <c r="J324" s="7">
        <f t="shared" ca="1" si="633"/>
        <v>-10792.33801167312</v>
      </c>
      <c r="K324" s="7">
        <f t="shared" ca="1" si="633"/>
        <v>-5037.4059169308748</v>
      </c>
      <c r="L324" s="7">
        <f t="shared" ca="1" si="633"/>
        <v>0</v>
      </c>
      <c r="M324" s="7">
        <f t="shared" ca="1" si="633"/>
        <v>0</v>
      </c>
      <c r="N324" s="7">
        <f t="shared" ca="1" si="633"/>
        <v>0</v>
      </c>
      <c r="O324" s="7">
        <f t="shared" ca="1" si="633"/>
        <v>0</v>
      </c>
      <c r="P324" s="7">
        <f t="shared" ca="1" si="633"/>
        <v>0</v>
      </c>
      <c r="Q324" s="7">
        <f t="shared" ca="1" si="633"/>
        <v>0</v>
      </c>
      <c r="R324" s="7">
        <f t="shared" ca="1" si="633"/>
        <v>0</v>
      </c>
      <c r="S324" s="7">
        <f t="shared" ca="1" si="633"/>
        <v>0</v>
      </c>
      <c r="T324" s="7">
        <f t="shared" ca="1" si="633"/>
        <v>0</v>
      </c>
      <c r="U324" s="7">
        <f t="shared" ca="1" si="633"/>
        <v>0</v>
      </c>
      <c r="V324" s="7">
        <f t="shared" ca="1" si="633"/>
        <v>0</v>
      </c>
      <c r="W324" s="7">
        <f t="shared" ca="1" si="633"/>
        <v>0</v>
      </c>
      <c r="X324" s="7">
        <f t="shared" ca="1" si="633"/>
        <v>0</v>
      </c>
      <c r="Y324" s="7">
        <f t="shared" ca="1" si="633"/>
        <v>0</v>
      </c>
      <c r="Z324" s="7">
        <f t="shared" ca="1" si="633"/>
        <v>0</v>
      </c>
      <c r="AA324" s="7">
        <f t="shared" ca="1" si="633"/>
        <v>0</v>
      </c>
      <c r="AB324" s="7">
        <f t="shared" ca="1" si="633"/>
        <v>0</v>
      </c>
      <c r="AC324" s="7">
        <f t="shared" ca="1" si="633"/>
        <v>0</v>
      </c>
      <c r="AD324" s="7">
        <f t="shared" ca="1" si="633"/>
        <v>0</v>
      </c>
      <c r="AE324" s="7">
        <f t="shared" ca="1" si="633"/>
        <v>0</v>
      </c>
      <c r="AF324" s="7">
        <f t="shared" ca="1" si="633"/>
        <v>0</v>
      </c>
      <c r="AG324" s="7">
        <f t="shared" ca="1" si="633"/>
        <v>0</v>
      </c>
      <c r="AH324" s="7">
        <f t="shared" ca="1" si="633"/>
        <v>0</v>
      </c>
      <c r="AI324" s="7">
        <f t="shared" ca="1" si="633"/>
        <v>0</v>
      </c>
      <c r="AJ324" s="7">
        <f t="shared" ca="1" si="633"/>
        <v>0</v>
      </c>
      <c r="AK324" s="7">
        <f t="shared" ca="1" si="633"/>
        <v>0</v>
      </c>
      <c r="AL324" s="7">
        <f t="shared" ca="1" si="633"/>
        <v>0</v>
      </c>
      <c r="AM324" s="7">
        <f t="shared" ca="1" si="633"/>
        <v>0</v>
      </c>
    </row>
    <row r="325" spans="1:39" x14ac:dyDescent="0.2">
      <c r="A325" s="16" t="str">
        <f t="shared" ref="A325:A333" si="634">A301</f>
        <v>Gzira</v>
      </c>
      <c r="C325" s="7">
        <f t="shared" ref="C325:AM325" ca="1" si="635">IFERROR(IF(VLOOKUP($A325,$311:$321,C$1+2,FALSE)=0,C86,0),C86)</f>
        <v>-6816.3065303051853</v>
      </c>
      <c r="D325" s="7">
        <f t="shared" ca="1" si="635"/>
        <v>-4531.7666039667383</v>
      </c>
      <c r="E325" s="7">
        <f t="shared" ca="1" si="635"/>
        <v>-2201.1147111864902</v>
      </c>
      <c r="F325" s="7">
        <f t="shared" ca="1" si="635"/>
        <v>0</v>
      </c>
      <c r="G325" s="7">
        <f t="shared" ca="1" si="635"/>
        <v>0</v>
      </c>
      <c r="H325" s="7">
        <f t="shared" ca="1" si="635"/>
        <v>0</v>
      </c>
      <c r="I325" s="7">
        <f t="shared" ca="1" si="635"/>
        <v>0</v>
      </c>
      <c r="J325" s="7">
        <f t="shared" ca="1" si="635"/>
        <v>0</v>
      </c>
      <c r="K325" s="7">
        <f t="shared" ca="1" si="635"/>
        <v>0</v>
      </c>
      <c r="L325" s="7">
        <f t="shared" ca="1" si="635"/>
        <v>0</v>
      </c>
      <c r="M325" s="7">
        <f t="shared" ca="1" si="635"/>
        <v>0</v>
      </c>
      <c r="N325" s="7">
        <f t="shared" ca="1" si="635"/>
        <v>0</v>
      </c>
      <c r="O325" s="7">
        <f t="shared" ca="1" si="635"/>
        <v>0</v>
      </c>
      <c r="P325" s="7">
        <f t="shared" ca="1" si="635"/>
        <v>0</v>
      </c>
      <c r="Q325" s="7">
        <f t="shared" ca="1" si="635"/>
        <v>0</v>
      </c>
      <c r="R325" s="7">
        <f t="shared" ca="1" si="635"/>
        <v>0</v>
      </c>
      <c r="S325" s="7">
        <f t="shared" ca="1" si="635"/>
        <v>0</v>
      </c>
      <c r="T325" s="7">
        <f t="shared" ca="1" si="635"/>
        <v>0</v>
      </c>
      <c r="U325" s="7">
        <f t="shared" ca="1" si="635"/>
        <v>0</v>
      </c>
      <c r="V325" s="7">
        <f t="shared" ca="1" si="635"/>
        <v>0</v>
      </c>
      <c r="W325" s="7">
        <f t="shared" ca="1" si="635"/>
        <v>0</v>
      </c>
      <c r="X325" s="7">
        <f t="shared" ca="1" si="635"/>
        <v>0</v>
      </c>
      <c r="Y325" s="7">
        <f t="shared" ca="1" si="635"/>
        <v>0</v>
      </c>
      <c r="Z325" s="7">
        <f t="shared" ca="1" si="635"/>
        <v>0</v>
      </c>
      <c r="AA325" s="7">
        <f t="shared" ca="1" si="635"/>
        <v>0</v>
      </c>
      <c r="AB325" s="7">
        <f t="shared" ca="1" si="635"/>
        <v>0</v>
      </c>
      <c r="AC325" s="7">
        <f t="shared" ca="1" si="635"/>
        <v>0</v>
      </c>
      <c r="AD325" s="7">
        <f t="shared" ca="1" si="635"/>
        <v>0</v>
      </c>
      <c r="AE325" s="7">
        <f t="shared" ca="1" si="635"/>
        <v>0</v>
      </c>
      <c r="AF325" s="7">
        <f t="shared" ca="1" si="635"/>
        <v>0</v>
      </c>
      <c r="AG325" s="7">
        <f t="shared" ca="1" si="635"/>
        <v>0</v>
      </c>
      <c r="AH325" s="7">
        <f t="shared" ca="1" si="635"/>
        <v>0</v>
      </c>
      <c r="AI325" s="7">
        <f t="shared" ca="1" si="635"/>
        <v>0</v>
      </c>
      <c r="AJ325" s="7">
        <f t="shared" ca="1" si="635"/>
        <v>0</v>
      </c>
      <c r="AK325" s="7">
        <f t="shared" ca="1" si="635"/>
        <v>0</v>
      </c>
      <c r="AL325" s="7">
        <f t="shared" ca="1" si="635"/>
        <v>0</v>
      </c>
      <c r="AM325" s="7">
        <f t="shared" ca="1" si="635"/>
        <v>0</v>
      </c>
    </row>
    <row r="326" spans="1:39" x14ac:dyDescent="0.2">
      <c r="A326" s="16" t="str">
        <f t="shared" si="634"/>
        <v>Qormi</v>
      </c>
      <c r="C326" s="7">
        <f t="shared" ref="C326:AM326" ca="1" si="636">IFERROR(IF(VLOOKUP($A326,$311:$321,C$1+2,FALSE)=0,C87,0),C87)</f>
        <v>-13284.099846375037</v>
      </c>
      <c r="D326" s="7">
        <f t="shared" ca="1" si="636"/>
        <v>-10894.02573326202</v>
      </c>
      <c r="E326" s="7">
        <f t="shared" ca="1" si="636"/>
        <v>-8381.6708924441427</v>
      </c>
      <c r="F326" s="7">
        <f t="shared" ca="1" si="636"/>
        <v>-5740.779209817676</v>
      </c>
      <c r="G326" s="7">
        <f t="shared" ca="1" si="636"/>
        <v>-2964.7744966079426</v>
      </c>
      <c r="H326" s="7">
        <f t="shared" ca="1" si="636"/>
        <v>-46.744113741759065</v>
      </c>
      <c r="I326" s="7">
        <f t="shared" ca="1" si="636"/>
        <v>0</v>
      </c>
      <c r="J326" s="7">
        <f t="shared" ca="1" si="636"/>
        <v>0</v>
      </c>
      <c r="K326" s="7">
        <f t="shared" ca="1" si="636"/>
        <v>0</v>
      </c>
      <c r="L326" s="7">
        <f t="shared" ca="1" si="636"/>
        <v>0</v>
      </c>
      <c r="M326" s="7">
        <f t="shared" ca="1" si="636"/>
        <v>0</v>
      </c>
      <c r="N326" s="7">
        <f t="shared" ca="1" si="636"/>
        <v>0</v>
      </c>
      <c r="O326" s="7">
        <f t="shared" ca="1" si="636"/>
        <v>0</v>
      </c>
      <c r="P326" s="7">
        <f t="shared" ca="1" si="636"/>
        <v>0</v>
      </c>
      <c r="Q326" s="7">
        <f t="shared" ca="1" si="636"/>
        <v>0</v>
      </c>
      <c r="R326" s="7">
        <f t="shared" ca="1" si="636"/>
        <v>0</v>
      </c>
      <c r="S326" s="7">
        <f t="shared" ca="1" si="636"/>
        <v>0</v>
      </c>
      <c r="T326" s="7">
        <f t="shared" ca="1" si="636"/>
        <v>0</v>
      </c>
      <c r="U326" s="7">
        <f t="shared" ca="1" si="636"/>
        <v>0</v>
      </c>
      <c r="V326" s="7">
        <f t="shared" ca="1" si="636"/>
        <v>0</v>
      </c>
      <c r="W326" s="7">
        <f t="shared" ca="1" si="636"/>
        <v>0</v>
      </c>
      <c r="X326" s="7">
        <f t="shared" ca="1" si="636"/>
        <v>0</v>
      </c>
      <c r="Y326" s="7">
        <f t="shared" ca="1" si="636"/>
        <v>0</v>
      </c>
      <c r="Z326" s="7">
        <f t="shared" ca="1" si="636"/>
        <v>0</v>
      </c>
      <c r="AA326" s="7">
        <f t="shared" ca="1" si="636"/>
        <v>0</v>
      </c>
      <c r="AB326" s="7">
        <f t="shared" ca="1" si="636"/>
        <v>0</v>
      </c>
      <c r="AC326" s="7">
        <f t="shared" ca="1" si="636"/>
        <v>0</v>
      </c>
      <c r="AD326" s="7">
        <f t="shared" ca="1" si="636"/>
        <v>0</v>
      </c>
      <c r="AE326" s="7">
        <f t="shared" ca="1" si="636"/>
        <v>0</v>
      </c>
      <c r="AF326" s="7">
        <f t="shared" ca="1" si="636"/>
        <v>0</v>
      </c>
      <c r="AG326" s="7">
        <f t="shared" ca="1" si="636"/>
        <v>0</v>
      </c>
      <c r="AH326" s="7">
        <f t="shared" ca="1" si="636"/>
        <v>0</v>
      </c>
      <c r="AI326" s="7">
        <f t="shared" ca="1" si="636"/>
        <v>0</v>
      </c>
      <c r="AJ326" s="7">
        <f t="shared" ca="1" si="636"/>
        <v>0</v>
      </c>
      <c r="AK326" s="7">
        <f t="shared" ca="1" si="636"/>
        <v>0</v>
      </c>
      <c r="AL326" s="7">
        <f t="shared" ca="1" si="636"/>
        <v>0</v>
      </c>
      <c r="AM326" s="7">
        <f t="shared" ca="1" si="636"/>
        <v>0</v>
      </c>
    </row>
    <row r="327" spans="1:39" x14ac:dyDescent="0.2">
      <c r="A327" s="16" t="str">
        <f t="shared" si="634"/>
        <v>Gudja</v>
      </c>
      <c r="C327" s="7">
        <f t="shared" ref="C327:AM327" ca="1" si="637">IFERROR(IF(VLOOKUP($A327,$311:$321,C$1+2,FALSE)=0,C88,0),C88)</f>
        <v>-4025.8511111463736</v>
      </c>
      <c r="D327" s="7">
        <f t="shared" ca="1" si="637"/>
        <v>-3138.2612491824134</v>
      </c>
      <c r="E327" s="7">
        <f t="shared" ca="1" si="637"/>
        <v>-2232.7559577452803</v>
      </c>
      <c r="F327" s="7">
        <f t="shared" ca="1" si="637"/>
        <v>-1308.9736254343047</v>
      </c>
      <c r="G327" s="7">
        <f t="shared" ca="1" si="637"/>
        <v>-366.5453419556743</v>
      </c>
      <c r="H327" s="7">
        <f t="shared" ca="1" si="637"/>
        <v>0</v>
      </c>
      <c r="I327" s="7">
        <f t="shared" ca="1" si="637"/>
        <v>0</v>
      </c>
      <c r="J327" s="7">
        <f t="shared" ca="1" si="637"/>
        <v>0</v>
      </c>
      <c r="K327" s="7">
        <f t="shared" ca="1" si="637"/>
        <v>0</v>
      </c>
      <c r="L327" s="7">
        <f t="shared" ca="1" si="637"/>
        <v>0</v>
      </c>
      <c r="M327" s="7">
        <f t="shared" ca="1" si="637"/>
        <v>0</v>
      </c>
      <c r="N327" s="7">
        <f t="shared" ca="1" si="637"/>
        <v>0</v>
      </c>
      <c r="O327" s="7">
        <f t="shared" ca="1" si="637"/>
        <v>0</v>
      </c>
      <c r="P327" s="7">
        <f t="shared" ca="1" si="637"/>
        <v>0</v>
      </c>
      <c r="Q327" s="7">
        <f t="shared" ca="1" si="637"/>
        <v>0</v>
      </c>
      <c r="R327" s="7">
        <f t="shared" ca="1" si="637"/>
        <v>0</v>
      </c>
      <c r="S327" s="7">
        <f t="shared" ca="1" si="637"/>
        <v>0</v>
      </c>
      <c r="T327" s="7">
        <f t="shared" ca="1" si="637"/>
        <v>0</v>
      </c>
      <c r="U327" s="7">
        <f t="shared" ca="1" si="637"/>
        <v>0</v>
      </c>
      <c r="V327" s="7">
        <f t="shared" ca="1" si="637"/>
        <v>0</v>
      </c>
      <c r="W327" s="7">
        <f t="shared" ca="1" si="637"/>
        <v>0</v>
      </c>
      <c r="X327" s="7">
        <f t="shared" ca="1" si="637"/>
        <v>0</v>
      </c>
      <c r="Y327" s="7">
        <f t="shared" ca="1" si="637"/>
        <v>0</v>
      </c>
      <c r="Z327" s="7">
        <f t="shared" ca="1" si="637"/>
        <v>0</v>
      </c>
      <c r="AA327" s="7">
        <f t="shared" ca="1" si="637"/>
        <v>0</v>
      </c>
      <c r="AB327" s="7">
        <f t="shared" ca="1" si="637"/>
        <v>0</v>
      </c>
      <c r="AC327" s="7">
        <f t="shared" ca="1" si="637"/>
        <v>0</v>
      </c>
      <c r="AD327" s="7">
        <f t="shared" ca="1" si="637"/>
        <v>0</v>
      </c>
      <c r="AE327" s="7">
        <f t="shared" ca="1" si="637"/>
        <v>0</v>
      </c>
      <c r="AF327" s="7">
        <f t="shared" ca="1" si="637"/>
        <v>0</v>
      </c>
      <c r="AG327" s="7">
        <f t="shared" ca="1" si="637"/>
        <v>0</v>
      </c>
      <c r="AH327" s="7">
        <f t="shared" ca="1" si="637"/>
        <v>0</v>
      </c>
      <c r="AI327" s="7">
        <f t="shared" ca="1" si="637"/>
        <v>0</v>
      </c>
      <c r="AJ327" s="7">
        <f t="shared" ca="1" si="637"/>
        <v>0</v>
      </c>
      <c r="AK327" s="7">
        <f t="shared" ca="1" si="637"/>
        <v>0</v>
      </c>
      <c r="AL327" s="7">
        <f t="shared" ca="1" si="637"/>
        <v>0</v>
      </c>
      <c r="AM327" s="7">
        <f t="shared" ca="1" si="637"/>
        <v>0</v>
      </c>
    </row>
    <row r="328" spans="1:39" x14ac:dyDescent="0.2">
      <c r="A328" s="16" t="str">
        <f t="shared" si="634"/>
        <v>Marsa</v>
      </c>
      <c r="C328" s="7">
        <f t="shared" ref="C328:AM328" ca="1" si="638">IFERROR(IF(VLOOKUP($A328,$311:$321,C$1+2,FALSE)=0,C89,0),C89)</f>
        <v>-8649.5822104017261</v>
      </c>
      <c r="D328" s="7">
        <f t="shared" ca="1" si="638"/>
        <v>-7452.7015983848178</v>
      </c>
      <c r="E328" s="7">
        <f t="shared" ca="1" si="638"/>
        <v>-6219.4167172421839</v>
      </c>
      <c r="F328" s="7">
        <f t="shared" ca="1" si="638"/>
        <v>-4948.6202962926418</v>
      </c>
      <c r="G328" s="7">
        <f t="shared" ca="1" si="638"/>
        <v>-3639.1713861576636</v>
      </c>
      <c r="H328" s="7">
        <f t="shared" ca="1" si="638"/>
        <v>-2289.8943343915744</v>
      </c>
      <c r="I328" s="7">
        <f t="shared" ca="1" si="638"/>
        <v>-899.57772995459527</v>
      </c>
      <c r="J328" s="7">
        <f t="shared" ca="1" si="638"/>
        <v>0</v>
      </c>
      <c r="K328" s="7">
        <f t="shared" ca="1" si="638"/>
        <v>0</v>
      </c>
      <c r="L328" s="7">
        <f t="shared" ca="1" si="638"/>
        <v>0</v>
      </c>
      <c r="M328" s="7">
        <f t="shared" ca="1" si="638"/>
        <v>0</v>
      </c>
      <c r="N328" s="7">
        <f t="shared" ca="1" si="638"/>
        <v>0</v>
      </c>
      <c r="O328" s="7">
        <f t="shared" ca="1" si="638"/>
        <v>0</v>
      </c>
      <c r="P328" s="7">
        <f t="shared" ca="1" si="638"/>
        <v>0</v>
      </c>
      <c r="Q328" s="7">
        <f t="shared" ca="1" si="638"/>
        <v>0</v>
      </c>
      <c r="R328" s="7">
        <f t="shared" ca="1" si="638"/>
        <v>0</v>
      </c>
      <c r="S328" s="7">
        <f t="shared" ca="1" si="638"/>
        <v>0</v>
      </c>
      <c r="T328" s="7">
        <f t="shared" ca="1" si="638"/>
        <v>0</v>
      </c>
      <c r="U328" s="7">
        <f t="shared" ca="1" si="638"/>
        <v>0</v>
      </c>
      <c r="V328" s="7">
        <f t="shared" ca="1" si="638"/>
        <v>0</v>
      </c>
      <c r="W328" s="7">
        <f t="shared" ca="1" si="638"/>
        <v>0</v>
      </c>
      <c r="X328" s="7">
        <f t="shared" ca="1" si="638"/>
        <v>0</v>
      </c>
      <c r="Y328" s="7">
        <f t="shared" ca="1" si="638"/>
        <v>0</v>
      </c>
      <c r="Z328" s="7">
        <f t="shared" ca="1" si="638"/>
        <v>0</v>
      </c>
      <c r="AA328" s="7">
        <f t="shared" ca="1" si="638"/>
        <v>0</v>
      </c>
      <c r="AB328" s="7">
        <f t="shared" ca="1" si="638"/>
        <v>0</v>
      </c>
      <c r="AC328" s="7">
        <f t="shared" ca="1" si="638"/>
        <v>0</v>
      </c>
      <c r="AD328" s="7">
        <f t="shared" ca="1" si="638"/>
        <v>0</v>
      </c>
      <c r="AE328" s="7">
        <f t="shared" ca="1" si="638"/>
        <v>0</v>
      </c>
      <c r="AF328" s="7">
        <f t="shared" ca="1" si="638"/>
        <v>0</v>
      </c>
      <c r="AG328" s="7">
        <f t="shared" ca="1" si="638"/>
        <v>0</v>
      </c>
      <c r="AH328" s="7">
        <f t="shared" ca="1" si="638"/>
        <v>0</v>
      </c>
      <c r="AI328" s="7">
        <f t="shared" ca="1" si="638"/>
        <v>0</v>
      </c>
      <c r="AJ328" s="7">
        <f t="shared" ca="1" si="638"/>
        <v>0</v>
      </c>
      <c r="AK328" s="7">
        <f t="shared" ca="1" si="638"/>
        <v>0</v>
      </c>
      <c r="AL328" s="7">
        <f t="shared" ca="1" si="638"/>
        <v>0</v>
      </c>
      <c r="AM328" s="7">
        <f t="shared" ca="1" si="638"/>
        <v>0</v>
      </c>
    </row>
    <row r="329" spans="1:39" x14ac:dyDescent="0.2">
      <c r="A329" s="16" t="str">
        <f t="shared" si="634"/>
        <v>Jewelry</v>
      </c>
      <c r="C329" s="7">
        <f t="shared" ref="C329:AM329" ca="1" si="639">IFERROR(IF(VLOOKUP($A329,$311:$321,C$1+2,FALSE)=0,C90,0),C90)</f>
        <v>-1875.0262705595046</v>
      </c>
      <c r="D329" s="7">
        <f t="shared" ca="1" si="639"/>
        <v>-1019.5782814113345</v>
      </c>
      <c r="E329" s="7">
        <f t="shared" ca="1" si="639"/>
        <v>-138.11102308348245</v>
      </c>
      <c r="F329" s="7">
        <f t="shared" ca="1" si="639"/>
        <v>0</v>
      </c>
      <c r="G329" s="7">
        <f t="shared" ca="1" si="639"/>
        <v>0</v>
      </c>
      <c r="H329" s="7">
        <f t="shared" ca="1" si="639"/>
        <v>0</v>
      </c>
      <c r="I329" s="7">
        <f t="shared" ca="1" si="639"/>
        <v>0</v>
      </c>
      <c r="J329" s="7">
        <f t="shared" ca="1" si="639"/>
        <v>0</v>
      </c>
      <c r="K329" s="7">
        <f t="shared" ca="1" si="639"/>
        <v>0</v>
      </c>
      <c r="L329" s="7">
        <f t="shared" ca="1" si="639"/>
        <v>0</v>
      </c>
      <c r="M329" s="7">
        <f t="shared" ca="1" si="639"/>
        <v>0</v>
      </c>
      <c r="N329" s="7">
        <f t="shared" ca="1" si="639"/>
        <v>0</v>
      </c>
      <c r="O329" s="7">
        <f t="shared" ca="1" si="639"/>
        <v>0</v>
      </c>
      <c r="P329" s="7">
        <f t="shared" ca="1" si="639"/>
        <v>0</v>
      </c>
      <c r="Q329" s="7">
        <f t="shared" ca="1" si="639"/>
        <v>0</v>
      </c>
      <c r="R329" s="7">
        <f t="shared" ca="1" si="639"/>
        <v>0</v>
      </c>
      <c r="S329" s="7">
        <f t="shared" ca="1" si="639"/>
        <v>0</v>
      </c>
      <c r="T329" s="7">
        <f t="shared" ca="1" si="639"/>
        <v>0</v>
      </c>
      <c r="U329" s="7">
        <f t="shared" ca="1" si="639"/>
        <v>0</v>
      </c>
      <c r="V329" s="7">
        <f t="shared" ca="1" si="639"/>
        <v>0</v>
      </c>
      <c r="W329" s="7">
        <f t="shared" ca="1" si="639"/>
        <v>0</v>
      </c>
      <c r="X329" s="7">
        <f t="shared" ca="1" si="639"/>
        <v>0</v>
      </c>
      <c r="Y329" s="7">
        <f t="shared" ca="1" si="639"/>
        <v>0</v>
      </c>
      <c r="Z329" s="7">
        <f t="shared" ca="1" si="639"/>
        <v>0</v>
      </c>
      <c r="AA329" s="7">
        <f t="shared" ca="1" si="639"/>
        <v>0</v>
      </c>
      <c r="AB329" s="7">
        <f t="shared" ca="1" si="639"/>
        <v>0</v>
      </c>
      <c r="AC329" s="7">
        <f t="shared" ca="1" si="639"/>
        <v>0</v>
      </c>
      <c r="AD329" s="7">
        <f t="shared" ca="1" si="639"/>
        <v>0</v>
      </c>
      <c r="AE329" s="7">
        <f t="shared" ca="1" si="639"/>
        <v>0</v>
      </c>
      <c r="AF329" s="7">
        <f t="shared" ca="1" si="639"/>
        <v>0</v>
      </c>
      <c r="AG329" s="7">
        <f t="shared" ca="1" si="639"/>
        <v>0</v>
      </c>
      <c r="AH329" s="7">
        <f t="shared" ca="1" si="639"/>
        <v>0</v>
      </c>
      <c r="AI329" s="7">
        <f t="shared" ca="1" si="639"/>
        <v>0</v>
      </c>
      <c r="AJ329" s="7">
        <f t="shared" ca="1" si="639"/>
        <v>0</v>
      </c>
      <c r="AK329" s="7">
        <f t="shared" ca="1" si="639"/>
        <v>0</v>
      </c>
      <c r="AL329" s="7">
        <f t="shared" ca="1" si="639"/>
        <v>0</v>
      </c>
      <c r="AM329" s="7">
        <f t="shared" ca="1" si="639"/>
        <v>0</v>
      </c>
    </row>
    <row r="330" spans="1:39" x14ac:dyDescent="0.2">
      <c r="A330" s="16" t="str">
        <f t="shared" si="634"/>
        <v>Car</v>
      </c>
      <c r="C330" s="7">
        <f t="shared" ref="C330:AM330" ca="1" si="640">IFERROR(IF(VLOOKUP($A330,$311:$321,C$1+2,FALSE)=0,C91,0),C91)</f>
        <v>-5311.4222222593407</v>
      </c>
      <c r="D330" s="7">
        <f t="shared" ca="1" si="640"/>
        <v>-4377.1171044025405</v>
      </c>
      <c r="E330" s="7">
        <f t="shared" ca="1" si="640"/>
        <v>-3423.9536397318734</v>
      </c>
      <c r="F330" s="7">
        <f t="shared" ca="1" si="640"/>
        <v>-2451.5511846676886</v>
      </c>
      <c r="G330" s="7">
        <f t="shared" ca="1" si="640"/>
        <v>-1459.5214125849197</v>
      </c>
      <c r="H330" s="7">
        <f t="shared" ca="1" si="640"/>
        <v>-447.46815873579635</v>
      </c>
      <c r="I330" s="7">
        <f t="shared" ca="1" si="640"/>
        <v>0</v>
      </c>
      <c r="J330" s="7">
        <f t="shared" ca="1" si="640"/>
        <v>0</v>
      </c>
      <c r="K330" s="7">
        <f t="shared" ca="1" si="640"/>
        <v>0</v>
      </c>
      <c r="L330" s="7">
        <f t="shared" ca="1" si="640"/>
        <v>0</v>
      </c>
      <c r="M330" s="7">
        <f t="shared" ca="1" si="640"/>
        <v>0</v>
      </c>
      <c r="N330" s="7">
        <f t="shared" ca="1" si="640"/>
        <v>0</v>
      </c>
      <c r="O330" s="7">
        <f t="shared" ca="1" si="640"/>
        <v>0</v>
      </c>
      <c r="P330" s="7">
        <f t="shared" ca="1" si="640"/>
        <v>0</v>
      </c>
      <c r="Q330" s="7">
        <f t="shared" ca="1" si="640"/>
        <v>0</v>
      </c>
      <c r="R330" s="7">
        <f t="shared" ca="1" si="640"/>
        <v>0</v>
      </c>
      <c r="S330" s="7">
        <f t="shared" ca="1" si="640"/>
        <v>0</v>
      </c>
      <c r="T330" s="7">
        <f t="shared" ca="1" si="640"/>
        <v>0</v>
      </c>
      <c r="U330" s="7">
        <f t="shared" ca="1" si="640"/>
        <v>0</v>
      </c>
      <c r="V330" s="7">
        <f t="shared" ca="1" si="640"/>
        <v>0</v>
      </c>
      <c r="W330" s="7">
        <f t="shared" ca="1" si="640"/>
        <v>0</v>
      </c>
      <c r="X330" s="7">
        <f t="shared" ca="1" si="640"/>
        <v>0</v>
      </c>
      <c r="Y330" s="7">
        <f t="shared" ca="1" si="640"/>
        <v>0</v>
      </c>
      <c r="Z330" s="7">
        <f t="shared" ca="1" si="640"/>
        <v>0</v>
      </c>
      <c r="AA330" s="7">
        <f t="shared" ca="1" si="640"/>
        <v>0</v>
      </c>
      <c r="AB330" s="7">
        <f t="shared" ca="1" si="640"/>
        <v>0</v>
      </c>
      <c r="AC330" s="7">
        <f t="shared" ca="1" si="640"/>
        <v>0</v>
      </c>
      <c r="AD330" s="7">
        <f t="shared" ca="1" si="640"/>
        <v>0</v>
      </c>
      <c r="AE330" s="7">
        <f t="shared" ca="1" si="640"/>
        <v>0</v>
      </c>
      <c r="AF330" s="7">
        <f t="shared" ca="1" si="640"/>
        <v>0</v>
      </c>
      <c r="AG330" s="7">
        <f t="shared" ca="1" si="640"/>
        <v>0</v>
      </c>
      <c r="AH330" s="7">
        <f t="shared" ca="1" si="640"/>
        <v>0</v>
      </c>
      <c r="AI330" s="7">
        <f t="shared" ca="1" si="640"/>
        <v>0</v>
      </c>
      <c r="AJ330" s="7">
        <f t="shared" ca="1" si="640"/>
        <v>0</v>
      </c>
      <c r="AK330" s="7">
        <f t="shared" ca="1" si="640"/>
        <v>0</v>
      </c>
      <c r="AL330" s="7">
        <f t="shared" ca="1" si="640"/>
        <v>0</v>
      </c>
      <c r="AM330" s="7">
        <f t="shared" ca="1" si="640"/>
        <v>0</v>
      </c>
    </row>
    <row r="331" spans="1:39" x14ac:dyDescent="0.2">
      <c r="A331" s="16" t="str">
        <f t="shared" si="634"/>
        <v>Painting</v>
      </c>
      <c r="C331" s="7">
        <f t="shared" ref="C331:AM331" ca="1" si="641">IFERROR(IF(VLOOKUP($A331,$311:$321,C$1+2,FALSE)=0,C92,0),C92)</f>
        <v>-6642.0499231875183</v>
      </c>
      <c r="D331" s="7">
        <f t="shared" ca="1" si="641"/>
        <v>-5447.0128666310102</v>
      </c>
      <c r="E331" s="7">
        <f t="shared" ca="1" si="641"/>
        <v>-4190.8354462220714</v>
      </c>
      <c r="F331" s="7">
        <f t="shared" ca="1" si="641"/>
        <v>-2870.389604908838</v>
      </c>
      <c r="G331" s="7">
        <f t="shared" ca="1" si="641"/>
        <v>-1482.3872483039713</v>
      </c>
      <c r="H331" s="7">
        <f t="shared" ca="1" si="641"/>
        <v>-23.372056870879533</v>
      </c>
      <c r="I331" s="7">
        <f t="shared" ca="1" si="641"/>
        <v>0</v>
      </c>
      <c r="J331" s="7">
        <f t="shared" ca="1" si="641"/>
        <v>0</v>
      </c>
      <c r="K331" s="7">
        <f t="shared" ca="1" si="641"/>
        <v>0</v>
      </c>
      <c r="L331" s="7">
        <f t="shared" ca="1" si="641"/>
        <v>0</v>
      </c>
      <c r="M331" s="7">
        <f t="shared" ca="1" si="641"/>
        <v>0</v>
      </c>
      <c r="N331" s="7">
        <f t="shared" ca="1" si="641"/>
        <v>0</v>
      </c>
      <c r="O331" s="7">
        <f t="shared" ca="1" si="641"/>
        <v>0</v>
      </c>
      <c r="P331" s="7">
        <f t="shared" ca="1" si="641"/>
        <v>0</v>
      </c>
      <c r="Q331" s="7">
        <f t="shared" ca="1" si="641"/>
        <v>0</v>
      </c>
      <c r="R331" s="7">
        <f t="shared" ca="1" si="641"/>
        <v>0</v>
      </c>
      <c r="S331" s="7">
        <f t="shared" ca="1" si="641"/>
        <v>0</v>
      </c>
      <c r="T331" s="7">
        <f t="shared" ca="1" si="641"/>
        <v>0</v>
      </c>
      <c r="U331" s="7">
        <f t="shared" ca="1" si="641"/>
        <v>0</v>
      </c>
      <c r="V331" s="7">
        <f t="shared" ca="1" si="641"/>
        <v>0</v>
      </c>
      <c r="W331" s="7">
        <f t="shared" ca="1" si="641"/>
        <v>0</v>
      </c>
      <c r="X331" s="7">
        <f t="shared" ca="1" si="641"/>
        <v>0</v>
      </c>
      <c r="Y331" s="7">
        <f t="shared" ca="1" si="641"/>
        <v>0</v>
      </c>
      <c r="Z331" s="7">
        <f t="shared" ca="1" si="641"/>
        <v>0</v>
      </c>
      <c r="AA331" s="7">
        <f t="shared" ca="1" si="641"/>
        <v>0</v>
      </c>
      <c r="AB331" s="7">
        <f t="shared" ca="1" si="641"/>
        <v>0</v>
      </c>
      <c r="AC331" s="7">
        <f t="shared" ca="1" si="641"/>
        <v>0</v>
      </c>
      <c r="AD331" s="7">
        <f t="shared" ca="1" si="641"/>
        <v>0</v>
      </c>
      <c r="AE331" s="7">
        <f t="shared" ca="1" si="641"/>
        <v>0</v>
      </c>
      <c r="AF331" s="7">
        <f t="shared" ca="1" si="641"/>
        <v>0</v>
      </c>
      <c r="AG331" s="7">
        <f t="shared" ca="1" si="641"/>
        <v>0</v>
      </c>
      <c r="AH331" s="7">
        <f t="shared" ca="1" si="641"/>
        <v>0</v>
      </c>
      <c r="AI331" s="7">
        <f t="shared" ca="1" si="641"/>
        <v>0</v>
      </c>
      <c r="AJ331" s="7">
        <f t="shared" ca="1" si="641"/>
        <v>0</v>
      </c>
      <c r="AK331" s="7">
        <f t="shared" ca="1" si="641"/>
        <v>0</v>
      </c>
      <c r="AL331" s="7">
        <f t="shared" ca="1" si="641"/>
        <v>0</v>
      </c>
      <c r="AM331" s="7">
        <f t="shared" ca="1" si="641"/>
        <v>0</v>
      </c>
    </row>
    <row r="332" spans="1:39" x14ac:dyDescent="0.2">
      <c r="A332" s="16" t="str">
        <f t="shared" si="634"/>
        <v>Boat</v>
      </c>
      <c r="C332" s="7">
        <f t="shared" ref="C332:AM332" ca="1" si="642">IFERROR(IF(VLOOKUP($A332,$311:$321,C$1+2,FALSE)=0,C93,0),C93)</f>
        <v>-36106.782888498572</v>
      </c>
      <c r="D332" s="7">
        <f t="shared" ca="1" si="642"/>
        <v>-30636.379329838361</v>
      </c>
      <c r="E332" s="7">
        <f t="shared" ca="1" si="642"/>
        <v>-24828.573249664209</v>
      </c>
      <c r="F332" s="7">
        <f t="shared" ca="1" si="642"/>
        <v>-18662.55439873159</v>
      </c>
      <c r="G332" s="7">
        <f t="shared" ca="1" si="642"/>
        <v>-12116.228997158192</v>
      </c>
      <c r="H332" s="7">
        <f t="shared" ca="1" si="642"/>
        <v>-5166.1405690627944</v>
      </c>
      <c r="I332" s="7">
        <f t="shared" ca="1" si="642"/>
        <v>0</v>
      </c>
      <c r="J332" s="7">
        <f t="shared" ca="1" si="642"/>
        <v>0</v>
      </c>
      <c r="K332" s="7">
        <f t="shared" ca="1" si="642"/>
        <v>0</v>
      </c>
      <c r="L332" s="7">
        <f t="shared" ca="1" si="642"/>
        <v>0</v>
      </c>
      <c r="M332" s="7">
        <f t="shared" ca="1" si="642"/>
        <v>0</v>
      </c>
      <c r="N332" s="7">
        <f t="shared" ca="1" si="642"/>
        <v>0</v>
      </c>
      <c r="O332" s="7">
        <f t="shared" ca="1" si="642"/>
        <v>0</v>
      </c>
      <c r="P332" s="7">
        <f t="shared" ca="1" si="642"/>
        <v>0</v>
      </c>
      <c r="Q332" s="7">
        <f t="shared" ca="1" si="642"/>
        <v>0</v>
      </c>
      <c r="R332" s="7">
        <f t="shared" ca="1" si="642"/>
        <v>0</v>
      </c>
      <c r="S332" s="7">
        <f t="shared" ca="1" si="642"/>
        <v>0</v>
      </c>
      <c r="T332" s="7">
        <f t="shared" ca="1" si="642"/>
        <v>0</v>
      </c>
      <c r="U332" s="7">
        <f t="shared" ca="1" si="642"/>
        <v>0</v>
      </c>
      <c r="V332" s="7">
        <f t="shared" ca="1" si="642"/>
        <v>0</v>
      </c>
      <c r="W332" s="7">
        <f t="shared" ca="1" si="642"/>
        <v>0</v>
      </c>
      <c r="X332" s="7">
        <f t="shared" ca="1" si="642"/>
        <v>0</v>
      </c>
      <c r="Y332" s="7">
        <f t="shared" ca="1" si="642"/>
        <v>0</v>
      </c>
      <c r="Z332" s="7">
        <f t="shared" ca="1" si="642"/>
        <v>0</v>
      </c>
      <c r="AA332" s="7">
        <f t="shared" ca="1" si="642"/>
        <v>0</v>
      </c>
      <c r="AB332" s="7">
        <f t="shared" ca="1" si="642"/>
        <v>0</v>
      </c>
      <c r="AC332" s="7">
        <f t="shared" ca="1" si="642"/>
        <v>0</v>
      </c>
      <c r="AD332" s="7">
        <f t="shared" ca="1" si="642"/>
        <v>0</v>
      </c>
      <c r="AE332" s="7">
        <f t="shared" ca="1" si="642"/>
        <v>0</v>
      </c>
      <c r="AF332" s="7">
        <f t="shared" ca="1" si="642"/>
        <v>0</v>
      </c>
      <c r="AG332" s="7">
        <f t="shared" ca="1" si="642"/>
        <v>0</v>
      </c>
      <c r="AH332" s="7">
        <f t="shared" ca="1" si="642"/>
        <v>0</v>
      </c>
      <c r="AI332" s="7">
        <f t="shared" ca="1" si="642"/>
        <v>0</v>
      </c>
      <c r="AJ332" s="7">
        <f t="shared" ca="1" si="642"/>
        <v>0</v>
      </c>
      <c r="AK332" s="7">
        <f t="shared" ca="1" si="642"/>
        <v>0</v>
      </c>
      <c r="AL332" s="7">
        <f t="shared" ca="1" si="642"/>
        <v>0</v>
      </c>
      <c r="AM332" s="7">
        <f t="shared" ca="1" si="642"/>
        <v>0</v>
      </c>
    </row>
    <row r="333" spans="1:39" x14ac:dyDescent="0.2">
      <c r="A333" s="16" t="str">
        <f t="shared" si="634"/>
        <v>Antiques</v>
      </c>
      <c r="C333" s="7">
        <f t="shared" ref="C333:AM333" ca="1" si="643">IFERROR(IF(VLOOKUP($A333,$311:$321,C$1+2,FALSE)=0,C94,0),C94)</f>
        <v>-2886.4020391451668</v>
      </c>
      <c r="D333" s="7">
        <f t="shared" ca="1" si="643"/>
        <v>-1635.892615008569</v>
      </c>
      <c r="E333" s="7">
        <f t="shared" ca="1" si="643"/>
        <v>-347.34775010749127</v>
      </c>
      <c r="F333" s="7">
        <f t="shared" ca="1" si="643"/>
        <v>0</v>
      </c>
      <c r="G333" s="7">
        <f t="shared" ca="1" si="643"/>
        <v>0</v>
      </c>
      <c r="H333" s="7">
        <f t="shared" ca="1" si="643"/>
        <v>0</v>
      </c>
      <c r="I333" s="7">
        <f t="shared" ca="1" si="643"/>
        <v>0</v>
      </c>
      <c r="J333" s="7">
        <f t="shared" ca="1" si="643"/>
        <v>0</v>
      </c>
      <c r="K333" s="7">
        <f t="shared" ca="1" si="643"/>
        <v>0</v>
      </c>
      <c r="L333" s="7">
        <f t="shared" ca="1" si="643"/>
        <v>0</v>
      </c>
      <c r="M333" s="7">
        <f t="shared" ca="1" si="643"/>
        <v>0</v>
      </c>
      <c r="N333" s="7">
        <f t="shared" ca="1" si="643"/>
        <v>0</v>
      </c>
      <c r="O333" s="7">
        <f t="shared" ca="1" si="643"/>
        <v>0</v>
      </c>
      <c r="P333" s="7">
        <f t="shared" ca="1" si="643"/>
        <v>0</v>
      </c>
      <c r="Q333" s="7">
        <f t="shared" ca="1" si="643"/>
        <v>0</v>
      </c>
      <c r="R333" s="7">
        <f t="shared" ca="1" si="643"/>
        <v>0</v>
      </c>
      <c r="S333" s="7">
        <f t="shared" ca="1" si="643"/>
        <v>0</v>
      </c>
      <c r="T333" s="7">
        <f t="shared" ca="1" si="643"/>
        <v>0</v>
      </c>
      <c r="U333" s="7">
        <f t="shared" ca="1" si="643"/>
        <v>0</v>
      </c>
      <c r="V333" s="7">
        <f t="shared" ca="1" si="643"/>
        <v>0</v>
      </c>
      <c r="W333" s="7">
        <f t="shared" ca="1" si="643"/>
        <v>0</v>
      </c>
      <c r="X333" s="7">
        <f t="shared" ca="1" si="643"/>
        <v>0</v>
      </c>
      <c r="Y333" s="7">
        <f t="shared" ca="1" si="643"/>
        <v>0</v>
      </c>
      <c r="Z333" s="7">
        <f t="shared" ca="1" si="643"/>
        <v>0</v>
      </c>
      <c r="AA333" s="7">
        <f t="shared" ca="1" si="643"/>
        <v>0</v>
      </c>
      <c r="AB333" s="7">
        <f t="shared" ca="1" si="643"/>
        <v>0</v>
      </c>
      <c r="AC333" s="7">
        <f t="shared" ca="1" si="643"/>
        <v>0</v>
      </c>
      <c r="AD333" s="7">
        <f t="shared" ca="1" si="643"/>
        <v>0</v>
      </c>
      <c r="AE333" s="7">
        <f t="shared" ca="1" si="643"/>
        <v>0</v>
      </c>
      <c r="AF333" s="7">
        <f t="shared" ca="1" si="643"/>
        <v>0</v>
      </c>
      <c r="AG333" s="7">
        <f t="shared" ca="1" si="643"/>
        <v>0</v>
      </c>
      <c r="AH333" s="7">
        <f t="shared" ca="1" si="643"/>
        <v>0</v>
      </c>
      <c r="AI333" s="7">
        <f t="shared" ca="1" si="643"/>
        <v>0</v>
      </c>
      <c r="AJ333" s="7">
        <f t="shared" ca="1" si="643"/>
        <v>0</v>
      </c>
      <c r="AK333" s="7">
        <f t="shared" ca="1" si="643"/>
        <v>0</v>
      </c>
      <c r="AL333" s="7">
        <f t="shared" ca="1" si="643"/>
        <v>0</v>
      </c>
      <c r="AM333" s="7">
        <f t="shared" ca="1" si="643"/>
        <v>0</v>
      </c>
    </row>
    <row r="334" spans="1:39" x14ac:dyDescent="0.2"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</row>
    <row r="335" spans="1:39" x14ac:dyDescent="0.2">
      <c r="A335" s="3" t="s">
        <v>59</v>
      </c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</row>
    <row r="336" spans="1:39" x14ac:dyDescent="0.2">
      <c r="A336" s="16" t="str">
        <f t="shared" ref="A336:A343" si="644">A68</f>
        <v>Cash</v>
      </c>
      <c r="C336" s="7">
        <f ca="1">C283</f>
        <v>66108.4375</v>
      </c>
      <c r="D336" s="7">
        <f t="shared" ref="D336:AM336" ca="1" si="645">D283</f>
        <v>80012.145312499997</v>
      </c>
      <c r="E336" s="7">
        <f t="shared" ca="1" si="645"/>
        <v>100169.6494140625</v>
      </c>
      <c r="F336" s="7">
        <f t="shared" ca="1" si="645"/>
        <v>102227.78380184111</v>
      </c>
      <c r="G336" s="7">
        <f t="shared" ca="1" si="645"/>
        <v>300455.15989583102</v>
      </c>
      <c r="H336" s="7">
        <f t="shared" ca="1" si="645"/>
        <v>346986.84009098983</v>
      </c>
      <c r="I336" s="7">
        <f t="shared" ca="1" si="645"/>
        <v>413754.64435619779</v>
      </c>
      <c r="J336" s="7">
        <f t="shared" ca="1" si="645"/>
        <v>485067.93012454931</v>
      </c>
      <c r="K336" s="7">
        <f t="shared" ca="1" si="645"/>
        <v>543116.96835998015</v>
      </c>
      <c r="L336" s="7">
        <f t="shared" ca="1" si="645"/>
        <v>688212.2751736166</v>
      </c>
      <c r="M336" s="7">
        <f t="shared" ca="1" si="645"/>
        <v>745163.71186735749</v>
      </c>
      <c r="N336" s="7">
        <f t="shared" ca="1" si="645"/>
        <v>855771.16934020713</v>
      </c>
      <c r="O336" s="7">
        <f t="shared" ca="1" si="645"/>
        <v>972222.00124800857</v>
      </c>
      <c r="P336" s="7">
        <f t="shared" ca="1" si="645"/>
        <v>1094762.6085180258</v>
      </c>
      <c r="Q336" s="7">
        <f t="shared" ca="1" si="645"/>
        <v>1223648.7608708572</v>
      </c>
      <c r="R336" s="7">
        <f t="shared" ca="1" si="645"/>
        <v>1359145.9322852024</v>
      </c>
      <c r="S336" s="7">
        <f t="shared" ca="1" si="645"/>
        <v>1501529.6480111426</v>
      </c>
      <c r="T336" s="7">
        <f t="shared" ca="1" si="645"/>
        <v>1541855.4011356728</v>
      </c>
      <c r="U336" s="7">
        <f t="shared" ca="1" si="645"/>
        <v>1591415.1978627439</v>
      </c>
      <c r="V336" s="7">
        <f t="shared" ca="1" si="645"/>
        <v>1642757.5777099284</v>
      </c>
      <c r="W336" s="7">
        <f t="shared" ca="1" si="645"/>
        <v>1695948.7425475621</v>
      </c>
      <c r="X336" s="7">
        <f t="shared" ca="1" si="645"/>
        <v>1751057.3316526653</v>
      </c>
      <c r="Y336" s="7">
        <f t="shared" ca="1" si="645"/>
        <v>1787237.4169653396</v>
      </c>
      <c r="Z336" s="7">
        <f t="shared" ca="1" si="645"/>
        <v>1824434.0167242812</v>
      </c>
      <c r="AA336" s="7">
        <f t="shared" ca="1" si="645"/>
        <v>1862684.4017288706</v>
      </c>
      <c r="AB336" s="7">
        <f t="shared" ca="1" si="645"/>
        <v>1902027.3427258399</v>
      </c>
      <c r="AC336" s="7">
        <f t="shared" ca="1" si="645"/>
        <v>1942503.1702642585</v>
      </c>
      <c r="AD336" s="7">
        <f t="shared" ca="1" si="645"/>
        <v>1984153.8368503558</v>
      </c>
      <c r="AE336" s="7">
        <f t="shared" ca="1" si="645"/>
        <v>2037130.2375195618</v>
      </c>
      <c r="AF336" s="7">
        <f t="shared" ca="1" si="645"/>
        <v>2091875.8715530399</v>
      </c>
      <c r="AG336" s="7">
        <f t="shared" ca="1" si="645"/>
        <v>2148456.905652951</v>
      </c>
      <c r="AH336" s="7">
        <f t="shared" ca="1" si="645"/>
        <v>2206942.0335442415</v>
      </c>
      <c r="AI336" s="7">
        <f t="shared" ca="1" si="645"/>
        <v>2267402.5707053514</v>
      </c>
      <c r="AJ336" s="7">
        <f t="shared" ca="1" si="645"/>
        <v>2329912.5525480784</v>
      </c>
      <c r="AK336" s="7">
        <f t="shared" ca="1" si="645"/>
        <v>2394548.8361686133</v>
      </c>
      <c r="AL336" s="7">
        <f t="shared" ca="1" si="645"/>
        <v>2461391.2057959661</v>
      </c>
      <c r="AM336" s="7">
        <f t="shared" ca="1" si="645"/>
        <v>2530522.4820683482</v>
      </c>
    </row>
    <row r="337" spans="1:39" x14ac:dyDescent="0.2">
      <c r="A337" s="16" t="str">
        <f t="shared" si="644"/>
        <v>Home</v>
      </c>
      <c r="C337" s="7">
        <f t="shared" ref="C337:AM337" ca="1" si="646">C69</f>
        <v>511208.33111474686</v>
      </c>
      <c r="D337" s="7">
        <f t="shared" ca="1" si="646"/>
        <v>526544.58104818931</v>
      </c>
      <c r="E337" s="7">
        <f t="shared" ca="1" si="646"/>
        <v>542340.91847963503</v>
      </c>
      <c r="F337" s="7">
        <f t="shared" ca="1" si="646"/>
        <v>558611.14603402407</v>
      </c>
      <c r="G337" s="7">
        <f t="shared" ca="1" si="646"/>
        <v>287684.74020752241</v>
      </c>
      <c r="H337" s="7">
        <f t="shared" ca="1" si="646"/>
        <v>296315.28241374809</v>
      </c>
      <c r="I337" s="7">
        <f t="shared" ca="1" si="646"/>
        <v>305204.74088616052</v>
      </c>
      <c r="J337" s="7">
        <f t="shared" ca="1" si="646"/>
        <v>314360.88311274536</v>
      </c>
      <c r="K337" s="7">
        <f t="shared" ca="1" si="646"/>
        <v>323791.70960612776</v>
      </c>
      <c r="L337" s="7">
        <f t="shared" ca="1" si="646"/>
        <v>333505.4608943116</v>
      </c>
      <c r="M337" s="7">
        <f t="shared" ca="1" si="646"/>
        <v>343510.62472114095</v>
      </c>
      <c r="N337" s="7">
        <f t="shared" ca="1" si="646"/>
        <v>353815.94346277521</v>
      </c>
      <c r="O337" s="7">
        <f t="shared" ca="1" si="646"/>
        <v>364430.42176665849</v>
      </c>
      <c r="P337" s="7">
        <f t="shared" ca="1" si="646"/>
        <v>375363.33441965823</v>
      </c>
      <c r="Q337" s="7">
        <f t="shared" ca="1" si="646"/>
        <v>386624.23445224797</v>
      </c>
      <c r="R337" s="7">
        <f t="shared" ca="1" si="646"/>
        <v>398222.96148581541</v>
      </c>
      <c r="S337" s="7">
        <f t="shared" ca="1" si="646"/>
        <v>410169.65033038991</v>
      </c>
      <c r="T337" s="7">
        <f t="shared" ca="1" si="646"/>
        <v>422474.73984030163</v>
      </c>
      <c r="U337" s="7">
        <f t="shared" ca="1" si="646"/>
        <v>435148.98203551071</v>
      </c>
      <c r="V337" s="7">
        <f t="shared" ca="1" si="646"/>
        <v>448203.45149657602</v>
      </c>
      <c r="W337" s="7">
        <f t="shared" ca="1" si="646"/>
        <v>461649.5550414733</v>
      </c>
      <c r="X337" s="7">
        <f t="shared" ca="1" si="646"/>
        <v>475499.04169271752</v>
      </c>
      <c r="Y337" s="7">
        <f t="shared" ca="1" si="646"/>
        <v>489764.01294349908</v>
      </c>
      <c r="Z337" s="7">
        <f t="shared" ca="1" si="646"/>
        <v>504456.93333180406</v>
      </c>
      <c r="AA337" s="7">
        <f t="shared" ca="1" si="646"/>
        <v>519590.64133175818</v>
      </c>
      <c r="AB337" s="7">
        <f t="shared" ca="1" si="646"/>
        <v>535178.36057171097</v>
      </c>
      <c r="AC337" s="7">
        <f t="shared" ca="1" si="646"/>
        <v>551233.71138886234</v>
      </c>
      <c r="AD337" s="7">
        <f t="shared" ca="1" si="646"/>
        <v>567770.72273052821</v>
      </c>
      <c r="AE337" s="7">
        <f t="shared" ca="1" si="646"/>
        <v>584803.84441244404</v>
      </c>
      <c r="AF337" s="7">
        <f t="shared" ca="1" si="646"/>
        <v>602347.95974481734</v>
      </c>
      <c r="AG337" s="7">
        <f t="shared" ca="1" si="646"/>
        <v>620418.39853716188</v>
      </c>
      <c r="AH337" s="7">
        <f t="shared" ca="1" si="646"/>
        <v>639030.9504932767</v>
      </c>
      <c r="AI337" s="7">
        <f t="shared" ca="1" si="646"/>
        <v>658201.87900807499</v>
      </c>
      <c r="AJ337" s="7">
        <f t="shared" ca="1" si="646"/>
        <v>677947.93537831726</v>
      </c>
      <c r="AK337" s="7">
        <f t="shared" ca="1" si="646"/>
        <v>698286.37343966682</v>
      </c>
      <c r="AL337" s="7">
        <f t="shared" ca="1" si="646"/>
        <v>719234.96464285685</v>
      </c>
      <c r="AM337" s="7">
        <f t="shared" ca="1" si="646"/>
        <v>740812.01358214254</v>
      </c>
    </row>
    <row r="338" spans="1:39" x14ac:dyDescent="0.2">
      <c r="A338" s="16" t="s">
        <v>50</v>
      </c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</row>
    <row r="339" spans="1:39" x14ac:dyDescent="0.2">
      <c r="A339" s="17" t="str">
        <f t="shared" si="644"/>
        <v>Sliema</v>
      </c>
      <c r="C339" s="7">
        <f t="shared" ref="C339:AM339" ca="1" si="647">C300</f>
        <v>306724.99866884813</v>
      </c>
      <c r="D339" s="7">
        <f t="shared" ca="1" si="647"/>
        <v>315926.7486289136</v>
      </c>
      <c r="E339" s="7">
        <f t="shared" ca="1" si="647"/>
        <v>325404.55108778103</v>
      </c>
      <c r="F339" s="7">
        <f t="shared" ca="1" si="647"/>
        <v>335166.68762041448</v>
      </c>
      <c r="G339" s="7">
        <f t="shared" ca="1" si="647"/>
        <v>345221.68824902695</v>
      </c>
      <c r="H339" s="7">
        <f t="shared" ca="1" si="647"/>
        <v>355578.33889649779</v>
      </c>
      <c r="I339" s="7">
        <f t="shared" ca="1" si="647"/>
        <v>366245.68906339275</v>
      </c>
      <c r="J339" s="7">
        <f t="shared" ca="1" si="647"/>
        <v>377233.05973529455</v>
      </c>
      <c r="K339" s="7">
        <f t="shared" ca="1" si="647"/>
        <v>388550.05152735341</v>
      </c>
      <c r="L339" s="7">
        <f t="shared" ca="1" si="647"/>
        <v>400206.55307317403</v>
      </c>
      <c r="M339" s="7">
        <f t="shared" ca="1" si="647"/>
        <v>412212.74966536928</v>
      </c>
      <c r="N339" s="7">
        <f t="shared" ca="1" si="647"/>
        <v>424579.13215533039</v>
      </c>
      <c r="O339" s="7">
        <f t="shared" ca="1" si="647"/>
        <v>437316.50611999031</v>
      </c>
      <c r="P339" s="7">
        <f t="shared" ca="1" si="647"/>
        <v>450436.00130359002</v>
      </c>
      <c r="Q339" s="7">
        <f t="shared" ca="1" si="647"/>
        <v>463949.08134269773</v>
      </c>
      <c r="R339" s="7">
        <f t="shared" ca="1" si="647"/>
        <v>477867.55378297868</v>
      </c>
      <c r="S339" s="7">
        <f t="shared" ca="1" si="647"/>
        <v>492203.58039646805</v>
      </c>
      <c r="T339" s="7">
        <f t="shared" ca="1" si="647"/>
        <v>506969.68780836213</v>
      </c>
      <c r="U339" s="7">
        <f t="shared" ca="1" si="647"/>
        <v>522178.77844261302</v>
      </c>
      <c r="V339" s="7">
        <f t="shared" ca="1" si="647"/>
        <v>537844.14179589145</v>
      </c>
      <c r="W339" s="7">
        <f t="shared" ca="1" si="647"/>
        <v>553979.46604976826</v>
      </c>
      <c r="X339" s="7">
        <f t="shared" ca="1" si="647"/>
        <v>570598.85003126133</v>
      </c>
      <c r="Y339" s="7">
        <f t="shared" ca="1" si="647"/>
        <v>587716.81553219922</v>
      </c>
      <c r="Z339" s="7">
        <f t="shared" ca="1" si="647"/>
        <v>605348.31999816524</v>
      </c>
      <c r="AA339" s="7">
        <f t="shared" ca="1" si="647"/>
        <v>623508.76959811023</v>
      </c>
      <c r="AB339" s="7">
        <f t="shared" ca="1" si="647"/>
        <v>642214.03268605354</v>
      </c>
      <c r="AC339" s="7">
        <f t="shared" ca="1" si="647"/>
        <v>661480.45366663521</v>
      </c>
      <c r="AD339" s="7">
        <f t="shared" ca="1" si="647"/>
        <v>681324.86727663432</v>
      </c>
      <c r="AE339" s="7">
        <f t="shared" ca="1" si="647"/>
        <v>701764.61329493334</v>
      </c>
      <c r="AF339" s="7">
        <f t="shared" ca="1" si="647"/>
        <v>722817.5516937814</v>
      </c>
      <c r="AG339" s="7">
        <f t="shared" ca="1" si="647"/>
        <v>744502.07824459486</v>
      </c>
      <c r="AH339" s="7">
        <f t="shared" ca="1" si="647"/>
        <v>766837.14059193269</v>
      </c>
      <c r="AI339" s="7">
        <f t="shared" ca="1" si="647"/>
        <v>789842.25480969064</v>
      </c>
      <c r="AJ339" s="7">
        <f t="shared" ca="1" si="647"/>
        <v>813537.52245398134</v>
      </c>
      <c r="AK339" s="7">
        <f t="shared" ca="1" si="647"/>
        <v>837943.64812760078</v>
      </c>
      <c r="AL339" s="7">
        <f t="shared" ca="1" si="647"/>
        <v>863081.95757142885</v>
      </c>
      <c r="AM339" s="7">
        <f t="shared" ca="1" si="647"/>
        <v>888974.41629857174</v>
      </c>
    </row>
    <row r="340" spans="1:39" x14ac:dyDescent="0.2">
      <c r="A340" s="17" t="str">
        <f t="shared" si="644"/>
        <v>Gzira</v>
      </c>
      <c r="C340" s="7">
        <f t="shared" ref="C340:AM340" ca="1" si="648">C301</f>
        <v>153362.49933442406</v>
      </c>
      <c r="D340" s="7">
        <f t="shared" ca="1" si="648"/>
        <v>157963.3743144568</v>
      </c>
      <c r="E340" s="7">
        <f t="shared" ca="1" si="648"/>
        <v>162702.27554389052</v>
      </c>
      <c r="F340" s="7">
        <f t="shared" ca="1" si="648"/>
        <v>167583.34381020724</v>
      </c>
      <c r="G340" s="7">
        <f t="shared" ca="1" si="648"/>
        <v>172610.84412451347</v>
      </c>
      <c r="H340" s="7">
        <f t="shared" ca="1" si="648"/>
        <v>177789.1694482489</v>
      </c>
      <c r="I340" s="7">
        <f t="shared" ca="1" si="648"/>
        <v>183122.84453169638</v>
      </c>
      <c r="J340" s="7">
        <f t="shared" ca="1" si="648"/>
        <v>188616.52986764727</v>
      </c>
      <c r="K340" s="7">
        <f t="shared" ca="1" si="648"/>
        <v>194275.02576367671</v>
      </c>
      <c r="L340" s="7">
        <f t="shared" ca="1" si="648"/>
        <v>200103.27653658701</v>
      </c>
      <c r="M340" s="7">
        <f t="shared" ca="1" si="648"/>
        <v>206106.37483268464</v>
      </c>
      <c r="N340" s="7">
        <f t="shared" ca="1" si="648"/>
        <v>212289.56607766519</v>
      </c>
      <c r="O340" s="7">
        <f t="shared" ca="1" si="648"/>
        <v>218658.25305999516</v>
      </c>
      <c r="P340" s="7">
        <f t="shared" ca="1" si="648"/>
        <v>225218.00065179501</v>
      </c>
      <c r="Q340" s="7">
        <f t="shared" ca="1" si="648"/>
        <v>231974.54067134886</v>
      </c>
      <c r="R340" s="7">
        <f t="shared" ca="1" si="648"/>
        <v>238933.77689148934</v>
      </c>
      <c r="S340" s="7">
        <f t="shared" ca="1" si="648"/>
        <v>246101.79019823403</v>
      </c>
      <c r="T340" s="7">
        <f t="shared" ca="1" si="648"/>
        <v>253484.84390418106</v>
      </c>
      <c r="U340" s="7">
        <f t="shared" ca="1" si="648"/>
        <v>261089.38922130651</v>
      </c>
      <c r="V340" s="7">
        <f t="shared" ca="1" si="648"/>
        <v>268922.07089794573</v>
      </c>
      <c r="W340" s="7">
        <f t="shared" ca="1" si="648"/>
        <v>276989.73302488413</v>
      </c>
      <c r="X340" s="7">
        <f t="shared" ca="1" si="648"/>
        <v>285299.42501563067</v>
      </c>
      <c r="Y340" s="7">
        <f t="shared" ca="1" si="648"/>
        <v>293858.40776609961</v>
      </c>
      <c r="Z340" s="7">
        <f t="shared" ca="1" si="648"/>
        <v>302674.15999908262</v>
      </c>
      <c r="AA340" s="7">
        <f t="shared" ca="1" si="648"/>
        <v>311754.38479905511</v>
      </c>
      <c r="AB340" s="7">
        <f t="shared" ca="1" si="648"/>
        <v>321107.01634302677</v>
      </c>
      <c r="AC340" s="7">
        <f t="shared" ca="1" si="648"/>
        <v>330740.2268333176</v>
      </c>
      <c r="AD340" s="7">
        <f t="shared" ca="1" si="648"/>
        <v>340662.43363831716</v>
      </c>
      <c r="AE340" s="7">
        <f t="shared" ca="1" si="648"/>
        <v>350882.30664746667</v>
      </c>
      <c r="AF340" s="7">
        <f t="shared" ca="1" si="648"/>
        <v>361408.7758468907</v>
      </c>
      <c r="AG340" s="7">
        <f t="shared" ca="1" si="648"/>
        <v>372251.03912229743</v>
      </c>
      <c r="AH340" s="7">
        <f t="shared" ca="1" si="648"/>
        <v>383418.57029596635</v>
      </c>
      <c r="AI340" s="7">
        <f t="shared" ca="1" si="648"/>
        <v>394921.12740484532</v>
      </c>
      <c r="AJ340" s="7">
        <f t="shared" ca="1" si="648"/>
        <v>406768.76122699067</v>
      </c>
      <c r="AK340" s="7">
        <f t="shared" ca="1" si="648"/>
        <v>418971.82406380039</v>
      </c>
      <c r="AL340" s="7">
        <f t="shared" ca="1" si="648"/>
        <v>431540.97878571443</v>
      </c>
      <c r="AM340" s="7">
        <f t="shared" ca="1" si="648"/>
        <v>444487.20814928587</v>
      </c>
    </row>
    <row r="341" spans="1:39" x14ac:dyDescent="0.2">
      <c r="A341" s="17" t="str">
        <f t="shared" si="644"/>
        <v>Qormi</v>
      </c>
      <c r="C341" s="7">
        <f t="shared" ref="C341:AM341" ca="1" si="649">C302</f>
        <v>224931.66569048862</v>
      </c>
      <c r="D341" s="7">
        <f t="shared" ca="1" si="649"/>
        <v>231679.61566120328</v>
      </c>
      <c r="E341" s="7">
        <f t="shared" ca="1" si="649"/>
        <v>238630.00413103937</v>
      </c>
      <c r="F341" s="7">
        <f t="shared" ca="1" si="649"/>
        <v>245788.90425497055</v>
      </c>
      <c r="G341" s="7">
        <f t="shared" ca="1" si="649"/>
        <v>253162.57138261967</v>
      </c>
      <c r="H341" s="7">
        <f t="shared" ca="1" si="649"/>
        <v>260757.44852409826</v>
      </c>
      <c r="I341" s="7">
        <f t="shared" ca="1" si="649"/>
        <v>268580.17197982123</v>
      </c>
      <c r="J341" s="7">
        <f t="shared" ca="1" si="649"/>
        <v>276637.57713921589</v>
      </c>
      <c r="K341" s="7">
        <f t="shared" ca="1" si="649"/>
        <v>284936.70445339236</v>
      </c>
      <c r="L341" s="7">
        <f t="shared" ca="1" si="649"/>
        <v>293484.80558699416</v>
      </c>
      <c r="M341" s="7">
        <f t="shared" ca="1" si="649"/>
        <v>302289.34975460399</v>
      </c>
      <c r="N341" s="7">
        <f t="shared" ca="1" si="649"/>
        <v>311358.03024724213</v>
      </c>
      <c r="O341" s="7">
        <f t="shared" ca="1" si="649"/>
        <v>320698.77115465939</v>
      </c>
      <c r="P341" s="7">
        <f t="shared" ca="1" si="649"/>
        <v>330319.73428929917</v>
      </c>
      <c r="Q341" s="7">
        <f t="shared" ca="1" si="649"/>
        <v>340229.32631797815</v>
      </c>
      <c r="R341" s="7">
        <f t="shared" ca="1" si="649"/>
        <v>350436.20610751753</v>
      </c>
      <c r="S341" s="7">
        <f t="shared" ca="1" si="649"/>
        <v>360949.29229074309</v>
      </c>
      <c r="T341" s="7">
        <f t="shared" ca="1" si="649"/>
        <v>371777.77105946542</v>
      </c>
      <c r="U341" s="7">
        <f t="shared" ca="1" si="649"/>
        <v>382931.10419124941</v>
      </c>
      <c r="V341" s="7">
        <f t="shared" ca="1" si="649"/>
        <v>394419.03731698688</v>
      </c>
      <c r="W341" s="7">
        <f t="shared" ca="1" si="649"/>
        <v>406251.60843649652</v>
      </c>
      <c r="X341" s="7">
        <f t="shared" ca="1" si="649"/>
        <v>418439.15668959141</v>
      </c>
      <c r="Y341" s="7">
        <f t="shared" ca="1" si="649"/>
        <v>430992.33139027917</v>
      </c>
      <c r="Z341" s="7">
        <f t="shared" ca="1" si="649"/>
        <v>443922.10133198753</v>
      </c>
      <c r="AA341" s="7">
        <f t="shared" ca="1" si="649"/>
        <v>457239.76437194715</v>
      </c>
      <c r="AB341" s="7">
        <f t="shared" ca="1" si="649"/>
        <v>470956.95730310556</v>
      </c>
      <c r="AC341" s="7">
        <f t="shared" ca="1" si="649"/>
        <v>485085.66602219874</v>
      </c>
      <c r="AD341" s="7">
        <f t="shared" ca="1" si="649"/>
        <v>499638.23600286472</v>
      </c>
      <c r="AE341" s="7">
        <f t="shared" ca="1" si="649"/>
        <v>514627.38308295066</v>
      </c>
      <c r="AF341" s="7">
        <f t="shared" ca="1" si="649"/>
        <v>530066.20457543922</v>
      </c>
      <c r="AG341" s="7">
        <f t="shared" ca="1" si="649"/>
        <v>545968.19071270246</v>
      </c>
      <c r="AH341" s="7">
        <f t="shared" ca="1" si="649"/>
        <v>562347.23643408355</v>
      </c>
      <c r="AI341" s="7">
        <f t="shared" ca="1" si="649"/>
        <v>579217.65352710604</v>
      </c>
      <c r="AJ341" s="7">
        <f t="shared" ca="1" si="649"/>
        <v>596594.18313291925</v>
      </c>
      <c r="AK341" s="7">
        <f t="shared" ca="1" si="649"/>
        <v>614492.0086269069</v>
      </c>
      <c r="AL341" s="7">
        <f t="shared" ca="1" si="649"/>
        <v>632926.76888571412</v>
      </c>
      <c r="AM341" s="7">
        <f t="shared" ca="1" si="649"/>
        <v>651914.57195228559</v>
      </c>
    </row>
    <row r="342" spans="1:39" x14ac:dyDescent="0.2">
      <c r="A342" s="17" t="str">
        <f t="shared" si="644"/>
        <v>Gudja</v>
      </c>
      <c r="C342" s="7">
        <f t="shared" ref="C342:AM342" ca="1" si="650">C303</f>
        <v>81793.332978359496</v>
      </c>
      <c r="D342" s="7">
        <f t="shared" ca="1" si="650"/>
        <v>84247.132967710277</v>
      </c>
      <c r="E342" s="7">
        <f t="shared" ca="1" si="650"/>
        <v>86774.546956741586</v>
      </c>
      <c r="F342" s="7">
        <f t="shared" ca="1" si="650"/>
        <v>89377.783365443829</v>
      </c>
      <c r="G342" s="7">
        <f t="shared" ca="1" si="650"/>
        <v>92059.116866407145</v>
      </c>
      <c r="H342" s="7">
        <f t="shared" ca="1" si="650"/>
        <v>94820.890372399357</v>
      </c>
      <c r="I342" s="7">
        <f t="shared" ca="1" si="650"/>
        <v>97665.517083571336</v>
      </c>
      <c r="J342" s="7">
        <f t="shared" ca="1" si="650"/>
        <v>100595.48259607848</v>
      </c>
      <c r="K342" s="7">
        <f t="shared" ca="1" si="650"/>
        <v>103613.34707396083</v>
      </c>
      <c r="L342" s="7">
        <f t="shared" ca="1" si="650"/>
        <v>106721.74748617967</v>
      </c>
      <c r="M342" s="7">
        <f t="shared" ca="1" si="650"/>
        <v>109923.39991076506</v>
      </c>
      <c r="N342" s="7">
        <f t="shared" ca="1" si="650"/>
        <v>113221.10190808802</v>
      </c>
      <c r="O342" s="7">
        <f t="shared" ca="1" si="650"/>
        <v>116617.73496533066</v>
      </c>
      <c r="P342" s="7">
        <f t="shared" ca="1" si="650"/>
        <v>120116.26701429058</v>
      </c>
      <c r="Q342" s="7">
        <f t="shared" ca="1" si="650"/>
        <v>123719.7550247193</v>
      </c>
      <c r="R342" s="7">
        <f t="shared" ca="1" si="650"/>
        <v>127431.34767546089</v>
      </c>
      <c r="S342" s="7">
        <f t="shared" ca="1" si="650"/>
        <v>131254.28810572473</v>
      </c>
      <c r="T342" s="7">
        <f t="shared" ca="1" si="650"/>
        <v>135191.91674889647</v>
      </c>
      <c r="U342" s="7">
        <f t="shared" ca="1" si="650"/>
        <v>139247.67425136338</v>
      </c>
      <c r="V342" s="7">
        <f t="shared" ca="1" si="650"/>
        <v>143425.10447890428</v>
      </c>
      <c r="W342" s="7">
        <f t="shared" ca="1" si="650"/>
        <v>147727.85761327142</v>
      </c>
      <c r="X342" s="7">
        <f t="shared" ca="1" si="650"/>
        <v>152159.69334166957</v>
      </c>
      <c r="Y342" s="7">
        <f t="shared" ca="1" si="650"/>
        <v>156724.48414191965</v>
      </c>
      <c r="Z342" s="7">
        <f t="shared" ca="1" si="650"/>
        <v>161426.21866617724</v>
      </c>
      <c r="AA342" s="7">
        <f t="shared" ca="1" si="650"/>
        <v>166269.00522616255</v>
      </c>
      <c r="AB342" s="7">
        <f t="shared" ca="1" si="650"/>
        <v>171257.07538294743</v>
      </c>
      <c r="AC342" s="7">
        <f t="shared" ca="1" si="650"/>
        <v>176394.78764443586</v>
      </c>
      <c r="AD342" s="7">
        <f t="shared" ca="1" si="650"/>
        <v>181686.63127376893</v>
      </c>
      <c r="AE342" s="7">
        <f t="shared" ca="1" si="650"/>
        <v>187137.23021198201</v>
      </c>
      <c r="AF342" s="7">
        <f t="shared" ca="1" si="650"/>
        <v>192751.34711834148</v>
      </c>
      <c r="AG342" s="7">
        <f t="shared" ca="1" si="650"/>
        <v>198533.88753189173</v>
      </c>
      <c r="AH342" s="7">
        <f t="shared" ca="1" si="650"/>
        <v>204489.90415784848</v>
      </c>
      <c r="AI342" s="7">
        <f t="shared" ca="1" si="650"/>
        <v>210624.60128258393</v>
      </c>
      <c r="AJ342" s="7">
        <f t="shared" ca="1" si="650"/>
        <v>216943.33932106144</v>
      </c>
      <c r="AK342" s="7">
        <f t="shared" ca="1" si="650"/>
        <v>223451.6395006933</v>
      </c>
      <c r="AL342" s="7">
        <f t="shared" ca="1" si="650"/>
        <v>230155.18868571409</v>
      </c>
      <c r="AM342" s="7">
        <f t="shared" ca="1" si="650"/>
        <v>237059.84434628554</v>
      </c>
    </row>
    <row r="343" spans="1:39" x14ac:dyDescent="0.2">
      <c r="A343" s="17" t="str">
        <f t="shared" si="644"/>
        <v>Marsa</v>
      </c>
      <c r="C343" s="7">
        <f t="shared" ref="C343:AM343" ca="1" si="651">C304</f>
        <v>122689.99946753924</v>
      </c>
      <c r="D343" s="7">
        <f t="shared" ca="1" si="651"/>
        <v>126370.69945156542</v>
      </c>
      <c r="E343" s="7">
        <f t="shared" ca="1" si="651"/>
        <v>130161.82043511239</v>
      </c>
      <c r="F343" s="7">
        <f t="shared" ca="1" si="651"/>
        <v>134066.67504816575</v>
      </c>
      <c r="G343" s="7">
        <f t="shared" ca="1" si="651"/>
        <v>138088.67529961074</v>
      </c>
      <c r="H343" s="7">
        <f t="shared" ca="1" si="651"/>
        <v>142231.33555859906</v>
      </c>
      <c r="I343" s="7">
        <f t="shared" ca="1" si="651"/>
        <v>146498.27562535706</v>
      </c>
      <c r="J343" s="7">
        <f t="shared" ca="1" si="651"/>
        <v>150893.22389411778</v>
      </c>
      <c r="K343" s="7">
        <f t="shared" ca="1" si="651"/>
        <v>155420.02061094131</v>
      </c>
      <c r="L343" s="7">
        <f t="shared" ca="1" si="651"/>
        <v>160082.62122926954</v>
      </c>
      <c r="M343" s="7">
        <f t="shared" ca="1" si="651"/>
        <v>164885.09986614762</v>
      </c>
      <c r="N343" s="7">
        <f t="shared" ca="1" si="651"/>
        <v>169831.65286213206</v>
      </c>
      <c r="O343" s="7">
        <f t="shared" ca="1" si="651"/>
        <v>174926.60244799603</v>
      </c>
      <c r="P343" s="7">
        <f t="shared" ca="1" si="651"/>
        <v>180174.40052143592</v>
      </c>
      <c r="Q343" s="7">
        <f t="shared" ca="1" si="651"/>
        <v>185579.63253707901</v>
      </c>
      <c r="R343" s="7">
        <f t="shared" ca="1" si="651"/>
        <v>191147.0215131914</v>
      </c>
      <c r="S343" s="7">
        <f t="shared" ca="1" si="651"/>
        <v>196881.43215858715</v>
      </c>
      <c r="T343" s="7">
        <f t="shared" ca="1" si="651"/>
        <v>202787.87512334477</v>
      </c>
      <c r="U343" s="7">
        <f t="shared" ca="1" si="651"/>
        <v>208871.51137704513</v>
      </c>
      <c r="V343" s="7">
        <f t="shared" ca="1" si="651"/>
        <v>215137.65671835648</v>
      </c>
      <c r="W343" s="7">
        <f t="shared" ca="1" si="651"/>
        <v>221591.78641990718</v>
      </c>
      <c r="X343" s="7">
        <f t="shared" ca="1" si="651"/>
        <v>228239.54001250441</v>
      </c>
      <c r="Y343" s="7">
        <f t="shared" ca="1" si="651"/>
        <v>235086.72621287956</v>
      </c>
      <c r="Z343" s="7">
        <f t="shared" ca="1" si="651"/>
        <v>242139.32799926595</v>
      </c>
      <c r="AA343" s="7">
        <f t="shared" ca="1" si="651"/>
        <v>249403.50783924395</v>
      </c>
      <c r="AB343" s="7">
        <f t="shared" ca="1" si="651"/>
        <v>256885.61307442127</v>
      </c>
      <c r="AC343" s="7">
        <f t="shared" ca="1" si="651"/>
        <v>264592.18146665394</v>
      </c>
      <c r="AD343" s="7">
        <f t="shared" ca="1" si="651"/>
        <v>272529.94691065355</v>
      </c>
      <c r="AE343" s="7">
        <f t="shared" ca="1" si="651"/>
        <v>280705.84531797317</v>
      </c>
      <c r="AF343" s="7">
        <f t="shared" ca="1" si="651"/>
        <v>289127.0206775124</v>
      </c>
      <c r="AG343" s="7">
        <f t="shared" ca="1" si="651"/>
        <v>297800.83129783778</v>
      </c>
      <c r="AH343" s="7">
        <f t="shared" ca="1" si="651"/>
        <v>306734.8562367729</v>
      </c>
      <c r="AI343" s="7">
        <f t="shared" ca="1" si="651"/>
        <v>315936.90192387608</v>
      </c>
      <c r="AJ343" s="7">
        <f t="shared" ca="1" si="651"/>
        <v>325415.00898159237</v>
      </c>
      <c r="AK343" s="7">
        <f t="shared" ca="1" si="651"/>
        <v>335177.45925104013</v>
      </c>
      <c r="AL343" s="7">
        <f t="shared" ca="1" si="651"/>
        <v>345232.78302857134</v>
      </c>
      <c r="AM343" s="7">
        <f t="shared" ca="1" si="651"/>
        <v>355589.76651942846</v>
      </c>
    </row>
    <row r="344" spans="1:39" x14ac:dyDescent="0.2">
      <c r="A344" s="16" t="s">
        <v>193</v>
      </c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</row>
    <row r="345" spans="1:39" x14ac:dyDescent="0.2">
      <c r="A345" s="17" t="str">
        <f>TEXT(Inputs!$B$87,"")</f>
        <v>Jewelry</v>
      </c>
      <c r="C345" s="7">
        <f ca="1">C305</f>
        <v>50748.140451472013</v>
      </c>
      <c r="D345" s="7">
        <f t="shared" ref="D345:AM349" ca="1" si="652">D305</f>
        <v>51763.103260501455</v>
      </c>
      <c r="E345" s="7">
        <f t="shared" ca="1" si="652"/>
        <v>52798.365325711486</v>
      </c>
      <c r="F345" s="7">
        <f t="shared" ca="1" si="652"/>
        <v>53854.33263222572</v>
      </c>
      <c r="G345" s="7">
        <f t="shared" ca="1" si="652"/>
        <v>54931.419284870237</v>
      </c>
      <c r="H345" s="7">
        <f t="shared" ca="1" si="652"/>
        <v>56030.047670567641</v>
      </c>
      <c r="I345" s="7">
        <f t="shared" ca="1" si="652"/>
        <v>57150.648623978996</v>
      </c>
      <c r="J345" s="7">
        <f t="shared" ca="1" si="652"/>
        <v>58293.66159645858</v>
      </c>
      <c r="K345" s="7">
        <f t="shared" ca="1" si="652"/>
        <v>59459.534828387754</v>
      </c>
      <c r="L345" s="7">
        <f t="shared" ca="1" si="652"/>
        <v>60648.725524955509</v>
      </c>
      <c r="M345" s="7">
        <f t="shared" ca="1" si="652"/>
        <v>61861.700035454618</v>
      </c>
      <c r="N345" s="7">
        <f t="shared" ca="1" si="652"/>
        <v>63098.934036163715</v>
      </c>
      <c r="O345" s="7">
        <f t="shared" ca="1" si="652"/>
        <v>64360.912716886989</v>
      </c>
      <c r="P345" s="7">
        <f t="shared" ca="1" si="652"/>
        <v>65648.130971224731</v>
      </c>
      <c r="Q345" s="7">
        <f t="shared" ca="1" si="652"/>
        <v>66961.093590649223</v>
      </c>
      <c r="R345" s="7">
        <f t="shared" ca="1" si="652"/>
        <v>68300.315462462211</v>
      </c>
      <c r="S345" s="7">
        <f t="shared" ca="1" si="652"/>
        <v>69666.32177171146</v>
      </c>
      <c r="T345" s="7">
        <f t="shared" ca="1" si="652"/>
        <v>71059.648207145685</v>
      </c>
      <c r="U345" s="7">
        <f t="shared" ca="1" si="652"/>
        <v>72480.841171288601</v>
      </c>
      <c r="V345" s="7">
        <f t="shared" ca="1" si="652"/>
        <v>73930.457994714379</v>
      </c>
      <c r="W345" s="7">
        <f t="shared" ca="1" si="652"/>
        <v>75409.067154608667</v>
      </c>
      <c r="X345" s="7">
        <f t="shared" ca="1" si="652"/>
        <v>76917.248497700843</v>
      </c>
      <c r="Y345" s="7">
        <f t="shared" ca="1" si="652"/>
        <v>78455.593467654864</v>
      </c>
      <c r="Z345" s="7">
        <f t="shared" ca="1" si="652"/>
        <v>80024.705337007967</v>
      </c>
      <c r="AA345" s="7">
        <f t="shared" ca="1" si="652"/>
        <v>81625.199443748133</v>
      </c>
      <c r="AB345" s="7">
        <f t="shared" ca="1" si="652"/>
        <v>83257.703432623093</v>
      </c>
      <c r="AC345" s="7">
        <f t="shared" ca="1" si="652"/>
        <v>84922.857501275561</v>
      </c>
      <c r="AD345" s="7">
        <f t="shared" ca="1" si="652"/>
        <v>86621.314651301072</v>
      </c>
      <c r="AE345" s="7">
        <f t="shared" ca="1" si="652"/>
        <v>88353.740944327103</v>
      </c>
      <c r="AF345" s="7">
        <f t="shared" ca="1" si="652"/>
        <v>90120.815763213643</v>
      </c>
      <c r="AG345" s="7">
        <f t="shared" ca="1" si="652"/>
        <v>91923.232078477915</v>
      </c>
      <c r="AH345" s="7">
        <f t="shared" ca="1" si="652"/>
        <v>93761.696720047476</v>
      </c>
      <c r="AI345" s="7">
        <f t="shared" ca="1" si="652"/>
        <v>95636.930654448428</v>
      </c>
      <c r="AJ345" s="7">
        <f t="shared" ca="1" si="652"/>
        <v>97549.669267537392</v>
      </c>
      <c r="AK345" s="7">
        <f t="shared" ca="1" si="652"/>
        <v>99500.662652888146</v>
      </c>
      <c r="AL345" s="7">
        <f t="shared" ca="1" si="652"/>
        <v>101490.67590594591</v>
      </c>
      <c r="AM345" s="7">
        <f t="shared" ca="1" si="652"/>
        <v>103520.48942406483</v>
      </c>
    </row>
    <row r="346" spans="1:39" x14ac:dyDescent="0.2">
      <c r="A346" s="17" t="str">
        <f>TEXT(Inputs!$B$92,"")</f>
        <v>Car</v>
      </c>
      <c r="C346" s="7">
        <f t="shared" ref="C346:R349" ca="1" si="653">C306</f>
        <v>38490.424009238486</v>
      </c>
      <c r="D346" s="7">
        <f t="shared" ca="1" si="653"/>
        <v>36565.902808776562</v>
      </c>
      <c r="E346" s="7">
        <f t="shared" ca="1" si="653"/>
        <v>34737.607668337732</v>
      </c>
      <c r="F346" s="7">
        <f t="shared" ca="1" si="653"/>
        <v>33000.727284920846</v>
      </c>
      <c r="G346" s="7">
        <f t="shared" ca="1" si="653"/>
        <v>31350.690920674802</v>
      </c>
      <c r="H346" s="7">
        <f t="shared" ca="1" si="653"/>
        <v>29783.156374641061</v>
      </c>
      <c r="I346" s="7">
        <f t="shared" ca="1" si="653"/>
        <v>28293.998555909006</v>
      </c>
      <c r="J346" s="7">
        <f t="shared" ca="1" si="653"/>
        <v>26879.298628113553</v>
      </c>
      <c r="K346" s="7">
        <f t="shared" ca="1" si="653"/>
        <v>25535.333696707872</v>
      </c>
      <c r="L346" s="7">
        <f t="shared" ca="1" si="653"/>
        <v>24258.567011872477</v>
      </c>
      <c r="M346" s="7">
        <f t="shared" ca="1" si="653"/>
        <v>23045.638661278852</v>
      </c>
      <c r="N346" s="7">
        <f t="shared" ca="1" si="653"/>
        <v>21893.356728214909</v>
      </c>
      <c r="O346" s="7">
        <f t="shared" ca="1" si="653"/>
        <v>20798.688891804162</v>
      </c>
      <c r="P346" s="7">
        <f t="shared" ca="1" si="653"/>
        <v>19758.754447213953</v>
      </c>
      <c r="Q346" s="7">
        <f t="shared" ca="1" si="653"/>
        <v>18770.816724853255</v>
      </c>
      <c r="R346" s="7">
        <f t="shared" ca="1" si="653"/>
        <v>17832.275888610591</v>
      </c>
      <c r="S346" s="7">
        <f t="shared" ca="1" si="652"/>
        <v>16940.662094180061</v>
      </c>
      <c r="T346" s="7">
        <f t="shared" ca="1" si="652"/>
        <v>16093.628989471057</v>
      </c>
      <c r="U346" s="7">
        <f t="shared" ca="1" si="652"/>
        <v>15288.947539997504</v>
      </c>
      <c r="V346" s="7">
        <f t="shared" ca="1" si="652"/>
        <v>14524.500162997627</v>
      </c>
      <c r="W346" s="7">
        <f t="shared" ca="1" si="652"/>
        <v>13798.275154847744</v>
      </c>
      <c r="X346" s="7">
        <f t="shared" ca="1" si="652"/>
        <v>13108.361397105356</v>
      </c>
      <c r="Y346" s="7">
        <f t="shared" ca="1" si="652"/>
        <v>12452.943327250088</v>
      </c>
      <c r="Z346" s="7">
        <f t="shared" ca="1" si="652"/>
        <v>11830.296160887583</v>
      </c>
      <c r="AA346" s="7">
        <f t="shared" ca="1" si="652"/>
        <v>11238.781352843203</v>
      </c>
      <c r="AB346" s="7">
        <f t="shared" ca="1" si="652"/>
        <v>10676.842285201043</v>
      </c>
      <c r="AC346" s="7">
        <f t="shared" ca="1" si="652"/>
        <v>10143.00017094099</v>
      </c>
      <c r="AD346" s="7">
        <f t="shared" ca="1" si="652"/>
        <v>9635.8501623939392</v>
      </c>
      <c r="AE346" s="7">
        <f t="shared" ca="1" si="652"/>
        <v>9154.0576542742419</v>
      </c>
      <c r="AF346" s="7">
        <f t="shared" ca="1" si="652"/>
        <v>8696.3547715605291</v>
      </c>
      <c r="AG346" s="7">
        <f t="shared" ca="1" si="652"/>
        <v>8261.5370329825018</v>
      </c>
      <c r="AH346" s="7">
        <f t="shared" ca="1" si="652"/>
        <v>7848.4601813333766</v>
      </c>
      <c r="AI346" s="7">
        <f t="shared" ca="1" si="652"/>
        <v>7456.0371722667078</v>
      </c>
      <c r="AJ346" s="7">
        <f t="shared" ca="1" si="652"/>
        <v>7083.235313653372</v>
      </c>
      <c r="AK346" s="7">
        <f t="shared" ca="1" si="652"/>
        <v>6729.0735479707027</v>
      </c>
      <c r="AL346" s="7">
        <f t="shared" ca="1" si="652"/>
        <v>6392.6198705721672</v>
      </c>
      <c r="AM346" s="7">
        <f t="shared" ca="1" si="652"/>
        <v>6072.9888770435582</v>
      </c>
    </row>
    <row r="347" spans="1:39" x14ac:dyDescent="0.2">
      <c r="A347" s="17" t="str">
        <f>TEXT(Inputs!$B$97,"")</f>
        <v>Painting</v>
      </c>
      <c r="C347" s="7">
        <f t="shared" ca="1" si="653"/>
        <v>20448.333244589874</v>
      </c>
      <c r="D347" s="7">
        <f t="shared" ca="1" si="652"/>
        <v>21061.783241927569</v>
      </c>
      <c r="E347" s="7">
        <f t="shared" ca="1" si="652"/>
        <v>21693.636739185396</v>
      </c>
      <c r="F347" s="7">
        <f t="shared" ca="1" si="652"/>
        <v>22344.445841360957</v>
      </c>
      <c r="G347" s="7">
        <f t="shared" ca="1" si="652"/>
        <v>23014.779216601786</v>
      </c>
      <c r="H347" s="7">
        <f t="shared" ca="1" si="652"/>
        <v>23705.222593099839</v>
      </c>
      <c r="I347" s="7">
        <f t="shared" ca="1" si="652"/>
        <v>24416.379270892834</v>
      </c>
      <c r="J347" s="7">
        <f t="shared" ca="1" si="652"/>
        <v>25148.87064901962</v>
      </c>
      <c r="K347" s="7">
        <f t="shared" ca="1" si="652"/>
        <v>25903.336768490208</v>
      </c>
      <c r="L347" s="7">
        <f t="shared" ca="1" si="652"/>
        <v>26680.436871544916</v>
      </c>
      <c r="M347" s="7">
        <f t="shared" ca="1" si="652"/>
        <v>27480.849977691265</v>
      </c>
      <c r="N347" s="7">
        <f t="shared" ca="1" si="652"/>
        <v>28305.275477022005</v>
      </c>
      <c r="O347" s="7">
        <f t="shared" ca="1" si="652"/>
        <v>29154.433741332665</v>
      </c>
      <c r="P347" s="7">
        <f t="shared" ca="1" si="652"/>
        <v>30029.066753572646</v>
      </c>
      <c r="Q347" s="7">
        <f t="shared" ca="1" si="652"/>
        <v>30929.938756179825</v>
      </c>
      <c r="R347" s="7">
        <f t="shared" ca="1" si="652"/>
        <v>31857.836918865221</v>
      </c>
      <c r="S347" s="7">
        <f t="shared" ca="1" si="652"/>
        <v>32813.572026431182</v>
      </c>
      <c r="T347" s="7">
        <f t="shared" ca="1" si="652"/>
        <v>33797.979187224119</v>
      </c>
      <c r="U347" s="7">
        <f t="shared" ca="1" si="652"/>
        <v>34811.918562840845</v>
      </c>
      <c r="V347" s="7">
        <f t="shared" ca="1" si="652"/>
        <v>35856.27611972607</v>
      </c>
      <c r="W347" s="7">
        <f t="shared" ca="1" si="652"/>
        <v>36931.964403317856</v>
      </c>
      <c r="X347" s="7">
        <f t="shared" ca="1" si="652"/>
        <v>38039.923335417392</v>
      </c>
      <c r="Y347" s="7">
        <f t="shared" ca="1" si="652"/>
        <v>39181.121035479911</v>
      </c>
      <c r="Z347" s="7">
        <f t="shared" ca="1" si="652"/>
        <v>40356.554666544311</v>
      </c>
      <c r="AA347" s="7">
        <f t="shared" ca="1" si="652"/>
        <v>41567.251306540638</v>
      </c>
      <c r="AB347" s="7">
        <f t="shared" ca="1" si="652"/>
        <v>42814.268845736857</v>
      </c>
      <c r="AC347" s="7">
        <f t="shared" ca="1" si="652"/>
        <v>44098.696911108964</v>
      </c>
      <c r="AD347" s="7">
        <f t="shared" ca="1" si="652"/>
        <v>45421.657818442232</v>
      </c>
      <c r="AE347" s="7">
        <f t="shared" ca="1" si="652"/>
        <v>46784.307552995502</v>
      </c>
      <c r="AF347" s="7">
        <f t="shared" ca="1" si="652"/>
        <v>48187.83677958537</v>
      </c>
      <c r="AG347" s="7">
        <f t="shared" ca="1" si="652"/>
        <v>49633.471882972932</v>
      </c>
      <c r="AH347" s="7">
        <f t="shared" ca="1" si="652"/>
        <v>51122.476039462119</v>
      </c>
      <c r="AI347" s="7">
        <f t="shared" ca="1" si="652"/>
        <v>52656.150320645982</v>
      </c>
      <c r="AJ347" s="7">
        <f t="shared" ca="1" si="652"/>
        <v>54235.834830265361</v>
      </c>
      <c r="AK347" s="7">
        <f t="shared" ca="1" si="652"/>
        <v>55862.909875173325</v>
      </c>
      <c r="AL347" s="7">
        <f t="shared" ca="1" si="652"/>
        <v>57538.797171428523</v>
      </c>
      <c r="AM347" s="7">
        <f t="shared" ca="1" si="652"/>
        <v>59264.961086571384</v>
      </c>
    </row>
    <row r="348" spans="1:39" x14ac:dyDescent="0.2">
      <c r="A348" s="17" t="str">
        <f>TEXT(Inputs!$B$102,"")</f>
        <v>Boat</v>
      </c>
      <c r="C348" s="7">
        <f t="shared" ca="1" si="653"/>
        <v>173206.90804157319</v>
      </c>
      <c r="D348" s="7">
        <f t="shared" ca="1" si="652"/>
        <v>164546.56263949451</v>
      </c>
      <c r="E348" s="7">
        <f t="shared" ca="1" si="652"/>
        <v>156319.23450751978</v>
      </c>
      <c r="F348" s="7">
        <f t="shared" ca="1" si="652"/>
        <v>148503.27278214379</v>
      </c>
      <c r="G348" s="7">
        <f t="shared" ca="1" si="652"/>
        <v>141078.10914303659</v>
      </c>
      <c r="H348" s="7">
        <f t="shared" ca="1" si="652"/>
        <v>134024.20368588474</v>
      </c>
      <c r="I348" s="7">
        <f t="shared" ca="1" si="652"/>
        <v>127322.99350159049</v>
      </c>
      <c r="J348" s="7">
        <f t="shared" ca="1" si="652"/>
        <v>120956.84382651096</v>
      </c>
      <c r="K348" s="7">
        <f t="shared" ca="1" si="652"/>
        <v>114909.0016351854</v>
      </c>
      <c r="L348" s="7">
        <f t="shared" ca="1" si="652"/>
        <v>109163.55155342612</v>
      </c>
      <c r="M348" s="7">
        <f t="shared" ca="1" si="652"/>
        <v>103705.37397575482</v>
      </c>
      <c r="N348" s="7">
        <f t="shared" ca="1" si="652"/>
        <v>98520.105276967079</v>
      </c>
      <c r="O348" s="7">
        <f t="shared" ca="1" si="652"/>
        <v>93594.100013118717</v>
      </c>
      <c r="P348" s="7">
        <f t="shared" ca="1" si="652"/>
        <v>88914.395012462774</v>
      </c>
      <c r="Q348" s="7">
        <f t="shared" ca="1" si="652"/>
        <v>84468.675261839628</v>
      </c>
      <c r="R348" s="7">
        <f t="shared" ca="1" si="652"/>
        <v>80245.241498747637</v>
      </c>
      <c r="S348" s="7">
        <f t="shared" ca="1" si="652"/>
        <v>76232.979423810248</v>
      </c>
      <c r="T348" s="7">
        <f t="shared" ca="1" si="652"/>
        <v>72421.330452619732</v>
      </c>
      <c r="U348" s="7">
        <f t="shared" ca="1" si="652"/>
        <v>68800.263929988738</v>
      </c>
      <c r="V348" s="7">
        <f t="shared" ca="1" si="652"/>
        <v>65360.250733489294</v>
      </c>
      <c r="W348" s="7">
        <f t="shared" ca="1" si="652"/>
        <v>62092.238196814826</v>
      </c>
      <c r="X348" s="7">
        <f t="shared" ca="1" si="652"/>
        <v>58987.626286974082</v>
      </c>
      <c r="Y348" s="7">
        <f t="shared" ca="1" si="652"/>
        <v>56038.244972625376</v>
      </c>
      <c r="Z348" s="7">
        <f t="shared" ca="1" si="652"/>
        <v>53236.332723994106</v>
      </c>
      <c r="AA348" s="7">
        <f t="shared" ca="1" si="652"/>
        <v>50574.5160877944</v>
      </c>
      <c r="AB348" s="7">
        <f t="shared" ca="1" si="652"/>
        <v>48045.790283404676</v>
      </c>
      <c r="AC348" s="7">
        <f t="shared" ca="1" si="652"/>
        <v>45643.500769234437</v>
      </c>
      <c r="AD348" s="7">
        <f t="shared" ca="1" si="652"/>
        <v>43361.325730772711</v>
      </c>
      <c r="AE348" s="7">
        <f t="shared" ca="1" si="652"/>
        <v>41193.259444234071</v>
      </c>
      <c r="AF348" s="7">
        <f t="shared" ca="1" si="652"/>
        <v>39133.596472022364</v>
      </c>
      <c r="AG348" s="7">
        <f t="shared" ca="1" si="652"/>
        <v>37176.916648421247</v>
      </c>
      <c r="AH348" s="7">
        <f t="shared" ca="1" si="652"/>
        <v>35318.070816000181</v>
      </c>
      <c r="AI348" s="7">
        <f t="shared" ca="1" si="652"/>
        <v>33552.167275200169</v>
      </c>
      <c r="AJ348" s="7">
        <f t="shared" ca="1" si="652"/>
        <v>31874.558911440159</v>
      </c>
      <c r="AK348" s="7">
        <f t="shared" ca="1" si="652"/>
        <v>30280.83096586815</v>
      </c>
      <c r="AL348" s="7">
        <f t="shared" ca="1" si="652"/>
        <v>28766.789417574742</v>
      </c>
      <c r="AM348" s="7">
        <f t="shared" ca="1" si="652"/>
        <v>27328.449946696004</v>
      </c>
    </row>
    <row r="349" spans="1:39" x14ac:dyDescent="0.2">
      <c r="A349" s="17" t="str">
        <f>TEXT(Inputs!$B$107,"")</f>
        <v>Antiques</v>
      </c>
      <c r="C349" s="7">
        <f t="shared" ca="1" si="653"/>
        <v>83226.9503404141</v>
      </c>
      <c r="D349" s="7">
        <f t="shared" ca="1" si="652"/>
        <v>84891.489347222378</v>
      </c>
      <c r="E349" s="7">
        <f t="shared" ca="1" si="652"/>
        <v>86589.319134166828</v>
      </c>
      <c r="F349" s="7">
        <f t="shared" ca="1" si="652"/>
        <v>88321.105516850163</v>
      </c>
      <c r="G349" s="7">
        <f t="shared" ca="1" si="652"/>
        <v>90087.52762718717</v>
      </c>
      <c r="H349" s="7">
        <f t="shared" ca="1" si="652"/>
        <v>91889.278179730914</v>
      </c>
      <c r="I349" s="7">
        <f t="shared" ca="1" si="652"/>
        <v>93727.063743325532</v>
      </c>
      <c r="J349" s="7">
        <f t="shared" ca="1" si="652"/>
        <v>95601.605018192044</v>
      </c>
      <c r="K349" s="7">
        <f t="shared" ca="1" si="652"/>
        <v>97513.637118555882</v>
      </c>
      <c r="L349" s="7">
        <f t="shared" ca="1" si="652"/>
        <v>99463.909860927</v>
      </c>
      <c r="M349" s="7">
        <f t="shared" ca="1" si="652"/>
        <v>101453.18805814555</v>
      </c>
      <c r="N349" s="7">
        <f t="shared" ca="1" si="652"/>
        <v>103482.25181930845</v>
      </c>
      <c r="O349" s="7">
        <f t="shared" ca="1" si="652"/>
        <v>105551.89685569462</v>
      </c>
      <c r="P349" s="7">
        <f t="shared" ca="1" si="652"/>
        <v>107662.93479280852</v>
      </c>
      <c r="Q349" s="7">
        <f t="shared" ca="1" si="652"/>
        <v>109816.19348866469</v>
      </c>
      <c r="R349" s="7">
        <f t="shared" ca="1" si="652"/>
        <v>112012.51735843798</v>
      </c>
      <c r="S349" s="7">
        <f t="shared" ca="1" si="652"/>
        <v>114252.76770560675</v>
      </c>
      <c r="T349" s="7">
        <f t="shared" ca="1" si="652"/>
        <v>116537.82305971888</v>
      </c>
      <c r="U349" s="7">
        <f t="shared" ca="1" si="652"/>
        <v>118868.57952091326</v>
      </c>
      <c r="V349" s="7">
        <f t="shared" ca="1" si="652"/>
        <v>121245.95111133152</v>
      </c>
      <c r="W349" s="7">
        <f t="shared" ca="1" si="652"/>
        <v>123670.87013355816</v>
      </c>
      <c r="X349" s="7">
        <f t="shared" ca="1" si="652"/>
        <v>126144.28753622933</v>
      </c>
      <c r="Y349" s="7">
        <f t="shared" ca="1" si="652"/>
        <v>128667.17328695391</v>
      </c>
      <c r="Z349" s="7">
        <f t="shared" ca="1" si="652"/>
        <v>131240.51675269299</v>
      </c>
      <c r="AA349" s="7">
        <f t="shared" ca="1" si="652"/>
        <v>133865.32708774685</v>
      </c>
      <c r="AB349" s="7">
        <f t="shared" ca="1" si="652"/>
        <v>136542.6336295018</v>
      </c>
      <c r="AC349" s="7">
        <f t="shared" ca="1" si="652"/>
        <v>139273.48630209183</v>
      </c>
      <c r="AD349" s="7">
        <f t="shared" ca="1" si="652"/>
        <v>142058.95602813366</v>
      </c>
      <c r="AE349" s="7">
        <f t="shared" ca="1" si="652"/>
        <v>144900.13514869634</v>
      </c>
      <c r="AF349" s="7">
        <f t="shared" ca="1" si="652"/>
        <v>147798.13785167027</v>
      </c>
      <c r="AG349" s="7">
        <f t="shared" ca="1" si="652"/>
        <v>150754.10060870368</v>
      </c>
      <c r="AH349" s="7">
        <f t="shared" ca="1" si="652"/>
        <v>153769.18262087775</v>
      </c>
      <c r="AI349" s="7">
        <f t="shared" ca="1" si="652"/>
        <v>156844.56627329532</v>
      </c>
      <c r="AJ349" s="7">
        <f t="shared" ca="1" si="652"/>
        <v>159981.45759876122</v>
      </c>
      <c r="AK349" s="7">
        <f t="shared" ca="1" si="652"/>
        <v>163181.08675073646</v>
      </c>
      <c r="AL349" s="7">
        <f t="shared" ca="1" si="652"/>
        <v>166444.70848575118</v>
      </c>
      <c r="AM349" s="7">
        <f t="shared" ca="1" si="652"/>
        <v>169773.60265546621</v>
      </c>
    </row>
    <row r="350" spans="1:39" x14ac:dyDescent="0.2">
      <c r="A350" s="16" t="str">
        <f t="shared" ref="A350:A357" si="654">A82</f>
        <v>Stock market equity investments</v>
      </c>
      <c r="C350" s="7">
        <f t="shared" ref="C350:AM350" ca="1" si="655">C107</f>
        <v>31782.57432893329</v>
      </c>
      <c r="D350" s="7">
        <f t="shared" ca="1" si="655"/>
        <v>27015.188179593297</v>
      </c>
      <c r="E350" s="7">
        <f t="shared" ca="1" si="655"/>
        <v>31782.57432893329</v>
      </c>
      <c r="F350" s="7">
        <f t="shared" ca="1" si="655"/>
        <v>34325.180275247956</v>
      </c>
      <c r="G350" s="7">
        <f t="shared" ca="1" si="655"/>
        <v>37071.194697267791</v>
      </c>
      <c r="H350" s="7">
        <f t="shared" ca="1" si="655"/>
        <v>40036.890273049212</v>
      </c>
      <c r="I350" s="7">
        <f t="shared" ca="1" si="655"/>
        <v>32029.512218439369</v>
      </c>
      <c r="J350" s="7">
        <f t="shared" ca="1" si="655"/>
        <v>34502.746114102927</v>
      </c>
      <c r="K350" s="7">
        <f t="shared" ca="1" si="655"/>
        <v>37166.956564793065</v>
      </c>
      <c r="L350" s="7">
        <f t="shared" ca="1" si="655"/>
        <v>40036.890273049219</v>
      </c>
      <c r="M350" s="7">
        <f t="shared" ca="1" si="655"/>
        <v>43239.84149489316</v>
      </c>
      <c r="N350" s="7">
        <f t="shared" ca="1" si="655"/>
        <v>39780.654175301708</v>
      </c>
      <c r="O350" s="7">
        <f t="shared" ca="1" si="655"/>
        <v>40901.821101479632</v>
      </c>
      <c r="P350" s="7">
        <f t="shared" ca="1" si="655"/>
        <v>42054.586685407528</v>
      </c>
      <c r="Q350" s="7">
        <f t="shared" ca="1" si="655"/>
        <v>43239.841494893168</v>
      </c>
      <c r="R350" s="7">
        <f t="shared" ca="1" si="655"/>
        <v>46699.02881448462</v>
      </c>
      <c r="S350" s="7">
        <f t="shared" ca="1" si="655"/>
        <v>50434.951119643389</v>
      </c>
      <c r="T350" s="7">
        <f t="shared" ca="1" si="655"/>
        <v>54469.74720921486</v>
      </c>
      <c r="U350" s="7">
        <f t="shared" ca="1" si="655"/>
        <v>58827.326985952051</v>
      </c>
      <c r="V350" s="7">
        <f t="shared" ca="1" si="655"/>
        <v>48238.408128480682</v>
      </c>
      <c r="W350" s="7">
        <f t="shared" ca="1" si="655"/>
        <v>53270.410250494038</v>
      </c>
      <c r="X350" s="7">
        <f t="shared" ca="1" si="655"/>
        <v>58827.326985952051</v>
      </c>
      <c r="Y350" s="7">
        <f t="shared" ca="1" si="655"/>
        <v>63533.513144828219</v>
      </c>
      <c r="Z350" s="7">
        <f t="shared" ca="1" si="655"/>
        <v>68616.194196414479</v>
      </c>
      <c r="AA350" s="7">
        <f t="shared" ca="1" si="655"/>
        <v>49403.65982141842</v>
      </c>
      <c r="AB350" s="7">
        <f t="shared" ca="1" si="655"/>
        <v>52183.96087445414</v>
      </c>
      <c r="AC350" s="7">
        <f t="shared" ca="1" si="655"/>
        <v>55120.72956518014</v>
      </c>
      <c r="AD350" s="7">
        <f t="shared" ca="1" si="655"/>
        <v>58222.77145859725</v>
      </c>
      <c r="AE350" s="7">
        <f t="shared" ca="1" si="655"/>
        <v>61499.387672500015</v>
      </c>
      <c r="AF350" s="7">
        <f t="shared" ca="1" si="655"/>
        <v>64960.402765814506</v>
      </c>
      <c r="AG350" s="7">
        <f t="shared" ca="1" si="655"/>
        <v>68616.194196414493</v>
      </c>
      <c r="AH350" s="7">
        <f t="shared" ca="1" si="655"/>
        <v>74105.489732127651</v>
      </c>
      <c r="AI350" s="7">
        <f t="shared" ca="1" si="655"/>
        <v>80033.928910697869</v>
      </c>
      <c r="AJ350" s="7">
        <f t="shared" ca="1" si="655"/>
        <v>86436.643223553692</v>
      </c>
      <c r="AK350" s="7">
        <f t="shared" ca="1" si="655"/>
        <v>93351.574681437982</v>
      </c>
      <c r="AL350" s="7">
        <f t="shared" ca="1" si="655"/>
        <v>100819.70065595303</v>
      </c>
      <c r="AM350" s="7">
        <f t="shared" ca="1" si="655"/>
        <v>108885.27670842927</v>
      </c>
    </row>
    <row r="351" spans="1:39" x14ac:dyDescent="0.2">
      <c r="A351" s="16" t="str">
        <f t="shared" si="654"/>
        <v>Home loan</v>
      </c>
      <c r="C351" s="7">
        <f t="shared" ref="C351:AM351" ca="1" si="656">C83</f>
        <v>-48409.157779606016</v>
      </c>
      <c r="D351" s="7">
        <f t="shared" ca="1" si="656"/>
        <v>-46231.653807228853</v>
      </c>
      <c r="E351" s="7">
        <f t="shared" ca="1" si="656"/>
        <v>-43987.918967848869</v>
      </c>
      <c r="F351" s="7">
        <f t="shared" ca="1" si="656"/>
        <v>-41675.938786268969</v>
      </c>
      <c r="G351" s="7">
        <f t="shared" ca="1" si="656"/>
        <v>0</v>
      </c>
      <c r="H351" s="7">
        <f t="shared" ca="1" si="656"/>
        <v>0</v>
      </c>
      <c r="I351" s="7">
        <f t="shared" ca="1" si="656"/>
        <v>0</v>
      </c>
      <c r="J351" s="7">
        <f t="shared" ca="1" si="656"/>
        <v>0</v>
      </c>
      <c r="K351" s="7">
        <f t="shared" ca="1" si="656"/>
        <v>0</v>
      </c>
      <c r="L351" s="7">
        <f t="shared" ca="1" si="656"/>
        <v>0</v>
      </c>
      <c r="M351" s="7">
        <f t="shared" ca="1" si="656"/>
        <v>0</v>
      </c>
      <c r="N351" s="7">
        <f t="shared" ca="1" si="656"/>
        <v>0</v>
      </c>
      <c r="O351" s="7">
        <f t="shared" ca="1" si="656"/>
        <v>0</v>
      </c>
      <c r="P351" s="7">
        <f t="shared" ca="1" si="656"/>
        <v>0</v>
      </c>
      <c r="Q351" s="7">
        <f t="shared" ca="1" si="656"/>
        <v>0</v>
      </c>
      <c r="R351" s="7">
        <f t="shared" ca="1" si="656"/>
        <v>0</v>
      </c>
      <c r="S351" s="7">
        <f t="shared" ca="1" si="656"/>
        <v>0</v>
      </c>
      <c r="T351" s="7">
        <f t="shared" ca="1" si="656"/>
        <v>0</v>
      </c>
      <c r="U351" s="7">
        <f t="shared" ca="1" si="656"/>
        <v>0</v>
      </c>
      <c r="V351" s="7">
        <f t="shared" ca="1" si="656"/>
        <v>0</v>
      </c>
      <c r="W351" s="7">
        <f t="shared" ca="1" si="656"/>
        <v>0</v>
      </c>
      <c r="X351" s="7">
        <f t="shared" ca="1" si="656"/>
        <v>0</v>
      </c>
      <c r="Y351" s="7">
        <f t="shared" ca="1" si="656"/>
        <v>0</v>
      </c>
      <c r="Z351" s="7">
        <f t="shared" ca="1" si="656"/>
        <v>0</v>
      </c>
      <c r="AA351" s="7">
        <f t="shared" ca="1" si="656"/>
        <v>0</v>
      </c>
      <c r="AB351" s="7">
        <f t="shared" ca="1" si="656"/>
        <v>0</v>
      </c>
      <c r="AC351" s="7">
        <f t="shared" ca="1" si="656"/>
        <v>0</v>
      </c>
      <c r="AD351" s="7">
        <f t="shared" ca="1" si="656"/>
        <v>0</v>
      </c>
      <c r="AE351" s="7">
        <f t="shared" ca="1" si="656"/>
        <v>0</v>
      </c>
      <c r="AF351" s="7">
        <f t="shared" ca="1" si="656"/>
        <v>0</v>
      </c>
      <c r="AG351" s="7">
        <f t="shared" ca="1" si="656"/>
        <v>0</v>
      </c>
      <c r="AH351" s="7">
        <f t="shared" ca="1" si="656"/>
        <v>0</v>
      </c>
      <c r="AI351" s="7">
        <f t="shared" ca="1" si="656"/>
        <v>0</v>
      </c>
      <c r="AJ351" s="7">
        <f t="shared" ca="1" si="656"/>
        <v>0</v>
      </c>
      <c r="AK351" s="7">
        <f t="shared" ca="1" si="656"/>
        <v>0</v>
      </c>
      <c r="AL351" s="7">
        <f t="shared" ca="1" si="656"/>
        <v>0</v>
      </c>
      <c r="AM351" s="7">
        <f t="shared" ca="1" si="656"/>
        <v>0</v>
      </c>
    </row>
    <row r="352" spans="1:39" x14ac:dyDescent="0.2">
      <c r="A352" s="16" t="str">
        <f t="shared" si="654"/>
        <v>Other asset loans</v>
      </c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</row>
    <row r="353" spans="1:39" x14ac:dyDescent="0.2">
      <c r="A353" s="17" t="str">
        <f t="shared" si="654"/>
        <v>Sliema</v>
      </c>
      <c r="C353" s="7">
        <f t="shared" ref="C353:AM353" ca="1" si="657">C324</f>
        <v>-46591.052384870025</v>
      </c>
      <c r="D353" s="7">
        <f t="shared" ca="1" si="657"/>
        <v>-41924.97244406183</v>
      </c>
      <c r="E353" s="7">
        <f t="shared" ca="1" si="657"/>
        <v>-37116.969216818994</v>
      </c>
      <c r="F353" s="7">
        <f t="shared" ca="1" si="657"/>
        <v>-32162.725970576364</v>
      </c>
      <c r="G353" s="7">
        <f t="shared" ca="1" si="657"/>
        <v>-27057.79467521701</v>
      </c>
      <c r="H353" s="7">
        <f t="shared" ca="1" si="657"/>
        <v>-21797.592009531552</v>
      </c>
      <c r="I353" s="7">
        <f t="shared" ca="1" si="657"/>
        <v>-16377.395246210348</v>
      </c>
      <c r="J353" s="7">
        <f t="shared" ca="1" si="657"/>
        <v>-10792.33801167312</v>
      </c>
      <c r="K353" s="7">
        <f t="shared" ca="1" si="657"/>
        <v>-5037.4059169308748</v>
      </c>
      <c r="L353" s="7">
        <f t="shared" ca="1" si="657"/>
        <v>0</v>
      </c>
      <c r="M353" s="7">
        <f t="shared" ca="1" si="657"/>
        <v>0</v>
      </c>
      <c r="N353" s="7">
        <f t="shared" ca="1" si="657"/>
        <v>0</v>
      </c>
      <c r="O353" s="7">
        <f t="shared" ca="1" si="657"/>
        <v>0</v>
      </c>
      <c r="P353" s="7">
        <f t="shared" ca="1" si="657"/>
        <v>0</v>
      </c>
      <c r="Q353" s="7">
        <f t="shared" ca="1" si="657"/>
        <v>0</v>
      </c>
      <c r="R353" s="7">
        <f t="shared" ca="1" si="657"/>
        <v>0</v>
      </c>
      <c r="S353" s="7">
        <f t="shared" ca="1" si="657"/>
        <v>0</v>
      </c>
      <c r="T353" s="7">
        <f t="shared" ca="1" si="657"/>
        <v>0</v>
      </c>
      <c r="U353" s="7">
        <f t="shared" ca="1" si="657"/>
        <v>0</v>
      </c>
      <c r="V353" s="7">
        <f t="shared" ca="1" si="657"/>
        <v>0</v>
      </c>
      <c r="W353" s="7">
        <f t="shared" ca="1" si="657"/>
        <v>0</v>
      </c>
      <c r="X353" s="7">
        <f t="shared" ca="1" si="657"/>
        <v>0</v>
      </c>
      <c r="Y353" s="7">
        <f t="shared" ca="1" si="657"/>
        <v>0</v>
      </c>
      <c r="Z353" s="7">
        <f t="shared" ca="1" si="657"/>
        <v>0</v>
      </c>
      <c r="AA353" s="7">
        <f t="shared" ca="1" si="657"/>
        <v>0</v>
      </c>
      <c r="AB353" s="7">
        <f t="shared" ca="1" si="657"/>
        <v>0</v>
      </c>
      <c r="AC353" s="7">
        <f t="shared" ca="1" si="657"/>
        <v>0</v>
      </c>
      <c r="AD353" s="7">
        <f t="shared" ca="1" si="657"/>
        <v>0</v>
      </c>
      <c r="AE353" s="7">
        <f t="shared" ca="1" si="657"/>
        <v>0</v>
      </c>
      <c r="AF353" s="7">
        <f t="shared" ca="1" si="657"/>
        <v>0</v>
      </c>
      <c r="AG353" s="7">
        <f t="shared" ca="1" si="657"/>
        <v>0</v>
      </c>
      <c r="AH353" s="7">
        <f t="shared" ca="1" si="657"/>
        <v>0</v>
      </c>
      <c r="AI353" s="7">
        <f t="shared" ca="1" si="657"/>
        <v>0</v>
      </c>
      <c r="AJ353" s="7">
        <f t="shared" ca="1" si="657"/>
        <v>0</v>
      </c>
      <c r="AK353" s="7">
        <f t="shared" ca="1" si="657"/>
        <v>0</v>
      </c>
      <c r="AL353" s="7">
        <f t="shared" ca="1" si="657"/>
        <v>0</v>
      </c>
      <c r="AM353" s="7">
        <f t="shared" ca="1" si="657"/>
        <v>0</v>
      </c>
    </row>
    <row r="354" spans="1:39" x14ac:dyDescent="0.2">
      <c r="A354" s="17" t="str">
        <f t="shared" si="654"/>
        <v>Gzira</v>
      </c>
      <c r="C354" s="7">
        <f t="shared" ref="C354:AM354" ca="1" si="658">C325</f>
        <v>-6816.3065303051853</v>
      </c>
      <c r="D354" s="7">
        <f t="shared" ca="1" si="658"/>
        <v>-4531.7666039667383</v>
      </c>
      <c r="E354" s="7">
        <f t="shared" ca="1" si="658"/>
        <v>-2201.1147111864902</v>
      </c>
      <c r="F354" s="7">
        <f t="shared" ca="1" si="658"/>
        <v>0</v>
      </c>
      <c r="G354" s="7">
        <f t="shared" ca="1" si="658"/>
        <v>0</v>
      </c>
      <c r="H354" s="7">
        <f t="shared" ca="1" si="658"/>
        <v>0</v>
      </c>
      <c r="I354" s="7">
        <f t="shared" ca="1" si="658"/>
        <v>0</v>
      </c>
      <c r="J354" s="7">
        <f t="shared" ca="1" si="658"/>
        <v>0</v>
      </c>
      <c r="K354" s="7">
        <f t="shared" ca="1" si="658"/>
        <v>0</v>
      </c>
      <c r="L354" s="7">
        <f t="shared" ca="1" si="658"/>
        <v>0</v>
      </c>
      <c r="M354" s="7">
        <f t="shared" ca="1" si="658"/>
        <v>0</v>
      </c>
      <c r="N354" s="7">
        <f t="shared" ca="1" si="658"/>
        <v>0</v>
      </c>
      <c r="O354" s="7">
        <f t="shared" ca="1" si="658"/>
        <v>0</v>
      </c>
      <c r="P354" s="7">
        <f t="shared" ca="1" si="658"/>
        <v>0</v>
      </c>
      <c r="Q354" s="7">
        <f t="shared" ca="1" si="658"/>
        <v>0</v>
      </c>
      <c r="R354" s="7">
        <f t="shared" ca="1" si="658"/>
        <v>0</v>
      </c>
      <c r="S354" s="7">
        <f t="shared" ca="1" si="658"/>
        <v>0</v>
      </c>
      <c r="T354" s="7">
        <f t="shared" ca="1" si="658"/>
        <v>0</v>
      </c>
      <c r="U354" s="7">
        <f t="shared" ca="1" si="658"/>
        <v>0</v>
      </c>
      <c r="V354" s="7">
        <f t="shared" ca="1" si="658"/>
        <v>0</v>
      </c>
      <c r="W354" s="7">
        <f t="shared" ca="1" si="658"/>
        <v>0</v>
      </c>
      <c r="X354" s="7">
        <f t="shared" ca="1" si="658"/>
        <v>0</v>
      </c>
      <c r="Y354" s="7">
        <f t="shared" ca="1" si="658"/>
        <v>0</v>
      </c>
      <c r="Z354" s="7">
        <f t="shared" ca="1" si="658"/>
        <v>0</v>
      </c>
      <c r="AA354" s="7">
        <f t="shared" ca="1" si="658"/>
        <v>0</v>
      </c>
      <c r="AB354" s="7">
        <f t="shared" ca="1" si="658"/>
        <v>0</v>
      </c>
      <c r="AC354" s="7">
        <f t="shared" ca="1" si="658"/>
        <v>0</v>
      </c>
      <c r="AD354" s="7">
        <f t="shared" ca="1" si="658"/>
        <v>0</v>
      </c>
      <c r="AE354" s="7">
        <f t="shared" ca="1" si="658"/>
        <v>0</v>
      </c>
      <c r="AF354" s="7">
        <f t="shared" ca="1" si="658"/>
        <v>0</v>
      </c>
      <c r="AG354" s="7">
        <f t="shared" ca="1" si="658"/>
        <v>0</v>
      </c>
      <c r="AH354" s="7">
        <f t="shared" ca="1" si="658"/>
        <v>0</v>
      </c>
      <c r="AI354" s="7">
        <f t="shared" ca="1" si="658"/>
        <v>0</v>
      </c>
      <c r="AJ354" s="7">
        <f t="shared" ca="1" si="658"/>
        <v>0</v>
      </c>
      <c r="AK354" s="7">
        <f t="shared" ca="1" si="658"/>
        <v>0</v>
      </c>
      <c r="AL354" s="7">
        <f t="shared" ca="1" si="658"/>
        <v>0</v>
      </c>
      <c r="AM354" s="7">
        <f t="shared" ca="1" si="658"/>
        <v>0</v>
      </c>
    </row>
    <row r="355" spans="1:39" x14ac:dyDescent="0.2">
      <c r="A355" s="17" t="str">
        <f t="shared" si="654"/>
        <v>Qormi</v>
      </c>
      <c r="C355" s="7">
        <f t="shared" ref="C355:AM355" ca="1" si="659">C326</f>
        <v>-13284.099846375037</v>
      </c>
      <c r="D355" s="7">
        <f t="shared" ca="1" si="659"/>
        <v>-10894.02573326202</v>
      </c>
      <c r="E355" s="7">
        <f t="shared" ca="1" si="659"/>
        <v>-8381.6708924441427</v>
      </c>
      <c r="F355" s="7">
        <f t="shared" ca="1" si="659"/>
        <v>-5740.779209817676</v>
      </c>
      <c r="G355" s="7">
        <f t="shared" ca="1" si="659"/>
        <v>-2964.7744966079426</v>
      </c>
      <c r="H355" s="7">
        <f t="shared" ca="1" si="659"/>
        <v>-46.744113741759065</v>
      </c>
      <c r="I355" s="7">
        <f t="shared" ca="1" si="659"/>
        <v>0</v>
      </c>
      <c r="J355" s="7">
        <f t="shared" ca="1" si="659"/>
        <v>0</v>
      </c>
      <c r="K355" s="7">
        <f t="shared" ca="1" si="659"/>
        <v>0</v>
      </c>
      <c r="L355" s="7">
        <f t="shared" ca="1" si="659"/>
        <v>0</v>
      </c>
      <c r="M355" s="7">
        <f t="shared" ca="1" si="659"/>
        <v>0</v>
      </c>
      <c r="N355" s="7">
        <f t="shared" ca="1" si="659"/>
        <v>0</v>
      </c>
      <c r="O355" s="7">
        <f t="shared" ca="1" si="659"/>
        <v>0</v>
      </c>
      <c r="P355" s="7">
        <f t="shared" ca="1" si="659"/>
        <v>0</v>
      </c>
      <c r="Q355" s="7">
        <f t="shared" ca="1" si="659"/>
        <v>0</v>
      </c>
      <c r="R355" s="7">
        <f t="shared" ca="1" si="659"/>
        <v>0</v>
      </c>
      <c r="S355" s="7">
        <f t="shared" ca="1" si="659"/>
        <v>0</v>
      </c>
      <c r="T355" s="7">
        <f t="shared" ca="1" si="659"/>
        <v>0</v>
      </c>
      <c r="U355" s="7">
        <f t="shared" ca="1" si="659"/>
        <v>0</v>
      </c>
      <c r="V355" s="7">
        <f t="shared" ca="1" si="659"/>
        <v>0</v>
      </c>
      <c r="W355" s="7">
        <f t="shared" ca="1" si="659"/>
        <v>0</v>
      </c>
      <c r="X355" s="7">
        <f t="shared" ca="1" si="659"/>
        <v>0</v>
      </c>
      <c r="Y355" s="7">
        <f t="shared" ca="1" si="659"/>
        <v>0</v>
      </c>
      <c r="Z355" s="7">
        <f t="shared" ca="1" si="659"/>
        <v>0</v>
      </c>
      <c r="AA355" s="7">
        <f t="shared" ca="1" si="659"/>
        <v>0</v>
      </c>
      <c r="AB355" s="7">
        <f t="shared" ca="1" si="659"/>
        <v>0</v>
      </c>
      <c r="AC355" s="7">
        <f t="shared" ca="1" si="659"/>
        <v>0</v>
      </c>
      <c r="AD355" s="7">
        <f t="shared" ca="1" si="659"/>
        <v>0</v>
      </c>
      <c r="AE355" s="7">
        <f t="shared" ca="1" si="659"/>
        <v>0</v>
      </c>
      <c r="AF355" s="7">
        <f t="shared" ca="1" si="659"/>
        <v>0</v>
      </c>
      <c r="AG355" s="7">
        <f t="shared" ca="1" si="659"/>
        <v>0</v>
      </c>
      <c r="AH355" s="7">
        <f t="shared" ca="1" si="659"/>
        <v>0</v>
      </c>
      <c r="AI355" s="7">
        <f t="shared" ca="1" si="659"/>
        <v>0</v>
      </c>
      <c r="AJ355" s="7">
        <f t="shared" ca="1" si="659"/>
        <v>0</v>
      </c>
      <c r="AK355" s="7">
        <f t="shared" ca="1" si="659"/>
        <v>0</v>
      </c>
      <c r="AL355" s="7">
        <f t="shared" ca="1" si="659"/>
        <v>0</v>
      </c>
      <c r="AM355" s="7">
        <f t="shared" ca="1" si="659"/>
        <v>0</v>
      </c>
    </row>
    <row r="356" spans="1:39" x14ac:dyDescent="0.2">
      <c r="A356" s="17" t="str">
        <f t="shared" si="654"/>
        <v>Gudja</v>
      </c>
      <c r="C356" s="7">
        <f t="shared" ref="C356:AM356" ca="1" si="660">C327</f>
        <v>-4025.8511111463736</v>
      </c>
      <c r="D356" s="7">
        <f t="shared" ca="1" si="660"/>
        <v>-3138.2612491824134</v>
      </c>
      <c r="E356" s="7">
        <f t="shared" ca="1" si="660"/>
        <v>-2232.7559577452803</v>
      </c>
      <c r="F356" s="7">
        <f t="shared" ca="1" si="660"/>
        <v>-1308.9736254343047</v>
      </c>
      <c r="G356" s="7">
        <f t="shared" ca="1" si="660"/>
        <v>-366.5453419556743</v>
      </c>
      <c r="H356" s="7">
        <f t="shared" ca="1" si="660"/>
        <v>0</v>
      </c>
      <c r="I356" s="7">
        <f t="shared" ca="1" si="660"/>
        <v>0</v>
      </c>
      <c r="J356" s="7">
        <f t="shared" ca="1" si="660"/>
        <v>0</v>
      </c>
      <c r="K356" s="7">
        <f t="shared" ca="1" si="660"/>
        <v>0</v>
      </c>
      <c r="L356" s="7">
        <f t="shared" ca="1" si="660"/>
        <v>0</v>
      </c>
      <c r="M356" s="7">
        <f t="shared" ca="1" si="660"/>
        <v>0</v>
      </c>
      <c r="N356" s="7">
        <f t="shared" ca="1" si="660"/>
        <v>0</v>
      </c>
      <c r="O356" s="7">
        <f t="shared" ca="1" si="660"/>
        <v>0</v>
      </c>
      <c r="P356" s="7">
        <f t="shared" ca="1" si="660"/>
        <v>0</v>
      </c>
      <c r="Q356" s="7">
        <f t="shared" ca="1" si="660"/>
        <v>0</v>
      </c>
      <c r="R356" s="7">
        <f t="shared" ca="1" si="660"/>
        <v>0</v>
      </c>
      <c r="S356" s="7">
        <f t="shared" ca="1" si="660"/>
        <v>0</v>
      </c>
      <c r="T356" s="7">
        <f t="shared" ca="1" si="660"/>
        <v>0</v>
      </c>
      <c r="U356" s="7">
        <f t="shared" ca="1" si="660"/>
        <v>0</v>
      </c>
      <c r="V356" s="7">
        <f t="shared" ca="1" si="660"/>
        <v>0</v>
      </c>
      <c r="W356" s="7">
        <f t="shared" ca="1" si="660"/>
        <v>0</v>
      </c>
      <c r="X356" s="7">
        <f t="shared" ca="1" si="660"/>
        <v>0</v>
      </c>
      <c r="Y356" s="7">
        <f t="shared" ca="1" si="660"/>
        <v>0</v>
      </c>
      <c r="Z356" s="7">
        <f t="shared" ca="1" si="660"/>
        <v>0</v>
      </c>
      <c r="AA356" s="7">
        <f t="shared" ca="1" si="660"/>
        <v>0</v>
      </c>
      <c r="AB356" s="7">
        <f t="shared" ca="1" si="660"/>
        <v>0</v>
      </c>
      <c r="AC356" s="7">
        <f t="shared" ca="1" si="660"/>
        <v>0</v>
      </c>
      <c r="AD356" s="7">
        <f t="shared" ca="1" si="660"/>
        <v>0</v>
      </c>
      <c r="AE356" s="7">
        <f t="shared" ca="1" si="660"/>
        <v>0</v>
      </c>
      <c r="AF356" s="7">
        <f t="shared" ca="1" si="660"/>
        <v>0</v>
      </c>
      <c r="AG356" s="7">
        <f t="shared" ca="1" si="660"/>
        <v>0</v>
      </c>
      <c r="AH356" s="7">
        <f t="shared" ca="1" si="660"/>
        <v>0</v>
      </c>
      <c r="AI356" s="7">
        <f t="shared" ca="1" si="660"/>
        <v>0</v>
      </c>
      <c r="AJ356" s="7">
        <f t="shared" ca="1" si="660"/>
        <v>0</v>
      </c>
      <c r="AK356" s="7">
        <f t="shared" ca="1" si="660"/>
        <v>0</v>
      </c>
      <c r="AL356" s="7">
        <f t="shared" ca="1" si="660"/>
        <v>0</v>
      </c>
      <c r="AM356" s="7">
        <f t="shared" ca="1" si="660"/>
        <v>0</v>
      </c>
    </row>
    <row r="357" spans="1:39" x14ac:dyDescent="0.2">
      <c r="A357" s="17" t="str">
        <f t="shared" si="654"/>
        <v>Marsa</v>
      </c>
      <c r="C357" s="7">
        <f t="shared" ref="C357:AM357" ca="1" si="661">C328</f>
        <v>-8649.5822104017261</v>
      </c>
      <c r="D357" s="7">
        <f t="shared" ca="1" si="661"/>
        <v>-7452.7015983848178</v>
      </c>
      <c r="E357" s="7">
        <f t="shared" ca="1" si="661"/>
        <v>-6219.4167172421839</v>
      </c>
      <c r="F357" s="7">
        <f t="shared" ca="1" si="661"/>
        <v>-4948.6202962926418</v>
      </c>
      <c r="G357" s="7">
        <f t="shared" ca="1" si="661"/>
        <v>-3639.1713861576636</v>
      </c>
      <c r="H357" s="7">
        <f t="shared" ca="1" si="661"/>
        <v>-2289.8943343915744</v>
      </c>
      <c r="I357" s="7">
        <f t="shared" ca="1" si="661"/>
        <v>-899.57772995459527</v>
      </c>
      <c r="J357" s="7">
        <f t="shared" ca="1" si="661"/>
        <v>0</v>
      </c>
      <c r="K357" s="7">
        <f t="shared" ca="1" si="661"/>
        <v>0</v>
      </c>
      <c r="L357" s="7">
        <f t="shared" ca="1" si="661"/>
        <v>0</v>
      </c>
      <c r="M357" s="7">
        <f t="shared" ca="1" si="661"/>
        <v>0</v>
      </c>
      <c r="N357" s="7">
        <f t="shared" ca="1" si="661"/>
        <v>0</v>
      </c>
      <c r="O357" s="7">
        <f t="shared" ca="1" si="661"/>
        <v>0</v>
      </c>
      <c r="P357" s="7">
        <f t="shared" ca="1" si="661"/>
        <v>0</v>
      </c>
      <c r="Q357" s="7">
        <f t="shared" ca="1" si="661"/>
        <v>0</v>
      </c>
      <c r="R357" s="7">
        <f t="shared" ca="1" si="661"/>
        <v>0</v>
      </c>
      <c r="S357" s="7">
        <f t="shared" ca="1" si="661"/>
        <v>0</v>
      </c>
      <c r="T357" s="7">
        <f t="shared" ca="1" si="661"/>
        <v>0</v>
      </c>
      <c r="U357" s="7">
        <f t="shared" ca="1" si="661"/>
        <v>0</v>
      </c>
      <c r="V357" s="7">
        <f t="shared" ca="1" si="661"/>
        <v>0</v>
      </c>
      <c r="W357" s="7">
        <f t="shared" ca="1" si="661"/>
        <v>0</v>
      </c>
      <c r="X357" s="7">
        <f t="shared" ca="1" si="661"/>
        <v>0</v>
      </c>
      <c r="Y357" s="7">
        <f t="shared" ca="1" si="661"/>
        <v>0</v>
      </c>
      <c r="Z357" s="7">
        <f t="shared" ca="1" si="661"/>
        <v>0</v>
      </c>
      <c r="AA357" s="7">
        <f t="shared" ca="1" si="661"/>
        <v>0</v>
      </c>
      <c r="AB357" s="7">
        <f t="shared" ca="1" si="661"/>
        <v>0</v>
      </c>
      <c r="AC357" s="7">
        <f t="shared" ca="1" si="661"/>
        <v>0</v>
      </c>
      <c r="AD357" s="7">
        <f t="shared" ca="1" si="661"/>
        <v>0</v>
      </c>
      <c r="AE357" s="7">
        <f t="shared" ca="1" si="661"/>
        <v>0</v>
      </c>
      <c r="AF357" s="7">
        <f t="shared" ca="1" si="661"/>
        <v>0</v>
      </c>
      <c r="AG357" s="7">
        <f t="shared" ca="1" si="661"/>
        <v>0</v>
      </c>
      <c r="AH357" s="7">
        <f t="shared" ca="1" si="661"/>
        <v>0</v>
      </c>
      <c r="AI357" s="7">
        <f t="shared" ca="1" si="661"/>
        <v>0</v>
      </c>
      <c r="AJ357" s="7">
        <f t="shared" ca="1" si="661"/>
        <v>0</v>
      </c>
      <c r="AK357" s="7">
        <f t="shared" ca="1" si="661"/>
        <v>0</v>
      </c>
      <c r="AL357" s="7">
        <f t="shared" ca="1" si="661"/>
        <v>0</v>
      </c>
      <c r="AM357" s="7">
        <f t="shared" ca="1" si="661"/>
        <v>0</v>
      </c>
    </row>
    <row r="358" spans="1:39" x14ac:dyDescent="0.2">
      <c r="A358" s="17" t="str">
        <f>TEXT(Inputs!$B$87,"")</f>
        <v>Jewelry</v>
      </c>
      <c r="C358" s="7">
        <f t="shared" ref="C358:AM358" ca="1" si="662">C329</f>
        <v>-1875.0262705595046</v>
      </c>
      <c r="D358" s="7">
        <f t="shared" ca="1" si="662"/>
        <v>-1019.5782814113345</v>
      </c>
      <c r="E358" s="7">
        <f t="shared" ca="1" si="662"/>
        <v>-138.11102308348245</v>
      </c>
      <c r="F358" s="7">
        <f t="shared" ca="1" si="662"/>
        <v>0</v>
      </c>
      <c r="G358" s="7">
        <f t="shared" ca="1" si="662"/>
        <v>0</v>
      </c>
      <c r="H358" s="7">
        <f t="shared" ca="1" si="662"/>
        <v>0</v>
      </c>
      <c r="I358" s="7">
        <f t="shared" ca="1" si="662"/>
        <v>0</v>
      </c>
      <c r="J358" s="7">
        <f t="shared" ca="1" si="662"/>
        <v>0</v>
      </c>
      <c r="K358" s="7">
        <f t="shared" ca="1" si="662"/>
        <v>0</v>
      </c>
      <c r="L358" s="7">
        <f t="shared" ca="1" si="662"/>
        <v>0</v>
      </c>
      <c r="M358" s="7">
        <f t="shared" ca="1" si="662"/>
        <v>0</v>
      </c>
      <c r="N358" s="7">
        <f t="shared" ca="1" si="662"/>
        <v>0</v>
      </c>
      <c r="O358" s="7">
        <f t="shared" ca="1" si="662"/>
        <v>0</v>
      </c>
      <c r="P358" s="7">
        <f t="shared" ca="1" si="662"/>
        <v>0</v>
      </c>
      <c r="Q358" s="7">
        <f t="shared" ca="1" si="662"/>
        <v>0</v>
      </c>
      <c r="R358" s="7">
        <f t="shared" ca="1" si="662"/>
        <v>0</v>
      </c>
      <c r="S358" s="7">
        <f t="shared" ca="1" si="662"/>
        <v>0</v>
      </c>
      <c r="T358" s="7">
        <f t="shared" ca="1" si="662"/>
        <v>0</v>
      </c>
      <c r="U358" s="7">
        <f t="shared" ca="1" si="662"/>
        <v>0</v>
      </c>
      <c r="V358" s="7">
        <f t="shared" ca="1" si="662"/>
        <v>0</v>
      </c>
      <c r="W358" s="7">
        <f t="shared" ca="1" si="662"/>
        <v>0</v>
      </c>
      <c r="X358" s="7">
        <f t="shared" ca="1" si="662"/>
        <v>0</v>
      </c>
      <c r="Y358" s="7">
        <f t="shared" ca="1" si="662"/>
        <v>0</v>
      </c>
      <c r="Z358" s="7">
        <f t="shared" ca="1" si="662"/>
        <v>0</v>
      </c>
      <c r="AA358" s="7">
        <f t="shared" ca="1" si="662"/>
        <v>0</v>
      </c>
      <c r="AB358" s="7">
        <f t="shared" ca="1" si="662"/>
        <v>0</v>
      </c>
      <c r="AC358" s="7">
        <f t="shared" ca="1" si="662"/>
        <v>0</v>
      </c>
      <c r="AD358" s="7">
        <f t="shared" ca="1" si="662"/>
        <v>0</v>
      </c>
      <c r="AE358" s="7">
        <f t="shared" ca="1" si="662"/>
        <v>0</v>
      </c>
      <c r="AF358" s="7">
        <f t="shared" ca="1" si="662"/>
        <v>0</v>
      </c>
      <c r="AG358" s="7">
        <f t="shared" ca="1" si="662"/>
        <v>0</v>
      </c>
      <c r="AH358" s="7">
        <f t="shared" ca="1" si="662"/>
        <v>0</v>
      </c>
      <c r="AI358" s="7">
        <f t="shared" ca="1" si="662"/>
        <v>0</v>
      </c>
      <c r="AJ358" s="7">
        <f t="shared" ca="1" si="662"/>
        <v>0</v>
      </c>
      <c r="AK358" s="7">
        <f t="shared" ca="1" si="662"/>
        <v>0</v>
      </c>
      <c r="AL358" s="7">
        <f t="shared" ca="1" si="662"/>
        <v>0</v>
      </c>
      <c r="AM358" s="7">
        <f t="shared" ca="1" si="662"/>
        <v>0</v>
      </c>
    </row>
    <row r="359" spans="1:39" x14ac:dyDescent="0.2">
      <c r="A359" s="17" t="str">
        <f>TEXT(Inputs!$B$92,"")</f>
        <v>Car</v>
      </c>
      <c r="C359" s="7">
        <f t="shared" ref="C359:AM359" ca="1" si="663">C330</f>
        <v>-5311.4222222593407</v>
      </c>
      <c r="D359" s="7">
        <f t="shared" ca="1" si="663"/>
        <v>-4377.1171044025405</v>
      </c>
      <c r="E359" s="7">
        <f t="shared" ca="1" si="663"/>
        <v>-3423.9536397318734</v>
      </c>
      <c r="F359" s="7">
        <f t="shared" ca="1" si="663"/>
        <v>-2451.5511846676886</v>
      </c>
      <c r="G359" s="7">
        <f t="shared" ca="1" si="663"/>
        <v>-1459.5214125849197</v>
      </c>
      <c r="H359" s="7">
        <f t="shared" ca="1" si="663"/>
        <v>-447.46815873579635</v>
      </c>
      <c r="I359" s="7">
        <f t="shared" ca="1" si="663"/>
        <v>0</v>
      </c>
      <c r="J359" s="7">
        <f t="shared" ca="1" si="663"/>
        <v>0</v>
      </c>
      <c r="K359" s="7">
        <f t="shared" ca="1" si="663"/>
        <v>0</v>
      </c>
      <c r="L359" s="7">
        <f t="shared" ca="1" si="663"/>
        <v>0</v>
      </c>
      <c r="M359" s="7">
        <f t="shared" ca="1" si="663"/>
        <v>0</v>
      </c>
      <c r="N359" s="7">
        <f t="shared" ca="1" si="663"/>
        <v>0</v>
      </c>
      <c r="O359" s="7">
        <f t="shared" ca="1" si="663"/>
        <v>0</v>
      </c>
      <c r="P359" s="7">
        <f t="shared" ca="1" si="663"/>
        <v>0</v>
      </c>
      <c r="Q359" s="7">
        <f t="shared" ca="1" si="663"/>
        <v>0</v>
      </c>
      <c r="R359" s="7">
        <f t="shared" ca="1" si="663"/>
        <v>0</v>
      </c>
      <c r="S359" s="7">
        <f t="shared" ca="1" si="663"/>
        <v>0</v>
      </c>
      <c r="T359" s="7">
        <f t="shared" ca="1" si="663"/>
        <v>0</v>
      </c>
      <c r="U359" s="7">
        <f t="shared" ca="1" si="663"/>
        <v>0</v>
      </c>
      <c r="V359" s="7">
        <f t="shared" ca="1" si="663"/>
        <v>0</v>
      </c>
      <c r="W359" s="7">
        <f t="shared" ca="1" si="663"/>
        <v>0</v>
      </c>
      <c r="X359" s="7">
        <f t="shared" ca="1" si="663"/>
        <v>0</v>
      </c>
      <c r="Y359" s="7">
        <f t="shared" ca="1" si="663"/>
        <v>0</v>
      </c>
      <c r="Z359" s="7">
        <f t="shared" ca="1" si="663"/>
        <v>0</v>
      </c>
      <c r="AA359" s="7">
        <f t="shared" ca="1" si="663"/>
        <v>0</v>
      </c>
      <c r="AB359" s="7">
        <f t="shared" ca="1" si="663"/>
        <v>0</v>
      </c>
      <c r="AC359" s="7">
        <f t="shared" ca="1" si="663"/>
        <v>0</v>
      </c>
      <c r="AD359" s="7">
        <f t="shared" ca="1" si="663"/>
        <v>0</v>
      </c>
      <c r="AE359" s="7">
        <f t="shared" ca="1" si="663"/>
        <v>0</v>
      </c>
      <c r="AF359" s="7">
        <f t="shared" ca="1" si="663"/>
        <v>0</v>
      </c>
      <c r="AG359" s="7">
        <f t="shared" ca="1" si="663"/>
        <v>0</v>
      </c>
      <c r="AH359" s="7">
        <f t="shared" ca="1" si="663"/>
        <v>0</v>
      </c>
      <c r="AI359" s="7">
        <f t="shared" ca="1" si="663"/>
        <v>0</v>
      </c>
      <c r="AJ359" s="7">
        <f t="shared" ca="1" si="663"/>
        <v>0</v>
      </c>
      <c r="AK359" s="7">
        <f t="shared" ca="1" si="663"/>
        <v>0</v>
      </c>
      <c r="AL359" s="7">
        <f t="shared" ca="1" si="663"/>
        <v>0</v>
      </c>
      <c r="AM359" s="7">
        <f t="shared" ca="1" si="663"/>
        <v>0</v>
      </c>
    </row>
    <row r="360" spans="1:39" x14ac:dyDescent="0.2">
      <c r="A360" s="17" t="str">
        <f>TEXT(Inputs!$B$97,"")</f>
        <v>Painting</v>
      </c>
      <c r="C360" s="7">
        <f t="shared" ref="C360:AM360" ca="1" si="664">C331</f>
        <v>-6642.0499231875183</v>
      </c>
      <c r="D360" s="7">
        <f t="shared" ca="1" si="664"/>
        <v>-5447.0128666310102</v>
      </c>
      <c r="E360" s="7">
        <f t="shared" ca="1" si="664"/>
        <v>-4190.8354462220714</v>
      </c>
      <c r="F360" s="7">
        <f t="shared" ca="1" si="664"/>
        <v>-2870.389604908838</v>
      </c>
      <c r="G360" s="7">
        <f t="shared" ca="1" si="664"/>
        <v>-1482.3872483039713</v>
      </c>
      <c r="H360" s="7">
        <f t="shared" ca="1" si="664"/>
        <v>-23.372056870879533</v>
      </c>
      <c r="I360" s="7">
        <f t="shared" ca="1" si="664"/>
        <v>0</v>
      </c>
      <c r="J360" s="7">
        <f t="shared" ca="1" si="664"/>
        <v>0</v>
      </c>
      <c r="K360" s="7">
        <f t="shared" ca="1" si="664"/>
        <v>0</v>
      </c>
      <c r="L360" s="7">
        <f t="shared" ca="1" si="664"/>
        <v>0</v>
      </c>
      <c r="M360" s="7">
        <f t="shared" ca="1" si="664"/>
        <v>0</v>
      </c>
      <c r="N360" s="7">
        <f t="shared" ca="1" si="664"/>
        <v>0</v>
      </c>
      <c r="O360" s="7">
        <f t="shared" ca="1" si="664"/>
        <v>0</v>
      </c>
      <c r="P360" s="7">
        <f t="shared" ca="1" si="664"/>
        <v>0</v>
      </c>
      <c r="Q360" s="7">
        <f t="shared" ca="1" si="664"/>
        <v>0</v>
      </c>
      <c r="R360" s="7">
        <f t="shared" ca="1" si="664"/>
        <v>0</v>
      </c>
      <c r="S360" s="7">
        <f t="shared" ca="1" si="664"/>
        <v>0</v>
      </c>
      <c r="T360" s="7">
        <f t="shared" ca="1" si="664"/>
        <v>0</v>
      </c>
      <c r="U360" s="7">
        <f t="shared" ca="1" si="664"/>
        <v>0</v>
      </c>
      <c r="V360" s="7">
        <f t="shared" ca="1" si="664"/>
        <v>0</v>
      </c>
      <c r="W360" s="7">
        <f t="shared" ca="1" si="664"/>
        <v>0</v>
      </c>
      <c r="X360" s="7">
        <f t="shared" ca="1" si="664"/>
        <v>0</v>
      </c>
      <c r="Y360" s="7">
        <f t="shared" ca="1" si="664"/>
        <v>0</v>
      </c>
      <c r="Z360" s="7">
        <f t="shared" ca="1" si="664"/>
        <v>0</v>
      </c>
      <c r="AA360" s="7">
        <f t="shared" ca="1" si="664"/>
        <v>0</v>
      </c>
      <c r="AB360" s="7">
        <f t="shared" ca="1" si="664"/>
        <v>0</v>
      </c>
      <c r="AC360" s="7">
        <f t="shared" ca="1" si="664"/>
        <v>0</v>
      </c>
      <c r="AD360" s="7">
        <f t="shared" ca="1" si="664"/>
        <v>0</v>
      </c>
      <c r="AE360" s="7">
        <f t="shared" ca="1" si="664"/>
        <v>0</v>
      </c>
      <c r="AF360" s="7">
        <f t="shared" ca="1" si="664"/>
        <v>0</v>
      </c>
      <c r="AG360" s="7">
        <f t="shared" ca="1" si="664"/>
        <v>0</v>
      </c>
      <c r="AH360" s="7">
        <f t="shared" ca="1" si="664"/>
        <v>0</v>
      </c>
      <c r="AI360" s="7">
        <f t="shared" ca="1" si="664"/>
        <v>0</v>
      </c>
      <c r="AJ360" s="7">
        <f t="shared" ca="1" si="664"/>
        <v>0</v>
      </c>
      <c r="AK360" s="7">
        <f t="shared" ca="1" si="664"/>
        <v>0</v>
      </c>
      <c r="AL360" s="7">
        <f t="shared" ca="1" si="664"/>
        <v>0</v>
      </c>
      <c r="AM360" s="7">
        <f t="shared" ca="1" si="664"/>
        <v>0</v>
      </c>
    </row>
    <row r="361" spans="1:39" x14ac:dyDescent="0.2">
      <c r="A361" s="17" t="str">
        <f>TEXT(Inputs!$B$102,"")</f>
        <v>Boat</v>
      </c>
      <c r="C361" s="7">
        <f t="shared" ref="C361:AM361" ca="1" si="665">C332</f>
        <v>-36106.782888498572</v>
      </c>
      <c r="D361" s="7">
        <f t="shared" ca="1" si="665"/>
        <v>-30636.379329838361</v>
      </c>
      <c r="E361" s="7">
        <f t="shared" ca="1" si="665"/>
        <v>-24828.573249664209</v>
      </c>
      <c r="F361" s="7">
        <f t="shared" ca="1" si="665"/>
        <v>-18662.55439873159</v>
      </c>
      <c r="G361" s="7">
        <f t="shared" ca="1" si="665"/>
        <v>-12116.228997158192</v>
      </c>
      <c r="H361" s="7">
        <f t="shared" ca="1" si="665"/>
        <v>-5166.1405690627944</v>
      </c>
      <c r="I361" s="7">
        <f t="shared" ca="1" si="665"/>
        <v>0</v>
      </c>
      <c r="J361" s="7">
        <f t="shared" ca="1" si="665"/>
        <v>0</v>
      </c>
      <c r="K361" s="7">
        <f t="shared" ca="1" si="665"/>
        <v>0</v>
      </c>
      <c r="L361" s="7">
        <f t="shared" ca="1" si="665"/>
        <v>0</v>
      </c>
      <c r="M361" s="7">
        <f t="shared" ca="1" si="665"/>
        <v>0</v>
      </c>
      <c r="N361" s="7">
        <f t="shared" ca="1" si="665"/>
        <v>0</v>
      </c>
      <c r="O361" s="7">
        <f t="shared" ca="1" si="665"/>
        <v>0</v>
      </c>
      <c r="P361" s="7">
        <f t="shared" ca="1" si="665"/>
        <v>0</v>
      </c>
      <c r="Q361" s="7">
        <f t="shared" ca="1" si="665"/>
        <v>0</v>
      </c>
      <c r="R361" s="7">
        <f t="shared" ca="1" si="665"/>
        <v>0</v>
      </c>
      <c r="S361" s="7">
        <f t="shared" ca="1" si="665"/>
        <v>0</v>
      </c>
      <c r="T361" s="7">
        <f t="shared" ca="1" si="665"/>
        <v>0</v>
      </c>
      <c r="U361" s="7">
        <f t="shared" ca="1" si="665"/>
        <v>0</v>
      </c>
      <c r="V361" s="7">
        <f t="shared" ca="1" si="665"/>
        <v>0</v>
      </c>
      <c r="W361" s="7">
        <f t="shared" ca="1" si="665"/>
        <v>0</v>
      </c>
      <c r="X361" s="7">
        <f t="shared" ca="1" si="665"/>
        <v>0</v>
      </c>
      <c r="Y361" s="7">
        <f t="shared" ca="1" si="665"/>
        <v>0</v>
      </c>
      <c r="Z361" s="7">
        <f t="shared" ca="1" si="665"/>
        <v>0</v>
      </c>
      <c r="AA361" s="7">
        <f t="shared" ca="1" si="665"/>
        <v>0</v>
      </c>
      <c r="AB361" s="7">
        <f t="shared" ca="1" si="665"/>
        <v>0</v>
      </c>
      <c r="AC361" s="7">
        <f t="shared" ca="1" si="665"/>
        <v>0</v>
      </c>
      <c r="AD361" s="7">
        <f t="shared" ca="1" si="665"/>
        <v>0</v>
      </c>
      <c r="AE361" s="7">
        <f t="shared" ca="1" si="665"/>
        <v>0</v>
      </c>
      <c r="AF361" s="7">
        <f t="shared" ca="1" si="665"/>
        <v>0</v>
      </c>
      <c r="AG361" s="7">
        <f t="shared" ca="1" si="665"/>
        <v>0</v>
      </c>
      <c r="AH361" s="7">
        <f t="shared" ca="1" si="665"/>
        <v>0</v>
      </c>
      <c r="AI361" s="7">
        <f t="shared" ca="1" si="665"/>
        <v>0</v>
      </c>
      <c r="AJ361" s="7">
        <f t="shared" ca="1" si="665"/>
        <v>0</v>
      </c>
      <c r="AK361" s="7">
        <f t="shared" ca="1" si="665"/>
        <v>0</v>
      </c>
      <c r="AL361" s="7">
        <f t="shared" ca="1" si="665"/>
        <v>0</v>
      </c>
      <c r="AM361" s="7">
        <f t="shared" ca="1" si="665"/>
        <v>0</v>
      </c>
    </row>
    <row r="362" spans="1:39" x14ac:dyDescent="0.2">
      <c r="A362" s="17" t="str">
        <f>TEXT(Inputs!$B$107,"")</f>
        <v>Antiques</v>
      </c>
      <c r="C362" s="7">
        <f t="shared" ref="C362:AM362" ca="1" si="666">C333</f>
        <v>-2886.4020391451668</v>
      </c>
      <c r="D362" s="7">
        <f t="shared" ca="1" si="666"/>
        <v>-1635.892615008569</v>
      </c>
      <c r="E362" s="7">
        <f t="shared" ca="1" si="666"/>
        <v>-347.34775010749127</v>
      </c>
      <c r="F362" s="7">
        <f t="shared" ca="1" si="666"/>
        <v>0</v>
      </c>
      <c r="G362" s="7">
        <f t="shared" ca="1" si="666"/>
        <v>0</v>
      </c>
      <c r="H362" s="7">
        <f t="shared" ca="1" si="666"/>
        <v>0</v>
      </c>
      <c r="I362" s="7">
        <f t="shared" ca="1" si="666"/>
        <v>0</v>
      </c>
      <c r="J362" s="7">
        <f t="shared" ca="1" si="666"/>
        <v>0</v>
      </c>
      <c r="K362" s="7">
        <f t="shared" ca="1" si="666"/>
        <v>0</v>
      </c>
      <c r="L362" s="7">
        <f t="shared" ca="1" si="666"/>
        <v>0</v>
      </c>
      <c r="M362" s="7">
        <f t="shared" ca="1" si="666"/>
        <v>0</v>
      </c>
      <c r="N362" s="7">
        <f t="shared" ca="1" si="666"/>
        <v>0</v>
      </c>
      <c r="O362" s="7">
        <f t="shared" ca="1" si="666"/>
        <v>0</v>
      </c>
      <c r="P362" s="7">
        <f t="shared" ca="1" si="666"/>
        <v>0</v>
      </c>
      <c r="Q362" s="7">
        <f t="shared" ca="1" si="666"/>
        <v>0</v>
      </c>
      <c r="R362" s="7">
        <f t="shared" ca="1" si="666"/>
        <v>0</v>
      </c>
      <c r="S362" s="7">
        <f t="shared" ca="1" si="666"/>
        <v>0</v>
      </c>
      <c r="T362" s="7">
        <f t="shared" ca="1" si="666"/>
        <v>0</v>
      </c>
      <c r="U362" s="7">
        <f t="shared" ca="1" si="666"/>
        <v>0</v>
      </c>
      <c r="V362" s="7">
        <f t="shared" ca="1" si="666"/>
        <v>0</v>
      </c>
      <c r="W362" s="7">
        <f t="shared" ca="1" si="666"/>
        <v>0</v>
      </c>
      <c r="X362" s="7">
        <f t="shared" ca="1" si="666"/>
        <v>0</v>
      </c>
      <c r="Y362" s="7">
        <f t="shared" ca="1" si="666"/>
        <v>0</v>
      </c>
      <c r="Z362" s="7">
        <f t="shared" ca="1" si="666"/>
        <v>0</v>
      </c>
      <c r="AA362" s="7">
        <f t="shared" ca="1" si="666"/>
        <v>0</v>
      </c>
      <c r="AB362" s="7">
        <f t="shared" ca="1" si="666"/>
        <v>0</v>
      </c>
      <c r="AC362" s="7">
        <f t="shared" ca="1" si="666"/>
        <v>0</v>
      </c>
      <c r="AD362" s="7">
        <f t="shared" ca="1" si="666"/>
        <v>0</v>
      </c>
      <c r="AE362" s="7">
        <f t="shared" ca="1" si="666"/>
        <v>0</v>
      </c>
      <c r="AF362" s="7">
        <f t="shared" ca="1" si="666"/>
        <v>0</v>
      </c>
      <c r="AG362" s="7">
        <f t="shared" ca="1" si="666"/>
        <v>0</v>
      </c>
      <c r="AH362" s="7">
        <f t="shared" ca="1" si="666"/>
        <v>0</v>
      </c>
      <c r="AI362" s="7">
        <f t="shared" ca="1" si="666"/>
        <v>0</v>
      </c>
      <c r="AJ362" s="7">
        <f t="shared" ca="1" si="666"/>
        <v>0</v>
      </c>
      <c r="AK362" s="7">
        <f t="shared" ca="1" si="666"/>
        <v>0</v>
      </c>
      <c r="AL362" s="7">
        <f t="shared" ca="1" si="666"/>
        <v>0</v>
      </c>
      <c r="AM362" s="7">
        <f t="shared" ca="1" si="666"/>
        <v>0</v>
      </c>
    </row>
    <row r="363" spans="1:39" x14ac:dyDescent="0.2">
      <c r="A363" s="16" t="str">
        <f>A95</f>
        <v>Other loan</v>
      </c>
      <c r="C363" s="7">
        <f t="shared" ref="C363:AM363" ca="1" si="667">C95</f>
        <v>-3724.5365251296162</v>
      </c>
      <c r="D363" s="7">
        <f t="shared" ca="1" si="667"/>
        <v>-3337.4796695640352</v>
      </c>
      <c r="E363" s="7">
        <f t="shared" ca="1" si="667"/>
        <v>-2926.5499940800146</v>
      </c>
      <c r="F363" s="7">
        <f t="shared" ca="1" si="667"/>
        <v>-2490.2750753819519</v>
      </c>
      <c r="G363" s="7">
        <f t="shared" ca="1" si="667"/>
        <v>-2027.0916743272305</v>
      </c>
      <c r="H363" s="7">
        <f t="shared" ca="1" si="667"/>
        <v>-1535.3401346034998</v>
      </c>
      <c r="I363" s="7">
        <f t="shared" ca="1" si="667"/>
        <v>-1013.2584359286093</v>
      </c>
      <c r="J363" s="7">
        <f t="shared" ca="1" si="667"/>
        <v>-458.97588046495366</v>
      </c>
      <c r="K363" s="7">
        <f t="shared" ca="1" si="667"/>
        <v>0</v>
      </c>
      <c r="L363" s="7">
        <f t="shared" ca="1" si="667"/>
        <v>0</v>
      </c>
      <c r="M363" s="7">
        <f t="shared" ca="1" si="667"/>
        <v>0</v>
      </c>
      <c r="N363" s="7">
        <f t="shared" ca="1" si="667"/>
        <v>0</v>
      </c>
      <c r="O363" s="7">
        <f t="shared" ca="1" si="667"/>
        <v>0</v>
      </c>
      <c r="P363" s="7">
        <f t="shared" ca="1" si="667"/>
        <v>0</v>
      </c>
      <c r="Q363" s="7">
        <f t="shared" ca="1" si="667"/>
        <v>0</v>
      </c>
      <c r="R363" s="7">
        <f t="shared" ca="1" si="667"/>
        <v>0</v>
      </c>
      <c r="S363" s="7">
        <f t="shared" ca="1" si="667"/>
        <v>0</v>
      </c>
      <c r="T363" s="7">
        <f t="shared" ca="1" si="667"/>
        <v>0</v>
      </c>
      <c r="U363" s="7">
        <f t="shared" ca="1" si="667"/>
        <v>0</v>
      </c>
      <c r="V363" s="7">
        <f t="shared" ca="1" si="667"/>
        <v>0</v>
      </c>
      <c r="W363" s="7">
        <f t="shared" ca="1" si="667"/>
        <v>0</v>
      </c>
      <c r="X363" s="7">
        <f t="shared" ca="1" si="667"/>
        <v>0</v>
      </c>
      <c r="Y363" s="7">
        <f t="shared" ca="1" si="667"/>
        <v>0</v>
      </c>
      <c r="Z363" s="7">
        <f t="shared" ca="1" si="667"/>
        <v>0</v>
      </c>
      <c r="AA363" s="7">
        <f t="shared" ca="1" si="667"/>
        <v>0</v>
      </c>
      <c r="AB363" s="7">
        <f t="shared" ca="1" si="667"/>
        <v>0</v>
      </c>
      <c r="AC363" s="7">
        <f t="shared" ca="1" si="667"/>
        <v>0</v>
      </c>
      <c r="AD363" s="7">
        <f t="shared" ca="1" si="667"/>
        <v>0</v>
      </c>
      <c r="AE363" s="7">
        <f t="shared" ca="1" si="667"/>
        <v>0</v>
      </c>
      <c r="AF363" s="7">
        <f t="shared" ca="1" si="667"/>
        <v>0</v>
      </c>
      <c r="AG363" s="7">
        <f t="shared" ca="1" si="667"/>
        <v>0</v>
      </c>
      <c r="AH363" s="7">
        <f t="shared" ca="1" si="667"/>
        <v>0</v>
      </c>
      <c r="AI363" s="7">
        <f t="shared" ca="1" si="667"/>
        <v>0</v>
      </c>
      <c r="AJ363" s="7">
        <f t="shared" ca="1" si="667"/>
        <v>0</v>
      </c>
      <c r="AK363" s="7">
        <f t="shared" ca="1" si="667"/>
        <v>0</v>
      </c>
      <c r="AL363" s="7">
        <f t="shared" ca="1" si="667"/>
        <v>0</v>
      </c>
      <c r="AM363" s="7">
        <f t="shared" ca="1" si="667"/>
        <v>0</v>
      </c>
    </row>
    <row r="364" spans="1:39" x14ac:dyDescent="0.2">
      <c r="A364" s="4"/>
      <c r="C364" s="9">
        <f t="shared" ref="C364:AM364" ca="1" si="668">SUM(C335:C363)</f>
        <v>1680400.325439143</v>
      </c>
      <c r="D364" s="9">
        <f t="shared" ca="1" si="668"/>
        <v>1747961.4855591119</v>
      </c>
      <c r="E364" s="9">
        <f t="shared" ca="1" si="668"/>
        <v>1834109.2861859414</v>
      </c>
      <c r="F364" s="9">
        <f t="shared" ca="1" si="668"/>
        <v>1900859.5801157367</v>
      </c>
      <c r="G364" s="9">
        <f t="shared" ca="1" si="668"/>
        <v>1915703.0016828571</v>
      </c>
      <c r="H364" s="9">
        <f t="shared" ca="1" si="668"/>
        <v>2018641.5527046167</v>
      </c>
      <c r="I364" s="9">
        <f t="shared" ca="1" si="668"/>
        <v>2125722.2480282397</v>
      </c>
      <c r="J364" s="9">
        <f t="shared" ca="1" si="668"/>
        <v>2243536.3984099082</v>
      </c>
      <c r="K364" s="9">
        <f t="shared" ca="1" si="668"/>
        <v>2349154.2220906215</v>
      </c>
      <c r="L364" s="9">
        <f t="shared" ca="1" si="668"/>
        <v>2542568.8210759074</v>
      </c>
      <c r="M364" s="9">
        <f t="shared" ca="1" si="668"/>
        <v>2644877.902821287</v>
      </c>
      <c r="N364" s="9">
        <f t="shared" ca="1" si="668"/>
        <v>2795947.1735664173</v>
      </c>
      <c r="O364" s="9">
        <f t="shared" ca="1" si="668"/>
        <v>2959232.1440829551</v>
      </c>
      <c r="P364" s="9">
        <f t="shared" ca="1" si="668"/>
        <v>3130458.2153807851</v>
      </c>
      <c r="Q364" s="9">
        <f t="shared" ca="1" si="668"/>
        <v>3309911.8905340084</v>
      </c>
      <c r="R364" s="9">
        <f t="shared" ca="1" si="668"/>
        <v>3500132.0156832649</v>
      </c>
      <c r="S364" s="9">
        <f t="shared" ca="1" si="668"/>
        <v>3699430.9356326722</v>
      </c>
      <c r="T364" s="9">
        <f t="shared" ca="1" si="668"/>
        <v>3798922.392725619</v>
      </c>
      <c r="U364" s="9">
        <f t="shared" ca="1" si="668"/>
        <v>3909960.5150928115</v>
      </c>
      <c r="V364" s="9">
        <f t="shared" ca="1" si="668"/>
        <v>4009864.8846653295</v>
      </c>
      <c r="W364" s="9">
        <f t="shared" ca="1" si="668"/>
        <v>4129311.5744270044</v>
      </c>
      <c r="X364" s="9">
        <f t="shared" ca="1" si="668"/>
        <v>4253317.8124754196</v>
      </c>
      <c r="Y364" s="9">
        <f t="shared" ca="1" si="668"/>
        <v>4359708.7841870077</v>
      </c>
      <c r="Z364" s="9">
        <f t="shared" ca="1" si="668"/>
        <v>4469705.6778883049</v>
      </c>
      <c r="AA364" s="9">
        <f t="shared" ca="1" si="668"/>
        <v>4558725.209995239</v>
      </c>
      <c r="AB364" s="9">
        <f t="shared" ca="1" si="668"/>
        <v>4673147.5974380272</v>
      </c>
      <c r="AC364" s="9">
        <f t="shared" ca="1" si="668"/>
        <v>4791232.4685061928</v>
      </c>
      <c r="AD364" s="9">
        <f t="shared" ca="1" si="668"/>
        <v>4913088.5505327629</v>
      </c>
      <c r="AE364" s="9">
        <f t="shared" ca="1" si="668"/>
        <v>5048936.3489043377</v>
      </c>
      <c r="AF364" s="9">
        <f t="shared" ca="1" si="668"/>
        <v>5189291.8756136885</v>
      </c>
      <c r="AG364" s="9">
        <f t="shared" ca="1" si="668"/>
        <v>5334296.7835474089</v>
      </c>
      <c r="AH364" s="9">
        <f t="shared" ca="1" si="668"/>
        <v>5485726.0678639691</v>
      </c>
      <c r="AI364" s="9">
        <f t="shared" ca="1" si="668"/>
        <v>5642326.7692680834</v>
      </c>
      <c r="AJ364" s="9">
        <f t="shared" ca="1" si="668"/>
        <v>5804280.702188151</v>
      </c>
      <c r="AK364" s="9">
        <f t="shared" ca="1" si="668"/>
        <v>5971777.9276523953</v>
      </c>
      <c r="AL364" s="9">
        <f t="shared" ca="1" si="668"/>
        <v>6145017.1389031913</v>
      </c>
      <c r="AM364" s="9">
        <f t="shared" ca="1" si="668"/>
        <v>6324206.0716146193</v>
      </c>
    </row>
    <row r="365" spans="1:39" x14ac:dyDescent="0.2"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</row>
    <row r="366" spans="1:39" ht="19" x14ac:dyDescent="0.25">
      <c r="A366" s="25" t="s">
        <v>71</v>
      </c>
      <c r="B366" s="26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</row>
    <row r="367" spans="1:39" x14ac:dyDescent="0.2"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</row>
    <row r="368" spans="1:39" x14ac:dyDescent="0.2">
      <c r="A368" s="15" t="s">
        <v>60</v>
      </c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</row>
    <row r="369" spans="1:39" x14ac:dyDescent="0.2">
      <c r="A369" s="3" t="s">
        <v>8</v>
      </c>
      <c r="C369" s="7">
        <f t="shared" ref="C369:AM369" ca="1" si="669">C68</f>
        <v>66108.4375</v>
      </c>
      <c r="D369" s="7">
        <f t="shared" ca="1" si="669"/>
        <v>80012.145312499997</v>
      </c>
      <c r="E369" s="7">
        <f t="shared" ca="1" si="669"/>
        <v>100169.6494140625</v>
      </c>
      <c r="F369" s="7">
        <f t="shared" ca="1" si="669"/>
        <v>102227.78380184111</v>
      </c>
      <c r="G369" s="7">
        <f t="shared" ca="1" si="669"/>
        <v>300455.15989583102</v>
      </c>
      <c r="H369" s="7">
        <f t="shared" ca="1" si="669"/>
        <v>346986.84009098983</v>
      </c>
      <c r="I369" s="7">
        <f t="shared" ca="1" si="669"/>
        <v>413754.64435619779</v>
      </c>
      <c r="J369" s="7">
        <f t="shared" ca="1" si="669"/>
        <v>485067.93012454931</v>
      </c>
      <c r="K369" s="7">
        <f t="shared" ca="1" si="669"/>
        <v>543116.96835998015</v>
      </c>
      <c r="L369" s="7">
        <f t="shared" ca="1" si="669"/>
        <v>688212.2751736166</v>
      </c>
      <c r="M369" s="7">
        <f t="shared" ca="1" si="669"/>
        <v>745163.71186735749</v>
      </c>
      <c r="N369" s="7">
        <f t="shared" ca="1" si="669"/>
        <v>855771.16934020713</v>
      </c>
      <c r="O369" s="7">
        <f t="shared" ca="1" si="669"/>
        <v>972222.00124800857</v>
      </c>
      <c r="P369" s="7">
        <f t="shared" ca="1" si="669"/>
        <v>1094762.6085180258</v>
      </c>
      <c r="Q369" s="7">
        <f t="shared" ca="1" si="669"/>
        <v>1223648.7608708572</v>
      </c>
      <c r="R369" s="7">
        <f t="shared" ca="1" si="669"/>
        <v>1359145.9322852024</v>
      </c>
      <c r="S369" s="7">
        <f t="shared" ca="1" si="669"/>
        <v>1501529.6480111426</v>
      </c>
      <c r="T369" s="7">
        <f t="shared" ca="1" si="669"/>
        <v>1541855.4011356728</v>
      </c>
      <c r="U369" s="7">
        <f t="shared" ca="1" si="669"/>
        <v>1591415.1978627439</v>
      </c>
      <c r="V369" s="7">
        <f t="shared" ca="1" si="669"/>
        <v>1642757.5777099284</v>
      </c>
      <c r="W369" s="7">
        <f t="shared" ca="1" si="669"/>
        <v>1695948.7425475621</v>
      </c>
      <c r="X369" s="7">
        <f t="shared" ca="1" si="669"/>
        <v>1751057.3316526653</v>
      </c>
      <c r="Y369" s="7">
        <f t="shared" ca="1" si="669"/>
        <v>1787237.4169653396</v>
      </c>
      <c r="Z369" s="7">
        <f t="shared" ca="1" si="669"/>
        <v>1824434.0167242812</v>
      </c>
      <c r="AA369" s="7">
        <f t="shared" ca="1" si="669"/>
        <v>1862684.4017288706</v>
      </c>
      <c r="AB369" s="7">
        <f t="shared" ca="1" si="669"/>
        <v>1902027.3427258399</v>
      </c>
      <c r="AC369" s="7">
        <f t="shared" ca="1" si="669"/>
        <v>1942503.1702642585</v>
      </c>
      <c r="AD369" s="7">
        <f t="shared" ca="1" si="669"/>
        <v>1984153.8368503558</v>
      </c>
      <c r="AE369" s="7">
        <f t="shared" ca="1" si="669"/>
        <v>2037130.2375195618</v>
      </c>
      <c r="AF369" s="7">
        <f t="shared" ca="1" si="669"/>
        <v>2091875.8715530399</v>
      </c>
      <c r="AG369" s="7">
        <f t="shared" ca="1" si="669"/>
        <v>2148456.905652951</v>
      </c>
      <c r="AH369" s="7">
        <f t="shared" ca="1" si="669"/>
        <v>2206942.0335442415</v>
      </c>
      <c r="AI369" s="7">
        <f t="shared" ca="1" si="669"/>
        <v>2267402.5707053514</v>
      </c>
      <c r="AJ369" s="7">
        <f t="shared" ca="1" si="669"/>
        <v>2329912.5525480784</v>
      </c>
      <c r="AK369" s="7">
        <f t="shared" ca="1" si="669"/>
        <v>2394548.8361686133</v>
      </c>
      <c r="AL369" s="7">
        <f t="shared" ca="1" si="669"/>
        <v>2461391.2057959661</v>
      </c>
      <c r="AM369" s="7">
        <f t="shared" ca="1" si="669"/>
        <v>2530522.4820683482</v>
      </c>
    </row>
    <row r="370" spans="1:39" x14ac:dyDescent="0.2">
      <c r="A370" s="3" t="s">
        <v>27</v>
      </c>
      <c r="C370" s="7">
        <f t="shared" ref="C370:AM370" ca="1" si="670">C96</f>
        <v>1680400.325439143</v>
      </c>
      <c r="D370" s="7">
        <f t="shared" ca="1" si="670"/>
        <v>1747961.4855591119</v>
      </c>
      <c r="E370" s="7">
        <f t="shared" ca="1" si="670"/>
        <v>1834109.2861859414</v>
      </c>
      <c r="F370" s="7">
        <f t="shared" ca="1" si="670"/>
        <v>1900859.5801157367</v>
      </c>
      <c r="G370" s="7">
        <f t="shared" ca="1" si="670"/>
        <v>1915703.0016828571</v>
      </c>
      <c r="H370" s="7">
        <f t="shared" ca="1" si="670"/>
        <v>2018641.5527046167</v>
      </c>
      <c r="I370" s="7">
        <f t="shared" ca="1" si="670"/>
        <v>2125722.2480282397</v>
      </c>
      <c r="J370" s="7">
        <f t="shared" ca="1" si="670"/>
        <v>2243536.3984099082</v>
      </c>
      <c r="K370" s="7">
        <f t="shared" ca="1" si="670"/>
        <v>2349154.2220906215</v>
      </c>
      <c r="L370" s="7">
        <f t="shared" ca="1" si="670"/>
        <v>2542568.8210759074</v>
      </c>
      <c r="M370" s="7">
        <f t="shared" ca="1" si="670"/>
        <v>2644877.902821287</v>
      </c>
      <c r="N370" s="7">
        <f t="shared" ca="1" si="670"/>
        <v>2795947.1735664173</v>
      </c>
      <c r="O370" s="7">
        <f t="shared" ca="1" si="670"/>
        <v>2959232.1440829551</v>
      </c>
      <c r="P370" s="7">
        <f t="shared" ca="1" si="670"/>
        <v>3130458.2153807851</v>
      </c>
      <c r="Q370" s="7">
        <f t="shared" ca="1" si="670"/>
        <v>3309911.8905340084</v>
      </c>
      <c r="R370" s="7">
        <f t="shared" ca="1" si="670"/>
        <v>3500132.0156832649</v>
      </c>
      <c r="S370" s="7">
        <f t="shared" ca="1" si="670"/>
        <v>3699430.9356326726</v>
      </c>
      <c r="T370" s="7">
        <f t="shared" ca="1" si="670"/>
        <v>3798922.392725619</v>
      </c>
      <c r="U370" s="7">
        <f t="shared" ca="1" si="670"/>
        <v>3909960.5150928115</v>
      </c>
      <c r="V370" s="7">
        <f t="shared" ca="1" si="670"/>
        <v>4009864.8846653295</v>
      </c>
      <c r="W370" s="7">
        <f t="shared" ca="1" si="670"/>
        <v>4129311.5744270044</v>
      </c>
      <c r="X370" s="7">
        <f t="shared" ca="1" si="670"/>
        <v>4253317.8124754196</v>
      </c>
      <c r="Y370" s="7">
        <f t="shared" ca="1" si="670"/>
        <v>4359708.7841870077</v>
      </c>
      <c r="Z370" s="7">
        <f t="shared" ca="1" si="670"/>
        <v>4469705.6778883049</v>
      </c>
      <c r="AA370" s="7">
        <f t="shared" ca="1" si="670"/>
        <v>4558725.209995239</v>
      </c>
      <c r="AB370" s="7">
        <f t="shared" ca="1" si="670"/>
        <v>4673147.5974380272</v>
      </c>
      <c r="AC370" s="7">
        <f t="shared" ca="1" si="670"/>
        <v>4791232.4685061928</v>
      </c>
      <c r="AD370" s="7">
        <f t="shared" ca="1" si="670"/>
        <v>4913088.5505327629</v>
      </c>
      <c r="AE370" s="7">
        <f t="shared" ca="1" si="670"/>
        <v>5048936.3489043377</v>
      </c>
      <c r="AF370" s="7">
        <f t="shared" ca="1" si="670"/>
        <v>5189291.8756136885</v>
      </c>
      <c r="AG370" s="7">
        <f t="shared" ca="1" si="670"/>
        <v>5334296.7835474089</v>
      </c>
      <c r="AH370" s="7">
        <f t="shared" ca="1" si="670"/>
        <v>5485726.0678639691</v>
      </c>
      <c r="AI370" s="7">
        <f t="shared" ca="1" si="670"/>
        <v>5642326.7692680834</v>
      </c>
      <c r="AJ370" s="7">
        <f t="shared" ca="1" si="670"/>
        <v>5804280.702188151</v>
      </c>
      <c r="AK370" s="7">
        <f t="shared" ca="1" si="670"/>
        <v>5971777.9276523963</v>
      </c>
      <c r="AL370" s="7">
        <f t="shared" ca="1" si="670"/>
        <v>6145017.1389031913</v>
      </c>
      <c r="AM370" s="7">
        <f t="shared" ca="1" si="670"/>
        <v>6324206.0716146193</v>
      </c>
    </row>
    <row r="371" spans="1:39" x14ac:dyDescent="0.2">
      <c r="A371" s="3"/>
      <c r="C371" s="10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</row>
    <row r="372" spans="1:39" x14ac:dyDescent="0.2">
      <c r="A372" s="15" t="s">
        <v>61</v>
      </c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</row>
    <row r="373" spans="1:39" x14ac:dyDescent="0.2">
      <c r="A373" s="3" t="s">
        <v>8</v>
      </c>
      <c r="C373" s="7">
        <f t="shared" ref="C373:AM373" ca="1" si="671">C336</f>
        <v>66108.4375</v>
      </c>
      <c r="D373" s="7">
        <f t="shared" ca="1" si="671"/>
        <v>80012.145312499997</v>
      </c>
      <c r="E373" s="7">
        <f t="shared" ca="1" si="671"/>
        <v>100169.6494140625</v>
      </c>
      <c r="F373" s="7">
        <f t="shared" ca="1" si="671"/>
        <v>102227.78380184111</v>
      </c>
      <c r="G373" s="7">
        <f t="shared" ca="1" si="671"/>
        <v>300455.15989583102</v>
      </c>
      <c r="H373" s="7">
        <f t="shared" ca="1" si="671"/>
        <v>346986.84009098983</v>
      </c>
      <c r="I373" s="7">
        <f t="shared" ca="1" si="671"/>
        <v>413754.64435619779</v>
      </c>
      <c r="J373" s="7">
        <f t="shared" ca="1" si="671"/>
        <v>485067.93012454931</v>
      </c>
      <c r="K373" s="7">
        <f t="shared" ca="1" si="671"/>
        <v>543116.96835998015</v>
      </c>
      <c r="L373" s="7">
        <f t="shared" ca="1" si="671"/>
        <v>688212.2751736166</v>
      </c>
      <c r="M373" s="7">
        <f t="shared" ca="1" si="671"/>
        <v>745163.71186735749</v>
      </c>
      <c r="N373" s="7">
        <f t="shared" ca="1" si="671"/>
        <v>855771.16934020713</v>
      </c>
      <c r="O373" s="7">
        <f t="shared" ca="1" si="671"/>
        <v>972222.00124800857</v>
      </c>
      <c r="P373" s="7">
        <f t="shared" ca="1" si="671"/>
        <v>1094762.6085180258</v>
      </c>
      <c r="Q373" s="7">
        <f t="shared" ca="1" si="671"/>
        <v>1223648.7608708572</v>
      </c>
      <c r="R373" s="7">
        <f t="shared" ca="1" si="671"/>
        <v>1359145.9322852024</v>
      </c>
      <c r="S373" s="7">
        <f t="shared" ca="1" si="671"/>
        <v>1501529.6480111426</v>
      </c>
      <c r="T373" s="7">
        <f t="shared" ca="1" si="671"/>
        <v>1541855.4011356728</v>
      </c>
      <c r="U373" s="7">
        <f t="shared" ca="1" si="671"/>
        <v>1591415.1978627439</v>
      </c>
      <c r="V373" s="7">
        <f t="shared" ca="1" si="671"/>
        <v>1642757.5777099284</v>
      </c>
      <c r="W373" s="7">
        <f t="shared" ca="1" si="671"/>
        <v>1695948.7425475621</v>
      </c>
      <c r="X373" s="7">
        <f t="shared" ca="1" si="671"/>
        <v>1751057.3316526653</v>
      </c>
      <c r="Y373" s="7">
        <f t="shared" ca="1" si="671"/>
        <v>1787237.4169653396</v>
      </c>
      <c r="Z373" s="7">
        <f t="shared" ca="1" si="671"/>
        <v>1824434.0167242812</v>
      </c>
      <c r="AA373" s="7">
        <f t="shared" ca="1" si="671"/>
        <v>1862684.4017288706</v>
      </c>
      <c r="AB373" s="7">
        <f t="shared" ca="1" si="671"/>
        <v>1902027.3427258399</v>
      </c>
      <c r="AC373" s="7">
        <f t="shared" ca="1" si="671"/>
        <v>1942503.1702642585</v>
      </c>
      <c r="AD373" s="7">
        <f t="shared" ca="1" si="671"/>
        <v>1984153.8368503558</v>
      </c>
      <c r="AE373" s="7">
        <f t="shared" ca="1" si="671"/>
        <v>2037130.2375195618</v>
      </c>
      <c r="AF373" s="7">
        <f t="shared" ca="1" si="671"/>
        <v>2091875.8715530399</v>
      </c>
      <c r="AG373" s="7">
        <f t="shared" ca="1" si="671"/>
        <v>2148456.905652951</v>
      </c>
      <c r="AH373" s="7">
        <f t="shared" ca="1" si="671"/>
        <v>2206942.0335442415</v>
      </c>
      <c r="AI373" s="7">
        <f t="shared" ca="1" si="671"/>
        <v>2267402.5707053514</v>
      </c>
      <c r="AJ373" s="7">
        <f t="shared" ca="1" si="671"/>
        <v>2329912.5525480784</v>
      </c>
      <c r="AK373" s="7">
        <f t="shared" ca="1" si="671"/>
        <v>2394548.8361686133</v>
      </c>
      <c r="AL373" s="7">
        <f t="shared" ca="1" si="671"/>
        <v>2461391.2057959661</v>
      </c>
      <c r="AM373" s="7">
        <f t="shared" ca="1" si="671"/>
        <v>2530522.4820683482</v>
      </c>
    </row>
    <row r="374" spans="1:39" x14ac:dyDescent="0.2">
      <c r="A374" s="3" t="s">
        <v>27</v>
      </c>
      <c r="C374" s="7">
        <f t="shared" ref="C374:AM374" ca="1" si="672">C364</f>
        <v>1680400.325439143</v>
      </c>
      <c r="D374" s="7">
        <f t="shared" ca="1" si="672"/>
        <v>1747961.4855591119</v>
      </c>
      <c r="E374" s="7">
        <f t="shared" ca="1" si="672"/>
        <v>1834109.2861859414</v>
      </c>
      <c r="F374" s="7">
        <f t="shared" ca="1" si="672"/>
        <v>1900859.5801157367</v>
      </c>
      <c r="G374" s="7">
        <f t="shared" ca="1" si="672"/>
        <v>1915703.0016828571</v>
      </c>
      <c r="H374" s="7">
        <f t="shared" ca="1" si="672"/>
        <v>2018641.5527046167</v>
      </c>
      <c r="I374" s="7">
        <f t="shared" ca="1" si="672"/>
        <v>2125722.2480282397</v>
      </c>
      <c r="J374" s="7">
        <f t="shared" ca="1" si="672"/>
        <v>2243536.3984099082</v>
      </c>
      <c r="K374" s="7">
        <f t="shared" ca="1" si="672"/>
        <v>2349154.2220906215</v>
      </c>
      <c r="L374" s="7">
        <f t="shared" ca="1" si="672"/>
        <v>2542568.8210759074</v>
      </c>
      <c r="M374" s="7">
        <f t="shared" ca="1" si="672"/>
        <v>2644877.902821287</v>
      </c>
      <c r="N374" s="7">
        <f t="shared" ca="1" si="672"/>
        <v>2795947.1735664173</v>
      </c>
      <c r="O374" s="7">
        <f t="shared" ca="1" si="672"/>
        <v>2959232.1440829551</v>
      </c>
      <c r="P374" s="7">
        <f t="shared" ca="1" si="672"/>
        <v>3130458.2153807851</v>
      </c>
      <c r="Q374" s="7">
        <f t="shared" ca="1" si="672"/>
        <v>3309911.8905340084</v>
      </c>
      <c r="R374" s="7">
        <f t="shared" ca="1" si="672"/>
        <v>3500132.0156832649</v>
      </c>
      <c r="S374" s="7">
        <f t="shared" ca="1" si="672"/>
        <v>3699430.9356326722</v>
      </c>
      <c r="T374" s="7">
        <f t="shared" ca="1" si="672"/>
        <v>3798922.392725619</v>
      </c>
      <c r="U374" s="7">
        <f t="shared" ca="1" si="672"/>
        <v>3909960.5150928115</v>
      </c>
      <c r="V374" s="7">
        <f t="shared" ca="1" si="672"/>
        <v>4009864.8846653295</v>
      </c>
      <c r="W374" s="7">
        <f t="shared" ca="1" si="672"/>
        <v>4129311.5744270044</v>
      </c>
      <c r="X374" s="7">
        <f t="shared" ca="1" si="672"/>
        <v>4253317.8124754196</v>
      </c>
      <c r="Y374" s="7">
        <f t="shared" ca="1" si="672"/>
        <v>4359708.7841870077</v>
      </c>
      <c r="Z374" s="7">
        <f t="shared" ca="1" si="672"/>
        <v>4469705.6778883049</v>
      </c>
      <c r="AA374" s="7">
        <f t="shared" ca="1" si="672"/>
        <v>4558725.209995239</v>
      </c>
      <c r="AB374" s="7">
        <f t="shared" ca="1" si="672"/>
        <v>4673147.5974380272</v>
      </c>
      <c r="AC374" s="7">
        <f t="shared" ca="1" si="672"/>
        <v>4791232.4685061928</v>
      </c>
      <c r="AD374" s="7">
        <f t="shared" ca="1" si="672"/>
        <v>4913088.5505327629</v>
      </c>
      <c r="AE374" s="7">
        <f t="shared" ca="1" si="672"/>
        <v>5048936.3489043377</v>
      </c>
      <c r="AF374" s="7">
        <f t="shared" ca="1" si="672"/>
        <v>5189291.8756136885</v>
      </c>
      <c r="AG374" s="7">
        <f t="shared" ca="1" si="672"/>
        <v>5334296.7835474089</v>
      </c>
      <c r="AH374" s="7">
        <f t="shared" ca="1" si="672"/>
        <v>5485726.0678639691</v>
      </c>
      <c r="AI374" s="7">
        <f t="shared" ca="1" si="672"/>
        <v>5642326.7692680834</v>
      </c>
      <c r="AJ374" s="7">
        <f t="shared" ca="1" si="672"/>
        <v>5804280.702188151</v>
      </c>
      <c r="AK374" s="7">
        <f t="shared" ca="1" si="672"/>
        <v>5971777.9276523953</v>
      </c>
      <c r="AL374" s="7">
        <f t="shared" ca="1" si="672"/>
        <v>6145017.1389031913</v>
      </c>
      <c r="AM374" s="7">
        <f t="shared" ca="1" si="672"/>
        <v>6324206.0716146193</v>
      </c>
    </row>
    <row r="375" spans="1:39" x14ac:dyDescent="0.2">
      <c r="A375" s="3"/>
      <c r="C375" s="7"/>
      <c r="D375" s="7"/>
      <c r="E375" s="23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</row>
    <row r="376" spans="1:39" x14ac:dyDescent="0.2">
      <c r="A376" s="15" t="s">
        <v>62</v>
      </c>
      <c r="B376" s="2" t="s">
        <v>1</v>
      </c>
      <c r="C376" s="7">
        <f t="shared" ref="C376:AM376" si="673">C3</f>
        <v>48</v>
      </c>
      <c r="D376" s="7">
        <f t="shared" si="673"/>
        <v>49</v>
      </c>
      <c r="E376" s="7">
        <f t="shared" si="673"/>
        <v>50</v>
      </c>
      <c r="F376" s="7">
        <f t="shared" si="673"/>
        <v>51</v>
      </c>
      <c r="G376" s="7">
        <f t="shared" si="673"/>
        <v>52</v>
      </c>
      <c r="H376" s="7">
        <f t="shared" si="673"/>
        <v>53</v>
      </c>
      <c r="I376" s="7">
        <f t="shared" si="673"/>
        <v>54</v>
      </c>
      <c r="J376" s="7">
        <f t="shared" si="673"/>
        <v>55</v>
      </c>
      <c r="K376" s="7">
        <f t="shared" si="673"/>
        <v>56</v>
      </c>
      <c r="L376" s="7">
        <f t="shared" si="673"/>
        <v>57</v>
      </c>
      <c r="M376" s="7">
        <f t="shared" si="673"/>
        <v>58</v>
      </c>
      <c r="N376" s="7">
        <f t="shared" si="673"/>
        <v>59</v>
      </c>
      <c r="O376" s="7">
        <f t="shared" si="673"/>
        <v>60</v>
      </c>
      <c r="P376" s="7">
        <f t="shared" si="673"/>
        <v>61</v>
      </c>
      <c r="Q376" s="7">
        <f t="shared" si="673"/>
        <v>62</v>
      </c>
      <c r="R376" s="7">
        <f t="shared" si="673"/>
        <v>63</v>
      </c>
      <c r="S376" s="7">
        <f t="shared" si="673"/>
        <v>64</v>
      </c>
      <c r="T376" s="7">
        <f t="shared" si="673"/>
        <v>65</v>
      </c>
      <c r="U376" s="7">
        <f t="shared" si="673"/>
        <v>66</v>
      </c>
      <c r="V376" s="7">
        <f t="shared" si="673"/>
        <v>67</v>
      </c>
      <c r="W376" s="7">
        <f t="shared" si="673"/>
        <v>68</v>
      </c>
      <c r="X376" s="7">
        <f t="shared" si="673"/>
        <v>69</v>
      </c>
      <c r="Y376" s="7">
        <f t="shared" si="673"/>
        <v>70</v>
      </c>
      <c r="Z376" s="7">
        <f t="shared" si="673"/>
        <v>71</v>
      </c>
      <c r="AA376" s="7">
        <f t="shared" si="673"/>
        <v>72</v>
      </c>
      <c r="AB376" s="7">
        <f t="shared" si="673"/>
        <v>73</v>
      </c>
      <c r="AC376" s="7">
        <f t="shared" si="673"/>
        <v>74</v>
      </c>
      <c r="AD376" s="7">
        <f t="shared" si="673"/>
        <v>75</v>
      </c>
      <c r="AE376" s="7">
        <f t="shared" si="673"/>
        <v>76</v>
      </c>
      <c r="AF376" s="7">
        <f t="shared" si="673"/>
        <v>77</v>
      </c>
      <c r="AG376" s="7">
        <f t="shared" si="673"/>
        <v>78</v>
      </c>
      <c r="AH376" s="7">
        <f t="shared" si="673"/>
        <v>79</v>
      </c>
      <c r="AI376" s="7">
        <f t="shared" si="673"/>
        <v>80</v>
      </c>
      <c r="AJ376" s="7">
        <f t="shared" si="673"/>
        <v>81</v>
      </c>
      <c r="AK376" s="7">
        <f t="shared" si="673"/>
        <v>82</v>
      </c>
      <c r="AL376" s="7">
        <f t="shared" si="673"/>
        <v>83</v>
      </c>
      <c r="AM376" s="7">
        <f t="shared" si="673"/>
        <v>84</v>
      </c>
    </row>
    <row r="377" spans="1:39" x14ac:dyDescent="0.2">
      <c r="A377" s="3" t="s">
        <v>60</v>
      </c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</row>
    <row r="378" spans="1:39" x14ac:dyDescent="0.2">
      <c r="A378" s="3" t="s">
        <v>8</v>
      </c>
      <c r="C378" s="7">
        <f t="shared" ref="C378:AM378" ca="1" si="674">C369</f>
        <v>66108.4375</v>
      </c>
      <c r="D378" s="7">
        <f t="shared" ca="1" si="674"/>
        <v>80012.145312499997</v>
      </c>
      <c r="E378" s="7">
        <f t="shared" ca="1" si="674"/>
        <v>100169.6494140625</v>
      </c>
      <c r="F378" s="7">
        <f t="shared" ca="1" si="674"/>
        <v>102227.78380184111</v>
      </c>
      <c r="G378" s="7">
        <f t="shared" ca="1" si="674"/>
        <v>300455.15989583102</v>
      </c>
      <c r="H378" s="7">
        <f t="shared" ca="1" si="674"/>
        <v>346986.84009098983</v>
      </c>
      <c r="I378" s="7">
        <f t="shared" ca="1" si="674"/>
        <v>413754.64435619779</v>
      </c>
      <c r="J378" s="7">
        <f t="shared" ca="1" si="674"/>
        <v>485067.93012454931</v>
      </c>
      <c r="K378" s="7">
        <f t="shared" ca="1" si="674"/>
        <v>543116.96835998015</v>
      </c>
      <c r="L378" s="7">
        <f t="shared" ca="1" si="674"/>
        <v>688212.2751736166</v>
      </c>
      <c r="M378" s="7">
        <f t="shared" ca="1" si="674"/>
        <v>745163.71186735749</v>
      </c>
      <c r="N378" s="7">
        <f t="shared" ca="1" si="674"/>
        <v>855771.16934020713</v>
      </c>
      <c r="O378" s="7">
        <f t="shared" ca="1" si="674"/>
        <v>972222.00124800857</v>
      </c>
      <c r="P378" s="7">
        <f t="shared" ca="1" si="674"/>
        <v>1094762.6085180258</v>
      </c>
      <c r="Q378" s="7">
        <f t="shared" ca="1" si="674"/>
        <v>1223648.7608708572</v>
      </c>
      <c r="R378" s="7">
        <f t="shared" ca="1" si="674"/>
        <v>1359145.9322852024</v>
      </c>
      <c r="S378" s="7">
        <f t="shared" ca="1" si="674"/>
        <v>1501529.6480111426</v>
      </c>
      <c r="T378" s="7">
        <f t="shared" ca="1" si="674"/>
        <v>1541855.4011356728</v>
      </c>
      <c r="U378" s="7">
        <f t="shared" ca="1" si="674"/>
        <v>1591415.1978627439</v>
      </c>
      <c r="V378" s="7">
        <f t="shared" ca="1" si="674"/>
        <v>1642757.5777099284</v>
      </c>
      <c r="W378" s="7">
        <f t="shared" ca="1" si="674"/>
        <v>1695948.7425475621</v>
      </c>
      <c r="X378" s="7">
        <f t="shared" ca="1" si="674"/>
        <v>1751057.3316526653</v>
      </c>
      <c r="Y378" s="7">
        <f t="shared" ca="1" si="674"/>
        <v>1787237.4169653396</v>
      </c>
      <c r="Z378" s="7">
        <f t="shared" ca="1" si="674"/>
        <v>1824434.0167242812</v>
      </c>
      <c r="AA378" s="7">
        <f t="shared" ca="1" si="674"/>
        <v>1862684.4017288706</v>
      </c>
      <c r="AB378" s="7">
        <f t="shared" ca="1" si="674"/>
        <v>1902027.3427258399</v>
      </c>
      <c r="AC378" s="7">
        <f t="shared" ca="1" si="674"/>
        <v>1942503.1702642585</v>
      </c>
      <c r="AD378" s="7">
        <f t="shared" ca="1" si="674"/>
        <v>1984153.8368503558</v>
      </c>
      <c r="AE378" s="7">
        <f t="shared" ca="1" si="674"/>
        <v>2037130.2375195618</v>
      </c>
      <c r="AF378" s="7">
        <f t="shared" ca="1" si="674"/>
        <v>2091875.8715530399</v>
      </c>
      <c r="AG378" s="7">
        <f t="shared" ca="1" si="674"/>
        <v>2148456.905652951</v>
      </c>
      <c r="AH378" s="7">
        <f t="shared" ca="1" si="674"/>
        <v>2206942.0335442415</v>
      </c>
      <c r="AI378" s="7">
        <f t="shared" ca="1" si="674"/>
        <v>2267402.5707053514</v>
      </c>
      <c r="AJ378" s="7">
        <f t="shared" ca="1" si="674"/>
        <v>2329912.5525480784</v>
      </c>
      <c r="AK378" s="7">
        <f t="shared" ca="1" si="674"/>
        <v>2394548.8361686133</v>
      </c>
      <c r="AL378" s="7">
        <f t="shared" ca="1" si="674"/>
        <v>2461391.2057959661</v>
      </c>
      <c r="AM378" s="7">
        <f t="shared" ca="1" si="674"/>
        <v>2530522.4820683482</v>
      </c>
    </row>
    <row r="379" spans="1:39" x14ac:dyDescent="0.2">
      <c r="A379" s="3" t="s">
        <v>27</v>
      </c>
      <c r="C379" s="7">
        <f t="shared" ref="C379:AM379" ca="1" si="675">C370</f>
        <v>1680400.325439143</v>
      </c>
      <c r="D379" s="7">
        <f t="shared" ca="1" si="675"/>
        <v>1747961.4855591119</v>
      </c>
      <c r="E379" s="7">
        <f t="shared" ca="1" si="675"/>
        <v>1834109.2861859414</v>
      </c>
      <c r="F379" s="7">
        <f t="shared" ca="1" si="675"/>
        <v>1900859.5801157367</v>
      </c>
      <c r="G379" s="7">
        <f t="shared" ca="1" si="675"/>
        <v>1915703.0016828571</v>
      </c>
      <c r="H379" s="7">
        <f t="shared" ca="1" si="675"/>
        <v>2018641.5527046167</v>
      </c>
      <c r="I379" s="7">
        <f t="shared" ca="1" si="675"/>
        <v>2125722.2480282397</v>
      </c>
      <c r="J379" s="7">
        <f t="shared" ca="1" si="675"/>
        <v>2243536.3984099082</v>
      </c>
      <c r="K379" s="7">
        <f t="shared" ca="1" si="675"/>
        <v>2349154.2220906215</v>
      </c>
      <c r="L379" s="7">
        <f t="shared" ca="1" si="675"/>
        <v>2542568.8210759074</v>
      </c>
      <c r="M379" s="7">
        <f t="shared" ca="1" si="675"/>
        <v>2644877.902821287</v>
      </c>
      <c r="N379" s="7">
        <f t="shared" ca="1" si="675"/>
        <v>2795947.1735664173</v>
      </c>
      <c r="O379" s="7">
        <f t="shared" ca="1" si="675"/>
        <v>2959232.1440829551</v>
      </c>
      <c r="P379" s="7">
        <f t="shared" ca="1" si="675"/>
        <v>3130458.2153807851</v>
      </c>
      <c r="Q379" s="7">
        <f t="shared" ca="1" si="675"/>
        <v>3309911.8905340084</v>
      </c>
      <c r="R379" s="7">
        <f t="shared" ca="1" si="675"/>
        <v>3500132.0156832649</v>
      </c>
      <c r="S379" s="7">
        <f t="shared" ca="1" si="675"/>
        <v>3699430.9356326726</v>
      </c>
      <c r="T379" s="7">
        <f t="shared" ca="1" si="675"/>
        <v>3798922.392725619</v>
      </c>
      <c r="U379" s="7">
        <f t="shared" ca="1" si="675"/>
        <v>3909960.5150928115</v>
      </c>
      <c r="V379" s="7">
        <f t="shared" ca="1" si="675"/>
        <v>4009864.8846653295</v>
      </c>
      <c r="W379" s="7">
        <f t="shared" ca="1" si="675"/>
        <v>4129311.5744270044</v>
      </c>
      <c r="X379" s="7">
        <f t="shared" ca="1" si="675"/>
        <v>4253317.8124754196</v>
      </c>
      <c r="Y379" s="7">
        <f t="shared" ca="1" si="675"/>
        <v>4359708.7841870077</v>
      </c>
      <c r="Z379" s="7">
        <f t="shared" ca="1" si="675"/>
        <v>4469705.6778883049</v>
      </c>
      <c r="AA379" s="7">
        <f t="shared" ca="1" si="675"/>
        <v>4558725.209995239</v>
      </c>
      <c r="AB379" s="7">
        <f t="shared" ca="1" si="675"/>
        <v>4673147.5974380272</v>
      </c>
      <c r="AC379" s="7">
        <f t="shared" ca="1" si="675"/>
        <v>4791232.4685061928</v>
      </c>
      <c r="AD379" s="7">
        <f t="shared" ca="1" si="675"/>
        <v>4913088.5505327629</v>
      </c>
      <c r="AE379" s="7">
        <f t="shared" ca="1" si="675"/>
        <v>5048936.3489043377</v>
      </c>
      <c r="AF379" s="7">
        <f t="shared" ca="1" si="675"/>
        <v>5189291.8756136885</v>
      </c>
      <c r="AG379" s="7">
        <f t="shared" ca="1" si="675"/>
        <v>5334296.7835474089</v>
      </c>
      <c r="AH379" s="7">
        <f t="shared" ca="1" si="675"/>
        <v>5485726.0678639691</v>
      </c>
      <c r="AI379" s="7">
        <f t="shared" ca="1" si="675"/>
        <v>5642326.7692680834</v>
      </c>
      <c r="AJ379" s="7">
        <f t="shared" ca="1" si="675"/>
        <v>5804280.702188151</v>
      </c>
      <c r="AK379" s="7">
        <f t="shared" ca="1" si="675"/>
        <v>5971777.9276523963</v>
      </c>
      <c r="AL379" s="7">
        <f t="shared" ca="1" si="675"/>
        <v>6145017.1389031913</v>
      </c>
      <c r="AM379" s="7">
        <f t="shared" ca="1" si="675"/>
        <v>6324206.0716146193</v>
      </c>
    </row>
    <row r="380" spans="1:39" x14ac:dyDescent="0.2">
      <c r="A380" s="3" t="s">
        <v>61</v>
      </c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</row>
    <row r="381" spans="1:39" x14ac:dyDescent="0.2">
      <c r="A381" s="16" t="s">
        <v>8</v>
      </c>
      <c r="C381" s="7">
        <f ca="1">C373</f>
        <v>66108.4375</v>
      </c>
      <c r="D381" s="7">
        <f t="shared" ref="D381:G381" ca="1" si="676">D373</f>
        <v>80012.145312499997</v>
      </c>
      <c r="E381" s="7">
        <f t="shared" ca="1" si="676"/>
        <v>100169.6494140625</v>
      </c>
      <c r="F381" s="7">
        <f t="shared" ca="1" si="676"/>
        <v>102227.78380184111</v>
      </c>
      <c r="G381" s="7">
        <f t="shared" ca="1" si="676"/>
        <v>300455.15989583102</v>
      </c>
      <c r="H381" s="7">
        <f t="shared" ref="H381:I381" ca="1" si="677">H373</f>
        <v>346986.84009098983</v>
      </c>
      <c r="I381" s="7">
        <f t="shared" ca="1" si="677"/>
        <v>413754.64435619779</v>
      </c>
      <c r="J381" s="7">
        <f t="shared" ref="J381:AM381" ca="1" si="678">J373</f>
        <v>485067.93012454931</v>
      </c>
      <c r="K381" s="7">
        <f t="shared" ca="1" si="678"/>
        <v>543116.96835998015</v>
      </c>
      <c r="L381" s="7">
        <f t="shared" ca="1" si="678"/>
        <v>688212.2751736166</v>
      </c>
      <c r="M381" s="7">
        <f t="shared" ca="1" si="678"/>
        <v>745163.71186735749</v>
      </c>
      <c r="N381" s="7">
        <f t="shared" ca="1" si="678"/>
        <v>855771.16934020713</v>
      </c>
      <c r="O381" s="7">
        <f t="shared" ca="1" si="678"/>
        <v>972222.00124800857</v>
      </c>
      <c r="P381" s="7">
        <f t="shared" ca="1" si="678"/>
        <v>1094762.6085180258</v>
      </c>
      <c r="Q381" s="7">
        <f t="shared" ca="1" si="678"/>
        <v>1223648.7608708572</v>
      </c>
      <c r="R381" s="7">
        <f t="shared" ca="1" si="678"/>
        <v>1359145.9322852024</v>
      </c>
      <c r="S381" s="7">
        <f t="shared" ca="1" si="678"/>
        <v>1501529.6480111426</v>
      </c>
      <c r="T381" s="7">
        <f t="shared" ca="1" si="678"/>
        <v>1541855.4011356728</v>
      </c>
      <c r="U381" s="7">
        <f t="shared" ca="1" si="678"/>
        <v>1591415.1978627439</v>
      </c>
      <c r="V381" s="7">
        <f t="shared" ca="1" si="678"/>
        <v>1642757.5777099284</v>
      </c>
      <c r="W381" s="7">
        <f t="shared" ca="1" si="678"/>
        <v>1695948.7425475621</v>
      </c>
      <c r="X381" s="7">
        <f t="shared" ca="1" si="678"/>
        <v>1751057.3316526653</v>
      </c>
      <c r="Y381" s="7">
        <f t="shared" ca="1" si="678"/>
        <v>1787237.4169653396</v>
      </c>
      <c r="Z381" s="7">
        <f t="shared" ca="1" si="678"/>
        <v>1824434.0167242812</v>
      </c>
      <c r="AA381" s="7">
        <f t="shared" ca="1" si="678"/>
        <v>1862684.4017288706</v>
      </c>
      <c r="AB381" s="7">
        <f t="shared" ca="1" si="678"/>
        <v>1902027.3427258399</v>
      </c>
      <c r="AC381" s="7">
        <f t="shared" ca="1" si="678"/>
        <v>1942503.1702642585</v>
      </c>
      <c r="AD381" s="7">
        <f t="shared" ca="1" si="678"/>
        <v>1984153.8368503558</v>
      </c>
      <c r="AE381" s="7">
        <f t="shared" ca="1" si="678"/>
        <v>2037130.2375195618</v>
      </c>
      <c r="AF381" s="7">
        <f t="shared" ca="1" si="678"/>
        <v>2091875.8715530399</v>
      </c>
      <c r="AG381" s="7">
        <f t="shared" ca="1" si="678"/>
        <v>2148456.905652951</v>
      </c>
      <c r="AH381" s="7">
        <f t="shared" ca="1" si="678"/>
        <v>2206942.0335442415</v>
      </c>
      <c r="AI381" s="7">
        <f t="shared" ca="1" si="678"/>
        <v>2267402.5707053514</v>
      </c>
      <c r="AJ381" s="7">
        <f t="shared" ca="1" si="678"/>
        <v>2329912.5525480784</v>
      </c>
      <c r="AK381" s="7">
        <f t="shared" ca="1" si="678"/>
        <v>2394548.8361686133</v>
      </c>
      <c r="AL381" s="7">
        <f t="shared" ca="1" si="678"/>
        <v>2461391.2057959661</v>
      </c>
      <c r="AM381" s="95">
        <f t="shared" ca="1" si="678"/>
        <v>2530522.4820683482</v>
      </c>
    </row>
    <row r="382" spans="1:39" x14ac:dyDescent="0.2">
      <c r="A382" s="16" t="s">
        <v>27</v>
      </c>
      <c r="C382" s="7">
        <f ca="1">C374</f>
        <v>1680400.325439143</v>
      </c>
      <c r="D382" s="7">
        <f t="shared" ref="D382:G382" ca="1" si="679">D374</f>
        <v>1747961.4855591119</v>
      </c>
      <c r="E382" s="7">
        <f t="shared" ca="1" si="679"/>
        <v>1834109.2861859414</v>
      </c>
      <c r="F382" s="7">
        <f t="shared" ca="1" si="679"/>
        <v>1900859.5801157367</v>
      </c>
      <c r="G382" s="7">
        <f t="shared" ca="1" si="679"/>
        <v>1915703.0016828571</v>
      </c>
      <c r="H382" s="7">
        <f t="shared" ref="H382:I382" ca="1" si="680">H374</f>
        <v>2018641.5527046167</v>
      </c>
      <c r="I382" s="7">
        <f t="shared" ca="1" si="680"/>
        <v>2125722.2480282397</v>
      </c>
      <c r="J382" s="7">
        <f t="shared" ref="J382:AM382" ca="1" si="681">J374</f>
        <v>2243536.3984099082</v>
      </c>
      <c r="K382" s="7">
        <f t="shared" ca="1" si="681"/>
        <v>2349154.2220906215</v>
      </c>
      <c r="L382" s="7">
        <f t="shared" ca="1" si="681"/>
        <v>2542568.8210759074</v>
      </c>
      <c r="M382" s="7">
        <f t="shared" ca="1" si="681"/>
        <v>2644877.902821287</v>
      </c>
      <c r="N382" s="7">
        <f t="shared" ca="1" si="681"/>
        <v>2795947.1735664173</v>
      </c>
      <c r="O382" s="7">
        <f t="shared" ca="1" si="681"/>
        <v>2959232.1440829551</v>
      </c>
      <c r="P382" s="7">
        <f t="shared" ca="1" si="681"/>
        <v>3130458.2153807851</v>
      </c>
      <c r="Q382" s="7">
        <f t="shared" ca="1" si="681"/>
        <v>3309911.8905340084</v>
      </c>
      <c r="R382" s="7">
        <f t="shared" ca="1" si="681"/>
        <v>3500132.0156832649</v>
      </c>
      <c r="S382" s="7">
        <f t="shared" ca="1" si="681"/>
        <v>3699430.9356326722</v>
      </c>
      <c r="T382" s="7">
        <f t="shared" ca="1" si="681"/>
        <v>3798922.392725619</v>
      </c>
      <c r="U382" s="7">
        <f t="shared" ca="1" si="681"/>
        <v>3909960.5150928115</v>
      </c>
      <c r="V382" s="7">
        <f t="shared" ca="1" si="681"/>
        <v>4009864.8846653295</v>
      </c>
      <c r="W382" s="7">
        <f t="shared" ca="1" si="681"/>
        <v>4129311.5744270044</v>
      </c>
      <c r="X382" s="7">
        <f t="shared" ca="1" si="681"/>
        <v>4253317.8124754196</v>
      </c>
      <c r="Y382" s="7">
        <f t="shared" ca="1" si="681"/>
        <v>4359708.7841870077</v>
      </c>
      <c r="Z382" s="7">
        <f t="shared" ca="1" si="681"/>
        <v>4469705.6778883049</v>
      </c>
      <c r="AA382" s="7">
        <f t="shared" ca="1" si="681"/>
        <v>4558725.209995239</v>
      </c>
      <c r="AB382" s="7">
        <f t="shared" ca="1" si="681"/>
        <v>4673147.5974380272</v>
      </c>
      <c r="AC382" s="7">
        <f t="shared" ca="1" si="681"/>
        <v>4791232.4685061928</v>
      </c>
      <c r="AD382" s="7">
        <f t="shared" ca="1" si="681"/>
        <v>4913088.5505327629</v>
      </c>
      <c r="AE382" s="7">
        <f t="shared" ca="1" si="681"/>
        <v>5048936.3489043377</v>
      </c>
      <c r="AF382" s="7">
        <f t="shared" ca="1" si="681"/>
        <v>5189291.8756136885</v>
      </c>
      <c r="AG382" s="7">
        <f t="shared" ca="1" si="681"/>
        <v>5334296.7835474089</v>
      </c>
      <c r="AH382" s="7">
        <f t="shared" ca="1" si="681"/>
        <v>5485726.0678639691</v>
      </c>
      <c r="AI382" s="7">
        <f t="shared" ca="1" si="681"/>
        <v>5642326.7692680834</v>
      </c>
      <c r="AJ382" s="7">
        <f t="shared" ca="1" si="681"/>
        <v>5804280.702188151</v>
      </c>
      <c r="AK382" s="7">
        <f t="shared" ca="1" si="681"/>
        <v>5971777.9276523953</v>
      </c>
      <c r="AL382" s="7">
        <f t="shared" ca="1" si="681"/>
        <v>6145017.1389031913</v>
      </c>
      <c r="AM382" s="96">
        <f t="shared" ca="1" si="681"/>
        <v>6324206.0716146193</v>
      </c>
    </row>
    <row r="383" spans="1:39" x14ac:dyDescent="0.2"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</row>
    <row r="384" spans="1:39" x14ac:dyDescent="0.2">
      <c r="A384" s="16" t="s">
        <v>177</v>
      </c>
      <c r="C384" s="7">
        <f t="shared" ref="C384:AM384" si="682">buffer</f>
        <v>50000</v>
      </c>
      <c r="D384" s="7">
        <f t="shared" si="682"/>
        <v>50000</v>
      </c>
      <c r="E384" s="7">
        <f t="shared" si="682"/>
        <v>50000</v>
      </c>
      <c r="F384" s="7">
        <f t="shared" si="682"/>
        <v>50000</v>
      </c>
      <c r="G384" s="7">
        <f t="shared" si="682"/>
        <v>50000</v>
      </c>
      <c r="H384" s="7">
        <f t="shared" si="682"/>
        <v>50000</v>
      </c>
      <c r="I384" s="7">
        <f t="shared" si="682"/>
        <v>50000</v>
      </c>
      <c r="J384" s="7">
        <f t="shared" si="682"/>
        <v>50000</v>
      </c>
      <c r="K384" s="7">
        <f t="shared" si="682"/>
        <v>50000</v>
      </c>
      <c r="L384" s="7">
        <f t="shared" si="682"/>
        <v>50000</v>
      </c>
      <c r="M384" s="7">
        <f t="shared" si="682"/>
        <v>50000</v>
      </c>
      <c r="N384" s="7">
        <f t="shared" si="682"/>
        <v>50000</v>
      </c>
      <c r="O384" s="7">
        <f t="shared" si="682"/>
        <v>50000</v>
      </c>
      <c r="P384" s="7">
        <f t="shared" si="682"/>
        <v>50000</v>
      </c>
      <c r="Q384" s="7">
        <f t="shared" si="682"/>
        <v>50000</v>
      </c>
      <c r="R384" s="7">
        <f t="shared" si="682"/>
        <v>50000</v>
      </c>
      <c r="S384" s="7">
        <f t="shared" si="682"/>
        <v>50000</v>
      </c>
      <c r="T384" s="7">
        <f t="shared" si="682"/>
        <v>50000</v>
      </c>
      <c r="U384" s="7">
        <f t="shared" si="682"/>
        <v>50000</v>
      </c>
      <c r="V384" s="7">
        <f t="shared" si="682"/>
        <v>50000</v>
      </c>
      <c r="W384" s="7">
        <f t="shared" si="682"/>
        <v>50000</v>
      </c>
      <c r="X384" s="7">
        <f t="shared" si="682"/>
        <v>50000</v>
      </c>
      <c r="Y384" s="7">
        <f t="shared" si="682"/>
        <v>50000</v>
      </c>
      <c r="Z384" s="7">
        <f t="shared" si="682"/>
        <v>50000</v>
      </c>
      <c r="AA384" s="7">
        <f t="shared" si="682"/>
        <v>50000</v>
      </c>
      <c r="AB384" s="7">
        <f t="shared" si="682"/>
        <v>50000</v>
      </c>
      <c r="AC384" s="7">
        <f t="shared" si="682"/>
        <v>50000</v>
      </c>
      <c r="AD384" s="7">
        <f t="shared" si="682"/>
        <v>50000</v>
      </c>
      <c r="AE384" s="7">
        <f t="shared" si="682"/>
        <v>50000</v>
      </c>
      <c r="AF384" s="7">
        <f t="shared" si="682"/>
        <v>50000</v>
      </c>
      <c r="AG384" s="7">
        <f t="shared" si="682"/>
        <v>50000</v>
      </c>
      <c r="AH384" s="7">
        <f t="shared" si="682"/>
        <v>50000</v>
      </c>
      <c r="AI384" s="7">
        <f t="shared" si="682"/>
        <v>50000</v>
      </c>
      <c r="AJ384" s="7">
        <f t="shared" si="682"/>
        <v>50000</v>
      </c>
      <c r="AK384" s="7">
        <f t="shared" si="682"/>
        <v>50000</v>
      </c>
      <c r="AL384" s="7">
        <f t="shared" si="682"/>
        <v>50000</v>
      </c>
      <c r="AM384" s="7">
        <f t="shared" si="682"/>
        <v>50000</v>
      </c>
    </row>
    <row r="385" spans="1:39" x14ac:dyDescent="0.2">
      <c r="A385" s="16" t="s">
        <v>175</v>
      </c>
      <c r="C385" s="7">
        <f t="shared" ref="C385:AM385" si="683">legacy</f>
        <v>1000000</v>
      </c>
      <c r="D385" s="7">
        <f t="shared" si="683"/>
        <v>1000000</v>
      </c>
      <c r="E385" s="7">
        <f t="shared" si="683"/>
        <v>1000000</v>
      </c>
      <c r="F385" s="7">
        <f t="shared" si="683"/>
        <v>1000000</v>
      </c>
      <c r="G385" s="7">
        <f t="shared" si="683"/>
        <v>1000000</v>
      </c>
      <c r="H385" s="7">
        <f t="shared" si="683"/>
        <v>1000000</v>
      </c>
      <c r="I385" s="7">
        <f t="shared" si="683"/>
        <v>1000000</v>
      </c>
      <c r="J385" s="7">
        <f t="shared" si="683"/>
        <v>1000000</v>
      </c>
      <c r="K385" s="7">
        <f t="shared" si="683"/>
        <v>1000000</v>
      </c>
      <c r="L385" s="7">
        <f t="shared" si="683"/>
        <v>1000000</v>
      </c>
      <c r="M385" s="7">
        <f t="shared" si="683"/>
        <v>1000000</v>
      </c>
      <c r="N385" s="7">
        <f t="shared" si="683"/>
        <v>1000000</v>
      </c>
      <c r="O385" s="7">
        <f t="shared" si="683"/>
        <v>1000000</v>
      </c>
      <c r="P385" s="7">
        <f t="shared" si="683"/>
        <v>1000000</v>
      </c>
      <c r="Q385" s="7">
        <f t="shared" si="683"/>
        <v>1000000</v>
      </c>
      <c r="R385" s="7">
        <f t="shared" si="683"/>
        <v>1000000</v>
      </c>
      <c r="S385" s="7">
        <f t="shared" si="683"/>
        <v>1000000</v>
      </c>
      <c r="T385" s="7">
        <f t="shared" si="683"/>
        <v>1000000</v>
      </c>
      <c r="U385" s="7">
        <f t="shared" si="683"/>
        <v>1000000</v>
      </c>
      <c r="V385" s="7">
        <f t="shared" si="683"/>
        <v>1000000</v>
      </c>
      <c r="W385" s="7">
        <f t="shared" si="683"/>
        <v>1000000</v>
      </c>
      <c r="X385" s="7">
        <f t="shared" si="683"/>
        <v>1000000</v>
      </c>
      <c r="Y385" s="7">
        <f t="shared" si="683"/>
        <v>1000000</v>
      </c>
      <c r="Z385" s="7">
        <f t="shared" si="683"/>
        <v>1000000</v>
      </c>
      <c r="AA385" s="7">
        <f t="shared" si="683"/>
        <v>1000000</v>
      </c>
      <c r="AB385" s="7">
        <f t="shared" si="683"/>
        <v>1000000</v>
      </c>
      <c r="AC385" s="7">
        <f t="shared" si="683"/>
        <v>1000000</v>
      </c>
      <c r="AD385" s="7">
        <f t="shared" si="683"/>
        <v>1000000</v>
      </c>
      <c r="AE385" s="7">
        <f t="shared" si="683"/>
        <v>1000000</v>
      </c>
      <c r="AF385" s="7">
        <f t="shared" si="683"/>
        <v>1000000</v>
      </c>
      <c r="AG385" s="7">
        <f t="shared" si="683"/>
        <v>1000000</v>
      </c>
      <c r="AH385" s="7">
        <f t="shared" si="683"/>
        <v>1000000</v>
      </c>
      <c r="AI385" s="7">
        <f t="shared" si="683"/>
        <v>1000000</v>
      </c>
      <c r="AJ385" s="7">
        <f t="shared" si="683"/>
        <v>1000000</v>
      </c>
      <c r="AK385" s="7">
        <f t="shared" si="683"/>
        <v>1000000</v>
      </c>
      <c r="AL385" s="7">
        <f t="shared" si="683"/>
        <v>1000000</v>
      </c>
      <c r="AM385" s="7">
        <f t="shared" si="683"/>
        <v>1000000</v>
      </c>
    </row>
    <row r="386" spans="1:39" x14ac:dyDescent="0.2"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</row>
    <row r="387" spans="1:39" x14ac:dyDescent="0.2"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</row>
    <row r="388" spans="1:39" x14ac:dyDescent="0.2"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</row>
    <row r="389" spans="1:39" x14ac:dyDescent="0.2"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</row>
    <row r="390" spans="1:39" x14ac:dyDescent="0.2"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</row>
    <row r="391" spans="1:39" x14ac:dyDescent="0.2"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</row>
    <row r="392" spans="1:39" x14ac:dyDescent="0.2"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</row>
    <row r="393" spans="1:39" x14ac:dyDescent="0.2"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</row>
    <row r="394" spans="1:39" x14ac:dyDescent="0.2"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</row>
    <row r="395" spans="1:39" x14ac:dyDescent="0.2"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</row>
    <row r="396" spans="1:39" x14ac:dyDescent="0.2"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</row>
    <row r="397" spans="1:39" x14ac:dyDescent="0.2"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</row>
    <row r="398" spans="1:39" x14ac:dyDescent="0.2"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</row>
    <row r="399" spans="1:39" x14ac:dyDescent="0.2"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</row>
    <row r="400" spans="1:39" x14ac:dyDescent="0.2"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</row>
    <row r="401" spans="3:39" x14ac:dyDescent="0.2"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</row>
    <row r="402" spans="3:39" x14ac:dyDescent="0.2"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</row>
    <row r="403" spans="3:39" x14ac:dyDescent="0.2"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</row>
    <row r="404" spans="3:39" x14ac:dyDescent="0.2"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</row>
    <row r="405" spans="3:39" x14ac:dyDescent="0.2"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</row>
    <row r="406" spans="3:39" x14ac:dyDescent="0.2"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</row>
    <row r="407" spans="3:39" x14ac:dyDescent="0.2"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</row>
    <row r="408" spans="3:39" x14ac:dyDescent="0.2"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</row>
    <row r="409" spans="3:39" x14ac:dyDescent="0.2"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</row>
    <row r="410" spans="3:39" x14ac:dyDescent="0.2"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</row>
    <row r="411" spans="3:39" x14ac:dyDescent="0.2"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</row>
    <row r="412" spans="3:39" x14ac:dyDescent="0.2"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</row>
    <row r="413" spans="3:39" x14ac:dyDescent="0.2"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</row>
    <row r="414" spans="3:39" x14ac:dyDescent="0.2"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</row>
    <row r="415" spans="3:39" x14ac:dyDescent="0.2"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</row>
    <row r="416" spans="3:39" x14ac:dyDescent="0.2"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</row>
    <row r="417" spans="3:39" x14ac:dyDescent="0.2"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</row>
    <row r="418" spans="3:39" x14ac:dyDescent="0.2"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</row>
    <row r="419" spans="3:39" x14ac:dyDescent="0.2"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</row>
    <row r="420" spans="3:39" x14ac:dyDescent="0.2"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</row>
    <row r="421" spans="3:39" x14ac:dyDescent="0.2"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</row>
    <row r="422" spans="3:39" x14ac:dyDescent="0.2"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</row>
    <row r="423" spans="3:39" x14ac:dyDescent="0.2"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</row>
    <row r="424" spans="3:39" x14ac:dyDescent="0.2"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</row>
    <row r="425" spans="3:39" x14ac:dyDescent="0.2"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</row>
    <row r="426" spans="3:39" x14ac:dyDescent="0.2"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</row>
    <row r="427" spans="3:39" x14ac:dyDescent="0.2"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</row>
    <row r="428" spans="3:39" x14ac:dyDescent="0.2"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</row>
    <row r="429" spans="3:39" x14ac:dyDescent="0.2"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</row>
    <row r="430" spans="3:39" x14ac:dyDescent="0.2"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</row>
    <row r="431" spans="3:39" x14ac:dyDescent="0.2"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</row>
    <row r="432" spans="3:39" x14ac:dyDescent="0.2"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</row>
    <row r="433" spans="3:39" x14ac:dyDescent="0.2"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</row>
    <row r="434" spans="3:39" x14ac:dyDescent="0.2"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</row>
    <row r="435" spans="3:39" x14ac:dyDescent="0.2"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</row>
    <row r="436" spans="3:39" x14ac:dyDescent="0.2"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</row>
    <row r="437" spans="3:39" x14ac:dyDescent="0.2"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</row>
    <row r="438" spans="3:39" x14ac:dyDescent="0.2"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</row>
    <row r="439" spans="3:39" x14ac:dyDescent="0.2"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</row>
    <row r="440" spans="3:39" x14ac:dyDescent="0.2"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</row>
    <row r="441" spans="3:39" x14ac:dyDescent="0.2"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</row>
    <row r="442" spans="3:39" x14ac:dyDescent="0.2"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</row>
    <row r="443" spans="3:39" x14ac:dyDescent="0.2"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</row>
    <row r="444" spans="3:39" x14ac:dyDescent="0.2"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</row>
    <row r="445" spans="3:39" x14ac:dyDescent="0.2"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</row>
    <row r="446" spans="3:39" x14ac:dyDescent="0.2"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</row>
    <row r="447" spans="3:39" x14ac:dyDescent="0.2"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</row>
    <row r="448" spans="3:39" x14ac:dyDescent="0.2"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</row>
    <row r="449" spans="3:39" x14ac:dyDescent="0.2"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</row>
    <row r="450" spans="3:39" x14ac:dyDescent="0.2"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</row>
    <row r="451" spans="3:39" x14ac:dyDescent="0.2"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</row>
    <row r="452" spans="3:39" x14ac:dyDescent="0.2"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</row>
    <row r="453" spans="3:39" x14ac:dyDescent="0.2"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</row>
    <row r="454" spans="3:39" x14ac:dyDescent="0.2"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</row>
    <row r="455" spans="3:39" x14ac:dyDescent="0.2"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</row>
    <row r="456" spans="3:39" x14ac:dyDescent="0.2"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</row>
    <row r="457" spans="3:39" x14ac:dyDescent="0.2"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</row>
    <row r="458" spans="3:39" x14ac:dyDescent="0.2"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</row>
    <row r="459" spans="3:39" x14ac:dyDescent="0.2"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</row>
    <row r="460" spans="3:39" x14ac:dyDescent="0.2"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</row>
    <row r="461" spans="3:39" x14ac:dyDescent="0.2"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</row>
    <row r="462" spans="3:39" x14ac:dyDescent="0.2"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</row>
    <row r="463" spans="3:39" x14ac:dyDescent="0.2"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</row>
    <row r="464" spans="3:39" x14ac:dyDescent="0.2"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</row>
    <row r="465" spans="3:39" x14ac:dyDescent="0.2"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</row>
    <row r="466" spans="3:39" x14ac:dyDescent="0.2"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</row>
    <row r="467" spans="3:39" x14ac:dyDescent="0.2"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</row>
    <row r="468" spans="3:39" x14ac:dyDescent="0.2"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</row>
    <row r="469" spans="3:39" x14ac:dyDescent="0.2"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</row>
    <row r="470" spans="3:39" x14ac:dyDescent="0.2"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</row>
    <row r="471" spans="3:39" x14ac:dyDescent="0.2"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</row>
    <row r="472" spans="3:39" x14ac:dyDescent="0.2"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</row>
    <row r="473" spans="3:39" x14ac:dyDescent="0.2"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</row>
    <row r="474" spans="3:39" x14ac:dyDescent="0.2"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</row>
    <row r="475" spans="3:39" x14ac:dyDescent="0.2"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</row>
    <row r="476" spans="3:39" x14ac:dyDescent="0.2"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</row>
    <row r="477" spans="3:39" x14ac:dyDescent="0.2"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</row>
    <row r="478" spans="3:39" x14ac:dyDescent="0.2"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</row>
    <row r="479" spans="3:39" x14ac:dyDescent="0.2"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</row>
    <row r="480" spans="3:39" x14ac:dyDescent="0.2"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</row>
    <row r="481" spans="3:39" x14ac:dyDescent="0.2"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</row>
    <row r="482" spans="3:39" x14ac:dyDescent="0.2"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</row>
    <row r="483" spans="3:39" x14ac:dyDescent="0.2"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</row>
    <row r="484" spans="3:39" x14ac:dyDescent="0.2"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</row>
    <row r="485" spans="3:39" x14ac:dyDescent="0.2"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</row>
    <row r="486" spans="3:39" x14ac:dyDescent="0.2"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</row>
    <row r="487" spans="3:39" x14ac:dyDescent="0.2"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</row>
    <row r="488" spans="3:39" x14ac:dyDescent="0.2"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</row>
    <row r="489" spans="3:39" x14ac:dyDescent="0.2"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</row>
    <row r="490" spans="3:39" x14ac:dyDescent="0.2"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</row>
    <row r="491" spans="3:39" x14ac:dyDescent="0.2"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</row>
    <row r="492" spans="3:39" x14ac:dyDescent="0.2"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</row>
    <row r="493" spans="3:39" x14ac:dyDescent="0.2"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</row>
    <row r="494" spans="3:39" x14ac:dyDescent="0.2"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</row>
    <row r="495" spans="3:39" x14ac:dyDescent="0.2"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</row>
    <row r="496" spans="3:39" x14ac:dyDescent="0.2"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</row>
    <row r="497" spans="3:39" x14ac:dyDescent="0.2"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</row>
    <row r="498" spans="3:39" x14ac:dyDescent="0.2"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</row>
    <row r="499" spans="3:39" x14ac:dyDescent="0.2"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</row>
    <row r="500" spans="3:39" x14ac:dyDescent="0.2"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</row>
    <row r="501" spans="3:39" x14ac:dyDescent="0.2"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</row>
    <row r="502" spans="3:39" x14ac:dyDescent="0.2"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</row>
    <row r="503" spans="3:39" x14ac:dyDescent="0.2"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</row>
    <row r="504" spans="3:39" x14ac:dyDescent="0.2"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</row>
    <row r="505" spans="3:39" x14ac:dyDescent="0.2"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</row>
    <row r="506" spans="3:39" x14ac:dyDescent="0.2"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</row>
    <row r="507" spans="3:39" x14ac:dyDescent="0.2"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</row>
    <row r="508" spans="3:39" x14ac:dyDescent="0.2"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</row>
    <row r="509" spans="3:39" x14ac:dyDescent="0.2"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</row>
    <row r="510" spans="3:39" x14ac:dyDescent="0.2"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</row>
    <row r="511" spans="3:39" x14ac:dyDescent="0.2"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</row>
    <row r="512" spans="3:39" x14ac:dyDescent="0.2"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</row>
    <row r="513" spans="3:39" x14ac:dyDescent="0.2"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</row>
    <row r="514" spans="3:39" x14ac:dyDescent="0.2"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</row>
    <row r="515" spans="3:39" x14ac:dyDescent="0.2"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</row>
    <row r="516" spans="3:39" x14ac:dyDescent="0.2"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</row>
    <row r="517" spans="3:39" x14ac:dyDescent="0.2"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</row>
    <row r="518" spans="3:39" x14ac:dyDescent="0.2"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</row>
    <row r="519" spans="3:39" x14ac:dyDescent="0.2"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</row>
    <row r="520" spans="3:39" x14ac:dyDescent="0.2"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</row>
    <row r="521" spans="3:39" x14ac:dyDescent="0.2"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</row>
    <row r="522" spans="3:39" x14ac:dyDescent="0.2"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</row>
    <row r="523" spans="3:39" x14ac:dyDescent="0.2"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</row>
    <row r="524" spans="3:39" x14ac:dyDescent="0.2"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</row>
    <row r="525" spans="3:39" x14ac:dyDescent="0.2"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</row>
    <row r="526" spans="3:39" x14ac:dyDescent="0.2"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</row>
    <row r="527" spans="3:39" x14ac:dyDescent="0.2"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</row>
  </sheetData>
  <phoneticPr fontId="4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14D0C-8E54-FD49-9F91-8069ED82671C}">
  <sheetPr codeName="Sheet5"/>
  <dimension ref="A1:AR527"/>
  <sheetViews>
    <sheetView zoomScale="120" zoomScaleNormal="120" workbookViewId="0">
      <pane xSplit="1" ySplit="3" topLeftCell="AH371" activePane="bottomRight" state="frozen"/>
      <selection activeCell="E61" sqref="E61"/>
      <selection pane="topRight" activeCell="E61" sqref="E61"/>
      <selection pane="bottomLeft" activeCell="E61" sqref="E61"/>
      <selection pane="bottomRight" activeCell="AM381" sqref="AM381:AM382"/>
    </sheetView>
  </sheetViews>
  <sheetFormatPr baseColWidth="10" defaultRowHeight="16" x14ac:dyDescent="0.2"/>
  <cols>
    <col min="1" max="1" width="39.33203125" style="2" customWidth="1"/>
    <col min="2" max="2" width="4.33203125" style="6" customWidth="1"/>
    <col min="3" max="39" width="11.83203125" style="2" customWidth="1"/>
    <col min="40" max="78" width="11.83203125" customWidth="1"/>
  </cols>
  <sheetData>
    <row r="1" spans="1:39" x14ac:dyDescent="0.2">
      <c r="B1" s="5">
        <v>0</v>
      </c>
      <c r="C1" s="2">
        <v>1</v>
      </c>
      <c r="D1" s="2">
        <f>C1+1</f>
        <v>2</v>
      </c>
      <c r="E1" s="2">
        <f t="shared" ref="E1:H3" si="0">D1+1</f>
        <v>3</v>
      </c>
      <c r="F1" s="2">
        <f t="shared" si="0"/>
        <v>4</v>
      </c>
      <c r="G1" s="2">
        <f t="shared" si="0"/>
        <v>5</v>
      </c>
      <c r="H1" s="2">
        <f t="shared" si="0"/>
        <v>6</v>
      </c>
      <c r="I1" s="2">
        <f t="shared" ref="I1:I3" si="1">H1+1</f>
        <v>7</v>
      </c>
      <c r="J1" s="2">
        <f t="shared" ref="J1:J3" si="2">I1+1</f>
        <v>8</v>
      </c>
      <c r="K1" s="2">
        <f t="shared" ref="K1:K3" si="3">J1+1</f>
        <v>9</v>
      </c>
      <c r="L1" s="2">
        <f t="shared" ref="L1:L3" si="4">K1+1</f>
        <v>10</v>
      </c>
      <c r="M1" s="2">
        <f t="shared" ref="M1:M3" si="5">L1+1</f>
        <v>11</v>
      </c>
      <c r="N1" s="2">
        <f t="shared" ref="N1:N3" si="6">M1+1</f>
        <v>12</v>
      </c>
      <c r="O1" s="2">
        <f t="shared" ref="O1:O3" si="7">N1+1</f>
        <v>13</v>
      </c>
      <c r="P1" s="2">
        <f t="shared" ref="P1:P3" si="8">O1+1</f>
        <v>14</v>
      </c>
      <c r="Q1" s="2">
        <f t="shared" ref="Q1:Q3" si="9">P1+1</f>
        <v>15</v>
      </c>
      <c r="R1" s="2">
        <f t="shared" ref="R1:R3" si="10">Q1+1</f>
        <v>16</v>
      </c>
      <c r="S1" s="2">
        <f t="shared" ref="S1:S3" si="11">R1+1</f>
        <v>17</v>
      </c>
      <c r="T1" s="2">
        <f t="shared" ref="T1:T3" si="12">S1+1</f>
        <v>18</v>
      </c>
      <c r="U1" s="2">
        <f t="shared" ref="U1:U3" si="13">T1+1</f>
        <v>19</v>
      </c>
      <c r="V1" s="2">
        <f t="shared" ref="V1:V3" si="14">U1+1</f>
        <v>20</v>
      </c>
      <c r="W1" s="2">
        <f t="shared" ref="W1:W3" si="15">V1+1</f>
        <v>21</v>
      </c>
      <c r="X1" s="2">
        <f t="shared" ref="X1:X3" si="16">W1+1</f>
        <v>22</v>
      </c>
      <c r="Y1" s="2">
        <f t="shared" ref="Y1:Y3" si="17">X1+1</f>
        <v>23</v>
      </c>
      <c r="Z1" s="2">
        <f t="shared" ref="Z1:Z3" si="18">Y1+1</f>
        <v>24</v>
      </c>
      <c r="AA1" s="2">
        <f t="shared" ref="AA1:AA3" si="19">Z1+1</f>
        <v>25</v>
      </c>
      <c r="AB1" s="2">
        <f t="shared" ref="AB1:AB3" si="20">AA1+1</f>
        <v>26</v>
      </c>
      <c r="AC1" s="2">
        <f t="shared" ref="AC1:AC3" si="21">AB1+1</f>
        <v>27</v>
      </c>
      <c r="AD1" s="2">
        <f t="shared" ref="AD1:AD3" si="22">AC1+1</f>
        <v>28</v>
      </c>
      <c r="AE1" s="2">
        <f t="shared" ref="AE1:AE3" si="23">AD1+1</f>
        <v>29</v>
      </c>
      <c r="AF1" s="2">
        <f t="shared" ref="AF1:AF3" si="24">AE1+1</f>
        <v>30</v>
      </c>
      <c r="AG1" s="2">
        <f t="shared" ref="AG1:AG3" si="25">AF1+1</f>
        <v>31</v>
      </c>
      <c r="AH1" s="2">
        <f t="shared" ref="AH1:AH3" si="26">AG1+1</f>
        <v>32</v>
      </c>
      <c r="AI1" s="2">
        <f t="shared" ref="AI1:AI3" si="27">AH1+1</f>
        <v>33</v>
      </c>
      <c r="AJ1" s="2">
        <f t="shared" ref="AJ1:AJ3" si="28">AI1+1</f>
        <v>34</v>
      </c>
      <c r="AK1" s="2">
        <f t="shared" ref="AK1:AK3" si="29">AJ1+1</f>
        <v>35</v>
      </c>
      <c r="AL1" s="2">
        <f t="shared" ref="AL1:AL3" si="30">AK1+1</f>
        <v>36</v>
      </c>
      <c r="AM1" s="2">
        <f t="shared" ref="AM1:AM3" si="31">AL1+1</f>
        <v>37</v>
      </c>
    </row>
    <row r="2" spans="1:39" x14ac:dyDescent="0.2">
      <c r="A2" s="10"/>
      <c r="B2" s="5" t="s">
        <v>5</v>
      </c>
      <c r="C2" s="2">
        <f ca="1">YEAR(TODAY())</f>
        <v>2026</v>
      </c>
      <c r="D2" s="2">
        <f ca="1">C2+1</f>
        <v>2027</v>
      </c>
      <c r="E2" s="2">
        <f t="shared" ca="1" si="0"/>
        <v>2028</v>
      </c>
      <c r="F2" s="2">
        <f t="shared" ca="1" si="0"/>
        <v>2029</v>
      </c>
      <c r="G2" s="2">
        <f t="shared" ca="1" si="0"/>
        <v>2030</v>
      </c>
      <c r="H2" s="2">
        <f t="shared" ca="1" si="0"/>
        <v>2031</v>
      </c>
      <c r="I2" s="2">
        <f t="shared" ca="1" si="1"/>
        <v>2032</v>
      </c>
      <c r="J2" s="2">
        <f t="shared" ca="1" si="2"/>
        <v>2033</v>
      </c>
      <c r="K2" s="2">
        <f t="shared" ca="1" si="3"/>
        <v>2034</v>
      </c>
      <c r="L2" s="2">
        <f t="shared" ca="1" si="4"/>
        <v>2035</v>
      </c>
      <c r="M2" s="2">
        <f t="shared" ca="1" si="5"/>
        <v>2036</v>
      </c>
      <c r="N2" s="2">
        <f t="shared" ca="1" si="6"/>
        <v>2037</v>
      </c>
      <c r="O2" s="2">
        <f t="shared" ca="1" si="7"/>
        <v>2038</v>
      </c>
      <c r="P2" s="2">
        <f t="shared" ca="1" si="8"/>
        <v>2039</v>
      </c>
      <c r="Q2" s="2">
        <f t="shared" ca="1" si="9"/>
        <v>2040</v>
      </c>
      <c r="R2" s="2">
        <f t="shared" ca="1" si="10"/>
        <v>2041</v>
      </c>
      <c r="S2" s="2">
        <f t="shared" ca="1" si="11"/>
        <v>2042</v>
      </c>
      <c r="T2" s="2">
        <f t="shared" ca="1" si="12"/>
        <v>2043</v>
      </c>
      <c r="U2" s="2">
        <f t="shared" ca="1" si="13"/>
        <v>2044</v>
      </c>
      <c r="V2" s="2">
        <f t="shared" ca="1" si="14"/>
        <v>2045</v>
      </c>
      <c r="W2" s="2">
        <f t="shared" ca="1" si="15"/>
        <v>2046</v>
      </c>
      <c r="X2" s="2">
        <f t="shared" ca="1" si="16"/>
        <v>2047</v>
      </c>
      <c r="Y2" s="2">
        <f t="shared" ca="1" si="17"/>
        <v>2048</v>
      </c>
      <c r="Z2" s="2">
        <f t="shared" ca="1" si="18"/>
        <v>2049</v>
      </c>
      <c r="AA2" s="2">
        <f t="shared" ca="1" si="19"/>
        <v>2050</v>
      </c>
      <c r="AB2" s="2">
        <f t="shared" ca="1" si="20"/>
        <v>2051</v>
      </c>
      <c r="AC2" s="2">
        <f t="shared" ca="1" si="21"/>
        <v>2052</v>
      </c>
      <c r="AD2" s="2">
        <f t="shared" ca="1" si="22"/>
        <v>2053</v>
      </c>
      <c r="AE2" s="2">
        <f t="shared" ca="1" si="23"/>
        <v>2054</v>
      </c>
      <c r="AF2" s="2">
        <f t="shared" ca="1" si="24"/>
        <v>2055</v>
      </c>
      <c r="AG2" s="2">
        <f t="shared" ca="1" si="25"/>
        <v>2056</v>
      </c>
      <c r="AH2" s="2">
        <f t="shared" ca="1" si="26"/>
        <v>2057</v>
      </c>
      <c r="AI2" s="2">
        <f t="shared" ca="1" si="27"/>
        <v>2058</v>
      </c>
      <c r="AJ2" s="2">
        <f t="shared" ca="1" si="28"/>
        <v>2059</v>
      </c>
      <c r="AK2" s="2">
        <f t="shared" ca="1" si="29"/>
        <v>2060</v>
      </c>
      <c r="AL2" s="2">
        <f t="shared" ca="1" si="30"/>
        <v>2061</v>
      </c>
      <c r="AM2" s="2">
        <f t="shared" ca="1" si="31"/>
        <v>2062</v>
      </c>
    </row>
    <row r="3" spans="1:39" x14ac:dyDescent="0.2">
      <c r="A3" s="31"/>
      <c r="B3" s="32">
        <v>49</v>
      </c>
      <c r="C3" s="2">
        <f>Inputs!B4</f>
        <v>48</v>
      </c>
      <c r="D3" s="2">
        <f>C3+1</f>
        <v>49</v>
      </c>
      <c r="E3" s="2">
        <f t="shared" si="0"/>
        <v>50</v>
      </c>
      <c r="F3" s="2">
        <f t="shared" si="0"/>
        <v>51</v>
      </c>
      <c r="G3" s="2">
        <f t="shared" si="0"/>
        <v>52</v>
      </c>
      <c r="H3" s="2">
        <f t="shared" si="0"/>
        <v>53</v>
      </c>
      <c r="I3" s="2">
        <f t="shared" si="1"/>
        <v>54</v>
      </c>
      <c r="J3" s="2">
        <f t="shared" si="2"/>
        <v>55</v>
      </c>
      <c r="K3" s="2">
        <f t="shared" si="3"/>
        <v>56</v>
      </c>
      <c r="L3" s="2">
        <f t="shared" si="4"/>
        <v>57</v>
      </c>
      <c r="M3" s="2">
        <f t="shared" si="5"/>
        <v>58</v>
      </c>
      <c r="N3" s="2">
        <f t="shared" si="6"/>
        <v>59</v>
      </c>
      <c r="O3" s="2">
        <f t="shared" si="7"/>
        <v>60</v>
      </c>
      <c r="P3" s="2">
        <f t="shared" si="8"/>
        <v>61</v>
      </c>
      <c r="Q3" s="2">
        <f t="shared" si="9"/>
        <v>62</v>
      </c>
      <c r="R3" s="2">
        <f t="shared" si="10"/>
        <v>63</v>
      </c>
      <c r="S3" s="2">
        <f t="shared" si="11"/>
        <v>64</v>
      </c>
      <c r="T3" s="2">
        <f t="shared" si="12"/>
        <v>65</v>
      </c>
      <c r="U3" s="2">
        <f t="shared" si="13"/>
        <v>66</v>
      </c>
      <c r="V3" s="2">
        <f t="shared" si="14"/>
        <v>67</v>
      </c>
      <c r="W3" s="2">
        <f t="shared" si="15"/>
        <v>68</v>
      </c>
      <c r="X3" s="2">
        <f t="shared" si="16"/>
        <v>69</v>
      </c>
      <c r="Y3" s="2">
        <f t="shared" si="17"/>
        <v>70</v>
      </c>
      <c r="Z3" s="2">
        <f t="shared" si="18"/>
        <v>71</v>
      </c>
      <c r="AA3" s="2">
        <f t="shared" si="19"/>
        <v>72</v>
      </c>
      <c r="AB3" s="2">
        <f t="shared" si="20"/>
        <v>73</v>
      </c>
      <c r="AC3" s="2">
        <f t="shared" si="21"/>
        <v>74</v>
      </c>
      <c r="AD3" s="2">
        <f t="shared" si="22"/>
        <v>75</v>
      </c>
      <c r="AE3" s="2">
        <f t="shared" si="23"/>
        <v>76</v>
      </c>
      <c r="AF3" s="2">
        <f t="shared" si="24"/>
        <v>77</v>
      </c>
      <c r="AG3" s="2">
        <f t="shared" si="25"/>
        <v>78</v>
      </c>
      <c r="AH3" s="2">
        <f t="shared" si="26"/>
        <v>79</v>
      </c>
      <c r="AI3" s="2">
        <f t="shared" si="27"/>
        <v>80</v>
      </c>
      <c r="AJ3" s="2">
        <f t="shared" si="28"/>
        <v>81</v>
      </c>
      <c r="AK3" s="2">
        <f t="shared" si="29"/>
        <v>82</v>
      </c>
      <c r="AL3" s="2">
        <f t="shared" si="30"/>
        <v>83</v>
      </c>
      <c r="AM3" s="2">
        <f t="shared" si="31"/>
        <v>84</v>
      </c>
    </row>
    <row r="4" spans="1:39" ht="19" x14ac:dyDescent="0.25">
      <c r="A4" s="12" t="s">
        <v>16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</row>
    <row r="5" spans="1:39" x14ac:dyDescent="0.2">
      <c r="A5" s="4" t="s">
        <v>46</v>
      </c>
      <c r="B5" s="8"/>
      <c r="C5" s="7">
        <f ca="1">IF(AND(Inputs!$B$19&gt;C3,$B$3&gt;C3),Inputs!$B$6*(1+sincr)^B1,0)*ProRate</f>
        <v>60000</v>
      </c>
      <c r="D5" s="7">
        <f>IF(AND(Inputs!$B$19&gt;D3,$B$3&gt;D3),Inputs!$B$6*(1+sincr)^C1,0)</f>
        <v>0</v>
      </c>
      <c r="E5" s="7">
        <f>IF(AND(Inputs!$B$19&gt;E3,$B$3&gt;E3),Inputs!$B$6*(1+sincr)^D1,0)</f>
        <v>0</v>
      </c>
      <c r="F5" s="7">
        <f>IF(AND(Inputs!$B$19&gt;F3,$B$3&gt;F3),Inputs!$B$6*(1+sincr)^E1,0)</f>
        <v>0</v>
      </c>
      <c r="G5" s="7">
        <f>IF(AND(Inputs!$B$19&gt;G3,$B$3&gt;G3),Inputs!$B$6*(1+sincr)^F1,0)</f>
        <v>0</v>
      </c>
      <c r="H5" s="7">
        <f>IF(AND(Inputs!$B$19&gt;H3,$B$3&gt;H3),Inputs!$B$6*(1+sincr)^G1,0)</f>
        <v>0</v>
      </c>
      <c r="I5" s="7">
        <f>IF(AND(Inputs!$B$19&gt;I3,$B$3&gt;I3),Inputs!$B$6*(1+sincr)^H1,0)</f>
        <v>0</v>
      </c>
      <c r="J5" s="7">
        <f>IF(AND(Inputs!$B$19&gt;J3,$B$3&gt;J3),Inputs!$B$6*(1+sincr)^I1,0)</f>
        <v>0</v>
      </c>
      <c r="K5" s="7">
        <f>IF(AND(Inputs!$B$19&gt;K3,$B$3&gt;K3),Inputs!$B$6*(1+sincr)^J1,0)</f>
        <v>0</v>
      </c>
      <c r="L5" s="7">
        <f>IF(AND(Inputs!$B$19&gt;L3,$B$3&gt;L3),Inputs!$B$6*(1+sincr)^K1,0)</f>
        <v>0</v>
      </c>
      <c r="M5" s="7">
        <f>IF(AND(Inputs!$B$19&gt;M3,$B$3&gt;M3),Inputs!$B$6*(1+sincr)^L1,0)</f>
        <v>0</v>
      </c>
      <c r="N5" s="7">
        <f>IF(AND(Inputs!$B$19&gt;N3,$B$3&gt;N3),Inputs!$B$6*(1+sincr)^M1,0)</f>
        <v>0</v>
      </c>
      <c r="O5" s="7">
        <f>IF(AND(Inputs!$B$19&gt;O3,$B$3&gt;O3),Inputs!$B$6*(1+sincr)^N1,0)</f>
        <v>0</v>
      </c>
      <c r="P5" s="7">
        <f>IF(AND(Inputs!$B$19&gt;P3,$B$3&gt;P3),Inputs!$B$6*(1+sincr)^O1,0)</f>
        <v>0</v>
      </c>
      <c r="Q5" s="7">
        <f>IF(AND(Inputs!$B$19&gt;Q3,$B$3&gt;Q3),Inputs!$B$6*(1+sincr)^P1,0)</f>
        <v>0</v>
      </c>
      <c r="R5" s="7">
        <f>IF(AND(Inputs!$B$19&gt;R3,$B$3&gt;R3),Inputs!$B$6*(1+sincr)^Q1,0)</f>
        <v>0</v>
      </c>
      <c r="S5" s="7">
        <f>IF(AND(Inputs!$B$19&gt;S3,$B$3&gt;S3),Inputs!$B$6*(1+sincr)^R1,0)</f>
        <v>0</v>
      </c>
      <c r="T5" s="7">
        <f>IF(AND(Inputs!$B$19&gt;T3,$B$3&gt;T3),Inputs!$B$6*(1+sincr)^S1,0)</f>
        <v>0</v>
      </c>
      <c r="U5" s="7">
        <f>IF(AND(Inputs!$B$19&gt;U3,$B$3&gt;U3),Inputs!$B$6*(1+sincr)^T1,0)</f>
        <v>0</v>
      </c>
      <c r="V5" s="7">
        <f>IF(AND(Inputs!$B$19&gt;V3,$B$3&gt;V3),Inputs!$B$6*(1+sincr)^U1,0)</f>
        <v>0</v>
      </c>
      <c r="W5" s="7">
        <f>IF(AND(Inputs!$B$19&gt;W3,$B$3&gt;W3),Inputs!$B$6*(1+sincr)^V1,0)</f>
        <v>0</v>
      </c>
      <c r="X5" s="7">
        <f>IF(AND(Inputs!$B$19&gt;X3,$B$3&gt;X3),Inputs!$B$6*(1+sincr)^W1,0)</f>
        <v>0</v>
      </c>
      <c r="Y5" s="7">
        <f>IF(AND(Inputs!$B$19&gt;Y3,$B$3&gt;Y3),Inputs!$B$6*(1+sincr)^X1,0)</f>
        <v>0</v>
      </c>
      <c r="Z5" s="7">
        <f>IF(AND(Inputs!$B$19&gt;Z3,$B$3&gt;Z3),Inputs!$B$6*(1+sincr)^Y1,0)</f>
        <v>0</v>
      </c>
      <c r="AA5" s="7">
        <f>IF(AND(Inputs!$B$19&gt;AA3,$B$3&gt;AA3),Inputs!$B$6*(1+sincr)^Z1,0)</f>
        <v>0</v>
      </c>
      <c r="AB5" s="7">
        <f>IF(AND(Inputs!$B$19&gt;AB3,$B$3&gt;AB3),Inputs!$B$6*(1+sincr)^AA1,0)</f>
        <v>0</v>
      </c>
      <c r="AC5" s="7">
        <f>IF(AND(Inputs!$B$19&gt;AC3,$B$3&gt;AC3),Inputs!$B$6*(1+sincr)^AB1,0)</f>
        <v>0</v>
      </c>
      <c r="AD5" s="7">
        <f>IF(AND(Inputs!$B$19&gt;AD3,$B$3&gt;AD3),Inputs!$B$6*(1+sincr)^AC1,0)</f>
        <v>0</v>
      </c>
      <c r="AE5" s="7">
        <f>IF(AND(Inputs!$B$19&gt;AE3,$B$3&gt;AE3),Inputs!$B$6*(1+sincr)^AD1,0)</f>
        <v>0</v>
      </c>
      <c r="AF5" s="7">
        <f>IF(AND(Inputs!$B$19&gt;AF3,$B$3&gt;AF3),Inputs!$B$6*(1+sincr)^AE1,0)</f>
        <v>0</v>
      </c>
      <c r="AG5" s="7">
        <f>IF(AND(Inputs!$B$19&gt;AG3,$B$3&gt;AG3),Inputs!$B$6*(1+sincr)^AF1,0)</f>
        <v>0</v>
      </c>
      <c r="AH5" s="7">
        <f>IF(AND(Inputs!$B$19&gt;AH3,$B$3&gt;AH3),Inputs!$B$6*(1+sincr)^AG1,0)</f>
        <v>0</v>
      </c>
      <c r="AI5" s="7">
        <f>IF(AND(Inputs!$B$19&gt;AI3,$B$3&gt;AI3),Inputs!$B$6*(1+sincr)^AH1,0)</f>
        <v>0</v>
      </c>
      <c r="AJ5" s="7">
        <f>IF(AND(Inputs!$B$19&gt;AJ3,$B$3&gt;AJ3),Inputs!$B$6*(1+sincr)^AI1,0)</f>
        <v>0</v>
      </c>
      <c r="AK5" s="7">
        <f>IF(AND(Inputs!$B$19&gt;AK3,$B$3&gt;AK3),Inputs!$B$6*(1+sincr)^AJ1,0)</f>
        <v>0</v>
      </c>
      <c r="AL5" s="7">
        <f>IF(AND(Inputs!$B$19&gt;AL3,$B$3&gt;AL3),Inputs!$B$6*(1+sincr)^AK1,0)</f>
        <v>0</v>
      </c>
      <c r="AM5" s="7">
        <f>IF(AND(Inputs!$B$19&gt;AM3,$B$3&gt;AM3),Inputs!$B$6*(1+sincr)^AL1,0)</f>
        <v>0</v>
      </c>
    </row>
    <row r="6" spans="1:39" x14ac:dyDescent="0.2">
      <c r="A6" s="4" t="s">
        <v>13</v>
      </c>
      <c r="B6" s="8"/>
      <c r="C6" s="7">
        <f ca="1">IF(C$3&lt;=Inputs!$B$120,Inputs!$B$119,0)*(1+inf)^B$1*ProRate</f>
        <v>1500</v>
      </c>
      <c r="D6" s="7">
        <f>IF(D$3&lt;=Inputs!$B$120,Inputs!$B$119,0)*(1+inf)^C$1</f>
        <v>2050</v>
      </c>
      <c r="E6" s="7">
        <f>IF(E$3&lt;=Inputs!$B$120,Inputs!$B$119,0)*(1+inf)^D$1</f>
        <v>2101.25</v>
      </c>
      <c r="F6" s="7">
        <f>IF(F$3&lt;=Inputs!$B$120,Inputs!$B$119,0)*(1+inf)^E$1</f>
        <v>2153.7812499999995</v>
      </c>
      <c r="G6" s="7">
        <f>IF(G$3&lt;=Inputs!$B$120,Inputs!$B$119,0)*(1+inf)^F$1</f>
        <v>2207.6257812499994</v>
      </c>
      <c r="H6" s="7">
        <f>IF(H$3&lt;=Inputs!$B$120,Inputs!$B$119,0)*(1+inf)^G$1</f>
        <v>2262.8164257812491</v>
      </c>
      <c r="I6" s="7">
        <f>IF(I$3&lt;=Inputs!$B$120,Inputs!$B$119,0)*(1+inf)^H$1</f>
        <v>2319.3868364257805</v>
      </c>
      <c r="J6" s="7">
        <f>IF(J$3&lt;=Inputs!$B$120,Inputs!$B$119,0)*(1+inf)^I$1</f>
        <v>2377.3715073364251</v>
      </c>
      <c r="K6" s="7">
        <f>IF(K$3&lt;=Inputs!$B$120,Inputs!$B$119,0)*(1+inf)^J$1</f>
        <v>2436.8057950198354</v>
      </c>
      <c r="L6" s="7">
        <f>IF(L$3&lt;=Inputs!$B$120,Inputs!$B$119,0)*(1+inf)^K$1</f>
        <v>2497.7259398953311</v>
      </c>
      <c r="M6" s="7">
        <f>IF(M$3&lt;=Inputs!$B$120,Inputs!$B$119,0)*(1+inf)^L$1</f>
        <v>2560.169088392714</v>
      </c>
      <c r="N6" s="7">
        <f>IF(N$3&lt;=Inputs!$B$120,Inputs!$B$119,0)*(1+inf)^M$1</f>
        <v>0</v>
      </c>
      <c r="O6" s="7">
        <f>IF(O$3&lt;=Inputs!$B$120,Inputs!$B$119,0)*(1+inf)^N$1</f>
        <v>0</v>
      </c>
      <c r="P6" s="7">
        <f>IF(P$3&lt;=Inputs!$B$120,Inputs!$B$119,0)*(1+inf)^O$1</f>
        <v>0</v>
      </c>
      <c r="Q6" s="7">
        <f>IF(Q$3&lt;=Inputs!$B$120,Inputs!$B$119,0)*(1+inf)^P$1</f>
        <v>0</v>
      </c>
      <c r="R6" s="7">
        <f>IF(R$3&lt;=Inputs!$B$120,Inputs!$B$119,0)*(1+inf)^Q$1</f>
        <v>0</v>
      </c>
      <c r="S6" s="7">
        <f>IF(S$3&lt;=Inputs!$B$120,Inputs!$B$119,0)*(1+inf)^R$1</f>
        <v>0</v>
      </c>
      <c r="T6" s="7">
        <f>IF(T$3&lt;=Inputs!$B$120,Inputs!$B$119,0)*(1+inf)^S$1</f>
        <v>0</v>
      </c>
      <c r="U6" s="7">
        <f>IF(U$3&lt;=Inputs!$B$120,Inputs!$B$119,0)*(1+inf)^T$1</f>
        <v>0</v>
      </c>
      <c r="V6" s="7">
        <f>IF(V$3&lt;=Inputs!$B$120,Inputs!$B$119,0)*(1+inf)^U$1</f>
        <v>0</v>
      </c>
      <c r="W6" s="7">
        <f>IF(W$3&lt;=Inputs!$B$120,Inputs!$B$119,0)*(1+inf)^V$1</f>
        <v>0</v>
      </c>
      <c r="X6" s="7">
        <f>IF(X$3&lt;=Inputs!$B$120,Inputs!$B$119,0)*(1+inf)^W$1</f>
        <v>0</v>
      </c>
      <c r="Y6" s="7">
        <f>IF(Y$3&lt;=Inputs!$B$120,Inputs!$B$119,0)*(1+inf)^X$1</f>
        <v>0</v>
      </c>
      <c r="Z6" s="7">
        <f>IF(Z$3&lt;=Inputs!$B$120,Inputs!$B$119,0)*(1+inf)^Y$1</f>
        <v>0</v>
      </c>
      <c r="AA6" s="7">
        <f>IF(AA$3&lt;=Inputs!$B$120,Inputs!$B$119,0)*(1+inf)^Z$1</f>
        <v>0</v>
      </c>
      <c r="AB6" s="7">
        <f>IF(AB$3&lt;=Inputs!$B$120,Inputs!$B$119,0)*(1+inf)^AA$1</f>
        <v>0</v>
      </c>
      <c r="AC6" s="7">
        <f>IF(AC$3&lt;=Inputs!$B$120,Inputs!$B$119,0)*(1+inf)^AB$1</f>
        <v>0</v>
      </c>
      <c r="AD6" s="7">
        <f>IF(AD$3&lt;=Inputs!$B$120,Inputs!$B$119,0)*(1+inf)^AC$1</f>
        <v>0</v>
      </c>
      <c r="AE6" s="7">
        <f>IF(AE$3&lt;=Inputs!$B$120,Inputs!$B$119,0)*(1+inf)^AD$1</f>
        <v>0</v>
      </c>
      <c r="AF6" s="7">
        <f>IF(AF$3&lt;=Inputs!$B$120,Inputs!$B$119,0)*(1+inf)^AE$1</f>
        <v>0</v>
      </c>
      <c r="AG6" s="7">
        <f>IF(AG$3&lt;=Inputs!$B$120,Inputs!$B$119,0)*(1+inf)^AF$1</f>
        <v>0</v>
      </c>
      <c r="AH6" s="7">
        <f>IF(AH$3&lt;=Inputs!$B$120,Inputs!$B$119,0)*(1+inf)^AG$1</f>
        <v>0</v>
      </c>
      <c r="AI6" s="7">
        <f>IF(AI$3&lt;=Inputs!$B$120,Inputs!$B$119,0)*(1+inf)^AH$1</f>
        <v>0</v>
      </c>
      <c r="AJ6" s="7">
        <f>IF(AJ$3&lt;=Inputs!$B$120,Inputs!$B$119,0)*(1+inf)^AI$1</f>
        <v>0</v>
      </c>
      <c r="AK6" s="7">
        <f>IF(AK$3&lt;=Inputs!$B$120,Inputs!$B$119,0)*(1+inf)^AJ$1</f>
        <v>0</v>
      </c>
      <c r="AL6" s="7">
        <f>IF(AL$3&lt;=Inputs!$B$120,Inputs!$B$119,0)*(1+inf)^AK$1</f>
        <v>0</v>
      </c>
      <c r="AM6" s="7">
        <f>IF(AM$3&lt;=Inputs!$B$120,Inputs!$B$119,0)*(1+inf)^AL$1</f>
        <v>0</v>
      </c>
    </row>
    <row r="7" spans="1:39" x14ac:dyDescent="0.2">
      <c r="A7" s="4" t="s">
        <v>63</v>
      </c>
      <c r="B7" s="8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</row>
    <row r="8" spans="1:39" x14ac:dyDescent="0.2">
      <c r="A8" s="3" t="str">
        <f>TEXT(Inputs!$B$60,"")</f>
        <v>Sliema</v>
      </c>
      <c r="C8" s="7">
        <f ca="1">Inputs!B113*ProRate</f>
        <v>9000</v>
      </c>
      <c r="D8" s="7">
        <f t="shared" ref="D8:S12" ca="1" si="32">C8*(1+rinc)</f>
        <v>9270</v>
      </c>
      <c r="E8" s="7">
        <f t="shared" ca="1" si="32"/>
        <v>9548.1</v>
      </c>
      <c r="F8" s="7">
        <f t="shared" ca="1" si="32"/>
        <v>9834.5430000000015</v>
      </c>
      <c r="G8" s="7">
        <f t="shared" ca="1" si="32"/>
        <v>10129.579290000001</v>
      </c>
      <c r="H8" s="7">
        <f t="shared" ca="1" si="32"/>
        <v>10433.466668700003</v>
      </c>
      <c r="I8" s="7">
        <f t="shared" ca="1" si="32"/>
        <v>10746.470668761003</v>
      </c>
      <c r="J8" s="7">
        <f t="shared" ca="1" si="32"/>
        <v>11068.864788823834</v>
      </c>
      <c r="K8" s="7">
        <f t="shared" ca="1" si="32"/>
        <v>11400.930732488549</v>
      </c>
      <c r="L8" s="7">
        <f t="shared" ca="1" si="32"/>
        <v>11742.958654463206</v>
      </c>
      <c r="M8" s="7">
        <f t="shared" ca="1" si="32"/>
        <v>12095.247414097103</v>
      </c>
      <c r="N8" s="7">
        <f t="shared" ca="1" si="32"/>
        <v>12458.104836520017</v>
      </c>
      <c r="O8" s="7">
        <f t="shared" ca="1" si="32"/>
        <v>12831.847981615618</v>
      </c>
      <c r="P8" s="7">
        <f t="shared" ca="1" si="32"/>
        <v>13216.803421064087</v>
      </c>
      <c r="Q8" s="7">
        <f t="shared" ca="1" si="32"/>
        <v>13613.30752369601</v>
      </c>
      <c r="R8" s="7">
        <f t="shared" ca="1" si="32"/>
        <v>14021.706749406891</v>
      </c>
      <c r="S8" s="7">
        <f t="shared" ca="1" si="32"/>
        <v>14442.357951889098</v>
      </c>
      <c r="T8" s="7">
        <f t="shared" ref="T8:AI12" ca="1" si="33">S8*(1+rinc)</f>
        <v>14875.628690445772</v>
      </c>
      <c r="U8" s="7">
        <f t="shared" ca="1" si="33"/>
        <v>15321.897551159145</v>
      </c>
      <c r="V8" s="7">
        <f t="shared" ca="1" si="33"/>
        <v>15781.55447769392</v>
      </c>
      <c r="W8" s="7">
        <f t="shared" ca="1" si="33"/>
        <v>16255.001112024738</v>
      </c>
      <c r="X8" s="7">
        <f t="shared" ca="1" si="33"/>
        <v>16742.65114538548</v>
      </c>
      <c r="Y8" s="7">
        <f t="shared" ca="1" si="33"/>
        <v>17244.930679747045</v>
      </c>
      <c r="Z8" s="7">
        <f t="shared" ca="1" si="33"/>
        <v>17762.278600139456</v>
      </c>
      <c r="AA8" s="7">
        <f t="shared" ca="1" si="33"/>
        <v>18295.146958143639</v>
      </c>
      <c r="AB8" s="7">
        <f t="shared" ca="1" si="33"/>
        <v>18844.001366887947</v>
      </c>
      <c r="AC8" s="7">
        <f t="shared" ca="1" si="33"/>
        <v>19409.321407894586</v>
      </c>
      <c r="AD8" s="7">
        <f t="shared" ca="1" si="33"/>
        <v>19991.601050131423</v>
      </c>
      <c r="AE8" s="7">
        <f t="shared" ca="1" si="33"/>
        <v>20591.349081635366</v>
      </c>
      <c r="AF8" s="7">
        <f t="shared" ca="1" si="33"/>
        <v>21209.089554084429</v>
      </c>
      <c r="AG8" s="7">
        <f t="shared" ca="1" si="33"/>
        <v>21845.362240706963</v>
      </c>
      <c r="AH8" s="7">
        <f t="shared" ca="1" si="33"/>
        <v>22500.723107928174</v>
      </c>
      <c r="AI8" s="7">
        <f t="shared" ca="1" si="33"/>
        <v>23175.74480116602</v>
      </c>
      <c r="AJ8" s="7">
        <f t="shared" ref="AJ8:AM12" ca="1" si="34">AI8*(1+rinc)</f>
        <v>23871.017145201</v>
      </c>
      <c r="AK8" s="7">
        <f t="shared" ca="1" si="34"/>
        <v>24587.147659557031</v>
      </c>
      <c r="AL8" s="7">
        <f t="shared" ca="1" si="34"/>
        <v>25324.762089343742</v>
      </c>
      <c r="AM8" s="7">
        <f t="shared" ca="1" si="34"/>
        <v>26084.504952024054</v>
      </c>
    </row>
    <row r="9" spans="1:39" x14ac:dyDescent="0.2">
      <c r="A9" s="3" t="str">
        <f>TEXT(Inputs!$B$65,"")</f>
        <v>Gzira</v>
      </c>
      <c r="C9" s="7">
        <f ca="1">Inputs!B114*ProRate</f>
        <v>7500</v>
      </c>
      <c r="D9" s="7">
        <f t="shared" ca="1" si="32"/>
        <v>7725</v>
      </c>
      <c r="E9" s="7">
        <f t="shared" ca="1" si="32"/>
        <v>7956.75</v>
      </c>
      <c r="F9" s="7">
        <f t="shared" ca="1" si="32"/>
        <v>8195.4524999999994</v>
      </c>
      <c r="G9" s="7">
        <f t="shared" ca="1" si="32"/>
        <v>8441.3160749999988</v>
      </c>
      <c r="H9" s="7">
        <f t="shared" ca="1" si="32"/>
        <v>8694.5555572499998</v>
      </c>
      <c r="I9" s="7">
        <f t="shared" ca="1" si="32"/>
        <v>8955.3922239674994</v>
      </c>
      <c r="J9" s="7">
        <f t="shared" ca="1" si="32"/>
        <v>9224.0539906865251</v>
      </c>
      <c r="K9" s="7">
        <f t="shared" ca="1" si="32"/>
        <v>9500.7756104071213</v>
      </c>
      <c r="L9" s="7">
        <f t="shared" ca="1" si="32"/>
        <v>9785.7988787193353</v>
      </c>
      <c r="M9" s="7">
        <f t="shared" ca="1" si="32"/>
        <v>10079.372845080916</v>
      </c>
      <c r="N9" s="7">
        <f t="shared" ca="1" si="32"/>
        <v>10381.754030433343</v>
      </c>
      <c r="O9" s="7">
        <f t="shared" ca="1" si="32"/>
        <v>10693.206651346343</v>
      </c>
      <c r="P9" s="7">
        <f t="shared" ca="1" si="32"/>
        <v>11014.002850886734</v>
      </c>
      <c r="Q9" s="7">
        <f t="shared" ca="1" si="32"/>
        <v>11344.422936413337</v>
      </c>
      <c r="R9" s="7">
        <f t="shared" ca="1" si="32"/>
        <v>11684.755624505737</v>
      </c>
      <c r="S9" s="7">
        <f t="shared" ca="1" si="32"/>
        <v>12035.298293240909</v>
      </c>
      <c r="T9" s="7">
        <f t="shared" ca="1" si="33"/>
        <v>12396.357242038137</v>
      </c>
      <c r="U9" s="7">
        <f t="shared" ca="1" si="33"/>
        <v>12768.247959299282</v>
      </c>
      <c r="V9" s="7">
        <f t="shared" ca="1" si="33"/>
        <v>13151.29539807826</v>
      </c>
      <c r="W9" s="7">
        <f t="shared" ca="1" si="33"/>
        <v>13545.834260020609</v>
      </c>
      <c r="X9" s="7">
        <f t="shared" ca="1" si="33"/>
        <v>13952.209287821228</v>
      </c>
      <c r="Y9" s="7">
        <f t="shared" ca="1" si="33"/>
        <v>14370.775566455864</v>
      </c>
      <c r="Z9" s="7">
        <f t="shared" ca="1" si="33"/>
        <v>14801.898833449541</v>
      </c>
      <c r="AA9" s="7">
        <f t="shared" ca="1" si="33"/>
        <v>15245.955798453027</v>
      </c>
      <c r="AB9" s="7">
        <f t="shared" ca="1" si="33"/>
        <v>15703.334472406619</v>
      </c>
      <c r="AC9" s="7">
        <f t="shared" ca="1" si="33"/>
        <v>16174.434506578818</v>
      </c>
      <c r="AD9" s="7">
        <f t="shared" ca="1" si="33"/>
        <v>16659.667541776183</v>
      </c>
      <c r="AE9" s="7">
        <f t="shared" ca="1" si="33"/>
        <v>17159.457568029469</v>
      </c>
      <c r="AF9" s="7">
        <f t="shared" ca="1" si="33"/>
        <v>17674.241295070355</v>
      </c>
      <c r="AG9" s="7">
        <f t="shared" ca="1" si="33"/>
        <v>18204.468533922467</v>
      </c>
      <c r="AH9" s="7">
        <f t="shared" ca="1" si="33"/>
        <v>18750.602589940143</v>
      </c>
      <c r="AI9" s="7">
        <f t="shared" ca="1" si="33"/>
        <v>19313.120667638348</v>
      </c>
      <c r="AJ9" s="7">
        <f t="shared" ca="1" si="34"/>
        <v>19892.514287667498</v>
      </c>
      <c r="AK9" s="7">
        <f t="shared" ca="1" si="34"/>
        <v>20489.289716297524</v>
      </c>
      <c r="AL9" s="7">
        <f t="shared" ca="1" si="34"/>
        <v>21103.968407786451</v>
      </c>
      <c r="AM9" s="7">
        <f t="shared" ca="1" si="34"/>
        <v>21737.087460020044</v>
      </c>
    </row>
    <row r="10" spans="1:39" x14ac:dyDescent="0.2">
      <c r="A10" s="3" t="str">
        <f>TEXT(Inputs!$B$70,"")</f>
        <v>Qormi</v>
      </c>
      <c r="C10" s="7">
        <f ca="1">Inputs!B115*ProRate</f>
        <v>6000</v>
      </c>
      <c r="D10" s="7">
        <f t="shared" ca="1" si="32"/>
        <v>6180</v>
      </c>
      <c r="E10" s="7">
        <f t="shared" ca="1" si="32"/>
        <v>6365.4000000000005</v>
      </c>
      <c r="F10" s="7">
        <f t="shared" ca="1" si="32"/>
        <v>6556.362000000001</v>
      </c>
      <c r="G10" s="7">
        <f t="shared" ca="1" si="32"/>
        <v>6753.0528600000016</v>
      </c>
      <c r="H10" s="7">
        <f t="shared" ca="1" si="32"/>
        <v>6955.6444458000014</v>
      </c>
      <c r="I10" s="7">
        <f t="shared" ca="1" si="32"/>
        <v>7164.3137791740019</v>
      </c>
      <c r="J10" s="7">
        <f t="shared" ca="1" si="32"/>
        <v>7379.2431925492219</v>
      </c>
      <c r="K10" s="7">
        <f t="shared" ca="1" si="32"/>
        <v>7600.6204883256987</v>
      </c>
      <c r="L10" s="7">
        <f t="shared" ca="1" si="32"/>
        <v>7828.6391029754695</v>
      </c>
      <c r="M10" s="7">
        <f t="shared" ca="1" si="32"/>
        <v>8063.4982760647335</v>
      </c>
      <c r="N10" s="7">
        <f t="shared" ca="1" si="32"/>
        <v>8305.4032243466754</v>
      </c>
      <c r="O10" s="7">
        <f t="shared" ca="1" si="32"/>
        <v>8554.5653210770761</v>
      </c>
      <c r="P10" s="7">
        <f t="shared" ca="1" si="32"/>
        <v>8811.202280709389</v>
      </c>
      <c r="Q10" s="7">
        <f t="shared" ca="1" si="32"/>
        <v>9075.5383491306711</v>
      </c>
      <c r="R10" s="7">
        <f t="shared" ca="1" si="32"/>
        <v>9347.8044996045919</v>
      </c>
      <c r="S10" s="7">
        <f t="shared" ca="1" si="32"/>
        <v>9628.2386345927298</v>
      </c>
      <c r="T10" s="7">
        <f t="shared" ca="1" si="33"/>
        <v>9917.0857936305129</v>
      </c>
      <c r="U10" s="7">
        <f t="shared" ca="1" si="33"/>
        <v>10214.598367439428</v>
      </c>
      <c r="V10" s="7">
        <f t="shared" ca="1" si="33"/>
        <v>10521.036318462611</v>
      </c>
      <c r="W10" s="7">
        <f t="shared" ca="1" si="33"/>
        <v>10836.66740801649</v>
      </c>
      <c r="X10" s="7">
        <f t="shared" ca="1" si="33"/>
        <v>11161.767430256985</v>
      </c>
      <c r="Y10" s="7">
        <f t="shared" ca="1" si="33"/>
        <v>11496.620453164694</v>
      </c>
      <c r="Z10" s="7">
        <f t="shared" ca="1" si="33"/>
        <v>11841.519066759636</v>
      </c>
      <c r="AA10" s="7">
        <f t="shared" ca="1" si="33"/>
        <v>12196.764638762426</v>
      </c>
      <c r="AB10" s="7">
        <f t="shared" ca="1" si="33"/>
        <v>12562.6675779253</v>
      </c>
      <c r="AC10" s="7">
        <f t="shared" ca="1" si="33"/>
        <v>12939.54760526306</v>
      </c>
      <c r="AD10" s="7">
        <f t="shared" ca="1" si="33"/>
        <v>13327.734033420953</v>
      </c>
      <c r="AE10" s="7">
        <f t="shared" ca="1" si="33"/>
        <v>13727.566054423582</v>
      </c>
      <c r="AF10" s="7">
        <f t="shared" ca="1" si="33"/>
        <v>14139.39303605629</v>
      </c>
      <c r="AG10" s="7">
        <f t="shared" ca="1" si="33"/>
        <v>14563.57482713798</v>
      </c>
      <c r="AH10" s="7">
        <f t="shared" ca="1" si="33"/>
        <v>15000.482071952119</v>
      </c>
      <c r="AI10" s="7">
        <f t="shared" ca="1" si="33"/>
        <v>15450.496534110684</v>
      </c>
      <c r="AJ10" s="7">
        <f t="shared" ca="1" si="34"/>
        <v>15914.011430134004</v>
      </c>
      <c r="AK10" s="7">
        <f t="shared" ca="1" si="34"/>
        <v>16391.431773038024</v>
      </c>
      <c r="AL10" s="7">
        <f t="shared" ca="1" si="34"/>
        <v>16883.174726229165</v>
      </c>
      <c r="AM10" s="7">
        <f t="shared" ca="1" si="34"/>
        <v>17389.669968016042</v>
      </c>
    </row>
    <row r="11" spans="1:39" x14ac:dyDescent="0.2">
      <c r="A11" s="3" t="str">
        <f>TEXT(Inputs!$B$75,"")</f>
        <v>Gudja</v>
      </c>
      <c r="C11" s="7">
        <f ca="1">Inputs!B116*ProRate</f>
        <v>3750</v>
      </c>
      <c r="D11" s="7">
        <f t="shared" ca="1" si="32"/>
        <v>3862.5</v>
      </c>
      <c r="E11" s="7">
        <f t="shared" ca="1" si="32"/>
        <v>3978.375</v>
      </c>
      <c r="F11" s="7">
        <f t="shared" ca="1" si="32"/>
        <v>4097.7262499999997</v>
      </c>
      <c r="G11" s="7">
        <f t="shared" ca="1" si="32"/>
        <v>4220.6580374999994</v>
      </c>
      <c r="H11" s="7">
        <f t="shared" ca="1" si="32"/>
        <v>4347.2777786249999</v>
      </c>
      <c r="I11" s="7">
        <f t="shared" ca="1" si="32"/>
        <v>4477.6961119837497</v>
      </c>
      <c r="J11" s="7">
        <f t="shared" ca="1" si="32"/>
        <v>4612.0269953432626</v>
      </c>
      <c r="K11" s="7">
        <f t="shared" ca="1" si="32"/>
        <v>4750.3878052035607</v>
      </c>
      <c r="L11" s="7">
        <f t="shared" ca="1" si="32"/>
        <v>4892.8994393596677</v>
      </c>
      <c r="M11" s="7">
        <f t="shared" ca="1" si="32"/>
        <v>5039.6864225404579</v>
      </c>
      <c r="N11" s="7">
        <f t="shared" ca="1" si="32"/>
        <v>5190.8770152166717</v>
      </c>
      <c r="O11" s="7">
        <f t="shared" ca="1" si="32"/>
        <v>5346.6033256731716</v>
      </c>
      <c r="P11" s="7">
        <f t="shared" ca="1" si="32"/>
        <v>5507.0014254433672</v>
      </c>
      <c r="Q11" s="7">
        <f t="shared" ca="1" si="32"/>
        <v>5672.2114682066685</v>
      </c>
      <c r="R11" s="7">
        <f t="shared" ca="1" si="32"/>
        <v>5842.3778122528684</v>
      </c>
      <c r="S11" s="7">
        <f t="shared" ca="1" si="32"/>
        <v>6017.6491466204543</v>
      </c>
      <c r="T11" s="7">
        <f t="shared" ca="1" si="33"/>
        <v>6198.1786210190685</v>
      </c>
      <c r="U11" s="7">
        <f t="shared" ca="1" si="33"/>
        <v>6384.1239796496411</v>
      </c>
      <c r="V11" s="7">
        <f t="shared" ca="1" si="33"/>
        <v>6575.6476990391302</v>
      </c>
      <c r="W11" s="7">
        <f t="shared" ca="1" si="33"/>
        <v>6772.9171300103044</v>
      </c>
      <c r="X11" s="7">
        <f t="shared" ca="1" si="33"/>
        <v>6976.104643910614</v>
      </c>
      <c r="Y11" s="7">
        <f t="shared" ca="1" si="33"/>
        <v>7185.3877832279322</v>
      </c>
      <c r="Z11" s="7">
        <f t="shared" ca="1" si="33"/>
        <v>7400.9494167247703</v>
      </c>
      <c r="AA11" s="7">
        <f t="shared" ca="1" si="33"/>
        <v>7622.9778992265137</v>
      </c>
      <c r="AB11" s="7">
        <f t="shared" ca="1" si="33"/>
        <v>7851.6672362033096</v>
      </c>
      <c r="AC11" s="7">
        <f t="shared" ca="1" si="33"/>
        <v>8087.2172532894092</v>
      </c>
      <c r="AD11" s="7">
        <f t="shared" ca="1" si="33"/>
        <v>8329.8337708880917</v>
      </c>
      <c r="AE11" s="7">
        <f t="shared" ca="1" si="33"/>
        <v>8579.7287840147346</v>
      </c>
      <c r="AF11" s="7">
        <f t="shared" ca="1" si="33"/>
        <v>8837.1206475351773</v>
      </c>
      <c r="AG11" s="7">
        <f t="shared" ca="1" si="33"/>
        <v>9102.2342669612335</v>
      </c>
      <c r="AH11" s="7">
        <f t="shared" ca="1" si="33"/>
        <v>9375.3012949700715</v>
      </c>
      <c r="AI11" s="7">
        <f t="shared" ca="1" si="33"/>
        <v>9656.560333819174</v>
      </c>
      <c r="AJ11" s="7">
        <f t="shared" ca="1" si="34"/>
        <v>9946.2571438337491</v>
      </c>
      <c r="AK11" s="7">
        <f t="shared" ca="1" si="34"/>
        <v>10244.644858148762</v>
      </c>
      <c r="AL11" s="7">
        <f t="shared" ca="1" si="34"/>
        <v>10551.984203893226</v>
      </c>
      <c r="AM11" s="7">
        <f t="shared" ca="1" si="34"/>
        <v>10868.543730010022</v>
      </c>
    </row>
    <row r="12" spans="1:39" x14ac:dyDescent="0.2">
      <c r="A12" s="3" t="str">
        <f>TEXT(Inputs!$B$80,"")</f>
        <v>Marsa</v>
      </c>
      <c r="C12" s="7">
        <f ca="1">Inputs!B117*ProRate</f>
        <v>4875</v>
      </c>
      <c r="D12" s="7">
        <f t="shared" ca="1" si="32"/>
        <v>5021.25</v>
      </c>
      <c r="E12" s="7">
        <f t="shared" ca="1" si="32"/>
        <v>5171.8874999999998</v>
      </c>
      <c r="F12" s="7">
        <f t="shared" ca="1" si="32"/>
        <v>5327.0441250000003</v>
      </c>
      <c r="G12" s="7">
        <f t="shared" ca="1" si="32"/>
        <v>5486.8554487500005</v>
      </c>
      <c r="H12" s="7">
        <f t="shared" ca="1" si="32"/>
        <v>5651.4611122125007</v>
      </c>
      <c r="I12" s="7">
        <f t="shared" ca="1" si="32"/>
        <v>5821.0049455788758</v>
      </c>
      <c r="J12" s="7">
        <f t="shared" ca="1" si="32"/>
        <v>5995.6350939462418</v>
      </c>
      <c r="K12" s="7">
        <f t="shared" ca="1" si="32"/>
        <v>6175.5041467646288</v>
      </c>
      <c r="L12" s="7">
        <f t="shared" ca="1" si="32"/>
        <v>6360.7692711675681</v>
      </c>
      <c r="M12" s="7">
        <f t="shared" ca="1" si="32"/>
        <v>6551.5923493025957</v>
      </c>
      <c r="N12" s="7">
        <f t="shared" ca="1" si="32"/>
        <v>6748.140119781674</v>
      </c>
      <c r="O12" s="7">
        <f t="shared" ca="1" si="32"/>
        <v>6950.5843233751248</v>
      </c>
      <c r="P12" s="7">
        <f t="shared" ca="1" si="32"/>
        <v>7159.1018530763786</v>
      </c>
      <c r="Q12" s="7">
        <f t="shared" ca="1" si="32"/>
        <v>7373.8749086686703</v>
      </c>
      <c r="R12" s="7">
        <f t="shared" ca="1" si="32"/>
        <v>7595.0911559287306</v>
      </c>
      <c r="S12" s="7">
        <f t="shared" ca="1" si="32"/>
        <v>7822.9438906065925</v>
      </c>
      <c r="T12" s="7">
        <f t="shared" ca="1" si="33"/>
        <v>8057.6322073247902</v>
      </c>
      <c r="U12" s="7">
        <f t="shared" ca="1" si="33"/>
        <v>8299.3611735445338</v>
      </c>
      <c r="V12" s="7">
        <f t="shared" ca="1" si="33"/>
        <v>8548.3420087508694</v>
      </c>
      <c r="W12" s="7">
        <f t="shared" ca="1" si="33"/>
        <v>8804.7922690133964</v>
      </c>
      <c r="X12" s="7">
        <f t="shared" ca="1" si="33"/>
        <v>9068.9360370837985</v>
      </c>
      <c r="Y12" s="7">
        <f t="shared" ca="1" si="33"/>
        <v>9341.0041181963134</v>
      </c>
      <c r="Z12" s="7">
        <f t="shared" ca="1" si="33"/>
        <v>9621.2342417422024</v>
      </c>
      <c r="AA12" s="7">
        <f t="shared" ca="1" si="33"/>
        <v>9909.8712689944696</v>
      </c>
      <c r="AB12" s="7">
        <f t="shared" ca="1" si="33"/>
        <v>10207.167407064304</v>
      </c>
      <c r="AC12" s="7">
        <f t="shared" ca="1" si="33"/>
        <v>10513.382429276233</v>
      </c>
      <c r="AD12" s="7">
        <f t="shared" ca="1" si="33"/>
        <v>10828.783902154521</v>
      </c>
      <c r="AE12" s="7">
        <f t="shared" ca="1" si="33"/>
        <v>11153.647419219156</v>
      </c>
      <c r="AF12" s="7">
        <f t="shared" ca="1" si="33"/>
        <v>11488.256841795732</v>
      </c>
      <c r="AG12" s="7">
        <f t="shared" ca="1" si="33"/>
        <v>11832.904547049604</v>
      </c>
      <c r="AH12" s="7">
        <f t="shared" ca="1" si="33"/>
        <v>12187.891683461092</v>
      </c>
      <c r="AI12" s="7">
        <f t="shared" ca="1" si="33"/>
        <v>12553.528433964924</v>
      </c>
      <c r="AJ12" s="7">
        <f t="shared" ca="1" si="34"/>
        <v>12930.134286983872</v>
      </c>
      <c r="AK12" s="7">
        <f t="shared" ca="1" si="34"/>
        <v>13318.038315593389</v>
      </c>
      <c r="AL12" s="7">
        <f t="shared" ca="1" si="34"/>
        <v>13717.579465061192</v>
      </c>
      <c r="AM12" s="7">
        <f t="shared" ca="1" si="34"/>
        <v>14129.106849013027</v>
      </c>
    </row>
    <row r="13" spans="1:39" x14ac:dyDescent="0.2">
      <c r="A13" s="4" t="s">
        <v>72</v>
      </c>
      <c r="B13" s="8"/>
      <c r="C13" s="7">
        <f ca="1">IF(C$3&lt;Inputs!$B$19,0,Inputs!$B$21)*(1+inf)^B$1*ProRate</f>
        <v>0</v>
      </c>
      <c r="D13" s="7">
        <f>IF(D$3&lt;Inputs!$B$19,0,Inputs!$B$21)*(1+inf)^C$1</f>
        <v>0</v>
      </c>
      <c r="E13" s="7">
        <f>IF(E$3&lt;Inputs!$B$19,0,Inputs!$B$21)*(1+inf)^D$1</f>
        <v>0</v>
      </c>
      <c r="F13" s="7">
        <f>IF(F$3&lt;Inputs!$B$19,0,Inputs!$B$21)*(1+inf)^E$1</f>
        <v>0</v>
      </c>
      <c r="G13" s="7">
        <f>IF(G$3&lt;Inputs!$B$19,0,Inputs!$B$21)*(1+inf)^F$1</f>
        <v>0</v>
      </c>
      <c r="H13" s="7">
        <f>IF(H$3&lt;Inputs!$B$19,0,Inputs!$B$21)*(1+inf)^G$1</f>
        <v>0</v>
      </c>
      <c r="I13" s="7">
        <f>IF(I$3&lt;Inputs!$B$19,0,Inputs!$B$21)*(1+inf)^H$1</f>
        <v>0</v>
      </c>
      <c r="J13" s="7">
        <f>IF(J$3&lt;Inputs!$B$19,0,Inputs!$B$21)*(1+inf)^I$1</f>
        <v>0</v>
      </c>
      <c r="K13" s="7">
        <f>IF(K$3&lt;Inputs!$B$19,0,Inputs!$B$21)*(1+inf)^J$1</f>
        <v>0</v>
      </c>
      <c r="L13" s="7">
        <f>IF(L$3&lt;Inputs!$B$19,0,Inputs!$B$21)*(1+inf)^K$1</f>
        <v>0</v>
      </c>
      <c r="M13" s="7">
        <f>IF(M$3&lt;Inputs!$B$19,0,Inputs!$B$21)*(1+inf)^L$1</f>
        <v>0</v>
      </c>
      <c r="N13" s="7">
        <f>IF(N$3&lt;Inputs!$B$19,0,Inputs!$B$21)*(1+inf)^M$1</f>
        <v>0</v>
      </c>
      <c r="O13" s="7">
        <f>IF(O$3&lt;Inputs!$B$19,0,Inputs!$B$21)*(1+inf)^N$1</f>
        <v>0</v>
      </c>
      <c r="P13" s="7">
        <f>IF(P$3&lt;Inputs!$B$19,0,Inputs!$B$21)*(1+inf)^O$1</f>
        <v>0</v>
      </c>
      <c r="Q13" s="7">
        <f>IF(Q$3&lt;Inputs!$B$19,0,Inputs!$B$21)*(1+inf)^P$1</f>
        <v>0</v>
      </c>
      <c r="R13" s="7">
        <f>IF(R$3&lt;Inputs!$B$19,0,Inputs!$B$21)*(1+inf)^Q$1</f>
        <v>0</v>
      </c>
      <c r="S13" s="7">
        <f>IF(S$3&lt;Inputs!$B$19,0,Inputs!$B$21)*(1+inf)^R$1</f>
        <v>0</v>
      </c>
      <c r="T13" s="7">
        <f>IF(T$3&lt;Inputs!$B$19,0,Inputs!$B$21)*(1+inf)^S$1</f>
        <v>24345.892178833234</v>
      </c>
      <c r="U13" s="7">
        <f>IF(U$3&lt;Inputs!$B$19,0,Inputs!$B$21)*(1+inf)^T$1</f>
        <v>24954.539483304063</v>
      </c>
      <c r="V13" s="7">
        <f>IF(V$3&lt;Inputs!$B$19,0,Inputs!$B$21)*(1+inf)^U$1</f>
        <v>25578.402970386665</v>
      </c>
      <c r="W13" s="7">
        <f>IF(W$3&lt;Inputs!$B$19,0,Inputs!$B$21)*(1+inf)^V$1</f>
        <v>26217.863044646328</v>
      </c>
      <c r="X13" s="7">
        <f>IF(X$3&lt;Inputs!$B$19,0,Inputs!$B$21)*(1+inf)^W$1</f>
        <v>26873.309620762484</v>
      </c>
      <c r="Y13" s="7">
        <f>IF(Y$3&lt;Inputs!$B$19,0,Inputs!$B$21)*(1+inf)^X$1</f>
        <v>27545.142361281545</v>
      </c>
      <c r="Z13" s="7">
        <f>IF(Z$3&lt;Inputs!$B$19,0,Inputs!$B$21)*(1+inf)^Y$1</f>
        <v>28233.770920313586</v>
      </c>
      <c r="AA13" s="7">
        <f>IF(AA$3&lt;Inputs!$B$19,0,Inputs!$B$21)*(1+inf)^Z$1</f>
        <v>28939.615193321424</v>
      </c>
      <c r="AB13" s="7">
        <f>IF(AB$3&lt;Inputs!$B$19,0,Inputs!$B$21)*(1+inf)^AA$1</f>
        <v>29663.105573154455</v>
      </c>
      <c r="AC13" s="7">
        <f>IF(AC$3&lt;Inputs!$B$19,0,Inputs!$B$21)*(1+inf)^AB$1</f>
        <v>30404.683212483313</v>
      </c>
      <c r="AD13" s="7">
        <f>IF(AD$3&lt;Inputs!$B$19,0,Inputs!$B$21)*(1+inf)^AC$1</f>
        <v>31164.800292795393</v>
      </c>
      <c r="AE13" s="7">
        <f>IF(AE$3&lt;Inputs!$B$19,0,Inputs!$B$21)*(1+inf)^AD$1</f>
        <v>31943.920300115278</v>
      </c>
      <c r="AF13" s="7">
        <f>IF(AF$3&lt;Inputs!$B$19,0,Inputs!$B$21)*(1+inf)^AE$1</f>
        <v>32742.518307618164</v>
      </c>
      <c r="AG13" s="7">
        <f>IF(AG$3&lt;Inputs!$B$19,0,Inputs!$B$21)*(1+inf)^AF$1</f>
        <v>33561.08126530861</v>
      </c>
      <c r="AH13" s="7">
        <f>IF(AH$3&lt;Inputs!$B$19,0,Inputs!$B$21)*(1+inf)^AG$1</f>
        <v>34400.108296941333</v>
      </c>
      <c r="AI13" s="7">
        <f>IF(AI$3&lt;Inputs!$B$19,0,Inputs!$B$21)*(1+inf)^AH$1</f>
        <v>35260.111004364859</v>
      </c>
      <c r="AJ13" s="7">
        <f>IF(AJ$3&lt;Inputs!$B$19,0,Inputs!$B$21)*(1+inf)^AI$1</f>
        <v>36141.613779473977</v>
      </c>
      <c r="AK13" s="7">
        <f>IF(AK$3&lt;Inputs!$B$19,0,Inputs!$B$21)*(1+inf)^AJ$1</f>
        <v>37045.154123960827</v>
      </c>
      <c r="AL13" s="7">
        <f>IF(AL$3&lt;Inputs!$B$19,0,Inputs!$B$21)*(1+inf)^AK$1</f>
        <v>37971.28297705984</v>
      </c>
      <c r="AM13" s="7">
        <f>IF(AM$3&lt;Inputs!$B$19,0,Inputs!$B$21)*(1+inf)^AL$1</f>
        <v>38920.565051486345</v>
      </c>
    </row>
    <row r="14" spans="1:39" x14ac:dyDescent="0.2">
      <c r="A14" s="4" t="s">
        <v>73</v>
      </c>
      <c r="B14" s="8"/>
      <c r="C14" s="7">
        <f ca="1">MIN(0,MAX(-IF(C13=0,0,(Inputs!$B$19-INDEX(3:3,MATCH(0,5:5,0))))*Inputs!$B$277*(1+inf)^B$1*ProRate,-C13))</f>
        <v>0</v>
      </c>
      <c r="D14" s="7">
        <f>MIN(0,MAX(-IF(D13=0,0,(Inputs!$B$19-INDEX(3:3,MATCH(0,5:5,0))))*Inputs!$B$277*(1+inf)^C$1,-D13))</f>
        <v>0</v>
      </c>
      <c r="E14" s="7">
        <f>MIN(0,MAX(-IF(E13=0,0,(Inputs!$B$19-INDEX(3:3,MATCH(0,5:5,0))))*Inputs!$B$277*(1+inf)^D$1,-E13))</f>
        <v>0</v>
      </c>
      <c r="F14" s="7">
        <f>MIN(0,MAX(-IF(F13=0,0,(Inputs!$B$19-INDEX(3:3,MATCH(0,5:5,0))))*Inputs!$B$277*(1+inf)^E$1,-F13))</f>
        <v>0</v>
      </c>
      <c r="G14" s="7">
        <f>MIN(0,MAX(-IF(G13=0,0,(Inputs!$B$19-INDEX(3:3,MATCH(0,5:5,0))))*Inputs!$B$277*(1+inf)^F$1,-G13))</f>
        <v>0</v>
      </c>
      <c r="H14" s="7">
        <f>MIN(0,MAX(-IF(H13=0,0,(Inputs!$B$19-INDEX(3:3,MATCH(0,5:5,0))))*Inputs!$B$277*(1+inf)^G$1,-H13))</f>
        <v>0</v>
      </c>
      <c r="I14" s="7">
        <f>MIN(0,MAX(-IF(I13=0,0,(Inputs!$B$19-INDEX(3:3,MATCH(0,5:5,0))))*Inputs!$B$277*(1+inf)^H$1,-I13))</f>
        <v>0</v>
      </c>
      <c r="J14" s="7">
        <f>MIN(0,MAX(-IF(J13=0,0,(Inputs!$B$19-INDEX(3:3,MATCH(0,5:5,0))))*Inputs!$B$277*(1+inf)^I$1,-J13))</f>
        <v>0</v>
      </c>
      <c r="K14" s="7">
        <f>MIN(0,MAX(-IF(K13=0,0,(Inputs!$B$19-INDEX(3:3,MATCH(0,5:5,0))))*Inputs!$B$277*(1+inf)^J$1,-K13))</f>
        <v>0</v>
      </c>
      <c r="L14" s="7">
        <f>MIN(0,MAX(-IF(L13=0,0,(Inputs!$B$19-INDEX(3:3,MATCH(0,5:5,0))))*Inputs!$B$277*(1+inf)^K$1,-L13))</f>
        <v>0</v>
      </c>
      <c r="M14" s="7">
        <f>MIN(0,MAX(-IF(M13=0,0,(Inputs!$B$19-INDEX(3:3,MATCH(0,5:5,0))))*Inputs!$B$277*(1+inf)^L$1,-M13))</f>
        <v>0</v>
      </c>
      <c r="N14" s="7">
        <f>MIN(0,MAX(-IF(N13=0,0,(Inputs!$B$19-INDEX(3:3,MATCH(0,5:5,0))))*Inputs!$B$277*(1+inf)^M$1,-N13))</f>
        <v>0</v>
      </c>
      <c r="O14" s="7">
        <f>MIN(0,MAX(-IF(O13=0,0,(Inputs!$B$19-INDEX(3:3,MATCH(0,5:5,0))))*Inputs!$B$277*(1+inf)^N$1,-O13))</f>
        <v>0</v>
      </c>
      <c r="P14" s="7">
        <f>MIN(0,MAX(-IF(P13=0,0,(Inputs!$B$19-INDEX(3:3,MATCH(0,5:5,0))))*Inputs!$B$277*(1+inf)^O$1,-P13))</f>
        <v>0</v>
      </c>
      <c r="Q14" s="7">
        <f>MIN(0,MAX(-IF(Q13=0,0,(Inputs!$B$19-INDEX(3:3,MATCH(0,5:5,0))))*Inputs!$B$277*(1+inf)^P$1,-Q13))</f>
        <v>0</v>
      </c>
      <c r="R14" s="7">
        <f>MIN(0,MAX(-IF(R13=0,0,(Inputs!$B$19-INDEX(3:3,MATCH(0,5:5,0))))*Inputs!$B$277*(1+inf)^Q$1,-R13))</f>
        <v>0</v>
      </c>
      <c r="S14" s="7">
        <f>MIN(0,MAX(-IF(S13=0,0,(Inputs!$B$19-INDEX(3:3,MATCH(0,5:5,0))))*Inputs!$B$277*(1+inf)^R$1,-S13))</f>
        <v>0</v>
      </c>
      <c r="T14" s="7">
        <f ca="1">MIN(0,MAX(-IF(T13=0,0,(Inputs!$B$19-INDEX(3:3,MATCH(0,5:5,0))))*Inputs!$B$277*(1+inf)^S$1,-T13))</f>
        <v>-7303.7676536499694</v>
      </c>
      <c r="U14" s="7">
        <f ca="1">MIN(0,MAX(-IF(U13=0,0,(Inputs!$B$19-INDEX(3:3,MATCH(0,5:5,0))))*Inputs!$B$277*(1+inf)^T$1,-U13))</f>
        <v>-7486.3618449912192</v>
      </c>
      <c r="V14" s="7">
        <f ca="1">MIN(0,MAX(-IF(V13=0,0,(Inputs!$B$19-INDEX(3:3,MATCH(0,5:5,0))))*Inputs!$B$277*(1+inf)^U$1,-V13))</f>
        <v>-7673.5208911159998</v>
      </c>
      <c r="W14" s="7">
        <f ca="1">MIN(0,MAX(-IF(W13=0,0,(Inputs!$B$19-INDEX(3:3,MATCH(0,5:5,0))))*Inputs!$B$277*(1+inf)^V$1,-W13))</f>
        <v>-7865.3589133938985</v>
      </c>
      <c r="X14" s="7">
        <f ca="1">MIN(0,MAX(-IF(X13=0,0,(Inputs!$B$19-INDEX(3:3,MATCH(0,5:5,0))))*Inputs!$B$277*(1+inf)^W$1,-X13))</f>
        <v>-8061.9928862287452</v>
      </c>
      <c r="Y14" s="7">
        <f ca="1">MIN(0,MAX(-IF(Y13=0,0,(Inputs!$B$19-INDEX(3:3,MATCH(0,5:5,0))))*Inputs!$B$277*(1+inf)^X$1,-Y13))</f>
        <v>-8263.5427083844643</v>
      </c>
      <c r="Z14" s="7">
        <f ca="1">MIN(0,MAX(-IF(Z13=0,0,(Inputs!$B$19-INDEX(3:3,MATCH(0,5:5,0))))*Inputs!$B$277*(1+inf)^Y$1,-Z13))</f>
        <v>-8470.1312760940764</v>
      </c>
      <c r="AA14" s="7">
        <f ca="1">MIN(0,MAX(-IF(AA13=0,0,(Inputs!$B$19-INDEX(3:3,MATCH(0,5:5,0))))*Inputs!$B$277*(1+inf)^Z$1,-AA13))</f>
        <v>-8681.8845579964272</v>
      </c>
      <c r="AB14" s="7">
        <f ca="1">MIN(0,MAX(-IF(AB13=0,0,(Inputs!$B$19-INDEX(3:3,MATCH(0,5:5,0))))*Inputs!$B$277*(1+inf)^AA$1,-AB13))</f>
        <v>-8898.9316719463368</v>
      </c>
      <c r="AC14" s="7">
        <f ca="1">MIN(0,MAX(-IF(AC13=0,0,(Inputs!$B$19-INDEX(3:3,MATCH(0,5:5,0))))*Inputs!$B$277*(1+inf)^AB$1,-AC13))</f>
        <v>-9121.4049637449934</v>
      </c>
      <c r="AD14" s="7">
        <f ca="1">MIN(0,MAX(-IF(AD13=0,0,(Inputs!$B$19-INDEX(3:3,MATCH(0,5:5,0))))*Inputs!$B$277*(1+inf)^AC$1,-AD13))</f>
        <v>-9349.4400878386186</v>
      </c>
      <c r="AE14" s="7">
        <f ca="1">MIN(0,MAX(-IF(AE13=0,0,(Inputs!$B$19-INDEX(3:3,MATCH(0,5:5,0))))*Inputs!$B$277*(1+inf)^AD$1,-AE13))</f>
        <v>-9583.1760900345835</v>
      </c>
      <c r="AF14" s="7">
        <f ca="1">MIN(0,MAX(-IF(AF13=0,0,(Inputs!$B$19-INDEX(3:3,MATCH(0,5:5,0))))*Inputs!$B$277*(1+inf)^AE$1,-AF13))</f>
        <v>-9822.7554922854488</v>
      </c>
      <c r="AG14" s="7">
        <f ca="1">MIN(0,MAX(-IF(AG13=0,0,(Inputs!$B$19-INDEX(3:3,MATCH(0,5:5,0))))*Inputs!$B$277*(1+inf)^AF$1,-AG13))</f>
        <v>-10068.324379592583</v>
      </c>
      <c r="AH14" s="7">
        <f ca="1">MIN(0,MAX(-IF(AH13=0,0,(Inputs!$B$19-INDEX(3:3,MATCH(0,5:5,0))))*Inputs!$B$277*(1+inf)^AG$1,-AH13))</f>
        <v>-10320.032489082399</v>
      </c>
      <c r="AI14" s="7">
        <f ca="1">MIN(0,MAX(-IF(AI13=0,0,(Inputs!$B$19-INDEX(3:3,MATCH(0,5:5,0))))*Inputs!$B$277*(1+inf)^AH$1,-AI13))</f>
        <v>-10578.033301309457</v>
      </c>
      <c r="AJ14" s="7">
        <f ca="1">MIN(0,MAX(-IF(AJ13=0,0,(Inputs!$B$19-INDEX(3:3,MATCH(0,5:5,0))))*Inputs!$B$277*(1+inf)^AI$1,-AJ13))</f>
        <v>-10842.484133842194</v>
      </c>
      <c r="AK14" s="7">
        <f ca="1">MIN(0,MAX(-IF(AK13=0,0,(Inputs!$B$19-INDEX(3:3,MATCH(0,5:5,0))))*Inputs!$B$277*(1+inf)^AJ$1,-AK13))</f>
        <v>-11113.546237188248</v>
      </c>
      <c r="AL14" s="7">
        <f ca="1">MIN(0,MAX(-IF(AL13=0,0,(Inputs!$B$19-INDEX(3:3,MATCH(0,5:5,0))))*Inputs!$B$277*(1+inf)^AK$1,-AL13))</f>
        <v>-11391.384893117953</v>
      </c>
      <c r="AM14" s="7">
        <f ca="1">MIN(0,MAX(-IF(AM13=0,0,(Inputs!$B$19-INDEX(3:3,MATCH(0,5:5,0))))*Inputs!$B$277*(1+inf)^AL$1,-AM13))</f>
        <v>-11676.169515445903</v>
      </c>
    </row>
    <row r="15" spans="1:39" x14ac:dyDescent="0.2">
      <c r="A15" s="4" t="s">
        <v>47</v>
      </c>
      <c r="B15" s="8"/>
      <c r="C15" s="7">
        <f ca="1">IF(AND(C$3&gt;=Inputs!$B$262,C$3&lt;=Inputs!$B$263),Inputs!$B$261*(1+inf)^B$1,0)*ProRate</f>
        <v>0</v>
      </c>
      <c r="D15" s="7">
        <f>IF(AND(D$3&gt;=Inputs!$B$262,D$3&lt;=Inputs!$B$263),Inputs!$B$261*(1+inf)^C$1,0)</f>
        <v>0</v>
      </c>
      <c r="E15" s="7">
        <f>IF(AND(E$3&gt;=Inputs!$B$262,E$3&lt;=Inputs!$B$263),Inputs!$B$261*(1+inf)^D$1,0)</f>
        <v>0</v>
      </c>
      <c r="F15" s="7">
        <f>IF(AND(F$3&gt;=Inputs!$B$262,F$3&lt;=Inputs!$B$263),Inputs!$B$261*(1+inf)^E$1,0)</f>
        <v>0</v>
      </c>
      <c r="G15" s="7">
        <f>IF(AND(G$3&gt;=Inputs!$B$262,G$3&lt;=Inputs!$B$263),Inputs!$B$261*(1+inf)^F$1,0)</f>
        <v>0</v>
      </c>
      <c r="H15" s="7">
        <f>IF(AND(H$3&gt;=Inputs!$B$262,H$3&lt;=Inputs!$B$263),Inputs!$B$261*(1+inf)^G$1,0)</f>
        <v>0</v>
      </c>
      <c r="I15" s="7">
        <f>IF(AND(I$3&gt;=Inputs!$B$262,I$3&lt;=Inputs!$B$263),Inputs!$B$261*(1+inf)^H$1,0)</f>
        <v>0</v>
      </c>
      <c r="J15" s="7">
        <f>IF(AND(J$3&gt;=Inputs!$B$262,J$3&lt;=Inputs!$B$263),Inputs!$B$261*(1+inf)^I$1,0)</f>
        <v>0</v>
      </c>
      <c r="K15" s="7">
        <f>IF(AND(K$3&gt;=Inputs!$B$262,K$3&lt;=Inputs!$B$263),Inputs!$B$261*(1+inf)^J$1,0)</f>
        <v>0</v>
      </c>
      <c r="L15" s="7">
        <f>IF(AND(L$3&gt;=Inputs!$B$262,L$3&lt;=Inputs!$B$263),Inputs!$B$261*(1+inf)^K$1,0)</f>
        <v>0</v>
      </c>
      <c r="M15" s="7">
        <f>IF(AND(M$3&gt;=Inputs!$B$262,M$3&lt;=Inputs!$B$263),Inputs!$B$261*(1+inf)^L$1,0)</f>
        <v>15361.014530356286</v>
      </c>
      <c r="N15" s="7">
        <f>IF(AND(N$3&gt;=Inputs!$B$262,N$3&lt;=Inputs!$B$263),Inputs!$B$261*(1+inf)^M$1,0)</f>
        <v>15745.039893615192</v>
      </c>
      <c r="O15" s="7">
        <f>IF(AND(O$3&gt;=Inputs!$B$262,O$3&lt;=Inputs!$B$263),Inputs!$B$261*(1+inf)^N$1,0)</f>
        <v>16138.66589095557</v>
      </c>
      <c r="P15" s="7">
        <f>IF(AND(P$3&gt;=Inputs!$B$262,P$3&lt;=Inputs!$B$263),Inputs!$B$261*(1+inf)^O$1,0)</f>
        <v>16542.13253822946</v>
      </c>
      <c r="Q15" s="7">
        <f>IF(AND(Q$3&gt;=Inputs!$B$262,Q$3&lt;=Inputs!$B$263),Inputs!$B$261*(1+inf)^P$1,0)</f>
        <v>16955.685851685193</v>
      </c>
      <c r="R15" s="7">
        <f>IF(AND(R$3&gt;=Inputs!$B$262,R$3&lt;=Inputs!$B$263),Inputs!$B$261*(1+inf)^Q$1,0)</f>
        <v>17379.577997977325</v>
      </c>
      <c r="S15" s="7">
        <f>IF(AND(S$3&gt;=Inputs!$B$262,S$3&lt;=Inputs!$B$263),Inputs!$B$261*(1+inf)^R$1,0)</f>
        <v>17814.067447926758</v>
      </c>
      <c r="T15" s="7">
        <f>IF(AND(T$3&gt;=Inputs!$B$262,T$3&lt;=Inputs!$B$263),Inputs!$B$261*(1+inf)^S$1,0)</f>
        <v>18259.419134124924</v>
      </c>
      <c r="U15" s="7">
        <f>IF(AND(U$3&gt;=Inputs!$B$262,U$3&lt;=Inputs!$B$263),Inputs!$B$261*(1+inf)^T$1,0)</f>
        <v>18715.904612478047</v>
      </c>
      <c r="V15" s="7">
        <f>IF(AND(V$3&gt;=Inputs!$B$262,V$3&lt;=Inputs!$B$263),Inputs!$B$261*(1+inf)^U$1,0)</f>
        <v>19183.802227789998</v>
      </c>
      <c r="W15" s="7">
        <f>IF(AND(W$3&gt;=Inputs!$B$262,W$3&lt;=Inputs!$B$263),Inputs!$B$261*(1+inf)^V$1,0)</f>
        <v>19663.397283484748</v>
      </c>
      <c r="X15" s="7">
        <f>IF(AND(X$3&gt;=Inputs!$B$262,X$3&lt;=Inputs!$B$263),Inputs!$B$261*(1+inf)^W$1,0)</f>
        <v>20154.982215571865</v>
      </c>
      <c r="Y15" s="7">
        <f>IF(AND(Y$3&gt;=Inputs!$B$262,Y$3&lt;=Inputs!$B$263),Inputs!$B$261*(1+inf)^X$1,0)</f>
        <v>0</v>
      </c>
      <c r="Z15" s="7">
        <f>IF(AND(Z$3&gt;=Inputs!$B$262,Z$3&lt;=Inputs!$B$263),Inputs!$B$261*(1+inf)^Y$1,0)</f>
        <v>0</v>
      </c>
      <c r="AA15" s="7">
        <f>IF(AND(AA$3&gt;=Inputs!$B$262,AA$3&lt;=Inputs!$B$263),Inputs!$B$261*(1+inf)^Z$1,0)</f>
        <v>0</v>
      </c>
      <c r="AB15" s="7">
        <f>IF(AND(AB$3&gt;=Inputs!$B$262,AB$3&lt;=Inputs!$B$263),Inputs!$B$261*(1+inf)^AA$1,0)</f>
        <v>0</v>
      </c>
      <c r="AC15" s="7">
        <f>IF(AND(AC$3&gt;=Inputs!$B$262,AC$3&lt;=Inputs!$B$263),Inputs!$B$261*(1+inf)^AB$1,0)</f>
        <v>0</v>
      </c>
      <c r="AD15" s="7">
        <f>IF(AND(AD$3&gt;=Inputs!$B$262,AD$3&lt;=Inputs!$B$263),Inputs!$B$261*(1+inf)^AC$1,0)</f>
        <v>0</v>
      </c>
      <c r="AE15" s="7">
        <f>IF(AND(AE$3&gt;=Inputs!$B$262,AE$3&lt;=Inputs!$B$263),Inputs!$B$261*(1+inf)^AD$1,0)</f>
        <v>0</v>
      </c>
      <c r="AF15" s="7">
        <f>IF(AND(AF$3&gt;=Inputs!$B$262,AF$3&lt;=Inputs!$B$263),Inputs!$B$261*(1+inf)^AE$1,0)</f>
        <v>0</v>
      </c>
      <c r="AG15" s="7">
        <f>IF(AND(AG$3&gt;=Inputs!$B$262,AG$3&lt;=Inputs!$B$263),Inputs!$B$261*(1+inf)^AF$1,0)</f>
        <v>0</v>
      </c>
      <c r="AH15" s="7">
        <f>IF(AND(AH$3&gt;=Inputs!$B$262,AH$3&lt;=Inputs!$B$263),Inputs!$B$261*(1+inf)^AG$1,0)</f>
        <v>0</v>
      </c>
      <c r="AI15" s="7">
        <f>IF(AND(AI$3&gt;=Inputs!$B$262,AI$3&lt;=Inputs!$B$263),Inputs!$B$261*(1+inf)^AH$1,0)</f>
        <v>0</v>
      </c>
      <c r="AJ15" s="7">
        <f>IF(AND(AJ$3&gt;=Inputs!$B$262,AJ$3&lt;=Inputs!$B$263),Inputs!$B$261*(1+inf)^AI$1,0)</f>
        <v>0</v>
      </c>
      <c r="AK15" s="7">
        <f>IF(AND(AK$3&gt;=Inputs!$B$262,AK$3&lt;=Inputs!$B$263),Inputs!$B$261*(1+inf)^AJ$1,0)</f>
        <v>0</v>
      </c>
      <c r="AL15" s="7">
        <f>IF(AND(AL$3&gt;=Inputs!$B$262,AL$3&lt;=Inputs!$B$263),Inputs!$B$261*(1+inf)^AK$1,0)</f>
        <v>0</v>
      </c>
      <c r="AM15" s="7">
        <f>IF(AND(AM$3&gt;=Inputs!$B$262,AM$3&lt;=Inputs!$B$263),Inputs!$B$261*(1+inf)^AL$1,0)</f>
        <v>0</v>
      </c>
    </row>
    <row r="16" spans="1:39" x14ac:dyDescent="0.2">
      <c r="A16" s="4" t="s">
        <v>130</v>
      </c>
      <c r="B16" s="8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spans="1:39" x14ac:dyDescent="0.2">
      <c r="A17" s="3" t="str">
        <f>TEXT(Inputs!B184,"")</f>
        <v>Inheritance</v>
      </c>
      <c r="B17" s="8"/>
      <c r="C17" s="7">
        <f ca="1">IF(C$2=Inputs!$B186,Inputs!$B185,0)*(1+inf)^B$1</f>
        <v>0</v>
      </c>
      <c r="D17" s="7">
        <f ca="1">IF(D$2=Inputs!$B186,Inputs!$B185,0)*(1+inf)^C$1</f>
        <v>0</v>
      </c>
      <c r="E17" s="7">
        <f ca="1">IF(E$2=Inputs!$B186,Inputs!$B185,0)*(1+inf)^D$1</f>
        <v>0</v>
      </c>
      <c r="F17" s="7">
        <f ca="1">IF(F$2=Inputs!$B186,Inputs!$B185,0)*(1+inf)^E$1</f>
        <v>0</v>
      </c>
      <c r="G17" s="7">
        <f ca="1">IF(G$2=Inputs!$B186,Inputs!$B185,0)*(1+inf)^F$1</f>
        <v>0</v>
      </c>
      <c r="H17" s="7">
        <f ca="1">IF(H$2=Inputs!$B186,Inputs!$B185,0)*(1+inf)^G$1</f>
        <v>0</v>
      </c>
      <c r="I17" s="7">
        <f ca="1">IF(I$2=Inputs!$B186,Inputs!$B185,0)*(1+inf)^H$1</f>
        <v>0</v>
      </c>
      <c r="J17" s="7">
        <f ca="1">IF(J$2=Inputs!$B186,Inputs!$B185,0)*(1+inf)^I$1</f>
        <v>0</v>
      </c>
      <c r="K17" s="7">
        <f ca="1">IF(K$2=Inputs!$B186,Inputs!$B185,0)*(1+inf)^J$1</f>
        <v>0</v>
      </c>
      <c r="L17" s="7">
        <f ca="1">IF(L$2=Inputs!$B186,Inputs!$B185,0)*(1+inf)^K$1</f>
        <v>62443.14849738327</v>
      </c>
      <c r="M17" s="7">
        <f ca="1">IF(M$2=Inputs!$B186,Inputs!$B185,0)*(1+inf)^L$1</f>
        <v>0</v>
      </c>
      <c r="N17" s="7">
        <f ca="1">IF(N$2=Inputs!$B186,Inputs!$B185,0)*(1+inf)^M$1</f>
        <v>0</v>
      </c>
      <c r="O17" s="7">
        <f ca="1">IF(O$2=Inputs!$B186,Inputs!$B185,0)*(1+inf)^N$1</f>
        <v>0</v>
      </c>
      <c r="P17" s="7">
        <f ca="1">IF(P$2=Inputs!$B186,Inputs!$B185,0)*(1+inf)^O$1</f>
        <v>0</v>
      </c>
      <c r="Q17" s="7">
        <f ca="1">IF(Q$2=Inputs!$B186,Inputs!$B185,0)*(1+inf)^P$1</f>
        <v>0</v>
      </c>
      <c r="R17" s="7">
        <f ca="1">IF(R$2=Inputs!$B186,Inputs!$B185,0)*(1+inf)^Q$1</f>
        <v>0</v>
      </c>
      <c r="S17" s="7">
        <f ca="1">IF(S$2=Inputs!$B186,Inputs!$B185,0)*(1+inf)^R$1</f>
        <v>0</v>
      </c>
      <c r="T17" s="7">
        <f ca="1">IF(T$2=Inputs!$B186,Inputs!$B185,0)*(1+inf)^S$1</f>
        <v>0</v>
      </c>
      <c r="U17" s="7">
        <f ca="1">IF(U$2=Inputs!$B186,Inputs!$B185,0)*(1+inf)^T$1</f>
        <v>0</v>
      </c>
      <c r="V17" s="7">
        <f ca="1">IF(V$2=Inputs!$B186,Inputs!$B185,0)*(1+inf)^U$1</f>
        <v>0</v>
      </c>
      <c r="W17" s="7">
        <f ca="1">IF(W$2=Inputs!$B186,Inputs!$B185,0)*(1+inf)^V$1</f>
        <v>0</v>
      </c>
      <c r="X17" s="7">
        <f ca="1">IF(X$2=Inputs!$B186,Inputs!$B185,0)*(1+inf)^W$1</f>
        <v>0</v>
      </c>
      <c r="Y17" s="7">
        <f ca="1">IF(Y$2=Inputs!$B186,Inputs!$B185,0)*(1+inf)^X$1</f>
        <v>0</v>
      </c>
      <c r="Z17" s="7">
        <f ca="1">IF(Z$2=Inputs!$B186,Inputs!$B185,0)*(1+inf)^Y$1</f>
        <v>0</v>
      </c>
      <c r="AA17" s="7">
        <f ca="1">IF(AA$2=Inputs!$B186,Inputs!$B185,0)*(1+inf)^Z$1</f>
        <v>0</v>
      </c>
      <c r="AB17" s="7">
        <f ca="1">IF(AB$2=Inputs!$B186,Inputs!$B185,0)*(1+inf)^AA$1</f>
        <v>0</v>
      </c>
      <c r="AC17" s="7">
        <f ca="1">IF(AC$2=Inputs!$B186,Inputs!$B185,0)*(1+inf)^AB$1</f>
        <v>0</v>
      </c>
      <c r="AD17" s="7">
        <f ca="1">IF(AD$2=Inputs!$B186,Inputs!$B185,0)*(1+inf)^AC$1</f>
        <v>0</v>
      </c>
      <c r="AE17" s="7">
        <f ca="1">IF(AE$2=Inputs!$B186,Inputs!$B185,0)*(1+inf)^AD$1</f>
        <v>0</v>
      </c>
      <c r="AF17" s="7">
        <f ca="1">IF(AF$2=Inputs!$B186,Inputs!$B185,0)*(1+inf)^AE$1</f>
        <v>0</v>
      </c>
      <c r="AG17" s="7">
        <f ca="1">IF(AG$2=Inputs!$B186,Inputs!$B185,0)*(1+inf)^AF$1</f>
        <v>0</v>
      </c>
      <c r="AH17" s="7">
        <f ca="1">IF(AH$2=Inputs!$B186,Inputs!$B185,0)*(1+inf)^AG$1</f>
        <v>0</v>
      </c>
      <c r="AI17" s="7">
        <f ca="1">IF(AI$2=Inputs!$B186,Inputs!$B185,0)*(1+inf)^AH$1</f>
        <v>0</v>
      </c>
      <c r="AJ17" s="7">
        <f ca="1">IF(AJ$2=Inputs!$B186,Inputs!$B185,0)*(1+inf)^AI$1</f>
        <v>0</v>
      </c>
      <c r="AK17" s="7">
        <f ca="1">IF(AK$2=Inputs!$B186,Inputs!$B185,0)*(1+inf)^AJ$1</f>
        <v>0</v>
      </c>
      <c r="AL17" s="7">
        <f ca="1">IF(AL$2=Inputs!$B186,Inputs!$B185,0)*(1+inf)^AK$1</f>
        <v>0</v>
      </c>
      <c r="AM17" s="7">
        <f ca="1">IF(AM$2=Inputs!$B186,Inputs!$B185,0)*(1+inf)^AL$1</f>
        <v>0</v>
      </c>
    </row>
    <row r="18" spans="1:39" x14ac:dyDescent="0.2">
      <c r="A18" s="3" t="str">
        <f>TEXT(Inputs!B189,"")</f>
        <v>Sell Painting</v>
      </c>
      <c r="B18" s="8"/>
      <c r="C18" s="7">
        <f ca="1">IF(C$2=Inputs!$B191,Inputs!$B190,0)*(1+inf)^B$1</f>
        <v>0</v>
      </c>
      <c r="D18" s="7">
        <f ca="1">IF(D$2=Inputs!$B191,Inputs!$B190,0)*(1+inf)^C$1</f>
        <v>0</v>
      </c>
      <c r="E18" s="7">
        <f ca="1">IF(E$2=Inputs!$B191,Inputs!$B190,0)*(1+inf)^D$1</f>
        <v>0</v>
      </c>
      <c r="F18" s="7">
        <f ca="1">IF(F$2=Inputs!$B191,Inputs!$B190,0)*(1+inf)^E$1</f>
        <v>10768.906249999998</v>
      </c>
      <c r="G18" s="7">
        <f ca="1">IF(G$2=Inputs!$B191,Inputs!$B190,0)*(1+inf)^F$1</f>
        <v>0</v>
      </c>
      <c r="H18" s="7">
        <f ca="1">IF(H$2=Inputs!$B191,Inputs!$B190,0)*(1+inf)^G$1</f>
        <v>0</v>
      </c>
      <c r="I18" s="7">
        <f ca="1">IF(I$2=Inputs!$B191,Inputs!$B190,0)*(1+inf)^H$1</f>
        <v>0</v>
      </c>
      <c r="J18" s="7">
        <f ca="1">IF(J$2=Inputs!$B191,Inputs!$B190,0)*(1+inf)^I$1</f>
        <v>0</v>
      </c>
      <c r="K18" s="7">
        <f ca="1">IF(K$2=Inputs!$B191,Inputs!$B190,0)*(1+inf)^J$1</f>
        <v>0</v>
      </c>
      <c r="L18" s="7">
        <f ca="1">IF(L$2=Inputs!$B191,Inputs!$B190,0)*(1+inf)^K$1</f>
        <v>0</v>
      </c>
      <c r="M18" s="7">
        <f ca="1">IF(M$2=Inputs!$B191,Inputs!$B190,0)*(1+inf)^L$1</f>
        <v>0</v>
      </c>
      <c r="N18" s="7">
        <f ca="1">IF(N$2=Inputs!$B191,Inputs!$B190,0)*(1+inf)^M$1</f>
        <v>0</v>
      </c>
      <c r="O18" s="7">
        <f ca="1">IF(O$2=Inputs!$B191,Inputs!$B190,0)*(1+inf)^N$1</f>
        <v>0</v>
      </c>
      <c r="P18" s="7">
        <f ca="1">IF(P$2=Inputs!$B191,Inputs!$B190,0)*(1+inf)^O$1</f>
        <v>0</v>
      </c>
      <c r="Q18" s="7">
        <f ca="1">IF(Q$2=Inputs!$B191,Inputs!$B190,0)*(1+inf)^P$1</f>
        <v>0</v>
      </c>
      <c r="R18" s="7">
        <f ca="1">IF(R$2=Inputs!$B191,Inputs!$B190,0)*(1+inf)^Q$1</f>
        <v>0</v>
      </c>
      <c r="S18" s="7">
        <f ca="1">IF(S$2=Inputs!$B191,Inputs!$B190,0)*(1+inf)^R$1</f>
        <v>0</v>
      </c>
      <c r="T18" s="7">
        <f ca="1">IF(T$2=Inputs!$B191,Inputs!$B190,0)*(1+inf)^S$1</f>
        <v>0</v>
      </c>
      <c r="U18" s="7">
        <f ca="1">IF(U$2=Inputs!$B191,Inputs!$B190,0)*(1+inf)^T$1</f>
        <v>0</v>
      </c>
      <c r="V18" s="7">
        <f ca="1">IF(V$2=Inputs!$B191,Inputs!$B190,0)*(1+inf)^U$1</f>
        <v>0</v>
      </c>
      <c r="W18" s="7">
        <f ca="1">IF(W$2=Inputs!$B191,Inputs!$B190,0)*(1+inf)^V$1</f>
        <v>0</v>
      </c>
      <c r="X18" s="7">
        <f ca="1">IF(X$2=Inputs!$B191,Inputs!$B190,0)*(1+inf)^W$1</f>
        <v>0</v>
      </c>
      <c r="Y18" s="7">
        <f ca="1">IF(Y$2=Inputs!$B191,Inputs!$B190,0)*(1+inf)^X$1</f>
        <v>0</v>
      </c>
      <c r="Z18" s="7">
        <f ca="1">IF(Z$2=Inputs!$B191,Inputs!$B190,0)*(1+inf)^Y$1</f>
        <v>0</v>
      </c>
      <c r="AA18" s="7">
        <f ca="1">IF(AA$2=Inputs!$B191,Inputs!$B190,0)*(1+inf)^Z$1</f>
        <v>0</v>
      </c>
      <c r="AB18" s="7">
        <f ca="1">IF(AB$2=Inputs!$B191,Inputs!$B190,0)*(1+inf)^AA$1</f>
        <v>0</v>
      </c>
      <c r="AC18" s="7">
        <f ca="1">IF(AC$2=Inputs!$B191,Inputs!$B190,0)*(1+inf)^AB$1</f>
        <v>0</v>
      </c>
      <c r="AD18" s="7">
        <f ca="1">IF(AD$2=Inputs!$B191,Inputs!$B190,0)*(1+inf)^AC$1</f>
        <v>0</v>
      </c>
      <c r="AE18" s="7">
        <f ca="1">IF(AE$2=Inputs!$B191,Inputs!$B190,0)*(1+inf)^AD$1</f>
        <v>0</v>
      </c>
      <c r="AF18" s="7">
        <f ca="1">IF(AF$2=Inputs!$B191,Inputs!$B190,0)*(1+inf)^AE$1</f>
        <v>0</v>
      </c>
      <c r="AG18" s="7">
        <f ca="1">IF(AG$2=Inputs!$B191,Inputs!$B190,0)*(1+inf)^AF$1</f>
        <v>0</v>
      </c>
      <c r="AH18" s="7">
        <f ca="1">IF(AH$2=Inputs!$B191,Inputs!$B190,0)*(1+inf)^AG$1</f>
        <v>0</v>
      </c>
      <c r="AI18" s="7">
        <f ca="1">IF(AI$2=Inputs!$B191,Inputs!$B190,0)*(1+inf)^AH$1</f>
        <v>0</v>
      </c>
      <c r="AJ18" s="7">
        <f ca="1">IF(AJ$2=Inputs!$B191,Inputs!$B190,0)*(1+inf)^AI$1</f>
        <v>0</v>
      </c>
      <c r="AK18" s="7">
        <f ca="1">IF(AK$2=Inputs!$B191,Inputs!$B190,0)*(1+inf)^AJ$1</f>
        <v>0</v>
      </c>
      <c r="AL18" s="7">
        <f ca="1">IF(AL$2=Inputs!$B191,Inputs!$B190,0)*(1+inf)^AK$1</f>
        <v>0</v>
      </c>
      <c r="AM18" s="7">
        <f ca="1">IF(AM$2=Inputs!$B191,Inputs!$B190,0)*(1+inf)^AL$1</f>
        <v>0</v>
      </c>
    </row>
    <row r="19" spans="1:39" x14ac:dyDescent="0.2">
      <c r="A19" s="3" t="str">
        <f>TEXT(Inputs!B194,"")</f>
        <v>Sell Jewels</v>
      </c>
      <c r="B19" s="8"/>
      <c r="C19" s="7">
        <f ca="1">IF(C$2=Inputs!$B196,Inputs!$B195,0)*(1+inf)^B$1</f>
        <v>0</v>
      </c>
      <c r="D19" s="7">
        <f ca="1">IF(D$2=Inputs!$B196,Inputs!$B195,0)*(1+inf)^C$1</f>
        <v>0</v>
      </c>
      <c r="E19" s="7">
        <f ca="1">IF(E$2=Inputs!$B196,Inputs!$B195,0)*(1+inf)^D$1</f>
        <v>0</v>
      </c>
      <c r="F19" s="7">
        <f ca="1">IF(F$2=Inputs!$B196,Inputs!$B195,0)*(1+inf)^E$1</f>
        <v>0</v>
      </c>
      <c r="G19" s="7">
        <f ca="1">IF(G$2=Inputs!$B196,Inputs!$B195,0)*(1+inf)^F$1</f>
        <v>0</v>
      </c>
      <c r="H19" s="7">
        <f ca="1">IF(H$2=Inputs!$B196,Inputs!$B195,0)*(1+inf)^G$1</f>
        <v>0</v>
      </c>
      <c r="I19" s="7">
        <f ca="1">IF(I$2=Inputs!$B196,Inputs!$B195,0)*(1+inf)^H$1</f>
        <v>5798.4670910644509</v>
      </c>
      <c r="J19" s="7">
        <f ca="1">IF(J$2=Inputs!$B196,Inputs!$B195,0)*(1+inf)^I$1</f>
        <v>0</v>
      </c>
      <c r="K19" s="7">
        <f ca="1">IF(K$2=Inputs!$B196,Inputs!$B195,0)*(1+inf)^J$1</f>
        <v>0</v>
      </c>
      <c r="L19" s="7">
        <f ca="1">IF(L$2=Inputs!$B196,Inputs!$B195,0)*(1+inf)^K$1</f>
        <v>0</v>
      </c>
      <c r="M19" s="7">
        <f ca="1">IF(M$2=Inputs!$B196,Inputs!$B195,0)*(1+inf)^L$1</f>
        <v>0</v>
      </c>
      <c r="N19" s="7">
        <f ca="1">IF(N$2=Inputs!$B196,Inputs!$B195,0)*(1+inf)^M$1</f>
        <v>0</v>
      </c>
      <c r="O19" s="7">
        <f ca="1">IF(O$2=Inputs!$B196,Inputs!$B195,0)*(1+inf)^N$1</f>
        <v>0</v>
      </c>
      <c r="P19" s="7">
        <f ca="1">IF(P$2=Inputs!$B196,Inputs!$B195,0)*(1+inf)^O$1</f>
        <v>0</v>
      </c>
      <c r="Q19" s="7">
        <f ca="1">IF(Q$2=Inputs!$B196,Inputs!$B195,0)*(1+inf)^P$1</f>
        <v>0</v>
      </c>
      <c r="R19" s="7">
        <f ca="1">IF(R$2=Inputs!$B196,Inputs!$B195,0)*(1+inf)^Q$1</f>
        <v>0</v>
      </c>
      <c r="S19" s="7">
        <f ca="1">IF(S$2=Inputs!$B196,Inputs!$B195,0)*(1+inf)^R$1</f>
        <v>0</v>
      </c>
      <c r="T19" s="7">
        <f ca="1">IF(T$2=Inputs!$B196,Inputs!$B195,0)*(1+inf)^S$1</f>
        <v>0</v>
      </c>
      <c r="U19" s="7">
        <f ca="1">IF(U$2=Inputs!$B196,Inputs!$B195,0)*(1+inf)^T$1</f>
        <v>0</v>
      </c>
      <c r="V19" s="7">
        <f ca="1">IF(V$2=Inputs!$B196,Inputs!$B195,0)*(1+inf)^U$1</f>
        <v>0</v>
      </c>
      <c r="W19" s="7">
        <f ca="1">IF(W$2=Inputs!$B196,Inputs!$B195,0)*(1+inf)^V$1</f>
        <v>0</v>
      </c>
      <c r="X19" s="7">
        <f ca="1">IF(X$2=Inputs!$B196,Inputs!$B195,0)*(1+inf)^W$1</f>
        <v>0</v>
      </c>
      <c r="Y19" s="7">
        <f ca="1">IF(Y$2=Inputs!$B196,Inputs!$B195,0)*(1+inf)^X$1</f>
        <v>0</v>
      </c>
      <c r="Z19" s="7">
        <f ca="1">IF(Z$2=Inputs!$B196,Inputs!$B195,0)*(1+inf)^Y$1</f>
        <v>0</v>
      </c>
      <c r="AA19" s="7">
        <f ca="1">IF(AA$2=Inputs!$B196,Inputs!$B195,0)*(1+inf)^Z$1</f>
        <v>0</v>
      </c>
      <c r="AB19" s="7">
        <f ca="1">IF(AB$2=Inputs!$B196,Inputs!$B195,0)*(1+inf)^AA$1</f>
        <v>0</v>
      </c>
      <c r="AC19" s="7">
        <f ca="1">IF(AC$2=Inputs!$B196,Inputs!$B195,0)*(1+inf)^AB$1</f>
        <v>0</v>
      </c>
      <c r="AD19" s="7">
        <f ca="1">IF(AD$2=Inputs!$B196,Inputs!$B195,0)*(1+inf)^AC$1</f>
        <v>0</v>
      </c>
      <c r="AE19" s="7">
        <f ca="1">IF(AE$2=Inputs!$B196,Inputs!$B195,0)*(1+inf)^AD$1</f>
        <v>0</v>
      </c>
      <c r="AF19" s="7">
        <f ca="1">IF(AF$2=Inputs!$B196,Inputs!$B195,0)*(1+inf)^AE$1</f>
        <v>0</v>
      </c>
      <c r="AG19" s="7">
        <f ca="1">IF(AG$2=Inputs!$B196,Inputs!$B195,0)*(1+inf)^AF$1</f>
        <v>0</v>
      </c>
      <c r="AH19" s="7">
        <f ca="1">IF(AH$2=Inputs!$B196,Inputs!$B195,0)*(1+inf)^AG$1</f>
        <v>0</v>
      </c>
      <c r="AI19" s="7">
        <f ca="1">IF(AI$2=Inputs!$B196,Inputs!$B195,0)*(1+inf)^AH$1</f>
        <v>0</v>
      </c>
      <c r="AJ19" s="7">
        <f ca="1">IF(AJ$2=Inputs!$B196,Inputs!$B195,0)*(1+inf)^AI$1</f>
        <v>0</v>
      </c>
      <c r="AK19" s="7">
        <f ca="1">IF(AK$2=Inputs!$B196,Inputs!$B195,0)*(1+inf)^AJ$1</f>
        <v>0</v>
      </c>
      <c r="AL19" s="7">
        <f ca="1">IF(AL$2=Inputs!$B196,Inputs!$B195,0)*(1+inf)^AK$1</f>
        <v>0</v>
      </c>
      <c r="AM19" s="7">
        <f ca="1">IF(AM$2=Inputs!$B196,Inputs!$B195,0)*(1+inf)^AL$1</f>
        <v>0</v>
      </c>
    </row>
    <row r="20" spans="1:39" x14ac:dyDescent="0.2">
      <c r="A20" s="4" t="s">
        <v>222</v>
      </c>
      <c r="B20" s="8"/>
      <c r="C20" s="7">
        <f ca="1">IF(AND(Inputs!$B$217&lt;&gt;"",C$2=Inputs!$B$217,Inputs!$B$12&gt;0),(IF(B$1=0,Inputs!$B$12*(1+princ)^ProRate,B69*(1+princ)))*(1-DCprop),0)</f>
        <v>0</v>
      </c>
      <c r="D20" s="7">
        <f ca="1">IF(AND(Inputs!$B$217&lt;&gt;"",D$2=Inputs!$B$217,Inputs!$B$12&gt;0),(IF(C$1=0,Inputs!$B$12*(1+princ)^ProRate,C69*(1+princ)))*(1-DCprop),0)</f>
        <v>0</v>
      </c>
      <c r="E20" s="7">
        <f ca="1">IF(AND(Inputs!$B$217&lt;&gt;"",E$2=Inputs!$B$217,Inputs!$B$12&gt;0),(IF(D$1=0,Inputs!$B$12*(1+princ)^ProRate,D69*(1+princ)))*(1-DCprop),0)</f>
        <v>0</v>
      </c>
      <c r="F20" s="7">
        <f ca="1">IF(AND(Inputs!$B$217&lt;&gt;"",F$2=Inputs!$B$217,Inputs!$B$12&gt;0),(IF(E$1=0,Inputs!$B$12*(1+princ)^ProRate,E69*(1+princ)))*(1-DCprop),0)</f>
        <v>0</v>
      </c>
      <c r="G20" s="7">
        <f ca="1">IF(AND(Inputs!$B$217&lt;&gt;"",G$2=Inputs!$B$217,Inputs!$B$12&gt;0),(IF(F$1=0,Inputs!$B$12*(1+princ)^ProRate,F69*(1+princ)))*(1-DCprop),0)</f>
        <v>489064.0583527881</v>
      </c>
      <c r="H20" s="7">
        <f ca="1">IF(AND(Inputs!$B$217&lt;&gt;"",H$2=Inputs!$B$217,Inputs!$B$12&gt;0),(IF(G$1=0,Inputs!$B$12*(1+princ)^ProRate,G69*(1+princ)))*(1-DCprop),0)</f>
        <v>0</v>
      </c>
      <c r="I20" s="7">
        <f ca="1">IF(AND(Inputs!$B$217&lt;&gt;"",I$2=Inputs!$B$217,Inputs!$B$12&gt;0),(IF(H$1=0,Inputs!$B$12*(1+princ)^ProRate,H69*(1+princ)))*(1-DCprop),0)</f>
        <v>0</v>
      </c>
      <c r="J20" s="7">
        <f ca="1">IF(AND(Inputs!$B$217&lt;&gt;"",J$2=Inputs!$B$217,Inputs!$B$12&gt;0),(IF(I$1=0,Inputs!$B$12*(1+princ)^ProRate,I69*(1+princ)))*(1-DCprop),0)</f>
        <v>0</v>
      </c>
      <c r="K20" s="7">
        <f ca="1">IF(AND(Inputs!$B$217&lt;&gt;"",K$2=Inputs!$B$217,Inputs!$B$12&gt;0),(IF(J$1=0,Inputs!$B$12*(1+princ)^ProRate,J69*(1+princ)))*(1-DCprop),0)</f>
        <v>0</v>
      </c>
      <c r="L20" s="7">
        <f ca="1">IF(AND(Inputs!$B$217&lt;&gt;"",L$2=Inputs!$B$217,Inputs!$B$12&gt;0),(IF(K$1=0,Inputs!$B$12*(1+princ)^ProRate,K69*(1+princ)))*(1-DCprop),0)</f>
        <v>0</v>
      </c>
      <c r="M20" s="7">
        <f ca="1">IF(AND(Inputs!$B$217&lt;&gt;"",M$2=Inputs!$B$217,Inputs!$B$12&gt;0),(IF(L$1=0,Inputs!$B$12*(1+princ)^ProRate,L69*(1+princ)))*(1-DCprop),0)</f>
        <v>0</v>
      </c>
      <c r="N20" s="7">
        <f ca="1">IF(AND(Inputs!$B$217&lt;&gt;"",N$2=Inputs!$B$217,Inputs!$B$12&gt;0),(IF(M$1=0,Inputs!$B$12*(1+princ)^ProRate,M69*(1+princ)))*(1-DCprop),0)</f>
        <v>0</v>
      </c>
      <c r="O20" s="7">
        <f ca="1">IF(AND(Inputs!$B$217&lt;&gt;"",O$2=Inputs!$B$217,Inputs!$B$12&gt;0),(IF(N$1=0,Inputs!$B$12*(1+princ)^ProRate,N69*(1+princ)))*(1-DCprop),0)</f>
        <v>0</v>
      </c>
      <c r="P20" s="7">
        <f ca="1">IF(AND(Inputs!$B$217&lt;&gt;"",P$2=Inputs!$B$217,Inputs!$B$12&gt;0),(IF(O$1=0,Inputs!$B$12*(1+princ)^ProRate,O69*(1+princ)))*(1-DCprop),0)</f>
        <v>0</v>
      </c>
      <c r="Q20" s="7">
        <f ca="1">IF(AND(Inputs!$B$217&lt;&gt;"",Q$2=Inputs!$B$217,Inputs!$B$12&gt;0),(IF(P$1=0,Inputs!$B$12*(1+princ)^ProRate,P69*(1+princ)))*(1-DCprop),0)</f>
        <v>0</v>
      </c>
      <c r="R20" s="7">
        <f ca="1">IF(AND(Inputs!$B$217&lt;&gt;"",R$2=Inputs!$B$217,Inputs!$B$12&gt;0),(IF(Q$1=0,Inputs!$B$12*(1+princ)^ProRate,Q69*(1+princ)))*(1-DCprop),0)</f>
        <v>0</v>
      </c>
      <c r="S20" s="7">
        <f ca="1">IF(AND(Inputs!$B$217&lt;&gt;"",S$2=Inputs!$B$217,Inputs!$B$12&gt;0),(IF(R$1=0,Inputs!$B$12*(1+princ)^ProRate,R69*(1+princ)))*(1-DCprop),0)</f>
        <v>0</v>
      </c>
      <c r="T20" s="7">
        <f ca="1">IF(AND(Inputs!$B$217&lt;&gt;"",T$2=Inputs!$B$217,Inputs!$B$12&gt;0),(IF(S$1=0,Inputs!$B$12*(1+princ)^ProRate,S69*(1+princ)))*(1-DCprop),0)</f>
        <v>0</v>
      </c>
      <c r="U20" s="7">
        <f ca="1">IF(AND(Inputs!$B$217&lt;&gt;"",U$2=Inputs!$B$217,Inputs!$B$12&gt;0),(IF(T$1=0,Inputs!$B$12*(1+princ)^ProRate,T69*(1+princ)))*(1-DCprop),0)</f>
        <v>0</v>
      </c>
      <c r="V20" s="7">
        <f ca="1">IF(AND(Inputs!$B$217&lt;&gt;"",V$2=Inputs!$B$217,Inputs!$B$12&gt;0),(IF(U$1=0,Inputs!$B$12*(1+princ)^ProRate,U69*(1+princ)))*(1-DCprop),0)</f>
        <v>0</v>
      </c>
      <c r="W20" s="7">
        <f ca="1">IF(AND(Inputs!$B$217&lt;&gt;"",W$2=Inputs!$B$217,Inputs!$B$12&gt;0),(IF(V$1=0,Inputs!$B$12*(1+princ)^ProRate,V69*(1+princ)))*(1-DCprop),0)</f>
        <v>0</v>
      </c>
      <c r="X20" s="7">
        <f ca="1">IF(AND(Inputs!$B$217&lt;&gt;"",X$2=Inputs!$B$217,Inputs!$B$12&gt;0),(IF(W$1=0,Inputs!$B$12*(1+princ)^ProRate,W69*(1+princ)))*(1-DCprop),0)</f>
        <v>0</v>
      </c>
      <c r="Y20" s="7">
        <f ca="1">IF(AND(Inputs!$B$217&lt;&gt;"",Y$2=Inputs!$B$217,Inputs!$B$12&gt;0),(IF(X$1=0,Inputs!$B$12*(1+princ)^ProRate,X69*(1+princ)))*(1-DCprop),0)</f>
        <v>0</v>
      </c>
      <c r="Z20" s="7">
        <f ca="1">IF(AND(Inputs!$B$217&lt;&gt;"",Z$2=Inputs!$B$217,Inputs!$B$12&gt;0),(IF(Y$1=0,Inputs!$B$12*(1+princ)^ProRate,Y69*(1+princ)))*(1-DCprop),0)</f>
        <v>0</v>
      </c>
      <c r="AA20" s="7">
        <f ca="1">IF(AND(Inputs!$B$217&lt;&gt;"",AA$2=Inputs!$B$217,Inputs!$B$12&gt;0),(IF(Z$1=0,Inputs!$B$12*(1+princ)^ProRate,Z69*(1+princ)))*(1-DCprop),0)</f>
        <v>0</v>
      </c>
      <c r="AB20" s="7">
        <f ca="1">IF(AND(Inputs!$B$217&lt;&gt;"",AB$2=Inputs!$B$217,Inputs!$B$12&gt;0),(IF(AA$1=0,Inputs!$B$12*(1+princ)^ProRate,AA69*(1+princ)))*(1-DCprop),0)</f>
        <v>0</v>
      </c>
      <c r="AC20" s="7">
        <f ca="1">IF(AND(Inputs!$B$217&lt;&gt;"",AC$2=Inputs!$B$217,Inputs!$B$12&gt;0),(IF(AB$1=0,Inputs!$B$12*(1+princ)^ProRate,AB69*(1+princ)))*(1-DCprop),0)</f>
        <v>0</v>
      </c>
      <c r="AD20" s="7">
        <f ca="1">IF(AND(Inputs!$B$217&lt;&gt;"",AD$2=Inputs!$B$217,Inputs!$B$12&gt;0),(IF(AC$1=0,Inputs!$B$12*(1+princ)^ProRate,AC69*(1+princ)))*(1-DCprop),0)</f>
        <v>0</v>
      </c>
      <c r="AE20" s="7">
        <f ca="1">IF(AND(Inputs!$B$217&lt;&gt;"",AE$2=Inputs!$B$217,Inputs!$B$12&gt;0),(IF(AD$1=0,Inputs!$B$12*(1+princ)^ProRate,AD69*(1+princ)))*(1-DCprop),0)</f>
        <v>0</v>
      </c>
      <c r="AF20" s="7">
        <f ca="1">IF(AND(Inputs!$B$217&lt;&gt;"",AF$2=Inputs!$B$217,Inputs!$B$12&gt;0),(IF(AE$1=0,Inputs!$B$12*(1+princ)^ProRate,AE69*(1+princ)))*(1-DCprop),0)</f>
        <v>0</v>
      </c>
      <c r="AG20" s="7">
        <f ca="1">IF(AND(Inputs!$B$217&lt;&gt;"",AG$2=Inputs!$B$217,Inputs!$B$12&gt;0),(IF(AF$1=0,Inputs!$B$12*(1+princ)^ProRate,AF69*(1+princ)))*(1-DCprop),0)</f>
        <v>0</v>
      </c>
      <c r="AH20" s="7">
        <f ca="1">IF(AND(Inputs!$B$217&lt;&gt;"",AH$2=Inputs!$B$217,Inputs!$B$12&gt;0),(IF(AG$1=0,Inputs!$B$12*(1+princ)^ProRate,AG69*(1+princ)))*(1-DCprop),0)</f>
        <v>0</v>
      </c>
      <c r="AI20" s="7">
        <f ca="1">IF(AND(Inputs!$B$217&lt;&gt;"",AI$2=Inputs!$B$217,Inputs!$B$12&gt;0),(IF(AH$1=0,Inputs!$B$12*(1+princ)^ProRate,AH69*(1+princ)))*(1-DCprop),0)</f>
        <v>0</v>
      </c>
      <c r="AJ20" s="7">
        <f ca="1">IF(AND(Inputs!$B$217&lt;&gt;"",AJ$2=Inputs!$B$217,Inputs!$B$12&gt;0),(IF(AI$1=0,Inputs!$B$12*(1+princ)^ProRate,AI69*(1+princ)))*(1-DCprop),0)</f>
        <v>0</v>
      </c>
      <c r="AK20" s="7">
        <f ca="1">IF(AND(Inputs!$B$217&lt;&gt;"",AK$2=Inputs!$B$217,Inputs!$B$12&gt;0),(IF(AJ$1=0,Inputs!$B$12*(1+princ)^ProRate,AJ69*(1+princ)))*(1-DCprop),0)</f>
        <v>0</v>
      </c>
      <c r="AL20" s="7">
        <f ca="1">IF(AND(Inputs!$B$217&lt;&gt;"",AL$2=Inputs!$B$217,Inputs!$B$12&gt;0),(IF(AK$1=0,Inputs!$B$12*(1+princ)^ProRate,AK69*(1+princ)))*(1-DCprop),0)</f>
        <v>0</v>
      </c>
      <c r="AM20" s="7">
        <f ca="1">IF(AND(Inputs!$B$217&lt;&gt;"",AM$2=Inputs!$B$217,Inputs!$B$12&gt;0),(IF(AL$1=0,Inputs!$B$12*(1+princ)^ProRate,AL69*(1+princ)))*(1-DCprop),0)</f>
        <v>0</v>
      </c>
    </row>
    <row r="21" spans="1:39" x14ac:dyDescent="0.2">
      <c r="A21" s="4" t="s">
        <v>7</v>
      </c>
      <c r="C21" s="7">
        <f ca="1">MAX(AVERAGE(C64,C64+SUM(C5:C20)-C61)*Inputs!$B$269,0)</f>
        <v>1433.4375</v>
      </c>
      <c r="D21" s="7">
        <f ca="1">MAX(AVERAGE(D64,D64+SUM(D5:D20)-D61)*Inputs!$B$269,0)</f>
        <v>773.95781250000005</v>
      </c>
      <c r="E21" s="7">
        <f ca="1">MAX(AVERAGE(E64,E64+SUM(E5:E20)-E61)*Inputs!$B$269,0)</f>
        <v>0</v>
      </c>
      <c r="F21" s="7">
        <f ca="1">MAX(AVERAGE(F64,F64+SUM(F5:F20)-F61)*Inputs!$B$269,0)</f>
        <v>0</v>
      </c>
      <c r="G21" s="7">
        <f ca="1">MAX(AVERAGE(G64,G64+SUM(G5:G20)-G61)*Inputs!$B$269,0)</f>
        <v>0</v>
      </c>
      <c r="H21" s="7">
        <f ca="1">MAX(AVERAGE(H64,H64+SUM(H5:H20)-H61)*Inputs!$B$269,0)</f>
        <v>0</v>
      </c>
      <c r="I21" s="7">
        <f ca="1">MAX(AVERAGE(I64,I64+SUM(I5:I20)-I61)*Inputs!$B$269,0)</f>
        <v>0</v>
      </c>
      <c r="J21" s="7">
        <f ca="1">MAX(AVERAGE(J64,J64+SUM(J5:J20)-J61)*Inputs!$B$269,0)</f>
        <v>0</v>
      </c>
      <c r="K21" s="7">
        <f ca="1">MAX(AVERAGE(K64,K64+SUM(K5:K20)-K61)*Inputs!$B$269,0)</f>
        <v>0</v>
      </c>
      <c r="L21" s="7">
        <f ca="1">MAX(AVERAGE(L64,L64+SUM(L5:L20)-L61)*Inputs!$B$269,0)</f>
        <v>0</v>
      </c>
      <c r="M21" s="7">
        <f ca="1">MAX(AVERAGE(M64,M64+SUM(M5:M20)-M61)*Inputs!$B$269,0)</f>
        <v>0</v>
      </c>
      <c r="N21" s="7">
        <f ca="1">MAX(AVERAGE(N64,N64+SUM(N5:N20)-N61)*Inputs!$B$269,0)</f>
        <v>0</v>
      </c>
      <c r="O21" s="7">
        <f ca="1">MAX(AVERAGE(O64,O64+SUM(O5:O20)-O61)*Inputs!$B$269,0)</f>
        <v>0</v>
      </c>
      <c r="P21" s="7">
        <f ca="1">MAX(AVERAGE(P64,P64+SUM(P5:P20)-P61)*Inputs!$B$269,0)</f>
        <v>0</v>
      </c>
      <c r="Q21" s="7">
        <f ca="1">MAX(AVERAGE(Q64,Q64+SUM(Q5:Q20)-Q61)*Inputs!$B$269,0)</f>
        <v>0</v>
      </c>
      <c r="R21" s="7">
        <f ca="1">MAX(AVERAGE(R64,R64+SUM(R5:R20)-R61)*Inputs!$B$269,0)</f>
        <v>0</v>
      </c>
      <c r="S21" s="7">
        <f ca="1">MAX(AVERAGE(S64,S64+SUM(S5:S20)-S61)*Inputs!$B$269,0)</f>
        <v>0</v>
      </c>
      <c r="T21" s="7">
        <f ca="1">MAX(AVERAGE(T64,T64+SUM(T5:T20)-T61)*Inputs!$B$269,0)</f>
        <v>0</v>
      </c>
      <c r="U21" s="7">
        <f ca="1">MAX(AVERAGE(U64,U64+SUM(U5:U20)-U61)*Inputs!$B$269,0)</f>
        <v>0</v>
      </c>
      <c r="V21" s="7">
        <f ca="1">MAX(AVERAGE(V64,V64+SUM(V5:V20)-V61)*Inputs!$B$269,0)</f>
        <v>0</v>
      </c>
      <c r="W21" s="7">
        <f ca="1">MAX(AVERAGE(W64,W64+SUM(W5:W20)-W61)*Inputs!$B$269,0)</f>
        <v>0</v>
      </c>
      <c r="X21" s="7">
        <f ca="1">MAX(AVERAGE(X64,X64+SUM(X5:X20)-X61)*Inputs!$B$269,0)</f>
        <v>0</v>
      </c>
      <c r="Y21" s="7">
        <f ca="1">MAX(AVERAGE(Y64,Y64+SUM(Y5:Y20)-Y61)*Inputs!$B$269,0)</f>
        <v>0</v>
      </c>
      <c r="Z21" s="7">
        <f ca="1">MAX(AVERAGE(Z64,Z64+SUM(Z5:Z20)-Z61)*Inputs!$B$269,0)</f>
        <v>0</v>
      </c>
      <c r="AA21" s="7">
        <f ca="1">MAX(AVERAGE(AA64,AA64+SUM(AA5:AA20)-AA61)*Inputs!$B$269,0)</f>
        <v>0</v>
      </c>
      <c r="AB21" s="7">
        <f ca="1">MAX(AVERAGE(AB64,AB64+SUM(AB5:AB20)-AB61)*Inputs!$B$269,0)</f>
        <v>0</v>
      </c>
      <c r="AC21" s="7">
        <f ca="1">MAX(AVERAGE(AC64,AC64+SUM(AC5:AC20)-AC61)*Inputs!$B$269,0)</f>
        <v>0</v>
      </c>
      <c r="AD21" s="7">
        <f ca="1">MAX(AVERAGE(AD64,AD64+SUM(AD5:AD20)-AD61)*Inputs!$B$269,0)</f>
        <v>0</v>
      </c>
      <c r="AE21" s="7">
        <f ca="1">MAX(AVERAGE(AE64,AE64+SUM(AE5:AE20)-AE61)*Inputs!$B$269,0)</f>
        <v>0</v>
      </c>
      <c r="AF21" s="7">
        <f ca="1">MAX(AVERAGE(AF64,AF64+SUM(AF5:AF20)-AF61)*Inputs!$B$269,0)</f>
        <v>0</v>
      </c>
      <c r="AG21" s="7">
        <f ca="1">MAX(AVERAGE(AG64,AG64+SUM(AG5:AG20)-AG61)*Inputs!$B$269,0)</f>
        <v>0</v>
      </c>
      <c r="AH21" s="7">
        <f ca="1">MAX(AVERAGE(AH64,AH64+SUM(AH5:AH20)-AH61)*Inputs!$B$269,0)</f>
        <v>0</v>
      </c>
      <c r="AI21" s="7">
        <f ca="1">MAX(AVERAGE(AI64,AI64+SUM(AI5:AI20)-AI61)*Inputs!$B$269,0)</f>
        <v>0</v>
      </c>
      <c r="AJ21" s="7">
        <f ca="1">MAX(AVERAGE(AJ64,AJ64+SUM(AJ5:AJ20)-AJ61)*Inputs!$B$269,0)</f>
        <v>0</v>
      </c>
      <c r="AK21" s="7">
        <f ca="1">MAX(AVERAGE(AK64,AK64+SUM(AK5:AK20)-AK61)*Inputs!$B$269,0)</f>
        <v>0</v>
      </c>
      <c r="AL21" s="7">
        <f ca="1">MAX(AVERAGE(AL64,AL64+SUM(AL5:AL20)-AL61)*Inputs!$B$269,0)</f>
        <v>0</v>
      </c>
      <c r="AM21" s="7">
        <f ca="1">MAX(AVERAGE(AM64,AM64+SUM(AM5:AM20)-AM61)*Inputs!$B$269,0)</f>
        <v>0</v>
      </c>
    </row>
    <row r="22" spans="1:39" x14ac:dyDescent="0.2">
      <c r="C22" s="9">
        <f t="shared" ref="C22:AM22" ca="1" si="35">SUM(C4:C21)</f>
        <v>94058.4375</v>
      </c>
      <c r="D22" s="9">
        <f t="shared" ca="1" si="35"/>
        <v>34882.707812499997</v>
      </c>
      <c r="E22" s="9">
        <f t="shared" ca="1" si="35"/>
        <v>35121.762499999997</v>
      </c>
      <c r="F22" s="9">
        <f t="shared" ca="1" si="35"/>
        <v>46933.815375000006</v>
      </c>
      <c r="G22" s="9">
        <f t="shared" ca="1" si="35"/>
        <v>526303.14584528806</v>
      </c>
      <c r="H22" s="9">
        <f t="shared" ca="1" si="35"/>
        <v>38345.221988368758</v>
      </c>
      <c r="I22" s="9">
        <f t="shared" ca="1" si="35"/>
        <v>45282.731656955359</v>
      </c>
      <c r="J22" s="9">
        <f t="shared" ca="1" si="35"/>
        <v>40657.195568685514</v>
      </c>
      <c r="K22" s="9">
        <f t="shared" ca="1" si="35"/>
        <v>41865.024578209392</v>
      </c>
      <c r="L22" s="9">
        <f t="shared" ca="1" si="35"/>
        <v>105551.93978396384</v>
      </c>
      <c r="M22" s="9">
        <f t="shared" ca="1" si="35"/>
        <v>59750.580925834802</v>
      </c>
      <c r="N22" s="9">
        <f t="shared" ca="1" si="35"/>
        <v>58829.319119913569</v>
      </c>
      <c r="O22" s="9">
        <f t="shared" ca="1" si="35"/>
        <v>60515.473494042904</v>
      </c>
      <c r="P22" s="9">
        <f t="shared" ca="1" si="35"/>
        <v>62250.244369409418</v>
      </c>
      <c r="Q22" s="9">
        <f t="shared" ca="1" si="35"/>
        <v>64035.041037800554</v>
      </c>
      <c r="R22" s="9">
        <f t="shared" ca="1" si="35"/>
        <v>65871.313839676135</v>
      </c>
      <c r="S22" s="9">
        <f t="shared" ca="1" si="35"/>
        <v>67760.555364876534</v>
      </c>
      <c r="T22" s="9">
        <f t="shared" ca="1" si="35"/>
        <v>86746.426213766477</v>
      </c>
      <c r="U22" s="9">
        <f t="shared" ca="1" si="35"/>
        <v>89172.31128188291</v>
      </c>
      <c r="V22" s="9">
        <f t="shared" ca="1" si="35"/>
        <v>91666.560209085466</v>
      </c>
      <c r="W22" s="9">
        <f t="shared" ca="1" si="35"/>
        <v>94231.113593822723</v>
      </c>
      <c r="X22" s="9">
        <f t="shared" ca="1" si="35"/>
        <v>96867.967494563694</v>
      </c>
      <c r="Y22" s="9">
        <f t="shared" ca="1" si="35"/>
        <v>78920.318253688922</v>
      </c>
      <c r="Z22" s="9">
        <f t="shared" ca="1" si="35"/>
        <v>81191.519803035117</v>
      </c>
      <c r="AA22" s="9">
        <f t="shared" ca="1" si="35"/>
        <v>83528.44719890508</v>
      </c>
      <c r="AB22" s="9">
        <f t="shared" ca="1" si="35"/>
        <v>85933.011961695593</v>
      </c>
      <c r="AC22" s="9">
        <f t="shared" ca="1" si="35"/>
        <v>88407.181451040437</v>
      </c>
      <c r="AD22" s="9">
        <f t="shared" ca="1" si="35"/>
        <v>90952.980503327941</v>
      </c>
      <c r="AE22" s="9">
        <f t="shared" ca="1" si="35"/>
        <v>93572.493117403006</v>
      </c>
      <c r="AF22" s="9">
        <f t="shared" ca="1" si="35"/>
        <v>96267.864189874701</v>
      </c>
      <c r="AG22" s="9">
        <f t="shared" ca="1" si="35"/>
        <v>99041.30130149427</v>
      </c>
      <c r="AH22" s="9">
        <f t="shared" ca="1" si="35"/>
        <v>101895.07655611052</v>
      </c>
      <c r="AI22" s="9">
        <f t="shared" ca="1" si="35"/>
        <v>104831.52847375456</v>
      </c>
      <c r="AJ22" s="9">
        <f t="shared" ca="1" si="35"/>
        <v>107853.06393945189</v>
      </c>
      <c r="AK22" s="9">
        <f t="shared" ca="1" si="35"/>
        <v>110962.1602094073</v>
      </c>
      <c r="AL22" s="9">
        <f t="shared" ca="1" si="35"/>
        <v>114161.36697625565</v>
      </c>
      <c r="AM22" s="9">
        <f t="shared" ca="1" si="35"/>
        <v>117453.30849512362</v>
      </c>
    </row>
    <row r="23" spans="1:39" ht="19" x14ac:dyDescent="0.25">
      <c r="A23" s="12" t="s">
        <v>17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</row>
    <row r="24" spans="1:39" x14ac:dyDescent="0.2">
      <c r="A24" s="4" t="s">
        <v>64</v>
      </c>
      <c r="C24" s="7">
        <f>Inputs!B124</f>
        <v>1000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</row>
    <row r="25" spans="1:39" x14ac:dyDescent="0.2">
      <c r="A25" s="4" t="s">
        <v>12</v>
      </c>
      <c r="C25" s="7">
        <f ca="1">IF(AND(Inputs!$B$217&lt;&gt;"",C$2=Inputs!$B$217,Inputs!$B$12&gt;0,Inputs!$B$15&gt;0),MIN(IF(B$1=0,MthRem,12),MAX(Inputs!$G$15-IF(B$1=0,0,B$1*12+MthOff),0))*Inputs!$B$17+MAX(FV(Inputs!$B$16/12,C$1*12+MthOff,Inputs!$B$17,-Inputs!$B$15),0),IF(AND(Inputs!$B$217&lt;&gt;"",C$2&gt;Inputs!$B$217,Inputs!$B$12&gt;0),0,MIN(IF(B$1=0,MthRem,12),MAX(Inputs!$G$15-IF(B$1=0,0,B$1*12+MthOff),0))*Inputs!$B$17))</f>
        <v>2700</v>
      </c>
      <c r="D25" s="7">
        <f ca="1">IF(AND(Inputs!$B$217&lt;&gt;"",D$2=Inputs!$B$217,Inputs!$B$12&gt;0,Inputs!$B$15&gt;0),MIN(IF(C$1=0,MthRem,12),MAX(Inputs!$G$15-IF(C$1=0,0,C$1*12+MthOff),0))*Inputs!$B$17+MAX(FV(Inputs!$B$16/12,D$1*12+MthOff,Inputs!$B$17,-Inputs!$B$15),0),IF(AND(Inputs!$B$217&lt;&gt;"",D$2&gt;Inputs!$B$217,Inputs!$B$12&gt;0),0,MIN(IF(C$1=0,MthRem,12),MAX(Inputs!$G$15-IF(C$1=0,0,C$1*12+MthOff),0))*Inputs!$B$17))</f>
        <v>3600</v>
      </c>
      <c r="E25" s="7">
        <f ca="1">IF(AND(Inputs!$B$217&lt;&gt;"",E$2=Inputs!$B$217,Inputs!$B$12&gt;0,Inputs!$B$15&gt;0),MIN(IF(D$1=0,MthRem,12),MAX(Inputs!$G$15-IF(D$1=0,0,D$1*12+MthOff),0))*Inputs!$B$17+MAX(FV(Inputs!$B$16/12,E$1*12+MthOff,Inputs!$B$17,-Inputs!$B$15),0),IF(AND(Inputs!$B$217&lt;&gt;"",E$2&gt;Inputs!$B$217,Inputs!$B$12&gt;0),0,MIN(IF(D$1=0,MthRem,12),MAX(Inputs!$G$15-IF(D$1=0,0,D$1*12+MthOff),0))*Inputs!$B$17))</f>
        <v>3600</v>
      </c>
      <c r="F25" s="7">
        <f ca="1">IF(AND(Inputs!$B$217&lt;&gt;"",F$2=Inputs!$B$217,Inputs!$B$12&gt;0,Inputs!$B$15&gt;0),MIN(IF(E$1=0,MthRem,12),MAX(Inputs!$G$15-IF(E$1=0,0,E$1*12+MthOff),0))*Inputs!$B$17+MAX(FV(Inputs!$B$16/12,F$1*12+MthOff,Inputs!$B$17,-Inputs!$B$15),0),IF(AND(Inputs!$B$217&lt;&gt;"",F$2&gt;Inputs!$B$217,Inputs!$B$12&gt;0),0,MIN(IF(E$1=0,MthRem,12),MAX(Inputs!$G$15-IF(E$1=0,0,E$1*12+MthOff),0))*Inputs!$B$17))</f>
        <v>3600</v>
      </c>
      <c r="G25" s="7">
        <f ca="1">IF(AND(Inputs!$B$217&lt;&gt;"",G$2=Inputs!$B$217,Inputs!$B$12&gt;0,Inputs!$B$15&gt;0),MIN(IF(F$1=0,MthRem,12),MAX(Inputs!$G$15-IF(F$1=0,0,F$1*12+MthOff),0))*Inputs!$B$17+MAX(FV(Inputs!$B$16/12,G$1*12+MthOff,Inputs!$B$17,-Inputs!$B$15),0),IF(AND(Inputs!$B$217&lt;&gt;"",G$2&gt;Inputs!$B$217,Inputs!$B$12&gt;0),0,MIN(IF(F$1=0,MthRem,12),MAX(Inputs!$G$15-IF(F$1=0,0,F$1*12+MthOff),0))*Inputs!$B$17))</f>
        <v>42893.637515101276</v>
      </c>
      <c r="H25" s="7">
        <f ca="1">IF(AND(Inputs!$B$217&lt;&gt;"",H$2=Inputs!$B$217,Inputs!$B$12&gt;0,Inputs!$B$15&gt;0),MIN(IF(G$1=0,MthRem,12),MAX(Inputs!$G$15-IF(G$1=0,0,G$1*12+MthOff),0))*Inputs!$B$17+MAX(FV(Inputs!$B$16/12,H$1*12+MthOff,Inputs!$B$17,-Inputs!$B$15),0),IF(AND(Inputs!$B$217&lt;&gt;"",H$2&gt;Inputs!$B$217,Inputs!$B$12&gt;0),0,MIN(IF(G$1=0,MthRem,12),MAX(Inputs!$G$15-IF(G$1=0,0,G$1*12+MthOff),0))*Inputs!$B$17))</f>
        <v>0</v>
      </c>
      <c r="I25" s="7">
        <f ca="1">IF(AND(Inputs!$B$217&lt;&gt;"",I$2=Inputs!$B$217,Inputs!$B$12&gt;0,Inputs!$B$15&gt;0),MIN(IF(H$1=0,MthRem,12),MAX(Inputs!$G$15-IF(H$1=0,0,H$1*12+MthOff),0))*Inputs!$B$17+MAX(FV(Inputs!$B$16/12,I$1*12+MthOff,Inputs!$B$17,-Inputs!$B$15),0),IF(AND(Inputs!$B$217&lt;&gt;"",I$2&gt;Inputs!$B$217,Inputs!$B$12&gt;0),0,MIN(IF(H$1=0,MthRem,12),MAX(Inputs!$G$15-IF(H$1=0,0,H$1*12+MthOff),0))*Inputs!$B$17))</f>
        <v>0</v>
      </c>
      <c r="J25" s="7">
        <f ca="1">IF(AND(Inputs!$B$217&lt;&gt;"",J$2=Inputs!$B$217,Inputs!$B$12&gt;0,Inputs!$B$15&gt;0),MIN(IF(I$1=0,MthRem,12),MAX(Inputs!$G$15-IF(I$1=0,0,I$1*12+MthOff),0))*Inputs!$B$17+MAX(FV(Inputs!$B$16/12,J$1*12+MthOff,Inputs!$B$17,-Inputs!$B$15),0),IF(AND(Inputs!$B$217&lt;&gt;"",J$2&gt;Inputs!$B$217,Inputs!$B$12&gt;0),0,MIN(IF(I$1=0,MthRem,12),MAX(Inputs!$G$15-IF(I$1=0,0,I$1*12+MthOff),0))*Inputs!$B$17))</f>
        <v>0</v>
      </c>
      <c r="K25" s="7">
        <f ca="1">IF(AND(Inputs!$B$217&lt;&gt;"",K$2=Inputs!$B$217,Inputs!$B$12&gt;0,Inputs!$B$15&gt;0),MIN(IF(J$1=0,MthRem,12),MAX(Inputs!$G$15-IF(J$1=0,0,J$1*12+MthOff),0))*Inputs!$B$17+MAX(FV(Inputs!$B$16/12,K$1*12+MthOff,Inputs!$B$17,-Inputs!$B$15),0),IF(AND(Inputs!$B$217&lt;&gt;"",K$2&gt;Inputs!$B$217,Inputs!$B$12&gt;0),0,MIN(IF(J$1=0,MthRem,12),MAX(Inputs!$G$15-IF(J$1=0,0,J$1*12+MthOff),0))*Inputs!$B$17))</f>
        <v>0</v>
      </c>
      <c r="L25" s="7">
        <f ca="1">IF(AND(Inputs!$B$217&lt;&gt;"",L$2=Inputs!$B$217,Inputs!$B$12&gt;0,Inputs!$B$15&gt;0),MIN(IF(K$1=0,MthRem,12),MAX(Inputs!$G$15-IF(K$1=0,0,K$1*12+MthOff),0))*Inputs!$B$17+MAX(FV(Inputs!$B$16/12,L$1*12+MthOff,Inputs!$B$17,-Inputs!$B$15),0),IF(AND(Inputs!$B$217&lt;&gt;"",L$2&gt;Inputs!$B$217,Inputs!$B$12&gt;0),0,MIN(IF(K$1=0,MthRem,12),MAX(Inputs!$G$15-IF(K$1=0,0,K$1*12+MthOff),0))*Inputs!$B$17))</f>
        <v>0</v>
      </c>
      <c r="M25" s="7">
        <f ca="1">IF(AND(Inputs!$B$217&lt;&gt;"",M$2=Inputs!$B$217,Inputs!$B$12&gt;0,Inputs!$B$15&gt;0),MIN(IF(L$1=0,MthRem,12),MAX(Inputs!$G$15-IF(L$1=0,0,L$1*12+MthOff),0))*Inputs!$B$17+MAX(FV(Inputs!$B$16/12,M$1*12+MthOff,Inputs!$B$17,-Inputs!$B$15),0),IF(AND(Inputs!$B$217&lt;&gt;"",M$2&gt;Inputs!$B$217,Inputs!$B$12&gt;0),0,MIN(IF(L$1=0,MthRem,12),MAX(Inputs!$G$15-IF(L$1=0,0,L$1*12+MthOff),0))*Inputs!$B$17))</f>
        <v>0</v>
      </c>
      <c r="N25" s="7">
        <f ca="1">IF(AND(Inputs!$B$217&lt;&gt;"",N$2=Inputs!$B$217,Inputs!$B$12&gt;0,Inputs!$B$15&gt;0),MIN(IF(M$1=0,MthRem,12),MAX(Inputs!$G$15-IF(M$1=0,0,M$1*12+MthOff),0))*Inputs!$B$17+MAX(FV(Inputs!$B$16/12,N$1*12+MthOff,Inputs!$B$17,-Inputs!$B$15),0),IF(AND(Inputs!$B$217&lt;&gt;"",N$2&gt;Inputs!$B$217,Inputs!$B$12&gt;0),0,MIN(IF(M$1=0,MthRem,12),MAX(Inputs!$G$15-IF(M$1=0,0,M$1*12+MthOff),0))*Inputs!$B$17))</f>
        <v>0</v>
      </c>
      <c r="O25" s="7">
        <f ca="1">IF(AND(Inputs!$B$217&lt;&gt;"",O$2=Inputs!$B$217,Inputs!$B$12&gt;0,Inputs!$B$15&gt;0),MIN(IF(N$1=0,MthRem,12),MAX(Inputs!$G$15-IF(N$1=0,0,N$1*12+MthOff),0))*Inputs!$B$17+MAX(FV(Inputs!$B$16/12,O$1*12+MthOff,Inputs!$B$17,-Inputs!$B$15),0),IF(AND(Inputs!$B$217&lt;&gt;"",O$2&gt;Inputs!$B$217,Inputs!$B$12&gt;0),0,MIN(IF(N$1=0,MthRem,12),MAX(Inputs!$G$15-IF(N$1=0,0,N$1*12+MthOff),0))*Inputs!$B$17))</f>
        <v>0</v>
      </c>
      <c r="P25" s="7">
        <f ca="1">IF(AND(Inputs!$B$217&lt;&gt;"",P$2=Inputs!$B$217,Inputs!$B$12&gt;0,Inputs!$B$15&gt;0),MIN(IF(O$1=0,MthRem,12),MAX(Inputs!$G$15-IF(O$1=0,0,O$1*12+MthOff),0))*Inputs!$B$17+MAX(FV(Inputs!$B$16/12,P$1*12+MthOff,Inputs!$B$17,-Inputs!$B$15),0),IF(AND(Inputs!$B$217&lt;&gt;"",P$2&gt;Inputs!$B$217,Inputs!$B$12&gt;0),0,MIN(IF(O$1=0,MthRem,12),MAX(Inputs!$G$15-IF(O$1=0,0,O$1*12+MthOff),0))*Inputs!$B$17))</f>
        <v>0</v>
      </c>
      <c r="Q25" s="7">
        <f ca="1">IF(AND(Inputs!$B$217&lt;&gt;"",Q$2=Inputs!$B$217,Inputs!$B$12&gt;0,Inputs!$B$15&gt;0),MIN(IF(P$1=0,MthRem,12),MAX(Inputs!$G$15-IF(P$1=0,0,P$1*12+MthOff),0))*Inputs!$B$17+MAX(FV(Inputs!$B$16/12,Q$1*12+MthOff,Inputs!$B$17,-Inputs!$B$15),0),IF(AND(Inputs!$B$217&lt;&gt;"",Q$2&gt;Inputs!$B$217,Inputs!$B$12&gt;0),0,MIN(IF(P$1=0,MthRem,12),MAX(Inputs!$G$15-IF(P$1=0,0,P$1*12+MthOff),0))*Inputs!$B$17))</f>
        <v>0</v>
      </c>
      <c r="R25" s="7">
        <f ca="1">IF(AND(Inputs!$B$217&lt;&gt;"",R$2=Inputs!$B$217,Inputs!$B$12&gt;0,Inputs!$B$15&gt;0),MIN(IF(Q$1=0,MthRem,12),MAX(Inputs!$G$15-IF(Q$1=0,0,Q$1*12+MthOff),0))*Inputs!$B$17+MAX(FV(Inputs!$B$16/12,R$1*12+MthOff,Inputs!$B$17,-Inputs!$B$15),0),IF(AND(Inputs!$B$217&lt;&gt;"",R$2&gt;Inputs!$B$217,Inputs!$B$12&gt;0),0,MIN(IF(Q$1=0,MthRem,12),MAX(Inputs!$G$15-IF(Q$1=0,0,Q$1*12+MthOff),0))*Inputs!$B$17))</f>
        <v>0</v>
      </c>
      <c r="S25" s="7">
        <f ca="1">IF(AND(Inputs!$B$217&lt;&gt;"",S$2=Inputs!$B$217,Inputs!$B$12&gt;0,Inputs!$B$15&gt;0),MIN(IF(R$1=0,MthRem,12),MAX(Inputs!$G$15-IF(R$1=0,0,R$1*12+MthOff),0))*Inputs!$B$17+MAX(FV(Inputs!$B$16/12,S$1*12+MthOff,Inputs!$B$17,-Inputs!$B$15),0),IF(AND(Inputs!$B$217&lt;&gt;"",S$2&gt;Inputs!$B$217,Inputs!$B$12&gt;0),0,MIN(IF(R$1=0,MthRem,12),MAX(Inputs!$G$15-IF(R$1=0,0,R$1*12+MthOff),0))*Inputs!$B$17))</f>
        <v>0</v>
      </c>
      <c r="T25" s="7">
        <f ca="1">IF(AND(Inputs!$B$217&lt;&gt;"",T$2=Inputs!$B$217,Inputs!$B$12&gt;0,Inputs!$B$15&gt;0),MIN(IF(S$1=0,MthRem,12),MAX(Inputs!$G$15-IF(S$1=0,0,S$1*12+MthOff),0))*Inputs!$B$17+MAX(FV(Inputs!$B$16/12,T$1*12+MthOff,Inputs!$B$17,-Inputs!$B$15),0),IF(AND(Inputs!$B$217&lt;&gt;"",T$2&gt;Inputs!$B$217,Inputs!$B$12&gt;0),0,MIN(IF(S$1=0,MthRem,12),MAX(Inputs!$G$15-IF(S$1=0,0,S$1*12+MthOff),0))*Inputs!$B$17))</f>
        <v>0</v>
      </c>
      <c r="U25" s="7">
        <f ca="1">IF(AND(Inputs!$B$217&lt;&gt;"",U$2=Inputs!$B$217,Inputs!$B$12&gt;0,Inputs!$B$15&gt;0),MIN(IF(T$1=0,MthRem,12),MAX(Inputs!$G$15-IF(T$1=0,0,T$1*12+MthOff),0))*Inputs!$B$17+MAX(FV(Inputs!$B$16/12,U$1*12+MthOff,Inputs!$B$17,-Inputs!$B$15),0),IF(AND(Inputs!$B$217&lt;&gt;"",U$2&gt;Inputs!$B$217,Inputs!$B$12&gt;0),0,MIN(IF(T$1=0,MthRem,12),MAX(Inputs!$G$15-IF(T$1=0,0,T$1*12+MthOff),0))*Inputs!$B$17))</f>
        <v>0</v>
      </c>
      <c r="V25" s="7">
        <f ca="1">IF(AND(Inputs!$B$217&lt;&gt;"",V$2=Inputs!$B$217,Inputs!$B$12&gt;0,Inputs!$B$15&gt;0),MIN(IF(U$1=0,MthRem,12),MAX(Inputs!$G$15-IF(U$1=0,0,U$1*12+MthOff),0))*Inputs!$B$17+MAX(FV(Inputs!$B$16/12,V$1*12+MthOff,Inputs!$B$17,-Inputs!$B$15),0),IF(AND(Inputs!$B$217&lt;&gt;"",V$2&gt;Inputs!$B$217,Inputs!$B$12&gt;0),0,MIN(IF(U$1=0,MthRem,12),MAX(Inputs!$G$15-IF(U$1=0,0,U$1*12+MthOff),0))*Inputs!$B$17))</f>
        <v>0</v>
      </c>
      <c r="W25" s="7">
        <f ca="1">IF(AND(Inputs!$B$217&lt;&gt;"",W$2=Inputs!$B$217,Inputs!$B$12&gt;0,Inputs!$B$15&gt;0),MIN(IF(V$1=0,MthRem,12),MAX(Inputs!$G$15-IF(V$1=0,0,V$1*12+MthOff),0))*Inputs!$B$17+MAX(FV(Inputs!$B$16/12,W$1*12+MthOff,Inputs!$B$17,-Inputs!$B$15),0),IF(AND(Inputs!$B$217&lt;&gt;"",W$2&gt;Inputs!$B$217,Inputs!$B$12&gt;0),0,MIN(IF(V$1=0,MthRem,12),MAX(Inputs!$G$15-IF(V$1=0,0,V$1*12+MthOff),0))*Inputs!$B$17))</f>
        <v>0</v>
      </c>
      <c r="X25" s="7">
        <f ca="1">IF(AND(Inputs!$B$217&lt;&gt;"",X$2=Inputs!$B$217,Inputs!$B$12&gt;0,Inputs!$B$15&gt;0),MIN(IF(W$1=0,MthRem,12),MAX(Inputs!$G$15-IF(W$1=0,0,W$1*12+MthOff),0))*Inputs!$B$17+MAX(FV(Inputs!$B$16/12,X$1*12+MthOff,Inputs!$B$17,-Inputs!$B$15),0),IF(AND(Inputs!$B$217&lt;&gt;"",X$2&gt;Inputs!$B$217,Inputs!$B$12&gt;0),0,MIN(IF(W$1=0,MthRem,12),MAX(Inputs!$G$15-IF(W$1=0,0,W$1*12+MthOff),0))*Inputs!$B$17))</f>
        <v>0</v>
      </c>
      <c r="Y25" s="7">
        <f ca="1">IF(AND(Inputs!$B$217&lt;&gt;"",Y$2=Inputs!$B$217,Inputs!$B$12&gt;0,Inputs!$B$15&gt;0),MIN(IF(X$1=0,MthRem,12),MAX(Inputs!$G$15-IF(X$1=0,0,X$1*12+MthOff),0))*Inputs!$B$17+MAX(FV(Inputs!$B$16/12,Y$1*12+MthOff,Inputs!$B$17,-Inputs!$B$15),0),IF(AND(Inputs!$B$217&lt;&gt;"",Y$2&gt;Inputs!$B$217,Inputs!$B$12&gt;0),0,MIN(IF(X$1=0,MthRem,12),MAX(Inputs!$G$15-IF(X$1=0,0,X$1*12+MthOff),0))*Inputs!$B$17))</f>
        <v>0</v>
      </c>
      <c r="Z25" s="7">
        <f ca="1">IF(AND(Inputs!$B$217&lt;&gt;"",Z$2=Inputs!$B$217,Inputs!$B$12&gt;0,Inputs!$B$15&gt;0),MIN(IF(Y$1=0,MthRem,12),MAX(Inputs!$G$15-IF(Y$1=0,0,Y$1*12+MthOff),0))*Inputs!$B$17+MAX(FV(Inputs!$B$16/12,Z$1*12+MthOff,Inputs!$B$17,-Inputs!$B$15),0),IF(AND(Inputs!$B$217&lt;&gt;"",Z$2&gt;Inputs!$B$217,Inputs!$B$12&gt;0),0,MIN(IF(Y$1=0,MthRem,12),MAX(Inputs!$G$15-IF(Y$1=0,0,Y$1*12+MthOff),0))*Inputs!$B$17))</f>
        <v>0</v>
      </c>
      <c r="AA25" s="7">
        <f ca="1">IF(AND(Inputs!$B$217&lt;&gt;"",AA$2=Inputs!$B$217,Inputs!$B$12&gt;0,Inputs!$B$15&gt;0),MIN(IF(Z$1=0,MthRem,12),MAX(Inputs!$G$15-IF(Z$1=0,0,Z$1*12+MthOff),0))*Inputs!$B$17+MAX(FV(Inputs!$B$16/12,AA$1*12+MthOff,Inputs!$B$17,-Inputs!$B$15),0),IF(AND(Inputs!$B$217&lt;&gt;"",AA$2&gt;Inputs!$B$217,Inputs!$B$12&gt;0),0,MIN(IF(Z$1=0,MthRem,12),MAX(Inputs!$G$15-IF(Z$1=0,0,Z$1*12+MthOff),0))*Inputs!$B$17))</f>
        <v>0</v>
      </c>
      <c r="AB25" s="7">
        <f ca="1">IF(AND(Inputs!$B$217&lt;&gt;"",AB$2=Inputs!$B$217,Inputs!$B$12&gt;0,Inputs!$B$15&gt;0),MIN(IF(AA$1=0,MthRem,12),MAX(Inputs!$G$15-IF(AA$1=0,0,AA$1*12+MthOff),0))*Inputs!$B$17+MAX(FV(Inputs!$B$16/12,AB$1*12+MthOff,Inputs!$B$17,-Inputs!$B$15),0),IF(AND(Inputs!$B$217&lt;&gt;"",AB$2&gt;Inputs!$B$217,Inputs!$B$12&gt;0),0,MIN(IF(AA$1=0,MthRem,12),MAX(Inputs!$G$15-IF(AA$1=0,0,AA$1*12+MthOff),0))*Inputs!$B$17))</f>
        <v>0</v>
      </c>
      <c r="AC25" s="7">
        <f ca="1">IF(AND(Inputs!$B$217&lt;&gt;"",AC$2=Inputs!$B$217,Inputs!$B$12&gt;0,Inputs!$B$15&gt;0),MIN(IF(AB$1=0,MthRem,12),MAX(Inputs!$G$15-IF(AB$1=0,0,AB$1*12+MthOff),0))*Inputs!$B$17+MAX(FV(Inputs!$B$16/12,AC$1*12+MthOff,Inputs!$B$17,-Inputs!$B$15),0),IF(AND(Inputs!$B$217&lt;&gt;"",AC$2&gt;Inputs!$B$217,Inputs!$B$12&gt;0),0,MIN(IF(AB$1=0,MthRem,12),MAX(Inputs!$G$15-IF(AB$1=0,0,AB$1*12+MthOff),0))*Inputs!$B$17))</f>
        <v>0</v>
      </c>
      <c r="AD25" s="7">
        <f ca="1">IF(AND(Inputs!$B$217&lt;&gt;"",AD$2=Inputs!$B$217,Inputs!$B$12&gt;0,Inputs!$B$15&gt;0),MIN(IF(AC$1=0,MthRem,12),MAX(Inputs!$G$15-IF(AC$1=0,0,AC$1*12+MthOff),0))*Inputs!$B$17+MAX(FV(Inputs!$B$16/12,AD$1*12+MthOff,Inputs!$B$17,-Inputs!$B$15),0),IF(AND(Inputs!$B$217&lt;&gt;"",AD$2&gt;Inputs!$B$217,Inputs!$B$12&gt;0),0,MIN(IF(AC$1=0,MthRem,12),MAX(Inputs!$G$15-IF(AC$1=0,0,AC$1*12+MthOff),0))*Inputs!$B$17))</f>
        <v>0</v>
      </c>
      <c r="AE25" s="7">
        <f ca="1">IF(AND(Inputs!$B$217&lt;&gt;"",AE$2=Inputs!$B$217,Inputs!$B$12&gt;0,Inputs!$B$15&gt;0),MIN(IF(AD$1=0,MthRem,12),MAX(Inputs!$G$15-IF(AD$1=0,0,AD$1*12+MthOff),0))*Inputs!$B$17+MAX(FV(Inputs!$B$16/12,AE$1*12+MthOff,Inputs!$B$17,-Inputs!$B$15),0),IF(AND(Inputs!$B$217&lt;&gt;"",AE$2&gt;Inputs!$B$217,Inputs!$B$12&gt;0),0,MIN(IF(AD$1=0,MthRem,12),MAX(Inputs!$G$15-IF(AD$1=0,0,AD$1*12+MthOff),0))*Inputs!$B$17))</f>
        <v>0</v>
      </c>
      <c r="AF25" s="7">
        <f ca="1">IF(AND(Inputs!$B$217&lt;&gt;"",AF$2=Inputs!$B$217,Inputs!$B$12&gt;0,Inputs!$B$15&gt;0),MIN(IF(AE$1=0,MthRem,12),MAX(Inputs!$G$15-IF(AE$1=0,0,AE$1*12+MthOff),0))*Inputs!$B$17+MAX(FV(Inputs!$B$16/12,AF$1*12+MthOff,Inputs!$B$17,-Inputs!$B$15),0),IF(AND(Inputs!$B$217&lt;&gt;"",AF$2&gt;Inputs!$B$217,Inputs!$B$12&gt;0),0,MIN(IF(AE$1=0,MthRem,12),MAX(Inputs!$G$15-IF(AE$1=0,0,AE$1*12+MthOff),0))*Inputs!$B$17))</f>
        <v>0</v>
      </c>
      <c r="AG25" s="7">
        <f ca="1">IF(AND(Inputs!$B$217&lt;&gt;"",AG$2=Inputs!$B$217,Inputs!$B$12&gt;0,Inputs!$B$15&gt;0),MIN(IF(AF$1=0,MthRem,12),MAX(Inputs!$G$15-IF(AF$1=0,0,AF$1*12+MthOff),0))*Inputs!$B$17+MAX(FV(Inputs!$B$16/12,AG$1*12+MthOff,Inputs!$B$17,-Inputs!$B$15),0),IF(AND(Inputs!$B$217&lt;&gt;"",AG$2&gt;Inputs!$B$217,Inputs!$B$12&gt;0),0,MIN(IF(AF$1=0,MthRem,12),MAX(Inputs!$G$15-IF(AF$1=0,0,AF$1*12+MthOff),0))*Inputs!$B$17))</f>
        <v>0</v>
      </c>
      <c r="AH25" s="7">
        <f ca="1">IF(AND(Inputs!$B$217&lt;&gt;"",AH$2=Inputs!$B$217,Inputs!$B$12&gt;0,Inputs!$B$15&gt;0),MIN(IF(AG$1=0,MthRem,12),MAX(Inputs!$G$15-IF(AG$1=0,0,AG$1*12+MthOff),0))*Inputs!$B$17+MAX(FV(Inputs!$B$16/12,AH$1*12+MthOff,Inputs!$B$17,-Inputs!$B$15),0),IF(AND(Inputs!$B$217&lt;&gt;"",AH$2&gt;Inputs!$B$217,Inputs!$B$12&gt;0),0,MIN(IF(AG$1=0,MthRem,12),MAX(Inputs!$G$15-IF(AG$1=0,0,AG$1*12+MthOff),0))*Inputs!$B$17))</f>
        <v>0</v>
      </c>
      <c r="AI25" s="7">
        <f ca="1">IF(AND(Inputs!$B$217&lt;&gt;"",AI$2=Inputs!$B$217,Inputs!$B$12&gt;0,Inputs!$B$15&gt;0),MIN(IF(AH$1=0,MthRem,12),MAX(Inputs!$G$15-IF(AH$1=0,0,AH$1*12+MthOff),0))*Inputs!$B$17+MAX(FV(Inputs!$B$16/12,AI$1*12+MthOff,Inputs!$B$17,-Inputs!$B$15),0),IF(AND(Inputs!$B$217&lt;&gt;"",AI$2&gt;Inputs!$B$217,Inputs!$B$12&gt;0),0,MIN(IF(AH$1=0,MthRem,12),MAX(Inputs!$G$15-IF(AH$1=0,0,AH$1*12+MthOff),0))*Inputs!$B$17))</f>
        <v>0</v>
      </c>
      <c r="AJ25" s="7">
        <f ca="1">IF(AND(Inputs!$B$217&lt;&gt;"",AJ$2=Inputs!$B$217,Inputs!$B$12&gt;0,Inputs!$B$15&gt;0),MIN(IF(AI$1=0,MthRem,12),MAX(Inputs!$G$15-IF(AI$1=0,0,AI$1*12+MthOff),0))*Inputs!$B$17+MAX(FV(Inputs!$B$16/12,AJ$1*12+MthOff,Inputs!$B$17,-Inputs!$B$15),0),IF(AND(Inputs!$B$217&lt;&gt;"",AJ$2&gt;Inputs!$B$217,Inputs!$B$12&gt;0),0,MIN(IF(AI$1=0,MthRem,12),MAX(Inputs!$G$15-IF(AI$1=0,0,AI$1*12+MthOff),0))*Inputs!$B$17))</f>
        <v>0</v>
      </c>
      <c r="AK25" s="7">
        <f ca="1">IF(AND(Inputs!$B$217&lt;&gt;"",AK$2=Inputs!$B$217,Inputs!$B$12&gt;0,Inputs!$B$15&gt;0),MIN(IF(AJ$1=0,MthRem,12),MAX(Inputs!$G$15-IF(AJ$1=0,0,AJ$1*12+MthOff),0))*Inputs!$B$17+MAX(FV(Inputs!$B$16/12,AK$1*12+MthOff,Inputs!$B$17,-Inputs!$B$15),0),IF(AND(Inputs!$B$217&lt;&gt;"",AK$2&gt;Inputs!$B$217,Inputs!$B$12&gt;0),0,MIN(IF(AJ$1=0,MthRem,12),MAX(Inputs!$G$15-IF(AJ$1=0,0,AJ$1*12+MthOff),0))*Inputs!$B$17))</f>
        <v>0</v>
      </c>
      <c r="AL25" s="7">
        <f ca="1">IF(AND(Inputs!$B$217&lt;&gt;"",AL$2=Inputs!$B$217,Inputs!$B$12&gt;0,Inputs!$B$15&gt;0),MIN(IF(AK$1=0,MthRem,12),MAX(Inputs!$G$15-IF(AK$1=0,0,AK$1*12+MthOff),0))*Inputs!$B$17+MAX(FV(Inputs!$B$16/12,AL$1*12+MthOff,Inputs!$B$17,-Inputs!$B$15),0),IF(AND(Inputs!$B$217&lt;&gt;"",AL$2&gt;Inputs!$B$217,Inputs!$B$12&gt;0),0,MIN(IF(AK$1=0,MthRem,12),MAX(Inputs!$G$15-IF(AK$1=0,0,AK$1*12+MthOff),0))*Inputs!$B$17))</f>
        <v>0</v>
      </c>
      <c r="AM25" s="7">
        <f ca="1">IF(AND(Inputs!$B$217&lt;&gt;"",AM$2=Inputs!$B$217,Inputs!$B$12&gt;0,Inputs!$B$15&gt;0),MIN(IF(AL$1=0,MthRem,12),MAX(Inputs!$G$15-IF(AL$1=0,0,AL$1*12+MthOff),0))*Inputs!$B$17+MAX(FV(Inputs!$B$16/12,AM$1*12+MthOff,Inputs!$B$17,-Inputs!$B$15),0),IF(AND(Inputs!$B$217&lt;&gt;"",AM$2&gt;Inputs!$B$217,Inputs!$B$12&gt;0),0,MIN(IF(AL$1=0,MthRem,12),MAX(Inputs!$G$15-IF(AL$1=0,0,AL$1*12+MthOff),0))*Inputs!$B$17))</f>
        <v>0</v>
      </c>
    </row>
    <row r="26" spans="1:39" x14ac:dyDescent="0.2">
      <c r="A26" s="4" t="s">
        <v>199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</row>
    <row r="27" spans="1:39" x14ac:dyDescent="0.2">
      <c r="A27" s="3" t="str">
        <f>TEXT(Inputs!$B$60,"")</f>
        <v>Sliema</v>
      </c>
      <c r="C27" s="7">
        <f ca="1">MIN(IF(B$1=0,MthRem,12), MAX(Inputs!$G$127-IF(B$1=0,0,B$1*12+MthOff), 0))*Inputs!$B$129</f>
        <v>4500</v>
      </c>
      <c r="D27" s="7">
        <f ca="1">MIN(IF(C$1=0,MthRem,12), MAX(Inputs!$G$127-IF(C$1=0,0,C$1*12+MthOff), 0))*Inputs!$B$129</f>
        <v>6000</v>
      </c>
      <c r="E27" s="7">
        <f ca="1">MIN(IF(D$1=0,MthRem,12), MAX(Inputs!$G$127-IF(D$1=0,0,D$1*12+MthOff), 0))*Inputs!$B$129</f>
        <v>6000</v>
      </c>
      <c r="F27" s="7">
        <f ca="1">MIN(IF(E$1=0,MthRem,12), MAX(Inputs!$G$127-IF(E$1=0,0,E$1*12+MthOff), 0))*Inputs!$B$129</f>
        <v>6000</v>
      </c>
      <c r="G27" s="7">
        <f ca="1">MIN(IF(F$1=0,MthRem,12), MAX(Inputs!$G$127-IF(F$1=0,0,F$1*12+MthOff), 0))*Inputs!$B$129</f>
        <v>6000</v>
      </c>
      <c r="H27" s="7">
        <f ca="1">MIN(IF(G$1=0,MthRem,12), MAX(Inputs!$G$127-IF(G$1=0,0,G$1*12+MthOff), 0))*Inputs!$B$129</f>
        <v>6000</v>
      </c>
      <c r="I27" s="7">
        <f ca="1">MIN(IF(H$1=0,MthRem,12), MAX(Inputs!$G$127-IF(H$1=0,0,H$1*12+MthOff), 0))*Inputs!$B$129</f>
        <v>6000</v>
      </c>
      <c r="J27" s="7">
        <f ca="1">MIN(IF(I$1=0,MthRem,12), MAX(Inputs!$G$127-IF(I$1=0,0,I$1*12+MthOff), 0))*Inputs!$B$129</f>
        <v>6000</v>
      </c>
      <c r="K27" s="7">
        <f ca="1">MIN(IF(J$1=0,MthRem,12), MAX(Inputs!$G$127-IF(J$1=0,0,J$1*12+MthOff), 0))*Inputs!$B$129</f>
        <v>6000</v>
      </c>
      <c r="L27" s="7">
        <f ca="1">MIN(IF(K$1=0,MthRem,12), MAX(Inputs!$G$127-IF(K$1=0,0,K$1*12+MthOff), 0))*Inputs!$B$129</f>
        <v>5108.3050789871932</v>
      </c>
      <c r="M27" s="7">
        <f ca="1">MIN(IF(L$1=0,MthRem,12), MAX(Inputs!$G$127-IF(L$1=0,0,L$1*12+MthOff), 0))*Inputs!$B$129</f>
        <v>0</v>
      </c>
      <c r="N27" s="7">
        <f ca="1">MIN(IF(M$1=0,MthRem,12), MAX(Inputs!$G$127-IF(M$1=0,0,M$1*12+MthOff), 0))*Inputs!$B$129</f>
        <v>0</v>
      </c>
      <c r="O27" s="7">
        <f ca="1">MIN(IF(N$1=0,MthRem,12), MAX(Inputs!$G$127-IF(N$1=0,0,N$1*12+MthOff), 0))*Inputs!$B$129</f>
        <v>0</v>
      </c>
      <c r="P27" s="7">
        <f ca="1">MIN(IF(O$1=0,MthRem,12), MAX(Inputs!$G$127-IF(O$1=0,0,O$1*12+MthOff), 0))*Inputs!$B$129</f>
        <v>0</v>
      </c>
      <c r="Q27" s="7">
        <f ca="1">MIN(IF(P$1=0,MthRem,12), MAX(Inputs!$G$127-IF(P$1=0,0,P$1*12+MthOff), 0))*Inputs!$B$129</f>
        <v>0</v>
      </c>
      <c r="R27" s="7">
        <f ca="1">MIN(IF(Q$1=0,MthRem,12), MAX(Inputs!$G$127-IF(Q$1=0,0,Q$1*12+MthOff), 0))*Inputs!$B$129</f>
        <v>0</v>
      </c>
      <c r="S27" s="7">
        <f ca="1">MIN(IF(R$1=0,MthRem,12), MAX(Inputs!$G$127-IF(R$1=0,0,R$1*12+MthOff), 0))*Inputs!$B$129</f>
        <v>0</v>
      </c>
      <c r="T27" s="7">
        <f ca="1">MIN(IF(S$1=0,MthRem,12), MAX(Inputs!$G$127-IF(S$1=0,0,S$1*12+MthOff), 0))*Inputs!$B$129</f>
        <v>0</v>
      </c>
      <c r="U27" s="7">
        <f ca="1">MIN(IF(T$1=0,MthRem,12), MAX(Inputs!$G$127-IF(T$1=0,0,T$1*12+MthOff), 0))*Inputs!$B$129</f>
        <v>0</v>
      </c>
      <c r="V27" s="7">
        <f ca="1">MIN(IF(U$1=0,MthRem,12), MAX(Inputs!$G$127-IF(U$1=0,0,U$1*12+MthOff), 0))*Inputs!$B$129</f>
        <v>0</v>
      </c>
      <c r="W27" s="7">
        <f ca="1">MIN(IF(V$1=0,MthRem,12), MAX(Inputs!$G$127-IF(V$1=0,0,V$1*12+MthOff), 0))*Inputs!$B$129</f>
        <v>0</v>
      </c>
      <c r="X27" s="7">
        <f ca="1">MIN(IF(W$1=0,MthRem,12), MAX(Inputs!$G$127-IF(W$1=0,0,W$1*12+MthOff), 0))*Inputs!$B$129</f>
        <v>0</v>
      </c>
      <c r="Y27" s="7">
        <f ca="1">MIN(IF(X$1=0,MthRem,12), MAX(Inputs!$G$127-IF(X$1=0,0,X$1*12+MthOff), 0))*Inputs!$B$129</f>
        <v>0</v>
      </c>
      <c r="Z27" s="7">
        <f ca="1">MIN(IF(Y$1=0,MthRem,12), MAX(Inputs!$G$127-IF(Y$1=0,0,Y$1*12+MthOff), 0))*Inputs!$B$129</f>
        <v>0</v>
      </c>
      <c r="AA27" s="7">
        <f ca="1">MIN(IF(Z$1=0,MthRem,12), MAX(Inputs!$G$127-IF(Z$1=0,0,Z$1*12+MthOff), 0))*Inputs!$B$129</f>
        <v>0</v>
      </c>
      <c r="AB27" s="7">
        <f ca="1">MIN(IF(AA$1=0,MthRem,12), MAX(Inputs!$G$127-IF(AA$1=0,0,AA$1*12+MthOff), 0))*Inputs!$B$129</f>
        <v>0</v>
      </c>
      <c r="AC27" s="7">
        <f ca="1">MIN(IF(AB$1=0,MthRem,12), MAX(Inputs!$G$127-IF(AB$1=0,0,AB$1*12+MthOff), 0))*Inputs!$B$129</f>
        <v>0</v>
      </c>
      <c r="AD27" s="7">
        <f ca="1">MIN(IF(AC$1=0,MthRem,12), MAX(Inputs!$G$127-IF(AC$1=0,0,AC$1*12+MthOff), 0))*Inputs!$B$129</f>
        <v>0</v>
      </c>
      <c r="AE27" s="7">
        <f ca="1">MIN(IF(AD$1=0,MthRem,12), MAX(Inputs!$G$127-IF(AD$1=0,0,AD$1*12+MthOff), 0))*Inputs!$B$129</f>
        <v>0</v>
      </c>
      <c r="AF27" s="7">
        <f ca="1">MIN(IF(AE$1=0,MthRem,12), MAX(Inputs!$G$127-IF(AE$1=0,0,AE$1*12+MthOff), 0))*Inputs!$B$129</f>
        <v>0</v>
      </c>
      <c r="AG27" s="7">
        <f ca="1">MIN(IF(AF$1=0,MthRem,12), MAX(Inputs!$G$127-IF(AF$1=0,0,AF$1*12+MthOff), 0))*Inputs!$B$129</f>
        <v>0</v>
      </c>
      <c r="AH27" s="7">
        <f ca="1">MIN(IF(AG$1=0,MthRem,12), MAX(Inputs!$G$127-IF(AG$1=0,0,AG$1*12+MthOff), 0))*Inputs!$B$129</f>
        <v>0</v>
      </c>
      <c r="AI27" s="7">
        <f ca="1">MIN(IF(AH$1=0,MthRem,12), MAX(Inputs!$G$127-IF(AH$1=0,0,AH$1*12+MthOff), 0))*Inputs!$B$129</f>
        <v>0</v>
      </c>
      <c r="AJ27" s="7">
        <f ca="1">MIN(IF(AI$1=0,MthRem,12), MAX(Inputs!$G$127-IF(AI$1=0,0,AI$1*12+MthOff), 0))*Inputs!$B$129</f>
        <v>0</v>
      </c>
      <c r="AK27" s="7">
        <f ca="1">MIN(IF(AJ$1=0,MthRem,12), MAX(Inputs!$G$127-IF(AJ$1=0,0,AJ$1*12+MthOff), 0))*Inputs!$B$129</f>
        <v>0</v>
      </c>
      <c r="AL27" s="7">
        <f ca="1">MIN(IF(AK$1=0,MthRem,12), MAX(Inputs!$G$127-IF(AK$1=0,0,AK$1*12+MthOff), 0))*Inputs!$B$129</f>
        <v>0</v>
      </c>
      <c r="AM27" s="7">
        <f ca="1">MIN(IF(AL$1=0,MthRem,12), MAX(Inputs!$G$127-IF(AL$1=0,0,AL$1*12+MthOff), 0))*Inputs!$B$129</f>
        <v>0</v>
      </c>
    </row>
    <row r="28" spans="1:39" x14ac:dyDescent="0.2">
      <c r="A28" s="3" t="str">
        <f>TEXT(Inputs!$B$65,"")</f>
        <v>Gzira</v>
      </c>
      <c r="C28" s="7">
        <f ca="1">MIN(IF(B$1=0,MthRem,12), MAX(Inputs!$G$132-IF(B$1=0,0,B$1*12+MthOff), 0))*Inputs!$B$134</f>
        <v>1800</v>
      </c>
      <c r="D28" s="7">
        <f ca="1">MIN(IF(C$1=0,MthRem,12), MAX(Inputs!$G$132-IF(C$1=0,0,C$1*12+MthOff), 0))*Inputs!$B$134</f>
        <v>2400</v>
      </c>
      <c r="E28" s="7">
        <f ca="1">MIN(IF(D$1=0,MthRem,12), MAX(Inputs!$G$132-IF(D$1=0,0,D$1*12+MthOff), 0))*Inputs!$B$134</f>
        <v>2400</v>
      </c>
      <c r="F28" s="7">
        <f ca="1">MIN(IF(E$1=0,MthRem,12), MAX(Inputs!$G$132-IF(E$1=0,0,E$1*12+MthOff), 0))*Inputs!$B$134</f>
        <v>2223.4029019573059</v>
      </c>
      <c r="G28" s="7">
        <f ca="1">MIN(IF(F$1=0,MthRem,12), MAX(Inputs!$G$132-IF(F$1=0,0,F$1*12+MthOff), 0))*Inputs!$B$134</f>
        <v>0</v>
      </c>
      <c r="H28" s="7">
        <f ca="1">MIN(IF(G$1=0,MthRem,12), MAX(Inputs!$G$132-IF(G$1=0,0,G$1*12+MthOff), 0))*Inputs!$B$134</f>
        <v>0</v>
      </c>
      <c r="I28" s="7">
        <f ca="1">MIN(IF(H$1=0,MthRem,12), MAX(Inputs!$G$132-IF(H$1=0,0,H$1*12+MthOff), 0))*Inputs!$B$134</f>
        <v>0</v>
      </c>
      <c r="J28" s="7">
        <f ca="1">MIN(IF(I$1=0,MthRem,12), MAX(Inputs!$G$132-IF(I$1=0,0,I$1*12+MthOff), 0))*Inputs!$B$134</f>
        <v>0</v>
      </c>
      <c r="K28" s="7">
        <f ca="1">MIN(IF(J$1=0,MthRem,12), MAX(Inputs!$G$132-IF(J$1=0,0,J$1*12+MthOff), 0))*Inputs!$B$134</f>
        <v>0</v>
      </c>
      <c r="L28" s="7">
        <f ca="1">MIN(IF(K$1=0,MthRem,12), MAX(Inputs!$G$132-IF(K$1=0,0,K$1*12+MthOff), 0))*Inputs!$B$134</f>
        <v>0</v>
      </c>
      <c r="M28" s="7">
        <f ca="1">MIN(IF(L$1=0,MthRem,12), MAX(Inputs!$G$132-IF(L$1=0,0,L$1*12+MthOff), 0))*Inputs!$B$134</f>
        <v>0</v>
      </c>
      <c r="N28" s="7">
        <f ca="1">MIN(IF(M$1=0,MthRem,12), MAX(Inputs!$G$132-IF(M$1=0,0,M$1*12+MthOff), 0))*Inputs!$B$134</f>
        <v>0</v>
      </c>
      <c r="O28" s="7">
        <f ca="1">MIN(IF(N$1=0,MthRem,12), MAX(Inputs!$G$132-IF(N$1=0,0,N$1*12+MthOff), 0))*Inputs!$B$134</f>
        <v>0</v>
      </c>
      <c r="P28" s="7">
        <f ca="1">MIN(IF(O$1=0,MthRem,12), MAX(Inputs!$G$132-IF(O$1=0,0,O$1*12+MthOff), 0))*Inputs!$B$134</f>
        <v>0</v>
      </c>
      <c r="Q28" s="7">
        <f ca="1">MIN(IF(P$1=0,MthRem,12), MAX(Inputs!$G$132-IF(P$1=0,0,P$1*12+MthOff), 0))*Inputs!$B$134</f>
        <v>0</v>
      </c>
      <c r="R28" s="7">
        <f ca="1">MIN(IF(Q$1=0,MthRem,12), MAX(Inputs!$G$132-IF(Q$1=0,0,Q$1*12+MthOff), 0))*Inputs!$B$134</f>
        <v>0</v>
      </c>
      <c r="S28" s="7">
        <f ca="1">MIN(IF(R$1=0,MthRem,12), MAX(Inputs!$G$132-IF(R$1=0,0,R$1*12+MthOff), 0))*Inputs!$B$134</f>
        <v>0</v>
      </c>
      <c r="T28" s="7">
        <f ca="1">MIN(IF(S$1=0,MthRem,12), MAX(Inputs!$G$132-IF(S$1=0,0,S$1*12+MthOff), 0))*Inputs!$B$134</f>
        <v>0</v>
      </c>
      <c r="U28" s="7">
        <f ca="1">MIN(IF(T$1=0,MthRem,12), MAX(Inputs!$G$132-IF(T$1=0,0,T$1*12+MthOff), 0))*Inputs!$B$134</f>
        <v>0</v>
      </c>
      <c r="V28" s="7">
        <f ca="1">MIN(IF(U$1=0,MthRem,12), MAX(Inputs!$G$132-IF(U$1=0,0,U$1*12+MthOff), 0))*Inputs!$B$134</f>
        <v>0</v>
      </c>
      <c r="W28" s="7">
        <f ca="1">MIN(IF(V$1=0,MthRem,12), MAX(Inputs!$G$132-IF(V$1=0,0,V$1*12+MthOff), 0))*Inputs!$B$134</f>
        <v>0</v>
      </c>
      <c r="X28" s="7">
        <f ca="1">MIN(IF(W$1=0,MthRem,12), MAX(Inputs!$G$132-IF(W$1=0,0,W$1*12+MthOff), 0))*Inputs!$B$134</f>
        <v>0</v>
      </c>
      <c r="Y28" s="7">
        <f ca="1">MIN(IF(X$1=0,MthRem,12), MAX(Inputs!$G$132-IF(X$1=0,0,X$1*12+MthOff), 0))*Inputs!$B$134</f>
        <v>0</v>
      </c>
      <c r="Z28" s="7">
        <f ca="1">MIN(IF(Y$1=0,MthRem,12), MAX(Inputs!$G$132-IF(Y$1=0,0,Y$1*12+MthOff), 0))*Inputs!$B$134</f>
        <v>0</v>
      </c>
      <c r="AA28" s="7">
        <f ca="1">MIN(IF(Z$1=0,MthRem,12), MAX(Inputs!$G$132-IF(Z$1=0,0,Z$1*12+MthOff), 0))*Inputs!$B$134</f>
        <v>0</v>
      </c>
      <c r="AB28" s="7">
        <f ca="1">MIN(IF(AA$1=0,MthRem,12), MAX(Inputs!$G$132-IF(AA$1=0,0,AA$1*12+MthOff), 0))*Inputs!$B$134</f>
        <v>0</v>
      </c>
      <c r="AC28" s="7">
        <f ca="1">MIN(IF(AB$1=0,MthRem,12), MAX(Inputs!$G$132-IF(AB$1=0,0,AB$1*12+MthOff), 0))*Inputs!$B$134</f>
        <v>0</v>
      </c>
      <c r="AD28" s="7">
        <f ca="1">MIN(IF(AC$1=0,MthRem,12), MAX(Inputs!$G$132-IF(AC$1=0,0,AC$1*12+MthOff), 0))*Inputs!$B$134</f>
        <v>0</v>
      </c>
      <c r="AE28" s="7">
        <f ca="1">MIN(IF(AD$1=0,MthRem,12), MAX(Inputs!$G$132-IF(AD$1=0,0,AD$1*12+MthOff), 0))*Inputs!$B$134</f>
        <v>0</v>
      </c>
      <c r="AF28" s="7">
        <f ca="1">MIN(IF(AE$1=0,MthRem,12), MAX(Inputs!$G$132-IF(AE$1=0,0,AE$1*12+MthOff), 0))*Inputs!$B$134</f>
        <v>0</v>
      </c>
      <c r="AG28" s="7">
        <f ca="1">MIN(IF(AF$1=0,MthRem,12), MAX(Inputs!$G$132-IF(AF$1=0,0,AF$1*12+MthOff), 0))*Inputs!$B$134</f>
        <v>0</v>
      </c>
      <c r="AH28" s="7">
        <f ca="1">MIN(IF(AG$1=0,MthRem,12), MAX(Inputs!$G$132-IF(AG$1=0,0,AG$1*12+MthOff), 0))*Inputs!$B$134</f>
        <v>0</v>
      </c>
      <c r="AI28" s="7">
        <f ca="1">MIN(IF(AH$1=0,MthRem,12), MAX(Inputs!$G$132-IF(AH$1=0,0,AH$1*12+MthOff), 0))*Inputs!$B$134</f>
        <v>0</v>
      </c>
      <c r="AJ28" s="7">
        <f ca="1">MIN(IF(AI$1=0,MthRem,12), MAX(Inputs!$G$132-IF(AI$1=0,0,AI$1*12+MthOff), 0))*Inputs!$B$134</f>
        <v>0</v>
      </c>
      <c r="AK28" s="7">
        <f ca="1">MIN(IF(AJ$1=0,MthRem,12), MAX(Inputs!$G$132-IF(AJ$1=0,0,AJ$1*12+MthOff), 0))*Inputs!$B$134</f>
        <v>0</v>
      </c>
      <c r="AL28" s="7">
        <f ca="1">MIN(IF(AK$1=0,MthRem,12), MAX(Inputs!$G$132-IF(AK$1=0,0,AK$1*12+MthOff), 0))*Inputs!$B$134</f>
        <v>0</v>
      </c>
      <c r="AM28" s="7">
        <f ca="1">MIN(IF(AL$1=0,MthRem,12), MAX(Inputs!$G$132-IF(AL$1=0,0,AL$1*12+MthOff), 0))*Inputs!$B$134</f>
        <v>0</v>
      </c>
    </row>
    <row r="29" spans="1:39" x14ac:dyDescent="0.2">
      <c r="A29" s="3" t="str">
        <f>TEXT(Inputs!$B$70,"")</f>
        <v>Qormi</v>
      </c>
      <c r="C29" s="7">
        <f ca="1">MIN(IF(B$1=0,MthRem,12), MAX(Inputs!$G$137-IF(B$1=0,0,B$1*12+MthOff), 0))*Inputs!$B$139</f>
        <v>2250</v>
      </c>
      <c r="D29" s="7">
        <f ca="1">MIN(IF(C$1=0,MthRem,12), MAX(Inputs!$G$137-IF(C$1=0,0,C$1*12+MthOff), 0))*Inputs!$B$139</f>
        <v>3000</v>
      </c>
      <c r="E29" s="7">
        <f ca="1">MIN(IF(D$1=0,MthRem,12), MAX(Inputs!$G$137-IF(D$1=0,0,D$1*12+MthOff), 0))*Inputs!$B$139</f>
        <v>3000</v>
      </c>
      <c r="F29" s="7">
        <f ca="1">MIN(IF(E$1=0,MthRem,12), MAX(Inputs!$G$137-IF(E$1=0,0,E$1*12+MthOff), 0))*Inputs!$B$139</f>
        <v>3000</v>
      </c>
      <c r="G29" s="7">
        <f ca="1">MIN(IF(F$1=0,MthRem,12), MAX(Inputs!$G$137-IF(F$1=0,0,F$1*12+MthOff), 0))*Inputs!$B$139</f>
        <v>3000</v>
      </c>
      <c r="H29" s="7">
        <f ca="1">MIN(IF(G$1=0,MthRem,12), MAX(Inputs!$G$137-IF(G$1=0,0,G$1*12+MthOff), 0))*Inputs!$B$139</f>
        <v>3000</v>
      </c>
      <c r="I29" s="7">
        <f ca="1">MIN(IF(H$1=0,MthRem,12), MAX(Inputs!$G$137-IF(H$1=0,0,H$1*12+MthOff), 0))*Inputs!$B$139</f>
        <v>46.859685650215255</v>
      </c>
      <c r="J29" s="7">
        <f ca="1">MIN(IF(I$1=0,MthRem,12), MAX(Inputs!$G$137-IF(I$1=0,0,I$1*12+MthOff), 0))*Inputs!$B$139</f>
        <v>0</v>
      </c>
      <c r="K29" s="7">
        <f ca="1">MIN(IF(J$1=0,MthRem,12), MAX(Inputs!$G$137-IF(J$1=0,0,J$1*12+MthOff), 0))*Inputs!$B$139</f>
        <v>0</v>
      </c>
      <c r="L29" s="7">
        <f ca="1">MIN(IF(K$1=0,MthRem,12), MAX(Inputs!$G$137-IF(K$1=0,0,K$1*12+MthOff), 0))*Inputs!$B$139</f>
        <v>0</v>
      </c>
      <c r="M29" s="7">
        <f ca="1">MIN(IF(L$1=0,MthRem,12), MAX(Inputs!$G$137-IF(L$1=0,0,L$1*12+MthOff), 0))*Inputs!$B$139</f>
        <v>0</v>
      </c>
      <c r="N29" s="7">
        <f ca="1">MIN(IF(M$1=0,MthRem,12), MAX(Inputs!$G$137-IF(M$1=0,0,M$1*12+MthOff), 0))*Inputs!$B$139</f>
        <v>0</v>
      </c>
      <c r="O29" s="7">
        <f ca="1">MIN(IF(N$1=0,MthRem,12), MAX(Inputs!$G$137-IF(N$1=0,0,N$1*12+MthOff), 0))*Inputs!$B$139</f>
        <v>0</v>
      </c>
      <c r="P29" s="7">
        <f ca="1">MIN(IF(O$1=0,MthRem,12), MAX(Inputs!$G$137-IF(O$1=0,0,O$1*12+MthOff), 0))*Inputs!$B$139</f>
        <v>0</v>
      </c>
      <c r="Q29" s="7">
        <f ca="1">MIN(IF(P$1=0,MthRem,12), MAX(Inputs!$G$137-IF(P$1=0,0,P$1*12+MthOff), 0))*Inputs!$B$139</f>
        <v>0</v>
      </c>
      <c r="R29" s="7">
        <f ca="1">MIN(IF(Q$1=0,MthRem,12), MAX(Inputs!$G$137-IF(Q$1=0,0,Q$1*12+MthOff), 0))*Inputs!$B$139</f>
        <v>0</v>
      </c>
      <c r="S29" s="7">
        <f ca="1">MIN(IF(R$1=0,MthRem,12), MAX(Inputs!$G$137-IF(R$1=0,0,R$1*12+MthOff), 0))*Inputs!$B$139</f>
        <v>0</v>
      </c>
      <c r="T29" s="7">
        <f ca="1">MIN(IF(S$1=0,MthRem,12), MAX(Inputs!$G$137-IF(S$1=0,0,S$1*12+MthOff), 0))*Inputs!$B$139</f>
        <v>0</v>
      </c>
      <c r="U29" s="7">
        <f ca="1">MIN(IF(T$1=0,MthRem,12), MAX(Inputs!$G$137-IF(T$1=0,0,T$1*12+MthOff), 0))*Inputs!$B$139</f>
        <v>0</v>
      </c>
      <c r="V29" s="7">
        <f ca="1">MIN(IF(U$1=0,MthRem,12), MAX(Inputs!$G$137-IF(U$1=0,0,U$1*12+MthOff), 0))*Inputs!$B$139</f>
        <v>0</v>
      </c>
      <c r="W29" s="7">
        <f ca="1">MIN(IF(V$1=0,MthRem,12), MAX(Inputs!$G$137-IF(V$1=0,0,V$1*12+MthOff), 0))*Inputs!$B$139</f>
        <v>0</v>
      </c>
      <c r="X29" s="7">
        <f ca="1">MIN(IF(W$1=0,MthRem,12), MAX(Inputs!$G$137-IF(W$1=0,0,W$1*12+MthOff), 0))*Inputs!$B$139</f>
        <v>0</v>
      </c>
      <c r="Y29" s="7">
        <f ca="1">MIN(IF(X$1=0,MthRem,12), MAX(Inputs!$G$137-IF(X$1=0,0,X$1*12+MthOff), 0))*Inputs!$B$139</f>
        <v>0</v>
      </c>
      <c r="Z29" s="7">
        <f ca="1">MIN(IF(Y$1=0,MthRem,12), MAX(Inputs!$G$137-IF(Y$1=0,0,Y$1*12+MthOff), 0))*Inputs!$B$139</f>
        <v>0</v>
      </c>
      <c r="AA29" s="7">
        <f ca="1">MIN(IF(Z$1=0,MthRem,12), MAX(Inputs!$G$137-IF(Z$1=0,0,Z$1*12+MthOff), 0))*Inputs!$B$139</f>
        <v>0</v>
      </c>
      <c r="AB29" s="7">
        <f ca="1">MIN(IF(AA$1=0,MthRem,12), MAX(Inputs!$G$137-IF(AA$1=0,0,AA$1*12+MthOff), 0))*Inputs!$B$139</f>
        <v>0</v>
      </c>
      <c r="AC29" s="7">
        <f ca="1">MIN(IF(AB$1=0,MthRem,12), MAX(Inputs!$G$137-IF(AB$1=0,0,AB$1*12+MthOff), 0))*Inputs!$B$139</f>
        <v>0</v>
      </c>
      <c r="AD29" s="7">
        <f ca="1">MIN(IF(AC$1=0,MthRem,12), MAX(Inputs!$G$137-IF(AC$1=0,0,AC$1*12+MthOff), 0))*Inputs!$B$139</f>
        <v>0</v>
      </c>
      <c r="AE29" s="7">
        <f ca="1">MIN(IF(AD$1=0,MthRem,12), MAX(Inputs!$G$137-IF(AD$1=0,0,AD$1*12+MthOff), 0))*Inputs!$B$139</f>
        <v>0</v>
      </c>
      <c r="AF29" s="7">
        <f ca="1">MIN(IF(AE$1=0,MthRem,12), MAX(Inputs!$G$137-IF(AE$1=0,0,AE$1*12+MthOff), 0))*Inputs!$B$139</f>
        <v>0</v>
      </c>
      <c r="AG29" s="7">
        <f ca="1">MIN(IF(AF$1=0,MthRem,12), MAX(Inputs!$G$137-IF(AF$1=0,0,AF$1*12+MthOff), 0))*Inputs!$B$139</f>
        <v>0</v>
      </c>
      <c r="AH29" s="7">
        <f ca="1">MIN(IF(AG$1=0,MthRem,12), MAX(Inputs!$G$137-IF(AG$1=0,0,AG$1*12+MthOff), 0))*Inputs!$B$139</f>
        <v>0</v>
      </c>
      <c r="AI29" s="7">
        <f ca="1">MIN(IF(AH$1=0,MthRem,12), MAX(Inputs!$G$137-IF(AH$1=0,0,AH$1*12+MthOff), 0))*Inputs!$B$139</f>
        <v>0</v>
      </c>
      <c r="AJ29" s="7">
        <f ca="1">MIN(IF(AI$1=0,MthRem,12), MAX(Inputs!$G$137-IF(AI$1=0,0,AI$1*12+MthOff), 0))*Inputs!$B$139</f>
        <v>0</v>
      </c>
      <c r="AK29" s="7">
        <f ca="1">MIN(IF(AJ$1=0,MthRem,12), MAX(Inputs!$G$137-IF(AJ$1=0,0,AJ$1*12+MthOff), 0))*Inputs!$B$139</f>
        <v>0</v>
      </c>
      <c r="AL29" s="7">
        <f ca="1">MIN(IF(AK$1=0,MthRem,12), MAX(Inputs!$G$137-IF(AK$1=0,0,AK$1*12+MthOff), 0))*Inputs!$B$139</f>
        <v>0</v>
      </c>
      <c r="AM29" s="7">
        <f ca="1">MIN(IF(AL$1=0,MthRem,12), MAX(Inputs!$G$137-IF(AL$1=0,0,AL$1*12+MthOff), 0))*Inputs!$B$139</f>
        <v>0</v>
      </c>
    </row>
    <row r="30" spans="1:39" x14ac:dyDescent="0.2">
      <c r="A30" s="3" t="str">
        <f>TEXT(Inputs!$B$75,"")</f>
        <v>Gudja</v>
      </c>
      <c r="C30" s="7">
        <f ca="1">MIN(IF(B$1=0,MthRem,12), MAX(Inputs!$G$142-IF(B$1=0,0,B$1*12+MthOff), 0))*Inputs!$B$144</f>
        <v>720</v>
      </c>
      <c r="D30" s="7">
        <f ca="1">MIN(IF(C$1=0,MthRem,12), MAX(Inputs!$G$142-IF(C$1=0,0,C$1*12+MthOff), 0))*Inputs!$B$144</f>
        <v>960</v>
      </c>
      <c r="E30" s="7">
        <f ca="1">MIN(IF(D$1=0,MthRem,12), MAX(Inputs!$G$142-IF(D$1=0,0,D$1*12+MthOff), 0))*Inputs!$B$144</f>
        <v>960</v>
      </c>
      <c r="F30" s="7">
        <f ca="1">MIN(IF(E$1=0,MthRem,12), MAX(Inputs!$G$142-IF(E$1=0,0,E$1*12+MthOff), 0))*Inputs!$B$144</f>
        <v>960</v>
      </c>
      <c r="G30" s="7">
        <f ca="1">MIN(IF(F$1=0,MthRem,12), MAX(Inputs!$G$142-IF(F$1=0,0,F$1*12+MthOff), 0))*Inputs!$B$144</f>
        <v>960</v>
      </c>
      <c r="H30" s="7">
        <f ca="1">MIN(IF(G$1=0,MthRem,12), MAX(Inputs!$G$142-IF(G$1=0,0,G$1*12+MthOff), 0))*Inputs!$B$144</f>
        <v>368.25858585362369</v>
      </c>
      <c r="I30" s="7">
        <f ca="1">MIN(IF(H$1=0,MthRem,12), MAX(Inputs!$G$142-IF(H$1=0,0,H$1*12+MthOff), 0))*Inputs!$B$144</f>
        <v>0</v>
      </c>
      <c r="J30" s="7">
        <f ca="1">MIN(IF(I$1=0,MthRem,12), MAX(Inputs!$G$142-IF(I$1=0,0,I$1*12+MthOff), 0))*Inputs!$B$144</f>
        <v>0</v>
      </c>
      <c r="K30" s="7">
        <f ca="1">MIN(IF(J$1=0,MthRem,12), MAX(Inputs!$G$142-IF(J$1=0,0,J$1*12+MthOff), 0))*Inputs!$B$144</f>
        <v>0</v>
      </c>
      <c r="L30" s="7">
        <f ca="1">MIN(IF(K$1=0,MthRem,12), MAX(Inputs!$G$142-IF(K$1=0,0,K$1*12+MthOff), 0))*Inputs!$B$144</f>
        <v>0</v>
      </c>
      <c r="M30" s="7">
        <f ca="1">MIN(IF(L$1=0,MthRem,12), MAX(Inputs!$G$142-IF(L$1=0,0,L$1*12+MthOff), 0))*Inputs!$B$144</f>
        <v>0</v>
      </c>
      <c r="N30" s="7">
        <f ca="1">MIN(IF(M$1=0,MthRem,12), MAX(Inputs!$G$142-IF(M$1=0,0,M$1*12+MthOff), 0))*Inputs!$B$144</f>
        <v>0</v>
      </c>
      <c r="O30" s="7">
        <f ca="1">MIN(IF(N$1=0,MthRem,12), MAX(Inputs!$G$142-IF(N$1=0,0,N$1*12+MthOff), 0))*Inputs!$B$144</f>
        <v>0</v>
      </c>
      <c r="P30" s="7">
        <f ca="1">MIN(IF(O$1=0,MthRem,12), MAX(Inputs!$G$142-IF(O$1=0,0,O$1*12+MthOff), 0))*Inputs!$B$144</f>
        <v>0</v>
      </c>
      <c r="Q30" s="7">
        <f ca="1">MIN(IF(P$1=0,MthRem,12), MAX(Inputs!$G$142-IF(P$1=0,0,P$1*12+MthOff), 0))*Inputs!$B$144</f>
        <v>0</v>
      </c>
      <c r="R30" s="7">
        <f ca="1">MIN(IF(Q$1=0,MthRem,12), MAX(Inputs!$G$142-IF(Q$1=0,0,Q$1*12+MthOff), 0))*Inputs!$B$144</f>
        <v>0</v>
      </c>
      <c r="S30" s="7">
        <f ca="1">MIN(IF(R$1=0,MthRem,12), MAX(Inputs!$G$142-IF(R$1=0,0,R$1*12+MthOff), 0))*Inputs!$B$144</f>
        <v>0</v>
      </c>
      <c r="T30" s="7">
        <f ca="1">MIN(IF(S$1=0,MthRem,12), MAX(Inputs!$G$142-IF(S$1=0,0,S$1*12+MthOff), 0))*Inputs!$B$144</f>
        <v>0</v>
      </c>
      <c r="U30" s="7">
        <f ca="1">MIN(IF(T$1=0,MthRem,12), MAX(Inputs!$G$142-IF(T$1=0,0,T$1*12+MthOff), 0))*Inputs!$B$144</f>
        <v>0</v>
      </c>
      <c r="V30" s="7">
        <f ca="1">MIN(IF(U$1=0,MthRem,12), MAX(Inputs!$G$142-IF(U$1=0,0,U$1*12+MthOff), 0))*Inputs!$B$144</f>
        <v>0</v>
      </c>
      <c r="W30" s="7">
        <f ca="1">MIN(IF(V$1=0,MthRem,12), MAX(Inputs!$G$142-IF(V$1=0,0,V$1*12+MthOff), 0))*Inputs!$B$144</f>
        <v>0</v>
      </c>
      <c r="X30" s="7">
        <f ca="1">MIN(IF(W$1=0,MthRem,12), MAX(Inputs!$G$142-IF(W$1=0,0,W$1*12+MthOff), 0))*Inputs!$B$144</f>
        <v>0</v>
      </c>
      <c r="Y30" s="7">
        <f ca="1">MIN(IF(X$1=0,MthRem,12), MAX(Inputs!$G$142-IF(X$1=0,0,X$1*12+MthOff), 0))*Inputs!$B$144</f>
        <v>0</v>
      </c>
      <c r="Z30" s="7">
        <f ca="1">MIN(IF(Y$1=0,MthRem,12), MAX(Inputs!$G$142-IF(Y$1=0,0,Y$1*12+MthOff), 0))*Inputs!$B$144</f>
        <v>0</v>
      </c>
      <c r="AA30" s="7">
        <f ca="1">MIN(IF(Z$1=0,MthRem,12), MAX(Inputs!$G$142-IF(Z$1=0,0,Z$1*12+MthOff), 0))*Inputs!$B$144</f>
        <v>0</v>
      </c>
      <c r="AB30" s="7">
        <f ca="1">MIN(IF(AA$1=0,MthRem,12), MAX(Inputs!$G$142-IF(AA$1=0,0,AA$1*12+MthOff), 0))*Inputs!$B$144</f>
        <v>0</v>
      </c>
      <c r="AC30" s="7">
        <f ca="1">MIN(IF(AB$1=0,MthRem,12), MAX(Inputs!$G$142-IF(AB$1=0,0,AB$1*12+MthOff), 0))*Inputs!$B$144</f>
        <v>0</v>
      </c>
      <c r="AD30" s="7">
        <f ca="1">MIN(IF(AC$1=0,MthRem,12), MAX(Inputs!$G$142-IF(AC$1=0,0,AC$1*12+MthOff), 0))*Inputs!$B$144</f>
        <v>0</v>
      </c>
      <c r="AE30" s="7">
        <f ca="1">MIN(IF(AD$1=0,MthRem,12), MAX(Inputs!$G$142-IF(AD$1=0,0,AD$1*12+MthOff), 0))*Inputs!$B$144</f>
        <v>0</v>
      </c>
      <c r="AF30" s="7">
        <f ca="1">MIN(IF(AE$1=0,MthRem,12), MAX(Inputs!$G$142-IF(AE$1=0,0,AE$1*12+MthOff), 0))*Inputs!$B$144</f>
        <v>0</v>
      </c>
      <c r="AG30" s="7">
        <f ca="1">MIN(IF(AF$1=0,MthRem,12), MAX(Inputs!$G$142-IF(AF$1=0,0,AF$1*12+MthOff), 0))*Inputs!$B$144</f>
        <v>0</v>
      </c>
      <c r="AH30" s="7">
        <f ca="1">MIN(IF(AG$1=0,MthRem,12), MAX(Inputs!$G$142-IF(AG$1=0,0,AG$1*12+MthOff), 0))*Inputs!$B$144</f>
        <v>0</v>
      </c>
      <c r="AI30" s="7">
        <f ca="1">MIN(IF(AH$1=0,MthRem,12), MAX(Inputs!$G$142-IF(AH$1=0,0,AH$1*12+MthOff), 0))*Inputs!$B$144</f>
        <v>0</v>
      </c>
      <c r="AJ30" s="7">
        <f ca="1">MIN(IF(AI$1=0,MthRem,12), MAX(Inputs!$G$142-IF(AI$1=0,0,AI$1*12+MthOff), 0))*Inputs!$B$144</f>
        <v>0</v>
      </c>
      <c r="AK30" s="7">
        <f ca="1">MIN(IF(AJ$1=0,MthRem,12), MAX(Inputs!$G$142-IF(AJ$1=0,0,AJ$1*12+MthOff), 0))*Inputs!$B$144</f>
        <v>0</v>
      </c>
      <c r="AL30" s="7">
        <f ca="1">MIN(IF(AK$1=0,MthRem,12), MAX(Inputs!$G$142-IF(AK$1=0,0,AK$1*12+MthOff), 0))*Inputs!$B$144</f>
        <v>0</v>
      </c>
      <c r="AM30" s="7">
        <f ca="1">MIN(IF(AL$1=0,MthRem,12), MAX(Inputs!$G$142-IF(AL$1=0,0,AL$1*12+MthOff), 0))*Inputs!$B$144</f>
        <v>0</v>
      </c>
    </row>
    <row r="31" spans="1:39" x14ac:dyDescent="0.2">
      <c r="A31" s="3" t="str">
        <f>TEXT(Inputs!$B$80,"")</f>
        <v>Marsa</v>
      </c>
      <c r="C31" s="7">
        <f ca="1">MIN(IF(B$1=0,MthRem,12), MAX(Inputs!$G$147-IF(B$1=0,0,B$1*12+MthOff), 0))*Inputs!$B$149</f>
        <v>1080</v>
      </c>
      <c r="D31" s="7">
        <f ca="1">MIN(IF(C$1=0,MthRem,12), MAX(Inputs!$G$147-IF(C$1=0,0,C$1*12+MthOff), 0))*Inputs!$B$149</f>
        <v>1440</v>
      </c>
      <c r="E31" s="7">
        <f ca="1">MIN(IF(D$1=0,MthRem,12), MAX(Inputs!$G$147-IF(D$1=0,0,D$1*12+MthOff), 0))*Inputs!$B$149</f>
        <v>1440</v>
      </c>
      <c r="F31" s="7">
        <f ca="1">MIN(IF(E$1=0,MthRem,12), MAX(Inputs!$G$147-IF(E$1=0,0,E$1*12+MthOff), 0))*Inputs!$B$149</f>
        <v>1440</v>
      </c>
      <c r="G31" s="7">
        <f ca="1">MIN(IF(F$1=0,MthRem,12), MAX(Inputs!$G$147-IF(F$1=0,0,F$1*12+MthOff), 0))*Inputs!$B$149</f>
        <v>1440</v>
      </c>
      <c r="H31" s="7">
        <f ca="1">MIN(IF(G$1=0,MthRem,12), MAX(Inputs!$G$147-IF(G$1=0,0,G$1*12+MthOff), 0))*Inputs!$B$149</f>
        <v>1440</v>
      </c>
      <c r="I31" s="7">
        <f ca="1">MIN(IF(H$1=0,MthRem,12), MAX(Inputs!$G$147-IF(H$1=0,0,H$1*12+MthOff), 0))*Inputs!$B$149</f>
        <v>1440</v>
      </c>
      <c r="J31" s="7">
        <f ca="1">MIN(IF(I$1=0,MthRem,12), MAX(Inputs!$G$147-IF(I$1=0,0,I$1*12+MthOff), 0))*Inputs!$B$149</f>
        <v>909.24880782033654</v>
      </c>
      <c r="K31" s="7">
        <f ca="1">MIN(IF(J$1=0,MthRem,12), MAX(Inputs!$G$147-IF(J$1=0,0,J$1*12+MthOff), 0))*Inputs!$B$149</f>
        <v>0</v>
      </c>
      <c r="L31" s="7">
        <f ca="1">MIN(IF(K$1=0,MthRem,12), MAX(Inputs!$G$147-IF(K$1=0,0,K$1*12+MthOff), 0))*Inputs!$B$149</f>
        <v>0</v>
      </c>
      <c r="M31" s="7">
        <f ca="1">MIN(IF(L$1=0,MthRem,12), MAX(Inputs!$G$147-IF(L$1=0,0,L$1*12+MthOff), 0))*Inputs!$B$149</f>
        <v>0</v>
      </c>
      <c r="N31" s="7">
        <f ca="1">MIN(IF(M$1=0,MthRem,12), MAX(Inputs!$G$147-IF(M$1=0,0,M$1*12+MthOff), 0))*Inputs!$B$149</f>
        <v>0</v>
      </c>
      <c r="O31" s="7">
        <f ca="1">MIN(IF(N$1=0,MthRem,12), MAX(Inputs!$G$147-IF(N$1=0,0,N$1*12+MthOff), 0))*Inputs!$B$149</f>
        <v>0</v>
      </c>
      <c r="P31" s="7">
        <f ca="1">MIN(IF(O$1=0,MthRem,12), MAX(Inputs!$G$147-IF(O$1=0,0,O$1*12+MthOff), 0))*Inputs!$B$149</f>
        <v>0</v>
      </c>
      <c r="Q31" s="7">
        <f ca="1">MIN(IF(P$1=0,MthRem,12), MAX(Inputs!$G$147-IF(P$1=0,0,P$1*12+MthOff), 0))*Inputs!$B$149</f>
        <v>0</v>
      </c>
      <c r="R31" s="7">
        <f ca="1">MIN(IF(Q$1=0,MthRem,12), MAX(Inputs!$G$147-IF(Q$1=0,0,Q$1*12+MthOff), 0))*Inputs!$B$149</f>
        <v>0</v>
      </c>
      <c r="S31" s="7">
        <f ca="1">MIN(IF(R$1=0,MthRem,12), MAX(Inputs!$G$147-IF(R$1=0,0,R$1*12+MthOff), 0))*Inputs!$B$149</f>
        <v>0</v>
      </c>
      <c r="T31" s="7">
        <f ca="1">MIN(IF(S$1=0,MthRem,12), MAX(Inputs!$G$147-IF(S$1=0,0,S$1*12+MthOff), 0))*Inputs!$B$149</f>
        <v>0</v>
      </c>
      <c r="U31" s="7">
        <f ca="1">MIN(IF(T$1=0,MthRem,12), MAX(Inputs!$G$147-IF(T$1=0,0,T$1*12+MthOff), 0))*Inputs!$B$149</f>
        <v>0</v>
      </c>
      <c r="V31" s="7">
        <f ca="1">MIN(IF(U$1=0,MthRem,12), MAX(Inputs!$G$147-IF(U$1=0,0,U$1*12+MthOff), 0))*Inputs!$B$149</f>
        <v>0</v>
      </c>
      <c r="W31" s="7">
        <f ca="1">MIN(IF(V$1=0,MthRem,12), MAX(Inputs!$G$147-IF(V$1=0,0,V$1*12+MthOff), 0))*Inputs!$B$149</f>
        <v>0</v>
      </c>
      <c r="X31" s="7">
        <f ca="1">MIN(IF(W$1=0,MthRem,12), MAX(Inputs!$G$147-IF(W$1=0,0,W$1*12+MthOff), 0))*Inputs!$B$149</f>
        <v>0</v>
      </c>
      <c r="Y31" s="7">
        <f ca="1">MIN(IF(X$1=0,MthRem,12), MAX(Inputs!$G$147-IF(X$1=0,0,X$1*12+MthOff), 0))*Inputs!$B$149</f>
        <v>0</v>
      </c>
      <c r="Z31" s="7">
        <f ca="1">MIN(IF(Y$1=0,MthRem,12), MAX(Inputs!$G$147-IF(Y$1=0,0,Y$1*12+MthOff), 0))*Inputs!$B$149</f>
        <v>0</v>
      </c>
      <c r="AA31" s="7">
        <f ca="1">MIN(IF(Z$1=0,MthRem,12), MAX(Inputs!$G$147-IF(Z$1=0,0,Z$1*12+MthOff), 0))*Inputs!$B$149</f>
        <v>0</v>
      </c>
      <c r="AB31" s="7">
        <f ca="1">MIN(IF(AA$1=0,MthRem,12), MAX(Inputs!$G$147-IF(AA$1=0,0,AA$1*12+MthOff), 0))*Inputs!$B$149</f>
        <v>0</v>
      </c>
      <c r="AC31" s="7">
        <f ca="1">MIN(IF(AB$1=0,MthRem,12), MAX(Inputs!$G$147-IF(AB$1=0,0,AB$1*12+MthOff), 0))*Inputs!$B$149</f>
        <v>0</v>
      </c>
      <c r="AD31" s="7">
        <f ca="1">MIN(IF(AC$1=0,MthRem,12), MAX(Inputs!$G$147-IF(AC$1=0,0,AC$1*12+MthOff), 0))*Inputs!$B$149</f>
        <v>0</v>
      </c>
      <c r="AE31" s="7">
        <f ca="1">MIN(IF(AD$1=0,MthRem,12), MAX(Inputs!$G$147-IF(AD$1=0,0,AD$1*12+MthOff), 0))*Inputs!$B$149</f>
        <v>0</v>
      </c>
      <c r="AF31" s="7">
        <f ca="1">MIN(IF(AE$1=0,MthRem,12), MAX(Inputs!$G$147-IF(AE$1=0,0,AE$1*12+MthOff), 0))*Inputs!$B$149</f>
        <v>0</v>
      </c>
      <c r="AG31" s="7">
        <f ca="1">MIN(IF(AF$1=0,MthRem,12), MAX(Inputs!$G$147-IF(AF$1=0,0,AF$1*12+MthOff), 0))*Inputs!$B$149</f>
        <v>0</v>
      </c>
      <c r="AH31" s="7">
        <f ca="1">MIN(IF(AG$1=0,MthRem,12), MAX(Inputs!$G$147-IF(AG$1=0,0,AG$1*12+MthOff), 0))*Inputs!$B$149</f>
        <v>0</v>
      </c>
      <c r="AI31" s="7">
        <f ca="1">MIN(IF(AH$1=0,MthRem,12), MAX(Inputs!$G$147-IF(AH$1=0,0,AH$1*12+MthOff), 0))*Inputs!$B$149</f>
        <v>0</v>
      </c>
      <c r="AJ31" s="7">
        <f ca="1">MIN(IF(AI$1=0,MthRem,12), MAX(Inputs!$G$147-IF(AI$1=0,0,AI$1*12+MthOff), 0))*Inputs!$B$149</f>
        <v>0</v>
      </c>
      <c r="AK31" s="7">
        <f ca="1">MIN(IF(AJ$1=0,MthRem,12), MAX(Inputs!$G$147-IF(AJ$1=0,0,AJ$1*12+MthOff), 0))*Inputs!$B$149</f>
        <v>0</v>
      </c>
      <c r="AL31" s="7">
        <f ca="1">MIN(IF(AK$1=0,MthRem,12), MAX(Inputs!$G$147-IF(AK$1=0,0,AK$1*12+MthOff), 0))*Inputs!$B$149</f>
        <v>0</v>
      </c>
      <c r="AM31" s="7">
        <f ca="1">MIN(IF(AL$1=0,MthRem,12), MAX(Inputs!$G$147-IF(AL$1=0,0,AL$1*12+MthOff), 0))*Inputs!$B$149</f>
        <v>0</v>
      </c>
    </row>
    <row r="32" spans="1:39" x14ac:dyDescent="0.2">
      <c r="A32" s="3" t="str">
        <f>TEXT(Inputs!$B$87,"")</f>
        <v>Jewelry</v>
      </c>
      <c r="C32" s="7">
        <f ca="1">MIN(IF(B$1=0,MthRem,12), MAX(Inputs!$G$152-IF(B$1=0,0,B$1*12+MthOff), 0))*Inputs!$B$154</f>
        <v>675</v>
      </c>
      <c r="D32" s="7">
        <f ca="1">MIN(IF(C$1=0,MthRem,12), MAX(Inputs!$G$152-IF(C$1=0,0,C$1*12+MthOff), 0))*Inputs!$B$154</f>
        <v>900</v>
      </c>
      <c r="E32" s="7">
        <f ca="1">MIN(IF(D$1=0,MthRem,12), MAX(Inputs!$G$152-IF(D$1=0,0,D$1*12+MthOff), 0))*Inputs!$B$154</f>
        <v>900</v>
      </c>
      <c r="F32" s="7">
        <f ca="1">MIN(IF(E$1=0,MthRem,12), MAX(Inputs!$G$152-IF(E$1=0,0,E$1*12+MthOff), 0))*Inputs!$B$154</f>
        <v>138.6028784700473</v>
      </c>
      <c r="G32" s="7">
        <f ca="1">MIN(IF(F$1=0,MthRem,12), MAX(Inputs!$G$152-IF(F$1=0,0,F$1*12+MthOff), 0))*Inputs!$B$154</f>
        <v>0</v>
      </c>
      <c r="H32" s="7">
        <f ca="1">MIN(IF(G$1=0,MthRem,12), MAX(Inputs!$G$152-IF(G$1=0,0,G$1*12+MthOff), 0))*Inputs!$B$154</f>
        <v>0</v>
      </c>
      <c r="I32" s="7">
        <f ca="1">MIN(IF(H$1=0,MthRem,12), MAX(Inputs!$G$152-IF(H$1=0,0,H$1*12+MthOff), 0))*Inputs!$B$154</f>
        <v>0</v>
      </c>
      <c r="J32" s="7">
        <f ca="1">MIN(IF(I$1=0,MthRem,12), MAX(Inputs!$G$152-IF(I$1=0,0,I$1*12+MthOff), 0))*Inputs!$B$154</f>
        <v>0</v>
      </c>
      <c r="K32" s="7">
        <f ca="1">MIN(IF(J$1=0,MthRem,12), MAX(Inputs!$G$152-IF(J$1=0,0,J$1*12+MthOff), 0))*Inputs!$B$154</f>
        <v>0</v>
      </c>
      <c r="L32" s="7">
        <f ca="1">MIN(IF(K$1=0,MthRem,12), MAX(Inputs!$G$152-IF(K$1=0,0,K$1*12+MthOff), 0))*Inputs!$B$154</f>
        <v>0</v>
      </c>
      <c r="M32" s="7">
        <f ca="1">MIN(IF(L$1=0,MthRem,12), MAX(Inputs!$G$152-IF(L$1=0,0,L$1*12+MthOff), 0))*Inputs!$B$154</f>
        <v>0</v>
      </c>
      <c r="N32" s="7">
        <f ca="1">MIN(IF(M$1=0,MthRem,12), MAX(Inputs!$G$152-IF(M$1=0,0,M$1*12+MthOff), 0))*Inputs!$B$154</f>
        <v>0</v>
      </c>
      <c r="O32" s="7">
        <f ca="1">MIN(IF(N$1=0,MthRem,12), MAX(Inputs!$G$152-IF(N$1=0,0,N$1*12+MthOff), 0))*Inputs!$B$154</f>
        <v>0</v>
      </c>
      <c r="P32" s="7">
        <f ca="1">MIN(IF(O$1=0,MthRem,12), MAX(Inputs!$G$152-IF(O$1=0,0,O$1*12+MthOff), 0))*Inputs!$B$154</f>
        <v>0</v>
      </c>
      <c r="Q32" s="7">
        <f ca="1">MIN(IF(P$1=0,MthRem,12), MAX(Inputs!$G$152-IF(P$1=0,0,P$1*12+MthOff), 0))*Inputs!$B$154</f>
        <v>0</v>
      </c>
      <c r="R32" s="7">
        <f ca="1">MIN(IF(Q$1=0,MthRem,12), MAX(Inputs!$G$152-IF(Q$1=0,0,Q$1*12+MthOff), 0))*Inputs!$B$154</f>
        <v>0</v>
      </c>
      <c r="S32" s="7">
        <f ca="1">MIN(IF(R$1=0,MthRem,12), MAX(Inputs!$G$152-IF(R$1=0,0,R$1*12+MthOff), 0))*Inputs!$B$154</f>
        <v>0</v>
      </c>
      <c r="T32" s="7">
        <f ca="1">MIN(IF(S$1=0,MthRem,12), MAX(Inputs!$G$152-IF(S$1=0,0,S$1*12+MthOff), 0))*Inputs!$B$154</f>
        <v>0</v>
      </c>
      <c r="U32" s="7">
        <f ca="1">MIN(IF(T$1=0,MthRem,12), MAX(Inputs!$G$152-IF(T$1=0,0,T$1*12+MthOff), 0))*Inputs!$B$154</f>
        <v>0</v>
      </c>
      <c r="V32" s="7">
        <f ca="1">MIN(IF(U$1=0,MthRem,12), MAX(Inputs!$G$152-IF(U$1=0,0,U$1*12+MthOff), 0))*Inputs!$B$154</f>
        <v>0</v>
      </c>
      <c r="W32" s="7">
        <f ca="1">MIN(IF(V$1=0,MthRem,12), MAX(Inputs!$G$152-IF(V$1=0,0,V$1*12+MthOff), 0))*Inputs!$B$154</f>
        <v>0</v>
      </c>
      <c r="X32" s="7">
        <f ca="1">MIN(IF(W$1=0,MthRem,12), MAX(Inputs!$G$152-IF(W$1=0,0,W$1*12+MthOff), 0))*Inputs!$B$154</f>
        <v>0</v>
      </c>
      <c r="Y32" s="7">
        <f ca="1">MIN(IF(X$1=0,MthRem,12), MAX(Inputs!$G$152-IF(X$1=0,0,X$1*12+MthOff), 0))*Inputs!$B$154</f>
        <v>0</v>
      </c>
      <c r="Z32" s="7">
        <f ca="1">MIN(IF(Y$1=0,MthRem,12), MAX(Inputs!$G$152-IF(Y$1=0,0,Y$1*12+MthOff), 0))*Inputs!$B$154</f>
        <v>0</v>
      </c>
      <c r="AA32" s="7">
        <f ca="1">MIN(IF(Z$1=0,MthRem,12), MAX(Inputs!$G$152-IF(Z$1=0,0,Z$1*12+MthOff), 0))*Inputs!$B$154</f>
        <v>0</v>
      </c>
      <c r="AB32" s="7">
        <f ca="1">MIN(IF(AA$1=0,MthRem,12), MAX(Inputs!$G$152-IF(AA$1=0,0,AA$1*12+MthOff), 0))*Inputs!$B$154</f>
        <v>0</v>
      </c>
      <c r="AC32" s="7">
        <f ca="1">MIN(IF(AB$1=0,MthRem,12), MAX(Inputs!$G$152-IF(AB$1=0,0,AB$1*12+MthOff), 0))*Inputs!$B$154</f>
        <v>0</v>
      </c>
      <c r="AD32" s="7">
        <f ca="1">MIN(IF(AC$1=0,MthRem,12), MAX(Inputs!$G$152-IF(AC$1=0,0,AC$1*12+MthOff), 0))*Inputs!$B$154</f>
        <v>0</v>
      </c>
      <c r="AE32" s="7">
        <f ca="1">MIN(IF(AD$1=0,MthRem,12), MAX(Inputs!$G$152-IF(AD$1=0,0,AD$1*12+MthOff), 0))*Inputs!$B$154</f>
        <v>0</v>
      </c>
      <c r="AF32" s="7">
        <f ca="1">MIN(IF(AE$1=0,MthRem,12), MAX(Inputs!$G$152-IF(AE$1=0,0,AE$1*12+MthOff), 0))*Inputs!$B$154</f>
        <v>0</v>
      </c>
      <c r="AG32" s="7">
        <f ca="1">MIN(IF(AF$1=0,MthRem,12), MAX(Inputs!$G$152-IF(AF$1=0,0,AF$1*12+MthOff), 0))*Inputs!$B$154</f>
        <v>0</v>
      </c>
      <c r="AH32" s="7">
        <f ca="1">MIN(IF(AG$1=0,MthRem,12), MAX(Inputs!$G$152-IF(AG$1=0,0,AG$1*12+MthOff), 0))*Inputs!$B$154</f>
        <v>0</v>
      </c>
      <c r="AI32" s="7">
        <f ca="1">MIN(IF(AH$1=0,MthRem,12), MAX(Inputs!$G$152-IF(AH$1=0,0,AH$1*12+MthOff), 0))*Inputs!$B$154</f>
        <v>0</v>
      </c>
      <c r="AJ32" s="7">
        <f ca="1">MIN(IF(AI$1=0,MthRem,12), MAX(Inputs!$G$152-IF(AI$1=0,0,AI$1*12+MthOff), 0))*Inputs!$B$154</f>
        <v>0</v>
      </c>
      <c r="AK32" s="7">
        <f ca="1">MIN(IF(AJ$1=0,MthRem,12), MAX(Inputs!$G$152-IF(AJ$1=0,0,AJ$1*12+MthOff), 0))*Inputs!$B$154</f>
        <v>0</v>
      </c>
      <c r="AL32" s="7">
        <f ca="1">MIN(IF(AK$1=0,MthRem,12), MAX(Inputs!$G$152-IF(AK$1=0,0,AK$1*12+MthOff), 0))*Inputs!$B$154</f>
        <v>0</v>
      </c>
      <c r="AM32" s="7">
        <f ca="1">MIN(IF(AL$1=0,MthRem,12), MAX(Inputs!$G$152-IF(AL$1=0,0,AL$1*12+MthOff), 0))*Inputs!$B$154</f>
        <v>0</v>
      </c>
    </row>
    <row r="33" spans="1:39" x14ac:dyDescent="0.2">
      <c r="A33" s="3" t="str">
        <f>TEXT(Inputs!$B$92,"")</f>
        <v>Car</v>
      </c>
      <c r="C33" s="7">
        <f ca="1">MIN(IF(B$1=0,MthRem,12), MAX(Inputs!$G$157-IF(B$1=0,0,B$1*12+MthOff), 0))*Inputs!$B$159</f>
        <v>774</v>
      </c>
      <c r="D33" s="7">
        <f ca="1">MIN(IF(C$1=0,MthRem,12), MAX(Inputs!$G$157-IF(C$1=0,0,C$1*12+MthOff), 0))*Inputs!$B$159</f>
        <v>1032</v>
      </c>
      <c r="E33" s="7">
        <f ca="1">MIN(IF(D$1=0,MthRem,12), MAX(Inputs!$G$157-IF(D$1=0,0,D$1*12+MthOff), 0))*Inputs!$B$159</f>
        <v>1032</v>
      </c>
      <c r="F33" s="7">
        <f ca="1">MIN(IF(E$1=0,MthRem,12), MAX(Inputs!$G$157-IF(E$1=0,0,E$1*12+MthOff), 0))*Inputs!$B$159</f>
        <v>1032</v>
      </c>
      <c r="G33" s="7">
        <f ca="1">MIN(IF(F$1=0,MthRem,12), MAX(Inputs!$G$157-IF(F$1=0,0,F$1*12+MthOff), 0))*Inputs!$B$159</f>
        <v>1032</v>
      </c>
      <c r="H33" s="7">
        <f ca="1">MIN(IF(G$1=0,MthRem,12), MAX(Inputs!$G$157-IF(G$1=0,0,G$1*12+MthOff), 0))*Inputs!$B$159</f>
        <v>1032</v>
      </c>
      <c r="I33" s="7">
        <f ca="1">MIN(IF(H$1=0,MthRem,12), MAX(Inputs!$G$157-IF(H$1=0,0,H$1*12+MthOff), 0))*Inputs!$B$159</f>
        <v>449.79405274184501</v>
      </c>
      <c r="J33" s="7">
        <f ca="1">MIN(IF(I$1=0,MthRem,12), MAX(Inputs!$G$157-IF(I$1=0,0,I$1*12+MthOff), 0))*Inputs!$B$159</f>
        <v>0</v>
      </c>
      <c r="K33" s="7">
        <f ca="1">MIN(IF(J$1=0,MthRem,12), MAX(Inputs!$G$157-IF(J$1=0,0,J$1*12+MthOff), 0))*Inputs!$B$159</f>
        <v>0</v>
      </c>
      <c r="L33" s="7">
        <f ca="1">MIN(IF(K$1=0,MthRem,12), MAX(Inputs!$G$157-IF(K$1=0,0,K$1*12+MthOff), 0))*Inputs!$B$159</f>
        <v>0</v>
      </c>
      <c r="M33" s="7">
        <f ca="1">MIN(IF(L$1=0,MthRem,12), MAX(Inputs!$G$157-IF(L$1=0,0,L$1*12+MthOff), 0))*Inputs!$B$159</f>
        <v>0</v>
      </c>
      <c r="N33" s="7">
        <f ca="1">MIN(IF(M$1=0,MthRem,12), MAX(Inputs!$G$157-IF(M$1=0,0,M$1*12+MthOff), 0))*Inputs!$B$159</f>
        <v>0</v>
      </c>
      <c r="O33" s="7">
        <f ca="1">MIN(IF(N$1=0,MthRem,12), MAX(Inputs!$G$157-IF(N$1=0,0,N$1*12+MthOff), 0))*Inputs!$B$159</f>
        <v>0</v>
      </c>
      <c r="P33" s="7">
        <f ca="1">MIN(IF(O$1=0,MthRem,12), MAX(Inputs!$G$157-IF(O$1=0,0,O$1*12+MthOff), 0))*Inputs!$B$159</f>
        <v>0</v>
      </c>
      <c r="Q33" s="7">
        <f ca="1">MIN(IF(P$1=0,MthRem,12), MAX(Inputs!$G$157-IF(P$1=0,0,P$1*12+MthOff), 0))*Inputs!$B$159</f>
        <v>0</v>
      </c>
      <c r="R33" s="7">
        <f ca="1">MIN(IF(Q$1=0,MthRem,12), MAX(Inputs!$G$157-IF(Q$1=0,0,Q$1*12+MthOff), 0))*Inputs!$B$159</f>
        <v>0</v>
      </c>
      <c r="S33" s="7">
        <f ca="1">MIN(IF(R$1=0,MthRem,12), MAX(Inputs!$G$157-IF(R$1=0,0,R$1*12+MthOff), 0))*Inputs!$B$159</f>
        <v>0</v>
      </c>
      <c r="T33" s="7">
        <f ca="1">MIN(IF(S$1=0,MthRem,12), MAX(Inputs!$G$157-IF(S$1=0,0,S$1*12+MthOff), 0))*Inputs!$B$159</f>
        <v>0</v>
      </c>
      <c r="U33" s="7">
        <f ca="1">MIN(IF(T$1=0,MthRem,12), MAX(Inputs!$G$157-IF(T$1=0,0,T$1*12+MthOff), 0))*Inputs!$B$159</f>
        <v>0</v>
      </c>
      <c r="V33" s="7">
        <f ca="1">MIN(IF(U$1=0,MthRem,12), MAX(Inputs!$G$157-IF(U$1=0,0,U$1*12+MthOff), 0))*Inputs!$B$159</f>
        <v>0</v>
      </c>
      <c r="W33" s="7">
        <f ca="1">MIN(IF(V$1=0,MthRem,12), MAX(Inputs!$G$157-IF(V$1=0,0,V$1*12+MthOff), 0))*Inputs!$B$159</f>
        <v>0</v>
      </c>
      <c r="X33" s="7">
        <f ca="1">MIN(IF(W$1=0,MthRem,12), MAX(Inputs!$G$157-IF(W$1=0,0,W$1*12+MthOff), 0))*Inputs!$B$159</f>
        <v>0</v>
      </c>
      <c r="Y33" s="7">
        <f ca="1">MIN(IF(X$1=0,MthRem,12), MAX(Inputs!$G$157-IF(X$1=0,0,X$1*12+MthOff), 0))*Inputs!$B$159</f>
        <v>0</v>
      </c>
      <c r="Z33" s="7">
        <f ca="1">MIN(IF(Y$1=0,MthRem,12), MAX(Inputs!$G$157-IF(Y$1=0,0,Y$1*12+MthOff), 0))*Inputs!$B$159</f>
        <v>0</v>
      </c>
      <c r="AA33" s="7">
        <f ca="1">MIN(IF(Z$1=0,MthRem,12), MAX(Inputs!$G$157-IF(Z$1=0,0,Z$1*12+MthOff), 0))*Inputs!$B$159</f>
        <v>0</v>
      </c>
      <c r="AB33" s="7">
        <f ca="1">MIN(IF(AA$1=0,MthRem,12), MAX(Inputs!$G$157-IF(AA$1=0,0,AA$1*12+MthOff), 0))*Inputs!$B$159</f>
        <v>0</v>
      </c>
      <c r="AC33" s="7">
        <f ca="1">MIN(IF(AB$1=0,MthRem,12), MAX(Inputs!$G$157-IF(AB$1=0,0,AB$1*12+MthOff), 0))*Inputs!$B$159</f>
        <v>0</v>
      </c>
      <c r="AD33" s="7">
        <f ca="1">MIN(IF(AC$1=0,MthRem,12), MAX(Inputs!$G$157-IF(AC$1=0,0,AC$1*12+MthOff), 0))*Inputs!$B$159</f>
        <v>0</v>
      </c>
      <c r="AE33" s="7">
        <f ca="1">MIN(IF(AD$1=0,MthRem,12), MAX(Inputs!$G$157-IF(AD$1=0,0,AD$1*12+MthOff), 0))*Inputs!$B$159</f>
        <v>0</v>
      </c>
      <c r="AF33" s="7">
        <f ca="1">MIN(IF(AE$1=0,MthRem,12), MAX(Inputs!$G$157-IF(AE$1=0,0,AE$1*12+MthOff), 0))*Inputs!$B$159</f>
        <v>0</v>
      </c>
      <c r="AG33" s="7">
        <f ca="1">MIN(IF(AF$1=0,MthRem,12), MAX(Inputs!$G$157-IF(AF$1=0,0,AF$1*12+MthOff), 0))*Inputs!$B$159</f>
        <v>0</v>
      </c>
      <c r="AH33" s="7">
        <f ca="1">MIN(IF(AG$1=0,MthRem,12), MAX(Inputs!$G$157-IF(AG$1=0,0,AG$1*12+MthOff), 0))*Inputs!$B$159</f>
        <v>0</v>
      </c>
      <c r="AI33" s="7">
        <f ca="1">MIN(IF(AH$1=0,MthRem,12), MAX(Inputs!$G$157-IF(AH$1=0,0,AH$1*12+MthOff), 0))*Inputs!$B$159</f>
        <v>0</v>
      </c>
      <c r="AJ33" s="7">
        <f ca="1">MIN(IF(AI$1=0,MthRem,12), MAX(Inputs!$G$157-IF(AI$1=0,0,AI$1*12+MthOff), 0))*Inputs!$B$159</f>
        <v>0</v>
      </c>
      <c r="AK33" s="7">
        <f ca="1">MIN(IF(AJ$1=0,MthRem,12), MAX(Inputs!$G$157-IF(AJ$1=0,0,AJ$1*12+MthOff), 0))*Inputs!$B$159</f>
        <v>0</v>
      </c>
      <c r="AL33" s="7">
        <f ca="1">MIN(IF(AK$1=0,MthRem,12), MAX(Inputs!$G$157-IF(AK$1=0,0,AK$1*12+MthOff), 0))*Inputs!$B$159</f>
        <v>0</v>
      </c>
      <c r="AM33" s="7">
        <f ca="1">MIN(IF(AL$1=0,MthRem,12), MAX(Inputs!$G$157-IF(AL$1=0,0,AL$1*12+MthOff), 0))*Inputs!$B$159</f>
        <v>0</v>
      </c>
    </row>
    <row r="34" spans="1:39" x14ac:dyDescent="0.2">
      <c r="A34" s="3" t="str">
        <f>TEXT(Inputs!$B$97,"")</f>
        <v>Painting</v>
      </c>
      <c r="C34" s="7">
        <f ca="1">MIN(IF(B$1=0,MthRem,12), MAX(Inputs!$G$162-IF(B$1=0,0,B$1*12+MthOff), 0))*Inputs!$B$164</f>
        <v>1125</v>
      </c>
      <c r="D34" s="7">
        <f ca="1">MIN(IF(C$1=0,MthRem,12), MAX(Inputs!$G$162-IF(C$1=0,0,C$1*12+MthOff), 0))*Inputs!$B$164</f>
        <v>1500</v>
      </c>
      <c r="E34" s="7">
        <f ca="1">MIN(IF(D$1=0,MthRem,12), MAX(Inputs!$G$162-IF(D$1=0,0,D$1*12+MthOff), 0))*Inputs!$B$164</f>
        <v>1500</v>
      </c>
      <c r="F34" s="7">
        <f ca="1">MIN(IF(E$1=0,MthRem,12), MAX(Inputs!$G$162-IF(E$1=0,0,E$1*12+MthOff), 0))*Inputs!$B$164</f>
        <v>1500</v>
      </c>
      <c r="G34" s="7">
        <f ca="1">MIN(IF(F$1=0,MthRem,12), MAX(Inputs!$G$162-IF(F$1=0,0,F$1*12+MthOff), 0))*Inputs!$B$164</f>
        <v>1500</v>
      </c>
      <c r="H34" s="7">
        <f ca="1">MIN(IF(G$1=0,MthRem,12), MAX(Inputs!$G$162-IF(G$1=0,0,G$1*12+MthOff), 0))*Inputs!$B$164</f>
        <v>1500</v>
      </c>
      <c r="I34" s="7">
        <f ca="1">MIN(IF(H$1=0,MthRem,12), MAX(Inputs!$G$162-IF(H$1=0,0,H$1*12+MthOff), 0))*Inputs!$B$164</f>
        <v>23.429842825107627</v>
      </c>
      <c r="J34" s="7">
        <f ca="1">MIN(IF(I$1=0,MthRem,12), MAX(Inputs!$G$162-IF(I$1=0,0,I$1*12+MthOff), 0))*Inputs!$B$164</f>
        <v>0</v>
      </c>
      <c r="K34" s="7">
        <f ca="1">MIN(IF(J$1=0,MthRem,12), MAX(Inputs!$G$162-IF(J$1=0,0,J$1*12+MthOff), 0))*Inputs!$B$164</f>
        <v>0</v>
      </c>
      <c r="L34" s="7">
        <f ca="1">MIN(IF(K$1=0,MthRem,12), MAX(Inputs!$G$162-IF(K$1=0,0,K$1*12+MthOff), 0))*Inputs!$B$164</f>
        <v>0</v>
      </c>
      <c r="M34" s="7">
        <f ca="1">MIN(IF(L$1=0,MthRem,12), MAX(Inputs!$G$162-IF(L$1=0,0,L$1*12+MthOff), 0))*Inputs!$B$164</f>
        <v>0</v>
      </c>
      <c r="N34" s="7">
        <f ca="1">MIN(IF(M$1=0,MthRem,12), MAX(Inputs!$G$162-IF(M$1=0,0,M$1*12+MthOff), 0))*Inputs!$B$164</f>
        <v>0</v>
      </c>
      <c r="O34" s="7">
        <f ca="1">MIN(IF(N$1=0,MthRem,12), MAX(Inputs!$G$162-IF(N$1=0,0,N$1*12+MthOff), 0))*Inputs!$B$164</f>
        <v>0</v>
      </c>
      <c r="P34" s="7">
        <f ca="1">MIN(IF(O$1=0,MthRem,12), MAX(Inputs!$G$162-IF(O$1=0,0,O$1*12+MthOff), 0))*Inputs!$B$164</f>
        <v>0</v>
      </c>
      <c r="Q34" s="7">
        <f ca="1">MIN(IF(P$1=0,MthRem,12), MAX(Inputs!$G$162-IF(P$1=0,0,P$1*12+MthOff), 0))*Inputs!$B$164</f>
        <v>0</v>
      </c>
      <c r="R34" s="7">
        <f ca="1">MIN(IF(Q$1=0,MthRem,12), MAX(Inputs!$G$162-IF(Q$1=0,0,Q$1*12+MthOff), 0))*Inputs!$B$164</f>
        <v>0</v>
      </c>
      <c r="S34" s="7">
        <f ca="1">MIN(IF(R$1=0,MthRem,12), MAX(Inputs!$G$162-IF(R$1=0,0,R$1*12+MthOff), 0))*Inputs!$B$164</f>
        <v>0</v>
      </c>
      <c r="T34" s="7">
        <f ca="1">MIN(IF(S$1=0,MthRem,12), MAX(Inputs!$G$162-IF(S$1=0,0,S$1*12+MthOff), 0))*Inputs!$B$164</f>
        <v>0</v>
      </c>
      <c r="U34" s="7">
        <f ca="1">MIN(IF(T$1=0,MthRem,12), MAX(Inputs!$G$162-IF(T$1=0,0,T$1*12+MthOff), 0))*Inputs!$B$164</f>
        <v>0</v>
      </c>
      <c r="V34" s="7">
        <f ca="1">MIN(IF(U$1=0,MthRem,12), MAX(Inputs!$G$162-IF(U$1=0,0,U$1*12+MthOff), 0))*Inputs!$B$164</f>
        <v>0</v>
      </c>
      <c r="W34" s="7">
        <f ca="1">MIN(IF(V$1=0,MthRem,12), MAX(Inputs!$G$162-IF(V$1=0,0,V$1*12+MthOff), 0))*Inputs!$B$164</f>
        <v>0</v>
      </c>
      <c r="X34" s="7">
        <f ca="1">MIN(IF(W$1=0,MthRem,12), MAX(Inputs!$G$162-IF(W$1=0,0,W$1*12+MthOff), 0))*Inputs!$B$164</f>
        <v>0</v>
      </c>
      <c r="Y34" s="7">
        <f ca="1">MIN(IF(X$1=0,MthRem,12), MAX(Inputs!$G$162-IF(X$1=0,0,X$1*12+MthOff), 0))*Inputs!$B$164</f>
        <v>0</v>
      </c>
      <c r="Z34" s="7">
        <f ca="1">MIN(IF(Y$1=0,MthRem,12), MAX(Inputs!$G$162-IF(Y$1=0,0,Y$1*12+MthOff), 0))*Inputs!$B$164</f>
        <v>0</v>
      </c>
      <c r="AA34" s="7">
        <f ca="1">MIN(IF(Z$1=0,MthRem,12), MAX(Inputs!$G$162-IF(Z$1=0,0,Z$1*12+MthOff), 0))*Inputs!$B$164</f>
        <v>0</v>
      </c>
      <c r="AB34" s="7">
        <f ca="1">MIN(IF(AA$1=0,MthRem,12), MAX(Inputs!$G$162-IF(AA$1=0,0,AA$1*12+MthOff), 0))*Inputs!$B$164</f>
        <v>0</v>
      </c>
      <c r="AC34" s="7">
        <f ca="1">MIN(IF(AB$1=0,MthRem,12), MAX(Inputs!$G$162-IF(AB$1=0,0,AB$1*12+MthOff), 0))*Inputs!$B$164</f>
        <v>0</v>
      </c>
      <c r="AD34" s="7">
        <f ca="1">MIN(IF(AC$1=0,MthRem,12), MAX(Inputs!$G$162-IF(AC$1=0,0,AC$1*12+MthOff), 0))*Inputs!$B$164</f>
        <v>0</v>
      </c>
      <c r="AE34" s="7">
        <f ca="1">MIN(IF(AD$1=0,MthRem,12), MAX(Inputs!$G$162-IF(AD$1=0,0,AD$1*12+MthOff), 0))*Inputs!$B$164</f>
        <v>0</v>
      </c>
      <c r="AF34" s="7">
        <f ca="1">MIN(IF(AE$1=0,MthRem,12), MAX(Inputs!$G$162-IF(AE$1=0,0,AE$1*12+MthOff), 0))*Inputs!$B$164</f>
        <v>0</v>
      </c>
      <c r="AG34" s="7">
        <f ca="1">MIN(IF(AF$1=0,MthRem,12), MAX(Inputs!$G$162-IF(AF$1=0,0,AF$1*12+MthOff), 0))*Inputs!$B$164</f>
        <v>0</v>
      </c>
      <c r="AH34" s="7">
        <f ca="1">MIN(IF(AG$1=0,MthRem,12), MAX(Inputs!$G$162-IF(AG$1=0,0,AG$1*12+MthOff), 0))*Inputs!$B$164</f>
        <v>0</v>
      </c>
      <c r="AI34" s="7">
        <f ca="1">MIN(IF(AH$1=0,MthRem,12), MAX(Inputs!$G$162-IF(AH$1=0,0,AH$1*12+MthOff), 0))*Inputs!$B$164</f>
        <v>0</v>
      </c>
      <c r="AJ34" s="7">
        <f ca="1">MIN(IF(AI$1=0,MthRem,12), MAX(Inputs!$G$162-IF(AI$1=0,0,AI$1*12+MthOff), 0))*Inputs!$B$164</f>
        <v>0</v>
      </c>
      <c r="AK34" s="7">
        <f ca="1">MIN(IF(AJ$1=0,MthRem,12), MAX(Inputs!$G$162-IF(AJ$1=0,0,AJ$1*12+MthOff), 0))*Inputs!$B$164</f>
        <v>0</v>
      </c>
      <c r="AL34" s="7">
        <f ca="1">MIN(IF(AK$1=0,MthRem,12), MAX(Inputs!$G$162-IF(AK$1=0,0,AK$1*12+MthOff), 0))*Inputs!$B$164</f>
        <v>0</v>
      </c>
      <c r="AM34" s="7">
        <f ca="1">MIN(IF(AL$1=0,MthRem,12), MAX(Inputs!$G$162-IF(AL$1=0,0,AL$1*12+MthOff), 0))*Inputs!$B$164</f>
        <v>0</v>
      </c>
    </row>
    <row r="35" spans="1:39" x14ac:dyDescent="0.2">
      <c r="A35" s="3" t="str">
        <f>TEXT(Inputs!$B$102,"")</f>
        <v>Boat</v>
      </c>
      <c r="C35" s="7">
        <f ca="1">MIN(IF(B$1=0,MthRem,12), MAX(Inputs!$G$167-IF(B$1=0,0,B$1*12+MthOff), 0))*Inputs!$B$169</f>
        <v>5616</v>
      </c>
      <c r="D35" s="7">
        <f ca="1">MIN(IF(C$1=0,MthRem,12), MAX(Inputs!$G$167-IF(C$1=0,0,C$1*12+MthOff), 0))*Inputs!$B$169</f>
        <v>7488</v>
      </c>
      <c r="E35" s="7">
        <f ca="1">MIN(IF(D$1=0,MthRem,12), MAX(Inputs!$G$167-IF(D$1=0,0,D$1*12+MthOff), 0))*Inputs!$B$169</f>
        <v>7488</v>
      </c>
      <c r="F35" s="7">
        <f ca="1">MIN(IF(E$1=0,MthRem,12), MAX(Inputs!$G$167-IF(E$1=0,0,E$1*12+MthOff), 0))*Inputs!$B$169</f>
        <v>7488</v>
      </c>
      <c r="G35" s="7">
        <f ca="1">MIN(IF(F$1=0,MthRem,12), MAX(Inputs!$G$167-IF(F$1=0,0,F$1*12+MthOff), 0))*Inputs!$B$169</f>
        <v>7488</v>
      </c>
      <c r="H35" s="7">
        <f ca="1">MIN(IF(G$1=0,MthRem,12), MAX(Inputs!$G$167-IF(G$1=0,0,G$1*12+MthOff), 0))*Inputs!$B$169</f>
        <v>7488</v>
      </c>
      <c r="I35" s="7">
        <f ca="1">MIN(IF(H$1=0,MthRem,12), MAX(Inputs!$G$167-IF(H$1=0,0,H$1*12+MthOff), 0))*Inputs!$B$169</f>
        <v>5289.2926184371663</v>
      </c>
      <c r="J35" s="7">
        <f ca="1">MIN(IF(I$1=0,MthRem,12), MAX(Inputs!$G$167-IF(I$1=0,0,I$1*12+MthOff), 0))*Inputs!$B$169</f>
        <v>0</v>
      </c>
      <c r="K35" s="7">
        <f ca="1">MIN(IF(J$1=0,MthRem,12), MAX(Inputs!$G$167-IF(J$1=0,0,J$1*12+MthOff), 0))*Inputs!$B$169</f>
        <v>0</v>
      </c>
      <c r="L35" s="7">
        <f ca="1">MIN(IF(K$1=0,MthRem,12), MAX(Inputs!$G$167-IF(K$1=0,0,K$1*12+MthOff), 0))*Inputs!$B$169</f>
        <v>0</v>
      </c>
      <c r="M35" s="7">
        <f ca="1">MIN(IF(L$1=0,MthRem,12), MAX(Inputs!$G$167-IF(L$1=0,0,L$1*12+MthOff), 0))*Inputs!$B$169</f>
        <v>0</v>
      </c>
      <c r="N35" s="7">
        <f ca="1">MIN(IF(M$1=0,MthRem,12), MAX(Inputs!$G$167-IF(M$1=0,0,M$1*12+MthOff), 0))*Inputs!$B$169</f>
        <v>0</v>
      </c>
      <c r="O35" s="7">
        <f ca="1">MIN(IF(N$1=0,MthRem,12), MAX(Inputs!$G$167-IF(N$1=0,0,N$1*12+MthOff), 0))*Inputs!$B$169</f>
        <v>0</v>
      </c>
      <c r="P35" s="7">
        <f ca="1">MIN(IF(O$1=0,MthRem,12), MAX(Inputs!$G$167-IF(O$1=0,0,O$1*12+MthOff), 0))*Inputs!$B$169</f>
        <v>0</v>
      </c>
      <c r="Q35" s="7">
        <f ca="1">MIN(IF(P$1=0,MthRem,12), MAX(Inputs!$G$167-IF(P$1=0,0,P$1*12+MthOff), 0))*Inputs!$B$169</f>
        <v>0</v>
      </c>
      <c r="R35" s="7">
        <f ca="1">MIN(IF(Q$1=0,MthRem,12), MAX(Inputs!$G$167-IF(Q$1=0,0,Q$1*12+MthOff), 0))*Inputs!$B$169</f>
        <v>0</v>
      </c>
      <c r="S35" s="7">
        <f ca="1">MIN(IF(R$1=0,MthRem,12), MAX(Inputs!$G$167-IF(R$1=0,0,R$1*12+MthOff), 0))*Inputs!$B$169</f>
        <v>0</v>
      </c>
      <c r="T35" s="7">
        <f ca="1">MIN(IF(S$1=0,MthRem,12), MAX(Inputs!$G$167-IF(S$1=0,0,S$1*12+MthOff), 0))*Inputs!$B$169</f>
        <v>0</v>
      </c>
      <c r="U35" s="7">
        <f ca="1">MIN(IF(T$1=0,MthRem,12), MAX(Inputs!$G$167-IF(T$1=0,0,T$1*12+MthOff), 0))*Inputs!$B$169</f>
        <v>0</v>
      </c>
      <c r="V35" s="7">
        <f ca="1">MIN(IF(U$1=0,MthRem,12), MAX(Inputs!$G$167-IF(U$1=0,0,U$1*12+MthOff), 0))*Inputs!$B$169</f>
        <v>0</v>
      </c>
      <c r="W35" s="7">
        <f ca="1">MIN(IF(V$1=0,MthRem,12), MAX(Inputs!$G$167-IF(V$1=0,0,V$1*12+MthOff), 0))*Inputs!$B$169</f>
        <v>0</v>
      </c>
      <c r="X35" s="7">
        <f ca="1">MIN(IF(W$1=0,MthRem,12), MAX(Inputs!$G$167-IF(W$1=0,0,W$1*12+MthOff), 0))*Inputs!$B$169</f>
        <v>0</v>
      </c>
      <c r="Y35" s="7">
        <f ca="1">MIN(IF(X$1=0,MthRem,12), MAX(Inputs!$G$167-IF(X$1=0,0,X$1*12+MthOff), 0))*Inputs!$B$169</f>
        <v>0</v>
      </c>
      <c r="Z35" s="7">
        <f ca="1">MIN(IF(Y$1=0,MthRem,12), MAX(Inputs!$G$167-IF(Y$1=0,0,Y$1*12+MthOff), 0))*Inputs!$B$169</f>
        <v>0</v>
      </c>
      <c r="AA35" s="7">
        <f ca="1">MIN(IF(Z$1=0,MthRem,12), MAX(Inputs!$G$167-IF(Z$1=0,0,Z$1*12+MthOff), 0))*Inputs!$B$169</f>
        <v>0</v>
      </c>
      <c r="AB35" s="7">
        <f ca="1">MIN(IF(AA$1=0,MthRem,12), MAX(Inputs!$G$167-IF(AA$1=0,0,AA$1*12+MthOff), 0))*Inputs!$B$169</f>
        <v>0</v>
      </c>
      <c r="AC35" s="7">
        <f ca="1">MIN(IF(AB$1=0,MthRem,12), MAX(Inputs!$G$167-IF(AB$1=0,0,AB$1*12+MthOff), 0))*Inputs!$B$169</f>
        <v>0</v>
      </c>
      <c r="AD35" s="7">
        <f ca="1">MIN(IF(AC$1=0,MthRem,12), MAX(Inputs!$G$167-IF(AC$1=0,0,AC$1*12+MthOff), 0))*Inputs!$B$169</f>
        <v>0</v>
      </c>
      <c r="AE35" s="7">
        <f ca="1">MIN(IF(AD$1=0,MthRem,12), MAX(Inputs!$G$167-IF(AD$1=0,0,AD$1*12+MthOff), 0))*Inputs!$B$169</f>
        <v>0</v>
      </c>
      <c r="AF35" s="7">
        <f ca="1">MIN(IF(AE$1=0,MthRem,12), MAX(Inputs!$G$167-IF(AE$1=0,0,AE$1*12+MthOff), 0))*Inputs!$B$169</f>
        <v>0</v>
      </c>
      <c r="AG35" s="7">
        <f ca="1">MIN(IF(AF$1=0,MthRem,12), MAX(Inputs!$G$167-IF(AF$1=0,0,AF$1*12+MthOff), 0))*Inputs!$B$169</f>
        <v>0</v>
      </c>
      <c r="AH35" s="7">
        <f ca="1">MIN(IF(AG$1=0,MthRem,12), MAX(Inputs!$G$167-IF(AG$1=0,0,AG$1*12+MthOff), 0))*Inputs!$B$169</f>
        <v>0</v>
      </c>
      <c r="AI35" s="7">
        <f ca="1">MIN(IF(AH$1=0,MthRem,12), MAX(Inputs!$G$167-IF(AH$1=0,0,AH$1*12+MthOff), 0))*Inputs!$B$169</f>
        <v>0</v>
      </c>
      <c r="AJ35" s="7">
        <f ca="1">MIN(IF(AI$1=0,MthRem,12), MAX(Inputs!$G$167-IF(AI$1=0,0,AI$1*12+MthOff), 0))*Inputs!$B$169</f>
        <v>0</v>
      </c>
      <c r="AK35" s="7">
        <f ca="1">MIN(IF(AJ$1=0,MthRem,12), MAX(Inputs!$G$167-IF(AJ$1=0,0,AJ$1*12+MthOff), 0))*Inputs!$B$169</f>
        <v>0</v>
      </c>
      <c r="AL35" s="7">
        <f ca="1">MIN(IF(AK$1=0,MthRem,12), MAX(Inputs!$G$167-IF(AK$1=0,0,AK$1*12+MthOff), 0))*Inputs!$B$169</f>
        <v>0</v>
      </c>
      <c r="AM35" s="7">
        <f ca="1">MIN(IF(AL$1=0,MthRem,12), MAX(Inputs!$G$167-IF(AL$1=0,0,AL$1*12+MthOff), 0))*Inputs!$B$169</f>
        <v>0</v>
      </c>
    </row>
    <row r="36" spans="1:39" x14ac:dyDescent="0.2">
      <c r="A36" s="3" t="str">
        <f>TEXT(Inputs!$B$107,"")</f>
        <v>Antiques</v>
      </c>
      <c r="C36" s="7">
        <f ca="1">MIN(IF(B$1=0,MthRem,12), MAX(Inputs!$G$172-IF(B$1=0,0,B$1*12+MthOff), 0))*Inputs!$B$174</f>
        <v>990</v>
      </c>
      <c r="D36" s="7">
        <f ca="1">MIN(IF(C$1=0,MthRem,12), MAX(Inputs!$G$172-IF(C$1=0,0,C$1*12+MthOff), 0))*Inputs!$B$174</f>
        <v>1320</v>
      </c>
      <c r="E36" s="7">
        <f ca="1">MIN(IF(D$1=0,MthRem,12), MAX(Inputs!$G$172-IF(D$1=0,0,D$1*12+MthOff), 0))*Inputs!$B$174</f>
        <v>1320</v>
      </c>
      <c r="F36" s="7">
        <f ca="1">MIN(IF(E$1=0,MthRem,12), MAX(Inputs!$G$172-IF(E$1=0,0,E$1*12+MthOff), 0))*Inputs!$B$174</f>
        <v>349.16176270026983</v>
      </c>
      <c r="G36" s="7">
        <f ca="1">MIN(IF(F$1=0,MthRem,12), MAX(Inputs!$G$172-IF(F$1=0,0,F$1*12+MthOff), 0))*Inputs!$B$174</f>
        <v>0</v>
      </c>
      <c r="H36" s="7">
        <f ca="1">MIN(IF(G$1=0,MthRem,12), MAX(Inputs!$G$172-IF(G$1=0,0,G$1*12+MthOff), 0))*Inputs!$B$174</f>
        <v>0</v>
      </c>
      <c r="I36" s="7">
        <f ca="1">MIN(IF(H$1=0,MthRem,12), MAX(Inputs!$G$172-IF(H$1=0,0,H$1*12+MthOff), 0))*Inputs!$B$174</f>
        <v>0</v>
      </c>
      <c r="J36" s="7">
        <f ca="1">MIN(IF(I$1=0,MthRem,12), MAX(Inputs!$G$172-IF(I$1=0,0,I$1*12+MthOff), 0))*Inputs!$B$174</f>
        <v>0</v>
      </c>
      <c r="K36" s="7">
        <f ca="1">MIN(IF(J$1=0,MthRem,12), MAX(Inputs!$G$172-IF(J$1=0,0,J$1*12+MthOff), 0))*Inputs!$B$174</f>
        <v>0</v>
      </c>
      <c r="L36" s="7">
        <f ca="1">MIN(IF(K$1=0,MthRem,12), MAX(Inputs!$G$172-IF(K$1=0,0,K$1*12+MthOff), 0))*Inputs!$B$174</f>
        <v>0</v>
      </c>
      <c r="M36" s="7">
        <f ca="1">MIN(IF(L$1=0,MthRem,12), MAX(Inputs!$G$172-IF(L$1=0,0,L$1*12+MthOff), 0))*Inputs!$B$174</f>
        <v>0</v>
      </c>
      <c r="N36" s="7">
        <f ca="1">MIN(IF(M$1=0,MthRem,12), MAX(Inputs!$G$172-IF(M$1=0,0,M$1*12+MthOff), 0))*Inputs!$B$174</f>
        <v>0</v>
      </c>
      <c r="O36" s="7">
        <f ca="1">MIN(IF(N$1=0,MthRem,12), MAX(Inputs!$G$172-IF(N$1=0,0,N$1*12+MthOff), 0))*Inputs!$B$174</f>
        <v>0</v>
      </c>
      <c r="P36" s="7">
        <f ca="1">MIN(IF(O$1=0,MthRem,12), MAX(Inputs!$G$172-IF(O$1=0,0,O$1*12+MthOff), 0))*Inputs!$B$174</f>
        <v>0</v>
      </c>
      <c r="Q36" s="7">
        <f ca="1">MIN(IF(P$1=0,MthRem,12), MAX(Inputs!$G$172-IF(P$1=0,0,P$1*12+MthOff), 0))*Inputs!$B$174</f>
        <v>0</v>
      </c>
      <c r="R36" s="7">
        <f ca="1">MIN(IF(Q$1=0,MthRem,12), MAX(Inputs!$G$172-IF(Q$1=0,0,Q$1*12+MthOff), 0))*Inputs!$B$174</f>
        <v>0</v>
      </c>
      <c r="S36" s="7">
        <f ca="1">MIN(IF(R$1=0,MthRem,12), MAX(Inputs!$G$172-IF(R$1=0,0,R$1*12+MthOff), 0))*Inputs!$B$174</f>
        <v>0</v>
      </c>
      <c r="T36" s="7">
        <f ca="1">MIN(IF(S$1=0,MthRem,12), MAX(Inputs!$G$172-IF(S$1=0,0,S$1*12+MthOff), 0))*Inputs!$B$174</f>
        <v>0</v>
      </c>
      <c r="U36" s="7">
        <f ca="1">MIN(IF(T$1=0,MthRem,12), MAX(Inputs!$G$172-IF(T$1=0,0,T$1*12+MthOff), 0))*Inputs!$B$174</f>
        <v>0</v>
      </c>
      <c r="V36" s="7">
        <f ca="1">MIN(IF(U$1=0,MthRem,12), MAX(Inputs!$G$172-IF(U$1=0,0,U$1*12+MthOff), 0))*Inputs!$B$174</f>
        <v>0</v>
      </c>
      <c r="W36" s="7">
        <f ca="1">MIN(IF(V$1=0,MthRem,12), MAX(Inputs!$G$172-IF(V$1=0,0,V$1*12+MthOff), 0))*Inputs!$B$174</f>
        <v>0</v>
      </c>
      <c r="X36" s="7">
        <f ca="1">MIN(IF(W$1=0,MthRem,12), MAX(Inputs!$G$172-IF(W$1=0,0,W$1*12+MthOff), 0))*Inputs!$B$174</f>
        <v>0</v>
      </c>
      <c r="Y36" s="7">
        <f ca="1">MIN(IF(X$1=0,MthRem,12), MAX(Inputs!$G$172-IF(X$1=0,0,X$1*12+MthOff), 0))*Inputs!$B$174</f>
        <v>0</v>
      </c>
      <c r="Z36" s="7">
        <f ca="1">MIN(IF(Y$1=0,MthRem,12), MAX(Inputs!$G$172-IF(Y$1=0,0,Y$1*12+MthOff), 0))*Inputs!$B$174</f>
        <v>0</v>
      </c>
      <c r="AA36" s="7">
        <f ca="1">MIN(IF(Z$1=0,MthRem,12), MAX(Inputs!$G$172-IF(Z$1=0,0,Z$1*12+MthOff), 0))*Inputs!$B$174</f>
        <v>0</v>
      </c>
      <c r="AB36" s="7">
        <f ca="1">MIN(IF(AA$1=0,MthRem,12), MAX(Inputs!$G$172-IF(AA$1=0,0,AA$1*12+MthOff), 0))*Inputs!$B$174</f>
        <v>0</v>
      </c>
      <c r="AC36" s="7">
        <f ca="1">MIN(IF(AB$1=0,MthRem,12), MAX(Inputs!$G$172-IF(AB$1=0,0,AB$1*12+MthOff), 0))*Inputs!$B$174</f>
        <v>0</v>
      </c>
      <c r="AD36" s="7">
        <f ca="1">MIN(IF(AC$1=0,MthRem,12), MAX(Inputs!$G$172-IF(AC$1=0,0,AC$1*12+MthOff), 0))*Inputs!$B$174</f>
        <v>0</v>
      </c>
      <c r="AE36" s="7">
        <f ca="1">MIN(IF(AD$1=0,MthRem,12), MAX(Inputs!$G$172-IF(AD$1=0,0,AD$1*12+MthOff), 0))*Inputs!$B$174</f>
        <v>0</v>
      </c>
      <c r="AF36" s="7">
        <f ca="1">MIN(IF(AE$1=0,MthRem,12), MAX(Inputs!$G$172-IF(AE$1=0,0,AE$1*12+MthOff), 0))*Inputs!$B$174</f>
        <v>0</v>
      </c>
      <c r="AG36" s="7">
        <f ca="1">MIN(IF(AF$1=0,MthRem,12), MAX(Inputs!$G$172-IF(AF$1=0,0,AF$1*12+MthOff), 0))*Inputs!$B$174</f>
        <v>0</v>
      </c>
      <c r="AH36" s="7">
        <f ca="1">MIN(IF(AG$1=0,MthRem,12), MAX(Inputs!$G$172-IF(AG$1=0,0,AG$1*12+MthOff), 0))*Inputs!$B$174</f>
        <v>0</v>
      </c>
      <c r="AI36" s="7">
        <f ca="1">MIN(IF(AH$1=0,MthRem,12), MAX(Inputs!$G$172-IF(AH$1=0,0,AH$1*12+MthOff), 0))*Inputs!$B$174</f>
        <v>0</v>
      </c>
      <c r="AJ36" s="7">
        <f ca="1">MIN(IF(AI$1=0,MthRem,12), MAX(Inputs!$G$172-IF(AI$1=0,0,AI$1*12+MthOff), 0))*Inputs!$B$174</f>
        <v>0</v>
      </c>
      <c r="AK36" s="7">
        <f ca="1">MIN(IF(AJ$1=0,MthRem,12), MAX(Inputs!$G$172-IF(AJ$1=0,0,AJ$1*12+MthOff), 0))*Inputs!$B$174</f>
        <v>0</v>
      </c>
      <c r="AL36" s="7">
        <f ca="1">MIN(IF(AK$1=0,MthRem,12), MAX(Inputs!$G$172-IF(AK$1=0,0,AK$1*12+MthOff), 0))*Inputs!$B$174</f>
        <v>0</v>
      </c>
      <c r="AM36" s="7">
        <f ca="1">MIN(IF(AL$1=0,MthRem,12), MAX(Inputs!$G$172-IF(AL$1=0,0,AL$1*12+MthOff), 0))*Inputs!$B$174</f>
        <v>0</v>
      </c>
    </row>
    <row r="37" spans="1:39" x14ac:dyDescent="0.2">
      <c r="A37" s="4" t="s">
        <v>34</v>
      </c>
      <c r="C37" s="7">
        <f ca="1">MIN(IF(B$1=0,MthRem,12), MAX(Inputs!$G$177-IF(B$1=0,0,B$1*12+MthOff), 0))*Inputs!$B$179</f>
        <v>450</v>
      </c>
      <c r="D37" s="7">
        <f ca="1">MIN(IF(C$1=0,MthRem,12), MAX(Inputs!$G$177-IF(C$1=0,0,C$1*12+MthOff), 0))*Inputs!$B$179</f>
        <v>600</v>
      </c>
      <c r="E37" s="7">
        <f ca="1">MIN(IF(D$1=0,MthRem,12), MAX(Inputs!$G$177-IF(D$1=0,0,D$1*12+MthOff), 0))*Inputs!$B$179</f>
        <v>600</v>
      </c>
      <c r="F37" s="7">
        <f ca="1">MIN(IF(E$1=0,MthRem,12), MAX(Inputs!$G$177-IF(E$1=0,0,E$1*12+MthOff), 0))*Inputs!$B$179</f>
        <v>600</v>
      </c>
      <c r="G37" s="7">
        <f ca="1">MIN(IF(F$1=0,MthRem,12), MAX(Inputs!$G$177-IF(F$1=0,0,F$1*12+MthOff), 0))*Inputs!$B$179</f>
        <v>600</v>
      </c>
      <c r="H37" s="7">
        <f ca="1">MIN(IF(G$1=0,MthRem,12), MAX(Inputs!$G$177-IF(G$1=0,0,G$1*12+MthOff), 0))*Inputs!$B$179</f>
        <v>600</v>
      </c>
      <c r="I37" s="7">
        <f ca="1">MIN(IF(H$1=0,MthRem,12), MAX(Inputs!$G$177-IF(H$1=0,0,H$1*12+MthOff), 0))*Inputs!$B$179</f>
        <v>600</v>
      </c>
      <c r="J37" s="7">
        <f ca="1">MIN(IF(I$1=0,MthRem,12), MAX(Inputs!$G$177-IF(I$1=0,0,I$1*12+MthOff), 0))*Inputs!$B$179</f>
        <v>600</v>
      </c>
      <c r="K37" s="7">
        <f ca="1">MIN(IF(J$1=0,MthRem,12), MAX(Inputs!$G$177-IF(J$1=0,0,J$1*12+MthOff), 0))*Inputs!$B$179</f>
        <v>471.016262575219</v>
      </c>
      <c r="L37" s="7">
        <f ca="1">MIN(IF(K$1=0,MthRem,12), MAX(Inputs!$G$177-IF(K$1=0,0,K$1*12+MthOff), 0))*Inputs!$B$179</f>
        <v>0</v>
      </c>
      <c r="M37" s="7">
        <f ca="1">MIN(IF(L$1=0,MthRem,12), MAX(Inputs!$G$177-IF(L$1=0,0,L$1*12+MthOff), 0))*Inputs!$B$179</f>
        <v>0</v>
      </c>
      <c r="N37" s="7">
        <f ca="1">MIN(IF(M$1=0,MthRem,12), MAX(Inputs!$G$177-IF(M$1=0,0,M$1*12+MthOff), 0))*Inputs!$B$179</f>
        <v>0</v>
      </c>
      <c r="O37" s="7">
        <f ca="1">MIN(IF(N$1=0,MthRem,12), MAX(Inputs!$G$177-IF(N$1=0,0,N$1*12+MthOff), 0))*Inputs!$B$179</f>
        <v>0</v>
      </c>
      <c r="P37" s="7">
        <f ca="1">MIN(IF(O$1=0,MthRem,12), MAX(Inputs!$G$177-IF(O$1=0,0,O$1*12+MthOff), 0))*Inputs!$B$179</f>
        <v>0</v>
      </c>
      <c r="Q37" s="7">
        <f ca="1">MIN(IF(P$1=0,MthRem,12), MAX(Inputs!$G$177-IF(P$1=0,0,P$1*12+MthOff), 0))*Inputs!$B$179</f>
        <v>0</v>
      </c>
      <c r="R37" s="7">
        <f ca="1">MIN(IF(Q$1=0,MthRem,12), MAX(Inputs!$G$177-IF(Q$1=0,0,Q$1*12+MthOff), 0))*Inputs!$B$179</f>
        <v>0</v>
      </c>
      <c r="S37" s="7">
        <f ca="1">MIN(IF(R$1=0,MthRem,12), MAX(Inputs!$G$177-IF(R$1=0,0,R$1*12+MthOff), 0))*Inputs!$B$179</f>
        <v>0</v>
      </c>
      <c r="T37" s="7">
        <f ca="1">MIN(IF(S$1=0,MthRem,12), MAX(Inputs!$G$177-IF(S$1=0,0,S$1*12+MthOff), 0))*Inputs!$B$179</f>
        <v>0</v>
      </c>
      <c r="U37" s="7">
        <f ca="1">MIN(IF(T$1=0,MthRem,12), MAX(Inputs!$G$177-IF(T$1=0,0,T$1*12+MthOff), 0))*Inputs!$B$179</f>
        <v>0</v>
      </c>
      <c r="V37" s="7">
        <f ca="1">MIN(IF(U$1=0,MthRem,12), MAX(Inputs!$G$177-IF(U$1=0,0,U$1*12+MthOff), 0))*Inputs!$B$179</f>
        <v>0</v>
      </c>
      <c r="W37" s="7">
        <f ca="1">MIN(IF(V$1=0,MthRem,12), MAX(Inputs!$G$177-IF(V$1=0,0,V$1*12+MthOff), 0))*Inputs!$B$179</f>
        <v>0</v>
      </c>
      <c r="X37" s="7">
        <f ca="1">MIN(IF(W$1=0,MthRem,12), MAX(Inputs!$G$177-IF(W$1=0,0,W$1*12+MthOff), 0))*Inputs!$B$179</f>
        <v>0</v>
      </c>
      <c r="Y37" s="7">
        <f ca="1">MIN(IF(X$1=0,MthRem,12), MAX(Inputs!$G$177-IF(X$1=0,0,X$1*12+MthOff), 0))*Inputs!$B$179</f>
        <v>0</v>
      </c>
      <c r="Z37" s="7">
        <f ca="1">MIN(IF(Y$1=0,MthRem,12), MAX(Inputs!$G$177-IF(Y$1=0,0,Y$1*12+MthOff), 0))*Inputs!$B$179</f>
        <v>0</v>
      </c>
      <c r="AA37" s="7">
        <f ca="1">MIN(IF(Z$1=0,MthRem,12), MAX(Inputs!$G$177-IF(Z$1=0,0,Z$1*12+MthOff), 0))*Inputs!$B$179</f>
        <v>0</v>
      </c>
      <c r="AB37" s="7">
        <f ca="1">MIN(IF(AA$1=0,MthRem,12), MAX(Inputs!$G$177-IF(AA$1=0,0,AA$1*12+MthOff), 0))*Inputs!$B$179</f>
        <v>0</v>
      </c>
      <c r="AC37" s="7">
        <f ca="1">MIN(IF(AB$1=0,MthRem,12), MAX(Inputs!$G$177-IF(AB$1=0,0,AB$1*12+MthOff), 0))*Inputs!$B$179</f>
        <v>0</v>
      </c>
      <c r="AD37" s="7">
        <f ca="1">MIN(IF(AC$1=0,MthRem,12), MAX(Inputs!$G$177-IF(AC$1=0,0,AC$1*12+MthOff), 0))*Inputs!$B$179</f>
        <v>0</v>
      </c>
      <c r="AE37" s="7">
        <f ca="1">MIN(IF(AD$1=0,MthRem,12), MAX(Inputs!$G$177-IF(AD$1=0,0,AD$1*12+MthOff), 0))*Inputs!$B$179</f>
        <v>0</v>
      </c>
      <c r="AF37" s="7">
        <f ca="1">MIN(IF(AE$1=0,MthRem,12), MAX(Inputs!$G$177-IF(AE$1=0,0,AE$1*12+MthOff), 0))*Inputs!$B$179</f>
        <v>0</v>
      </c>
      <c r="AG37" s="7">
        <f ca="1">MIN(IF(AF$1=0,MthRem,12), MAX(Inputs!$G$177-IF(AF$1=0,0,AF$1*12+MthOff), 0))*Inputs!$B$179</f>
        <v>0</v>
      </c>
      <c r="AH37" s="7">
        <f ca="1">MIN(IF(AG$1=0,MthRem,12), MAX(Inputs!$G$177-IF(AG$1=0,0,AG$1*12+MthOff), 0))*Inputs!$B$179</f>
        <v>0</v>
      </c>
      <c r="AI37" s="7">
        <f ca="1">MIN(IF(AH$1=0,MthRem,12), MAX(Inputs!$G$177-IF(AH$1=0,0,AH$1*12+MthOff), 0))*Inputs!$B$179</f>
        <v>0</v>
      </c>
      <c r="AJ37" s="7">
        <f ca="1">MIN(IF(AI$1=0,MthRem,12), MAX(Inputs!$G$177-IF(AI$1=0,0,AI$1*12+MthOff), 0))*Inputs!$B$179</f>
        <v>0</v>
      </c>
      <c r="AK37" s="7">
        <f ca="1">MIN(IF(AJ$1=0,MthRem,12), MAX(Inputs!$G$177-IF(AJ$1=0,0,AJ$1*12+MthOff), 0))*Inputs!$B$179</f>
        <v>0</v>
      </c>
      <c r="AL37" s="7">
        <f ca="1">MIN(IF(AK$1=0,MthRem,12), MAX(Inputs!$G$177-IF(AK$1=0,0,AK$1*12+MthOff), 0))*Inputs!$B$179</f>
        <v>0</v>
      </c>
      <c r="AM37" s="7">
        <f ca="1">MIN(IF(AL$1=0,MthRem,12), MAX(Inputs!$G$177-IF(AL$1=0,0,AL$1*12+MthOff), 0))*Inputs!$B$179</f>
        <v>0</v>
      </c>
    </row>
    <row r="38" spans="1:39" x14ac:dyDescent="0.2">
      <c r="A38" s="4" t="s">
        <v>51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</row>
    <row r="39" spans="1:39" x14ac:dyDescent="0.2">
      <c r="A39" s="3" t="str">
        <f>TEXT(Inputs!B33,"")</f>
        <v>John</v>
      </c>
      <c r="B39" s="8"/>
      <c r="C39" s="7">
        <f ca="1">IF(Inputs!$B$35&gt;=C$1,Inputs!$B$34,0)*(1+inf)^B$1*ProRate</f>
        <v>1500</v>
      </c>
      <c r="D39" s="7">
        <f>IF(Inputs!$B$35&gt;=D$1,Inputs!$B$34,0)*(1+inf)^C$1</f>
        <v>2050</v>
      </c>
      <c r="E39" s="7">
        <f>IF(Inputs!$B$35&gt;=E$1,Inputs!$B$34,0)*(1+inf)^D$1</f>
        <v>2101.25</v>
      </c>
      <c r="F39" s="7">
        <f>IF(Inputs!$B$35&gt;=F$1,Inputs!$B$34,0)*(1+inf)^E$1</f>
        <v>0</v>
      </c>
      <c r="G39" s="7">
        <f>IF(Inputs!$B$35&gt;=G$1,Inputs!$B$34,0)*(1+inf)^F$1</f>
        <v>0</v>
      </c>
      <c r="H39" s="7">
        <f>IF(Inputs!$B$35&gt;=H$1,Inputs!$B$34,0)*(1+inf)^G$1</f>
        <v>0</v>
      </c>
      <c r="I39" s="7">
        <f>IF(Inputs!$B$35&gt;=I$1,Inputs!$B$34,0)*(1+inf)^H$1</f>
        <v>0</v>
      </c>
      <c r="J39" s="7">
        <f>IF(Inputs!$B$35&gt;=J$1,Inputs!$B$34,0)*(1+inf)^I$1</f>
        <v>0</v>
      </c>
      <c r="K39" s="7">
        <f>IF(Inputs!$B$35&gt;=K$1,Inputs!$B$34,0)*(1+inf)^J$1</f>
        <v>0</v>
      </c>
      <c r="L39" s="7">
        <f>IF(Inputs!$B$35&gt;=L$1,Inputs!$B$34,0)*(1+inf)^K$1</f>
        <v>0</v>
      </c>
      <c r="M39" s="7">
        <f>IF(Inputs!$B$35&gt;=M$1,Inputs!$B$34,0)*(1+inf)^L$1</f>
        <v>0</v>
      </c>
      <c r="N39" s="7">
        <f>IF(Inputs!$B$35&gt;=N$1,Inputs!$B$34,0)*(1+inf)^M$1</f>
        <v>0</v>
      </c>
      <c r="O39" s="7">
        <f>IF(Inputs!$B$35&gt;=O$1,Inputs!$B$34,0)*(1+inf)^N$1</f>
        <v>0</v>
      </c>
      <c r="P39" s="7">
        <f>IF(Inputs!$B$35&gt;=P$1,Inputs!$B$34,0)*(1+inf)^O$1</f>
        <v>0</v>
      </c>
      <c r="Q39" s="7">
        <f>IF(Inputs!$B$35&gt;=Q$1,Inputs!$B$34,0)*(1+inf)^P$1</f>
        <v>0</v>
      </c>
      <c r="R39" s="7">
        <f>IF(Inputs!$B$35&gt;=R$1,Inputs!$B$34,0)*(1+inf)^Q$1</f>
        <v>0</v>
      </c>
      <c r="S39" s="7">
        <f>IF(Inputs!$B$35&gt;=S$1,Inputs!$B$34,0)*(1+inf)^R$1</f>
        <v>0</v>
      </c>
      <c r="T39" s="7">
        <f>IF(Inputs!$B$35&gt;=T$1,Inputs!$B$34,0)*(1+inf)^S$1</f>
        <v>0</v>
      </c>
      <c r="U39" s="7">
        <f>IF(Inputs!$B$35&gt;=U$1,Inputs!$B$34,0)*(1+inf)^T$1</f>
        <v>0</v>
      </c>
      <c r="V39" s="7">
        <f>IF(Inputs!$B$35&gt;=V$1,Inputs!$B$34,0)*(1+inf)^U$1</f>
        <v>0</v>
      </c>
      <c r="W39" s="7">
        <f>IF(Inputs!$B$35&gt;=W$1,Inputs!$B$34,0)*(1+inf)^V$1</f>
        <v>0</v>
      </c>
      <c r="X39" s="7">
        <f>IF(Inputs!$B$35&gt;=X$1,Inputs!$B$34,0)*(1+inf)^W$1</f>
        <v>0</v>
      </c>
      <c r="Y39" s="7">
        <f>IF(Inputs!$B$35&gt;=Y$1,Inputs!$B$34,0)*(1+inf)^X$1</f>
        <v>0</v>
      </c>
      <c r="Z39" s="7">
        <f>IF(Inputs!$B$35&gt;=Z$1,Inputs!$B$34,0)*(1+inf)^Y$1</f>
        <v>0</v>
      </c>
      <c r="AA39" s="7">
        <f>IF(Inputs!$B$35&gt;=AA$1,Inputs!$B$34,0)*(1+inf)^Z$1</f>
        <v>0</v>
      </c>
      <c r="AB39" s="7">
        <f>IF(Inputs!$B$35&gt;=AB$1,Inputs!$B$34,0)*(1+inf)^AA$1</f>
        <v>0</v>
      </c>
      <c r="AC39" s="7">
        <f>IF(Inputs!$B$35&gt;=AC$1,Inputs!$B$34,0)*(1+inf)^AB$1</f>
        <v>0</v>
      </c>
      <c r="AD39" s="7">
        <f>IF(Inputs!$B$35&gt;=AD$1,Inputs!$B$34,0)*(1+inf)^AC$1</f>
        <v>0</v>
      </c>
      <c r="AE39" s="7">
        <f>IF(Inputs!$B$35&gt;=AE$1,Inputs!$B$34,0)*(1+inf)^AD$1</f>
        <v>0</v>
      </c>
      <c r="AF39" s="7">
        <f>IF(Inputs!$B$35&gt;=AF$1,Inputs!$B$34,0)*(1+inf)^AE$1</f>
        <v>0</v>
      </c>
      <c r="AG39" s="7">
        <f>IF(Inputs!$B$35&gt;=AG$1,Inputs!$B$34,0)*(1+inf)^AF$1</f>
        <v>0</v>
      </c>
      <c r="AH39" s="7">
        <f>IF(Inputs!$B$35&gt;=AH$1,Inputs!$B$34,0)*(1+inf)^AG$1</f>
        <v>0</v>
      </c>
      <c r="AI39" s="7">
        <f>IF(Inputs!$B$35&gt;=AI$1,Inputs!$B$34,0)*(1+inf)^AH$1</f>
        <v>0</v>
      </c>
      <c r="AJ39" s="7">
        <f>IF(Inputs!$B$35&gt;=AJ$1,Inputs!$B$34,0)*(1+inf)^AI$1</f>
        <v>0</v>
      </c>
      <c r="AK39" s="7">
        <f>IF(Inputs!$B$35&gt;=AK$1,Inputs!$B$34,0)*(1+inf)^AJ$1</f>
        <v>0</v>
      </c>
      <c r="AL39" s="7">
        <f>IF(Inputs!$B$35&gt;=AL$1,Inputs!$B$34,0)*(1+inf)^AK$1</f>
        <v>0</v>
      </c>
      <c r="AM39" s="7">
        <f>IF(Inputs!$B$35&gt;=AM$1,Inputs!$B$34,0)*(1+inf)^AL$1</f>
        <v>0</v>
      </c>
    </row>
    <row r="40" spans="1:39" x14ac:dyDescent="0.2">
      <c r="A40" s="3" t="str">
        <f>TEXT(Inputs!B38,"")</f>
        <v>Jack</v>
      </c>
      <c r="B40" s="8"/>
      <c r="C40" s="7">
        <f ca="1">IF(Inputs!$B$40&gt;=C$1,Inputs!$B$39,0)*(1+inf)^B$1*ProRate</f>
        <v>750</v>
      </c>
      <c r="D40" s="7">
        <f>IF(Inputs!$B$40&gt;=D$1,Inputs!$B$39,0)*(1+inf)^C$1</f>
        <v>1025</v>
      </c>
      <c r="E40" s="7">
        <f>IF(Inputs!$B$40&gt;=E$1,Inputs!$B$39,0)*(1+inf)^D$1</f>
        <v>1050.625</v>
      </c>
      <c r="F40" s="7">
        <f>IF(Inputs!$B$40&gt;=F$1,Inputs!$B$39,0)*(1+inf)^E$1</f>
        <v>1076.8906249999998</v>
      </c>
      <c r="G40" s="7">
        <f>IF(Inputs!$B$40&gt;=G$1,Inputs!$B$39,0)*(1+inf)^F$1</f>
        <v>1103.8128906249997</v>
      </c>
      <c r="H40" s="7">
        <f>IF(Inputs!$B$40&gt;=H$1,Inputs!$B$39,0)*(1+inf)^G$1</f>
        <v>0</v>
      </c>
      <c r="I40" s="7">
        <f>IF(Inputs!$B$40&gt;=I$1,Inputs!$B$39,0)*(1+inf)^H$1</f>
        <v>0</v>
      </c>
      <c r="J40" s="7">
        <f>IF(Inputs!$B$40&gt;=J$1,Inputs!$B$39,0)*(1+inf)^I$1</f>
        <v>0</v>
      </c>
      <c r="K40" s="7">
        <f>IF(Inputs!$B$40&gt;=K$1,Inputs!$B$39,0)*(1+inf)^J$1</f>
        <v>0</v>
      </c>
      <c r="L40" s="7">
        <f>IF(Inputs!$B$40&gt;=L$1,Inputs!$B$39,0)*(1+inf)^K$1</f>
        <v>0</v>
      </c>
      <c r="M40" s="7">
        <f>IF(Inputs!$B$40&gt;=M$1,Inputs!$B$39,0)*(1+inf)^L$1</f>
        <v>0</v>
      </c>
      <c r="N40" s="7">
        <f>IF(Inputs!$B$40&gt;=N$1,Inputs!$B$39,0)*(1+inf)^M$1</f>
        <v>0</v>
      </c>
      <c r="O40" s="7">
        <f>IF(Inputs!$B$40&gt;=O$1,Inputs!$B$39,0)*(1+inf)^N$1</f>
        <v>0</v>
      </c>
      <c r="P40" s="7">
        <f>IF(Inputs!$B$40&gt;=P$1,Inputs!$B$39,0)*(1+inf)^O$1</f>
        <v>0</v>
      </c>
      <c r="Q40" s="7">
        <f>IF(Inputs!$B$40&gt;=Q$1,Inputs!$B$39,0)*(1+inf)^P$1</f>
        <v>0</v>
      </c>
      <c r="R40" s="7">
        <f>IF(Inputs!$B$40&gt;=R$1,Inputs!$B$39,0)*(1+inf)^Q$1</f>
        <v>0</v>
      </c>
      <c r="S40" s="7">
        <f>IF(Inputs!$B$40&gt;=S$1,Inputs!$B$39,0)*(1+inf)^R$1</f>
        <v>0</v>
      </c>
      <c r="T40" s="7">
        <f>IF(Inputs!$B$40&gt;=T$1,Inputs!$B$39,0)*(1+inf)^S$1</f>
        <v>0</v>
      </c>
      <c r="U40" s="7">
        <f>IF(Inputs!$B$40&gt;=U$1,Inputs!$B$39,0)*(1+inf)^T$1</f>
        <v>0</v>
      </c>
      <c r="V40" s="7">
        <f>IF(Inputs!$B$40&gt;=V$1,Inputs!$B$39,0)*(1+inf)^U$1</f>
        <v>0</v>
      </c>
      <c r="W40" s="7">
        <f>IF(Inputs!$B$40&gt;=W$1,Inputs!$B$39,0)*(1+inf)^V$1</f>
        <v>0</v>
      </c>
      <c r="X40" s="7">
        <f>IF(Inputs!$B$40&gt;=X$1,Inputs!$B$39,0)*(1+inf)^W$1</f>
        <v>0</v>
      </c>
      <c r="Y40" s="7">
        <f>IF(Inputs!$B$40&gt;=Y$1,Inputs!$B$39,0)*(1+inf)^X$1</f>
        <v>0</v>
      </c>
      <c r="Z40" s="7">
        <f>IF(Inputs!$B$40&gt;=Z$1,Inputs!$B$39,0)*(1+inf)^Y$1</f>
        <v>0</v>
      </c>
      <c r="AA40" s="7">
        <f>IF(Inputs!$B$40&gt;=AA$1,Inputs!$B$39,0)*(1+inf)^Z$1</f>
        <v>0</v>
      </c>
      <c r="AB40" s="7">
        <f>IF(Inputs!$B$40&gt;=AB$1,Inputs!$B$39,0)*(1+inf)^AA$1</f>
        <v>0</v>
      </c>
      <c r="AC40" s="7">
        <f>IF(Inputs!$B$40&gt;=AC$1,Inputs!$B$39,0)*(1+inf)^AB$1</f>
        <v>0</v>
      </c>
      <c r="AD40" s="7">
        <f>IF(Inputs!$B$40&gt;=AD$1,Inputs!$B$39,0)*(1+inf)^AC$1</f>
        <v>0</v>
      </c>
      <c r="AE40" s="7">
        <f>IF(Inputs!$B$40&gt;=AE$1,Inputs!$B$39,0)*(1+inf)^AD$1</f>
        <v>0</v>
      </c>
      <c r="AF40" s="7">
        <f>IF(Inputs!$B$40&gt;=AF$1,Inputs!$B$39,0)*(1+inf)^AE$1</f>
        <v>0</v>
      </c>
      <c r="AG40" s="7">
        <f>IF(Inputs!$B$40&gt;=AG$1,Inputs!$B$39,0)*(1+inf)^AF$1</f>
        <v>0</v>
      </c>
      <c r="AH40" s="7">
        <f>IF(Inputs!$B$40&gt;=AH$1,Inputs!$B$39,0)*(1+inf)^AG$1</f>
        <v>0</v>
      </c>
      <c r="AI40" s="7">
        <f>IF(Inputs!$B$40&gt;=AI$1,Inputs!$B$39,0)*(1+inf)^AH$1</f>
        <v>0</v>
      </c>
      <c r="AJ40" s="7">
        <f>IF(Inputs!$B$40&gt;=AJ$1,Inputs!$B$39,0)*(1+inf)^AI$1</f>
        <v>0</v>
      </c>
      <c r="AK40" s="7">
        <f>IF(Inputs!$B$40&gt;=AK$1,Inputs!$B$39,0)*(1+inf)^AJ$1</f>
        <v>0</v>
      </c>
      <c r="AL40" s="7">
        <f>IF(Inputs!$B$40&gt;=AL$1,Inputs!$B$39,0)*(1+inf)^AK$1</f>
        <v>0</v>
      </c>
      <c r="AM40" s="7">
        <f>IF(Inputs!$B$40&gt;=AM$1,Inputs!$B$39,0)*(1+inf)^AL$1</f>
        <v>0</v>
      </c>
    </row>
    <row r="41" spans="1:39" x14ac:dyDescent="0.2">
      <c r="A41" s="3" t="str">
        <f>TEXT(Inputs!B43,"")</f>
        <v>Bill</v>
      </c>
      <c r="B41" s="8"/>
      <c r="C41" s="7">
        <f ca="1">IF(Inputs!$B$45&gt;=C$1,Inputs!$B$44,0)*(1+inf)^B$1*ProRate</f>
        <v>3000</v>
      </c>
      <c r="D41" s="7">
        <f>IF(Inputs!$B$45&gt;=D$1,Inputs!$B$44,0)*(1+inf)^C$1</f>
        <v>4100</v>
      </c>
      <c r="E41" s="7">
        <f>IF(Inputs!$B$45&gt;=E$1,Inputs!$B$44,0)*(1+inf)^D$1</f>
        <v>0</v>
      </c>
      <c r="F41" s="7">
        <f>IF(Inputs!$B$45&gt;=F$1,Inputs!$B$44,0)*(1+inf)^E$1</f>
        <v>0</v>
      </c>
      <c r="G41" s="7">
        <f>IF(Inputs!$B$45&gt;=G$1,Inputs!$B$44,0)*(1+inf)^F$1</f>
        <v>0</v>
      </c>
      <c r="H41" s="7">
        <f>IF(Inputs!$B$45&gt;=H$1,Inputs!$B$44,0)*(1+inf)^G$1</f>
        <v>0</v>
      </c>
      <c r="I41" s="7">
        <f>IF(Inputs!$B$45&gt;=I$1,Inputs!$B$44,0)*(1+inf)^H$1</f>
        <v>0</v>
      </c>
      <c r="J41" s="7">
        <f>IF(Inputs!$B$45&gt;=J$1,Inputs!$B$44,0)*(1+inf)^I$1</f>
        <v>0</v>
      </c>
      <c r="K41" s="7">
        <f>IF(Inputs!$B$45&gt;=K$1,Inputs!$B$44,0)*(1+inf)^J$1</f>
        <v>0</v>
      </c>
      <c r="L41" s="7">
        <f>IF(Inputs!$B$45&gt;=L$1,Inputs!$B$44,0)*(1+inf)^K$1</f>
        <v>0</v>
      </c>
      <c r="M41" s="7">
        <f>IF(Inputs!$B$45&gt;=M$1,Inputs!$B$44,0)*(1+inf)^L$1</f>
        <v>0</v>
      </c>
      <c r="N41" s="7">
        <f>IF(Inputs!$B$45&gt;=N$1,Inputs!$B$44,0)*(1+inf)^M$1</f>
        <v>0</v>
      </c>
      <c r="O41" s="7">
        <f>IF(Inputs!$B$45&gt;=O$1,Inputs!$B$44,0)*(1+inf)^N$1</f>
        <v>0</v>
      </c>
      <c r="P41" s="7">
        <f>IF(Inputs!$B$45&gt;=P$1,Inputs!$B$44,0)*(1+inf)^O$1</f>
        <v>0</v>
      </c>
      <c r="Q41" s="7">
        <f>IF(Inputs!$B$45&gt;=Q$1,Inputs!$B$44,0)*(1+inf)^P$1</f>
        <v>0</v>
      </c>
      <c r="R41" s="7">
        <f>IF(Inputs!$B$45&gt;=R$1,Inputs!$B$44,0)*(1+inf)^Q$1</f>
        <v>0</v>
      </c>
      <c r="S41" s="7">
        <f>IF(Inputs!$B$45&gt;=S$1,Inputs!$B$44,0)*(1+inf)^R$1</f>
        <v>0</v>
      </c>
      <c r="T41" s="7">
        <f>IF(Inputs!$B$45&gt;=T$1,Inputs!$B$44,0)*(1+inf)^S$1</f>
        <v>0</v>
      </c>
      <c r="U41" s="7">
        <f>IF(Inputs!$B$45&gt;=U$1,Inputs!$B$44,0)*(1+inf)^T$1</f>
        <v>0</v>
      </c>
      <c r="V41" s="7">
        <f>IF(Inputs!$B$45&gt;=V$1,Inputs!$B$44,0)*(1+inf)^U$1</f>
        <v>0</v>
      </c>
      <c r="W41" s="7">
        <f>IF(Inputs!$B$45&gt;=W$1,Inputs!$B$44,0)*(1+inf)^V$1</f>
        <v>0</v>
      </c>
      <c r="X41" s="7">
        <f>IF(Inputs!$B$45&gt;=X$1,Inputs!$B$44,0)*(1+inf)^W$1</f>
        <v>0</v>
      </c>
      <c r="Y41" s="7">
        <f>IF(Inputs!$B$45&gt;=Y$1,Inputs!$B$44,0)*(1+inf)^X$1</f>
        <v>0</v>
      </c>
      <c r="Z41" s="7">
        <f>IF(Inputs!$B$45&gt;=Z$1,Inputs!$B$44,0)*(1+inf)^Y$1</f>
        <v>0</v>
      </c>
      <c r="AA41" s="7">
        <f>IF(Inputs!$B$45&gt;=AA$1,Inputs!$B$44,0)*(1+inf)^Z$1</f>
        <v>0</v>
      </c>
      <c r="AB41" s="7">
        <f>IF(Inputs!$B$45&gt;=AB$1,Inputs!$B$44,0)*(1+inf)^AA$1</f>
        <v>0</v>
      </c>
      <c r="AC41" s="7">
        <f>IF(Inputs!$B$45&gt;=AC$1,Inputs!$B$44,0)*(1+inf)^AB$1</f>
        <v>0</v>
      </c>
      <c r="AD41" s="7">
        <f>IF(Inputs!$B$45&gt;=AD$1,Inputs!$B$44,0)*(1+inf)^AC$1</f>
        <v>0</v>
      </c>
      <c r="AE41" s="7">
        <f>IF(Inputs!$B$45&gt;=AE$1,Inputs!$B$44,0)*(1+inf)^AD$1</f>
        <v>0</v>
      </c>
      <c r="AF41" s="7">
        <f>IF(Inputs!$B$45&gt;=AF$1,Inputs!$B$44,0)*(1+inf)^AE$1</f>
        <v>0</v>
      </c>
      <c r="AG41" s="7">
        <f>IF(Inputs!$B$45&gt;=AG$1,Inputs!$B$44,0)*(1+inf)^AF$1</f>
        <v>0</v>
      </c>
      <c r="AH41" s="7">
        <f>IF(Inputs!$B$45&gt;=AH$1,Inputs!$B$44,0)*(1+inf)^AG$1</f>
        <v>0</v>
      </c>
      <c r="AI41" s="7">
        <f>IF(Inputs!$B$45&gt;=AI$1,Inputs!$B$44,0)*(1+inf)^AH$1</f>
        <v>0</v>
      </c>
      <c r="AJ41" s="7">
        <f>IF(Inputs!$B$45&gt;=AJ$1,Inputs!$B$44,0)*(1+inf)^AI$1</f>
        <v>0</v>
      </c>
      <c r="AK41" s="7">
        <f>IF(Inputs!$B$45&gt;=AK$1,Inputs!$B$44,0)*(1+inf)^AJ$1</f>
        <v>0</v>
      </c>
      <c r="AL41" s="7">
        <f>IF(Inputs!$B$45&gt;=AL$1,Inputs!$B$44,0)*(1+inf)^AK$1</f>
        <v>0</v>
      </c>
      <c r="AM41" s="7">
        <f>IF(Inputs!$B$45&gt;=AM$1,Inputs!$B$44,0)*(1+inf)^AL$1</f>
        <v>0</v>
      </c>
    </row>
    <row r="42" spans="1:39" x14ac:dyDescent="0.2">
      <c r="A42" s="3" t="str">
        <f>TEXT(Inputs!B48,"")</f>
        <v>Stephen</v>
      </c>
      <c r="B42" s="8"/>
      <c r="C42" s="7">
        <f ca="1">IF(Inputs!$B$50&gt;=C$1,Inputs!$B$49,0)*(1+inf)^B$1*ProRate</f>
        <v>1875</v>
      </c>
      <c r="D42" s="7">
        <f>IF(Inputs!$B$50&gt;=D$1,Inputs!$B$49,0)*(1+inf)^C$1</f>
        <v>2562.5</v>
      </c>
      <c r="E42" s="7">
        <f>IF(Inputs!$B$50&gt;=E$1,Inputs!$B$49,0)*(1+inf)^D$1</f>
        <v>2626.5625</v>
      </c>
      <c r="F42" s="7">
        <f>IF(Inputs!$B$50&gt;=F$1,Inputs!$B$49,0)*(1+inf)^E$1</f>
        <v>0</v>
      </c>
      <c r="G42" s="7">
        <f>IF(Inputs!$B$50&gt;=G$1,Inputs!$B$49,0)*(1+inf)^F$1</f>
        <v>0</v>
      </c>
      <c r="H42" s="7">
        <f>IF(Inputs!$B$50&gt;=H$1,Inputs!$B$49,0)*(1+inf)^G$1</f>
        <v>0</v>
      </c>
      <c r="I42" s="7">
        <f>IF(Inputs!$B$50&gt;=I$1,Inputs!$B$49,0)*(1+inf)^H$1</f>
        <v>0</v>
      </c>
      <c r="J42" s="7">
        <f>IF(Inputs!$B$50&gt;=J$1,Inputs!$B$49,0)*(1+inf)^I$1</f>
        <v>0</v>
      </c>
      <c r="K42" s="7">
        <f>IF(Inputs!$B$50&gt;=K$1,Inputs!$B$49,0)*(1+inf)^J$1</f>
        <v>0</v>
      </c>
      <c r="L42" s="7">
        <f>IF(Inputs!$B$50&gt;=L$1,Inputs!$B$49,0)*(1+inf)^K$1</f>
        <v>0</v>
      </c>
      <c r="M42" s="7">
        <f>IF(Inputs!$B$50&gt;=M$1,Inputs!$B$49,0)*(1+inf)^L$1</f>
        <v>0</v>
      </c>
      <c r="N42" s="7">
        <f>IF(Inputs!$B$50&gt;=N$1,Inputs!$B$49,0)*(1+inf)^M$1</f>
        <v>0</v>
      </c>
      <c r="O42" s="7">
        <f>IF(Inputs!$B$50&gt;=O$1,Inputs!$B$49,0)*(1+inf)^N$1</f>
        <v>0</v>
      </c>
      <c r="P42" s="7">
        <f>IF(Inputs!$B$50&gt;=P$1,Inputs!$B$49,0)*(1+inf)^O$1</f>
        <v>0</v>
      </c>
      <c r="Q42" s="7">
        <f>IF(Inputs!$B$50&gt;=Q$1,Inputs!$B$49,0)*(1+inf)^P$1</f>
        <v>0</v>
      </c>
      <c r="R42" s="7">
        <f>IF(Inputs!$B$50&gt;=R$1,Inputs!$B$49,0)*(1+inf)^Q$1</f>
        <v>0</v>
      </c>
      <c r="S42" s="7">
        <f>IF(Inputs!$B$50&gt;=S$1,Inputs!$B$49,0)*(1+inf)^R$1</f>
        <v>0</v>
      </c>
      <c r="T42" s="7">
        <f>IF(Inputs!$B$50&gt;=T$1,Inputs!$B$49,0)*(1+inf)^S$1</f>
        <v>0</v>
      </c>
      <c r="U42" s="7">
        <f>IF(Inputs!$B$50&gt;=U$1,Inputs!$B$49,0)*(1+inf)^T$1</f>
        <v>0</v>
      </c>
      <c r="V42" s="7">
        <f>IF(Inputs!$B$50&gt;=V$1,Inputs!$B$49,0)*(1+inf)^U$1</f>
        <v>0</v>
      </c>
      <c r="W42" s="7">
        <f>IF(Inputs!$B$50&gt;=W$1,Inputs!$B$49,0)*(1+inf)^V$1</f>
        <v>0</v>
      </c>
      <c r="X42" s="7">
        <f>IF(Inputs!$B$50&gt;=X$1,Inputs!$B$49,0)*(1+inf)^W$1</f>
        <v>0</v>
      </c>
      <c r="Y42" s="7">
        <f>IF(Inputs!$B$50&gt;=Y$1,Inputs!$B$49,0)*(1+inf)^X$1</f>
        <v>0</v>
      </c>
      <c r="Z42" s="7">
        <f>IF(Inputs!$B$50&gt;=Z$1,Inputs!$B$49,0)*(1+inf)^Y$1</f>
        <v>0</v>
      </c>
      <c r="AA42" s="7">
        <f>IF(Inputs!$B$50&gt;=AA$1,Inputs!$B$49,0)*(1+inf)^Z$1</f>
        <v>0</v>
      </c>
      <c r="AB42" s="7">
        <f>IF(Inputs!$B$50&gt;=AB$1,Inputs!$B$49,0)*(1+inf)^AA$1</f>
        <v>0</v>
      </c>
      <c r="AC42" s="7">
        <f>IF(Inputs!$B$50&gt;=AC$1,Inputs!$B$49,0)*(1+inf)^AB$1</f>
        <v>0</v>
      </c>
      <c r="AD42" s="7">
        <f>IF(Inputs!$B$50&gt;=AD$1,Inputs!$B$49,0)*(1+inf)^AC$1</f>
        <v>0</v>
      </c>
      <c r="AE42" s="7">
        <f>IF(Inputs!$B$50&gt;=AE$1,Inputs!$B$49,0)*(1+inf)^AD$1</f>
        <v>0</v>
      </c>
      <c r="AF42" s="7">
        <f>IF(Inputs!$B$50&gt;=AF$1,Inputs!$B$49,0)*(1+inf)^AE$1</f>
        <v>0</v>
      </c>
      <c r="AG42" s="7">
        <f>IF(Inputs!$B$50&gt;=AG$1,Inputs!$B$49,0)*(1+inf)^AF$1</f>
        <v>0</v>
      </c>
      <c r="AH42" s="7">
        <f>IF(Inputs!$B$50&gt;=AH$1,Inputs!$B$49,0)*(1+inf)^AG$1</f>
        <v>0</v>
      </c>
      <c r="AI42" s="7">
        <f>IF(Inputs!$B$50&gt;=AI$1,Inputs!$B$49,0)*(1+inf)^AH$1</f>
        <v>0</v>
      </c>
      <c r="AJ42" s="7">
        <f>IF(Inputs!$B$50&gt;=AJ$1,Inputs!$B$49,0)*(1+inf)^AI$1</f>
        <v>0</v>
      </c>
      <c r="AK42" s="7">
        <f>IF(Inputs!$B$50&gt;=AK$1,Inputs!$B$49,0)*(1+inf)^AJ$1</f>
        <v>0</v>
      </c>
      <c r="AL42" s="7">
        <f>IF(Inputs!$B$50&gt;=AL$1,Inputs!$B$49,0)*(1+inf)^AK$1</f>
        <v>0</v>
      </c>
      <c r="AM42" s="7">
        <f>IF(Inputs!$B$50&gt;=AM$1,Inputs!$B$49,0)*(1+inf)^AL$1</f>
        <v>0</v>
      </c>
    </row>
    <row r="43" spans="1:39" x14ac:dyDescent="0.2">
      <c r="A43" s="3" t="str">
        <f>TEXT(Inputs!B53,"")</f>
        <v>Jane</v>
      </c>
      <c r="B43" s="8"/>
      <c r="C43" s="7">
        <f ca="1">IF(Inputs!$B$55&gt;=C$1,Inputs!$B$54,0)*(1+inf)^B$1*ProRate</f>
        <v>2145</v>
      </c>
      <c r="D43" s="7">
        <f>IF(Inputs!$B$55&gt;=D$1,Inputs!$B$54,0)*(1+inf)^C$1</f>
        <v>2931.4999999999995</v>
      </c>
      <c r="E43" s="7">
        <f>IF(Inputs!$B$55&gt;=E$1,Inputs!$B$54,0)*(1+inf)^D$1</f>
        <v>3004.7874999999999</v>
      </c>
      <c r="F43" s="7">
        <f>IF(Inputs!$B$55&gt;=F$1,Inputs!$B$54,0)*(1+inf)^E$1</f>
        <v>3079.9071874999995</v>
      </c>
      <c r="G43" s="7">
        <f>IF(Inputs!$B$55&gt;=G$1,Inputs!$B$54,0)*(1+inf)^F$1</f>
        <v>3156.9048671874993</v>
      </c>
      <c r="H43" s="7">
        <f>IF(Inputs!$B$55&gt;=H$1,Inputs!$B$54,0)*(1+inf)^G$1</f>
        <v>3235.8274888671867</v>
      </c>
      <c r="I43" s="7">
        <f>IF(Inputs!$B$55&gt;=I$1,Inputs!$B$54,0)*(1+inf)^H$1</f>
        <v>0</v>
      </c>
      <c r="J43" s="7">
        <f>IF(Inputs!$B$55&gt;=J$1,Inputs!$B$54,0)*(1+inf)^I$1</f>
        <v>0</v>
      </c>
      <c r="K43" s="7">
        <f>IF(Inputs!$B$55&gt;=K$1,Inputs!$B$54,0)*(1+inf)^J$1</f>
        <v>0</v>
      </c>
      <c r="L43" s="7">
        <f>IF(Inputs!$B$55&gt;=L$1,Inputs!$B$54,0)*(1+inf)^K$1</f>
        <v>0</v>
      </c>
      <c r="M43" s="7">
        <f>IF(Inputs!$B$55&gt;=M$1,Inputs!$B$54,0)*(1+inf)^L$1</f>
        <v>0</v>
      </c>
      <c r="N43" s="7">
        <f>IF(Inputs!$B$55&gt;=N$1,Inputs!$B$54,0)*(1+inf)^M$1</f>
        <v>0</v>
      </c>
      <c r="O43" s="7">
        <f>IF(Inputs!$B$55&gt;=O$1,Inputs!$B$54,0)*(1+inf)^N$1</f>
        <v>0</v>
      </c>
      <c r="P43" s="7">
        <f>IF(Inputs!$B$55&gt;=P$1,Inputs!$B$54,0)*(1+inf)^O$1</f>
        <v>0</v>
      </c>
      <c r="Q43" s="7">
        <f>IF(Inputs!$B$55&gt;=Q$1,Inputs!$B$54,0)*(1+inf)^P$1</f>
        <v>0</v>
      </c>
      <c r="R43" s="7">
        <f>IF(Inputs!$B$55&gt;=R$1,Inputs!$B$54,0)*(1+inf)^Q$1</f>
        <v>0</v>
      </c>
      <c r="S43" s="7">
        <f>IF(Inputs!$B$55&gt;=S$1,Inputs!$B$54,0)*(1+inf)^R$1</f>
        <v>0</v>
      </c>
      <c r="T43" s="7">
        <f>IF(Inputs!$B$55&gt;=T$1,Inputs!$B$54,0)*(1+inf)^S$1</f>
        <v>0</v>
      </c>
      <c r="U43" s="7">
        <f>IF(Inputs!$B$55&gt;=U$1,Inputs!$B$54,0)*(1+inf)^T$1</f>
        <v>0</v>
      </c>
      <c r="V43" s="7">
        <f>IF(Inputs!$B$55&gt;=V$1,Inputs!$B$54,0)*(1+inf)^U$1</f>
        <v>0</v>
      </c>
      <c r="W43" s="7">
        <f>IF(Inputs!$B$55&gt;=W$1,Inputs!$B$54,0)*(1+inf)^V$1</f>
        <v>0</v>
      </c>
      <c r="X43" s="7">
        <f>IF(Inputs!$B$55&gt;=X$1,Inputs!$B$54,0)*(1+inf)^W$1</f>
        <v>0</v>
      </c>
      <c r="Y43" s="7">
        <f>IF(Inputs!$B$55&gt;=Y$1,Inputs!$B$54,0)*(1+inf)^X$1</f>
        <v>0</v>
      </c>
      <c r="Z43" s="7">
        <f>IF(Inputs!$B$55&gt;=Z$1,Inputs!$B$54,0)*(1+inf)^Y$1</f>
        <v>0</v>
      </c>
      <c r="AA43" s="7">
        <f>IF(Inputs!$B$55&gt;=AA$1,Inputs!$B$54,0)*(1+inf)^Z$1</f>
        <v>0</v>
      </c>
      <c r="AB43" s="7">
        <f>IF(Inputs!$B$55&gt;=AB$1,Inputs!$B$54,0)*(1+inf)^AA$1</f>
        <v>0</v>
      </c>
      <c r="AC43" s="7">
        <f>IF(Inputs!$B$55&gt;=AC$1,Inputs!$B$54,0)*(1+inf)^AB$1</f>
        <v>0</v>
      </c>
      <c r="AD43" s="7">
        <f>IF(Inputs!$B$55&gt;=AD$1,Inputs!$B$54,0)*(1+inf)^AC$1</f>
        <v>0</v>
      </c>
      <c r="AE43" s="7">
        <f>IF(Inputs!$B$55&gt;=AE$1,Inputs!$B$54,0)*(1+inf)^AD$1</f>
        <v>0</v>
      </c>
      <c r="AF43" s="7">
        <f>IF(Inputs!$B$55&gt;=AF$1,Inputs!$B$54,0)*(1+inf)^AE$1</f>
        <v>0</v>
      </c>
      <c r="AG43" s="7">
        <f>IF(Inputs!$B$55&gt;=AG$1,Inputs!$B$54,0)*(1+inf)^AF$1</f>
        <v>0</v>
      </c>
      <c r="AH43" s="7">
        <f>IF(Inputs!$B$55&gt;=AH$1,Inputs!$B$54,0)*(1+inf)^AG$1</f>
        <v>0</v>
      </c>
      <c r="AI43" s="7">
        <f>IF(Inputs!$B$55&gt;=AI$1,Inputs!$B$54,0)*(1+inf)^AH$1</f>
        <v>0</v>
      </c>
      <c r="AJ43" s="7">
        <f>IF(Inputs!$B$55&gt;=AJ$1,Inputs!$B$54,0)*(1+inf)^AI$1</f>
        <v>0</v>
      </c>
      <c r="AK43" s="7">
        <f>IF(Inputs!$B$55&gt;=AK$1,Inputs!$B$54,0)*(1+inf)^AJ$1</f>
        <v>0</v>
      </c>
      <c r="AL43" s="7">
        <f>IF(Inputs!$B$55&gt;=AL$1,Inputs!$B$54,0)*(1+inf)^AK$1</f>
        <v>0</v>
      </c>
      <c r="AM43" s="7">
        <f>IF(Inputs!$B$55&gt;=AM$1,Inputs!$B$54,0)*(1+inf)^AL$1</f>
        <v>0</v>
      </c>
    </row>
    <row r="44" spans="1:39" x14ac:dyDescent="0.2">
      <c r="A44" s="4" t="s">
        <v>221</v>
      </c>
      <c r="B44" s="8"/>
      <c r="C44" s="7">
        <f ca="1">IF(AND(Inputs!$B$217&lt;&gt;"",C$2&gt;=Inputs!$B$217),IF(OR(Inputs!$B$12&lt;=0,UPPER(Inputs!$B$219)="RENT"),Inputs!$B$223*12*(1+inf)^B$1*IF(B$1=0,ProRate,1),0),Inputs!$B$23*12*(1+inf)^B$1*IF(B$1=0,ProRate,1))</f>
        <v>0</v>
      </c>
      <c r="D44" s="7">
        <f ca="1">IF(AND(Inputs!$B$217&lt;&gt;"",D$2&gt;=Inputs!$B$217),IF(OR(Inputs!$B$12&lt;=0,UPPER(Inputs!$B$219)="RENT"),Inputs!$B$223*12*(1+inf)^C$1*IF(C$1=0,ProRate,1),0),Inputs!$B$23*12*(1+inf)^C$1*IF(C$1=0,ProRate,1))</f>
        <v>0</v>
      </c>
      <c r="E44" s="7">
        <f ca="1">IF(AND(Inputs!$B$217&lt;&gt;"",E$2&gt;=Inputs!$B$217),IF(OR(Inputs!$B$12&lt;=0,UPPER(Inputs!$B$219)="RENT"),Inputs!$B$223*12*(1+inf)^D$1*IF(D$1=0,ProRate,1),0),Inputs!$B$23*12*(1+inf)^D$1*IF(D$1=0,ProRate,1))</f>
        <v>0</v>
      </c>
      <c r="F44" s="7">
        <f ca="1">IF(AND(Inputs!$B$217&lt;&gt;"",F$2&gt;=Inputs!$B$217),IF(OR(Inputs!$B$12&lt;=0,UPPER(Inputs!$B$219)="RENT"),Inputs!$B$223*12*(1+inf)^E$1*IF(E$1=0,ProRate,1),0),Inputs!$B$23*12*(1+inf)^E$1*IF(E$1=0,ProRate,1))</f>
        <v>0</v>
      </c>
      <c r="G44" s="7">
        <f ca="1">IF(AND(Inputs!$B$217&lt;&gt;"",G$2&gt;=Inputs!$B$217),IF(OR(Inputs!$B$12&lt;=0,UPPER(Inputs!$B$219)="RENT"),Inputs!$B$223*12*(1+inf)^F$1*IF(F$1=0,ProRate,1),0),Inputs!$B$23*12*(1+inf)^F$1*IF(F$1=0,ProRate,1))</f>
        <v>0</v>
      </c>
      <c r="H44" s="7">
        <f ca="1">IF(AND(Inputs!$B$217&lt;&gt;"",H$2&gt;=Inputs!$B$217),IF(OR(Inputs!$B$12&lt;=0,UPPER(Inputs!$B$219)="RENT"),Inputs!$B$223*12*(1+inf)^G$1*IF(G$1=0,ProRate,1),0),Inputs!$B$23*12*(1+inf)^G$1*IF(G$1=0,ProRate,1))</f>
        <v>0</v>
      </c>
      <c r="I44" s="7">
        <f ca="1">IF(AND(Inputs!$B$217&lt;&gt;"",I$2&gt;=Inputs!$B$217),IF(OR(Inputs!$B$12&lt;=0,UPPER(Inputs!$B$219)="RENT"),Inputs!$B$223*12*(1+inf)^H$1*IF(H$1=0,ProRate,1),0),Inputs!$B$23*12*(1+inf)^H$1*IF(H$1=0,ProRate,1))</f>
        <v>0</v>
      </c>
      <c r="J44" s="7">
        <f ca="1">IF(AND(Inputs!$B$217&lt;&gt;"",J$2&gt;=Inputs!$B$217),IF(OR(Inputs!$B$12&lt;=0,UPPER(Inputs!$B$219)="RENT"),Inputs!$B$223*12*(1+inf)^I$1*IF(I$1=0,ProRate,1),0),Inputs!$B$23*12*(1+inf)^I$1*IF(I$1=0,ProRate,1))</f>
        <v>0</v>
      </c>
      <c r="K44" s="7">
        <f ca="1">IF(AND(Inputs!$B$217&lt;&gt;"",K$2&gt;=Inputs!$B$217),IF(OR(Inputs!$B$12&lt;=0,UPPER(Inputs!$B$219)="RENT"),Inputs!$B$223*12*(1+inf)^J$1*IF(J$1=0,ProRate,1),0),Inputs!$B$23*12*(1+inf)^J$1*IF(J$1=0,ProRate,1))</f>
        <v>0</v>
      </c>
      <c r="L44" s="7">
        <f ca="1">IF(AND(Inputs!$B$217&lt;&gt;"",L$2&gt;=Inputs!$B$217),IF(OR(Inputs!$B$12&lt;=0,UPPER(Inputs!$B$219)="RENT"),Inputs!$B$223*12*(1+inf)^K$1*IF(K$1=0,ProRate,1),0),Inputs!$B$23*12*(1+inf)^K$1*IF(K$1=0,ProRate,1))</f>
        <v>0</v>
      </c>
      <c r="M44" s="7">
        <f ca="1">IF(AND(Inputs!$B$217&lt;&gt;"",M$2&gt;=Inputs!$B$217),IF(OR(Inputs!$B$12&lt;=0,UPPER(Inputs!$B$219)="RENT"),Inputs!$B$223*12*(1+inf)^L$1*IF(L$1=0,ProRate,1),0),Inputs!$B$23*12*(1+inf)^L$1*IF(L$1=0,ProRate,1))</f>
        <v>0</v>
      </c>
      <c r="N44" s="7">
        <f ca="1">IF(AND(Inputs!$B$217&lt;&gt;"",N$2&gt;=Inputs!$B$217),IF(OR(Inputs!$B$12&lt;=0,UPPER(Inputs!$B$219)="RENT"),Inputs!$B$223*12*(1+inf)^M$1*IF(M$1=0,ProRate,1),0),Inputs!$B$23*12*(1+inf)^M$1*IF(M$1=0,ProRate,1))</f>
        <v>0</v>
      </c>
      <c r="O44" s="7">
        <f ca="1">IF(AND(Inputs!$B$217&lt;&gt;"",O$2&gt;=Inputs!$B$217),IF(OR(Inputs!$B$12&lt;=0,UPPER(Inputs!$B$219)="RENT"),Inputs!$B$223*12*(1+inf)^N$1*IF(N$1=0,ProRate,1),0),Inputs!$B$23*12*(1+inf)^N$1*IF(N$1=0,ProRate,1))</f>
        <v>0</v>
      </c>
      <c r="P44" s="7">
        <f ca="1">IF(AND(Inputs!$B$217&lt;&gt;"",P$2&gt;=Inputs!$B$217),IF(OR(Inputs!$B$12&lt;=0,UPPER(Inputs!$B$219)="RENT"),Inputs!$B$223*12*(1+inf)^O$1*IF(O$1=0,ProRate,1),0),Inputs!$B$23*12*(1+inf)^O$1*IF(O$1=0,ProRate,1))</f>
        <v>0</v>
      </c>
      <c r="Q44" s="7">
        <f ca="1">IF(AND(Inputs!$B$217&lt;&gt;"",Q$2&gt;=Inputs!$B$217),IF(OR(Inputs!$B$12&lt;=0,UPPER(Inputs!$B$219)="RENT"),Inputs!$B$223*12*(1+inf)^P$1*IF(P$1=0,ProRate,1),0),Inputs!$B$23*12*(1+inf)^P$1*IF(P$1=0,ProRate,1))</f>
        <v>0</v>
      </c>
      <c r="R44" s="7">
        <f ca="1">IF(AND(Inputs!$B$217&lt;&gt;"",R$2&gt;=Inputs!$B$217),IF(OR(Inputs!$B$12&lt;=0,UPPER(Inputs!$B$219)="RENT"),Inputs!$B$223*12*(1+inf)^Q$1*IF(Q$1=0,ProRate,1),0),Inputs!$B$23*12*(1+inf)^Q$1*IF(Q$1=0,ProRate,1))</f>
        <v>0</v>
      </c>
      <c r="S44" s="7">
        <f ca="1">IF(AND(Inputs!$B$217&lt;&gt;"",S$2&gt;=Inputs!$B$217),IF(OR(Inputs!$B$12&lt;=0,UPPER(Inputs!$B$219)="RENT"),Inputs!$B$223*12*(1+inf)^R$1*IF(R$1=0,ProRate,1),0),Inputs!$B$23*12*(1+inf)^R$1*IF(R$1=0,ProRate,1))</f>
        <v>0</v>
      </c>
      <c r="T44" s="7">
        <f ca="1">IF(AND(Inputs!$B$217&lt;&gt;"",T$2&gt;=Inputs!$B$217),IF(OR(Inputs!$B$12&lt;=0,UPPER(Inputs!$B$219)="RENT"),Inputs!$B$223*12*(1+inf)^S$1*IF(S$1=0,ProRate,1),0),Inputs!$B$23*12*(1+inf)^S$1*IF(S$1=0,ProRate,1))</f>
        <v>0</v>
      </c>
      <c r="U44" s="7">
        <f ca="1">IF(AND(Inputs!$B$217&lt;&gt;"",U$2&gt;=Inputs!$B$217),IF(OR(Inputs!$B$12&lt;=0,UPPER(Inputs!$B$219)="RENT"),Inputs!$B$223*12*(1+inf)^T$1*IF(T$1=0,ProRate,1),0),Inputs!$B$23*12*(1+inf)^T$1*IF(T$1=0,ProRate,1))</f>
        <v>0</v>
      </c>
      <c r="V44" s="7">
        <f ca="1">IF(AND(Inputs!$B$217&lt;&gt;"",V$2&gt;=Inputs!$B$217),IF(OR(Inputs!$B$12&lt;=0,UPPER(Inputs!$B$219)="RENT"),Inputs!$B$223*12*(1+inf)^U$1*IF(U$1=0,ProRate,1),0),Inputs!$B$23*12*(1+inf)^U$1*IF(U$1=0,ProRate,1))</f>
        <v>0</v>
      </c>
      <c r="W44" s="7">
        <f ca="1">IF(AND(Inputs!$B$217&lt;&gt;"",W$2&gt;=Inputs!$B$217),IF(OR(Inputs!$B$12&lt;=0,UPPER(Inputs!$B$219)="RENT"),Inputs!$B$223*12*(1+inf)^V$1*IF(V$1=0,ProRate,1),0),Inputs!$B$23*12*(1+inf)^V$1*IF(V$1=0,ProRate,1))</f>
        <v>0</v>
      </c>
      <c r="X44" s="7">
        <f ca="1">IF(AND(Inputs!$B$217&lt;&gt;"",X$2&gt;=Inputs!$B$217),IF(OR(Inputs!$B$12&lt;=0,UPPER(Inputs!$B$219)="RENT"),Inputs!$B$223*12*(1+inf)^W$1*IF(W$1=0,ProRate,1),0),Inputs!$B$23*12*(1+inf)^W$1*IF(W$1=0,ProRate,1))</f>
        <v>0</v>
      </c>
      <c r="Y44" s="7">
        <f ca="1">IF(AND(Inputs!$B$217&lt;&gt;"",Y$2&gt;=Inputs!$B$217),IF(OR(Inputs!$B$12&lt;=0,UPPER(Inputs!$B$219)="RENT"),Inputs!$B$223*12*(1+inf)^X$1*IF(X$1=0,ProRate,1),0),Inputs!$B$23*12*(1+inf)^X$1*IF(X$1=0,ProRate,1))</f>
        <v>0</v>
      </c>
      <c r="Z44" s="7">
        <f ca="1">IF(AND(Inputs!$B$217&lt;&gt;"",Z$2&gt;=Inputs!$B$217),IF(OR(Inputs!$B$12&lt;=0,UPPER(Inputs!$B$219)="RENT"),Inputs!$B$223*12*(1+inf)^Y$1*IF(Y$1=0,ProRate,1),0),Inputs!$B$23*12*(1+inf)^Y$1*IF(Y$1=0,ProRate,1))</f>
        <v>0</v>
      </c>
      <c r="AA44" s="7">
        <f ca="1">IF(AND(Inputs!$B$217&lt;&gt;"",AA$2&gt;=Inputs!$B$217),IF(OR(Inputs!$B$12&lt;=0,UPPER(Inputs!$B$219)="RENT"),Inputs!$B$223*12*(1+inf)^Z$1*IF(Z$1=0,ProRate,1),0),Inputs!$B$23*12*(1+inf)^Z$1*IF(Z$1=0,ProRate,1))</f>
        <v>0</v>
      </c>
      <c r="AB44" s="7">
        <f ca="1">IF(AND(Inputs!$B$217&lt;&gt;"",AB$2&gt;=Inputs!$B$217),IF(OR(Inputs!$B$12&lt;=0,UPPER(Inputs!$B$219)="RENT"),Inputs!$B$223*12*(1+inf)^AA$1*IF(AA$1=0,ProRate,1),0),Inputs!$B$23*12*(1+inf)^AA$1*IF(AA$1=0,ProRate,1))</f>
        <v>0</v>
      </c>
      <c r="AC44" s="7">
        <f ca="1">IF(AND(Inputs!$B$217&lt;&gt;"",AC$2&gt;=Inputs!$B$217),IF(OR(Inputs!$B$12&lt;=0,UPPER(Inputs!$B$219)="RENT"),Inputs!$B$223*12*(1+inf)^AB$1*IF(AB$1=0,ProRate,1),0),Inputs!$B$23*12*(1+inf)^AB$1*IF(AB$1=0,ProRate,1))</f>
        <v>0</v>
      </c>
      <c r="AD44" s="7">
        <f ca="1">IF(AND(Inputs!$B$217&lt;&gt;"",AD$2&gt;=Inputs!$B$217),IF(OR(Inputs!$B$12&lt;=0,UPPER(Inputs!$B$219)="RENT"),Inputs!$B$223*12*(1+inf)^AC$1*IF(AC$1=0,ProRate,1),0),Inputs!$B$23*12*(1+inf)^AC$1*IF(AC$1=0,ProRate,1))</f>
        <v>0</v>
      </c>
      <c r="AE44" s="7">
        <f ca="1">IF(AND(Inputs!$B$217&lt;&gt;"",AE$2&gt;=Inputs!$B$217),IF(OR(Inputs!$B$12&lt;=0,UPPER(Inputs!$B$219)="RENT"),Inputs!$B$223*12*(1+inf)^AD$1*IF(AD$1=0,ProRate,1),0),Inputs!$B$23*12*(1+inf)^AD$1*IF(AD$1=0,ProRate,1))</f>
        <v>0</v>
      </c>
      <c r="AF44" s="7">
        <f ca="1">IF(AND(Inputs!$B$217&lt;&gt;"",AF$2&gt;=Inputs!$B$217),IF(OR(Inputs!$B$12&lt;=0,UPPER(Inputs!$B$219)="RENT"),Inputs!$B$223*12*(1+inf)^AE$1*IF(AE$1=0,ProRate,1),0),Inputs!$B$23*12*(1+inf)^AE$1*IF(AE$1=0,ProRate,1))</f>
        <v>0</v>
      </c>
      <c r="AG44" s="7">
        <f ca="1">IF(AND(Inputs!$B$217&lt;&gt;"",AG$2&gt;=Inputs!$B$217),IF(OR(Inputs!$B$12&lt;=0,UPPER(Inputs!$B$219)="RENT"),Inputs!$B$223*12*(1+inf)^AF$1*IF(AF$1=0,ProRate,1),0),Inputs!$B$23*12*(1+inf)^AF$1*IF(AF$1=0,ProRate,1))</f>
        <v>0</v>
      </c>
      <c r="AH44" s="7">
        <f ca="1">IF(AND(Inputs!$B$217&lt;&gt;"",AH$2&gt;=Inputs!$B$217),IF(OR(Inputs!$B$12&lt;=0,UPPER(Inputs!$B$219)="RENT"),Inputs!$B$223*12*(1+inf)^AG$1*IF(AG$1=0,ProRate,1),0),Inputs!$B$23*12*(1+inf)^AG$1*IF(AG$1=0,ProRate,1))</f>
        <v>0</v>
      </c>
      <c r="AI44" s="7">
        <f ca="1">IF(AND(Inputs!$B$217&lt;&gt;"",AI$2&gt;=Inputs!$B$217),IF(OR(Inputs!$B$12&lt;=0,UPPER(Inputs!$B$219)="RENT"),Inputs!$B$223*12*(1+inf)^AH$1*IF(AH$1=0,ProRate,1),0),Inputs!$B$23*12*(1+inf)^AH$1*IF(AH$1=0,ProRate,1))</f>
        <v>0</v>
      </c>
      <c r="AJ44" s="7">
        <f ca="1">IF(AND(Inputs!$B$217&lt;&gt;"",AJ$2&gt;=Inputs!$B$217),IF(OR(Inputs!$B$12&lt;=0,UPPER(Inputs!$B$219)="RENT"),Inputs!$B$223*12*(1+inf)^AI$1*IF(AI$1=0,ProRate,1),0),Inputs!$B$23*12*(1+inf)^AI$1*IF(AI$1=0,ProRate,1))</f>
        <v>0</v>
      </c>
      <c r="AK44" s="7">
        <f ca="1">IF(AND(Inputs!$B$217&lt;&gt;"",AK$2&gt;=Inputs!$B$217),IF(OR(Inputs!$B$12&lt;=0,UPPER(Inputs!$B$219)="RENT"),Inputs!$B$223*12*(1+inf)^AJ$1*IF(AJ$1=0,ProRate,1),0),Inputs!$B$23*12*(1+inf)^AJ$1*IF(AJ$1=0,ProRate,1))</f>
        <v>0</v>
      </c>
      <c r="AL44" s="7">
        <f ca="1">IF(AND(Inputs!$B$217&lt;&gt;"",AL$2&gt;=Inputs!$B$217),IF(OR(Inputs!$B$12&lt;=0,UPPER(Inputs!$B$219)="RENT"),Inputs!$B$223*12*(1+inf)^AK$1*IF(AK$1=0,ProRate,1),0),Inputs!$B$23*12*(1+inf)^AK$1*IF(AK$1=0,ProRate,1))</f>
        <v>0</v>
      </c>
      <c r="AM44" s="7">
        <f ca="1">IF(AND(Inputs!$B$217&lt;&gt;"",AM$2&gt;=Inputs!$B$217),IF(OR(Inputs!$B$12&lt;=0,UPPER(Inputs!$B$219)="RENT"),Inputs!$B$223*12*(1+inf)^AL$1*IF(AL$1=0,ProRate,1),0),Inputs!$B$23*12*(1+inf)^AL$1*IF(AL$1=0,ProRate,1))</f>
        <v>0</v>
      </c>
    </row>
    <row r="45" spans="1:39" x14ac:dyDescent="0.2">
      <c r="A45" s="4" t="s">
        <v>52</v>
      </c>
      <c r="B45" s="8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</row>
    <row r="46" spans="1:39" x14ac:dyDescent="0.2">
      <c r="A46" s="3" t="str">
        <f>TEXT(Inputs!$B$60,"")</f>
        <v>Sliema</v>
      </c>
      <c r="B46" s="8"/>
      <c r="C46" s="7">
        <f ca="1">Inputs!$B62*(1+inf)^B$1*ProRate</f>
        <v>3750</v>
      </c>
      <c r="D46" s="7">
        <f>Inputs!$B62*(1+inf)^C$1</f>
        <v>5125</v>
      </c>
      <c r="E46" s="7">
        <f>Inputs!$B62*(1+inf)^D$1</f>
        <v>5253.125</v>
      </c>
      <c r="F46" s="7">
        <f>Inputs!$B62*(1+inf)^E$1</f>
        <v>5384.4531249999991</v>
      </c>
      <c r="G46" s="7">
        <f>Inputs!$B62*(1+inf)^F$1</f>
        <v>5519.0644531249991</v>
      </c>
      <c r="H46" s="7">
        <f>Inputs!$B62*(1+inf)^G$1</f>
        <v>5657.041064453123</v>
      </c>
      <c r="I46" s="7">
        <f>Inputs!$B62*(1+inf)^H$1</f>
        <v>5798.4670910644509</v>
      </c>
      <c r="J46" s="7">
        <f>Inputs!$B62*(1+inf)^I$1</f>
        <v>5943.4287683410621</v>
      </c>
      <c r="K46" s="7">
        <f>Inputs!$B62*(1+inf)^J$1</f>
        <v>6092.0144875495889</v>
      </c>
      <c r="L46" s="7">
        <f>Inputs!$B62*(1+inf)^K$1</f>
        <v>6244.3148497383272</v>
      </c>
      <c r="M46" s="7">
        <f>Inputs!$B62*(1+inf)^L$1</f>
        <v>6400.4227209817855</v>
      </c>
      <c r="N46" s="7">
        <f>Inputs!$B62*(1+inf)^M$1</f>
        <v>6560.4332890063297</v>
      </c>
      <c r="O46" s="7">
        <f>Inputs!$B62*(1+inf)^N$1</f>
        <v>6724.4441212314878</v>
      </c>
      <c r="P46" s="7">
        <f>Inputs!$B62*(1+inf)^O$1</f>
        <v>6892.5552242622744</v>
      </c>
      <c r="Q46" s="7">
        <f>Inputs!$B62*(1+inf)^P$1</f>
        <v>7064.8691048688306</v>
      </c>
      <c r="R46" s="7">
        <f>Inputs!$B62*(1+inf)^Q$1</f>
        <v>7241.4908324905527</v>
      </c>
      <c r="S46" s="7">
        <f>Inputs!$B62*(1+inf)^R$1</f>
        <v>7422.5281033028159</v>
      </c>
      <c r="T46" s="7">
        <f>Inputs!$B62*(1+inf)^S$1</f>
        <v>7608.0913058853848</v>
      </c>
      <c r="U46" s="7">
        <f>Inputs!$B62*(1+inf)^T$1</f>
        <v>7798.2935885325196</v>
      </c>
      <c r="V46" s="7">
        <f>Inputs!$B62*(1+inf)^U$1</f>
        <v>7993.2509282458332</v>
      </c>
      <c r="W46" s="7">
        <f>Inputs!$B62*(1+inf)^V$1</f>
        <v>8193.0822014519781</v>
      </c>
      <c r="X46" s="7">
        <f>Inputs!$B62*(1+inf)^W$1</f>
        <v>8397.9092564882758</v>
      </c>
      <c r="Y46" s="7">
        <f>Inputs!$B62*(1+inf)^X$1</f>
        <v>8607.8569879004826</v>
      </c>
      <c r="Z46" s="7">
        <f>Inputs!$B62*(1+inf)^Y$1</f>
        <v>8823.0534125979957</v>
      </c>
      <c r="AA46" s="7">
        <f>Inputs!$B62*(1+inf)^Z$1</f>
        <v>9043.6297479129444</v>
      </c>
      <c r="AB46" s="7">
        <f>Inputs!$B62*(1+inf)^AA$1</f>
        <v>9269.7204916107676</v>
      </c>
      <c r="AC46" s="7">
        <f>Inputs!$B62*(1+inf)^AB$1</f>
        <v>9501.4635039010354</v>
      </c>
      <c r="AD46" s="7">
        <f>Inputs!$B62*(1+inf)^AC$1</f>
        <v>9739.0000914985612</v>
      </c>
      <c r="AE46" s="7">
        <f>Inputs!$B62*(1+inf)^AD$1</f>
        <v>9982.4750937860244</v>
      </c>
      <c r="AF46" s="7">
        <f>Inputs!$B62*(1+inf)^AE$1</f>
        <v>10232.036971130676</v>
      </c>
      <c r="AG46" s="7">
        <f>Inputs!$B62*(1+inf)^AF$1</f>
        <v>10487.83789540894</v>
      </c>
      <c r="AH46" s="7">
        <f>Inputs!$B62*(1+inf)^AG$1</f>
        <v>10750.033842794166</v>
      </c>
      <c r="AI46" s="7">
        <f>Inputs!$B62*(1+inf)^AH$1</f>
        <v>11018.784688864018</v>
      </c>
      <c r="AJ46" s="7">
        <f>Inputs!$B62*(1+inf)^AI$1</f>
        <v>11294.254306085619</v>
      </c>
      <c r="AK46" s="7">
        <f>Inputs!$B62*(1+inf)^AJ$1</f>
        <v>11576.610663737758</v>
      </c>
      <c r="AL46" s="7">
        <f>Inputs!$B62*(1+inf)^AK$1</f>
        <v>11866.025930331201</v>
      </c>
      <c r="AM46" s="7">
        <f>Inputs!$B62*(1+inf)^AL$1</f>
        <v>12162.676578589482</v>
      </c>
    </row>
    <row r="47" spans="1:39" x14ac:dyDescent="0.2">
      <c r="A47" s="3" t="str">
        <f>TEXT(Inputs!$B$65,"")</f>
        <v>Gzira</v>
      </c>
      <c r="B47" s="8"/>
      <c r="C47" s="7">
        <f ca="1">Inputs!$B67*(1+inf)^B$1*ProRate</f>
        <v>1500</v>
      </c>
      <c r="D47" s="7">
        <f>Inputs!$B67*(1+inf)^C$1</f>
        <v>2050</v>
      </c>
      <c r="E47" s="7">
        <f>Inputs!$B67*(1+inf)^D$1</f>
        <v>2101.25</v>
      </c>
      <c r="F47" s="7">
        <f>Inputs!$B67*(1+inf)^E$1</f>
        <v>2153.7812499999995</v>
      </c>
      <c r="G47" s="7">
        <f>Inputs!$B67*(1+inf)^F$1</f>
        <v>2207.6257812499994</v>
      </c>
      <c r="H47" s="7">
        <f>Inputs!$B67*(1+inf)^G$1</f>
        <v>2262.8164257812491</v>
      </c>
      <c r="I47" s="7">
        <f>Inputs!$B67*(1+inf)^H$1</f>
        <v>2319.3868364257805</v>
      </c>
      <c r="J47" s="7">
        <f>Inputs!$B67*(1+inf)^I$1</f>
        <v>2377.3715073364251</v>
      </c>
      <c r="K47" s="7">
        <f>Inputs!$B67*(1+inf)^J$1</f>
        <v>2436.8057950198354</v>
      </c>
      <c r="L47" s="7">
        <f>Inputs!$B67*(1+inf)^K$1</f>
        <v>2497.7259398953311</v>
      </c>
      <c r="M47" s="7">
        <f>Inputs!$B67*(1+inf)^L$1</f>
        <v>2560.169088392714</v>
      </c>
      <c r="N47" s="7">
        <f>Inputs!$B67*(1+inf)^M$1</f>
        <v>2624.1733156025321</v>
      </c>
      <c r="O47" s="7">
        <f>Inputs!$B67*(1+inf)^N$1</f>
        <v>2689.7776484925948</v>
      </c>
      <c r="P47" s="7">
        <f>Inputs!$B67*(1+inf)^O$1</f>
        <v>2757.0220897049098</v>
      </c>
      <c r="Q47" s="7">
        <f>Inputs!$B67*(1+inf)^P$1</f>
        <v>2825.9476419475322</v>
      </c>
      <c r="R47" s="7">
        <f>Inputs!$B67*(1+inf)^Q$1</f>
        <v>2896.596332996221</v>
      </c>
      <c r="S47" s="7">
        <f>Inputs!$B67*(1+inf)^R$1</f>
        <v>2969.0112413211264</v>
      </c>
      <c r="T47" s="7">
        <f>Inputs!$B67*(1+inf)^S$1</f>
        <v>3043.2365223541542</v>
      </c>
      <c r="U47" s="7">
        <f>Inputs!$B67*(1+inf)^T$1</f>
        <v>3119.3174354130078</v>
      </c>
      <c r="V47" s="7">
        <f>Inputs!$B67*(1+inf)^U$1</f>
        <v>3197.3003712983332</v>
      </c>
      <c r="W47" s="7">
        <f>Inputs!$B67*(1+inf)^V$1</f>
        <v>3277.2328805807911</v>
      </c>
      <c r="X47" s="7">
        <f>Inputs!$B67*(1+inf)^W$1</f>
        <v>3359.1637025953105</v>
      </c>
      <c r="Y47" s="7">
        <f>Inputs!$B67*(1+inf)^X$1</f>
        <v>3443.1427951601931</v>
      </c>
      <c r="Z47" s="7">
        <f>Inputs!$B67*(1+inf)^Y$1</f>
        <v>3529.2213650391982</v>
      </c>
      <c r="AA47" s="7">
        <f>Inputs!$B67*(1+inf)^Z$1</f>
        <v>3617.451899165178</v>
      </c>
      <c r="AB47" s="7">
        <f>Inputs!$B67*(1+inf)^AA$1</f>
        <v>3707.8881966443068</v>
      </c>
      <c r="AC47" s="7">
        <f>Inputs!$B67*(1+inf)^AB$1</f>
        <v>3800.5854015604141</v>
      </c>
      <c r="AD47" s="7">
        <f>Inputs!$B67*(1+inf)^AC$1</f>
        <v>3895.6000365994241</v>
      </c>
      <c r="AE47" s="7">
        <f>Inputs!$B67*(1+inf)^AD$1</f>
        <v>3992.9900375144098</v>
      </c>
      <c r="AF47" s="7">
        <f>Inputs!$B67*(1+inf)^AE$1</f>
        <v>4092.8147884522705</v>
      </c>
      <c r="AG47" s="7">
        <f>Inputs!$B67*(1+inf)^AF$1</f>
        <v>4195.1351581635763</v>
      </c>
      <c r="AH47" s="7">
        <f>Inputs!$B67*(1+inf)^AG$1</f>
        <v>4300.0135371176666</v>
      </c>
      <c r="AI47" s="7">
        <f>Inputs!$B67*(1+inf)^AH$1</f>
        <v>4407.5138755456073</v>
      </c>
      <c r="AJ47" s="7">
        <f>Inputs!$B67*(1+inf)^AI$1</f>
        <v>4517.7017224342471</v>
      </c>
      <c r="AK47" s="7">
        <f>Inputs!$B67*(1+inf)^AJ$1</f>
        <v>4630.6442654951034</v>
      </c>
      <c r="AL47" s="7">
        <f>Inputs!$B67*(1+inf)^AK$1</f>
        <v>4746.41037213248</v>
      </c>
      <c r="AM47" s="7">
        <f>Inputs!$B67*(1+inf)^AL$1</f>
        <v>4865.0706314357931</v>
      </c>
    </row>
    <row r="48" spans="1:39" x14ac:dyDescent="0.2">
      <c r="A48" s="3" t="str">
        <f>TEXT(Inputs!$B$70,"")</f>
        <v>Qormi</v>
      </c>
      <c r="B48" s="8"/>
      <c r="C48" s="7">
        <f ca="1">Inputs!$B72*(1+inf)^B$1*ProRate</f>
        <v>900</v>
      </c>
      <c r="D48" s="7">
        <f>Inputs!$B72*(1+inf)^C$1</f>
        <v>1230</v>
      </c>
      <c r="E48" s="7">
        <f>Inputs!$B72*(1+inf)^D$1</f>
        <v>1260.75</v>
      </c>
      <c r="F48" s="7">
        <f>Inputs!$B72*(1+inf)^E$1</f>
        <v>1292.26875</v>
      </c>
      <c r="G48" s="7">
        <f>Inputs!$B72*(1+inf)^F$1</f>
        <v>1324.5754687499998</v>
      </c>
      <c r="H48" s="7">
        <f>Inputs!$B72*(1+inf)^G$1</f>
        <v>1357.6898554687496</v>
      </c>
      <c r="I48" s="7">
        <f>Inputs!$B72*(1+inf)^H$1</f>
        <v>1391.6321018554681</v>
      </c>
      <c r="J48" s="7">
        <f>Inputs!$B72*(1+inf)^I$1</f>
        <v>1426.422904401855</v>
      </c>
      <c r="K48" s="7">
        <f>Inputs!$B72*(1+inf)^J$1</f>
        <v>1462.0834770119013</v>
      </c>
      <c r="L48" s="7">
        <f>Inputs!$B72*(1+inf)^K$1</f>
        <v>1498.6355639371984</v>
      </c>
      <c r="M48" s="7">
        <f>Inputs!$B72*(1+inf)^L$1</f>
        <v>1536.1014530356285</v>
      </c>
      <c r="N48" s="7">
        <f>Inputs!$B72*(1+inf)^M$1</f>
        <v>1574.5039893615192</v>
      </c>
      <c r="O48" s="7">
        <f>Inputs!$B72*(1+inf)^N$1</f>
        <v>1613.8665890955569</v>
      </c>
      <c r="P48" s="7">
        <f>Inputs!$B72*(1+inf)^O$1</f>
        <v>1654.2132538229459</v>
      </c>
      <c r="Q48" s="7">
        <f>Inputs!$B72*(1+inf)^P$1</f>
        <v>1695.5685851685193</v>
      </c>
      <c r="R48" s="7">
        <f>Inputs!$B72*(1+inf)^Q$1</f>
        <v>1737.9577997977326</v>
      </c>
      <c r="S48" s="7">
        <f>Inputs!$B72*(1+inf)^R$1</f>
        <v>1781.4067447926757</v>
      </c>
      <c r="T48" s="7">
        <f>Inputs!$B72*(1+inf)^S$1</f>
        <v>1825.9419134124923</v>
      </c>
      <c r="U48" s="7">
        <f>Inputs!$B72*(1+inf)^T$1</f>
        <v>1871.5904612478048</v>
      </c>
      <c r="V48" s="7">
        <f>Inputs!$B72*(1+inf)^U$1</f>
        <v>1918.380222779</v>
      </c>
      <c r="W48" s="7">
        <f>Inputs!$B72*(1+inf)^V$1</f>
        <v>1966.3397283484746</v>
      </c>
      <c r="X48" s="7">
        <f>Inputs!$B72*(1+inf)^W$1</f>
        <v>2015.4982215571863</v>
      </c>
      <c r="Y48" s="7">
        <f>Inputs!$B72*(1+inf)^X$1</f>
        <v>2065.8856770961161</v>
      </c>
      <c r="Z48" s="7">
        <f>Inputs!$B72*(1+inf)^Y$1</f>
        <v>2117.5328190235191</v>
      </c>
      <c r="AA48" s="7">
        <f>Inputs!$B72*(1+inf)^Z$1</f>
        <v>2170.4711394991068</v>
      </c>
      <c r="AB48" s="7">
        <f>Inputs!$B72*(1+inf)^AA$1</f>
        <v>2224.7329179865842</v>
      </c>
      <c r="AC48" s="7">
        <f>Inputs!$B72*(1+inf)^AB$1</f>
        <v>2280.3512409362484</v>
      </c>
      <c r="AD48" s="7">
        <f>Inputs!$B72*(1+inf)^AC$1</f>
        <v>2337.3600219596547</v>
      </c>
      <c r="AE48" s="7">
        <f>Inputs!$B72*(1+inf)^AD$1</f>
        <v>2395.7940225086459</v>
      </c>
      <c r="AF48" s="7">
        <f>Inputs!$B72*(1+inf)^AE$1</f>
        <v>2455.6888730713622</v>
      </c>
      <c r="AG48" s="7">
        <f>Inputs!$B72*(1+inf)^AF$1</f>
        <v>2517.0810948981457</v>
      </c>
      <c r="AH48" s="7">
        <f>Inputs!$B72*(1+inf)^AG$1</f>
        <v>2580.0081222705999</v>
      </c>
      <c r="AI48" s="7">
        <f>Inputs!$B72*(1+inf)^AH$1</f>
        <v>2644.5083253273642</v>
      </c>
      <c r="AJ48" s="7">
        <f>Inputs!$B72*(1+inf)^AI$1</f>
        <v>2710.6210334605485</v>
      </c>
      <c r="AK48" s="7">
        <f>Inputs!$B72*(1+inf)^AJ$1</f>
        <v>2778.3865592970619</v>
      </c>
      <c r="AL48" s="7">
        <f>Inputs!$B72*(1+inf)^AK$1</f>
        <v>2847.8462232794882</v>
      </c>
      <c r="AM48" s="7">
        <f>Inputs!$B72*(1+inf)^AL$1</f>
        <v>2919.0423788614758</v>
      </c>
    </row>
    <row r="49" spans="1:39" x14ac:dyDescent="0.2">
      <c r="A49" s="3" t="str">
        <f>TEXT(Inputs!$B$75,"")</f>
        <v>Gudja</v>
      </c>
      <c r="B49" s="8"/>
      <c r="C49" s="7">
        <f ca="1">Inputs!$B77*(1+inf)^B$1*ProRate</f>
        <v>750</v>
      </c>
      <c r="D49" s="7">
        <f>Inputs!$B77*(1+inf)^C$1</f>
        <v>1025</v>
      </c>
      <c r="E49" s="7">
        <f>Inputs!$B77*(1+inf)^D$1</f>
        <v>1050.625</v>
      </c>
      <c r="F49" s="7">
        <f>Inputs!$B77*(1+inf)^E$1</f>
        <v>1076.8906249999998</v>
      </c>
      <c r="G49" s="7">
        <f>Inputs!$B77*(1+inf)^F$1</f>
        <v>1103.8128906249997</v>
      </c>
      <c r="H49" s="7">
        <f>Inputs!$B77*(1+inf)^G$1</f>
        <v>1131.4082128906246</v>
      </c>
      <c r="I49" s="7">
        <f>Inputs!$B77*(1+inf)^H$1</f>
        <v>1159.6934182128903</v>
      </c>
      <c r="J49" s="7">
        <f>Inputs!$B77*(1+inf)^I$1</f>
        <v>1188.6857536682126</v>
      </c>
      <c r="K49" s="7">
        <f>Inputs!$B77*(1+inf)^J$1</f>
        <v>1218.4028975099177</v>
      </c>
      <c r="L49" s="7">
        <f>Inputs!$B77*(1+inf)^K$1</f>
        <v>1248.8629699476655</v>
      </c>
      <c r="M49" s="7">
        <f>Inputs!$B77*(1+inf)^L$1</f>
        <v>1280.084544196357</v>
      </c>
      <c r="N49" s="7">
        <f>Inputs!$B77*(1+inf)^M$1</f>
        <v>1312.086657801266</v>
      </c>
      <c r="O49" s="7">
        <f>Inputs!$B77*(1+inf)^N$1</f>
        <v>1344.8888242462974</v>
      </c>
      <c r="P49" s="7">
        <f>Inputs!$B77*(1+inf)^O$1</f>
        <v>1378.5110448524549</v>
      </c>
      <c r="Q49" s="7">
        <f>Inputs!$B77*(1+inf)^P$1</f>
        <v>1412.9738209737661</v>
      </c>
      <c r="R49" s="7">
        <f>Inputs!$B77*(1+inf)^Q$1</f>
        <v>1448.2981664981105</v>
      </c>
      <c r="S49" s="7">
        <f>Inputs!$B77*(1+inf)^R$1</f>
        <v>1484.5056206605632</v>
      </c>
      <c r="T49" s="7">
        <f>Inputs!$B77*(1+inf)^S$1</f>
        <v>1521.6182611770771</v>
      </c>
      <c r="U49" s="7">
        <f>Inputs!$B77*(1+inf)^T$1</f>
        <v>1559.6587177065039</v>
      </c>
      <c r="V49" s="7">
        <f>Inputs!$B77*(1+inf)^U$1</f>
        <v>1598.6501856491666</v>
      </c>
      <c r="W49" s="7">
        <f>Inputs!$B77*(1+inf)^V$1</f>
        <v>1638.6164402903955</v>
      </c>
      <c r="X49" s="7">
        <f>Inputs!$B77*(1+inf)^W$1</f>
        <v>1679.5818512976552</v>
      </c>
      <c r="Y49" s="7">
        <f>Inputs!$B77*(1+inf)^X$1</f>
        <v>1721.5713975800966</v>
      </c>
      <c r="Z49" s="7">
        <f>Inputs!$B77*(1+inf)^Y$1</f>
        <v>1764.6106825195991</v>
      </c>
      <c r="AA49" s="7">
        <f>Inputs!$B77*(1+inf)^Z$1</f>
        <v>1808.725949582589</v>
      </c>
      <c r="AB49" s="7">
        <f>Inputs!$B77*(1+inf)^AA$1</f>
        <v>1853.9440983221534</v>
      </c>
      <c r="AC49" s="7">
        <f>Inputs!$B77*(1+inf)^AB$1</f>
        <v>1900.292700780207</v>
      </c>
      <c r="AD49" s="7">
        <f>Inputs!$B77*(1+inf)^AC$1</f>
        <v>1947.8000182997121</v>
      </c>
      <c r="AE49" s="7">
        <f>Inputs!$B77*(1+inf)^AD$1</f>
        <v>1996.4950187572049</v>
      </c>
      <c r="AF49" s="7">
        <f>Inputs!$B77*(1+inf)^AE$1</f>
        <v>2046.4073942261352</v>
      </c>
      <c r="AG49" s="7">
        <f>Inputs!$B77*(1+inf)^AF$1</f>
        <v>2097.5675790817882</v>
      </c>
      <c r="AH49" s="7">
        <f>Inputs!$B77*(1+inf)^AG$1</f>
        <v>2150.0067685588333</v>
      </c>
      <c r="AI49" s="7">
        <f>Inputs!$B77*(1+inf)^AH$1</f>
        <v>2203.7569377728037</v>
      </c>
      <c r="AJ49" s="7">
        <f>Inputs!$B77*(1+inf)^AI$1</f>
        <v>2258.8508612171236</v>
      </c>
      <c r="AK49" s="7">
        <f>Inputs!$B77*(1+inf)^AJ$1</f>
        <v>2315.3221327475517</v>
      </c>
      <c r="AL49" s="7">
        <f>Inputs!$B77*(1+inf)^AK$1</f>
        <v>2373.20518606624</v>
      </c>
      <c r="AM49" s="7">
        <f>Inputs!$B77*(1+inf)^AL$1</f>
        <v>2432.5353157178965</v>
      </c>
    </row>
    <row r="50" spans="1:39" x14ac:dyDescent="0.2">
      <c r="A50" s="3" t="str">
        <f>TEXT(Inputs!$B$80,"")</f>
        <v>Marsa</v>
      </c>
      <c r="B50" s="8"/>
      <c r="C50" s="7">
        <f ca="1">Inputs!$B82*(1+inf)^B$1*ProRate</f>
        <v>600</v>
      </c>
      <c r="D50" s="7">
        <f>Inputs!$B82*(1+inf)^C$1</f>
        <v>819.99999999999989</v>
      </c>
      <c r="E50" s="7">
        <f>Inputs!$B82*(1+inf)^D$1</f>
        <v>840.49999999999989</v>
      </c>
      <c r="F50" s="7">
        <f>Inputs!$B82*(1+inf)^E$1</f>
        <v>861.51249999999993</v>
      </c>
      <c r="G50" s="7">
        <f>Inputs!$B82*(1+inf)^F$1</f>
        <v>883.05031249999979</v>
      </c>
      <c r="H50" s="7">
        <f>Inputs!$B82*(1+inf)^G$1</f>
        <v>905.12657031249978</v>
      </c>
      <c r="I50" s="7">
        <f>Inputs!$B82*(1+inf)^H$1</f>
        <v>927.75473457031217</v>
      </c>
      <c r="J50" s="7">
        <f>Inputs!$B82*(1+inf)^I$1</f>
        <v>950.94860293456998</v>
      </c>
      <c r="K50" s="7">
        <f>Inputs!$B82*(1+inf)^J$1</f>
        <v>974.72231800793418</v>
      </c>
      <c r="L50" s="7">
        <f>Inputs!$B82*(1+inf)^K$1</f>
        <v>999.09037595813231</v>
      </c>
      <c r="M50" s="7">
        <f>Inputs!$B82*(1+inf)^L$1</f>
        <v>1024.0676353570857</v>
      </c>
      <c r="N50" s="7">
        <f>Inputs!$B82*(1+inf)^M$1</f>
        <v>1049.6693262410129</v>
      </c>
      <c r="O50" s="7">
        <f>Inputs!$B82*(1+inf)^N$1</f>
        <v>1075.9110593970381</v>
      </c>
      <c r="P50" s="7">
        <f>Inputs!$B82*(1+inf)^O$1</f>
        <v>1102.8088358819639</v>
      </c>
      <c r="Q50" s="7">
        <f>Inputs!$B82*(1+inf)^P$1</f>
        <v>1130.3790567790129</v>
      </c>
      <c r="R50" s="7">
        <f>Inputs!$B82*(1+inf)^Q$1</f>
        <v>1158.6385331984884</v>
      </c>
      <c r="S50" s="7">
        <f>Inputs!$B82*(1+inf)^R$1</f>
        <v>1187.6044965284505</v>
      </c>
      <c r="T50" s="7">
        <f>Inputs!$B82*(1+inf)^S$1</f>
        <v>1217.2946089416616</v>
      </c>
      <c r="U50" s="7">
        <f>Inputs!$B82*(1+inf)^T$1</f>
        <v>1247.7269741652033</v>
      </c>
      <c r="V50" s="7">
        <f>Inputs!$B82*(1+inf)^U$1</f>
        <v>1278.9201485193332</v>
      </c>
      <c r="W50" s="7">
        <f>Inputs!$B82*(1+inf)^V$1</f>
        <v>1310.8931522323164</v>
      </c>
      <c r="X50" s="7">
        <f>Inputs!$B82*(1+inf)^W$1</f>
        <v>1343.6654810381242</v>
      </c>
      <c r="Y50" s="7">
        <f>Inputs!$B82*(1+inf)^X$1</f>
        <v>1377.2571180640773</v>
      </c>
      <c r="Z50" s="7">
        <f>Inputs!$B82*(1+inf)^Y$1</f>
        <v>1411.6885460156793</v>
      </c>
      <c r="AA50" s="7">
        <f>Inputs!$B82*(1+inf)^Z$1</f>
        <v>1446.9807596660712</v>
      </c>
      <c r="AB50" s="7">
        <f>Inputs!$B82*(1+inf)^AA$1</f>
        <v>1483.1552786577226</v>
      </c>
      <c r="AC50" s="7">
        <f>Inputs!$B82*(1+inf)^AB$1</f>
        <v>1520.2341606241657</v>
      </c>
      <c r="AD50" s="7">
        <f>Inputs!$B82*(1+inf)^AC$1</f>
        <v>1558.2400146397697</v>
      </c>
      <c r="AE50" s="7">
        <f>Inputs!$B82*(1+inf)^AD$1</f>
        <v>1597.1960150057639</v>
      </c>
      <c r="AF50" s="7">
        <f>Inputs!$B82*(1+inf)^AE$1</f>
        <v>1637.1259153809081</v>
      </c>
      <c r="AG50" s="7">
        <f>Inputs!$B82*(1+inf)^AF$1</f>
        <v>1678.0540632654304</v>
      </c>
      <c r="AH50" s="7">
        <f>Inputs!$B82*(1+inf)^AG$1</f>
        <v>1720.0054148470667</v>
      </c>
      <c r="AI50" s="7">
        <f>Inputs!$B82*(1+inf)^AH$1</f>
        <v>1763.0055502182429</v>
      </c>
      <c r="AJ50" s="7">
        <f>Inputs!$B82*(1+inf)^AI$1</f>
        <v>1807.0806889736989</v>
      </c>
      <c r="AK50" s="7">
        <f>Inputs!$B82*(1+inf)^AJ$1</f>
        <v>1852.2577061980414</v>
      </c>
      <c r="AL50" s="7">
        <f>Inputs!$B82*(1+inf)^AK$1</f>
        <v>1898.5641488529923</v>
      </c>
      <c r="AM50" s="7">
        <f>Inputs!$B82*(1+inf)^AL$1</f>
        <v>1946.0282525743171</v>
      </c>
    </row>
    <row r="51" spans="1:39" x14ac:dyDescent="0.2">
      <c r="A51" s="4" t="s">
        <v>15</v>
      </c>
      <c r="B51" s="8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</row>
    <row r="52" spans="1:39" x14ac:dyDescent="0.2">
      <c r="A52" s="3" t="s">
        <v>53</v>
      </c>
      <c r="B52" s="8"/>
      <c r="C52" s="7">
        <f ca="1">Inputs!$B$25*(1+inf)^B$1*ProRate</f>
        <v>37500</v>
      </c>
      <c r="D52" s="7">
        <f>Inputs!$B$25*(1+inf)^C$1</f>
        <v>51249.999999999993</v>
      </c>
      <c r="E52" s="7">
        <f>Inputs!$B$25*(1+inf)^D$1</f>
        <v>52531.249999999993</v>
      </c>
      <c r="F52" s="7">
        <f>Inputs!$B$25*(1+inf)^E$1</f>
        <v>53844.531249999993</v>
      </c>
      <c r="G52" s="7">
        <f>Inputs!$B$25*(1+inf)^F$1</f>
        <v>55190.644531249985</v>
      </c>
      <c r="H52" s="7">
        <f>Inputs!$B$25*(1+inf)^G$1</f>
        <v>56570.410644531235</v>
      </c>
      <c r="I52" s="7">
        <f>Inputs!$B$25*(1+inf)^H$1</f>
        <v>57984.670910644512</v>
      </c>
      <c r="J52" s="7">
        <f>Inputs!$B$25*(1+inf)^I$1</f>
        <v>59434.287683410628</v>
      </c>
      <c r="K52" s="7">
        <f>Inputs!$B$25*(1+inf)^J$1</f>
        <v>60920.144875495884</v>
      </c>
      <c r="L52" s="7">
        <f>Inputs!$B$25*(1+inf)^K$1</f>
        <v>62443.14849738327</v>
      </c>
      <c r="M52" s="7">
        <f>Inputs!$B$25*(1+inf)^L$1</f>
        <v>64004.227209817851</v>
      </c>
      <c r="N52" s="7">
        <f>Inputs!$B$25*(1+inf)^M$1</f>
        <v>65604.332890063306</v>
      </c>
      <c r="O52" s="7">
        <f>Inputs!$B$25*(1+inf)^N$1</f>
        <v>67244.44121231488</v>
      </c>
      <c r="P52" s="7">
        <f>Inputs!$B$25*(1+inf)^O$1</f>
        <v>68925.55224262274</v>
      </c>
      <c r="Q52" s="7">
        <f>Inputs!$B$25*(1+inf)^P$1</f>
        <v>70648.691048688299</v>
      </c>
      <c r="R52" s="7">
        <f>Inputs!$B$25*(1+inf)^Q$1</f>
        <v>72414.908324905526</v>
      </c>
      <c r="S52" s="7">
        <f>Inputs!$B$25*(1+inf)^R$1</f>
        <v>74225.28103302815</v>
      </c>
      <c r="T52" s="7">
        <f>Inputs!$B$25*(1+inf)^S$1</f>
        <v>76080.913058853854</v>
      </c>
      <c r="U52" s="7">
        <f>Inputs!$B$25*(1+inf)^T$1</f>
        <v>77982.935885325205</v>
      </c>
      <c r="V52" s="7">
        <f>Inputs!$B$25*(1+inf)^U$1</f>
        <v>79932.509282458326</v>
      </c>
      <c r="W52" s="7">
        <f>Inputs!$B$25*(1+inf)^V$1</f>
        <v>81930.82201451977</v>
      </c>
      <c r="X52" s="7">
        <f>Inputs!$B$25*(1+inf)^W$1</f>
        <v>83979.092564882769</v>
      </c>
      <c r="Y52" s="7">
        <f>Inputs!$B$25*(1+inf)^X$1</f>
        <v>86078.569879004834</v>
      </c>
      <c r="Z52" s="7">
        <f>Inputs!$B$25*(1+inf)^Y$1</f>
        <v>88230.534125979961</v>
      </c>
      <c r="AA52" s="7">
        <f>Inputs!$B$25*(1+inf)^Z$1</f>
        <v>90436.29747912944</v>
      </c>
      <c r="AB52" s="7">
        <f>Inputs!$B$25*(1+inf)^AA$1</f>
        <v>92697.204916107672</v>
      </c>
      <c r="AC52" s="7">
        <f>Inputs!$B$25*(1+inf)^AB$1</f>
        <v>95014.635039010347</v>
      </c>
      <c r="AD52" s="7">
        <f>Inputs!$B$25*(1+inf)^AC$1</f>
        <v>97390.000914985605</v>
      </c>
      <c r="AE52" s="7">
        <f>Inputs!$B$25*(1+inf)^AD$1</f>
        <v>99824.750937860241</v>
      </c>
      <c r="AF52" s="7">
        <f>Inputs!$B$25*(1+inf)^AE$1</f>
        <v>102320.36971130676</v>
      </c>
      <c r="AG52" s="7">
        <f>Inputs!$B$25*(1+inf)^AF$1</f>
        <v>104878.37895408941</v>
      </c>
      <c r="AH52" s="7">
        <f>Inputs!$B$25*(1+inf)^AG$1</f>
        <v>107500.33842794166</v>
      </c>
      <c r="AI52" s="7">
        <f>Inputs!$B$25*(1+inf)^AH$1</f>
        <v>110187.84688864018</v>
      </c>
      <c r="AJ52" s="7">
        <f>Inputs!$B$25*(1+inf)^AI$1</f>
        <v>112942.54306085619</v>
      </c>
      <c r="AK52" s="7">
        <f>Inputs!$B$25*(1+inf)^AJ$1</f>
        <v>115766.10663737758</v>
      </c>
      <c r="AL52" s="7">
        <f>Inputs!$B$25*(1+inf)^AK$1</f>
        <v>118660.25930331201</v>
      </c>
      <c r="AM52" s="7">
        <f>Inputs!$B$25*(1+inf)^AL$1</f>
        <v>121626.76578589482</v>
      </c>
    </row>
    <row r="53" spans="1:39" x14ac:dyDescent="0.2">
      <c r="A53" s="3" t="str">
        <f>"Adjustment "&amp;Inputs!A257</f>
        <v>Adjustment from now to 65</v>
      </c>
      <c r="B53" s="8"/>
      <c r="C53" s="7">
        <f ca="1">IF(C$3&lt;=65,Inputs!$B$257*C$52,0)</f>
        <v>0</v>
      </c>
      <c r="D53" s="7">
        <f>IF(D$3&lt;=65,Inputs!$B$257*D$52,0)</f>
        <v>0</v>
      </c>
      <c r="E53" s="7">
        <f>IF(E$3&lt;=65,Inputs!$B$257*E$52,0)</f>
        <v>0</v>
      </c>
      <c r="F53" s="7">
        <f>IF(F$3&lt;=65,Inputs!$B$257*F$52,0)</f>
        <v>0</v>
      </c>
      <c r="G53" s="7">
        <f>IF(G$3&lt;=65,Inputs!$B$257*G$52,0)</f>
        <v>0</v>
      </c>
      <c r="H53" s="7">
        <f>IF(H$3&lt;=65,Inputs!$B$257*H$52,0)</f>
        <v>0</v>
      </c>
      <c r="I53" s="7">
        <f>IF(I$3&lt;=65,Inputs!$B$257*I$52,0)</f>
        <v>0</v>
      </c>
      <c r="J53" s="7">
        <f>IF(J$3&lt;=65,Inputs!$B$257*J$52,0)</f>
        <v>0</v>
      </c>
      <c r="K53" s="7">
        <f>IF(K$3&lt;=65,Inputs!$B$257*K$52,0)</f>
        <v>0</v>
      </c>
      <c r="L53" s="7">
        <f>IF(L$3&lt;=65,Inputs!$B$257*L$52,0)</f>
        <v>0</v>
      </c>
      <c r="M53" s="7">
        <f>IF(M$3&lt;=65,Inputs!$B$257*M$52,0)</f>
        <v>0</v>
      </c>
      <c r="N53" s="7">
        <f>IF(N$3&lt;=65,Inputs!$B$257*N$52,0)</f>
        <v>0</v>
      </c>
      <c r="O53" s="7">
        <f>IF(O$3&lt;=65,Inputs!$B$257*O$52,0)</f>
        <v>0</v>
      </c>
      <c r="P53" s="7">
        <f>IF(P$3&lt;=65,Inputs!$B$257*P$52,0)</f>
        <v>0</v>
      </c>
      <c r="Q53" s="7">
        <f>IF(Q$3&lt;=65,Inputs!$B$257*Q$52,0)</f>
        <v>0</v>
      </c>
      <c r="R53" s="7">
        <f>IF(R$3&lt;=65,Inputs!$B$257*R$52,0)</f>
        <v>0</v>
      </c>
      <c r="S53" s="7">
        <f>IF(S$3&lt;=65,Inputs!$B$257*S$52,0)</f>
        <v>0</v>
      </c>
      <c r="T53" s="7">
        <f>IF(T$3&lt;=65,Inputs!$B$257*T$52,0)</f>
        <v>0</v>
      </c>
      <c r="U53" s="7">
        <f>IF(U$3&lt;=65,Inputs!$B$257*U$52,0)</f>
        <v>0</v>
      </c>
      <c r="V53" s="7">
        <f>IF(V$3&lt;=65,Inputs!$B$257*V$52,0)</f>
        <v>0</v>
      </c>
      <c r="W53" s="7">
        <f>IF(W$3&lt;=65,Inputs!$B$257*W$52,0)</f>
        <v>0</v>
      </c>
      <c r="X53" s="7">
        <f>IF(X$3&lt;=65,Inputs!$B$257*X$52,0)</f>
        <v>0</v>
      </c>
      <c r="Y53" s="7">
        <f>IF(Y$3&lt;=65,Inputs!$B$257*Y$52,0)</f>
        <v>0</v>
      </c>
      <c r="Z53" s="7">
        <f>IF(Z$3&lt;=65,Inputs!$B$257*Z$52,0)</f>
        <v>0</v>
      </c>
      <c r="AA53" s="7">
        <f>IF(AA$3&lt;=65,Inputs!$B$257*AA$52,0)</f>
        <v>0</v>
      </c>
      <c r="AB53" s="7">
        <f>IF(AB$3&lt;=65,Inputs!$B$257*AB$52,0)</f>
        <v>0</v>
      </c>
      <c r="AC53" s="7">
        <f>IF(AC$3&lt;=65,Inputs!$B$257*AC$52,0)</f>
        <v>0</v>
      </c>
      <c r="AD53" s="7">
        <f>IF(AD$3&lt;=65,Inputs!$B$257*AD$52,0)</f>
        <v>0</v>
      </c>
      <c r="AE53" s="7">
        <f>IF(AE$3&lt;=65,Inputs!$B$257*AE$52,0)</f>
        <v>0</v>
      </c>
      <c r="AF53" s="7">
        <f>IF(AF$3&lt;=65,Inputs!$B$257*AF$52,0)</f>
        <v>0</v>
      </c>
      <c r="AG53" s="7">
        <f>IF(AG$3&lt;=65,Inputs!$B$257*AG$52,0)</f>
        <v>0</v>
      </c>
      <c r="AH53" s="7">
        <f>IF(AH$3&lt;=65,Inputs!$B$257*AH$52,0)</f>
        <v>0</v>
      </c>
      <c r="AI53" s="7">
        <f>IF(AI$3&lt;=65,Inputs!$B$257*AI$52,0)</f>
        <v>0</v>
      </c>
      <c r="AJ53" s="7">
        <f>IF(AJ$3&lt;=65,Inputs!$B$257*AJ$52,0)</f>
        <v>0</v>
      </c>
      <c r="AK53" s="7">
        <f>IF(AK$3&lt;=65,Inputs!$B$257*AK$52,0)</f>
        <v>0</v>
      </c>
      <c r="AL53" s="7">
        <f>IF(AL$3&lt;=65,Inputs!$B$257*AL$52,0)</f>
        <v>0</v>
      </c>
      <c r="AM53" s="7">
        <f>IF(AM$3&lt;=65,Inputs!$B$257*AM$52,0)</f>
        <v>0</v>
      </c>
    </row>
    <row r="54" spans="1:39" x14ac:dyDescent="0.2">
      <c r="A54" s="3" t="str">
        <f>"Adjustment "&amp;Inputs!A258</f>
        <v>Adjustment from 66-75</v>
      </c>
      <c r="B54" s="8"/>
      <c r="C54" s="7">
        <f>IF(AND(C$3&gt;65,C$3&lt;=75),Inputs!$B$258*C52,0)</f>
        <v>0</v>
      </c>
      <c r="D54" s="7">
        <f>IF(AND(D$3&gt;65,D$3&lt;=75),Inputs!$B$258*D52,0)</f>
        <v>0</v>
      </c>
      <c r="E54" s="7">
        <f>IF(AND(E$3&gt;65,E$3&lt;=75),Inputs!$B$258*E52,0)</f>
        <v>0</v>
      </c>
      <c r="F54" s="7">
        <f>IF(AND(F$3&gt;65,F$3&lt;=75),Inputs!$B$258*F52,0)</f>
        <v>0</v>
      </c>
      <c r="G54" s="7">
        <f>IF(AND(G$3&gt;65,G$3&lt;=75),Inputs!$B$258*G52,0)</f>
        <v>0</v>
      </c>
      <c r="H54" s="7">
        <f>IF(AND(H$3&gt;65,H$3&lt;=75),Inputs!$B$258*H52,0)</f>
        <v>0</v>
      </c>
      <c r="I54" s="7">
        <f>IF(AND(I$3&gt;65,I$3&lt;=75),Inputs!$B$258*I52,0)</f>
        <v>0</v>
      </c>
      <c r="J54" s="7">
        <f>IF(AND(J$3&gt;65,J$3&lt;=75),Inputs!$B$258*J52,0)</f>
        <v>0</v>
      </c>
      <c r="K54" s="7">
        <f>IF(AND(K$3&gt;65,K$3&lt;=75),Inputs!$B$258*K52,0)</f>
        <v>0</v>
      </c>
      <c r="L54" s="7">
        <f>IF(AND(L$3&gt;65,L$3&lt;=75),Inputs!$B$258*L52,0)</f>
        <v>0</v>
      </c>
      <c r="M54" s="7">
        <f>IF(AND(M$3&gt;65,M$3&lt;=75),Inputs!$B$258*M52,0)</f>
        <v>0</v>
      </c>
      <c r="N54" s="7">
        <f>IF(AND(N$3&gt;65,N$3&lt;=75),Inputs!$B$258*N52,0)</f>
        <v>0</v>
      </c>
      <c r="O54" s="7">
        <f>IF(AND(O$3&gt;65,O$3&lt;=75),Inputs!$B$258*O52,0)</f>
        <v>0</v>
      </c>
      <c r="P54" s="7">
        <f>IF(AND(P$3&gt;65,P$3&lt;=75),Inputs!$B$258*P52,0)</f>
        <v>0</v>
      </c>
      <c r="Q54" s="7">
        <f>IF(AND(Q$3&gt;65,Q$3&lt;=75),Inputs!$B$258*Q52,0)</f>
        <v>0</v>
      </c>
      <c r="R54" s="7">
        <f>IF(AND(R$3&gt;65,R$3&lt;=75),Inputs!$B$258*R52,0)</f>
        <v>0</v>
      </c>
      <c r="S54" s="7">
        <f>IF(AND(S$3&gt;65,S$3&lt;=75),Inputs!$B$258*S52,0)</f>
        <v>0</v>
      </c>
      <c r="T54" s="7">
        <f>IF(AND(T$3&gt;65,T$3&lt;=75),Inputs!$B$258*T52,0)</f>
        <v>0</v>
      </c>
      <c r="U54" s="7">
        <f>IF(AND(U$3&gt;65,U$3&lt;=75),Inputs!$B$258*U52,0)</f>
        <v>-7798.2935885325205</v>
      </c>
      <c r="V54" s="7">
        <f>IF(AND(V$3&gt;65,V$3&lt;=75),Inputs!$B$258*V52,0)</f>
        <v>-7993.2509282458332</v>
      </c>
      <c r="W54" s="7">
        <f>IF(AND(W$3&gt;65,W$3&lt;=75),Inputs!$B$258*W52,0)</f>
        <v>-8193.0822014519781</v>
      </c>
      <c r="X54" s="7">
        <f>IF(AND(X$3&gt;65,X$3&lt;=75),Inputs!$B$258*X52,0)</f>
        <v>-8397.9092564882776</v>
      </c>
      <c r="Y54" s="7">
        <f>IF(AND(Y$3&gt;65,Y$3&lt;=75),Inputs!$B$258*Y52,0)</f>
        <v>-8607.8569879004845</v>
      </c>
      <c r="Z54" s="7">
        <f>IF(AND(Z$3&gt;65,Z$3&lt;=75),Inputs!$B$258*Z52,0)</f>
        <v>-8823.0534125979957</v>
      </c>
      <c r="AA54" s="7">
        <f>IF(AND(AA$3&gt;65,AA$3&lt;=75),Inputs!$B$258*AA52,0)</f>
        <v>-9043.6297479129444</v>
      </c>
      <c r="AB54" s="7">
        <f>IF(AND(AB$3&gt;65,AB$3&lt;=75),Inputs!$B$258*AB52,0)</f>
        <v>-9269.7204916107676</v>
      </c>
      <c r="AC54" s="7">
        <f>IF(AND(AC$3&gt;65,AC$3&lt;=75),Inputs!$B$258*AC52,0)</f>
        <v>-9501.4635039010354</v>
      </c>
      <c r="AD54" s="7">
        <f>IF(AND(AD$3&gt;65,AD$3&lt;=75),Inputs!$B$258*AD52,0)</f>
        <v>-9739.0000914985612</v>
      </c>
      <c r="AE54" s="7">
        <f>IF(AND(AE$3&gt;65,AE$3&lt;=75),Inputs!$B$258*AE52,0)</f>
        <v>0</v>
      </c>
      <c r="AF54" s="7">
        <f>IF(AND(AF$3&gt;65,AF$3&lt;=75),Inputs!$B$258*AF52,0)</f>
        <v>0</v>
      </c>
      <c r="AG54" s="7">
        <f>IF(AND(AG$3&gt;65,AG$3&lt;=75),Inputs!$B$258*AG52,0)</f>
        <v>0</v>
      </c>
      <c r="AH54" s="7">
        <f>IF(AND(AH$3&gt;65,AH$3&lt;=75),Inputs!$B$258*AH52,0)</f>
        <v>0</v>
      </c>
      <c r="AI54" s="7">
        <f>IF(AND(AI$3&gt;65,AI$3&lt;=75),Inputs!$B$258*AI52,0)</f>
        <v>0</v>
      </c>
      <c r="AJ54" s="7">
        <f>IF(AND(AJ$3&gt;65,AJ$3&lt;=75),Inputs!$B$258*AJ52,0)</f>
        <v>0</v>
      </c>
      <c r="AK54" s="7">
        <f>IF(AND(AK$3&gt;65,AK$3&lt;=75),Inputs!$B$258*AK52,0)</f>
        <v>0</v>
      </c>
      <c r="AL54" s="7">
        <f>IF(AND(AL$3&gt;65,AL$3&lt;=75),Inputs!$B$258*AL52,0)</f>
        <v>0</v>
      </c>
      <c r="AM54" s="7">
        <f>IF(AND(AM$3&gt;65,AM$3&lt;=75),Inputs!$B$258*AM52,0)</f>
        <v>0</v>
      </c>
    </row>
    <row r="55" spans="1:39" x14ac:dyDescent="0.2">
      <c r="A55" s="3" t="str">
        <f>"Adjustment "&amp;Inputs!A259</f>
        <v>Adjustment from age 76</v>
      </c>
      <c r="B55" s="8"/>
      <c r="C55" s="7">
        <f>IF(C$3&gt;75,Inputs!$B$259*C$52,0)</f>
        <v>0</v>
      </c>
      <c r="D55" s="7">
        <f>IF(D$3&gt;75,Inputs!$B$259*D$52,0)</f>
        <v>0</v>
      </c>
      <c r="E55" s="7">
        <f>IF(E$3&gt;75,Inputs!$B$259*E$52,0)</f>
        <v>0</v>
      </c>
      <c r="F55" s="7">
        <f>IF(F$3&gt;75,Inputs!$B$259*F$52,0)</f>
        <v>0</v>
      </c>
      <c r="G55" s="7">
        <f>IF(G$3&gt;75,Inputs!$B$259*G$52,0)</f>
        <v>0</v>
      </c>
      <c r="H55" s="7">
        <f>IF(H$3&gt;75,Inputs!$B$259*H$52,0)</f>
        <v>0</v>
      </c>
      <c r="I55" s="7">
        <f>IF(I$3&gt;75,Inputs!$B$259*I$52,0)</f>
        <v>0</v>
      </c>
      <c r="J55" s="7">
        <f>IF(J$3&gt;75,Inputs!$B$259*J$52,0)</f>
        <v>0</v>
      </c>
      <c r="K55" s="7">
        <f>IF(K$3&gt;75,Inputs!$B$259*K$52,0)</f>
        <v>0</v>
      </c>
      <c r="L55" s="7">
        <f>IF(L$3&gt;75,Inputs!$B$259*L$52,0)</f>
        <v>0</v>
      </c>
      <c r="M55" s="7">
        <f>IF(M$3&gt;75,Inputs!$B$259*M$52,0)</f>
        <v>0</v>
      </c>
      <c r="N55" s="7">
        <f>IF(N$3&gt;75,Inputs!$B$259*N$52,0)</f>
        <v>0</v>
      </c>
      <c r="O55" s="7">
        <f>IF(O$3&gt;75,Inputs!$B$259*O$52,0)</f>
        <v>0</v>
      </c>
      <c r="P55" s="7">
        <f>IF(P$3&gt;75,Inputs!$B$259*P$52,0)</f>
        <v>0</v>
      </c>
      <c r="Q55" s="7">
        <f>IF(Q$3&gt;75,Inputs!$B$259*Q$52,0)</f>
        <v>0</v>
      </c>
      <c r="R55" s="7">
        <f>IF(R$3&gt;75,Inputs!$B$259*R$52,0)</f>
        <v>0</v>
      </c>
      <c r="S55" s="7">
        <f>IF(S$3&gt;75,Inputs!$B$259*S$52,0)</f>
        <v>0</v>
      </c>
      <c r="T55" s="7">
        <f>IF(T$3&gt;75,Inputs!$B$259*T$52,0)</f>
        <v>0</v>
      </c>
      <c r="U55" s="7">
        <f>IF(U$3&gt;75,Inputs!$B$259*U$52,0)</f>
        <v>0</v>
      </c>
      <c r="V55" s="7">
        <f>IF(V$3&gt;75,Inputs!$B$259*V$52,0)</f>
        <v>0</v>
      </c>
      <c r="W55" s="7">
        <f>IF(W$3&gt;75,Inputs!$B$259*W$52,0)</f>
        <v>0</v>
      </c>
      <c r="X55" s="7">
        <f>IF(X$3&gt;75,Inputs!$B$259*X$52,0)</f>
        <v>0</v>
      </c>
      <c r="Y55" s="7">
        <f>IF(Y$3&gt;75,Inputs!$B$259*Y$52,0)</f>
        <v>0</v>
      </c>
      <c r="Z55" s="7">
        <f>IF(Z$3&gt;75,Inputs!$B$259*Z$52,0)</f>
        <v>0</v>
      </c>
      <c r="AA55" s="7">
        <f>IF(AA$3&gt;75,Inputs!$B$259*AA$52,0)</f>
        <v>0</v>
      </c>
      <c r="AB55" s="7">
        <f>IF(AB$3&gt;75,Inputs!$B$259*AB$52,0)</f>
        <v>0</v>
      </c>
      <c r="AC55" s="7">
        <f>IF(AC$3&gt;75,Inputs!$B$259*AC$52,0)</f>
        <v>0</v>
      </c>
      <c r="AD55" s="7">
        <f>IF(AD$3&gt;75,Inputs!$B$259*AD$52,0)</f>
        <v>0</v>
      </c>
      <c r="AE55" s="7">
        <f>IF(AE$3&gt;75,Inputs!$B$259*AE$52,0)</f>
        <v>-19964.950187572049</v>
      </c>
      <c r="AF55" s="7">
        <f>IF(AF$3&gt;75,Inputs!$B$259*AF$52,0)</f>
        <v>-20464.073942261355</v>
      </c>
      <c r="AG55" s="7">
        <f>IF(AG$3&gt;75,Inputs!$B$259*AG$52,0)</f>
        <v>-20975.675790817884</v>
      </c>
      <c r="AH55" s="7">
        <f>IF(AH$3&gt;75,Inputs!$B$259*AH$52,0)</f>
        <v>-21500.067685588336</v>
      </c>
      <c r="AI55" s="7">
        <f>IF(AI$3&gt;75,Inputs!$B$259*AI$52,0)</f>
        <v>-22037.569377728039</v>
      </c>
      <c r="AJ55" s="7">
        <f>IF(AJ$3&gt;75,Inputs!$B$259*AJ$52,0)</f>
        <v>-22588.508612171237</v>
      </c>
      <c r="AK55" s="7">
        <f>IF(AK$3&gt;75,Inputs!$B$259*AK$52,0)</f>
        <v>-23153.22132747552</v>
      </c>
      <c r="AL55" s="7">
        <f>IF(AL$3&gt;75,Inputs!$B$259*AL$52,0)</f>
        <v>-23732.051860662403</v>
      </c>
      <c r="AM55" s="7">
        <f>IF(AM$3&gt;75,Inputs!$B$259*AM$52,0)</f>
        <v>-24325.353157178964</v>
      </c>
    </row>
    <row r="56" spans="1:39" x14ac:dyDescent="0.2">
      <c r="A56" s="4" t="s">
        <v>57</v>
      </c>
      <c r="B56" s="8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</row>
    <row r="57" spans="1:39" x14ac:dyDescent="0.2">
      <c r="A57" s="3" t="str">
        <f>TEXT(Inputs!$B$201,"")</f>
        <v>Wedding</v>
      </c>
      <c r="B57" s="8"/>
      <c r="C57" s="7">
        <f ca="1">IF(C$2=Inputs!$B203,Inputs!$B202,0)*(1+inf)^B$1</f>
        <v>0</v>
      </c>
      <c r="D57" s="7">
        <f ca="1">IF(D$2=Inputs!$B203,Inputs!$B202,0)*(1+inf)^C$1</f>
        <v>0</v>
      </c>
      <c r="E57" s="7">
        <f ca="1">IF(E$2=Inputs!$B203,Inputs!$B202,0)*(1+inf)^D$1</f>
        <v>0</v>
      </c>
      <c r="F57" s="7">
        <f ca="1">IF(F$2=Inputs!$B203,Inputs!$B202,0)*(1+inf)^E$1</f>
        <v>0</v>
      </c>
      <c r="G57" s="7">
        <f ca="1">IF(G$2=Inputs!$B203,Inputs!$B202,0)*(1+inf)^F$1</f>
        <v>0</v>
      </c>
      <c r="H57" s="7">
        <f ca="1">IF(H$2=Inputs!$B203,Inputs!$B202,0)*(1+inf)^G$1</f>
        <v>0</v>
      </c>
      <c r="I57" s="7">
        <f ca="1">IF(I$2=Inputs!$B203,Inputs!$B202,0)*(1+inf)^H$1</f>
        <v>0</v>
      </c>
      <c r="J57" s="7">
        <f ca="1">IF(J$2=Inputs!$B203,Inputs!$B202,0)*(1+inf)^I$1</f>
        <v>0</v>
      </c>
      <c r="K57" s="7">
        <f ca="1">IF(K$2=Inputs!$B203,Inputs!$B202,0)*(1+inf)^J$1</f>
        <v>0</v>
      </c>
      <c r="L57" s="7">
        <f ca="1">IF(L$2=Inputs!$B203,Inputs!$B202,0)*(1+inf)^K$1</f>
        <v>0</v>
      </c>
      <c r="M57" s="7">
        <f ca="1">IF(M$2=Inputs!$B203,Inputs!$B202,0)*(1+inf)^L$1</f>
        <v>51203.381767854284</v>
      </c>
      <c r="N57" s="7">
        <f ca="1">IF(N$2=Inputs!$B203,Inputs!$B202,0)*(1+inf)^M$1</f>
        <v>0</v>
      </c>
      <c r="O57" s="7">
        <f ca="1">IF(O$2=Inputs!$B203,Inputs!$B202,0)*(1+inf)^N$1</f>
        <v>0</v>
      </c>
      <c r="P57" s="7">
        <f ca="1">IF(P$2=Inputs!$B203,Inputs!$B202,0)*(1+inf)^O$1</f>
        <v>0</v>
      </c>
      <c r="Q57" s="7">
        <f ca="1">IF(Q$2=Inputs!$B203,Inputs!$B202,0)*(1+inf)^P$1</f>
        <v>0</v>
      </c>
      <c r="R57" s="7">
        <f ca="1">IF(R$2=Inputs!$B203,Inputs!$B202,0)*(1+inf)^Q$1</f>
        <v>0</v>
      </c>
      <c r="S57" s="7">
        <f ca="1">IF(S$2=Inputs!$B203,Inputs!$B202,0)*(1+inf)^R$1</f>
        <v>0</v>
      </c>
      <c r="T57" s="7">
        <f ca="1">IF(T$2=Inputs!$B203,Inputs!$B202,0)*(1+inf)^S$1</f>
        <v>0</v>
      </c>
      <c r="U57" s="7">
        <f ca="1">IF(U$2=Inputs!$B203,Inputs!$B202,0)*(1+inf)^T$1</f>
        <v>0</v>
      </c>
      <c r="V57" s="7">
        <f ca="1">IF(V$2=Inputs!$B203,Inputs!$B202,0)*(1+inf)^U$1</f>
        <v>0</v>
      </c>
      <c r="W57" s="7">
        <f ca="1">IF(W$2=Inputs!$B203,Inputs!$B202,0)*(1+inf)^V$1</f>
        <v>0</v>
      </c>
      <c r="X57" s="7">
        <f ca="1">IF(X$2=Inputs!$B203,Inputs!$B202,0)*(1+inf)^W$1</f>
        <v>0</v>
      </c>
      <c r="Y57" s="7">
        <f ca="1">IF(Y$2=Inputs!$B203,Inputs!$B202,0)*(1+inf)^X$1</f>
        <v>0</v>
      </c>
      <c r="Z57" s="7">
        <f ca="1">IF(Z$2=Inputs!$B203,Inputs!$B202,0)*(1+inf)^Y$1</f>
        <v>0</v>
      </c>
      <c r="AA57" s="7">
        <f ca="1">IF(AA$2=Inputs!$B203,Inputs!$B202,0)*(1+inf)^Z$1</f>
        <v>0</v>
      </c>
      <c r="AB57" s="7">
        <f ca="1">IF(AB$2=Inputs!$B203,Inputs!$B202,0)*(1+inf)^AA$1</f>
        <v>0</v>
      </c>
      <c r="AC57" s="7">
        <f ca="1">IF(AC$2=Inputs!$B203,Inputs!$B202,0)*(1+inf)^AB$1</f>
        <v>0</v>
      </c>
      <c r="AD57" s="7">
        <f ca="1">IF(AD$2=Inputs!$B203,Inputs!$B202,0)*(1+inf)^AC$1</f>
        <v>0</v>
      </c>
      <c r="AE57" s="7">
        <f ca="1">IF(AE$2=Inputs!$B203,Inputs!$B202,0)*(1+inf)^AD$1</f>
        <v>0</v>
      </c>
      <c r="AF57" s="7">
        <f ca="1">IF(AF$2=Inputs!$B203,Inputs!$B202,0)*(1+inf)^AE$1</f>
        <v>0</v>
      </c>
      <c r="AG57" s="7">
        <f ca="1">IF(AG$2=Inputs!$B203,Inputs!$B202,0)*(1+inf)^AF$1</f>
        <v>0</v>
      </c>
      <c r="AH57" s="7">
        <f ca="1">IF(AH$2=Inputs!$B203,Inputs!$B202,0)*(1+inf)^AG$1</f>
        <v>0</v>
      </c>
      <c r="AI57" s="7">
        <f ca="1">IF(AI$2=Inputs!$B203,Inputs!$B202,0)*(1+inf)^AH$1</f>
        <v>0</v>
      </c>
      <c r="AJ57" s="7">
        <f ca="1">IF(AJ$2=Inputs!$B203,Inputs!$B202,0)*(1+inf)^AI$1</f>
        <v>0</v>
      </c>
      <c r="AK57" s="7">
        <f ca="1">IF(AK$2=Inputs!$B203,Inputs!$B202,0)*(1+inf)^AJ$1</f>
        <v>0</v>
      </c>
      <c r="AL57" s="7">
        <f ca="1">IF(AL$2=Inputs!$B203,Inputs!$B202,0)*(1+inf)^AK$1</f>
        <v>0</v>
      </c>
      <c r="AM57" s="7">
        <f ca="1">IF(AM$2=Inputs!$B203,Inputs!$B202,0)*(1+inf)^AL$1</f>
        <v>0</v>
      </c>
    </row>
    <row r="58" spans="1:39" x14ac:dyDescent="0.2">
      <c r="A58" s="3" t="str">
        <f>TEXT(Inputs!$B$206,"")</f>
        <v>New Car</v>
      </c>
      <c r="B58" s="8"/>
      <c r="C58" s="7">
        <f ca="1">IF(C$2=Inputs!$B208,Inputs!$B207,0)*(1+inf)^B$1</f>
        <v>0</v>
      </c>
      <c r="D58" s="7">
        <f ca="1">IF(D$2=Inputs!$B208,Inputs!$B207,0)*(1+inf)^C$1</f>
        <v>0</v>
      </c>
      <c r="E58" s="7">
        <f ca="1">IF(E$2=Inputs!$B208,Inputs!$B207,0)*(1+inf)^D$1</f>
        <v>0</v>
      </c>
      <c r="F58" s="7">
        <f ca="1">IF(F$2=Inputs!$B208,Inputs!$B207,0)*(1+inf)^E$1</f>
        <v>37691.171874999993</v>
      </c>
      <c r="G58" s="7">
        <f ca="1">IF(G$2=Inputs!$B208,Inputs!$B207,0)*(1+inf)^F$1</f>
        <v>0</v>
      </c>
      <c r="H58" s="7">
        <f ca="1">IF(H$2=Inputs!$B208,Inputs!$B207,0)*(1+inf)^G$1</f>
        <v>0</v>
      </c>
      <c r="I58" s="7">
        <f ca="1">IF(I$2=Inputs!$B208,Inputs!$B207,0)*(1+inf)^H$1</f>
        <v>0</v>
      </c>
      <c r="J58" s="7">
        <f ca="1">IF(J$2=Inputs!$B208,Inputs!$B207,0)*(1+inf)^I$1</f>
        <v>0</v>
      </c>
      <c r="K58" s="7">
        <f ca="1">IF(K$2=Inputs!$B208,Inputs!$B207,0)*(1+inf)^J$1</f>
        <v>0</v>
      </c>
      <c r="L58" s="7">
        <f ca="1">IF(L$2=Inputs!$B208,Inputs!$B207,0)*(1+inf)^K$1</f>
        <v>0</v>
      </c>
      <c r="M58" s="7">
        <f ca="1">IF(M$2=Inputs!$B208,Inputs!$B207,0)*(1+inf)^L$1</f>
        <v>0</v>
      </c>
      <c r="N58" s="7">
        <f ca="1">IF(N$2=Inputs!$B208,Inputs!$B207,0)*(1+inf)^M$1</f>
        <v>0</v>
      </c>
      <c r="O58" s="7">
        <f ca="1">IF(O$2=Inputs!$B208,Inputs!$B207,0)*(1+inf)^N$1</f>
        <v>0</v>
      </c>
      <c r="P58" s="7">
        <f ca="1">IF(P$2=Inputs!$B208,Inputs!$B207,0)*(1+inf)^O$1</f>
        <v>0</v>
      </c>
      <c r="Q58" s="7">
        <f ca="1">IF(Q$2=Inputs!$B208,Inputs!$B207,0)*(1+inf)^P$1</f>
        <v>0</v>
      </c>
      <c r="R58" s="7">
        <f ca="1">IF(R$2=Inputs!$B208,Inputs!$B207,0)*(1+inf)^Q$1</f>
        <v>0</v>
      </c>
      <c r="S58" s="7">
        <f ca="1">IF(S$2=Inputs!$B208,Inputs!$B207,0)*(1+inf)^R$1</f>
        <v>0</v>
      </c>
      <c r="T58" s="7">
        <f ca="1">IF(T$2=Inputs!$B208,Inputs!$B207,0)*(1+inf)^S$1</f>
        <v>0</v>
      </c>
      <c r="U58" s="7">
        <f ca="1">IF(U$2=Inputs!$B208,Inputs!$B207,0)*(1+inf)^T$1</f>
        <v>0</v>
      </c>
      <c r="V58" s="7">
        <f ca="1">IF(V$2=Inputs!$B208,Inputs!$B207,0)*(1+inf)^U$1</f>
        <v>0</v>
      </c>
      <c r="W58" s="7">
        <f ca="1">IF(W$2=Inputs!$B208,Inputs!$B207,0)*(1+inf)^V$1</f>
        <v>0</v>
      </c>
      <c r="X58" s="7">
        <f ca="1">IF(X$2=Inputs!$B208,Inputs!$B207,0)*(1+inf)^W$1</f>
        <v>0</v>
      </c>
      <c r="Y58" s="7">
        <f ca="1">IF(Y$2=Inputs!$B208,Inputs!$B207,0)*(1+inf)^X$1</f>
        <v>0</v>
      </c>
      <c r="Z58" s="7">
        <f ca="1">IF(Z$2=Inputs!$B208,Inputs!$B207,0)*(1+inf)^Y$1</f>
        <v>0</v>
      </c>
      <c r="AA58" s="7">
        <f ca="1">IF(AA$2=Inputs!$B208,Inputs!$B207,0)*(1+inf)^Z$1</f>
        <v>0</v>
      </c>
      <c r="AB58" s="7">
        <f ca="1">IF(AB$2=Inputs!$B208,Inputs!$B207,0)*(1+inf)^AA$1</f>
        <v>0</v>
      </c>
      <c r="AC58" s="7">
        <f ca="1">IF(AC$2=Inputs!$B208,Inputs!$B207,0)*(1+inf)^AB$1</f>
        <v>0</v>
      </c>
      <c r="AD58" s="7">
        <f ca="1">IF(AD$2=Inputs!$B208,Inputs!$B207,0)*(1+inf)^AC$1</f>
        <v>0</v>
      </c>
      <c r="AE58" s="7">
        <f ca="1">IF(AE$2=Inputs!$B208,Inputs!$B207,0)*(1+inf)^AD$1</f>
        <v>0</v>
      </c>
      <c r="AF58" s="7">
        <f ca="1">IF(AF$2=Inputs!$B208,Inputs!$B207,0)*(1+inf)^AE$1</f>
        <v>0</v>
      </c>
      <c r="AG58" s="7">
        <f ca="1">IF(AG$2=Inputs!$B208,Inputs!$B207,0)*(1+inf)^AF$1</f>
        <v>0</v>
      </c>
      <c r="AH58" s="7">
        <f ca="1">IF(AH$2=Inputs!$B208,Inputs!$B207,0)*(1+inf)^AG$1</f>
        <v>0</v>
      </c>
      <c r="AI58" s="7">
        <f ca="1">IF(AI$2=Inputs!$B208,Inputs!$B207,0)*(1+inf)^AH$1</f>
        <v>0</v>
      </c>
      <c r="AJ58" s="7">
        <f ca="1">IF(AJ$2=Inputs!$B208,Inputs!$B207,0)*(1+inf)^AI$1</f>
        <v>0</v>
      </c>
      <c r="AK58" s="7">
        <f ca="1">IF(AK$2=Inputs!$B208,Inputs!$B207,0)*(1+inf)^AJ$1</f>
        <v>0</v>
      </c>
      <c r="AL58" s="7">
        <f ca="1">IF(AL$2=Inputs!$B208,Inputs!$B207,0)*(1+inf)^AK$1</f>
        <v>0</v>
      </c>
      <c r="AM58" s="7">
        <f ca="1">IF(AM$2=Inputs!$B208,Inputs!$B207,0)*(1+inf)^AL$1</f>
        <v>0</v>
      </c>
    </row>
    <row r="59" spans="1:39" x14ac:dyDescent="0.2">
      <c r="A59" s="3" t="str">
        <f>TEXT(Inputs!$B$211,"")</f>
        <v>New AC</v>
      </c>
      <c r="B59" s="8"/>
      <c r="C59" s="7">
        <f ca="1">IF(C$2=Inputs!$B213,Inputs!$B212,0)*(1+inf)^B$1</f>
        <v>0</v>
      </c>
      <c r="D59" s="7">
        <f ca="1">IF(D$2=Inputs!$B213,Inputs!$B212,0)*(1+inf)^C$1</f>
        <v>0</v>
      </c>
      <c r="E59" s="7">
        <f ca="1">IF(E$2=Inputs!$B213,Inputs!$B212,0)*(1+inf)^D$1</f>
        <v>0</v>
      </c>
      <c r="F59" s="7">
        <f ca="1">IF(F$2=Inputs!$B213,Inputs!$B212,0)*(1+inf)^E$1</f>
        <v>0</v>
      </c>
      <c r="G59" s="7">
        <f ca="1">IF(G$2=Inputs!$B213,Inputs!$B212,0)*(1+inf)^F$1</f>
        <v>0</v>
      </c>
      <c r="H59" s="7">
        <f ca="1">IF(H$2=Inputs!$B213,Inputs!$B212,0)*(1+inf)^G$1</f>
        <v>0</v>
      </c>
      <c r="I59" s="7">
        <f ca="1">IF(I$2=Inputs!$B213,Inputs!$B212,0)*(1+inf)^H$1</f>
        <v>0</v>
      </c>
      <c r="J59" s="7">
        <f ca="1">IF(J$2=Inputs!$B213,Inputs!$B212,0)*(1+inf)^I$1</f>
        <v>0</v>
      </c>
      <c r="K59" s="7">
        <f ca="1">IF(K$2=Inputs!$B213,Inputs!$B212,0)*(1+inf)^J$1</f>
        <v>18276.043462648766</v>
      </c>
      <c r="L59" s="7">
        <f ca="1">IF(L$2=Inputs!$B213,Inputs!$B212,0)*(1+inf)^K$1</f>
        <v>0</v>
      </c>
      <c r="M59" s="7">
        <f ca="1">IF(M$2=Inputs!$B213,Inputs!$B212,0)*(1+inf)^L$1</f>
        <v>0</v>
      </c>
      <c r="N59" s="7">
        <f ca="1">IF(N$2=Inputs!$B213,Inputs!$B212,0)*(1+inf)^M$1</f>
        <v>0</v>
      </c>
      <c r="O59" s="7">
        <f ca="1">IF(O$2=Inputs!$B213,Inputs!$B212,0)*(1+inf)^N$1</f>
        <v>0</v>
      </c>
      <c r="P59" s="7">
        <f ca="1">IF(P$2=Inputs!$B213,Inputs!$B212,0)*(1+inf)^O$1</f>
        <v>0</v>
      </c>
      <c r="Q59" s="7">
        <f ca="1">IF(Q$2=Inputs!$B213,Inputs!$B212,0)*(1+inf)^P$1</f>
        <v>0</v>
      </c>
      <c r="R59" s="7">
        <f ca="1">IF(R$2=Inputs!$B213,Inputs!$B212,0)*(1+inf)^Q$1</f>
        <v>0</v>
      </c>
      <c r="S59" s="7">
        <f ca="1">IF(S$2=Inputs!$B213,Inputs!$B212,0)*(1+inf)^R$1</f>
        <v>0</v>
      </c>
      <c r="T59" s="7">
        <f ca="1">IF(T$2=Inputs!$B213,Inputs!$B212,0)*(1+inf)^S$1</f>
        <v>0</v>
      </c>
      <c r="U59" s="7">
        <f ca="1">IF(U$2=Inputs!$B213,Inputs!$B212,0)*(1+inf)^T$1</f>
        <v>0</v>
      </c>
      <c r="V59" s="7">
        <f ca="1">IF(V$2=Inputs!$B213,Inputs!$B212,0)*(1+inf)^U$1</f>
        <v>0</v>
      </c>
      <c r="W59" s="7">
        <f ca="1">IF(W$2=Inputs!$B213,Inputs!$B212,0)*(1+inf)^V$1</f>
        <v>0</v>
      </c>
      <c r="X59" s="7">
        <f ca="1">IF(X$2=Inputs!$B213,Inputs!$B212,0)*(1+inf)^W$1</f>
        <v>0</v>
      </c>
      <c r="Y59" s="7">
        <f ca="1">IF(Y$2=Inputs!$B213,Inputs!$B212,0)*(1+inf)^X$1</f>
        <v>0</v>
      </c>
      <c r="Z59" s="7">
        <f ca="1">IF(Z$2=Inputs!$B213,Inputs!$B212,0)*(1+inf)^Y$1</f>
        <v>0</v>
      </c>
      <c r="AA59" s="7">
        <f ca="1">IF(AA$2=Inputs!$B213,Inputs!$B212,0)*(1+inf)^Z$1</f>
        <v>0</v>
      </c>
      <c r="AB59" s="7">
        <f ca="1">IF(AB$2=Inputs!$B213,Inputs!$B212,0)*(1+inf)^AA$1</f>
        <v>0</v>
      </c>
      <c r="AC59" s="7">
        <f ca="1">IF(AC$2=Inputs!$B213,Inputs!$B212,0)*(1+inf)^AB$1</f>
        <v>0</v>
      </c>
      <c r="AD59" s="7">
        <f ca="1">IF(AD$2=Inputs!$B213,Inputs!$B212,0)*(1+inf)^AC$1</f>
        <v>0</v>
      </c>
      <c r="AE59" s="7">
        <f ca="1">IF(AE$2=Inputs!$B213,Inputs!$B212,0)*(1+inf)^AD$1</f>
        <v>0</v>
      </c>
      <c r="AF59" s="7">
        <f ca="1">IF(AF$2=Inputs!$B213,Inputs!$B212,0)*(1+inf)^AE$1</f>
        <v>0</v>
      </c>
      <c r="AG59" s="7">
        <f ca="1">IF(AG$2=Inputs!$B213,Inputs!$B212,0)*(1+inf)^AF$1</f>
        <v>0</v>
      </c>
      <c r="AH59" s="7">
        <f ca="1">IF(AH$2=Inputs!$B213,Inputs!$B212,0)*(1+inf)^AG$1</f>
        <v>0</v>
      </c>
      <c r="AI59" s="7">
        <f ca="1">IF(AI$2=Inputs!$B213,Inputs!$B212,0)*(1+inf)^AH$1</f>
        <v>0</v>
      </c>
      <c r="AJ59" s="7">
        <f ca="1">IF(AJ$2=Inputs!$B213,Inputs!$B212,0)*(1+inf)^AI$1</f>
        <v>0</v>
      </c>
      <c r="AK59" s="7">
        <f ca="1">IF(AK$2=Inputs!$B213,Inputs!$B212,0)*(1+inf)^AJ$1</f>
        <v>0</v>
      </c>
      <c r="AL59" s="7">
        <f ca="1">IF(AL$2=Inputs!$B213,Inputs!$B212,0)*(1+inf)^AK$1</f>
        <v>0</v>
      </c>
      <c r="AM59" s="7">
        <f ca="1">IF(AM$2=Inputs!$B213,Inputs!$B212,0)*(1+inf)^AL$1</f>
        <v>0</v>
      </c>
    </row>
    <row r="60" spans="1:39" x14ac:dyDescent="0.2">
      <c r="A60" s="4" t="s">
        <v>223</v>
      </c>
      <c r="B60" s="8"/>
      <c r="C60" s="7">
        <f ca="1">IF(AND(Inputs!$B$217&lt;&gt;"",C$2=Inputs!$B$217,Inputs!$B$12&gt;0,UPPER(Inputs!$B$219)="BUY"),Inputs!$B$221*(1+princ)^(ProRate+C$1-1),0)</f>
        <v>0</v>
      </c>
      <c r="D60" s="7">
        <f ca="1">IF(AND(Inputs!$B$217&lt;&gt;"",D$2=Inputs!$B$217,Inputs!$B$12&gt;0,UPPER(Inputs!$B$219)="BUY"),Inputs!$B$221*(1+princ)^(ProRate+D$1-1),0)</f>
        <v>0</v>
      </c>
      <c r="E60" s="7">
        <f ca="1">IF(AND(Inputs!$B$217&lt;&gt;"",E$2=Inputs!$B$217,Inputs!$B$12&gt;0,UPPER(Inputs!$B$219)="BUY"),Inputs!$B$221*(1+princ)^(ProRate+E$1-1),0)</f>
        <v>0</v>
      </c>
      <c r="F60" s="7">
        <f ca="1">IF(AND(Inputs!$B$217&lt;&gt;"",F$2=Inputs!$B$217,Inputs!$B$12&gt;0,UPPER(Inputs!$B$219)="BUY"),Inputs!$B$221*(1+princ)^(ProRate+F$1-1),0)</f>
        <v>0</v>
      </c>
      <c r="G60" s="7">
        <f ca="1">IF(AND(Inputs!$B$217&lt;&gt;"",G$2=Inputs!$B$217,Inputs!$B$12&gt;0,UPPER(Inputs!$B$219)="BUY"),Inputs!$B$221*(1+princ)^(ProRate+G$1-1),0)</f>
        <v>287684.74020752241</v>
      </c>
      <c r="H60" s="7">
        <f ca="1">IF(AND(Inputs!$B$217&lt;&gt;"",H$2=Inputs!$B$217,Inputs!$B$12&gt;0,UPPER(Inputs!$B$219)="BUY"),Inputs!$B$221*(1+princ)^(ProRate+H$1-1),0)</f>
        <v>0</v>
      </c>
      <c r="I60" s="7">
        <f ca="1">IF(AND(Inputs!$B$217&lt;&gt;"",I$2=Inputs!$B$217,Inputs!$B$12&gt;0,UPPER(Inputs!$B$219)="BUY"),Inputs!$B$221*(1+princ)^(ProRate+I$1-1),0)</f>
        <v>0</v>
      </c>
      <c r="J60" s="7">
        <f ca="1">IF(AND(Inputs!$B$217&lt;&gt;"",J$2=Inputs!$B$217,Inputs!$B$12&gt;0,UPPER(Inputs!$B$219)="BUY"),Inputs!$B$221*(1+princ)^(ProRate+J$1-1),0)</f>
        <v>0</v>
      </c>
      <c r="K60" s="7">
        <f ca="1">IF(AND(Inputs!$B$217&lt;&gt;"",K$2=Inputs!$B$217,Inputs!$B$12&gt;0,UPPER(Inputs!$B$219)="BUY"),Inputs!$B$221*(1+princ)^(ProRate+K$1-1),0)</f>
        <v>0</v>
      </c>
      <c r="L60" s="7">
        <f ca="1">IF(AND(Inputs!$B$217&lt;&gt;"",L$2=Inputs!$B$217,Inputs!$B$12&gt;0,UPPER(Inputs!$B$219)="BUY"),Inputs!$B$221*(1+princ)^(ProRate+L$1-1),0)</f>
        <v>0</v>
      </c>
      <c r="M60" s="7">
        <f ca="1">IF(AND(Inputs!$B$217&lt;&gt;"",M$2=Inputs!$B$217,Inputs!$B$12&gt;0,UPPER(Inputs!$B$219)="BUY"),Inputs!$B$221*(1+princ)^(ProRate+M$1-1),0)</f>
        <v>0</v>
      </c>
      <c r="N60" s="7">
        <f ca="1">IF(AND(Inputs!$B$217&lt;&gt;"",N$2=Inputs!$B$217,Inputs!$B$12&gt;0,UPPER(Inputs!$B$219)="BUY"),Inputs!$B$221*(1+princ)^(ProRate+N$1-1),0)</f>
        <v>0</v>
      </c>
      <c r="O60" s="7">
        <f ca="1">IF(AND(Inputs!$B$217&lt;&gt;"",O$2=Inputs!$B$217,Inputs!$B$12&gt;0,UPPER(Inputs!$B$219)="BUY"),Inputs!$B$221*(1+princ)^(ProRate+O$1-1),0)</f>
        <v>0</v>
      </c>
      <c r="P60" s="7">
        <f ca="1">IF(AND(Inputs!$B$217&lt;&gt;"",P$2=Inputs!$B$217,Inputs!$B$12&gt;0,UPPER(Inputs!$B$219)="BUY"),Inputs!$B$221*(1+princ)^(ProRate+P$1-1),0)</f>
        <v>0</v>
      </c>
      <c r="Q60" s="7">
        <f ca="1">IF(AND(Inputs!$B$217&lt;&gt;"",Q$2=Inputs!$B$217,Inputs!$B$12&gt;0,UPPER(Inputs!$B$219)="BUY"),Inputs!$B$221*(1+princ)^(ProRate+Q$1-1),0)</f>
        <v>0</v>
      </c>
      <c r="R60" s="7">
        <f ca="1">IF(AND(Inputs!$B$217&lt;&gt;"",R$2=Inputs!$B$217,Inputs!$B$12&gt;0,UPPER(Inputs!$B$219)="BUY"),Inputs!$B$221*(1+princ)^(ProRate+R$1-1),0)</f>
        <v>0</v>
      </c>
      <c r="S60" s="7">
        <f ca="1">IF(AND(Inputs!$B$217&lt;&gt;"",S$2=Inputs!$B$217,Inputs!$B$12&gt;0,UPPER(Inputs!$B$219)="BUY"),Inputs!$B$221*(1+princ)^(ProRate+S$1-1),0)</f>
        <v>0</v>
      </c>
      <c r="T60" s="7">
        <f ca="1">IF(AND(Inputs!$B$217&lt;&gt;"",T$2=Inputs!$B$217,Inputs!$B$12&gt;0,UPPER(Inputs!$B$219)="BUY"),Inputs!$B$221*(1+princ)^(ProRate+T$1-1),0)</f>
        <v>0</v>
      </c>
      <c r="U60" s="7">
        <f ca="1">IF(AND(Inputs!$B$217&lt;&gt;"",U$2=Inputs!$B$217,Inputs!$B$12&gt;0,UPPER(Inputs!$B$219)="BUY"),Inputs!$B$221*(1+princ)^(ProRate+U$1-1),0)</f>
        <v>0</v>
      </c>
      <c r="V60" s="7">
        <f ca="1">IF(AND(Inputs!$B$217&lt;&gt;"",V$2=Inputs!$B$217,Inputs!$B$12&gt;0,UPPER(Inputs!$B$219)="BUY"),Inputs!$B$221*(1+princ)^(ProRate+V$1-1),0)</f>
        <v>0</v>
      </c>
      <c r="W60" s="7">
        <f ca="1">IF(AND(Inputs!$B$217&lt;&gt;"",W$2=Inputs!$B$217,Inputs!$B$12&gt;0,UPPER(Inputs!$B$219)="BUY"),Inputs!$B$221*(1+princ)^(ProRate+W$1-1),0)</f>
        <v>0</v>
      </c>
      <c r="X60" s="7">
        <f ca="1">IF(AND(Inputs!$B$217&lt;&gt;"",X$2=Inputs!$B$217,Inputs!$B$12&gt;0,UPPER(Inputs!$B$219)="BUY"),Inputs!$B$221*(1+princ)^(ProRate+X$1-1),0)</f>
        <v>0</v>
      </c>
      <c r="Y60" s="7">
        <f ca="1">IF(AND(Inputs!$B$217&lt;&gt;"",Y$2=Inputs!$B$217,Inputs!$B$12&gt;0,UPPER(Inputs!$B$219)="BUY"),Inputs!$B$221*(1+princ)^(ProRate+Y$1-1),0)</f>
        <v>0</v>
      </c>
      <c r="Z60" s="7">
        <f ca="1">IF(AND(Inputs!$B$217&lt;&gt;"",Z$2=Inputs!$B$217,Inputs!$B$12&gt;0,UPPER(Inputs!$B$219)="BUY"),Inputs!$B$221*(1+princ)^(ProRate+Z$1-1),0)</f>
        <v>0</v>
      </c>
      <c r="AA60" s="7">
        <f ca="1">IF(AND(Inputs!$B$217&lt;&gt;"",AA$2=Inputs!$B$217,Inputs!$B$12&gt;0,UPPER(Inputs!$B$219)="BUY"),Inputs!$B$221*(1+princ)^(ProRate+AA$1-1),0)</f>
        <v>0</v>
      </c>
      <c r="AB60" s="7">
        <f ca="1">IF(AND(Inputs!$B$217&lt;&gt;"",AB$2=Inputs!$B$217,Inputs!$B$12&gt;0,UPPER(Inputs!$B$219)="BUY"),Inputs!$B$221*(1+princ)^(ProRate+AB$1-1),0)</f>
        <v>0</v>
      </c>
      <c r="AC60" s="7">
        <f ca="1">IF(AND(Inputs!$B$217&lt;&gt;"",AC$2=Inputs!$B$217,Inputs!$B$12&gt;0,UPPER(Inputs!$B$219)="BUY"),Inputs!$B$221*(1+princ)^(ProRate+AC$1-1),0)</f>
        <v>0</v>
      </c>
      <c r="AD60" s="7">
        <f ca="1">IF(AND(Inputs!$B$217&lt;&gt;"",AD$2=Inputs!$B$217,Inputs!$B$12&gt;0,UPPER(Inputs!$B$219)="BUY"),Inputs!$B$221*(1+princ)^(ProRate+AD$1-1),0)</f>
        <v>0</v>
      </c>
      <c r="AE60" s="7">
        <f ca="1">IF(AND(Inputs!$B$217&lt;&gt;"",AE$2=Inputs!$B$217,Inputs!$B$12&gt;0,UPPER(Inputs!$B$219)="BUY"),Inputs!$B$221*(1+princ)^(ProRate+AE$1-1),0)</f>
        <v>0</v>
      </c>
      <c r="AF60" s="7">
        <f ca="1">IF(AND(Inputs!$B$217&lt;&gt;"",AF$2=Inputs!$B$217,Inputs!$B$12&gt;0,UPPER(Inputs!$B$219)="BUY"),Inputs!$B$221*(1+princ)^(ProRate+AF$1-1),0)</f>
        <v>0</v>
      </c>
      <c r="AG60" s="7">
        <f ca="1">IF(AND(Inputs!$B$217&lt;&gt;"",AG$2=Inputs!$B$217,Inputs!$B$12&gt;0,UPPER(Inputs!$B$219)="BUY"),Inputs!$B$221*(1+princ)^(ProRate+AG$1-1),0)</f>
        <v>0</v>
      </c>
      <c r="AH60" s="7">
        <f ca="1">IF(AND(Inputs!$B$217&lt;&gt;"",AH$2=Inputs!$B$217,Inputs!$B$12&gt;0,UPPER(Inputs!$B$219)="BUY"),Inputs!$B$221*(1+princ)^(ProRate+AH$1-1),0)</f>
        <v>0</v>
      </c>
      <c r="AI60" s="7">
        <f ca="1">IF(AND(Inputs!$B$217&lt;&gt;"",AI$2=Inputs!$B$217,Inputs!$B$12&gt;0,UPPER(Inputs!$B$219)="BUY"),Inputs!$B$221*(1+princ)^(ProRate+AI$1-1),0)</f>
        <v>0</v>
      </c>
      <c r="AJ60" s="7">
        <f ca="1">IF(AND(Inputs!$B$217&lt;&gt;"",AJ$2=Inputs!$B$217,Inputs!$B$12&gt;0,UPPER(Inputs!$B$219)="BUY"),Inputs!$B$221*(1+princ)^(ProRate+AJ$1-1),0)</f>
        <v>0</v>
      </c>
      <c r="AK60" s="7">
        <f ca="1">IF(AND(Inputs!$B$217&lt;&gt;"",AK$2=Inputs!$B$217,Inputs!$B$12&gt;0,UPPER(Inputs!$B$219)="BUY"),Inputs!$B$221*(1+princ)^(ProRate+AK$1-1),0)</f>
        <v>0</v>
      </c>
      <c r="AL60" s="7">
        <f ca="1">IF(AND(Inputs!$B$217&lt;&gt;"",AL$2=Inputs!$B$217,Inputs!$B$12&gt;0,UPPER(Inputs!$B$219)="BUY"),Inputs!$B$221*(1+princ)^(ProRate+AL$1-1),0)</f>
        <v>0</v>
      </c>
      <c r="AM60" s="7">
        <f ca="1">IF(AND(Inputs!$B$217&lt;&gt;"",AM$2=Inputs!$B$217,Inputs!$B$12&gt;0,UPPER(Inputs!$B$219)="BUY"),Inputs!$B$221*(1+princ)^(ProRate+AM$1-1),0)</f>
        <v>0</v>
      </c>
    </row>
    <row r="61" spans="1:39" x14ac:dyDescent="0.2">
      <c r="A61" s="4"/>
      <c r="C61" s="9">
        <f ca="1">SUM(C23:C60)</f>
        <v>77950</v>
      </c>
      <c r="D61" s="9">
        <f t="shared" ref="D61:AM61" ca="1" si="36">SUM(D23:D60)</f>
        <v>104409</v>
      </c>
      <c r="E61" s="9">
        <f t="shared" ca="1" si="36"/>
        <v>102060.72499999999</v>
      </c>
      <c r="F61" s="9">
        <f t="shared" ca="1" si="36"/>
        <v>134792.57473062762</v>
      </c>
      <c r="G61" s="9">
        <f t="shared" ca="1" si="36"/>
        <v>423087.86891793617</v>
      </c>
      <c r="H61" s="9">
        <f t="shared" ca="1" si="36"/>
        <v>92548.5788481583</v>
      </c>
      <c r="I61" s="9">
        <f t="shared" ca="1" si="36"/>
        <v>83430.98129242775</v>
      </c>
      <c r="J61" s="9">
        <f t="shared" ca="1" si="36"/>
        <v>78830.394027913091</v>
      </c>
      <c r="K61" s="9">
        <f t="shared" ca="1" si="36"/>
        <v>97851.233575819046</v>
      </c>
      <c r="L61" s="9">
        <f t="shared" ca="1" si="36"/>
        <v>80040.083275847108</v>
      </c>
      <c r="M61" s="9">
        <f t="shared" ca="1" si="36"/>
        <v>128008.4544196357</v>
      </c>
      <c r="N61" s="9">
        <f t="shared" ca="1" si="36"/>
        <v>78725.199468075967</v>
      </c>
      <c r="O61" s="9">
        <f t="shared" ca="1" si="36"/>
        <v>80693.32945477785</v>
      </c>
      <c r="P61" s="9">
        <f t="shared" ca="1" si="36"/>
        <v>82710.662691147285</v>
      </c>
      <c r="Q61" s="9">
        <f t="shared" ca="1" si="36"/>
        <v>84778.429258425953</v>
      </c>
      <c r="R61" s="9">
        <f t="shared" ca="1" si="36"/>
        <v>86897.889989886637</v>
      </c>
      <c r="S61" s="9">
        <f t="shared" ca="1" si="36"/>
        <v>89070.33723963378</v>
      </c>
      <c r="T61" s="9">
        <f t="shared" ca="1" si="36"/>
        <v>91297.095670624622</v>
      </c>
      <c r="U61" s="9">
        <f t="shared" ca="1" si="36"/>
        <v>85781.229473857733</v>
      </c>
      <c r="V61" s="9">
        <f t="shared" ca="1" si="36"/>
        <v>87925.76021070416</v>
      </c>
      <c r="W61" s="9">
        <f t="shared" ca="1" si="36"/>
        <v>90123.90421597175</v>
      </c>
      <c r="X61" s="9">
        <f t="shared" ca="1" si="36"/>
        <v>92377.001821371043</v>
      </c>
      <c r="Y61" s="9">
        <f t="shared" ca="1" si="36"/>
        <v>94686.426866905327</v>
      </c>
      <c r="Z61" s="9">
        <f t="shared" ca="1" si="36"/>
        <v>97053.587538577965</v>
      </c>
      <c r="AA61" s="9">
        <f t="shared" ca="1" si="36"/>
        <v>99479.927227042383</v>
      </c>
      <c r="AB61" s="9">
        <f t="shared" ca="1" si="36"/>
        <v>101966.92540771843</v>
      </c>
      <c r="AC61" s="9">
        <f t="shared" ca="1" si="36"/>
        <v>104516.09854291138</v>
      </c>
      <c r="AD61" s="9">
        <f t="shared" ca="1" si="36"/>
        <v>107129.00100648416</v>
      </c>
      <c r="AE61" s="9">
        <f t="shared" ca="1" si="36"/>
        <v>99824.750937860241</v>
      </c>
      <c r="AF61" s="9">
        <f t="shared" ca="1" si="36"/>
        <v>102320.36971130676</v>
      </c>
      <c r="AG61" s="9">
        <f t="shared" ca="1" si="36"/>
        <v>104878.37895408941</v>
      </c>
      <c r="AH61" s="9">
        <f t="shared" ca="1" si="36"/>
        <v>107500.33842794166</v>
      </c>
      <c r="AI61" s="9">
        <f t="shared" ca="1" si="36"/>
        <v>110187.84688864017</v>
      </c>
      <c r="AJ61" s="9">
        <f t="shared" ca="1" si="36"/>
        <v>112942.54306085619</v>
      </c>
      <c r="AK61" s="9">
        <f t="shared" ca="1" si="36"/>
        <v>115766.10663737757</v>
      </c>
      <c r="AL61" s="9">
        <f t="shared" ca="1" si="36"/>
        <v>118660.25930331199</v>
      </c>
      <c r="AM61" s="9">
        <f t="shared" ca="1" si="36"/>
        <v>121626.76578589482</v>
      </c>
    </row>
    <row r="62" spans="1:39" x14ac:dyDescent="0.2">
      <c r="A62" s="4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</row>
    <row r="63" spans="1:39" ht="19" x14ac:dyDescent="0.25">
      <c r="A63" s="12" t="s">
        <v>18</v>
      </c>
      <c r="C63" s="7">
        <f t="shared" ref="C63:AM63" ca="1" si="37">C22-C61</f>
        <v>16108.4375</v>
      </c>
      <c r="D63" s="7">
        <f t="shared" ca="1" si="37"/>
        <v>-69526.292187500003</v>
      </c>
      <c r="E63" s="7">
        <f t="shared" ca="1" si="37"/>
        <v>-66938.962499999994</v>
      </c>
      <c r="F63" s="7">
        <f t="shared" ca="1" si="37"/>
        <v>-87858.759355627612</v>
      </c>
      <c r="G63" s="7">
        <f t="shared" ca="1" si="37"/>
        <v>103215.27692735189</v>
      </c>
      <c r="H63" s="7">
        <f t="shared" ca="1" si="37"/>
        <v>-54203.356859789543</v>
      </c>
      <c r="I63" s="7">
        <f t="shared" ca="1" si="37"/>
        <v>-38148.249635472392</v>
      </c>
      <c r="J63" s="7">
        <f t="shared" ca="1" si="37"/>
        <v>-38173.198459227577</v>
      </c>
      <c r="K63" s="7">
        <f t="shared" ca="1" si="37"/>
        <v>-55986.208997609654</v>
      </c>
      <c r="L63" s="7">
        <f t="shared" ca="1" si="37"/>
        <v>25511.856508116733</v>
      </c>
      <c r="M63" s="7">
        <f t="shared" ca="1" si="37"/>
        <v>-68257.8734938009</v>
      </c>
      <c r="N63" s="7">
        <f t="shared" ca="1" si="37"/>
        <v>-19895.880348162398</v>
      </c>
      <c r="O63" s="7">
        <f t="shared" ca="1" si="37"/>
        <v>-20177.855960734945</v>
      </c>
      <c r="P63" s="7">
        <f t="shared" ca="1" si="37"/>
        <v>-20460.418321737867</v>
      </c>
      <c r="Q63" s="7">
        <f t="shared" ca="1" si="37"/>
        <v>-20743.388220625398</v>
      </c>
      <c r="R63" s="7">
        <f t="shared" ca="1" si="37"/>
        <v>-21026.576150210502</v>
      </c>
      <c r="S63" s="7">
        <f t="shared" ca="1" si="37"/>
        <v>-21309.781874757246</v>
      </c>
      <c r="T63" s="7">
        <f t="shared" ca="1" si="37"/>
        <v>-4550.6694568581443</v>
      </c>
      <c r="U63" s="7">
        <f t="shared" ca="1" si="37"/>
        <v>3391.0818080251775</v>
      </c>
      <c r="V63" s="7">
        <f t="shared" ca="1" si="37"/>
        <v>3740.7999983813061</v>
      </c>
      <c r="W63" s="7">
        <f t="shared" ca="1" si="37"/>
        <v>4107.2093778509734</v>
      </c>
      <c r="X63" s="7">
        <f t="shared" ca="1" si="37"/>
        <v>4490.9656731926516</v>
      </c>
      <c r="Y63" s="7">
        <f t="shared" ca="1" si="37"/>
        <v>-15766.108613216406</v>
      </c>
      <c r="Z63" s="7">
        <f t="shared" ca="1" si="37"/>
        <v>-15862.067735542849</v>
      </c>
      <c r="AA63" s="7">
        <f t="shared" ca="1" si="37"/>
        <v>-15951.480028137303</v>
      </c>
      <c r="AB63" s="7">
        <f t="shared" ca="1" si="37"/>
        <v>-16033.913446022838</v>
      </c>
      <c r="AC63" s="7">
        <f t="shared" ca="1" si="37"/>
        <v>-16108.917091870942</v>
      </c>
      <c r="AD63" s="7">
        <f t="shared" ca="1" si="37"/>
        <v>-16176.020503156222</v>
      </c>
      <c r="AE63" s="7">
        <f t="shared" ca="1" si="37"/>
        <v>-6252.2578204572346</v>
      </c>
      <c r="AF63" s="7">
        <f t="shared" ca="1" si="37"/>
        <v>-6052.50552143206</v>
      </c>
      <c r="AG63" s="7">
        <f t="shared" ca="1" si="37"/>
        <v>-5837.0776525951369</v>
      </c>
      <c r="AH63" s="7">
        <f t="shared" ca="1" si="37"/>
        <v>-5605.2618718311423</v>
      </c>
      <c r="AI63" s="7">
        <f t="shared" ca="1" si="37"/>
        <v>-5356.3184148856089</v>
      </c>
      <c r="AJ63" s="7">
        <f t="shared" ca="1" si="37"/>
        <v>-5089.4791214042925</v>
      </c>
      <c r="AK63" s="7">
        <f t="shared" ca="1" si="37"/>
        <v>-4803.9464279702661</v>
      </c>
      <c r="AL63" s="7">
        <f t="shared" ca="1" si="37"/>
        <v>-4498.8923270563391</v>
      </c>
      <c r="AM63" s="7">
        <f t="shared" ca="1" si="37"/>
        <v>-4173.457290771199</v>
      </c>
    </row>
    <row r="64" spans="1:39" x14ac:dyDescent="0.2">
      <c r="A64" s="4" t="s">
        <v>9</v>
      </c>
      <c r="C64" s="7">
        <f>Inputs!B8</f>
        <v>50000</v>
      </c>
      <c r="D64" s="7">
        <f ca="1">C65</f>
        <v>66108.4375</v>
      </c>
      <c r="E64" s="7">
        <f t="shared" ref="E64:AM64" ca="1" si="38">D65</f>
        <v>-3417.8546875000029</v>
      </c>
      <c r="F64" s="7">
        <f t="shared" ca="1" si="38"/>
        <v>-70356.817187499997</v>
      </c>
      <c r="G64" s="7">
        <f t="shared" ca="1" si="38"/>
        <v>-158215.57654312759</v>
      </c>
      <c r="H64" s="7">
        <f t="shared" ca="1" si="38"/>
        <v>-55000.299615775701</v>
      </c>
      <c r="I64" s="7">
        <f t="shared" ca="1" si="38"/>
        <v>-109203.65647556525</v>
      </c>
      <c r="J64" s="7">
        <f t="shared" ca="1" si="38"/>
        <v>-147351.90611103765</v>
      </c>
      <c r="K64" s="7">
        <f t="shared" ca="1" si="38"/>
        <v>-185525.10457026522</v>
      </c>
      <c r="L64" s="7">
        <f t="shared" ca="1" si="38"/>
        <v>-241511.31356787487</v>
      </c>
      <c r="M64" s="7">
        <f t="shared" ca="1" si="38"/>
        <v>-215999.45705975813</v>
      </c>
      <c r="N64" s="7">
        <f t="shared" ca="1" si="38"/>
        <v>-284257.330553559</v>
      </c>
      <c r="O64" s="7">
        <f t="shared" ca="1" si="38"/>
        <v>-304153.21090172138</v>
      </c>
      <c r="P64" s="7">
        <f t="shared" ca="1" si="38"/>
        <v>-324331.06686245633</v>
      </c>
      <c r="Q64" s="7">
        <f t="shared" ca="1" si="38"/>
        <v>-344791.48518419417</v>
      </c>
      <c r="R64" s="7">
        <f t="shared" ca="1" si="38"/>
        <v>-365534.87340481958</v>
      </c>
      <c r="S64" s="7">
        <f t="shared" ca="1" si="38"/>
        <v>-386561.44955503009</v>
      </c>
      <c r="T64" s="7">
        <f t="shared" ca="1" si="38"/>
        <v>-407871.23142978735</v>
      </c>
      <c r="U64" s="7">
        <f t="shared" ca="1" si="38"/>
        <v>-412421.90088664548</v>
      </c>
      <c r="V64" s="7">
        <f t="shared" ca="1" si="38"/>
        <v>-409030.81907862029</v>
      </c>
      <c r="W64" s="7">
        <f t="shared" ca="1" si="38"/>
        <v>-405290.019080239</v>
      </c>
      <c r="X64" s="7">
        <f t="shared" ca="1" si="38"/>
        <v>-401182.80970238801</v>
      </c>
      <c r="Y64" s="7">
        <f t="shared" ca="1" si="38"/>
        <v>-396691.84402919537</v>
      </c>
      <c r="Z64" s="7">
        <f t="shared" ca="1" si="38"/>
        <v>-412457.95264241181</v>
      </c>
      <c r="AA64" s="7">
        <f t="shared" ca="1" si="38"/>
        <v>-428320.02037795464</v>
      </c>
      <c r="AB64" s="7">
        <f t="shared" ca="1" si="38"/>
        <v>-444271.50040609192</v>
      </c>
      <c r="AC64" s="7">
        <f t="shared" ca="1" si="38"/>
        <v>-460305.41385211475</v>
      </c>
      <c r="AD64" s="7">
        <f t="shared" ca="1" si="38"/>
        <v>-476414.33094398573</v>
      </c>
      <c r="AE64" s="7">
        <f t="shared" ca="1" si="38"/>
        <v>-492590.35144714196</v>
      </c>
      <c r="AF64" s="7">
        <f t="shared" ca="1" si="38"/>
        <v>-498842.60926759918</v>
      </c>
      <c r="AG64" s="7">
        <f t="shared" ca="1" si="38"/>
        <v>-504895.11478903121</v>
      </c>
      <c r="AH64" s="7">
        <f t="shared" ca="1" si="38"/>
        <v>-510732.19244162634</v>
      </c>
      <c r="AI64" s="7">
        <f t="shared" ca="1" si="38"/>
        <v>-516337.45431345748</v>
      </c>
      <c r="AJ64" s="7">
        <f t="shared" ca="1" si="38"/>
        <v>-521693.77272834309</v>
      </c>
      <c r="AK64" s="7">
        <f t="shared" ca="1" si="38"/>
        <v>-526783.25184974738</v>
      </c>
      <c r="AL64" s="7">
        <f t="shared" ca="1" si="38"/>
        <v>-531587.19827771769</v>
      </c>
      <c r="AM64" s="7">
        <f t="shared" ca="1" si="38"/>
        <v>-536086.09060477407</v>
      </c>
    </row>
    <row r="65" spans="1:39" x14ac:dyDescent="0.2">
      <c r="A65" s="4" t="s">
        <v>10</v>
      </c>
      <c r="C65" s="9">
        <f ca="1">SUM(C63:C64)</f>
        <v>66108.4375</v>
      </c>
      <c r="D65" s="9">
        <f t="shared" ref="D65:AM65" ca="1" si="39">SUM(D63:D64)</f>
        <v>-3417.8546875000029</v>
      </c>
      <c r="E65" s="9">
        <f t="shared" ca="1" si="39"/>
        <v>-70356.817187499997</v>
      </c>
      <c r="F65" s="9">
        <f t="shared" ca="1" si="39"/>
        <v>-158215.57654312759</v>
      </c>
      <c r="G65" s="9">
        <f t="shared" ca="1" si="39"/>
        <v>-55000.299615775701</v>
      </c>
      <c r="H65" s="9">
        <f t="shared" ca="1" si="39"/>
        <v>-109203.65647556525</v>
      </c>
      <c r="I65" s="9">
        <f t="shared" ca="1" si="39"/>
        <v>-147351.90611103765</v>
      </c>
      <c r="J65" s="9">
        <f t="shared" ca="1" si="39"/>
        <v>-185525.10457026522</v>
      </c>
      <c r="K65" s="9">
        <f t="shared" ca="1" si="39"/>
        <v>-241511.31356787487</v>
      </c>
      <c r="L65" s="9">
        <f t="shared" ca="1" si="39"/>
        <v>-215999.45705975813</v>
      </c>
      <c r="M65" s="9">
        <f t="shared" ca="1" si="39"/>
        <v>-284257.330553559</v>
      </c>
      <c r="N65" s="9">
        <f t="shared" ca="1" si="39"/>
        <v>-304153.21090172138</v>
      </c>
      <c r="O65" s="9">
        <f t="shared" ca="1" si="39"/>
        <v>-324331.06686245633</v>
      </c>
      <c r="P65" s="9">
        <f t="shared" ca="1" si="39"/>
        <v>-344791.48518419417</v>
      </c>
      <c r="Q65" s="9">
        <f t="shared" ca="1" si="39"/>
        <v>-365534.87340481958</v>
      </c>
      <c r="R65" s="9">
        <f t="shared" ca="1" si="39"/>
        <v>-386561.44955503009</v>
      </c>
      <c r="S65" s="9">
        <f t="shared" ca="1" si="39"/>
        <v>-407871.23142978735</v>
      </c>
      <c r="T65" s="9">
        <f t="shared" ca="1" si="39"/>
        <v>-412421.90088664548</v>
      </c>
      <c r="U65" s="9">
        <f t="shared" ca="1" si="39"/>
        <v>-409030.81907862029</v>
      </c>
      <c r="V65" s="9">
        <f t="shared" ca="1" si="39"/>
        <v>-405290.019080239</v>
      </c>
      <c r="W65" s="9">
        <f t="shared" ca="1" si="39"/>
        <v>-401182.80970238801</v>
      </c>
      <c r="X65" s="9">
        <f t="shared" ca="1" si="39"/>
        <v>-396691.84402919537</v>
      </c>
      <c r="Y65" s="9">
        <f t="shared" ca="1" si="39"/>
        <v>-412457.95264241181</v>
      </c>
      <c r="Z65" s="9">
        <f t="shared" ca="1" si="39"/>
        <v>-428320.02037795464</v>
      </c>
      <c r="AA65" s="9">
        <f t="shared" ca="1" si="39"/>
        <v>-444271.50040609192</v>
      </c>
      <c r="AB65" s="9">
        <f t="shared" ca="1" si="39"/>
        <v>-460305.41385211475</v>
      </c>
      <c r="AC65" s="9">
        <f t="shared" ca="1" si="39"/>
        <v>-476414.33094398573</v>
      </c>
      <c r="AD65" s="9">
        <f t="shared" ca="1" si="39"/>
        <v>-492590.35144714196</v>
      </c>
      <c r="AE65" s="9">
        <f t="shared" ca="1" si="39"/>
        <v>-498842.60926759918</v>
      </c>
      <c r="AF65" s="9">
        <f t="shared" ca="1" si="39"/>
        <v>-504895.11478903121</v>
      </c>
      <c r="AG65" s="9">
        <f t="shared" ca="1" si="39"/>
        <v>-510732.19244162634</v>
      </c>
      <c r="AH65" s="9">
        <f t="shared" ca="1" si="39"/>
        <v>-516337.45431345748</v>
      </c>
      <c r="AI65" s="9">
        <f t="shared" ca="1" si="39"/>
        <v>-521693.77272834309</v>
      </c>
      <c r="AJ65" s="9">
        <f t="shared" ca="1" si="39"/>
        <v>-526783.25184974738</v>
      </c>
      <c r="AK65" s="9">
        <f t="shared" ca="1" si="39"/>
        <v>-531587.19827771769</v>
      </c>
      <c r="AL65" s="9">
        <f t="shared" ca="1" si="39"/>
        <v>-536086.09060477407</v>
      </c>
      <c r="AM65" s="9">
        <f t="shared" ca="1" si="39"/>
        <v>-540259.54789554526</v>
      </c>
    </row>
    <row r="66" spans="1:39" x14ac:dyDescent="0.2"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</row>
    <row r="67" spans="1:39" ht="19" x14ac:dyDescent="0.25">
      <c r="A67" s="25" t="s">
        <v>65</v>
      </c>
      <c r="B67" s="26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</row>
    <row r="68" spans="1:39" x14ac:dyDescent="0.2">
      <c r="A68" s="4" t="s">
        <v>8</v>
      </c>
      <c r="C68" s="7">
        <f t="shared" ref="C68:AM68" ca="1" si="40">C65</f>
        <v>66108.4375</v>
      </c>
      <c r="D68" s="7">
        <f t="shared" ca="1" si="40"/>
        <v>-3417.8546875000029</v>
      </c>
      <c r="E68" s="7">
        <f t="shared" ca="1" si="40"/>
        <v>-70356.817187499997</v>
      </c>
      <c r="F68" s="7">
        <f t="shared" ca="1" si="40"/>
        <v>-158215.57654312759</v>
      </c>
      <c r="G68" s="7">
        <f t="shared" ca="1" si="40"/>
        <v>-55000.299615775701</v>
      </c>
      <c r="H68" s="7">
        <f t="shared" ca="1" si="40"/>
        <v>-109203.65647556525</v>
      </c>
      <c r="I68" s="7">
        <f t="shared" ca="1" si="40"/>
        <v>-147351.90611103765</v>
      </c>
      <c r="J68" s="7">
        <f t="shared" ca="1" si="40"/>
        <v>-185525.10457026522</v>
      </c>
      <c r="K68" s="7">
        <f t="shared" ca="1" si="40"/>
        <v>-241511.31356787487</v>
      </c>
      <c r="L68" s="7">
        <f t="shared" ca="1" si="40"/>
        <v>-215999.45705975813</v>
      </c>
      <c r="M68" s="7">
        <f t="shared" ca="1" si="40"/>
        <v>-284257.330553559</v>
      </c>
      <c r="N68" s="7">
        <f t="shared" ca="1" si="40"/>
        <v>-304153.21090172138</v>
      </c>
      <c r="O68" s="7">
        <f t="shared" ca="1" si="40"/>
        <v>-324331.06686245633</v>
      </c>
      <c r="P68" s="7">
        <f t="shared" ca="1" si="40"/>
        <v>-344791.48518419417</v>
      </c>
      <c r="Q68" s="7">
        <f t="shared" ca="1" si="40"/>
        <v>-365534.87340481958</v>
      </c>
      <c r="R68" s="7">
        <f t="shared" ca="1" si="40"/>
        <v>-386561.44955503009</v>
      </c>
      <c r="S68" s="7">
        <f t="shared" ca="1" si="40"/>
        <v>-407871.23142978735</v>
      </c>
      <c r="T68" s="7">
        <f t="shared" ca="1" si="40"/>
        <v>-412421.90088664548</v>
      </c>
      <c r="U68" s="7">
        <f t="shared" ca="1" si="40"/>
        <v>-409030.81907862029</v>
      </c>
      <c r="V68" s="7">
        <f t="shared" ca="1" si="40"/>
        <v>-405290.019080239</v>
      </c>
      <c r="W68" s="7">
        <f t="shared" ca="1" si="40"/>
        <v>-401182.80970238801</v>
      </c>
      <c r="X68" s="7">
        <f t="shared" ca="1" si="40"/>
        <v>-396691.84402919537</v>
      </c>
      <c r="Y68" s="7">
        <f t="shared" ca="1" si="40"/>
        <v>-412457.95264241181</v>
      </c>
      <c r="Z68" s="7">
        <f t="shared" ca="1" si="40"/>
        <v>-428320.02037795464</v>
      </c>
      <c r="AA68" s="7">
        <f t="shared" ca="1" si="40"/>
        <v>-444271.50040609192</v>
      </c>
      <c r="AB68" s="7">
        <f t="shared" ca="1" si="40"/>
        <v>-460305.41385211475</v>
      </c>
      <c r="AC68" s="7">
        <f t="shared" ca="1" si="40"/>
        <v>-476414.33094398573</v>
      </c>
      <c r="AD68" s="7">
        <f t="shared" ca="1" si="40"/>
        <v>-492590.35144714196</v>
      </c>
      <c r="AE68" s="7">
        <f t="shared" ca="1" si="40"/>
        <v>-498842.60926759918</v>
      </c>
      <c r="AF68" s="7">
        <f t="shared" ca="1" si="40"/>
        <v>-504895.11478903121</v>
      </c>
      <c r="AG68" s="7">
        <f t="shared" ca="1" si="40"/>
        <v>-510732.19244162634</v>
      </c>
      <c r="AH68" s="7">
        <f t="shared" ca="1" si="40"/>
        <v>-516337.45431345748</v>
      </c>
      <c r="AI68" s="7">
        <f t="shared" ca="1" si="40"/>
        <v>-521693.77272834309</v>
      </c>
      <c r="AJ68" s="7">
        <f t="shared" ca="1" si="40"/>
        <v>-526783.25184974738</v>
      </c>
      <c r="AK68" s="7">
        <f t="shared" ca="1" si="40"/>
        <v>-531587.19827771769</v>
      </c>
      <c r="AL68" s="7">
        <f t="shared" ca="1" si="40"/>
        <v>-536086.09060477407</v>
      </c>
      <c r="AM68" s="7">
        <f t="shared" ca="1" si="40"/>
        <v>-540259.54789554526</v>
      </c>
    </row>
    <row r="69" spans="1:39" x14ac:dyDescent="0.2">
      <c r="A69" s="4" t="s">
        <v>6</v>
      </c>
      <c r="C69" s="7">
        <f ca="1">IF(AND(Inputs!$B$217&lt;&gt;"",C$2&gt;=Inputs!$B$217),IF(AND(Inputs!$B$12&gt;0,UPPER(Inputs!$B$219)="BUY"),IF(C$2=Inputs!$B$217,Inputs!$B$221*(1+princ)^(ProRate+C$1-1),B69*(1+princ)),0),IF(Inputs!$B$12&gt;0,IF(B$1=0,Inputs!$B$12*(1+princ)^ProRate,B69*(1+princ)),0))</f>
        <v>511208.33111474686</v>
      </c>
      <c r="D69" s="7">
        <f ca="1">IF(AND(Inputs!$B$217&lt;&gt;"",D$2&gt;=Inputs!$B$217),IF(AND(Inputs!$B$12&gt;0,UPPER(Inputs!$B$219)="BUY"),IF(D$2=Inputs!$B$217,Inputs!$B$221*(1+princ)^(ProRate+D$1-1),C69*(1+princ)),0),IF(Inputs!$B$12&gt;0,IF(C$1=0,Inputs!$B$12*(1+princ)^ProRate,C69*(1+princ)),0))</f>
        <v>526544.58104818931</v>
      </c>
      <c r="E69" s="7">
        <f ca="1">IF(AND(Inputs!$B$217&lt;&gt;"",E$2&gt;=Inputs!$B$217),IF(AND(Inputs!$B$12&gt;0,UPPER(Inputs!$B$219)="BUY"),IF(E$2=Inputs!$B$217,Inputs!$B$221*(1+princ)^(ProRate+E$1-1),D69*(1+princ)),0),IF(Inputs!$B$12&gt;0,IF(D$1=0,Inputs!$B$12*(1+princ)^ProRate,D69*(1+princ)),0))</f>
        <v>542340.91847963503</v>
      </c>
      <c r="F69" s="7">
        <f ca="1">IF(AND(Inputs!$B$217&lt;&gt;"",F$2&gt;=Inputs!$B$217),IF(AND(Inputs!$B$12&gt;0,UPPER(Inputs!$B$219)="BUY"),IF(F$2=Inputs!$B$217,Inputs!$B$221*(1+princ)^(ProRate+F$1-1),E69*(1+princ)),0),IF(Inputs!$B$12&gt;0,IF(E$1=0,Inputs!$B$12*(1+princ)^ProRate,E69*(1+princ)),0))</f>
        <v>558611.14603402407</v>
      </c>
      <c r="G69" s="7">
        <f ca="1">IF(AND(Inputs!$B$217&lt;&gt;"",G$2&gt;=Inputs!$B$217),IF(AND(Inputs!$B$12&gt;0,UPPER(Inputs!$B$219)="BUY"),IF(G$2=Inputs!$B$217,Inputs!$B$221*(1+princ)^(ProRate+G$1-1),F69*(1+princ)),0),IF(Inputs!$B$12&gt;0,IF(F$1=0,Inputs!$B$12*(1+princ)^ProRate,F69*(1+princ)),0))</f>
        <v>287684.74020752241</v>
      </c>
      <c r="H69" s="7">
        <f ca="1">IF(AND(Inputs!$B$217&lt;&gt;"",H$2&gt;=Inputs!$B$217),IF(AND(Inputs!$B$12&gt;0,UPPER(Inputs!$B$219)="BUY"),IF(H$2=Inputs!$B$217,Inputs!$B$221*(1+princ)^(ProRate+H$1-1),G69*(1+princ)),0),IF(Inputs!$B$12&gt;0,IF(G$1=0,Inputs!$B$12*(1+princ)^ProRate,G69*(1+princ)),0))</f>
        <v>296315.28241374809</v>
      </c>
      <c r="I69" s="7">
        <f ca="1">IF(AND(Inputs!$B$217&lt;&gt;"",I$2&gt;=Inputs!$B$217),IF(AND(Inputs!$B$12&gt;0,UPPER(Inputs!$B$219)="BUY"),IF(I$2=Inputs!$B$217,Inputs!$B$221*(1+princ)^(ProRate+I$1-1),H69*(1+princ)),0),IF(Inputs!$B$12&gt;0,IF(H$1=0,Inputs!$B$12*(1+princ)^ProRate,H69*(1+princ)),0))</f>
        <v>305204.74088616052</v>
      </c>
      <c r="J69" s="7">
        <f ca="1">IF(AND(Inputs!$B$217&lt;&gt;"",J$2&gt;=Inputs!$B$217),IF(AND(Inputs!$B$12&gt;0,UPPER(Inputs!$B$219)="BUY"),IF(J$2=Inputs!$B$217,Inputs!$B$221*(1+princ)^(ProRate+J$1-1),I69*(1+princ)),0),IF(Inputs!$B$12&gt;0,IF(I$1=0,Inputs!$B$12*(1+princ)^ProRate,I69*(1+princ)),0))</f>
        <v>314360.88311274536</v>
      </c>
      <c r="K69" s="7">
        <f ca="1">IF(AND(Inputs!$B$217&lt;&gt;"",K$2&gt;=Inputs!$B$217),IF(AND(Inputs!$B$12&gt;0,UPPER(Inputs!$B$219)="BUY"),IF(K$2=Inputs!$B$217,Inputs!$B$221*(1+princ)^(ProRate+K$1-1),J69*(1+princ)),0),IF(Inputs!$B$12&gt;0,IF(J$1=0,Inputs!$B$12*(1+princ)^ProRate,J69*(1+princ)),0))</f>
        <v>323791.70960612776</v>
      </c>
      <c r="L69" s="7">
        <f ca="1">IF(AND(Inputs!$B$217&lt;&gt;"",L$2&gt;=Inputs!$B$217),IF(AND(Inputs!$B$12&gt;0,UPPER(Inputs!$B$219)="BUY"),IF(L$2=Inputs!$B$217,Inputs!$B$221*(1+princ)^(ProRate+L$1-1),K69*(1+princ)),0),IF(Inputs!$B$12&gt;0,IF(K$1=0,Inputs!$B$12*(1+princ)^ProRate,K69*(1+princ)),0))</f>
        <v>333505.4608943116</v>
      </c>
      <c r="M69" s="7">
        <f ca="1">IF(AND(Inputs!$B$217&lt;&gt;"",M$2&gt;=Inputs!$B$217),IF(AND(Inputs!$B$12&gt;0,UPPER(Inputs!$B$219)="BUY"),IF(M$2=Inputs!$B$217,Inputs!$B$221*(1+princ)^(ProRate+M$1-1),L69*(1+princ)),0),IF(Inputs!$B$12&gt;0,IF(L$1=0,Inputs!$B$12*(1+princ)^ProRate,L69*(1+princ)),0))</f>
        <v>343510.62472114095</v>
      </c>
      <c r="N69" s="7">
        <f ca="1">IF(AND(Inputs!$B$217&lt;&gt;"",N$2&gt;=Inputs!$B$217),IF(AND(Inputs!$B$12&gt;0,UPPER(Inputs!$B$219)="BUY"),IF(N$2=Inputs!$B$217,Inputs!$B$221*(1+princ)^(ProRate+N$1-1),M69*(1+princ)),0),IF(Inputs!$B$12&gt;0,IF(M$1=0,Inputs!$B$12*(1+princ)^ProRate,M69*(1+princ)),0))</f>
        <v>353815.94346277521</v>
      </c>
      <c r="O69" s="7">
        <f ca="1">IF(AND(Inputs!$B$217&lt;&gt;"",O$2&gt;=Inputs!$B$217),IF(AND(Inputs!$B$12&gt;0,UPPER(Inputs!$B$219)="BUY"),IF(O$2=Inputs!$B$217,Inputs!$B$221*(1+princ)^(ProRate+O$1-1),N69*(1+princ)),0),IF(Inputs!$B$12&gt;0,IF(N$1=0,Inputs!$B$12*(1+princ)^ProRate,N69*(1+princ)),0))</f>
        <v>364430.42176665849</v>
      </c>
      <c r="P69" s="7">
        <f ca="1">IF(AND(Inputs!$B$217&lt;&gt;"",P$2&gt;=Inputs!$B$217),IF(AND(Inputs!$B$12&gt;0,UPPER(Inputs!$B$219)="BUY"),IF(P$2=Inputs!$B$217,Inputs!$B$221*(1+princ)^(ProRate+P$1-1),O69*(1+princ)),0),IF(Inputs!$B$12&gt;0,IF(O$1=0,Inputs!$B$12*(1+princ)^ProRate,O69*(1+princ)),0))</f>
        <v>375363.33441965823</v>
      </c>
      <c r="Q69" s="7">
        <f ca="1">IF(AND(Inputs!$B$217&lt;&gt;"",Q$2&gt;=Inputs!$B$217),IF(AND(Inputs!$B$12&gt;0,UPPER(Inputs!$B$219)="BUY"),IF(Q$2=Inputs!$B$217,Inputs!$B$221*(1+princ)^(ProRate+Q$1-1),P69*(1+princ)),0),IF(Inputs!$B$12&gt;0,IF(P$1=0,Inputs!$B$12*(1+princ)^ProRate,P69*(1+princ)),0))</f>
        <v>386624.23445224797</v>
      </c>
      <c r="R69" s="7">
        <f ca="1">IF(AND(Inputs!$B$217&lt;&gt;"",R$2&gt;=Inputs!$B$217),IF(AND(Inputs!$B$12&gt;0,UPPER(Inputs!$B$219)="BUY"),IF(R$2=Inputs!$B$217,Inputs!$B$221*(1+princ)^(ProRate+R$1-1),Q69*(1+princ)),0),IF(Inputs!$B$12&gt;0,IF(Q$1=0,Inputs!$B$12*(1+princ)^ProRate,Q69*(1+princ)),0))</f>
        <v>398222.96148581541</v>
      </c>
      <c r="S69" s="7">
        <f ca="1">IF(AND(Inputs!$B$217&lt;&gt;"",S$2&gt;=Inputs!$B$217),IF(AND(Inputs!$B$12&gt;0,UPPER(Inputs!$B$219)="BUY"),IF(S$2=Inputs!$B$217,Inputs!$B$221*(1+princ)^(ProRate+S$1-1),R69*(1+princ)),0),IF(Inputs!$B$12&gt;0,IF(R$1=0,Inputs!$B$12*(1+princ)^ProRate,R69*(1+princ)),0))</f>
        <v>410169.65033038991</v>
      </c>
      <c r="T69" s="7">
        <f ca="1">IF(AND(Inputs!$B$217&lt;&gt;"",T$2&gt;=Inputs!$B$217),IF(AND(Inputs!$B$12&gt;0,UPPER(Inputs!$B$219)="BUY"),IF(T$2=Inputs!$B$217,Inputs!$B$221*(1+princ)^(ProRate+T$1-1),S69*(1+princ)),0),IF(Inputs!$B$12&gt;0,IF(S$1=0,Inputs!$B$12*(1+princ)^ProRate,S69*(1+princ)),0))</f>
        <v>422474.73984030163</v>
      </c>
      <c r="U69" s="7">
        <f ca="1">IF(AND(Inputs!$B$217&lt;&gt;"",U$2&gt;=Inputs!$B$217),IF(AND(Inputs!$B$12&gt;0,UPPER(Inputs!$B$219)="BUY"),IF(U$2=Inputs!$B$217,Inputs!$B$221*(1+princ)^(ProRate+U$1-1),T69*(1+princ)),0),IF(Inputs!$B$12&gt;0,IF(T$1=0,Inputs!$B$12*(1+princ)^ProRate,T69*(1+princ)),0))</f>
        <v>435148.98203551071</v>
      </c>
      <c r="V69" s="7">
        <f ca="1">IF(AND(Inputs!$B$217&lt;&gt;"",V$2&gt;=Inputs!$B$217),IF(AND(Inputs!$B$12&gt;0,UPPER(Inputs!$B$219)="BUY"),IF(V$2=Inputs!$B$217,Inputs!$B$221*(1+princ)^(ProRate+V$1-1),U69*(1+princ)),0),IF(Inputs!$B$12&gt;0,IF(U$1=0,Inputs!$B$12*(1+princ)^ProRate,U69*(1+princ)),0))</f>
        <v>448203.45149657602</v>
      </c>
      <c r="W69" s="7">
        <f ca="1">IF(AND(Inputs!$B$217&lt;&gt;"",W$2&gt;=Inputs!$B$217),IF(AND(Inputs!$B$12&gt;0,UPPER(Inputs!$B$219)="BUY"),IF(W$2=Inputs!$B$217,Inputs!$B$221*(1+princ)^(ProRate+W$1-1),V69*(1+princ)),0),IF(Inputs!$B$12&gt;0,IF(V$1=0,Inputs!$B$12*(1+princ)^ProRate,V69*(1+princ)),0))</f>
        <v>461649.5550414733</v>
      </c>
      <c r="X69" s="7">
        <f ca="1">IF(AND(Inputs!$B$217&lt;&gt;"",X$2&gt;=Inputs!$B$217),IF(AND(Inputs!$B$12&gt;0,UPPER(Inputs!$B$219)="BUY"),IF(X$2=Inputs!$B$217,Inputs!$B$221*(1+princ)^(ProRate+X$1-1),W69*(1+princ)),0),IF(Inputs!$B$12&gt;0,IF(W$1=0,Inputs!$B$12*(1+princ)^ProRate,W69*(1+princ)),0))</f>
        <v>475499.04169271752</v>
      </c>
      <c r="Y69" s="7">
        <f ca="1">IF(AND(Inputs!$B$217&lt;&gt;"",Y$2&gt;=Inputs!$B$217),IF(AND(Inputs!$B$12&gt;0,UPPER(Inputs!$B$219)="BUY"),IF(Y$2=Inputs!$B$217,Inputs!$B$221*(1+princ)^(ProRate+Y$1-1),X69*(1+princ)),0),IF(Inputs!$B$12&gt;0,IF(X$1=0,Inputs!$B$12*(1+princ)^ProRate,X69*(1+princ)),0))</f>
        <v>489764.01294349908</v>
      </c>
      <c r="Z69" s="7">
        <f ca="1">IF(AND(Inputs!$B$217&lt;&gt;"",Z$2&gt;=Inputs!$B$217),IF(AND(Inputs!$B$12&gt;0,UPPER(Inputs!$B$219)="BUY"),IF(Z$2=Inputs!$B$217,Inputs!$B$221*(1+princ)^(ProRate+Z$1-1),Y69*(1+princ)),0),IF(Inputs!$B$12&gt;0,IF(Y$1=0,Inputs!$B$12*(1+princ)^ProRate,Y69*(1+princ)),0))</f>
        <v>504456.93333180406</v>
      </c>
      <c r="AA69" s="7">
        <f ca="1">IF(AND(Inputs!$B$217&lt;&gt;"",AA$2&gt;=Inputs!$B$217),IF(AND(Inputs!$B$12&gt;0,UPPER(Inputs!$B$219)="BUY"),IF(AA$2=Inputs!$B$217,Inputs!$B$221*(1+princ)^(ProRate+AA$1-1),Z69*(1+princ)),0),IF(Inputs!$B$12&gt;0,IF(Z$1=0,Inputs!$B$12*(1+princ)^ProRate,Z69*(1+princ)),0))</f>
        <v>519590.64133175818</v>
      </c>
      <c r="AB69" s="7">
        <f ca="1">IF(AND(Inputs!$B$217&lt;&gt;"",AB$2&gt;=Inputs!$B$217),IF(AND(Inputs!$B$12&gt;0,UPPER(Inputs!$B$219)="BUY"),IF(AB$2=Inputs!$B$217,Inputs!$B$221*(1+princ)^(ProRate+AB$1-1),AA69*(1+princ)),0),IF(Inputs!$B$12&gt;0,IF(AA$1=0,Inputs!$B$12*(1+princ)^ProRate,AA69*(1+princ)),0))</f>
        <v>535178.36057171097</v>
      </c>
      <c r="AC69" s="7">
        <f ca="1">IF(AND(Inputs!$B$217&lt;&gt;"",AC$2&gt;=Inputs!$B$217),IF(AND(Inputs!$B$12&gt;0,UPPER(Inputs!$B$219)="BUY"),IF(AC$2=Inputs!$B$217,Inputs!$B$221*(1+princ)^(ProRate+AC$1-1),AB69*(1+princ)),0),IF(Inputs!$B$12&gt;0,IF(AB$1=0,Inputs!$B$12*(1+princ)^ProRate,AB69*(1+princ)),0))</f>
        <v>551233.71138886234</v>
      </c>
      <c r="AD69" s="7">
        <f ca="1">IF(AND(Inputs!$B$217&lt;&gt;"",AD$2&gt;=Inputs!$B$217),IF(AND(Inputs!$B$12&gt;0,UPPER(Inputs!$B$219)="BUY"),IF(AD$2=Inputs!$B$217,Inputs!$B$221*(1+princ)^(ProRate+AD$1-1),AC69*(1+princ)),0),IF(Inputs!$B$12&gt;0,IF(AC$1=0,Inputs!$B$12*(1+princ)^ProRate,AC69*(1+princ)),0))</f>
        <v>567770.72273052821</v>
      </c>
      <c r="AE69" s="7">
        <f ca="1">IF(AND(Inputs!$B$217&lt;&gt;"",AE$2&gt;=Inputs!$B$217),IF(AND(Inputs!$B$12&gt;0,UPPER(Inputs!$B$219)="BUY"),IF(AE$2=Inputs!$B$217,Inputs!$B$221*(1+princ)^(ProRate+AE$1-1),AD69*(1+princ)),0),IF(Inputs!$B$12&gt;0,IF(AD$1=0,Inputs!$B$12*(1+princ)^ProRate,AD69*(1+princ)),0))</f>
        <v>584803.84441244404</v>
      </c>
      <c r="AF69" s="7">
        <f ca="1">IF(AND(Inputs!$B$217&lt;&gt;"",AF$2&gt;=Inputs!$B$217),IF(AND(Inputs!$B$12&gt;0,UPPER(Inputs!$B$219)="BUY"),IF(AF$2=Inputs!$B$217,Inputs!$B$221*(1+princ)^(ProRate+AF$1-1),AE69*(1+princ)),0),IF(Inputs!$B$12&gt;0,IF(AE$1=0,Inputs!$B$12*(1+princ)^ProRate,AE69*(1+princ)),0))</f>
        <v>602347.95974481734</v>
      </c>
      <c r="AG69" s="7">
        <f ca="1">IF(AND(Inputs!$B$217&lt;&gt;"",AG$2&gt;=Inputs!$B$217),IF(AND(Inputs!$B$12&gt;0,UPPER(Inputs!$B$219)="BUY"),IF(AG$2=Inputs!$B$217,Inputs!$B$221*(1+princ)^(ProRate+AG$1-1),AF69*(1+princ)),0),IF(Inputs!$B$12&gt;0,IF(AF$1=0,Inputs!$B$12*(1+princ)^ProRate,AF69*(1+princ)),0))</f>
        <v>620418.39853716188</v>
      </c>
      <c r="AH69" s="7">
        <f ca="1">IF(AND(Inputs!$B$217&lt;&gt;"",AH$2&gt;=Inputs!$B$217),IF(AND(Inputs!$B$12&gt;0,UPPER(Inputs!$B$219)="BUY"),IF(AH$2=Inputs!$B$217,Inputs!$B$221*(1+princ)^(ProRate+AH$1-1),AG69*(1+princ)),0),IF(Inputs!$B$12&gt;0,IF(AG$1=0,Inputs!$B$12*(1+princ)^ProRate,AG69*(1+princ)),0))</f>
        <v>639030.9504932767</v>
      </c>
      <c r="AI69" s="7">
        <f ca="1">IF(AND(Inputs!$B$217&lt;&gt;"",AI$2&gt;=Inputs!$B$217),IF(AND(Inputs!$B$12&gt;0,UPPER(Inputs!$B$219)="BUY"),IF(AI$2=Inputs!$B$217,Inputs!$B$221*(1+princ)^(ProRate+AI$1-1),AH69*(1+princ)),0),IF(Inputs!$B$12&gt;0,IF(AH$1=0,Inputs!$B$12*(1+princ)^ProRate,AH69*(1+princ)),0))</f>
        <v>658201.87900807499</v>
      </c>
      <c r="AJ69" s="7">
        <f ca="1">IF(AND(Inputs!$B$217&lt;&gt;"",AJ$2&gt;=Inputs!$B$217),IF(AND(Inputs!$B$12&gt;0,UPPER(Inputs!$B$219)="BUY"),IF(AJ$2=Inputs!$B$217,Inputs!$B$221*(1+princ)^(ProRate+AJ$1-1),AI69*(1+princ)),0),IF(Inputs!$B$12&gt;0,IF(AI$1=0,Inputs!$B$12*(1+princ)^ProRate,AI69*(1+princ)),0))</f>
        <v>677947.93537831726</v>
      </c>
      <c r="AK69" s="7">
        <f ca="1">IF(AND(Inputs!$B$217&lt;&gt;"",AK$2&gt;=Inputs!$B$217),IF(AND(Inputs!$B$12&gt;0,UPPER(Inputs!$B$219)="BUY"),IF(AK$2=Inputs!$B$217,Inputs!$B$221*(1+princ)^(ProRate+AK$1-1),AJ69*(1+princ)),0),IF(Inputs!$B$12&gt;0,IF(AJ$1=0,Inputs!$B$12*(1+princ)^ProRate,AJ69*(1+princ)),0))</f>
        <v>698286.37343966682</v>
      </c>
      <c r="AL69" s="7">
        <f ca="1">IF(AND(Inputs!$B$217&lt;&gt;"",AL$2&gt;=Inputs!$B$217),IF(AND(Inputs!$B$12&gt;0,UPPER(Inputs!$B$219)="BUY"),IF(AL$2=Inputs!$B$217,Inputs!$B$221*(1+princ)^(ProRate+AL$1-1),AK69*(1+princ)),0),IF(Inputs!$B$12&gt;0,IF(AK$1=0,Inputs!$B$12*(1+princ)^ProRate,AK69*(1+princ)),0))</f>
        <v>719234.96464285685</v>
      </c>
      <c r="AM69" s="7">
        <f ca="1">IF(AND(Inputs!$B$217&lt;&gt;"",AM$2&gt;=Inputs!$B$217),IF(AND(Inputs!$B$12&gt;0,UPPER(Inputs!$B$219)="BUY"),IF(AM$2=Inputs!$B$217,Inputs!$B$221*(1+princ)^(ProRate+AM$1-1),AL69*(1+princ)),0),IF(Inputs!$B$12&gt;0,IF(AL$1=0,Inputs!$B$12*(1+princ)^ProRate,AL69*(1+princ)),0))</f>
        <v>740812.01358214254</v>
      </c>
    </row>
    <row r="70" spans="1:39" x14ac:dyDescent="0.2">
      <c r="A70" s="4" t="s">
        <v>50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</row>
    <row r="71" spans="1:39" x14ac:dyDescent="0.2">
      <c r="A71" s="3" t="str">
        <f>TEXT(Inputs!$B$60,"")</f>
        <v>Sliema</v>
      </c>
      <c r="C71" s="7">
        <f ca="1">Inputs!B61*(1+princ)^ProRate</f>
        <v>306724.99866884813</v>
      </c>
      <c r="D71" s="7">
        <f t="shared" ref="D71:S75" ca="1" si="41">C71*(1+princ)</f>
        <v>315926.7486289136</v>
      </c>
      <c r="E71" s="7">
        <f t="shared" ca="1" si="41"/>
        <v>325404.55108778103</v>
      </c>
      <c r="F71" s="7">
        <f t="shared" ca="1" si="41"/>
        <v>335166.68762041448</v>
      </c>
      <c r="G71" s="7">
        <f t="shared" ca="1" si="41"/>
        <v>345221.68824902695</v>
      </c>
      <c r="H71" s="7">
        <f t="shared" ca="1" si="41"/>
        <v>355578.33889649779</v>
      </c>
      <c r="I71" s="7">
        <f t="shared" ca="1" si="41"/>
        <v>366245.68906339275</v>
      </c>
      <c r="J71" s="7">
        <f t="shared" ca="1" si="41"/>
        <v>377233.05973529455</v>
      </c>
      <c r="K71" s="7">
        <f t="shared" ca="1" si="41"/>
        <v>388550.05152735341</v>
      </c>
      <c r="L71" s="7">
        <f t="shared" ca="1" si="41"/>
        <v>400206.55307317403</v>
      </c>
      <c r="M71" s="7">
        <f t="shared" ca="1" si="41"/>
        <v>412212.74966536928</v>
      </c>
      <c r="N71" s="7">
        <f t="shared" ca="1" si="41"/>
        <v>424579.13215533039</v>
      </c>
      <c r="O71" s="7">
        <f t="shared" ca="1" si="41"/>
        <v>437316.50611999031</v>
      </c>
      <c r="P71" s="7">
        <f t="shared" ca="1" si="41"/>
        <v>450436.00130359002</v>
      </c>
      <c r="Q71" s="7">
        <f t="shared" ca="1" si="41"/>
        <v>463949.08134269773</v>
      </c>
      <c r="R71" s="7">
        <f t="shared" ca="1" si="41"/>
        <v>477867.55378297868</v>
      </c>
      <c r="S71" s="7">
        <f t="shared" ca="1" si="41"/>
        <v>492203.58039646805</v>
      </c>
      <c r="T71" s="7">
        <f t="shared" ref="T71:AI75" ca="1" si="42">S71*(1+princ)</f>
        <v>506969.68780836213</v>
      </c>
      <c r="U71" s="7">
        <f t="shared" ca="1" si="42"/>
        <v>522178.77844261302</v>
      </c>
      <c r="V71" s="7">
        <f t="shared" ca="1" si="42"/>
        <v>537844.14179589145</v>
      </c>
      <c r="W71" s="7">
        <f t="shared" ca="1" si="42"/>
        <v>553979.46604976826</v>
      </c>
      <c r="X71" s="7">
        <f t="shared" ca="1" si="42"/>
        <v>570598.85003126133</v>
      </c>
      <c r="Y71" s="7">
        <f t="shared" ca="1" si="42"/>
        <v>587716.81553219922</v>
      </c>
      <c r="Z71" s="7">
        <f t="shared" ca="1" si="42"/>
        <v>605348.31999816524</v>
      </c>
      <c r="AA71" s="7">
        <f t="shared" ca="1" si="42"/>
        <v>623508.76959811023</v>
      </c>
      <c r="AB71" s="7">
        <f t="shared" ca="1" si="42"/>
        <v>642214.03268605354</v>
      </c>
      <c r="AC71" s="7">
        <f t="shared" ca="1" si="42"/>
        <v>661480.45366663521</v>
      </c>
      <c r="AD71" s="7">
        <f t="shared" ca="1" si="42"/>
        <v>681324.86727663432</v>
      </c>
      <c r="AE71" s="7">
        <f t="shared" ca="1" si="42"/>
        <v>701764.61329493334</v>
      </c>
      <c r="AF71" s="7">
        <f t="shared" ca="1" si="42"/>
        <v>722817.5516937814</v>
      </c>
      <c r="AG71" s="7">
        <f t="shared" ca="1" si="42"/>
        <v>744502.07824459486</v>
      </c>
      <c r="AH71" s="7">
        <f t="shared" ca="1" si="42"/>
        <v>766837.14059193269</v>
      </c>
      <c r="AI71" s="7">
        <f t="shared" ca="1" si="42"/>
        <v>789842.25480969064</v>
      </c>
      <c r="AJ71" s="7">
        <f t="shared" ref="AJ71:AM75" ca="1" si="43">AI71*(1+princ)</f>
        <v>813537.52245398134</v>
      </c>
      <c r="AK71" s="7">
        <f t="shared" ca="1" si="43"/>
        <v>837943.64812760078</v>
      </c>
      <c r="AL71" s="7">
        <f t="shared" ca="1" si="43"/>
        <v>863081.95757142885</v>
      </c>
      <c r="AM71" s="7">
        <f t="shared" ca="1" si="43"/>
        <v>888974.41629857174</v>
      </c>
    </row>
    <row r="72" spans="1:39" x14ac:dyDescent="0.2">
      <c r="A72" s="3" t="str">
        <f>TEXT(Inputs!$B$65,"")</f>
        <v>Gzira</v>
      </c>
      <c r="C72" s="7">
        <f ca="1">Inputs!B66*(1+princ)^ProRate</f>
        <v>153362.49933442406</v>
      </c>
      <c r="D72" s="7">
        <f t="shared" ca="1" si="41"/>
        <v>157963.3743144568</v>
      </c>
      <c r="E72" s="7">
        <f t="shared" ca="1" si="41"/>
        <v>162702.27554389052</v>
      </c>
      <c r="F72" s="7">
        <f t="shared" ca="1" si="41"/>
        <v>167583.34381020724</v>
      </c>
      <c r="G72" s="7">
        <f t="shared" ca="1" si="41"/>
        <v>172610.84412451347</v>
      </c>
      <c r="H72" s="7">
        <f t="shared" ca="1" si="41"/>
        <v>177789.1694482489</v>
      </c>
      <c r="I72" s="7">
        <f t="shared" ca="1" si="41"/>
        <v>183122.84453169638</v>
      </c>
      <c r="J72" s="7">
        <f t="shared" ca="1" si="41"/>
        <v>188616.52986764727</v>
      </c>
      <c r="K72" s="7">
        <f t="shared" ca="1" si="41"/>
        <v>194275.02576367671</v>
      </c>
      <c r="L72" s="7">
        <f t="shared" ca="1" si="41"/>
        <v>200103.27653658701</v>
      </c>
      <c r="M72" s="7">
        <f t="shared" ca="1" si="41"/>
        <v>206106.37483268464</v>
      </c>
      <c r="N72" s="7">
        <f t="shared" ca="1" si="41"/>
        <v>212289.56607766519</v>
      </c>
      <c r="O72" s="7">
        <f t="shared" ca="1" si="41"/>
        <v>218658.25305999516</v>
      </c>
      <c r="P72" s="7">
        <f t="shared" ca="1" si="41"/>
        <v>225218.00065179501</v>
      </c>
      <c r="Q72" s="7">
        <f t="shared" ca="1" si="41"/>
        <v>231974.54067134886</v>
      </c>
      <c r="R72" s="7">
        <f t="shared" ca="1" si="41"/>
        <v>238933.77689148934</v>
      </c>
      <c r="S72" s="7">
        <f t="shared" ca="1" si="41"/>
        <v>246101.79019823403</v>
      </c>
      <c r="T72" s="7">
        <f t="shared" ca="1" si="42"/>
        <v>253484.84390418106</v>
      </c>
      <c r="U72" s="7">
        <f t="shared" ca="1" si="42"/>
        <v>261089.38922130651</v>
      </c>
      <c r="V72" s="7">
        <f t="shared" ca="1" si="42"/>
        <v>268922.07089794573</v>
      </c>
      <c r="W72" s="7">
        <f t="shared" ca="1" si="42"/>
        <v>276989.73302488413</v>
      </c>
      <c r="X72" s="7">
        <f t="shared" ca="1" si="42"/>
        <v>285299.42501563067</v>
      </c>
      <c r="Y72" s="7">
        <f t="shared" ca="1" si="42"/>
        <v>293858.40776609961</v>
      </c>
      <c r="Z72" s="7">
        <f t="shared" ca="1" si="42"/>
        <v>302674.15999908262</v>
      </c>
      <c r="AA72" s="7">
        <f t="shared" ca="1" si="42"/>
        <v>311754.38479905511</v>
      </c>
      <c r="AB72" s="7">
        <f t="shared" ca="1" si="42"/>
        <v>321107.01634302677</v>
      </c>
      <c r="AC72" s="7">
        <f t="shared" ca="1" si="42"/>
        <v>330740.2268333176</v>
      </c>
      <c r="AD72" s="7">
        <f t="shared" ca="1" si="42"/>
        <v>340662.43363831716</v>
      </c>
      <c r="AE72" s="7">
        <f t="shared" ca="1" si="42"/>
        <v>350882.30664746667</v>
      </c>
      <c r="AF72" s="7">
        <f t="shared" ca="1" si="42"/>
        <v>361408.7758468907</v>
      </c>
      <c r="AG72" s="7">
        <f t="shared" ca="1" si="42"/>
        <v>372251.03912229743</v>
      </c>
      <c r="AH72" s="7">
        <f t="shared" ca="1" si="42"/>
        <v>383418.57029596635</v>
      </c>
      <c r="AI72" s="7">
        <f t="shared" ca="1" si="42"/>
        <v>394921.12740484532</v>
      </c>
      <c r="AJ72" s="7">
        <f t="shared" ca="1" si="43"/>
        <v>406768.76122699067</v>
      </c>
      <c r="AK72" s="7">
        <f t="shared" ca="1" si="43"/>
        <v>418971.82406380039</v>
      </c>
      <c r="AL72" s="7">
        <f t="shared" ca="1" si="43"/>
        <v>431540.97878571443</v>
      </c>
      <c r="AM72" s="7">
        <f t="shared" ca="1" si="43"/>
        <v>444487.20814928587</v>
      </c>
    </row>
    <row r="73" spans="1:39" x14ac:dyDescent="0.2">
      <c r="A73" s="3" t="str">
        <f>TEXT(Inputs!$B$70,"")</f>
        <v>Qormi</v>
      </c>
      <c r="C73" s="7">
        <f ca="1">Inputs!B71*(1+princ)^ProRate</f>
        <v>224931.66569048862</v>
      </c>
      <c r="D73" s="7">
        <f t="shared" ca="1" si="41"/>
        <v>231679.61566120328</v>
      </c>
      <c r="E73" s="7">
        <f t="shared" ca="1" si="41"/>
        <v>238630.00413103937</v>
      </c>
      <c r="F73" s="7">
        <f t="shared" ca="1" si="41"/>
        <v>245788.90425497055</v>
      </c>
      <c r="G73" s="7">
        <f t="shared" ca="1" si="41"/>
        <v>253162.57138261967</v>
      </c>
      <c r="H73" s="7">
        <f t="shared" ca="1" si="41"/>
        <v>260757.44852409826</v>
      </c>
      <c r="I73" s="7">
        <f t="shared" ca="1" si="41"/>
        <v>268580.17197982123</v>
      </c>
      <c r="J73" s="7">
        <f t="shared" ca="1" si="41"/>
        <v>276637.57713921589</v>
      </c>
      <c r="K73" s="7">
        <f t="shared" ca="1" si="41"/>
        <v>284936.70445339236</v>
      </c>
      <c r="L73" s="7">
        <f t="shared" ca="1" si="41"/>
        <v>293484.80558699416</v>
      </c>
      <c r="M73" s="7">
        <f t="shared" ca="1" si="41"/>
        <v>302289.34975460399</v>
      </c>
      <c r="N73" s="7">
        <f t="shared" ca="1" si="41"/>
        <v>311358.03024724213</v>
      </c>
      <c r="O73" s="7">
        <f t="shared" ca="1" si="41"/>
        <v>320698.77115465939</v>
      </c>
      <c r="P73" s="7">
        <f t="shared" ca="1" si="41"/>
        <v>330319.73428929917</v>
      </c>
      <c r="Q73" s="7">
        <f t="shared" ca="1" si="41"/>
        <v>340229.32631797815</v>
      </c>
      <c r="R73" s="7">
        <f t="shared" ca="1" si="41"/>
        <v>350436.20610751753</v>
      </c>
      <c r="S73" s="7">
        <f t="shared" ca="1" si="41"/>
        <v>360949.29229074309</v>
      </c>
      <c r="T73" s="7">
        <f t="shared" ca="1" si="42"/>
        <v>371777.77105946542</v>
      </c>
      <c r="U73" s="7">
        <f t="shared" ca="1" si="42"/>
        <v>382931.10419124941</v>
      </c>
      <c r="V73" s="7">
        <f t="shared" ca="1" si="42"/>
        <v>394419.03731698688</v>
      </c>
      <c r="W73" s="7">
        <f t="shared" ca="1" si="42"/>
        <v>406251.60843649652</v>
      </c>
      <c r="X73" s="7">
        <f t="shared" ca="1" si="42"/>
        <v>418439.15668959141</v>
      </c>
      <c r="Y73" s="7">
        <f t="shared" ca="1" si="42"/>
        <v>430992.33139027917</v>
      </c>
      <c r="Z73" s="7">
        <f t="shared" ca="1" si="42"/>
        <v>443922.10133198753</v>
      </c>
      <c r="AA73" s="7">
        <f t="shared" ca="1" si="42"/>
        <v>457239.76437194715</v>
      </c>
      <c r="AB73" s="7">
        <f t="shared" ca="1" si="42"/>
        <v>470956.95730310556</v>
      </c>
      <c r="AC73" s="7">
        <f t="shared" ca="1" si="42"/>
        <v>485085.66602219874</v>
      </c>
      <c r="AD73" s="7">
        <f t="shared" ca="1" si="42"/>
        <v>499638.23600286472</v>
      </c>
      <c r="AE73" s="7">
        <f t="shared" ca="1" si="42"/>
        <v>514627.38308295066</v>
      </c>
      <c r="AF73" s="7">
        <f t="shared" ca="1" si="42"/>
        <v>530066.20457543922</v>
      </c>
      <c r="AG73" s="7">
        <f t="shared" ca="1" si="42"/>
        <v>545968.19071270246</v>
      </c>
      <c r="AH73" s="7">
        <f t="shared" ca="1" si="42"/>
        <v>562347.23643408355</v>
      </c>
      <c r="AI73" s="7">
        <f t="shared" ca="1" si="42"/>
        <v>579217.65352710604</v>
      </c>
      <c r="AJ73" s="7">
        <f t="shared" ca="1" si="43"/>
        <v>596594.18313291925</v>
      </c>
      <c r="AK73" s="7">
        <f t="shared" ca="1" si="43"/>
        <v>614492.0086269069</v>
      </c>
      <c r="AL73" s="7">
        <f t="shared" ca="1" si="43"/>
        <v>632926.76888571412</v>
      </c>
      <c r="AM73" s="7">
        <f t="shared" ca="1" si="43"/>
        <v>651914.57195228559</v>
      </c>
    </row>
    <row r="74" spans="1:39" x14ac:dyDescent="0.2">
      <c r="A74" s="3" t="str">
        <f>TEXT(Inputs!$B$75,"")</f>
        <v>Gudja</v>
      </c>
      <c r="C74" s="7">
        <f ca="1">Inputs!B76*(1+princ)^ProRate</f>
        <v>81793.332978359496</v>
      </c>
      <c r="D74" s="7">
        <f t="shared" ca="1" si="41"/>
        <v>84247.132967710277</v>
      </c>
      <c r="E74" s="7">
        <f t="shared" ca="1" si="41"/>
        <v>86774.546956741586</v>
      </c>
      <c r="F74" s="7">
        <f t="shared" ca="1" si="41"/>
        <v>89377.783365443829</v>
      </c>
      <c r="G74" s="7">
        <f t="shared" ca="1" si="41"/>
        <v>92059.116866407145</v>
      </c>
      <c r="H74" s="7">
        <f t="shared" ca="1" si="41"/>
        <v>94820.890372399357</v>
      </c>
      <c r="I74" s="7">
        <f t="shared" ca="1" si="41"/>
        <v>97665.517083571336</v>
      </c>
      <c r="J74" s="7">
        <f t="shared" ca="1" si="41"/>
        <v>100595.48259607848</v>
      </c>
      <c r="K74" s="7">
        <f t="shared" ca="1" si="41"/>
        <v>103613.34707396083</v>
      </c>
      <c r="L74" s="7">
        <f t="shared" ca="1" si="41"/>
        <v>106721.74748617967</v>
      </c>
      <c r="M74" s="7">
        <f t="shared" ca="1" si="41"/>
        <v>109923.39991076506</v>
      </c>
      <c r="N74" s="7">
        <f t="shared" ca="1" si="41"/>
        <v>113221.10190808802</v>
      </c>
      <c r="O74" s="7">
        <f t="shared" ca="1" si="41"/>
        <v>116617.73496533066</v>
      </c>
      <c r="P74" s="7">
        <f t="shared" ca="1" si="41"/>
        <v>120116.26701429058</v>
      </c>
      <c r="Q74" s="7">
        <f t="shared" ca="1" si="41"/>
        <v>123719.7550247193</v>
      </c>
      <c r="R74" s="7">
        <f t="shared" ca="1" si="41"/>
        <v>127431.34767546089</v>
      </c>
      <c r="S74" s="7">
        <f t="shared" ca="1" si="41"/>
        <v>131254.28810572473</v>
      </c>
      <c r="T74" s="7">
        <f t="shared" ca="1" si="42"/>
        <v>135191.91674889647</v>
      </c>
      <c r="U74" s="7">
        <f t="shared" ca="1" si="42"/>
        <v>139247.67425136338</v>
      </c>
      <c r="V74" s="7">
        <f t="shared" ca="1" si="42"/>
        <v>143425.10447890428</v>
      </c>
      <c r="W74" s="7">
        <f t="shared" ca="1" si="42"/>
        <v>147727.85761327142</v>
      </c>
      <c r="X74" s="7">
        <f t="shared" ca="1" si="42"/>
        <v>152159.69334166957</v>
      </c>
      <c r="Y74" s="7">
        <f t="shared" ca="1" si="42"/>
        <v>156724.48414191965</v>
      </c>
      <c r="Z74" s="7">
        <f t="shared" ca="1" si="42"/>
        <v>161426.21866617724</v>
      </c>
      <c r="AA74" s="7">
        <f t="shared" ca="1" si="42"/>
        <v>166269.00522616255</v>
      </c>
      <c r="AB74" s="7">
        <f t="shared" ca="1" si="42"/>
        <v>171257.07538294743</v>
      </c>
      <c r="AC74" s="7">
        <f t="shared" ca="1" si="42"/>
        <v>176394.78764443586</v>
      </c>
      <c r="AD74" s="7">
        <f t="shared" ca="1" si="42"/>
        <v>181686.63127376893</v>
      </c>
      <c r="AE74" s="7">
        <f t="shared" ca="1" si="42"/>
        <v>187137.23021198201</v>
      </c>
      <c r="AF74" s="7">
        <f t="shared" ca="1" si="42"/>
        <v>192751.34711834148</v>
      </c>
      <c r="AG74" s="7">
        <f t="shared" ca="1" si="42"/>
        <v>198533.88753189173</v>
      </c>
      <c r="AH74" s="7">
        <f t="shared" ca="1" si="42"/>
        <v>204489.90415784848</v>
      </c>
      <c r="AI74" s="7">
        <f t="shared" ca="1" si="42"/>
        <v>210624.60128258393</v>
      </c>
      <c r="AJ74" s="7">
        <f t="shared" ca="1" si="43"/>
        <v>216943.33932106144</v>
      </c>
      <c r="AK74" s="7">
        <f t="shared" ca="1" si="43"/>
        <v>223451.6395006933</v>
      </c>
      <c r="AL74" s="7">
        <f t="shared" ca="1" si="43"/>
        <v>230155.18868571409</v>
      </c>
      <c r="AM74" s="7">
        <f t="shared" ca="1" si="43"/>
        <v>237059.84434628554</v>
      </c>
    </row>
    <row r="75" spans="1:39" x14ac:dyDescent="0.2">
      <c r="A75" s="3" t="str">
        <f>TEXT(Inputs!$B$80,"")</f>
        <v>Marsa</v>
      </c>
      <c r="C75" s="7">
        <f ca="1">Inputs!B81*(1+princ)^ProRate</f>
        <v>122689.99946753924</v>
      </c>
      <c r="D75" s="7">
        <f t="shared" ca="1" si="41"/>
        <v>126370.69945156542</v>
      </c>
      <c r="E75" s="7">
        <f t="shared" ca="1" si="41"/>
        <v>130161.82043511239</v>
      </c>
      <c r="F75" s="7">
        <f t="shared" ca="1" si="41"/>
        <v>134066.67504816575</v>
      </c>
      <c r="G75" s="7">
        <f t="shared" ca="1" si="41"/>
        <v>138088.67529961074</v>
      </c>
      <c r="H75" s="7">
        <f t="shared" ca="1" si="41"/>
        <v>142231.33555859906</v>
      </c>
      <c r="I75" s="7">
        <f t="shared" ca="1" si="41"/>
        <v>146498.27562535706</v>
      </c>
      <c r="J75" s="7">
        <f t="shared" ca="1" si="41"/>
        <v>150893.22389411778</v>
      </c>
      <c r="K75" s="7">
        <f t="shared" ca="1" si="41"/>
        <v>155420.02061094131</v>
      </c>
      <c r="L75" s="7">
        <f t="shared" ca="1" si="41"/>
        <v>160082.62122926954</v>
      </c>
      <c r="M75" s="7">
        <f t="shared" ca="1" si="41"/>
        <v>164885.09986614762</v>
      </c>
      <c r="N75" s="7">
        <f t="shared" ca="1" si="41"/>
        <v>169831.65286213206</v>
      </c>
      <c r="O75" s="7">
        <f t="shared" ca="1" si="41"/>
        <v>174926.60244799603</v>
      </c>
      <c r="P75" s="7">
        <f t="shared" ca="1" si="41"/>
        <v>180174.40052143592</v>
      </c>
      <c r="Q75" s="7">
        <f t="shared" ca="1" si="41"/>
        <v>185579.63253707901</v>
      </c>
      <c r="R75" s="7">
        <f t="shared" ca="1" si="41"/>
        <v>191147.0215131914</v>
      </c>
      <c r="S75" s="7">
        <f t="shared" ca="1" si="41"/>
        <v>196881.43215858715</v>
      </c>
      <c r="T75" s="7">
        <f t="shared" ca="1" si="42"/>
        <v>202787.87512334477</v>
      </c>
      <c r="U75" s="7">
        <f t="shared" ca="1" si="42"/>
        <v>208871.51137704513</v>
      </c>
      <c r="V75" s="7">
        <f t="shared" ca="1" si="42"/>
        <v>215137.65671835648</v>
      </c>
      <c r="W75" s="7">
        <f t="shared" ca="1" si="42"/>
        <v>221591.78641990718</v>
      </c>
      <c r="X75" s="7">
        <f t="shared" ca="1" si="42"/>
        <v>228239.54001250441</v>
      </c>
      <c r="Y75" s="7">
        <f t="shared" ca="1" si="42"/>
        <v>235086.72621287956</v>
      </c>
      <c r="Z75" s="7">
        <f t="shared" ca="1" si="42"/>
        <v>242139.32799926595</v>
      </c>
      <c r="AA75" s="7">
        <f t="shared" ca="1" si="42"/>
        <v>249403.50783924395</v>
      </c>
      <c r="AB75" s="7">
        <f t="shared" ca="1" si="42"/>
        <v>256885.61307442127</v>
      </c>
      <c r="AC75" s="7">
        <f t="shared" ca="1" si="42"/>
        <v>264592.18146665394</v>
      </c>
      <c r="AD75" s="7">
        <f t="shared" ca="1" si="42"/>
        <v>272529.94691065355</v>
      </c>
      <c r="AE75" s="7">
        <f t="shared" ca="1" si="42"/>
        <v>280705.84531797317</v>
      </c>
      <c r="AF75" s="7">
        <f t="shared" ca="1" si="42"/>
        <v>289127.0206775124</v>
      </c>
      <c r="AG75" s="7">
        <f t="shared" ca="1" si="42"/>
        <v>297800.83129783778</v>
      </c>
      <c r="AH75" s="7">
        <f t="shared" ca="1" si="42"/>
        <v>306734.8562367729</v>
      </c>
      <c r="AI75" s="7">
        <f t="shared" ca="1" si="42"/>
        <v>315936.90192387608</v>
      </c>
      <c r="AJ75" s="7">
        <f t="shared" ca="1" si="43"/>
        <v>325415.00898159237</v>
      </c>
      <c r="AK75" s="7">
        <f t="shared" ca="1" si="43"/>
        <v>335177.45925104013</v>
      </c>
      <c r="AL75" s="7">
        <f t="shared" ca="1" si="43"/>
        <v>345232.78302857134</v>
      </c>
      <c r="AM75" s="7">
        <f t="shared" ca="1" si="43"/>
        <v>355589.76651942846</v>
      </c>
    </row>
    <row r="76" spans="1:39" x14ac:dyDescent="0.2">
      <c r="A76" s="4" t="s">
        <v>193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</row>
    <row r="77" spans="1:39" x14ac:dyDescent="0.2">
      <c r="A77" s="3" t="str">
        <f>TEXT(Inputs!$B$87,"")</f>
        <v>Jewelry</v>
      </c>
      <c r="C77" s="7">
        <f ca="1">Inputs!B88*(1+A1inc)^ProRate</f>
        <v>50748.140451472013</v>
      </c>
      <c r="D77" s="7">
        <f t="shared" ref="D77:AM77" ca="1" si="44">C77*(1+A1inc)</f>
        <v>51763.103260501455</v>
      </c>
      <c r="E77" s="7">
        <f t="shared" ca="1" si="44"/>
        <v>52798.365325711486</v>
      </c>
      <c r="F77" s="7">
        <f t="shared" ca="1" si="44"/>
        <v>53854.33263222572</v>
      </c>
      <c r="G77" s="7">
        <f t="shared" ca="1" si="44"/>
        <v>54931.419284870237</v>
      </c>
      <c r="H77" s="7">
        <f t="shared" ca="1" si="44"/>
        <v>56030.047670567641</v>
      </c>
      <c r="I77" s="7">
        <f t="shared" ca="1" si="44"/>
        <v>57150.648623978996</v>
      </c>
      <c r="J77" s="7">
        <f t="shared" ca="1" si="44"/>
        <v>58293.66159645858</v>
      </c>
      <c r="K77" s="7">
        <f t="shared" ca="1" si="44"/>
        <v>59459.534828387754</v>
      </c>
      <c r="L77" s="7">
        <f t="shared" ca="1" si="44"/>
        <v>60648.725524955509</v>
      </c>
      <c r="M77" s="7">
        <f t="shared" ca="1" si="44"/>
        <v>61861.700035454618</v>
      </c>
      <c r="N77" s="7">
        <f t="shared" ca="1" si="44"/>
        <v>63098.934036163715</v>
      </c>
      <c r="O77" s="7">
        <f t="shared" ca="1" si="44"/>
        <v>64360.912716886989</v>
      </c>
      <c r="P77" s="7">
        <f t="shared" ca="1" si="44"/>
        <v>65648.130971224731</v>
      </c>
      <c r="Q77" s="7">
        <f t="shared" ca="1" si="44"/>
        <v>66961.093590649223</v>
      </c>
      <c r="R77" s="7">
        <f t="shared" ca="1" si="44"/>
        <v>68300.315462462211</v>
      </c>
      <c r="S77" s="7">
        <f t="shared" ca="1" si="44"/>
        <v>69666.32177171146</v>
      </c>
      <c r="T77" s="7">
        <f t="shared" ca="1" si="44"/>
        <v>71059.648207145685</v>
      </c>
      <c r="U77" s="7">
        <f t="shared" ca="1" si="44"/>
        <v>72480.841171288601</v>
      </c>
      <c r="V77" s="7">
        <f t="shared" ca="1" si="44"/>
        <v>73930.457994714379</v>
      </c>
      <c r="W77" s="7">
        <f t="shared" ca="1" si="44"/>
        <v>75409.067154608667</v>
      </c>
      <c r="X77" s="7">
        <f t="shared" ca="1" si="44"/>
        <v>76917.248497700843</v>
      </c>
      <c r="Y77" s="7">
        <f t="shared" ca="1" si="44"/>
        <v>78455.593467654864</v>
      </c>
      <c r="Z77" s="7">
        <f t="shared" ca="1" si="44"/>
        <v>80024.705337007967</v>
      </c>
      <c r="AA77" s="7">
        <f t="shared" ca="1" si="44"/>
        <v>81625.199443748133</v>
      </c>
      <c r="AB77" s="7">
        <f t="shared" ca="1" si="44"/>
        <v>83257.703432623093</v>
      </c>
      <c r="AC77" s="7">
        <f t="shared" ca="1" si="44"/>
        <v>84922.857501275561</v>
      </c>
      <c r="AD77" s="7">
        <f t="shared" ca="1" si="44"/>
        <v>86621.314651301072</v>
      </c>
      <c r="AE77" s="7">
        <f t="shared" ca="1" si="44"/>
        <v>88353.740944327103</v>
      </c>
      <c r="AF77" s="7">
        <f t="shared" ca="1" si="44"/>
        <v>90120.815763213643</v>
      </c>
      <c r="AG77" s="7">
        <f t="shared" ca="1" si="44"/>
        <v>91923.232078477915</v>
      </c>
      <c r="AH77" s="7">
        <f t="shared" ca="1" si="44"/>
        <v>93761.696720047476</v>
      </c>
      <c r="AI77" s="7">
        <f t="shared" ca="1" si="44"/>
        <v>95636.930654448428</v>
      </c>
      <c r="AJ77" s="7">
        <f t="shared" ca="1" si="44"/>
        <v>97549.669267537392</v>
      </c>
      <c r="AK77" s="7">
        <f t="shared" ca="1" si="44"/>
        <v>99500.662652888146</v>
      </c>
      <c r="AL77" s="7">
        <f t="shared" ca="1" si="44"/>
        <v>101490.67590594591</v>
      </c>
      <c r="AM77" s="7">
        <f t="shared" ca="1" si="44"/>
        <v>103520.48942406483</v>
      </c>
    </row>
    <row r="78" spans="1:39" x14ac:dyDescent="0.2">
      <c r="A78" s="3" t="str">
        <f>TEXT(Inputs!$B$92,"")</f>
        <v>Car</v>
      </c>
      <c r="C78" s="7">
        <f ca="1">Inputs!B93*(1+A2inc)^ProRate</f>
        <v>38490.424009238486</v>
      </c>
      <c r="D78" s="7">
        <f t="shared" ref="D78:AM78" ca="1" si="45">C78*(1+A2inc)</f>
        <v>36565.902808776562</v>
      </c>
      <c r="E78" s="7">
        <f t="shared" ca="1" si="45"/>
        <v>34737.607668337732</v>
      </c>
      <c r="F78" s="7">
        <f t="shared" ca="1" si="45"/>
        <v>33000.727284920846</v>
      </c>
      <c r="G78" s="7">
        <f t="shared" ca="1" si="45"/>
        <v>31350.690920674802</v>
      </c>
      <c r="H78" s="7">
        <f t="shared" ca="1" si="45"/>
        <v>29783.156374641061</v>
      </c>
      <c r="I78" s="7">
        <f t="shared" ca="1" si="45"/>
        <v>28293.998555909006</v>
      </c>
      <c r="J78" s="7">
        <f t="shared" ca="1" si="45"/>
        <v>26879.298628113553</v>
      </c>
      <c r="K78" s="7">
        <f t="shared" ca="1" si="45"/>
        <v>25535.333696707872</v>
      </c>
      <c r="L78" s="7">
        <f t="shared" ca="1" si="45"/>
        <v>24258.567011872477</v>
      </c>
      <c r="M78" s="7">
        <f t="shared" ca="1" si="45"/>
        <v>23045.638661278852</v>
      </c>
      <c r="N78" s="7">
        <f t="shared" ca="1" si="45"/>
        <v>21893.356728214909</v>
      </c>
      <c r="O78" s="7">
        <f t="shared" ca="1" si="45"/>
        <v>20798.688891804162</v>
      </c>
      <c r="P78" s="7">
        <f t="shared" ca="1" si="45"/>
        <v>19758.754447213953</v>
      </c>
      <c r="Q78" s="7">
        <f t="shared" ca="1" si="45"/>
        <v>18770.816724853255</v>
      </c>
      <c r="R78" s="7">
        <f t="shared" ca="1" si="45"/>
        <v>17832.275888610591</v>
      </c>
      <c r="S78" s="7">
        <f t="shared" ca="1" si="45"/>
        <v>16940.662094180061</v>
      </c>
      <c r="T78" s="7">
        <f t="shared" ca="1" si="45"/>
        <v>16093.628989471057</v>
      </c>
      <c r="U78" s="7">
        <f t="shared" ca="1" si="45"/>
        <v>15288.947539997504</v>
      </c>
      <c r="V78" s="7">
        <f t="shared" ca="1" si="45"/>
        <v>14524.500162997627</v>
      </c>
      <c r="W78" s="7">
        <f t="shared" ca="1" si="45"/>
        <v>13798.275154847744</v>
      </c>
      <c r="X78" s="7">
        <f t="shared" ca="1" si="45"/>
        <v>13108.361397105356</v>
      </c>
      <c r="Y78" s="7">
        <f t="shared" ca="1" si="45"/>
        <v>12452.943327250088</v>
      </c>
      <c r="Z78" s="7">
        <f t="shared" ca="1" si="45"/>
        <v>11830.296160887583</v>
      </c>
      <c r="AA78" s="7">
        <f t="shared" ca="1" si="45"/>
        <v>11238.781352843203</v>
      </c>
      <c r="AB78" s="7">
        <f t="shared" ca="1" si="45"/>
        <v>10676.842285201043</v>
      </c>
      <c r="AC78" s="7">
        <f t="shared" ca="1" si="45"/>
        <v>10143.00017094099</v>
      </c>
      <c r="AD78" s="7">
        <f t="shared" ca="1" si="45"/>
        <v>9635.8501623939392</v>
      </c>
      <c r="AE78" s="7">
        <f t="shared" ca="1" si="45"/>
        <v>9154.0576542742419</v>
      </c>
      <c r="AF78" s="7">
        <f t="shared" ca="1" si="45"/>
        <v>8696.3547715605291</v>
      </c>
      <c r="AG78" s="7">
        <f t="shared" ca="1" si="45"/>
        <v>8261.5370329825018</v>
      </c>
      <c r="AH78" s="7">
        <f t="shared" ca="1" si="45"/>
        <v>7848.4601813333766</v>
      </c>
      <c r="AI78" s="7">
        <f t="shared" ca="1" si="45"/>
        <v>7456.0371722667078</v>
      </c>
      <c r="AJ78" s="7">
        <f t="shared" ca="1" si="45"/>
        <v>7083.235313653372</v>
      </c>
      <c r="AK78" s="7">
        <f t="shared" ca="1" si="45"/>
        <v>6729.0735479707027</v>
      </c>
      <c r="AL78" s="7">
        <f t="shared" ca="1" si="45"/>
        <v>6392.6198705721672</v>
      </c>
      <c r="AM78" s="7">
        <f t="shared" ca="1" si="45"/>
        <v>6072.9888770435582</v>
      </c>
    </row>
    <row r="79" spans="1:39" x14ac:dyDescent="0.2">
      <c r="A79" s="3" t="str">
        <f>TEXT(Inputs!$B$97,"")</f>
        <v>Painting</v>
      </c>
      <c r="C79" s="7">
        <f ca="1">Inputs!B98*(1+A3inc)^ProRate</f>
        <v>20448.333244589874</v>
      </c>
      <c r="D79" s="7">
        <f t="shared" ref="D79:AM79" ca="1" si="46">C79*(1+A3inc)</f>
        <v>21061.783241927569</v>
      </c>
      <c r="E79" s="7">
        <f t="shared" ca="1" si="46"/>
        <v>21693.636739185396</v>
      </c>
      <c r="F79" s="7">
        <f t="shared" ca="1" si="46"/>
        <v>22344.445841360957</v>
      </c>
      <c r="G79" s="7">
        <f t="shared" ca="1" si="46"/>
        <v>23014.779216601786</v>
      </c>
      <c r="H79" s="7">
        <f t="shared" ca="1" si="46"/>
        <v>23705.222593099839</v>
      </c>
      <c r="I79" s="7">
        <f t="shared" ca="1" si="46"/>
        <v>24416.379270892834</v>
      </c>
      <c r="J79" s="7">
        <f t="shared" ca="1" si="46"/>
        <v>25148.87064901962</v>
      </c>
      <c r="K79" s="7">
        <f t="shared" ca="1" si="46"/>
        <v>25903.336768490208</v>
      </c>
      <c r="L79" s="7">
        <f t="shared" ca="1" si="46"/>
        <v>26680.436871544916</v>
      </c>
      <c r="M79" s="7">
        <f t="shared" ca="1" si="46"/>
        <v>27480.849977691265</v>
      </c>
      <c r="N79" s="7">
        <f t="shared" ca="1" si="46"/>
        <v>28305.275477022005</v>
      </c>
      <c r="O79" s="7">
        <f t="shared" ca="1" si="46"/>
        <v>29154.433741332665</v>
      </c>
      <c r="P79" s="7">
        <f t="shared" ca="1" si="46"/>
        <v>30029.066753572646</v>
      </c>
      <c r="Q79" s="7">
        <f t="shared" ca="1" si="46"/>
        <v>30929.938756179825</v>
      </c>
      <c r="R79" s="7">
        <f t="shared" ca="1" si="46"/>
        <v>31857.836918865221</v>
      </c>
      <c r="S79" s="7">
        <f t="shared" ca="1" si="46"/>
        <v>32813.572026431182</v>
      </c>
      <c r="T79" s="7">
        <f t="shared" ca="1" si="46"/>
        <v>33797.979187224119</v>
      </c>
      <c r="U79" s="7">
        <f t="shared" ca="1" si="46"/>
        <v>34811.918562840845</v>
      </c>
      <c r="V79" s="7">
        <f t="shared" ca="1" si="46"/>
        <v>35856.27611972607</v>
      </c>
      <c r="W79" s="7">
        <f t="shared" ca="1" si="46"/>
        <v>36931.964403317856</v>
      </c>
      <c r="X79" s="7">
        <f t="shared" ca="1" si="46"/>
        <v>38039.923335417392</v>
      </c>
      <c r="Y79" s="7">
        <f t="shared" ca="1" si="46"/>
        <v>39181.121035479911</v>
      </c>
      <c r="Z79" s="7">
        <f t="shared" ca="1" si="46"/>
        <v>40356.554666544311</v>
      </c>
      <c r="AA79" s="7">
        <f t="shared" ca="1" si="46"/>
        <v>41567.251306540638</v>
      </c>
      <c r="AB79" s="7">
        <f t="shared" ca="1" si="46"/>
        <v>42814.268845736857</v>
      </c>
      <c r="AC79" s="7">
        <f t="shared" ca="1" si="46"/>
        <v>44098.696911108964</v>
      </c>
      <c r="AD79" s="7">
        <f t="shared" ca="1" si="46"/>
        <v>45421.657818442232</v>
      </c>
      <c r="AE79" s="7">
        <f t="shared" ca="1" si="46"/>
        <v>46784.307552995502</v>
      </c>
      <c r="AF79" s="7">
        <f t="shared" ca="1" si="46"/>
        <v>48187.83677958537</v>
      </c>
      <c r="AG79" s="7">
        <f t="shared" ca="1" si="46"/>
        <v>49633.471882972932</v>
      </c>
      <c r="AH79" s="7">
        <f t="shared" ca="1" si="46"/>
        <v>51122.476039462119</v>
      </c>
      <c r="AI79" s="7">
        <f t="shared" ca="1" si="46"/>
        <v>52656.150320645982</v>
      </c>
      <c r="AJ79" s="7">
        <f t="shared" ca="1" si="46"/>
        <v>54235.834830265361</v>
      </c>
      <c r="AK79" s="7">
        <f t="shared" ca="1" si="46"/>
        <v>55862.909875173325</v>
      </c>
      <c r="AL79" s="7">
        <f t="shared" ca="1" si="46"/>
        <v>57538.797171428523</v>
      </c>
      <c r="AM79" s="7">
        <f t="shared" ca="1" si="46"/>
        <v>59264.961086571384</v>
      </c>
    </row>
    <row r="80" spans="1:39" x14ac:dyDescent="0.2">
      <c r="A80" s="3" t="str">
        <f>TEXT(Inputs!$B$102,"")</f>
        <v>Boat</v>
      </c>
      <c r="C80" s="7">
        <f ca="1">Inputs!B103*(1+A4inc)^ProRate</f>
        <v>173206.90804157319</v>
      </c>
      <c r="D80" s="7">
        <f t="shared" ref="D80:AM80" ca="1" si="47">C80*(1+A4inc)</f>
        <v>164546.56263949451</v>
      </c>
      <c r="E80" s="7">
        <f t="shared" ca="1" si="47"/>
        <v>156319.23450751978</v>
      </c>
      <c r="F80" s="7">
        <f t="shared" ca="1" si="47"/>
        <v>148503.27278214379</v>
      </c>
      <c r="G80" s="7">
        <f t="shared" ca="1" si="47"/>
        <v>141078.10914303659</v>
      </c>
      <c r="H80" s="7">
        <f t="shared" ca="1" si="47"/>
        <v>134024.20368588474</v>
      </c>
      <c r="I80" s="7">
        <f t="shared" ca="1" si="47"/>
        <v>127322.99350159049</v>
      </c>
      <c r="J80" s="7">
        <f t="shared" ca="1" si="47"/>
        <v>120956.84382651096</v>
      </c>
      <c r="K80" s="7">
        <f t="shared" ca="1" si="47"/>
        <v>114909.0016351854</v>
      </c>
      <c r="L80" s="7">
        <f t="shared" ca="1" si="47"/>
        <v>109163.55155342612</v>
      </c>
      <c r="M80" s="7">
        <f t="shared" ca="1" si="47"/>
        <v>103705.37397575482</v>
      </c>
      <c r="N80" s="7">
        <f t="shared" ca="1" si="47"/>
        <v>98520.105276967079</v>
      </c>
      <c r="O80" s="7">
        <f t="shared" ca="1" si="47"/>
        <v>93594.100013118717</v>
      </c>
      <c r="P80" s="7">
        <f t="shared" ca="1" si="47"/>
        <v>88914.395012462774</v>
      </c>
      <c r="Q80" s="7">
        <f t="shared" ca="1" si="47"/>
        <v>84468.675261839628</v>
      </c>
      <c r="R80" s="7">
        <f t="shared" ca="1" si="47"/>
        <v>80245.241498747637</v>
      </c>
      <c r="S80" s="7">
        <f t="shared" ca="1" si="47"/>
        <v>76232.979423810248</v>
      </c>
      <c r="T80" s="7">
        <f t="shared" ca="1" si="47"/>
        <v>72421.330452619732</v>
      </c>
      <c r="U80" s="7">
        <f t="shared" ca="1" si="47"/>
        <v>68800.263929988738</v>
      </c>
      <c r="V80" s="7">
        <f t="shared" ca="1" si="47"/>
        <v>65360.250733489294</v>
      </c>
      <c r="W80" s="7">
        <f t="shared" ca="1" si="47"/>
        <v>62092.238196814826</v>
      </c>
      <c r="X80" s="7">
        <f t="shared" ca="1" si="47"/>
        <v>58987.626286974082</v>
      </c>
      <c r="Y80" s="7">
        <f t="shared" ca="1" si="47"/>
        <v>56038.244972625376</v>
      </c>
      <c r="Z80" s="7">
        <f t="shared" ca="1" si="47"/>
        <v>53236.332723994106</v>
      </c>
      <c r="AA80" s="7">
        <f t="shared" ca="1" si="47"/>
        <v>50574.5160877944</v>
      </c>
      <c r="AB80" s="7">
        <f t="shared" ca="1" si="47"/>
        <v>48045.790283404676</v>
      </c>
      <c r="AC80" s="7">
        <f t="shared" ca="1" si="47"/>
        <v>45643.500769234437</v>
      </c>
      <c r="AD80" s="7">
        <f t="shared" ca="1" si="47"/>
        <v>43361.325730772711</v>
      </c>
      <c r="AE80" s="7">
        <f t="shared" ca="1" si="47"/>
        <v>41193.259444234071</v>
      </c>
      <c r="AF80" s="7">
        <f t="shared" ca="1" si="47"/>
        <v>39133.596472022364</v>
      </c>
      <c r="AG80" s="7">
        <f t="shared" ca="1" si="47"/>
        <v>37176.916648421247</v>
      </c>
      <c r="AH80" s="7">
        <f t="shared" ca="1" si="47"/>
        <v>35318.070816000181</v>
      </c>
      <c r="AI80" s="7">
        <f t="shared" ca="1" si="47"/>
        <v>33552.167275200169</v>
      </c>
      <c r="AJ80" s="7">
        <f t="shared" ca="1" si="47"/>
        <v>31874.558911440159</v>
      </c>
      <c r="AK80" s="7">
        <f t="shared" ca="1" si="47"/>
        <v>30280.83096586815</v>
      </c>
      <c r="AL80" s="7">
        <f t="shared" ca="1" si="47"/>
        <v>28766.789417574742</v>
      </c>
      <c r="AM80" s="7">
        <f t="shared" ca="1" si="47"/>
        <v>27328.449946696004</v>
      </c>
    </row>
    <row r="81" spans="1:39" x14ac:dyDescent="0.2">
      <c r="A81" s="3" t="str">
        <f>TEXT(Inputs!$B$107,"")</f>
        <v>Antiques</v>
      </c>
      <c r="C81" s="7">
        <f ca="1">Inputs!B108*(1+A5inc)^ProRate</f>
        <v>83226.9503404141</v>
      </c>
      <c r="D81" s="7">
        <f t="shared" ref="D81:AM81" ca="1" si="48">C81*(1+A5inc)</f>
        <v>84891.489347222378</v>
      </c>
      <c r="E81" s="7">
        <f t="shared" ca="1" si="48"/>
        <v>86589.319134166828</v>
      </c>
      <c r="F81" s="7">
        <f t="shared" ca="1" si="48"/>
        <v>88321.105516850163</v>
      </c>
      <c r="G81" s="7">
        <f t="shared" ca="1" si="48"/>
        <v>90087.52762718717</v>
      </c>
      <c r="H81" s="7">
        <f t="shared" ca="1" si="48"/>
        <v>91889.278179730914</v>
      </c>
      <c r="I81" s="7">
        <f t="shared" ca="1" si="48"/>
        <v>93727.063743325532</v>
      </c>
      <c r="J81" s="7">
        <f t="shared" ca="1" si="48"/>
        <v>95601.605018192044</v>
      </c>
      <c r="K81" s="7">
        <f t="shared" ca="1" si="48"/>
        <v>97513.637118555882</v>
      </c>
      <c r="L81" s="7">
        <f t="shared" ca="1" si="48"/>
        <v>99463.909860927</v>
      </c>
      <c r="M81" s="7">
        <f t="shared" ca="1" si="48"/>
        <v>101453.18805814555</v>
      </c>
      <c r="N81" s="7">
        <f t="shared" ca="1" si="48"/>
        <v>103482.25181930845</v>
      </c>
      <c r="O81" s="7">
        <f t="shared" ca="1" si="48"/>
        <v>105551.89685569462</v>
      </c>
      <c r="P81" s="7">
        <f t="shared" ca="1" si="48"/>
        <v>107662.93479280852</v>
      </c>
      <c r="Q81" s="7">
        <f t="shared" ca="1" si="48"/>
        <v>109816.19348866469</v>
      </c>
      <c r="R81" s="7">
        <f t="shared" ca="1" si="48"/>
        <v>112012.51735843798</v>
      </c>
      <c r="S81" s="7">
        <f t="shared" ca="1" si="48"/>
        <v>114252.76770560675</v>
      </c>
      <c r="T81" s="7">
        <f t="shared" ca="1" si="48"/>
        <v>116537.82305971888</v>
      </c>
      <c r="U81" s="7">
        <f t="shared" ca="1" si="48"/>
        <v>118868.57952091326</v>
      </c>
      <c r="V81" s="7">
        <f t="shared" ca="1" si="48"/>
        <v>121245.95111133152</v>
      </c>
      <c r="W81" s="7">
        <f t="shared" ca="1" si="48"/>
        <v>123670.87013355816</v>
      </c>
      <c r="X81" s="7">
        <f t="shared" ca="1" si="48"/>
        <v>126144.28753622933</v>
      </c>
      <c r="Y81" s="7">
        <f t="shared" ca="1" si="48"/>
        <v>128667.17328695391</v>
      </c>
      <c r="Z81" s="7">
        <f t="shared" ca="1" si="48"/>
        <v>131240.51675269299</v>
      </c>
      <c r="AA81" s="7">
        <f t="shared" ca="1" si="48"/>
        <v>133865.32708774685</v>
      </c>
      <c r="AB81" s="7">
        <f t="shared" ca="1" si="48"/>
        <v>136542.6336295018</v>
      </c>
      <c r="AC81" s="7">
        <f t="shared" ca="1" si="48"/>
        <v>139273.48630209183</v>
      </c>
      <c r="AD81" s="7">
        <f t="shared" ca="1" si="48"/>
        <v>142058.95602813366</v>
      </c>
      <c r="AE81" s="7">
        <f t="shared" ca="1" si="48"/>
        <v>144900.13514869634</v>
      </c>
      <c r="AF81" s="7">
        <f t="shared" ca="1" si="48"/>
        <v>147798.13785167027</v>
      </c>
      <c r="AG81" s="7">
        <f t="shared" ca="1" si="48"/>
        <v>150754.10060870368</v>
      </c>
      <c r="AH81" s="7">
        <f t="shared" ca="1" si="48"/>
        <v>153769.18262087775</v>
      </c>
      <c r="AI81" s="7">
        <f t="shared" ca="1" si="48"/>
        <v>156844.56627329532</v>
      </c>
      <c r="AJ81" s="7">
        <f t="shared" ca="1" si="48"/>
        <v>159981.45759876122</v>
      </c>
      <c r="AK81" s="7">
        <f t="shared" ca="1" si="48"/>
        <v>163181.08675073646</v>
      </c>
      <c r="AL81" s="7">
        <f t="shared" ca="1" si="48"/>
        <v>166444.70848575118</v>
      </c>
      <c r="AM81" s="7">
        <f t="shared" ca="1" si="48"/>
        <v>169773.60265546621</v>
      </c>
    </row>
    <row r="82" spans="1:39" x14ac:dyDescent="0.2">
      <c r="A82" s="4" t="s">
        <v>11</v>
      </c>
      <c r="C82" s="7">
        <f ca="1">Inputs!B10*(1+stinc)^ProRate</f>
        <v>31782.57432893329</v>
      </c>
      <c r="D82" s="7">
        <f ca="1">C82*(1+IF(AND(Inputs!$B$228&lt;&gt;"",D$2=Inputs!$B$228),-Inputs!$B$229,IF(AND(Inputs!$B$228&lt;&gt;"",D$2&gt;Inputs!$B$228,D$2&lt;=Inputs!$B$228+Inputs!$B$230),(1/(1-Inputs!$B$229))^(1/Inputs!$B$230)-1,IF(AND(Inputs!$B$233&lt;&gt;"",D$2=Inputs!$B$233),-Inputs!$B$234,IF(AND(Inputs!$B$233&lt;&gt;"",D$2&gt;Inputs!$B$233,D$2&lt;=Inputs!$B$233+Inputs!$B$235),(1/(1-Inputs!$B$234))^(1/Inputs!$B$235)-1,IF(AND(Inputs!$B$238&lt;&gt;"",D$2=Inputs!$B$238),-Inputs!$B$239,IF(AND(Inputs!$B$238&lt;&gt;"",D$2&gt;Inputs!$B$238,D$2&lt;=Inputs!$B$238+Inputs!$B$240),(1/(1-Inputs!$B$239))^(1/Inputs!$B$240)-1,IF(AND(Inputs!$B$243&lt;&gt;"",D$2=Inputs!$B$243),-Inputs!$B$244,IF(AND(Inputs!$B$243&lt;&gt;"",D$2&gt;Inputs!$B$243,D$2&lt;=Inputs!$B$243+Inputs!$B$245),(1/(1-Inputs!$B$244))^(1/Inputs!$B$245)-1,IF(AND(Inputs!$B$248&lt;&gt;"",D$2=Inputs!$B$248),-Inputs!$B$249,IF(AND(Inputs!$B$248&lt;&gt;"",D$2&gt;Inputs!$B$248,D$2&lt;=Inputs!$B$248+Inputs!$B$250),(1/(1-Inputs!$B$249))^(1/Inputs!$B$250)-1,stinc)))))))))))</f>
        <v>27015.188179593297</v>
      </c>
      <c r="E82" s="7">
        <f ca="1">D82*(1+IF(AND(Inputs!$B$228&lt;&gt;"",E$2=Inputs!$B$228),-Inputs!$B$229,IF(AND(Inputs!$B$228&lt;&gt;"",E$2&gt;Inputs!$B$228,E$2&lt;=Inputs!$B$228+Inputs!$B$230),(1/(1-Inputs!$B$229))^(1/Inputs!$B$230)-1,IF(AND(Inputs!$B$233&lt;&gt;"",E$2=Inputs!$B$233),-Inputs!$B$234,IF(AND(Inputs!$B$233&lt;&gt;"",E$2&gt;Inputs!$B$233,E$2&lt;=Inputs!$B$233+Inputs!$B$235),(1/(1-Inputs!$B$234))^(1/Inputs!$B$235)-1,IF(AND(Inputs!$B$238&lt;&gt;"",E$2=Inputs!$B$238),-Inputs!$B$239,IF(AND(Inputs!$B$238&lt;&gt;"",E$2&gt;Inputs!$B$238,E$2&lt;=Inputs!$B$238+Inputs!$B$240),(1/(1-Inputs!$B$239))^(1/Inputs!$B$240)-1,IF(AND(Inputs!$B$243&lt;&gt;"",E$2=Inputs!$B$243),-Inputs!$B$244,IF(AND(Inputs!$B$243&lt;&gt;"",E$2&gt;Inputs!$B$243,E$2&lt;=Inputs!$B$243+Inputs!$B$245),(1/(1-Inputs!$B$244))^(1/Inputs!$B$245)-1,IF(AND(Inputs!$B$248&lt;&gt;"",E$2=Inputs!$B$248),-Inputs!$B$249,IF(AND(Inputs!$B$248&lt;&gt;"",E$2&gt;Inputs!$B$248,E$2&lt;=Inputs!$B$248+Inputs!$B$250),(1/(1-Inputs!$B$249))^(1/Inputs!$B$250)-1,stinc)))))))))))</f>
        <v>31782.574328933293</v>
      </c>
      <c r="F82" s="7">
        <f ca="1">E82*(1+IF(AND(Inputs!$B$228&lt;&gt;"",F$2=Inputs!$B$228),-Inputs!$B$229,IF(AND(Inputs!$B$228&lt;&gt;"",F$2&gt;Inputs!$B$228,F$2&lt;=Inputs!$B$228+Inputs!$B$230),(1/(1-Inputs!$B$229))^(1/Inputs!$B$230)-1,IF(AND(Inputs!$B$233&lt;&gt;"",F$2=Inputs!$B$233),-Inputs!$B$234,IF(AND(Inputs!$B$233&lt;&gt;"",F$2&gt;Inputs!$B$233,F$2&lt;=Inputs!$B$233+Inputs!$B$235),(1/(1-Inputs!$B$234))^(1/Inputs!$B$235)-1,IF(AND(Inputs!$B$238&lt;&gt;"",F$2=Inputs!$B$238),-Inputs!$B$239,IF(AND(Inputs!$B$238&lt;&gt;"",F$2&gt;Inputs!$B$238,F$2&lt;=Inputs!$B$238+Inputs!$B$240),(1/(1-Inputs!$B$239))^(1/Inputs!$B$240)-1,IF(AND(Inputs!$B$243&lt;&gt;"",F$2=Inputs!$B$243),-Inputs!$B$244,IF(AND(Inputs!$B$243&lt;&gt;"",F$2&gt;Inputs!$B$243,F$2&lt;=Inputs!$B$243+Inputs!$B$245),(1/(1-Inputs!$B$244))^(1/Inputs!$B$245)-1,IF(AND(Inputs!$B$248&lt;&gt;"",F$2=Inputs!$B$248),-Inputs!$B$249,IF(AND(Inputs!$B$248&lt;&gt;"",F$2&gt;Inputs!$B$248,F$2&lt;=Inputs!$B$248+Inputs!$B$250),(1/(1-Inputs!$B$249))^(1/Inputs!$B$250)-1,stinc)))))))))))</f>
        <v>34325.180275247956</v>
      </c>
      <c r="G82" s="7">
        <f ca="1">F82*(1+IF(AND(Inputs!$B$228&lt;&gt;"",G$2=Inputs!$B$228),-Inputs!$B$229,IF(AND(Inputs!$B$228&lt;&gt;"",G$2&gt;Inputs!$B$228,G$2&lt;=Inputs!$B$228+Inputs!$B$230),(1/(1-Inputs!$B$229))^(1/Inputs!$B$230)-1,IF(AND(Inputs!$B$233&lt;&gt;"",G$2=Inputs!$B$233),-Inputs!$B$234,IF(AND(Inputs!$B$233&lt;&gt;"",G$2&gt;Inputs!$B$233,G$2&lt;=Inputs!$B$233+Inputs!$B$235),(1/(1-Inputs!$B$234))^(1/Inputs!$B$235)-1,IF(AND(Inputs!$B$238&lt;&gt;"",G$2=Inputs!$B$238),-Inputs!$B$239,IF(AND(Inputs!$B$238&lt;&gt;"",G$2&gt;Inputs!$B$238,G$2&lt;=Inputs!$B$238+Inputs!$B$240),(1/(1-Inputs!$B$239))^(1/Inputs!$B$240)-1,IF(AND(Inputs!$B$243&lt;&gt;"",G$2=Inputs!$B$243),-Inputs!$B$244,IF(AND(Inputs!$B$243&lt;&gt;"",G$2&gt;Inputs!$B$243,G$2&lt;=Inputs!$B$243+Inputs!$B$245),(1/(1-Inputs!$B$244))^(1/Inputs!$B$245)-1,IF(AND(Inputs!$B$248&lt;&gt;"",G$2=Inputs!$B$248),-Inputs!$B$249,IF(AND(Inputs!$B$248&lt;&gt;"",G$2&gt;Inputs!$B$248,G$2&lt;=Inputs!$B$248+Inputs!$B$250),(1/(1-Inputs!$B$249))^(1/Inputs!$B$250)-1,stinc)))))))))))</f>
        <v>37071.194697267798</v>
      </c>
      <c r="H82" s="7">
        <f ca="1">G82*(1+IF(AND(Inputs!$B$228&lt;&gt;"",H$2=Inputs!$B$228),-Inputs!$B$229,IF(AND(Inputs!$B$228&lt;&gt;"",H$2&gt;Inputs!$B$228,H$2&lt;=Inputs!$B$228+Inputs!$B$230),(1/(1-Inputs!$B$229))^(1/Inputs!$B$230)-1,IF(AND(Inputs!$B$233&lt;&gt;"",H$2=Inputs!$B$233),-Inputs!$B$234,IF(AND(Inputs!$B$233&lt;&gt;"",H$2&gt;Inputs!$B$233,H$2&lt;=Inputs!$B$233+Inputs!$B$235),(1/(1-Inputs!$B$234))^(1/Inputs!$B$235)-1,IF(AND(Inputs!$B$238&lt;&gt;"",H$2=Inputs!$B$238),-Inputs!$B$239,IF(AND(Inputs!$B$238&lt;&gt;"",H$2&gt;Inputs!$B$238,H$2&lt;=Inputs!$B$238+Inputs!$B$240),(1/(1-Inputs!$B$239))^(1/Inputs!$B$240)-1,IF(AND(Inputs!$B$243&lt;&gt;"",H$2=Inputs!$B$243),-Inputs!$B$244,IF(AND(Inputs!$B$243&lt;&gt;"",H$2&gt;Inputs!$B$243,H$2&lt;=Inputs!$B$243+Inputs!$B$245),(1/(1-Inputs!$B$244))^(1/Inputs!$B$245)-1,IF(AND(Inputs!$B$248&lt;&gt;"",H$2=Inputs!$B$248),-Inputs!$B$249,IF(AND(Inputs!$B$248&lt;&gt;"",H$2&gt;Inputs!$B$248,H$2&lt;=Inputs!$B$248+Inputs!$B$250),(1/(1-Inputs!$B$249))^(1/Inputs!$B$250)-1,stinc)))))))))))</f>
        <v>40036.890273049226</v>
      </c>
      <c r="I82" s="7">
        <f ca="1">H82*(1+IF(AND(Inputs!$B$228&lt;&gt;"",I$2=Inputs!$B$228),-Inputs!$B$229,IF(AND(Inputs!$B$228&lt;&gt;"",I$2&gt;Inputs!$B$228,I$2&lt;=Inputs!$B$228+Inputs!$B$230),(1/(1-Inputs!$B$229))^(1/Inputs!$B$230)-1,IF(AND(Inputs!$B$233&lt;&gt;"",I$2=Inputs!$B$233),-Inputs!$B$234,IF(AND(Inputs!$B$233&lt;&gt;"",I$2&gt;Inputs!$B$233,I$2&lt;=Inputs!$B$233+Inputs!$B$235),(1/(1-Inputs!$B$234))^(1/Inputs!$B$235)-1,IF(AND(Inputs!$B$238&lt;&gt;"",I$2=Inputs!$B$238),-Inputs!$B$239,IF(AND(Inputs!$B$238&lt;&gt;"",I$2&gt;Inputs!$B$238,I$2&lt;=Inputs!$B$238+Inputs!$B$240),(1/(1-Inputs!$B$239))^(1/Inputs!$B$240)-1,IF(AND(Inputs!$B$243&lt;&gt;"",I$2=Inputs!$B$243),-Inputs!$B$244,IF(AND(Inputs!$B$243&lt;&gt;"",I$2&gt;Inputs!$B$243,I$2&lt;=Inputs!$B$243+Inputs!$B$245),(1/(1-Inputs!$B$244))^(1/Inputs!$B$245)-1,IF(AND(Inputs!$B$248&lt;&gt;"",I$2=Inputs!$B$248),-Inputs!$B$249,IF(AND(Inputs!$B$248&lt;&gt;"",I$2&gt;Inputs!$B$248,I$2&lt;=Inputs!$B$248+Inputs!$B$250),(1/(1-Inputs!$B$249))^(1/Inputs!$B$250)-1,stinc)))))))))))</f>
        <v>32029.512218439384</v>
      </c>
      <c r="J82" s="7">
        <f ca="1">I82*(1+IF(AND(Inputs!$B$228&lt;&gt;"",J$2=Inputs!$B$228),-Inputs!$B$229,IF(AND(Inputs!$B$228&lt;&gt;"",J$2&gt;Inputs!$B$228,J$2&lt;=Inputs!$B$228+Inputs!$B$230),(1/(1-Inputs!$B$229))^(1/Inputs!$B$230)-1,IF(AND(Inputs!$B$233&lt;&gt;"",J$2=Inputs!$B$233),-Inputs!$B$234,IF(AND(Inputs!$B$233&lt;&gt;"",J$2&gt;Inputs!$B$233,J$2&lt;=Inputs!$B$233+Inputs!$B$235),(1/(1-Inputs!$B$234))^(1/Inputs!$B$235)-1,IF(AND(Inputs!$B$238&lt;&gt;"",J$2=Inputs!$B$238),-Inputs!$B$239,IF(AND(Inputs!$B$238&lt;&gt;"",J$2&gt;Inputs!$B$238,J$2&lt;=Inputs!$B$238+Inputs!$B$240),(1/(1-Inputs!$B$239))^(1/Inputs!$B$240)-1,IF(AND(Inputs!$B$243&lt;&gt;"",J$2=Inputs!$B$243),-Inputs!$B$244,IF(AND(Inputs!$B$243&lt;&gt;"",J$2&gt;Inputs!$B$243,J$2&lt;=Inputs!$B$243+Inputs!$B$245),(1/(1-Inputs!$B$244))^(1/Inputs!$B$245)-1,IF(AND(Inputs!$B$248&lt;&gt;"",J$2=Inputs!$B$248),-Inputs!$B$249,IF(AND(Inputs!$B$248&lt;&gt;"",J$2&gt;Inputs!$B$248,J$2&lt;=Inputs!$B$248+Inputs!$B$250),(1/(1-Inputs!$B$249))^(1/Inputs!$B$250)-1,stinc)))))))))))</f>
        <v>34502.746114102942</v>
      </c>
      <c r="K82" s="7">
        <f ca="1">J82*(1+IF(AND(Inputs!$B$228&lt;&gt;"",K$2=Inputs!$B$228),-Inputs!$B$229,IF(AND(Inputs!$B$228&lt;&gt;"",K$2&gt;Inputs!$B$228,K$2&lt;=Inputs!$B$228+Inputs!$B$230),(1/(1-Inputs!$B$229))^(1/Inputs!$B$230)-1,IF(AND(Inputs!$B$233&lt;&gt;"",K$2=Inputs!$B$233),-Inputs!$B$234,IF(AND(Inputs!$B$233&lt;&gt;"",K$2&gt;Inputs!$B$233,K$2&lt;=Inputs!$B$233+Inputs!$B$235),(1/(1-Inputs!$B$234))^(1/Inputs!$B$235)-1,IF(AND(Inputs!$B$238&lt;&gt;"",K$2=Inputs!$B$238),-Inputs!$B$239,IF(AND(Inputs!$B$238&lt;&gt;"",K$2&gt;Inputs!$B$238,K$2&lt;=Inputs!$B$238+Inputs!$B$240),(1/(1-Inputs!$B$239))^(1/Inputs!$B$240)-1,IF(AND(Inputs!$B$243&lt;&gt;"",K$2=Inputs!$B$243),-Inputs!$B$244,IF(AND(Inputs!$B$243&lt;&gt;"",K$2&gt;Inputs!$B$243,K$2&lt;=Inputs!$B$243+Inputs!$B$245),(1/(1-Inputs!$B$244))^(1/Inputs!$B$245)-1,IF(AND(Inputs!$B$248&lt;&gt;"",K$2=Inputs!$B$248),-Inputs!$B$249,IF(AND(Inputs!$B$248&lt;&gt;"",K$2&gt;Inputs!$B$248,K$2&lt;=Inputs!$B$248+Inputs!$B$250),(1/(1-Inputs!$B$249))^(1/Inputs!$B$250)-1,stinc)))))))))))</f>
        <v>37166.956564793079</v>
      </c>
      <c r="L82" s="7">
        <f ca="1">K82*(1+IF(AND(Inputs!$B$228&lt;&gt;"",L$2=Inputs!$B$228),-Inputs!$B$229,IF(AND(Inputs!$B$228&lt;&gt;"",L$2&gt;Inputs!$B$228,L$2&lt;=Inputs!$B$228+Inputs!$B$230),(1/(1-Inputs!$B$229))^(1/Inputs!$B$230)-1,IF(AND(Inputs!$B$233&lt;&gt;"",L$2=Inputs!$B$233),-Inputs!$B$234,IF(AND(Inputs!$B$233&lt;&gt;"",L$2&gt;Inputs!$B$233,L$2&lt;=Inputs!$B$233+Inputs!$B$235),(1/(1-Inputs!$B$234))^(1/Inputs!$B$235)-1,IF(AND(Inputs!$B$238&lt;&gt;"",L$2=Inputs!$B$238),-Inputs!$B$239,IF(AND(Inputs!$B$238&lt;&gt;"",L$2&gt;Inputs!$B$238,L$2&lt;=Inputs!$B$238+Inputs!$B$240),(1/(1-Inputs!$B$239))^(1/Inputs!$B$240)-1,IF(AND(Inputs!$B$243&lt;&gt;"",L$2=Inputs!$B$243),-Inputs!$B$244,IF(AND(Inputs!$B$243&lt;&gt;"",L$2&gt;Inputs!$B$243,L$2&lt;=Inputs!$B$243+Inputs!$B$245),(1/(1-Inputs!$B$244))^(1/Inputs!$B$245)-1,IF(AND(Inputs!$B$248&lt;&gt;"",L$2=Inputs!$B$248),-Inputs!$B$249,IF(AND(Inputs!$B$248&lt;&gt;"",L$2&gt;Inputs!$B$248,L$2&lt;=Inputs!$B$248+Inputs!$B$250),(1/(1-Inputs!$B$249))^(1/Inputs!$B$250)-1,stinc)))))))))))</f>
        <v>40036.890273049234</v>
      </c>
      <c r="M82" s="7">
        <f ca="1">L82*(1+IF(AND(Inputs!$B$228&lt;&gt;"",M$2=Inputs!$B$228),-Inputs!$B$229,IF(AND(Inputs!$B$228&lt;&gt;"",M$2&gt;Inputs!$B$228,M$2&lt;=Inputs!$B$228+Inputs!$B$230),(1/(1-Inputs!$B$229))^(1/Inputs!$B$230)-1,IF(AND(Inputs!$B$233&lt;&gt;"",M$2=Inputs!$B$233),-Inputs!$B$234,IF(AND(Inputs!$B$233&lt;&gt;"",M$2&gt;Inputs!$B$233,M$2&lt;=Inputs!$B$233+Inputs!$B$235),(1/(1-Inputs!$B$234))^(1/Inputs!$B$235)-1,IF(AND(Inputs!$B$238&lt;&gt;"",M$2=Inputs!$B$238),-Inputs!$B$239,IF(AND(Inputs!$B$238&lt;&gt;"",M$2&gt;Inputs!$B$238,M$2&lt;=Inputs!$B$238+Inputs!$B$240),(1/(1-Inputs!$B$239))^(1/Inputs!$B$240)-1,IF(AND(Inputs!$B$243&lt;&gt;"",M$2=Inputs!$B$243),-Inputs!$B$244,IF(AND(Inputs!$B$243&lt;&gt;"",M$2&gt;Inputs!$B$243,M$2&lt;=Inputs!$B$243+Inputs!$B$245),(1/(1-Inputs!$B$244))^(1/Inputs!$B$245)-1,IF(AND(Inputs!$B$248&lt;&gt;"",M$2=Inputs!$B$248),-Inputs!$B$249,IF(AND(Inputs!$B$248&lt;&gt;"",M$2&gt;Inputs!$B$248,M$2&lt;=Inputs!$B$248+Inputs!$B$250),(1/(1-Inputs!$B$249))^(1/Inputs!$B$250)-1,stinc)))))))))))</f>
        <v>43239.841494893175</v>
      </c>
      <c r="N82" s="7">
        <f ca="1">M82*(1+IF(AND(Inputs!$B$228&lt;&gt;"",N$2=Inputs!$B$228),-Inputs!$B$229,IF(AND(Inputs!$B$228&lt;&gt;"",N$2&gt;Inputs!$B$228,N$2&lt;=Inputs!$B$228+Inputs!$B$230),(1/(1-Inputs!$B$229))^(1/Inputs!$B$230)-1,IF(AND(Inputs!$B$233&lt;&gt;"",N$2=Inputs!$B$233),-Inputs!$B$234,IF(AND(Inputs!$B$233&lt;&gt;"",N$2&gt;Inputs!$B$233,N$2&lt;=Inputs!$B$233+Inputs!$B$235),(1/(1-Inputs!$B$234))^(1/Inputs!$B$235)-1,IF(AND(Inputs!$B$238&lt;&gt;"",N$2=Inputs!$B$238),-Inputs!$B$239,IF(AND(Inputs!$B$238&lt;&gt;"",N$2&gt;Inputs!$B$238,N$2&lt;=Inputs!$B$238+Inputs!$B$240),(1/(1-Inputs!$B$239))^(1/Inputs!$B$240)-1,IF(AND(Inputs!$B$243&lt;&gt;"",N$2=Inputs!$B$243),-Inputs!$B$244,IF(AND(Inputs!$B$243&lt;&gt;"",N$2&gt;Inputs!$B$243,N$2&lt;=Inputs!$B$243+Inputs!$B$245),(1/(1-Inputs!$B$244))^(1/Inputs!$B$245)-1,IF(AND(Inputs!$B$248&lt;&gt;"",N$2=Inputs!$B$248),-Inputs!$B$249,IF(AND(Inputs!$B$248&lt;&gt;"",N$2&gt;Inputs!$B$248,N$2&lt;=Inputs!$B$248+Inputs!$B$250),(1/(1-Inputs!$B$249))^(1/Inputs!$B$250)-1,stinc)))))))))))</f>
        <v>39780.654175301723</v>
      </c>
      <c r="O82" s="7">
        <f ca="1">N82*(1+IF(AND(Inputs!$B$228&lt;&gt;"",O$2=Inputs!$B$228),-Inputs!$B$229,IF(AND(Inputs!$B$228&lt;&gt;"",O$2&gt;Inputs!$B$228,O$2&lt;=Inputs!$B$228+Inputs!$B$230),(1/(1-Inputs!$B$229))^(1/Inputs!$B$230)-1,IF(AND(Inputs!$B$233&lt;&gt;"",O$2=Inputs!$B$233),-Inputs!$B$234,IF(AND(Inputs!$B$233&lt;&gt;"",O$2&gt;Inputs!$B$233,O$2&lt;=Inputs!$B$233+Inputs!$B$235),(1/(1-Inputs!$B$234))^(1/Inputs!$B$235)-1,IF(AND(Inputs!$B$238&lt;&gt;"",O$2=Inputs!$B$238),-Inputs!$B$239,IF(AND(Inputs!$B$238&lt;&gt;"",O$2&gt;Inputs!$B$238,O$2&lt;=Inputs!$B$238+Inputs!$B$240),(1/(1-Inputs!$B$239))^(1/Inputs!$B$240)-1,IF(AND(Inputs!$B$243&lt;&gt;"",O$2=Inputs!$B$243),-Inputs!$B$244,IF(AND(Inputs!$B$243&lt;&gt;"",O$2&gt;Inputs!$B$243,O$2&lt;=Inputs!$B$243+Inputs!$B$245),(1/(1-Inputs!$B$244))^(1/Inputs!$B$245)-1,IF(AND(Inputs!$B$248&lt;&gt;"",O$2=Inputs!$B$248),-Inputs!$B$249,IF(AND(Inputs!$B$248&lt;&gt;"",O$2&gt;Inputs!$B$248,O$2&lt;=Inputs!$B$248+Inputs!$B$250),(1/(1-Inputs!$B$249))^(1/Inputs!$B$250)-1,stinc)))))))))))</f>
        <v>40901.821101479647</v>
      </c>
      <c r="P82" s="7">
        <f ca="1">O82*(1+IF(AND(Inputs!$B$228&lt;&gt;"",P$2=Inputs!$B$228),-Inputs!$B$229,IF(AND(Inputs!$B$228&lt;&gt;"",P$2&gt;Inputs!$B$228,P$2&lt;=Inputs!$B$228+Inputs!$B$230),(1/(1-Inputs!$B$229))^(1/Inputs!$B$230)-1,IF(AND(Inputs!$B$233&lt;&gt;"",P$2=Inputs!$B$233),-Inputs!$B$234,IF(AND(Inputs!$B$233&lt;&gt;"",P$2&gt;Inputs!$B$233,P$2&lt;=Inputs!$B$233+Inputs!$B$235),(1/(1-Inputs!$B$234))^(1/Inputs!$B$235)-1,IF(AND(Inputs!$B$238&lt;&gt;"",P$2=Inputs!$B$238),-Inputs!$B$239,IF(AND(Inputs!$B$238&lt;&gt;"",P$2&gt;Inputs!$B$238,P$2&lt;=Inputs!$B$238+Inputs!$B$240),(1/(1-Inputs!$B$239))^(1/Inputs!$B$240)-1,IF(AND(Inputs!$B$243&lt;&gt;"",P$2=Inputs!$B$243),-Inputs!$B$244,IF(AND(Inputs!$B$243&lt;&gt;"",P$2&gt;Inputs!$B$243,P$2&lt;=Inputs!$B$243+Inputs!$B$245),(1/(1-Inputs!$B$244))^(1/Inputs!$B$245)-1,IF(AND(Inputs!$B$248&lt;&gt;"",P$2=Inputs!$B$248),-Inputs!$B$249,IF(AND(Inputs!$B$248&lt;&gt;"",P$2&gt;Inputs!$B$248,P$2&lt;=Inputs!$B$248+Inputs!$B$250),(1/(1-Inputs!$B$249))^(1/Inputs!$B$250)-1,stinc)))))))))))</f>
        <v>42054.586685407543</v>
      </c>
      <c r="Q82" s="7">
        <f ca="1">P82*(1+IF(AND(Inputs!$B$228&lt;&gt;"",Q$2=Inputs!$B$228),-Inputs!$B$229,IF(AND(Inputs!$B$228&lt;&gt;"",Q$2&gt;Inputs!$B$228,Q$2&lt;=Inputs!$B$228+Inputs!$B$230),(1/(1-Inputs!$B$229))^(1/Inputs!$B$230)-1,IF(AND(Inputs!$B$233&lt;&gt;"",Q$2=Inputs!$B$233),-Inputs!$B$234,IF(AND(Inputs!$B$233&lt;&gt;"",Q$2&gt;Inputs!$B$233,Q$2&lt;=Inputs!$B$233+Inputs!$B$235),(1/(1-Inputs!$B$234))^(1/Inputs!$B$235)-1,IF(AND(Inputs!$B$238&lt;&gt;"",Q$2=Inputs!$B$238),-Inputs!$B$239,IF(AND(Inputs!$B$238&lt;&gt;"",Q$2&gt;Inputs!$B$238,Q$2&lt;=Inputs!$B$238+Inputs!$B$240),(1/(1-Inputs!$B$239))^(1/Inputs!$B$240)-1,IF(AND(Inputs!$B$243&lt;&gt;"",Q$2=Inputs!$B$243),-Inputs!$B$244,IF(AND(Inputs!$B$243&lt;&gt;"",Q$2&gt;Inputs!$B$243,Q$2&lt;=Inputs!$B$243+Inputs!$B$245),(1/(1-Inputs!$B$244))^(1/Inputs!$B$245)-1,IF(AND(Inputs!$B$248&lt;&gt;"",Q$2=Inputs!$B$248),-Inputs!$B$249,IF(AND(Inputs!$B$248&lt;&gt;"",Q$2&gt;Inputs!$B$248,Q$2&lt;=Inputs!$B$248+Inputs!$B$250),(1/(1-Inputs!$B$249))^(1/Inputs!$B$250)-1,stinc)))))))))))</f>
        <v>43239.841494893182</v>
      </c>
      <c r="R82" s="7">
        <f ca="1">Q82*(1+IF(AND(Inputs!$B$228&lt;&gt;"",R$2=Inputs!$B$228),-Inputs!$B$229,IF(AND(Inputs!$B$228&lt;&gt;"",R$2&gt;Inputs!$B$228,R$2&lt;=Inputs!$B$228+Inputs!$B$230),(1/(1-Inputs!$B$229))^(1/Inputs!$B$230)-1,IF(AND(Inputs!$B$233&lt;&gt;"",R$2=Inputs!$B$233),-Inputs!$B$234,IF(AND(Inputs!$B$233&lt;&gt;"",R$2&gt;Inputs!$B$233,R$2&lt;=Inputs!$B$233+Inputs!$B$235),(1/(1-Inputs!$B$234))^(1/Inputs!$B$235)-1,IF(AND(Inputs!$B$238&lt;&gt;"",R$2=Inputs!$B$238),-Inputs!$B$239,IF(AND(Inputs!$B$238&lt;&gt;"",R$2&gt;Inputs!$B$238,R$2&lt;=Inputs!$B$238+Inputs!$B$240),(1/(1-Inputs!$B$239))^(1/Inputs!$B$240)-1,IF(AND(Inputs!$B$243&lt;&gt;"",R$2=Inputs!$B$243),-Inputs!$B$244,IF(AND(Inputs!$B$243&lt;&gt;"",R$2&gt;Inputs!$B$243,R$2&lt;=Inputs!$B$243+Inputs!$B$245),(1/(1-Inputs!$B$244))^(1/Inputs!$B$245)-1,IF(AND(Inputs!$B$248&lt;&gt;"",R$2=Inputs!$B$248),-Inputs!$B$249,IF(AND(Inputs!$B$248&lt;&gt;"",R$2&gt;Inputs!$B$248,R$2&lt;=Inputs!$B$248+Inputs!$B$250),(1/(1-Inputs!$B$249))^(1/Inputs!$B$250)-1,stinc)))))))))))</f>
        <v>46699.028814484642</v>
      </c>
      <c r="S82" s="7">
        <f ca="1">R82*(1+IF(AND(Inputs!$B$228&lt;&gt;"",S$2=Inputs!$B$228),-Inputs!$B$229,IF(AND(Inputs!$B$228&lt;&gt;"",S$2&gt;Inputs!$B$228,S$2&lt;=Inputs!$B$228+Inputs!$B$230),(1/(1-Inputs!$B$229))^(1/Inputs!$B$230)-1,IF(AND(Inputs!$B$233&lt;&gt;"",S$2=Inputs!$B$233),-Inputs!$B$234,IF(AND(Inputs!$B$233&lt;&gt;"",S$2&gt;Inputs!$B$233,S$2&lt;=Inputs!$B$233+Inputs!$B$235),(1/(1-Inputs!$B$234))^(1/Inputs!$B$235)-1,IF(AND(Inputs!$B$238&lt;&gt;"",S$2=Inputs!$B$238),-Inputs!$B$239,IF(AND(Inputs!$B$238&lt;&gt;"",S$2&gt;Inputs!$B$238,S$2&lt;=Inputs!$B$238+Inputs!$B$240),(1/(1-Inputs!$B$239))^(1/Inputs!$B$240)-1,IF(AND(Inputs!$B$243&lt;&gt;"",S$2=Inputs!$B$243),-Inputs!$B$244,IF(AND(Inputs!$B$243&lt;&gt;"",S$2&gt;Inputs!$B$243,S$2&lt;=Inputs!$B$243+Inputs!$B$245),(1/(1-Inputs!$B$244))^(1/Inputs!$B$245)-1,IF(AND(Inputs!$B$248&lt;&gt;"",S$2=Inputs!$B$248),-Inputs!$B$249,IF(AND(Inputs!$B$248&lt;&gt;"",S$2&gt;Inputs!$B$248,S$2&lt;=Inputs!$B$248+Inputs!$B$250),(1/(1-Inputs!$B$249))^(1/Inputs!$B$250)-1,stinc)))))))))))</f>
        <v>50434.951119643418</v>
      </c>
      <c r="T82" s="7">
        <f ca="1">S82*(1+IF(AND(Inputs!$B$228&lt;&gt;"",T$2=Inputs!$B$228),-Inputs!$B$229,IF(AND(Inputs!$B$228&lt;&gt;"",T$2&gt;Inputs!$B$228,T$2&lt;=Inputs!$B$228+Inputs!$B$230),(1/(1-Inputs!$B$229))^(1/Inputs!$B$230)-1,IF(AND(Inputs!$B$233&lt;&gt;"",T$2=Inputs!$B$233),-Inputs!$B$234,IF(AND(Inputs!$B$233&lt;&gt;"",T$2&gt;Inputs!$B$233,T$2&lt;=Inputs!$B$233+Inputs!$B$235),(1/(1-Inputs!$B$234))^(1/Inputs!$B$235)-1,IF(AND(Inputs!$B$238&lt;&gt;"",T$2=Inputs!$B$238),-Inputs!$B$239,IF(AND(Inputs!$B$238&lt;&gt;"",T$2&gt;Inputs!$B$238,T$2&lt;=Inputs!$B$238+Inputs!$B$240),(1/(1-Inputs!$B$239))^(1/Inputs!$B$240)-1,IF(AND(Inputs!$B$243&lt;&gt;"",T$2=Inputs!$B$243),-Inputs!$B$244,IF(AND(Inputs!$B$243&lt;&gt;"",T$2&gt;Inputs!$B$243,T$2&lt;=Inputs!$B$243+Inputs!$B$245),(1/(1-Inputs!$B$244))^(1/Inputs!$B$245)-1,IF(AND(Inputs!$B$248&lt;&gt;"",T$2=Inputs!$B$248),-Inputs!$B$249,IF(AND(Inputs!$B$248&lt;&gt;"",T$2&gt;Inputs!$B$248,T$2&lt;=Inputs!$B$248+Inputs!$B$250),(1/(1-Inputs!$B$249))^(1/Inputs!$B$250)-1,stinc)))))))))))</f>
        <v>54469.747209214896</v>
      </c>
      <c r="U82" s="7">
        <f ca="1">T82*(1+IF(AND(Inputs!$B$228&lt;&gt;"",U$2=Inputs!$B$228),-Inputs!$B$229,IF(AND(Inputs!$B$228&lt;&gt;"",U$2&gt;Inputs!$B$228,U$2&lt;=Inputs!$B$228+Inputs!$B$230),(1/(1-Inputs!$B$229))^(1/Inputs!$B$230)-1,IF(AND(Inputs!$B$233&lt;&gt;"",U$2=Inputs!$B$233),-Inputs!$B$234,IF(AND(Inputs!$B$233&lt;&gt;"",U$2&gt;Inputs!$B$233,U$2&lt;=Inputs!$B$233+Inputs!$B$235),(1/(1-Inputs!$B$234))^(1/Inputs!$B$235)-1,IF(AND(Inputs!$B$238&lt;&gt;"",U$2=Inputs!$B$238),-Inputs!$B$239,IF(AND(Inputs!$B$238&lt;&gt;"",U$2&gt;Inputs!$B$238,U$2&lt;=Inputs!$B$238+Inputs!$B$240),(1/(1-Inputs!$B$239))^(1/Inputs!$B$240)-1,IF(AND(Inputs!$B$243&lt;&gt;"",U$2=Inputs!$B$243),-Inputs!$B$244,IF(AND(Inputs!$B$243&lt;&gt;"",U$2&gt;Inputs!$B$243,U$2&lt;=Inputs!$B$243+Inputs!$B$245),(1/(1-Inputs!$B$244))^(1/Inputs!$B$245)-1,IF(AND(Inputs!$B$248&lt;&gt;"",U$2=Inputs!$B$248),-Inputs!$B$249,IF(AND(Inputs!$B$248&lt;&gt;"",U$2&gt;Inputs!$B$248,U$2&lt;=Inputs!$B$248+Inputs!$B$250),(1/(1-Inputs!$B$249))^(1/Inputs!$B$250)-1,stinc)))))))))))</f>
        <v>58827.326985952095</v>
      </c>
      <c r="V82" s="7">
        <f ca="1">U82*(1+IF(AND(Inputs!$B$228&lt;&gt;"",V$2=Inputs!$B$228),-Inputs!$B$229,IF(AND(Inputs!$B$228&lt;&gt;"",V$2&gt;Inputs!$B$228,V$2&lt;=Inputs!$B$228+Inputs!$B$230),(1/(1-Inputs!$B$229))^(1/Inputs!$B$230)-1,IF(AND(Inputs!$B$233&lt;&gt;"",V$2=Inputs!$B$233),-Inputs!$B$234,IF(AND(Inputs!$B$233&lt;&gt;"",V$2&gt;Inputs!$B$233,V$2&lt;=Inputs!$B$233+Inputs!$B$235),(1/(1-Inputs!$B$234))^(1/Inputs!$B$235)-1,IF(AND(Inputs!$B$238&lt;&gt;"",V$2=Inputs!$B$238),-Inputs!$B$239,IF(AND(Inputs!$B$238&lt;&gt;"",V$2&gt;Inputs!$B$238,V$2&lt;=Inputs!$B$238+Inputs!$B$240),(1/(1-Inputs!$B$239))^(1/Inputs!$B$240)-1,IF(AND(Inputs!$B$243&lt;&gt;"",V$2=Inputs!$B$243),-Inputs!$B$244,IF(AND(Inputs!$B$243&lt;&gt;"",V$2&gt;Inputs!$B$243,V$2&lt;=Inputs!$B$243+Inputs!$B$245),(1/(1-Inputs!$B$244))^(1/Inputs!$B$245)-1,IF(AND(Inputs!$B$248&lt;&gt;"",V$2=Inputs!$B$248),-Inputs!$B$249,IF(AND(Inputs!$B$248&lt;&gt;"",V$2&gt;Inputs!$B$248,V$2&lt;=Inputs!$B$248+Inputs!$B$250),(1/(1-Inputs!$B$249))^(1/Inputs!$B$250)-1,stinc)))))))))))</f>
        <v>48238.408128480725</v>
      </c>
      <c r="W82" s="7">
        <f ca="1">V82*(1+IF(AND(Inputs!$B$228&lt;&gt;"",W$2=Inputs!$B$228),-Inputs!$B$229,IF(AND(Inputs!$B$228&lt;&gt;"",W$2&gt;Inputs!$B$228,W$2&lt;=Inputs!$B$228+Inputs!$B$230),(1/(1-Inputs!$B$229))^(1/Inputs!$B$230)-1,IF(AND(Inputs!$B$233&lt;&gt;"",W$2=Inputs!$B$233),-Inputs!$B$234,IF(AND(Inputs!$B$233&lt;&gt;"",W$2&gt;Inputs!$B$233,W$2&lt;=Inputs!$B$233+Inputs!$B$235),(1/(1-Inputs!$B$234))^(1/Inputs!$B$235)-1,IF(AND(Inputs!$B$238&lt;&gt;"",W$2=Inputs!$B$238),-Inputs!$B$239,IF(AND(Inputs!$B$238&lt;&gt;"",W$2&gt;Inputs!$B$238,W$2&lt;=Inputs!$B$238+Inputs!$B$240),(1/(1-Inputs!$B$239))^(1/Inputs!$B$240)-1,IF(AND(Inputs!$B$243&lt;&gt;"",W$2=Inputs!$B$243),-Inputs!$B$244,IF(AND(Inputs!$B$243&lt;&gt;"",W$2&gt;Inputs!$B$243,W$2&lt;=Inputs!$B$243+Inputs!$B$245),(1/(1-Inputs!$B$244))^(1/Inputs!$B$245)-1,IF(AND(Inputs!$B$248&lt;&gt;"",W$2=Inputs!$B$248),-Inputs!$B$249,IF(AND(Inputs!$B$248&lt;&gt;"",W$2&gt;Inputs!$B$248,W$2&lt;=Inputs!$B$248+Inputs!$B$250),(1/(1-Inputs!$B$249))^(1/Inputs!$B$250)-1,stinc)))))))))))</f>
        <v>53270.410250494089</v>
      </c>
      <c r="X82" s="7">
        <f ca="1">W82*(1+IF(AND(Inputs!$B$228&lt;&gt;"",X$2=Inputs!$B$228),-Inputs!$B$229,IF(AND(Inputs!$B$228&lt;&gt;"",X$2&gt;Inputs!$B$228,X$2&lt;=Inputs!$B$228+Inputs!$B$230),(1/(1-Inputs!$B$229))^(1/Inputs!$B$230)-1,IF(AND(Inputs!$B$233&lt;&gt;"",X$2=Inputs!$B$233),-Inputs!$B$234,IF(AND(Inputs!$B$233&lt;&gt;"",X$2&gt;Inputs!$B$233,X$2&lt;=Inputs!$B$233+Inputs!$B$235),(1/(1-Inputs!$B$234))^(1/Inputs!$B$235)-1,IF(AND(Inputs!$B$238&lt;&gt;"",X$2=Inputs!$B$238),-Inputs!$B$239,IF(AND(Inputs!$B$238&lt;&gt;"",X$2&gt;Inputs!$B$238,X$2&lt;=Inputs!$B$238+Inputs!$B$240),(1/(1-Inputs!$B$239))^(1/Inputs!$B$240)-1,IF(AND(Inputs!$B$243&lt;&gt;"",X$2=Inputs!$B$243),-Inputs!$B$244,IF(AND(Inputs!$B$243&lt;&gt;"",X$2&gt;Inputs!$B$243,X$2&lt;=Inputs!$B$243+Inputs!$B$245),(1/(1-Inputs!$B$244))^(1/Inputs!$B$245)-1,IF(AND(Inputs!$B$248&lt;&gt;"",X$2=Inputs!$B$248),-Inputs!$B$249,IF(AND(Inputs!$B$248&lt;&gt;"",X$2&gt;Inputs!$B$248,X$2&lt;=Inputs!$B$248+Inputs!$B$250),(1/(1-Inputs!$B$249))^(1/Inputs!$B$250)-1,stinc)))))))))))</f>
        <v>58827.326985952102</v>
      </c>
      <c r="Y82" s="7">
        <f ca="1">X82*(1+IF(AND(Inputs!$B$228&lt;&gt;"",Y$2=Inputs!$B$228),-Inputs!$B$229,IF(AND(Inputs!$B$228&lt;&gt;"",Y$2&gt;Inputs!$B$228,Y$2&lt;=Inputs!$B$228+Inputs!$B$230),(1/(1-Inputs!$B$229))^(1/Inputs!$B$230)-1,IF(AND(Inputs!$B$233&lt;&gt;"",Y$2=Inputs!$B$233),-Inputs!$B$234,IF(AND(Inputs!$B$233&lt;&gt;"",Y$2&gt;Inputs!$B$233,Y$2&lt;=Inputs!$B$233+Inputs!$B$235),(1/(1-Inputs!$B$234))^(1/Inputs!$B$235)-1,IF(AND(Inputs!$B$238&lt;&gt;"",Y$2=Inputs!$B$238),-Inputs!$B$239,IF(AND(Inputs!$B$238&lt;&gt;"",Y$2&gt;Inputs!$B$238,Y$2&lt;=Inputs!$B$238+Inputs!$B$240),(1/(1-Inputs!$B$239))^(1/Inputs!$B$240)-1,IF(AND(Inputs!$B$243&lt;&gt;"",Y$2=Inputs!$B$243),-Inputs!$B$244,IF(AND(Inputs!$B$243&lt;&gt;"",Y$2&gt;Inputs!$B$243,Y$2&lt;=Inputs!$B$243+Inputs!$B$245),(1/(1-Inputs!$B$244))^(1/Inputs!$B$245)-1,IF(AND(Inputs!$B$248&lt;&gt;"",Y$2=Inputs!$B$248),-Inputs!$B$249,IF(AND(Inputs!$B$248&lt;&gt;"",Y$2&gt;Inputs!$B$248,Y$2&lt;=Inputs!$B$248+Inputs!$B$250),(1/(1-Inputs!$B$249))^(1/Inputs!$B$250)-1,stinc)))))))))))</f>
        <v>63533.513144828277</v>
      </c>
      <c r="Z82" s="7">
        <f ca="1">Y82*(1+IF(AND(Inputs!$B$228&lt;&gt;"",Z$2=Inputs!$B$228),-Inputs!$B$229,IF(AND(Inputs!$B$228&lt;&gt;"",Z$2&gt;Inputs!$B$228,Z$2&lt;=Inputs!$B$228+Inputs!$B$230),(1/(1-Inputs!$B$229))^(1/Inputs!$B$230)-1,IF(AND(Inputs!$B$233&lt;&gt;"",Z$2=Inputs!$B$233),-Inputs!$B$234,IF(AND(Inputs!$B$233&lt;&gt;"",Z$2&gt;Inputs!$B$233,Z$2&lt;=Inputs!$B$233+Inputs!$B$235),(1/(1-Inputs!$B$234))^(1/Inputs!$B$235)-1,IF(AND(Inputs!$B$238&lt;&gt;"",Z$2=Inputs!$B$238),-Inputs!$B$239,IF(AND(Inputs!$B$238&lt;&gt;"",Z$2&gt;Inputs!$B$238,Z$2&lt;=Inputs!$B$238+Inputs!$B$240),(1/(1-Inputs!$B$239))^(1/Inputs!$B$240)-1,IF(AND(Inputs!$B$243&lt;&gt;"",Z$2=Inputs!$B$243),-Inputs!$B$244,IF(AND(Inputs!$B$243&lt;&gt;"",Z$2&gt;Inputs!$B$243,Z$2&lt;=Inputs!$B$243+Inputs!$B$245),(1/(1-Inputs!$B$244))^(1/Inputs!$B$245)-1,IF(AND(Inputs!$B$248&lt;&gt;"",Z$2=Inputs!$B$248),-Inputs!$B$249,IF(AND(Inputs!$B$248&lt;&gt;"",Z$2&gt;Inputs!$B$248,Z$2&lt;=Inputs!$B$248+Inputs!$B$250),(1/(1-Inputs!$B$249))^(1/Inputs!$B$250)-1,stinc)))))))))))</f>
        <v>68616.194196414537</v>
      </c>
      <c r="AA82" s="7">
        <f ca="1">Z82*(1+IF(AND(Inputs!$B$228&lt;&gt;"",AA$2=Inputs!$B$228),-Inputs!$B$229,IF(AND(Inputs!$B$228&lt;&gt;"",AA$2&gt;Inputs!$B$228,AA$2&lt;=Inputs!$B$228+Inputs!$B$230),(1/(1-Inputs!$B$229))^(1/Inputs!$B$230)-1,IF(AND(Inputs!$B$233&lt;&gt;"",AA$2=Inputs!$B$233),-Inputs!$B$234,IF(AND(Inputs!$B$233&lt;&gt;"",AA$2&gt;Inputs!$B$233,AA$2&lt;=Inputs!$B$233+Inputs!$B$235),(1/(1-Inputs!$B$234))^(1/Inputs!$B$235)-1,IF(AND(Inputs!$B$238&lt;&gt;"",AA$2=Inputs!$B$238),-Inputs!$B$239,IF(AND(Inputs!$B$238&lt;&gt;"",AA$2&gt;Inputs!$B$238,AA$2&lt;=Inputs!$B$238+Inputs!$B$240),(1/(1-Inputs!$B$239))^(1/Inputs!$B$240)-1,IF(AND(Inputs!$B$243&lt;&gt;"",AA$2=Inputs!$B$243),-Inputs!$B$244,IF(AND(Inputs!$B$243&lt;&gt;"",AA$2&gt;Inputs!$B$243,AA$2&lt;=Inputs!$B$243+Inputs!$B$245),(1/(1-Inputs!$B$244))^(1/Inputs!$B$245)-1,IF(AND(Inputs!$B$248&lt;&gt;"",AA$2=Inputs!$B$248),-Inputs!$B$249,IF(AND(Inputs!$B$248&lt;&gt;"",AA$2&gt;Inputs!$B$248,AA$2&lt;=Inputs!$B$248+Inputs!$B$250),(1/(1-Inputs!$B$249))^(1/Inputs!$B$250)-1,stinc)))))))))))</f>
        <v>49403.659821418463</v>
      </c>
      <c r="AB82" s="7">
        <f ca="1">AA82*(1+IF(AND(Inputs!$B$228&lt;&gt;"",AB$2=Inputs!$B$228),-Inputs!$B$229,IF(AND(Inputs!$B$228&lt;&gt;"",AB$2&gt;Inputs!$B$228,AB$2&lt;=Inputs!$B$228+Inputs!$B$230),(1/(1-Inputs!$B$229))^(1/Inputs!$B$230)-1,IF(AND(Inputs!$B$233&lt;&gt;"",AB$2=Inputs!$B$233),-Inputs!$B$234,IF(AND(Inputs!$B$233&lt;&gt;"",AB$2&gt;Inputs!$B$233,AB$2&lt;=Inputs!$B$233+Inputs!$B$235),(1/(1-Inputs!$B$234))^(1/Inputs!$B$235)-1,IF(AND(Inputs!$B$238&lt;&gt;"",AB$2=Inputs!$B$238),-Inputs!$B$239,IF(AND(Inputs!$B$238&lt;&gt;"",AB$2&gt;Inputs!$B$238,AB$2&lt;=Inputs!$B$238+Inputs!$B$240),(1/(1-Inputs!$B$239))^(1/Inputs!$B$240)-1,IF(AND(Inputs!$B$243&lt;&gt;"",AB$2=Inputs!$B$243),-Inputs!$B$244,IF(AND(Inputs!$B$243&lt;&gt;"",AB$2&gt;Inputs!$B$243,AB$2&lt;=Inputs!$B$243+Inputs!$B$245),(1/(1-Inputs!$B$244))^(1/Inputs!$B$245)-1,IF(AND(Inputs!$B$248&lt;&gt;"",AB$2=Inputs!$B$248),-Inputs!$B$249,IF(AND(Inputs!$B$248&lt;&gt;"",AB$2&gt;Inputs!$B$248,AB$2&lt;=Inputs!$B$248+Inputs!$B$250),(1/(1-Inputs!$B$249))^(1/Inputs!$B$250)-1,stinc)))))))))))</f>
        <v>52183.960874454191</v>
      </c>
      <c r="AC82" s="7">
        <f ca="1">AB82*(1+IF(AND(Inputs!$B$228&lt;&gt;"",AC$2=Inputs!$B$228),-Inputs!$B$229,IF(AND(Inputs!$B$228&lt;&gt;"",AC$2&gt;Inputs!$B$228,AC$2&lt;=Inputs!$B$228+Inputs!$B$230),(1/(1-Inputs!$B$229))^(1/Inputs!$B$230)-1,IF(AND(Inputs!$B$233&lt;&gt;"",AC$2=Inputs!$B$233),-Inputs!$B$234,IF(AND(Inputs!$B$233&lt;&gt;"",AC$2&gt;Inputs!$B$233,AC$2&lt;=Inputs!$B$233+Inputs!$B$235),(1/(1-Inputs!$B$234))^(1/Inputs!$B$235)-1,IF(AND(Inputs!$B$238&lt;&gt;"",AC$2=Inputs!$B$238),-Inputs!$B$239,IF(AND(Inputs!$B$238&lt;&gt;"",AC$2&gt;Inputs!$B$238,AC$2&lt;=Inputs!$B$238+Inputs!$B$240),(1/(1-Inputs!$B$239))^(1/Inputs!$B$240)-1,IF(AND(Inputs!$B$243&lt;&gt;"",AC$2=Inputs!$B$243),-Inputs!$B$244,IF(AND(Inputs!$B$243&lt;&gt;"",AC$2&gt;Inputs!$B$243,AC$2&lt;=Inputs!$B$243+Inputs!$B$245),(1/(1-Inputs!$B$244))^(1/Inputs!$B$245)-1,IF(AND(Inputs!$B$248&lt;&gt;"",AC$2=Inputs!$B$248),-Inputs!$B$249,IF(AND(Inputs!$B$248&lt;&gt;"",AC$2&gt;Inputs!$B$248,AC$2&lt;=Inputs!$B$248+Inputs!$B$250),(1/(1-Inputs!$B$249))^(1/Inputs!$B$250)-1,stinc)))))))))))</f>
        <v>55120.729565180198</v>
      </c>
      <c r="AD82" s="7">
        <f ca="1">AC82*(1+IF(AND(Inputs!$B$228&lt;&gt;"",AD$2=Inputs!$B$228),-Inputs!$B$229,IF(AND(Inputs!$B$228&lt;&gt;"",AD$2&gt;Inputs!$B$228,AD$2&lt;=Inputs!$B$228+Inputs!$B$230),(1/(1-Inputs!$B$229))^(1/Inputs!$B$230)-1,IF(AND(Inputs!$B$233&lt;&gt;"",AD$2=Inputs!$B$233),-Inputs!$B$234,IF(AND(Inputs!$B$233&lt;&gt;"",AD$2&gt;Inputs!$B$233,AD$2&lt;=Inputs!$B$233+Inputs!$B$235),(1/(1-Inputs!$B$234))^(1/Inputs!$B$235)-1,IF(AND(Inputs!$B$238&lt;&gt;"",AD$2=Inputs!$B$238),-Inputs!$B$239,IF(AND(Inputs!$B$238&lt;&gt;"",AD$2&gt;Inputs!$B$238,AD$2&lt;=Inputs!$B$238+Inputs!$B$240),(1/(1-Inputs!$B$239))^(1/Inputs!$B$240)-1,IF(AND(Inputs!$B$243&lt;&gt;"",AD$2=Inputs!$B$243),-Inputs!$B$244,IF(AND(Inputs!$B$243&lt;&gt;"",AD$2&gt;Inputs!$B$243,AD$2&lt;=Inputs!$B$243+Inputs!$B$245),(1/(1-Inputs!$B$244))^(1/Inputs!$B$245)-1,IF(AND(Inputs!$B$248&lt;&gt;"",AD$2=Inputs!$B$248),-Inputs!$B$249,IF(AND(Inputs!$B$248&lt;&gt;"",AD$2&gt;Inputs!$B$248,AD$2&lt;=Inputs!$B$248+Inputs!$B$250),(1/(1-Inputs!$B$249))^(1/Inputs!$B$250)-1,stinc)))))))))))</f>
        <v>58222.771458597308</v>
      </c>
      <c r="AE82" s="7">
        <f ca="1">AD82*(1+IF(AND(Inputs!$B$228&lt;&gt;"",AE$2=Inputs!$B$228),-Inputs!$B$229,IF(AND(Inputs!$B$228&lt;&gt;"",AE$2&gt;Inputs!$B$228,AE$2&lt;=Inputs!$B$228+Inputs!$B$230),(1/(1-Inputs!$B$229))^(1/Inputs!$B$230)-1,IF(AND(Inputs!$B$233&lt;&gt;"",AE$2=Inputs!$B$233),-Inputs!$B$234,IF(AND(Inputs!$B$233&lt;&gt;"",AE$2&gt;Inputs!$B$233,AE$2&lt;=Inputs!$B$233+Inputs!$B$235),(1/(1-Inputs!$B$234))^(1/Inputs!$B$235)-1,IF(AND(Inputs!$B$238&lt;&gt;"",AE$2=Inputs!$B$238),-Inputs!$B$239,IF(AND(Inputs!$B$238&lt;&gt;"",AE$2&gt;Inputs!$B$238,AE$2&lt;=Inputs!$B$238+Inputs!$B$240),(1/(1-Inputs!$B$239))^(1/Inputs!$B$240)-1,IF(AND(Inputs!$B$243&lt;&gt;"",AE$2=Inputs!$B$243),-Inputs!$B$244,IF(AND(Inputs!$B$243&lt;&gt;"",AE$2&gt;Inputs!$B$243,AE$2&lt;=Inputs!$B$243+Inputs!$B$245),(1/(1-Inputs!$B$244))^(1/Inputs!$B$245)-1,IF(AND(Inputs!$B$248&lt;&gt;"",AE$2=Inputs!$B$248),-Inputs!$B$249,IF(AND(Inputs!$B$248&lt;&gt;"",AE$2&gt;Inputs!$B$248,AE$2&lt;=Inputs!$B$248+Inputs!$B$250),(1/(1-Inputs!$B$249))^(1/Inputs!$B$250)-1,stinc)))))))))))</f>
        <v>61499.387672500074</v>
      </c>
      <c r="AF82" s="7">
        <f ca="1">AE82*(1+IF(AND(Inputs!$B$228&lt;&gt;"",AF$2=Inputs!$B$228),-Inputs!$B$229,IF(AND(Inputs!$B$228&lt;&gt;"",AF$2&gt;Inputs!$B$228,AF$2&lt;=Inputs!$B$228+Inputs!$B$230),(1/(1-Inputs!$B$229))^(1/Inputs!$B$230)-1,IF(AND(Inputs!$B$233&lt;&gt;"",AF$2=Inputs!$B$233),-Inputs!$B$234,IF(AND(Inputs!$B$233&lt;&gt;"",AF$2&gt;Inputs!$B$233,AF$2&lt;=Inputs!$B$233+Inputs!$B$235),(1/(1-Inputs!$B$234))^(1/Inputs!$B$235)-1,IF(AND(Inputs!$B$238&lt;&gt;"",AF$2=Inputs!$B$238),-Inputs!$B$239,IF(AND(Inputs!$B$238&lt;&gt;"",AF$2&gt;Inputs!$B$238,AF$2&lt;=Inputs!$B$238+Inputs!$B$240),(1/(1-Inputs!$B$239))^(1/Inputs!$B$240)-1,IF(AND(Inputs!$B$243&lt;&gt;"",AF$2=Inputs!$B$243),-Inputs!$B$244,IF(AND(Inputs!$B$243&lt;&gt;"",AF$2&gt;Inputs!$B$243,AF$2&lt;=Inputs!$B$243+Inputs!$B$245),(1/(1-Inputs!$B$244))^(1/Inputs!$B$245)-1,IF(AND(Inputs!$B$248&lt;&gt;"",AF$2=Inputs!$B$248),-Inputs!$B$249,IF(AND(Inputs!$B$248&lt;&gt;"",AF$2&gt;Inputs!$B$248,AF$2&lt;=Inputs!$B$248+Inputs!$B$250),(1/(1-Inputs!$B$249))^(1/Inputs!$B$250)-1,stinc)))))))))))</f>
        <v>64960.402765814571</v>
      </c>
      <c r="AG82" s="7">
        <f ca="1">AF82*(1+IF(AND(Inputs!$B$228&lt;&gt;"",AG$2=Inputs!$B$228),-Inputs!$B$229,IF(AND(Inputs!$B$228&lt;&gt;"",AG$2&gt;Inputs!$B$228,AG$2&lt;=Inputs!$B$228+Inputs!$B$230),(1/(1-Inputs!$B$229))^(1/Inputs!$B$230)-1,IF(AND(Inputs!$B$233&lt;&gt;"",AG$2=Inputs!$B$233),-Inputs!$B$234,IF(AND(Inputs!$B$233&lt;&gt;"",AG$2&gt;Inputs!$B$233,AG$2&lt;=Inputs!$B$233+Inputs!$B$235),(1/(1-Inputs!$B$234))^(1/Inputs!$B$235)-1,IF(AND(Inputs!$B$238&lt;&gt;"",AG$2=Inputs!$B$238),-Inputs!$B$239,IF(AND(Inputs!$B$238&lt;&gt;"",AG$2&gt;Inputs!$B$238,AG$2&lt;=Inputs!$B$238+Inputs!$B$240),(1/(1-Inputs!$B$239))^(1/Inputs!$B$240)-1,IF(AND(Inputs!$B$243&lt;&gt;"",AG$2=Inputs!$B$243),-Inputs!$B$244,IF(AND(Inputs!$B$243&lt;&gt;"",AG$2&gt;Inputs!$B$243,AG$2&lt;=Inputs!$B$243+Inputs!$B$245),(1/(1-Inputs!$B$244))^(1/Inputs!$B$245)-1,IF(AND(Inputs!$B$248&lt;&gt;"",AG$2=Inputs!$B$248),-Inputs!$B$249,IF(AND(Inputs!$B$248&lt;&gt;"",AG$2&gt;Inputs!$B$248,AG$2&lt;=Inputs!$B$248+Inputs!$B$250),(1/(1-Inputs!$B$249))^(1/Inputs!$B$250)-1,stinc)))))))))))</f>
        <v>68616.194196414566</v>
      </c>
      <c r="AH82" s="7">
        <f ca="1">AG82*(1+IF(AND(Inputs!$B$228&lt;&gt;"",AH$2=Inputs!$B$228),-Inputs!$B$229,IF(AND(Inputs!$B$228&lt;&gt;"",AH$2&gt;Inputs!$B$228,AH$2&lt;=Inputs!$B$228+Inputs!$B$230),(1/(1-Inputs!$B$229))^(1/Inputs!$B$230)-1,IF(AND(Inputs!$B$233&lt;&gt;"",AH$2=Inputs!$B$233),-Inputs!$B$234,IF(AND(Inputs!$B$233&lt;&gt;"",AH$2&gt;Inputs!$B$233,AH$2&lt;=Inputs!$B$233+Inputs!$B$235),(1/(1-Inputs!$B$234))^(1/Inputs!$B$235)-1,IF(AND(Inputs!$B$238&lt;&gt;"",AH$2=Inputs!$B$238),-Inputs!$B$239,IF(AND(Inputs!$B$238&lt;&gt;"",AH$2&gt;Inputs!$B$238,AH$2&lt;=Inputs!$B$238+Inputs!$B$240),(1/(1-Inputs!$B$239))^(1/Inputs!$B$240)-1,IF(AND(Inputs!$B$243&lt;&gt;"",AH$2=Inputs!$B$243),-Inputs!$B$244,IF(AND(Inputs!$B$243&lt;&gt;"",AH$2&gt;Inputs!$B$243,AH$2&lt;=Inputs!$B$243+Inputs!$B$245),(1/(1-Inputs!$B$244))^(1/Inputs!$B$245)-1,IF(AND(Inputs!$B$248&lt;&gt;"",AH$2=Inputs!$B$248),-Inputs!$B$249,IF(AND(Inputs!$B$248&lt;&gt;"",AH$2&gt;Inputs!$B$248,AH$2&lt;=Inputs!$B$248+Inputs!$B$250),(1/(1-Inputs!$B$249))^(1/Inputs!$B$250)-1,stinc)))))))))))</f>
        <v>74105.489732127739</v>
      </c>
      <c r="AI82" s="7">
        <f ca="1">AH82*(1+IF(AND(Inputs!$B$228&lt;&gt;"",AI$2=Inputs!$B$228),-Inputs!$B$229,IF(AND(Inputs!$B$228&lt;&gt;"",AI$2&gt;Inputs!$B$228,AI$2&lt;=Inputs!$B$228+Inputs!$B$230),(1/(1-Inputs!$B$229))^(1/Inputs!$B$230)-1,IF(AND(Inputs!$B$233&lt;&gt;"",AI$2=Inputs!$B$233),-Inputs!$B$234,IF(AND(Inputs!$B$233&lt;&gt;"",AI$2&gt;Inputs!$B$233,AI$2&lt;=Inputs!$B$233+Inputs!$B$235),(1/(1-Inputs!$B$234))^(1/Inputs!$B$235)-1,IF(AND(Inputs!$B$238&lt;&gt;"",AI$2=Inputs!$B$238),-Inputs!$B$239,IF(AND(Inputs!$B$238&lt;&gt;"",AI$2&gt;Inputs!$B$238,AI$2&lt;=Inputs!$B$238+Inputs!$B$240),(1/(1-Inputs!$B$239))^(1/Inputs!$B$240)-1,IF(AND(Inputs!$B$243&lt;&gt;"",AI$2=Inputs!$B$243),-Inputs!$B$244,IF(AND(Inputs!$B$243&lt;&gt;"",AI$2&gt;Inputs!$B$243,AI$2&lt;=Inputs!$B$243+Inputs!$B$245),(1/(1-Inputs!$B$244))^(1/Inputs!$B$245)-1,IF(AND(Inputs!$B$248&lt;&gt;"",AI$2=Inputs!$B$248),-Inputs!$B$249,IF(AND(Inputs!$B$248&lt;&gt;"",AI$2&gt;Inputs!$B$248,AI$2&lt;=Inputs!$B$248+Inputs!$B$250),(1/(1-Inputs!$B$249))^(1/Inputs!$B$250)-1,stinc)))))))))))</f>
        <v>80033.928910697956</v>
      </c>
      <c r="AJ82" s="7">
        <f ca="1">AI82*(1+IF(AND(Inputs!$B$228&lt;&gt;"",AJ$2=Inputs!$B$228),-Inputs!$B$229,IF(AND(Inputs!$B$228&lt;&gt;"",AJ$2&gt;Inputs!$B$228,AJ$2&lt;=Inputs!$B$228+Inputs!$B$230),(1/(1-Inputs!$B$229))^(1/Inputs!$B$230)-1,IF(AND(Inputs!$B$233&lt;&gt;"",AJ$2=Inputs!$B$233),-Inputs!$B$234,IF(AND(Inputs!$B$233&lt;&gt;"",AJ$2&gt;Inputs!$B$233,AJ$2&lt;=Inputs!$B$233+Inputs!$B$235),(1/(1-Inputs!$B$234))^(1/Inputs!$B$235)-1,IF(AND(Inputs!$B$238&lt;&gt;"",AJ$2=Inputs!$B$238),-Inputs!$B$239,IF(AND(Inputs!$B$238&lt;&gt;"",AJ$2&gt;Inputs!$B$238,AJ$2&lt;=Inputs!$B$238+Inputs!$B$240),(1/(1-Inputs!$B$239))^(1/Inputs!$B$240)-1,IF(AND(Inputs!$B$243&lt;&gt;"",AJ$2=Inputs!$B$243),-Inputs!$B$244,IF(AND(Inputs!$B$243&lt;&gt;"",AJ$2&gt;Inputs!$B$243,AJ$2&lt;=Inputs!$B$243+Inputs!$B$245),(1/(1-Inputs!$B$244))^(1/Inputs!$B$245)-1,IF(AND(Inputs!$B$248&lt;&gt;"",AJ$2=Inputs!$B$248),-Inputs!$B$249,IF(AND(Inputs!$B$248&lt;&gt;"",AJ$2&gt;Inputs!$B$248,AJ$2&lt;=Inputs!$B$248+Inputs!$B$250),(1/(1-Inputs!$B$249))^(1/Inputs!$B$250)-1,stinc)))))))))))</f>
        <v>86436.643223553794</v>
      </c>
      <c r="AK82" s="7">
        <f ca="1">AJ82*(1+IF(AND(Inputs!$B$228&lt;&gt;"",AK$2=Inputs!$B$228),-Inputs!$B$229,IF(AND(Inputs!$B$228&lt;&gt;"",AK$2&gt;Inputs!$B$228,AK$2&lt;=Inputs!$B$228+Inputs!$B$230),(1/(1-Inputs!$B$229))^(1/Inputs!$B$230)-1,IF(AND(Inputs!$B$233&lt;&gt;"",AK$2=Inputs!$B$233),-Inputs!$B$234,IF(AND(Inputs!$B$233&lt;&gt;"",AK$2&gt;Inputs!$B$233,AK$2&lt;=Inputs!$B$233+Inputs!$B$235),(1/(1-Inputs!$B$234))^(1/Inputs!$B$235)-1,IF(AND(Inputs!$B$238&lt;&gt;"",AK$2=Inputs!$B$238),-Inputs!$B$239,IF(AND(Inputs!$B$238&lt;&gt;"",AK$2&gt;Inputs!$B$238,AK$2&lt;=Inputs!$B$238+Inputs!$B$240),(1/(1-Inputs!$B$239))^(1/Inputs!$B$240)-1,IF(AND(Inputs!$B$243&lt;&gt;"",AK$2=Inputs!$B$243),-Inputs!$B$244,IF(AND(Inputs!$B$243&lt;&gt;"",AK$2&gt;Inputs!$B$243,AK$2&lt;=Inputs!$B$243+Inputs!$B$245),(1/(1-Inputs!$B$244))^(1/Inputs!$B$245)-1,IF(AND(Inputs!$B$248&lt;&gt;"",AK$2=Inputs!$B$248),-Inputs!$B$249,IF(AND(Inputs!$B$248&lt;&gt;"",AK$2&gt;Inputs!$B$248,AK$2&lt;=Inputs!$B$248+Inputs!$B$250),(1/(1-Inputs!$B$249))^(1/Inputs!$B$250)-1,stinc)))))))))))</f>
        <v>93351.574681438098</v>
      </c>
      <c r="AL82" s="7">
        <f ca="1">AK82*(1+IF(AND(Inputs!$B$228&lt;&gt;"",AL$2=Inputs!$B$228),-Inputs!$B$229,IF(AND(Inputs!$B$228&lt;&gt;"",AL$2&gt;Inputs!$B$228,AL$2&lt;=Inputs!$B$228+Inputs!$B$230),(1/(1-Inputs!$B$229))^(1/Inputs!$B$230)-1,IF(AND(Inputs!$B$233&lt;&gt;"",AL$2=Inputs!$B$233),-Inputs!$B$234,IF(AND(Inputs!$B$233&lt;&gt;"",AL$2&gt;Inputs!$B$233,AL$2&lt;=Inputs!$B$233+Inputs!$B$235),(1/(1-Inputs!$B$234))^(1/Inputs!$B$235)-1,IF(AND(Inputs!$B$238&lt;&gt;"",AL$2=Inputs!$B$238),-Inputs!$B$239,IF(AND(Inputs!$B$238&lt;&gt;"",AL$2&gt;Inputs!$B$238,AL$2&lt;=Inputs!$B$238+Inputs!$B$240),(1/(1-Inputs!$B$239))^(1/Inputs!$B$240)-1,IF(AND(Inputs!$B$243&lt;&gt;"",AL$2=Inputs!$B$243),-Inputs!$B$244,IF(AND(Inputs!$B$243&lt;&gt;"",AL$2&gt;Inputs!$B$243,AL$2&lt;=Inputs!$B$243+Inputs!$B$245),(1/(1-Inputs!$B$244))^(1/Inputs!$B$245)-1,IF(AND(Inputs!$B$248&lt;&gt;"",AL$2=Inputs!$B$248),-Inputs!$B$249,IF(AND(Inputs!$B$248&lt;&gt;"",AL$2&gt;Inputs!$B$248,AL$2&lt;=Inputs!$B$248+Inputs!$B$250),(1/(1-Inputs!$B$249))^(1/Inputs!$B$250)-1,stinc)))))))))))</f>
        <v>100819.70065595316</v>
      </c>
      <c r="AM82" s="7">
        <f ca="1">AL82*(1+IF(AND(Inputs!$B$228&lt;&gt;"",AM$2=Inputs!$B$228),-Inputs!$B$229,IF(AND(Inputs!$B$228&lt;&gt;"",AM$2&gt;Inputs!$B$228,AM$2&lt;=Inputs!$B$228+Inputs!$B$230),(1/(1-Inputs!$B$229))^(1/Inputs!$B$230)-1,IF(AND(Inputs!$B$233&lt;&gt;"",AM$2=Inputs!$B$233),-Inputs!$B$234,IF(AND(Inputs!$B$233&lt;&gt;"",AM$2&gt;Inputs!$B$233,AM$2&lt;=Inputs!$B$233+Inputs!$B$235),(1/(1-Inputs!$B$234))^(1/Inputs!$B$235)-1,IF(AND(Inputs!$B$238&lt;&gt;"",AM$2=Inputs!$B$238),-Inputs!$B$239,IF(AND(Inputs!$B$238&lt;&gt;"",AM$2&gt;Inputs!$B$238,AM$2&lt;=Inputs!$B$238+Inputs!$B$240),(1/(1-Inputs!$B$239))^(1/Inputs!$B$240)-1,IF(AND(Inputs!$B$243&lt;&gt;"",AM$2=Inputs!$B$243),-Inputs!$B$244,IF(AND(Inputs!$B$243&lt;&gt;"",AM$2&gt;Inputs!$B$243,AM$2&lt;=Inputs!$B$243+Inputs!$B$245),(1/(1-Inputs!$B$244))^(1/Inputs!$B$245)-1,IF(AND(Inputs!$B$248&lt;&gt;"",AM$2=Inputs!$B$248),-Inputs!$B$249,IF(AND(Inputs!$B$248&lt;&gt;"",AM$2&gt;Inputs!$B$248,AM$2&lt;=Inputs!$B$248+Inputs!$B$250),(1/(1-Inputs!$B$249))^(1/Inputs!$B$250)-1,stinc)))))))))))</f>
        <v>108885.27670842942</v>
      </c>
    </row>
    <row r="83" spans="1:39" x14ac:dyDescent="0.2">
      <c r="A83" s="4" t="s">
        <v>2</v>
      </c>
      <c r="C83" s="7">
        <f ca="1">IF(AND(Inputs!$B$217&lt;&gt;"",C$2&gt;=Inputs!$B$217,Inputs!$B$12&gt;0),0,-MAX(FV(Inputs!$B$16/12,C$1*12+MthOff,Inputs!$B$17,-Inputs!$B$15),0))</f>
        <v>-48409.157779606016</v>
      </c>
      <c r="D83" s="7">
        <f ca="1">IF(AND(Inputs!$B$217&lt;&gt;"",D$2&gt;=Inputs!$B$217,Inputs!$B$12&gt;0),0,-MAX(FV(Inputs!$B$16/12,D$1*12+MthOff,Inputs!$B$17,-Inputs!$B$15),0))</f>
        <v>-46231.653807228853</v>
      </c>
      <c r="E83" s="7">
        <f ca="1">IF(AND(Inputs!$B$217&lt;&gt;"",E$2&gt;=Inputs!$B$217,Inputs!$B$12&gt;0),0,-MAX(FV(Inputs!$B$16/12,E$1*12+MthOff,Inputs!$B$17,-Inputs!$B$15),0))</f>
        <v>-43987.918967848869</v>
      </c>
      <c r="F83" s="7">
        <f ca="1">IF(AND(Inputs!$B$217&lt;&gt;"",F$2&gt;=Inputs!$B$217,Inputs!$B$12&gt;0),0,-MAX(FV(Inputs!$B$16/12,F$1*12+MthOff,Inputs!$B$17,-Inputs!$B$15),0))</f>
        <v>-41675.938786268969</v>
      </c>
      <c r="G83" s="7">
        <f ca="1">IF(AND(Inputs!$B$217&lt;&gt;"",G$2&gt;=Inputs!$B$217,Inputs!$B$12&gt;0),0,-MAX(FV(Inputs!$B$16/12,G$1*12+MthOff,Inputs!$B$17,-Inputs!$B$15),0))</f>
        <v>0</v>
      </c>
      <c r="H83" s="7">
        <f ca="1">IF(AND(Inputs!$B$217&lt;&gt;"",H$2&gt;=Inputs!$B$217,Inputs!$B$12&gt;0),0,-MAX(FV(Inputs!$B$16/12,H$1*12+MthOff,Inputs!$B$17,-Inputs!$B$15),0))</f>
        <v>0</v>
      </c>
      <c r="I83" s="7">
        <f ca="1">IF(AND(Inputs!$B$217&lt;&gt;"",I$2&gt;=Inputs!$B$217,Inputs!$B$12&gt;0),0,-MAX(FV(Inputs!$B$16/12,I$1*12+MthOff,Inputs!$B$17,-Inputs!$B$15),0))</f>
        <v>0</v>
      </c>
      <c r="J83" s="7">
        <f ca="1">IF(AND(Inputs!$B$217&lt;&gt;"",J$2&gt;=Inputs!$B$217,Inputs!$B$12&gt;0),0,-MAX(FV(Inputs!$B$16/12,J$1*12+MthOff,Inputs!$B$17,-Inputs!$B$15),0))</f>
        <v>0</v>
      </c>
      <c r="K83" s="7">
        <f ca="1">IF(AND(Inputs!$B$217&lt;&gt;"",K$2&gt;=Inputs!$B$217,Inputs!$B$12&gt;0),0,-MAX(FV(Inputs!$B$16/12,K$1*12+MthOff,Inputs!$B$17,-Inputs!$B$15),0))</f>
        <v>0</v>
      </c>
      <c r="L83" s="7">
        <f ca="1">IF(AND(Inputs!$B$217&lt;&gt;"",L$2&gt;=Inputs!$B$217,Inputs!$B$12&gt;0),0,-MAX(FV(Inputs!$B$16/12,L$1*12+MthOff,Inputs!$B$17,-Inputs!$B$15),0))</f>
        <v>0</v>
      </c>
      <c r="M83" s="7">
        <f ca="1">IF(AND(Inputs!$B$217&lt;&gt;"",M$2&gt;=Inputs!$B$217,Inputs!$B$12&gt;0),0,-MAX(FV(Inputs!$B$16/12,M$1*12+MthOff,Inputs!$B$17,-Inputs!$B$15),0))</f>
        <v>0</v>
      </c>
      <c r="N83" s="7">
        <f ca="1">IF(AND(Inputs!$B$217&lt;&gt;"",N$2&gt;=Inputs!$B$217,Inputs!$B$12&gt;0),0,-MAX(FV(Inputs!$B$16/12,N$1*12+MthOff,Inputs!$B$17,-Inputs!$B$15),0))</f>
        <v>0</v>
      </c>
      <c r="O83" s="7">
        <f ca="1">IF(AND(Inputs!$B$217&lt;&gt;"",O$2&gt;=Inputs!$B$217,Inputs!$B$12&gt;0),0,-MAX(FV(Inputs!$B$16/12,O$1*12+MthOff,Inputs!$B$17,-Inputs!$B$15),0))</f>
        <v>0</v>
      </c>
      <c r="P83" s="7">
        <f ca="1">IF(AND(Inputs!$B$217&lt;&gt;"",P$2&gt;=Inputs!$B$217,Inputs!$B$12&gt;0),0,-MAX(FV(Inputs!$B$16/12,P$1*12+MthOff,Inputs!$B$17,-Inputs!$B$15),0))</f>
        <v>0</v>
      </c>
      <c r="Q83" s="7">
        <f ca="1">IF(AND(Inputs!$B$217&lt;&gt;"",Q$2&gt;=Inputs!$B$217,Inputs!$B$12&gt;0),0,-MAX(FV(Inputs!$B$16/12,Q$1*12+MthOff,Inputs!$B$17,-Inputs!$B$15),0))</f>
        <v>0</v>
      </c>
      <c r="R83" s="7">
        <f ca="1">IF(AND(Inputs!$B$217&lt;&gt;"",R$2&gt;=Inputs!$B$217,Inputs!$B$12&gt;0),0,-MAX(FV(Inputs!$B$16/12,R$1*12+MthOff,Inputs!$B$17,-Inputs!$B$15),0))</f>
        <v>0</v>
      </c>
      <c r="S83" s="7">
        <f ca="1">IF(AND(Inputs!$B$217&lt;&gt;"",S$2&gt;=Inputs!$B$217,Inputs!$B$12&gt;0),0,-MAX(FV(Inputs!$B$16/12,S$1*12+MthOff,Inputs!$B$17,-Inputs!$B$15),0))</f>
        <v>0</v>
      </c>
      <c r="T83" s="7">
        <f ca="1">IF(AND(Inputs!$B$217&lt;&gt;"",T$2&gt;=Inputs!$B$217,Inputs!$B$12&gt;0),0,-MAX(FV(Inputs!$B$16/12,T$1*12+MthOff,Inputs!$B$17,-Inputs!$B$15),0))</f>
        <v>0</v>
      </c>
      <c r="U83" s="7">
        <f ca="1">IF(AND(Inputs!$B$217&lt;&gt;"",U$2&gt;=Inputs!$B$217,Inputs!$B$12&gt;0),0,-MAX(FV(Inputs!$B$16/12,U$1*12+MthOff,Inputs!$B$17,-Inputs!$B$15),0))</f>
        <v>0</v>
      </c>
      <c r="V83" s="7">
        <f ca="1">IF(AND(Inputs!$B$217&lt;&gt;"",V$2&gt;=Inputs!$B$217,Inputs!$B$12&gt;0),0,-MAX(FV(Inputs!$B$16/12,V$1*12+MthOff,Inputs!$B$17,-Inputs!$B$15),0))</f>
        <v>0</v>
      </c>
      <c r="W83" s="7">
        <f ca="1">IF(AND(Inputs!$B$217&lt;&gt;"",W$2&gt;=Inputs!$B$217,Inputs!$B$12&gt;0),0,-MAX(FV(Inputs!$B$16/12,W$1*12+MthOff,Inputs!$B$17,-Inputs!$B$15),0))</f>
        <v>0</v>
      </c>
      <c r="X83" s="7">
        <f ca="1">IF(AND(Inputs!$B$217&lt;&gt;"",X$2&gt;=Inputs!$B$217,Inputs!$B$12&gt;0),0,-MAX(FV(Inputs!$B$16/12,X$1*12+MthOff,Inputs!$B$17,-Inputs!$B$15),0))</f>
        <v>0</v>
      </c>
      <c r="Y83" s="7">
        <f ca="1">IF(AND(Inputs!$B$217&lt;&gt;"",Y$2&gt;=Inputs!$B$217,Inputs!$B$12&gt;0),0,-MAX(FV(Inputs!$B$16/12,Y$1*12+MthOff,Inputs!$B$17,-Inputs!$B$15),0))</f>
        <v>0</v>
      </c>
      <c r="Z83" s="7">
        <f ca="1">IF(AND(Inputs!$B$217&lt;&gt;"",Z$2&gt;=Inputs!$B$217,Inputs!$B$12&gt;0),0,-MAX(FV(Inputs!$B$16/12,Z$1*12+MthOff,Inputs!$B$17,-Inputs!$B$15),0))</f>
        <v>0</v>
      </c>
      <c r="AA83" s="7">
        <f ca="1">IF(AND(Inputs!$B$217&lt;&gt;"",AA$2&gt;=Inputs!$B$217,Inputs!$B$12&gt;0),0,-MAX(FV(Inputs!$B$16/12,AA$1*12+MthOff,Inputs!$B$17,-Inputs!$B$15),0))</f>
        <v>0</v>
      </c>
      <c r="AB83" s="7">
        <f ca="1">IF(AND(Inputs!$B$217&lt;&gt;"",AB$2&gt;=Inputs!$B$217,Inputs!$B$12&gt;0),0,-MAX(FV(Inputs!$B$16/12,AB$1*12+MthOff,Inputs!$B$17,-Inputs!$B$15),0))</f>
        <v>0</v>
      </c>
      <c r="AC83" s="7">
        <f ca="1">IF(AND(Inputs!$B$217&lt;&gt;"",AC$2&gt;=Inputs!$B$217,Inputs!$B$12&gt;0),0,-MAX(FV(Inputs!$B$16/12,AC$1*12+MthOff,Inputs!$B$17,-Inputs!$B$15),0))</f>
        <v>0</v>
      </c>
      <c r="AD83" s="7">
        <f ca="1">IF(AND(Inputs!$B$217&lt;&gt;"",AD$2&gt;=Inputs!$B$217,Inputs!$B$12&gt;0),0,-MAX(FV(Inputs!$B$16/12,AD$1*12+MthOff,Inputs!$B$17,-Inputs!$B$15),0))</f>
        <v>0</v>
      </c>
      <c r="AE83" s="7">
        <f ca="1">IF(AND(Inputs!$B$217&lt;&gt;"",AE$2&gt;=Inputs!$B$217,Inputs!$B$12&gt;0),0,-MAX(FV(Inputs!$B$16/12,AE$1*12+MthOff,Inputs!$B$17,-Inputs!$B$15),0))</f>
        <v>0</v>
      </c>
      <c r="AF83" s="7">
        <f ca="1">IF(AND(Inputs!$B$217&lt;&gt;"",AF$2&gt;=Inputs!$B$217,Inputs!$B$12&gt;0),0,-MAX(FV(Inputs!$B$16/12,AF$1*12+MthOff,Inputs!$B$17,-Inputs!$B$15),0))</f>
        <v>0</v>
      </c>
      <c r="AG83" s="7">
        <f ca="1">IF(AND(Inputs!$B$217&lt;&gt;"",AG$2&gt;=Inputs!$B$217,Inputs!$B$12&gt;0),0,-MAX(FV(Inputs!$B$16/12,AG$1*12+MthOff,Inputs!$B$17,-Inputs!$B$15),0))</f>
        <v>0</v>
      </c>
      <c r="AH83" s="7">
        <f ca="1">IF(AND(Inputs!$B$217&lt;&gt;"",AH$2&gt;=Inputs!$B$217,Inputs!$B$12&gt;0),0,-MAX(FV(Inputs!$B$16/12,AH$1*12+MthOff,Inputs!$B$17,-Inputs!$B$15),0))</f>
        <v>0</v>
      </c>
      <c r="AI83" s="7">
        <f ca="1">IF(AND(Inputs!$B$217&lt;&gt;"",AI$2&gt;=Inputs!$B$217,Inputs!$B$12&gt;0),0,-MAX(FV(Inputs!$B$16/12,AI$1*12+MthOff,Inputs!$B$17,-Inputs!$B$15),0))</f>
        <v>0</v>
      </c>
      <c r="AJ83" s="7">
        <f ca="1">IF(AND(Inputs!$B$217&lt;&gt;"",AJ$2&gt;=Inputs!$B$217,Inputs!$B$12&gt;0),0,-MAX(FV(Inputs!$B$16/12,AJ$1*12+MthOff,Inputs!$B$17,-Inputs!$B$15),0))</f>
        <v>0</v>
      </c>
      <c r="AK83" s="7">
        <f ca="1">IF(AND(Inputs!$B$217&lt;&gt;"",AK$2&gt;=Inputs!$B$217,Inputs!$B$12&gt;0),0,-MAX(FV(Inputs!$B$16/12,AK$1*12+MthOff,Inputs!$B$17,-Inputs!$B$15),0))</f>
        <v>0</v>
      </c>
      <c r="AL83" s="7">
        <f ca="1">IF(AND(Inputs!$B$217&lt;&gt;"",AL$2&gt;=Inputs!$B$217,Inputs!$B$12&gt;0),0,-MAX(FV(Inputs!$B$16/12,AL$1*12+MthOff,Inputs!$B$17,-Inputs!$B$15),0))</f>
        <v>0</v>
      </c>
      <c r="AM83" s="7">
        <f ca="1">IF(AND(Inputs!$B$217&lt;&gt;"",AM$2&gt;=Inputs!$B$217,Inputs!$B$12&gt;0),0,-MAX(FV(Inputs!$B$16/12,AM$1*12+MthOff,Inputs!$B$17,-Inputs!$B$15),0))</f>
        <v>0</v>
      </c>
    </row>
    <row r="84" spans="1:39" x14ac:dyDescent="0.2">
      <c r="A84" s="4" t="s">
        <v>197</v>
      </c>
      <c r="C84" s="7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</row>
    <row r="85" spans="1:39" x14ac:dyDescent="0.2">
      <c r="A85" s="3" t="str">
        <f>TEXT(Inputs!$B$60,"")</f>
        <v>Sliema</v>
      </c>
      <c r="C85" s="7">
        <f ca="1">-MAX(FV(Inputs!$B128/12,C$1*12+MthOff,Inputs!$B129,-Inputs!$B127),0)</f>
        <v>-46591.052384870025</v>
      </c>
      <c r="D85" s="7">
        <f ca="1">-MAX(FV(Inputs!$B128/12,D$1*12+MthOff,Inputs!$B129,-Inputs!$B127),0)</f>
        <v>-41924.97244406183</v>
      </c>
      <c r="E85" s="7">
        <f ca="1">-MAX(FV(Inputs!$B128/12,E$1*12+MthOff,Inputs!$B129,-Inputs!$B127),0)</f>
        <v>-37116.969216818994</v>
      </c>
      <c r="F85" s="7">
        <f ca="1">-MAX(FV(Inputs!$B128/12,F$1*12+MthOff,Inputs!$B129,-Inputs!$B127),0)</f>
        <v>-32162.725970576364</v>
      </c>
      <c r="G85" s="7">
        <f ca="1">-MAX(FV(Inputs!$B128/12,G$1*12+MthOff,Inputs!$B129,-Inputs!$B127),0)</f>
        <v>-27057.79467521701</v>
      </c>
      <c r="H85" s="7">
        <f ca="1">-MAX(FV(Inputs!$B128/12,H$1*12+MthOff,Inputs!$B129,-Inputs!$B127),0)</f>
        <v>-21797.592009531552</v>
      </c>
      <c r="I85" s="7">
        <f ca="1">-MAX(FV(Inputs!$B128/12,I$1*12+MthOff,Inputs!$B129,-Inputs!$B127),0)</f>
        <v>-16377.395246210348</v>
      </c>
      <c r="J85" s="7">
        <f ca="1">-MAX(FV(Inputs!$B128/12,J$1*12+MthOff,Inputs!$B129,-Inputs!$B127),0)</f>
        <v>-10792.33801167312</v>
      </c>
      <c r="K85" s="7">
        <f ca="1">-MAX(FV(Inputs!$B128/12,K$1*12+MthOff,Inputs!$B129,-Inputs!$B127),0)</f>
        <v>-5037.4059169308748</v>
      </c>
      <c r="L85" s="7">
        <f ca="1">-MAX(FV(Inputs!$B128/12,L$1*12+MthOff,Inputs!$B129,-Inputs!$B127),0)</f>
        <v>0</v>
      </c>
      <c r="M85" s="7">
        <f ca="1">-MAX(FV(Inputs!$B128/12,M$1*12+MthOff,Inputs!$B129,-Inputs!$B127),0)</f>
        <v>0</v>
      </c>
      <c r="N85" s="7">
        <f ca="1">-MAX(FV(Inputs!$B128/12,N$1*12+MthOff,Inputs!$B129,-Inputs!$B127),0)</f>
        <v>0</v>
      </c>
      <c r="O85" s="7">
        <f ca="1">-MAX(FV(Inputs!$B128/12,O$1*12+MthOff,Inputs!$B129,-Inputs!$B127),0)</f>
        <v>0</v>
      </c>
      <c r="P85" s="7">
        <f ca="1">-MAX(FV(Inputs!$B128/12,P$1*12+MthOff,Inputs!$B129,-Inputs!$B127),0)</f>
        <v>0</v>
      </c>
      <c r="Q85" s="7">
        <f ca="1">-MAX(FV(Inputs!$B128/12,Q$1*12+MthOff,Inputs!$B129,-Inputs!$B127),0)</f>
        <v>0</v>
      </c>
      <c r="R85" s="7">
        <f ca="1">-MAX(FV(Inputs!$B128/12,R$1*12+MthOff,Inputs!$B129,-Inputs!$B127),0)</f>
        <v>0</v>
      </c>
      <c r="S85" s="7">
        <f ca="1">-MAX(FV(Inputs!$B128/12,S$1*12+MthOff,Inputs!$B129,-Inputs!$B127),0)</f>
        <v>0</v>
      </c>
      <c r="T85" s="7">
        <f ca="1">-MAX(FV(Inputs!$B128/12,T$1*12+MthOff,Inputs!$B129,-Inputs!$B127),0)</f>
        <v>0</v>
      </c>
      <c r="U85" s="7">
        <f ca="1">-MAX(FV(Inputs!$B128/12,U$1*12+MthOff,Inputs!$B129,-Inputs!$B127),0)</f>
        <v>0</v>
      </c>
      <c r="V85" s="7">
        <f ca="1">-MAX(FV(Inputs!$B128/12,V$1*12+MthOff,Inputs!$B129,-Inputs!$B127),0)</f>
        <v>0</v>
      </c>
      <c r="W85" s="7">
        <f ca="1">-MAX(FV(Inputs!$B128/12,W$1*12+MthOff,Inputs!$B129,-Inputs!$B127),0)</f>
        <v>0</v>
      </c>
      <c r="X85" s="7">
        <f ca="1">-MAX(FV(Inputs!$B128/12,X$1*12+MthOff,Inputs!$B129,-Inputs!$B127),0)</f>
        <v>0</v>
      </c>
      <c r="Y85" s="7">
        <f ca="1">-MAX(FV(Inputs!$B128/12,Y$1*12+MthOff,Inputs!$B129,-Inputs!$B127),0)</f>
        <v>0</v>
      </c>
      <c r="Z85" s="7">
        <f ca="1">-MAX(FV(Inputs!$B128/12,Z$1*12+MthOff,Inputs!$B129,-Inputs!$B127),0)</f>
        <v>0</v>
      </c>
      <c r="AA85" s="7">
        <f ca="1">-MAX(FV(Inputs!$B128/12,AA$1*12+MthOff,Inputs!$B129,-Inputs!$B127),0)</f>
        <v>0</v>
      </c>
      <c r="AB85" s="7">
        <f ca="1">-MAX(FV(Inputs!$B128/12,AB$1*12+MthOff,Inputs!$B129,-Inputs!$B127),0)</f>
        <v>0</v>
      </c>
      <c r="AC85" s="7">
        <f ca="1">-MAX(FV(Inputs!$B128/12,AC$1*12+MthOff,Inputs!$B129,-Inputs!$B127),0)</f>
        <v>0</v>
      </c>
      <c r="AD85" s="7">
        <f ca="1">-MAX(FV(Inputs!$B128/12,AD$1*12+MthOff,Inputs!$B129,-Inputs!$B127),0)</f>
        <v>0</v>
      </c>
      <c r="AE85" s="7">
        <f ca="1">-MAX(FV(Inputs!$B128/12,AE$1*12+MthOff,Inputs!$B129,-Inputs!$B127),0)</f>
        <v>0</v>
      </c>
      <c r="AF85" s="7">
        <f ca="1">-MAX(FV(Inputs!$B128/12,AF$1*12+MthOff,Inputs!$B129,-Inputs!$B127),0)</f>
        <v>0</v>
      </c>
      <c r="AG85" s="7">
        <f ca="1">-MAX(FV(Inputs!$B128/12,AG$1*12+MthOff,Inputs!$B129,-Inputs!$B127),0)</f>
        <v>0</v>
      </c>
      <c r="AH85" s="7">
        <f ca="1">-MAX(FV(Inputs!$B128/12,AH$1*12+MthOff,Inputs!$B129,-Inputs!$B127),0)</f>
        <v>0</v>
      </c>
      <c r="AI85" s="7">
        <f ca="1">-MAX(FV(Inputs!$B128/12,AI$1*12+MthOff,Inputs!$B129,-Inputs!$B127),0)</f>
        <v>0</v>
      </c>
      <c r="AJ85" s="7">
        <f ca="1">-MAX(FV(Inputs!$B128/12,AJ$1*12+MthOff,Inputs!$B129,-Inputs!$B127),0)</f>
        <v>0</v>
      </c>
      <c r="AK85" s="7">
        <f ca="1">-MAX(FV(Inputs!$B128/12,AK$1*12+MthOff,Inputs!$B129,-Inputs!$B127),0)</f>
        <v>0</v>
      </c>
      <c r="AL85" s="7">
        <f ca="1">-MAX(FV(Inputs!$B128/12,AL$1*12+MthOff,Inputs!$B129,-Inputs!$B127),0)</f>
        <v>0</v>
      </c>
      <c r="AM85" s="7">
        <f ca="1">-MAX(FV(Inputs!$B128/12,AM$1*12+MthOff,Inputs!$B129,-Inputs!$B127),0)</f>
        <v>0</v>
      </c>
    </row>
    <row r="86" spans="1:39" x14ac:dyDescent="0.2">
      <c r="A86" s="3" t="str">
        <f>TEXT(Inputs!$B$65,"")</f>
        <v>Gzira</v>
      </c>
      <c r="C86" s="7">
        <f ca="1">-MAX(FV(Inputs!$B133/12,C$1*12+MthOff,Inputs!$B134,-Inputs!$B132),0)</f>
        <v>-6816.3065303051853</v>
      </c>
      <c r="D86" s="7">
        <f ca="1">-MAX(FV(Inputs!$B133/12,D$1*12+MthOff,Inputs!$B134,-Inputs!$B132),0)</f>
        <v>-4531.7666039667383</v>
      </c>
      <c r="E86" s="7">
        <f ca="1">-MAX(FV(Inputs!$B133/12,E$1*12+MthOff,Inputs!$B134,-Inputs!$B132),0)</f>
        <v>-2201.1147111864902</v>
      </c>
      <c r="F86" s="7">
        <f ca="1">-MAX(FV(Inputs!$B133/12,F$1*12+MthOff,Inputs!$B134,-Inputs!$B132),0)</f>
        <v>0</v>
      </c>
      <c r="G86" s="7">
        <f ca="1">-MAX(FV(Inputs!$B133/12,G$1*12+MthOff,Inputs!$B134,-Inputs!$B132),0)</f>
        <v>0</v>
      </c>
      <c r="H86" s="7">
        <f ca="1">-MAX(FV(Inputs!$B133/12,H$1*12+MthOff,Inputs!$B134,-Inputs!$B132),0)</f>
        <v>0</v>
      </c>
      <c r="I86" s="7">
        <f ca="1">-MAX(FV(Inputs!$B133/12,I$1*12+MthOff,Inputs!$B134,-Inputs!$B132),0)</f>
        <v>0</v>
      </c>
      <c r="J86" s="7">
        <f ca="1">-MAX(FV(Inputs!$B133/12,J$1*12+MthOff,Inputs!$B134,-Inputs!$B132),0)</f>
        <v>0</v>
      </c>
      <c r="K86" s="7">
        <f ca="1">-MAX(FV(Inputs!$B133/12,K$1*12+MthOff,Inputs!$B134,-Inputs!$B132),0)</f>
        <v>0</v>
      </c>
      <c r="L86" s="7">
        <f ca="1">-MAX(FV(Inputs!$B133/12,L$1*12+MthOff,Inputs!$B134,-Inputs!$B132),0)</f>
        <v>0</v>
      </c>
      <c r="M86" s="7">
        <f ca="1">-MAX(FV(Inputs!$B133/12,M$1*12+MthOff,Inputs!$B134,-Inputs!$B132),0)</f>
        <v>0</v>
      </c>
      <c r="N86" s="7">
        <f ca="1">-MAX(FV(Inputs!$B133/12,N$1*12+MthOff,Inputs!$B134,-Inputs!$B132),0)</f>
        <v>0</v>
      </c>
      <c r="O86" s="7">
        <f ca="1">-MAX(FV(Inputs!$B133/12,O$1*12+MthOff,Inputs!$B134,-Inputs!$B132),0)</f>
        <v>0</v>
      </c>
      <c r="P86" s="7">
        <f ca="1">-MAX(FV(Inputs!$B133/12,P$1*12+MthOff,Inputs!$B134,-Inputs!$B132),0)</f>
        <v>0</v>
      </c>
      <c r="Q86" s="7">
        <f ca="1">-MAX(FV(Inputs!$B133/12,Q$1*12+MthOff,Inputs!$B134,-Inputs!$B132),0)</f>
        <v>0</v>
      </c>
      <c r="R86" s="7">
        <f ca="1">-MAX(FV(Inputs!$B133/12,R$1*12+MthOff,Inputs!$B134,-Inputs!$B132),0)</f>
        <v>0</v>
      </c>
      <c r="S86" s="7">
        <f ca="1">-MAX(FV(Inputs!$B133/12,S$1*12+MthOff,Inputs!$B134,-Inputs!$B132),0)</f>
        <v>0</v>
      </c>
      <c r="T86" s="7">
        <f ca="1">-MAX(FV(Inputs!$B133/12,T$1*12+MthOff,Inputs!$B134,-Inputs!$B132),0)</f>
        <v>0</v>
      </c>
      <c r="U86" s="7">
        <f ca="1">-MAX(FV(Inputs!$B133/12,U$1*12+MthOff,Inputs!$B134,-Inputs!$B132),0)</f>
        <v>0</v>
      </c>
      <c r="V86" s="7">
        <f ca="1">-MAX(FV(Inputs!$B133/12,V$1*12+MthOff,Inputs!$B134,-Inputs!$B132),0)</f>
        <v>0</v>
      </c>
      <c r="W86" s="7">
        <f ca="1">-MAX(FV(Inputs!$B133/12,W$1*12+MthOff,Inputs!$B134,-Inputs!$B132),0)</f>
        <v>0</v>
      </c>
      <c r="X86" s="7">
        <f ca="1">-MAX(FV(Inputs!$B133/12,X$1*12+MthOff,Inputs!$B134,-Inputs!$B132),0)</f>
        <v>0</v>
      </c>
      <c r="Y86" s="7">
        <f ca="1">-MAX(FV(Inputs!$B133/12,Y$1*12+MthOff,Inputs!$B134,-Inputs!$B132),0)</f>
        <v>0</v>
      </c>
      <c r="Z86" s="7">
        <f ca="1">-MAX(FV(Inputs!$B133/12,Z$1*12+MthOff,Inputs!$B134,-Inputs!$B132),0)</f>
        <v>0</v>
      </c>
      <c r="AA86" s="7">
        <f ca="1">-MAX(FV(Inputs!$B133/12,AA$1*12+MthOff,Inputs!$B134,-Inputs!$B132),0)</f>
        <v>0</v>
      </c>
      <c r="AB86" s="7">
        <f ca="1">-MAX(FV(Inputs!$B133/12,AB$1*12+MthOff,Inputs!$B134,-Inputs!$B132),0)</f>
        <v>0</v>
      </c>
      <c r="AC86" s="7">
        <f ca="1">-MAX(FV(Inputs!$B133/12,AC$1*12+MthOff,Inputs!$B134,-Inputs!$B132),0)</f>
        <v>0</v>
      </c>
      <c r="AD86" s="7">
        <f ca="1">-MAX(FV(Inputs!$B133/12,AD$1*12+MthOff,Inputs!$B134,-Inputs!$B132),0)</f>
        <v>0</v>
      </c>
      <c r="AE86" s="7">
        <f ca="1">-MAX(FV(Inputs!$B133/12,AE$1*12+MthOff,Inputs!$B134,-Inputs!$B132),0)</f>
        <v>0</v>
      </c>
      <c r="AF86" s="7">
        <f ca="1">-MAX(FV(Inputs!$B133/12,AF$1*12+MthOff,Inputs!$B134,-Inputs!$B132),0)</f>
        <v>0</v>
      </c>
      <c r="AG86" s="7">
        <f ca="1">-MAX(FV(Inputs!$B133/12,AG$1*12+MthOff,Inputs!$B134,-Inputs!$B132),0)</f>
        <v>0</v>
      </c>
      <c r="AH86" s="7">
        <f ca="1">-MAX(FV(Inputs!$B133/12,AH$1*12+MthOff,Inputs!$B134,-Inputs!$B132),0)</f>
        <v>0</v>
      </c>
      <c r="AI86" s="7">
        <f ca="1">-MAX(FV(Inputs!$B133/12,AI$1*12+MthOff,Inputs!$B134,-Inputs!$B132),0)</f>
        <v>0</v>
      </c>
      <c r="AJ86" s="7">
        <f ca="1">-MAX(FV(Inputs!$B133/12,AJ$1*12+MthOff,Inputs!$B134,-Inputs!$B132),0)</f>
        <v>0</v>
      </c>
      <c r="AK86" s="7">
        <f ca="1">-MAX(FV(Inputs!$B133/12,AK$1*12+MthOff,Inputs!$B134,-Inputs!$B132),0)</f>
        <v>0</v>
      </c>
      <c r="AL86" s="7">
        <f ca="1">-MAX(FV(Inputs!$B133/12,AL$1*12+MthOff,Inputs!$B134,-Inputs!$B132),0)</f>
        <v>0</v>
      </c>
      <c r="AM86" s="7">
        <f ca="1">-MAX(FV(Inputs!$B133/12,AM$1*12+MthOff,Inputs!$B134,-Inputs!$B132),0)</f>
        <v>0</v>
      </c>
    </row>
    <row r="87" spans="1:39" x14ac:dyDescent="0.2">
      <c r="A87" s="3" t="str">
        <f>TEXT(Inputs!$B$70,"")</f>
        <v>Qormi</v>
      </c>
      <c r="C87" s="7">
        <f ca="1">-MAX(FV(Inputs!$B138/12,C$1*12+MthOff,Inputs!$B139,-Inputs!$B137),0)</f>
        <v>-13284.099846375037</v>
      </c>
      <c r="D87" s="7">
        <f ca="1">-MAX(FV(Inputs!$B138/12,D$1*12+MthOff,Inputs!$B139,-Inputs!$B137),0)</f>
        <v>-10894.02573326202</v>
      </c>
      <c r="E87" s="7">
        <f ca="1">-MAX(FV(Inputs!$B138/12,E$1*12+MthOff,Inputs!$B139,-Inputs!$B137),0)</f>
        <v>-8381.6708924441427</v>
      </c>
      <c r="F87" s="7">
        <f ca="1">-MAX(FV(Inputs!$B138/12,F$1*12+MthOff,Inputs!$B139,-Inputs!$B137),0)</f>
        <v>-5740.779209817676</v>
      </c>
      <c r="G87" s="7">
        <f ca="1">-MAX(FV(Inputs!$B138/12,G$1*12+MthOff,Inputs!$B139,-Inputs!$B137),0)</f>
        <v>-2964.7744966079426</v>
      </c>
      <c r="H87" s="7">
        <f ca="1">-MAX(FV(Inputs!$B138/12,H$1*12+MthOff,Inputs!$B139,-Inputs!$B137),0)</f>
        <v>-46.744113741759065</v>
      </c>
      <c r="I87" s="7">
        <f ca="1">-MAX(FV(Inputs!$B138/12,I$1*12+MthOff,Inputs!$B139,-Inputs!$B137),0)</f>
        <v>0</v>
      </c>
      <c r="J87" s="7">
        <f ca="1">-MAX(FV(Inputs!$B138/12,J$1*12+MthOff,Inputs!$B139,-Inputs!$B137),0)</f>
        <v>0</v>
      </c>
      <c r="K87" s="7">
        <f ca="1">-MAX(FV(Inputs!$B138/12,K$1*12+MthOff,Inputs!$B139,-Inputs!$B137),0)</f>
        <v>0</v>
      </c>
      <c r="L87" s="7">
        <f ca="1">-MAX(FV(Inputs!$B138/12,L$1*12+MthOff,Inputs!$B139,-Inputs!$B137),0)</f>
        <v>0</v>
      </c>
      <c r="M87" s="7">
        <f ca="1">-MAX(FV(Inputs!$B138/12,M$1*12+MthOff,Inputs!$B139,-Inputs!$B137),0)</f>
        <v>0</v>
      </c>
      <c r="N87" s="7">
        <f ca="1">-MAX(FV(Inputs!$B138/12,N$1*12+MthOff,Inputs!$B139,-Inputs!$B137),0)</f>
        <v>0</v>
      </c>
      <c r="O87" s="7">
        <f ca="1">-MAX(FV(Inputs!$B138/12,O$1*12+MthOff,Inputs!$B139,-Inputs!$B137),0)</f>
        <v>0</v>
      </c>
      <c r="P87" s="7">
        <f ca="1">-MAX(FV(Inputs!$B138/12,P$1*12+MthOff,Inputs!$B139,-Inputs!$B137),0)</f>
        <v>0</v>
      </c>
      <c r="Q87" s="7">
        <f ca="1">-MAX(FV(Inputs!$B138/12,Q$1*12+MthOff,Inputs!$B139,-Inputs!$B137),0)</f>
        <v>0</v>
      </c>
      <c r="R87" s="7">
        <f ca="1">-MAX(FV(Inputs!$B138/12,R$1*12+MthOff,Inputs!$B139,-Inputs!$B137),0)</f>
        <v>0</v>
      </c>
      <c r="S87" s="7">
        <f ca="1">-MAX(FV(Inputs!$B138/12,S$1*12+MthOff,Inputs!$B139,-Inputs!$B137),0)</f>
        <v>0</v>
      </c>
      <c r="T87" s="7">
        <f ca="1">-MAX(FV(Inputs!$B138/12,T$1*12+MthOff,Inputs!$B139,-Inputs!$B137),0)</f>
        <v>0</v>
      </c>
      <c r="U87" s="7">
        <f ca="1">-MAX(FV(Inputs!$B138/12,U$1*12+MthOff,Inputs!$B139,-Inputs!$B137),0)</f>
        <v>0</v>
      </c>
      <c r="V87" s="7">
        <f ca="1">-MAX(FV(Inputs!$B138/12,V$1*12+MthOff,Inputs!$B139,-Inputs!$B137),0)</f>
        <v>0</v>
      </c>
      <c r="W87" s="7">
        <f ca="1">-MAX(FV(Inputs!$B138/12,W$1*12+MthOff,Inputs!$B139,-Inputs!$B137),0)</f>
        <v>0</v>
      </c>
      <c r="X87" s="7">
        <f ca="1">-MAX(FV(Inputs!$B138/12,X$1*12+MthOff,Inputs!$B139,-Inputs!$B137),0)</f>
        <v>0</v>
      </c>
      <c r="Y87" s="7">
        <f ca="1">-MAX(FV(Inputs!$B138/12,Y$1*12+MthOff,Inputs!$B139,-Inputs!$B137),0)</f>
        <v>0</v>
      </c>
      <c r="Z87" s="7">
        <f ca="1">-MAX(FV(Inputs!$B138/12,Z$1*12+MthOff,Inputs!$B139,-Inputs!$B137),0)</f>
        <v>0</v>
      </c>
      <c r="AA87" s="7">
        <f ca="1">-MAX(FV(Inputs!$B138/12,AA$1*12+MthOff,Inputs!$B139,-Inputs!$B137),0)</f>
        <v>0</v>
      </c>
      <c r="AB87" s="7">
        <f ca="1">-MAX(FV(Inputs!$B138/12,AB$1*12+MthOff,Inputs!$B139,-Inputs!$B137),0)</f>
        <v>0</v>
      </c>
      <c r="AC87" s="7">
        <f ca="1">-MAX(FV(Inputs!$B138/12,AC$1*12+MthOff,Inputs!$B139,-Inputs!$B137),0)</f>
        <v>0</v>
      </c>
      <c r="AD87" s="7">
        <f ca="1">-MAX(FV(Inputs!$B138/12,AD$1*12+MthOff,Inputs!$B139,-Inputs!$B137),0)</f>
        <v>0</v>
      </c>
      <c r="AE87" s="7">
        <f ca="1">-MAX(FV(Inputs!$B138/12,AE$1*12+MthOff,Inputs!$B139,-Inputs!$B137),0)</f>
        <v>0</v>
      </c>
      <c r="AF87" s="7">
        <f ca="1">-MAX(FV(Inputs!$B138/12,AF$1*12+MthOff,Inputs!$B139,-Inputs!$B137),0)</f>
        <v>0</v>
      </c>
      <c r="AG87" s="7">
        <f ca="1">-MAX(FV(Inputs!$B138/12,AG$1*12+MthOff,Inputs!$B139,-Inputs!$B137),0)</f>
        <v>0</v>
      </c>
      <c r="AH87" s="7">
        <f ca="1">-MAX(FV(Inputs!$B138/12,AH$1*12+MthOff,Inputs!$B139,-Inputs!$B137),0)</f>
        <v>0</v>
      </c>
      <c r="AI87" s="7">
        <f ca="1">-MAX(FV(Inputs!$B138/12,AI$1*12+MthOff,Inputs!$B139,-Inputs!$B137),0)</f>
        <v>0</v>
      </c>
      <c r="AJ87" s="7">
        <f ca="1">-MAX(FV(Inputs!$B138/12,AJ$1*12+MthOff,Inputs!$B139,-Inputs!$B137),0)</f>
        <v>0</v>
      </c>
      <c r="AK87" s="7">
        <f ca="1">-MAX(FV(Inputs!$B138/12,AK$1*12+MthOff,Inputs!$B139,-Inputs!$B137),0)</f>
        <v>0</v>
      </c>
      <c r="AL87" s="7">
        <f ca="1">-MAX(FV(Inputs!$B138/12,AL$1*12+MthOff,Inputs!$B139,-Inputs!$B137),0)</f>
        <v>0</v>
      </c>
      <c r="AM87" s="7">
        <f ca="1">-MAX(FV(Inputs!$B138/12,AM$1*12+MthOff,Inputs!$B139,-Inputs!$B137),0)</f>
        <v>0</v>
      </c>
    </row>
    <row r="88" spans="1:39" x14ac:dyDescent="0.2">
      <c r="A88" s="3" t="str">
        <f>TEXT(Inputs!$B$75,"")</f>
        <v>Gudja</v>
      </c>
      <c r="C88" s="7">
        <f ca="1">-MAX(FV(Inputs!$B143/12,C$1*12+MthOff,Inputs!$B144,-Inputs!$B142),0)</f>
        <v>-4025.8511111463736</v>
      </c>
      <c r="D88" s="7">
        <f ca="1">-MAX(FV(Inputs!$B143/12,D$1*12+MthOff,Inputs!$B144,-Inputs!$B142),0)</f>
        <v>-3138.2612491824134</v>
      </c>
      <c r="E88" s="7">
        <f ca="1">-MAX(FV(Inputs!$B143/12,E$1*12+MthOff,Inputs!$B144,-Inputs!$B142),0)</f>
        <v>-2232.7559577452803</v>
      </c>
      <c r="F88" s="7">
        <f ca="1">-MAX(FV(Inputs!$B143/12,F$1*12+MthOff,Inputs!$B144,-Inputs!$B142),0)</f>
        <v>-1308.9736254343047</v>
      </c>
      <c r="G88" s="7">
        <f ca="1">-MAX(FV(Inputs!$B143/12,G$1*12+MthOff,Inputs!$B144,-Inputs!$B142),0)</f>
        <v>-366.5453419556743</v>
      </c>
      <c r="H88" s="7">
        <f ca="1">-MAX(FV(Inputs!$B143/12,H$1*12+MthOff,Inputs!$B144,-Inputs!$B142),0)</f>
        <v>0</v>
      </c>
      <c r="I88" s="7">
        <f ca="1">-MAX(FV(Inputs!$B143/12,I$1*12+MthOff,Inputs!$B144,-Inputs!$B142),0)</f>
        <v>0</v>
      </c>
      <c r="J88" s="7">
        <f ca="1">-MAX(FV(Inputs!$B143/12,J$1*12+MthOff,Inputs!$B144,-Inputs!$B142),0)</f>
        <v>0</v>
      </c>
      <c r="K88" s="7">
        <f ca="1">-MAX(FV(Inputs!$B143/12,K$1*12+MthOff,Inputs!$B144,-Inputs!$B142),0)</f>
        <v>0</v>
      </c>
      <c r="L88" s="7">
        <f ca="1">-MAX(FV(Inputs!$B143/12,L$1*12+MthOff,Inputs!$B144,-Inputs!$B142),0)</f>
        <v>0</v>
      </c>
      <c r="M88" s="7">
        <f ca="1">-MAX(FV(Inputs!$B143/12,M$1*12+MthOff,Inputs!$B144,-Inputs!$B142),0)</f>
        <v>0</v>
      </c>
      <c r="N88" s="7">
        <f ca="1">-MAX(FV(Inputs!$B143/12,N$1*12+MthOff,Inputs!$B144,-Inputs!$B142),0)</f>
        <v>0</v>
      </c>
      <c r="O88" s="7">
        <f ca="1">-MAX(FV(Inputs!$B143/12,O$1*12+MthOff,Inputs!$B144,-Inputs!$B142),0)</f>
        <v>0</v>
      </c>
      <c r="P88" s="7">
        <f ca="1">-MAX(FV(Inputs!$B143/12,P$1*12+MthOff,Inputs!$B144,-Inputs!$B142),0)</f>
        <v>0</v>
      </c>
      <c r="Q88" s="7">
        <f ca="1">-MAX(FV(Inputs!$B143/12,Q$1*12+MthOff,Inputs!$B144,-Inputs!$B142),0)</f>
        <v>0</v>
      </c>
      <c r="R88" s="7">
        <f ca="1">-MAX(FV(Inputs!$B143/12,R$1*12+MthOff,Inputs!$B144,-Inputs!$B142),0)</f>
        <v>0</v>
      </c>
      <c r="S88" s="7">
        <f ca="1">-MAX(FV(Inputs!$B143/12,S$1*12+MthOff,Inputs!$B144,-Inputs!$B142),0)</f>
        <v>0</v>
      </c>
      <c r="T88" s="7">
        <f ca="1">-MAX(FV(Inputs!$B143/12,T$1*12+MthOff,Inputs!$B144,-Inputs!$B142),0)</f>
        <v>0</v>
      </c>
      <c r="U88" s="7">
        <f ca="1">-MAX(FV(Inputs!$B143/12,U$1*12+MthOff,Inputs!$B144,-Inputs!$B142),0)</f>
        <v>0</v>
      </c>
      <c r="V88" s="7">
        <f ca="1">-MAX(FV(Inputs!$B143/12,V$1*12+MthOff,Inputs!$B144,-Inputs!$B142),0)</f>
        <v>0</v>
      </c>
      <c r="W88" s="7">
        <f ca="1">-MAX(FV(Inputs!$B143/12,W$1*12+MthOff,Inputs!$B144,-Inputs!$B142),0)</f>
        <v>0</v>
      </c>
      <c r="X88" s="7">
        <f ca="1">-MAX(FV(Inputs!$B143/12,X$1*12+MthOff,Inputs!$B144,-Inputs!$B142),0)</f>
        <v>0</v>
      </c>
      <c r="Y88" s="7">
        <f ca="1">-MAX(FV(Inputs!$B143/12,Y$1*12+MthOff,Inputs!$B144,-Inputs!$B142),0)</f>
        <v>0</v>
      </c>
      <c r="Z88" s="7">
        <f ca="1">-MAX(FV(Inputs!$B143/12,Z$1*12+MthOff,Inputs!$B144,-Inputs!$B142),0)</f>
        <v>0</v>
      </c>
      <c r="AA88" s="7">
        <f ca="1">-MAX(FV(Inputs!$B143/12,AA$1*12+MthOff,Inputs!$B144,-Inputs!$B142),0)</f>
        <v>0</v>
      </c>
      <c r="AB88" s="7">
        <f ca="1">-MAX(FV(Inputs!$B143/12,AB$1*12+MthOff,Inputs!$B144,-Inputs!$B142),0)</f>
        <v>0</v>
      </c>
      <c r="AC88" s="7">
        <f ca="1">-MAX(FV(Inputs!$B143/12,AC$1*12+MthOff,Inputs!$B144,-Inputs!$B142),0)</f>
        <v>0</v>
      </c>
      <c r="AD88" s="7">
        <f ca="1">-MAX(FV(Inputs!$B143/12,AD$1*12+MthOff,Inputs!$B144,-Inputs!$B142),0)</f>
        <v>0</v>
      </c>
      <c r="AE88" s="7">
        <f ca="1">-MAX(FV(Inputs!$B143/12,AE$1*12+MthOff,Inputs!$B144,-Inputs!$B142),0)</f>
        <v>0</v>
      </c>
      <c r="AF88" s="7">
        <f ca="1">-MAX(FV(Inputs!$B143/12,AF$1*12+MthOff,Inputs!$B144,-Inputs!$B142),0)</f>
        <v>0</v>
      </c>
      <c r="AG88" s="7">
        <f ca="1">-MAX(FV(Inputs!$B143/12,AG$1*12+MthOff,Inputs!$B144,-Inputs!$B142),0)</f>
        <v>0</v>
      </c>
      <c r="AH88" s="7">
        <f ca="1">-MAX(FV(Inputs!$B143/12,AH$1*12+MthOff,Inputs!$B144,-Inputs!$B142),0)</f>
        <v>0</v>
      </c>
      <c r="AI88" s="7">
        <f ca="1">-MAX(FV(Inputs!$B143/12,AI$1*12+MthOff,Inputs!$B144,-Inputs!$B142),0)</f>
        <v>0</v>
      </c>
      <c r="AJ88" s="7">
        <f ca="1">-MAX(FV(Inputs!$B143/12,AJ$1*12+MthOff,Inputs!$B144,-Inputs!$B142),0)</f>
        <v>0</v>
      </c>
      <c r="AK88" s="7">
        <f ca="1">-MAX(FV(Inputs!$B143/12,AK$1*12+MthOff,Inputs!$B144,-Inputs!$B142),0)</f>
        <v>0</v>
      </c>
      <c r="AL88" s="7">
        <f ca="1">-MAX(FV(Inputs!$B143/12,AL$1*12+MthOff,Inputs!$B144,-Inputs!$B142),0)</f>
        <v>0</v>
      </c>
      <c r="AM88" s="7">
        <f ca="1">-MAX(FV(Inputs!$B143/12,AM$1*12+MthOff,Inputs!$B144,-Inputs!$B142),0)</f>
        <v>0</v>
      </c>
    </row>
    <row r="89" spans="1:39" x14ac:dyDescent="0.2">
      <c r="A89" s="3" t="str">
        <f>TEXT(Inputs!$B$80,"")</f>
        <v>Marsa</v>
      </c>
      <c r="C89" s="7">
        <f ca="1">-MAX(FV(Inputs!$B148/12,C$1*12+MthOff,Inputs!$B149,-Inputs!$B147),0)</f>
        <v>-8649.5822104017261</v>
      </c>
      <c r="D89" s="7">
        <f ca="1">-MAX(FV(Inputs!$B148/12,D$1*12+MthOff,Inputs!$B149,-Inputs!$B147),0)</f>
        <v>-7452.7015983848178</v>
      </c>
      <c r="E89" s="7">
        <f ca="1">-MAX(FV(Inputs!$B148/12,E$1*12+MthOff,Inputs!$B149,-Inputs!$B147),0)</f>
        <v>-6219.4167172421839</v>
      </c>
      <c r="F89" s="7">
        <f ca="1">-MAX(FV(Inputs!$B148/12,F$1*12+MthOff,Inputs!$B149,-Inputs!$B147),0)</f>
        <v>-4948.6202962926418</v>
      </c>
      <c r="G89" s="7">
        <f ca="1">-MAX(FV(Inputs!$B148/12,G$1*12+MthOff,Inputs!$B149,-Inputs!$B147),0)</f>
        <v>-3639.1713861576636</v>
      </c>
      <c r="H89" s="7">
        <f ca="1">-MAX(FV(Inputs!$B148/12,H$1*12+MthOff,Inputs!$B149,-Inputs!$B147),0)</f>
        <v>-2289.8943343915744</v>
      </c>
      <c r="I89" s="7">
        <f ca="1">-MAX(FV(Inputs!$B148/12,I$1*12+MthOff,Inputs!$B149,-Inputs!$B147),0)</f>
        <v>-899.57772995459527</v>
      </c>
      <c r="J89" s="7">
        <f ca="1">-MAX(FV(Inputs!$B148/12,J$1*12+MthOff,Inputs!$B149,-Inputs!$B147),0)</f>
        <v>0</v>
      </c>
      <c r="K89" s="7">
        <f ca="1">-MAX(FV(Inputs!$B148/12,K$1*12+MthOff,Inputs!$B149,-Inputs!$B147),0)</f>
        <v>0</v>
      </c>
      <c r="L89" s="7">
        <f ca="1">-MAX(FV(Inputs!$B148/12,L$1*12+MthOff,Inputs!$B149,-Inputs!$B147),0)</f>
        <v>0</v>
      </c>
      <c r="M89" s="7">
        <f ca="1">-MAX(FV(Inputs!$B148/12,M$1*12+MthOff,Inputs!$B149,-Inputs!$B147),0)</f>
        <v>0</v>
      </c>
      <c r="N89" s="7">
        <f ca="1">-MAX(FV(Inputs!$B148/12,N$1*12+MthOff,Inputs!$B149,-Inputs!$B147),0)</f>
        <v>0</v>
      </c>
      <c r="O89" s="7">
        <f ca="1">-MAX(FV(Inputs!$B148/12,O$1*12+MthOff,Inputs!$B149,-Inputs!$B147),0)</f>
        <v>0</v>
      </c>
      <c r="P89" s="7">
        <f ca="1">-MAX(FV(Inputs!$B148/12,P$1*12+MthOff,Inputs!$B149,-Inputs!$B147),0)</f>
        <v>0</v>
      </c>
      <c r="Q89" s="7">
        <f ca="1">-MAX(FV(Inputs!$B148/12,Q$1*12+MthOff,Inputs!$B149,-Inputs!$B147),0)</f>
        <v>0</v>
      </c>
      <c r="R89" s="7">
        <f ca="1">-MAX(FV(Inputs!$B148/12,R$1*12+MthOff,Inputs!$B149,-Inputs!$B147),0)</f>
        <v>0</v>
      </c>
      <c r="S89" s="7">
        <f ca="1">-MAX(FV(Inputs!$B148/12,S$1*12+MthOff,Inputs!$B149,-Inputs!$B147),0)</f>
        <v>0</v>
      </c>
      <c r="T89" s="7">
        <f ca="1">-MAX(FV(Inputs!$B148/12,T$1*12+MthOff,Inputs!$B149,-Inputs!$B147),0)</f>
        <v>0</v>
      </c>
      <c r="U89" s="7">
        <f ca="1">-MAX(FV(Inputs!$B148/12,U$1*12+MthOff,Inputs!$B149,-Inputs!$B147),0)</f>
        <v>0</v>
      </c>
      <c r="V89" s="7">
        <f ca="1">-MAX(FV(Inputs!$B148/12,V$1*12+MthOff,Inputs!$B149,-Inputs!$B147),0)</f>
        <v>0</v>
      </c>
      <c r="W89" s="7">
        <f ca="1">-MAX(FV(Inputs!$B148/12,W$1*12+MthOff,Inputs!$B149,-Inputs!$B147),0)</f>
        <v>0</v>
      </c>
      <c r="X89" s="7">
        <f ca="1">-MAX(FV(Inputs!$B148/12,X$1*12+MthOff,Inputs!$B149,-Inputs!$B147),0)</f>
        <v>0</v>
      </c>
      <c r="Y89" s="7">
        <f ca="1">-MAX(FV(Inputs!$B148/12,Y$1*12+MthOff,Inputs!$B149,-Inputs!$B147),0)</f>
        <v>0</v>
      </c>
      <c r="Z89" s="7">
        <f ca="1">-MAX(FV(Inputs!$B148/12,Z$1*12+MthOff,Inputs!$B149,-Inputs!$B147),0)</f>
        <v>0</v>
      </c>
      <c r="AA89" s="7">
        <f ca="1">-MAX(FV(Inputs!$B148/12,AA$1*12+MthOff,Inputs!$B149,-Inputs!$B147),0)</f>
        <v>0</v>
      </c>
      <c r="AB89" s="7">
        <f ca="1">-MAX(FV(Inputs!$B148/12,AB$1*12+MthOff,Inputs!$B149,-Inputs!$B147),0)</f>
        <v>0</v>
      </c>
      <c r="AC89" s="7">
        <f ca="1">-MAX(FV(Inputs!$B148/12,AC$1*12+MthOff,Inputs!$B149,-Inputs!$B147),0)</f>
        <v>0</v>
      </c>
      <c r="AD89" s="7">
        <f ca="1">-MAX(FV(Inputs!$B148/12,AD$1*12+MthOff,Inputs!$B149,-Inputs!$B147),0)</f>
        <v>0</v>
      </c>
      <c r="AE89" s="7">
        <f ca="1">-MAX(FV(Inputs!$B148/12,AE$1*12+MthOff,Inputs!$B149,-Inputs!$B147),0)</f>
        <v>0</v>
      </c>
      <c r="AF89" s="7">
        <f ca="1">-MAX(FV(Inputs!$B148/12,AF$1*12+MthOff,Inputs!$B149,-Inputs!$B147),0)</f>
        <v>0</v>
      </c>
      <c r="AG89" s="7">
        <f ca="1">-MAX(FV(Inputs!$B148/12,AG$1*12+MthOff,Inputs!$B149,-Inputs!$B147),0)</f>
        <v>0</v>
      </c>
      <c r="AH89" s="7">
        <f ca="1">-MAX(FV(Inputs!$B148/12,AH$1*12+MthOff,Inputs!$B149,-Inputs!$B147),0)</f>
        <v>0</v>
      </c>
      <c r="AI89" s="7">
        <f ca="1">-MAX(FV(Inputs!$B148/12,AI$1*12+MthOff,Inputs!$B149,-Inputs!$B147),0)</f>
        <v>0</v>
      </c>
      <c r="AJ89" s="7">
        <f ca="1">-MAX(FV(Inputs!$B148/12,AJ$1*12+MthOff,Inputs!$B149,-Inputs!$B147),0)</f>
        <v>0</v>
      </c>
      <c r="AK89" s="7">
        <f ca="1">-MAX(FV(Inputs!$B148/12,AK$1*12+MthOff,Inputs!$B149,-Inputs!$B147),0)</f>
        <v>0</v>
      </c>
      <c r="AL89" s="7">
        <f ca="1">-MAX(FV(Inputs!$B148/12,AL$1*12+MthOff,Inputs!$B149,-Inputs!$B147),0)</f>
        <v>0</v>
      </c>
      <c r="AM89" s="7">
        <f ca="1">-MAX(FV(Inputs!$B148/12,AM$1*12+MthOff,Inputs!$B149,-Inputs!$B147),0)</f>
        <v>0</v>
      </c>
    </row>
    <row r="90" spans="1:39" x14ac:dyDescent="0.2">
      <c r="A90" s="3" t="str">
        <f>TEXT(Inputs!$B$87,"")</f>
        <v>Jewelry</v>
      </c>
      <c r="C90" s="7">
        <f ca="1">-MAX(FV(Inputs!$B153/12,C$1*12+MthOff,Inputs!$B154,-Inputs!$B152),0)</f>
        <v>-1875.0262705595046</v>
      </c>
      <c r="D90" s="7">
        <f ca="1">-MAX(FV(Inputs!$B153/12,D$1*12+MthOff,Inputs!$B154,-Inputs!$B152),0)</f>
        <v>-1019.5782814113345</v>
      </c>
      <c r="E90" s="7">
        <f ca="1">-MAX(FV(Inputs!$B153/12,E$1*12+MthOff,Inputs!$B154,-Inputs!$B152),0)</f>
        <v>-138.11102308348245</v>
      </c>
      <c r="F90" s="7">
        <f ca="1">-MAX(FV(Inputs!$B153/12,F$1*12+MthOff,Inputs!$B154,-Inputs!$B152),0)</f>
        <v>0</v>
      </c>
      <c r="G90" s="7">
        <f ca="1">-MAX(FV(Inputs!$B153/12,G$1*12+MthOff,Inputs!$B154,-Inputs!$B152),0)</f>
        <v>0</v>
      </c>
      <c r="H90" s="7">
        <f ca="1">-MAX(FV(Inputs!$B153/12,H$1*12+MthOff,Inputs!$B154,-Inputs!$B152),0)</f>
        <v>0</v>
      </c>
      <c r="I90" s="7">
        <f ca="1">-MAX(FV(Inputs!$B153/12,I$1*12+MthOff,Inputs!$B154,-Inputs!$B152),0)</f>
        <v>0</v>
      </c>
      <c r="J90" s="7">
        <f ca="1">-MAX(FV(Inputs!$B153/12,J$1*12+MthOff,Inputs!$B154,-Inputs!$B152),0)</f>
        <v>0</v>
      </c>
      <c r="K90" s="7">
        <f ca="1">-MAX(FV(Inputs!$B153/12,K$1*12+MthOff,Inputs!$B154,-Inputs!$B152),0)</f>
        <v>0</v>
      </c>
      <c r="L90" s="7">
        <f ca="1">-MAX(FV(Inputs!$B153/12,L$1*12+MthOff,Inputs!$B154,-Inputs!$B152),0)</f>
        <v>0</v>
      </c>
      <c r="M90" s="7">
        <f ca="1">-MAX(FV(Inputs!$B153/12,M$1*12+MthOff,Inputs!$B154,-Inputs!$B152),0)</f>
        <v>0</v>
      </c>
      <c r="N90" s="7">
        <f ca="1">-MAX(FV(Inputs!$B153/12,N$1*12+MthOff,Inputs!$B154,-Inputs!$B152),0)</f>
        <v>0</v>
      </c>
      <c r="O90" s="7">
        <f ca="1">-MAX(FV(Inputs!$B153/12,O$1*12+MthOff,Inputs!$B154,-Inputs!$B152),0)</f>
        <v>0</v>
      </c>
      <c r="P90" s="7">
        <f ca="1">-MAX(FV(Inputs!$B153/12,P$1*12+MthOff,Inputs!$B154,-Inputs!$B152),0)</f>
        <v>0</v>
      </c>
      <c r="Q90" s="7">
        <f ca="1">-MAX(FV(Inputs!$B153/12,Q$1*12+MthOff,Inputs!$B154,-Inputs!$B152),0)</f>
        <v>0</v>
      </c>
      <c r="R90" s="7">
        <f ca="1">-MAX(FV(Inputs!$B153/12,R$1*12+MthOff,Inputs!$B154,-Inputs!$B152),0)</f>
        <v>0</v>
      </c>
      <c r="S90" s="7">
        <f ca="1">-MAX(FV(Inputs!$B153/12,S$1*12+MthOff,Inputs!$B154,-Inputs!$B152),0)</f>
        <v>0</v>
      </c>
      <c r="T90" s="7">
        <f ca="1">-MAX(FV(Inputs!$B153/12,T$1*12+MthOff,Inputs!$B154,-Inputs!$B152),0)</f>
        <v>0</v>
      </c>
      <c r="U90" s="7">
        <f ca="1">-MAX(FV(Inputs!$B153/12,U$1*12+MthOff,Inputs!$B154,-Inputs!$B152),0)</f>
        <v>0</v>
      </c>
      <c r="V90" s="7">
        <f ca="1">-MAX(FV(Inputs!$B153/12,V$1*12+MthOff,Inputs!$B154,-Inputs!$B152),0)</f>
        <v>0</v>
      </c>
      <c r="W90" s="7">
        <f ca="1">-MAX(FV(Inputs!$B153/12,W$1*12+MthOff,Inputs!$B154,-Inputs!$B152),0)</f>
        <v>0</v>
      </c>
      <c r="X90" s="7">
        <f ca="1">-MAX(FV(Inputs!$B153/12,X$1*12+MthOff,Inputs!$B154,-Inputs!$B152),0)</f>
        <v>0</v>
      </c>
      <c r="Y90" s="7">
        <f ca="1">-MAX(FV(Inputs!$B153/12,Y$1*12+MthOff,Inputs!$B154,-Inputs!$B152),0)</f>
        <v>0</v>
      </c>
      <c r="Z90" s="7">
        <f ca="1">-MAX(FV(Inputs!$B153/12,Z$1*12+MthOff,Inputs!$B154,-Inputs!$B152),0)</f>
        <v>0</v>
      </c>
      <c r="AA90" s="7">
        <f ca="1">-MAX(FV(Inputs!$B153/12,AA$1*12+MthOff,Inputs!$B154,-Inputs!$B152),0)</f>
        <v>0</v>
      </c>
      <c r="AB90" s="7">
        <f ca="1">-MAX(FV(Inputs!$B153/12,AB$1*12+MthOff,Inputs!$B154,-Inputs!$B152),0)</f>
        <v>0</v>
      </c>
      <c r="AC90" s="7">
        <f ca="1">-MAX(FV(Inputs!$B153/12,AC$1*12+MthOff,Inputs!$B154,-Inputs!$B152),0)</f>
        <v>0</v>
      </c>
      <c r="AD90" s="7">
        <f ca="1">-MAX(FV(Inputs!$B153/12,AD$1*12+MthOff,Inputs!$B154,-Inputs!$B152),0)</f>
        <v>0</v>
      </c>
      <c r="AE90" s="7">
        <f ca="1">-MAX(FV(Inputs!$B153/12,AE$1*12+MthOff,Inputs!$B154,-Inputs!$B152),0)</f>
        <v>0</v>
      </c>
      <c r="AF90" s="7">
        <f ca="1">-MAX(FV(Inputs!$B153/12,AF$1*12+MthOff,Inputs!$B154,-Inputs!$B152),0)</f>
        <v>0</v>
      </c>
      <c r="AG90" s="7">
        <f ca="1">-MAX(FV(Inputs!$B153/12,AG$1*12+MthOff,Inputs!$B154,-Inputs!$B152),0)</f>
        <v>0</v>
      </c>
      <c r="AH90" s="7">
        <f ca="1">-MAX(FV(Inputs!$B153/12,AH$1*12+MthOff,Inputs!$B154,-Inputs!$B152),0)</f>
        <v>0</v>
      </c>
      <c r="AI90" s="7">
        <f ca="1">-MAX(FV(Inputs!$B153/12,AI$1*12+MthOff,Inputs!$B154,-Inputs!$B152),0)</f>
        <v>0</v>
      </c>
      <c r="AJ90" s="7">
        <f ca="1">-MAX(FV(Inputs!$B153/12,AJ$1*12+MthOff,Inputs!$B154,-Inputs!$B152),0)</f>
        <v>0</v>
      </c>
      <c r="AK90" s="7">
        <f ca="1">-MAX(FV(Inputs!$B153/12,AK$1*12+MthOff,Inputs!$B154,-Inputs!$B152),0)</f>
        <v>0</v>
      </c>
      <c r="AL90" s="7">
        <f ca="1">-MAX(FV(Inputs!$B153/12,AL$1*12+MthOff,Inputs!$B154,-Inputs!$B152),0)</f>
        <v>0</v>
      </c>
      <c r="AM90" s="7">
        <f ca="1">-MAX(FV(Inputs!$B153/12,AM$1*12+MthOff,Inputs!$B154,-Inputs!$B152),0)</f>
        <v>0</v>
      </c>
    </row>
    <row r="91" spans="1:39" x14ac:dyDescent="0.2">
      <c r="A91" s="3" t="str">
        <f>TEXT(Inputs!$B$92,"")</f>
        <v>Car</v>
      </c>
      <c r="C91" s="7">
        <f ca="1">-MAX(FV(Inputs!$B158/12,C$1*12+MthOff,Inputs!$B159,-Inputs!$B157),0)</f>
        <v>-5311.4222222593407</v>
      </c>
      <c r="D91" s="7">
        <f ca="1">-MAX(FV(Inputs!$B158/12,D$1*12+MthOff,Inputs!$B159,-Inputs!$B157),0)</f>
        <v>-4377.1171044025405</v>
      </c>
      <c r="E91" s="7">
        <f ca="1">-MAX(FV(Inputs!$B158/12,E$1*12+MthOff,Inputs!$B159,-Inputs!$B157),0)</f>
        <v>-3423.9536397318734</v>
      </c>
      <c r="F91" s="7">
        <f ca="1">-MAX(FV(Inputs!$B158/12,F$1*12+MthOff,Inputs!$B159,-Inputs!$B157),0)</f>
        <v>-2451.5511846676886</v>
      </c>
      <c r="G91" s="7">
        <f ca="1">-MAX(FV(Inputs!$B158/12,G$1*12+MthOff,Inputs!$B159,-Inputs!$B157),0)</f>
        <v>-1459.5214125849197</v>
      </c>
      <c r="H91" s="7">
        <f ca="1">-MAX(FV(Inputs!$B158/12,H$1*12+MthOff,Inputs!$B159,-Inputs!$B157),0)</f>
        <v>-447.46815873579635</v>
      </c>
      <c r="I91" s="7">
        <f ca="1">-MAX(FV(Inputs!$B158/12,I$1*12+MthOff,Inputs!$B159,-Inputs!$B157),0)</f>
        <v>0</v>
      </c>
      <c r="J91" s="7">
        <f ca="1">-MAX(FV(Inputs!$B158/12,J$1*12+MthOff,Inputs!$B159,-Inputs!$B157),0)</f>
        <v>0</v>
      </c>
      <c r="K91" s="7">
        <f ca="1">-MAX(FV(Inputs!$B158/12,K$1*12+MthOff,Inputs!$B159,-Inputs!$B157),0)</f>
        <v>0</v>
      </c>
      <c r="L91" s="7">
        <f ca="1">-MAX(FV(Inputs!$B158/12,L$1*12+MthOff,Inputs!$B159,-Inputs!$B157),0)</f>
        <v>0</v>
      </c>
      <c r="M91" s="7">
        <f ca="1">-MAX(FV(Inputs!$B158/12,M$1*12+MthOff,Inputs!$B159,-Inputs!$B157),0)</f>
        <v>0</v>
      </c>
      <c r="N91" s="7">
        <f ca="1">-MAX(FV(Inputs!$B158/12,N$1*12+MthOff,Inputs!$B159,-Inputs!$B157),0)</f>
        <v>0</v>
      </c>
      <c r="O91" s="7">
        <f ca="1">-MAX(FV(Inputs!$B158/12,O$1*12+MthOff,Inputs!$B159,-Inputs!$B157),0)</f>
        <v>0</v>
      </c>
      <c r="P91" s="7">
        <f ca="1">-MAX(FV(Inputs!$B158/12,P$1*12+MthOff,Inputs!$B159,-Inputs!$B157),0)</f>
        <v>0</v>
      </c>
      <c r="Q91" s="7">
        <f ca="1">-MAX(FV(Inputs!$B158/12,Q$1*12+MthOff,Inputs!$B159,-Inputs!$B157),0)</f>
        <v>0</v>
      </c>
      <c r="R91" s="7">
        <f ca="1">-MAX(FV(Inputs!$B158/12,R$1*12+MthOff,Inputs!$B159,-Inputs!$B157),0)</f>
        <v>0</v>
      </c>
      <c r="S91" s="7">
        <f ca="1">-MAX(FV(Inputs!$B158/12,S$1*12+MthOff,Inputs!$B159,-Inputs!$B157),0)</f>
        <v>0</v>
      </c>
      <c r="T91" s="7">
        <f ca="1">-MAX(FV(Inputs!$B158/12,T$1*12+MthOff,Inputs!$B159,-Inputs!$B157),0)</f>
        <v>0</v>
      </c>
      <c r="U91" s="7">
        <f ca="1">-MAX(FV(Inputs!$B158/12,U$1*12+MthOff,Inputs!$B159,-Inputs!$B157),0)</f>
        <v>0</v>
      </c>
      <c r="V91" s="7">
        <f ca="1">-MAX(FV(Inputs!$B158/12,V$1*12+MthOff,Inputs!$B159,-Inputs!$B157),0)</f>
        <v>0</v>
      </c>
      <c r="W91" s="7">
        <f ca="1">-MAX(FV(Inputs!$B158/12,W$1*12+MthOff,Inputs!$B159,-Inputs!$B157),0)</f>
        <v>0</v>
      </c>
      <c r="X91" s="7">
        <f ca="1">-MAX(FV(Inputs!$B158/12,X$1*12+MthOff,Inputs!$B159,-Inputs!$B157),0)</f>
        <v>0</v>
      </c>
      <c r="Y91" s="7">
        <f ca="1">-MAX(FV(Inputs!$B158/12,Y$1*12+MthOff,Inputs!$B159,-Inputs!$B157),0)</f>
        <v>0</v>
      </c>
      <c r="Z91" s="7">
        <f ca="1">-MAX(FV(Inputs!$B158/12,Z$1*12+MthOff,Inputs!$B159,-Inputs!$B157),0)</f>
        <v>0</v>
      </c>
      <c r="AA91" s="7">
        <f ca="1">-MAX(FV(Inputs!$B158/12,AA$1*12+MthOff,Inputs!$B159,-Inputs!$B157),0)</f>
        <v>0</v>
      </c>
      <c r="AB91" s="7">
        <f ca="1">-MAX(FV(Inputs!$B158/12,AB$1*12+MthOff,Inputs!$B159,-Inputs!$B157),0)</f>
        <v>0</v>
      </c>
      <c r="AC91" s="7">
        <f ca="1">-MAX(FV(Inputs!$B158/12,AC$1*12+MthOff,Inputs!$B159,-Inputs!$B157),0)</f>
        <v>0</v>
      </c>
      <c r="AD91" s="7">
        <f ca="1">-MAX(FV(Inputs!$B158/12,AD$1*12+MthOff,Inputs!$B159,-Inputs!$B157),0)</f>
        <v>0</v>
      </c>
      <c r="AE91" s="7">
        <f ca="1">-MAX(FV(Inputs!$B158/12,AE$1*12+MthOff,Inputs!$B159,-Inputs!$B157),0)</f>
        <v>0</v>
      </c>
      <c r="AF91" s="7">
        <f ca="1">-MAX(FV(Inputs!$B158/12,AF$1*12+MthOff,Inputs!$B159,-Inputs!$B157),0)</f>
        <v>0</v>
      </c>
      <c r="AG91" s="7">
        <f ca="1">-MAX(FV(Inputs!$B158/12,AG$1*12+MthOff,Inputs!$B159,-Inputs!$B157),0)</f>
        <v>0</v>
      </c>
      <c r="AH91" s="7">
        <f ca="1">-MAX(FV(Inputs!$B158/12,AH$1*12+MthOff,Inputs!$B159,-Inputs!$B157),0)</f>
        <v>0</v>
      </c>
      <c r="AI91" s="7">
        <f ca="1">-MAX(FV(Inputs!$B158/12,AI$1*12+MthOff,Inputs!$B159,-Inputs!$B157),0)</f>
        <v>0</v>
      </c>
      <c r="AJ91" s="7">
        <f ca="1">-MAX(FV(Inputs!$B158/12,AJ$1*12+MthOff,Inputs!$B159,-Inputs!$B157),0)</f>
        <v>0</v>
      </c>
      <c r="AK91" s="7">
        <f ca="1">-MAX(FV(Inputs!$B158/12,AK$1*12+MthOff,Inputs!$B159,-Inputs!$B157),0)</f>
        <v>0</v>
      </c>
      <c r="AL91" s="7">
        <f ca="1">-MAX(FV(Inputs!$B158/12,AL$1*12+MthOff,Inputs!$B159,-Inputs!$B157),0)</f>
        <v>0</v>
      </c>
      <c r="AM91" s="7">
        <f ca="1">-MAX(FV(Inputs!$B158/12,AM$1*12+MthOff,Inputs!$B159,-Inputs!$B157),0)</f>
        <v>0</v>
      </c>
    </row>
    <row r="92" spans="1:39" x14ac:dyDescent="0.2">
      <c r="A92" s="3" t="str">
        <f>TEXT(Inputs!$B$97,"")</f>
        <v>Painting</v>
      </c>
      <c r="C92" s="7">
        <f ca="1">-MAX(FV(Inputs!$B163/12,C$1*12+MthOff,Inputs!$B164,-Inputs!$B162),0)</f>
        <v>-6642.0499231875183</v>
      </c>
      <c r="D92" s="7">
        <f ca="1">-MAX(FV(Inputs!$B163/12,D$1*12+MthOff,Inputs!$B164,-Inputs!$B162),0)</f>
        <v>-5447.0128666310102</v>
      </c>
      <c r="E92" s="7">
        <f ca="1">-MAX(FV(Inputs!$B163/12,E$1*12+MthOff,Inputs!$B164,-Inputs!$B162),0)</f>
        <v>-4190.8354462220714</v>
      </c>
      <c r="F92" s="7">
        <f ca="1">-MAX(FV(Inputs!$B163/12,F$1*12+MthOff,Inputs!$B164,-Inputs!$B162),0)</f>
        <v>-2870.389604908838</v>
      </c>
      <c r="G92" s="7">
        <f ca="1">-MAX(FV(Inputs!$B163/12,G$1*12+MthOff,Inputs!$B164,-Inputs!$B162),0)</f>
        <v>-1482.3872483039713</v>
      </c>
      <c r="H92" s="7">
        <f ca="1">-MAX(FV(Inputs!$B163/12,H$1*12+MthOff,Inputs!$B164,-Inputs!$B162),0)</f>
        <v>-23.372056870879533</v>
      </c>
      <c r="I92" s="7">
        <f ca="1">-MAX(FV(Inputs!$B163/12,I$1*12+MthOff,Inputs!$B164,-Inputs!$B162),0)</f>
        <v>0</v>
      </c>
      <c r="J92" s="7">
        <f ca="1">-MAX(FV(Inputs!$B163/12,J$1*12+MthOff,Inputs!$B164,-Inputs!$B162),0)</f>
        <v>0</v>
      </c>
      <c r="K92" s="7">
        <f ca="1">-MAX(FV(Inputs!$B163/12,K$1*12+MthOff,Inputs!$B164,-Inputs!$B162),0)</f>
        <v>0</v>
      </c>
      <c r="L92" s="7">
        <f ca="1">-MAX(FV(Inputs!$B163/12,L$1*12+MthOff,Inputs!$B164,-Inputs!$B162),0)</f>
        <v>0</v>
      </c>
      <c r="M92" s="7">
        <f ca="1">-MAX(FV(Inputs!$B163/12,M$1*12+MthOff,Inputs!$B164,-Inputs!$B162),0)</f>
        <v>0</v>
      </c>
      <c r="N92" s="7">
        <f ca="1">-MAX(FV(Inputs!$B163/12,N$1*12+MthOff,Inputs!$B164,-Inputs!$B162),0)</f>
        <v>0</v>
      </c>
      <c r="O92" s="7">
        <f ca="1">-MAX(FV(Inputs!$B163/12,O$1*12+MthOff,Inputs!$B164,-Inputs!$B162),0)</f>
        <v>0</v>
      </c>
      <c r="P92" s="7">
        <f ca="1">-MAX(FV(Inputs!$B163/12,P$1*12+MthOff,Inputs!$B164,-Inputs!$B162),0)</f>
        <v>0</v>
      </c>
      <c r="Q92" s="7">
        <f ca="1">-MAX(FV(Inputs!$B163/12,Q$1*12+MthOff,Inputs!$B164,-Inputs!$B162),0)</f>
        <v>0</v>
      </c>
      <c r="R92" s="7">
        <f ca="1">-MAX(FV(Inputs!$B163/12,R$1*12+MthOff,Inputs!$B164,-Inputs!$B162),0)</f>
        <v>0</v>
      </c>
      <c r="S92" s="7">
        <f ca="1">-MAX(FV(Inputs!$B163/12,S$1*12+MthOff,Inputs!$B164,-Inputs!$B162),0)</f>
        <v>0</v>
      </c>
      <c r="T92" s="7">
        <f ca="1">-MAX(FV(Inputs!$B163/12,T$1*12+MthOff,Inputs!$B164,-Inputs!$B162),0)</f>
        <v>0</v>
      </c>
      <c r="U92" s="7">
        <f ca="1">-MAX(FV(Inputs!$B163/12,U$1*12+MthOff,Inputs!$B164,-Inputs!$B162),0)</f>
        <v>0</v>
      </c>
      <c r="V92" s="7">
        <f ca="1">-MAX(FV(Inputs!$B163/12,V$1*12+MthOff,Inputs!$B164,-Inputs!$B162),0)</f>
        <v>0</v>
      </c>
      <c r="W92" s="7">
        <f ca="1">-MAX(FV(Inputs!$B163/12,W$1*12+MthOff,Inputs!$B164,-Inputs!$B162),0)</f>
        <v>0</v>
      </c>
      <c r="X92" s="7">
        <f ca="1">-MAX(FV(Inputs!$B163/12,X$1*12+MthOff,Inputs!$B164,-Inputs!$B162),0)</f>
        <v>0</v>
      </c>
      <c r="Y92" s="7">
        <f ca="1">-MAX(FV(Inputs!$B163/12,Y$1*12+MthOff,Inputs!$B164,-Inputs!$B162),0)</f>
        <v>0</v>
      </c>
      <c r="Z92" s="7">
        <f ca="1">-MAX(FV(Inputs!$B163/12,Z$1*12+MthOff,Inputs!$B164,-Inputs!$B162),0)</f>
        <v>0</v>
      </c>
      <c r="AA92" s="7">
        <f ca="1">-MAX(FV(Inputs!$B163/12,AA$1*12+MthOff,Inputs!$B164,-Inputs!$B162),0)</f>
        <v>0</v>
      </c>
      <c r="AB92" s="7">
        <f ca="1">-MAX(FV(Inputs!$B163/12,AB$1*12+MthOff,Inputs!$B164,-Inputs!$B162),0)</f>
        <v>0</v>
      </c>
      <c r="AC92" s="7">
        <f ca="1">-MAX(FV(Inputs!$B163/12,AC$1*12+MthOff,Inputs!$B164,-Inputs!$B162),0)</f>
        <v>0</v>
      </c>
      <c r="AD92" s="7">
        <f ca="1">-MAX(FV(Inputs!$B163/12,AD$1*12+MthOff,Inputs!$B164,-Inputs!$B162),0)</f>
        <v>0</v>
      </c>
      <c r="AE92" s="7">
        <f ca="1">-MAX(FV(Inputs!$B163/12,AE$1*12+MthOff,Inputs!$B164,-Inputs!$B162),0)</f>
        <v>0</v>
      </c>
      <c r="AF92" s="7">
        <f ca="1">-MAX(FV(Inputs!$B163/12,AF$1*12+MthOff,Inputs!$B164,-Inputs!$B162),0)</f>
        <v>0</v>
      </c>
      <c r="AG92" s="7">
        <f ca="1">-MAX(FV(Inputs!$B163/12,AG$1*12+MthOff,Inputs!$B164,-Inputs!$B162),0)</f>
        <v>0</v>
      </c>
      <c r="AH92" s="7">
        <f ca="1">-MAX(FV(Inputs!$B163/12,AH$1*12+MthOff,Inputs!$B164,-Inputs!$B162),0)</f>
        <v>0</v>
      </c>
      <c r="AI92" s="7">
        <f ca="1">-MAX(FV(Inputs!$B163/12,AI$1*12+MthOff,Inputs!$B164,-Inputs!$B162),0)</f>
        <v>0</v>
      </c>
      <c r="AJ92" s="7">
        <f ca="1">-MAX(FV(Inputs!$B163/12,AJ$1*12+MthOff,Inputs!$B164,-Inputs!$B162),0)</f>
        <v>0</v>
      </c>
      <c r="AK92" s="7">
        <f ca="1">-MAX(FV(Inputs!$B163/12,AK$1*12+MthOff,Inputs!$B164,-Inputs!$B162),0)</f>
        <v>0</v>
      </c>
      <c r="AL92" s="7">
        <f ca="1">-MAX(FV(Inputs!$B163/12,AL$1*12+MthOff,Inputs!$B164,-Inputs!$B162),0)</f>
        <v>0</v>
      </c>
      <c r="AM92" s="7">
        <f ca="1">-MAX(FV(Inputs!$B163/12,AM$1*12+MthOff,Inputs!$B164,-Inputs!$B162),0)</f>
        <v>0</v>
      </c>
    </row>
    <row r="93" spans="1:39" x14ac:dyDescent="0.2">
      <c r="A93" s="3" t="str">
        <f>TEXT(Inputs!$B$102,"")</f>
        <v>Boat</v>
      </c>
      <c r="C93" s="7">
        <f ca="1">-MAX(FV(Inputs!$B168/12,C$1*12+MthOff,Inputs!$B169,-Inputs!$B167),0)</f>
        <v>-36106.782888498572</v>
      </c>
      <c r="D93" s="7">
        <f ca="1">-MAX(FV(Inputs!$B168/12,D$1*12+MthOff,Inputs!$B169,-Inputs!$B167),0)</f>
        <v>-30636.379329838361</v>
      </c>
      <c r="E93" s="7">
        <f ca="1">-MAX(FV(Inputs!$B168/12,E$1*12+MthOff,Inputs!$B169,-Inputs!$B167),0)</f>
        <v>-24828.573249664209</v>
      </c>
      <c r="F93" s="7">
        <f ca="1">-MAX(FV(Inputs!$B168/12,F$1*12+MthOff,Inputs!$B169,-Inputs!$B167),0)</f>
        <v>-18662.55439873159</v>
      </c>
      <c r="G93" s="7">
        <f ca="1">-MAX(FV(Inputs!$B168/12,G$1*12+MthOff,Inputs!$B169,-Inputs!$B167),0)</f>
        <v>-12116.228997158192</v>
      </c>
      <c r="H93" s="7">
        <f ca="1">-MAX(FV(Inputs!$B168/12,H$1*12+MthOff,Inputs!$B169,-Inputs!$B167),0)</f>
        <v>-5166.1405690627944</v>
      </c>
      <c r="I93" s="7">
        <f ca="1">-MAX(FV(Inputs!$B168/12,I$1*12+MthOff,Inputs!$B169,-Inputs!$B167),0)</f>
        <v>0</v>
      </c>
      <c r="J93" s="7">
        <f ca="1">-MAX(FV(Inputs!$B168/12,J$1*12+MthOff,Inputs!$B169,-Inputs!$B167),0)</f>
        <v>0</v>
      </c>
      <c r="K93" s="7">
        <f ca="1">-MAX(FV(Inputs!$B168/12,K$1*12+MthOff,Inputs!$B169,-Inputs!$B167),0)</f>
        <v>0</v>
      </c>
      <c r="L93" s="7">
        <f ca="1">-MAX(FV(Inputs!$B168/12,L$1*12+MthOff,Inputs!$B169,-Inputs!$B167),0)</f>
        <v>0</v>
      </c>
      <c r="M93" s="7">
        <f ca="1">-MAX(FV(Inputs!$B168/12,M$1*12+MthOff,Inputs!$B169,-Inputs!$B167),0)</f>
        <v>0</v>
      </c>
      <c r="N93" s="7">
        <f ca="1">-MAX(FV(Inputs!$B168/12,N$1*12+MthOff,Inputs!$B169,-Inputs!$B167),0)</f>
        <v>0</v>
      </c>
      <c r="O93" s="7">
        <f ca="1">-MAX(FV(Inputs!$B168/12,O$1*12+MthOff,Inputs!$B169,-Inputs!$B167),0)</f>
        <v>0</v>
      </c>
      <c r="P93" s="7">
        <f ca="1">-MAX(FV(Inputs!$B168/12,P$1*12+MthOff,Inputs!$B169,-Inputs!$B167),0)</f>
        <v>0</v>
      </c>
      <c r="Q93" s="7">
        <f ca="1">-MAX(FV(Inputs!$B168/12,Q$1*12+MthOff,Inputs!$B169,-Inputs!$B167),0)</f>
        <v>0</v>
      </c>
      <c r="R93" s="7">
        <f ca="1">-MAX(FV(Inputs!$B168/12,R$1*12+MthOff,Inputs!$B169,-Inputs!$B167),0)</f>
        <v>0</v>
      </c>
      <c r="S93" s="7">
        <f ca="1">-MAX(FV(Inputs!$B168/12,S$1*12+MthOff,Inputs!$B169,-Inputs!$B167),0)</f>
        <v>0</v>
      </c>
      <c r="T93" s="7">
        <f ca="1">-MAX(FV(Inputs!$B168/12,T$1*12+MthOff,Inputs!$B169,-Inputs!$B167),0)</f>
        <v>0</v>
      </c>
      <c r="U93" s="7">
        <f ca="1">-MAX(FV(Inputs!$B168/12,U$1*12+MthOff,Inputs!$B169,-Inputs!$B167),0)</f>
        <v>0</v>
      </c>
      <c r="V93" s="7">
        <f ca="1">-MAX(FV(Inputs!$B168/12,V$1*12+MthOff,Inputs!$B169,-Inputs!$B167),0)</f>
        <v>0</v>
      </c>
      <c r="W93" s="7">
        <f ca="1">-MAX(FV(Inputs!$B168/12,W$1*12+MthOff,Inputs!$B169,-Inputs!$B167),0)</f>
        <v>0</v>
      </c>
      <c r="X93" s="7">
        <f ca="1">-MAX(FV(Inputs!$B168/12,X$1*12+MthOff,Inputs!$B169,-Inputs!$B167),0)</f>
        <v>0</v>
      </c>
      <c r="Y93" s="7">
        <f ca="1">-MAX(FV(Inputs!$B168/12,Y$1*12+MthOff,Inputs!$B169,-Inputs!$B167),0)</f>
        <v>0</v>
      </c>
      <c r="Z93" s="7">
        <f ca="1">-MAX(FV(Inputs!$B168/12,Z$1*12+MthOff,Inputs!$B169,-Inputs!$B167),0)</f>
        <v>0</v>
      </c>
      <c r="AA93" s="7">
        <f ca="1">-MAX(FV(Inputs!$B168/12,AA$1*12+MthOff,Inputs!$B169,-Inputs!$B167),0)</f>
        <v>0</v>
      </c>
      <c r="AB93" s="7">
        <f ca="1">-MAX(FV(Inputs!$B168/12,AB$1*12+MthOff,Inputs!$B169,-Inputs!$B167),0)</f>
        <v>0</v>
      </c>
      <c r="AC93" s="7">
        <f ca="1">-MAX(FV(Inputs!$B168/12,AC$1*12+MthOff,Inputs!$B169,-Inputs!$B167),0)</f>
        <v>0</v>
      </c>
      <c r="AD93" s="7">
        <f ca="1">-MAX(FV(Inputs!$B168/12,AD$1*12+MthOff,Inputs!$B169,-Inputs!$B167),0)</f>
        <v>0</v>
      </c>
      <c r="AE93" s="7">
        <f ca="1">-MAX(FV(Inputs!$B168/12,AE$1*12+MthOff,Inputs!$B169,-Inputs!$B167),0)</f>
        <v>0</v>
      </c>
      <c r="AF93" s="7">
        <f ca="1">-MAX(FV(Inputs!$B168/12,AF$1*12+MthOff,Inputs!$B169,-Inputs!$B167),0)</f>
        <v>0</v>
      </c>
      <c r="AG93" s="7">
        <f ca="1">-MAX(FV(Inputs!$B168/12,AG$1*12+MthOff,Inputs!$B169,-Inputs!$B167),0)</f>
        <v>0</v>
      </c>
      <c r="AH93" s="7">
        <f ca="1">-MAX(FV(Inputs!$B168/12,AH$1*12+MthOff,Inputs!$B169,-Inputs!$B167),0)</f>
        <v>0</v>
      </c>
      <c r="AI93" s="7">
        <f ca="1">-MAX(FV(Inputs!$B168/12,AI$1*12+MthOff,Inputs!$B169,-Inputs!$B167),0)</f>
        <v>0</v>
      </c>
      <c r="AJ93" s="7">
        <f ca="1">-MAX(FV(Inputs!$B168/12,AJ$1*12+MthOff,Inputs!$B169,-Inputs!$B167),0)</f>
        <v>0</v>
      </c>
      <c r="AK93" s="7">
        <f ca="1">-MAX(FV(Inputs!$B168/12,AK$1*12+MthOff,Inputs!$B169,-Inputs!$B167),0)</f>
        <v>0</v>
      </c>
      <c r="AL93" s="7">
        <f ca="1">-MAX(FV(Inputs!$B168/12,AL$1*12+MthOff,Inputs!$B169,-Inputs!$B167),0)</f>
        <v>0</v>
      </c>
      <c r="AM93" s="7">
        <f ca="1">-MAX(FV(Inputs!$B168/12,AM$1*12+MthOff,Inputs!$B169,-Inputs!$B167),0)</f>
        <v>0</v>
      </c>
    </row>
    <row r="94" spans="1:39" x14ac:dyDescent="0.2">
      <c r="A94" s="3" t="str">
        <f>TEXT(Inputs!$B$107,"")</f>
        <v>Antiques</v>
      </c>
      <c r="C94" s="7">
        <f ca="1">-MAX(FV(Inputs!$B173/12,C$1*12+MthOff,Inputs!$B174,-Inputs!$B172),0)</f>
        <v>-2886.4020391451668</v>
      </c>
      <c r="D94" s="7">
        <f ca="1">-MAX(FV(Inputs!$B173/12,D$1*12+MthOff,Inputs!$B174,-Inputs!$B172),0)</f>
        <v>-1635.892615008569</v>
      </c>
      <c r="E94" s="7">
        <f ca="1">-MAX(FV(Inputs!$B173/12,E$1*12+MthOff,Inputs!$B174,-Inputs!$B172),0)</f>
        <v>-347.34775010749127</v>
      </c>
      <c r="F94" s="7">
        <f ca="1">-MAX(FV(Inputs!$B173/12,F$1*12+MthOff,Inputs!$B174,-Inputs!$B172),0)</f>
        <v>0</v>
      </c>
      <c r="G94" s="7">
        <f ca="1">-MAX(FV(Inputs!$B173/12,G$1*12+MthOff,Inputs!$B174,-Inputs!$B172),0)</f>
        <v>0</v>
      </c>
      <c r="H94" s="7">
        <f ca="1">-MAX(FV(Inputs!$B173/12,H$1*12+MthOff,Inputs!$B174,-Inputs!$B172),0)</f>
        <v>0</v>
      </c>
      <c r="I94" s="7">
        <f ca="1">-MAX(FV(Inputs!$B173/12,I$1*12+MthOff,Inputs!$B174,-Inputs!$B172),0)</f>
        <v>0</v>
      </c>
      <c r="J94" s="7">
        <f ca="1">-MAX(FV(Inputs!$B173/12,J$1*12+MthOff,Inputs!$B174,-Inputs!$B172),0)</f>
        <v>0</v>
      </c>
      <c r="K94" s="7">
        <f ca="1">-MAX(FV(Inputs!$B173/12,K$1*12+MthOff,Inputs!$B174,-Inputs!$B172),0)</f>
        <v>0</v>
      </c>
      <c r="L94" s="7">
        <f ca="1">-MAX(FV(Inputs!$B173/12,L$1*12+MthOff,Inputs!$B174,-Inputs!$B172),0)</f>
        <v>0</v>
      </c>
      <c r="M94" s="7">
        <f ca="1">-MAX(FV(Inputs!$B173/12,M$1*12+MthOff,Inputs!$B174,-Inputs!$B172),0)</f>
        <v>0</v>
      </c>
      <c r="N94" s="7">
        <f ca="1">-MAX(FV(Inputs!$B173/12,N$1*12+MthOff,Inputs!$B174,-Inputs!$B172),0)</f>
        <v>0</v>
      </c>
      <c r="O94" s="7">
        <f ca="1">-MAX(FV(Inputs!$B173/12,O$1*12+MthOff,Inputs!$B174,-Inputs!$B172),0)</f>
        <v>0</v>
      </c>
      <c r="P94" s="7">
        <f ca="1">-MAX(FV(Inputs!$B173/12,P$1*12+MthOff,Inputs!$B174,-Inputs!$B172),0)</f>
        <v>0</v>
      </c>
      <c r="Q94" s="7">
        <f ca="1">-MAX(FV(Inputs!$B173/12,Q$1*12+MthOff,Inputs!$B174,-Inputs!$B172),0)</f>
        <v>0</v>
      </c>
      <c r="R94" s="7">
        <f ca="1">-MAX(FV(Inputs!$B173/12,R$1*12+MthOff,Inputs!$B174,-Inputs!$B172),0)</f>
        <v>0</v>
      </c>
      <c r="S94" s="7">
        <f ca="1">-MAX(FV(Inputs!$B173/12,S$1*12+MthOff,Inputs!$B174,-Inputs!$B172),0)</f>
        <v>0</v>
      </c>
      <c r="T94" s="7">
        <f ca="1">-MAX(FV(Inputs!$B173/12,T$1*12+MthOff,Inputs!$B174,-Inputs!$B172),0)</f>
        <v>0</v>
      </c>
      <c r="U94" s="7">
        <f ca="1">-MAX(FV(Inputs!$B173/12,U$1*12+MthOff,Inputs!$B174,-Inputs!$B172),0)</f>
        <v>0</v>
      </c>
      <c r="V94" s="7">
        <f ca="1">-MAX(FV(Inputs!$B173/12,V$1*12+MthOff,Inputs!$B174,-Inputs!$B172),0)</f>
        <v>0</v>
      </c>
      <c r="W94" s="7">
        <f ca="1">-MAX(FV(Inputs!$B173/12,W$1*12+MthOff,Inputs!$B174,-Inputs!$B172),0)</f>
        <v>0</v>
      </c>
      <c r="X94" s="7">
        <f ca="1">-MAX(FV(Inputs!$B173/12,X$1*12+MthOff,Inputs!$B174,-Inputs!$B172),0)</f>
        <v>0</v>
      </c>
      <c r="Y94" s="7">
        <f ca="1">-MAX(FV(Inputs!$B173/12,Y$1*12+MthOff,Inputs!$B174,-Inputs!$B172),0)</f>
        <v>0</v>
      </c>
      <c r="Z94" s="7">
        <f ca="1">-MAX(FV(Inputs!$B173/12,Z$1*12+MthOff,Inputs!$B174,-Inputs!$B172),0)</f>
        <v>0</v>
      </c>
      <c r="AA94" s="7">
        <f ca="1">-MAX(FV(Inputs!$B173/12,AA$1*12+MthOff,Inputs!$B174,-Inputs!$B172),0)</f>
        <v>0</v>
      </c>
      <c r="AB94" s="7">
        <f ca="1">-MAX(FV(Inputs!$B173/12,AB$1*12+MthOff,Inputs!$B174,-Inputs!$B172),0)</f>
        <v>0</v>
      </c>
      <c r="AC94" s="7">
        <f ca="1">-MAX(FV(Inputs!$B173/12,AC$1*12+MthOff,Inputs!$B174,-Inputs!$B172),0)</f>
        <v>0</v>
      </c>
      <c r="AD94" s="7">
        <f ca="1">-MAX(FV(Inputs!$B173/12,AD$1*12+MthOff,Inputs!$B174,-Inputs!$B172),0)</f>
        <v>0</v>
      </c>
      <c r="AE94" s="7">
        <f ca="1">-MAX(FV(Inputs!$B173/12,AE$1*12+MthOff,Inputs!$B174,-Inputs!$B172),0)</f>
        <v>0</v>
      </c>
      <c r="AF94" s="7">
        <f ca="1">-MAX(FV(Inputs!$B173/12,AF$1*12+MthOff,Inputs!$B174,-Inputs!$B172),0)</f>
        <v>0</v>
      </c>
      <c r="AG94" s="7">
        <f ca="1">-MAX(FV(Inputs!$B173/12,AG$1*12+MthOff,Inputs!$B174,-Inputs!$B172),0)</f>
        <v>0</v>
      </c>
      <c r="AH94" s="7">
        <f ca="1">-MAX(FV(Inputs!$B173/12,AH$1*12+MthOff,Inputs!$B174,-Inputs!$B172),0)</f>
        <v>0</v>
      </c>
      <c r="AI94" s="7">
        <f ca="1">-MAX(FV(Inputs!$B173/12,AI$1*12+MthOff,Inputs!$B174,-Inputs!$B172),0)</f>
        <v>0</v>
      </c>
      <c r="AJ94" s="7">
        <f ca="1">-MAX(FV(Inputs!$B173/12,AJ$1*12+MthOff,Inputs!$B174,-Inputs!$B172),0)</f>
        <v>0</v>
      </c>
      <c r="AK94" s="7">
        <f ca="1">-MAX(FV(Inputs!$B173/12,AK$1*12+MthOff,Inputs!$B174,-Inputs!$B172),0)</f>
        <v>0</v>
      </c>
      <c r="AL94" s="7">
        <f ca="1">-MAX(FV(Inputs!$B173/12,AL$1*12+MthOff,Inputs!$B174,-Inputs!$B172),0)</f>
        <v>0</v>
      </c>
      <c r="AM94" s="7">
        <f ca="1">-MAX(FV(Inputs!$B173/12,AM$1*12+MthOff,Inputs!$B174,-Inputs!$B172),0)</f>
        <v>0</v>
      </c>
    </row>
    <row r="95" spans="1:39" x14ac:dyDescent="0.2">
      <c r="A95" s="4" t="s">
        <v>33</v>
      </c>
      <c r="C95" s="7">
        <f ca="1">-MAX(FV(Inputs!$B178/12,C$1*12+MthOff,Inputs!$B179,-Inputs!$B177),0)</f>
        <v>-3724.5365251296162</v>
      </c>
      <c r="D95" s="7">
        <f ca="1">-MAX(FV(Inputs!$B178/12,D$1*12+MthOff,Inputs!$B179,-Inputs!$B177),0)</f>
        <v>-3337.4796695640352</v>
      </c>
      <c r="E95" s="7">
        <f ca="1">-MAX(FV(Inputs!$B178/12,E$1*12+MthOff,Inputs!$B179,-Inputs!$B177),0)</f>
        <v>-2926.5499940800146</v>
      </c>
      <c r="F95" s="7">
        <f ca="1">-MAX(FV(Inputs!$B178/12,F$1*12+MthOff,Inputs!$B179,-Inputs!$B177),0)</f>
        <v>-2490.2750753819519</v>
      </c>
      <c r="G95" s="7">
        <f ca="1">-MAX(FV(Inputs!$B178/12,G$1*12+MthOff,Inputs!$B179,-Inputs!$B177),0)</f>
        <v>-2027.0916743272305</v>
      </c>
      <c r="H95" s="7">
        <f ca="1">-MAX(FV(Inputs!$B178/12,H$1*12+MthOff,Inputs!$B179,-Inputs!$B177),0)</f>
        <v>-1535.3401346034998</v>
      </c>
      <c r="I95" s="7">
        <f ca="1">-MAX(FV(Inputs!$B178/12,I$1*12+MthOff,Inputs!$B179,-Inputs!$B177),0)</f>
        <v>-1013.2584359286093</v>
      </c>
      <c r="J95" s="7">
        <f ca="1">-MAX(FV(Inputs!$B178/12,J$1*12+MthOff,Inputs!$B179,-Inputs!$B177),0)</f>
        <v>-458.97588046495366</v>
      </c>
      <c r="K95" s="7">
        <f ca="1">-MAX(FV(Inputs!$B178/12,K$1*12+MthOff,Inputs!$B179,-Inputs!$B177),0)</f>
        <v>0</v>
      </c>
      <c r="L95" s="7">
        <f ca="1">-MAX(FV(Inputs!$B178/12,L$1*12+MthOff,Inputs!$B179,-Inputs!$B177),0)</f>
        <v>0</v>
      </c>
      <c r="M95" s="7">
        <f ca="1">-MAX(FV(Inputs!$B178/12,M$1*12+MthOff,Inputs!$B179,-Inputs!$B177),0)</f>
        <v>0</v>
      </c>
      <c r="N95" s="7">
        <f ca="1">-MAX(FV(Inputs!$B178/12,N$1*12+MthOff,Inputs!$B179,-Inputs!$B177),0)</f>
        <v>0</v>
      </c>
      <c r="O95" s="7">
        <f ca="1">-MAX(FV(Inputs!$B178/12,O$1*12+MthOff,Inputs!$B179,-Inputs!$B177),0)</f>
        <v>0</v>
      </c>
      <c r="P95" s="7">
        <f ca="1">-MAX(FV(Inputs!$B178/12,P$1*12+MthOff,Inputs!$B179,-Inputs!$B177),0)</f>
        <v>0</v>
      </c>
      <c r="Q95" s="7">
        <f ca="1">-MAX(FV(Inputs!$B178/12,Q$1*12+MthOff,Inputs!$B179,-Inputs!$B177),0)</f>
        <v>0</v>
      </c>
      <c r="R95" s="7">
        <f ca="1">-MAX(FV(Inputs!$B178/12,R$1*12+MthOff,Inputs!$B179,-Inputs!$B177),0)</f>
        <v>0</v>
      </c>
      <c r="S95" s="7">
        <f ca="1">-MAX(FV(Inputs!$B178/12,S$1*12+MthOff,Inputs!$B179,-Inputs!$B177),0)</f>
        <v>0</v>
      </c>
      <c r="T95" s="7">
        <f ca="1">-MAX(FV(Inputs!$B178/12,T$1*12+MthOff,Inputs!$B179,-Inputs!$B177),0)</f>
        <v>0</v>
      </c>
      <c r="U95" s="7">
        <f ca="1">-MAX(FV(Inputs!$B178/12,U$1*12+MthOff,Inputs!$B179,-Inputs!$B177),0)</f>
        <v>0</v>
      </c>
      <c r="V95" s="7">
        <f ca="1">-MAX(FV(Inputs!$B178/12,V$1*12+MthOff,Inputs!$B179,-Inputs!$B177),0)</f>
        <v>0</v>
      </c>
      <c r="W95" s="7">
        <f ca="1">-MAX(FV(Inputs!$B178/12,W$1*12+MthOff,Inputs!$B179,-Inputs!$B177),0)</f>
        <v>0</v>
      </c>
      <c r="X95" s="7">
        <f ca="1">-MAX(FV(Inputs!$B178/12,X$1*12+MthOff,Inputs!$B179,-Inputs!$B177),0)</f>
        <v>0</v>
      </c>
      <c r="Y95" s="7">
        <f ca="1">-MAX(FV(Inputs!$B178/12,Y$1*12+MthOff,Inputs!$B179,-Inputs!$B177),0)</f>
        <v>0</v>
      </c>
      <c r="Z95" s="7">
        <f ca="1">-MAX(FV(Inputs!$B178/12,Z$1*12+MthOff,Inputs!$B179,-Inputs!$B177),0)</f>
        <v>0</v>
      </c>
      <c r="AA95" s="7">
        <f ca="1">-MAX(FV(Inputs!$B178/12,AA$1*12+MthOff,Inputs!$B179,-Inputs!$B177),0)</f>
        <v>0</v>
      </c>
      <c r="AB95" s="7">
        <f ca="1">-MAX(FV(Inputs!$B178/12,AB$1*12+MthOff,Inputs!$B179,-Inputs!$B177),0)</f>
        <v>0</v>
      </c>
      <c r="AC95" s="7">
        <f ca="1">-MAX(FV(Inputs!$B178/12,AC$1*12+MthOff,Inputs!$B179,-Inputs!$B177),0)</f>
        <v>0</v>
      </c>
      <c r="AD95" s="7">
        <f ca="1">-MAX(FV(Inputs!$B178/12,AD$1*12+MthOff,Inputs!$B179,-Inputs!$B177),0)</f>
        <v>0</v>
      </c>
      <c r="AE95" s="7">
        <f ca="1">-MAX(FV(Inputs!$B178/12,AE$1*12+MthOff,Inputs!$B179,-Inputs!$B177),0)</f>
        <v>0</v>
      </c>
      <c r="AF95" s="7">
        <f ca="1">-MAX(FV(Inputs!$B178/12,AF$1*12+MthOff,Inputs!$B179,-Inputs!$B177),0)</f>
        <v>0</v>
      </c>
      <c r="AG95" s="7">
        <f ca="1">-MAX(FV(Inputs!$B178/12,AG$1*12+MthOff,Inputs!$B179,-Inputs!$B177),0)</f>
        <v>0</v>
      </c>
      <c r="AH95" s="7">
        <f ca="1">-MAX(FV(Inputs!$B178/12,AH$1*12+MthOff,Inputs!$B179,-Inputs!$B177),0)</f>
        <v>0</v>
      </c>
      <c r="AI95" s="7">
        <f ca="1">-MAX(FV(Inputs!$B178/12,AI$1*12+MthOff,Inputs!$B179,-Inputs!$B177),0)</f>
        <v>0</v>
      </c>
      <c r="AJ95" s="7">
        <f ca="1">-MAX(FV(Inputs!$B178/12,AJ$1*12+MthOff,Inputs!$B179,-Inputs!$B177),0)</f>
        <v>0</v>
      </c>
      <c r="AK95" s="7">
        <f ca="1">-MAX(FV(Inputs!$B178/12,AK$1*12+MthOff,Inputs!$B179,-Inputs!$B177),0)</f>
        <v>0</v>
      </c>
      <c r="AL95" s="7">
        <f ca="1">-MAX(FV(Inputs!$B178/12,AL$1*12+MthOff,Inputs!$B179,-Inputs!$B177),0)</f>
        <v>0</v>
      </c>
      <c r="AM95" s="7">
        <f ca="1">-MAX(FV(Inputs!$B178/12,AM$1*12+MthOff,Inputs!$B179,-Inputs!$B177),0)</f>
        <v>0</v>
      </c>
    </row>
    <row r="96" spans="1:39" x14ac:dyDescent="0.2">
      <c r="A96" s="4"/>
      <c r="C96" s="9">
        <f t="shared" ref="C96:AM96" ca="1" si="49">SUM(C67:C95)</f>
        <v>1680400.325439143</v>
      </c>
      <c r="D96" s="9">
        <f t="shared" ca="1" si="49"/>
        <v>1664531.4855591119</v>
      </c>
      <c r="E96" s="9">
        <f t="shared" ca="1" si="49"/>
        <v>1663582.8195843792</v>
      </c>
      <c r="F96" s="9">
        <f t="shared" ca="1" si="49"/>
        <v>1640416.219770768</v>
      </c>
      <c r="G96" s="9">
        <f t="shared" ca="1" si="49"/>
        <v>1560247.5421712503</v>
      </c>
      <c r="H96" s="9">
        <f t="shared" ca="1" si="49"/>
        <v>1562451.0561380617</v>
      </c>
      <c r="I96" s="9">
        <f t="shared" ca="1" si="49"/>
        <v>1564615.6975610044</v>
      </c>
      <c r="J96" s="9">
        <f t="shared" ca="1" si="49"/>
        <v>1572943.3637150936</v>
      </c>
      <c r="K96" s="9">
        <f t="shared" ca="1" si="49"/>
        <v>1564525.940162767</v>
      </c>
      <c r="L96" s="9">
        <f t="shared" ca="1" si="49"/>
        <v>1638357.0888425331</v>
      </c>
      <c r="M96" s="9">
        <f t="shared" ca="1" si="49"/>
        <v>1615456.8604003708</v>
      </c>
      <c r="N96" s="9">
        <f t="shared" ca="1" si="49"/>
        <v>1636022.7933244894</v>
      </c>
      <c r="O96" s="9">
        <f t="shared" ca="1" si="49"/>
        <v>1662679.0759724905</v>
      </c>
      <c r="P96" s="9">
        <f t="shared" ca="1" si="49"/>
        <v>1690904.1216785647</v>
      </c>
      <c r="Q96" s="9">
        <f t="shared" ca="1" si="49"/>
        <v>1720728.2562583312</v>
      </c>
      <c r="R96" s="9">
        <f t="shared" ca="1" si="49"/>
        <v>1754424.6338430315</v>
      </c>
      <c r="S96" s="9">
        <f t="shared" ca="1" si="49"/>
        <v>1790030.0561917427</v>
      </c>
      <c r="T96" s="9">
        <f t="shared" ca="1" si="49"/>
        <v>1844645.0907033004</v>
      </c>
      <c r="U96" s="9">
        <f t="shared" ca="1" si="49"/>
        <v>1909514.498151449</v>
      </c>
      <c r="V96" s="9">
        <f t="shared" ca="1" si="49"/>
        <v>1961817.2878751613</v>
      </c>
      <c r="W96" s="9">
        <f t="shared" ca="1" si="49"/>
        <v>2032180.0221770538</v>
      </c>
      <c r="X96" s="9">
        <f t="shared" ca="1" si="49"/>
        <v>2105568.6367935585</v>
      </c>
      <c r="Y96" s="9">
        <f t="shared" ca="1" si="49"/>
        <v>2160013.4145792569</v>
      </c>
      <c r="Z96" s="9">
        <f t="shared" ca="1" si="49"/>
        <v>2216951.6407860694</v>
      </c>
      <c r="AA96" s="9">
        <f t="shared" ca="1" si="49"/>
        <v>2251769.3078602767</v>
      </c>
      <c r="AB96" s="9">
        <f t="shared" ca="1" si="49"/>
        <v>2310814.8408600721</v>
      </c>
      <c r="AC96" s="9">
        <f t="shared" ca="1" si="49"/>
        <v>2372314.9672979498</v>
      </c>
      <c r="AD96" s="9">
        <f t="shared" ca="1" si="49"/>
        <v>2436344.3622352658</v>
      </c>
      <c r="AE96" s="9">
        <f t="shared" ca="1" si="49"/>
        <v>2512963.5021171784</v>
      </c>
      <c r="AF96" s="9">
        <f t="shared" ca="1" si="49"/>
        <v>2592520.8892716188</v>
      </c>
      <c r="AG96" s="9">
        <f t="shared" ca="1" si="49"/>
        <v>2675107.6854528324</v>
      </c>
      <c r="AH96" s="9">
        <f t="shared" ca="1" si="49"/>
        <v>2762446.5800062721</v>
      </c>
      <c r="AI96" s="9">
        <f t="shared" ca="1" si="49"/>
        <v>2853230.4258343885</v>
      </c>
      <c r="AJ96" s="9">
        <f t="shared" ca="1" si="49"/>
        <v>2947584.8977903267</v>
      </c>
      <c r="AK96" s="9">
        <f t="shared" ca="1" si="49"/>
        <v>3045641.8932060651</v>
      </c>
      <c r="AL96" s="9">
        <f t="shared" ca="1" si="49"/>
        <v>3147539.8425024515</v>
      </c>
      <c r="AM96" s="9">
        <f t="shared" ca="1" si="49"/>
        <v>3253424.0416507251</v>
      </c>
    </row>
    <row r="97" spans="1:44" x14ac:dyDescent="0.2">
      <c r="A97" s="4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</row>
    <row r="98" spans="1:44" x14ac:dyDescent="0.2">
      <c r="A98" s="30" t="s">
        <v>70</v>
      </c>
      <c r="C98" s="7">
        <f t="shared" ref="C98:AM98" ca="1" si="50">C68-buffer</f>
        <v>16108.4375</v>
      </c>
      <c r="D98" s="7">
        <f t="shared" ca="1" si="50"/>
        <v>-53417.854687500003</v>
      </c>
      <c r="E98" s="7">
        <f t="shared" ca="1" si="50"/>
        <v>-120356.8171875</v>
      </c>
      <c r="F98" s="7">
        <f t="shared" ca="1" si="50"/>
        <v>-208215.57654312759</v>
      </c>
      <c r="G98" s="7">
        <f t="shared" ca="1" si="50"/>
        <v>-105000.2996157757</v>
      </c>
      <c r="H98" s="7">
        <f t="shared" ca="1" si="50"/>
        <v>-159203.65647556525</v>
      </c>
      <c r="I98" s="7">
        <f t="shared" ca="1" si="50"/>
        <v>-197351.90611103765</v>
      </c>
      <c r="J98" s="7">
        <f t="shared" ca="1" si="50"/>
        <v>-235525.10457026522</v>
      </c>
      <c r="K98" s="7">
        <f t="shared" ca="1" si="50"/>
        <v>-291511.31356787484</v>
      </c>
      <c r="L98" s="7">
        <f t="shared" ca="1" si="50"/>
        <v>-265999.45705975813</v>
      </c>
      <c r="M98" s="7">
        <f t="shared" ca="1" si="50"/>
        <v>-334257.330553559</v>
      </c>
      <c r="N98" s="7">
        <f t="shared" ca="1" si="50"/>
        <v>-354153.21090172138</v>
      </c>
      <c r="O98" s="7">
        <f t="shared" ca="1" si="50"/>
        <v>-374331.06686245633</v>
      </c>
      <c r="P98" s="7">
        <f t="shared" ca="1" si="50"/>
        <v>-394791.48518419417</v>
      </c>
      <c r="Q98" s="7">
        <f t="shared" ca="1" si="50"/>
        <v>-415534.87340481958</v>
      </c>
      <c r="R98" s="7">
        <f t="shared" ca="1" si="50"/>
        <v>-436561.44955503009</v>
      </c>
      <c r="S98" s="7">
        <f t="shared" ca="1" si="50"/>
        <v>-457871.23142978735</v>
      </c>
      <c r="T98" s="7">
        <f t="shared" ca="1" si="50"/>
        <v>-462421.90088664548</v>
      </c>
      <c r="U98" s="7">
        <f t="shared" ca="1" si="50"/>
        <v>-459030.81907862029</v>
      </c>
      <c r="V98" s="7">
        <f t="shared" ca="1" si="50"/>
        <v>-455290.019080239</v>
      </c>
      <c r="W98" s="7">
        <f t="shared" ca="1" si="50"/>
        <v>-451182.80970238801</v>
      </c>
      <c r="X98" s="7">
        <f t="shared" ca="1" si="50"/>
        <v>-446691.84402919537</v>
      </c>
      <c r="Y98" s="7">
        <f t="shared" ca="1" si="50"/>
        <v>-462457.95264241181</v>
      </c>
      <c r="Z98" s="7">
        <f t="shared" ca="1" si="50"/>
        <v>-478320.02037795464</v>
      </c>
      <c r="AA98" s="7">
        <f t="shared" ca="1" si="50"/>
        <v>-494271.50040609192</v>
      </c>
      <c r="AB98" s="7">
        <f t="shared" ca="1" si="50"/>
        <v>-510305.41385211475</v>
      </c>
      <c r="AC98" s="7">
        <f t="shared" ca="1" si="50"/>
        <v>-526414.33094398573</v>
      </c>
      <c r="AD98" s="7">
        <f t="shared" ca="1" si="50"/>
        <v>-542590.35144714196</v>
      </c>
      <c r="AE98" s="7">
        <f t="shared" ca="1" si="50"/>
        <v>-548842.60926759918</v>
      </c>
      <c r="AF98" s="7">
        <f t="shared" ca="1" si="50"/>
        <v>-554895.11478903121</v>
      </c>
      <c r="AG98" s="7">
        <f t="shared" ca="1" si="50"/>
        <v>-560732.19244162634</v>
      </c>
      <c r="AH98" s="7">
        <f t="shared" ca="1" si="50"/>
        <v>-566337.45431345748</v>
      </c>
      <c r="AI98" s="7">
        <f t="shared" ca="1" si="50"/>
        <v>-571693.77272834303</v>
      </c>
      <c r="AJ98" s="7">
        <f t="shared" ca="1" si="50"/>
        <v>-576783.25184974738</v>
      </c>
      <c r="AK98" s="7">
        <f t="shared" ca="1" si="50"/>
        <v>-581587.19827771769</v>
      </c>
      <c r="AL98" s="7">
        <f t="shared" ca="1" si="50"/>
        <v>-586086.09060477407</v>
      </c>
      <c r="AM98" s="7">
        <f t="shared" ca="1" si="50"/>
        <v>-590259.54789554526</v>
      </c>
    </row>
    <row r="99" spans="1:44" x14ac:dyDescent="0.2">
      <c r="A99" s="2" t="s">
        <v>19</v>
      </c>
      <c r="C99" s="7">
        <f ca="1">IF(C98&lt;0,-C98,0)</f>
        <v>0</v>
      </c>
      <c r="D99" s="7">
        <f ca="1">IF(D98+SUM($C99:C99)&lt;0,-(D98+SUM($C99:C99)),0)</f>
        <v>53417.854687500003</v>
      </c>
      <c r="E99" s="7">
        <f ca="1">IF(E98+SUM($C99:D99)&lt;0,-(E98+SUM($C99:D99)),0)</f>
        <v>66938.962499999994</v>
      </c>
      <c r="F99" s="7">
        <f ca="1">IF(F98+SUM($C99:E99)&lt;0,-(F98+SUM($C99:E99)),0)</f>
        <v>87858.759355627597</v>
      </c>
      <c r="G99" s="7">
        <f ca="1">IF(G98+SUM($C99:F99)&lt;0,-(G98+SUM($C99:F99)),0)</f>
        <v>0</v>
      </c>
      <c r="H99" s="7">
        <f ca="1">IF(H98+SUM($C99:G99)&lt;0,-(H98+SUM($C99:G99)),0)</f>
        <v>0</v>
      </c>
      <c r="I99" s="7">
        <f ca="1">IF(I98+SUM($C99:H99)&lt;0,-(I98+SUM($C99:H99)),0)</f>
        <v>0</v>
      </c>
      <c r="J99" s="7">
        <f ca="1">IF(J98+SUM($C99:I99)&lt;0,-(J98+SUM($C99:I99)),0)</f>
        <v>27309.528027137625</v>
      </c>
      <c r="K99" s="7">
        <f ca="1">IF(K98+SUM($C99:J99)&lt;0,-(K98+SUM($C99:J99)),0)</f>
        <v>55986.208997609618</v>
      </c>
      <c r="L99" s="7">
        <f ca="1">IF(L98+SUM($C99:K99)&lt;0,-(L98+SUM($C99:K99)),0)</f>
        <v>0</v>
      </c>
      <c r="M99" s="7">
        <f ca="1">IF(M98+SUM($C99:L99)&lt;0,-(M98+SUM($C99:L99)),0)</f>
        <v>42746.016985684168</v>
      </c>
      <c r="N99" s="7">
        <f ca="1">IF(N98+SUM($C99:M99)&lt;0,-(N98+SUM($C99:M99)),0)</f>
        <v>19895.880348162376</v>
      </c>
      <c r="O99" s="7">
        <f ca="1">IF(O98+SUM($C99:N99)&lt;0,-(O98+SUM($C99:N99)),0)</f>
        <v>20177.855960734945</v>
      </c>
      <c r="P99" s="7">
        <f ca="1">IF(P98+SUM($C99:O99)&lt;0,-(P98+SUM($C99:O99)),0)</f>
        <v>20460.418321737845</v>
      </c>
      <c r="Q99" s="7">
        <f ca="1">IF(Q98+SUM($C99:P99)&lt;0,-(Q98+SUM($C99:P99)),0)</f>
        <v>20743.388220625406</v>
      </c>
      <c r="R99" s="7">
        <f ca="1">IF(R98+SUM($C99:Q99)&lt;0,-(R98+SUM($C99:Q99)),0)</f>
        <v>21026.576150210516</v>
      </c>
      <c r="S99" s="7">
        <f ca="1">IF(S98+SUM($C99:R99)&lt;0,-(S98+SUM($C99:R99)),0)</f>
        <v>21309.78187475726</v>
      </c>
      <c r="T99" s="7">
        <f ca="1">IF(T98+SUM($C99:S99)&lt;0,-(T98+SUM($C99:S99)),0)</f>
        <v>4550.6694568581297</v>
      </c>
      <c r="U99" s="7">
        <f ca="1">IF(U98+SUM($C99:T99)&lt;0,-(U98+SUM($C99:T99)),0)</f>
        <v>0</v>
      </c>
      <c r="V99" s="7">
        <f ca="1">IF(V98+SUM($C99:U99)&lt;0,-(V98+SUM($C99:U99)),0)</f>
        <v>0</v>
      </c>
      <c r="W99" s="7">
        <f ca="1">IF(W98+SUM($C99:V99)&lt;0,-(W98+SUM($C99:V99)),0)</f>
        <v>0</v>
      </c>
      <c r="X99" s="7">
        <f ca="1">IF(X98+SUM($C99:W99)&lt;0,-(X98+SUM($C99:W99)),0)</f>
        <v>0</v>
      </c>
      <c r="Y99" s="7">
        <f ca="1">IF(Y98+SUM($C99:X99)&lt;0,-(Y98+SUM($C99:X99)),0)</f>
        <v>36.051755766326096</v>
      </c>
      <c r="Z99" s="7">
        <f ca="1">IF(Z98+SUM($C99:Y99)&lt;0,-(Z98+SUM($C99:Y99)),0)</f>
        <v>15862.067735542834</v>
      </c>
      <c r="AA99" s="7">
        <f ca="1">IF(AA98+SUM($C99:Z99)&lt;0,-(AA98+SUM($C99:Z99)),0)</f>
        <v>15951.480028137274</v>
      </c>
      <c r="AB99" s="7">
        <f ca="1">IF(AB98+SUM($C99:AA99)&lt;0,-(AB98+SUM($C99:AA99)),0)</f>
        <v>16033.913446022838</v>
      </c>
      <c r="AC99" s="7">
        <f ca="1">IF(AC98+SUM($C99:AB99)&lt;0,-(AC98+SUM($C99:AB99)),0)</f>
        <v>16108.917091870971</v>
      </c>
      <c r="AD99" s="7">
        <f ca="1">IF(AD98+SUM($C99:AC99)&lt;0,-(AD98+SUM($C99:AC99)),0)</f>
        <v>16176.020503156236</v>
      </c>
      <c r="AE99" s="7">
        <f ca="1">IF(AE98+SUM($C99:AD99)&lt;0,-(AE98+SUM($C99:AD99)),0)</f>
        <v>6252.2578204572201</v>
      </c>
      <c r="AF99" s="7">
        <f ca="1">IF(AF98+SUM($C99:AE99)&lt;0,-(AF98+SUM($C99:AE99)),0)</f>
        <v>6052.5055214320309</v>
      </c>
      <c r="AG99" s="7">
        <f ca="1">IF(AG98+SUM($C99:AF99)&lt;0,-(AG98+SUM($C99:AF99)),0)</f>
        <v>5837.0776525951223</v>
      </c>
      <c r="AH99" s="7">
        <f ca="1">IF(AH98+SUM($C99:AG99)&lt;0,-(AH98+SUM($C99:AG99)),0)</f>
        <v>5605.2618718311423</v>
      </c>
      <c r="AI99" s="7">
        <f ca="1">IF(AI98+SUM($C99:AH99)&lt;0,-(AI98+SUM($C99:AH99)),0)</f>
        <v>5356.3184148855507</v>
      </c>
      <c r="AJ99" s="7">
        <f ca="1">IF(AJ98+SUM($C99:AI99)&lt;0,-(AJ98+SUM($C99:AI99)),0)</f>
        <v>5089.4791214043507</v>
      </c>
      <c r="AK99" s="7">
        <f ca="1">IF(AK98+SUM($C99:AJ99)&lt;0,-(AK98+SUM($C99:AJ99)),0)</f>
        <v>4803.9464279703097</v>
      </c>
      <c r="AL99" s="7">
        <f ca="1">IF(AL98+SUM($C99:AK99)&lt;0,-(AL98+SUM($C99:AK99)),0)</f>
        <v>4498.8923270563828</v>
      </c>
      <c r="AM99" s="7">
        <f ca="1">IF(AM98+SUM($C99:AL99)&lt;0,-(AM98+SUM($C99:AL99)),0)</f>
        <v>4173.4572907711845</v>
      </c>
    </row>
    <row r="100" spans="1:44" x14ac:dyDescent="0.2"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</row>
    <row r="101" spans="1:44" ht="19" x14ac:dyDescent="0.25">
      <c r="A101" s="25" t="s">
        <v>20</v>
      </c>
      <c r="B101" s="26"/>
      <c r="C101" s="27"/>
      <c r="D101" s="28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</row>
    <row r="102" spans="1:44" x14ac:dyDescent="0.2">
      <c r="A102" s="1"/>
      <c r="C102" s="7"/>
      <c r="D102" s="11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92"/>
      <c r="AN102" s="92"/>
      <c r="AO102" s="92"/>
      <c r="AP102" s="92"/>
      <c r="AQ102" s="92"/>
      <c r="AR102" s="92"/>
    </row>
    <row r="103" spans="1:44" x14ac:dyDescent="0.2">
      <c r="A103" s="24" t="s">
        <v>26</v>
      </c>
      <c r="B103" s="26"/>
      <c r="C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</row>
    <row r="104" spans="1:44" x14ac:dyDescent="0.2">
      <c r="A104" s="3" t="s">
        <v>21</v>
      </c>
      <c r="C104" s="7">
        <f ca="1">C82</f>
        <v>31782.57432893329</v>
      </c>
      <c r="D104" s="7">
        <f t="shared" ref="D104:AM104" ca="1" si="51">C107</f>
        <v>31782.57432893329</v>
      </c>
      <c r="E104" s="7">
        <f t="shared" ca="1" si="51"/>
        <v>0</v>
      </c>
      <c r="F104" s="7">
        <f t="shared" ca="1" si="51"/>
        <v>0</v>
      </c>
      <c r="G104" s="7">
        <f t="shared" ca="1" si="51"/>
        <v>0</v>
      </c>
      <c r="H104" s="7">
        <f t="shared" ca="1" si="51"/>
        <v>0</v>
      </c>
      <c r="I104" s="7">
        <f t="shared" ca="1" si="51"/>
        <v>0</v>
      </c>
      <c r="J104" s="7">
        <f t="shared" ca="1" si="51"/>
        <v>0</v>
      </c>
      <c r="K104" s="7">
        <f t="shared" ca="1" si="51"/>
        <v>0</v>
      </c>
      <c r="L104" s="7">
        <f t="shared" ca="1" si="51"/>
        <v>0</v>
      </c>
      <c r="M104" s="7">
        <f t="shared" ca="1" si="51"/>
        <v>0</v>
      </c>
      <c r="N104" s="7">
        <f t="shared" ca="1" si="51"/>
        <v>0</v>
      </c>
      <c r="O104" s="7">
        <f t="shared" ca="1" si="51"/>
        <v>0</v>
      </c>
      <c r="P104" s="7">
        <f t="shared" ca="1" si="51"/>
        <v>0</v>
      </c>
      <c r="Q104" s="7">
        <f t="shared" ca="1" si="51"/>
        <v>0</v>
      </c>
      <c r="R104" s="7">
        <f t="shared" ca="1" si="51"/>
        <v>0</v>
      </c>
      <c r="S104" s="7">
        <f t="shared" ca="1" si="51"/>
        <v>0</v>
      </c>
      <c r="T104" s="7">
        <f t="shared" ca="1" si="51"/>
        <v>0</v>
      </c>
      <c r="U104" s="7">
        <f t="shared" ca="1" si="51"/>
        <v>0</v>
      </c>
      <c r="V104" s="7">
        <f t="shared" ca="1" si="51"/>
        <v>0</v>
      </c>
      <c r="W104" s="7">
        <f t="shared" ca="1" si="51"/>
        <v>0</v>
      </c>
      <c r="X104" s="7">
        <f t="shared" ca="1" si="51"/>
        <v>0</v>
      </c>
      <c r="Y104" s="7">
        <f t="shared" ca="1" si="51"/>
        <v>0</v>
      </c>
      <c r="Z104" s="7">
        <f t="shared" ca="1" si="51"/>
        <v>0</v>
      </c>
      <c r="AA104" s="7">
        <f t="shared" ca="1" si="51"/>
        <v>0</v>
      </c>
      <c r="AB104" s="7">
        <f t="shared" ca="1" si="51"/>
        <v>0</v>
      </c>
      <c r="AC104" s="7">
        <f t="shared" ca="1" si="51"/>
        <v>0</v>
      </c>
      <c r="AD104" s="7">
        <f t="shared" ca="1" si="51"/>
        <v>0</v>
      </c>
      <c r="AE104" s="7">
        <f t="shared" ca="1" si="51"/>
        <v>0</v>
      </c>
      <c r="AF104" s="7">
        <f t="shared" ca="1" si="51"/>
        <v>0</v>
      </c>
      <c r="AG104" s="7">
        <f t="shared" ca="1" si="51"/>
        <v>0</v>
      </c>
      <c r="AH104" s="7">
        <f t="shared" ca="1" si="51"/>
        <v>0</v>
      </c>
      <c r="AI104" s="7">
        <f t="shared" ca="1" si="51"/>
        <v>0</v>
      </c>
      <c r="AJ104" s="7">
        <f t="shared" ca="1" si="51"/>
        <v>0</v>
      </c>
      <c r="AK104" s="7">
        <f t="shared" ca="1" si="51"/>
        <v>0</v>
      </c>
      <c r="AL104" s="7">
        <f t="shared" ca="1" si="51"/>
        <v>0</v>
      </c>
      <c r="AM104" s="7">
        <f t="shared" ca="1" si="51"/>
        <v>0</v>
      </c>
    </row>
    <row r="105" spans="1:44" x14ac:dyDescent="0.2">
      <c r="A105" s="3" t="s">
        <v>22</v>
      </c>
      <c r="C105" s="7">
        <f ca="1">-MIN(C104, C99/(1-Inputs!$B$283))</f>
        <v>0</v>
      </c>
      <c r="D105" s="7">
        <f ca="1">-MIN(D104, D99/(1-Inputs!$B$283))</f>
        <v>-31782.57432893329</v>
      </c>
      <c r="E105" s="7">
        <f ca="1">-MIN(E104, E99/(1-Inputs!$B$283))</f>
        <v>0</v>
      </c>
      <c r="F105" s="7">
        <f ca="1">-MIN(F104, F99/(1-Inputs!$B$283))</f>
        <v>0</v>
      </c>
      <c r="G105" s="7">
        <f ca="1">-MIN(G104, G99/(1-Inputs!$B$283))</f>
        <v>0</v>
      </c>
      <c r="H105" s="7">
        <f ca="1">-MIN(H104, H99/(1-Inputs!$B$283))</f>
        <v>0</v>
      </c>
      <c r="I105" s="7">
        <f ca="1">-MIN(I104, I99/(1-Inputs!$B$283))</f>
        <v>0</v>
      </c>
      <c r="J105" s="7">
        <f ca="1">-MIN(J104, J99/(1-Inputs!$B$283))</f>
        <v>0</v>
      </c>
      <c r="K105" s="7">
        <f ca="1">-MIN(K104, K99/(1-Inputs!$B$283))</f>
        <v>0</v>
      </c>
      <c r="L105" s="7">
        <f ca="1">-MIN(L104, L99/(1-Inputs!$B$283))</f>
        <v>0</v>
      </c>
      <c r="M105" s="7">
        <f ca="1">-MIN(M104, M99/(1-Inputs!$B$283))</f>
        <v>0</v>
      </c>
      <c r="N105" s="7">
        <f ca="1">-MIN(N104, N99/(1-Inputs!$B$283))</f>
        <v>0</v>
      </c>
      <c r="O105" s="7">
        <f ca="1">-MIN(O104, O99/(1-Inputs!$B$283))</f>
        <v>0</v>
      </c>
      <c r="P105" s="7">
        <f ca="1">-MIN(P104, P99/(1-Inputs!$B$283))</f>
        <v>0</v>
      </c>
      <c r="Q105" s="7">
        <f ca="1">-MIN(Q104, Q99/(1-Inputs!$B$283))</f>
        <v>0</v>
      </c>
      <c r="R105" s="7">
        <f ca="1">-MIN(R104, R99/(1-Inputs!$B$283))</f>
        <v>0</v>
      </c>
      <c r="S105" s="7">
        <f ca="1">-MIN(S104, S99/(1-Inputs!$B$283))</f>
        <v>0</v>
      </c>
      <c r="T105" s="7">
        <f ca="1">-MIN(T104, T99/(1-Inputs!$B$283))</f>
        <v>0</v>
      </c>
      <c r="U105" s="7">
        <f ca="1">-MIN(U104, U99/(1-Inputs!$B$283))</f>
        <v>0</v>
      </c>
      <c r="V105" s="7">
        <f ca="1">-MIN(V104, V99/(1-Inputs!$B$283))</f>
        <v>0</v>
      </c>
      <c r="W105" s="7">
        <f ca="1">-MIN(W104, W99/(1-Inputs!$B$283))</f>
        <v>0</v>
      </c>
      <c r="X105" s="7">
        <f ca="1">-MIN(X104, X99/(1-Inputs!$B$283))</f>
        <v>0</v>
      </c>
      <c r="Y105" s="7">
        <f ca="1">-MIN(Y104, Y99/(1-Inputs!$B$283))</f>
        <v>0</v>
      </c>
      <c r="Z105" s="7">
        <f ca="1">-MIN(Z104, Z99/(1-Inputs!$B$283))</f>
        <v>0</v>
      </c>
      <c r="AA105" s="7">
        <f ca="1">-MIN(AA104, AA99/(1-Inputs!$B$283))</f>
        <v>0</v>
      </c>
      <c r="AB105" s="7">
        <f ca="1">-MIN(AB104, AB99/(1-Inputs!$B$283))</f>
        <v>0</v>
      </c>
      <c r="AC105" s="7">
        <f ca="1">-MIN(AC104, AC99/(1-Inputs!$B$283))</f>
        <v>0</v>
      </c>
      <c r="AD105" s="7">
        <f ca="1">-MIN(AD104, AD99/(1-Inputs!$B$283))</f>
        <v>0</v>
      </c>
      <c r="AE105" s="7">
        <f ca="1">-MIN(AE104, AE99/(1-Inputs!$B$283))</f>
        <v>0</v>
      </c>
      <c r="AF105" s="7">
        <f ca="1">-MIN(AF104, AF99/(1-Inputs!$B$283))</f>
        <v>0</v>
      </c>
      <c r="AG105" s="7">
        <f ca="1">-MIN(AG104, AG99/(1-Inputs!$B$283))</f>
        <v>0</v>
      </c>
      <c r="AH105" s="7">
        <f ca="1">-MIN(AH104, AH99/(1-Inputs!$B$283))</f>
        <v>0</v>
      </c>
      <c r="AI105" s="7">
        <f ca="1">-MIN(AI104, AI99/(1-Inputs!$B$283))</f>
        <v>0</v>
      </c>
      <c r="AJ105" s="7">
        <f ca="1">-MIN(AJ104, AJ99/(1-Inputs!$B$283))</f>
        <v>0</v>
      </c>
      <c r="AK105" s="7">
        <f ca="1">-MIN(AK104, AK99/(1-Inputs!$B$283))</f>
        <v>0</v>
      </c>
      <c r="AL105" s="7">
        <f ca="1">-MIN(AL104, AL99/(1-Inputs!$B$283))</f>
        <v>0</v>
      </c>
      <c r="AM105" s="7">
        <f ca="1">-MIN(AM104, AM99/(1-Inputs!$B$283))</f>
        <v>0</v>
      </c>
    </row>
    <row r="106" spans="1:44" x14ac:dyDescent="0.2">
      <c r="A106" s="3" t="s">
        <v>23</v>
      </c>
      <c r="C106" s="7">
        <v>0</v>
      </c>
      <c r="D106" s="7">
        <f ca="1">SUM(D104:D105)*IF(AND(Inputs!$B$228&lt;&gt;"",D$2=Inputs!$B$228),-Inputs!$B$229,IF(AND(Inputs!$B$228&lt;&gt;"",D$2&gt;Inputs!$B$228,D$2&lt;=Inputs!$B$228+Inputs!$B$230),(1/(1-Inputs!$B$229))^(1/Inputs!$B$230)-1,IF(AND(Inputs!$B$233&lt;&gt;"",D$2=Inputs!$B$233),-Inputs!$B$234,IF(AND(Inputs!$B$233&lt;&gt;"",D$2&gt;Inputs!$B$233,D$2&lt;=Inputs!$B$233+Inputs!$B$235),(1/(1-Inputs!$B$234))^(1/Inputs!$B$235)-1,IF(AND(Inputs!$B$238&lt;&gt;"",D$2=Inputs!$B$238),-Inputs!$B$239,IF(AND(Inputs!$B$238&lt;&gt;"",D$2&gt;Inputs!$B$238,D$2&lt;=Inputs!$B$238+Inputs!$B$240),(1/(1-Inputs!$B$239))^(1/Inputs!$B$240)-1,IF(AND(Inputs!$B$243&lt;&gt;"",D$2=Inputs!$B$243),-Inputs!$B$244,IF(AND(Inputs!$B$243&lt;&gt;"",D$2&gt;Inputs!$B$243,D$2&lt;=Inputs!$B$243+Inputs!$B$245),(1/(1-Inputs!$B$244))^(1/Inputs!$B$245)-1,IF(AND(Inputs!$B$248&lt;&gt;"",D$2=Inputs!$B$248),-Inputs!$B$249,IF(AND(Inputs!$B$248&lt;&gt;"",D$2&gt;Inputs!$B$248,D$2&lt;=Inputs!$B$248+Inputs!$B$250),(1/(1-Inputs!$B$249))^(1/Inputs!$B$250)-1,stinc))))))))))</f>
        <v>0</v>
      </c>
      <c r="E106" s="7">
        <f ca="1">SUM(E104:E105)*IF(AND(Inputs!$B$228&lt;&gt;"",E$2=Inputs!$B$228),-Inputs!$B$229,IF(AND(Inputs!$B$228&lt;&gt;"",E$2&gt;Inputs!$B$228,E$2&lt;=Inputs!$B$228+Inputs!$B$230),(1/(1-Inputs!$B$229))^(1/Inputs!$B$230)-1,IF(AND(Inputs!$B$233&lt;&gt;"",E$2=Inputs!$B$233),-Inputs!$B$234,IF(AND(Inputs!$B$233&lt;&gt;"",E$2&gt;Inputs!$B$233,E$2&lt;=Inputs!$B$233+Inputs!$B$235),(1/(1-Inputs!$B$234))^(1/Inputs!$B$235)-1,IF(AND(Inputs!$B$238&lt;&gt;"",E$2=Inputs!$B$238),-Inputs!$B$239,IF(AND(Inputs!$B$238&lt;&gt;"",E$2&gt;Inputs!$B$238,E$2&lt;=Inputs!$B$238+Inputs!$B$240),(1/(1-Inputs!$B$239))^(1/Inputs!$B$240)-1,IF(AND(Inputs!$B$243&lt;&gt;"",E$2=Inputs!$B$243),-Inputs!$B$244,IF(AND(Inputs!$B$243&lt;&gt;"",E$2&gt;Inputs!$B$243,E$2&lt;=Inputs!$B$243+Inputs!$B$245),(1/(1-Inputs!$B$244))^(1/Inputs!$B$245)-1,IF(AND(Inputs!$B$248&lt;&gt;"",E$2=Inputs!$B$248),-Inputs!$B$249,IF(AND(Inputs!$B$248&lt;&gt;"",E$2&gt;Inputs!$B$248,E$2&lt;=Inputs!$B$248+Inputs!$B$250),(1/(1-Inputs!$B$249))^(1/Inputs!$B$250)-1,stinc))))))))))</f>
        <v>0</v>
      </c>
      <c r="F106" s="7">
        <f ca="1">SUM(F104:F105)*IF(AND(Inputs!$B$228&lt;&gt;"",F$2=Inputs!$B$228),-Inputs!$B$229,IF(AND(Inputs!$B$228&lt;&gt;"",F$2&gt;Inputs!$B$228,F$2&lt;=Inputs!$B$228+Inputs!$B$230),(1/(1-Inputs!$B$229))^(1/Inputs!$B$230)-1,IF(AND(Inputs!$B$233&lt;&gt;"",F$2=Inputs!$B$233),-Inputs!$B$234,IF(AND(Inputs!$B$233&lt;&gt;"",F$2&gt;Inputs!$B$233,F$2&lt;=Inputs!$B$233+Inputs!$B$235),(1/(1-Inputs!$B$234))^(1/Inputs!$B$235)-1,IF(AND(Inputs!$B$238&lt;&gt;"",F$2=Inputs!$B$238),-Inputs!$B$239,IF(AND(Inputs!$B$238&lt;&gt;"",F$2&gt;Inputs!$B$238,F$2&lt;=Inputs!$B$238+Inputs!$B$240),(1/(1-Inputs!$B$239))^(1/Inputs!$B$240)-1,IF(AND(Inputs!$B$243&lt;&gt;"",F$2=Inputs!$B$243),-Inputs!$B$244,IF(AND(Inputs!$B$243&lt;&gt;"",F$2&gt;Inputs!$B$243,F$2&lt;=Inputs!$B$243+Inputs!$B$245),(1/(1-Inputs!$B$244))^(1/Inputs!$B$245)-1,IF(AND(Inputs!$B$248&lt;&gt;"",F$2=Inputs!$B$248),-Inputs!$B$249,IF(AND(Inputs!$B$248&lt;&gt;"",F$2&gt;Inputs!$B$248,F$2&lt;=Inputs!$B$248+Inputs!$B$250),(1/(1-Inputs!$B$249))^(1/Inputs!$B$250)-1,stinc))))))))))</f>
        <v>0</v>
      </c>
      <c r="G106" s="7">
        <f ca="1">SUM(G104:G105)*IF(AND(Inputs!$B$228&lt;&gt;"",G$2=Inputs!$B$228),-Inputs!$B$229,IF(AND(Inputs!$B$228&lt;&gt;"",G$2&gt;Inputs!$B$228,G$2&lt;=Inputs!$B$228+Inputs!$B$230),(1/(1-Inputs!$B$229))^(1/Inputs!$B$230)-1,IF(AND(Inputs!$B$233&lt;&gt;"",G$2=Inputs!$B$233),-Inputs!$B$234,IF(AND(Inputs!$B$233&lt;&gt;"",G$2&gt;Inputs!$B$233,G$2&lt;=Inputs!$B$233+Inputs!$B$235),(1/(1-Inputs!$B$234))^(1/Inputs!$B$235)-1,IF(AND(Inputs!$B$238&lt;&gt;"",G$2=Inputs!$B$238),-Inputs!$B$239,IF(AND(Inputs!$B$238&lt;&gt;"",G$2&gt;Inputs!$B$238,G$2&lt;=Inputs!$B$238+Inputs!$B$240),(1/(1-Inputs!$B$239))^(1/Inputs!$B$240)-1,IF(AND(Inputs!$B$243&lt;&gt;"",G$2=Inputs!$B$243),-Inputs!$B$244,IF(AND(Inputs!$B$243&lt;&gt;"",G$2&gt;Inputs!$B$243,G$2&lt;=Inputs!$B$243+Inputs!$B$245),(1/(1-Inputs!$B$244))^(1/Inputs!$B$245)-1,IF(AND(Inputs!$B$248&lt;&gt;"",G$2=Inputs!$B$248),-Inputs!$B$249,IF(AND(Inputs!$B$248&lt;&gt;"",G$2&gt;Inputs!$B$248,G$2&lt;=Inputs!$B$248+Inputs!$B$250),(1/(1-Inputs!$B$249))^(1/Inputs!$B$250)-1,stinc))))))))))</f>
        <v>0</v>
      </c>
      <c r="H106" s="7">
        <f ca="1">SUM(H104:H105)*IF(AND(Inputs!$B$228&lt;&gt;"",H$2=Inputs!$B$228),-Inputs!$B$229,IF(AND(Inputs!$B$228&lt;&gt;"",H$2&gt;Inputs!$B$228,H$2&lt;=Inputs!$B$228+Inputs!$B$230),(1/(1-Inputs!$B$229))^(1/Inputs!$B$230)-1,IF(AND(Inputs!$B$233&lt;&gt;"",H$2=Inputs!$B$233),-Inputs!$B$234,IF(AND(Inputs!$B$233&lt;&gt;"",H$2&gt;Inputs!$B$233,H$2&lt;=Inputs!$B$233+Inputs!$B$235),(1/(1-Inputs!$B$234))^(1/Inputs!$B$235)-1,IF(AND(Inputs!$B$238&lt;&gt;"",H$2=Inputs!$B$238),-Inputs!$B$239,IF(AND(Inputs!$B$238&lt;&gt;"",H$2&gt;Inputs!$B$238,H$2&lt;=Inputs!$B$238+Inputs!$B$240),(1/(1-Inputs!$B$239))^(1/Inputs!$B$240)-1,IF(AND(Inputs!$B$243&lt;&gt;"",H$2=Inputs!$B$243),-Inputs!$B$244,IF(AND(Inputs!$B$243&lt;&gt;"",H$2&gt;Inputs!$B$243,H$2&lt;=Inputs!$B$243+Inputs!$B$245),(1/(1-Inputs!$B$244))^(1/Inputs!$B$245)-1,IF(AND(Inputs!$B$248&lt;&gt;"",H$2=Inputs!$B$248),-Inputs!$B$249,IF(AND(Inputs!$B$248&lt;&gt;"",H$2&gt;Inputs!$B$248,H$2&lt;=Inputs!$B$248+Inputs!$B$250),(1/(1-Inputs!$B$249))^(1/Inputs!$B$250)-1,stinc))))))))))</f>
        <v>0</v>
      </c>
      <c r="I106" s="7">
        <f ca="1">SUM(I104:I105)*IF(AND(Inputs!$B$228&lt;&gt;"",I$2=Inputs!$B$228),-Inputs!$B$229,IF(AND(Inputs!$B$228&lt;&gt;"",I$2&gt;Inputs!$B$228,I$2&lt;=Inputs!$B$228+Inputs!$B$230),(1/(1-Inputs!$B$229))^(1/Inputs!$B$230)-1,IF(AND(Inputs!$B$233&lt;&gt;"",I$2=Inputs!$B$233),-Inputs!$B$234,IF(AND(Inputs!$B$233&lt;&gt;"",I$2&gt;Inputs!$B$233,I$2&lt;=Inputs!$B$233+Inputs!$B$235),(1/(1-Inputs!$B$234))^(1/Inputs!$B$235)-1,IF(AND(Inputs!$B$238&lt;&gt;"",I$2=Inputs!$B$238),-Inputs!$B$239,IF(AND(Inputs!$B$238&lt;&gt;"",I$2&gt;Inputs!$B$238,I$2&lt;=Inputs!$B$238+Inputs!$B$240),(1/(1-Inputs!$B$239))^(1/Inputs!$B$240)-1,IF(AND(Inputs!$B$243&lt;&gt;"",I$2=Inputs!$B$243),-Inputs!$B$244,IF(AND(Inputs!$B$243&lt;&gt;"",I$2&gt;Inputs!$B$243,I$2&lt;=Inputs!$B$243+Inputs!$B$245),(1/(1-Inputs!$B$244))^(1/Inputs!$B$245)-1,IF(AND(Inputs!$B$248&lt;&gt;"",I$2=Inputs!$B$248),-Inputs!$B$249,IF(AND(Inputs!$B$248&lt;&gt;"",I$2&gt;Inputs!$B$248,I$2&lt;=Inputs!$B$248+Inputs!$B$250),(1/(1-Inputs!$B$249))^(1/Inputs!$B$250)-1,stinc))))))))))</f>
        <v>0</v>
      </c>
      <c r="J106" s="7">
        <f ca="1">SUM(J104:J105)*IF(AND(Inputs!$B$228&lt;&gt;"",J$2=Inputs!$B$228),-Inputs!$B$229,IF(AND(Inputs!$B$228&lt;&gt;"",J$2&gt;Inputs!$B$228,J$2&lt;=Inputs!$B$228+Inputs!$B$230),(1/(1-Inputs!$B$229))^(1/Inputs!$B$230)-1,IF(AND(Inputs!$B$233&lt;&gt;"",J$2=Inputs!$B$233),-Inputs!$B$234,IF(AND(Inputs!$B$233&lt;&gt;"",J$2&gt;Inputs!$B$233,J$2&lt;=Inputs!$B$233+Inputs!$B$235),(1/(1-Inputs!$B$234))^(1/Inputs!$B$235)-1,IF(AND(Inputs!$B$238&lt;&gt;"",J$2=Inputs!$B$238),-Inputs!$B$239,IF(AND(Inputs!$B$238&lt;&gt;"",J$2&gt;Inputs!$B$238,J$2&lt;=Inputs!$B$238+Inputs!$B$240),(1/(1-Inputs!$B$239))^(1/Inputs!$B$240)-1,IF(AND(Inputs!$B$243&lt;&gt;"",J$2=Inputs!$B$243),-Inputs!$B$244,IF(AND(Inputs!$B$243&lt;&gt;"",J$2&gt;Inputs!$B$243,J$2&lt;=Inputs!$B$243+Inputs!$B$245),(1/(1-Inputs!$B$244))^(1/Inputs!$B$245)-1,IF(AND(Inputs!$B$248&lt;&gt;"",J$2=Inputs!$B$248),-Inputs!$B$249,IF(AND(Inputs!$B$248&lt;&gt;"",J$2&gt;Inputs!$B$248,J$2&lt;=Inputs!$B$248+Inputs!$B$250),(1/(1-Inputs!$B$249))^(1/Inputs!$B$250)-1,stinc))))))))))</f>
        <v>0</v>
      </c>
      <c r="K106" s="7">
        <f ca="1">SUM(K104:K105)*IF(AND(Inputs!$B$228&lt;&gt;"",K$2=Inputs!$B$228),-Inputs!$B$229,IF(AND(Inputs!$B$228&lt;&gt;"",K$2&gt;Inputs!$B$228,K$2&lt;=Inputs!$B$228+Inputs!$B$230),(1/(1-Inputs!$B$229))^(1/Inputs!$B$230)-1,IF(AND(Inputs!$B$233&lt;&gt;"",K$2=Inputs!$B$233),-Inputs!$B$234,IF(AND(Inputs!$B$233&lt;&gt;"",K$2&gt;Inputs!$B$233,K$2&lt;=Inputs!$B$233+Inputs!$B$235),(1/(1-Inputs!$B$234))^(1/Inputs!$B$235)-1,IF(AND(Inputs!$B$238&lt;&gt;"",K$2=Inputs!$B$238),-Inputs!$B$239,IF(AND(Inputs!$B$238&lt;&gt;"",K$2&gt;Inputs!$B$238,K$2&lt;=Inputs!$B$238+Inputs!$B$240),(1/(1-Inputs!$B$239))^(1/Inputs!$B$240)-1,IF(AND(Inputs!$B$243&lt;&gt;"",K$2=Inputs!$B$243),-Inputs!$B$244,IF(AND(Inputs!$B$243&lt;&gt;"",K$2&gt;Inputs!$B$243,K$2&lt;=Inputs!$B$243+Inputs!$B$245),(1/(1-Inputs!$B$244))^(1/Inputs!$B$245)-1,IF(AND(Inputs!$B$248&lt;&gt;"",K$2=Inputs!$B$248),-Inputs!$B$249,IF(AND(Inputs!$B$248&lt;&gt;"",K$2&gt;Inputs!$B$248,K$2&lt;=Inputs!$B$248+Inputs!$B$250),(1/(1-Inputs!$B$249))^(1/Inputs!$B$250)-1,stinc))))))))))</f>
        <v>0</v>
      </c>
      <c r="L106" s="7">
        <f ca="1">SUM(L104:L105)*IF(AND(Inputs!$B$228&lt;&gt;"",L$2=Inputs!$B$228),-Inputs!$B$229,IF(AND(Inputs!$B$228&lt;&gt;"",L$2&gt;Inputs!$B$228,L$2&lt;=Inputs!$B$228+Inputs!$B$230),(1/(1-Inputs!$B$229))^(1/Inputs!$B$230)-1,IF(AND(Inputs!$B$233&lt;&gt;"",L$2=Inputs!$B$233),-Inputs!$B$234,IF(AND(Inputs!$B$233&lt;&gt;"",L$2&gt;Inputs!$B$233,L$2&lt;=Inputs!$B$233+Inputs!$B$235),(1/(1-Inputs!$B$234))^(1/Inputs!$B$235)-1,IF(AND(Inputs!$B$238&lt;&gt;"",L$2=Inputs!$B$238),-Inputs!$B$239,IF(AND(Inputs!$B$238&lt;&gt;"",L$2&gt;Inputs!$B$238,L$2&lt;=Inputs!$B$238+Inputs!$B$240),(1/(1-Inputs!$B$239))^(1/Inputs!$B$240)-1,IF(AND(Inputs!$B$243&lt;&gt;"",L$2=Inputs!$B$243),-Inputs!$B$244,IF(AND(Inputs!$B$243&lt;&gt;"",L$2&gt;Inputs!$B$243,L$2&lt;=Inputs!$B$243+Inputs!$B$245),(1/(1-Inputs!$B$244))^(1/Inputs!$B$245)-1,IF(AND(Inputs!$B$248&lt;&gt;"",L$2=Inputs!$B$248),-Inputs!$B$249,IF(AND(Inputs!$B$248&lt;&gt;"",L$2&gt;Inputs!$B$248,L$2&lt;=Inputs!$B$248+Inputs!$B$250),(1/(1-Inputs!$B$249))^(1/Inputs!$B$250)-1,stinc))))))))))</f>
        <v>0</v>
      </c>
      <c r="M106" s="7">
        <f ca="1">SUM(M104:M105)*IF(AND(Inputs!$B$228&lt;&gt;"",M$2=Inputs!$B$228),-Inputs!$B$229,IF(AND(Inputs!$B$228&lt;&gt;"",M$2&gt;Inputs!$B$228,M$2&lt;=Inputs!$B$228+Inputs!$B$230),(1/(1-Inputs!$B$229))^(1/Inputs!$B$230)-1,IF(AND(Inputs!$B$233&lt;&gt;"",M$2=Inputs!$B$233),-Inputs!$B$234,IF(AND(Inputs!$B$233&lt;&gt;"",M$2&gt;Inputs!$B$233,M$2&lt;=Inputs!$B$233+Inputs!$B$235),(1/(1-Inputs!$B$234))^(1/Inputs!$B$235)-1,IF(AND(Inputs!$B$238&lt;&gt;"",M$2=Inputs!$B$238),-Inputs!$B$239,IF(AND(Inputs!$B$238&lt;&gt;"",M$2&gt;Inputs!$B$238,M$2&lt;=Inputs!$B$238+Inputs!$B$240),(1/(1-Inputs!$B$239))^(1/Inputs!$B$240)-1,IF(AND(Inputs!$B$243&lt;&gt;"",M$2=Inputs!$B$243),-Inputs!$B$244,IF(AND(Inputs!$B$243&lt;&gt;"",M$2&gt;Inputs!$B$243,M$2&lt;=Inputs!$B$243+Inputs!$B$245),(1/(1-Inputs!$B$244))^(1/Inputs!$B$245)-1,IF(AND(Inputs!$B$248&lt;&gt;"",M$2=Inputs!$B$248),-Inputs!$B$249,IF(AND(Inputs!$B$248&lt;&gt;"",M$2&gt;Inputs!$B$248,M$2&lt;=Inputs!$B$248+Inputs!$B$250),(1/(1-Inputs!$B$249))^(1/Inputs!$B$250)-1,stinc))))))))))</f>
        <v>0</v>
      </c>
      <c r="N106" s="7">
        <f ca="1">SUM(N104:N105)*IF(AND(Inputs!$B$228&lt;&gt;"",N$2=Inputs!$B$228),-Inputs!$B$229,IF(AND(Inputs!$B$228&lt;&gt;"",N$2&gt;Inputs!$B$228,N$2&lt;=Inputs!$B$228+Inputs!$B$230),(1/(1-Inputs!$B$229))^(1/Inputs!$B$230)-1,IF(AND(Inputs!$B$233&lt;&gt;"",N$2=Inputs!$B$233),-Inputs!$B$234,IF(AND(Inputs!$B$233&lt;&gt;"",N$2&gt;Inputs!$B$233,N$2&lt;=Inputs!$B$233+Inputs!$B$235),(1/(1-Inputs!$B$234))^(1/Inputs!$B$235)-1,IF(AND(Inputs!$B$238&lt;&gt;"",N$2=Inputs!$B$238),-Inputs!$B$239,IF(AND(Inputs!$B$238&lt;&gt;"",N$2&gt;Inputs!$B$238,N$2&lt;=Inputs!$B$238+Inputs!$B$240),(1/(1-Inputs!$B$239))^(1/Inputs!$B$240)-1,IF(AND(Inputs!$B$243&lt;&gt;"",N$2=Inputs!$B$243),-Inputs!$B$244,IF(AND(Inputs!$B$243&lt;&gt;"",N$2&gt;Inputs!$B$243,N$2&lt;=Inputs!$B$243+Inputs!$B$245),(1/(1-Inputs!$B$244))^(1/Inputs!$B$245)-1,IF(AND(Inputs!$B$248&lt;&gt;"",N$2=Inputs!$B$248),-Inputs!$B$249,IF(AND(Inputs!$B$248&lt;&gt;"",N$2&gt;Inputs!$B$248,N$2&lt;=Inputs!$B$248+Inputs!$B$250),(1/(1-Inputs!$B$249))^(1/Inputs!$B$250)-1,stinc))))))))))</f>
        <v>0</v>
      </c>
      <c r="O106" s="7">
        <f ca="1">SUM(O104:O105)*IF(AND(Inputs!$B$228&lt;&gt;"",O$2=Inputs!$B$228),-Inputs!$B$229,IF(AND(Inputs!$B$228&lt;&gt;"",O$2&gt;Inputs!$B$228,O$2&lt;=Inputs!$B$228+Inputs!$B$230),(1/(1-Inputs!$B$229))^(1/Inputs!$B$230)-1,IF(AND(Inputs!$B$233&lt;&gt;"",O$2=Inputs!$B$233),-Inputs!$B$234,IF(AND(Inputs!$B$233&lt;&gt;"",O$2&gt;Inputs!$B$233,O$2&lt;=Inputs!$B$233+Inputs!$B$235),(1/(1-Inputs!$B$234))^(1/Inputs!$B$235)-1,IF(AND(Inputs!$B$238&lt;&gt;"",O$2=Inputs!$B$238),-Inputs!$B$239,IF(AND(Inputs!$B$238&lt;&gt;"",O$2&gt;Inputs!$B$238,O$2&lt;=Inputs!$B$238+Inputs!$B$240),(1/(1-Inputs!$B$239))^(1/Inputs!$B$240)-1,IF(AND(Inputs!$B$243&lt;&gt;"",O$2=Inputs!$B$243),-Inputs!$B$244,IF(AND(Inputs!$B$243&lt;&gt;"",O$2&gt;Inputs!$B$243,O$2&lt;=Inputs!$B$243+Inputs!$B$245),(1/(1-Inputs!$B$244))^(1/Inputs!$B$245)-1,IF(AND(Inputs!$B$248&lt;&gt;"",O$2=Inputs!$B$248),-Inputs!$B$249,IF(AND(Inputs!$B$248&lt;&gt;"",O$2&gt;Inputs!$B$248,O$2&lt;=Inputs!$B$248+Inputs!$B$250),(1/(1-Inputs!$B$249))^(1/Inputs!$B$250)-1,stinc))))))))))</f>
        <v>0</v>
      </c>
      <c r="P106" s="7">
        <f ca="1">SUM(P104:P105)*IF(AND(Inputs!$B$228&lt;&gt;"",P$2=Inputs!$B$228),-Inputs!$B$229,IF(AND(Inputs!$B$228&lt;&gt;"",P$2&gt;Inputs!$B$228,P$2&lt;=Inputs!$B$228+Inputs!$B$230),(1/(1-Inputs!$B$229))^(1/Inputs!$B$230)-1,IF(AND(Inputs!$B$233&lt;&gt;"",P$2=Inputs!$B$233),-Inputs!$B$234,IF(AND(Inputs!$B$233&lt;&gt;"",P$2&gt;Inputs!$B$233,P$2&lt;=Inputs!$B$233+Inputs!$B$235),(1/(1-Inputs!$B$234))^(1/Inputs!$B$235)-1,IF(AND(Inputs!$B$238&lt;&gt;"",P$2=Inputs!$B$238),-Inputs!$B$239,IF(AND(Inputs!$B$238&lt;&gt;"",P$2&gt;Inputs!$B$238,P$2&lt;=Inputs!$B$238+Inputs!$B$240),(1/(1-Inputs!$B$239))^(1/Inputs!$B$240)-1,IF(AND(Inputs!$B$243&lt;&gt;"",P$2=Inputs!$B$243),-Inputs!$B$244,IF(AND(Inputs!$B$243&lt;&gt;"",P$2&gt;Inputs!$B$243,P$2&lt;=Inputs!$B$243+Inputs!$B$245),(1/(1-Inputs!$B$244))^(1/Inputs!$B$245)-1,IF(AND(Inputs!$B$248&lt;&gt;"",P$2=Inputs!$B$248),-Inputs!$B$249,IF(AND(Inputs!$B$248&lt;&gt;"",P$2&gt;Inputs!$B$248,P$2&lt;=Inputs!$B$248+Inputs!$B$250),(1/(1-Inputs!$B$249))^(1/Inputs!$B$250)-1,stinc))))))))))</f>
        <v>0</v>
      </c>
      <c r="Q106" s="7">
        <f ca="1">SUM(Q104:Q105)*IF(AND(Inputs!$B$228&lt;&gt;"",Q$2=Inputs!$B$228),-Inputs!$B$229,IF(AND(Inputs!$B$228&lt;&gt;"",Q$2&gt;Inputs!$B$228,Q$2&lt;=Inputs!$B$228+Inputs!$B$230),(1/(1-Inputs!$B$229))^(1/Inputs!$B$230)-1,IF(AND(Inputs!$B$233&lt;&gt;"",Q$2=Inputs!$B$233),-Inputs!$B$234,IF(AND(Inputs!$B$233&lt;&gt;"",Q$2&gt;Inputs!$B$233,Q$2&lt;=Inputs!$B$233+Inputs!$B$235),(1/(1-Inputs!$B$234))^(1/Inputs!$B$235)-1,IF(AND(Inputs!$B$238&lt;&gt;"",Q$2=Inputs!$B$238),-Inputs!$B$239,IF(AND(Inputs!$B$238&lt;&gt;"",Q$2&gt;Inputs!$B$238,Q$2&lt;=Inputs!$B$238+Inputs!$B$240),(1/(1-Inputs!$B$239))^(1/Inputs!$B$240)-1,IF(AND(Inputs!$B$243&lt;&gt;"",Q$2=Inputs!$B$243),-Inputs!$B$244,IF(AND(Inputs!$B$243&lt;&gt;"",Q$2&gt;Inputs!$B$243,Q$2&lt;=Inputs!$B$243+Inputs!$B$245),(1/(1-Inputs!$B$244))^(1/Inputs!$B$245)-1,IF(AND(Inputs!$B$248&lt;&gt;"",Q$2=Inputs!$B$248),-Inputs!$B$249,IF(AND(Inputs!$B$248&lt;&gt;"",Q$2&gt;Inputs!$B$248,Q$2&lt;=Inputs!$B$248+Inputs!$B$250),(1/(1-Inputs!$B$249))^(1/Inputs!$B$250)-1,stinc))))))))))</f>
        <v>0</v>
      </c>
      <c r="R106" s="7">
        <f ca="1">SUM(R104:R105)*IF(AND(Inputs!$B$228&lt;&gt;"",R$2=Inputs!$B$228),-Inputs!$B$229,IF(AND(Inputs!$B$228&lt;&gt;"",R$2&gt;Inputs!$B$228,R$2&lt;=Inputs!$B$228+Inputs!$B$230),(1/(1-Inputs!$B$229))^(1/Inputs!$B$230)-1,IF(AND(Inputs!$B$233&lt;&gt;"",R$2=Inputs!$B$233),-Inputs!$B$234,IF(AND(Inputs!$B$233&lt;&gt;"",R$2&gt;Inputs!$B$233,R$2&lt;=Inputs!$B$233+Inputs!$B$235),(1/(1-Inputs!$B$234))^(1/Inputs!$B$235)-1,IF(AND(Inputs!$B$238&lt;&gt;"",R$2=Inputs!$B$238),-Inputs!$B$239,IF(AND(Inputs!$B$238&lt;&gt;"",R$2&gt;Inputs!$B$238,R$2&lt;=Inputs!$B$238+Inputs!$B$240),(1/(1-Inputs!$B$239))^(1/Inputs!$B$240)-1,IF(AND(Inputs!$B$243&lt;&gt;"",R$2=Inputs!$B$243),-Inputs!$B$244,IF(AND(Inputs!$B$243&lt;&gt;"",R$2&gt;Inputs!$B$243,R$2&lt;=Inputs!$B$243+Inputs!$B$245),(1/(1-Inputs!$B$244))^(1/Inputs!$B$245)-1,IF(AND(Inputs!$B$248&lt;&gt;"",R$2=Inputs!$B$248),-Inputs!$B$249,IF(AND(Inputs!$B$248&lt;&gt;"",R$2&gt;Inputs!$B$248,R$2&lt;=Inputs!$B$248+Inputs!$B$250),(1/(1-Inputs!$B$249))^(1/Inputs!$B$250)-1,stinc))))))))))</f>
        <v>0</v>
      </c>
      <c r="S106" s="7">
        <f ca="1">SUM(S104:S105)*IF(AND(Inputs!$B$228&lt;&gt;"",S$2=Inputs!$B$228),-Inputs!$B$229,IF(AND(Inputs!$B$228&lt;&gt;"",S$2&gt;Inputs!$B$228,S$2&lt;=Inputs!$B$228+Inputs!$B$230),(1/(1-Inputs!$B$229))^(1/Inputs!$B$230)-1,IF(AND(Inputs!$B$233&lt;&gt;"",S$2=Inputs!$B$233),-Inputs!$B$234,IF(AND(Inputs!$B$233&lt;&gt;"",S$2&gt;Inputs!$B$233,S$2&lt;=Inputs!$B$233+Inputs!$B$235),(1/(1-Inputs!$B$234))^(1/Inputs!$B$235)-1,IF(AND(Inputs!$B$238&lt;&gt;"",S$2=Inputs!$B$238),-Inputs!$B$239,IF(AND(Inputs!$B$238&lt;&gt;"",S$2&gt;Inputs!$B$238,S$2&lt;=Inputs!$B$238+Inputs!$B$240),(1/(1-Inputs!$B$239))^(1/Inputs!$B$240)-1,IF(AND(Inputs!$B$243&lt;&gt;"",S$2=Inputs!$B$243),-Inputs!$B$244,IF(AND(Inputs!$B$243&lt;&gt;"",S$2&gt;Inputs!$B$243,S$2&lt;=Inputs!$B$243+Inputs!$B$245),(1/(1-Inputs!$B$244))^(1/Inputs!$B$245)-1,IF(AND(Inputs!$B$248&lt;&gt;"",S$2=Inputs!$B$248),-Inputs!$B$249,IF(AND(Inputs!$B$248&lt;&gt;"",S$2&gt;Inputs!$B$248,S$2&lt;=Inputs!$B$248+Inputs!$B$250),(1/(1-Inputs!$B$249))^(1/Inputs!$B$250)-1,stinc))))))))))</f>
        <v>0</v>
      </c>
      <c r="T106" s="7">
        <f ca="1">SUM(T104:T105)*IF(AND(Inputs!$B$228&lt;&gt;"",T$2=Inputs!$B$228),-Inputs!$B$229,IF(AND(Inputs!$B$228&lt;&gt;"",T$2&gt;Inputs!$B$228,T$2&lt;=Inputs!$B$228+Inputs!$B$230),(1/(1-Inputs!$B$229))^(1/Inputs!$B$230)-1,IF(AND(Inputs!$B$233&lt;&gt;"",T$2=Inputs!$B$233),-Inputs!$B$234,IF(AND(Inputs!$B$233&lt;&gt;"",T$2&gt;Inputs!$B$233,T$2&lt;=Inputs!$B$233+Inputs!$B$235),(1/(1-Inputs!$B$234))^(1/Inputs!$B$235)-1,IF(AND(Inputs!$B$238&lt;&gt;"",T$2=Inputs!$B$238),-Inputs!$B$239,IF(AND(Inputs!$B$238&lt;&gt;"",T$2&gt;Inputs!$B$238,T$2&lt;=Inputs!$B$238+Inputs!$B$240),(1/(1-Inputs!$B$239))^(1/Inputs!$B$240)-1,IF(AND(Inputs!$B$243&lt;&gt;"",T$2=Inputs!$B$243),-Inputs!$B$244,IF(AND(Inputs!$B$243&lt;&gt;"",T$2&gt;Inputs!$B$243,T$2&lt;=Inputs!$B$243+Inputs!$B$245),(1/(1-Inputs!$B$244))^(1/Inputs!$B$245)-1,IF(AND(Inputs!$B$248&lt;&gt;"",T$2=Inputs!$B$248),-Inputs!$B$249,IF(AND(Inputs!$B$248&lt;&gt;"",T$2&gt;Inputs!$B$248,T$2&lt;=Inputs!$B$248+Inputs!$B$250),(1/(1-Inputs!$B$249))^(1/Inputs!$B$250)-1,stinc))))))))))</f>
        <v>0</v>
      </c>
      <c r="U106" s="7">
        <f ca="1">SUM(U104:U105)*IF(AND(Inputs!$B$228&lt;&gt;"",U$2=Inputs!$B$228),-Inputs!$B$229,IF(AND(Inputs!$B$228&lt;&gt;"",U$2&gt;Inputs!$B$228,U$2&lt;=Inputs!$B$228+Inputs!$B$230),(1/(1-Inputs!$B$229))^(1/Inputs!$B$230)-1,IF(AND(Inputs!$B$233&lt;&gt;"",U$2=Inputs!$B$233),-Inputs!$B$234,IF(AND(Inputs!$B$233&lt;&gt;"",U$2&gt;Inputs!$B$233,U$2&lt;=Inputs!$B$233+Inputs!$B$235),(1/(1-Inputs!$B$234))^(1/Inputs!$B$235)-1,IF(AND(Inputs!$B$238&lt;&gt;"",U$2=Inputs!$B$238),-Inputs!$B$239,IF(AND(Inputs!$B$238&lt;&gt;"",U$2&gt;Inputs!$B$238,U$2&lt;=Inputs!$B$238+Inputs!$B$240),(1/(1-Inputs!$B$239))^(1/Inputs!$B$240)-1,IF(AND(Inputs!$B$243&lt;&gt;"",U$2=Inputs!$B$243),-Inputs!$B$244,IF(AND(Inputs!$B$243&lt;&gt;"",U$2&gt;Inputs!$B$243,U$2&lt;=Inputs!$B$243+Inputs!$B$245),(1/(1-Inputs!$B$244))^(1/Inputs!$B$245)-1,IF(AND(Inputs!$B$248&lt;&gt;"",U$2=Inputs!$B$248),-Inputs!$B$249,IF(AND(Inputs!$B$248&lt;&gt;"",U$2&gt;Inputs!$B$248,U$2&lt;=Inputs!$B$248+Inputs!$B$250),(1/(1-Inputs!$B$249))^(1/Inputs!$B$250)-1,stinc))))))))))</f>
        <v>0</v>
      </c>
      <c r="V106" s="7">
        <f ca="1">SUM(V104:V105)*IF(AND(Inputs!$B$228&lt;&gt;"",V$2=Inputs!$B$228),-Inputs!$B$229,IF(AND(Inputs!$B$228&lt;&gt;"",V$2&gt;Inputs!$B$228,V$2&lt;=Inputs!$B$228+Inputs!$B$230),(1/(1-Inputs!$B$229))^(1/Inputs!$B$230)-1,IF(AND(Inputs!$B$233&lt;&gt;"",V$2=Inputs!$B$233),-Inputs!$B$234,IF(AND(Inputs!$B$233&lt;&gt;"",V$2&gt;Inputs!$B$233,V$2&lt;=Inputs!$B$233+Inputs!$B$235),(1/(1-Inputs!$B$234))^(1/Inputs!$B$235)-1,IF(AND(Inputs!$B$238&lt;&gt;"",V$2=Inputs!$B$238),-Inputs!$B$239,IF(AND(Inputs!$B$238&lt;&gt;"",V$2&gt;Inputs!$B$238,V$2&lt;=Inputs!$B$238+Inputs!$B$240),(1/(1-Inputs!$B$239))^(1/Inputs!$B$240)-1,IF(AND(Inputs!$B$243&lt;&gt;"",V$2=Inputs!$B$243),-Inputs!$B$244,IF(AND(Inputs!$B$243&lt;&gt;"",V$2&gt;Inputs!$B$243,V$2&lt;=Inputs!$B$243+Inputs!$B$245),(1/(1-Inputs!$B$244))^(1/Inputs!$B$245)-1,IF(AND(Inputs!$B$248&lt;&gt;"",V$2=Inputs!$B$248),-Inputs!$B$249,IF(AND(Inputs!$B$248&lt;&gt;"",V$2&gt;Inputs!$B$248,V$2&lt;=Inputs!$B$248+Inputs!$B$250),(1/(1-Inputs!$B$249))^(1/Inputs!$B$250)-1,stinc))))))))))</f>
        <v>0</v>
      </c>
      <c r="W106" s="7">
        <f ca="1">SUM(W104:W105)*IF(AND(Inputs!$B$228&lt;&gt;"",W$2=Inputs!$B$228),-Inputs!$B$229,IF(AND(Inputs!$B$228&lt;&gt;"",W$2&gt;Inputs!$B$228,W$2&lt;=Inputs!$B$228+Inputs!$B$230),(1/(1-Inputs!$B$229))^(1/Inputs!$B$230)-1,IF(AND(Inputs!$B$233&lt;&gt;"",W$2=Inputs!$B$233),-Inputs!$B$234,IF(AND(Inputs!$B$233&lt;&gt;"",W$2&gt;Inputs!$B$233,W$2&lt;=Inputs!$B$233+Inputs!$B$235),(1/(1-Inputs!$B$234))^(1/Inputs!$B$235)-1,IF(AND(Inputs!$B$238&lt;&gt;"",W$2=Inputs!$B$238),-Inputs!$B$239,IF(AND(Inputs!$B$238&lt;&gt;"",W$2&gt;Inputs!$B$238,W$2&lt;=Inputs!$B$238+Inputs!$B$240),(1/(1-Inputs!$B$239))^(1/Inputs!$B$240)-1,IF(AND(Inputs!$B$243&lt;&gt;"",W$2=Inputs!$B$243),-Inputs!$B$244,IF(AND(Inputs!$B$243&lt;&gt;"",W$2&gt;Inputs!$B$243,W$2&lt;=Inputs!$B$243+Inputs!$B$245),(1/(1-Inputs!$B$244))^(1/Inputs!$B$245)-1,IF(AND(Inputs!$B$248&lt;&gt;"",W$2=Inputs!$B$248),-Inputs!$B$249,IF(AND(Inputs!$B$248&lt;&gt;"",W$2&gt;Inputs!$B$248,W$2&lt;=Inputs!$B$248+Inputs!$B$250),(1/(1-Inputs!$B$249))^(1/Inputs!$B$250)-1,stinc))))))))))</f>
        <v>0</v>
      </c>
      <c r="X106" s="7">
        <f ca="1">SUM(X104:X105)*IF(AND(Inputs!$B$228&lt;&gt;"",X$2=Inputs!$B$228),-Inputs!$B$229,IF(AND(Inputs!$B$228&lt;&gt;"",X$2&gt;Inputs!$B$228,X$2&lt;=Inputs!$B$228+Inputs!$B$230),(1/(1-Inputs!$B$229))^(1/Inputs!$B$230)-1,IF(AND(Inputs!$B$233&lt;&gt;"",X$2=Inputs!$B$233),-Inputs!$B$234,IF(AND(Inputs!$B$233&lt;&gt;"",X$2&gt;Inputs!$B$233,X$2&lt;=Inputs!$B$233+Inputs!$B$235),(1/(1-Inputs!$B$234))^(1/Inputs!$B$235)-1,IF(AND(Inputs!$B$238&lt;&gt;"",X$2=Inputs!$B$238),-Inputs!$B$239,IF(AND(Inputs!$B$238&lt;&gt;"",X$2&gt;Inputs!$B$238,X$2&lt;=Inputs!$B$238+Inputs!$B$240),(1/(1-Inputs!$B$239))^(1/Inputs!$B$240)-1,IF(AND(Inputs!$B$243&lt;&gt;"",X$2=Inputs!$B$243),-Inputs!$B$244,IF(AND(Inputs!$B$243&lt;&gt;"",X$2&gt;Inputs!$B$243,X$2&lt;=Inputs!$B$243+Inputs!$B$245),(1/(1-Inputs!$B$244))^(1/Inputs!$B$245)-1,IF(AND(Inputs!$B$248&lt;&gt;"",X$2=Inputs!$B$248),-Inputs!$B$249,IF(AND(Inputs!$B$248&lt;&gt;"",X$2&gt;Inputs!$B$248,X$2&lt;=Inputs!$B$248+Inputs!$B$250),(1/(1-Inputs!$B$249))^(1/Inputs!$B$250)-1,stinc))))))))))</f>
        <v>0</v>
      </c>
      <c r="Y106" s="7">
        <f ca="1">SUM(Y104:Y105)*IF(AND(Inputs!$B$228&lt;&gt;"",Y$2=Inputs!$B$228),-Inputs!$B$229,IF(AND(Inputs!$B$228&lt;&gt;"",Y$2&gt;Inputs!$B$228,Y$2&lt;=Inputs!$B$228+Inputs!$B$230),(1/(1-Inputs!$B$229))^(1/Inputs!$B$230)-1,IF(AND(Inputs!$B$233&lt;&gt;"",Y$2=Inputs!$B$233),-Inputs!$B$234,IF(AND(Inputs!$B$233&lt;&gt;"",Y$2&gt;Inputs!$B$233,Y$2&lt;=Inputs!$B$233+Inputs!$B$235),(1/(1-Inputs!$B$234))^(1/Inputs!$B$235)-1,IF(AND(Inputs!$B$238&lt;&gt;"",Y$2=Inputs!$B$238),-Inputs!$B$239,IF(AND(Inputs!$B$238&lt;&gt;"",Y$2&gt;Inputs!$B$238,Y$2&lt;=Inputs!$B$238+Inputs!$B$240),(1/(1-Inputs!$B$239))^(1/Inputs!$B$240)-1,IF(AND(Inputs!$B$243&lt;&gt;"",Y$2=Inputs!$B$243),-Inputs!$B$244,IF(AND(Inputs!$B$243&lt;&gt;"",Y$2&gt;Inputs!$B$243,Y$2&lt;=Inputs!$B$243+Inputs!$B$245),(1/(1-Inputs!$B$244))^(1/Inputs!$B$245)-1,IF(AND(Inputs!$B$248&lt;&gt;"",Y$2=Inputs!$B$248),-Inputs!$B$249,IF(AND(Inputs!$B$248&lt;&gt;"",Y$2&gt;Inputs!$B$248,Y$2&lt;=Inputs!$B$248+Inputs!$B$250),(1/(1-Inputs!$B$249))^(1/Inputs!$B$250)-1,stinc))))))))))</f>
        <v>0</v>
      </c>
      <c r="Z106" s="7">
        <f ca="1">SUM(Z104:Z105)*IF(AND(Inputs!$B$228&lt;&gt;"",Z$2=Inputs!$B$228),-Inputs!$B$229,IF(AND(Inputs!$B$228&lt;&gt;"",Z$2&gt;Inputs!$B$228,Z$2&lt;=Inputs!$B$228+Inputs!$B$230),(1/(1-Inputs!$B$229))^(1/Inputs!$B$230)-1,IF(AND(Inputs!$B$233&lt;&gt;"",Z$2=Inputs!$B$233),-Inputs!$B$234,IF(AND(Inputs!$B$233&lt;&gt;"",Z$2&gt;Inputs!$B$233,Z$2&lt;=Inputs!$B$233+Inputs!$B$235),(1/(1-Inputs!$B$234))^(1/Inputs!$B$235)-1,IF(AND(Inputs!$B$238&lt;&gt;"",Z$2=Inputs!$B$238),-Inputs!$B$239,IF(AND(Inputs!$B$238&lt;&gt;"",Z$2&gt;Inputs!$B$238,Z$2&lt;=Inputs!$B$238+Inputs!$B$240),(1/(1-Inputs!$B$239))^(1/Inputs!$B$240)-1,IF(AND(Inputs!$B$243&lt;&gt;"",Z$2=Inputs!$B$243),-Inputs!$B$244,IF(AND(Inputs!$B$243&lt;&gt;"",Z$2&gt;Inputs!$B$243,Z$2&lt;=Inputs!$B$243+Inputs!$B$245),(1/(1-Inputs!$B$244))^(1/Inputs!$B$245)-1,IF(AND(Inputs!$B$248&lt;&gt;"",Z$2=Inputs!$B$248),-Inputs!$B$249,IF(AND(Inputs!$B$248&lt;&gt;"",Z$2&gt;Inputs!$B$248,Z$2&lt;=Inputs!$B$248+Inputs!$B$250),(1/(1-Inputs!$B$249))^(1/Inputs!$B$250)-1,stinc))))))))))</f>
        <v>0</v>
      </c>
      <c r="AA106" s="7">
        <f ca="1">SUM(AA104:AA105)*IF(AND(Inputs!$B$228&lt;&gt;"",AA$2=Inputs!$B$228),-Inputs!$B$229,IF(AND(Inputs!$B$228&lt;&gt;"",AA$2&gt;Inputs!$B$228,AA$2&lt;=Inputs!$B$228+Inputs!$B$230),(1/(1-Inputs!$B$229))^(1/Inputs!$B$230)-1,IF(AND(Inputs!$B$233&lt;&gt;"",AA$2=Inputs!$B$233),-Inputs!$B$234,IF(AND(Inputs!$B$233&lt;&gt;"",AA$2&gt;Inputs!$B$233,AA$2&lt;=Inputs!$B$233+Inputs!$B$235),(1/(1-Inputs!$B$234))^(1/Inputs!$B$235)-1,IF(AND(Inputs!$B$238&lt;&gt;"",AA$2=Inputs!$B$238),-Inputs!$B$239,IF(AND(Inputs!$B$238&lt;&gt;"",AA$2&gt;Inputs!$B$238,AA$2&lt;=Inputs!$B$238+Inputs!$B$240),(1/(1-Inputs!$B$239))^(1/Inputs!$B$240)-1,IF(AND(Inputs!$B$243&lt;&gt;"",AA$2=Inputs!$B$243),-Inputs!$B$244,IF(AND(Inputs!$B$243&lt;&gt;"",AA$2&gt;Inputs!$B$243,AA$2&lt;=Inputs!$B$243+Inputs!$B$245),(1/(1-Inputs!$B$244))^(1/Inputs!$B$245)-1,IF(AND(Inputs!$B$248&lt;&gt;"",AA$2=Inputs!$B$248),-Inputs!$B$249,IF(AND(Inputs!$B$248&lt;&gt;"",AA$2&gt;Inputs!$B$248,AA$2&lt;=Inputs!$B$248+Inputs!$B$250),(1/(1-Inputs!$B$249))^(1/Inputs!$B$250)-1,stinc))))))))))</f>
        <v>0</v>
      </c>
      <c r="AB106" s="7">
        <f ca="1">SUM(AB104:AB105)*IF(AND(Inputs!$B$228&lt;&gt;"",AB$2=Inputs!$B$228),-Inputs!$B$229,IF(AND(Inputs!$B$228&lt;&gt;"",AB$2&gt;Inputs!$B$228,AB$2&lt;=Inputs!$B$228+Inputs!$B$230),(1/(1-Inputs!$B$229))^(1/Inputs!$B$230)-1,IF(AND(Inputs!$B$233&lt;&gt;"",AB$2=Inputs!$B$233),-Inputs!$B$234,IF(AND(Inputs!$B$233&lt;&gt;"",AB$2&gt;Inputs!$B$233,AB$2&lt;=Inputs!$B$233+Inputs!$B$235),(1/(1-Inputs!$B$234))^(1/Inputs!$B$235)-1,IF(AND(Inputs!$B$238&lt;&gt;"",AB$2=Inputs!$B$238),-Inputs!$B$239,IF(AND(Inputs!$B$238&lt;&gt;"",AB$2&gt;Inputs!$B$238,AB$2&lt;=Inputs!$B$238+Inputs!$B$240),(1/(1-Inputs!$B$239))^(1/Inputs!$B$240)-1,IF(AND(Inputs!$B$243&lt;&gt;"",AB$2=Inputs!$B$243),-Inputs!$B$244,IF(AND(Inputs!$B$243&lt;&gt;"",AB$2&gt;Inputs!$B$243,AB$2&lt;=Inputs!$B$243+Inputs!$B$245),(1/(1-Inputs!$B$244))^(1/Inputs!$B$245)-1,IF(AND(Inputs!$B$248&lt;&gt;"",AB$2=Inputs!$B$248),-Inputs!$B$249,IF(AND(Inputs!$B$248&lt;&gt;"",AB$2&gt;Inputs!$B$248,AB$2&lt;=Inputs!$B$248+Inputs!$B$250),(1/(1-Inputs!$B$249))^(1/Inputs!$B$250)-1,stinc))))))))))</f>
        <v>0</v>
      </c>
      <c r="AC106" s="7">
        <f ca="1">SUM(AC104:AC105)*IF(AND(Inputs!$B$228&lt;&gt;"",AC$2=Inputs!$B$228),-Inputs!$B$229,IF(AND(Inputs!$B$228&lt;&gt;"",AC$2&gt;Inputs!$B$228,AC$2&lt;=Inputs!$B$228+Inputs!$B$230),(1/(1-Inputs!$B$229))^(1/Inputs!$B$230)-1,IF(AND(Inputs!$B$233&lt;&gt;"",AC$2=Inputs!$B$233),-Inputs!$B$234,IF(AND(Inputs!$B$233&lt;&gt;"",AC$2&gt;Inputs!$B$233,AC$2&lt;=Inputs!$B$233+Inputs!$B$235),(1/(1-Inputs!$B$234))^(1/Inputs!$B$235)-1,IF(AND(Inputs!$B$238&lt;&gt;"",AC$2=Inputs!$B$238),-Inputs!$B$239,IF(AND(Inputs!$B$238&lt;&gt;"",AC$2&gt;Inputs!$B$238,AC$2&lt;=Inputs!$B$238+Inputs!$B$240),(1/(1-Inputs!$B$239))^(1/Inputs!$B$240)-1,IF(AND(Inputs!$B$243&lt;&gt;"",AC$2=Inputs!$B$243),-Inputs!$B$244,IF(AND(Inputs!$B$243&lt;&gt;"",AC$2&gt;Inputs!$B$243,AC$2&lt;=Inputs!$B$243+Inputs!$B$245),(1/(1-Inputs!$B$244))^(1/Inputs!$B$245)-1,IF(AND(Inputs!$B$248&lt;&gt;"",AC$2=Inputs!$B$248),-Inputs!$B$249,IF(AND(Inputs!$B$248&lt;&gt;"",AC$2&gt;Inputs!$B$248,AC$2&lt;=Inputs!$B$248+Inputs!$B$250),(1/(1-Inputs!$B$249))^(1/Inputs!$B$250)-1,stinc))))))))))</f>
        <v>0</v>
      </c>
      <c r="AD106" s="7">
        <f ca="1">SUM(AD104:AD105)*IF(AND(Inputs!$B$228&lt;&gt;"",AD$2=Inputs!$B$228),-Inputs!$B$229,IF(AND(Inputs!$B$228&lt;&gt;"",AD$2&gt;Inputs!$B$228,AD$2&lt;=Inputs!$B$228+Inputs!$B$230),(1/(1-Inputs!$B$229))^(1/Inputs!$B$230)-1,IF(AND(Inputs!$B$233&lt;&gt;"",AD$2=Inputs!$B$233),-Inputs!$B$234,IF(AND(Inputs!$B$233&lt;&gt;"",AD$2&gt;Inputs!$B$233,AD$2&lt;=Inputs!$B$233+Inputs!$B$235),(1/(1-Inputs!$B$234))^(1/Inputs!$B$235)-1,IF(AND(Inputs!$B$238&lt;&gt;"",AD$2=Inputs!$B$238),-Inputs!$B$239,IF(AND(Inputs!$B$238&lt;&gt;"",AD$2&gt;Inputs!$B$238,AD$2&lt;=Inputs!$B$238+Inputs!$B$240),(1/(1-Inputs!$B$239))^(1/Inputs!$B$240)-1,IF(AND(Inputs!$B$243&lt;&gt;"",AD$2=Inputs!$B$243),-Inputs!$B$244,IF(AND(Inputs!$B$243&lt;&gt;"",AD$2&gt;Inputs!$B$243,AD$2&lt;=Inputs!$B$243+Inputs!$B$245),(1/(1-Inputs!$B$244))^(1/Inputs!$B$245)-1,IF(AND(Inputs!$B$248&lt;&gt;"",AD$2=Inputs!$B$248),-Inputs!$B$249,IF(AND(Inputs!$B$248&lt;&gt;"",AD$2&gt;Inputs!$B$248,AD$2&lt;=Inputs!$B$248+Inputs!$B$250),(1/(1-Inputs!$B$249))^(1/Inputs!$B$250)-1,stinc))))))))))</f>
        <v>0</v>
      </c>
      <c r="AE106" s="7">
        <f ca="1">SUM(AE104:AE105)*IF(AND(Inputs!$B$228&lt;&gt;"",AE$2=Inputs!$B$228),-Inputs!$B$229,IF(AND(Inputs!$B$228&lt;&gt;"",AE$2&gt;Inputs!$B$228,AE$2&lt;=Inputs!$B$228+Inputs!$B$230),(1/(1-Inputs!$B$229))^(1/Inputs!$B$230)-1,IF(AND(Inputs!$B$233&lt;&gt;"",AE$2=Inputs!$B$233),-Inputs!$B$234,IF(AND(Inputs!$B$233&lt;&gt;"",AE$2&gt;Inputs!$B$233,AE$2&lt;=Inputs!$B$233+Inputs!$B$235),(1/(1-Inputs!$B$234))^(1/Inputs!$B$235)-1,IF(AND(Inputs!$B$238&lt;&gt;"",AE$2=Inputs!$B$238),-Inputs!$B$239,IF(AND(Inputs!$B$238&lt;&gt;"",AE$2&gt;Inputs!$B$238,AE$2&lt;=Inputs!$B$238+Inputs!$B$240),(1/(1-Inputs!$B$239))^(1/Inputs!$B$240)-1,IF(AND(Inputs!$B$243&lt;&gt;"",AE$2=Inputs!$B$243),-Inputs!$B$244,IF(AND(Inputs!$B$243&lt;&gt;"",AE$2&gt;Inputs!$B$243,AE$2&lt;=Inputs!$B$243+Inputs!$B$245),(1/(1-Inputs!$B$244))^(1/Inputs!$B$245)-1,IF(AND(Inputs!$B$248&lt;&gt;"",AE$2=Inputs!$B$248),-Inputs!$B$249,IF(AND(Inputs!$B$248&lt;&gt;"",AE$2&gt;Inputs!$B$248,AE$2&lt;=Inputs!$B$248+Inputs!$B$250),(1/(1-Inputs!$B$249))^(1/Inputs!$B$250)-1,stinc))))))))))</f>
        <v>0</v>
      </c>
      <c r="AF106" s="7">
        <f ca="1">SUM(AF104:AF105)*IF(AND(Inputs!$B$228&lt;&gt;"",AF$2=Inputs!$B$228),-Inputs!$B$229,IF(AND(Inputs!$B$228&lt;&gt;"",AF$2&gt;Inputs!$B$228,AF$2&lt;=Inputs!$B$228+Inputs!$B$230),(1/(1-Inputs!$B$229))^(1/Inputs!$B$230)-1,IF(AND(Inputs!$B$233&lt;&gt;"",AF$2=Inputs!$B$233),-Inputs!$B$234,IF(AND(Inputs!$B$233&lt;&gt;"",AF$2&gt;Inputs!$B$233,AF$2&lt;=Inputs!$B$233+Inputs!$B$235),(1/(1-Inputs!$B$234))^(1/Inputs!$B$235)-1,IF(AND(Inputs!$B$238&lt;&gt;"",AF$2=Inputs!$B$238),-Inputs!$B$239,IF(AND(Inputs!$B$238&lt;&gt;"",AF$2&gt;Inputs!$B$238,AF$2&lt;=Inputs!$B$238+Inputs!$B$240),(1/(1-Inputs!$B$239))^(1/Inputs!$B$240)-1,IF(AND(Inputs!$B$243&lt;&gt;"",AF$2=Inputs!$B$243),-Inputs!$B$244,IF(AND(Inputs!$B$243&lt;&gt;"",AF$2&gt;Inputs!$B$243,AF$2&lt;=Inputs!$B$243+Inputs!$B$245),(1/(1-Inputs!$B$244))^(1/Inputs!$B$245)-1,IF(AND(Inputs!$B$248&lt;&gt;"",AF$2=Inputs!$B$248),-Inputs!$B$249,IF(AND(Inputs!$B$248&lt;&gt;"",AF$2&gt;Inputs!$B$248,AF$2&lt;=Inputs!$B$248+Inputs!$B$250),(1/(1-Inputs!$B$249))^(1/Inputs!$B$250)-1,stinc))))))))))</f>
        <v>0</v>
      </c>
      <c r="AG106" s="7">
        <f ca="1">SUM(AG104:AG105)*IF(AND(Inputs!$B$228&lt;&gt;"",AG$2=Inputs!$B$228),-Inputs!$B$229,IF(AND(Inputs!$B$228&lt;&gt;"",AG$2&gt;Inputs!$B$228,AG$2&lt;=Inputs!$B$228+Inputs!$B$230),(1/(1-Inputs!$B$229))^(1/Inputs!$B$230)-1,IF(AND(Inputs!$B$233&lt;&gt;"",AG$2=Inputs!$B$233),-Inputs!$B$234,IF(AND(Inputs!$B$233&lt;&gt;"",AG$2&gt;Inputs!$B$233,AG$2&lt;=Inputs!$B$233+Inputs!$B$235),(1/(1-Inputs!$B$234))^(1/Inputs!$B$235)-1,IF(AND(Inputs!$B$238&lt;&gt;"",AG$2=Inputs!$B$238),-Inputs!$B$239,IF(AND(Inputs!$B$238&lt;&gt;"",AG$2&gt;Inputs!$B$238,AG$2&lt;=Inputs!$B$238+Inputs!$B$240),(1/(1-Inputs!$B$239))^(1/Inputs!$B$240)-1,IF(AND(Inputs!$B$243&lt;&gt;"",AG$2=Inputs!$B$243),-Inputs!$B$244,IF(AND(Inputs!$B$243&lt;&gt;"",AG$2&gt;Inputs!$B$243,AG$2&lt;=Inputs!$B$243+Inputs!$B$245),(1/(1-Inputs!$B$244))^(1/Inputs!$B$245)-1,IF(AND(Inputs!$B$248&lt;&gt;"",AG$2=Inputs!$B$248),-Inputs!$B$249,IF(AND(Inputs!$B$248&lt;&gt;"",AG$2&gt;Inputs!$B$248,AG$2&lt;=Inputs!$B$248+Inputs!$B$250),(1/(1-Inputs!$B$249))^(1/Inputs!$B$250)-1,stinc))))))))))</f>
        <v>0</v>
      </c>
      <c r="AH106" s="7">
        <f ca="1">SUM(AH104:AH105)*IF(AND(Inputs!$B$228&lt;&gt;"",AH$2=Inputs!$B$228),-Inputs!$B$229,IF(AND(Inputs!$B$228&lt;&gt;"",AH$2&gt;Inputs!$B$228,AH$2&lt;=Inputs!$B$228+Inputs!$B$230),(1/(1-Inputs!$B$229))^(1/Inputs!$B$230)-1,IF(AND(Inputs!$B$233&lt;&gt;"",AH$2=Inputs!$B$233),-Inputs!$B$234,IF(AND(Inputs!$B$233&lt;&gt;"",AH$2&gt;Inputs!$B$233,AH$2&lt;=Inputs!$B$233+Inputs!$B$235),(1/(1-Inputs!$B$234))^(1/Inputs!$B$235)-1,IF(AND(Inputs!$B$238&lt;&gt;"",AH$2=Inputs!$B$238),-Inputs!$B$239,IF(AND(Inputs!$B$238&lt;&gt;"",AH$2&gt;Inputs!$B$238,AH$2&lt;=Inputs!$B$238+Inputs!$B$240),(1/(1-Inputs!$B$239))^(1/Inputs!$B$240)-1,IF(AND(Inputs!$B$243&lt;&gt;"",AH$2=Inputs!$B$243),-Inputs!$B$244,IF(AND(Inputs!$B$243&lt;&gt;"",AH$2&gt;Inputs!$B$243,AH$2&lt;=Inputs!$B$243+Inputs!$B$245),(1/(1-Inputs!$B$244))^(1/Inputs!$B$245)-1,IF(AND(Inputs!$B$248&lt;&gt;"",AH$2=Inputs!$B$248),-Inputs!$B$249,IF(AND(Inputs!$B$248&lt;&gt;"",AH$2&gt;Inputs!$B$248,AH$2&lt;=Inputs!$B$248+Inputs!$B$250),(1/(1-Inputs!$B$249))^(1/Inputs!$B$250)-1,stinc))))))))))</f>
        <v>0</v>
      </c>
      <c r="AI106" s="7">
        <f ca="1">SUM(AI104:AI105)*IF(AND(Inputs!$B$228&lt;&gt;"",AI$2=Inputs!$B$228),-Inputs!$B$229,IF(AND(Inputs!$B$228&lt;&gt;"",AI$2&gt;Inputs!$B$228,AI$2&lt;=Inputs!$B$228+Inputs!$B$230),(1/(1-Inputs!$B$229))^(1/Inputs!$B$230)-1,IF(AND(Inputs!$B$233&lt;&gt;"",AI$2=Inputs!$B$233),-Inputs!$B$234,IF(AND(Inputs!$B$233&lt;&gt;"",AI$2&gt;Inputs!$B$233,AI$2&lt;=Inputs!$B$233+Inputs!$B$235),(1/(1-Inputs!$B$234))^(1/Inputs!$B$235)-1,IF(AND(Inputs!$B$238&lt;&gt;"",AI$2=Inputs!$B$238),-Inputs!$B$239,IF(AND(Inputs!$B$238&lt;&gt;"",AI$2&gt;Inputs!$B$238,AI$2&lt;=Inputs!$B$238+Inputs!$B$240),(1/(1-Inputs!$B$239))^(1/Inputs!$B$240)-1,IF(AND(Inputs!$B$243&lt;&gt;"",AI$2=Inputs!$B$243),-Inputs!$B$244,IF(AND(Inputs!$B$243&lt;&gt;"",AI$2&gt;Inputs!$B$243,AI$2&lt;=Inputs!$B$243+Inputs!$B$245),(1/(1-Inputs!$B$244))^(1/Inputs!$B$245)-1,IF(AND(Inputs!$B$248&lt;&gt;"",AI$2=Inputs!$B$248),-Inputs!$B$249,IF(AND(Inputs!$B$248&lt;&gt;"",AI$2&gt;Inputs!$B$248,AI$2&lt;=Inputs!$B$248+Inputs!$B$250),(1/(1-Inputs!$B$249))^(1/Inputs!$B$250)-1,stinc))))))))))</f>
        <v>0</v>
      </c>
      <c r="AJ106" s="7">
        <f ca="1">SUM(AJ104:AJ105)*IF(AND(Inputs!$B$228&lt;&gt;"",AJ$2=Inputs!$B$228),-Inputs!$B$229,IF(AND(Inputs!$B$228&lt;&gt;"",AJ$2&gt;Inputs!$B$228,AJ$2&lt;=Inputs!$B$228+Inputs!$B$230),(1/(1-Inputs!$B$229))^(1/Inputs!$B$230)-1,IF(AND(Inputs!$B$233&lt;&gt;"",AJ$2=Inputs!$B$233),-Inputs!$B$234,IF(AND(Inputs!$B$233&lt;&gt;"",AJ$2&gt;Inputs!$B$233,AJ$2&lt;=Inputs!$B$233+Inputs!$B$235),(1/(1-Inputs!$B$234))^(1/Inputs!$B$235)-1,IF(AND(Inputs!$B$238&lt;&gt;"",AJ$2=Inputs!$B$238),-Inputs!$B$239,IF(AND(Inputs!$B$238&lt;&gt;"",AJ$2&gt;Inputs!$B$238,AJ$2&lt;=Inputs!$B$238+Inputs!$B$240),(1/(1-Inputs!$B$239))^(1/Inputs!$B$240)-1,IF(AND(Inputs!$B$243&lt;&gt;"",AJ$2=Inputs!$B$243),-Inputs!$B$244,IF(AND(Inputs!$B$243&lt;&gt;"",AJ$2&gt;Inputs!$B$243,AJ$2&lt;=Inputs!$B$243+Inputs!$B$245),(1/(1-Inputs!$B$244))^(1/Inputs!$B$245)-1,IF(AND(Inputs!$B$248&lt;&gt;"",AJ$2=Inputs!$B$248),-Inputs!$B$249,IF(AND(Inputs!$B$248&lt;&gt;"",AJ$2&gt;Inputs!$B$248,AJ$2&lt;=Inputs!$B$248+Inputs!$B$250),(1/(1-Inputs!$B$249))^(1/Inputs!$B$250)-1,stinc))))))))))</f>
        <v>0</v>
      </c>
      <c r="AK106" s="7">
        <f ca="1">SUM(AK104:AK105)*IF(AND(Inputs!$B$228&lt;&gt;"",AK$2=Inputs!$B$228),-Inputs!$B$229,IF(AND(Inputs!$B$228&lt;&gt;"",AK$2&gt;Inputs!$B$228,AK$2&lt;=Inputs!$B$228+Inputs!$B$230),(1/(1-Inputs!$B$229))^(1/Inputs!$B$230)-1,IF(AND(Inputs!$B$233&lt;&gt;"",AK$2=Inputs!$B$233),-Inputs!$B$234,IF(AND(Inputs!$B$233&lt;&gt;"",AK$2&gt;Inputs!$B$233,AK$2&lt;=Inputs!$B$233+Inputs!$B$235),(1/(1-Inputs!$B$234))^(1/Inputs!$B$235)-1,IF(AND(Inputs!$B$238&lt;&gt;"",AK$2=Inputs!$B$238),-Inputs!$B$239,IF(AND(Inputs!$B$238&lt;&gt;"",AK$2&gt;Inputs!$B$238,AK$2&lt;=Inputs!$B$238+Inputs!$B$240),(1/(1-Inputs!$B$239))^(1/Inputs!$B$240)-1,IF(AND(Inputs!$B$243&lt;&gt;"",AK$2=Inputs!$B$243),-Inputs!$B$244,IF(AND(Inputs!$B$243&lt;&gt;"",AK$2&gt;Inputs!$B$243,AK$2&lt;=Inputs!$B$243+Inputs!$B$245),(1/(1-Inputs!$B$244))^(1/Inputs!$B$245)-1,IF(AND(Inputs!$B$248&lt;&gt;"",AK$2=Inputs!$B$248),-Inputs!$B$249,IF(AND(Inputs!$B$248&lt;&gt;"",AK$2&gt;Inputs!$B$248,AK$2&lt;=Inputs!$B$248+Inputs!$B$250),(1/(1-Inputs!$B$249))^(1/Inputs!$B$250)-1,stinc))))))))))</f>
        <v>0</v>
      </c>
      <c r="AL106" s="7">
        <f ca="1">SUM(AL104:AL105)*IF(AND(Inputs!$B$228&lt;&gt;"",AL$2=Inputs!$B$228),-Inputs!$B$229,IF(AND(Inputs!$B$228&lt;&gt;"",AL$2&gt;Inputs!$B$228,AL$2&lt;=Inputs!$B$228+Inputs!$B$230),(1/(1-Inputs!$B$229))^(1/Inputs!$B$230)-1,IF(AND(Inputs!$B$233&lt;&gt;"",AL$2=Inputs!$B$233),-Inputs!$B$234,IF(AND(Inputs!$B$233&lt;&gt;"",AL$2&gt;Inputs!$B$233,AL$2&lt;=Inputs!$B$233+Inputs!$B$235),(1/(1-Inputs!$B$234))^(1/Inputs!$B$235)-1,IF(AND(Inputs!$B$238&lt;&gt;"",AL$2=Inputs!$B$238),-Inputs!$B$239,IF(AND(Inputs!$B$238&lt;&gt;"",AL$2&gt;Inputs!$B$238,AL$2&lt;=Inputs!$B$238+Inputs!$B$240),(1/(1-Inputs!$B$239))^(1/Inputs!$B$240)-1,IF(AND(Inputs!$B$243&lt;&gt;"",AL$2=Inputs!$B$243),-Inputs!$B$244,IF(AND(Inputs!$B$243&lt;&gt;"",AL$2&gt;Inputs!$B$243,AL$2&lt;=Inputs!$B$243+Inputs!$B$245),(1/(1-Inputs!$B$244))^(1/Inputs!$B$245)-1,IF(AND(Inputs!$B$248&lt;&gt;"",AL$2=Inputs!$B$248),-Inputs!$B$249,IF(AND(Inputs!$B$248&lt;&gt;"",AL$2&gt;Inputs!$B$248,AL$2&lt;=Inputs!$B$248+Inputs!$B$250),(1/(1-Inputs!$B$249))^(1/Inputs!$B$250)-1,stinc))))))))))</f>
        <v>0</v>
      </c>
      <c r="AM106" s="7">
        <f ca="1">SUM(AM104:AM105)*IF(AND(Inputs!$B$228&lt;&gt;"",AM$2=Inputs!$B$228),-Inputs!$B$229,IF(AND(Inputs!$B$228&lt;&gt;"",AM$2&gt;Inputs!$B$228,AM$2&lt;=Inputs!$B$228+Inputs!$B$230),(1/(1-Inputs!$B$229))^(1/Inputs!$B$230)-1,IF(AND(Inputs!$B$233&lt;&gt;"",AM$2=Inputs!$B$233),-Inputs!$B$234,IF(AND(Inputs!$B$233&lt;&gt;"",AM$2&gt;Inputs!$B$233,AM$2&lt;=Inputs!$B$233+Inputs!$B$235),(1/(1-Inputs!$B$234))^(1/Inputs!$B$235)-1,IF(AND(Inputs!$B$238&lt;&gt;"",AM$2=Inputs!$B$238),-Inputs!$B$239,IF(AND(Inputs!$B$238&lt;&gt;"",AM$2&gt;Inputs!$B$238,AM$2&lt;=Inputs!$B$238+Inputs!$B$240),(1/(1-Inputs!$B$239))^(1/Inputs!$B$240)-1,IF(AND(Inputs!$B$243&lt;&gt;"",AM$2=Inputs!$B$243),-Inputs!$B$244,IF(AND(Inputs!$B$243&lt;&gt;"",AM$2&gt;Inputs!$B$243,AM$2&lt;=Inputs!$B$243+Inputs!$B$245),(1/(1-Inputs!$B$244))^(1/Inputs!$B$245)-1,IF(AND(Inputs!$B$248&lt;&gt;"",AM$2=Inputs!$B$248),-Inputs!$B$249,IF(AND(Inputs!$B$248&lt;&gt;"",AM$2&gt;Inputs!$B$248,AM$2&lt;=Inputs!$B$248+Inputs!$B$250),(1/(1-Inputs!$B$249))^(1/Inputs!$B$250)-1,stinc))))))))))</f>
        <v>0</v>
      </c>
    </row>
    <row r="107" spans="1:44" x14ac:dyDescent="0.2">
      <c r="A107" s="3" t="s">
        <v>24</v>
      </c>
      <c r="C107" s="7">
        <f ca="1">SUM(C104:C106)</f>
        <v>31782.57432893329</v>
      </c>
      <c r="D107" s="7">
        <f ca="1">SUM(D104:D106)</f>
        <v>0</v>
      </c>
      <c r="E107" s="7">
        <f t="shared" ref="E107:AM107" ca="1" si="52">SUM(E104:E106)</f>
        <v>0</v>
      </c>
      <c r="F107" s="7">
        <f t="shared" ca="1" si="52"/>
        <v>0</v>
      </c>
      <c r="G107" s="7">
        <f t="shared" ca="1" si="52"/>
        <v>0</v>
      </c>
      <c r="H107" s="7">
        <f t="shared" ca="1" si="52"/>
        <v>0</v>
      </c>
      <c r="I107" s="7">
        <f t="shared" ca="1" si="52"/>
        <v>0</v>
      </c>
      <c r="J107" s="7">
        <f t="shared" ca="1" si="52"/>
        <v>0</v>
      </c>
      <c r="K107" s="7">
        <f t="shared" ca="1" si="52"/>
        <v>0</v>
      </c>
      <c r="L107" s="7">
        <f t="shared" ca="1" si="52"/>
        <v>0</v>
      </c>
      <c r="M107" s="7">
        <f t="shared" ca="1" si="52"/>
        <v>0</v>
      </c>
      <c r="N107" s="7">
        <f t="shared" ca="1" si="52"/>
        <v>0</v>
      </c>
      <c r="O107" s="7">
        <f t="shared" ca="1" si="52"/>
        <v>0</v>
      </c>
      <c r="P107" s="7">
        <f t="shared" ca="1" si="52"/>
        <v>0</v>
      </c>
      <c r="Q107" s="7">
        <f t="shared" ca="1" si="52"/>
        <v>0</v>
      </c>
      <c r="R107" s="7">
        <f t="shared" ca="1" si="52"/>
        <v>0</v>
      </c>
      <c r="S107" s="7">
        <f t="shared" ca="1" si="52"/>
        <v>0</v>
      </c>
      <c r="T107" s="7">
        <f t="shared" ca="1" si="52"/>
        <v>0</v>
      </c>
      <c r="U107" s="7">
        <f t="shared" ca="1" si="52"/>
        <v>0</v>
      </c>
      <c r="V107" s="7">
        <f t="shared" ca="1" si="52"/>
        <v>0</v>
      </c>
      <c r="W107" s="7">
        <f t="shared" ca="1" si="52"/>
        <v>0</v>
      </c>
      <c r="X107" s="7">
        <f t="shared" ca="1" si="52"/>
        <v>0</v>
      </c>
      <c r="Y107" s="7">
        <f t="shared" ca="1" si="52"/>
        <v>0</v>
      </c>
      <c r="Z107" s="7">
        <f t="shared" ca="1" si="52"/>
        <v>0</v>
      </c>
      <c r="AA107" s="7">
        <f t="shared" ca="1" si="52"/>
        <v>0</v>
      </c>
      <c r="AB107" s="7">
        <f t="shared" ca="1" si="52"/>
        <v>0</v>
      </c>
      <c r="AC107" s="7">
        <f t="shared" ca="1" si="52"/>
        <v>0</v>
      </c>
      <c r="AD107" s="7">
        <f t="shared" ca="1" si="52"/>
        <v>0</v>
      </c>
      <c r="AE107" s="7">
        <f t="shared" ca="1" si="52"/>
        <v>0</v>
      </c>
      <c r="AF107" s="7">
        <f t="shared" ca="1" si="52"/>
        <v>0</v>
      </c>
      <c r="AG107" s="7">
        <f t="shared" ca="1" si="52"/>
        <v>0</v>
      </c>
      <c r="AH107" s="7">
        <f t="shared" ca="1" si="52"/>
        <v>0</v>
      </c>
      <c r="AI107" s="7">
        <f t="shared" ca="1" si="52"/>
        <v>0</v>
      </c>
      <c r="AJ107" s="7">
        <f t="shared" ca="1" si="52"/>
        <v>0</v>
      </c>
      <c r="AK107" s="7">
        <f t="shared" ca="1" si="52"/>
        <v>0</v>
      </c>
      <c r="AL107" s="7">
        <f t="shared" ca="1" si="52"/>
        <v>0</v>
      </c>
      <c r="AM107" s="7">
        <f t="shared" ca="1" si="52"/>
        <v>0</v>
      </c>
    </row>
    <row r="108" spans="1:44" x14ac:dyDescent="0.2">
      <c r="A108" s="3" t="s">
        <v>25</v>
      </c>
      <c r="C108" s="7">
        <f ca="1">C105*Inputs!$B$283</f>
        <v>0</v>
      </c>
      <c r="D108" s="7">
        <f ca="1">D105*Inputs!$B$283</f>
        <v>-1589.1287164466646</v>
      </c>
      <c r="E108" s="7">
        <f ca="1">E105*Inputs!$B$283</f>
        <v>0</v>
      </c>
      <c r="F108" s="7">
        <f ca="1">F105*Inputs!$B$283</f>
        <v>0</v>
      </c>
      <c r="G108" s="7">
        <f ca="1">G105*Inputs!$B$283</f>
        <v>0</v>
      </c>
      <c r="H108" s="7">
        <f ca="1">H105*Inputs!$B$283</f>
        <v>0</v>
      </c>
      <c r="I108" s="7">
        <f ca="1">I105*Inputs!$B$283</f>
        <v>0</v>
      </c>
      <c r="J108" s="7">
        <f ca="1">J105*Inputs!$B$283</f>
        <v>0</v>
      </c>
      <c r="K108" s="7">
        <f ca="1">K105*Inputs!$B$283</f>
        <v>0</v>
      </c>
      <c r="L108" s="7">
        <f ca="1">L105*Inputs!$B$283</f>
        <v>0</v>
      </c>
      <c r="M108" s="7">
        <f ca="1">M105*Inputs!$B$283</f>
        <v>0</v>
      </c>
      <c r="N108" s="7">
        <f ca="1">N105*Inputs!$B$283</f>
        <v>0</v>
      </c>
      <c r="O108" s="7">
        <f ca="1">O105*Inputs!$B$283</f>
        <v>0</v>
      </c>
      <c r="P108" s="7">
        <f ca="1">P105*Inputs!$B$283</f>
        <v>0</v>
      </c>
      <c r="Q108" s="7">
        <f ca="1">Q105*Inputs!$B$283</f>
        <v>0</v>
      </c>
      <c r="R108" s="7">
        <f ca="1">R105*Inputs!$B$283</f>
        <v>0</v>
      </c>
      <c r="S108" s="7">
        <f ca="1">S105*Inputs!$B$283</f>
        <v>0</v>
      </c>
      <c r="T108" s="7">
        <f ca="1">T105*Inputs!$B$283</f>
        <v>0</v>
      </c>
      <c r="U108" s="7">
        <f ca="1">U105*Inputs!$B$283</f>
        <v>0</v>
      </c>
      <c r="V108" s="7">
        <f ca="1">V105*Inputs!$B$283</f>
        <v>0</v>
      </c>
      <c r="W108" s="7">
        <f ca="1">W105*Inputs!$B$283</f>
        <v>0</v>
      </c>
      <c r="X108" s="7">
        <f ca="1">X105*Inputs!$B$283</f>
        <v>0</v>
      </c>
      <c r="Y108" s="7">
        <f ca="1">Y105*Inputs!$B$283</f>
        <v>0</v>
      </c>
      <c r="Z108" s="7">
        <f ca="1">Z105*Inputs!$B$283</f>
        <v>0</v>
      </c>
      <c r="AA108" s="7">
        <f ca="1">AA105*Inputs!$B$283</f>
        <v>0</v>
      </c>
      <c r="AB108" s="7">
        <f ca="1">AB105*Inputs!$B$283</f>
        <v>0</v>
      </c>
      <c r="AC108" s="7">
        <f ca="1">AC105*Inputs!$B$283</f>
        <v>0</v>
      </c>
      <c r="AD108" s="7">
        <f ca="1">AD105*Inputs!$B$283</f>
        <v>0</v>
      </c>
      <c r="AE108" s="7">
        <f ca="1">AE105*Inputs!$B$283</f>
        <v>0</v>
      </c>
      <c r="AF108" s="7">
        <f ca="1">AF105*Inputs!$B$283</f>
        <v>0</v>
      </c>
      <c r="AG108" s="7">
        <f ca="1">AG105*Inputs!$B$283</f>
        <v>0</v>
      </c>
      <c r="AH108" s="7">
        <f ca="1">AH105*Inputs!$B$283</f>
        <v>0</v>
      </c>
      <c r="AI108" s="7">
        <f ca="1">AI105*Inputs!$B$283</f>
        <v>0</v>
      </c>
      <c r="AJ108" s="7">
        <f ca="1">AJ105*Inputs!$B$283</f>
        <v>0</v>
      </c>
      <c r="AK108" s="7">
        <f ca="1">AK105*Inputs!$B$283</f>
        <v>0</v>
      </c>
      <c r="AL108" s="7">
        <f ca="1">AL105*Inputs!$B$283</f>
        <v>0</v>
      </c>
      <c r="AM108" s="7">
        <f ca="1">AM105*Inputs!$B$283</f>
        <v>0</v>
      </c>
    </row>
    <row r="109" spans="1:44" x14ac:dyDescent="0.2">
      <c r="A109" s="3" t="s">
        <v>36</v>
      </c>
      <c r="C109" s="7">
        <f ca="1">-C105+C108</f>
        <v>0</v>
      </c>
      <c r="D109" s="7">
        <f t="shared" ref="D109:AM109" ca="1" si="53">-D105+D108</f>
        <v>30193.445612486626</v>
      </c>
      <c r="E109" s="7">
        <f t="shared" ca="1" si="53"/>
        <v>0</v>
      </c>
      <c r="F109" s="7">
        <f t="shared" ca="1" si="53"/>
        <v>0</v>
      </c>
      <c r="G109" s="7">
        <f t="shared" ca="1" si="53"/>
        <v>0</v>
      </c>
      <c r="H109" s="7">
        <f t="shared" ca="1" si="53"/>
        <v>0</v>
      </c>
      <c r="I109" s="7">
        <f t="shared" ca="1" si="53"/>
        <v>0</v>
      </c>
      <c r="J109" s="7">
        <f t="shared" ca="1" si="53"/>
        <v>0</v>
      </c>
      <c r="K109" s="7">
        <f t="shared" ca="1" si="53"/>
        <v>0</v>
      </c>
      <c r="L109" s="7">
        <f t="shared" ca="1" si="53"/>
        <v>0</v>
      </c>
      <c r="M109" s="7">
        <f t="shared" ca="1" si="53"/>
        <v>0</v>
      </c>
      <c r="N109" s="7">
        <f t="shared" ca="1" si="53"/>
        <v>0</v>
      </c>
      <c r="O109" s="7">
        <f t="shared" ca="1" si="53"/>
        <v>0</v>
      </c>
      <c r="P109" s="7">
        <f t="shared" ca="1" si="53"/>
        <v>0</v>
      </c>
      <c r="Q109" s="7">
        <f t="shared" ca="1" si="53"/>
        <v>0</v>
      </c>
      <c r="R109" s="7">
        <f t="shared" ca="1" si="53"/>
        <v>0</v>
      </c>
      <c r="S109" s="7">
        <f t="shared" ca="1" si="53"/>
        <v>0</v>
      </c>
      <c r="T109" s="7">
        <f t="shared" ca="1" si="53"/>
        <v>0</v>
      </c>
      <c r="U109" s="7">
        <f t="shared" ca="1" si="53"/>
        <v>0</v>
      </c>
      <c r="V109" s="7">
        <f t="shared" ca="1" si="53"/>
        <v>0</v>
      </c>
      <c r="W109" s="7">
        <f t="shared" ca="1" si="53"/>
        <v>0</v>
      </c>
      <c r="X109" s="7">
        <f t="shared" ca="1" si="53"/>
        <v>0</v>
      </c>
      <c r="Y109" s="7">
        <f t="shared" ca="1" si="53"/>
        <v>0</v>
      </c>
      <c r="Z109" s="7">
        <f t="shared" ca="1" si="53"/>
        <v>0</v>
      </c>
      <c r="AA109" s="7">
        <f t="shared" ca="1" si="53"/>
        <v>0</v>
      </c>
      <c r="AB109" s="7">
        <f t="shared" ca="1" si="53"/>
        <v>0</v>
      </c>
      <c r="AC109" s="7">
        <f t="shared" ca="1" si="53"/>
        <v>0</v>
      </c>
      <c r="AD109" s="7">
        <f t="shared" ca="1" si="53"/>
        <v>0</v>
      </c>
      <c r="AE109" s="7">
        <f t="shared" ca="1" si="53"/>
        <v>0</v>
      </c>
      <c r="AF109" s="7">
        <f t="shared" ca="1" si="53"/>
        <v>0</v>
      </c>
      <c r="AG109" s="7">
        <f t="shared" ca="1" si="53"/>
        <v>0</v>
      </c>
      <c r="AH109" s="7">
        <f t="shared" ca="1" si="53"/>
        <v>0</v>
      </c>
      <c r="AI109" s="7">
        <f t="shared" ca="1" si="53"/>
        <v>0</v>
      </c>
      <c r="AJ109" s="7">
        <f t="shared" ca="1" si="53"/>
        <v>0</v>
      </c>
      <c r="AK109" s="7">
        <f t="shared" ca="1" si="53"/>
        <v>0</v>
      </c>
      <c r="AL109" s="7">
        <f t="shared" ca="1" si="53"/>
        <v>0</v>
      </c>
      <c r="AM109" s="7">
        <f t="shared" ca="1" si="53"/>
        <v>0</v>
      </c>
    </row>
    <row r="110" spans="1:44" x14ac:dyDescent="0.2">
      <c r="A110" s="4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</row>
    <row r="111" spans="1:44" x14ac:dyDescent="0.2">
      <c r="A111" s="3" t="s">
        <v>70</v>
      </c>
      <c r="C111" s="7">
        <f ca="1">C98+SUM($C109:C109)</f>
        <v>16108.4375</v>
      </c>
      <c r="D111" s="7">
        <f ca="1">D98+SUM($C109:D109)</f>
        <v>-23224.409075013376</v>
      </c>
      <c r="E111" s="7">
        <f ca="1">E98+SUM($C109:E109)</f>
        <v>-90163.371575013371</v>
      </c>
      <c r="F111" s="7">
        <f ca="1">F98+SUM($C109:F109)</f>
        <v>-178022.13093064097</v>
      </c>
      <c r="G111" s="7">
        <f ca="1">G98+SUM($C109:G109)</f>
        <v>-74806.854003289074</v>
      </c>
      <c r="H111" s="7">
        <f ca="1">H98+SUM($C109:H109)</f>
        <v>-129010.21086307862</v>
      </c>
      <c r="I111" s="7">
        <f ca="1">I98+SUM($C109:I109)</f>
        <v>-167158.46049855102</v>
      </c>
      <c r="J111" s="7">
        <f ca="1">J98+SUM($C109:J109)</f>
        <v>-205331.65895777859</v>
      </c>
      <c r="K111" s="7">
        <f ca="1">K98+SUM($C109:K109)</f>
        <v>-261317.86795538821</v>
      </c>
      <c r="L111" s="7">
        <f ca="1">L98+SUM($C109:L109)</f>
        <v>-235806.01144727151</v>
      </c>
      <c r="M111" s="7">
        <f ca="1">M98+SUM($C109:M109)</f>
        <v>-304063.88494107238</v>
      </c>
      <c r="N111" s="7">
        <f ca="1">N98+SUM($C109:N109)</f>
        <v>-323959.76528923475</v>
      </c>
      <c r="O111" s="7">
        <f ca="1">O98+SUM($C109:O109)</f>
        <v>-344137.6212499697</v>
      </c>
      <c r="P111" s="7">
        <f ca="1">P98+SUM($C109:P109)</f>
        <v>-364598.03957170754</v>
      </c>
      <c r="Q111" s="7">
        <f ca="1">Q98+SUM($C109:Q109)</f>
        <v>-385341.42779233295</v>
      </c>
      <c r="R111" s="7">
        <f ca="1">R98+SUM($C109:R109)</f>
        <v>-406368.00394254347</v>
      </c>
      <c r="S111" s="7">
        <f ca="1">S98+SUM($C109:S109)</f>
        <v>-427677.78581730073</v>
      </c>
      <c r="T111" s="7">
        <f ca="1">T98+SUM($C109:T109)</f>
        <v>-432228.45527415886</v>
      </c>
      <c r="U111" s="7">
        <f ca="1">U98+SUM($C109:U109)</f>
        <v>-428837.37346613366</v>
      </c>
      <c r="V111" s="7">
        <f ca="1">V98+SUM($C109:V109)</f>
        <v>-425096.57346775237</v>
      </c>
      <c r="W111" s="7">
        <f ca="1">W98+SUM($C109:W109)</f>
        <v>-420989.36408990138</v>
      </c>
      <c r="X111" s="7">
        <f ca="1">X98+SUM($C109:X109)</f>
        <v>-416498.39841670875</v>
      </c>
      <c r="Y111" s="7">
        <f ca="1">Y98+SUM($C109:Y109)</f>
        <v>-432264.50702992518</v>
      </c>
      <c r="Z111" s="7">
        <f ca="1">Z98+SUM($C109:Z109)</f>
        <v>-448126.57476546802</v>
      </c>
      <c r="AA111" s="7">
        <f ca="1">AA98+SUM($C109:AA109)</f>
        <v>-464078.05479360529</v>
      </c>
      <c r="AB111" s="7">
        <f ca="1">AB98+SUM($C109:AB109)</f>
        <v>-480111.96823962813</v>
      </c>
      <c r="AC111" s="7">
        <f ca="1">AC98+SUM($C109:AC109)</f>
        <v>-496220.8853314991</v>
      </c>
      <c r="AD111" s="7">
        <f ca="1">AD98+SUM($C109:AD109)</f>
        <v>-512396.90583465534</v>
      </c>
      <c r="AE111" s="7">
        <f ca="1">AE98+SUM($C109:AE109)</f>
        <v>-518649.16365511256</v>
      </c>
      <c r="AF111" s="7">
        <f ca="1">AF98+SUM($C109:AF109)</f>
        <v>-524701.66917654453</v>
      </c>
      <c r="AG111" s="7">
        <f ca="1">AG98+SUM($C109:AG109)</f>
        <v>-530538.74682913977</v>
      </c>
      <c r="AH111" s="7">
        <f ca="1">AH98+SUM($C109:AH109)</f>
        <v>-536144.00870097079</v>
      </c>
      <c r="AI111" s="7">
        <f ca="1">AI98+SUM($C109:AI109)</f>
        <v>-541500.32711585634</v>
      </c>
      <c r="AJ111" s="7">
        <f ca="1">AJ98+SUM($C109:AJ109)</f>
        <v>-546589.80623726081</v>
      </c>
      <c r="AK111" s="7">
        <f ca="1">AK98+SUM($C109:AK109)</f>
        <v>-551393.752665231</v>
      </c>
      <c r="AL111" s="7">
        <f ca="1">AL98+SUM($C109:AL109)</f>
        <v>-555892.6449922875</v>
      </c>
      <c r="AM111" s="7">
        <f ca="1">AM98+SUM($C109:AM109)</f>
        <v>-560066.10228305869</v>
      </c>
    </row>
    <row r="112" spans="1:44" x14ac:dyDescent="0.2">
      <c r="A112" s="3" t="s">
        <v>19</v>
      </c>
      <c r="C112" s="7">
        <f ca="1">IF(C111&lt;0,-C111,0)</f>
        <v>0</v>
      </c>
      <c r="D112" s="7">
        <f ca="1">IF(D111+SUM($C112:C112)&lt;0,-(D111+SUM($C112:C112)),0)</f>
        <v>23224.409075013376</v>
      </c>
      <c r="E112" s="7">
        <f ca="1">IF(E111+SUM($C112:D112)&lt;0,-(E111+SUM($C112:D112)),0)</f>
        <v>66938.962499999994</v>
      </c>
      <c r="F112" s="7">
        <f ca="1">IF(F111+SUM($C112:E112)&lt;0,-(F111+SUM($C112:E112)),0)</f>
        <v>87858.759355627597</v>
      </c>
      <c r="G112" s="7">
        <f ca="1">IF(G111+SUM($C112:F112)&lt;0,-(G111+SUM($C112:F112)),0)</f>
        <v>0</v>
      </c>
      <c r="H112" s="7">
        <f ca="1">IF(H111+SUM($C112:G112)&lt;0,-(H111+SUM($C112:G112)),0)</f>
        <v>0</v>
      </c>
      <c r="I112" s="7">
        <f ca="1">IF(I111+SUM($C112:H112)&lt;0,-(I111+SUM($C112:H112)),0)</f>
        <v>0</v>
      </c>
      <c r="J112" s="7">
        <f ca="1">IF(J111+SUM($C112:I112)&lt;0,-(J111+SUM($C112:I112)),0)</f>
        <v>27309.528027137625</v>
      </c>
      <c r="K112" s="7">
        <f ca="1">IF(K111+SUM($C112:J112)&lt;0,-(K111+SUM($C112:J112)),0)</f>
        <v>55986.208997609618</v>
      </c>
      <c r="L112" s="7">
        <f ca="1">IF(L111+SUM($C112:K112)&lt;0,-(L111+SUM($C112:K112)),0)</f>
        <v>0</v>
      </c>
      <c r="M112" s="7">
        <f ca="1">IF(M111+SUM($C112:L112)&lt;0,-(M111+SUM($C112:L112)),0)</f>
        <v>42746.016985684168</v>
      </c>
      <c r="N112" s="7">
        <f ca="1">IF(N111+SUM($C112:M112)&lt;0,-(N111+SUM($C112:M112)),0)</f>
        <v>19895.880348162376</v>
      </c>
      <c r="O112" s="7">
        <f ca="1">IF(O111+SUM($C112:N112)&lt;0,-(O111+SUM($C112:N112)),0)</f>
        <v>20177.855960734945</v>
      </c>
      <c r="P112" s="7">
        <f ca="1">IF(P111+SUM($C112:O112)&lt;0,-(P111+SUM($C112:O112)),0)</f>
        <v>20460.418321737845</v>
      </c>
      <c r="Q112" s="7">
        <f ca="1">IF(Q111+SUM($C112:P112)&lt;0,-(Q111+SUM($C112:P112)),0)</f>
        <v>20743.388220625406</v>
      </c>
      <c r="R112" s="7">
        <f ca="1">IF(R111+SUM($C112:Q112)&lt;0,-(R111+SUM($C112:Q112)),0)</f>
        <v>21026.576150210516</v>
      </c>
      <c r="S112" s="7">
        <f ca="1">IF(S111+SUM($C112:R112)&lt;0,-(S111+SUM($C112:R112)),0)</f>
        <v>21309.78187475726</v>
      </c>
      <c r="T112" s="7">
        <f ca="1">IF(T111+SUM($C112:S112)&lt;0,-(T111+SUM($C112:S112)),0)</f>
        <v>4550.6694568581297</v>
      </c>
      <c r="U112" s="7">
        <f ca="1">IF(U111+SUM($C112:T112)&lt;0,-(U111+SUM($C112:T112)),0)</f>
        <v>0</v>
      </c>
      <c r="V112" s="7">
        <f ca="1">IF(V111+SUM($C112:U112)&lt;0,-(V111+SUM($C112:U112)),0)</f>
        <v>0</v>
      </c>
      <c r="W112" s="7">
        <f ca="1">IF(W111+SUM($C112:V112)&lt;0,-(W111+SUM($C112:V112)),0)</f>
        <v>0</v>
      </c>
      <c r="X112" s="7">
        <f ca="1">IF(X111+SUM($C112:W112)&lt;0,-(X111+SUM($C112:W112)),0)</f>
        <v>0</v>
      </c>
      <c r="Y112" s="7">
        <f ca="1">IF(Y111+SUM($C112:X112)&lt;0,-(Y111+SUM($C112:X112)),0)</f>
        <v>36.051755766326096</v>
      </c>
      <c r="Z112" s="7">
        <f ca="1">IF(Z111+SUM($C112:Y112)&lt;0,-(Z111+SUM($C112:Y112)),0)</f>
        <v>15862.067735542834</v>
      </c>
      <c r="AA112" s="7">
        <f ca="1">IF(AA111+SUM($C112:Z112)&lt;0,-(AA111+SUM($C112:Z112)),0)</f>
        <v>15951.480028137274</v>
      </c>
      <c r="AB112" s="7">
        <f ca="1">IF(AB111+SUM($C112:AA112)&lt;0,-(AB111+SUM($C112:AA112)),0)</f>
        <v>16033.913446022838</v>
      </c>
      <c r="AC112" s="7">
        <f ca="1">IF(AC111+SUM($C112:AB112)&lt;0,-(AC111+SUM($C112:AB112)),0)</f>
        <v>16108.917091870971</v>
      </c>
      <c r="AD112" s="7">
        <f ca="1">IF(AD111+SUM($C112:AC112)&lt;0,-(AD111+SUM($C112:AC112)),0)</f>
        <v>16176.020503156236</v>
      </c>
      <c r="AE112" s="7">
        <f ca="1">IF(AE111+SUM($C112:AD112)&lt;0,-(AE111+SUM($C112:AD112)),0)</f>
        <v>6252.2578204572201</v>
      </c>
      <c r="AF112" s="7">
        <f ca="1">IF(AF111+SUM($C112:AE112)&lt;0,-(AF111+SUM($C112:AE112)),0)</f>
        <v>6052.5055214319727</v>
      </c>
      <c r="AG112" s="7">
        <f ca="1">IF(AG111+SUM($C112:AF112)&lt;0,-(AG111+SUM($C112:AF112)),0)</f>
        <v>5837.0776525952388</v>
      </c>
      <c r="AH112" s="7">
        <f ca="1">IF(AH111+SUM($C112:AG112)&lt;0,-(AH111+SUM($C112:AG112)),0)</f>
        <v>5605.2618718310259</v>
      </c>
      <c r="AI112" s="7">
        <f ca="1">IF(AI111+SUM($C112:AH112)&lt;0,-(AI111+SUM($C112:AH112)),0)</f>
        <v>5356.3184148855507</v>
      </c>
      <c r="AJ112" s="7">
        <f ca="1">IF(AJ111+SUM($C112:AI112)&lt;0,-(AJ111+SUM($C112:AI112)),0)</f>
        <v>5089.4791214044672</v>
      </c>
      <c r="AK112" s="7">
        <f ca="1">IF(AK111+SUM($C112:AJ112)&lt;0,-(AK111+SUM($C112:AJ112)),0)</f>
        <v>4803.9464279701933</v>
      </c>
      <c r="AL112" s="7">
        <f ca="1">IF(AL111+SUM($C112:AK112)&lt;0,-(AL111+SUM($C112:AK112)),0)</f>
        <v>4498.8923270564992</v>
      </c>
      <c r="AM112" s="7">
        <f ca="1">IF(AM111+SUM($C112:AL112)&lt;0,-(AM111+SUM($C112:AL112)),0)</f>
        <v>4173.4572907711845</v>
      </c>
    </row>
    <row r="113" spans="1:39" x14ac:dyDescent="0.2">
      <c r="A113" s="3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</row>
    <row r="114" spans="1:39" x14ac:dyDescent="0.2">
      <c r="A114" s="24" t="str">
        <f>IF(Inputs!$B$289=6,IFERROR(_xlfn.XLOOKUP($B114,Inputs!$B$290:$B$299,Inputs!$A$290:$A$299,,0,1),""),IFERROR(_xlfn.XLOOKUP($B114,Inputs!$C$290:$C$299,Inputs!$A$290:$A$299,,0,1),""))</f>
        <v>Painting</v>
      </c>
      <c r="B114" s="26">
        <v>1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</row>
    <row r="115" spans="1:39" x14ac:dyDescent="0.2">
      <c r="A115" s="3" t="s">
        <v>21</v>
      </c>
      <c r="C115" s="7">
        <f ca="1">IFERROR(VLOOKUP($A114,$A$67:$H$96,C$1+2,FALSE),0)</f>
        <v>20448.333244589874</v>
      </c>
      <c r="D115" s="7">
        <f ca="1">C118</f>
        <v>0</v>
      </c>
      <c r="E115" s="7">
        <f t="shared" ref="E115:AM115" ca="1" si="54">D118</f>
        <v>0</v>
      </c>
      <c r="F115" s="7">
        <f t="shared" ca="1" si="54"/>
        <v>0</v>
      </c>
      <c r="G115" s="7">
        <f t="shared" ca="1" si="54"/>
        <v>0</v>
      </c>
      <c r="H115" s="7">
        <f t="shared" ca="1" si="54"/>
        <v>0</v>
      </c>
      <c r="I115" s="7">
        <f t="shared" ca="1" si="54"/>
        <v>0</v>
      </c>
      <c r="J115" s="7">
        <f t="shared" ca="1" si="54"/>
        <v>0</v>
      </c>
      <c r="K115" s="7">
        <f t="shared" ca="1" si="54"/>
        <v>0</v>
      </c>
      <c r="L115" s="7">
        <f t="shared" ca="1" si="54"/>
        <v>0</v>
      </c>
      <c r="M115" s="7">
        <f t="shared" ca="1" si="54"/>
        <v>0</v>
      </c>
      <c r="N115" s="7">
        <f t="shared" ca="1" si="54"/>
        <v>0</v>
      </c>
      <c r="O115" s="7">
        <f t="shared" ca="1" si="54"/>
        <v>0</v>
      </c>
      <c r="P115" s="7">
        <f t="shared" ca="1" si="54"/>
        <v>0</v>
      </c>
      <c r="Q115" s="7">
        <f t="shared" ca="1" si="54"/>
        <v>0</v>
      </c>
      <c r="R115" s="7">
        <f t="shared" ca="1" si="54"/>
        <v>0</v>
      </c>
      <c r="S115" s="7">
        <f t="shared" ca="1" si="54"/>
        <v>0</v>
      </c>
      <c r="T115" s="7">
        <f t="shared" ca="1" si="54"/>
        <v>0</v>
      </c>
      <c r="U115" s="7">
        <f t="shared" ca="1" si="54"/>
        <v>0</v>
      </c>
      <c r="V115" s="7">
        <f t="shared" ca="1" si="54"/>
        <v>0</v>
      </c>
      <c r="W115" s="7">
        <f t="shared" ca="1" si="54"/>
        <v>0</v>
      </c>
      <c r="X115" s="7">
        <f t="shared" ca="1" si="54"/>
        <v>0</v>
      </c>
      <c r="Y115" s="7">
        <f t="shared" ca="1" si="54"/>
        <v>0</v>
      </c>
      <c r="Z115" s="7">
        <f t="shared" ca="1" si="54"/>
        <v>0</v>
      </c>
      <c r="AA115" s="7">
        <f t="shared" ca="1" si="54"/>
        <v>0</v>
      </c>
      <c r="AB115" s="7">
        <f t="shared" ca="1" si="54"/>
        <v>0</v>
      </c>
      <c r="AC115" s="7">
        <f t="shared" ca="1" si="54"/>
        <v>0</v>
      </c>
      <c r="AD115" s="7">
        <f t="shared" ca="1" si="54"/>
        <v>0</v>
      </c>
      <c r="AE115" s="7">
        <f t="shared" ca="1" si="54"/>
        <v>0</v>
      </c>
      <c r="AF115" s="7">
        <f t="shared" ca="1" si="54"/>
        <v>0</v>
      </c>
      <c r="AG115" s="7">
        <f t="shared" ca="1" si="54"/>
        <v>0</v>
      </c>
      <c r="AH115" s="7">
        <f t="shared" ca="1" si="54"/>
        <v>0</v>
      </c>
      <c r="AI115" s="7">
        <f t="shared" ca="1" si="54"/>
        <v>0</v>
      </c>
      <c r="AJ115" s="7">
        <f t="shared" ca="1" si="54"/>
        <v>0</v>
      </c>
      <c r="AK115" s="7">
        <f t="shared" ca="1" si="54"/>
        <v>0</v>
      </c>
      <c r="AL115" s="7">
        <f t="shared" ca="1" si="54"/>
        <v>0</v>
      </c>
      <c r="AM115" s="7">
        <f t="shared" ca="1" si="54"/>
        <v>0</v>
      </c>
    </row>
    <row r="116" spans="1:39" x14ac:dyDescent="0.2">
      <c r="A116" s="3" t="s">
        <v>22</v>
      </c>
      <c r="C116" s="7">
        <f ca="1">-IF(D112&gt;0,C115,0)</f>
        <v>-20448.333244589874</v>
      </c>
      <c r="D116" s="7">
        <f ca="1">-IF(E112&gt;0,D115,0)</f>
        <v>0</v>
      </c>
      <c r="E116" s="7">
        <f ca="1">-IF(F112&gt;0,E115,0)</f>
        <v>0</v>
      </c>
      <c r="F116" s="7">
        <f ca="1">-IF(G112&gt;0,F115,0)</f>
        <v>0</v>
      </c>
      <c r="G116" s="7">
        <f t="shared" ref="G116:AM116" ca="1" si="55">-IF(H112&gt;0,G115,0)</f>
        <v>0</v>
      </c>
      <c r="H116" s="7">
        <f t="shared" ca="1" si="55"/>
        <v>0</v>
      </c>
      <c r="I116" s="7">
        <f t="shared" ca="1" si="55"/>
        <v>0</v>
      </c>
      <c r="J116" s="7">
        <f t="shared" ca="1" si="55"/>
        <v>0</v>
      </c>
      <c r="K116" s="7">
        <f t="shared" ca="1" si="55"/>
        <v>0</v>
      </c>
      <c r="L116" s="7">
        <f t="shared" ca="1" si="55"/>
        <v>0</v>
      </c>
      <c r="M116" s="7">
        <f t="shared" ca="1" si="55"/>
        <v>0</v>
      </c>
      <c r="N116" s="7">
        <f t="shared" ca="1" si="55"/>
        <v>0</v>
      </c>
      <c r="O116" s="7">
        <f t="shared" ca="1" si="55"/>
        <v>0</v>
      </c>
      <c r="P116" s="7">
        <f t="shared" ca="1" si="55"/>
        <v>0</v>
      </c>
      <c r="Q116" s="7">
        <f t="shared" ca="1" si="55"/>
        <v>0</v>
      </c>
      <c r="R116" s="7">
        <f t="shared" ca="1" si="55"/>
        <v>0</v>
      </c>
      <c r="S116" s="7">
        <f t="shared" ca="1" si="55"/>
        <v>0</v>
      </c>
      <c r="T116" s="7">
        <f t="shared" ca="1" si="55"/>
        <v>0</v>
      </c>
      <c r="U116" s="7">
        <f t="shared" ca="1" si="55"/>
        <v>0</v>
      </c>
      <c r="V116" s="7">
        <f t="shared" ca="1" si="55"/>
        <v>0</v>
      </c>
      <c r="W116" s="7">
        <f t="shared" ca="1" si="55"/>
        <v>0</v>
      </c>
      <c r="X116" s="7">
        <f t="shared" ca="1" si="55"/>
        <v>0</v>
      </c>
      <c r="Y116" s="7">
        <f t="shared" ca="1" si="55"/>
        <v>0</v>
      </c>
      <c r="Z116" s="7">
        <f t="shared" ca="1" si="55"/>
        <v>0</v>
      </c>
      <c r="AA116" s="7">
        <f t="shared" ca="1" si="55"/>
        <v>0</v>
      </c>
      <c r="AB116" s="7">
        <f t="shared" ca="1" si="55"/>
        <v>0</v>
      </c>
      <c r="AC116" s="7">
        <f t="shared" ca="1" si="55"/>
        <v>0</v>
      </c>
      <c r="AD116" s="7">
        <f t="shared" ca="1" si="55"/>
        <v>0</v>
      </c>
      <c r="AE116" s="7">
        <f t="shared" ca="1" si="55"/>
        <v>0</v>
      </c>
      <c r="AF116" s="7">
        <f t="shared" ca="1" si="55"/>
        <v>0</v>
      </c>
      <c r="AG116" s="7">
        <f t="shared" ca="1" si="55"/>
        <v>0</v>
      </c>
      <c r="AH116" s="7">
        <f t="shared" ca="1" si="55"/>
        <v>0</v>
      </c>
      <c r="AI116" s="7">
        <f t="shared" ca="1" si="55"/>
        <v>0</v>
      </c>
      <c r="AJ116" s="7">
        <f t="shared" ca="1" si="55"/>
        <v>0</v>
      </c>
      <c r="AK116" s="7">
        <f t="shared" ca="1" si="55"/>
        <v>0</v>
      </c>
      <c r="AL116" s="7">
        <f t="shared" ca="1" si="55"/>
        <v>0</v>
      </c>
      <c r="AM116" s="7">
        <f t="shared" si="55"/>
        <v>0</v>
      </c>
    </row>
    <row r="117" spans="1:39" x14ac:dyDescent="0.2">
      <c r="A117" s="3" t="s">
        <v>23</v>
      </c>
      <c r="C117" s="7">
        <v>0</v>
      </c>
      <c r="D117" s="7">
        <f t="shared" ref="D117:AM117" ca="1" si="56">SUM(D115:D116)*VLOOKUP($A114,AssVar,2,FALSE)</f>
        <v>0</v>
      </c>
      <c r="E117" s="7">
        <f t="shared" ca="1" si="56"/>
        <v>0</v>
      </c>
      <c r="F117" s="7">
        <f t="shared" ca="1" si="56"/>
        <v>0</v>
      </c>
      <c r="G117" s="7">
        <f t="shared" ca="1" si="56"/>
        <v>0</v>
      </c>
      <c r="H117" s="7">
        <f t="shared" ca="1" si="56"/>
        <v>0</v>
      </c>
      <c r="I117" s="7">
        <f t="shared" ca="1" si="56"/>
        <v>0</v>
      </c>
      <c r="J117" s="7">
        <f t="shared" ca="1" si="56"/>
        <v>0</v>
      </c>
      <c r="K117" s="7">
        <f t="shared" ca="1" si="56"/>
        <v>0</v>
      </c>
      <c r="L117" s="7">
        <f t="shared" ca="1" si="56"/>
        <v>0</v>
      </c>
      <c r="M117" s="7">
        <f t="shared" ca="1" si="56"/>
        <v>0</v>
      </c>
      <c r="N117" s="7">
        <f t="shared" ca="1" si="56"/>
        <v>0</v>
      </c>
      <c r="O117" s="7">
        <f t="shared" ca="1" si="56"/>
        <v>0</v>
      </c>
      <c r="P117" s="7">
        <f t="shared" ca="1" si="56"/>
        <v>0</v>
      </c>
      <c r="Q117" s="7">
        <f t="shared" ca="1" si="56"/>
        <v>0</v>
      </c>
      <c r="R117" s="7">
        <f t="shared" ca="1" si="56"/>
        <v>0</v>
      </c>
      <c r="S117" s="7">
        <f t="shared" ca="1" si="56"/>
        <v>0</v>
      </c>
      <c r="T117" s="7">
        <f t="shared" ca="1" si="56"/>
        <v>0</v>
      </c>
      <c r="U117" s="7">
        <f t="shared" ca="1" si="56"/>
        <v>0</v>
      </c>
      <c r="V117" s="7">
        <f t="shared" ca="1" si="56"/>
        <v>0</v>
      </c>
      <c r="W117" s="7">
        <f t="shared" ca="1" si="56"/>
        <v>0</v>
      </c>
      <c r="X117" s="7">
        <f t="shared" ca="1" si="56"/>
        <v>0</v>
      </c>
      <c r="Y117" s="7">
        <f t="shared" ca="1" si="56"/>
        <v>0</v>
      </c>
      <c r="Z117" s="7">
        <f t="shared" ca="1" si="56"/>
        <v>0</v>
      </c>
      <c r="AA117" s="7">
        <f t="shared" ca="1" si="56"/>
        <v>0</v>
      </c>
      <c r="AB117" s="7">
        <f t="shared" ca="1" si="56"/>
        <v>0</v>
      </c>
      <c r="AC117" s="7">
        <f t="shared" ca="1" si="56"/>
        <v>0</v>
      </c>
      <c r="AD117" s="7">
        <f t="shared" ca="1" si="56"/>
        <v>0</v>
      </c>
      <c r="AE117" s="7">
        <f t="shared" ca="1" si="56"/>
        <v>0</v>
      </c>
      <c r="AF117" s="7">
        <f t="shared" ca="1" si="56"/>
        <v>0</v>
      </c>
      <c r="AG117" s="7">
        <f t="shared" ca="1" si="56"/>
        <v>0</v>
      </c>
      <c r="AH117" s="7">
        <f t="shared" ca="1" si="56"/>
        <v>0</v>
      </c>
      <c r="AI117" s="7">
        <f t="shared" ca="1" si="56"/>
        <v>0</v>
      </c>
      <c r="AJ117" s="7">
        <f t="shared" ca="1" si="56"/>
        <v>0</v>
      </c>
      <c r="AK117" s="7">
        <f t="shared" ca="1" si="56"/>
        <v>0</v>
      </c>
      <c r="AL117" s="7">
        <f t="shared" ca="1" si="56"/>
        <v>0</v>
      </c>
      <c r="AM117" s="7">
        <f t="shared" ca="1" si="56"/>
        <v>0</v>
      </c>
    </row>
    <row r="118" spans="1:39" x14ac:dyDescent="0.2">
      <c r="A118" s="3" t="s">
        <v>24</v>
      </c>
      <c r="C118" s="7">
        <f ca="1">SUM(C115:C117)</f>
        <v>0</v>
      </c>
      <c r="D118" s="7">
        <f t="shared" ref="D118:AM118" ca="1" si="57">SUM(D115:D117)</f>
        <v>0</v>
      </c>
      <c r="E118" s="7">
        <f t="shared" ca="1" si="57"/>
        <v>0</v>
      </c>
      <c r="F118" s="7">
        <f t="shared" ca="1" si="57"/>
        <v>0</v>
      </c>
      <c r="G118" s="7">
        <f t="shared" ca="1" si="57"/>
        <v>0</v>
      </c>
      <c r="H118" s="7">
        <f t="shared" ca="1" si="57"/>
        <v>0</v>
      </c>
      <c r="I118" s="7">
        <f t="shared" ca="1" si="57"/>
        <v>0</v>
      </c>
      <c r="J118" s="7">
        <f t="shared" ca="1" si="57"/>
        <v>0</v>
      </c>
      <c r="K118" s="7">
        <f t="shared" ca="1" si="57"/>
        <v>0</v>
      </c>
      <c r="L118" s="7">
        <f t="shared" ca="1" si="57"/>
        <v>0</v>
      </c>
      <c r="M118" s="7">
        <f t="shared" ca="1" si="57"/>
        <v>0</v>
      </c>
      <c r="N118" s="7">
        <f t="shared" ca="1" si="57"/>
        <v>0</v>
      </c>
      <c r="O118" s="7">
        <f t="shared" ca="1" si="57"/>
        <v>0</v>
      </c>
      <c r="P118" s="7">
        <f t="shared" ca="1" si="57"/>
        <v>0</v>
      </c>
      <c r="Q118" s="7">
        <f t="shared" ca="1" si="57"/>
        <v>0</v>
      </c>
      <c r="R118" s="7">
        <f t="shared" ca="1" si="57"/>
        <v>0</v>
      </c>
      <c r="S118" s="7">
        <f t="shared" ca="1" si="57"/>
        <v>0</v>
      </c>
      <c r="T118" s="7">
        <f t="shared" ca="1" si="57"/>
        <v>0</v>
      </c>
      <c r="U118" s="7">
        <f t="shared" ca="1" si="57"/>
        <v>0</v>
      </c>
      <c r="V118" s="7">
        <f t="shared" ca="1" si="57"/>
        <v>0</v>
      </c>
      <c r="W118" s="7">
        <f t="shared" ca="1" si="57"/>
        <v>0</v>
      </c>
      <c r="X118" s="7">
        <f t="shared" ca="1" si="57"/>
        <v>0</v>
      </c>
      <c r="Y118" s="7">
        <f t="shared" ca="1" si="57"/>
        <v>0</v>
      </c>
      <c r="Z118" s="7">
        <f t="shared" ca="1" si="57"/>
        <v>0</v>
      </c>
      <c r="AA118" s="7">
        <f t="shared" ca="1" si="57"/>
        <v>0</v>
      </c>
      <c r="AB118" s="7">
        <f t="shared" ca="1" si="57"/>
        <v>0</v>
      </c>
      <c r="AC118" s="7">
        <f t="shared" ca="1" si="57"/>
        <v>0</v>
      </c>
      <c r="AD118" s="7">
        <f t="shared" ca="1" si="57"/>
        <v>0</v>
      </c>
      <c r="AE118" s="7">
        <f t="shared" ca="1" si="57"/>
        <v>0</v>
      </c>
      <c r="AF118" s="7">
        <f t="shared" ca="1" si="57"/>
        <v>0</v>
      </c>
      <c r="AG118" s="7">
        <f t="shared" ca="1" si="57"/>
        <v>0</v>
      </c>
      <c r="AH118" s="7">
        <f t="shared" ca="1" si="57"/>
        <v>0</v>
      </c>
      <c r="AI118" s="7">
        <f t="shared" ca="1" si="57"/>
        <v>0</v>
      </c>
      <c r="AJ118" s="7">
        <f t="shared" ca="1" si="57"/>
        <v>0</v>
      </c>
      <c r="AK118" s="7">
        <f t="shared" ca="1" si="57"/>
        <v>0</v>
      </c>
      <c r="AL118" s="7">
        <f t="shared" ca="1" si="57"/>
        <v>0</v>
      </c>
      <c r="AM118" s="7">
        <f t="shared" ca="1" si="57"/>
        <v>0</v>
      </c>
    </row>
    <row r="119" spans="1:39" x14ac:dyDescent="0.2">
      <c r="A119" s="3" t="s">
        <v>25</v>
      </c>
      <c r="C119" s="7">
        <f t="shared" ref="C119:AM119" ca="1" si="58">C116*VLOOKUP($A114,AssVar,3,FALSE)</f>
        <v>-408.96666489179751</v>
      </c>
      <c r="D119" s="7">
        <f t="shared" ca="1" si="58"/>
        <v>0</v>
      </c>
      <c r="E119" s="7">
        <f t="shared" ca="1" si="58"/>
        <v>0</v>
      </c>
      <c r="F119" s="7">
        <f t="shared" ca="1" si="58"/>
        <v>0</v>
      </c>
      <c r="G119" s="7">
        <f t="shared" ca="1" si="58"/>
        <v>0</v>
      </c>
      <c r="H119" s="7">
        <f t="shared" ca="1" si="58"/>
        <v>0</v>
      </c>
      <c r="I119" s="7">
        <f t="shared" ca="1" si="58"/>
        <v>0</v>
      </c>
      <c r="J119" s="7">
        <f t="shared" ca="1" si="58"/>
        <v>0</v>
      </c>
      <c r="K119" s="7">
        <f t="shared" ca="1" si="58"/>
        <v>0</v>
      </c>
      <c r="L119" s="7">
        <f t="shared" ca="1" si="58"/>
        <v>0</v>
      </c>
      <c r="M119" s="7">
        <f t="shared" ca="1" si="58"/>
        <v>0</v>
      </c>
      <c r="N119" s="7">
        <f t="shared" ca="1" si="58"/>
        <v>0</v>
      </c>
      <c r="O119" s="7">
        <f t="shared" ca="1" si="58"/>
        <v>0</v>
      </c>
      <c r="P119" s="7">
        <f t="shared" ca="1" si="58"/>
        <v>0</v>
      </c>
      <c r="Q119" s="7">
        <f t="shared" ca="1" si="58"/>
        <v>0</v>
      </c>
      <c r="R119" s="7">
        <f t="shared" ca="1" si="58"/>
        <v>0</v>
      </c>
      <c r="S119" s="7">
        <f t="shared" ca="1" si="58"/>
        <v>0</v>
      </c>
      <c r="T119" s="7">
        <f t="shared" ca="1" si="58"/>
        <v>0</v>
      </c>
      <c r="U119" s="7">
        <f t="shared" ca="1" si="58"/>
        <v>0</v>
      </c>
      <c r="V119" s="7">
        <f t="shared" ca="1" si="58"/>
        <v>0</v>
      </c>
      <c r="W119" s="7">
        <f t="shared" ca="1" si="58"/>
        <v>0</v>
      </c>
      <c r="X119" s="7">
        <f t="shared" ca="1" si="58"/>
        <v>0</v>
      </c>
      <c r="Y119" s="7">
        <f t="shared" ca="1" si="58"/>
        <v>0</v>
      </c>
      <c r="Z119" s="7">
        <f t="shared" ca="1" si="58"/>
        <v>0</v>
      </c>
      <c r="AA119" s="7">
        <f t="shared" ca="1" si="58"/>
        <v>0</v>
      </c>
      <c r="AB119" s="7">
        <f t="shared" ca="1" si="58"/>
        <v>0</v>
      </c>
      <c r="AC119" s="7">
        <f t="shared" ca="1" si="58"/>
        <v>0</v>
      </c>
      <c r="AD119" s="7">
        <f t="shared" ca="1" si="58"/>
        <v>0</v>
      </c>
      <c r="AE119" s="7">
        <f t="shared" ca="1" si="58"/>
        <v>0</v>
      </c>
      <c r="AF119" s="7">
        <f t="shared" ca="1" si="58"/>
        <v>0</v>
      </c>
      <c r="AG119" s="7">
        <f t="shared" ca="1" si="58"/>
        <v>0</v>
      </c>
      <c r="AH119" s="7">
        <f t="shared" ca="1" si="58"/>
        <v>0</v>
      </c>
      <c r="AI119" s="7">
        <f t="shared" ca="1" si="58"/>
        <v>0</v>
      </c>
      <c r="AJ119" s="7">
        <f t="shared" ca="1" si="58"/>
        <v>0</v>
      </c>
      <c r="AK119" s="7">
        <f t="shared" ca="1" si="58"/>
        <v>0</v>
      </c>
      <c r="AL119" s="7">
        <f t="shared" ca="1" si="58"/>
        <v>0</v>
      </c>
      <c r="AM119" s="7">
        <f t="shared" si="58"/>
        <v>0</v>
      </c>
    </row>
    <row r="120" spans="1:39" x14ac:dyDescent="0.2">
      <c r="A120" s="3" t="s">
        <v>30</v>
      </c>
      <c r="C120" s="7">
        <f t="shared" ref="C120:AM120" ca="1" si="59">IFERROR(-IF(C115=0,VLOOKUP($A114,$8:$12,C$1+2,FALSE),0),0)</f>
        <v>0</v>
      </c>
      <c r="D120" s="7">
        <f t="shared" ca="1" si="59"/>
        <v>0</v>
      </c>
      <c r="E120" s="7">
        <f t="shared" ca="1" si="59"/>
        <v>0</v>
      </c>
      <c r="F120" s="7">
        <f t="shared" ca="1" si="59"/>
        <v>0</v>
      </c>
      <c r="G120" s="7">
        <f t="shared" ca="1" si="59"/>
        <v>0</v>
      </c>
      <c r="H120" s="7">
        <f t="shared" ca="1" si="59"/>
        <v>0</v>
      </c>
      <c r="I120" s="7">
        <f t="shared" ca="1" si="59"/>
        <v>0</v>
      </c>
      <c r="J120" s="7">
        <f t="shared" ca="1" si="59"/>
        <v>0</v>
      </c>
      <c r="K120" s="7">
        <f t="shared" ca="1" si="59"/>
        <v>0</v>
      </c>
      <c r="L120" s="7">
        <f t="shared" ca="1" si="59"/>
        <v>0</v>
      </c>
      <c r="M120" s="7">
        <f t="shared" ca="1" si="59"/>
        <v>0</v>
      </c>
      <c r="N120" s="7">
        <f t="shared" ca="1" si="59"/>
        <v>0</v>
      </c>
      <c r="O120" s="7">
        <f t="shared" ca="1" si="59"/>
        <v>0</v>
      </c>
      <c r="P120" s="7">
        <f t="shared" ca="1" si="59"/>
        <v>0</v>
      </c>
      <c r="Q120" s="7">
        <f t="shared" ca="1" si="59"/>
        <v>0</v>
      </c>
      <c r="R120" s="7">
        <f t="shared" ca="1" si="59"/>
        <v>0</v>
      </c>
      <c r="S120" s="7">
        <f t="shared" ca="1" si="59"/>
        <v>0</v>
      </c>
      <c r="T120" s="7">
        <f t="shared" ca="1" si="59"/>
        <v>0</v>
      </c>
      <c r="U120" s="7">
        <f t="shared" ca="1" si="59"/>
        <v>0</v>
      </c>
      <c r="V120" s="7">
        <f t="shared" ca="1" si="59"/>
        <v>0</v>
      </c>
      <c r="W120" s="7">
        <f t="shared" ca="1" si="59"/>
        <v>0</v>
      </c>
      <c r="X120" s="7">
        <f t="shared" ca="1" si="59"/>
        <v>0</v>
      </c>
      <c r="Y120" s="7">
        <f t="shared" ca="1" si="59"/>
        <v>0</v>
      </c>
      <c r="Z120" s="7">
        <f t="shared" ca="1" si="59"/>
        <v>0</v>
      </c>
      <c r="AA120" s="7">
        <f t="shared" ca="1" si="59"/>
        <v>0</v>
      </c>
      <c r="AB120" s="7">
        <f t="shared" ca="1" si="59"/>
        <v>0</v>
      </c>
      <c r="AC120" s="7">
        <f t="shared" ca="1" si="59"/>
        <v>0</v>
      </c>
      <c r="AD120" s="7">
        <f t="shared" ca="1" si="59"/>
        <v>0</v>
      </c>
      <c r="AE120" s="7">
        <f t="shared" ca="1" si="59"/>
        <v>0</v>
      </c>
      <c r="AF120" s="7">
        <f t="shared" ca="1" si="59"/>
        <v>0</v>
      </c>
      <c r="AG120" s="7">
        <f t="shared" ca="1" si="59"/>
        <v>0</v>
      </c>
      <c r="AH120" s="7">
        <f t="shared" ca="1" si="59"/>
        <v>0</v>
      </c>
      <c r="AI120" s="7">
        <f t="shared" ca="1" si="59"/>
        <v>0</v>
      </c>
      <c r="AJ120" s="7">
        <f t="shared" ca="1" si="59"/>
        <v>0</v>
      </c>
      <c r="AK120" s="7">
        <f t="shared" ca="1" si="59"/>
        <v>0</v>
      </c>
      <c r="AL120" s="7">
        <f t="shared" ca="1" si="59"/>
        <v>0</v>
      </c>
      <c r="AM120" s="7">
        <f t="shared" ca="1" si="59"/>
        <v>0</v>
      </c>
    </row>
    <row r="121" spans="1:39" x14ac:dyDescent="0.2">
      <c r="A121" s="3" t="s">
        <v>49</v>
      </c>
      <c r="C121" s="7">
        <f t="shared" ref="C121:AM121" ca="1" si="60">IFERROR(IF(C115=0,VLOOKUP($A114,$46:$50,C$1+2,FALSE),0),0)</f>
        <v>0</v>
      </c>
      <c r="D121" s="7">
        <f t="shared" ca="1" si="60"/>
        <v>0</v>
      </c>
      <c r="E121" s="7">
        <f t="shared" ca="1" si="60"/>
        <v>0</v>
      </c>
      <c r="F121" s="7">
        <f t="shared" ca="1" si="60"/>
        <v>0</v>
      </c>
      <c r="G121" s="7">
        <f t="shared" ca="1" si="60"/>
        <v>0</v>
      </c>
      <c r="H121" s="7">
        <f t="shared" ca="1" si="60"/>
        <v>0</v>
      </c>
      <c r="I121" s="7">
        <f t="shared" ca="1" si="60"/>
        <v>0</v>
      </c>
      <c r="J121" s="7">
        <f t="shared" ca="1" si="60"/>
        <v>0</v>
      </c>
      <c r="K121" s="7">
        <f t="shared" ca="1" si="60"/>
        <v>0</v>
      </c>
      <c r="L121" s="7">
        <f t="shared" ca="1" si="60"/>
        <v>0</v>
      </c>
      <c r="M121" s="7">
        <f t="shared" ca="1" si="60"/>
        <v>0</v>
      </c>
      <c r="N121" s="7">
        <f t="shared" ca="1" si="60"/>
        <v>0</v>
      </c>
      <c r="O121" s="7">
        <f t="shared" ca="1" si="60"/>
        <v>0</v>
      </c>
      <c r="P121" s="7">
        <f t="shared" ca="1" si="60"/>
        <v>0</v>
      </c>
      <c r="Q121" s="7">
        <f t="shared" ca="1" si="60"/>
        <v>0</v>
      </c>
      <c r="R121" s="7">
        <f t="shared" ca="1" si="60"/>
        <v>0</v>
      </c>
      <c r="S121" s="7">
        <f t="shared" ca="1" si="60"/>
        <v>0</v>
      </c>
      <c r="T121" s="7">
        <f t="shared" ca="1" si="60"/>
        <v>0</v>
      </c>
      <c r="U121" s="7">
        <f t="shared" ca="1" si="60"/>
        <v>0</v>
      </c>
      <c r="V121" s="7">
        <f t="shared" ca="1" si="60"/>
        <v>0</v>
      </c>
      <c r="W121" s="7">
        <f t="shared" ca="1" si="60"/>
        <v>0</v>
      </c>
      <c r="X121" s="7">
        <f t="shared" ca="1" si="60"/>
        <v>0</v>
      </c>
      <c r="Y121" s="7">
        <f t="shared" ca="1" si="60"/>
        <v>0</v>
      </c>
      <c r="Z121" s="7">
        <f t="shared" ca="1" si="60"/>
        <v>0</v>
      </c>
      <c r="AA121" s="7">
        <f t="shared" ca="1" si="60"/>
        <v>0</v>
      </c>
      <c r="AB121" s="7">
        <f t="shared" ca="1" si="60"/>
        <v>0</v>
      </c>
      <c r="AC121" s="7">
        <f t="shared" ca="1" si="60"/>
        <v>0</v>
      </c>
      <c r="AD121" s="7">
        <f t="shared" ca="1" si="60"/>
        <v>0</v>
      </c>
      <c r="AE121" s="7">
        <f t="shared" ca="1" si="60"/>
        <v>0</v>
      </c>
      <c r="AF121" s="7">
        <f t="shared" ca="1" si="60"/>
        <v>0</v>
      </c>
      <c r="AG121" s="7">
        <f t="shared" ca="1" si="60"/>
        <v>0</v>
      </c>
      <c r="AH121" s="7">
        <f t="shared" ca="1" si="60"/>
        <v>0</v>
      </c>
      <c r="AI121" s="7">
        <f t="shared" ca="1" si="60"/>
        <v>0</v>
      </c>
      <c r="AJ121" s="7">
        <f t="shared" ca="1" si="60"/>
        <v>0</v>
      </c>
      <c r="AK121" s="7">
        <f t="shared" ca="1" si="60"/>
        <v>0</v>
      </c>
      <c r="AL121" s="7">
        <f t="shared" ca="1" si="60"/>
        <v>0</v>
      </c>
      <c r="AM121" s="7">
        <f t="shared" ca="1" si="60"/>
        <v>0</v>
      </c>
    </row>
    <row r="122" spans="1:39" x14ac:dyDescent="0.2">
      <c r="A122" s="3" t="s">
        <v>35</v>
      </c>
      <c r="B122" s="14" t="str">
        <f>A114</f>
        <v>Painting</v>
      </c>
      <c r="C122" s="7">
        <f t="shared" ref="C122:AM122" ca="1" si="61">IF(AND(C115&gt;0,C118=0),VLOOKUP($A114,$85:$94,C$1+2,FALSE),0)</f>
        <v>-6642.0499231875183</v>
      </c>
      <c r="D122" s="7">
        <f t="shared" ca="1" si="61"/>
        <v>0</v>
      </c>
      <c r="E122" s="7">
        <f t="shared" ca="1" si="61"/>
        <v>0</v>
      </c>
      <c r="F122" s="7">
        <f t="shared" ca="1" si="61"/>
        <v>0</v>
      </c>
      <c r="G122" s="7">
        <f t="shared" ca="1" si="61"/>
        <v>0</v>
      </c>
      <c r="H122" s="7">
        <f t="shared" ca="1" si="61"/>
        <v>0</v>
      </c>
      <c r="I122" s="7">
        <f t="shared" ca="1" si="61"/>
        <v>0</v>
      </c>
      <c r="J122" s="7">
        <f t="shared" ca="1" si="61"/>
        <v>0</v>
      </c>
      <c r="K122" s="7">
        <f t="shared" ca="1" si="61"/>
        <v>0</v>
      </c>
      <c r="L122" s="7">
        <f t="shared" ca="1" si="61"/>
        <v>0</v>
      </c>
      <c r="M122" s="7">
        <f t="shared" ca="1" si="61"/>
        <v>0</v>
      </c>
      <c r="N122" s="7">
        <f t="shared" ca="1" si="61"/>
        <v>0</v>
      </c>
      <c r="O122" s="7">
        <f t="shared" ca="1" si="61"/>
        <v>0</v>
      </c>
      <c r="P122" s="7">
        <f t="shared" ca="1" si="61"/>
        <v>0</v>
      </c>
      <c r="Q122" s="7">
        <f t="shared" ca="1" si="61"/>
        <v>0</v>
      </c>
      <c r="R122" s="7">
        <f t="shared" ca="1" si="61"/>
        <v>0</v>
      </c>
      <c r="S122" s="7">
        <f t="shared" ca="1" si="61"/>
        <v>0</v>
      </c>
      <c r="T122" s="7">
        <f t="shared" ca="1" si="61"/>
        <v>0</v>
      </c>
      <c r="U122" s="7">
        <f t="shared" ca="1" si="61"/>
        <v>0</v>
      </c>
      <c r="V122" s="7">
        <f t="shared" ca="1" si="61"/>
        <v>0</v>
      </c>
      <c r="W122" s="7">
        <f t="shared" ca="1" si="61"/>
        <v>0</v>
      </c>
      <c r="X122" s="7">
        <f t="shared" ca="1" si="61"/>
        <v>0</v>
      </c>
      <c r="Y122" s="7">
        <f t="shared" ca="1" si="61"/>
        <v>0</v>
      </c>
      <c r="Z122" s="7">
        <f t="shared" ca="1" si="61"/>
        <v>0</v>
      </c>
      <c r="AA122" s="7">
        <f t="shared" ca="1" si="61"/>
        <v>0</v>
      </c>
      <c r="AB122" s="7">
        <f t="shared" ca="1" si="61"/>
        <v>0</v>
      </c>
      <c r="AC122" s="7">
        <f t="shared" ca="1" si="61"/>
        <v>0</v>
      </c>
      <c r="AD122" s="7">
        <f t="shared" ca="1" si="61"/>
        <v>0</v>
      </c>
      <c r="AE122" s="7">
        <f t="shared" ca="1" si="61"/>
        <v>0</v>
      </c>
      <c r="AF122" s="7">
        <f t="shared" ca="1" si="61"/>
        <v>0</v>
      </c>
      <c r="AG122" s="7">
        <f t="shared" ca="1" si="61"/>
        <v>0</v>
      </c>
      <c r="AH122" s="7">
        <f t="shared" ca="1" si="61"/>
        <v>0</v>
      </c>
      <c r="AI122" s="7">
        <f t="shared" ca="1" si="61"/>
        <v>0</v>
      </c>
      <c r="AJ122" s="7">
        <f t="shared" ca="1" si="61"/>
        <v>0</v>
      </c>
      <c r="AK122" s="7">
        <f t="shared" ca="1" si="61"/>
        <v>0</v>
      </c>
      <c r="AL122" s="7">
        <f t="shared" ca="1" si="61"/>
        <v>0</v>
      </c>
      <c r="AM122" s="7">
        <f t="shared" ca="1" si="61"/>
        <v>0</v>
      </c>
    </row>
    <row r="123" spans="1:39" x14ac:dyDescent="0.2">
      <c r="A123" s="3" t="s">
        <v>36</v>
      </c>
      <c r="C123" s="7">
        <f ca="1">-C116+SUM(C119:C122)</f>
        <v>13397.316656510558</v>
      </c>
      <c r="D123" s="7">
        <f t="shared" ref="D123" ca="1" si="62">-D116+SUM(D119:D122)</f>
        <v>0</v>
      </c>
      <c r="E123" s="7">
        <f t="shared" ref="E123:AM123" ca="1" si="63">-E116+SUM(E119:E122)</f>
        <v>0</v>
      </c>
      <c r="F123" s="7">
        <f t="shared" ca="1" si="63"/>
        <v>0</v>
      </c>
      <c r="G123" s="7">
        <f t="shared" ca="1" si="63"/>
        <v>0</v>
      </c>
      <c r="H123" s="7">
        <f t="shared" ca="1" si="63"/>
        <v>0</v>
      </c>
      <c r="I123" s="7">
        <f t="shared" ca="1" si="63"/>
        <v>0</v>
      </c>
      <c r="J123" s="7">
        <f t="shared" ca="1" si="63"/>
        <v>0</v>
      </c>
      <c r="K123" s="7">
        <f t="shared" ca="1" si="63"/>
        <v>0</v>
      </c>
      <c r="L123" s="7">
        <f t="shared" ca="1" si="63"/>
        <v>0</v>
      </c>
      <c r="M123" s="7">
        <f t="shared" ca="1" si="63"/>
        <v>0</v>
      </c>
      <c r="N123" s="7">
        <f t="shared" ca="1" si="63"/>
        <v>0</v>
      </c>
      <c r="O123" s="7">
        <f t="shared" ca="1" si="63"/>
        <v>0</v>
      </c>
      <c r="P123" s="7">
        <f t="shared" ca="1" si="63"/>
        <v>0</v>
      </c>
      <c r="Q123" s="7">
        <f t="shared" ca="1" si="63"/>
        <v>0</v>
      </c>
      <c r="R123" s="7">
        <f t="shared" ca="1" si="63"/>
        <v>0</v>
      </c>
      <c r="S123" s="7">
        <f t="shared" ca="1" si="63"/>
        <v>0</v>
      </c>
      <c r="T123" s="7">
        <f t="shared" ca="1" si="63"/>
        <v>0</v>
      </c>
      <c r="U123" s="7">
        <f t="shared" ca="1" si="63"/>
        <v>0</v>
      </c>
      <c r="V123" s="7">
        <f t="shared" ca="1" si="63"/>
        <v>0</v>
      </c>
      <c r="W123" s="7">
        <f t="shared" ca="1" si="63"/>
        <v>0</v>
      </c>
      <c r="X123" s="7">
        <f t="shared" ca="1" si="63"/>
        <v>0</v>
      </c>
      <c r="Y123" s="7">
        <f t="shared" ca="1" si="63"/>
        <v>0</v>
      </c>
      <c r="Z123" s="7">
        <f t="shared" ca="1" si="63"/>
        <v>0</v>
      </c>
      <c r="AA123" s="7">
        <f t="shared" ca="1" si="63"/>
        <v>0</v>
      </c>
      <c r="AB123" s="7">
        <f t="shared" ca="1" si="63"/>
        <v>0</v>
      </c>
      <c r="AC123" s="7">
        <f t="shared" ca="1" si="63"/>
        <v>0</v>
      </c>
      <c r="AD123" s="7">
        <f t="shared" ca="1" si="63"/>
        <v>0</v>
      </c>
      <c r="AE123" s="7">
        <f t="shared" ca="1" si="63"/>
        <v>0</v>
      </c>
      <c r="AF123" s="7">
        <f t="shared" ca="1" si="63"/>
        <v>0</v>
      </c>
      <c r="AG123" s="7">
        <f t="shared" ca="1" si="63"/>
        <v>0</v>
      </c>
      <c r="AH123" s="7">
        <f t="shared" ca="1" si="63"/>
        <v>0</v>
      </c>
      <c r="AI123" s="7">
        <f t="shared" ca="1" si="63"/>
        <v>0</v>
      </c>
      <c r="AJ123" s="7">
        <f t="shared" ca="1" si="63"/>
        <v>0</v>
      </c>
      <c r="AK123" s="7">
        <f t="shared" ca="1" si="63"/>
        <v>0</v>
      </c>
      <c r="AL123" s="7">
        <f t="shared" ca="1" si="63"/>
        <v>0</v>
      </c>
      <c r="AM123" s="7">
        <f t="shared" ca="1" si="63"/>
        <v>0</v>
      </c>
    </row>
    <row r="124" spans="1:39" x14ac:dyDescent="0.2">
      <c r="A124" s="3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</row>
    <row r="125" spans="1:39" x14ac:dyDescent="0.2">
      <c r="A125" s="3" t="s">
        <v>70</v>
      </c>
      <c r="C125" s="7">
        <f ca="1">C111+SUM($C123:C123)</f>
        <v>29505.754156510557</v>
      </c>
      <c r="D125" s="7">
        <f ca="1">D111+SUM($C123:D123)</f>
        <v>-9827.092418502818</v>
      </c>
      <c r="E125" s="7">
        <f ca="1">E111+SUM($C123:E123)</f>
        <v>-76766.054918502807</v>
      </c>
      <c r="F125" s="7">
        <f ca="1">F111+SUM($C123:F123)</f>
        <v>-164624.81427413042</v>
      </c>
      <c r="G125" s="7">
        <f ca="1">G111+SUM($C123:G123)</f>
        <v>-61409.537346778518</v>
      </c>
      <c r="H125" s="7">
        <f ca="1">H111+SUM($C123:H123)</f>
        <v>-115612.89420656806</v>
      </c>
      <c r="I125" s="7">
        <f ca="1">I111+SUM($C123:I123)</f>
        <v>-153761.14384204047</v>
      </c>
      <c r="J125" s="7">
        <f ca="1">J111+SUM($C123:J123)</f>
        <v>-191934.34230126804</v>
      </c>
      <c r="K125" s="7">
        <f ca="1">K111+SUM($C123:K123)</f>
        <v>-247920.55129887766</v>
      </c>
      <c r="L125" s="7">
        <f ca="1">L111+SUM($C123:L123)</f>
        <v>-222408.69479076096</v>
      </c>
      <c r="M125" s="7">
        <f ca="1">M111+SUM($C123:M123)</f>
        <v>-290666.5682845618</v>
      </c>
      <c r="N125" s="7">
        <f ca="1">N111+SUM($C123:N123)</f>
        <v>-310562.44863272418</v>
      </c>
      <c r="O125" s="7">
        <f ca="1">O111+SUM($C123:O123)</f>
        <v>-330740.30459345912</v>
      </c>
      <c r="P125" s="7">
        <f ca="1">P111+SUM($C123:P123)</f>
        <v>-351200.72291519697</v>
      </c>
      <c r="Q125" s="7">
        <f ca="1">Q111+SUM($C123:Q123)</f>
        <v>-371944.11113582237</v>
      </c>
      <c r="R125" s="7">
        <f ca="1">R111+SUM($C123:R123)</f>
        <v>-392970.68728603289</v>
      </c>
      <c r="S125" s="7">
        <f ca="1">S111+SUM($C123:S123)</f>
        <v>-414280.46916079015</v>
      </c>
      <c r="T125" s="7">
        <f ca="1">T111+SUM($C123:T123)</f>
        <v>-418831.13861764828</v>
      </c>
      <c r="U125" s="7">
        <f ca="1">U111+SUM($C123:U123)</f>
        <v>-415440.05680962309</v>
      </c>
      <c r="V125" s="7">
        <f ca="1">V111+SUM($C123:V123)</f>
        <v>-411699.25681124179</v>
      </c>
      <c r="W125" s="7">
        <f ca="1">W111+SUM($C123:W123)</f>
        <v>-407592.04743339081</v>
      </c>
      <c r="X125" s="7">
        <f ca="1">X111+SUM($C123:X123)</f>
        <v>-403101.08176019817</v>
      </c>
      <c r="Y125" s="7">
        <f ca="1">Y111+SUM($C123:Y123)</f>
        <v>-418867.1903734146</v>
      </c>
      <c r="Z125" s="7">
        <f ca="1">Z111+SUM($C123:Z123)</f>
        <v>-434729.25810895744</v>
      </c>
      <c r="AA125" s="7">
        <f ca="1">AA111+SUM($C123:AA123)</f>
        <v>-450680.73813709471</v>
      </c>
      <c r="AB125" s="7">
        <f ca="1">AB111+SUM($C123:AB123)</f>
        <v>-466714.65158311755</v>
      </c>
      <c r="AC125" s="7">
        <f ca="1">AC111+SUM($C123:AC123)</f>
        <v>-482823.56867498852</v>
      </c>
      <c r="AD125" s="7">
        <f ca="1">AD111+SUM($C123:AD123)</f>
        <v>-498999.58917814476</v>
      </c>
      <c r="AE125" s="7">
        <f ca="1">AE111+SUM($C123:AE123)</f>
        <v>-505251.84699860198</v>
      </c>
      <c r="AF125" s="7">
        <f ca="1">AF111+SUM($C123:AF123)</f>
        <v>-511304.35252003395</v>
      </c>
      <c r="AG125" s="7">
        <f ca="1">AG111+SUM($C123:AG123)</f>
        <v>-517141.43017262919</v>
      </c>
      <c r="AH125" s="7">
        <f ca="1">AH111+SUM($C123:AH123)</f>
        <v>-522746.69204446021</v>
      </c>
      <c r="AI125" s="7">
        <f ca="1">AI111+SUM($C123:AI123)</f>
        <v>-528103.01045934577</v>
      </c>
      <c r="AJ125" s="7">
        <f ca="1">AJ111+SUM($C123:AJ123)</f>
        <v>-533192.48958075023</v>
      </c>
      <c r="AK125" s="7">
        <f ca="1">AK111+SUM($C123:AK123)</f>
        <v>-537996.43600872043</v>
      </c>
      <c r="AL125" s="7">
        <f ca="1">AL111+SUM($C123:AL123)</f>
        <v>-542495.32833577693</v>
      </c>
      <c r="AM125" s="7">
        <f ca="1">AM111+SUM($C123:AM123)</f>
        <v>-546668.78562654811</v>
      </c>
    </row>
    <row r="126" spans="1:39" x14ac:dyDescent="0.2">
      <c r="A126" s="3" t="s">
        <v>67</v>
      </c>
      <c r="C126" s="7">
        <f t="shared" ref="C126:AM126" ca="1" si="64">MAX(C125+buffer,0)-MAX(C$111+buffer,0)</f>
        <v>13397.316656510549</v>
      </c>
      <c r="D126" s="7">
        <f t="shared" ca="1" si="64"/>
        <v>13397.316656510557</v>
      </c>
      <c r="E126" s="7">
        <f t="shared" ca="1" si="64"/>
        <v>0</v>
      </c>
      <c r="F126" s="7">
        <f t="shared" ca="1" si="64"/>
        <v>0</v>
      </c>
      <c r="G126" s="7">
        <f t="shared" ca="1" si="64"/>
        <v>0</v>
      </c>
      <c r="H126" s="7">
        <f t="shared" ca="1" si="64"/>
        <v>0</v>
      </c>
      <c r="I126" s="7">
        <f t="shared" ca="1" si="64"/>
        <v>0</v>
      </c>
      <c r="J126" s="7">
        <f t="shared" ca="1" si="64"/>
        <v>0</v>
      </c>
      <c r="K126" s="7">
        <f t="shared" ca="1" si="64"/>
        <v>0</v>
      </c>
      <c r="L126" s="7">
        <f t="shared" ca="1" si="64"/>
        <v>0</v>
      </c>
      <c r="M126" s="7">
        <f t="shared" ca="1" si="64"/>
        <v>0</v>
      </c>
      <c r="N126" s="7">
        <f t="shared" ca="1" si="64"/>
        <v>0</v>
      </c>
      <c r="O126" s="7">
        <f t="shared" ca="1" si="64"/>
        <v>0</v>
      </c>
      <c r="P126" s="7">
        <f t="shared" ca="1" si="64"/>
        <v>0</v>
      </c>
      <c r="Q126" s="7">
        <f t="shared" ca="1" si="64"/>
        <v>0</v>
      </c>
      <c r="R126" s="7">
        <f t="shared" ca="1" si="64"/>
        <v>0</v>
      </c>
      <c r="S126" s="7">
        <f t="shared" ca="1" si="64"/>
        <v>0</v>
      </c>
      <c r="T126" s="7">
        <f t="shared" ca="1" si="64"/>
        <v>0</v>
      </c>
      <c r="U126" s="7">
        <f t="shared" ca="1" si="64"/>
        <v>0</v>
      </c>
      <c r="V126" s="7">
        <f t="shared" ca="1" si="64"/>
        <v>0</v>
      </c>
      <c r="W126" s="7">
        <f t="shared" ca="1" si="64"/>
        <v>0</v>
      </c>
      <c r="X126" s="7">
        <f t="shared" ca="1" si="64"/>
        <v>0</v>
      </c>
      <c r="Y126" s="7">
        <f t="shared" ca="1" si="64"/>
        <v>0</v>
      </c>
      <c r="Z126" s="7">
        <f t="shared" ca="1" si="64"/>
        <v>0</v>
      </c>
      <c r="AA126" s="7">
        <f t="shared" ca="1" si="64"/>
        <v>0</v>
      </c>
      <c r="AB126" s="7">
        <f t="shared" ca="1" si="64"/>
        <v>0</v>
      </c>
      <c r="AC126" s="7">
        <f t="shared" ca="1" si="64"/>
        <v>0</v>
      </c>
      <c r="AD126" s="7">
        <f t="shared" ca="1" si="64"/>
        <v>0</v>
      </c>
      <c r="AE126" s="7">
        <f t="shared" ca="1" si="64"/>
        <v>0</v>
      </c>
      <c r="AF126" s="7">
        <f t="shared" ca="1" si="64"/>
        <v>0</v>
      </c>
      <c r="AG126" s="7">
        <f t="shared" ca="1" si="64"/>
        <v>0</v>
      </c>
      <c r="AH126" s="7">
        <f t="shared" ca="1" si="64"/>
        <v>0</v>
      </c>
      <c r="AI126" s="7">
        <f t="shared" ca="1" si="64"/>
        <v>0</v>
      </c>
      <c r="AJ126" s="7">
        <f t="shared" ca="1" si="64"/>
        <v>0</v>
      </c>
      <c r="AK126" s="7">
        <f t="shared" ca="1" si="64"/>
        <v>0</v>
      </c>
      <c r="AL126" s="7">
        <f t="shared" ca="1" si="64"/>
        <v>0</v>
      </c>
      <c r="AM126" s="7">
        <f t="shared" ca="1" si="64"/>
        <v>0</v>
      </c>
    </row>
    <row r="127" spans="1:39" x14ac:dyDescent="0.2">
      <c r="A127" s="3" t="s">
        <v>68</v>
      </c>
      <c r="C127" s="7">
        <f ca="1">C126*Inputs!$B$269</f>
        <v>334.93291641276375</v>
      </c>
      <c r="D127" s="7">
        <f ca="1">D126*Inputs!$B$269</f>
        <v>334.93291641276392</v>
      </c>
      <c r="E127" s="7">
        <f ca="1">E126*Inputs!$B$269</f>
        <v>0</v>
      </c>
      <c r="F127" s="7">
        <f ca="1">F126*Inputs!$B$269</f>
        <v>0</v>
      </c>
      <c r="G127" s="7">
        <f ca="1">G126*Inputs!$B$269</f>
        <v>0</v>
      </c>
      <c r="H127" s="7">
        <f ca="1">H126*Inputs!$B$269</f>
        <v>0</v>
      </c>
      <c r="I127" s="7">
        <f ca="1">I126*Inputs!$B$269</f>
        <v>0</v>
      </c>
      <c r="J127" s="7">
        <f ca="1">J126*Inputs!$B$269</f>
        <v>0</v>
      </c>
      <c r="K127" s="7">
        <f ca="1">K126*Inputs!$B$269</f>
        <v>0</v>
      </c>
      <c r="L127" s="7">
        <f ca="1">L126*Inputs!$B$269</f>
        <v>0</v>
      </c>
      <c r="M127" s="7">
        <f ca="1">M126*Inputs!$B$269</f>
        <v>0</v>
      </c>
      <c r="N127" s="7">
        <f ca="1">N126*Inputs!$B$269</f>
        <v>0</v>
      </c>
      <c r="O127" s="7">
        <f ca="1">O126*Inputs!$B$269</f>
        <v>0</v>
      </c>
      <c r="P127" s="7">
        <f ca="1">P126*Inputs!$B$269</f>
        <v>0</v>
      </c>
      <c r="Q127" s="7">
        <f ca="1">Q126*Inputs!$B$269</f>
        <v>0</v>
      </c>
      <c r="R127" s="7">
        <f ca="1">R126*Inputs!$B$269</f>
        <v>0</v>
      </c>
      <c r="S127" s="7">
        <f ca="1">S126*Inputs!$B$269</f>
        <v>0</v>
      </c>
      <c r="T127" s="7">
        <f ca="1">T126*Inputs!$B$269</f>
        <v>0</v>
      </c>
      <c r="U127" s="7">
        <f ca="1">U126*Inputs!$B$269</f>
        <v>0</v>
      </c>
      <c r="V127" s="7">
        <f ca="1">V126*Inputs!$B$269</f>
        <v>0</v>
      </c>
      <c r="W127" s="7">
        <f ca="1">W126*Inputs!$B$269</f>
        <v>0</v>
      </c>
      <c r="X127" s="7">
        <f ca="1">X126*Inputs!$B$269</f>
        <v>0</v>
      </c>
      <c r="Y127" s="7">
        <f ca="1">Y126*Inputs!$B$269</f>
        <v>0</v>
      </c>
      <c r="Z127" s="7">
        <f ca="1">Z126*Inputs!$B$269</f>
        <v>0</v>
      </c>
      <c r="AA127" s="7">
        <f ca="1">AA126*Inputs!$B$269</f>
        <v>0</v>
      </c>
      <c r="AB127" s="7">
        <f ca="1">AB126*Inputs!$B$269</f>
        <v>0</v>
      </c>
      <c r="AC127" s="7">
        <f ca="1">AC126*Inputs!$B$269</f>
        <v>0</v>
      </c>
      <c r="AD127" s="7">
        <f ca="1">AD126*Inputs!$B$269</f>
        <v>0</v>
      </c>
      <c r="AE127" s="7">
        <f ca="1">AE126*Inputs!$B$269</f>
        <v>0</v>
      </c>
      <c r="AF127" s="7">
        <f ca="1">AF126*Inputs!$B$269</f>
        <v>0</v>
      </c>
      <c r="AG127" s="7">
        <f ca="1">AG126*Inputs!$B$269</f>
        <v>0</v>
      </c>
      <c r="AH127" s="7">
        <f ca="1">AH126*Inputs!$B$269</f>
        <v>0</v>
      </c>
      <c r="AI127" s="7">
        <f ca="1">AI126*Inputs!$B$269</f>
        <v>0</v>
      </c>
      <c r="AJ127" s="7">
        <f ca="1">AJ126*Inputs!$B$269</f>
        <v>0</v>
      </c>
      <c r="AK127" s="7">
        <f ca="1">AK126*Inputs!$B$269</f>
        <v>0</v>
      </c>
      <c r="AL127" s="7">
        <f ca="1">AL126*Inputs!$B$269</f>
        <v>0</v>
      </c>
      <c r="AM127" s="7">
        <f ca="1">AM126*Inputs!$B$269</f>
        <v>0</v>
      </c>
    </row>
    <row r="128" spans="1:39" x14ac:dyDescent="0.2">
      <c r="A128" s="3" t="s">
        <v>149</v>
      </c>
      <c r="C128" s="7">
        <f ca="1">C125+SUM($C127:C127)</f>
        <v>29840.68707292332</v>
      </c>
      <c r="D128" s="7">
        <f ca="1">D125+SUM($C127:D127)</f>
        <v>-9157.2265856772901</v>
      </c>
      <c r="E128" s="7">
        <f ca="1">E125+SUM($C127:E127)</f>
        <v>-76096.189085677281</v>
      </c>
      <c r="F128" s="7">
        <f ca="1">F125+SUM($C127:F127)</f>
        <v>-163954.94844130488</v>
      </c>
      <c r="G128" s="7">
        <f ca="1">G125+SUM($C127:G127)</f>
        <v>-60739.671513952992</v>
      </c>
      <c r="H128" s="7">
        <f ca="1">H125+SUM($C127:H127)</f>
        <v>-114943.02837374253</v>
      </c>
      <c r="I128" s="7">
        <f ca="1">I125+SUM($C127:I127)</f>
        <v>-153091.27800921493</v>
      </c>
      <c r="J128" s="7">
        <f ca="1">J125+SUM($C127:J127)</f>
        <v>-191264.4764684425</v>
      </c>
      <c r="K128" s="7">
        <f ca="1">K125+SUM($C127:K127)</f>
        <v>-247250.68546605212</v>
      </c>
      <c r="L128" s="7">
        <f ca="1">L125+SUM($C127:L127)</f>
        <v>-221738.82895793542</v>
      </c>
      <c r="M128" s="7">
        <f ca="1">M125+SUM($C127:M127)</f>
        <v>-289996.70245173626</v>
      </c>
      <c r="N128" s="7">
        <f ca="1">N125+SUM($C127:N127)</f>
        <v>-309892.58279989864</v>
      </c>
      <c r="O128" s="7">
        <f ca="1">O125+SUM($C127:O127)</f>
        <v>-330070.43876063358</v>
      </c>
      <c r="P128" s="7">
        <f ca="1">P125+SUM($C127:P127)</f>
        <v>-350530.85708237143</v>
      </c>
      <c r="Q128" s="7">
        <f ca="1">Q125+SUM($C127:Q127)</f>
        <v>-371274.24530299683</v>
      </c>
      <c r="R128" s="7">
        <f ca="1">R125+SUM($C127:R127)</f>
        <v>-392300.82145320735</v>
      </c>
      <c r="S128" s="7">
        <f ca="1">S125+SUM($C127:S127)</f>
        <v>-413610.60332796461</v>
      </c>
      <c r="T128" s="7">
        <f ca="1">T125+SUM($C127:T127)</f>
        <v>-418161.27278482274</v>
      </c>
      <c r="U128" s="7">
        <f ca="1">U125+SUM($C127:U127)</f>
        <v>-414770.19097679754</v>
      </c>
      <c r="V128" s="7">
        <f ca="1">V125+SUM($C127:V127)</f>
        <v>-411029.39097841625</v>
      </c>
      <c r="W128" s="7">
        <f ca="1">W125+SUM($C127:W127)</f>
        <v>-406922.18160056527</v>
      </c>
      <c r="X128" s="7">
        <f ca="1">X125+SUM($C127:X127)</f>
        <v>-402431.21592737263</v>
      </c>
      <c r="Y128" s="7">
        <f ca="1">Y125+SUM($C127:Y127)</f>
        <v>-418197.32454058906</v>
      </c>
      <c r="Z128" s="7">
        <f ca="1">Z125+SUM($C127:Z127)</f>
        <v>-434059.3922761319</v>
      </c>
      <c r="AA128" s="7">
        <f ca="1">AA125+SUM($C127:AA127)</f>
        <v>-450010.87230426917</v>
      </c>
      <c r="AB128" s="7">
        <f ca="1">AB125+SUM($C127:AB127)</f>
        <v>-466044.78575029201</v>
      </c>
      <c r="AC128" s="7">
        <f ca="1">AC125+SUM($C127:AC127)</f>
        <v>-482153.70284216298</v>
      </c>
      <c r="AD128" s="7">
        <f ca="1">AD125+SUM($C127:AD127)</f>
        <v>-498329.72334531922</v>
      </c>
      <c r="AE128" s="7">
        <f ca="1">AE125+SUM($C127:AE127)</f>
        <v>-504581.98116577644</v>
      </c>
      <c r="AF128" s="7">
        <f ca="1">AF125+SUM($C127:AF127)</f>
        <v>-510634.48668720841</v>
      </c>
      <c r="AG128" s="7">
        <f ca="1">AG125+SUM($C127:AG127)</f>
        <v>-516471.56433980365</v>
      </c>
      <c r="AH128" s="7">
        <f ca="1">AH125+SUM($C127:AH127)</f>
        <v>-522076.82621163467</v>
      </c>
      <c r="AI128" s="7">
        <f ca="1">AI125+SUM($C127:AI127)</f>
        <v>-527433.14462652022</v>
      </c>
      <c r="AJ128" s="7">
        <f ca="1">AJ125+SUM($C127:AJ127)</f>
        <v>-532522.62374792469</v>
      </c>
      <c r="AK128" s="7">
        <f ca="1">AK125+SUM($C127:AK127)</f>
        <v>-537326.57017589489</v>
      </c>
      <c r="AL128" s="7">
        <f ca="1">AL125+SUM($C127:AL127)</f>
        <v>-541825.46250295138</v>
      </c>
      <c r="AM128" s="7">
        <f ca="1">AM125+SUM($C127:AM127)</f>
        <v>-545998.91979372257</v>
      </c>
    </row>
    <row r="129" spans="1:39" x14ac:dyDescent="0.2">
      <c r="A129" s="3" t="s">
        <v>19</v>
      </c>
      <c r="C129" s="7">
        <f ca="1">IF(C128&lt;0,-C128,0)</f>
        <v>0</v>
      </c>
      <c r="D129" s="7">
        <f ca="1">IF(D128+SUM($C129:C129)&lt;0,-(D128+SUM($C129:C129)),0)</f>
        <v>9157.2265856772901</v>
      </c>
      <c r="E129" s="7">
        <f ca="1">IF(E128+SUM($C129:D129)&lt;0,-(E128+SUM($C129:D129)),0)</f>
        <v>66938.962499999994</v>
      </c>
      <c r="F129" s="7">
        <f ca="1">IF(F128+SUM($C129:E129)&lt;0,-(F128+SUM($C129:E129)),0)</f>
        <v>87858.759355627597</v>
      </c>
      <c r="G129" s="7">
        <f ca="1">IF(G128+SUM($C129:F129)&lt;0,-(G128+SUM($C129:F129)),0)</f>
        <v>0</v>
      </c>
      <c r="H129" s="7">
        <f ca="1">IF(H128+SUM($C129:G129)&lt;0,-(H128+SUM($C129:G129)),0)</f>
        <v>0</v>
      </c>
      <c r="I129" s="7">
        <f ca="1">IF(I128+SUM($C129:H129)&lt;0,-(I128+SUM($C129:H129)),0)</f>
        <v>0</v>
      </c>
      <c r="J129" s="7">
        <f ca="1">IF(J128+SUM($C129:I129)&lt;0,-(J128+SUM($C129:I129)),0)</f>
        <v>27309.528027137625</v>
      </c>
      <c r="K129" s="7">
        <f ca="1">IF(K128+SUM($C129:J129)&lt;0,-(K128+SUM($C129:J129)),0)</f>
        <v>55986.208997609618</v>
      </c>
      <c r="L129" s="7">
        <f ca="1">IF(L128+SUM($C129:K129)&lt;0,-(L128+SUM($C129:K129)),0)</f>
        <v>0</v>
      </c>
      <c r="M129" s="7">
        <f ca="1">IF(M128+SUM($C129:L129)&lt;0,-(M128+SUM($C129:L129)),0)</f>
        <v>42746.016985684138</v>
      </c>
      <c r="N129" s="7">
        <f ca="1">IF(N128+SUM($C129:M129)&lt;0,-(N128+SUM($C129:M129)),0)</f>
        <v>19895.880348162376</v>
      </c>
      <c r="O129" s="7">
        <f ca="1">IF(O128+SUM($C129:N129)&lt;0,-(O128+SUM($C129:N129)),0)</f>
        <v>20177.855960734945</v>
      </c>
      <c r="P129" s="7">
        <f ca="1">IF(P128+SUM($C129:O129)&lt;0,-(P128+SUM($C129:O129)),0)</f>
        <v>20460.418321737845</v>
      </c>
      <c r="Q129" s="7">
        <f ca="1">IF(Q128+SUM($C129:P129)&lt;0,-(Q128+SUM($C129:P129)),0)</f>
        <v>20743.388220625406</v>
      </c>
      <c r="R129" s="7">
        <f ca="1">IF(R128+SUM($C129:Q129)&lt;0,-(R128+SUM($C129:Q129)),0)</f>
        <v>21026.576150210516</v>
      </c>
      <c r="S129" s="7">
        <f ca="1">IF(S128+SUM($C129:R129)&lt;0,-(S128+SUM($C129:R129)),0)</f>
        <v>21309.78187475726</v>
      </c>
      <c r="T129" s="7">
        <f ca="1">IF(T128+SUM($C129:S129)&lt;0,-(T128+SUM($C129:S129)),0)</f>
        <v>4550.6694568581297</v>
      </c>
      <c r="U129" s="7">
        <f ca="1">IF(U128+SUM($C129:T129)&lt;0,-(U128+SUM($C129:T129)),0)</f>
        <v>0</v>
      </c>
      <c r="V129" s="7">
        <f ca="1">IF(V128+SUM($C129:U129)&lt;0,-(V128+SUM($C129:U129)),0)</f>
        <v>0</v>
      </c>
      <c r="W129" s="7">
        <f ca="1">IF(W128+SUM($C129:V129)&lt;0,-(W128+SUM($C129:V129)),0)</f>
        <v>0</v>
      </c>
      <c r="X129" s="7">
        <f ca="1">IF(X128+SUM($C129:W129)&lt;0,-(X128+SUM($C129:W129)),0)</f>
        <v>0</v>
      </c>
      <c r="Y129" s="7">
        <f ca="1">IF(Y128+SUM($C129:X129)&lt;0,-(Y128+SUM($C129:X129)),0)</f>
        <v>36.051755766326096</v>
      </c>
      <c r="Z129" s="7">
        <f ca="1">IF(Z128+SUM($C129:Y129)&lt;0,-(Z128+SUM($C129:Y129)),0)</f>
        <v>15862.067735542834</v>
      </c>
      <c r="AA129" s="7">
        <f ca="1">IF(AA128+SUM($C129:Z129)&lt;0,-(AA128+SUM($C129:Z129)),0)</f>
        <v>15951.480028137274</v>
      </c>
      <c r="AB129" s="7">
        <f ca="1">IF(AB128+SUM($C129:AA129)&lt;0,-(AB128+SUM($C129:AA129)),0)</f>
        <v>16033.913446022838</v>
      </c>
      <c r="AC129" s="7">
        <f ca="1">IF(AC128+SUM($C129:AB129)&lt;0,-(AC128+SUM($C129:AB129)),0)</f>
        <v>16108.917091870971</v>
      </c>
      <c r="AD129" s="7">
        <f ca="1">IF(AD128+SUM($C129:AC129)&lt;0,-(AD128+SUM($C129:AC129)),0)</f>
        <v>16176.020503156236</v>
      </c>
      <c r="AE129" s="7">
        <f ca="1">IF(AE128+SUM($C129:AD129)&lt;0,-(AE128+SUM($C129:AD129)),0)</f>
        <v>6252.2578204572201</v>
      </c>
      <c r="AF129" s="7">
        <f ca="1">IF(AF128+SUM($C129:AE129)&lt;0,-(AF128+SUM($C129:AE129)),0)</f>
        <v>6052.5055214319727</v>
      </c>
      <c r="AG129" s="7">
        <f ca="1">IF(AG128+SUM($C129:AF129)&lt;0,-(AG128+SUM($C129:AF129)),0)</f>
        <v>5837.0776525952388</v>
      </c>
      <c r="AH129" s="7">
        <f ca="1">IF(AH128+SUM($C129:AG129)&lt;0,-(AH128+SUM($C129:AG129)),0)</f>
        <v>5605.2618718310259</v>
      </c>
      <c r="AI129" s="7">
        <f ca="1">IF(AI128+SUM($C129:AH129)&lt;0,-(AI128+SUM($C129:AH129)),0)</f>
        <v>5356.3184148855507</v>
      </c>
      <c r="AJ129" s="7">
        <f ca="1">IF(AJ128+SUM($C129:AI129)&lt;0,-(AJ128+SUM($C129:AI129)),0)</f>
        <v>5089.4791214044672</v>
      </c>
      <c r="AK129" s="7">
        <f ca="1">IF(AK128+SUM($C129:AJ129)&lt;0,-(AK128+SUM($C129:AJ129)),0)</f>
        <v>4803.9464279701933</v>
      </c>
      <c r="AL129" s="7">
        <f ca="1">IF(AL128+SUM($C129:AK129)&lt;0,-(AL128+SUM($C129:AK129)),0)</f>
        <v>4498.8923270564992</v>
      </c>
      <c r="AM129" s="7">
        <f ca="1">IF(AM128+SUM($C129:AL129)&lt;0,-(AM128+SUM($C129:AL129)),0)</f>
        <v>4173.4572907711845</v>
      </c>
    </row>
    <row r="130" spans="1:39" x14ac:dyDescent="0.2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</row>
    <row r="131" spans="1:39" x14ac:dyDescent="0.2">
      <c r="A131" s="24" t="str">
        <f>IF(Inputs!$B$289=6,IFERROR(_xlfn.XLOOKUP($B131,Inputs!$B$290:$B$299,Inputs!$A$290:$A$299,,0,1),""),IFERROR(_xlfn.XLOOKUP($B131,Inputs!$C$290:$C$299,Inputs!$A$290:$A$299,,0,1),""))</f>
        <v>Car</v>
      </c>
      <c r="B131" s="26">
        <v>2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</row>
    <row r="132" spans="1:39" x14ac:dyDescent="0.2">
      <c r="A132" s="3" t="s">
        <v>21</v>
      </c>
      <c r="C132" s="7">
        <f ca="1">IFERROR(VLOOKUP($A131,$A$67:$H$96,C$1+2,FALSE),0)</f>
        <v>38490.424009238486</v>
      </c>
      <c r="D132" s="7">
        <f ca="1">C135</f>
        <v>0</v>
      </c>
      <c r="E132" s="7">
        <f t="shared" ref="E132:AM132" ca="1" si="65">D135</f>
        <v>0</v>
      </c>
      <c r="F132" s="7">
        <f t="shared" ca="1" si="65"/>
        <v>0</v>
      </c>
      <c r="G132" s="7">
        <f t="shared" ca="1" si="65"/>
        <v>0</v>
      </c>
      <c r="H132" s="7">
        <f t="shared" ca="1" si="65"/>
        <v>0</v>
      </c>
      <c r="I132" s="7">
        <f t="shared" ca="1" si="65"/>
        <v>0</v>
      </c>
      <c r="J132" s="7">
        <f t="shared" ca="1" si="65"/>
        <v>0</v>
      </c>
      <c r="K132" s="7">
        <f t="shared" ca="1" si="65"/>
        <v>0</v>
      </c>
      <c r="L132" s="7">
        <f t="shared" ca="1" si="65"/>
        <v>0</v>
      </c>
      <c r="M132" s="7">
        <f t="shared" ca="1" si="65"/>
        <v>0</v>
      </c>
      <c r="N132" s="7">
        <f t="shared" ca="1" si="65"/>
        <v>0</v>
      </c>
      <c r="O132" s="7">
        <f t="shared" ca="1" si="65"/>
        <v>0</v>
      </c>
      <c r="P132" s="7">
        <f t="shared" ca="1" si="65"/>
        <v>0</v>
      </c>
      <c r="Q132" s="7">
        <f t="shared" ca="1" si="65"/>
        <v>0</v>
      </c>
      <c r="R132" s="7">
        <f t="shared" ca="1" si="65"/>
        <v>0</v>
      </c>
      <c r="S132" s="7">
        <f t="shared" ca="1" si="65"/>
        <v>0</v>
      </c>
      <c r="T132" s="7">
        <f t="shared" ca="1" si="65"/>
        <v>0</v>
      </c>
      <c r="U132" s="7">
        <f t="shared" ca="1" si="65"/>
        <v>0</v>
      </c>
      <c r="V132" s="7">
        <f t="shared" ca="1" si="65"/>
        <v>0</v>
      </c>
      <c r="W132" s="7">
        <f t="shared" ca="1" si="65"/>
        <v>0</v>
      </c>
      <c r="X132" s="7">
        <f t="shared" ca="1" si="65"/>
        <v>0</v>
      </c>
      <c r="Y132" s="7">
        <f t="shared" ca="1" si="65"/>
        <v>0</v>
      </c>
      <c r="Z132" s="7">
        <f t="shared" ca="1" si="65"/>
        <v>0</v>
      </c>
      <c r="AA132" s="7">
        <f t="shared" ca="1" si="65"/>
        <v>0</v>
      </c>
      <c r="AB132" s="7">
        <f t="shared" ca="1" si="65"/>
        <v>0</v>
      </c>
      <c r="AC132" s="7">
        <f t="shared" ca="1" si="65"/>
        <v>0</v>
      </c>
      <c r="AD132" s="7">
        <f t="shared" ca="1" si="65"/>
        <v>0</v>
      </c>
      <c r="AE132" s="7">
        <f t="shared" ca="1" si="65"/>
        <v>0</v>
      </c>
      <c r="AF132" s="7">
        <f t="shared" ca="1" si="65"/>
        <v>0</v>
      </c>
      <c r="AG132" s="7">
        <f t="shared" ca="1" si="65"/>
        <v>0</v>
      </c>
      <c r="AH132" s="7">
        <f t="shared" ca="1" si="65"/>
        <v>0</v>
      </c>
      <c r="AI132" s="7">
        <f t="shared" ca="1" si="65"/>
        <v>0</v>
      </c>
      <c r="AJ132" s="7">
        <f t="shared" ca="1" si="65"/>
        <v>0</v>
      </c>
      <c r="AK132" s="7">
        <f t="shared" ca="1" si="65"/>
        <v>0</v>
      </c>
      <c r="AL132" s="7">
        <f t="shared" ca="1" si="65"/>
        <v>0</v>
      </c>
      <c r="AM132" s="7">
        <f t="shared" ca="1" si="65"/>
        <v>0</v>
      </c>
    </row>
    <row r="133" spans="1:39" x14ac:dyDescent="0.2">
      <c r="A133" s="3" t="s">
        <v>22</v>
      </c>
      <c r="C133" s="7">
        <f ca="1">-IF(D129&gt;0,C132,0)</f>
        <v>-38490.424009238486</v>
      </c>
      <c r="D133" s="7">
        <f ca="1">-IF(E129&gt;0,D132,0)</f>
        <v>0</v>
      </c>
      <c r="E133" s="7">
        <f ca="1">-IF(F129&gt;0,E132,0)</f>
        <v>0</v>
      </c>
      <c r="F133" s="7">
        <f ca="1">-IF(G129&gt;0,F132,0)</f>
        <v>0</v>
      </c>
      <c r="G133" s="7">
        <f t="shared" ref="G133:AM133" ca="1" si="66">-IF(H129&gt;0,G132,0)</f>
        <v>0</v>
      </c>
      <c r="H133" s="7">
        <f t="shared" ca="1" si="66"/>
        <v>0</v>
      </c>
      <c r="I133" s="7">
        <f t="shared" ca="1" si="66"/>
        <v>0</v>
      </c>
      <c r="J133" s="7">
        <f t="shared" ca="1" si="66"/>
        <v>0</v>
      </c>
      <c r="K133" s="7">
        <f t="shared" ca="1" si="66"/>
        <v>0</v>
      </c>
      <c r="L133" s="7">
        <f t="shared" ca="1" si="66"/>
        <v>0</v>
      </c>
      <c r="M133" s="7">
        <f t="shared" ca="1" si="66"/>
        <v>0</v>
      </c>
      <c r="N133" s="7">
        <f t="shared" ca="1" si="66"/>
        <v>0</v>
      </c>
      <c r="O133" s="7">
        <f t="shared" ca="1" si="66"/>
        <v>0</v>
      </c>
      <c r="P133" s="7">
        <f t="shared" ca="1" si="66"/>
        <v>0</v>
      </c>
      <c r="Q133" s="7">
        <f t="shared" ca="1" si="66"/>
        <v>0</v>
      </c>
      <c r="R133" s="7">
        <f t="shared" ca="1" si="66"/>
        <v>0</v>
      </c>
      <c r="S133" s="7">
        <f t="shared" ca="1" si="66"/>
        <v>0</v>
      </c>
      <c r="T133" s="7">
        <f t="shared" ca="1" si="66"/>
        <v>0</v>
      </c>
      <c r="U133" s="7">
        <f t="shared" ca="1" si="66"/>
        <v>0</v>
      </c>
      <c r="V133" s="7">
        <f t="shared" ca="1" si="66"/>
        <v>0</v>
      </c>
      <c r="W133" s="7">
        <f t="shared" ca="1" si="66"/>
        <v>0</v>
      </c>
      <c r="X133" s="7">
        <f t="shared" ca="1" si="66"/>
        <v>0</v>
      </c>
      <c r="Y133" s="7">
        <f t="shared" ca="1" si="66"/>
        <v>0</v>
      </c>
      <c r="Z133" s="7">
        <f t="shared" ca="1" si="66"/>
        <v>0</v>
      </c>
      <c r="AA133" s="7">
        <f t="shared" ca="1" si="66"/>
        <v>0</v>
      </c>
      <c r="AB133" s="7">
        <f t="shared" ca="1" si="66"/>
        <v>0</v>
      </c>
      <c r="AC133" s="7">
        <f t="shared" ca="1" si="66"/>
        <v>0</v>
      </c>
      <c r="AD133" s="7">
        <f t="shared" ca="1" si="66"/>
        <v>0</v>
      </c>
      <c r="AE133" s="7">
        <f t="shared" ca="1" si="66"/>
        <v>0</v>
      </c>
      <c r="AF133" s="7">
        <f t="shared" ca="1" si="66"/>
        <v>0</v>
      </c>
      <c r="AG133" s="7">
        <f t="shared" ca="1" si="66"/>
        <v>0</v>
      </c>
      <c r="AH133" s="7">
        <f t="shared" ca="1" si="66"/>
        <v>0</v>
      </c>
      <c r="AI133" s="7">
        <f t="shared" ca="1" si="66"/>
        <v>0</v>
      </c>
      <c r="AJ133" s="7">
        <f t="shared" ca="1" si="66"/>
        <v>0</v>
      </c>
      <c r="AK133" s="7">
        <f t="shared" ca="1" si="66"/>
        <v>0</v>
      </c>
      <c r="AL133" s="7">
        <f t="shared" ca="1" si="66"/>
        <v>0</v>
      </c>
      <c r="AM133" s="7">
        <f t="shared" si="66"/>
        <v>0</v>
      </c>
    </row>
    <row r="134" spans="1:39" x14ac:dyDescent="0.2">
      <c r="A134" s="3" t="s">
        <v>23</v>
      </c>
      <c r="C134" s="7">
        <v>0</v>
      </c>
      <c r="D134" s="7">
        <f t="shared" ref="D134:AM134" ca="1" si="67">SUM(D132:D133)*VLOOKUP($A131,AssVar,2,FALSE)</f>
        <v>0</v>
      </c>
      <c r="E134" s="7">
        <f t="shared" ca="1" si="67"/>
        <v>0</v>
      </c>
      <c r="F134" s="7">
        <f t="shared" ca="1" si="67"/>
        <v>0</v>
      </c>
      <c r="G134" s="7">
        <f t="shared" ca="1" si="67"/>
        <v>0</v>
      </c>
      <c r="H134" s="7">
        <f t="shared" ca="1" si="67"/>
        <v>0</v>
      </c>
      <c r="I134" s="7">
        <f t="shared" ca="1" si="67"/>
        <v>0</v>
      </c>
      <c r="J134" s="7">
        <f t="shared" ca="1" si="67"/>
        <v>0</v>
      </c>
      <c r="K134" s="7">
        <f t="shared" ca="1" si="67"/>
        <v>0</v>
      </c>
      <c r="L134" s="7">
        <f t="shared" ca="1" si="67"/>
        <v>0</v>
      </c>
      <c r="M134" s="7">
        <f t="shared" ca="1" si="67"/>
        <v>0</v>
      </c>
      <c r="N134" s="7">
        <f t="shared" ca="1" si="67"/>
        <v>0</v>
      </c>
      <c r="O134" s="7">
        <f t="shared" ca="1" si="67"/>
        <v>0</v>
      </c>
      <c r="P134" s="7">
        <f t="shared" ca="1" si="67"/>
        <v>0</v>
      </c>
      <c r="Q134" s="7">
        <f t="shared" ca="1" si="67"/>
        <v>0</v>
      </c>
      <c r="R134" s="7">
        <f t="shared" ca="1" si="67"/>
        <v>0</v>
      </c>
      <c r="S134" s="7">
        <f t="shared" ca="1" si="67"/>
        <v>0</v>
      </c>
      <c r="T134" s="7">
        <f t="shared" ca="1" si="67"/>
        <v>0</v>
      </c>
      <c r="U134" s="7">
        <f t="shared" ca="1" si="67"/>
        <v>0</v>
      </c>
      <c r="V134" s="7">
        <f t="shared" ca="1" si="67"/>
        <v>0</v>
      </c>
      <c r="W134" s="7">
        <f t="shared" ca="1" si="67"/>
        <v>0</v>
      </c>
      <c r="X134" s="7">
        <f t="shared" ca="1" si="67"/>
        <v>0</v>
      </c>
      <c r="Y134" s="7">
        <f t="shared" ca="1" si="67"/>
        <v>0</v>
      </c>
      <c r="Z134" s="7">
        <f t="shared" ca="1" si="67"/>
        <v>0</v>
      </c>
      <c r="AA134" s="7">
        <f t="shared" ca="1" si="67"/>
        <v>0</v>
      </c>
      <c r="AB134" s="7">
        <f t="shared" ca="1" si="67"/>
        <v>0</v>
      </c>
      <c r="AC134" s="7">
        <f t="shared" ca="1" si="67"/>
        <v>0</v>
      </c>
      <c r="AD134" s="7">
        <f t="shared" ca="1" si="67"/>
        <v>0</v>
      </c>
      <c r="AE134" s="7">
        <f t="shared" ca="1" si="67"/>
        <v>0</v>
      </c>
      <c r="AF134" s="7">
        <f t="shared" ca="1" si="67"/>
        <v>0</v>
      </c>
      <c r="AG134" s="7">
        <f t="shared" ca="1" si="67"/>
        <v>0</v>
      </c>
      <c r="AH134" s="7">
        <f t="shared" ca="1" si="67"/>
        <v>0</v>
      </c>
      <c r="AI134" s="7">
        <f t="shared" ca="1" si="67"/>
        <v>0</v>
      </c>
      <c r="AJ134" s="7">
        <f t="shared" ca="1" si="67"/>
        <v>0</v>
      </c>
      <c r="AK134" s="7">
        <f t="shared" ca="1" si="67"/>
        <v>0</v>
      </c>
      <c r="AL134" s="7">
        <f t="shared" ca="1" si="67"/>
        <v>0</v>
      </c>
      <c r="AM134" s="7">
        <f t="shared" ca="1" si="67"/>
        <v>0</v>
      </c>
    </row>
    <row r="135" spans="1:39" x14ac:dyDescent="0.2">
      <c r="A135" s="3" t="s">
        <v>24</v>
      </c>
      <c r="C135" s="7">
        <f ca="1">SUM(C132:C134)</f>
        <v>0</v>
      </c>
      <c r="D135" s="7">
        <f t="shared" ref="D135:AM135" ca="1" si="68">SUM(D132:D134)</f>
        <v>0</v>
      </c>
      <c r="E135" s="7">
        <f t="shared" ca="1" si="68"/>
        <v>0</v>
      </c>
      <c r="F135" s="7">
        <f t="shared" ca="1" si="68"/>
        <v>0</v>
      </c>
      <c r="G135" s="7">
        <f t="shared" ca="1" si="68"/>
        <v>0</v>
      </c>
      <c r="H135" s="7">
        <f t="shared" ca="1" si="68"/>
        <v>0</v>
      </c>
      <c r="I135" s="7">
        <f t="shared" ca="1" si="68"/>
        <v>0</v>
      </c>
      <c r="J135" s="7">
        <f t="shared" ca="1" si="68"/>
        <v>0</v>
      </c>
      <c r="K135" s="7">
        <f t="shared" ca="1" si="68"/>
        <v>0</v>
      </c>
      <c r="L135" s="7">
        <f t="shared" ca="1" si="68"/>
        <v>0</v>
      </c>
      <c r="M135" s="7">
        <f t="shared" ca="1" si="68"/>
        <v>0</v>
      </c>
      <c r="N135" s="7">
        <f t="shared" ca="1" si="68"/>
        <v>0</v>
      </c>
      <c r="O135" s="7">
        <f t="shared" ca="1" si="68"/>
        <v>0</v>
      </c>
      <c r="P135" s="7">
        <f t="shared" ca="1" si="68"/>
        <v>0</v>
      </c>
      <c r="Q135" s="7">
        <f t="shared" ca="1" si="68"/>
        <v>0</v>
      </c>
      <c r="R135" s="7">
        <f t="shared" ca="1" si="68"/>
        <v>0</v>
      </c>
      <c r="S135" s="7">
        <f t="shared" ca="1" si="68"/>
        <v>0</v>
      </c>
      <c r="T135" s="7">
        <f t="shared" ca="1" si="68"/>
        <v>0</v>
      </c>
      <c r="U135" s="7">
        <f t="shared" ca="1" si="68"/>
        <v>0</v>
      </c>
      <c r="V135" s="7">
        <f t="shared" ca="1" si="68"/>
        <v>0</v>
      </c>
      <c r="W135" s="7">
        <f t="shared" ca="1" si="68"/>
        <v>0</v>
      </c>
      <c r="X135" s="7">
        <f t="shared" ca="1" si="68"/>
        <v>0</v>
      </c>
      <c r="Y135" s="7">
        <f t="shared" ca="1" si="68"/>
        <v>0</v>
      </c>
      <c r="Z135" s="7">
        <f t="shared" ca="1" si="68"/>
        <v>0</v>
      </c>
      <c r="AA135" s="7">
        <f t="shared" ca="1" si="68"/>
        <v>0</v>
      </c>
      <c r="AB135" s="7">
        <f t="shared" ca="1" si="68"/>
        <v>0</v>
      </c>
      <c r="AC135" s="7">
        <f t="shared" ca="1" si="68"/>
        <v>0</v>
      </c>
      <c r="AD135" s="7">
        <f t="shared" ca="1" si="68"/>
        <v>0</v>
      </c>
      <c r="AE135" s="7">
        <f t="shared" ca="1" si="68"/>
        <v>0</v>
      </c>
      <c r="AF135" s="7">
        <f t="shared" ca="1" si="68"/>
        <v>0</v>
      </c>
      <c r="AG135" s="7">
        <f t="shared" ca="1" si="68"/>
        <v>0</v>
      </c>
      <c r="AH135" s="7">
        <f t="shared" ca="1" si="68"/>
        <v>0</v>
      </c>
      <c r="AI135" s="7">
        <f t="shared" ca="1" si="68"/>
        <v>0</v>
      </c>
      <c r="AJ135" s="7">
        <f t="shared" ca="1" si="68"/>
        <v>0</v>
      </c>
      <c r="AK135" s="7">
        <f t="shared" ca="1" si="68"/>
        <v>0</v>
      </c>
      <c r="AL135" s="7">
        <f t="shared" ca="1" si="68"/>
        <v>0</v>
      </c>
      <c r="AM135" s="7">
        <f t="shared" ca="1" si="68"/>
        <v>0</v>
      </c>
    </row>
    <row r="136" spans="1:39" x14ac:dyDescent="0.2">
      <c r="A136" s="3" t="s">
        <v>25</v>
      </c>
      <c r="C136" s="7">
        <f t="shared" ref="C136:AM136" ca="1" si="69">C133*VLOOKUP($A131,AssVar,3,FALSE)</f>
        <v>-769.80848018476979</v>
      </c>
      <c r="D136" s="7">
        <f t="shared" ca="1" si="69"/>
        <v>0</v>
      </c>
      <c r="E136" s="7">
        <f t="shared" ca="1" si="69"/>
        <v>0</v>
      </c>
      <c r="F136" s="7">
        <f t="shared" ca="1" si="69"/>
        <v>0</v>
      </c>
      <c r="G136" s="7">
        <f t="shared" ca="1" si="69"/>
        <v>0</v>
      </c>
      <c r="H136" s="7">
        <f t="shared" ca="1" si="69"/>
        <v>0</v>
      </c>
      <c r="I136" s="7">
        <f t="shared" ca="1" si="69"/>
        <v>0</v>
      </c>
      <c r="J136" s="7">
        <f t="shared" ca="1" si="69"/>
        <v>0</v>
      </c>
      <c r="K136" s="7">
        <f t="shared" ca="1" si="69"/>
        <v>0</v>
      </c>
      <c r="L136" s="7">
        <f t="shared" ca="1" si="69"/>
        <v>0</v>
      </c>
      <c r="M136" s="7">
        <f t="shared" ca="1" si="69"/>
        <v>0</v>
      </c>
      <c r="N136" s="7">
        <f t="shared" ca="1" si="69"/>
        <v>0</v>
      </c>
      <c r="O136" s="7">
        <f t="shared" ca="1" si="69"/>
        <v>0</v>
      </c>
      <c r="P136" s="7">
        <f t="shared" ca="1" si="69"/>
        <v>0</v>
      </c>
      <c r="Q136" s="7">
        <f t="shared" ca="1" si="69"/>
        <v>0</v>
      </c>
      <c r="R136" s="7">
        <f t="shared" ca="1" si="69"/>
        <v>0</v>
      </c>
      <c r="S136" s="7">
        <f t="shared" ca="1" si="69"/>
        <v>0</v>
      </c>
      <c r="T136" s="7">
        <f t="shared" ca="1" si="69"/>
        <v>0</v>
      </c>
      <c r="U136" s="7">
        <f t="shared" ca="1" si="69"/>
        <v>0</v>
      </c>
      <c r="V136" s="7">
        <f t="shared" ca="1" si="69"/>
        <v>0</v>
      </c>
      <c r="W136" s="7">
        <f t="shared" ca="1" si="69"/>
        <v>0</v>
      </c>
      <c r="X136" s="7">
        <f t="shared" ca="1" si="69"/>
        <v>0</v>
      </c>
      <c r="Y136" s="7">
        <f t="shared" ca="1" si="69"/>
        <v>0</v>
      </c>
      <c r="Z136" s="7">
        <f t="shared" ca="1" si="69"/>
        <v>0</v>
      </c>
      <c r="AA136" s="7">
        <f t="shared" ca="1" si="69"/>
        <v>0</v>
      </c>
      <c r="AB136" s="7">
        <f t="shared" ca="1" si="69"/>
        <v>0</v>
      </c>
      <c r="AC136" s="7">
        <f t="shared" ca="1" si="69"/>
        <v>0</v>
      </c>
      <c r="AD136" s="7">
        <f t="shared" ca="1" si="69"/>
        <v>0</v>
      </c>
      <c r="AE136" s="7">
        <f t="shared" ca="1" si="69"/>
        <v>0</v>
      </c>
      <c r="AF136" s="7">
        <f t="shared" ca="1" si="69"/>
        <v>0</v>
      </c>
      <c r="AG136" s="7">
        <f t="shared" ca="1" si="69"/>
        <v>0</v>
      </c>
      <c r="AH136" s="7">
        <f t="shared" ca="1" si="69"/>
        <v>0</v>
      </c>
      <c r="AI136" s="7">
        <f t="shared" ca="1" si="69"/>
        <v>0</v>
      </c>
      <c r="AJ136" s="7">
        <f t="shared" ca="1" si="69"/>
        <v>0</v>
      </c>
      <c r="AK136" s="7">
        <f t="shared" ca="1" si="69"/>
        <v>0</v>
      </c>
      <c r="AL136" s="7">
        <f t="shared" ca="1" si="69"/>
        <v>0</v>
      </c>
      <c r="AM136" s="7">
        <f t="shared" si="69"/>
        <v>0</v>
      </c>
    </row>
    <row r="137" spans="1:39" x14ac:dyDescent="0.2">
      <c r="A137" s="3" t="s">
        <v>30</v>
      </c>
      <c r="C137" s="7">
        <f t="shared" ref="C137:AM137" ca="1" si="70">IFERROR(-IF(C132=0,VLOOKUP($A131,$8:$12,C$1+2,FALSE),0),0)</f>
        <v>0</v>
      </c>
      <c r="D137" s="7">
        <f t="shared" ca="1" si="70"/>
        <v>0</v>
      </c>
      <c r="E137" s="7">
        <f t="shared" ca="1" si="70"/>
        <v>0</v>
      </c>
      <c r="F137" s="7">
        <f t="shared" ca="1" si="70"/>
        <v>0</v>
      </c>
      <c r="G137" s="7">
        <f t="shared" ca="1" si="70"/>
        <v>0</v>
      </c>
      <c r="H137" s="7">
        <f t="shared" ca="1" si="70"/>
        <v>0</v>
      </c>
      <c r="I137" s="7">
        <f t="shared" ca="1" si="70"/>
        <v>0</v>
      </c>
      <c r="J137" s="7">
        <f t="shared" ca="1" si="70"/>
        <v>0</v>
      </c>
      <c r="K137" s="7">
        <f t="shared" ca="1" si="70"/>
        <v>0</v>
      </c>
      <c r="L137" s="7">
        <f t="shared" ca="1" si="70"/>
        <v>0</v>
      </c>
      <c r="M137" s="7">
        <f t="shared" ca="1" si="70"/>
        <v>0</v>
      </c>
      <c r="N137" s="7">
        <f t="shared" ca="1" si="70"/>
        <v>0</v>
      </c>
      <c r="O137" s="7">
        <f t="shared" ca="1" si="70"/>
        <v>0</v>
      </c>
      <c r="P137" s="7">
        <f t="shared" ca="1" si="70"/>
        <v>0</v>
      </c>
      <c r="Q137" s="7">
        <f t="shared" ca="1" si="70"/>
        <v>0</v>
      </c>
      <c r="R137" s="7">
        <f t="shared" ca="1" si="70"/>
        <v>0</v>
      </c>
      <c r="S137" s="7">
        <f t="shared" ca="1" si="70"/>
        <v>0</v>
      </c>
      <c r="T137" s="7">
        <f t="shared" ca="1" si="70"/>
        <v>0</v>
      </c>
      <c r="U137" s="7">
        <f t="shared" ca="1" si="70"/>
        <v>0</v>
      </c>
      <c r="V137" s="7">
        <f t="shared" ca="1" si="70"/>
        <v>0</v>
      </c>
      <c r="W137" s="7">
        <f t="shared" ca="1" si="70"/>
        <v>0</v>
      </c>
      <c r="X137" s="7">
        <f t="shared" ca="1" si="70"/>
        <v>0</v>
      </c>
      <c r="Y137" s="7">
        <f t="shared" ca="1" si="70"/>
        <v>0</v>
      </c>
      <c r="Z137" s="7">
        <f t="shared" ca="1" si="70"/>
        <v>0</v>
      </c>
      <c r="AA137" s="7">
        <f t="shared" ca="1" si="70"/>
        <v>0</v>
      </c>
      <c r="AB137" s="7">
        <f t="shared" ca="1" si="70"/>
        <v>0</v>
      </c>
      <c r="AC137" s="7">
        <f t="shared" ca="1" si="70"/>
        <v>0</v>
      </c>
      <c r="AD137" s="7">
        <f t="shared" ca="1" si="70"/>
        <v>0</v>
      </c>
      <c r="AE137" s="7">
        <f t="shared" ca="1" si="70"/>
        <v>0</v>
      </c>
      <c r="AF137" s="7">
        <f t="shared" ca="1" si="70"/>
        <v>0</v>
      </c>
      <c r="AG137" s="7">
        <f t="shared" ca="1" si="70"/>
        <v>0</v>
      </c>
      <c r="AH137" s="7">
        <f t="shared" ca="1" si="70"/>
        <v>0</v>
      </c>
      <c r="AI137" s="7">
        <f t="shared" ca="1" si="70"/>
        <v>0</v>
      </c>
      <c r="AJ137" s="7">
        <f t="shared" ca="1" si="70"/>
        <v>0</v>
      </c>
      <c r="AK137" s="7">
        <f t="shared" ca="1" si="70"/>
        <v>0</v>
      </c>
      <c r="AL137" s="7">
        <f t="shared" ca="1" si="70"/>
        <v>0</v>
      </c>
      <c r="AM137" s="7">
        <f t="shared" ca="1" si="70"/>
        <v>0</v>
      </c>
    </row>
    <row r="138" spans="1:39" x14ac:dyDescent="0.2">
      <c r="A138" s="3" t="s">
        <v>49</v>
      </c>
      <c r="C138" s="7">
        <f t="shared" ref="C138:AM138" ca="1" si="71">IFERROR(IF(C132=0,VLOOKUP($A131,$46:$50,C$1+2,FALSE),0),0)</f>
        <v>0</v>
      </c>
      <c r="D138" s="7">
        <f t="shared" ca="1" si="71"/>
        <v>0</v>
      </c>
      <c r="E138" s="7">
        <f t="shared" ca="1" si="71"/>
        <v>0</v>
      </c>
      <c r="F138" s="7">
        <f t="shared" ca="1" si="71"/>
        <v>0</v>
      </c>
      <c r="G138" s="7">
        <f t="shared" ca="1" si="71"/>
        <v>0</v>
      </c>
      <c r="H138" s="7">
        <f t="shared" ca="1" si="71"/>
        <v>0</v>
      </c>
      <c r="I138" s="7">
        <f t="shared" ca="1" si="71"/>
        <v>0</v>
      </c>
      <c r="J138" s="7">
        <f t="shared" ca="1" si="71"/>
        <v>0</v>
      </c>
      <c r="K138" s="7">
        <f t="shared" ca="1" si="71"/>
        <v>0</v>
      </c>
      <c r="L138" s="7">
        <f t="shared" ca="1" si="71"/>
        <v>0</v>
      </c>
      <c r="M138" s="7">
        <f t="shared" ca="1" si="71"/>
        <v>0</v>
      </c>
      <c r="N138" s="7">
        <f t="shared" ca="1" si="71"/>
        <v>0</v>
      </c>
      <c r="O138" s="7">
        <f t="shared" ca="1" si="71"/>
        <v>0</v>
      </c>
      <c r="P138" s="7">
        <f t="shared" ca="1" si="71"/>
        <v>0</v>
      </c>
      <c r="Q138" s="7">
        <f t="shared" ca="1" si="71"/>
        <v>0</v>
      </c>
      <c r="R138" s="7">
        <f t="shared" ca="1" si="71"/>
        <v>0</v>
      </c>
      <c r="S138" s="7">
        <f t="shared" ca="1" si="71"/>
        <v>0</v>
      </c>
      <c r="T138" s="7">
        <f t="shared" ca="1" si="71"/>
        <v>0</v>
      </c>
      <c r="U138" s="7">
        <f t="shared" ca="1" si="71"/>
        <v>0</v>
      </c>
      <c r="V138" s="7">
        <f t="shared" ca="1" si="71"/>
        <v>0</v>
      </c>
      <c r="W138" s="7">
        <f t="shared" ca="1" si="71"/>
        <v>0</v>
      </c>
      <c r="X138" s="7">
        <f t="shared" ca="1" si="71"/>
        <v>0</v>
      </c>
      <c r="Y138" s="7">
        <f t="shared" ca="1" si="71"/>
        <v>0</v>
      </c>
      <c r="Z138" s="7">
        <f t="shared" ca="1" si="71"/>
        <v>0</v>
      </c>
      <c r="AA138" s="7">
        <f t="shared" ca="1" si="71"/>
        <v>0</v>
      </c>
      <c r="AB138" s="7">
        <f t="shared" ca="1" si="71"/>
        <v>0</v>
      </c>
      <c r="AC138" s="7">
        <f t="shared" ca="1" si="71"/>
        <v>0</v>
      </c>
      <c r="AD138" s="7">
        <f t="shared" ca="1" si="71"/>
        <v>0</v>
      </c>
      <c r="AE138" s="7">
        <f t="shared" ca="1" si="71"/>
        <v>0</v>
      </c>
      <c r="AF138" s="7">
        <f t="shared" ca="1" si="71"/>
        <v>0</v>
      </c>
      <c r="AG138" s="7">
        <f t="shared" ca="1" si="71"/>
        <v>0</v>
      </c>
      <c r="AH138" s="7">
        <f t="shared" ca="1" si="71"/>
        <v>0</v>
      </c>
      <c r="AI138" s="7">
        <f t="shared" ca="1" si="71"/>
        <v>0</v>
      </c>
      <c r="AJ138" s="7">
        <f t="shared" ca="1" si="71"/>
        <v>0</v>
      </c>
      <c r="AK138" s="7">
        <f t="shared" ca="1" si="71"/>
        <v>0</v>
      </c>
      <c r="AL138" s="7">
        <f t="shared" ca="1" si="71"/>
        <v>0</v>
      </c>
      <c r="AM138" s="7">
        <f t="shared" ca="1" si="71"/>
        <v>0</v>
      </c>
    </row>
    <row r="139" spans="1:39" x14ac:dyDescent="0.2">
      <c r="A139" s="3" t="s">
        <v>35</v>
      </c>
      <c r="B139" s="14" t="str">
        <f>A131</f>
        <v>Car</v>
      </c>
      <c r="C139" s="7">
        <f t="shared" ref="C139:AM139" ca="1" si="72">IF(AND(C132&gt;0,C135=0),VLOOKUP($A131,$85:$94,C$1+2,FALSE),0)</f>
        <v>-5311.4222222593407</v>
      </c>
      <c r="D139" s="7">
        <f t="shared" ca="1" si="72"/>
        <v>0</v>
      </c>
      <c r="E139" s="7">
        <f t="shared" ca="1" si="72"/>
        <v>0</v>
      </c>
      <c r="F139" s="7">
        <f t="shared" ca="1" si="72"/>
        <v>0</v>
      </c>
      <c r="G139" s="7">
        <f t="shared" ca="1" si="72"/>
        <v>0</v>
      </c>
      <c r="H139" s="7">
        <f t="shared" ca="1" si="72"/>
        <v>0</v>
      </c>
      <c r="I139" s="7">
        <f t="shared" ca="1" si="72"/>
        <v>0</v>
      </c>
      <c r="J139" s="7">
        <f t="shared" ca="1" si="72"/>
        <v>0</v>
      </c>
      <c r="K139" s="7">
        <f t="shared" ca="1" si="72"/>
        <v>0</v>
      </c>
      <c r="L139" s="7">
        <f t="shared" ca="1" si="72"/>
        <v>0</v>
      </c>
      <c r="M139" s="7">
        <f t="shared" ca="1" si="72"/>
        <v>0</v>
      </c>
      <c r="N139" s="7">
        <f t="shared" ca="1" si="72"/>
        <v>0</v>
      </c>
      <c r="O139" s="7">
        <f t="shared" ca="1" si="72"/>
        <v>0</v>
      </c>
      <c r="P139" s="7">
        <f t="shared" ca="1" si="72"/>
        <v>0</v>
      </c>
      <c r="Q139" s="7">
        <f t="shared" ca="1" si="72"/>
        <v>0</v>
      </c>
      <c r="R139" s="7">
        <f t="shared" ca="1" si="72"/>
        <v>0</v>
      </c>
      <c r="S139" s="7">
        <f t="shared" ca="1" si="72"/>
        <v>0</v>
      </c>
      <c r="T139" s="7">
        <f t="shared" ca="1" si="72"/>
        <v>0</v>
      </c>
      <c r="U139" s="7">
        <f t="shared" ca="1" si="72"/>
        <v>0</v>
      </c>
      <c r="V139" s="7">
        <f t="shared" ca="1" si="72"/>
        <v>0</v>
      </c>
      <c r="W139" s="7">
        <f t="shared" ca="1" si="72"/>
        <v>0</v>
      </c>
      <c r="X139" s="7">
        <f t="shared" ca="1" si="72"/>
        <v>0</v>
      </c>
      <c r="Y139" s="7">
        <f t="shared" ca="1" si="72"/>
        <v>0</v>
      </c>
      <c r="Z139" s="7">
        <f t="shared" ca="1" si="72"/>
        <v>0</v>
      </c>
      <c r="AA139" s="7">
        <f t="shared" ca="1" si="72"/>
        <v>0</v>
      </c>
      <c r="AB139" s="7">
        <f t="shared" ca="1" si="72"/>
        <v>0</v>
      </c>
      <c r="AC139" s="7">
        <f t="shared" ca="1" si="72"/>
        <v>0</v>
      </c>
      <c r="AD139" s="7">
        <f t="shared" ca="1" si="72"/>
        <v>0</v>
      </c>
      <c r="AE139" s="7">
        <f t="shared" ca="1" si="72"/>
        <v>0</v>
      </c>
      <c r="AF139" s="7">
        <f t="shared" ca="1" si="72"/>
        <v>0</v>
      </c>
      <c r="AG139" s="7">
        <f t="shared" ca="1" si="72"/>
        <v>0</v>
      </c>
      <c r="AH139" s="7">
        <f t="shared" ca="1" si="72"/>
        <v>0</v>
      </c>
      <c r="AI139" s="7">
        <f t="shared" ca="1" si="72"/>
        <v>0</v>
      </c>
      <c r="AJ139" s="7">
        <f t="shared" ca="1" si="72"/>
        <v>0</v>
      </c>
      <c r="AK139" s="7">
        <f t="shared" ca="1" si="72"/>
        <v>0</v>
      </c>
      <c r="AL139" s="7">
        <f t="shared" ca="1" si="72"/>
        <v>0</v>
      </c>
      <c r="AM139" s="7">
        <f t="shared" ca="1" si="72"/>
        <v>0</v>
      </c>
    </row>
    <row r="140" spans="1:39" x14ac:dyDescent="0.2">
      <c r="A140" s="3" t="s">
        <v>36</v>
      </c>
      <c r="C140" s="7">
        <f ca="1">-C133+SUM(C136:C139)</f>
        <v>32409.193306794376</v>
      </c>
      <c r="D140" s="7">
        <f t="shared" ref="D140" ca="1" si="73">-D133+SUM(D136:D139)</f>
        <v>0</v>
      </c>
      <c r="E140" s="7">
        <f t="shared" ref="E140:AM140" ca="1" si="74">-E133+SUM(E136:E139)</f>
        <v>0</v>
      </c>
      <c r="F140" s="7">
        <f t="shared" ca="1" si="74"/>
        <v>0</v>
      </c>
      <c r="G140" s="7">
        <f t="shared" ca="1" si="74"/>
        <v>0</v>
      </c>
      <c r="H140" s="7">
        <f t="shared" ca="1" si="74"/>
        <v>0</v>
      </c>
      <c r="I140" s="7">
        <f t="shared" ca="1" si="74"/>
        <v>0</v>
      </c>
      <c r="J140" s="7">
        <f t="shared" ca="1" si="74"/>
        <v>0</v>
      </c>
      <c r="K140" s="7">
        <f t="shared" ca="1" si="74"/>
        <v>0</v>
      </c>
      <c r="L140" s="7">
        <f t="shared" ca="1" si="74"/>
        <v>0</v>
      </c>
      <c r="M140" s="7">
        <f t="shared" ca="1" si="74"/>
        <v>0</v>
      </c>
      <c r="N140" s="7">
        <f t="shared" ca="1" si="74"/>
        <v>0</v>
      </c>
      <c r="O140" s="7">
        <f t="shared" ca="1" si="74"/>
        <v>0</v>
      </c>
      <c r="P140" s="7">
        <f t="shared" ca="1" si="74"/>
        <v>0</v>
      </c>
      <c r="Q140" s="7">
        <f t="shared" ca="1" si="74"/>
        <v>0</v>
      </c>
      <c r="R140" s="7">
        <f t="shared" ca="1" si="74"/>
        <v>0</v>
      </c>
      <c r="S140" s="7">
        <f t="shared" ca="1" si="74"/>
        <v>0</v>
      </c>
      <c r="T140" s="7">
        <f t="shared" ca="1" si="74"/>
        <v>0</v>
      </c>
      <c r="U140" s="7">
        <f t="shared" ca="1" si="74"/>
        <v>0</v>
      </c>
      <c r="V140" s="7">
        <f t="shared" ca="1" si="74"/>
        <v>0</v>
      </c>
      <c r="W140" s="7">
        <f t="shared" ca="1" si="74"/>
        <v>0</v>
      </c>
      <c r="X140" s="7">
        <f t="shared" ca="1" si="74"/>
        <v>0</v>
      </c>
      <c r="Y140" s="7">
        <f t="shared" ca="1" si="74"/>
        <v>0</v>
      </c>
      <c r="Z140" s="7">
        <f t="shared" ca="1" si="74"/>
        <v>0</v>
      </c>
      <c r="AA140" s="7">
        <f t="shared" ca="1" si="74"/>
        <v>0</v>
      </c>
      <c r="AB140" s="7">
        <f t="shared" ca="1" si="74"/>
        <v>0</v>
      </c>
      <c r="AC140" s="7">
        <f t="shared" ca="1" si="74"/>
        <v>0</v>
      </c>
      <c r="AD140" s="7">
        <f t="shared" ca="1" si="74"/>
        <v>0</v>
      </c>
      <c r="AE140" s="7">
        <f t="shared" ca="1" si="74"/>
        <v>0</v>
      </c>
      <c r="AF140" s="7">
        <f t="shared" ca="1" si="74"/>
        <v>0</v>
      </c>
      <c r="AG140" s="7">
        <f t="shared" ca="1" si="74"/>
        <v>0</v>
      </c>
      <c r="AH140" s="7">
        <f t="shared" ca="1" si="74"/>
        <v>0</v>
      </c>
      <c r="AI140" s="7">
        <f t="shared" ca="1" si="74"/>
        <v>0</v>
      </c>
      <c r="AJ140" s="7">
        <f t="shared" ca="1" si="74"/>
        <v>0</v>
      </c>
      <c r="AK140" s="7">
        <f t="shared" ca="1" si="74"/>
        <v>0</v>
      </c>
      <c r="AL140" s="7">
        <f t="shared" ca="1" si="74"/>
        <v>0</v>
      </c>
      <c r="AM140" s="7">
        <f t="shared" ca="1" si="74"/>
        <v>0</v>
      </c>
    </row>
    <row r="141" spans="1:39" x14ac:dyDescent="0.2">
      <c r="A141" s="3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</row>
    <row r="142" spans="1:39" x14ac:dyDescent="0.2">
      <c r="A142" s="3" t="s">
        <v>70</v>
      </c>
      <c r="C142" s="7">
        <f ca="1">C128+SUM($C140:C140)</f>
        <v>62249.880379717695</v>
      </c>
      <c r="D142" s="7">
        <f ca="1">D128+SUM($C140:D140)</f>
        <v>23251.966721117085</v>
      </c>
      <c r="E142" s="7">
        <f ca="1">E128+SUM($C140:E140)</f>
        <v>-43686.995778882905</v>
      </c>
      <c r="F142" s="7">
        <f ca="1">F128+SUM($C140:F140)</f>
        <v>-131545.75513451052</v>
      </c>
      <c r="G142" s="7">
        <f ca="1">G128+SUM($C140:G140)</f>
        <v>-28330.478207158616</v>
      </c>
      <c r="H142" s="7">
        <f ca="1">H128+SUM($C140:H140)</f>
        <v>-82533.835066948159</v>
      </c>
      <c r="I142" s="7">
        <f ca="1">I128+SUM($C140:I140)</f>
        <v>-120682.08470242056</v>
      </c>
      <c r="J142" s="7">
        <f ca="1">J128+SUM($C140:J140)</f>
        <v>-158855.28316164814</v>
      </c>
      <c r="K142" s="7">
        <f ca="1">K128+SUM($C140:K140)</f>
        <v>-214841.49215925776</v>
      </c>
      <c r="L142" s="7">
        <f ca="1">L128+SUM($C140:L140)</f>
        <v>-189329.63565114106</v>
      </c>
      <c r="M142" s="7">
        <f ca="1">M128+SUM($C140:M140)</f>
        <v>-257587.50914494187</v>
      </c>
      <c r="N142" s="7">
        <f ca="1">N128+SUM($C140:N140)</f>
        <v>-277483.38949310425</v>
      </c>
      <c r="O142" s="7">
        <f ca="1">O128+SUM($C140:O140)</f>
        <v>-297661.24545383919</v>
      </c>
      <c r="P142" s="7">
        <f ca="1">P128+SUM($C140:P140)</f>
        <v>-318121.66377557704</v>
      </c>
      <c r="Q142" s="7">
        <f ca="1">Q128+SUM($C140:Q140)</f>
        <v>-338865.05199620244</v>
      </c>
      <c r="R142" s="7">
        <f ca="1">R128+SUM($C140:R140)</f>
        <v>-359891.62814641296</v>
      </c>
      <c r="S142" s="7">
        <f ca="1">S128+SUM($C140:S140)</f>
        <v>-381201.41002117022</v>
      </c>
      <c r="T142" s="7">
        <f ca="1">T128+SUM($C140:T140)</f>
        <v>-385752.07947802835</v>
      </c>
      <c r="U142" s="7">
        <f ca="1">U128+SUM($C140:U140)</f>
        <v>-382360.99767000315</v>
      </c>
      <c r="V142" s="7">
        <f ca="1">V128+SUM($C140:V140)</f>
        <v>-378620.19767162186</v>
      </c>
      <c r="W142" s="7">
        <f ca="1">W128+SUM($C140:W140)</f>
        <v>-374512.98829377088</v>
      </c>
      <c r="X142" s="7">
        <f ca="1">X128+SUM($C140:X140)</f>
        <v>-370022.02262057824</v>
      </c>
      <c r="Y142" s="7">
        <f ca="1">Y128+SUM($C140:Y140)</f>
        <v>-385788.13123379467</v>
      </c>
      <c r="Z142" s="7">
        <f ca="1">Z128+SUM($C140:Z140)</f>
        <v>-401650.19896933751</v>
      </c>
      <c r="AA142" s="7">
        <f ca="1">AA128+SUM($C140:AA140)</f>
        <v>-417601.67899747478</v>
      </c>
      <c r="AB142" s="7">
        <f ca="1">AB128+SUM($C140:AB140)</f>
        <v>-433635.59244349762</v>
      </c>
      <c r="AC142" s="7">
        <f ca="1">AC128+SUM($C140:AC140)</f>
        <v>-449744.50953536859</v>
      </c>
      <c r="AD142" s="7">
        <f ca="1">AD128+SUM($C140:AD140)</f>
        <v>-465920.53003852483</v>
      </c>
      <c r="AE142" s="7">
        <f ca="1">AE128+SUM($C140:AE140)</f>
        <v>-472172.78785898205</v>
      </c>
      <c r="AF142" s="7">
        <f ca="1">AF128+SUM($C140:AF140)</f>
        <v>-478225.29338041402</v>
      </c>
      <c r="AG142" s="7">
        <f ca="1">AG128+SUM($C140:AG140)</f>
        <v>-484062.37103300926</v>
      </c>
      <c r="AH142" s="7">
        <f ca="1">AH128+SUM($C140:AH140)</f>
        <v>-489667.63290484028</v>
      </c>
      <c r="AI142" s="7">
        <f ca="1">AI128+SUM($C140:AI140)</f>
        <v>-495023.95131972583</v>
      </c>
      <c r="AJ142" s="7">
        <f ca="1">AJ128+SUM($C140:AJ140)</f>
        <v>-500113.4304411303</v>
      </c>
      <c r="AK142" s="7">
        <f ca="1">AK128+SUM($C140:AK140)</f>
        <v>-504917.3768691005</v>
      </c>
      <c r="AL142" s="7">
        <f ca="1">AL128+SUM($C140:AL140)</f>
        <v>-509416.26919615699</v>
      </c>
      <c r="AM142" s="7">
        <f ca="1">AM128+SUM($C140:AM140)</f>
        <v>-513589.72648692818</v>
      </c>
    </row>
    <row r="143" spans="1:39" x14ac:dyDescent="0.2">
      <c r="A143" s="3" t="s">
        <v>67</v>
      </c>
      <c r="C143" s="7">
        <f t="shared" ref="C143:AM143" ca="1" si="75">MAX(C142+buffer,0)-MAX(C128+buffer,0)</f>
        <v>32409.193306794376</v>
      </c>
      <c r="D143" s="7">
        <f t="shared" ca="1" si="75"/>
        <v>32409.193306794376</v>
      </c>
      <c r="E143" s="7">
        <f t="shared" ca="1" si="75"/>
        <v>6313.0042211170949</v>
      </c>
      <c r="F143" s="7">
        <f t="shared" ca="1" si="75"/>
        <v>0</v>
      </c>
      <c r="G143" s="7">
        <f t="shared" ca="1" si="75"/>
        <v>21669.521792841384</v>
      </c>
      <c r="H143" s="7">
        <f t="shared" ca="1" si="75"/>
        <v>0</v>
      </c>
      <c r="I143" s="7">
        <f t="shared" ca="1" si="75"/>
        <v>0</v>
      </c>
      <c r="J143" s="7">
        <f t="shared" ca="1" si="75"/>
        <v>0</v>
      </c>
      <c r="K143" s="7">
        <f t="shared" ca="1" si="75"/>
        <v>0</v>
      </c>
      <c r="L143" s="7">
        <f t="shared" ca="1" si="75"/>
        <v>0</v>
      </c>
      <c r="M143" s="7">
        <f t="shared" ca="1" si="75"/>
        <v>0</v>
      </c>
      <c r="N143" s="7">
        <f t="shared" ca="1" si="75"/>
        <v>0</v>
      </c>
      <c r="O143" s="7">
        <f t="shared" ca="1" si="75"/>
        <v>0</v>
      </c>
      <c r="P143" s="7">
        <f t="shared" ca="1" si="75"/>
        <v>0</v>
      </c>
      <c r="Q143" s="7">
        <f t="shared" ca="1" si="75"/>
        <v>0</v>
      </c>
      <c r="R143" s="7">
        <f t="shared" ca="1" si="75"/>
        <v>0</v>
      </c>
      <c r="S143" s="7">
        <f t="shared" ca="1" si="75"/>
        <v>0</v>
      </c>
      <c r="T143" s="7">
        <f t="shared" ca="1" si="75"/>
        <v>0</v>
      </c>
      <c r="U143" s="7">
        <f t="shared" ca="1" si="75"/>
        <v>0</v>
      </c>
      <c r="V143" s="7">
        <f t="shared" ca="1" si="75"/>
        <v>0</v>
      </c>
      <c r="W143" s="7">
        <f t="shared" ca="1" si="75"/>
        <v>0</v>
      </c>
      <c r="X143" s="7">
        <f t="shared" ca="1" si="75"/>
        <v>0</v>
      </c>
      <c r="Y143" s="7">
        <f t="shared" ca="1" si="75"/>
        <v>0</v>
      </c>
      <c r="Z143" s="7">
        <f t="shared" ca="1" si="75"/>
        <v>0</v>
      </c>
      <c r="AA143" s="7">
        <f t="shared" ca="1" si="75"/>
        <v>0</v>
      </c>
      <c r="AB143" s="7">
        <f t="shared" ca="1" si="75"/>
        <v>0</v>
      </c>
      <c r="AC143" s="7">
        <f t="shared" ca="1" si="75"/>
        <v>0</v>
      </c>
      <c r="AD143" s="7">
        <f t="shared" ca="1" si="75"/>
        <v>0</v>
      </c>
      <c r="AE143" s="7">
        <f t="shared" ca="1" si="75"/>
        <v>0</v>
      </c>
      <c r="AF143" s="7">
        <f t="shared" ca="1" si="75"/>
        <v>0</v>
      </c>
      <c r="AG143" s="7">
        <f t="shared" ca="1" si="75"/>
        <v>0</v>
      </c>
      <c r="AH143" s="7">
        <f t="shared" ca="1" si="75"/>
        <v>0</v>
      </c>
      <c r="AI143" s="7">
        <f t="shared" ca="1" si="75"/>
        <v>0</v>
      </c>
      <c r="AJ143" s="7">
        <f t="shared" ca="1" si="75"/>
        <v>0</v>
      </c>
      <c r="AK143" s="7">
        <f t="shared" ca="1" si="75"/>
        <v>0</v>
      </c>
      <c r="AL143" s="7">
        <f t="shared" ca="1" si="75"/>
        <v>0</v>
      </c>
      <c r="AM143" s="7">
        <f t="shared" ca="1" si="75"/>
        <v>0</v>
      </c>
    </row>
    <row r="144" spans="1:39" x14ac:dyDescent="0.2">
      <c r="A144" s="3" t="s">
        <v>68</v>
      </c>
      <c r="C144" s="7">
        <f ca="1">C143*Inputs!$B$269</f>
        <v>810.22983266985943</v>
      </c>
      <c r="D144" s="7">
        <f ca="1">D143*Inputs!$B$269</f>
        <v>810.22983266985943</v>
      </c>
      <c r="E144" s="7">
        <f ca="1">E143*Inputs!$B$269</f>
        <v>157.82510552792738</v>
      </c>
      <c r="F144" s="7">
        <f ca="1">F143*Inputs!$B$269</f>
        <v>0</v>
      </c>
      <c r="G144" s="7">
        <f ca="1">G143*Inputs!$B$269</f>
        <v>541.73804482103458</v>
      </c>
      <c r="H144" s="7">
        <f ca="1">H143*Inputs!$B$269</f>
        <v>0</v>
      </c>
      <c r="I144" s="7">
        <f ca="1">I143*Inputs!$B$269</f>
        <v>0</v>
      </c>
      <c r="J144" s="7">
        <f ca="1">J143*Inputs!$B$269</f>
        <v>0</v>
      </c>
      <c r="K144" s="7">
        <f ca="1">K143*Inputs!$B$269</f>
        <v>0</v>
      </c>
      <c r="L144" s="7">
        <f ca="1">L143*Inputs!$B$269</f>
        <v>0</v>
      </c>
      <c r="M144" s="7">
        <f ca="1">M143*Inputs!$B$269</f>
        <v>0</v>
      </c>
      <c r="N144" s="7">
        <f ca="1">N143*Inputs!$B$269</f>
        <v>0</v>
      </c>
      <c r="O144" s="7">
        <f ca="1">O143*Inputs!$B$269</f>
        <v>0</v>
      </c>
      <c r="P144" s="7">
        <f ca="1">P143*Inputs!$B$269</f>
        <v>0</v>
      </c>
      <c r="Q144" s="7">
        <f ca="1">Q143*Inputs!$B$269</f>
        <v>0</v>
      </c>
      <c r="R144" s="7">
        <f ca="1">R143*Inputs!$B$269</f>
        <v>0</v>
      </c>
      <c r="S144" s="7">
        <f ca="1">S143*Inputs!$B$269</f>
        <v>0</v>
      </c>
      <c r="T144" s="7">
        <f ca="1">T143*Inputs!$B$269</f>
        <v>0</v>
      </c>
      <c r="U144" s="7">
        <f ca="1">U143*Inputs!$B$269</f>
        <v>0</v>
      </c>
      <c r="V144" s="7">
        <f ca="1">V143*Inputs!$B$269</f>
        <v>0</v>
      </c>
      <c r="W144" s="7">
        <f ca="1">W143*Inputs!$B$269</f>
        <v>0</v>
      </c>
      <c r="X144" s="7">
        <f ca="1">X143*Inputs!$B$269</f>
        <v>0</v>
      </c>
      <c r="Y144" s="7">
        <f ca="1">Y143*Inputs!$B$269</f>
        <v>0</v>
      </c>
      <c r="Z144" s="7">
        <f ca="1">Z143*Inputs!$B$269</f>
        <v>0</v>
      </c>
      <c r="AA144" s="7">
        <f ca="1">AA143*Inputs!$B$269</f>
        <v>0</v>
      </c>
      <c r="AB144" s="7">
        <f ca="1">AB143*Inputs!$B$269</f>
        <v>0</v>
      </c>
      <c r="AC144" s="7">
        <f ca="1">AC143*Inputs!$B$269</f>
        <v>0</v>
      </c>
      <c r="AD144" s="7">
        <f ca="1">AD143*Inputs!$B$269</f>
        <v>0</v>
      </c>
      <c r="AE144" s="7">
        <f ca="1">AE143*Inputs!$B$269</f>
        <v>0</v>
      </c>
      <c r="AF144" s="7">
        <f ca="1">AF143*Inputs!$B$269</f>
        <v>0</v>
      </c>
      <c r="AG144" s="7">
        <f ca="1">AG143*Inputs!$B$269</f>
        <v>0</v>
      </c>
      <c r="AH144" s="7">
        <f ca="1">AH143*Inputs!$B$269</f>
        <v>0</v>
      </c>
      <c r="AI144" s="7">
        <f ca="1">AI143*Inputs!$B$269</f>
        <v>0</v>
      </c>
      <c r="AJ144" s="7">
        <f ca="1">AJ143*Inputs!$B$269</f>
        <v>0</v>
      </c>
      <c r="AK144" s="7">
        <f ca="1">AK143*Inputs!$B$269</f>
        <v>0</v>
      </c>
      <c r="AL144" s="7">
        <f ca="1">AL143*Inputs!$B$269</f>
        <v>0</v>
      </c>
      <c r="AM144" s="7">
        <f ca="1">AM143*Inputs!$B$269</f>
        <v>0</v>
      </c>
    </row>
    <row r="145" spans="1:39" x14ac:dyDescent="0.2">
      <c r="A145" s="3" t="s">
        <v>149</v>
      </c>
      <c r="C145" s="7">
        <f ca="1">C142+SUM($C144:C144)</f>
        <v>63060.110212387553</v>
      </c>
      <c r="D145" s="7">
        <f ca="1">D142+SUM($C144:D144)</f>
        <v>24872.426386456806</v>
      </c>
      <c r="E145" s="7">
        <f ca="1">E142+SUM($C144:E144)</f>
        <v>-41908.711008015256</v>
      </c>
      <c r="F145" s="7">
        <f ca="1">F142+SUM($C144:F144)</f>
        <v>-129767.47036364287</v>
      </c>
      <c r="G145" s="7">
        <f ca="1">G142+SUM($C144:G144)</f>
        <v>-26010.455391469935</v>
      </c>
      <c r="H145" s="7">
        <f ca="1">H142+SUM($C144:H144)</f>
        <v>-80213.812251259471</v>
      </c>
      <c r="I145" s="7">
        <f ca="1">I142+SUM($C144:I144)</f>
        <v>-118362.06188673187</v>
      </c>
      <c r="J145" s="7">
        <f ca="1">J142+SUM($C144:J144)</f>
        <v>-156535.26034595945</v>
      </c>
      <c r="K145" s="7">
        <f ca="1">K142+SUM($C144:K144)</f>
        <v>-212521.46934356907</v>
      </c>
      <c r="L145" s="7">
        <f ca="1">L142+SUM($C144:L144)</f>
        <v>-187009.61283545237</v>
      </c>
      <c r="M145" s="7">
        <f ca="1">M142+SUM($C144:M144)</f>
        <v>-255267.48632925318</v>
      </c>
      <c r="N145" s="7">
        <f ca="1">N142+SUM($C144:N144)</f>
        <v>-275163.36667741556</v>
      </c>
      <c r="O145" s="7">
        <f ca="1">O142+SUM($C144:O144)</f>
        <v>-295341.2226381505</v>
      </c>
      <c r="P145" s="7">
        <f ca="1">P142+SUM($C144:P144)</f>
        <v>-315801.64095988835</v>
      </c>
      <c r="Q145" s="7">
        <f ca="1">Q142+SUM($C144:Q144)</f>
        <v>-336545.02918051375</v>
      </c>
      <c r="R145" s="7">
        <f ca="1">R142+SUM($C144:R144)</f>
        <v>-357571.60533072427</v>
      </c>
      <c r="S145" s="7">
        <f ca="1">S142+SUM($C144:S144)</f>
        <v>-378881.38720548153</v>
      </c>
      <c r="T145" s="7">
        <f ca="1">T142+SUM($C144:T144)</f>
        <v>-383432.05666233966</v>
      </c>
      <c r="U145" s="7">
        <f ca="1">U142+SUM($C144:U144)</f>
        <v>-380040.97485431447</v>
      </c>
      <c r="V145" s="7">
        <f ca="1">V142+SUM($C144:V144)</f>
        <v>-376300.17485593318</v>
      </c>
      <c r="W145" s="7">
        <f ca="1">W142+SUM($C144:W144)</f>
        <v>-372192.96547808219</v>
      </c>
      <c r="X145" s="7">
        <f ca="1">X142+SUM($C144:X144)</f>
        <v>-367701.99980488955</v>
      </c>
      <c r="Y145" s="7">
        <f ca="1">Y142+SUM($C144:Y144)</f>
        <v>-383468.10841810599</v>
      </c>
      <c r="Z145" s="7">
        <f ca="1">Z142+SUM($C144:Z144)</f>
        <v>-399330.17615364882</v>
      </c>
      <c r="AA145" s="7">
        <f ca="1">AA142+SUM($C144:AA144)</f>
        <v>-415281.65618178609</v>
      </c>
      <c r="AB145" s="7">
        <f ca="1">AB142+SUM($C144:AB144)</f>
        <v>-431315.56962780893</v>
      </c>
      <c r="AC145" s="7">
        <f ca="1">AC142+SUM($C144:AC144)</f>
        <v>-447424.4867196799</v>
      </c>
      <c r="AD145" s="7">
        <f ca="1">AD142+SUM($C144:AD144)</f>
        <v>-463600.50722283614</v>
      </c>
      <c r="AE145" s="7">
        <f ca="1">AE142+SUM($C144:AE144)</f>
        <v>-469852.76504329336</v>
      </c>
      <c r="AF145" s="7">
        <f ca="1">AF142+SUM($C144:AF144)</f>
        <v>-475905.27056472533</v>
      </c>
      <c r="AG145" s="7">
        <f ca="1">AG142+SUM($C144:AG144)</f>
        <v>-481742.34821732057</v>
      </c>
      <c r="AH145" s="7">
        <f ca="1">AH142+SUM($C144:AH144)</f>
        <v>-487347.6100891516</v>
      </c>
      <c r="AI145" s="7">
        <f ca="1">AI142+SUM($C144:AI144)</f>
        <v>-492703.92850403715</v>
      </c>
      <c r="AJ145" s="7">
        <f ca="1">AJ142+SUM($C144:AJ144)</f>
        <v>-497793.40762544161</v>
      </c>
      <c r="AK145" s="7">
        <f ca="1">AK142+SUM($C144:AK144)</f>
        <v>-502597.35405341181</v>
      </c>
      <c r="AL145" s="7">
        <f ca="1">AL142+SUM($C144:AL144)</f>
        <v>-507096.24638046831</v>
      </c>
      <c r="AM145" s="7">
        <f ca="1">AM142+SUM($C144:AM144)</f>
        <v>-511269.70367123949</v>
      </c>
    </row>
    <row r="146" spans="1:39" x14ac:dyDescent="0.2">
      <c r="A146" s="3" t="s">
        <v>19</v>
      </c>
      <c r="C146" s="7">
        <f ca="1">IF(C145&lt;0,-C145,0)</f>
        <v>0</v>
      </c>
      <c r="D146" s="7">
        <f ca="1">IF(D145+SUM($C146:C146)&lt;0,-(D145+SUM($C146:C146)),0)</f>
        <v>0</v>
      </c>
      <c r="E146" s="7">
        <f ca="1">IF(E145+SUM($C146:D146)&lt;0,-(E145+SUM($C146:D146)),0)</f>
        <v>41908.711008015256</v>
      </c>
      <c r="F146" s="7">
        <f ca="1">IF(F145+SUM($C146:E146)&lt;0,-(F145+SUM($C146:E146)),0)</f>
        <v>87858.759355627612</v>
      </c>
      <c r="G146" s="7">
        <f ca="1">IF(G145+SUM($C146:F146)&lt;0,-(G145+SUM($C146:F146)),0)</f>
        <v>0</v>
      </c>
      <c r="H146" s="7">
        <f ca="1">IF(H145+SUM($C146:G146)&lt;0,-(H145+SUM($C146:G146)),0)</f>
        <v>0</v>
      </c>
      <c r="I146" s="7">
        <f ca="1">IF(I145+SUM($C146:H146)&lt;0,-(I145+SUM($C146:H146)),0)</f>
        <v>0</v>
      </c>
      <c r="J146" s="7">
        <f ca="1">IF(J145+SUM($C146:I146)&lt;0,-(J145+SUM($C146:I146)),0)</f>
        <v>26767.789982316579</v>
      </c>
      <c r="K146" s="7">
        <f ca="1">IF(K145+SUM($C146:J146)&lt;0,-(K145+SUM($C146:J146)),0)</f>
        <v>55986.208997609618</v>
      </c>
      <c r="L146" s="7">
        <f ca="1">IF(L145+SUM($C146:K146)&lt;0,-(L145+SUM($C146:K146)),0)</f>
        <v>0</v>
      </c>
      <c r="M146" s="7">
        <f ca="1">IF(M145+SUM($C146:L146)&lt;0,-(M145+SUM($C146:L146)),0)</f>
        <v>42746.016985684109</v>
      </c>
      <c r="N146" s="7">
        <f ca="1">IF(N145+SUM($C146:M146)&lt;0,-(N145+SUM($C146:M146)),0)</f>
        <v>19895.880348162376</v>
      </c>
      <c r="O146" s="7">
        <f ca="1">IF(O145+SUM($C146:N146)&lt;0,-(O145+SUM($C146:N146)),0)</f>
        <v>20177.855960734945</v>
      </c>
      <c r="P146" s="7">
        <f ca="1">IF(P145+SUM($C146:O146)&lt;0,-(P145+SUM($C146:O146)),0)</f>
        <v>20460.418321737845</v>
      </c>
      <c r="Q146" s="7">
        <f ca="1">IF(Q145+SUM($C146:P146)&lt;0,-(Q145+SUM($C146:P146)),0)</f>
        <v>20743.388220625406</v>
      </c>
      <c r="R146" s="7">
        <f ca="1">IF(R145+SUM($C146:Q146)&lt;0,-(R145+SUM($C146:Q146)),0)</f>
        <v>21026.576150210516</v>
      </c>
      <c r="S146" s="7">
        <f ca="1">IF(S145+SUM($C146:R146)&lt;0,-(S145+SUM($C146:R146)),0)</f>
        <v>21309.78187475726</v>
      </c>
      <c r="T146" s="7">
        <f ca="1">IF(T145+SUM($C146:S146)&lt;0,-(T145+SUM($C146:S146)),0)</f>
        <v>4550.6694568581297</v>
      </c>
      <c r="U146" s="7">
        <f ca="1">IF(U145+SUM($C146:T146)&lt;0,-(U145+SUM($C146:T146)),0)</f>
        <v>0</v>
      </c>
      <c r="V146" s="7">
        <f ca="1">IF(V145+SUM($C146:U146)&lt;0,-(V145+SUM($C146:U146)),0)</f>
        <v>0</v>
      </c>
      <c r="W146" s="7">
        <f ca="1">IF(W145+SUM($C146:V146)&lt;0,-(W145+SUM($C146:V146)),0)</f>
        <v>0</v>
      </c>
      <c r="X146" s="7">
        <f ca="1">IF(X145+SUM($C146:W146)&lt;0,-(X145+SUM($C146:W146)),0)</f>
        <v>0</v>
      </c>
      <c r="Y146" s="7">
        <f ca="1">IF(Y145+SUM($C146:X146)&lt;0,-(Y145+SUM($C146:X146)),0)</f>
        <v>36.051755766326096</v>
      </c>
      <c r="Z146" s="7">
        <f ca="1">IF(Z145+SUM($C146:Y146)&lt;0,-(Z145+SUM($C146:Y146)),0)</f>
        <v>15862.067735542834</v>
      </c>
      <c r="AA146" s="7">
        <f ca="1">IF(AA145+SUM($C146:Z146)&lt;0,-(AA145+SUM($C146:Z146)),0)</f>
        <v>15951.480028137274</v>
      </c>
      <c r="AB146" s="7">
        <f ca="1">IF(AB145+SUM($C146:AA146)&lt;0,-(AB145+SUM($C146:AA146)),0)</f>
        <v>16033.913446022838</v>
      </c>
      <c r="AC146" s="7">
        <f ca="1">IF(AC145+SUM($C146:AB146)&lt;0,-(AC145+SUM($C146:AB146)),0)</f>
        <v>16108.917091870971</v>
      </c>
      <c r="AD146" s="7">
        <f ca="1">IF(AD145+SUM($C146:AC146)&lt;0,-(AD145+SUM($C146:AC146)),0)</f>
        <v>16176.020503156236</v>
      </c>
      <c r="AE146" s="7">
        <f ca="1">IF(AE145+SUM($C146:AD146)&lt;0,-(AE145+SUM($C146:AD146)),0)</f>
        <v>6252.2578204572201</v>
      </c>
      <c r="AF146" s="7">
        <f ca="1">IF(AF145+SUM($C146:AE146)&lt;0,-(AF145+SUM($C146:AE146)),0)</f>
        <v>6052.5055214319727</v>
      </c>
      <c r="AG146" s="7">
        <f ca="1">IF(AG145+SUM($C146:AF146)&lt;0,-(AG145+SUM($C146:AF146)),0)</f>
        <v>5837.0776525952388</v>
      </c>
      <c r="AH146" s="7">
        <f ca="1">IF(AH145+SUM($C146:AG146)&lt;0,-(AH145+SUM($C146:AG146)),0)</f>
        <v>5605.2618718310259</v>
      </c>
      <c r="AI146" s="7">
        <f ca="1">IF(AI145+SUM($C146:AH146)&lt;0,-(AI145+SUM($C146:AH146)),0)</f>
        <v>5356.3184148855507</v>
      </c>
      <c r="AJ146" s="7">
        <f ca="1">IF(AJ145+SUM($C146:AI146)&lt;0,-(AJ145+SUM($C146:AI146)),0)</f>
        <v>5089.4791214044672</v>
      </c>
      <c r="AK146" s="7">
        <f ca="1">IF(AK145+SUM($C146:AJ146)&lt;0,-(AK145+SUM($C146:AJ146)),0)</f>
        <v>4803.9464279701933</v>
      </c>
      <c r="AL146" s="7">
        <f ca="1">IF(AL145+SUM($C146:AK146)&lt;0,-(AL145+SUM($C146:AK146)),0)</f>
        <v>4498.8923270564992</v>
      </c>
      <c r="AM146" s="7">
        <f ca="1">IF(AM145+SUM($C146:AL146)&lt;0,-(AM145+SUM($C146:AL146)),0)</f>
        <v>4173.4572907711845</v>
      </c>
    </row>
    <row r="147" spans="1:39" x14ac:dyDescent="0.2"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</row>
    <row r="148" spans="1:39" x14ac:dyDescent="0.2">
      <c r="A148" s="24" t="str">
        <f>IF(Inputs!$B$289=6,IFERROR(_xlfn.XLOOKUP($B148,Inputs!$B$290:$B$299,Inputs!$A$290:$A$299,,0,1),""),IFERROR(_xlfn.XLOOKUP($B148,Inputs!$C$290:$C$299,Inputs!$A$290:$A$299,,0,1),""))</f>
        <v>Jewelry</v>
      </c>
      <c r="B148" s="26">
        <v>3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</row>
    <row r="149" spans="1:39" x14ac:dyDescent="0.2">
      <c r="A149" s="3" t="s">
        <v>21</v>
      </c>
      <c r="C149" s="7">
        <f ca="1">IFERROR(VLOOKUP($A148,$A$67:$H$96,C$1+2,FALSE),0)</f>
        <v>50748.140451472013</v>
      </c>
      <c r="D149" s="7">
        <f ca="1">C152</f>
        <v>50748.140451472013</v>
      </c>
      <c r="E149" s="7">
        <f t="shared" ref="E149:AM149" ca="1" si="76">D152</f>
        <v>0</v>
      </c>
      <c r="F149" s="7">
        <f t="shared" ca="1" si="76"/>
        <v>0</v>
      </c>
      <c r="G149" s="7">
        <f t="shared" ca="1" si="76"/>
        <v>0</v>
      </c>
      <c r="H149" s="7">
        <f t="shared" ca="1" si="76"/>
        <v>0</v>
      </c>
      <c r="I149" s="7">
        <f t="shared" ca="1" si="76"/>
        <v>0</v>
      </c>
      <c r="J149" s="7">
        <f t="shared" ca="1" si="76"/>
        <v>0</v>
      </c>
      <c r="K149" s="7">
        <f t="shared" ca="1" si="76"/>
        <v>0</v>
      </c>
      <c r="L149" s="7">
        <f t="shared" ca="1" si="76"/>
        <v>0</v>
      </c>
      <c r="M149" s="7">
        <f t="shared" ca="1" si="76"/>
        <v>0</v>
      </c>
      <c r="N149" s="7">
        <f t="shared" ca="1" si="76"/>
        <v>0</v>
      </c>
      <c r="O149" s="7">
        <f t="shared" ca="1" si="76"/>
        <v>0</v>
      </c>
      <c r="P149" s="7">
        <f t="shared" ca="1" si="76"/>
        <v>0</v>
      </c>
      <c r="Q149" s="7">
        <f t="shared" ca="1" si="76"/>
        <v>0</v>
      </c>
      <c r="R149" s="7">
        <f t="shared" ca="1" si="76"/>
        <v>0</v>
      </c>
      <c r="S149" s="7">
        <f t="shared" ca="1" si="76"/>
        <v>0</v>
      </c>
      <c r="T149" s="7">
        <f t="shared" ca="1" si="76"/>
        <v>0</v>
      </c>
      <c r="U149" s="7">
        <f t="shared" ca="1" si="76"/>
        <v>0</v>
      </c>
      <c r="V149" s="7">
        <f t="shared" ca="1" si="76"/>
        <v>0</v>
      </c>
      <c r="W149" s="7">
        <f t="shared" ca="1" si="76"/>
        <v>0</v>
      </c>
      <c r="X149" s="7">
        <f t="shared" ca="1" si="76"/>
        <v>0</v>
      </c>
      <c r="Y149" s="7">
        <f t="shared" ca="1" si="76"/>
        <v>0</v>
      </c>
      <c r="Z149" s="7">
        <f t="shared" ca="1" si="76"/>
        <v>0</v>
      </c>
      <c r="AA149" s="7">
        <f t="shared" ca="1" si="76"/>
        <v>0</v>
      </c>
      <c r="AB149" s="7">
        <f t="shared" ca="1" si="76"/>
        <v>0</v>
      </c>
      <c r="AC149" s="7">
        <f t="shared" ca="1" si="76"/>
        <v>0</v>
      </c>
      <c r="AD149" s="7">
        <f t="shared" ca="1" si="76"/>
        <v>0</v>
      </c>
      <c r="AE149" s="7">
        <f t="shared" ca="1" si="76"/>
        <v>0</v>
      </c>
      <c r="AF149" s="7">
        <f t="shared" ca="1" si="76"/>
        <v>0</v>
      </c>
      <c r="AG149" s="7">
        <f t="shared" ca="1" si="76"/>
        <v>0</v>
      </c>
      <c r="AH149" s="7">
        <f t="shared" ca="1" si="76"/>
        <v>0</v>
      </c>
      <c r="AI149" s="7">
        <f t="shared" ca="1" si="76"/>
        <v>0</v>
      </c>
      <c r="AJ149" s="7">
        <f t="shared" ca="1" si="76"/>
        <v>0</v>
      </c>
      <c r="AK149" s="7">
        <f t="shared" ca="1" si="76"/>
        <v>0</v>
      </c>
      <c r="AL149" s="7">
        <f t="shared" ca="1" si="76"/>
        <v>0</v>
      </c>
      <c r="AM149" s="7">
        <f t="shared" ca="1" si="76"/>
        <v>0</v>
      </c>
    </row>
    <row r="150" spans="1:39" x14ac:dyDescent="0.2">
      <c r="A150" s="3" t="s">
        <v>22</v>
      </c>
      <c r="C150" s="7">
        <f ca="1">-IF(D146&gt;0,C149,0)</f>
        <v>0</v>
      </c>
      <c r="D150" s="7">
        <f ca="1">-IF(E146&gt;0,D149,0)</f>
        <v>-50748.140451472013</v>
      </c>
      <c r="E150" s="7">
        <f ca="1">-IF(F146&gt;0,E149,0)</f>
        <v>0</v>
      </c>
      <c r="F150" s="7">
        <f ca="1">-IF(G146&gt;0,F149,0)</f>
        <v>0</v>
      </c>
      <c r="G150" s="7">
        <f t="shared" ref="G150:AM150" ca="1" si="77">-IF(H146&gt;0,G149,0)</f>
        <v>0</v>
      </c>
      <c r="H150" s="7">
        <f t="shared" ca="1" si="77"/>
        <v>0</v>
      </c>
      <c r="I150" s="7">
        <f t="shared" ca="1" si="77"/>
        <v>0</v>
      </c>
      <c r="J150" s="7">
        <f t="shared" ca="1" si="77"/>
        <v>0</v>
      </c>
      <c r="K150" s="7">
        <f t="shared" ca="1" si="77"/>
        <v>0</v>
      </c>
      <c r="L150" s="7">
        <f t="shared" ca="1" si="77"/>
        <v>0</v>
      </c>
      <c r="M150" s="7">
        <f t="shared" ca="1" si="77"/>
        <v>0</v>
      </c>
      <c r="N150" s="7">
        <f t="shared" ca="1" si="77"/>
        <v>0</v>
      </c>
      <c r="O150" s="7">
        <f t="shared" ca="1" si="77"/>
        <v>0</v>
      </c>
      <c r="P150" s="7">
        <f t="shared" ca="1" si="77"/>
        <v>0</v>
      </c>
      <c r="Q150" s="7">
        <f t="shared" ca="1" si="77"/>
        <v>0</v>
      </c>
      <c r="R150" s="7">
        <f t="shared" ca="1" si="77"/>
        <v>0</v>
      </c>
      <c r="S150" s="7">
        <f t="shared" ca="1" si="77"/>
        <v>0</v>
      </c>
      <c r="T150" s="7">
        <f t="shared" ca="1" si="77"/>
        <v>0</v>
      </c>
      <c r="U150" s="7">
        <f t="shared" ca="1" si="77"/>
        <v>0</v>
      </c>
      <c r="V150" s="7">
        <f t="shared" ca="1" si="77"/>
        <v>0</v>
      </c>
      <c r="W150" s="7">
        <f t="shared" ca="1" si="77"/>
        <v>0</v>
      </c>
      <c r="X150" s="7">
        <f t="shared" ca="1" si="77"/>
        <v>0</v>
      </c>
      <c r="Y150" s="7">
        <f t="shared" ca="1" si="77"/>
        <v>0</v>
      </c>
      <c r="Z150" s="7">
        <f t="shared" ca="1" si="77"/>
        <v>0</v>
      </c>
      <c r="AA150" s="7">
        <f t="shared" ca="1" si="77"/>
        <v>0</v>
      </c>
      <c r="AB150" s="7">
        <f t="shared" ca="1" si="77"/>
        <v>0</v>
      </c>
      <c r="AC150" s="7">
        <f t="shared" ca="1" si="77"/>
        <v>0</v>
      </c>
      <c r="AD150" s="7">
        <f t="shared" ca="1" si="77"/>
        <v>0</v>
      </c>
      <c r="AE150" s="7">
        <f t="shared" ca="1" si="77"/>
        <v>0</v>
      </c>
      <c r="AF150" s="7">
        <f t="shared" ca="1" si="77"/>
        <v>0</v>
      </c>
      <c r="AG150" s="7">
        <f t="shared" ca="1" si="77"/>
        <v>0</v>
      </c>
      <c r="AH150" s="7">
        <f t="shared" ca="1" si="77"/>
        <v>0</v>
      </c>
      <c r="AI150" s="7">
        <f t="shared" ca="1" si="77"/>
        <v>0</v>
      </c>
      <c r="AJ150" s="7">
        <f t="shared" ca="1" si="77"/>
        <v>0</v>
      </c>
      <c r="AK150" s="7">
        <f t="shared" ca="1" si="77"/>
        <v>0</v>
      </c>
      <c r="AL150" s="7">
        <f t="shared" ca="1" si="77"/>
        <v>0</v>
      </c>
      <c r="AM150" s="7">
        <f t="shared" si="77"/>
        <v>0</v>
      </c>
    </row>
    <row r="151" spans="1:39" x14ac:dyDescent="0.2">
      <c r="A151" s="3" t="s">
        <v>23</v>
      </c>
      <c r="C151" s="7">
        <v>0</v>
      </c>
      <c r="D151" s="7">
        <f t="shared" ref="D151:AM151" ca="1" si="78">SUM(D149:D150)*VLOOKUP($A148,AssVar,2,FALSE)</f>
        <v>0</v>
      </c>
      <c r="E151" s="7">
        <f t="shared" ca="1" si="78"/>
        <v>0</v>
      </c>
      <c r="F151" s="7">
        <f t="shared" ca="1" si="78"/>
        <v>0</v>
      </c>
      <c r="G151" s="7">
        <f t="shared" ca="1" si="78"/>
        <v>0</v>
      </c>
      <c r="H151" s="7">
        <f t="shared" ca="1" si="78"/>
        <v>0</v>
      </c>
      <c r="I151" s="7">
        <f t="shared" ca="1" si="78"/>
        <v>0</v>
      </c>
      <c r="J151" s="7">
        <f t="shared" ca="1" si="78"/>
        <v>0</v>
      </c>
      <c r="K151" s="7">
        <f t="shared" ca="1" si="78"/>
        <v>0</v>
      </c>
      <c r="L151" s="7">
        <f t="shared" ca="1" si="78"/>
        <v>0</v>
      </c>
      <c r="M151" s="7">
        <f t="shared" ca="1" si="78"/>
        <v>0</v>
      </c>
      <c r="N151" s="7">
        <f t="shared" ca="1" si="78"/>
        <v>0</v>
      </c>
      <c r="O151" s="7">
        <f t="shared" ca="1" si="78"/>
        <v>0</v>
      </c>
      <c r="P151" s="7">
        <f t="shared" ca="1" si="78"/>
        <v>0</v>
      </c>
      <c r="Q151" s="7">
        <f t="shared" ca="1" si="78"/>
        <v>0</v>
      </c>
      <c r="R151" s="7">
        <f t="shared" ca="1" si="78"/>
        <v>0</v>
      </c>
      <c r="S151" s="7">
        <f t="shared" ca="1" si="78"/>
        <v>0</v>
      </c>
      <c r="T151" s="7">
        <f t="shared" ca="1" si="78"/>
        <v>0</v>
      </c>
      <c r="U151" s="7">
        <f t="shared" ca="1" si="78"/>
        <v>0</v>
      </c>
      <c r="V151" s="7">
        <f t="shared" ca="1" si="78"/>
        <v>0</v>
      </c>
      <c r="W151" s="7">
        <f t="shared" ca="1" si="78"/>
        <v>0</v>
      </c>
      <c r="X151" s="7">
        <f t="shared" ca="1" si="78"/>
        <v>0</v>
      </c>
      <c r="Y151" s="7">
        <f t="shared" ca="1" si="78"/>
        <v>0</v>
      </c>
      <c r="Z151" s="7">
        <f t="shared" ca="1" si="78"/>
        <v>0</v>
      </c>
      <c r="AA151" s="7">
        <f t="shared" ca="1" si="78"/>
        <v>0</v>
      </c>
      <c r="AB151" s="7">
        <f t="shared" ca="1" si="78"/>
        <v>0</v>
      </c>
      <c r="AC151" s="7">
        <f t="shared" ca="1" si="78"/>
        <v>0</v>
      </c>
      <c r="AD151" s="7">
        <f t="shared" ca="1" si="78"/>
        <v>0</v>
      </c>
      <c r="AE151" s="7">
        <f t="shared" ca="1" si="78"/>
        <v>0</v>
      </c>
      <c r="AF151" s="7">
        <f t="shared" ca="1" si="78"/>
        <v>0</v>
      </c>
      <c r="AG151" s="7">
        <f t="shared" ca="1" si="78"/>
        <v>0</v>
      </c>
      <c r="AH151" s="7">
        <f t="shared" ca="1" si="78"/>
        <v>0</v>
      </c>
      <c r="AI151" s="7">
        <f t="shared" ca="1" si="78"/>
        <v>0</v>
      </c>
      <c r="AJ151" s="7">
        <f t="shared" ca="1" si="78"/>
        <v>0</v>
      </c>
      <c r="AK151" s="7">
        <f t="shared" ca="1" si="78"/>
        <v>0</v>
      </c>
      <c r="AL151" s="7">
        <f t="shared" ca="1" si="78"/>
        <v>0</v>
      </c>
      <c r="AM151" s="7">
        <f t="shared" ca="1" si="78"/>
        <v>0</v>
      </c>
    </row>
    <row r="152" spans="1:39" x14ac:dyDescent="0.2">
      <c r="A152" s="3" t="s">
        <v>24</v>
      </c>
      <c r="C152" s="7">
        <f ca="1">SUM(C149:C151)</f>
        <v>50748.140451472013</v>
      </c>
      <c r="D152" s="7">
        <f t="shared" ref="D152:AM152" ca="1" si="79">SUM(D149:D151)</f>
        <v>0</v>
      </c>
      <c r="E152" s="7">
        <f t="shared" ca="1" si="79"/>
        <v>0</v>
      </c>
      <c r="F152" s="7">
        <f t="shared" ca="1" si="79"/>
        <v>0</v>
      </c>
      <c r="G152" s="7">
        <f t="shared" ca="1" si="79"/>
        <v>0</v>
      </c>
      <c r="H152" s="7">
        <f t="shared" ca="1" si="79"/>
        <v>0</v>
      </c>
      <c r="I152" s="7">
        <f t="shared" ca="1" si="79"/>
        <v>0</v>
      </c>
      <c r="J152" s="7">
        <f t="shared" ca="1" si="79"/>
        <v>0</v>
      </c>
      <c r="K152" s="7">
        <f t="shared" ca="1" si="79"/>
        <v>0</v>
      </c>
      <c r="L152" s="7">
        <f t="shared" ca="1" si="79"/>
        <v>0</v>
      </c>
      <c r="M152" s="7">
        <f t="shared" ca="1" si="79"/>
        <v>0</v>
      </c>
      <c r="N152" s="7">
        <f t="shared" ca="1" si="79"/>
        <v>0</v>
      </c>
      <c r="O152" s="7">
        <f t="shared" ca="1" si="79"/>
        <v>0</v>
      </c>
      <c r="P152" s="7">
        <f t="shared" ca="1" si="79"/>
        <v>0</v>
      </c>
      <c r="Q152" s="7">
        <f t="shared" ca="1" si="79"/>
        <v>0</v>
      </c>
      <c r="R152" s="7">
        <f t="shared" ca="1" si="79"/>
        <v>0</v>
      </c>
      <c r="S152" s="7">
        <f t="shared" ca="1" si="79"/>
        <v>0</v>
      </c>
      <c r="T152" s="7">
        <f t="shared" ca="1" si="79"/>
        <v>0</v>
      </c>
      <c r="U152" s="7">
        <f t="shared" ca="1" si="79"/>
        <v>0</v>
      </c>
      <c r="V152" s="7">
        <f t="shared" ca="1" si="79"/>
        <v>0</v>
      </c>
      <c r="W152" s="7">
        <f t="shared" ca="1" si="79"/>
        <v>0</v>
      </c>
      <c r="X152" s="7">
        <f t="shared" ca="1" si="79"/>
        <v>0</v>
      </c>
      <c r="Y152" s="7">
        <f t="shared" ca="1" si="79"/>
        <v>0</v>
      </c>
      <c r="Z152" s="7">
        <f t="shared" ca="1" si="79"/>
        <v>0</v>
      </c>
      <c r="AA152" s="7">
        <f t="shared" ca="1" si="79"/>
        <v>0</v>
      </c>
      <c r="AB152" s="7">
        <f t="shared" ca="1" si="79"/>
        <v>0</v>
      </c>
      <c r="AC152" s="7">
        <f t="shared" ca="1" si="79"/>
        <v>0</v>
      </c>
      <c r="AD152" s="7">
        <f t="shared" ca="1" si="79"/>
        <v>0</v>
      </c>
      <c r="AE152" s="7">
        <f t="shared" ca="1" si="79"/>
        <v>0</v>
      </c>
      <c r="AF152" s="7">
        <f t="shared" ca="1" si="79"/>
        <v>0</v>
      </c>
      <c r="AG152" s="7">
        <f t="shared" ca="1" si="79"/>
        <v>0</v>
      </c>
      <c r="AH152" s="7">
        <f t="shared" ca="1" si="79"/>
        <v>0</v>
      </c>
      <c r="AI152" s="7">
        <f t="shared" ca="1" si="79"/>
        <v>0</v>
      </c>
      <c r="AJ152" s="7">
        <f t="shared" ca="1" si="79"/>
        <v>0</v>
      </c>
      <c r="AK152" s="7">
        <f t="shared" ca="1" si="79"/>
        <v>0</v>
      </c>
      <c r="AL152" s="7">
        <f t="shared" ca="1" si="79"/>
        <v>0</v>
      </c>
      <c r="AM152" s="7">
        <f t="shared" ca="1" si="79"/>
        <v>0</v>
      </c>
    </row>
    <row r="153" spans="1:39" x14ac:dyDescent="0.2">
      <c r="A153" s="3" t="s">
        <v>25</v>
      </c>
      <c r="C153" s="7">
        <f t="shared" ref="C153:AM153" ca="1" si="80">C150*VLOOKUP($A148,AssVar,3,FALSE)</f>
        <v>0</v>
      </c>
      <c r="D153" s="7">
        <f t="shared" ca="1" si="80"/>
        <v>-1014.9628090294402</v>
      </c>
      <c r="E153" s="7">
        <f t="shared" ca="1" si="80"/>
        <v>0</v>
      </c>
      <c r="F153" s="7">
        <f t="shared" ca="1" si="80"/>
        <v>0</v>
      </c>
      <c r="G153" s="7">
        <f t="shared" ca="1" si="80"/>
        <v>0</v>
      </c>
      <c r="H153" s="7">
        <f t="shared" ca="1" si="80"/>
        <v>0</v>
      </c>
      <c r="I153" s="7">
        <f t="shared" ca="1" si="80"/>
        <v>0</v>
      </c>
      <c r="J153" s="7">
        <f t="shared" ca="1" si="80"/>
        <v>0</v>
      </c>
      <c r="K153" s="7">
        <f t="shared" ca="1" si="80"/>
        <v>0</v>
      </c>
      <c r="L153" s="7">
        <f t="shared" ca="1" si="80"/>
        <v>0</v>
      </c>
      <c r="M153" s="7">
        <f t="shared" ca="1" si="80"/>
        <v>0</v>
      </c>
      <c r="N153" s="7">
        <f t="shared" ca="1" si="80"/>
        <v>0</v>
      </c>
      <c r="O153" s="7">
        <f t="shared" ca="1" si="80"/>
        <v>0</v>
      </c>
      <c r="P153" s="7">
        <f t="shared" ca="1" si="80"/>
        <v>0</v>
      </c>
      <c r="Q153" s="7">
        <f t="shared" ca="1" si="80"/>
        <v>0</v>
      </c>
      <c r="R153" s="7">
        <f t="shared" ca="1" si="80"/>
        <v>0</v>
      </c>
      <c r="S153" s="7">
        <f t="shared" ca="1" si="80"/>
        <v>0</v>
      </c>
      <c r="T153" s="7">
        <f t="shared" ca="1" si="80"/>
        <v>0</v>
      </c>
      <c r="U153" s="7">
        <f t="shared" ca="1" si="80"/>
        <v>0</v>
      </c>
      <c r="V153" s="7">
        <f t="shared" ca="1" si="80"/>
        <v>0</v>
      </c>
      <c r="W153" s="7">
        <f t="shared" ca="1" si="80"/>
        <v>0</v>
      </c>
      <c r="X153" s="7">
        <f t="shared" ca="1" si="80"/>
        <v>0</v>
      </c>
      <c r="Y153" s="7">
        <f t="shared" ca="1" si="80"/>
        <v>0</v>
      </c>
      <c r="Z153" s="7">
        <f t="shared" ca="1" si="80"/>
        <v>0</v>
      </c>
      <c r="AA153" s="7">
        <f t="shared" ca="1" si="80"/>
        <v>0</v>
      </c>
      <c r="AB153" s="7">
        <f t="shared" ca="1" si="80"/>
        <v>0</v>
      </c>
      <c r="AC153" s="7">
        <f t="shared" ca="1" si="80"/>
        <v>0</v>
      </c>
      <c r="AD153" s="7">
        <f t="shared" ca="1" si="80"/>
        <v>0</v>
      </c>
      <c r="AE153" s="7">
        <f t="shared" ca="1" si="80"/>
        <v>0</v>
      </c>
      <c r="AF153" s="7">
        <f t="shared" ca="1" si="80"/>
        <v>0</v>
      </c>
      <c r="AG153" s="7">
        <f t="shared" ca="1" si="80"/>
        <v>0</v>
      </c>
      <c r="AH153" s="7">
        <f t="shared" ca="1" si="80"/>
        <v>0</v>
      </c>
      <c r="AI153" s="7">
        <f t="shared" ca="1" si="80"/>
        <v>0</v>
      </c>
      <c r="AJ153" s="7">
        <f t="shared" ca="1" si="80"/>
        <v>0</v>
      </c>
      <c r="AK153" s="7">
        <f t="shared" ca="1" si="80"/>
        <v>0</v>
      </c>
      <c r="AL153" s="7">
        <f t="shared" ca="1" si="80"/>
        <v>0</v>
      </c>
      <c r="AM153" s="7">
        <f t="shared" si="80"/>
        <v>0</v>
      </c>
    </row>
    <row r="154" spans="1:39" x14ac:dyDescent="0.2">
      <c r="A154" s="3" t="s">
        <v>30</v>
      </c>
      <c r="C154" s="7">
        <f t="shared" ref="C154:AM154" ca="1" si="81">IFERROR(-IF(C149=0,VLOOKUP($A148,$8:$12,C$1+2,FALSE),0),0)</f>
        <v>0</v>
      </c>
      <c r="D154" s="7">
        <f t="shared" ca="1" si="81"/>
        <v>0</v>
      </c>
      <c r="E154" s="7">
        <f t="shared" ca="1" si="81"/>
        <v>0</v>
      </c>
      <c r="F154" s="7">
        <f t="shared" ca="1" si="81"/>
        <v>0</v>
      </c>
      <c r="G154" s="7">
        <f t="shared" ca="1" si="81"/>
        <v>0</v>
      </c>
      <c r="H154" s="7">
        <f t="shared" ca="1" si="81"/>
        <v>0</v>
      </c>
      <c r="I154" s="7">
        <f t="shared" ca="1" si="81"/>
        <v>0</v>
      </c>
      <c r="J154" s="7">
        <f t="shared" ca="1" si="81"/>
        <v>0</v>
      </c>
      <c r="K154" s="7">
        <f t="shared" ca="1" si="81"/>
        <v>0</v>
      </c>
      <c r="L154" s="7">
        <f t="shared" ca="1" si="81"/>
        <v>0</v>
      </c>
      <c r="M154" s="7">
        <f t="shared" ca="1" si="81"/>
        <v>0</v>
      </c>
      <c r="N154" s="7">
        <f t="shared" ca="1" si="81"/>
        <v>0</v>
      </c>
      <c r="O154" s="7">
        <f t="shared" ca="1" si="81"/>
        <v>0</v>
      </c>
      <c r="P154" s="7">
        <f t="shared" ca="1" si="81"/>
        <v>0</v>
      </c>
      <c r="Q154" s="7">
        <f t="shared" ca="1" si="81"/>
        <v>0</v>
      </c>
      <c r="R154" s="7">
        <f t="shared" ca="1" si="81"/>
        <v>0</v>
      </c>
      <c r="S154" s="7">
        <f t="shared" ca="1" si="81"/>
        <v>0</v>
      </c>
      <c r="T154" s="7">
        <f t="shared" ca="1" si="81"/>
        <v>0</v>
      </c>
      <c r="U154" s="7">
        <f t="shared" ca="1" si="81"/>
        <v>0</v>
      </c>
      <c r="V154" s="7">
        <f t="shared" ca="1" si="81"/>
        <v>0</v>
      </c>
      <c r="W154" s="7">
        <f t="shared" ca="1" si="81"/>
        <v>0</v>
      </c>
      <c r="X154" s="7">
        <f t="shared" ca="1" si="81"/>
        <v>0</v>
      </c>
      <c r="Y154" s="7">
        <f t="shared" ca="1" si="81"/>
        <v>0</v>
      </c>
      <c r="Z154" s="7">
        <f t="shared" ca="1" si="81"/>
        <v>0</v>
      </c>
      <c r="AA154" s="7">
        <f t="shared" ca="1" si="81"/>
        <v>0</v>
      </c>
      <c r="AB154" s="7">
        <f t="shared" ca="1" si="81"/>
        <v>0</v>
      </c>
      <c r="AC154" s="7">
        <f t="shared" ca="1" si="81"/>
        <v>0</v>
      </c>
      <c r="AD154" s="7">
        <f t="shared" ca="1" si="81"/>
        <v>0</v>
      </c>
      <c r="AE154" s="7">
        <f t="shared" ca="1" si="81"/>
        <v>0</v>
      </c>
      <c r="AF154" s="7">
        <f t="shared" ca="1" si="81"/>
        <v>0</v>
      </c>
      <c r="AG154" s="7">
        <f t="shared" ca="1" si="81"/>
        <v>0</v>
      </c>
      <c r="AH154" s="7">
        <f t="shared" ca="1" si="81"/>
        <v>0</v>
      </c>
      <c r="AI154" s="7">
        <f t="shared" ca="1" si="81"/>
        <v>0</v>
      </c>
      <c r="AJ154" s="7">
        <f t="shared" ca="1" si="81"/>
        <v>0</v>
      </c>
      <c r="AK154" s="7">
        <f t="shared" ca="1" si="81"/>
        <v>0</v>
      </c>
      <c r="AL154" s="7">
        <f t="shared" ca="1" si="81"/>
        <v>0</v>
      </c>
      <c r="AM154" s="7">
        <f t="shared" ca="1" si="81"/>
        <v>0</v>
      </c>
    </row>
    <row r="155" spans="1:39" x14ac:dyDescent="0.2">
      <c r="A155" s="3" t="s">
        <v>49</v>
      </c>
      <c r="C155" s="7">
        <f t="shared" ref="C155:AM155" ca="1" si="82">IFERROR(IF(C149=0,VLOOKUP($A148,$46:$50,C$1+2,FALSE),0),0)</f>
        <v>0</v>
      </c>
      <c r="D155" s="7">
        <f t="shared" ca="1" si="82"/>
        <v>0</v>
      </c>
      <c r="E155" s="7">
        <f t="shared" ca="1" si="82"/>
        <v>0</v>
      </c>
      <c r="F155" s="7">
        <f t="shared" ca="1" si="82"/>
        <v>0</v>
      </c>
      <c r="G155" s="7">
        <f t="shared" ca="1" si="82"/>
        <v>0</v>
      </c>
      <c r="H155" s="7">
        <f t="shared" ca="1" si="82"/>
        <v>0</v>
      </c>
      <c r="I155" s="7">
        <f t="shared" ca="1" si="82"/>
        <v>0</v>
      </c>
      <c r="J155" s="7">
        <f t="shared" ca="1" si="82"/>
        <v>0</v>
      </c>
      <c r="K155" s="7">
        <f t="shared" ca="1" si="82"/>
        <v>0</v>
      </c>
      <c r="L155" s="7">
        <f t="shared" ca="1" si="82"/>
        <v>0</v>
      </c>
      <c r="M155" s="7">
        <f t="shared" ca="1" si="82"/>
        <v>0</v>
      </c>
      <c r="N155" s="7">
        <f t="shared" ca="1" si="82"/>
        <v>0</v>
      </c>
      <c r="O155" s="7">
        <f t="shared" ca="1" si="82"/>
        <v>0</v>
      </c>
      <c r="P155" s="7">
        <f t="shared" ca="1" si="82"/>
        <v>0</v>
      </c>
      <c r="Q155" s="7">
        <f t="shared" ca="1" si="82"/>
        <v>0</v>
      </c>
      <c r="R155" s="7">
        <f t="shared" ca="1" si="82"/>
        <v>0</v>
      </c>
      <c r="S155" s="7">
        <f t="shared" ca="1" si="82"/>
        <v>0</v>
      </c>
      <c r="T155" s="7">
        <f t="shared" ca="1" si="82"/>
        <v>0</v>
      </c>
      <c r="U155" s="7">
        <f t="shared" ca="1" si="82"/>
        <v>0</v>
      </c>
      <c r="V155" s="7">
        <f t="shared" ca="1" si="82"/>
        <v>0</v>
      </c>
      <c r="W155" s="7">
        <f t="shared" ca="1" si="82"/>
        <v>0</v>
      </c>
      <c r="X155" s="7">
        <f t="shared" ca="1" si="82"/>
        <v>0</v>
      </c>
      <c r="Y155" s="7">
        <f t="shared" ca="1" si="82"/>
        <v>0</v>
      </c>
      <c r="Z155" s="7">
        <f t="shared" ca="1" si="82"/>
        <v>0</v>
      </c>
      <c r="AA155" s="7">
        <f t="shared" ca="1" si="82"/>
        <v>0</v>
      </c>
      <c r="AB155" s="7">
        <f t="shared" ca="1" si="82"/>
        <v>0</v>
      </c>
      <c r="AC155" s="7">
        <f t="shared" ca="1" si="82"/>
        <v>0</v>
      </c>
      <c r="AD155" s="7">
        <f t="shared" ca="1" si="82"/>
        <v>0</v>
      </c>
      <c r="AE155" s="7">
        <f t="shared" ca="1" si="82"/>
        <v>0</v>
      </c>
      <c r="AF155" s="7">
        <f t="shared" ca="1" si="82"/>
        <v>0</v>
      </c>
      <c r="AG155" s="7">
        <f t="shared" ca="1" si="82"/>
        <v>0</v>
      </c>
      <c r="AH155" s="7">
        <f t="shared" ca="1" si="82"/>
        <v>0</v>
      </c>
      <c r="AI155" s="7">
        <f t="shared" ca="1" si="82"/>
        <v>0</v>
      </c>
      <c r="AJ155" s="7">
        <f t="shared" ca="1" si="82"/>
        <v>0</v>
      </c>
      <c r="AK155" s="7">
        <f t="shared" ca="1" si="82"/>
        <v>0</v>
      </c>
      <c r="AL155" s="7">
        <f t="shared" ca="1" si="82"/>
        <v>0</v>
      </c>
      <c r="AM155" s="7">
        <f t="shared" ca="1" si="82"/>
        <v>0</v>
      </c>
    </row>
    <row r="156" spans="1:39" x14ac:dyDescent="0.2">
      <c r="A156" s="3" t="s">
        <v>35</v>
      </c>
      <c r="B156" s="14" t="str">
        <f>A148</f>
        <v>Jewelry</v>
      </c>
      <c r="C156" s="7">
        <f t="shared" ref="C156:AM156" ca="1" si="83">IF(AND(C149&gt;0,C152=0),VLOOKUP($A148,$85:$94,C$1+2,FALSE),0)</f>
        <v>0</v>
      </c>
      <c r="D156" s="7">
        <f t="shared" ca="1" si="83"/>
        <v>-1019.5782814113345</v>
      </c>
      <c r="E156" s="7">
        <f t="shared" ca="1" si="83"/>
        <v>0</v>
      </c>
      <c r="F156" s="7">
        <f t="shared" ca="1" si="83"/>
        <v>0</v>
      </c>
      <c r="G156" s="7">
        <f t="shared" ca="1" si="83"/>
        <v>0</v>
      </c>
      <c r="H156" s="7">
        <f t="shared" ca="1" si="83"/>
        <v>0</v>
      </c>
      <c r="I156" s="7">
        <f t="shared" ca="1" si="83"/>
        <v>0</v>
      </c>
      <c r="J156" s="7">
        <f t="shared" ca="1" si="83"/>
        <v>0</v>
      </c>
      <c r="K156" s="7">
        <f t="shared" ca="1" si="83"/>
        <v>0</v>
      </c>
      <c r="L156" s="7">
        <f t="shared" ca="1" si="83"/>
        <v>0</v>
      </c>
      <c r="M156" s="7">
        <f t="shared" ca="1" si="83"/>
        <v>0</v>
      </c>
      <c r="N156" s="7">
        <f t="shared" ca="1" si="83"/>
        <v>0</v>
      </c>
      <c r="O156" s="7">
        <f t="shared" ca="1" si="83"/>
        <v>0</v>
      </c>
      <c r="P156" s="7">
        <f t="shared" ca="1" si="83"/>
        <v>0</v>
      </c>
      <c r="Q156" s="7">
        <f t="shared" ca="1" si="83"/>
        <v>0</v>
      </c>
      <c r="R156" s="7">
        <f t="shared" ca="1" si="83"/>
        <v>0</v>
      </c>
      <c r="S156" s="7">
        <f t="shared" ca="1" si="83"/>
        <v>0</v>
      </c>
      <c r="T156" s="7">
        <f t="shared" ca="1" si="83"/>
        <v>0</v>
      </c>
      <c r="U156" s="7">
        <f t="shared" ca="1" si="83"/>
        <v>0</v>
      </c>
      <c r="V156" s="7">
        <f t="shared" ca="1" si="83"/>
        <v>0</v>
      </c>
      <c r="W156" s="7">
        <f t="shared" ca="1" si="83"/>
        <v>0</v>
      </c>
      <c r="X156" s="7">
        <f t="shared" ca="1" si="83"/>
        <v>0</v>
      </c>
      <c r="Y156" s="7">
        <f t="shared" ca="1" si="83"/>
        <v>0</v>
      </c>
      <c r="Z156" s="7">
        <f t="shared" ca="1" si="83"/>
        <v>0</v>
      </c>
      <c r="AA156" s="7">
        <f t="shared" ca="1" si="83"/>
        <v>0</v>
      </c>
      <c r="AB156" s="7">
        <f t="shared" ca="1" si="83"/>
        <v>0</v>
      </c>
      <c r="AC156" s="7">
        <f t="shared" ca="1" si="83"/>
        <v>0</v>
      </c>
      <c r="AD156" s="7">
        <f t="shared" ca="1" si="83"/>
        <v>0</v>
      </c>
      <c r="AE156" s="7">
        <f t="shared" ca="1" si="83"/>
        <v>0</v>
      </c>
      <c r="AF156" s="7">
        <f t="shared" ca="1" si="83"/>
        <v>0</v>
      </c>
      <c r="AG156" s="7">
        <f t="shared" ca="1" si="83"/>
        <v>0</v>
      </c>
      <c r="AH156" s="7">
        <f t="shared" ca="1" si="83"/>
        <v>0</v>
      </c>
      <c r="AI156" s="7">
        <f t="shared" ca="1" si="83"/>
        <v>0</v>
      </c>
      <c r="AJ156" s="7">
        <f t="shared" ca="1" si="83"/>
        <v>0</v>
      </c>
      <c r="AK156" s="7">
        <f t="shared" ca="1" si="83"/>
        <v>0</v>
      </c>
      <c r="AL156" s="7">
        <f t="shared" ca="1" si="83"/>
        <v>0</v>
      </c>
      <c r="AM156" s="7">
        <f t="shared" ca="1" si="83"/>
        <v>0</v>
      </c>
    </row>
    <row r="157" spans="1:39" x14ac:dyDescent="0.2">
      <c r="A157" s="3" t="s">
        <v>36</v>
      </c>
      <c r="C157" s="7">
        <f ca="1">-C150+SUM(C153:C156)</f>
        <v>0</v>
      </c>
      <c r="D157" s="7">
        <f t="shared" ref="D157" ca="1" si="84">-D150+SUM(D153:D156)</f>
        <v>48713.599361031236</v>
      </c>
      <c r="E157" s="7">
        <f t="shared" ref="E157:AM157" ca="1" si="85">-E150+SUM(E153:E156)</f>
        <v>0</v>
      </c>
      <c r="F157" s="7">
        <f t="shared" ca="1" si="85"/>
        <v>0</v>
      </c>
      <c r="G157" s="7">
        <f t="shared" ca="1" si="85"/>
        <v>0</v>
      </c>
      <c r="H157" s="7">
        <f t="shared" ca="1" si="85"/>
        <v>0</v>
      </c>
      <c r="I157" s="7">
        <f t="shared" ca="1" si="85"/>
        <v>0</v>
      </c>
      <c r="J157" s="7">
        <f t="shared" ca="1" si="85"/>
        <v>0</v>
      </c>
      <c r="K157" s="7">
        <f t="shared" ca="1" si="85"/>
        <v>0</v>
      </c>
      <c r="L157" s="7">
        <f t="shared" ca="1" si="85"/>
        <v>0</v>
      </c>
      <c r="M157" s="7">
        <f t="shared" ca="1" si="85"/>
        <v>0</v>
      </c>
      <c r="N157" s="7">
        <f t="shared" ca="1" si="85"/>
        <v>0</v>
      </c>
      <c r="O157" s="7">
        <f t="shared" ca="1" si="85"/>
        <v>0</v>
      </c>
      <c r="P157" s="7">
        <f t="shared" ca="1" si="85"/>
        <v>0</v>
      </c>
      <c r="Q157" s="7">
        <f t="shared" ca="1" si="85"/>
        <v>0</v>
      </c>
      <c r="R157" s="7">
        <f t="shared" ca="1" si="85"/>
        <v>0</v>
      </c>
      <c r="S157" s="7">
        <f t="shared" ca="1" si="85"/>
        <v>0</v>
      </c>
      <c r="T157" s="7">
        <f t="shared" ca="1" si="85"/>
        <v>0</v>
      </c>
      <c r="U157" s="7">
        <f t="shared" ca="1" si="85"/>
        <v>0</v>
      </c>
      <c r="V157" s="7">
        <f t="shared" ca="1" si="85"/>
        <v>0</v>
      </c>
      <c r="W157" s="7">
        <f t="shared" ca="1" si="85"/>
        <v>0</v>
      </c>
      <c r="X157" s="7">
        <f t="shared" ca="1" si="85"/>
        <v>0</v>
      </c>
      <c r="Y157" s="7">
        <f t="shared" ca="1" si="85"/>
        <v>0</v>
      </c>
      <c r="Z157" s="7">
        <f t="shared" ca="1" si="85"/>
        <v>0</v>
      </c>
      <c r="AA157" s="7">
        <f t="shared" ca="1" si="85"/>
        <v>0</v>
      </c>
      <c r="AB157" s="7">
        <f t="shared" ca="1" si="85"/>
        <v>0</v>
      </c>
      <c r="AC157" s="7">
        <f t="shared" ca="1" si="85"/>
        <v>0</v>
      </c>
      <c r="AD157" s="7">
        <f t="shared" ca="1" si="85"/>
        <v>0</v>
      </c>
      <c r="AE157" s="7">
        <f t="shared" ca="1" si="85"/>
        <v>0</v>
      </c>
      <c r="AF157" s="7">
        <f t="shared" ca="1" si="85"/>
        <v>0</v>
      </c>
      <c r="AG157" s="7">
        <f t="shared" ca="1" si="85"/>
        <v>0</v>
      </c>
      <c r="AH157" s="7">
        <f t="shared" ca="1" si="85"/>
        <v>0</v>
      </c>
      <c r="AI157" s="7">
        <f t="shared" ca="1" si="85"/>
        <v>0</v>
      </c>
      <c r="AJ157" s="7">
        <f t="shared" ca="1" si="85"/>
        <v>0</v>
      </c>
      <c r="AK157" s="7">
        <f t="shared" ca="1" si="85"/>
        <v>0</v>
      </c>
      <c r="AL157" s="7">
        <f t="shared" ca="1" si="85"/>
        <v>0</v>
      </c>
      <c r="AM157" s="7">
        <f t="shared" ca="1" si="85"/>
        <v>0</v>
      </c>
    </row>
    <row r="158" spans="1:39" x14ac:dyDescent="0.2">
      <c r="A158" s="3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</row>
    <row r="159" spans="1:39" x14ac:dyDescent="0.2">
      <c r="A159" s="3" t="s">
        <v>70</v>
      </c>
      <c r="C159" s="7">
        <f ca="1">C145+SUM($C157:C157)</f>
        <v>63060.110212387553</v>
      </c>
      <c r="D159" s="7">
        <f ca="1">D145+SUM($C157:D157)</f>
        <v>73586.025747488049</v>
      </c>
      <c r="E159" s="7">
        <f ca="1">E145+SUM($C157:E157)</f>
        <v>6804.8883530159801</v>
      </c>
      <c r="F159" s="7">
        <f ca="1">F145+SUM($C157:F157)</f>
        <v>-81053.871002611646</v>
      </c>
      <c r="G159" s="7">
        <f ca="1">G145+SUM($C157:G157)</f>
        <v>22703.143969561301</v>
      </c>
      <c r="H159" s="7">
        <f ca="1">H145+SUM($C157:H157)</f>
        <v>-31500.212890228235</v>
      </c>
      <c r="I159" s="7">
        <f ca="1">I145+SUM($C157:I157)</f>
        <v>-69648.462525700626</v>
      </c>
      <c r="J159" s="7">
        <f ca="1">J145+SUM($C157:J157)</f>
        <v>-107821.66098492822</v>
      </c>
      <c r="K159" s="7">
        <f ca="1">K145+SUM($C157:K157)</f>
        <v>-163807.86998253784</v>
      </c>
      <c r="L159" s="7">
        <f ca="1">L145+SUM($C157:L157)</f>
        <v>-138296.01347442114</v>
      </c>
      <c r="M159" s="7">
        <f ca="1">M145+SUM($C157:M157)</f>
        <v>-206553.88696822195</v>
      </c>
      <c r="N159" s="7">
        <f ca="1">N145+SUM($C157:N157)</f>
        <v>-226449.76731638433</v>
      </c>
      <c r="O159" s="7">
        <f ca="1">O145+SUM($C157:O157)</f>
        <v>-246627.62327711927</v>
      </c>
      <c r="P159" s="7">
        <f ca="1">P145+SUM($C157:P157)</f>
        <v>-267088.04159885709</v>
      </c>
      <c r="Q159" s="7">
        <f ca="1">Q145+SUM($C157:Q157)</f>
        <v>-287831.4298194825</v>
      </c>
      <c r="R159" s="7">
        <f ca="1">R145+SUM($C157:R157)</f>
        <v>-308858.00596969301</v>
      </c>
      <c r="S159" s="7">
        <f ca="1">S145+SUM($C157:S157)</f>
        <v>-330167.78784445027</v>
      </c>
      <c r="T159" s="7">
        <f ca="1">T145+SUM($C157:T157)</f>
        <v>-334718.4573013084</v>
      </c>
      <c r="U159" s="7">
        <f ca="1">U145+SUM($C157:U157)</f>
        <v>-331327.37549328321</v>
      </c>
      <c r="V159" s="7">
        <f ca="1">V145+SUM($C157:V157)</f>
        <v>-327586.57549490192</v>
      </c>
      <c r="W159" s="7">
        <f ca="1">W145+SUM($C157:W157)</f>
        <v>-323479.36611705093</v>
      </c>
      <c r="X159" s="7">
        <f ca="1">X145+SUM($C157:X157)</f>
        <v>-318988.40044385829</v>
      </c>
      <c r="Y159" s="7">
        <f ca="1">Y145+SUM($C157:Y157)</f>
        <v>-334754.50905707473</v>
      </c>
      <c r="Z159" s="7">
        <f ca="1">Z145+SUM($C157:Z157)</f>
        <v>-350616.57679261756</v>
      </c>
      <c r="AA159" s="7">
        <f ca="1">AA145+SUM($C157:AA157)</f>
        <v>-366568.05682075483</v>
      </c>
      <c r="AB159" s="7">
        <f ca="1">AB145+SUM($C157:AB157)</f>
        <v>-382601.97026677767</v>
      </c>
      <c r="AC159" s="7">
        <f ca="1">AC145+SUM($C157:AC157)</f>
        <v>-398710.88735864864</v>
      </c>
      <c r="AD159" s="7">
        <f ca="1">AD145+SUM($C157:AD157)</f>
        <v>-414886.90786180488</v>
      </c>
      <c r="AE159" s="7">
        <f ca="1">AE145+SUM($C157:AE157)</f>
        <v>-421139.1656822621</v>
      </c>
      <c r="AF159" s="7">
        <f ca="1">AF145+SUM($C157:AF157)</f>
        <v>-427191.67120369407</v>
      </c>
      <c r="AG159" s="7">
        <f ca="1">AG145+SUM($C157:AG157)</f>
        <v>-433028.74885628931</v>
      </c>
      <c r="AH159" s="7">
        <f ca="1">AH145+SUM($C157:AH157)</f>
        <v>-438634.01072812034</v>
      </c>
      <c r="AI159" s="7">
        <f ca="1">AI145+SUM($C157:AI157)</f>
        <v>-443990.32914300589</v>
      </c>
      <c r="AJ159" s="7">
        <f ca="1">AJ145+SUM($C157:AJ157)</f>
        <v>-449079.80826441036</v>
      </c>
      <c r="AK159" s="7">
        <f ca="1">AK145+SUM($C157:AK157)</f>
        <v>-453883.75469238055</v>
      </c>
      <c r="AL159" s="7">
        <f ca="1">AL145+SUM($C157:AL157)</f>
        <v>-458382.64701943705</v>
      </c>
      <c r="AM159" s="7">
        <f ca="1">AM145+SUM($C157:AM157)</f>
        <v>-462556.10431020823</v>
      </c>
    </row>
    <row r="160" spans="1:39" x14ac:dyDescent="0.2">
      <c r="A160" s="3" t="s">
        <v>67</v>
      </c>
      <c r="C160" s="7">
        <f t="shared" ref="C160:AM160" ca="1" si="86">MAX(C159+buffer,0)-MAX(C145+buffer,0)</f>
        <v>0</v>
      </c>
      <c r="D160" s="7">
        <f t="shared" ca="1" si="86"/>
        <v>48713.599361031243</v>
      </c>
      <c r="E160" s="7">
        <f t="shared" ca="1" si="86"/>
        <v>48713.599361031236</v>
      </c>
      <c r="F160" s="7">
        <f t="shared" ca="1" si="86"/>
        <v>0</v>
      </c>
      <c r="G160" s="7">
        <f t="shared" ca="1" si="86"/>
        <v>48713.599361031229</v>
      </c>
      <c r="H160" s="7">
        <f t="shared" ca="1" si="86"/>
        <v>18499.787109771765</v>
      </c>
      <c r="I160" s="7">
        <f t="shared" ca="1" si="86"/>
        <v>0</v>
      </c>
      <c r="J160" s="7">
        <f t="shared" ca="1" si="86"/>
        <v>0</v>
      </c>
      <c r="K160" s="7">
        <f t="shared" ca="1" si="86"/>
        <v>0</v>
      </c>
      <c r="L160" s="7">
        <f t="shared" ca="1" si="86"/>
        <v>0</v>
      </c>
      <c r="M160" s="7">
        <f t="shared" ca="1" si="86"/>
        <v>0</v>
      </c>
      <c r="N160" s="7">
        <f t="shared" ca="1" si="86"/>
        <v>0</v>
      </c>
      <c r="O160" s="7">
        <f t="shared" ca="1" si="86"/>
        <v>0</v>
      </c>
      <c r="P160" s="7">
        <f t="shared" ca="1" si="86"/>
        <v>0</v>
      </c>
      <c r="Q160" s="7">
        <f t="shared" ca="1" si="86"/>
        <v>0</v>
      </c>
      <c r="R160" s="7">
        <f t="shared" ca="1" si="86"/>
        <v>0</v>
      </c>
      <c r="S160" s="7">
        <f t="shared" ca="1" si="86"/>
        <v>0</v>
      </c>
      <c r="T160" s="7">
        <f t="shared" ca="1" si="86"/>
        <v>0</v>
      </c>
      <c r="U160" s="7">
        <f t="shared" ca="1" si="86"/>
        <v>0</v>
      </c>
      <c r="V160" s="7">
        <f t="shared" ca="1" si="86"/>
        <v>0</v>
      </c>
      <c r="W160" s="7">
        <f t="shared" ca="1" si="86"/>
        <v>0</v>
      </c>
      <c r="X160" s="7">
        <f t="shared" ca="1" si="86"/>
        <v>0</v>
      </c>
      <c r="Y160" s="7">
        <f t="shared" ca="1" si="86"/>
        <v>0</v>
      </c>
      <c r="Z160" s="7">
        <f t="shared" ca="1" si="86"/>
        <v>0</v>
      </c>
      <c r="AA160" s="7">
        <f t="shared" ca="1" si="86"/>
        <v>0</v>
      </c>
      <c r="AB160" s="7">
        <f t="shared" ca="1" si="86"/>
        <v>0</v>
      </c>
      <c r="AC160" s="7">
        <f t="shared" ca="1" si="86"/>
        <v>0</v>
      </c>
      <c r="AD160" s="7">
        <f t="shared" ca="1" si="86"/>
        <v>0</v>
      </c>
      <c r="AE160" s="7">
        <f t="shared" ca="1" si="86"/>
        <v>0</v>
      </c>
      <c r="AF160" s="7">
        <f t="shared" ca="1" si="86"/>
        <v>0</v>
      </c>
      <c r="AG160" s="7">
        <f t="shared" ca="1" si="86"/>
        <v>0</v>
      </c>
      <c r="AH160" s="7">
        <f t="shared" ca="1" si="86"/>
        <v>0</v>
      </c>
      <c r="AI160" s="7">
        <f t="shared" ca="1" si="86"/>
        <v>0</v>
      </c>
      <c r="AJ160" s="7">
        <f t="shared" ca="1" si="86"/>
        <v>0</v>
      </c>
      <c r="AK160" s="7">
        <f t="shared" ca="1" si="86"/>
        <v>0</v>
      </c>
      <c r="AL160" s="7">
        <f t="shared" ca="1" si="86"/>
        <v>0</v>
      </c>
      <c r="AM160" s="7">
        <f t="shared" ca="1" si="86"/>
        <v>0</v>
      </c>
    </row>
    <row r="161" spans="1:39" x14ac:dyDescent="0.2">
      <c r="A161" s="3" t="s">
        <v>68</v>
      </c>
      <c r="C161" s="7">
        <f ca="1">C160*Inputs!$B$269</f>
        <v>0</v>
      </c>
      <c r="D161" s="7">
        <f ca="1">D160*Inputs!$B$269</f>
        <v>1217.8399840257812</v>
      </c>
      <c r="E161" s="7">
        <f ca="1">E160*Inputs!$B$269</f>
        <v>1217.839984025781</v>
      </c>
      <c r="F161" s="7">
        <f ca="1">F160*Inputs!$B$269</f>
        <v>0</v>
      </c>
      <c r="G161" s="7">
        <f ca="1">G160*Inputs!$B$269</f>
        <v>1217.8399840257807</v>
      </c>
      <c r="H161" s="7">
        <f ca="1">H160*Inputs!$B$269</f>
        <v>462.49467774429417</v>
      </c>
      <c r="I161" s="7">
        <f ca="1">I160*Inputs!$B$269</f>
        <v>0</v>
      </c>
      <c r="J161" s="7">
        <f ca="1">J160*Inputs!$B$269</f>
        <v>0</v>
      </c>
      <c r="K161" s="7">
        <f ca="1">K160*Inputs!$B$269</f>
        <v>0</v>
      </c>
      <c r="L161" s="7">
        <f ca="1">L160*Inputs!$B$269</f>
        <v>0</v>
      </c>
      <c r="M161" s="7">
        <f ca="1">M160*Inputs!$B$269</f>
        <v>0</v>
      </c>
      <c r="N161" s="7">
        <f ca="1">N160*Inputs!$B$269</f>
        <v>0</v>
      </c>
      <c r="O161" s="7">
        <f ca="1">O160*Inputs!$B$269</f>
        <v>0</v>
      </c>
      <c r="P161" s="7">
        <f ca="1">P160*Inputs!$B$269</f>
        <v>0</v>
      </c>
      <c r="Q161" s="7">
        <f ca="1">Q160*Inputs!$B$269</f>
        <v>0</v>
      </c>
      <c r="R161" s="7">
        <f ca="1">R160*Inputs!$B$269</f>
        <v>0</v>
      </c>
      <c r="S161" s="7">
        <f ca="1">S160*Inputs!$B$269</f>
        <v>0</v>
      </c>
      <c r="T161" s="7">
        <f ca="1">T160*Inputs!$B$269</f>
        <v>0</v>
      </c>
      <c r="U161" s="7">
        <f ca="1">U160*Inputs!$B$269</f>
        <v>0</v>
      </c>
      <c r="V161" s="7">
        <f ca="1">V160*Inputs!$B$269</f>
        <v>0</v>
      </c>
      <c r="W161" s="7">
        <f ca="1">W160*Inputs!$B$269</f>
        <v>0</v>
      </c>
      <c r="X161" s="7">
        <f ca="1">X160*Inputs!$B$269</f>
        <v>0</v>
      </c>
      <c r="Y161" s="7">
        <f ca="1">Y160*Inputs!$B$269</f>
        <v>0</v>
      </c>
      <c r="Z161" s="7">
        <f ca="1">Z160*Inputs!$B$269</f>
        <v>0</v>
      </c>
      <c r="AA161" s="7">
        <f ca="1">AA160*Inputs!$B$269</f>
        <v>0</v>
      </c>
      <c r="AB161" s="7">
        <f ca="1">AB160*Inputs!$B$269</f>
        <v>0</v>
      </c>
      <c r="AC161" s="7">
        <f ca="1">AC160*Inputs!$B$269</f>
        <v>0</v>
      </c>
      <c r="AD161" s="7">
        <f ca="1">AD160*Inputs!$B$269</f>
        <v>0</v>
      </c>
      <c r="AE161" s="7">
        <f ca="1">AE160*Inputs!$B$269</f>
        <v>0</v>
      </c>
      <c r="AF161" s="7">
        <f ca="1">AF160*Inputs!$B$269</f>
        <v>0</v>
      </c>
      <c r="AG161" s="7">
        <f ca="1">AG160*Inputs!$B$269</f>
        <v>0</v>
      </c>
      <c r="AH161" s="7">
        <f ca="1">AH160*Inputs!$B$269</f>
        <v>0</v>
      </c>
      <c r="AI161" s="7">
        <f ca="1">AI160*Inputs!$B$269</f>
        <v>0</v>
      </c>
      <c r="AJ161" s="7">
        <f ca="1">AJ160*Inputs!$B$269</f>
        <v>0</v>
      </c>
      <c r="AK161" s="7">
        <f ca="1">AK160*Inputs!$B$269</f>
        <v>0</v>
      </c>
      <c r="AL161" s="7">
        <f ca="1">AL160*Inputs!$B$269</f>
        <v>0</v>
      </c>
      <c r="AM161" s="7">
        <f ca="1">AM160*Inputs!$B$269</f>
        <v>0</v>
      </c>
    </row>
    <row r="162" spans="1:39" x14ac:dyDescent="0.2">
      <c r="A162" s="3" t="s">
        <v>149</v>
      </c>
      <c r="C162" s="7">
        <f ca="1">C159+SUM($C161:C161)</f>
        <v>63060.110212387553</v>
      </c>
      <c r="D162" s="7">
        <f ca="1">D159+SUM($C161:D161)</f>
        <v>74803.865731513826</v>
      </c>
      <c r="E162" s="7">
        <f ca="1">E159+SUM($C161:E161)</f>
        <v>9240.5683210675415</v>
      </c>
      <c r="F162" s="7">
        <f ca="1">F159+SUM($C161:F161)</f>
        <v>-78618.191034560077</v>
      </c>
      <c r="G162" s="7">
        <f ca="1">G159+SUM($C161:G161)</f>
        <v>26356.663921638643</v>
      </c>
      <c r="H162" s="7">
        <f ca="1">H159+SUM($C161:H161)</f>
        <v>-27384.1982604066</v>
      </c>
      <c r="I162" s="7">
        <f ca="1">I159+SUM($C161:I161)</f>
        <v>-65532.447895878991</v>
      </c>
      <c r="J162" s="7">
        <f ca="1">J159+SUM($C161:J161)</f>
        <v>-103705.64635510658</v>
      </c>
      <c r="K162" s="7">
        <f ca="1">K159+SUM($C161:K161)</f>
        <v>-159691.8553527162</v>
      </c>
      <c r="L162" s="7">
        <f ca="1">L159+SUM($C161:L161)</f>
        <v>-134179.9988445995</v>
      </c>
      <c r="M162" s="7">
        <f ca="1">M159+SUM($C161:M161)</f>
        <v>-202437.87233840031</v>
      </c>
      <c r="N162" s="7">
        <f ca="1">N159+SUM($C161:N161)</f>
        <v>-222333.75268656269</v>
      </c>
      <c r="O162" s="7">
        <f ca="1">O159+SUM($C161:O161)</f>
        <v>-242511.60864729763</v>
      </c>
      <c r="P162" s="7">
        <f ca="1">P159+SUM($C161:P161)</f>
        <v>-262972.02696903545</v>
      </c>
      <c r="Q162" s="7">
        <f ca="1">Q159+SUM($C161:Q161)</f>
        <v>-283715.41518966085</v>
      </c>
      <c r="R162" s="7">
        <f ca="1">R159+SUM($C161:R161)</f>
        <v>-304741.99133987137</v>
      </c>
      <c r="S162" s="7">
        <f ca="1">S159+SUM($C161:S161)</f>
        <v>-326051.77321462863</v>
      </c>
      <c r="T162" s="7">
        <f ca="1">T159+SUM($C161:T161)</f>
        <v>-330602.44267148676</v>
      </c>
      <c r="U162" s="7">
        <f ca="1">U159+SUM($C161:U161)</f>
        <v>-327211.36086346157</v>
      </c>
      <c r="V162" s="7">
        <f ca="1">V159+SUM($C161:V161)</f>
        <v>-323470.56086508028</v>
      </c>
      <c r="W162" s="7">
        <f ca="1">W159+SUM($C161:W161)</f>
        <v>-319363.35148722929</v>
      </c>
      <c r="X162" s="7">
        <f ca="1">X159+SUM($C161:X161)</f>
        <v>-314872.38581403665</v>
      </c>
      <c r="Y162" s="7">
        <f ca="1">Y159+SUM($C161:Y161)</f>
        <v>-330638.49442725308</v>
      </c>
      <c r="Z162" s="7">
        <f ca="1">Z159+SUM($C161:Z161)</f>
        <v>-346500.56216279592</v>
      </c>
      <c r="AA162" s="7">
        <f ca="1">AA159+SUM($C161:AA161)</f>
        <v>-362452.04219093319</v>
      </c>
      <c r="AB162" s="7">
        <f ca="1">AB159+SUM($C161:AB161)</f>
        <v>-378485.95563695603</v>
      </c>
      <c r="AC162" s="7">
        <f ca="1">AC159+SUM($C161:AC161)</f>
        <v>-394594.872728827</v>
      </c>
      <c r="AD162" s="7">
        <f ca="1">AD159+SUM($C161:AD161)</f>
        <v>-410770.89323198324</v>
      </c>
      <c r="AE162" s="7">
        <f ca="1">AE159+SUM($C161:AE161)</f>
        <v>-417023.15105244046</v>
      </c>
      <c r="AF162" s="7">
        <f ca="1">AF159+SUM($C161:AF161)</f>
        <v>-423075.65657387243</v>
      </c>
      <c r="AG162" s="7">
        <f ca="1">AG159+SUM($C161:AG161)</f>
        <v>-428912.73422646767</v>
      </c>
      <c r="AH162" s="7">
        <f ca="1">AH159+SUM($C161:AH161)</f>
        <v>-434517.9960982987</v>
      </c>
      <c r="AI162" s="7">
        <f ca="1">AI159+SUM($C161:AI161)</f>
        <v>-439874.31451318425</v>
      </c>
      <c r="AJ162" s="7">
        <f ca="1">AJ159+SUM($C161:AJ161)</f>
        <v>-444963.79363458871</v>
      </c>
      <c r="AK162" s="7">
        <f ca="1">AK159+SUM($C161:AK161)</f>
        <v>-449767.74006255891</v>
      </c>
      <c r="AL162" s="7">
        <f ca="1">AL159+SUM($C161:AL161)</f>
        <v>-454266.63238961541</v>
      </c>
      <c r="AM162" s="7">
        <f ca="1">AM159+SUM($C161:AM161)</f>
        <v>-458440.08968038659</v>
      </c>
    </row>
    <row r="163" spans="1:39" x14ac:dyDescent="0.2">
      <c r="A163" s="3" t="s">
        <v>19</v>
      </c>
      <c r="C163" s="7">
        <f ca="1">IF(C162&lt;0,-C162,0)</f>
        <v>0</v>
      </c>
      <c r="D163" s="7">
        <f ca="1">IF(D162+SUM($C163:C163)&lt;0,-(D162+SUM($C163:C163)),0)</f>
        <v>0</v>
      </c>
      <c r="E163" s="7">
        <f ca="1">IF(E162+SUM($C163:D163)&lt;0,-(E162+SUM($C163:D163)),0)</f>
        <v>0</v>
      </c>
      <c r="F163" s="7">
        <f ca="1">IF(F162+SUM($C163:E163)&lt;0,-(F162+SUM($C163:E163)),0)</f>
        <v>78618.191034560077</v>
      </c>
      <c r="G163" s="7">
        <f ca="1">IF(G162+SUM($C163:F163)&lt;0,-(G162+SUM($C163:F163)),0)</f>
        <v>0</v>
      </c>
      <c r="H163" s="7">
        <f ca="1">IF(H162+SUM($C163:G163)&lt;0,-(H162+SUM($C163:G163)),0)</f>
        <v>0</v>
      </c>
      <c r="I163" s="7">
        <f ca="1">IF(I162+SUM($C163:H163)&lt;0,-(I162+SUM($C163:H163)),0)</f>
        <v>0</v>
      </c>
      <c r="J163" s="7">
        <f ca="1">IF(J162+SUM($C163:I163)&lt;0,-(J162+SUM($C163:I163)),0)</f>
        <v>25087.455320546505</v>
      </c>
      <c r="K163" s="7">
        <f ca="1">IF(K162+SUM($C163:J163)&lt;0,-(K162+SUM($C163:J163)),0)</f>
        <v>55986.208997609618</v>
      </c>
      <c r="L163" s="7">
        <f ca="1">IF(L162+SUM($C163:K163)&lt;0,-(L162+SUM($C163:K163)),0)</f>
        <v>0</v>
      </c>
      <c r="M163" s="7">
        <f ca="1">IF(M162+SUM($C163:L163)&lt;0,-(M162+SUM($C163:L163)),0)</f>
        <v>42746.016985684109</v>
      </c>
      <c r="N163" s="7">
        <f ca="1">IF(N162+SUM($C163:M163)&lt;0,-(N162+SUM($C163:M163)),0)</f>
        <v>19895.880348162376</v>
      </c>
      <c r="O163" s="7">
        <f ca="1">IF(O162+SUM($C163:N163)&lt;0,-(O162+SUM($C163:N163)),0)</f>
        <v>20177.855960734945</v>
      </c>
      <c r="P163" s="7">
        <f ca="1">IF(P162+SUM($C163:O163)&lt;0,-(P162+SUM($C163:O163)),0)</f>
        <v>20460.418321737816</v>
      </c>
      <c r="Q163" s="7">
        <f ca="1">IF(Q162+SUM($C163:P163)&lt;0,-(Q162+SUM($C163:P163)),0)</f>
        <v>20743.388220625406</v>
      </c>
      <c r="R163" s="7">
        <f ca="1">IF(R162+SUM($C163:Q163)&lt;0,-(R162+SUM($C163:Q163)),0)</f>
        <v>21026.576150210516</v>
      </c>
      <c r="S163" s="7">
        <f ca="1">IF(S162+SUM($C163:R163)&lt;0,-(S162+SUM($C163:R163)),0)</f>
        <v>21309.78187475726</v>
      </c>
      <c r="T163" s="7">
        <f ca="1">IF(T162+SUM($C163:S163)&lt;0,-(T162+SUM($C163:S163)),0)</f>
        <v>4550.6694568581297</v>
      </c>
      <c r="U163" s="7">
        <f ca="1">IF(U162+SUM($C163:T163)&lt;0,-(U162+SUM($C163:T163)),0)</f>
        <v>0</v>
      </c>
      <c r="V163" s="7">
        <f ca="1">IF(V162+SUM($C163:U163)&lt;0,-(V162+SUM($C163:U163)),0)</f>
        <v>0</v>
      </c>
      <c r="W163" s="7">
        <f ca="1">IF(W162+SUM($C163:V163)&lt;0,-(W162+SUM($C163:V163)),0)</f>
        <v>0</v>
      </c>
      <c r="X163" s="7">
        <f ca="1">IF(X162+SUM($C163:W163)&lt;0,-(X162+SUM($C163:W163)),0)</f>
        <v>0</v>
      </c>
      <c r="Y163" s="7">
        <f ca="1">IF(Y162+SUM($C163:X163)&lt;0,-(Y162+SUM($C163:X163)),0)</f>
        <v>36.051755766326096</v>
      </c>
      <c r="Z163" s="7">
        <f ca="1">IF(Z162+SUM($C163:Y163)&lt;0,-(Z162+SUM($C163:Y163)),0)</f>
        <v>15862.067735542834</v>
      </c>
      <c r="AA163" s="7">
        <f ca="1">IF(AA162+SUM($C163:Z163)&lt;0,-(AA162+SUM($C163:Z163)),0)</f>
        <v>15951.480028137274</v>
      </c>
      <c r="AB163" s="7">
        <f ca="1">IF(AB162+SUM($C163:AA163)&lt;0,-(AB162+SUM($C163:AA163)),0)</f>
        <v>16033.913446022838</v>
      </c>
      <c r="AC163" s="7">
        <f ca="1">IF(AC162+SUM($C163:AB163)&lt;0,-(AC162+SUM($C163:AB163)),0)</f>
        <v>16108.917091870971</v>
      </c>
      <c r="AD163" s="7">
        <f ca="1">IF(AD162+SUM($C163:AC163)&lt;0,-(AD162+SUM($C163:AC163)),0)</f>
        <v>16176.020503156236</v>
      </c>
      <c r="AE163" s="7">
        <f ca="1">IF(AE162+SUM($C163:AD163)&lt;0,-(AE162+SUM($C163:AD163)),0)</f>
        <v>6252.2578204572201</v>
      </c>
      <c r="AF163" s="7">
        <f ca="1">IF(AF162+SUM($C163:AE163)&lt;0,-(AF162+SUM($C163:AE163)),0)</f>
        <v>6052.5055214319727</v>
      </c>
      <c r="AG163" s="7">
        <f ca="1">IF(AG162+SUM($C163:AF163)&lt;0,-(AG162+SUM($C163:AF163)),0)</f>
        <v>5837.0776525952388</v>
      </c>
      <c r="AH163" s="7">
        <f ca="1">IF(AH162+SUM($C163:AG163)&lt;0,-(AH162+SUM($C163:AG163)),0)</f>
        <v>5605.2618718310259</v>
      </c>
      <c r="AI163" s="7">
        <f ca="1">IF(AI162+SUM($C163:AH163)&lt;0,-(AI162+SUM($C163:AH163)),0)</f>
        <v>5356.3184148855507</v>
      </c>
      <c r="AJ163" s="7">
        <f ca="1">IF(AJ162+SUM($C163:AI163)&lt;0,-(AJ162+SUM($C163:AI163)),0)</f>
        <v>5089.4791214044672</v>
      </c>
      <c r="AK163" s="7">
        <f ca="1">IF(AK162+SUM($C163:AJ163)&lt;0,-(AK162+SUM($C163:AJ163)),0)</f>
        <v>4803.9464279701933</v>
      </c>
      <c r="AL163" s="7">
        <f ca="1">IF(AL162+SUM($C163:AK163)&lt;0,-(AL162+SUM($C163:AK163)),0)</f>
        <v>4498.8923270564992</v>
      </c>
      <c r="AM163" s="7">
        <f ca="1">IF(AM162+SUM($C163:AL163)&lt;0,-(AM162+SUM($C163:AL163)),0)</f>
        <v>4173.4572907711845</v>
      </c>
    </row>
    <row r="164" spans="1:39" x14ac:dyDescent="0.2"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</row>
    <row r="165" spans="1:39" x14ac:dyDescent="0.2">
      <c r="A165" s="24" t="str">
        <f>IF(Inputs!$B$289=6,IFERROR(_xlfn.XLOOKUP($B165,Inputs!$B$290:$B$299,Inputs!$A$290:$A$299,,0,1),""),IFERROR(_xlfn.XLOOKUP($B165,Inputs!$C$290:$C$299,Inputs!$A$290:$A$299,,0,1),""))</f>
        <v>Gudja</v>
      </c>
      <c r="B165" s="26">
        <v>4</v>
      </c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</row>
    <row r="166" spans="1:39" x14ac:dyDescent="0.2">
      <c r="A166" s="3" t="s">
        <v>21</v>
      </c>
      <c r="C166" s="7">
        <f ca="1">IFERROR(VLOOKUP($A165,$A$67:$H$96,C$1+2,FALSE),0)</f>
        <v>81793.332978359496</v>
      </c>
      <c r="D166" s="7">
        <f ca="1">C169</f>
        <v>81793.332978359496</v>
      </c>
      <c r="E166" s="7">
        <f t="shared" ref="E166:AM166" ca="1" si="87">D169</f>
        <v>84247.132967710277</v>
      </c>
      <c r="F166" s="7">
        <f t="shared" ca="1" si="87"/>
        <v>0</v>
      </c>
      <c r="G166" s="7">
        <f t="shared" ca="1" si="87"/>
        <v>0</v>
      </c>
      <c r="H166" s="7">
        <f t="shared" ca="1" si="87"/>
        <v>0</v>
      </c>
      <c r="I166" s="7">
        <f t="shared" ca="1" si="87"/>
        <v>0</v>
      </c>
      <c r="J166" s="7">
        <f t="shared" ca="1" si="87"/>
        <v>0</v>
      </c>
      <c r="K166" s="7">
        <f t="shared" ca="1" si="87"/>
        <v>0</v>
      </c>
      <c r="L166" s="7">
        <f t="shared" ca="1" si="87"/>
        <v>0</v>
      </c>
      <c r="M166" s="7">
        <f t="shared" ca="1" si="87"/>
        <v>0</v>
      </c>
      <c r="N166" s="7">
        <f t="shared" ca="1" si="87"/>
        <v>0</v>
      </c>
      <c r="O166" s="7">
        <f t="shared" ca="1" si="87"/>
        <v>0</v>
      </c>
      <c r="P166" s="7">
        <f t="shared" ca="1" si="87"/>
        <v>0</v>
      </c>
      <c r="Q166" s="7">
        <f t="shared" ca="1" si="87"/>
        <v>0</v>
      </c>
      <c r="R166" s="7">
        <f t="shared" ca="1" si="87"/>
        <v>0</v>
      </c>
      <c r="S166" s="7">
        <f t="shared" ca="1" si="87"/>
        <v>0</v>
      </c>
      <c r="T166" s="7">
        <f t="shared" ca="1" si="87"/>
        <v>0</v>
      </c>
      <c r="U166" s="7">
        <f t="shared" ca="1" si="87"/>
        <v>0</v>
      </c>
      <c r="V166" s="7">
        <f t="shared" ca="1" si="87"/>
        <v>0</v>
      </c>
      <c r="W166" s="7">
        <f t="shared" ca="1" si="87"/>
        <v>0</v>
      </c>
      <c r="X166" s="7">
        <f t="shared" ca="1" si="87"/>
        <v>0</v>
      </c>
      <c r="Y166" s="7">
        <f t="shared" ca="1" si="87"/>
        <v>0</v>
      </c>
      <c r="Z166" s="7">
        <f t="shared" ca="1" si="87"/>
        <v>0</v>
      </c>
      <c r="AA166" s="7">
        <f t="shared" ca="1" si="87"/>
        <v>0</v>
      </c>
      <c r="AB166" s="7">
        <f t="shared" ca="1" si="87"/>
        <v>0</v>
      </c>
      <c r="AC166" s="7">
        <f t="shared" ca="1" si="87"/>
        <v>0</v>
      </c>
      <c r="AD166" s="7">
        <f t="shared" ca="1" si="87"/>
        <v>0</v>
      </c>
      <c r="AE166" s="7">
        <f t="shared" ca="1" si="87"/>
        <v>0</v>
      </c>
      <c r="AF166" s="7">
        <f t="shared" ca="1" si="87"/>
        <v>0</v>
      </c>
      <c r="AG166" s="7">
        <f t="shared" ca="1" si="87"/>
        <v>0</v>
      </c>
      <c r="AH166" s="7">
        <f t="shared" ca="1" si="87"/>
        <v>0</v>
      </c>
      <c r="AI166" s="7">
        <f t="shared" ca="1" si="87"/>
        <v>0</v>
      </c>
      <c r="AJ166" s="7">
        <f t="shared" ca="1" si="87"/>
        <v>0</v>
      </c>
      <c r="AK166" s="7">
        <f t="shared" ca="1" si="87"/>
        <v>0</v>
      </c>
      <c r="AL166" s="7">
        <f t="shared" ca="1" si="87"/>
        <v>0</v>
      </c>
      <c r="AM166" s="7">
        <f t="shared" ca="1" si="87"/>
        <v>0</v>
      </c>
    </row>
    <row r="167" spans="1:39" x14ac:dyDescent="0.2">
      <c r="A167" s="3" t="s">
        <v>22</v>
      </c>
      <c r="C167" s="7">
        <f ca="1">-IF(D163&gt;0,C166,0)</f>
        <v>0</v>
      </c>
      <c r="D167" s="7">
        <f ca="1">-IF(E163&gt;0,D166,0)</f>
        <v>0</v>
      </c>
      <c r="E167" s="7">
        <f ca="1">-IF(F163&gt;0,E166,0)</f>
        <v>-84247.132967710277</v>
      </c>
      <c r="F167" s="7">
        <f ca="1">-IF(G163&gt;0,F166,0)</f>
        <v>0</v>
      </c>
      <c r="G167" s="7">
        <f t="shared" ref="G167:AM167" ca="1" si="88">-IF(H163&gt;0,G166,0)</f>
        <v>0</v>
      </c>
      <c r="H167" s="7">
        <f t="shared" ca="1" si="88"/>
        <v>0</v>
      </c>
      <c r="I167" s="7">
        <f t="shared" ca="1" si="88"/>
        <v>0</v>
      </c>
      <c r="J167" s="7">
        <f t="shared" ca="1" si="88"/>
        <v>0</v>
      </c>
      <c r="K167" s="7">
        <f t="shared" ca="1" si="88"/>
        <v>0</v>
      </c>
      <c r="L167" s="7">
        <f t="shared" ca="1" si="88"/>
        <v>0</v>
      </c>
      <c r="M167" s="7">
        <f t="shared" ca="1" si="88"/>
        <v>0</v>
      </c>
      <c r="N167" s="7">
        <f t="shared" ca="1" si="88"/>
        <v>0</v>
      </c>
      <c r="O167" s="7">
        <f t="shared" ca="1" si="88"/>
        <v>0</v>
      </c>
      <c r="P167" s="7">
        <f t="shared" ca="1" si="88"/>
        <v>0</v>
      </c>
      <c r="Q167" s="7">
        <f t="shared" ca="1" si="88"/>
        <v>0</v>
      </c>
      <c r="R167" s="7">
        <f t="shared" ca="1" si="88"/>
        <v>0</v>
      </c>
      <c r="S167" s="7">
        <f t="shared" ca="1" si="88"/>
        <v>0</v>
      </c>
      <c r="T167" s="7">
        <f t="shared" ca="1" si="88"/>
        <v>0</v>
      </c>
      <c r="U167" s="7">
        <f t="shared" ca="1" si="88"/>
        <v>0</v>
      </c>
      <c r="V167" s="7">
        <f t="shared" ca="1" si="88"/>
        <v>0</v>
      </c>
      <c r="W167" s="7">
        <f t="shared" ca="1" si="88"/>
        <v>0</v>
      </c>
      <c r="X167" s="7">
        <f t="shared" ca="1" si="88"/>
        <v>0</v>
      </c>
      <c r="Y167" s="7">
        <f t="shared" ca="1" si="88"/>
        <v>0</v>
      </c>
      <c r="Z167" s="7">
        <f t="shared" ca="1" si="88"/>
        <v>0</v>
      </c>
      <c r="AA167" s="7">
        <f t="shared" ca="1" si="88"/>
        <v>0</v>
      </c>
      <c r="AB167" s="7">
        <f t="shared" ca="1" si="88"/>
        <v>0</v>
      </c>
      <c r="AC167" s="7">
        <f t="shared" ca="1" si="88"/>
        <v>0</v>
      </c>
      <c r="AD167" s="7">
        <f t="shared" ca="1" si="88"/>
        <v>0</v>
      </c>
      <c r="AE167" s="7">
        <f t="shared" ca="1" si="88"/>
        <v>0</v>
      </c>
      <c r="AF167" s="7">
        <f t="shared" ca="1" si="88"/>
        <v>0</v>
      </c>
      <c r="AG167" s="7">
        <f t="shared" ca="1" si="88"/>
        <v>0</v>
      </c>
      <c r="AH167" s="7">
        <f t="shared" ca="1" si="88"/>
        <v>0</v>
      </c>
      <c r="AI167" s="7">
        <f t="shared" ca="1" si="88"/>
        <v>0</v>
      </c>
      <c r="AJ167" s="7">
        <f t="shared" ca="1" si="88"/>
        <v>0</v>
      </c>
      <c r="AK167" s="7">
        <f t="shared" ca="1" si="88"/>
        <v>0</v>
      </c>
      <c r="AL167" s="7">
        <f t="shared" ca="1" si="88"/>
        <v>0</v>
      </c>
      <c r="AM167" s="7">
        <f t="shared" si="88"/>
        <v>0</v>
      </c>
    </row>
    <row r="168" spans="1:39" x14ac:dyDescent="0.2">
      <c r="A168" s="3" t="s">
        <v>23</v>
      </c>
      <c r="C168" s="7">
        <v>0</v>
      </c>
      <c r="D168" s="7">
        <f t="shared" ref="D168:AM168" ca="1" si="89">SUM(D166:D167)*VLOOKUP($A165,AssVar,2,FALSE)</f>
        <v>2453.7999893507849</v>
      </c>
      <c r="E168" s="7">
        <f t="shared" ca="1" si="89"/>
        <v>0</v>
      </c>
      <c r="F168" s="7">
        <f t="shared" ca="1" si="89"/>
        <v>0</v>
      </c>
      <c r="G168" s="7">
        <f t="shared" ca="1" si="89"/>
        <v>0</v>
      </c>
      <c r="H168" s="7">
        <f t="shared" ca="1" si="89"/>
        <v>0</v>
      </c>
      <c r="I168" s="7">
        <f t="shared" ca="1" si="89"/>
        <v>0</v>
      </c>
      <c r="J168" s="7">
        <f t="shared" ca="1" si="89"/>
        <v>0</v>
      </c>
      <c r="K168" s="7">
        <f t="shared" ca="1" si="89"/>
        <v>0</v>
      </c>
      <c r="L168" s="7">
        <f t="shared" ca="1" si="89"/>
        <v>0</v>
      </c>
      <c r="M168" s="7">
        <f t="shared" ca="1" si="89"/>
        <v>0</v>
      </c>
      <c r="N168" s="7">
        <f t="shared" ca="1" si="89"/>
        <v>0</v>
      </c>
      <c r="O168" s="7">
        <f t="shared" ca="1" si="89"/>
        <v>0</v>
      </c>
      <c r="P168" s="7">
        <f t="shared" ca="1" si="89"/>
        <v>0</v>
      </c>
      <c r="Q168" s="7">
        <f t="shared" ca="1" si="89"/>
        <v>0</v>
      </c>
      <c r="R168" s="7">
        <f t="shared" ca="1" si="89"/>
        <v>0</v>
      </c>
      <c r="S168" s="7">
        <f t="shared" ca="1" si="89"/>
        <v>0</v>
      </c>
      <c r="T168" s="7">
        <f t="shared" ca="1" si="89"/>
        <v>0</v>
      </c>
      <c r="U168" s="7">
        <f t="shared" ca="1" si="89"/>
        <v>0</v>
      </c>
      <c r="V168" s="7">
        <f t="shared" ca="1" si="89"/>
        <v>0</v>
      </c>
      <c r="W168" s="7">
        <f t="shared" ca="1" si="89"/>
        <v>0</v>
      </c>
      <c r="X168" s="7">
        <f t="shared" ca="1" si="89"/>
        <v>0</v>
      </c>
      <c r="Y168" s="7">
        <f t="shared" ca="1" si="89"/>
        <v>0</v>
      </c>
      <c r="Z168" s="7">
        <f t="shared" ca="1" si="89"/>
        <v>0</v>
      </c>
      <c r="AA168" s="7">
        <f t="shared" ca="1" si="89"/>
        <v>0</v>
      </c>
      <c r="AB168" s="7">
        <f t="shared" ca="1" si="89"/>
        <v>0</v>
      </c>
      <c r="AC168" s="7">
        <f t="shared" ca="1" si="89"/>
        <v>0</v>
      </c>
      <c r="AD168" s="7">
        <f t="shared" ca="1" si="89"/>
        <v>0</v>
      </c>
      <c r="AE168" s="7">
        <f t="shared" ca="1" si="89"/>
        <v>0</v>
      </c>
      <c r="AF168" s="7">
        <f t="shared" ca="1" si="89"/>
        <v>0</v>
      </c>
      <c r="AG168" s="7">
        <f t="shared" ca="1" si="89"/>
        <v>0</v>
      </c>
      <c r="AH168" s="7">
        <f t="shared" ca="1" si="89"/>
        <v>0</v>
      </c>
      <c r="AI168" s="7">
        <f t="shared" ca="1" si="89"/>
        <v>0</v>
      </c>
      <c r="AJ168" s="7">
        <f t="shared" ca="1" si="89"/>
        <v>0</v>
      </c>
      <c r="AK168" s="7">
        <f t="shared" ca="1" si="89"/>
        <v>0</v>
      </c>
      <c r="AL168" s="7">
        <f t="shared" ca="1" si="89"/>
        <v>0</v>
      </c>
      <c r="AM168" s="7">
        <f t="shared" ca="1" si="89"/>
        <v>0</v>
      </c>
    </row>
    <row r="169" spans="1:39" x14ac:dyDescent="0.2">
      <c r="A169" s="3" t="s">
        <v>24</v>
      </c>
      <c r="C169" s="7">
        <f ca="1">SUM(C166:C168)</f>
        <v>81793.332978359496</v>
      </c>
      <c r="D169" s="7">
        <f t="shared" ref="D169:AM169" ca="1" si="90">SUM(D166:D168)</f>
        <v>84247.132967710277</v>
      </c>
      <c r="E169" s="7">
        <f t="shared" ca="1" si="90"/>
        <v>0</v>
      </c>
      <c r="F169" s="7">
        <f t="shared" ca="1" si="90"/>
        <v>0</v>
      </c>
      <c r="G169" s="7">
        <f t="shared" ca="1" si="90"/>
        <v>0</v>
      </c>
      <c r="H169" s="7">
        <f t="shared" ca="1" si="90"/>
        <v>0</v>
      </c>
      <c r="I169" s="7">
        <f t="shared" ca="1" si="90"/>
        <v>0</v>
      </c>
      <c r="J169" s="7">
        <f t="shared" ca="1" si="90"/>
        <v>0</v>
      </c>
      <c r="K169" s="7">
        <f t="shared" ca="1" si="90"/>
        <v>0</v>
      </c>
      <c r="L169" s="7">
        <f t="shared" ca="1" si="90"/>
        <v>0</v>
      </c>
      <c r="M169" s="7">
        <f t="shared" ca="1" si="90"/>
        <v>0</v>
      </c>
      <c r="N169" s="7">
        <f t="shared" ca="1" si="90"/>
        <v>0</v>
      </c>
      <c r="O169" s="7">
        <f t="shared" ca="1" si="90"/>
        <v>0</v>
      </c>
      <c r="P169" s="7">
        <f t="shared" ca="1" si="90"/>
        <v>0</v>
      </c>
      <c r="Q169" s="7">
        <f t="shared" ca="1" si="90"/>
        <v>0</v>
      </c>
      <c r="R169" s="7">
        <f t="shared" ca="1" si="90"/>
        <v>0</v>
      </c>
      <c r="S169" s="7">
        <f t="shared" ca="1" si="90"/>
        <v>0</v>
      </c>
      <c r="T169" s="7">
        <f t="shared" ca="1" si="90"/>
        <v>0</v>
      </c>
      <c r="U169" s="7">
        <f t="shared" ca="1" si="90"/>
        <v>0</v>
      </c>
      <c r="V169" s="7">
        <f t="shared" ca="1" si="90"/>
        <v>0</v>
      </c>
      <c r="W169" s="7">
        <f t="shared" ca="1" si="90"/>
        <v>0</v>
      </c>
      <c r="X169" s="7">
        <f t="shared" ca="1" si="90"/>
        <v>0</v>
      </c>
      <c r="Y169" s="7">
        <f t="shared" ca="1" si="90"/>
        <v>0</v>
      </c>
      <c r="Z169" s="7">
        <f t="shared" ca="1" si="90"/>
        <v>0</v>
      </c>
      <c r="AA169" s="7">
        <f t="shared" ca="1" si="90"/>
        <v>0</v>
      </c>
      <c r="AB169" s="7">
        <f t="shared" ca="1" si="90"/>
        <v>0</v>
      </c>
      <c r="AC169" s="7">
        <f t="shared" ca="1" si="90"/>
        <v>0</v>
      </c>
      <c r="AD169" s="7">
        <f t="shared" ca="1" si="90"/>
        <v>0</v>
      </c>
      <c r="AE169" s="7">
        <f t="shared" ca="1" si="90"/>
        <v>0</v>
      </c>
      <c r="AF169" s="7">
        <f t="shared" ca="1" si="90"/>
        <v>0</v>
      </c>
      <c r="AG169" s="7">
        <f t="shared" ca="1" si="90"/>
        <v>0</v>
      </c>
      <c r="AH169" s="7">
        <f t="shared" ca="1" si="90"/>
        <v>0</v>
      </c>
      <c r="AI169" s="7">
        <f t="shared" ca="1" si="90"/>
        <v>0</v>
      </c>
      <c r="AJ169" s="7">
        <f t="shared" ca="1" si="90"/>
        <v>0</v>
      </c>
      <c r="AK169" s="7">
        <f t="shared" ca="1" si="90"/>
        <v>0</v>
      </c>
      <c r="AL169" s="7">
        <f t="shared" ca="1" si="90"/>
        <v>0</v>
      </c>
      <c r="AM169" s="7">
        <f t="shared" ca="1" si="90"/>
        <v>0</v>
      </c>
    </row>
    <row r="170" spans="1:39" x14ac:dyDescent="0.2">
      <c r="A170" s="3" t="s">
        <v>25</v>
      </c>
      <c r="C170" s="7">
        <f t="shared" ref="C170:AM170" ca="1" si="91">C167*VLOOKUP($A165,AssVar,3,FALSE)</f>
        <v>0</v>
      </c>
      <c r="D170" s="7">
        <f t="shared" ca="1" si="91"/>
        <v>0</v>
      </c>
      <c r="E170" s="7">
        <f t="shared" ca="1" si="91"/>
        <v>-12637.069945156542</v>
      </c>
      <c r="F170" s="7">
        <f t="shared" ca="1" si="91"/>
        <v>0</v>
      </c>
      <c r="G170" s="7">
        <f t="shared" ca="1" si="91"/>
        <v>0</v>
      </c>
      <c r="H170" s="7">
        <f t="shared" ca="1" si="91"/>
        <v>0</v>
      </c>
      <c r="I170" s="7">
        <f t="shared" ca="1" si="91"/>
        <v>0</v>
      </c>
      <c r="J170" s="7">
        <f t="shared" ca="1" si="91"/>
        <v>0</v>
      </c>
      <c r="K170" s="7">
        <f t="shared" ca="1" si="91"/>
        <v>0</v>
      </c>
      <c r="L170" s="7">
        <f t="shared" ca="1" si="91"/>
        <v>0</v>
      </c>
      <c r="M170" s="7">
        <f t="shared" ca="1" si="91"/>
        <v>0</v>
      </c>
      <c r="N170" s="7">
        <f t="shared" ca="1" si="91"/>
        <v>0</v>
      </c>
      <c r="O170" s="7">
        <f t="shared" ca="1" si="91"/>
        <v>0</v>
      </c>
      <c r="P170" s="7">
        <f t="shared" ca="1" si="91"/>
        <v>0</v>
      </c>
      <c r="Q170" s="7">
        <f t="shared" ca="1" si="91"/>
        <v>0</v>
      </c>
      <c r="R170" s="7">
        <f t="shared" ca="1" si="91"/>
        <v>0</v>
      </c>
      <c r="S170" s="7">
        <f t="shared" ca="1" si="91"/>
        <v>0</v>
      </c>
      <c r="T170" s="7">
        <f t="shared" ca="1" si="91"/>
        <v>0</v>
      </c>
      <c r="U170" s="7">
        <f t="shared" ca="1" si="91"/>
        <v>0</v>
      </c>
      <c r="V170" s="7">
        <f t="shared" ca="1" si="91"/>
        <v>0</v>
      </c>
      <c r="W170" s="7">
        <f t="shared" ca="1" si="91"/>
        <v>0</v>
      </c>
      <c r="X170" s="7">
        <f t="shared" ca="1" si="91"/>
        <v>0</v>
      </c>
      <c r="Y170" s="7">
        <f t="shared" ca="1" si="91"/>
        <v>0</v>
      </c>
      <c r="Z170" s="7">
        <f t="shared" ca="1" si="91"/>
        <v>0</v>
      </c>
      <c r="AA170" s="7">
        <f t="shared" ca="1" si="91"/>
        <v>0</v>
      </c>
      <c r="AB170" s="7">
        <f t="shared" ca="1" si="91"/>
        <v>0</v>
      </c>
      <c r="AC170" s="7">
        <f t="shared" ca="1" si="91"/>
        <v>0</v>
      </c>
      <c r="AD170" s="7">
        <f t="shared" ca="1" si="91"/>
        <v>0</v>
      </c>
      <c r="AE170" s="7">
        <f t="shared" ca="1" si="91"/>
        <v>0</v>
      </c>
      <c r="AF170" s="7">
        <f t="shared" ca="1" si="91"/>
        <v>0</v>
      </c>
      <c r="AG170" s="7">
        <f t="shared" ca="1" si="91"/>
        <v>0</v>
      </c>
      <c r="AH170" s="7">
        <f t="shared" ca="1" si="91"/>
        <v>0</v>
      </c>
      <c r="AI170" s="7">
        <f t="shared" ca="1" si="91"/>
        <v>0</v>
      </c>
      <c r="AJ170" s="7">
        <f t="shared" ca="1" si="91"/>
        <v>0</v>
      </c>
      <c r="AK170" s="7">
        <f t="shared" ca="1" si="91"/>
        <v>0</v>
      </c>
      <c r="AL170" s="7">
        <f t="shared" ca="1" si="91"/>
        <v>0</v>
      </c>
      <c r="AM170" s="7">
        <f t="shared" si="91"/>
        <v>0</v>
      </c>
    </row>
    <row r="171" spans="1:39" x14ac:dyDescent="0.2">
      <c r="A171" s="3" t="s">
        <v>30</v>
      </c>
      <c r="C171" s="7">
        <f t="shared" ref="C171:AM171" ca="1" si="92">IFERROR(-IF(C166=0,VLOOKUP($A165,$8:$12,C$1+2,FALSE),0),0)</f>
        <v>0</v>
      </c>
      <c r="D171" s="7">
        <f t="shared" ca="1" si="92"/>
        <v>0</v>
      </c>
      <c r="E171" s="7">
        <f t="shared" ca="1" si="92"/>
        <v>0</v>
      </c>
      <c r="F171" s="7">
        <f t="shared" ca="1" si="92"/>
        <v>-4097.7262499999997</v>
      </c>
      <c r="G171" s="7">
        <f t="shared" ca="1" si="92"/>
        <v>-4220.6580374999994</v>
      </c>
      <c r="H171" s="7">
        <f t="shared" ca="1" si="92"/>
        <v>-4347.2777786249999</v>
      </c>
      <c r="I171" s="7">
        <f t="shared" ca="1" si="92"/>
        <v>-4477.6961119837497</v>
      </c>
      <c r="J171" s="7">
        <f t="shared" ca="1" si="92"/>
        <v>-4612.0269953432626</v>
      </c>
      <c r="K171" s="7">
        <f t="shared" ca="1" si="92"/>
        <v>-4750.3878052035607</v>
      </c>
      <c r="L171" s="7">
        <f t="shared" ca="1" si="92"/>
        <v>-4892.8994393596677</v>
      </c>
      <c r="M171" s="7">
        <f t="shared" ca="1" si="92"/>
        <v>-5039.6864225404579</v>
      </c>
      <c r="N171" s="7">
        <f t="shared" ca="1" si="92"/>
        <v>-5190.8770152166717</v>
      </c>
      <c r="O171" s="7">
        <f t="shared" ca="1" si="92"/>
        <v>-5346.6033256731716</v>
      </c>
      <c r="P171" s="7">
        <f t="shared" ca="1" si="92"/>
        <v>-5507.0014254433672</v>
      </c>
      <c r="Q171" s="7">
        <f t="shared" ca="1" si="92"/>
        <v>-5672.2114682066685</v>
      </c>
      <c r="R171" s="7">
        <f t="shared" ca="1" si="92"/>
        <v>-5842.3778122528684</v>
      </c>
      <c r="S171" s="7">
        <f t="shared" ca="1" si="92"/>
        <v>-6017.6491466204543</v>
      </c>
      <c r="T171" s="7">
        <f t="shared" ca="1" si="92"/>
        <v>-6198.1786210190685</v>
      </c>
      <c r="U171" s="7">
        <f t="shared" ca="1" si="92"/>
        <v>-6384.1239796496411</v>
      </c>
      <c r="V171" s="7">
        <f t="shared" ca="1" si="92"/>
        <v>-6575.6476990391302</v>
      </c>
      <c r="W171" s="7">
        <f t="shared" ca="1" si="92"/>
        <v>-6772.9171300103044</v>
      </c>
      <c r="X171" s="7">
        <f t="shared" ca="1" si="92"/>
        <v>-6976.104643910614</v>
      </c>
      <c r="Y171" s="7">
        <f t="shared" ca="1" si="92"/>
        <v>-7185.3877832279322</v>
      </c>
      <c r="Z171" s="7">
        <f t="shared" ca="1" si="92"/>
        <v>-7400.9494167247703</v>
      </c>
      <c r="AA171" s="7">
        <f t="shared" ca="1" si="92"/>
        <v>-7622.9778992265137</v>
      </c>
      <c r="AB171" s="7">
        <f t="shared" ca="1" si="92"/>
        <v>-7851.6672362033096</v>
      </c>
      <c r="AC171" s="7">
        <f t="shared" ca="1" si="92"/>
        <v>-8087.2172532894092</v>
      </c>
      <c r="AD171" s="7">
        <f t="shared" ca="1" si="92"/>
        <v>-8329.8337708880917</v>
      </c>
      <c r="AE171" s="7">
        <f t="shared" ca="1" si="92"/>
        <v>-8579.7287840147346</v>
      </c>
      <c r="AF171" s="7">
        <f t="shared" ca="1" si="92"/>
        <v>-8837.1206475351773</v>
      </c>
      <c r="AG171" s="7">
        <f t="shared" ca="1" si="92"/>
        <v>-9102.2342669612335</v>
      </c>
      <c r="AH171" s="7">
        <f t="shared" ca="1" si="92"/>
        <v>-9375.3012949700715</v>
      </c>
      <c r="AI171" s="7">
        <f t="shared" ca="1" si="92"/>
        <v>-9656.560333819174</v>
      </c>
      <c r="AJ171" s="7">
        <f t="shared" ca="1" si="92"/>
        <v>-9946.2571438337491</v>
      </c>
      <c r="AK171" s="7">
        <f t="shared" ca="1" si="92"/>
        <v>-10244.644858148762</v>
      </c>
      <c r="AL171" s="7">
        <f t="shared" ca="1" si="92"/>
        <v>-10551.984203893226</v>
      </c>
      <c r="AM171" s="7">
        <f t="shared" ca="1" si="92"/>
        <v>-10868.543730010022</v>
      </c>
    </row>
    <row r="172" spans="1:39" x14ac:dyDescent="0.2">
      <c r="A172" s="3" t="s">
        <v>49</v>
      </c>
      <c r="C172" s="7">
        <f t="shared" ref="C172:AM172" ca="1" si="93">IFERROR(IF(C166=0,VLOOKUP($A165,$46:$50,C$1+2,FALSE),0),0)</f>
        <v>0</v>
      </c>
      <c r="D172" s="7">
        <f t="shared" ca="1" si="93"/>
        <v>0</v>
      </c>
      <c r="E172" s="7">
        <f t="shared" ca="1" si="93"/>
        <v>0</v>
      </c>
      <c r="F172" s="7">
        <f t="shared" ca="1" si="93"/>
        <v>1076.8906249999998</v>
      </c>
      <c r="G172" s="7">
        <f t="shared" ca="1" si="93"/>
        <v>1103.8128906249997</v>
      </c>
      <c r="H172" s="7">
        <f t="shared" ca="1" si="93"/>
        <v>1131.4082128906246</v>
      </c>
      <c r="I172" s="7">
        <f t="shared" ca="1" si="93"/>
        <v>1159.6934182128903</v>
      </c>
      <c r="J172" s="7">
        <f t="shared" ca="1" si="93"/>
        <v>1188.6857536682126</v>
      </c>
      <c r="K172" s="7">
        <f t="shared" ca="1" si="93"/>
        <v>1218.4028975099177</v>
      </c>
      <c r="L172" s="7">
        <f t="shared" ca="1" si="93"/>
        <v>1248.8629699476655</v>
      </c>
      <c r="M172" s="7">
        <f t="shared" ca="1" si="93"/>
        <v>1280.084544196357</v>
      </c>
      <c r="N172" s="7">
        <f t="shared" ca="1" si="93"/>
        <v>1312.086657801266</v>
      </c>
      <c r="O172" s="7">
        <f t="shared" ca="1" si="93"/>
        <v>1344.8888242462974</v>
      </c>
      <c r="P172" s="7">
        <f t="shared" ca="1" si="93"/>
        <v>1378.5110448524549</v>
      </c>
      <c r="Q172" s="7">
        <f t="shared" ca="1" si="93"/>
        <v>1412.9738209737661</v>
      </c>
      <c r="R172" s="7">
        <f t="shared" ca="1" si="93"/>
        <v>1448.2981664981105</v>
      </c>
      <c r="S172" s="7">
        <f t="shared" ca="1" si="93"/>
        <v>1484.5056206605632</v>
      </c>
      <c r="T172" s="7">
        <f t="shared" ca="1" si="93"/>
        <v>1521.6182611770771</v>
      </c>
      <c r="U172" s="7">
        <f t="shared" ca="1" si="93"/>
        <v>1559.6587177065039</v>
      </c>
      <c r="V172" s="7">
        <f t="shared" ca="1" si="93"/>
        <v>1598.6501856491666</v>
      </c>
      <c r="W172" s="7">
        <f t="shared" ca="1" si="93"/>
        <v>1638.6164402903955</v>
      </c>
      <c r="X172" s="7">
        <f t="shared" ca="1" si="93"/>
        <v>1679.5818512976552</v>
      </c>
      <c r="Y172" s="7">
        <f t="shared" ca="1" si="93"/>
        <v>1721.5713975800966</v>
      </c>
      <c r="Z172" s="7">
        <f t="shared" ca="1" si="93"/>
        <v>1764.6106825195991</v>
      </c>
      <c r="AA172" s="7">
        <f t="shared" ca="1" si="93"/>
        <v>1808.725949582589</v>
      </c>
      <c r="AB172" s="7">
        <f t="shared" ca="1" si="93"/>
        <v>1853.9440983221534</v>
      </c>
      <c r="AC172" s="7">
        <f t="shared" ca="1" si="93"/>
        <v>1900.292700780207</v>
      </c>
      <c r="AD172" s="7">
        <f t="shared" ca="1" si="93"/>
        <v>1947.8000182997121</v>
      </c>
      <c r="AE172" s="7">
        <f t="shared" ca="1" si="93"/>
        <v>1996.4950187572049</v>
      </c>
      <c r="AF172" s="7">
        <f t="shared" ca="1" si="93"/>
        <v>2046.4073942261352</v>
      </c>
      <c r="AG172" s="7">
        <f t="shared" ca="1" si="93"/>
        <v>2097.5675790817882</v>
      </c>
      <c r="AH172" s="7">
        <f t="shared" ca="1" si="93"/>
        <v>2150.0067685588333</v>
      </c>
      <c r="AI172" s="7">
        <f t="shared" ca="1" si="93"/>
        <v>2203.7569377728037</v>
      </c>
      <c r="AJ172" s="7">
        <f t="shared" ca="1" si="93"/>
        <v>2258.8508612171236</v>
      </c>
      <c r="AK172" s="7">
        <f t="shared" ca="1" si="93"/>
        <v>2315.3221327475517</v>
      </c>
      <c r="AL172" s="7">
        <f t="shared" ca="1" si="93"/>
        <v>2373.20518606624</v>
      </c>
      <c r="AM172" s="7">
        <f t="shared" ca="1" si="93"/>
        <v>2432.5353157178965</v>
      </c>
    </row>
    <row r="173" spans="1:39" x14ac:dyDescent="0.2">
      <c r="A173" s="3" t="s">
        <v>35</v>
      </c>
      <c r="B173" s="14" t="str">
        <f>A165</f>
        <v>Gudja</v>
      </c>
      <c r="C173" s="7">
        <f t="shared" ref="C173:AM173" ca="1" si="94">IF(AND(C166&gt;0,C169=0),VLOOKUP($A165,$85:$94,C$1+2,FALSE),0)</f>
        <v>0</v>
      </c>
      <c r="D173" s="7">
        <f t="shared" ca="1" si="94"/>
        <v>0</v>
      </c>
      <c r="E173" s="7">
        <f t="shared" ca="1" si="94"/>
        <v>-2232.7559577452803</v>
      </c>
      <c r="F173" s="7">
        <f t="shared" ca="1" si="94"/>
        <v>0</v>
      </c>
      <c r="G173" s="7">
        <f t="shared" ca="1" si="94"/>
        <v>0</v>
      </c>
      <c r="H173" s="7">
        <f t="shared" ca="1" si="94"/>
        <v>0</v>
      </c>
      <c r="I173" s="7">
        <f t="shared" ca="1" si="94"/>
        <v>0</v>
      </c>
      <c r="J173" s="7">
        <f t="shared" ca="1" si="94"/>
        <v>0</v>
      </c>
      <c r="K173" s="7">
        <f t="shared" ca="1" si="94"/>
        <v>0</v>
      </c>
      <c r="L173" s="7">
        <f t="shared" ca="1" si="94"/>
        <v>0</v>
      </c>
      <c r="M173" s="7">
        <f t="shared" ca="1" si="94"/>
        <v>0</v>
      </c>
      <c r="N173" s="7">
        <f t="shared" ca="1" si="94"/>
        <v>0</v>
      </c>
      <c r="O173" s="7">
        <f t="shared" ca="1" si="94"/>
        <v>0</v>
      </c>
      <c r="P173" s="7">
        <f t="shared" ca="1" si="94"/>
        <v>0</v>
      </c>
      <c r="Q173" s="7">
        <f t="shared" ca="1" si="94"/>
        <v>0</v>
      </c>
      <c r="R173" s="7">
        <f t="shared" ca="1" si="94"/>
        <v>0</v>
      </c>
      <c r="S173" s="7">
        <f t="shared" ca="1" si="94"/>
        <v>0</v>
      </c>
      <c r="T173" s="7">
        <f t="shared" ca="1" si="94"/>
        <v>0</v>
      </c>
      <c r="U173" s="7">
        <f t="shared" ca="1" si="94"/>
        <v>0</v>
      </c>
      <c r="V173" s="7">
        <f t="shared" ca="1" si="94"/>
        <v>0</v>
      </c>
      <c r="W173" s="7">
        <f t="shared" ca="1" si="94"/>
        <v>0</v>
      </c>
      <c r="X173" s="7">
        <f t="shared" ca="1" si="94"/>
        <v>0</v>
      </c>
      <c r="Y173" s="7">
        <f t="shared" ca="1" si="94"/>
        <v>0</v>
      </c>
      <c r="Z173" s="7">
        <f t="shared" ca="1" si="94"/>
        <v>0</v>
      </c>
      <c r="AA173" s="7">
        <f t="shared" ca="1" si="94"/>
        <v>0</v>
      </c>
      <c r="AB173" s="7">
        <f t="shared" ca="1" si="94"/>
        <v>0</v>
      </c>
      <c r="AC173" s="7">
        <f t="shared" ca="1" si="94"/>
        <v>0</v>
      </c>
      <c r="AD173" s="7">
        <f t="shared" ca="1" si="94"/>
        <v>0</v>
      </c>
      <c r="AE173" s="7">
        <f t="shared" ca="1" si="94"/>
        <v>0</v>
      </c>
      <c r="AF173" s="7">
        <f t="shared" ca="1" si="94"/>
        <v>0</v>
      </c>
      <c r="AG173" s="7">
        <f t="shared" ca="1" si="94"/>
        <v>0</v>
      </c>
      <c r="AH173" s="7">
        <f t="shared" ca="1" si="94"/>
        <v>0</v>
      </c>
      <c r="AI173" s="7">
        <f t="shared" ca="1" si="94"/>
        <v>0</v>
      </c>
      <c r="AJ173" s="7">
        <f t="shared" ca="1" si="94"/>
        <v>0</v>
      </c>
      <c r="AK173" s="7">
        <f t="shared" ca="1" si="94"/>
        <v>0</v>
      </c>
      <c r="AL173" s="7">
        <f t="shared" ca="1" si="94"/>
        <v>0</v>
      </c>
      <c r="AM173" s="7">
        <f t="shared" ca="1" si="94"/>
        <v>0</v>
      </c>
    </row>
    <row r="174" spans="1:39" x14ac:dyDescent="0.2">
      <c r="A174" s="3" t="s">
        <v>36</v>
      </c>
      <c r="C174" s="7">
        <f ca="1">-C167+SUM(C170:C173)</f>
        <v>0</v>
      </c>
      <c r="D174" s="7">
        <f t="shared" ref="D174" ca="1" si="95">-D167+SUM(D170:D173)</f>
        <v>0</v>
      </c>
      <c r="E174" s="7">
        <f t="shared" ref="E174:AM174" ca="1" si="96">-E167+SUM(E170:E173)</f>
        <v>69377.307064808454</v>
      </c>
      <c r="F174" s="7">
        <f t="shared" ca="1" si="96"/>
        <v>-3020.8356249999997</v>
      </c>
      <c r="G174" s="7">
        <f t="shared" ca="1" si="96"/>
        <v>-3116.845146875</v>
      </c>
      <c r="H174" s="7">
        <f t="shared" ca="1" si="96"/>
        <v>-3215.8695657343751</v>
      </c>
      <c r="I174" s="7">
        <f t="shared" ca="1" si="96"/>
        <v>-3318.0026937708594</v>
      </c>
      <c r="J174" s="7">
        <f t="shared" ca="1" si="96"/>
        <v>-3423.3412416750498</v>
      </c>
      <c r="K174" s="7">
        <f t="shared" ca="1" si="96"/>
        <v>-3531.984907693643</v>
      </c>
      <c r="L174" s="7">
        <f t="shared" ca="1" si="96"/>
        <v>-3644.0364694120021</v>
      </c>
      <c r="M174" s="7">
        <f t="shared" ca="1" si="96"/>
        <v>-3759.6018783441009</v>
      </c>
      <c r="N174" s="7">
        <f t="shared" ca="1" si="96"/>
        <v>-3878.7903574154057</v>
      </c>
      <c r="O174" s="7">
        <f t="shared" ca="1" si="96"/>
        <v>-4001.7145014268744</v>
      </c>
      <c r="P174" s="7">
        <f t="shared" ca="1" si="96"/>
        <v>-4128.4903805909125</v>
      </c>
      <c r="Q174" s="7">
        <f t="shared" ca="1" si="96"/>
        <v>-4259.2376472329024</v>
      </c>
      <c r="R174" s="7">
        <f t="shared" ca="1" si="96"/>
        <v>-4394.0796457547576</v>
      </c>
      <c r="S174" s="7">
        <f t="shared" ca="1" si="96"/>
        <v>-4533.1435259598911</v>
      </c>
      <c r="T174" s="7">
        <f t="shared" ca="1" si="96"/>
        <v>-4676.5603598419912</v>
      </c>
      <c r="U174" s="7">
        <f t="shared" ca="1" si="96"/>
        <v>-4824.4652619431372</v>
      </c>
      <c r="V174" s="7">
        <f t="shared" ca="1" si="96"/>
        <v>-4976.9975133899634</v>
      </c>
      <c r="W174" s="7">
        <f t="shared" ca="1" si="96"/>
        <v>-5134.3006897199084</v>
      </c>
      <c r="X174" s="7">
        <f t="shared" ca="1" si="96"/>
        <v>-5296.5227926129592</v>
      </c>
      <c r="Y174" s="7">
        <f t="shared" ca="1" si="96"/>
        <v>-5463.8163856478359</v>
      </c>
      <c r="Z174" s="7">
        <f t="shared" ca="1" si="96"/>
        <v>-5636.338734205171</v>
      </c>
      <c r="AA174" s="7">
        <f t="shared" ca="1" si="96"/>
        <v>-5814.2519496439245</v>
      </c>
      <c r="AB174" s="7">
        <f t="shared" ca="1" si="96"/>
        <v>-5997.7231378811557</v>
      </c>
      <c r="AC174" s="7">
        <f t="shared" ca="1" si="96"/>
        <v>-6186.9245525092019</v>
      </c>
      <c r="AD174" s="7">
        <f t="shared" ca="1" si="96"/>
        <v>-6382.0337525883797</v>
      </c>
      <c r="AE174" s="7">
        <f t="shared" ca="1" si="96"/>
        <v>-6583.2337652575297</v>
      </c>
      <c r="AF174" s="7">
        <f t="shared" ca="1" si="96"/>
        <v>-6790.7132533090426</v>
      </c>
      <c r="AG174" s="7">
        <f t="shared" ca="1" si="96"/>
        <v>-7004.6666878794458</v>
      </c>
      <c r="AH174" s="7">
        <f t="shared" ca="1" si="96"/>
        <v>-7225.2945264112386</v>
      </c>
      <c r="AI174" s="7">
        <f t="shared" ca="1" si="96"/>
        <v>-7452.8033960463708</v>
      </c>
      <c r="AJ174" s="7">
        <f t="shared" ca="1" si="96"/>
        <v>-7687.4062826166255</v>
      </c>
      <c r="AK174" s="7">
        <f t="shared" ca="1" si="96"/>
        <v>-7929.3227254012108</v>
      </c>
      <c r="AL174" s="7">
        <f t="shared" ca="1" si="96"/>
        <v>-8178.7790178269861</v>
      </c>
      <c r="AM174" s="7">
        <f t="shared" ca="1" si="96"/>
        <v>-8436.008414292126</v>
      </c>
    </row>
    <row r="175" spans="1:39" x14ac:dyDescent="0.2">
      <c r="A175" s="3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</row>
    <row r="176" spans="1:39" x14ac:dyDescent="0.2">
      <c r="A176" s="3" t="s">
        <v>70</v>
      </c>
      <c r="C176" s="7">
        <f ca="1">C162+SUM($C174:C174)</f>
        <v>63060.110212387553</v>
      </c>
      <c r="D176" s="7">
        <f ca="1">D162+SUM($C174:D174)</f>
        <v>74803.865731513826</v>
      </c>
      <c r="E176" s="7">
        <f ca="1">E162+SUM($C174:E174)</f>
        <v>78617.875385875988</v>
      </c>
      <c r="F176" s="7">
        <f ca="1">F162+SUM($C174:F174)</f>
        <v>-12261.719594751616</v>
      </c>
      <c r="G176" s="7">
        <f ca="1">G162+SUM($C174:G174)</f>
        <v>89596.290214572102</v>
      </c>
      <c r="H176" s="7">
        <f ca="1">H162+SUM($C174:H174)</f>
        <v>32639.558466792485</v>
      </c>
      <c r="I176" s="7">
        <f ca="1">I162+SUM($C174:I174)</f>
        <v>-8826.6938624507675</v>
      </c>
      <c r="J176" s="7">
        <f ca="1">J162+SUM($C174:J174)</f>
        <v>-50423.233563353409</v>
      </c>
      <c r="K176" s="7">
        <f ca="1">K162+SUM($C174:K174)</f>
        <v>-109941.42746865668</v>
      </c>
      <c r="L176" s="7">
        <f ca="1">L162+SUM($C174:L174)</f>
        <v>-88073.607429951968</v>
      </c>
      <c r="M176" s="7">
        <f ca="1">M162+SUM($C174:M174)</f>
        <v>-160091.08280209688</v>
      </c>
      <c r="N176" s="7">
        <f ca="1">N162+SUM($C174:N174)</f>
        <v>-183865.75350767467</v>
      </c>
      <c r="O176" s="7">
        <f ca="1">O162+SUM($C174:O174)</f>
        <v>-208045.32396983649</v>
      </c>
      <c r="P176" s="7">
        <f ca="1">P162+SUM($C174:P174)</f>
        <v>-232634.23267216521</v>
      </c>
      <c r="Q176" s="7">
        <f ca="1">Q162+SUM($C174:Q174)</f>
        <v>-257636.85854002353</v>
      </c>
      <c r="R176" s="7">
        <f ca="1">R162+SUM($C174:R174)</f>
        <v>-283057.51433598879</v>
      </c>
      <c r="S176" s="7">
        <f ca="1">S162+SUM($C174:S174)</f>
        <v>-308900.43973670597</v>
      </c>
      <c r="T176" s="7">
        <f ca="1">T162+SUM($C174:T174)</f>
        <v>-318127.66955340607</v>
      </c>
      <c r="U176" s="7">
        <f ca="1">U162+SUM($C174:U174)</f>
        <v>-319561.05300732399</v>
      </c>
      <c r="V176" s="7">
        <f ca="1">V162+SUM($C174:V174)</f>
        <v>-320797.25052233267</v>
      </c>
      <c r="W176" s="7">
        <f ca="1">W162+SUM($C174:W174)</f>
        <v>-321824.34183420159</v>
      </c>
      <c r="X176" s="7">
        <f ca="1">X162+SUM($C174:X174)</f>
        <v>-322629.89895362192</v>
      </c>
      <c r="Y176" s="7">
        <f ca="1">Y162+SUM($C174:Y174)</f>
        <v>-343859.82395248621</v>
      </c>
      <c r="Z176" s="7">
        <f ca="1">Z162+SUM($C174:Z174)</f>
        <v>-365358.23042223422</v>
      </c>
      <c r="AA176" s="7">
        <f ca="1">AA162+SUM($C174:AA174)</f>
        <v>-387123.96240001539</v>
      </c>
      <c r="AB176" s="7">
        <f ca="1">AB162+SUM($C174:AB174)</f>
        <v>-409155.59898391936</v>
      </c>
      <c r="AC176" s="7">
        <f ca="1">AC162+SUM($C174:AC174)</f>
        <v>-431451.44062829955</v>
      </c>
      <c r="AD176" s="7">
        <f ca="1">AD162+SUM($C174:AD174)</f>
        <v>-454009.49488404416</v>
      </c>
      <c r="AE176" s="7">
        <f ca="1">AE162+SUM($C174:AE174)</f>
        <v>-466844.98646975891</v>
      </c>
      <c r="AF176" s="7">
        <f ca="1">AF162+SUM($C174:AF174)</f>
        <v>-479688.20524449996</v>
      </c>
      <c r="AG176" s="7">
        <f ca="1">AG162+SUM($C174:AG174)</f>
        <v>-492529.94958497462</v>
      </c>
      <c r="AH176" s="7">
        <f ca="1">AH162+SUM($C174:AH174)</f>
        <v>-505360.50598321692</v>
      </c>
      <c r="AI176" s="7">
        <f ca="1">AI162+SUM($C174:AI174)</f>
        <v>-518169.62779414881</v>
      </c>
      <c r="AJ176" s="7">
        <f ca="1">AJ162+SUM($C174:AJ174)</f>
        <v>-530946.51319816988</v>
      </c>
      <c r="AK176" s="7">
        <f ca="1">AK162+SUM($C174:AK174)</f>
        <v>-543679.78235154133</v>
      </c>
      <c r="AL176" s="7">
        <f ca="1">AL162+SUM($C174:AL174)</f>
        <v>-556357.45369642484</v>
      </c>
      <c r="AM176" s="7">
        <f ca="1">AM162+SUM($C174:AM174)</f>
        <v>-568966.91940148803</v>
      </c>
    </row>
    <row r="177" spans="1:39" x14ac:dyDescent="0.2">
      <c r="A177" s="3" t="s">
        <v>67</v>
      </c>
      <c r="C177" s="7">
        <f t="shared" ref="C177:AM177" ca="1" si="97">MAX(C176+buffer,0)-MAX(C162+buffer,0)</f>
        <v>0</v>
      </c>
      <c r="D177" s="7">
        <f t="shared" ca="1" si="97"/>
        <v>0</v>
      </c>
      <c r="E177" s="7">
        <f t="shared" ca="1" si="97"/>
        <v>69377.307064808439</v>
      </c>
      <c r="F177" s="7">
        <f t="shared" ca="1" si="97"/>
        <v>37738.280405248384</v>
      </c>
      <c r="G177" s="7">
        <f t="shared" ca="1" si="97"/>
        <v>63239.626292933463</v>
      </c>
      <c r="H177" s="7">
        <f t="shared" ca="1" si="97"/>
        <v>60023.756727199085</v>
      </c>
      <c r="I177" s="7">
        <f t="shared" ca="1" si="97"/>
        <v>41173.306137549233</v>
      </c>
      <c r="J177" s="7">
        <f t="shared" ca="1" si="97"/>
        <v>0</v>
      </c>
      <c r="K177" s="7">
        <f t="shared" ca="1" si="97"/>
        <v>0</v>
      </c>
      <c r="L177" s="7">
        <f t="shared" ca="1" si="97"/>
        <v>0</v>
      </c>
      <c r="M177" s="7">
        <f t="shared" ca="1" si="97"/>
        <v>0</v>
      </c>
      <c r="N177" s="7">
        <f t="shared" ca="1" si="97"/>
        <v>0</v>
      </c>
      <c r="O177" s="7">
        <f t="shared" ca="1" si="97"/>
        <v>0</v>
      </c>
      <c r="P177" s="7">
        <f t="shared" ca="1" si="97"/>
        <v>0</v>
      </c>
      <c r="Q177" s="7">
        <f t="shared" ca="1" si="97"/>
        <v>0</v>
      </c>
      <c r="R177" s="7">
        <f t="shared" ca="1" si="97"/>
        <v>0</v>
      </c>
      <c r="S177" s="7">
        <f t="shared" ca="1" si="97"/>
        <v>0</v>
      </c>
      <c r="T177" s="7">
        <f t="shared" ca="1" si="97"/>
        <v>0</v>
      </c>
      <c r="U177" s="7">
        <f t="shared" ca="1" si="97"/>
        <v>0</v>
      </c>
      <c r="V177" s="7">
        <f t="shared" ca="1" si="97"/>
        <v>0</v>
      </c>
      <c r="W177" s="7">
        <f t="shared" ca="1" si="97"/>
        <v>0</v>
      </c>
      <c r="X177" s="7">
        <f t="shared" ca="1" si="97"/>
        <v>0</v>
      </c>
      <c r="Y177" s="7">
        <f t="shared" ca="1" si="97"/>
        <v>0</v>
      </c>
      <c r="Z177" s="7">
        <f t="shared" ca="1" si="97"/>
        <v>0</v>
      </c>
      <c r="AA177" s="7">
        <f t="shared" ca="1" si="97"/>
        <v>0</v>
      </c>
      <c r="AB177" s="7">
        <f t="shared" ca="1" si="97"/>
        <v>0</v>
      </c>
      <c r="AC177" s="7">
        <f t="shared" ca="1" si="97"/>
        <v>0</v>
      </c>
      <c r="AD177" s="7">
        <f t="shared" ca="1" si="97"/>
        <v>0</v>
      </c>
      <c r="AE177" s="7">
        <f t="shared" ca="1" si="97"/>
        <v>0</v>
      </c>
      <c r="AF177" s="7">
        <f t="shared" ca="1" si="97"/>
        <v>0</v>
      </c>
      <c r="AG177" s="7">
        <f t="shared" ca="1" si="97"/>
        <v>0</v>
      </c>
      <c r="AH177" s="7">
        <f t="shared" ca="1" si="97"/>
        <v>0</v>
      </c>
      <c r="AI177" s="7">
        <f t="shared" ca="1" si="97"/>
        <v>0</v>
      </c>
      <c r="AJ177" s="7">
        <f t="shared" ca="1" si="97"/>
        <v>0</v>
      </c>
      <c r="AK177" s="7">
        <f t="shared" ca="1" si="97"/>
        <v>0</v>
      </c>
      <c r="AL177" s="7">
        <f t="shared" ca="1" si="97"/>
        <v>0</v>
      </c>
      <c r="AM177" s="7">
        <f t="shared" ca="1" si="97"/>
        <v>0</v>
      </c>
    </row>
    <row r="178" spans="1:39" x14ac:dyDescent="0.2">
      <c r="A178" s="3" t="s">
        <v>68</v>
      </c>
      <c r="C178" s="7">
        <f ca="1">C177*Inputs!$B$269</f>
        <v>0</v>
      </c>
      <c r="D178" s="7">
        <f ca="1">D177*Inputs!$B$269</f>
        <v>0</v>
      </c>
      <c r="E178" s="7">
        <f ca="1">E177*Inputs!$B$269</f>
        <v>1734.4326766202112</v>
      </c>
      <c r="F178" s="7">
        <f ca="1">F177*Inputs!$B$269</f>
        <v>943.4570101312097</v>
      </c>
      <c r="G178" s="7">
        <f ca="1">G177*Inputs!$B$269</f>
        <v>1580.9906573233366</v>
      </c>
      <c r="H178" s="7">
        <f ca="1">H177*Inputs!$B$269</f>
        <v>1500.5939181799772</v>
      </c>
      <c r="I178" s="7">
        <f ca="1">I177*Inputs!$B$269</f>
        <v>1029.3326534387309</v>
      </c>
      <c r="J178" s="7">
        <f ca="1">J177*Inputs!$B$269</f>
        <v>0</v>
      </c>
      <c r="K178" s="7">
        <f ca="1">K177*Inputs!$B$269</f>
        <v>0</v>
      </c>
      <c r="L178" s="7">
        <f ca="1">L177*Inputs!$B$269</f>
        <v>0</v>
      </c>
      <c r="M178" s="7">
        <f ca="1">M177*Inputs!$B$269</f>
        <v>0</v>
      </c>
      <c r="N178" s="7">
        <f ca="1">N177*Inputs!$B$269</f>
        <v>0</v>
      </c>
      <c r="O178" s="7">
        <f ca="1">O177*Inputs!$B$269</f>
        <v>0</v>
      </c>
      <c r="P178" s="7">
        <f ca="1">P177*Inputs!$B$269</f>
        <v>0</v>
      </c>
      <c r="Q178" s="7">
        <f ca="1">Q177*Inputs!$B$269</f>
        <v>0</v>
      </c>
      <c r="R178" s="7">
        <f ca="1">R177*Inputs!$B$269</f>
        <v>0</v>
      </c>
      <c r="S178" s="7">
        <f ca="1">S177*Inputs!$B$269</f>
        <v>0</v>
      </c>
      <c r="T178" s="7">
        <f ca="1">T177*Inputs!$B$269</f>
        <v>0</v>
      </c>
      <c r="U178" s="7">
        <f ca="1">U177*Inputs!$B$269</f>
        <v>0</v>
      </c>
      <c r="V178" s="7">
        <f ca="1">V177*Inputs!$B$269</f>
        <v>0</v>
      </c>
      <c r="W178" s="7">
        <f ca="1">W177*Inputs!$B$269</f>
        <v>0</v>
      </c>
      <c r="X178" s="7">
        <f ca="1">X177*Inputs!$B$269</f>
        <v>0</v>
      </c>
      <c r="Y178" s="7">
        <f ca="1">Y177*Inputs!$B$269</f>
        <v>0</v>
      </c>
      <c r="Z178" s="7">
        <f ca="1">Z177*Inputs!$B$269</f>
        <v>0</v>
      </c>
      <c r="AA178" s="7">
        <f ca="1">AA177*Inputs!$B$269</f>
        <v>0</v>
      </c>
      <c r="AB178" s="7">
        <f ca="1">AB177*Inputs!$B$269</f>
        <v>0</v>
      </c>
      <c r="AC178" s="7">
        <f ca="1">AC177*Inputs!$B$269</f>
        <v>0</v>
      </c>
      <c r="AD178" s="7">
        <f ca="1">AD177*Inputs!$B$269</f>
        <v>0</v>
      </c>
      <c r="AE178" s="7">
        <f ca="1">AE177*Inputs!$B$269</f>
        <v>0</v>
      </c>
      <c r="AF178" s="7">
        <f ca="1">AF177*Inputs!$B$269</f>
        <v>0</v>
      </c>
      <c r="AG178" s="7">
        <f ca="1">AG177*Inputs!$B$269</f>
        <v>0</v>
      </c>
      <c r="AH178" s="7">
        <f ca="1">AH177*Inputs!$B$269</f>
        <v>0</v>
      </c>
      <c r="AI178" s="7">
        <f ca="1">AI177*Inputs!$B$269</f>
        <v>0</v>
      </c>
      <c r="AJ178" s="7">
        <f ca="1">AJ177*Inputs!$B$269</f>
        <v>0</v>
      </c>
      <c r="AK178" s="7">
        <f ca="1">AK177*Inputs!$B$269</f>
        <v>0</v>
      </c>
      <c r="AL178" s="7">
        <f ca="1">AL177*Inputs!$B$269</f>
        <v>0</v>
      </c>
      <c r="AM178" s="7">
        <f ca="1">AM177*Inputs!$B$269</f>
        <v>0</v>
      </c>
    </row>
    <row r="179" spans="1:39" x14ac:dyDescent="0.2">
      <c r="A179" s="3" t="s">
        <v>149</v>
      </c>
      <c r="C179" s="7">
        <f ca="1">C176+SUM($C178:C178)</f>
        <v>63060.110212387553</v>
      </c>
      <c r="D179" s="7">
        <f ca="1">D176+SUM($C178:D178)</f>
        <v>74803.865731513826</v>
      </c>
      <c r="E179" s="7">
        <f ca="1">E176+SUM($C178:E178)</f>
        <v>80352.308062496202</v>
      </c>
      <c r="F179" s="7">
        <f ca="1">F176+SUM($C178:F178)</f>
        <v>-9583.8299080001943</v>
      </c>
      <c r="G179" s="7">
        <f ca="1">G176+SUM($C178:G178)</f>
        <v>93855.17055864686</v>
      </c>
      <c r="H179" s="7">
        <f ca="1">H176+SUM($C178:H178)</f>
        <v>38399.03272904722</v>
      </c>
      <c r="I179" s="7">
        <f ca="1">I176+SUM($C178:I178)</f>
        <v>-2037.8869467573022</v>
      </c>
      <c r="J179" s="7">
        <f ca="1">J176+SUM($C178:J178)</f>
        <v>-43634.426647659944</v>
      </c>
      <c r="K179" s="7">
        <f ca="1">K176+SUM($C178:K178)</f>
        <v>-103152.62055296321</v>
      </c>
      <c r="L179" s="7">
        <f ca="1">L176+SUM($C178:L178)</f>
        <v>-81284.800514258503</v>
      </c>
      <c r="M179" s="7">
        <f ca="1">M176+SUM($C178:M178)</f>
        <v>-153302.2758864034</v>
      </c>
      <c r="N179" s="7">
        <f ca="1">N176+SUM($C178:N178)</f>
        <v>-177076.94659198122</v>
      </c>
      <c r="O179" s="7">
        <f ca="1">O176+SUM($C178:O178)</f>
        <v>-201256.51705414301</v>
      </c>
      <c r="P179" s="7">
        <f ca="1">P176+SUM($C178:P178)</f>
        <v>-225845.42575647176</v>
      </c>
      <c r="Q179" s="7">
        <f ca="1">Q176+SUM($C178:Q178)</f>
        <v>-250848.05162433005</v>
      </c>
      <c r="R179" s="7">
        <f ca="1">R176+SUM($C178:R178)</f>
        <v>-276268.70742029534</v>
      </c>
      <c r="S179" s="7">
        <f ca="1">S176+SUM($C178:S178)</f>
        <v>-302111.63282101252</v>
      </c>
      <c r="T179" s="7">
        <f ca="1">T176+SUM($C178:T178)</f>
        <v>-311338.86263771262</v>
      </c>
      <c r="U179" s="7">
        <f ca="1">U176+SUM($C178:U178)</f>
        <v>-312772.24609163054</v>
      </c>
      <c r="V179" s="7">
        <f ca="1">V176+SUM($C178:V178)</f>
        <v>-314008.44360663922</v>
      </c>
      <c r="W179" s="7">
        <f ca="1">W176+SUM($C178:W178)</f>
        <v>-315035.53491850814</v>
      </c>
      <c r="X179" s="7">
        <f ca="1">X176+SUM($C178:X178)</f>
        <v>-315841.09203792847</v>
      </c>
      <c r="Y179" s="7">
        <f ca="1">Y176+SUM($C178:Y178)</f>
        <v>-337071.01703679276</v>
      </c>
      <c r="Z179" s="7">
        <f ca="1">Z176+SUM($C178:Z178)</f>
        <v>-358569.42350654077</v>
      </c>
      <c r="AA179" s="7">
        <f ca="1">AA176+SUM($C178:AA178)</f>
        <v>-380335.15548432193</v>
      </c>
      <c r="AB179" s="7">
        <f ca="1">AB176+SUM($C178:AB178)</f>
        <v>-402366.79206822591</v>
      </c>
      <c r="AC179" s="7">
        <f ca="1">AC176+SUM($C178:AC178)</f>
        <v>-424662.6337126061</v>
      </c>
      <c r="AD179" s="7">
        <f ca="1">AD176+SUM($C178:AD178)</f>
        <v>-447220.68796835071</v>
      </c>
      <c r="AE179" s="7">
        <f ca="1">AE176+SUM($C178:AE178)</f>
        <v>-460056.17955406546</v>
      </c>
      <c r="AF179" s="7">
        <f ca="1">AF176+SUM($C178:AF178)</f>
        <v>-472899.39832880651</v>
      </c>
      <c r="AG179" s="7">
        <f ca="1">AG176+SUM($C178:AG178)</f>
        <v>-485741.14266928117</v>
      </c>
      <c r="AH179" s="7">
        <f ca="1">AH176+SUM($C178:AH178)</f>
        <v>-498571.69906752347</v>
      </c>
      <c r="AI179" s="7">
        <f ca="1">AI176+SUM($C178:AI178)</f>
        <v>-511380.82087845536</v>
      </c>
      <c r="AJ179" s="7">
        <f ca="1">AJ176+SUM($C178:AJ178)</f>
        <v>-524157.70628247643</v>
      </c>
      <c r="AK179" s="7">
        <f ca="1">AK176+SUM($C178:AK178)</f>
        <v>-536890.97543584788</v>
      </c>
      <c r="AL179" s="7">
        <f ca="1">AL176+SUM($C178:AL178)</f>
        <v>-549568.64678073139</v>
      </c>
      <c r="AM179" s="7">
        <f ca="1">AM176+SUM($C178:AM178)</f>
        <v>-562178.11248579458</v>
      </c>
    </row>
    <row r="180" spans="1:39" x14ac:dyDescent="0.2">
      <c r="A180" s="3" t="s">
        <v>19</v>
      </c>
      <c r="C180" s="7">
        <f ca="1">IF(C179&lt;0,-C179,0)</f>
        <v>0</v>
      </c>
      <c r="D180" s="7">
        <f ca="1">IF(D179+SUM($C180:C180)&lt;0,-(D179+SUM($C180:C180)),0)</f>
        <v>0</v>
      </c>
      <c r="E180" s="7">
        <f ca="1">IF(E179+SUM($C180:D180)&lt;0,-(E179+SUM($C180:D180)),0)</f>
        <v>0</v>
      </c>
      <c r="F180" s="7">
        <f ca="1">IF(F179+SUM($C180:E180)&lt;0,-(F179+SUM($C180:E180)),0)</f>
        <v>9583.8299080001943</v>
      </c>
      <c r="G180" s="7">
        <f ca="1">IF(G179+SUM($C180:F180)&lt;0,-(G179+SUM($C180:F180)),0)</f>
        <v>0</v>
      </c>
      <c r="H180" s="7">
        <f ca="1">IF(H179+SUM($C180:G180)&lt;0,-(H179+SUM($C180:G180)),0)</f>
        <v>0</v>
      </c>
      <c r="I180" s="7">
        <f ca="1">IF(I179+SUM($C180:H180)&lt;0,-(I179+SUM($C180:H180)),0)</f>
        <v>0</v>
      </c>
      <c r="J180" s="7">
        <f ca="1">IF(J179+SUM($C180:I180)&lt;0,-(J179+SUM($C180:I180)),0)</f>
        <v>34050.596739659748</v>
      </c>
      <c r="K180" s="7">
        <f ca="1">IF(K179+SUM($C180:J180)&lt;0,-(K179+SUM($C180:J180)),0)</f>
        <v>59518.193905303269</v>
      </c>
      <c r="L180" s="7">
        <f ca="1">IF(L179+SUM($C180:K180)&lt;0,-(L179+SUM($C180:K180)),0)</f>
        <v>0</v>
      </c>
      <c r="M180" s="7">
        <f ca="1">IF(M179+SUM($C180:L180)&lt;0,-(M179+SUM($C180:L180)),0)</f>
        <v>50149.655333440183</v>
      </c>
      <c r="N180" s="7">
        <f ca="1">IF(N179+SUM($C180:M180)&lt;0,-(N179+SUM($C180:M180)),0)</f>
        <v>23774.670705577824</v>
      </c>
      <c r="O180" s="7">
        <f ca="1">IF(O179+SUM($C180:N180)&lt;0,-(O179+SUM($C180:N180)),0)</f>
        <v>24179.570462161792</v>
      </c>
      <c r="P180" s="7">
        <f ca="1">IF(P179+SUM($C180:O180)&lt;0,-(P179+SUM($C180:O180)),0)</f>
        <v>24588.908702328743</v>
      </c>
      <c r="Q180" s="7">
        <f ca="1">IF(Q179+SUM($C180:P180)&lt;0,-(Q179+SUM($C180:P180)),0)</f>
        <v>25002.625867858296</v>
      </c>
      <c r="R180" s="7">
        <f ca="1">IF(R179+SUM($C180:Q180)&lt;0,-(R179+SUM($C180:Q180)),0)</f>
        <v>25420.655795965286</v>
      </c>
      <c r="S180" s="7">
        <f ca="1">IF(S179+SUM($C180:R180)&lt;0,-(S179+SUM($C180:R180)),0)</f>
        <v>25842.925400717184</v>
      </c>
      <c r="T180" s="7">
        <f ca="1">IF(T179+SUM($C180:S180)&lt;0,-(T179+SUM($C180:S180)),0)</f>
        <v>9227.229816700099</v>
      </c>
      <c r="U180" s="7">
        <f ca="1">IF(U179+SUM($C180:T180)&lt;0,-(U179+SUM($C180:T180)),0)</f>
        <v>1433.3834539179225</v>
      </c>
      <c r="V180" s="7">
        <f ca="1">IF(V179+SUM($C180:U180)&lt;0,-(V179+SUM($C180:U180)),0)</f>
        <v>1236.1975150086801</v>
      </c>
      <c r="W180" s="7">
        <f ca="1">IF(W179+SUM($C180:V180)&lt;0,-(W179+SUM($C180:V180)),0)</f>
        <v>1027.0913118689205</v>
      </c>
      <c r="X180" s="7">
        <f ca="1">IF(X179+SUM($C180:W180)&lt;0,-(X179+SUM($C180:W180)),0)</f>
        <v>805.55711942032212</v>
      </c>
      <c r="Y180" s="7">
        <f ca="1">IF(Y179+SUM($C180:X180)&lt;0,-(Y179+SUM($C180:X180)),0)</f>
        <v>21229.924998864299</v>
      </c>
      <c r="Z180" s="7">
        <f ca="1">IF(Z179+SUM($C180:Y180)&lt;0,-(Z179+SUM($C180:Y180)),0)</f>
        <v>21498.406469748006</v>
      </c>
      <c r="AA180" s="7">
        <f ca="1">IF(AA179+SUM($C180:Z180)&lt;0,-(AA179+SUM($C180:Z180)),0)</f>
        <v>21765.731977781164</v>
      </c>
      <c r="AB180" s="7">
        <f ca="1">IF(AB179+SUM($C180:AA180)&lt;0,-(AB179+SUM($C180:AA180)),0)</f>
        <v>22031.636583903979</v>
      </c>
      <c r="AC180" s="7">
        <f ca="1">IF(AC179+SUM($C180:AB180)&lt;0,-(AC179+SUM($C180:AB180)),0)</f>
        <v>22295.841644380183</v>
      </c>
      <c r="AD180" s="7">
        <f ca="1">IF(AD179+SUM($C180:AC180)&lt;0,-(AD179+SUM($C180:AC180)),0)</f>
        <v>22558.054255744617</v>
      </c>
      <c r="AE180" s="7">
        <f ca="1">IF(AE179+SUM($C180:AD180)&lt;0,-(AE179+SUM($C180:AD180)),0)</f>
        <v>12835.491585714743</v>
      </c>
      <c r="AF180" s="7">
        <f ca="1">IF(AF179+SUM($C180:AE180)&lt;0,-(AF179+SUM($C180:AE180)),0)</f>
        <v>12843.21877474105</v>
      </c>
      <c r="AG180" s="7">
        <f ca="1">IF(AG179+SUM($C180:AF180)&lt;0,-(AG179+SUM($C180:AF180)),0)</f>
        <v>12841.744340474659</v>
      </c>
      <c r="AH180" s="7">
        <f ca="1">IF(AH179+SUM($C180:AG180)&lt;0,-(AH179+SUM($C180:AG180)),0)</f>
        <v>12830.556398242305</v>
      </c>
      <c r="AI180" s="7">
        <f ca="1">IF(AI179+SUM($C180:AH180)&lt;0,-(AI179+SUM($C180:AH180)),0)</f>
        <v>12809.121810931887</v>
      </c>
      <c r="AJ180" s="7">
        <f ca="1">IF(AJ179+SUM($C180:AI180)&lt;0,-(AJ179+SUM($C180:AI180)),0)</f>
        <v>12776.885404021072</v>
      </c>
      <c r="AK180" s="7">
        <f ca="1">IF(AK179+SUM($C180:AJ180)&lt;0,-(AK179+SUM($C180:AJ180)),0)</f>
        <v>12733.269153371453</v>
      </c>
      <c r="AL180" s="7">
        <f ca="1">IF(AL179+SUM($C180:AK180)&lt;0,-(AL179+SUM($C180:AK180)),0)</f>
        <v>12677.671344883507</v>
      </c>
      <c r="AM180" s="7">
        <f ca="1">IF(AM179+SUM($C180:AL180)&lt;0,-(AM179+SUM($C180:AL180)),0)</f>
        <v>12609.465705063194</v>
      </c>
    </row>
    <row r="181" spans="1:39" x14ac:dyDescent="0.2"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</row>
    <row r="182" spans="1:39" x14ac:dyDescent="0.2">
      <c r="A182" s="24" t="str">
        <f>IF(Inputs!$B$289=6,IFERROR(_xlfn.XLOOKUP($B182,Inputs!$B$290:$B$299,Inputs!$A$290:$A$299,,0,1),""),IFERROR(_xlfn.XLOOKUP($B182,Inputs!$C$290:$C$299,Inputs!$A$290:$A$299,,0,1),""))</f>
        <v>Antiques</v>
      </c>
      <c r="B182" s="26">
        <v>5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</row>
    <row r="183" spans="1:39" x14ac:dyDescent="0.2">
      <c r="A183" s="3" t="s">
        <v>21</v>
      </c>
      <c r="C183" s="7">
        <f ca="1">IFERROR(VLOOKUP($A182,$A$67:$H$96,C$1+2,FALSE),0)</f>
        <v>83226.9503404141</v>
      </c>
      <c r="D183" s="7">
        <f ca="1">C186</f>
        <v>83226.9503404141</v>
      </c>
      <c r="E183" s="7">
        <f t="shared" ref="E183:AM183" ca="1" si="98">D186</f>
        <v>84891.489347222378</v>
      </c>
      <c r="F183" s="7">
        <f t="shared" ca="1" si="98"/>
        <v>0</v>
      </c>
      <c r="G183" s="7">
        <f t="shared" ca="1" si="98"/>
        <v>0</v>
      </c>
      <c r="H183" s="7">
        <f t="shared" ca="1" si="98"/>
        <v>0</v>
      </c>
      <c r="I183" s="7">
        <f t="shared" ca="1" si="98"/>
        <v>0</v>
      </c>
      <c r="J183" s="7">
        <f t="shared" ca="1" si="98"/>
        <v>0</v>
      </c>
      <c r="K183" s="7">
        <f t="shared" ca="1" si="98"/>
        <v>0</v>
      </c>
      <c r="L183" s="7">
        <f t="shared" ca="1" si="98"/>
        <v>0</v>
      </c>
      <c r="M183" s="7">
        <f t="shared" ca="1" si="98"/>
        <v>0</v>
      </c>
      <c r="N183" s="7">
        <f t="shared" ca="1" si="98"/>
        <v>0</v>
      </c>
      <c r="O183" s="7">
        <f t="shared" ca="1" si="98"/>
        <v>0</v>
      </c>
      <c r="P183" s="7">
        <f t="shared" ca="1" si="98"/>
        <v>0</v>
      </c>
      <c r="Q183" s="7">
        <f t="shared" ca="1" si="98"/>
        <v>0</v>
      </c>
      <c r="R183" s="7">
        <f t="shared" ca="1" si="98"/>
        <v>0</v>
      </c>
      <c r="S183" s="7">
        <f t="shared" ca="1" si="98"/>
        <v>0</v>
      </c>
      <c r="T183" s="7">
        <f t="shared" ca="1" si="98"/>
        <v>0</v>
      </c>
      <c r="U183" s="7">
        <f t="shared" ca="1" si="98"/>
        <v>0</v>
      </c>
      <c r="V183" s="7">
        <f t="shared" ca="1" si="98"/>
        <v>0</v>
      </c>
      <c r="W183" s="7">
        <f t="shared" ca="1" si="98"/>
        <v>0</v>
      </c>
      <c r="X183" s="7">
        <f t="shared" ca="1" si="98"/>
        <v>0</v>
      </c>
      <c r="Y183" s="7">
        <f t="shared" ca="1" si="98"/>
        <v>0</v>
      </c>
      <c r="Z183" s="7">
        <f t="shared" ca="1" si="98"/>
        <v>0</v>
      </c>
      <c r="AA183" s="7">
        <f t="shared" ca="1" si="98"/>
        <v>0</v>
      </c>
      <c r="AB183" s="7">
        <f t="shared" ca="1" si="98"/>
        <v>0</v>
      </c>
      <c r="AC183" s="7">
        <f t="shared" ca="1" si="98"/>
        <v>0</v>
      </c>
      <c r="AD183" s="7">
        <f t="shared" ca="1" si="98"/>
        <v>0</v>
      </c>
      <c r="AE183" s="7">
        <f t="shared" ca="1" si="98"/>
        <v>0</v>
      </c>
      <c r="AF183" s="7">
        <f t="shared" ca="1" si="98"/>
        <v>0</v>
      </c>
      <c r="AG183" s="7">
        <f t="shared" ca="1" si="98"/>
        <v>0</v>
      </c>
      <c r="AH183" s="7">
        <f t="shared" ca="1" si="98"/>
        <v>0</v>
      </c>
      <c r="AI183" s="7">
        <f t="shared" ca="1" si="98"/>
        <v>0</v>
      </c>
      <c r="AJ183" s="7">
        <f t="shared" ca="1" si="98"/>
        <v>0</v>
      </c>
      <c r="AK183" s="7">
        <f t="shared" ca="1" si="98"/>
        <v>0</v>
      </c>
      <c r="AL183" s="7">
        <f t="shared" ca="1" si="98"/>
        <v>0</v>
      </c>
      <c r="AM183" s="7">
        <f t="shared" ca="1" si="98"/>
        <v>0</v>
      </c>
    </row>
    <row r="184" spans="1:39" x14ac:dyDescent="0.2">
      <c r="A184" s="3" t="s">
        <v>22</v>
      </c>
      <c r="C184" s="7">
        <f ca="1">-IF(D180&gt;0,C183,0)</f>
        <v>0</v>
      </c>
      <c r="D184" s="7">
        <f ca="1">-IF(E180&gt;0,D183,0)</f>
        <v>0</v>
      </c>
      <c r="E184" s="7">
        <f ca="1">-IF(F180&gt;0,E183,0)</f>
        <v>-84891.489347222378</v>
      </c>
      <c r="F184" s="7">
        <f ca="1">-IF(G180&gt;0,F183,0)</f>
        <v>0</v>
      </c>
      <c r="G184" s="7">
        <f t="shared" ref="G184:AM184" ca="1" si="99">-IF(H180&gt;0,G183,0)</f>
        <v>0</v>
      </c>
      <c r="H184" s="7">
        <f t="shared" ca="1" si="99"/>
        <v>0</v>
      </c>
      <c r="I184" s="7">
        <f t="shared" ca="1" si="99"/>
        <v>0</v>
      </c>
      <c r="J184" s="7">
        <f t="shared" ca="1" si="99"/>
        <v>0</v>
      </c>
      <c r="K184" s="7">
        <f t="shared" ca="1" si="99"/>
        <v>0</v>
      </c>
      <c r="L184" s="7">
        <f t="shared" ca="1" si="99"/>
        <v>0</v>
      </c>
      <c r="M184" s="7">
        <f t="shared" ca="1" si="99"/>
        <v>0</v>
      </c>
      <c r="N184" s="7">
        <f t="shared" ca="1" si="99"/>
        <v>0</v>
      </c>
      <c r="O184" s="7">
        <f t="shared" ca="1" si="99"/>
        <v>0</v>
      </c>
      <c r="P184" s="7">
        <f t="shared" ca="1" si="99"/>
        <v>0</v>
      </c>
      <c r="Q184" s="7">
        <f t="shared" ca="1" si="99"/>
        <v>0</v>
      </c>
      <c r="R184" s="7">
        <f t="shared" ca="1" si="99"/>
        <v>0</v>
      </c>
      <c r="S184" s="7">
        <f t="shared" ca="1" si="99"/>
        <v>0</v>
      </c>
      <c r="T184" s="7">
        <f t="shared" ca="1" si="99"/>
        <v>0</v>
      </c>
      <c r="U184" s="7">
        <f t="shared" ca="1" si="99"/>
        <v>0</v>
      </c>
      <c r="V184" s="7">
        <f t="shared" ca="1" si="99"/>
        <v>0</v>
      </c>
      <c r="W184" s="7">
        <f t="shared" ca="1" si="99"/>
        <v>0</v>
      </c>
      <c r="X184" s="7">
        <f t="shared" ca="1" si="99"/>
        <v>0</v>
      </c>
      <c r="Y184" s="7">
        <f t="shared" ca="1" si="99"/>
        <v>0</v>
      </c>
      <c r="Z184" s="7">
        <f t="shared" ca="1" si="99"/>
        <v>0</v>
      </c>
      <c r="AA184" s="7">
        <f t="shared" ca="1" si="99"/>
        <v>0</v>
      </c>
      <c r="AB184" s="7">
        <f t="shared" ca="1" si="99"/>
        <v>0</v>
      </c>
      <c r="AC184" s="7">
        <f t="shared" ca="1" si="99"/>
        <v>0</v>
      </c>
      <c r="AD184" s="7">
        <f t="shared" ca="1" si="99"/>
        <v>0</v>
      </c>
      <c r="AE184" s="7">
        <f t="shared" ca="1" si="99"/>
        <v>0</v>
      </c>
      <c r="AF184" s="7">
        <f t="shared" ca="1" si="99"/>
        <v>0</v>
      </c>
      <c r="AG184" s="7">
        <f t="shared" ca="1" si="99"/>
        <v>0</v>
      </c>
      <c r="AH184" s="7">
        <f t="shared" ca="1" si="99"/>
        <v>0</v>
      </c>
      <c r="AI184" s="7">
        <f t="shared" ca="1" si="99"/>
        <v>0</v>
      </c>
      <c r="AJ184" s="7">
        <f t="shared" ca="1" si="99"/>
        <v>0</v>
      </c>
      <c r="AK184" s="7">
        <f t="shared" ca="1" si="99"/>
        <v>0</v>
      </c>
      <c r="AL184" s="7">
        <f t="shared" ca="1" si="99"/>
        <v>0</v>
      </c>
      <c r="AM184" s="7">
        <f t="shared" si="99"/>
        <v>0</v>
      </c>
    </row>
    <row r="185" spans="1:39" x14ac:dyDescent="0.2">
      <c r="A185" s="3" t="s">
        <v>23</v>
      </c>
      <c r="C185" s="7">
        <v>0</v>
      </c>
      <c r="D185" s="7">
        <f t="shared" ref="D185:AM185" ca="1" si="100">SUM(D183:D184)*VLOOKUP($A182,AssVar,2,FALSE)</f>
        <v>1664.539006808282</v>
      </c>
      <c r="E185" s="7">
        <f t="shared" ca="1" si="100"/>
        <v>0</v>
      </c>
      <c r="F185" s="7">
        <f t="shared" ca="1" si="100"/>
        <v>0</v>
      </c>
      <c r="G185" s="7">
        <f t="shared" ca="1" si="100"/>
        <v>0</v>
      </c>
      <c r="H185" s="7">
        <f t="shared" ca="1" si="100"/>
        <v>0</v>
      </c>
      <c r="I185" s="7">
        <f t="shared" ca="1" si="100"/>
        <v>0</v>
      </c>
      <c r="J185" s="7">
        <f t="shared" ca="1" si="100"/>
        <v>0</v>
      </c>
      <c r="K185" s="7">
        <f t="shared" ca="1" si="100"/>
        <v>0</v>
      </c>
      <c r="L185" s="7">
        <f t="shared" ca="1" si="100"/>
        <v>0</v>
      </c>
      <c r="M185" s="7">
        <f t="shared" ca="1" si="100"/>
        <v>0</v>
      </c>
      <c r="N185" s="7">
        <f t="shared" ca="1" si="100"/>
        <v>0</v>
      </c>
      <c r="O185" s="7">
        <f t="shared" ca="1" si="100"/>
        <v>0</v>
      </c>
      <c r="P185" s="7">
        <f t="shared" ca="1" si="100"/>
        <v>0</v>
      </c>
      <c r="Q185" s="7">
        <f t="shared" ca="1" si="100"/>
        <v>0</v>
      </c>
      <c r="R185" s="7">
        <f t="shared" ca="1" si="100"/>
        <v>0</v>
      </c>
      <c r="S185" s="7">
        <f t="shared" ca="1" si="100"/>
        <v>0</v>
      </c>
      <c r="T185" s="7">
        <f t="shared" ca="1" si="100"/>
        <v>0</v>
      </c>
      <c r="U185" s="7">
        <f t="shared" ca="1" si="100"/>
        <v>0</v>
      </c>
      <c r="V185" s="7">
        <f t="shared" ca="1" si="100"/>
        <v>0</v>
      </c>
      <c r="W185" s="7">
        <f t="shared" ca="1" si="100"/>
        <v>0</v>
      </c>
      <c r="X185" s="7">
        <f t="shared" ca="1" si="100"/>
        <v>0</v>
      </c>
      <c r="Y185" s="7">
        <f t="shared" ca="1" si="100"/>
        <v>0</v>
      </c>
      <c r="Z185" s="7">
        <f t="shared" ca="1" si="100"/>
        <v>0</v>
      </c>
      <c r="AA185" s="7">
        <f t="shared" ca="1" si="100"/>
        <v>0</v>
      </c>
      <c r="AB185" s="7">
        <f t="shared" ca="1" si="100"/>
        <v>0</v>
      </c>
      <c r="AC185" s="7">
        <f t="shared" ca="1" si="100"/>
        <v>0</v>
      </c>
      <c r="AD185" s="7">
        <f t="shared" ca="1" si="100"/>
        <v>0</v>
      </c>
      <c r="AE185" s="7">
        <f t="shared" ca="1" si="100"/>
        <v>0</v>
      </c>
      <c r="AF185" s="7">
        <f t="shared" ca="1" si="100"/>
        <v>0</v>
      </c>
      <c r="AG185" s="7">
        <f t="shared" ca="1" si="100"/>
        <v>0</v>
      </c>
      <c r="AH185" s="7">
        <f t="shared" ca="1" si="100"/>
        <v>0</v>
      </c>
      <c r="AI185" s="7">
        <f t="shared" ca="1" si="100"/>
        <v>0</v>
      </c>
      <c r="AJ185" s="7">
        <f t="shared" ca="1" si="100"/>
        <v>0</v>
      </c>
      <c r="AK185" s="7">
        <f t="shared" ca="1" si="100"/>
        <v>0</v>
      </c>
      <c r="AL185" s="7">
        <f t="shared" ca="1" si="100"/>
        <v>0</v>
      </c>
      <c r="AM185" s="7">
        <f t="shared" ca="1" si="100"/>
        <v>0</v>
      </c>
    </row>
    <row r="186" spans="1:39" x14ac:dyDescent="0.2">
      <c r="A186" s="3" t="s">
        <v>24</v>
      </c>
      <c r="C186" s="7">
        <f ca="1">SUM(C183:C185)</f>
        <v>83226.9503404141</v>
      </c>
      <c r="D186" s="7">
        <f t="shared" ref="D186:AM186" ca="1" si="101">SUM(D183:D185)</f>
        <v>84891.489347222378</v>
      </c>
      <c r="E186" s="7">
        <f t="shared" ca="1" si="101"/>
        <v>0</v>
      </c>
      <c r="F186" s="7">
        <f t="shared" ca="1" si="101"/>
        <v>0</v>
      </c>
      <c r="G186" s="7">
        <f t="shared" ca="1" si="101"/>
        <v>0</v>
      </c>
      <c r="H186" s="7">
        <f t="shared" ca="1" si="101"/>
        <v>0</v>
      </c>
      <c r="I186" s="7">
        <f t="shared" ca="1" si="101"/>
        <v>0</v>
      </c>
      <c r="J186" s="7">
        <f t="shared" ca="1" si="101"/>
        <v>0</v>
      </c>
      <c r="K186" s="7">
        <f t="shared" ca="1" si="101"/>
        <v>0</v>
      </c>
      <c r="L186" s="7">
        <f t="shared" ca="1" si="101"/>
        <v>0</v>
      </c>
      <c r="M186" s="7">
        <f t="shared" ca="1" si="101"/>
        <v>0</v>
      </c>
      <c r="N186" s="7">
        <f t="shared" ca="1" si="101"/>
        <v>0</v>
      </c>
      <c r="O186" s="7">
        <f t="shared" ca="1" si="101"/>
        <v>0</v>
      </c>
      <c r="P186" s="7">
        <f t="shared" ca="1" si="101"/>
        <v>0</v>
      </c>
      <c r="Q186" s="7">
        <f t="shared" ca="1" si="101"/>
        <v>0</v>
      </c>
      <c r="R186" s="7">
        <f t="shared" ca="1" si="101"/>
        <v>0</v>
      </c>
      <c r="S186" s="7">
        <f t="shared" ca="1" si="101"/>
        <v>0</v>
      </c>
      <c r="T186" s="7">
        <f t="shared" ca="1" si="101"/>
        <v>0</v>
      </c>
      <c r="U186" s="7">
        <f t="shared" ca="1" si="101"/>
        <v>0</v>
      </c>
      <c r="V186" s="7">
        <f t="shared" ca="1" si="101"/>
        <v>0</v>
      </c>
      <c r="W186" s="7">
        <f t="shared" ca="1" si="101"/>
        <v>0</v>
      </c>
      <c r="X186" s="7">
        <f t="shared" ca="1" si="101"/>
        <v>0</v>
      </c>
      <c r="Y186" s="7">
        <f t="shared" ca="1" si="101"/>
        <v>0</v>
      </c>
      <c r="Z186" s="7">
        <f t="shared" ca="1" si="101"/>
        <v>0</v>
      </c>
      <c r="AA186" s="7">
        <f t="shared" ca="1" si="101"/>
        <v>0</v>
      </c>
      <c r="AB186" s="7">
        <f t="shared" ca="1" si="101"/>
        <v>0</v>
      </c>
      <c r="AC186" s="7">
        <f t="shared" ca="1" si="101"/>
        <v>0</v>
      </c>
      <c r="AD186" s="7">
        <f t="shared" ca="1" si="101"/>
        <v>0</v>
      </c>
      <c r="AE186" s="7">
        <f t="shared" ca="1" si="101"/>
        <v>0</v>
      </c>
      <c r="AF186" s="7">
        <f t="shared" ca="1" si="101"/>
        <v>0</v>
      </c>
      <c r="AG186" s="7">
        <f t="shared" ca="1" si="101"/>
        <v>0</v>
      </c>
      <c r="AH186" s="7">
        <f t="shared" ca="1" si="101"/>
        <v>0</v>
      </c>
      <c r="AI186" s="7">
        <f t="shared" ca="1" si="101"/>
        <v>0</v>
      </c>
      <c r="AJ186" s="7">
        <f t="shared" ca="1" si="101"/>
        <v>0</v>
      </c>
      <c r="AK186" s="7">
        <f t="shared" ca="1" si="101"/>
        <v>0</v>
      </c>
      <c r="AL186" s="7">
        <f t="shared" ca="1" si="101"/>
        <v>0</v>
      </c>
      <c r="AM186" s="7">
        <f t="shared" ca="1" si="101"/>
        <v>0</v>
      </c>
    </row>
    <row r="187" spans="1:39" x14ac:dyDescent="0.2">
      <c r="A187" s="3" t="s">
        <v>25</v>
      </c>
      <c r="C187" s="7">
        <f t="shared" ref="C187:AM187" ca="1" si="102">C184*VLOOKUP($A182,AssVar,3,FALSE)</f>
        <v>0</v>
      </c>
      <c r="D187" s="7">
        <f t="shared" ca="1" si="102"/>
        <v>0</v>
      </c>
      <c r="E187" s="7">
        <f t="shared" ca="1" si="102"/>
        <v>-1697.8297869444475</v>
      </c>
      <c r="F187" s="7">
        <f t="shared" ca="1" si="102"/>
        <v>0</v>
      </c>
      <c r="G187" s="7">
        <f t="shared" ca="1" si="102"/>
        <v>0</v>
      </c>
      <c r="H187" s="7">
        <f t="shared" ca="1" si="102"/>
        <v>0</v>
      </c>
      <c r="I187" s="7">
        <f t="shared" ca="1" si="102"/>
        <v>0</v>
      </c>
      <c r="J187" s="7">
        <f t="shared" ca="1" si="102"/>
        <v>0</v>
      </c>
      <c r="K187" s="7">
        <f t="shared" ca="1" si="102"/>
        <v>0</v>
      </c>
      <c r="L187" s="7">
        <f t="shared" ca="1" si="102"/>
        <v>0</v>
      </c>
      <c r="M187" s="7">
        <f t="shared" ca="1" si="102"/>
        <v>0</v>
      </c>
      <c r="N187" s="7">
        <f t="shared" ca="1" si="102"/>
        <v>0</v>
      </c>
      <c r="O187" s="7">
        <f t="shared" ca="1" si="102"/>
        <v>0</v>
      </c>
      <c r="P187" s="7">
        <f t="shared" ca="1" si="102"/>
        <v>0</v>
      </c>
      <c r="Q187" s="7">
        <f t="shared" ca="1" si="102"/>
        <v>0</v>
      </c>
      <c r="R187" s="7">
        <f t="shared" ca="1" si="102"/>
        <v>0</v>
      </c>
      <c r="S187" s="7">
        <f t="shared" ca="1" si="102"/>
        <v>0</v>
      </c>
      <c r="T187" s="7">
        <f t="shared" ca="1" si="102"/>
        <v>0</v>
      </c>
      <c r="U187" s="7">
        <f t="shared" ca="1" si="102"/>
        <v>0</v>
      </c>
      <c r="V187" s="7">
        <f t="shared" ca="1" si="102"/>
        <v>0</v>
      </c>
      <c r="W187" s="7">
        <f t="shared" ca="1" si="102"/>
        <v>0</v>
      </c>
      <c r="X187" s="7">
        <f t="shared" ca="1" si="102"/>
        <v>0</v>
      </c>
      <c r="Y187" s="7">
        <f t="shared" ca="1" si="102"/>
        <v>0</v>
      </c>
      <c r="Z187" s="7">
        <f t="shared" ca="1" si="102"/>
        <v>0</v>
      </c>
      <c r="AA187" s="7">
        <f t="shared" ca="1" si="102"/>
        <v>0</v>
      </c>
      <c r="AB187" s="7">
        <f t="shared" ca="1" si="102"/>
        <v>0</v>
      </c>
      <c r="AC187" s="7">
        <f t="shared" ca="1" si="102"/>
        <v>0</v>
      </c>
      <c r="AD187" s="7">
        <f t="shared" ca="1" si="102"/>
        <v>0</v>
      </c>
      <c r="AE187" s="7">
        <f t="shared" ca="1" si="102"/>
        <v>0</v>
      </c>
      <c r="AF187" s="7">
        <f t="shared" ca="1" si="102"/>
        <v>0</v>
      </c>
      <c r="AG187" s="7">
        <f t="shared" ca="1" si="102"/>
        <v>0</v>
      </c>
      <c r="AH187" s="7">
        <f t="shared" ca="1" si="102"/>
        <v>0</v>
      </c>
      <c r="AI187" s="7">
        <f t="shared" ca="1" si="102"/>
        <v>0</v>
      </c>
      <c r="AJ187" s="7">
        <f t="shared" ca="1" si="102"/>
        <v>0</v>
      </c>
      <c r="AK187" s="7">
        <f t="shared" ca="1" si="102"/>
        <v>0</v>
      </c>
      <c r="AL187" s="7">
        <f t="shared" ca="1" si="102"/>
        <v>0</v>
      </c>
      <c r="AM187" s="7">
        <f t="shared" si="102"/>
        <v>0</v>
      </c>
    </row>
    <row r="188" spans="1:39" x14ac:dyDescent="0.2">
      <c r="A188" s="3" t="s">
        <v>30</v>
      </c>
      <c r="C188" s="7">
        <f t="shared" ref="C188:AM188" ca="1" si="103">IFERROR(-IF(C183=0,VLOOKUP($A182,$8:$12,C$1+2,FALSE),0),0)</f>
        <v>0</v>
      </c>
      <c r="D188" s="7">
        <f t="shared" ca="1" si="103"/>
        <v>0</v>
      </c>
      <c r="E188" s="7">
        <f t="shared" ca="1" si="103"/>
        <v>0</v>
      </c>
      <c r="F188" s="7">
        <f t="shared" ca="1" si="103"/>
        <v>0</v>
      </c>
      <c r="G188" s="7">
        <f t="shared" ca="1" si="103"/>
        <v>0</v>
      </c>
      <c r="H188" s="7">
        <f t="shared" ca="1" si="103"/>
        <v>0</v>
      </c>
      <c r="I188" s="7">
        <f t="shared" ca="1" si="103"/>
        <v>0</v>
      </c>
      <c r="J188" s="7">
        <f t="shared" ca="1" si="103"/>
        <v>0</v>
      </c>
      <c r="K188" s="7">
        <f t="shared" ca="1" si="103"/>
        <v>0</v>
      </c>
      <c r="L188" s="7">
        <f t="shared" ca="1" si="103"/>
        <v>0</v>
      </c>
      <c r="M188" s="7">
        <f t="shared" ca="1" si="103"/>
        <v>0</v>
      </c>
      <c r="N188" s="7">
        <f t="shared" ca="1" si="103"/>
        <v>0</v>
      </c>
      <c r="O188" s="7">
        <f t="shared" ca="1" si="103"/>
        <v>0</v>
      </c>
      <c r="P188" s="7">
        <f t="shared" ca="1" si="103"/>
        <v>0</v>
      </c>
      <c r="Q188" s="7">
        <f t="shared" ca="1" si="103"/>
        <v>0</v>
      </c>
      <c r="R188" s="7">
        <f t="shared" ca="1" si="103"/>
        <v>0</v>
      </c>
      <c r="S188" s="7">
        <f t="shared" ca="1" si="103"/>
        <v>0</v>
      </c>
      <c r="T188" s="7">
        <f t="shared" ca="1" si="103"/>
        <v>0</v>
      </c>
      <c r="U188" s="7">
        <f t="shared" ca="1" si="103"/>
        <v>0</v>
      </c>
      <c r="V188" s="7">
        <f t="shared" ca="1" si="103"/>
        <v>0</v>
      </c>
      <c r="W188" s="7">
        <f t="shared" ca="1" si="103"/>
        <v>0</v>
      </c>
      <c r="X188" s="7">
        <f t="shared" ca="1" si="103"/>
        <v>0</v>
      </c>
      <c r="Y188" s="7">
        <f t="shared" ca="1" si="103"/>
        <v>0</v>
      </c>
      <c r="Z188" s="7">
        <f t="shared" ca="1" si="103"/>
        <v>0</v>
      </c>
      <c r="AA188" s="7">
        <f t="shared" ca="1" si="103"/>
        <v>0</v>
      </c>
      <c r="AB188" s="7">
        <f t="shared" ca="1" si="103"/>
        <v>0</v>
      </c>
      <c r="AC188" s="7">
        <f t="shared" ca="1" si="103"/>
        <v>0</v>
      </c>
      <c r="AD188" s="7">
        <f t="shared" ca="1" si="103"/>
        <v>0</v>
      </c>
      <c r="AE188" s="7">
        <f t="shared" ca="1" si="103"/>
        <v>0</v>
      </c>
      <c r="AF188" s="7">
        <f t="shared" ca="1" si="103"/>
        <v>0</v>
      </c>
      <c r="AG188" s="7">
        <f t="shared" ca="1" si="103"/>
        <v>0</v>
      </c>
      <c r="AH188" s="7">
        <f t="shared" ca="1" si="103"/>
        <v>0</v>
      </c>
      <c r="AI188" s="7">
        <f t="shared" ca="1" si="103"/>
        <v>0</v>
      </c>
      <c r="AJ188" s="7">
        <f t="shared" ca="1" si="103"/>
        <v>0</v>
      </c>
      <c r="AK188" s="7">
        <f t="shared" ca="1" si="103"/>
        <v>0</v>
      </c>
      <c r="AL188" s="7">
        <f t="shared" ca="1" si="103"/>
        <v>0</v>
      </c>
      <c r="AM188" s="7">
        <f t="shared" ca="1" si="103"/>
        <v>0</v>
      </c>
    </row>
    <row r="189" spans="1:39" x14ac:dyDescent="0.2">
      <c r="A189" s="3" t="s">
        <v>49</v>
      </c>
      <c r="C189" s="7">
        <f t="shared" ref="C189:AM189" ca="1" si="104">IFERROR(IF(C183=0,VLOOKUP($A182,$46:$50,C$1+2,FALSE),0),0)</f>
        <v>0</v>
      </c>
      <c r="D189" s="7">
        <f t="shared" ca="1" si="104"/>
        <v>0</v>
      </c>
      <c r="E189" s="7">
        <f t="shared" ca="1" si="104"/>
        <v>0</v>
      </c>
      <c r="F189" s="7">
        <f t="shared" ca="1" si="104"/>
        <v>0</v>
      </c>
      <c r="G189" s="7">
        <f t="shared" ca="1" si="104"/>
        <v>0</v>
      </c>
      <c r="H189" s="7">
        <f t="shared" ca="1" si="104"/>
        <v>0</v>
      </c>
      <c r="I189" s="7">
        <f t="shared" ca="1" si="104"/>
        <v>0</v>
      </c>
      <c r="J189" s="7">
        <f t="shared" ca="1" si="104"/>
        <v>0</v>
      </c>
      <c r="K189" s="7">
        <f t="shared" ca="1" si="104"/>
        <v>0</v>
      </c>
      <c r="L189" s="7">
        <f t="shared" ca="1" si="104"/>
        <v>0</v>
      </c>
      <c r="M189" s="7">
        <f t="shared" ca="1" si="104"/>
        <v>0</v>
      </c>
      <c r="N189" s="7">
        <f t="shared" ca="1" si="104"/>
        <v>0</v>
      </c>
      <c r="O189" s="7">
        <f t="shared" ca="1" si="104"/>
        <v>0</v>
      </c>
      <c r="P189" s="7">
        <f t="shared" ca="1" si="104"/>
        <v>0</v>
      </c>
      <c r="Q189" s="7">
        <f t="shared" ca="1" si="104"/>
        <v>0</v>
      </c>
      <c r="R189" s="7">
        <f t="shared" ca="1" si="104"/>
        <v>0</v>
      </c>
      <c r="S189" s="7">
        <f t="shared" ca="1" si="104"/>
        <v>0</v>
      </c>
      <c r="T189" s="7">
        <f t="shared" ca="1" si="104"/>
        <v>0</v>
      </c>
      <c r="U189" s="7">
        <f t="shared" ca="1" si="104"/>
        <v>0</v>
      </c>
      <c r="V189" s="7">
        <f t="shared" ca="1" si="104"/>
        <v>0</v>
      </c>
      <c r="W189" s="7">
        <f t="shared" ca="1" si="104"/>
        <v>0</v>
      </c>
      <c r="X189" s="7">
        <f t="shared" ca="1" si="104"/>
        <v>0</v>
      </c>
      <c r="Y189" s="7">
        <f t="shared" ca="1" si="104"/>
        <v>0</v>
      </c>
      <c r="Z189" s="7">
        <f t="shared" ca="1" si="104"/>
        <v>0</v>
      </c>
      <c r="AA189" s="7">
        <f t="shared" ca="1" si="104"/>
        <v>0</v>
      </c>
      <c r="AB189" s="7">
        <f t="shared" ca="1" si="104"/>
        <v>0</v>
      </c>
      <c r="AC189" s="7">
        <f t="shared" ca="1" si="104"/>
        <v>0</v>
      </c>
      <c r="AD189" s="7">
        <f t="shared" ca="1" si="104"/>
        <v>0</v>
      </c>
      <c r="AE189" s="7">
        <f t="shared" ca="1" si="104"/>
        <v>0</v>
      </c>
      <c r="AF189" s="7">
        <f t="shared" ca="1" si="104"/>
        <v>0</v>
      </c>
      <c r="AG189" s="7">
        <f t="shared" ca="1" si="104"/>
        <v>0</v>
      </c>
      <c r="AH189" s="7">
        <f t="shared" ca="1" si="104"/>
        <v>0</v>
      </c>
      <c r="AI189" s="7">
        <f t="shared" ca="1" si="104"/>
        <v>0</v>
      </c>
      <c r="AJ189" s="7">
        <f t="shared" ca="1" si="104"/>
        <v>0</v>
      </c>
      <c r="AK189" s="7">
        <f t="shared" ca="1" si="104"/>
        <v>0</v>
      </c>
      <c r="AL189" s="7">
        <f t="shared" ca="1" si="104"/>
        <v>0</v>
      </c>
      <c r="AM189" s="7">
        <f t="shared" ca="1" si="104"/>
        <v>0</v>
      </c>
    </row>
    <row r="190" spans="1:39" x14ac:dyDescent="0.2">
      <c r="A190" s="3" t="s">
        <v>35</v>
      </c>
      <c r="B190" s="14" t="str">
        <f>A182</f>
        <v>Antiques</v>
      </c>
      <c r="C190" s="7">
        <f t="shared" ref="C190:AM190" ca="1" si="105">IF(AND(C183&gt;0,C186=0),VLOOKUP($A182,$85:$94,C$1+2,FALSE),0)</f>
        <v>0</v>
      </c>
      <c r="D190" s="7">
        <f t="shared" ca="1" si="105"/>
        <v>0</v>
      </c>
      <c r="E190" s="7">
        <f t="shared" ca="1" si="105"/>
        <v>-347.34775010749127</v>
      </c>
      <c r="F190" s="7">
        <f t="shared" ca="1" si="105"/>
        <v>0</v>
      </c>
      <c r="G190" s="7">
        <f t="shared" ca="1" si="105"/>
        <v>0</v>
      </c>
      <c r="H190" s="7">
        <f t="shared" ca="1" si="105"/>
        <v>0</v>
      </c>
      <c r="I190" s="7">
        <f t="shared" ca="1" si="105"/>
        <v>0</v>
      </c>
      <c r="J190" s="7">
        <f t="shared" ca="1" si="105"/>
        <v>0</v>
      </c>
      <c r="K190" s="7">
        <f t="shared" ca="1" si="105"/>
        <v>0</v>
      </c>
      <c r="L190" s="7">
        <f t="shared" ca="1" si="105"/>
        <v>0</v>
      </c>
      <c r="M190" s="7">
        <f t="shared" ca="1" si="105"/>
        <v>0</v>
      </c>
      <c r="N190" s="7">
        <f t="shared" ca="1" si="105"/>
        <v>0</v>
      </c>
      <c r="O190" s="7">
        <f t="shared" ca="1" si="105"/>
        <v>0</v>
      </c>
      <c r="P190" s="7">
        <f t="shared" ca="1" si="105"/>
        <v>0</v>
      </c>
      <c r="Q190" s="7">
        <f t="shared" ca="1" si="105"/>
        <v>0</v>
      </c>
      <c r="R190" s="7">
        <f t="shared" ca="1" si="105"/>
        <v>0</v>
      </c>
      <c r="S190" s="7">
        <f t="shared" ca="1" si="105"/>
        <v>0</v>
      </c>
      <c r="T190" s="7">
        <f t="shared" ca="1" si="105"/>
        <v>0</v>
      </c>
      <c r="U190" s="7">
        <f t="shared" ca="1" si="105"/>
        <v>0</v>
      </c>
      <c r="V190" s="7">
        <f t="shared" ca="1" si="105"/>
        <v>0</v>
      </c>
      <c r="W190" s="7">
        <f t="shared" ca="1" si="105"/>
        <v>0</v>
      </c>
      <c r="X190" s="7">
        <f t="shared" ca="1" si="105"/>
        <v>0</v>
      </c>
      <c r="Y190" s="7">
        <f t="shared" ca="1" si="105"/>
        <v>0</v>
      </c>
      <c r="Z190" s="7">
        <f t="shared" ca="1" si="105"/>
        <v>0</v>
      </c>
      <c r="AA190" s="7">
        <f t="shared" ca="1" si="105"/>
        <v>0</v>
      </c>
      <c r="AB190" s="7">
        <f t="shared" ca="1" si="105"/>
        <v>0</v>
      </c>
      <c r="AC190" s="7">
        <f t="shared" ca="1" si="105"/>
        <v>0</v>
      </c>
      <c r="AD190" s="7">
        <f t="shared" ca="1" si="105"/>
        <v>0</v>
      </c>
      <c r="AE190" s="7">
        <f t="shared" ca="1" si="105"/>
        <v>0</v>
      </c>
      <c r="AF190" s="7">
        <f t="shared" ca="1" si="105"/>
        <v>0</v>
      </c>
      <c r="AG190" s="7">
        <f t="shared" ca="1" si="105"/>
        <v>0</v>
      </c>
      <c r="AH190" s="7">
        <f t="shared" ca="1" si="105"/>
        <v>0</v>
      </c>
      <c r="AI190" s="7">
        <f t="shared" ca="1" si="105"/>
        <v>0</v>
      </c>
      <c r="AJ190" s="7">
        <f t="shared" ca="1" si="105"/>
        <v>0</v>
      </c>
      <c r="AK190" s="7">
        <f t="shared" ca="1" si="105"/>
        <v>0</v>
      </c>
      <c r="AL190" s="7">
        <f t="shared" ca="1" si="105"/>
        <v>0</v>
      </c>
      <c r="AM190" s="7">
        <f t="shared" ca="1" si="105"/>
        <v>0</v>
      </c>
    </row>
    <row r="191" spans="1:39" x14ac:dyDescent="0.2">
      <c r="A191" s="3" t="s">
        <v>36</v>
      </c>
      <c r="C191" s="7">
        <f ca="1">-C184+SUM(C187:C190)</f>
        <v>0</v>
      </c>
      <c r="D191" s="7">
        <f t="shared" ref="D191" ca="1" si="106">-D184+SUM(D187:D190)</f>
        <v>0</v>
      </c>
      <c r="E191" s="7">
        <f t="shared" ref="E191:AM191" ca="1" si="107">-E184+SUM(E187:E190)</f>
        <v>82846.311810170446</v>
      </c>
      <c r="F191" s="7">
        <f t="shared" ca="1" si="107"/>
        <v>0</v>
      </c>
      <c r="G191" s="7">
        <f t="shared" ca="1" si="107"/>
        <v>0</v>
      </c>
      <c r="H191" s="7">
        <f t="shared" ca="1" si="107"/>
        <v>0</v>
      </c>
      <c r="I191" s="7">
        <f t="shared" ca="1" si="107"/>
        <v>0</v>
      </c>
      <c r="J191" s="7">
        <f t="shared" ca="1" si="107"/>
        <v>0</v>
      </c>
      <c r="K191" s="7">
        <f t="shared" ca="1" si="107"/>
        <v>0</v>
      </c>
      <c r="L191" s="7">
        <f t="shared" ca="1" si="107"/>
        <v>0</v>
      </c>
      <c r="M191" s="7">
        <f t="shared" ca="1" si="107"/>
        <v>0</v>
      </c>
      <c r="N191" s="7">
        <f t="shared" ca="1" si="107"/>
        <v>0</v>
      </c>
      <c r="O191" s="7">
        <f t="shared" ca="1" si="107"/>
        <v>0</v>
      </c>
      <c r="P191" s="7">
        <f t="shared" ca="1" si="107"/>
        <v>0</v>
      </c>
      <c r="Q191" s="7">
        <f t="shared" ca="1" si="107"/>
        <v>0</v>
      </c>
      <c r="R191" s="7">
        <f t="shared" ca="1" si="107"/>
        <v>0</v>
      </c>
      <c r="S191" s="7">
        <f t="shared" ca="1" si="107"/>
        <v>0</v>
      </c>
      <c r="T191" s="7">
        <f t="shared" ca="1" si="107"/>
        <v>0</v>
      </c>
      <c r="U191" s="7">
        <f t="shared" ca="1" si="107"/>
        <v>0</v>
      </c>
      <c r="V191" s="7">
        <f t="shared" ca="1" si="107"/>
        <v>0</v>
      </c>
      <c r="W191" s="7">
        <f t="shared" ca="1" si="107"/>
        <v>0</v>
      </c>
      <c r="X191" s="7">
        <f t="shared" ca="1" si="107"/>
        <v>0</v>
      </c>
      <c r="Y191" s="7">
        <f t="shared" ca="1" si="107"/>
        <v>0</v>
      </c>
      <c r="Z191" s="7">
        <f t="shared" ca="1" si="107"/>
        <v>0</v>
      </c>
      <c r="AA191" s="7">
        <f t="shared" ca="1" si="107"/>
        <v>0</v>
      </c>
      <c r="AB191" s="7">
        <f t="shared" ca="1" si="107"/>
        <v>0</v>
      </c>
      <c r="AC191" s="7">
        <f t="shared" ca="1" si="107"/>
        <v>0</v>
      </c>
      <c r="AD191" s="7">
        <f t="shared" ca="1" si="107"/>
        <v>0</v>
      </c>
      <c r="AE191" s="7">
        <f t="shared" ca="1" si="107"/>
        <v>0</v>
      </c>
      <c r="AF191" s="7">
        <f t="shared" ca="1" si="107"/>
        <v>0</v>
      </c>
      <c r="AG191" s="7">
        <f t="shared" ca="1" si="107"/>
        <v>0</v>
      </c>
      <c r="AH191" s="7">
        <f t="shared" ca="1" si="107"/>
        <v>0</v>
      </c>
      <c r="AI191" s="7">
        <f t="shared" ca="1" si="107"/>
        <v>0</v>
      </c>
      <c r="AJ191" s="7">
        <f t="shared" ca="1" si="107"/>
        <v>0</v>
      </c>
      <c r="AK191" s="7">
        <f t="shared" ca="1" si="107"/>
        <v>0</v>
      </c>
      <c r="AL191" s="7">
        <f t="shared" ca="1" si="107"/>
        <v>0</v>
      </c>
      <c r="AM191" s="7">
        <f t="shared" ca="1" si="107"/>
        <v>0</v>
      </c>
    </row>
    <row r="192" spans="1:39" x14ac:dyDescent="0.2">
      <c r="A192" s="3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</row>
    <row r="193" spans="1:39" x14ac:dyDescent="0.2">
      <c r="A193" s="3" t="s">
        <v>70</v>
      </c>
      <c r="C193" s="7">
        <f ca="1">C179+SUM($C191:C191)</f>
        <v>63060.110212387553</v>
      </c>
      <c r="D193" s="7">
        <f ca="1">D179+SUM($C191:D191)</f>
        <v>74803.865731513826</v>
      </c>
      <c r="E193" s="7">
        <f ca="1">E179+SUM($C191:E191)</f>
        <v>163198.61987266666</v>
      </c>
      <c r="F193" s="7">
        <f ca="1">F179+SUM($C191:F191)</f>
        <v>73262.481902170257</v>
      </c>
      <c r="G193" s="7">
        <f ca="1">G179+SUM($C191:G191)</f>
        <v>176701.48236881732</v>
      </c>
      <c r="H193" s="7">
        <f ca="1">H179+SUM($C191:H191)</f>
        <v>121245.34453921767</v>
      </c>
      <c r="I193" s="7">
        <f ca="1">I179+SUM($C191:I191)</f>
        <v>80808.424863413151</v>
      </c>
      <c r="J193" s="7">
        <f ca="1">J179+SUM($C191:J191)</f>
        <v>39211.885162510502</v>
      </c>
      <c r="K193" s="7">
        <f ca="1">K179+SUM($C191:K191)</f>
        <v>-20306.308742792768</v>
      </c>
      <c r="L193" s="7">
        <f ca="1">L179+SUM($C191:L191)</f>
        <v>1561.5112959119433</v>
      </c>
      <c r="M193" s="7">
        <f ca="1">M179+SUM($C191:M191)</f>
        <v>-70455.964076232951</v>
      </c>
      <c r="N193" s="7">
        <f ca="1">N179+SUM($C191:N191)</f>
        <v>-94230.634781810775</v>
      </c>
      <c r="O193" s="7">
        <f ca="1">O179+SUM($C191:O191)</f>
        <v>-118410.20524397257</v>
      </c>
      <c r="P193" s="7">
        <f ca="1">P179+SUM($C191:P191)</f>
        <v>-142999.11394630131</v>
      </c>
      <c r="Q193" s="7">
        <f ca="1">Q179+SUM($C191:Q191)</f>
        <v>-168001.73981415961</v>
      </c>
      <c r="R193" s="7">
        <f ca="1">R179+SUM($C191:R191)</f>
        <v>-193422.39561012489</v>
      </c>
      <c r="S193" s="7">
        <f ca="1">S179+SUM($C191:S191)</f>
        <v>-219265.32101084208</v>
      </c>
      <c r="T193" s="7">
        <f ca="1">T179+SUM($C191:T191)</f>
        <v>-228492.55082754217</v>
      </c>
      <c r="U193" s="7">
        <f ca="1">U179+SUM($C191:U191)</f>
        <v>-229925.9342814601</v>
      </c>
      <c r="V193" s="7">
        <f ca="1">V179+SUM($C191:V191)</f>
        <v>-231162.13179646878</v>
      </c>
      <c r="W193" s="7">
        <f ca="1">W179+SUM($C191:W191)</f>
        <v>-232189.2231083377</v>
      </c>
      <c r="X193" s="7">
        <f ca="1">X179+SUM($C191:X191)</f>
        <v>-232994.78022775802</v>
      </c>
      <c r="Y193" s="7">
        <f ca="1">Y179+SUM($C191:Y191)</f>
        <v>-254224.70522662232</v>
      </c>
      <c r="Z193" s="7">
        <f ca="1">Z179+SUM($C191:Z191)</f>
        <v>-275723.1116963703</v>
      </c>
      <c r="AA193" s="7">
        <f ca="1">AA179+SUM($C191:AA191)</f>
        <v>-297488.84367415146</v>
      </c>
      <c r="AB193" s="7">
        <f ca="1">AB179+SUM($C191:AB191)</f>
        <v>-319520.4802580555</v>
      </c>
      <c r="AC193" s="7">
        <f ca="1">AC179+SUM($C191:AC191)</f>
        <v>-341816.32190243562</v>
      </c>
      <c r="AD193" s="7">
        <f ca="1">AD179+SUM($C191:AD191)</f>
        <v>-364374.3761581803</v>
      </c>
      <c r="AE193" s="7">
        <f ca="1">AE179+SUM($C191:AE191)</f>
        <v>-377209.86774389504</v>
      </c>
      <c r="AF193" s="7">
        <f ca="1">AF179+SUM($C191:AF191)</f>
        <v>-390053.08651863609</v>
      </c>
      <c r="AG193" s="7">
        <f ca="1">AG179+SUM($C191:AG191)</f>
        <v>-402894.83085911069</v>
      </c>
      <c r="AH193" s="7">
        <f ca="1">AH179+SUM($C191:AH191)</f>
        <v>-415725.38725735305</v>
      </c>
      <c r="AI193" s="7">
        <f ca="1">AI179+SUM($C191:AI191)</f>
        <v>-428534.50906828488</v>
      </c>
      <c r="AJ193" s="7">
        <f ca="1">AJ179+SUM($C191:AJ191)</f>
        <v>-441311.39447230601</v>
      </c>
      <c r="AK193" s="7">
        <f ca="1">AK179+SUM($C191:AK191)</f>
        <v>-454044.66362567747</v>
      </c>
      <c r="AL193" s="7">
        <f ca="1">AL179+SUM($C191:AL191)</f>
        <v>-466722.33497056097</v>
      </c>
      <c r="AM193" s="7">
        <f ca="1">AM179+SUM($C191:AM191)</f>
        <v>-479331.80067562417</v>
      </c>
    </row>
    <row r="194" spans="1:39" x14ac:dyDescent="0.2">
      <c r="A194" s="3" t="s">
        <v>67</v>
      </c>
      <c r="C194" s="7">
        <f t="shared" ref="C194:AM194" ca="1" si="108">MAX(C193+buffer,0)-MAX(C179+buffer,0)</f>
        <v>0</v>
      </c>
      <c r="D194" s="7">
        <f t="shared" ca="1" si="108"/>
        <v>0</v>
      </c>
      <c r="E194" s="7">
        <f t="shared" ca="1" si="108"/>
        <v>82846.31181017046</v>
      </c>
      <c r="F194" s="7">
        <f t="shared" ca="1" si="108"/>
        <v>82846.311810170446</v>
      </c>
      <c r="G194" s="7">
        <f t="shared" ca="1" si="108"/>
        <v>82846.311810170475</v>
      </c>
      <c r="H194" s="7">
        <f t="shared" ca="1" si="108"/>
        <v>82846.311810170431</v>
      </c>
      <c r="I194" s="7">
        <f t="shared" ca="1" si="108"/>
        <v>82846.311810170446</v>
      </c>
      <c r="J194" s="7">
        <f t="shared" ca="1" si="108"/>
        <v>82846.311810170446</v>
      </c>
      <c r="K194" s="7">
        <f t="shared" ca="1" si="108"/>
        <v>29693.691257207232</v>
      </c>
      <c r="L194" s="7">
        <f t="shared" ca="1" si="108"/>
        <v>51561.511295911943</v>
      </c>
      <c r="M194" s="7">
        <f t="shared" ca="1" si="108"/>
        <v>0</v>
      </c>
      <c r="N194" s="7">
        <f t="shared" ca="1" si="108"/>
        <v>0</v>
      </c>
      <c r="O194" s="7">
        <f t="shared" ca="1" si="108"/>
        <v>0</v>
      </c>
      <c r="P194" s="7">
        <f t="shared" ca="1" si="108"/>
        <v>0</v>
      </c>
      <c r="Q194" s="7">
        <f t="shared" ca="1" si="108"/>
        <v>0</v>
      </c>
      <c r="R194" s="7">
        <f t="shared" ca="1" si="108"/>
        <v>0</v>
      </c>
      <c r="S194" s="7">
        <f t="shared" ca="1" si="108"/>
        <v>0</v>
      </c>
      <c r="T194" s="7">
        <f t="shared" ca="1" si="108"/>
        <v>0</v>
      </c>
      <c r="U194" s="7">
        <f t="shared" ca="1" si="108"/>
        <v>0</v>
      </c>
      <c r="V194" s="7">
        <f t="shared" ca="1" si="108"/>
        <v>0</v>
      </c>
      <c r="W194" s="7">
        <f t="shared" ca="1" si="108"/>
        <v>0</v>
      </c>
      <c r="X194" s="7">
        <f t="shared" ca="1" si="108"/>
        <v>0</v>
      </c>
      <c r="Y194" s="7">
        <f t="shared" ca="1" si="108"/>
        <v>0</v>
      </c>
      <c r="Z194" s="7">
        <f t="shared" ca="1" si="108"/>
        <v>0</v>
      </c>
      <c r="AA194" s="7">
        <f t="shared" ca="1" si="108"/>
        <v>0</v>
      </c>
      <c r="AB194" s="7">
        <f t="shared" ca="1" si="108"/>
        <v>0</v>
      </c>
      <c r="AC194" s="7">
        <f t="shared" ca="1" si="108"/>
        <v>0</v>
      </c>
      <c r="AD194" s="7">
        <f t="shared" ca="1" si="108"/>
        <v>0</v>
      </c>
      <c r="AE194" s="7">
        <f t="shared" ca="1" si="108"/>
        <v>0</v>
      </c>
      <c r="AF194" s="7">
        <f t="shared" ca="1" si="108"/>
        <v>0</v>
      </c>
      <c r="AG194" s="7">
        <f t="shared" ca="1" si="108"/>
        <v>0</v>
      </c>
      <c r="AH194" s="7">
        <f t="shared" ca="1" si="108"/>
        <v>0</v>
      </c>
      <c r="AI194" s="7">
        <f t="shared" ca="1" si="108"/>
        <v>0</v>
      </c>
      <c r="AJ194" s="7">
        <f t="shared" ca="1" si="108"/>
        <v>0</v>
      </c>
      <c r="AK194" s="7">
        <f t="shared" ca="1" si="108"/>
        <v>0</v>
      </c>
      <c r="AL194" s="7">
        <f t="shared" ca="1" si="108"/>
        <v>0</v>
      </c>
      <c r="AM194" s="7">
        <f t="shared" ca="1" si="108"/>
        <v>0</v>
      </c>
    </row>
    <row r="195" spans="1:39" x14ac:dyDescent="0.2">
      <c r="A195" s="3" t="s">
        <v>68</v>
      </c>
      <c r="C195" s="7">
        <f ca="1">C194*Inputs!$B$269</f>
        <v>0</v>
      </c>
      <c r="D195" s="7">
        <f ca="1">D194*Inputs!$B$269</f>
        <v>0</v>
      </c>
      <c r="E195" s="7">
        <f ca="1">E194*Inputs!$B$269</f>
        <v>2071.1577952542616</v>
      </c>
      <c r="F195" s="7">
        <f ca="1">F194*Inputs!$B$269</f>
        <v>2071.1577952542611</v>
      </c>
      <c r="G195" s="7">
        <f ca="1">G194*Inputs!$B$269</f>
        <v>2071.1577952542621</v>
      </c>
      <c r="H195" s="7">
        <f ca="1">H194*Inputs!$B$269</f>
        <v>2071.1577952542607</v>
      </c>
      <c r="I195" s="7">
        <f ca="1">I194*Inputs!$B$269</f>
        <v>2071.1577952542611</v>
      </c>
      <c r="J195" s="7">
        <f ca="1">J194*Inputs!$B$269</f>
        <v>2071.1577952542611</v>
      </c>
      <c r="K195" s="7">
        <f ca="1">K194*Inputs!$B$269</f>
        <v>742.34228143018083</v>
      </c>
      <c r="L195" s="7">
        <f ca="1">L194*Inputs!$B$269</f>
        <v>1289.0377823977988</v>
      </c>
      <c r="M195" s="7">
        <f ca="1">M194*Inputs!$B$269</f>
        <v>0</v>
      </c>
      <c r="N195" s="7">
        <f ca="1">N194*Inputs!$B$269</f>
        <v>0</v>
      </c>
      <c r="O195" s="7">
        <f ca="1">O194*Inputs!$B$269</f>
        <v>0</v>
      </c>
      <c r="P195" s="7">
        <f ca="1">P194*Inputs!$B$269</f>
        <v>0</v>
      </c>
      <c r="Q195" s="7">
        <f ca="1">Q194*Inputs!$B$269</f>
        <v>0</v>
      </c>
      <c r="R195" s="7">
        <f ca="1">R194*Inputs!$B$269</f>
        <v>0</v>
      </c>
      <c r="S195" s="7">
        <f ca="1">S194*Inputs!$B$269</f>
        <v>0</v>
      </c>
      <c r="T195" s="7">
        <f ca="1">T194*Inputs!$B$269</f>
        <v>0</v>
      </c>
      <c r="U195" s="7">
        <f ca="1">U194*Inputs!$B$269</f>
        <v>0</v>
      </c>
      <c r="V195" s="7">
        <f ca="1">V194*Inputs!$B$269</f>
        <v>0</v>
      </c>
      <c r="W195" s="7">
        <f ca="1">W194*Inputs!$B$269</f>
        <v>0</v>
      </c>
      <c r="X195" s="7">
        <f ca="1">X194*Inputs!$B$269</f>
        <v>0</v>
      </c>
      <c r="Y195" s="7">
        <f ca="1">Y194*Inputs!$B$269</f>
        <v>0</v>
      </c>
      <c r="Z195" s="7">
        <f ca="1">Z194*Inputs!$B$269</f>
        <v>0</v>
      </c>
      <c r="AA195" s="7">
        <f ca="1">AA194*Inputs!$B$269</f>
        <v>0</v>
      </c>
      <c r="AB195" s="7">
        <f ca="1">AB194*Inputs!$B$269</f>
        <v>0</v>
      </c>
      <c r="AC195" s="7">
        <f ca="1">AC194*Inputs!$B$269</f>
        <v>0</v>
      </c>
      <c r="AD195" s="7">
        <f ca="1">AD194*Inputs!$B$269</f>
        <v>0</v>
      </c>
      <c r="AE195" s="7">
        <f ca="1">AE194*Inputs!$B$269</f>
        <v>0</v>
      </c>
      <c r="AF195" s="7">
        <f ca="1">AF194*Inputs!$B$269</f>
        <v>0</v>
      </c>
      <c r="AG195" s="7">
        <f ca="1">AG194*Inputs!$B$269</f>
        <v>0</v>
      </c>
      <c r="AH195" s="7">
        <f ca="1">AH194*Inputs!$B$269</f>
        <v>0</v>
      </c>
      <c r="AI195" s="7">
        <f ca="1">AI194*Inputs!$B$269</f>
        <v>0</v>
      </c>
      <c r="AJ195" s="7">
        <f ca="1">AJ194*Inputs!$B$269</f>
        <v>0</v>
      </c>
      <c r="AK195" s="7">
        <f ca="1">AK194*Inputs!$B$269</f>
        <v>0</v>
      </c>
      <c r="AL195" s="7">
        <f ca="1">AL194*Inputs!$B$269</f>
        <v>0</v>
      </c>
      <c r="AM195" s="7">
        <f ca="1">AM194*Inputs!$B$269</f>
        <v>0</v>
      </c>
    </row>
    <row r="196" spans="1:39" x14ac:dyDescent="0.2">
      <c r="A196" s="3" t="s">
        <v>149</v>
      </c>
      <c r="C196" s="7">
        <f ca="1">C193+SUM($C195:C195)</f>
        <v>63060.110212387553</v>
      </c>
      <c r="D196" s="7">
        <f ca="1">D193+SUM($C195:D195)</f>
        <v>74803.865731513826</v>
      </c>
      <c r="E196" s="7">
        <f ca="1">E193+SUM($C195:E195)</f>
        <v>165269.77766792092</v>
      </c>
      <c r="F196" s="7">
        <f ca="1">F193+SUM($C195:F195)</f>
        <v>77404.797492678772</v>
      </c>
      <c r="G196" s="7">
        <f ca="1">G193+SUM($C195:G195)</f>
        <v>182914.95575458009</v>
      </c>
      <c r="H196" s="7">
        <f ca="1">H193+SUM($C195:H195)</f>
        <v>129529.97572023471</v>
      </c>
      <c r="I196" s="7">
        <f ca="1">I193+SUM($C195:I195)</f>
        <v>91164.213839684453</v>
      </c>
      <c r="J196" s="7">
        <f ca="1">J193+SUM($C195:J195)</f>
        <v>51638.831934036069</v>
      </c>
      <c r="K196" s="7">
        <f ca="1">K193+SUM($C195:K195)</f>
        <v>-7137.0196898370195</v>
      </c>
      <c r="L196" s="7">
        <f ca="1">L193+SUM($C195:L195)</f>
        <v>16019.838131265489</v>
      </c>
      <c r="M196" s="7">
        <f ca="1">M193+SUM($C195:M195)</f>
        <v>-55997.637240879405</v>
      </c>
      <c r="N196" s="7">
        <f ca="1">N193+SUM($C195:N195)</f>
        <v>-79772.307946457237</v>
      </c>
      <c r="O196" s="7">
        <f ca="1">O193+SUM($C195:O195)</f>
        <v>-103951.87840861903</v>
      </c>
      <c r="P196" s="7">
        <f ca="1">P193+SUM($C195:P195)</f>
        <v>-128540.78711094777</v>
      </c>
      <c r="Q196" s="7">
        <f ca="1">Q193+SUM($C195:Q195)</f>
        <v>-153543.41297880607</v>
      </c>
      <c r="R196" s="7">
        <f ca="1">R193+SUM($C195:R195)</f>
        <v>-178964.06877477135</v>
      </c>
      <c r="S196" s="7">
        <f ca="1">S193+SUM($C195:S195)</f>
        <v>-204806.99417548854</v>
      </c>
      <c r="T196" s="7">
        <f ca="1">T193+SUM($C195:T195)</f>
        <v>-214034.22399218864</v>
      </c>
      <c r="U196" s="7">
        <f ca="1">U193+SUM($C195:U195)</f>
        <v>-215467.60744610656</v>
      </c>
      <c r="V196" s="7">
        <f ca="1">V193+SUM($C195:V195)</f>
        <v>-216703.80496111524</v>
      </c>
      <c r="W196" s="7">
        <f ca="1">W193+SUM($C195:W195)</f>
        <v>-217730.89627298416</v>
      </c>
      <c r="X196" s="7">
        <f ca="1">X193+SUM($C195:X195)</f>
        <v>-218536.45339240448</v>
      </c>
      <c r="Y196" s="7">
        <f ca="1">Y193+SUM($C195:Y195)</f>
        <v>-239766.37839126878</v>
      </c>
      <c r="Z196" s="7">
        <f ca="1">Z193+SUM($C195:Z195)</f>
        <v>-261264.78486101676</v>
      </c>
      <c r="AA196" s="7">
        <f ca="1">AA193+SUM($C195:AA195)</f>
        <v>-283030.51683879789</v>
      </c>
      <c r="AB196" s="7">
        <f ca="1">AB193+SUM($C195:AB195)</f>
        <v>-305062.15342270193</v>
      </c>
      <c r="AC196" s="7">
        <f ca="1">AC193+SUM($C195:AC195)</f>
        <v>-327357.99506708205</v>
      </c>
      <c r="AD196" s="7">
        <f ca="1">AD193+SUM($C195:AD195)</f>
        <v>-349916.04932282673</v>
      </c>
      <c r="AE196" s="7">
        <f ca="1">AE193+SUM($C195:AE195)</f>
        <v>-362751.54090854147</v>
      </c>
      <c r="AF196" s="7">
        <f ca="1">AF193+SUM($C195:AF195)</f>
        <v>-375594.75968328252</v>
      </c>
      <c r="AG196" s="7">
        <f ca="1">AG193+SUM($C195:AG195)</f>
        <v>-388436.50402375712</v>
      </c>
      <c r="AH196" s="7">
        <f ca="1">AH193+SUM($C195:AH195)</f>
        <v>-401267.06042199949</v>
      </c>
      <c r="AI196" s="7">
        <f ca="1">AI193+SUM($C195:AI195)</f>
        <v>-414076.18223293131</v>
      </c>
      <c r="AJ196" s="7">
        <f ca="1">AJ193+SUM($C195:AJ195)</f>
        <v>-426853.06763695244</v>
      </c>
      <c r="AK196" s="7">
        <f ca="1">AK193+SUM($C195:AK195)</f>
        <v>-439586.3367903239</v>
      </c>
      <c r="AL196" s="7">
        <f ca="1">AL193+SUM($C195:AL195)</f>
        <v>-452264.0081352074</v>
      </c>
      <c r="AM196" s="7">
        <f ca="1">AM193+SUM($C195:AM195)</f>
        <v>-464873.4738402706</v>
      </c>
    </row>
    <row r="197" spans="1:39" x14ac:dyDescent="0.2">
      <c r="A197" s="3" t="s">
        <v>19</v>
      </c>
      <c r="C197" s="7">
        <f ca="1">IF(C196&lt;0,-C196,0)</f>
        <v>0</v>
      </c>
      <c r="D197" s="7">
        <f ca="1">IF(D196+SUM($C197:C197)&lt;0,-(D196+SUM($C197:C197)),0)</f>
        <v>0</v>
      </c>
      <c r="E197" s="7">
        <f ca="1">IF(E196+SUM($C197:D197)&lt;0,-(E196+SUM($C197:D197)),0)</f>
        <v>0</v>
      </c>
      <c r="F197" s="7">
        <f ca="1">IF(F196+SUM($C197:E197)&lt;0,-(F196+SUM($C197:E197)),0)</f>
        <v>0</v>
      </c>
      <c r="G197" s="7">
        <f ca="1">IF(G196+SUM($C197:F197)&lt;0,-(G196+SUM($C197:F197)),0)</f>
        <v>0</v>
      </c>
      <c r="H197" s="7">
        <f ca="1">IF(H196+SUM($C197:G197)&lt;0,-(H196+SUM($C197:G197)),0)</f>
        <v>0</v>
      </c>
      <c r="I197" s="7">
        <f ca="1">IF(I196+SUM($C197:H197)&lt;0,-(I196+SUM($C197:H197)),0)</f>
        <v>0</v>
      </c>
      <c r="J197" s="7">
        <f ca="1">IF(J196+SUM($C197:I197)&lt;0,-(J196+SUM($C197:I197)),0)</f>
        <v>0</v>
      </c>
      <c r="K197" s="7">
        <f ca="1">IF(K196+SUM($C197:J197)&lt;0,-(K196+SUM($C197:J197)),0)</f>
        <v>7137.0196898370195</v>
      </c>
      <c r="L197" s="7">
        <f ca="1">IF(L196+SUM($C197:K197)&lt;0,-(L196+SUM($C197:K197)),0)</f>
        <v>0</v>
      </c>
      <c r="M197" s="7">
        <f ca="1">IF(M196+SUM($C197:L197)&lt;0,-(M196+SUM($C197:L197)),0)</f>
        <v>48860.617551042385</v>
      </c>
      <c r="N197" s="7">
        <f ca="1">IF(N196+SUM($C197:M197)&lt;0,-(N196+SUM($C197:M197)),0)</f>
        <v>23774.670705577832</v>
      </c>
      <c r="O197" s="7">
        <f ca="1">IF(O196+SUM($C197:N197)&lt;0,-(O196+SUM($C197:N197)),0)</f>
        <v>24179.570462161792</v>
      </c>
      <c r="P197" s="7">
        <f ca="1">IF(P196+SUM($C197:O197)&lt;0,-(P196+SUM($C197:O197)),0)</f>
        <v>24588.908702328743</v>
      </c>
      <c r="Q197" s="7">
        <f ca="1">IF(Q196+SUM($C197:P197)&lt;0,-(Q196+SUM($C197:P197)),0)</f>
        <v>25002.625867858296</v>
      </c>
      <c r="R197" s="7">
        <f ca="1">IF(R196+SUM($C197:Q197)&lt;0,-(R196+SUM($C197:Q197)),0)</f>
        <v>25420.655795965286</v>
      </c>
      <c r="S197" s="7">
        <f ca="1">IF(S196+SUM($C197:R197)&lt;0,-(S196+SUM($C197:R197)),0)</f>
        <v>25842.925400717184</v>
      </c>
      <c r="T197" s="7">
        <f ca="1">IF(T196+SUM($C197:S197)&lt;0,-(T196+SUM($C197:S197)),0)</f>
        <v>9227.229816700099</v>
      </c>
      <c r="U197" s="7">
        <f ca="1">IF(U196+SUM($C197:T197)&lt;0,-(U196+SUM($C197:T197)),0)</f>
        <v>1433.3834539179225</v>
      </c>
      <c r="V197" s="7">
        <f ca="1">IF(V196+SUM($C197:U197)&lt;0,-(V196+SUM($C197:U197)),0)</f>
        <v>1236.1975150086801</v>
      </c>
      <c r="W197" s="7">
        <f ca="1">IF(W196+SUM($C197:V197)&lt;0,-(W196+SUM($C197:V197)),0)</f>
        <v>1027.0913118689205</v>
      </c>
      <c r="X197" s="7">
        <f ca="1">IF(X196+SUM($C197:W197)&lt;0,-(X196+SUM($C197:W197)),0)</f>
        <v>805.55711942032212</v>
      </c>
      <c r="Y197" s="7">
        <f ca="1">IF(Y196+SUM($C197:X197)&lt;0,-(Y196+SUM($C197:X197)),0)</f>
        <v>21229.924998864299</v>
      </c>
      <c r="Z197" s="7">
        <f ca="1">IF(Z196+SUM($C197:Y197)&lt;0,-(Z196+SUM($C197:Y197)),0)</f>
        <v>21498.406469747977</v>
      </c>
      <c r="AA197" s="7">
        <f ca="1">IF(AA196+SUM($C197:Z197)&lt;0,-(AA196+SUM($C197:Z197)),0)</f>
        <v>21765.731977781135</v>
      </c>
      <c r="AB197" s="7">
        <f ca="1">IF(AB196+SUM($C197:AA197)&lt;0,-(AB196+SUM($C197:AA197)),0)</f>
        <v>22031.636583904037</v>
      </c>
      <c r="AC197" s="7">
        <f ca="1">IF(AC196+SUM($C197:AB197)&lt;0,-(AC196+SUM($C197:AB197)),0)</f>
        <v>22295.841644380125</v>
      </c>
      <c r="AD197" s="7">
        <f ca="1">IF(AD196+SUM($C197:AC197)&lt;0,-(AD196+SUM($C197:AC197)),0)</f>
        <v>22558.054255744675</v>
      </c>
      <c r="AE197" s="7">
        <f ca="1">IF(AE196+SUM($C197:AD197)&lt;0,-(AE196+SUM($C197:AD197)),0)</f>
        <v>12835.491585714743</v>
      </c>
      <c r="AF197" s="7">
        <f ca="1">IF(AF196+SUM($C197:AE197)&lt;0,-(AF196+SUM($C197:AE197)),0)</f>
        <v>12843.21877474105</v>
      </c>
      <c r="AG197" s="7">
        <f ca="1">IF(AG196+SUM($C197:AF197)&lt;0,-(AG196+SUM($C197:AF197)),0)</f>
        <v>12841.744340474601</v>
      </c>
      <c r="AH197" s="7">
        <f ca="1">IF(AH196+SUM($C197:AG197)&lt;0,-(AH196+SUM($C197:AG197)),0)</f>
        <v>12830.556398242363</v>
      </c>
      <c r="AI197" s="7">
        <f ca="1">IF(AI196+SUM($C197:AH197)&lt;0,-(AI196+SUM($C197:AH197)),0)</f>
        <v>12809.121810931829</v>
      </c>
      <c r="AJ197" s="7">
        <f ca="1">IF(AJ196+SUM($C197:AI197)&lt;0,-(AJ196+SUM($C197:AI197)),0)</f>
        <v>12776.88540402113</v>
      </c>
      <c r="AK197" s="7">
        <f ca="1">IF(AK196+SUM($C197:AJ197)&lt;0,-(AK196+SUM($C197:AJ197)),0)</f>
        <v>12733.269153371453</v>
      </c>
      <c r="AL197" s="7">
        <f ca="1">IF(AL196+SUM($C197:AK197)&lt;0,-(AL196+SUM($C197:AK197)),0)</f>
        <v>12677.671344883507</v>
      </c>
      <c r="AM197" s="7">
        <f ca="1">IF(AM196+SUM($C197:AL197)&lt;0,-(AM196+SUM($C197:AL197)),0)</f>
        <v>12609.465705063194</v>
      </c>
    </row>
    <row r="198" spans="1:39" x14ac:dyDescent="0.2"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</row>
    <row r="199" spans="1:39" x14ac:dyDescent="0.2">
      <c r="A199" s="24" t="str">
        <f>IF(Inputs!$B$289=6,IFERROR(_xlfn.XLOOKUP($B199,Inputs!$B$290:$B$299,Inputs!$A$290:$A$299,,0,1),""),IFERROR(_xlfn.XLOOKUP($B199,Inputs!$C$290:$C$299,Inputs!$A$290:$A$299,,0,1),""))</f>
        <v>Marsa</v>
      </c>
      <c r="B199" s="26">
        <v>6</v>
      </c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</row>
    <row r="200" spans="1:39" x14ac:dyDescent="0.2">
      <c r="A200" s="3" t="s">
        <v>21</v>
      </c>
      <c r="C200" s="7">
        <f ca="1">IFERROR(VLOOKUP($A199,$A$67:$H$96,C$1+2,FALSE),0)</f>
        <v>122689.99946753924</v>
      </c>
      <c r="D200" s="7">
        <f ca="1">C203</f>
        <v>122689.99946753924</v>
      </c>
      <c r="E200" s="7">
        <f t="shared" ref="E200:AM200" ca="1" si="109">D203</f>
        <v>126370.69945156541</v>
      </c>
      <c r="F200" s="7">
        <f t="shared" ca="1" si="109"/>
        <v>130161.82043511237</v>
      </c>
      <c r="G200" s="7">
        <f t="shared" ca="1" si="109"/>
        <v>134066.67504816575</v>
      </c>
      <c r="H200" s="7">
        <f t="shared" ca="1" si="109"/>
        <v>138088.67529961071</v>
      </c>
      <c r="I200" s="7">
        <f t="shared" ca="1" si="109"/>
        <v>142231.33555859904</v>
      </c>
      <c r="J200" s="7">
        <f t="shared" ca="1" si="109"/>
        <v>146498.275625357</v>
      </c>
      <c r="K200" s="7">
        <f t="shared" ca="1" si="109"/>
        <v>0</v>
      </c>
      <c r="L200" s="7">
        <f t="shared" ca="1" si="109"/>
        <v>0</v>
      </c>
      <c r="M200" s="7">
        <f t="shared" ca="1" si="109"/>
        <v>0</v>
      </c>
      <c r="N200" s="7">
        <f t="shared" ca="1" si="109"/>
        <v>0</v>
      </c>
      <c r="O200" s="7">
        <f t="shared" ca="1" si="109"/>
        <v>0</v>
      </c>
      <c r="P200" s="7">
        <f t="shared" ca="1" si="109"/>
        <v>0</v>
      </c>
      <c r="Q200" s="7">
        <f t="shared" ca="1" si="109"/>
        <v>0</v>
      </c>
      <c r="R200" s="7">
        <f t="shared" ca="1" si="109"/>
        <v>0</v>
      </c>
      <c r="S200" s="7">
        <f t="shared" ca="1" si="109"/>
        <v>0</v>
      </c>
      <c r="T200" s="7">
        <f t="shared" ca="1" si="109"/>
        <v>0</v>
      </c>
      <c r="U200" s="7">
        <f t="shared" ca="1" si="109"/>
        <v>0</v>
      </c>
      <c r="V200" s="7">
        <f t="shared" ca="1" si="109"/>
        <v>0</v>
      </c>
      <c r="W200" s="7">
        <f t="shared" ca="1" si="109"/>
        <v>0</v>
      </c>
      <c r="X200" s="7">
        <f t="shared" ca="1" si="109"/>
        <v>0</v>
      </c>
      <c r="Y200" s="7">
        <f t="shared" ca="1" si="109"/>
        <v>0</v>
      </c>
      <c r="Z200" s="7">
        <f t="shared" ca="1" si="109"/>
        <v>0</v>
      </c>
      <c r="AA200" s="7">
        <f t="shared" ca="1" si="109"/>
        <v>0</v>
      </c>
      <c r="AB200" s="7">
        <f t="shared" ca="1" si="109"/>
        <v>0</v>
      </c>
      <c r="AC200" s="7">
        <f t="shared" ca="1" si="109"/>
        <v>0</v>
      </c>
      <c r="AD200" s="7">
        <f t="shared" ca="1" si="109"/>
        <v>0</v>
      </c>
      <c r="AE200" s="7">
        <f t="shared" ca="1" si="109"/>
        <v>0</v>
      </c>
      <c r="AF200" s="7">
        <f t="shared" ca="1" si="109"/>
        <v>0</v>
      </c>
      <c r="AG200" s="7">
        <f t="shared" ca="1" si="109"/>
        <v>0</v>
      </c>
      <c r="AH200" s="7">
        <f t="shared" ca="1" si="109"/>
        <v>0</v>
      </c>
      <c r="AI200" s="7">
        <f t="shared" ca="1" si="109"/>
        <v>0</v>
      </c>
      <c r="AJ200" s="7">
        <f t="shared" ca="1" si="109"/>
        <v>0</v>
      </c>
      <c r="AK200" s="7">
        <f t="shared" ca="1" si="109"/>
        <v>0</v>
      </c>
      <c r="AL200" s="7">
        <f t="shared" ca="1" si="109"/>
        <v>0</v>
      </c>
      <c r="AM200" s="7">
        <f t="shared" ca="1" si="109"/>
        <v>0</v>
      </c>
    </row>
    <row r="201" spans="1:39" x14ac:dyDescent="0.2">
      <c r="A201" s="3" t="s">
        <v>22</v>
      </c>
      <c r="C201" s="7">
        <f ca="1">-IF(D197&gt;0,C200,0)</f>
        <v>0</v>
      </c>
      <c r="D201" s="7">
        <f ca="1">-IF(E197&gt;0,D200,0)</f>
        <v>0</v>
      </c>
      <c r="E201" s="7">
        <f ca="1">-IF(F197&gt;0,E200,0)</f>
        <v>0</v>
      </c>
      <c r="F201" s="7">
        <f ca="1">-IF(G197&gt;0,F200,0)</f>
        <v>0</v>
      </c>
      <c r="G201" s="7">
        <f t="shared" ref="G201:AM201" ca="1" si="110">-IF(H197&gt;0,G200,0)</f>
        <v>0</v>
      </c>
      <c r="H201" s="7">
        <f t="shared" ca="1" si="110"/>
        <v>0</v>
      </c>
      <c r="I201" s="7">
        <f t="shared" ca="1" si="110"/>
        <v>0</v>
      </c>
      <c r="J201" s="7">
        <f t="shared" ca="1" si="110"/>
        <v>-146498.275625357</v>
      </c>
      <c r="K201" s="7">
        <f t="shared" ca="1" si="110"/>
        <v>0</v>
      </c>
      <c r="L201" s="7">
        <f t="shared" ca="1" si="110"/>
        <v>0</v>
      </c>
      <c r="M201" s="7">
        <f t="shared" ca="1" si="110"/>
        <v>0</v>
      </c>
      <c r="N201" s="7">
        <f t="shared" ca="1" si="110"/>
        <v>0</v>
      </c>
      <c r="O201" s="7">
        <f t="shared" ca="1" si="110"/>
        <v>0</v>
      </c>
      <c r="P201" s="7">
        <f t="shared" ca="1" si="110"/>
        <v>0</v>
      </c>
      <c r="Q201" s="7">
        <f t="shared" ca="1" si="110"/>
        <v>0</v>
      </c>
      <c r="R201" s="7">
        <f t="shared" ca="1" si="110"/>
        <v>0</v>
      </c>
      <c r="S201" s="7">
        <f t="shared" ca="1" si="110"/>
        <v>0</v>
      </c>
      <c r="T201" s="7">
        <f t="shared" ca="1" si="110"/>
        <v>0</v>
      </c>
      <c r="U201" s="7">
        <f t="shared" ca="1" si="110"/>
        <v>0</v>
      </c>
      <c r="V201" s="7">
        <f t="shared" ca="1" si="110"/>
        <v>0</v>
      </c>
      <c r="W201" s="7">
        <f t="shared" ca="1" si="110"/>
        <v>0</v>
      </c>
      <c r="X201" s="7">
        <f t="shared" ca="1" si="110"/>
        <v>0</v>
      </c>
      <c r="Y201" s="7">
        <f t="shared" ca="1" si="110"/>
        <v>0</v>
      </c>
      <c r="Z201" s="7">
        <f t="shared" ca="1" si="110"/>
        <v>0</v>
      </c>
      <c r="AA201" s="7">
        <f t="shared" ca="1" si="110"/>
        <v>0</v>
      </c>
      <c r="AB201" s="7">
        <f t="shared" ca="1" si="110"/>
        <v>0</v>
      </c>
      <c r="AC201" s="7">
        <f t="shared" ca="1" si="110"/>
        <v>0</v>
      </c>
      <c r="AD201" s="7">
        <f t="shared" ca="1" si="110"/>
        <v>0</v>
      </c>
      <c r="AE201" s="7">
        <f t="shared" ca="1" si="110"/>
        <v>0</v>
      </c>
      <c r="AF201" s="7">
        <f t="shared" ca="1" si="110"/>
        <v>0</v>
      </c>
      <c r="AG201" s="7">
        <f t="shared" ca="1" si="110"/>
        <v>0</v>
      </c>
      <c r="AH201" s="7">
        <f t="shared" ca="1" si="110"/>
        <v>0</v>
      </c>
      <c r="AI201" s="7">
        <f t="shared" ca="1" si="110"/>
        <v>0</v>
      </c>
      <c r="AJ201" s="7">
        <f t="shared" ca="1" si="110"/>
        <v>0</v>
      </c>
      <c r="AK201" s="7">
        <f t="shared" ca="1" si="110"/>
        <v>0</v>
      </c>
      <c r="AL201" s="7">
        <f t="shared" ca="1" si="110"/>
        <v>0</v>
      </c>
      <c r="AM201" s="7">
        <f t="shared" si="110"/>
        <v>0</v>
      </c>
    </row>
    <row r="202" spans="1:39" x14ac:dyDescent="0.2">
      <c r="A202" s="3" t="s">
        <v>23</v>
      </c>
      <c r="C202" s="7">
        <v>0</v>
      </c>
      <c r="D202" s="7">
        <f t="shared" ref="D202:AM202" ca="1" si="111">SUM(D200:D201)*VLOOKUP($A199,AssVar,2,FALSE)</f>
        <v>3680.6999840261769</v>
      </c>
      <c r="E202" s="7">
        <f t="shared" ca="1" si="111"/>
        <v>3791.1209835469622</v>
      </c>
      <c r="F202" s="7">
        <f t="shared" ca="1" si="111"/>
        <v>3904.8546130533709</v>
      </c>
      <c r="G202" s="7">
        <f t="shared" ca="1" si="111"/>
        <v>4022.0002514449725</v>
      </c>
      <c r="H202" s="7">
        <f t="shared" ca="1" si="111"/>
        <v>4142.6602589883214</v>
      </c>
      <c r="I202" s="7">
        <f t="shared" ca="1" si="111"/>
        <v>4266.9400667579712</v>
      </c>
      <c r="J202" s="7">
        <f t="shared" ca="1" si="111"/>
        <v>0</v>
      </c>
      <c r="K202" s="7">
        <f t="shared" ca="1" si="111"/>
        <v>0</v>
      </c>
      <c r="L202" s="7">
        <f t="shared" ca="1" si="111"/>
        <v>0</v>
      </c>
      <c r="M202" s="7">
        <f t="shared" ca="1" si="111"/>
        <v>0</v>
      </c>
      <c r="N202" s="7">
        <f t="shared" ca="1" si="111"/>
        <v>0</v>
      </c>
      <c r="O202" s="7">
        <f t="shared" ca="1" si="111"/>
        <v>0</v>
      </c>
      <c r="P202" s="7">
        <f t="shared" ca="1" si="111"/>
        <v>0</v>
      </c>
      <c r="Q202" s="7">
        <f t="shared" ca="1" si="111"/>
        <v>0</v>
      </c>
      <c r="R202" s="7">
        <f t="shared" ca="1" si="111"/>
        <v>0</v>
      </c>
      <c r="S202" s="7">
        <f t="shared" ca="1" si="111"/>
        <v>0</v>
      </c>
      <c r="T202" s="7">
        <f t="shared" ca="1" si="111"/>
        <v>0</v>
      </c>
      <c r="U202" s="7">
        <f t="shared" ca="1" si="111"/>
        <v>0</v>
      </c>
      <c r="V202" s="7">
        <f t="shared" ca="1" si="111"/>
        <v>0</v>
      </c>
      <c r="W202" s="7">
        <f t="shared" ca="1" si="111"/>
        <v>0</v>
      </c>
      <c r="X202" s="7">
        <f t="shared" ca="1" si="111"/>
        <v>0</v>
      </c>
      <c r="Y202" s="7">
        <f t="shared" ca="1" si="111"/>
        <v>0</v>
      </c>
      <c r="Z202" s="7">
        <f t="shared" ca="1" si="111"/>
        <v>0</v>
      </c>
      <c r="AA202" s="7">
        <f t="shared" ca="1" si="111"/>
        <v>0</v>
      </c>
      <c r="AB202" s="7">
        <f t="shared" ca="1" si="111"/>
        <v>0</v>
      </c>
      <c r="AC202" s="7">
        <f t="shared" ca="1" si="111"/>
        <v>0</v>
      </c>
      <c r="AD202" s="7">
        <f t="shared" ca="1" si="111"/>
        <v>0</v>
      </c>
      <c r="AE202" s="7">
        <f t="shared" ca="1" si="111"/>
        <v>0</v>
      </c>
      <c r="AF202" s="7">
        <f t="shared" ca="1" si="111"/>
        <v>0</v>
      </c>
      <c r="AG202" s="7">
        <f t="shared" ca="1" si="111"/>
        <v>0</v>
      </c>
      <c r="AH202" s="7">
        <f t="shared" ca="1" si="111"/>
        <v>0</v>
      </c>
      <c r="AI202" s="7">
        <f t="shared" ca="1" si="111"/>
        <v>0</v>
      </c>
      <c r="AJ202" s="7">
        <f t="shared" ca="1" si="111"/>
        <v>0</v>
      </c>
      <c r="AK202" s="7">
        <f t="shared" ca="1" si="111"/>
        <v>0</v>
      </c>
      <c r="AL202" s="7">
        <f t="shared" ca="1" si="111"/>
        <v>0</v>
      </c>
      <c r="AM202" s="7">
        <f t="shared" ca="1" si="111"/>
        <v>0</v>
      </c>
    </row>
    <row r="203" spans="1:39" x14ac:dyDescent="0.2">
      <c r="A203" s="3" t="s">
        <v>24</v>
      </c>
      <c r="C203" s="7">
        <f ca="1">SUM(C200:C202)</f>
        <v>122689.99946753924</v>
      </c>
      <c r="D203" s="7">
        <f t="shared" ref="D203:AM203" ca="1" si="112">SUM(D200:D202)</f>
        <v>126370.69945156541</v>
      </c>
      <c r="E203" s="7">
        <f t="shared" ca="1" si="112"/>
        <v>130161.82043511237</v>
      </c>
      <c r="F203" s="7">
        <f t="shared" ca="1" si="112"/>
        <v>134066.67504816575</v>
      </c>
      <c r="G203" s="7">
        <f t="shared" ca="1" si="112"/>
        <v>138088.67529961071</v>
      </c>
      <c r="H203" s="7">
        <f t="shared" ca="1" si="112"/>
        <v>142231.33555859904</v>
      </c>
      <c r="I203" s="7">
        <f t="shared" ca="1" si="112"/>
        <v>146498.275625357</v>
      </c>
      <c r="J203" s="7">
        <f t="shared" ca="1" si="112"/>
        <v>0</v>
      </c>
      <c r="K203" s="7">
        <f t="shared" ca="1" si="112"/>
        <v>0</v>
      </c>
      <c r="L203" s="7">
        <f t="shared" ca="1" si="112"/>
        <v>0</v>
      </c>
      <c r="M203" s="7">
        <f t="shared" ca="1" si="112"/>
        <v>0</v>
      </c>
      <c r="N203" s="7">
        <f t="shared" ca="1" si="112"/>
        <v>0</v>
      </c>
      <c r="O203" s="7">
        <f t="shared" ca="1" si="112"/>
        <v>0</v>
      </c>
      <c r="P203" s="7">
        <f t="shared" ca="1" si="112"/>
        <v>0</v>
      </c>
      <c r="Q203" s="7">
        <f t="shared" ca="1" si="112"/>
        <v>0</v>
      </c>
      <c r="R203" s="7">
        <f t="shared" ca="1" si="112"/>
        <v>0</v>
      </c>
      <c r="S203" s="7">
        <f t="shared" ca="1" si="112"/>
        <v>0</v>
      </c>
      <c r="T203" s="7">
        <f t="shared" ca="1" si="112"/>
        <v>0</v>
      </c>
      <c r="U203" s="7">
        <f t="shared" ca="1" si="112"/>
        <v>0</v>
      </c>
      <c r="V203" s="7">
        <f t="shared" ca="1" si="112"/>
        <v>0</v>
      </c>
      <c r="W203" s="7">
        <f t="shared" ca="1" si="112"/>
        <v>0</v>
      </c>
      <c r="X203" s="7">
        <f t="shared" ca="1" si="112"/>
        <v>0</v>
      </c>
      <c r="Y203" s="7">
        <f t="shared" ca="1" si="112"/>
        <v>0</v>
      </c>
      <c r="Z203" s="7">
        <f t="shared" ca="1" si="112"/>
        <v>0</v>
      </c>
      <c r="AA203" s="7">
        <f t="shared" ca="1" si="112"/>
        <v>0</v>
      </c>
      <c r="AB203" s="7">
        <f t="shared" ca="1" si="112"/>
        <v>0</v>
      </c>
      <c r="AC203" s="7">
        <f t="shared" ca="1" si="112"/>
        <v>0</v>
      </c>
      <c r="AD203" s="7">
        <f t="shared" ca="1" si="112"/>
        <v>0</v>
      </c>
      <c r="AE203" s="7">
        <f t="shared" ca="1" si="112"/>
        <v>0</v>
      </c>
      <c r="AF203" s="7">
        <f t="shared" ca="1" si="112"/>
        <v>0</v>
      </c>
      <c r="AG203" s="7">
        <f t="shared" ca="1" si="112"/>
        <v>0</v>
      </c>
      <c r="AH203" s="7">
        <f t="shared" ca="1" si="112"/>
        <v>0</v>
      </c>
      <c r="AI203" s="7">
        <f t="shared" ca="1" si="112"/>
        <v>0</v>
      </c>
      <c r="AJ203" s="7">
        <f t="shared" ca="1" si="112"/>
        <v>0</v>
      </c>
      <c r="AK203" s="7">
        <f t="shared" ca="1" si="112"/>
        <v>0</v>
      </c>
      <c r="AL203" s="7">
        <f t="shared" ca="1" si="112"/>
        <v>0</v>
      </c>
      <c r="AM203" s="7">
        <f t="shared" ca="1" si="112"/>
        <v>0</v>
      </c>
    </row>
    <row r="204" spans="1:39" x14ac:dyDescent="0.2">
      <c r="A204" s="3" t="s">
        <v>25</v>
      </c>
      <c r="C204" s="7">
        <f t="shared" ref="C204:AM204" ca="1" si="113">C201*VLOOKUP($A199,AssVar,3,FALSE)</f>
        <v>0</v>
      </c>
      <c r="D204" s="7">
        <f t="shared" ca="1" si="113"/>
        <v>0</v>
      </c>
      <c r="E204" s="7">
        <f t="shared" ca="1" si="113"/>
        <v>0</v>
      </c>
      <c r="F204" s="7">
        <f t="shared" ca="1" si="113"/>
        <v>0</v>
      </c>
      <c r="G204" s="7">
        <f t="shared" ca="1" si="113"/>
        <v>0</v>
      </c>
      <c r="H204" s="7">
        <f t="shared" ca="1" si="113"/>
        <v>0</v>
      </c>
      <c r="I204" s="7">
        <f t="shared" ca="1" si="113"/>
        <v>0</v>
      </c>
      <c r="J204" s="7">
        <f t="shared" ca="1" si="113"/>
        <v>-21974.741343803547</v>
      </c>
      <c r="K204" s="7">
        <f t="shared" ca="1" si="113"/>
        <v>0</v>
      </c>
      <c r="L204" s="7">
        <f t="shared" ca="1" si="113"/>
        <v>0</v>
      </c>
      <c r="M204" s="7">
        <f t="shared" ca="1" si="113"/>
        <v>0</v>
      </c>
      <c r="N204" s="7">
        <f t="shared" ca="1" si="113"/>
        <v>0</v>
      </c>
      <c r="O204" s="7">
        <f t="shared" ca="1" si="113"/>
        <v>0</v>
      </c>
      <c r="P204" s="7">
        <f t="shared" ca="1" si="113"/>
        <v>0</v>
      </c>
      <c r="Q204" s="7">
        <f t="shared" ca="1" si="113"/>
        <v>0</v>
      </c>
      <c r="R204" s="7">
        <f t="shared" ca="1" si="113"/>
        <v>0</v>
      </c>
      <c r="S204" s="7">
        <f t="shared" ca="1" si="113"/>
        <v>0</v>
      </c>
      <c r="T204" s="7">
        <f t="shared" ca="1" si="113"/>
        <v>0</v>
      </c>
      <c r="U204" s="7">
        <f t="shared" ca="1" si="113"/>
        <v>0</v>
      </c>
      <c r="V204" s="7">
        <f t="shared" ca="1" si="113"/>
        <v>0</v>
      </c>
      <c r="W204" s="7">
        <f t="shared" ca="1" si="113"/>
        <v>0</v>
      </c>
      <c r="X204" s="7">
        <f t="shared" ca="1" si="113"/>
        <v>0</v>
      </c>
      <c r="Y204" s="7">
        <f t="shared" ca="1" si="113"/>
        <v>0</v>
      </c>
      <c r="Z204" s="7">
        <f t="shared" ca="1" si="113"/>
        <v>0</v>
      </c>
      <c r="AA204" s="7">
        <f t="shared" ca="1" si="113"/>
        <v>0</v>
      </c>
      <c r="AB204" s="7">
        <f t="shared" ca="1" si="113"/>
        <v>0</v>
      </c>
      <c r="AC204" s="7">
        <f t="shared" ca="1" si="113"/>
        <v>0</v>
      </c>
      <c r="AD204" s="7">
        <f t="shared" ca="1" si="113"/>
        <v>0</v>
      </c>
      <c r="AE204" s="7">
        <f t="shared" ca="1" si="113"/>
        <v>0</v>
      </c>
      <c r="AF204" s="7">
        <f t="shared" ca="1" si="113"/>
        <v>0</v>
      </c>
      <c r="AG204" s="7">
        <f t="shared" ca="1" si="113"/>
        <v>0</v>
      </c>
      <c r="AH204" s="7">
        <f t="shared" ca="1" si="113"/>
        <v>0</v>
      </c>
      <c r="AI204" s="7">
        <f t="shared" ca="1" si="113"/>
        <v>0</v>
      </c>
      <c r="AJ204" s="7">
        <f t="shared" ca="1" si="113"/>
        <v>0</v>
      </c>
      <c r="AK204" s="7">
        <f t="shared" ca="1" si="113"/>
        <v>0</v>
      </c>
      <c r="AL204" s="7">
        <f t="shared" ca="1" si="113"/>
        <v>0</v>
      </c>
      <c r="AM204" s="7">
        <f t="shared" si="113"/>
        <v>0</v>
      </c>
    </row>
    <row r="205" spans="1:39" x14ac:dyDescent="0.2">
      <c r="A205" s="3" t="s">
        <v>30</v>
      </c>
      <c r="C205" s="7">
        <f t="shared" ref="C205:AM205" ca="1" si="114">IFERROR(-IF(C200=0,VLOOKUP($A199,$8:$12,C$1+2,FALSE),0),0)</f>
        <v>0</v>
      </c>
      <c r="D205" s="7">
        <f t="shared" ca="1" si="114"/>
        <v>0</v>
      </c>
      <c r="E205" s="7">
        <f t="shared" ca="1" si="114"/>
        <v>0</v>
      </c>
      <c r="F205" s="7">
        <f t="shared" ca="1" si="114"/>
        <v>0</v>
      </c>
      <c r="G205" s="7">
        <f t="shared" ca="1" si="114"/>
        <v>0</v>
      </c>
      <c r="H205" s="7">
        <f t="shared" ca="1" si="114"/>
        <v>0</v>
      </c>
      <c r="I205" s="7">
        <f t="shared" ca="1" si="114"/>
        <v>0</v>
      </c>
      <c r="J205" s="7">
        <f t="shared" ca="1" si="114"/>
        <v>0</v>
      </c>
      <c r="K205" s="7">
        <f t="shared" ca="1" si="114"/>
        <v>-6175.5041467646288</v>
      </c>
      <c r="L205" s="7">
        <f t="shared" ca="1" si="114"/>
        <v>-6360.7692711675681</v>
      </c>
      <c r="M205" s="7">
        <f t="shared" ca="1" si="114"/>
        <v>-6551.5923493025957</v>
      </c>
      <c r="N205" s="7">
        <f t="shared" ca="1" si="114"/>
        <v>-6748.140119781674</v>
      </c>
      <c r="O205" s="7">
        <f t="shared" ca="1" si="114"/>
        <v>-6950.5843233751248</v>
      </c>
      <c r="P205" s="7">
        <f t="shared" ca="1" si="114"/>
        <v>-7159.1018530763786</v>
      </c>
      <c r="Q205" s="7">
        <f t="shared" ca="1" si="114"/>
        <v>-7373.8749086686703</v>
      </c>
      <c r="R205" s="7">
        <f t="shared" ca="1" si="114"/>
        <v>-7595.0911559287306</v>
      </c>
      <c r="S205" s="7">
        <f t="shared" ca="1" si="114"/>
        <v>-7822.9438906065925</v>
      </c>
      <c r="T205" s="7">
        <f t="shared" ca="1" si="114"/>
        <v>-8057.6322073247902</v>
      </c>
      <c r="U205" s="7">
        <f t="shared" ca="1" si="114"/>
        <v>-8299.3611735445338</v>
      </c>
      <c r="V205" s="7">
        <f t="shared" ca="1" si="114"/>
        <v>-8548.3420087508694</v>
      </c>
      <c r="W205" s="7">
        <f t="shared" ca="1" si="114"/>
        <v>-8804.7922690133964</v>
      </c>
      <c r="X205" s="7">
        <f t="shared" ca="1" si="114"/>
        <v>-9068.9360370837985</v>
      </c>
      <c r="Y205" s="7">
        <f t="shared" ca="1" si="114"/>
        <v>-9341.0041181963134</v>
      </c>
      <c r="Z205" s="7">
        <f t="shared" ca="1" si="114"/>
        <v>-9621.2342417422024</v>
      </c>
      <c r="AA205" s="7">
        <f t="shared" ca="1" si="114"/>
        <v>-9909.8712689944696</v>
      </c>
      <c r="AB205" s="7">
        <f t="shared" ca="1" si="114"/>
        <v>-10207.167407064304</v>
      </c>
      <c r="AC205" s="7">
        <f t="shared" ca="1" si="114"/>
        <v>-10513.382429276233</v>
      </c>
      <c r="AD205" s="7">
        <f t="shared" ca="1" si="114"/>
        <v>-10828.783902154521</v>
      </c>
      <c r="AE205" s="7">
        <f t="shared" ca="1" si="114"/>
        <v>-11153.647419219156</v>
      </c>
      <c r="AF205" s="7">
        <f t="shared" ca="1" si="114"/>
        <v>-11488.256841795732</v>
      </c>
      <c r="AG205" s="7">
        <f t="shared" ca="1" si="114"/>
        <v>-11832.904547049604</v>
      </c>
      <c r="AH205" s="7">
        <f t="shared" ca="1" si="114"/>
        <v>-12187.891683461092</v>
      </c>
      <c r="AI205" s="7">
        <f t="shared" ca="1" si="114"/>
        <v>-12553.528433964924</v>
      </c>
      <c r="AJ205" s="7">
        <f t="shared" ca="1" si="114"/>
        <v>-12930.134286983872</v>
      </c>
      <c r="AK205" s="7">
        <f t="shared" ca="1" si="114"/>
        <v>-13318.038315593389</v>
      </c>
      <c r="AL205" s="7">
        <f t="shared" ca="1" si="114"/>
        <v>-13717.579465061192</v>
      </c>
      <c r="AM205" s="7">
        <f t="shared" ca="1" si="114"/>
        <v>-14129.106849013027</v>
      </c>
    </row>
    <row r="206" spans="1:39" x14ac:dyDescent="0.2">
      <c r="A206" s="3" t="s">
        <v>49</v>
      </c>
      <c r="C206" s="7">
        <f t="shared" ref="C206:AM206" ca="1" si="115">IFERROR(IF(C200=0,VLOOKUP($A199,$46:$50,C$1+2,FALSE),0),0)</f>
        <v>0</v>
      </c>
      <c r="D206" s="7">
        <f t="shared" ca="1" si="115"/>
        <v>0</v>
      </c>
      <c r="E206" s="7">
        <f t="shared" ca="1" si="115"/>
        <v>0</v>
      </c>
      <c r="F206" s="7">
        <f t="shared" ca="1" si="115"/>
        <v>0</v>
      </c>
      <c r="G206" s="7">
        <f t="shared" ca="1" si="115"/>
        <v>0</v>
      </c>
      <c r="H206" s="7">
        <f t="shared" ca="1" si="115"/>
        <v>0</v>
      </c>
      <c r="I206" s="7">
        <f t="shared" ca="1" si="115"/>
        <v>0</v>
      </c>
      <c r="J206" s="7">
        <f t="shared" ca="1" si="115"/>
        <v>0</v>
      </c>
      <c r="K206" s="7">
        <f t="shared" ca="1" si="115"/>
        <v>974.72231800793418</v>
      </c>
      <c r="L206" s="7">
        <f t="shared" ca="1" si="115"/>
        <v>999.09037595813231</v>
      </c>
      <c r="M206" s="7">
        <f t="shared" ca="1" si="115"/>
        <v>1024.0676353570857</v>
      </c>
      <c r="N206" s="7">
        <f t="shared" ca="1" si="115"/>
        <v>1049.6693262410129</v>
      </c>
      <c r="O206" s="7">
        <f t="shared" ca="1" si="115"/>
        <v>1075.9110593970381</v>
      </c>
      <c r="P206" s="7">
        <f t="shared" ca="1" si="115"/>
        <v>1102.8088358819639</v>
      </c>
      <c r="Q206" s="7">
        <f t="shared" ca="1" si="115"/>
        <v>1130.3790567790129</v>
      </c>
      <c r="R206" s="7">
        <f t="shared" ca="1" si="115"/>
        <v>1158.6385331984884</v>
      </c>
      <c r="S206" s="7">
        <f t="shared" ca="1" si="115"/>
        <v>1187.6044965284505</v>
      </c>
      <c r="T206" s="7">
        <f t="shared" ca="1" si="115"/>
        <v>1217.2946089416616</v>
      </c>
      <c r="U206" s="7">
        <f t="shared" ca="1" si="115"/>
        <v>1247.7269741652033</v>
      </c>
      <c r="V206" s="7">
        <f t="shared" ca="1" si="115"/>
        <v>1278.9201485193332</v>
      </c>
      <c r="W206" s="7">
        <f t="shared" ca="1" si="115"/>
        <v>1310.8931522323164</v>
      </c>
      <c r="X206" s="7">
        <f t="shared" ca="1" si="115"/>
        <v>1343.6654810381242</v>
      </c>
      <c r="Y206" s="7">
        <f t="shared" ca="1" si="115"/>
        <v>1377.2571180640773</v>
      </c>
      <c r="Z206" s="7">
        <f t="shared" ca="1" si="115"/>
        <v>1411.6885460156793</v>
      </c>
      <c r="AA206" s="7">
        <f t="shared" ca="1" si="115"/>
        <v>1446.9807596660712</v>
      </c>
      <c r="AB206" s="7">
        <f t="shared" ca="1" si="115"/>
        <v>1483.1552786577226</v>
      </c>
      <c r="AC206" s="7">
        <f t="shared" ca="1" si="115"/>
        <v>1520.2341606241657</v>
      </c>
      <c r="AD206" s="7">
        <f t="shared" ca="1" si="115"/>
        <v>1558.2400146397697</v>
      </c>
      <c r="AE206" s="7">
        <f t="shared" ca="1" si="115"/>
        <v>1597.1960150057639</v>
      </c>
      <c r="AF206" s="7">
        <f t="shared" ca="1" si="115"/>
        <v>1637.1259153809081</v>
      </c>
      <c r="AG206" s="7">
        <f t="shared" ca="1" si="115"/>
        <v>1678.0540632654304</v>
      </c>
      <c r="AH206" s="7">
        <f t="shared" ca="1" si="115"/>
        <v>1720.0054148470667</v>
      </c>
      <c r="AI206" s="7">
        <f t="shared" ca="1" si="115"/>
        <v>1763.0055502182429</v>
      </c>
      <c r="AJ206" s="7">
        <f t="shared" ca="1" si="115"/>
        <v>1807.0806889736989</v>
      </c>
      <c r="AK206" s="7">
        <f t="shared" ca="1" si="115"/>
        <v>1852.2577061980414</v>
      </c>
      <c r="AL206" s="7">
        <f t="shared" ca="1" si="115"/>
        <v>1898.5641488529923</v>
      </c>
      <c r="AM206" s="7">
        <f t="shared" ca="1" si="115"/>
        <v>1946.0282525743171</v>
      </c>
    </row>
    <row r="207" spans="1:39" x14ac:dyDescent="0.2">
      <c r="A207" s="3" t="s">
        <v>35</v>
      </c>
      <c r="B207" s="14" t="str">
        <f>A199</f>
        <v>Marsa</v>
      </c>
      <c r="C207" s="7">
        <f t="shared" ref="C207:AM207" ca="1" si="116">IF(AND(C200&gt;0,C203=0),VLOOKUP($A199,$85:$94,C$1+2,FALSE),0)</f>
        <v>0</v>
      </c>
      <c r="D207" s="7">
        <f t="shared" ca="1" si="116"/>
        <v>0</v>
      </c>
      <c r="E207" s="7">
        <f t="shared" ca="1" si="116"/>
        <v>0</v>
      </c>
      <c r="F207" s="7">
        <f t="shared" ca="1" si="116"/>
        <v>0</v>
      </c>
      <c r="G207" s="7">
        <f t="shared" ca="1" si="116"/>
        <v>0</v>
      </c>
      <c r="H207" s="7">
        <f t="shared" ca="1" si="116"/>
        <v>0</v>
      </c>
      <c r="I207" s="7">
        <f t="shared" ca="1" si="116"/>
        <v>0</v>
      </c>
      <c r="J207" s="7">
        <f t="shared" ca="1" si="116"/>
        <v>0</v>
      </c>
      <c r="K207" s="7">
        <f t="shared" ca="1" si="116"/>
        <v>0</v>
      </c>
      <c r="L207" s="7">
        <f t="shared" ca="1" si="116"/>
        <v>0</v>
      </c>
      <c r="M207" s="7">
        <f t="shared" ca="1" si="116"/>
        <v>0</v>
      </c>
      <c r="N207" s="7">
        <f t="shared" ca="1" si="116"/>
        <v>0</v>
      </c>
      <c r="O207" s="7">
        <f t="shared" ca="1" si="116"/>
        <v>0</v>
      </c>
      <c r="P207" s="7">
        <f t="shared" ca="1" si="116"/>
        <v>0</v>
      </c>
      <c r="Q207" s="7">
        <f t="shared" ca="1" si="116"/>
        <v>0</v>
      </c>
      <c r="R207" s="7">
        <f t="shared" ca="1" si="116"/>
        <v>0</v>
      </c>
      <c r="S207" s="7">
        <f t="shared" ca="1" si="116"/>
        <v>0</v>
      </c>
      <c r="T207" s="7">
        <f t="shared" ca="1" si="116"/>
        <v>0</v>
      </c>
      <c r="U207" s="7">
        <f t="shared" ca="1" si="116"/>
        <v>0</v>
      </c>
      <c r="V207" s="7">
        <f t="shared" ca="1" si="116"/>
        <v>0</v>
      </c>
      <c r="W207" s="7">
        <f t="shared" ca="1" si="116"/>
        <v>0</v>
      </c>
      <c r="X207" s="7">
        <f t="shared" ca="1" si="116"/>
        <v>0</v>
      </c>
      <c r="Y207" s="7">
        <f t="shared" ca="1" si="116"/>
        <v>0</v>
      </c>
      <c r="Z207" s="7">
        <f t="shared" ca="1" si="116"/>
        <v>0</v>
      </c>
      <c r="AA207" s="7">
        <f t="shared" ca="1" si="116"/>
        <v>0</v>
      </c>
      <c r="AB207" s="7">
        <f t="shared" ca="1" si="116"/>
        <v>0</v>
      </c>
      <c r="AC207" s="7">
        <f t="shared" ca="1" si="116"/>
        <v>0</v>
      </c>
      <c r="AD207" s="7">
        <f t="shared" ca="1" si="116"/>
        <v>0</v>
      </c>
      <c r="AE207" s="7">
        <f t="shared" ca="1" si="116"/>
        <v>0</v>
      </c>
      <c r="AF207" s="7">
        <f t="shared" ca="1" si="116"/>
        <v>0</v>
      </c>
      <c r="AG207" s="7">
        <f t="shared" ca="1" si="116"/>
        <v>0</v>
      </c>
      <c r="AH207" s="7">
        <f t="shared" ca="1" si="116"/>
        <v>0</v>
      </c>
      <c r="AI207" s="7">
        <f t="shared" ca="1" si="116"/>
        <v>0</v>
      </c>
      <c r="AJ207" s="7">
        <f t="shared" ca="1" si="116"/>
        <v>0</v>
      </c>
      <c r="AK207" s="7">
        <f t="shared" ca="1" si="116"/>
        <v>0</v>
      </c>
      <c r="AL207" s="7">
        <f t="shared" ca="1" si="116"/>
        <v>0</v>
      </c>
      <c r="AM207" s="7">
        <f t="shared" ca="1" si="116"/>
        <v>0</v>
      </c>
    </row>
    <row r="208" spans="1:39" x14ac:dyDescent="0.2">
      <c r="A208" s="3" t="s">
        <v>36</v>
      </c>
      <c r="C208" s="7">
        <f ca="1">-C201+SUM(C204:C207)</f>
        <v>0</v>
      </c>
      <c r="D208" s="7">
        <f t="shared" ref="D208" ca="1" si="117">-D201+SUM(D204:D207)</f>
        <v>0</v>
      </c>
      <c r="E208" s="7">
        <f t="shared" ref="E208:AM208" ca="1" si="118">-E201+SUM(E204:E207)</f>
        <v>0</v>
      </c>
      <c r="F208" s="7">
        <f t="shared" ca="1" si="118"/>
        <v>0</v>
      </c>
      <c r="G208" s="7">
        <f t="shared" ca="1" si="118"/>
        <v>0</v>
      </c>
      <c r="H208" s="7">
        <f t="shared" ca="1" si="118"/>
        <v>0</v>
      </c>
      <c r="I208" s="7">
        <f t="shared" ca="1" si="118"/>
        <v>0</v>
      </c>
      <c r="J208" s="7">
        <f t="shared" ca="1" si="118"/>
        <v>124523.53428155345</v>
      </c>
      <c r="K208" s="7">
        <f t="shared" ca="1" si="118"/>
        <v>-5200.7818287566943</v>
      </c>
      <c r="L208" s="7">
        <f t="shared" ca="1" si="118"/>
        <v>-5361.6788952094357</v>
      </c>
      <c r="M208" s="7">
        <f t="shared" ca="1" si="118"/>
        <v>-5527.5247139455096</v>
      </c>
      <c r="N208" s="7">
        <f t="shared" ca="1" si="118"/>
        <v>-5698.4707935406614</v>
      </c>
      <c r="O208" s="7">
        <f t="shared" ca="1" si="118"/>
        <v>-5874.6732639780867</v>
      </c>
      <c r="P208" s="7">
        <f t="shared" ca="1" si="118"/>
        <v>-6056.2930171944145</v>
      </c>
      <c r="Q208" s="7">
        <f t="shared" ca="1" si="118"/>
        <v>-6243.4958518896574</v>
      </c>
      <c r="R208" s="7">
        <f t="shared" ca="1" si="118"/>
        <v>-6436.4526227302422</v>
      </c>
      <c r="S208" s="7">
        <f t="shared" ca="1" si="118"/>
        <v>-6635.3393940781425</v>
      </c>
      <c r="T208" s="7">
        <f t="shared" ca="1" si="118"/>
        <v>-6840.3375983831284</v>
      </c>
      <c r="U208" s="7">
        <f t="shared" ca="1" si="118"/>
        <v>-7051.6341993793303</v>
      </c>
      <c r="V208" s="7">
        <f t="shared" ca="1" si="118"/>
        <v>-7269.4218602315359</v>
      </c>
      <c r="W208" s="7">
        <f t="shared" ca="1" si="118"/>
        <v>-7493.89911678108</v>
      </c>
      <c r="X208" s="7">
        <f t="shared" ca="1" si="118"/>
        <v>-7725.2705560456743</v>
      </c>
      <c r="Y208" s="7">
        <f t="shared" ca="1" si="118"/>
        <v>-7963.7470001322363</v>
      </c>
      <c r="Z208" s="7">
        <f t="shared" ca="1" si="118"/>
        <v>-8209.5456957265233</v>
      </c>
      <c r="AA208" s="7">
        <f t="shared" ca="1" si="118"/>
        <v>-8462.8905093283975</v>
      </c>
      <c r="AB208" s="7">
        <f t="shared" ca="1" si="118"/>
        <v>-8724.0121284065808</v>
      </c>
      <c r="AC208" s="7">
        <f t="shared" ca="1" si="118"/>
        <v>-8993.1482686520667</v>
      </c>
      <c r="AD208" s="7">
        <f t="shared" ca="1" si="118"/>
        <v>-9270.5438875147502</v>
      </c>
      <c r="AE208" s="7">
        <f t="shared" ca="1" si="118"/>
        <v>-9556.4514042133924</v>
      </c>
      <c r="AF208" s="7">
        <f t="shared" ca="1" si="118"/>
        <v>-9851.130926414824</v>
      </c>
      <c r="AG208" s="7">
        <f t="shared" ca="1" si="118"/>
        <v>-10154.850483784174</v>
      </c>
      <c r="AH208" s="7">
        <f t="shared" ca="1" si="118"/>
        <v>-10467.886268614026</v>
      </c>
      <c r="AI208" s="7">
        <f t="shared" ca="1" si="118"/>
        <v>-10790.522883746682</v>
      </c>
      <c r="AJ208" s="7">
        <f t="shared" ca="1" si="118"/>
        <v>-11123.053598010172</v>
      </c>
      <c r="AK208" s="7">
        <f t="shared" ca="1" si="118"/>
        <v>-11465.780609395348</v>
      </c>
      <c r="AL208" s="7">
        <f t="shared" ca="1" si="118"/>
        <v>-11819.015316208199</v>
      </c>
      <c r="AM208" s="7">
        <f t="shared" ca="1" si="118"/>
        <v>-12183.078596438711</v>
      </c>
    </row>
    <row r="209" spans="1:39" x14ac:dyDescent="0.2">
      <c r="A209" s="3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</row>
    <row r="210" spans="1:39" x14ac:dyDescent="0.2">
      <c r="A210" s="3" t="s">
        <v>70</v>
      </c>
      <c r="C210" s="7">
        <f ca="1">C196+SUM($C208:C208)</f>
        <v>63060.110212387553</v>
      </c>
      <c r="D210" s="7">
        <f ca="1">D196+SUM($C208:D208)</f>
        <v>74803.865731513826</v>
      </c>
      <c r="E210" s="7">
        <f ca="1">E196+SUM($C208:E208)</f>
        <v>165269.77766792092</v>
      </c>
      <c r="F210" s="7">
        <f ca="1">F196+SUM($C208:F208)</f>
        <v>77404.797492678772</v>
      </c>
      <c r="G210" s="7">
        <f ca="1">G196+SUM($C208:G208)</f>
        <v>182914.95575458009</v>
      </c>
      <c r="H210" s="7">
        <f ca="1">H196+SUM($C208:H208)</f>
        <v>129529.97572023471</v>
      </c>
      <c r="I210" s="7">
        <f ca="1">I196+SUM($C208:I208)</f>
        <v>91164.213839684453</v>
      </c>
      <c r="J210" s="7">
        <f ca="1">J196+SUM($C208:J208)</f>
        <v>176162.36621558951</v>
      </c>
      <c r="K210" s="7">
        <f ca="1">K196+SUM($C208:K208)</f>
        <v>112185.73276295974</v>
      </c>
      <c r="L210" s="7">
        <f ca="1">L196+SUM($C208:L208)</f>
        <v>129980.91168885282</v>
      </c>
      <c r="M210" s="7">
        <f ca="1">M196+SUM($C208:M208)</f>
        <v>52435.911602762419</v>
      </c>
      <c r="N210" s="7">
        <f ca="1">N196+SUM($C208:N208)</f>
        <v>22962.770103643925</v>
      </c>
      <c r="O210" s="7">
        <f ca="1">O196+SUM($C208:O208)</f>
        <v>-7091.4736224959488</v>
      </c>
      <c r="P210" s="7">
        <f ca="1">P196+SUM($C208:P208)</f>
        <v>-37736.675342019109</v>
      </c>
      <c r="Q210" s="7">
        <f ca="1">Q196+SUM($C208:Q208)</f>
        <v>-68982.797061767065</v>
      </c>
      <c r="R210" s="7">
        <f ca="1">R196+SUM($C208:R208)</f>
        <v>-100839.90548046259</v>
      </c>
      <c r="S210" s="7">
        <f ca="1">S196+SUM($C208:S208)</f>
        <v>-133318.1702752579</v>
      </c>
      <c r="T210" s="7">
        <f ca="1">T196+SUM($C208:T208)</f>
        <v>-149385.73769034114</v>
      </c>
      <c r="U210" s="7">
        <f ca="1">U196+SUM($C208:U208)</f>
        <v>-157870.75534363839</v>
      </c>
      <c r="V210" s="7">
        <f ca="1">V196+SUM($C208:V208)</f>
        <v>-166376.37471887862</v>
      </c>
      <c r="W210" s="7">
        <f ca="1">W196+SUM($C208:W208)</f>
        <v>-174897.36514752862</v>
      </c>
      <c r="X210" s="7">
        <f ca="1">X196+SUM($C208:X208)</f>
        <v>-183428.19282299461</v>
      </c>
      <c r="Y210" s="7">
        <f ca="1">Y196+SUM($C208:Y208)</f>
        <v>-212621.86482199116</v>
      </c>
      <c r="Z210" s="7">
        <f ca="1">Z196+SUM($C208:Z208)</f>
        <v>-242329.81698746566</v>
      </c>
      <c r="AA210" s="7">
        <f ca="1">AA196+SUM($C208:AA208)</f>
        <v>-272558.43947457516</v>
      </c>
      <c r="AB210" s="7">
        <f ca="1">AB196+SUM($C208:AB208)</f>
        <v>-303314.08818688581</v>
      </c>
      <c r="AC210" s="7">
        <f ca="1">AC196+SUM($C208:AC208)</f>
        <v>-334603.07809991797</v>
      </c>
      <c r="AD210" s="7">
        <f ca="1">AD196+SUM($C208:AD208)</f>
        <v>-366431.67624317744</v>
      </c>
      <c r="AE210" s="7">
        <f ca="1">AE196+SUM($C208:AE208)</f>
        <v>-388823.61923310556</v>
      </c>
      <c r="AF210" s="7">
        <f ca="1">AF196+SUM($C208:AF208)</f>
        <v>-411517.96893426141</v>
      </c>
      <c r="AG210" s="7">
        <f ca="1">AG196+SUM($C208:AG208)</f>
        <v>-434514.56375852018</v>
      </c>
      <c r="AH210" s="7">
        <f ca="1">AH196+SUM($C208:AH208)</f>
        <v>-457813.00642537657</v>
      </c>
      <c r="AI210" s="7">
        <f ca="1">AI196+SUM($C208:AI208)</f>
        <v>-481412.65112005512</v>
      </c>
      <c r="AJ210" s="7">
        <f ca="1">AJ196+SUM($C208:AJ208)</f>
        <v>-505312.5901220864</v>
      </c>
      <c r="AK210" s="7">
        <f ca="1">AK196+SUM($C208:AK208)</f>
        <v>-529511.63988485327</v>
      </c>
      <c r="AL210" s="7">
        <f ca="1">AL196+SUM($C208:AL208)</f>
        <v>-554008.3265459449</v>
      </c>
      <c r="AM210" s="7">
        <f ca="1">AM196+SUM($C208:AM208)</f>
        <v>-578800.87084744684</v>
      </c>
    </row>
    <row r="211" spans="1:39" x14ac:dyDescent="0.2">
      <c r="A211" s="3" t="s">
        <v>67</v>
      </c>
      <c r="C211" s="7">
        <f t="shared" ref="C211:AM211" ca="1" si="119">MAX(C210+buffer,0)-MAX(C196+buffer,0)</f>
        <v>0</v>
      </c>
      <c r="D211" s="7">
        <f t="shared" ca="1" si="119"/>
        <v>0</v>
      </c>
      <c r="E211" s="7">
        <f t="shared" ca="1" si="119"/>
        <v>0</v>
      </c>
      <c r="F211" s="7">
        <f t="shared" ca="1" si="119"/>
        <v>0</v>
      </c>
      <c r="G211" s="7">
        <f t="shared" ca="1" si="119"/>
        <v>0</v>
      </c>
      <c r="H211" s="7">
        <f t="shared" ca="1" si="119"/>
        <v>0</v>
      </c>
      <c r="I211" s="7">
        <f t="shared" ca="1" si="119"/>
        <v>0</v>
      </c>
      <c r="J211" s="7">
        <f t="shared" ca="1" si="119"/>
        <v>124523.53428155344</v>
      </c>
      <c r="K211" s="7">
        <f t="shared" ca="1" si="119"/>
        <v>119322.75245279675</v>
      </c>
      <c r="L211" s="7">
        <f t="shared" ca="1" si="119"/>
        <v>113961.07355758734</v>
      </c>
      <c r="M211" s="7">
        <f t="shared" ca="1" si="119"/>
        <v>102435.91160276241</v>
      </c>
      <c r="N211" s="7">
        <f t="shared" ca="1" si="119"/>
        <v>72962.770103643925</v>
      </c>
      <c r="O211" s="7">
        <f t="shared" ca="1" si="119"/>
        <v>42908.526377504051</v>
      </c>
      <c r="P211" s="7">
        <f t="shared" ca="1" si="119"/>
        <v>12263.324657980891</v>
      </c>
      <c r="Q211" s="7">
        <f t="shared" ca="1" si="119"/>
        <v>0</v>
      </c>
      <c r="R211" s="7">
        <f t="shared" ca="1" si="119"/>
        <v>0</v>
      </c>
      <c r="S211" s="7">
        <f t="shared" ca="1" si="119"/>
        <v>0</v>
      </c>
      <c r="T211" s="7">
        <f t="shared" ca="1" si="119"/>
        <v>0</v>
      </c>
      <c r="U211" s="7">
        <f t="shared" ca="1" si="119"/>
        <v>0</v>
      </c>
      <c r="V211" s="7">
        <f t="shared" ca="1" si="119"/>
        <v>0</v>
      </c>
      <c r="W211" s="7">
        <f t="shared" ca="1" si="119"/>
        <v>0</v>
      </c>
      <c r="X211" s="7">
        <f t="shared" ca="1" si="119"/>
        <v>0</v>
      </c>
      <c r="Y211" s="7">
        <f t="shared" ca="1" si="119"/>
        <v>0</v>
      </c>
      <c r="Z211" s="7">
        <f t="shared" ca="1" si="119"/>
        <v>0</v>
      </c>
      <c r="AA211" s="7">
        <f t="shared" ca="1" si="119"/>
        <v>0</v>
      </c>
      <c r="AB211" s="7">
        <f t="shared" ca="1" si="119"/>
        <v>0</v>
      </c>
      <c r="AC211" s="7">
        <f t="shared" ca="1" si="119"/>
        <v>0</v>
      </c>
      <c r="AD211" s="7">
        <f t="shared" ca="1" si="119"/>
        <v>0</v>
      </c>
      <c r="AE211" s="7">
        <f t="shared" ca="1" si="119"/>
        <v>0</v>
      </c>
      <c r="AF211" s="7">
        <f t="shared" ca="1" si="119"/>
        <v>0</v>
      </c>
      <c r="AG211" s="7">
        <f t="shared" ca="1" si="119"/>
        <v>0</v>
      </c>
      <c r="AH211" s="7">
        <f t="shared" ca="1" si="119"/>
        <v>0</v>
      </c>
      <c r="AI211" s="7">
        <f t="shared" ca="1" si="119"/>
        <v>0</v>
      </c>
      <c r="AJ211" s="7">
        <f t="shared" ca="1" si="119"/>
        <v>0</v>
      </c>
      <c r="AK211" s="7">
        <f t="shared" ca="1" si="119"/>
        <v>0</v>
      </c>
      <c r="AL211" s="7">
        <f t="shared" ca="1" si="119"/>
        <v>0</v>
      </c>
      <c r="AM211" s="7">
        <f t="shared" ca="1" si="119"/>
        <v>0</v>
      </c>
    </row>
    <row r="212" spans="1:39" x14ac:dyDescent="0.2">
      <c r="A212" s="3" t="s">
        <v>68</v>
      </c>
      <c r="C212" s="7">
        <f ca="1">C211*Inputs!$B$269</f>
        <v>0</v>
      </c>
      <c r="D212" s="7">
        <f ca="1">D211*Inputs!$B$269</f>
        <v>0</v>
      </c>
      <c r="E212" s="7">
        <f ca="1">E211*Inputs!$B$269</f>
        <v>0</v>
      </c>
      <c r="F212" s="7">
        <f ca="1">F211*Inputs!$B$269</f>
        <v>0</v>
      </c>
      <c r="G212" s="7">
        <f ca="1">G211*Inputs!$B$269</f>
        <v>0</v>
      </c>
      <c r="H212" s="7">
        <f ca="1">H211*Inputs!$B$269</f>
        <v>0</v>
      </c>
      <c r="I212" s="7">
        <f ca="1">I211*Inputs!$B$269</f>
        <v>0</v>
      </c>
      <c r="J212" s="7">
        <f ca="1">J211*Inputs!$B$269</f>
        <v>3113.088357038836</v>
      </c>
      <c r="K212" s="7">
        <f ca="1">K211*Inputs!$B$269</f>
        <v>2983.068811319919</v>
      </c>
      <c r="L212" s="7">
        <f ca="1">L211*Inputs!$B$269</f>
        <v>2849.0268389396838</v>
      </c>
      <c r="M212" s="7">
        <f ca="1">M211*Inputs!$B$269</f>
        <v>2560.8977900690606</v>
      </c>
      <c r="N212" s="7">
        <f ca="1">N211*Inputs!$B$269</f>
        <v>1824.0692525910981</v>
      </c>
      <c r="O212" s="7">
        <f ca="1">O211*Inputs!$B$269</f>
        <v>1072.7131594376012</v>
      </c>
      <c r="P212" s="7">
        <f ca="1">P211*Inputs!$B$269</f>
        <v>306.58311644952227</v>
      </c>
      <c r="Q212" s="7">
        <f ca="1">Q211*Inputs!$B$269</f>
        <v>0</v>
      </c>
      <c r="R212" s="7">
        <f ca="1">R211*Inputs!$B$269</f>
        <v>0</v>
      </c>
      <c r="S212" s="7">
        <f ca="1">S211*Inputs!$B$269</f>
        <v>0</v>
      </c>
      <c r="T212" s="7">
        <f ca="1">T211*Inputs!$B$269</f>
        <v>0</v>
      </c>
      <c r="U212" s="7">
        <f ca="1">U211*Inputs!$B$269</f>
        <v>0</v>
      </c>
      <c r="V212" s="7">
        <f ca="1">V211*Inputs!$B$269</f>
        <v>0</v>
      </c>
      <c r="W212" s="7">
        <f ca="1">W211*Inputs!$B$269</f>
        <v>0</v>
      </c>
      <c r="X212" s="7">
        <f ca="1">X211*Inputs!$B$269</f>
        <v>0</v>
      </c>
      <c r="Y212" s="7">
        <f ca="1">Y211*Inputs!$B$269</f>
        <v>0</v>
      </c>
      <c r="Z212" s="7">
        <f ca="1">Z211*Inputs!$B$269</f>
        <v>0</v>
      </c>
      <c r="AA212" s="7">
        <f ca="1">AA211*Inputs!$B$269</f>
        <v>0</v>
      </c>
      <c r="AB212" s="7">
        <f ca="1">AB211*Inputs!$B$269</f>
        <v>0</v>
      </c>
      <c r="AC212" s="7">
        <f ca="1">AC211*Inputs!$B$269</f>
        <v>0</v>
      </c>
      <c r="AD212" s="7">
        <f ca="1">AD211*Inputs!$B$269</f>
        <v>0</v>
      </c>
      <c r="AE212" s="7">
        <f ca="1">AE211*Inputs!$B$269</f>
        <v>0</v>
      </c>
      <c r="AF212" s="7">
        <f ca="1">AF211*Inputs!$B$269</f>
        <v>0</v>
      </c>
      <c r="AG212" s="7">
        <f ca="1">AG211*Inputs!$B$269</f>
        <v>0</v>
      </c>
      <c r="AH212" s="7">
        <f ca="1">AH211*Inputs!$B$269</f>
        <v>0</v>
      </c>
      <c r="AI212" s="7">
        <f ca="1">AI211*Inputs!$B$269</f>
        <v>0</v>
      </c>
      <c r="AJ212" s="7">
        <f ca="1">AJ211*Inputs!$B$269</f>
        <v>0</v>
      </c>
      <c r="AK212" s="7">
        <f ca="1">AK211*Inputs!$B$269</f>
        <v>0</v>
      </c>
      <c r="AL212" s="7">
        <f ca="1">AL211*Inputs!$B$269</f>
        <v>0</v>
      </c>
      <c r="AM212" s="7">
        <f ca="1">AM211*Inputs!$B$269</f>
        <v>0</v>
      </c>
    </row>
    <row r="213" spans="1:39" x14ac:dyDescent="0.2">
      <c r="A213" s="3" t="s">
        <v>149</v>
      </c>
      <c r="C213" s="7">
        <f ca="1">C210+SUM($C212:C212)</f>
        <v>63060.110212387553</v>
      </c>
      <c r="D213" s="7">
        <f ca="1">D210+SUM($C212:D212)</f>
        <v>74803.865731513826</v>
      </c>
      <c r="E213" s="7">
        <f ca="1">E210+SUM($C212:E212)</f>
        <v>165269.77766792092</v>
      </c>
      <c r="F213" s="7">
        <f ca="1">F210+SUM($C212:F212)</f>
        <v>77404.797492678772</v>
      </c>
      <c r="G213" s="7">
        <f ca="1">G210+SUM($C212:G212)</f>
        <v>182914.95575458009</v>
      </c>
      <c r="H213" s="7">
        <f ca="1">H210+SUM($C212:H212)</f>
        <v>129529.97572023471</v>
      </c>
      <c r="I213" s="7">
        <f ca="1">I210+SUM($C212:I212)</f>
        <v>91164.213839684453</v>
      </c>
      <c r="J213" s="7">
        <f ca="1">J210+SUM($C212:J212)</f>
        <v>179275.45457262834</v>
      </c>
      <c r="K213" s="7">
        <f ca="1">K210+SUM($C212:K212)</f>
        <v>118281.8899313185</v>
      </c>
      <c r="L213" s="7">
        <f ca="1">L210+SUM($C212:L212)</f>
        <v>138926.09569615126</v>
      </c>
      <c r="M213" s="7">
        <f ca="1">M210+SUM($C212:M212)</f>
        <v>63941.993400129919</v>
      </c>
      <c r="N213" s="7">
        <f ca="1">N210+SUM($C212:N212)</f>
        <v>36292.921153602525</v>
      </c>
      <c r="O213" s="7">
        <f ca="1">O210+SUM($C212:O212)</f>
        <v>7311.3905869002501</v>
      </c>
      <c r="P213" s="7">
        <f ca="1">P210+SUM($C212:P212)</f>
        <v>-23027.228016173387</v>
      </c>
      <c r="Q213" s="7">
        <f ca="1">Q210+SUM($C212:Q212)</f>
        <v>-54273.349735921343</v>
      </c>
      <c r="R213" s="7">
        <f ca="1">R210+SUM($C212:R212)</f>
        <v>-86130.458154616877</v>
      </c>
      <c r="S213" s="7">
        <f ca="1">S210+SUM($C212:S212)</f>
        <v>-118608.72294941219</v>
      </c>
      <c r="T213" s="7">
        <f ca="1">T210+SUM($C212:T212)</f>
        <v>-134676.29036449542</v>
      </c>
      <c r="U213" s="7">
        <f ca="1">U210+SUM($C212:U212)</f>
        <v>-143161.30801779267</v>
      </c>
      <c r="V213" s="7">
        <f ca="1">V210+SUM($C212:V212)</f>
        <v>-151666.92739303291</v>
      </c>
      <c r="W213" s="7">
        <f ca="1">W210+SUM($C212:W212)</f>
        <v>-160187.9178216829</v>
      </c>
      <c r="X213" s="7">
        <f ca="1">X210+SUM($C212:X212)</f>
        <v>-168718.74549714889</v>
      </c>
      <c r="Y213" s="7">
        <f ca="1">Y210+SUM($C212:Y212)</f>
        <v>-197912.41749614544</v>
      </c>
      <c r="Z213" s="7">
        <f ca="1">Z210+SUM($C212:Z212)</f>
        <v>-227620.36966161994</v>
      </c>
      <c r="AA213" s="7">
        <f ca="1">AA210+SUM($C212:AA212)</f>
        <v>-257848.99214872945</v>
      </c>
      <c r="AB213" s="7">
        <f ca="1">AB210+SUM($C212:AB212)</f>
        <v>-288604.6408610401</v>
      </c>
      <c r="AC213" s="7">
        <f ca="1">AC210+SUM($C212:AC212)</f>
        <v>-319893.63077407226</v>
      </c>
      <c r="AD213" s="7">
        <f ca="1">AD210+SUM($C212:AD212)</f>
        <v>-351722.22891733173</v>
      </c>
      <c r="AE213" s="7">
        <f ca="1">AE210+SUM($C212:AE212)</f>
        <v>-374114.17190725985</v>
      </c>
      <c r="AF213" s="7">
        <f ca="1">AF210+SUM($C212:AF212)</f>
        <v>-396808.5216084157</v>
      </c>
      <c r="AG213" s="7">
        <f ca="1">AG210+SUM($C212:AG212)</f>
        <v>-419805.11643267446</v>
      </c>
      <c r="AH213" s="7">
        <f ca="1">AH210+SUM($C212:AH212)</f>
        <v>-443103.55909953086</v>
      </c>
      <c r="AI213" s="7">
        <f ca="1">AI210+SUM($C212:AI212)</f>
        <v>-466703.2037942094</v>
      </c>
      <c r="AJ213" s="7">
        <f ca="1">AJ210+SUM($C212:AJ212)</f>
        <v>-490603.14279624069</v>
      </c>
      <c r="AK213" s="7">
        <f ca="1">AK210+SUM($C212:AK212)</f>
        <v>-514802.19255900756</v>
      </c>
      <c r="AL213" s="7">
        <f ca="1">AL210+SUM($C212:AL212)</f>
        <v>-539298.87922009919</v>
      </c>
      <c r="AM213" s="7">
        <f ca="1">AM210+SUM($C212:AM212)</f>
        <v>-564091.42352160113</v>
      </c>
    </row>
    <row r="214" spans="1:39" x14ac:dyDescent="0.2">
      <c r="A214" s="3" t="s">
        <v>19</v>
      </c>
      <c r="C214" s="7">
        <f ca="1">IF(C213&lt;0,-C213,0)</f>
        <v>0</v>
      </c>
      <c r="D214" s="7">
        <f ca="1">IF(D213+SUM($C214:C214)&lt;0,-(D213+SUM($C214:C214)),0)</f>
        <v>0</v>
      </c>
      <c r="E214" s="7">
        <f ca="1">IF(E213+SUM($C214:D214)&lt;0,-(E213+SUM($C214:D214)),0)</f>
        <v>0</v>
      </c>
      <c r="F214" s="7">
        <f ca="1">IF(F213+SUM($C214:E214)&lt;0,-(F213+SUM($C214:E214)),0)</f>
        <v>0</v>
      </c>
      <c r="G214" s="7">
        <f ca="1">IF(G213+SUM($C214:F214)&lt;0,-(G213+SUM($C214:F214)),0)</f>
        <v>0</v>
      </c>
      <c r="H214" s="7">
        <f ca="1">IF(H213+SUM($C214:G214)&lt;0,-(H213+SUM($C214:G214)),0)</f>
        <v>0</v>
      </c>
      <c r="I214" s="7">
        <f ca="1">IF(I213+SUM($C214:H214)&lt;0,-(I213+SUM($C214:H214)),0)</f>
        <v>0</v>
      </c>
      <c r="J214" s="7">
        <f ca="1">IF(J213+SUM($C214:I214)&lt;0,-(J213+SUM($C214:I214)),0)</f>
        <v>0</v>
      </c>
      <c r="K214" s="7">
        <f ca="1">IF(K213+SUM($C214:J214)&lt;0,-(K213+SUM($C214:J214)),0)</f>
        <v>0</v>
      </c>
      <c r="L214" s="7">
        <f ca="1">IF(L213+SUM($C214:K214)&lt;0,-(L213+SUM($C214:K214)),0)</f>
        <v>0</v>
      </c>
      <c r="M214" s="7">
        <f ca="1">IF(M213+SUM($C214:L214)&lt;0,-(M213+SUM($C214:L214)),0)</f>
        <v>0</v>
      </c>
      <c r="N214" s="7">
        <f ca="1">IF(N213+SUM($C214:M214)&lt;0,-(N213+SUM($C214:M214)),0)</f>
        <v>0</v>
      </c>
      <c r="O214" s="7">
        <f ca="1">IF(O213+SUM($C214:N214)&lt;0,-(O213+SUM($C214:N214)),0)</f>
        <v>0</v>
      </c>
      <c r="P214" s="7">
        <f ca="1">IF(P213+SUM($C214:O214)&lt;0,-(P213+SUM($C214:O214)),0)</f>
        <v>23027.228016173387</v>
      </c>
      <c r="Q214" s="7">
        <f ca="1">IF(Q213+SUM($C214:P214)&lt;0,-(Q213+SUM($C214:P214)),0)</f>
        <v>31246.121719747956</v>
      </c>
      <c r="R214" s="7">
        <f ca="1">IF(R213+SUM($C214:Q214)&lt;0,-(R213+SUM($C214:Q214)),0)</f>
        <v>31857.108418695534</v>
      </c>
      <c r="S214" s="7">
        <f ca="1">IF(S213+SUM($C214:R214)&lt;0,-(S213+SUM($C214:R214)),0)</f>
        <v>32478.264794795308</v>
      </c>
      <c r="T214" s="7">
        <f ca="1">IF(T213+SUM($C214:S214)&lt;0,-(T213+SUM($C214:S214)),0)</f>
        <v>16067.567415083235</v>
      </c>
      <c r="U214" s="7">
        <f ca="1">IF(U213+SUM($C214:T214)&lt;0,-(U213+SUM($C214:T214)),0)</f>
        <v>8485.0176532972546</v>
      </c>
      <c r="V214" s="7">
        <f ca="1">IF(V213+SUM($C214:U214)&lt;0,-(V213+SUM($C214:U214)),0)</f>
        <v>8505.6193752402323</v>
      </c>
      <c r="W214" s="7">
        <f ca="1">IF(W213+SUM($C214:V214)&lt;0,-(W213+SUM($C214:V214)),0)</f>
        <v>8520.990428649995</v>
      </c>
      <c r="X214" s="7">
        <f ca="1">IF(X213+SUM($C214:W214)&lt;0,-(X213+SUM($C214:W214)),0)</f>
        <v>8530.8276754659892</v>
      </c>
      <c r="Y214" s="7">
        <f ca="1">IF(Y213+SUM($C214:X214)&lt;0,-(Y213+SUM($C214:X214)),0)</f>
        <v>29193.67199899655</v>
      </c>
      <c r="Z214" s="7">
        <f ca="1">IF(Z213+SUM($C214:Y214)&lt;0,-(Z213+SUM($C214:Y214)),0)</f>
        <v>29707.952165474504</v>
      </c>
      <c r="AA214" s="7">
        <f ca="1">IF(AA213+SUM($C214:Z214)&lt;0,-(AA213+SUM($C214:Z214)),0)</f>
        <v>30228.622487109504</v>
      </c>
      <c r="AB214" s="7">
        <f ca="1">IF(AB213+SUM($C214:AA214)&lt;0,-(AB213+SUM($C214:AA214)),0)</f>
        <v>30755.648712310649</v>
      </c>
      <c r="AC214" s="7">
        <f ca="1">IF(AC213+SUM($C214:AB214)&lt;0,-(AC213+SUM($C214:AB214)),0)</f>
        <v>31288.989913032157</v>
      </c>
      <c r="AD214" s="7">
        <f ca="1">IF(AD213+SUM($C214:AC214)&lt;0,-(AD213+SUM($C214:AC214)),0)</f>
        <v>31828.598143259471</v>
      </c>
      <c r="AE214" s="7">
        <f ca="1">IF(AE213+SUM($C214:AD214)&lt;0,-(AE213+SUM($C214:AD214)),0)</f>
        <v>22391.942989928124</v>
      </c>
      <c r="AF214" s="7">
        <f ca="1">IF(AF213+SUM($C214:AE214)&lt;0,-(AF213+SUM($C214:AE214)),0)</f>
        <v>22694.34970115585</v>
      </c>
      <c r="AG214" s="7">
        <f ca="1">IF(AG213+SUM($C214:AF214)&lt;0,-(AG213+SUM($C214:AF214)),0)</f>
        <v>22996.594824258762</v>
      </c>
      <c r="AH214" s="7">
        <f ca="1">IF(AH213+SUM($C214:AG214)&lt;0,-(AH213+SUM($C214:AG214)),0)</f>
        <v>23298.442666856397</v>
      </c>
      <c r="AI214" s="7">
        <f ca="1">IF(AI213+SUM($C214:AH214)&lt;0,-(AI213+SUM($C214:AH214)),0)</f>
        <v>23599.644694678544</v>
      </c>
      <c r="AJ214" s="7">
        <f ca="1">IF(AJ213+SUM($C214:AI214)&lt;0,-(AJ213+SUM($C214:AI214)),0)</f>
        <v>23899.939002031286</v>
      </c>
      <c r="AK214" s="7">
        <f ca="1">IF(AK213+SUM($C214:AJ214)&lt;0,-(AK213+SUM($C214:AJ214)),0)</f>
        <v>24199.049762766866</v>
      </c>
      <c r="AL214" s="7">
        <f ca="1">IF(AL213+SUM($C214:AK214)&lt;0,-(AL213+SUM($C214:AK214)),0)</f>
        <v>24496.686661091633</v>
      </c>
      <c r="AM214" s="7">
        <f ca="1">IF(AM213+SUM($C214:AL214)&lt;0,-(AM213+SUM($C214:AL214)),0)</f>
        <v>24792.544301501941</v>
      </c>
    </row>
    <row r="215" spans="1:39" x14ac:dyDescent="0.2"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</row>
    <row r="216" spans="1:39" x14ac:dyDescent="0.2">
      <c r="A216" s="24" t="str">
        <f>IF(Inputs!$B$289=6,IFERROR(_xlfn.XLOOKUP($B216,Inputs!$B$290:$B$299,Inputs!$A$290:$A$299,,0,1),""),IFERROR(_xlfn.XLOOKUP($B216,Inputs!$C$290:$C$299,Inputs!$A$290:$A$299,,0,1),""))</f>
        <v>Gzira</v>
      </c>
      <c r="B216" s="26">
        <v>7</v>
      </c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</row>
    <row r="217" spans="1:39" x14ac:dyDescent="0.2">
      <c r="A217" s="3" t="s">
        <v>21</v>
      </c>
      <c r="C217" s="7">
        <f ca="1">IFERROR(VLOOKUP($A216,$A$67:$H$96,C$1+2,FALSE),0)</f>
        <v>153362.49933442406</v>
      </c>
      <c r="D217" s="7">
        <f ca="1">C220</f>
        <v>153362.49933442406</v>
      </c>
      <c r="E217" s="7">
        <f t="shared" ref="E217:AM217" ca="1" si="120">D220</f>
        <v>157963.3743144568</v>
      </c>
      <c r="F217" s="7">
        <f t="shared" ca="1" si="120"/>
        <v>162702.27554389052</v>
      </c>
      <c r="G217" s="7">
        <f t="shared" ca="1" si="120"/>
        <v>167583.34381020724</v>
      </c>
      <c r="H217" s="7">
        <f t="shared" ca="1" si="120"/>
        <v>172610.84412451345</v>
      </c>
      <c r="I217" s="7">
        <f t="shared" ca="1" si="120"/>
        <v>177789.16944824884</v>
      </c>
      <c r="J217" s="7">
        <f t="shared" ca="1" si="120"/>
        <v>183122.84453169629</v>
      </c>
      <c r="K217" s="7">
        <f t="shared" ca="1" si="120"/>
        <v>188616.52986764719</v>
      </c>
      <c r="L217" s="7">
        <f t="shared" ca="1" si="120"/>
        <v>194275.02576367659</v>
      </c>
      <c r="M217" s="7">
        <f t="shared" ca="1" si="120"/>
        <v>200103.2765365869</v>
      </c>
      <c r="N217" s="7">
        <f t="shared" ca="1" si="120"/>
        <v>206106.37483268449</v>
      </c>
      <c r="O217" s="7">
        <f t="shared" ca="1" si="120"/>
        <v>212289.56607766502</v>
      </c>
      <c r="P217" s="7">
        <f t="shared" ca="1" si="120"/>
        <v>0</v>
      </c>
      <c r="Q217" s="7">
        <f t="shared" ca="1" si="120"/>
        <v>0</v>
      </c>
      <c r="R217" s="7">
        <f t="shared" ca="1" si="120"/>
        <v>0</v>
      </c>
      <c r="S217" s="7">
        <f t="shared" ca="1" si="120"/>
        <v>0</v>
      </c>
      <c r="T217" s="7">
        <f t="shared" ca="1" si="120"/>
        <v>0</v>
      </c>
      <c r="U217" s="7">
        <f t="shared" ca="1" si="120"/>
        <v>0</v>
      </c>
      <c r="V217" s="7">
        <f t="shared" ca="1" si="120"/>
        <v>0</v>
      </c>
      <c r="W217" s="7">
        <f t="shared" ca="1" si="120"/>
        <v>0</v>
      </c>
      <c r="X217" s="7">
        <f t="shared" ca="1" si="120"/>
        <v>0</v>
      </c>
      <c r="Y217" s="7">
        <f t="shared" ca="1" si="120"/>
        <v>0</v>
      </c>
      <c r="Z217" s="7">
        <f t="shared" ca="1" si="120"/>
        <v>0</v>
      </c>
      <c r="AA217" s="7">
        <f t="shared" ca="1" si="120"/>
        <v>0</v>
      </c>
      <c r="AB217" s="7">
        <f t="shared" ca="1" si="120"/>
        <v>0</v>
      </c>
      <c r="AC217" s="7">
        <f t="shared" ca="1" si="120"/>
        <v>0</v>
      </c>
      <c r="AD217" s="7">
        <f t="shared" ca="1" si="120"/>
        <v>0</v>
      </c>
      <c r="AE217" s="7">
        <f t="shared" ca="1" si="120"/>
        <v>0</v>
      </c>
      <c r="AF217" s="7">
        <f t="shared" ca="1" si="120"/>
        <v>0</v>
      </c>
      <c r="AG217" s="7">
        <f t="shared" ca="1" si="120"/>
        <v>0</v>
      </c>
      <c r="AH217" s="7">
        <f t="shared" ca="1" si="120"/>
        <v>0</v>
      </c>
      <c r="AI217" s="7">
        <f t="shared" ca="1" si="120"/>
        <v>0</v>
      </c>
      <c r="AJ217" s="7">
        <f t="shared" ca="1" si="120"/>
        <v>0</v>
      </c>
      <c r="AK217" s="7">
        <f t="shared" ca="1" si="120"/>
        <v>0</v>
      </c>
      <c r="AL217" s="7">
        <f t="shared" ca="1" si="120"/>
        <v>0</v>
      </c>
      <c r="AM217" s="7">
        <f t="shared" ca="1" si="120"/>
        <v>0</v>
      </c>
    </row>
    <row r="218" spans="1:39" x14ac:dyDescent="0.2">
      <c r="A218" s="3" t="s">
        <v>22</v>
      </c>
      <c r="C218" s="7">
        <f ca="1">-IF(D214&gt;0,C217,0)</f>
        <v>0</v>
      </c>
      <c r="D218" s="7">
        <f ca="1">-IF(E214&gt;0,D217,0)</f>
        <v>0</v>
      </c>
      <c r="E218" s="7">
        <f ca="1">-IF(F214&gt;0,E217,0)</f>
        <v>0</v>
      </c>
      <c r="F218" s="7">
        <f ca="1">-IF(G214&gt;0,F217,0)</f>
        <v>0</v>
      </c>
      <c r="G218" s="7">
        <f t="shared" ref="G218:AM218" ca="1" si="121">-IF(H214&gt;0,G217,0)</f>
        <v>0</v>
      </c>
      <c r="H218" s="7">
        <f t="shared" ca="1" si="121"/>
        <v>0</v>
      </c>
      <c r="I218" s="7">
        <f t="shared" ca="1" si="121"/>
        <v>0</v>
      </c>
      <c r="J218" s="7">
        <f t="shared" ca="1" si="121"/>
        <v>0</v>
      </c>
      <c r="K218" s="7">
        <f t="shared" ca="1" si="121"/>
        <v>0</v>
      </c>
      <c r="L218" s="7">
        <f t="shared" ca="1" si="121"/>
        <v>0</v>
      </c>
      <c r="M218" s="7">
        <f t="shared" ca="1" si="121"/>
        <v>0</v>
      </c>
      <c r="N218" s="7">
        <f t="shared" ca="1" si="121"/>
        <v>0</v>
      </c>
      <c r="O218" s="7">
        <f t="shared" ca="1" si="121"/>
        <v>-212289.56607766502</v>
      </c>
      <c r="P218" s="7">
        <f t="shared" ca="1" si="121"/>
        <v>0</v>
      </c>
      <c r="Q218" s="7">
        <f t="shared" ca="1" si="121"/>
        <v>0</v>
      </c>
      <c r="R218" s="7">
        <f t="shared" ca="1" si="121"/>
        <v>0</v>
      </c>
      <c r="S218" s="7">
        <f t="shared" ca="1" si="121"/>
        <v>0</v>
      </c>
      <c r="T218" s="7">
        <f t="shared" ca="1" si="121"/>
        <v>0</v>
      </c>
      <c r="U218" s="7">
        <f t="shared" ca="1" si="121"/>
        <v>0</v>
      </c>
      <c r="V218" s="7">
        <f t="shared" ca="1" si="121"/>
        <v>0</v>
      </c>
      <c r="W218" s="7">
        <f t="shared" ca="1" si="121"/>
        <v>0</v>
      </c>
      <c r="X218" s="7">
        <f t="shared" ca="1" si="121"/>
        <v>0</v>
      </c>
      <c r="Y218" s="7">
        <f t="shared" ca="1" si="121"/>
        <v>0</v>
      </c>
      <c r="Z218" s="7">
        <f t="shared" ca="1" si="121"/>
        <v>0</v>
      </c>
      <c r="AA218" s="7">
        <f t="shared" ca="1" si="121"/>
        <v>0</v>
      </c>
      <c r="AB218" s="7">
        <f t="shared" ca="1" si="121"/>
        <v>0</v>
      </c>
      <c r="AC218" s="7">
        <f t="shared" ca="1" si="121"/>
        <v>0</v>
      </c>
      <c r="AD218" s="7">
        <f t="shared" ca="1" si="121"/>
        <v>0</v>
      </c>
      <c r="AE218" s="7">
        <f t="shared" ca="1" si="121"/>
        <v>0</v>
      </c>
      <c r="AF218" s="7">
        <f t="shared" ca="1" si="121"/>
        <v>0</v>
      </c>
      <c r="AG218" s="7">
        <f t="shared" ca="1" si="121"/>
        <v>0</v>
      </c>
      <c r="AH218" s="7">
        <f t="shared" ca="1" si="121"/>
        <v>0</v>
      </c>
      <c r="AI218" s="7">
        <f t="shared" ca="1" si="121"/>
        <v>0</v>
      </c>
      <c r="AJ218" s="7">
        <f t="shared" ca="1" si="121"/>
        <v>0</v>
      </c>
      <c r="AK218" s="7">
        <f t="shared" ca="1" si="121"/>
        <v>0</v>
      </c>
      <c r="AL218" s="7">
        <f t="shared" ca="1" si="121"/>
        <v>0</v>
      </c>
      <c r="AM218" s="7">
        <f t="shared" si="121"/>
        <v>0</v>
      </c>
    </row>
    <row r="219" spans="1:39" x14ac:dyDescent="0.2">
      <c r="A219" s="3" t="s">
        <v>23</v>
      </c>
      <c r="C219" s="7">
        <v>0</v>
      </c>
      <c r="D219" s="7">
        <f t="shared" ref="D219:AM219" ca="1" si="122">SUM(D217:D218)*VLOOKUP($A216,AssVar,2,FALSE)</f>
        <v>4600.8749800327214</v>
      </c>
      <c r="E219" s="7">
        <f t="shared" ca="1" si="122"/>
        <v>4738.9012294337035</v>
      </c>
      <c r="F219" s="7">
        <f t="shared" ca="1" si="122"/>
        <v>4881.0682663167154</v>
      </c>
      <c r="G219" s="7">
        <f t="shared" ca="1" si="122"/>
        <v>5027.5003143062168</v>
      </c>
      <c r="H219" s="7">
        <f t="shared" ca="1" si="122"/>
        <v>5178.3253237354029</v>
      </c>
      <c r="I219" s="7">
        <f t="shared" ca="1" si="122"/>
        <v>5333.6750834474651</v>
      </c>
      <c r="J219" s="7">
        <f t="shared" ca="1" si="122"/>
        <v>5493.6853359508887</v>
      </c>
      <c r="K219" s="7">
        <f t="shared" ca="1" si="122"/>
        <v>5658.4958960294152</v>
      </c>
      <c r="L219" s="7">
        <f t="shared" ca="1" si="122"/>
        <v>5828.2507729102972</v>
      </c>
      <c r="M219" s="7">
        <f t="shared" ca="1" si="122"/>
        <v>6003.0982960976071</v>
      </c>
      <c r="N219" s="7">
        <f t="shared" ca="1" si="122"/>
        <v>6183.191244980535</v>
      </c>
      <c r="O219" s="7">
        <f t="shared" ca="1" si="122"/>
        <v>0</v>
      </c>
      <c r="P219" s="7">
        <f t="shared" ca="1" si="122"/>
        <v>0</v>
      </c>
      <c r="Q219" s="7">
        <f t="shared" ca="1" si="122"/>
        <v>0</v>
      </c>
      <c r="R219" s="7">
        <f t="shared" ca="1" si="122"/>
        <v>0</v>
      </c>
      <c r="S219" s="7">
        <f t="shared" ca="1" si="122"/>
        <v>0</v>
      </c>
      <c r="T219" s="7">
        <f t="shared" ca="1" si="122"/>
        <v>0</v>
      </c>
      <c r="U219" s="7">
        <f t="shared" ca="1" si="122"/>
        <v>0</v>
      </c>
      <c r="V219" s="7">
        <f t="shared" ca="1" si="122"/>
        <v>0</v>
      </c>
      <c r="W219" s="7">
        <f t="shared" ca="1" si="122"/>
        <v>0</v>
      </c>
      <c r="X219" s="7">
        <f t="shared" ca="1" si="122"/>
        <v>0</v>
      </c>
      <c r="Y219" s="7">
        <f t="shared" ca="1" si="122"/>
        <v>0</v>
      </c>
      <c r="Z219" s="7">
        <f t="shared" ca="1" si="122"/>
        <v>0</v>
      </c>
      <c r="AA219" s="7">
        <f t="shared" ca="1" si="122"/>
        <v>0</v>
      </c>
      <c r="AB219" s="7">
        <f t="shared" ca="1" si="122"/>
        <v>0</v>
      </c>
      <c r="AC219" s="7">
        <f t="shared" ca="1" si="122"/>
        <v>0</v>
      </c>
      <c r="AD219" s="7">
        <f t="shared" ca="1" si="122"/>
        <v>0</v>
      </c>
      <c r="AE219" s="7">
        <f t="shared" ca="1" si="122"/>
        <v>0</v>
      </c>
      <c r="AF219" s="7">
        <f t="shared" ca="1" si="122"/>
        <v>0</v>
      </c>
      <c r="AG219" s="7">
        <f t="shared" ca="1" si="122"/>
        <v>0</v>
      </c>
      <c r="AH219" s="7">
        <f t="shared" ca="1" si="122"/>
        <v>0</v>
      </c>
      <c r="AI219" s="7">
        <f t="shared" ca="1" si="122"/>
        <v>0</v>
      </c>
      <c r="AJ219" s="7">
        <f t="shared" ca="1" si="122"/>
        <v>0</v>
      </c>
      <c r="AK219" s="7">
        <f t="shared" ca="1" si="122"/>
        <v>0</v>
      </c>
      <c r="AL219" s="7">
        <f t="shared" ca="1" si="122"/>
        <v>0</v>
      </c>
      <c r="AM219" s="7">
        <f t="shared" ca="1" si="122"/>
        <v>0</v>
      </c>
    </row>
    <row r="220" spans="1:39" x14ac:dyDescent="0.2">
      <c r="A220" s="3" t="s">
        <v>24</v>
      </c>
      <c r="C220" s="7">
        <f ca="1">SUM(C217:C219)</f>
        <v>153362.49933442406</v>
      </c>
      <c r="D220" s="7">
        <f t="shared" ref="D220:AM220" ca="1" si="123">SUM(D217:D219)</f>
        <v>157963.3743144568</v>
      </c>
      <c r="E220" s="7">
        <f t="shared" ca="1" si="123"/>
        <v>162702.27554389052</v>
      </c>
      <c r="F220" s="7">
        <f t="shared" ca="1" si="123"/>
        <v>167583.34381020724</v>
      </c>
      <c r="G220" s="7">
        <f t="shared" ca="1" si="123"/>
        <v>172610.84412451345</v>
      </c>
      <c r="H220" s="7">
        <f t="shared" ca="1" si="123"/>
        <v>177789.16944824884</v>
      </c>
      <c r="I220" s="7">
        <f t="shared" ca="1" si="123"/>
        <v>183122.84453169629</v>
      </c>
      <c r="J220" s="7">
        <f t="shared" ca="1" si="123"/>
        <v>188616.52986764719</v>
      </c>
      <c r="K220" s="7">
        <f t="shared" ca="1" si="123"/>
        <v>194275.02576367659</v>
      </c>
      <c r="L220" s="7">
        <f t="shared" ca="1" si="123"/>
        <v>200103.2765365869</v>
      </c>
      <c r="M220" s="7">
        <f t="shared" ca="1" si="123"/>
        <v>206106.37483268449</v>
      </c>
      <c r="N220" s="7">
        <f t="shared" ca="1" si="123"/>
        <v>212289.56607766502</v>
      </c>
      <c r="O220" s="7">
        <f t="shared" ca="1" si="123"/>
        <v>0</v>
      </c>
      <c r="P220" s="7">
        <f t="shared" ca="1" si="123"/>
        <v>0</v>
      </c>
      <c r="Q220" s="7">
        <f t="shared" ca="1" si="123"/>
        <v>0</v>
      </c>
      <c r="R220" s="7">
        <f t="shared" ca="1" si="123"/>
        <v>0</v>
      </c>
      <c r="S220" s="7">
        <f t="shared" ca="1" si="123"/>
        <v>0</v>
      </c>
      <c r="T220" s="7">
        <f t="shared" ca="1" si="123"/>
        <v>0</v>
      </c>
      <c r="U220" s="7">
        <f t="shared" ca="1" si="123"/>
        <v>0</v>
      </c>
      <c r="V220" s="7">
        <f t="shared" ca="1" si="123"/>
        <v>0</v>
      </c>
      <c r="W220" s="7">
        <f t="shared" ca="1" si="123"/>
        <v>0</v>
      </c>
      <c r="X220" s="7">
        <f t="shared" ca="1" si="123"/>
        <v>0</v>
      </c>
      <c r="Y220" s="7">
        <f t="shared" ca="1" si="123"/>
        <v>0</v>
      </c>
      <c r="Z220" s="7">
        <f t="shared" ca="1" si="123"/>
        <v>0</v>
      </c>
      <c r="AA220" s="7">
        <f t="shared" ca="1" si="123"/>
        <v>0</v>
      </c>
      <c r="AB220" s="7">
        <f t="shared" ca="1" si="123"/>
        <v>0</v>
      </c>
      <c r="AC220" s="7">
        <f t="shared" ca="1" si="123"/>
        <v>0</v>
      </c>
      <c r="AD220" s="7">
        <f t="shared" ca="1" si="123"/>
        <v>0</v>
      </c>
      <c r="AE220" s="7">
        <f t="shared" ca="1" si="123"/>
        <v>0</v>
      </c>
      <c r="AF220" s="7">
        <f t="shared" ca="1" si="123"/>
        <v>0</v>
      </c>
      <c r="AG220" s="7">
        <f t="shared" ca="1" si="123"/>
        <v>0</v>
      </c>
      <c r="AH220" s="7">
        <f t="shared" ca="1" si="123"/>
        <v>0</v>
      </c>
      <c r="AI220" s="7">
        <f t="shared" ca="1" si="123"/>
        <v>0</v>
      </c>
      <c r="AJ220" s="7">
        <f t="shared" ca="1" si="123"/>
        <v>0</v>
      </c>
      <c r="AK220" s="7">
        <f t="shared" ca="1" si="123"/>
        <v>0</v>
      </c>
      <c r="AL220" s="7">
        <f t="shared" ca="1" si="123"/>
        <v>0</v>
      </c>
      <c r="AM220" s="7">
        <f t="shared" ca="1" si="123"/>
        <v>0</v>
      </c>
    </row>
    <row r="221" spans="1:39" x14ac:dyDescent="0.2">
      <c r="A221" s="3" t="s">
        <v>25</v>
      </c>
      <c r="C221" s="7">
        <f t="shared" ref="C221:AM221" ca="1" si="124">C218*VLOOKUP($A216,AssVar,3,FALSE)</f>
        <v>0</v>
      </c>
      <c r="D221" s="7">
        <f t="shared" ca="1" si="124"/>
        <v>0</v>
      </c>
      <c r="E221" s="7">
        <f t="shared" ca="1" si="124"/>
        <v>0</v>
      </c>
      <c r="F221" s="7">
        <f t="shared" ca="1" si="124"/>
        <v>0</v>
      </c>
      <c r="G221" s="7">
        <f t="shared" ca="1" si="124"/>
        <v>0</v>
      </c>
      <c r="H221" s="7">
        <f t="shared" ca="1" si="124"/>
        <v>0</v>
      </c>
      <c r="I221" s="7">
        <f t="shared" ca="1" si="124"/>
        <v>0</v>
      </c>
      <c r="J221" s="7">
        <f t="shared" ca="1" si="124"/>
        <v>0</v>
      </c>
      <c r="K221" s="7">
        <f t="shared" ca="1" si="124"/>
        <v>0</v>
      </c>
      <c r="L221" s="7">
        <f t="shared" ca="1" si="124"/>
        <v>0</v>
      </c>
      <c r="M221" s="7">
        <f t="shared" ca="1" si="124"/>
        <v>0</v>
      </c>
      <c r="N221" s="7">
        <f t="shared" ca="1" si="124"/>
        <v>0</v>
      </c>
      <c r="O221" s="7">
        <f t="shared" ca="1" si="124"/>
        <v>-31843.434911649751</v>
      </c>
      <c r="P221" s="7">
        <f t="shared" ca="1" si="124"/>
        <v>0</v>
      </c>
      <c r="Q221" s="7">
        <f t="shared" ca="1" si="124"/>
        <v>0</v>
      </c>
      <c r="R221" s="7">
        <f t="shared" ca="1" si="124"/>
        <v>0</v>
      </c>
      <c r="S221" s="7">
        <f t="shared" ca="1" si="124"/>
        <v>0</v>
      </c>
      <c r="T221" s="7">
        <f t="shared" ca="1" si="124"/>
        <v>0</v>
      </c>
      <c r="U221" s="7">
        <f t="shared" ca="1" si="124"/>
        <v>0</v>
      </c>
      <c r="V221" s="7">
        <f t="shared" ca="1" si="124"/>
        <v>0</v>
      </c>
      <c r="W221" s="7">
        <f t="shared" ca="1" si="124"/>
        <v>0</v>
      </c>
      <c r="X221" s="7">
        <f t="shared" ca="1" si="124"/>
        <v>0</v>
      </c>
      <c r="Y221" s="7">
        <f t="shared" ca="1" si="124"/>
        <v>0</v>
      </c>
      <c r="Z221" s="7">
        <f t="shared" ca="1" si="124"/>
        <v>0</v>
      </c>
      <c r="AA221" s="7">
        <f t="shared" ca="1" si="124"/>
        <v>0</v>
      </c>
      <c r="AB221" s="7">
        <f t="shared" ca="1" si="124"/>
        <v>0</v>
      </c>
      <c r="AC221" s="7">
        <f t="shared" ca="1" si="124"/>
        <v>0</v>
      </c>
      <c r="AD221" s="7">
        <f t="shared" ca="1" si="124"/>
        <v>0</v>
      </c>
      <c r="AE221" s="7">
        <f t="shared" ca="1" si="124"/>
        <v>0</v>
      </c>
      <c r="AF221" s="7">
        <f t="shared" ca="1" si="124"/>
        <v>0</v>
      </c>
      <c r="AG221" s="7">
        <f t="shared" ca="1" si="124"/>
        <v>0</v>
      </c>
      <c r="AH221" s="7">
        <f t="shared" ca="1" si="124"/>
        <v>0</v>
      </c>
      <c r="AI221" s="7">
        <f t="shared" ca="1" si="124"/>
        <v>0</v>
      </c>
      <c r="AJ221" s="7">
        <f t="shared" ca="1" si="124"/>
        <v>0</v>
      </c>
      <c r="AK221" s="7">
        <f t="shared" ca="1" si="124"/>
        <v>0</v>
      </c>
      <c r="AL221" s="7">
        <f t="shared" ca="1" si="124"/>
        <v>0</v>
      </c>
      <c r="AM221" s="7">
        <f t="shared" si="124"/>
        <v>0</v>
      </c>
    </row>
    <row r="222" spans="1:39" x14ac:dyDescent="0.2">
      <c r="A222" s="3" t="s">
        <v>30</v>
      </c>
      <c r="C222" s="7">
        <f t="shared" ref="C222:AM222" ca="1" si="125">IFERROR(-IF(C217=0,VLOOKUP($A216,$8:$12,C$1+2,FALSE),0),0)</f>
        <v>0</v>
      </c>
      <c r="D222" s="7">
        <f t="shared" ca="1" si="125"/>
        <v>0</v>
      </c>
      <c r="E222" s="7">
        <f t="shared" ca="1" si="125"/>
        <v>0</v>
      </c>
      <c r="F222" s="7">
        <f t="shared" ca="1" si="125"/>
        <v>0</v>
      </c>
      <c r="G222" s="7">
        <f t="shared" ca="1" si="125"/>
        <v>0</v>
      </c>
      <c r="H222" s="7">
        <f t="shared" ca="1" si="125"/>
        <v>0</v>
      </c>
      <c r="I222" s="7">
        <f t="shared" ca="1" si="125"/>
        <v>0</v>
      </c>
      <c r="J222" s="7">
        <f t="shared" ca="1" si="125"/>
        <v>0</v>
      </c>
      <c r="K222" s="7">
        <f t="shared" ca="1" si="125"/>
        <v>0</v>
      </c>
      <c r="L222" s="7">
        <f t="shared" ca="1" si="125"/>
        <v>0</v>
      </c>
      <c r="M222" s="7">
        <f t="shared" ca="1" si="125"/>
        <v>0</v>
      </c>
      <c r="N222" s="7">
        <f t="shared" ca="1" si="125"/>
        <v>0</v>
      </c>
      <c r="O222" s="7">
        <f t="shared" ca="1" si="125"/>
        <v>0</v>
      </c>
      <c r="P222" s="7">
        <f t="shared" ca="1" si="125"/>
        <v>-11014.002850886734</v>
      </c>
      <c r="Q222" s="7">
        <f t="shared" ca="1" si="125"/>
        <v>-11344.422936413337</v>
      </c>
      <c r="R222" s="7">
        <f t="shared" ca="1" si="125"/>
        <v>-11684.755624505737</v>
      </c>
      <c r="S222" s="7">
        <f t="shared" ca="1" si="125"/>
        <v>-12035.298293240909</v>
      </c>
      <c r="T222" s="7">
        <f t="shared" ca="1" si="125"/>
        <v>-12396.357242038137</v>
      </c>
      <c r="U222" s="7">
        <f t="shared" ca="1" si="125"/>
        <v>-12768.247959299282</v>
      </c>
      <c r="V222" s="7">
        <f t="shared" ca="1" si="125"/>
        <v>-13151.29539807826</v>
      </c>
      <c r="W222" s="7">
        <f t="shared" ca="1" si="125"/>
        <v>-13545.834260020609</v>
      </c>
      <c r="X222" s="7">
        <f t="shared" ca="1" si="125"/>
        <v>-13952.209287821228</v>
      </c>
      <c r="Y222" s="7">
        <f t="shared" ca="1" si="125"/>
        <v>-14370.775566455864</v>
      </c>
      <c r="Z222" s="7">
        <f t="shared" ca="1" si="125"/>
        <v>-14801.898833449541</v>
      </c>
      <c r="AA222" s="7">
        <f t="shared" ca="1" si="125"/>
        <v>-15245.955798453027</v>
      </c>
      <c r="AB222" s="7">
        <f t="shared" ca="1" si="125"/>
        <v>-15703.334472406619</v>
      </c>
      <c r="AC222" s="7">
        <f t="shared" ca="1" si="125"/>
        <v>-16174.434506578818</v>
      </c>
      <c r="AD222" s="7">
        <f t="shared" ca="1" si="125"/>
        <v>-16659.667541776183</v>
      </c>
      <c r="AE222" s="7">
        <f t="shared" ca="1" si="125"/>
        <v>-17159.457568029469</v>
      </c>
      <c r="AF222" s="7">
        <f t="shared" ca="1" si="125"/>
        <v>-17674.241295070355</v>
      </c>
      <c r="AG222" s="7">
        <f t="shared" ca="1" si="125"/>
        <v>-18204.468533922467</v>
      </c>
      <c r="AH222" s="7">
        <f t="shared" ca="1" si="125"/>
        <v>-18750.602589940143</v>
      </c>
      <c r="AI222" s="7">
        <f t="shared" ca="1" si="125"/>
        <v>-19313.120667638348</v>
      </c>
      <c r="AJ222" s="7">
        <f t="shared" ca="1" si="125"/>
        <v>-19892.514287667498</v>
      </c>
      <c r="AK222" s="7">
        <f t="shared" ca="1" si="125"/>
        <v>-20489.289716297524</v>
      </c>
      <c r="AL222" s="7">
        <f t="shared" ca="1" si="125"/>
        <v>-21103.968407786451</v>
      </c>
      <c r="AM222" s="7">
        <f t="shared" ca="1" si="125"/>
        <v>-21737.087460020044</v>
      </c>
    </row>
    <row r="223" spans="1:39" x14ac:dyDescent="0.2">
      <c r="A223" s="3" t="s">
        <v>49</v>
      </c>
      <c r="C223" s="7">
        <f t="shared" ref="C223:AM223" ca="1" si="126">IFERROR(IF(C217=0,VLOOKUP($A216,$46:$50,C$1+2,FALSE),0),0)</f>
        <v>0</v>
      </c>
      <c r="D223" s="7">
        <f t="shared" ca="1" si="126"/>
        <v>0</v>
      </c>
      <c r="E223" s="7">
        <f t="shared" ca="1" si="126"/>
        <v>0</v>
      </c>
      <c r="F223" s="7">
        <f t="shared" ca="1" si="126"/>
        <v>0</v>
      </c>
      <c r="G223" s="7">
        <f t="shared" ca="1" si="126"/>
        <v>0</v>
      </c>
      <c r="H223" s="7">
        <f t="shared" ca="1" si="126"/>
        <v>0</v>
      </c>
      <c r="I223" s="7">
        <f t="shared" ca="1" si="126"/>
        <v>0</v>
      </c>
      <c r="J223" s="7">
        <f t="shared" ca="1" si="126"/>
        <v>0</v>
      </c>
      <c r="K223" s="7">
        <f t="shared" ca="1" si="126"/>
        <v>0</v>
      </c>
      <c r="L223" s="7">
        <f t="shared" ca="1" si="126"/>
        <v>0</v>
      </c>
      <c r="M223" s="7">
        <f t="shared" ca="1" si="126"/>
        <v>0</v>
      </c>
      <c r="N223" s="7">
        <f t="shared" ca="1" si="126"/>
        <v>0</v>
      </c>
      <c r="O223" s="7">
        <f t="shared" ca="1" si="126"/>
        <v>0</v>
      </c>
      <c r="P223" s="7">
        <f t="shared" ca="1" si="126"/>
        <v>2757.0220897049098</v>
      </c>
      <c r="Q223" s="7">
        <f t="shared" ca="1" si="126"/>
        <v>2825.9476419475322</v>
      </c>
      <c r="R223" s="7">
        <f t="shared" ca="1" si="126"/>
        <v>2896.596332996221</v>
      </c>
      <c r="S223" s="7">
        <f t="shared" ca="1" si="126"/>
        <v>2969.0112413211264</v>
      </c>
      <c r="T223" s="7">
        <f t="shared" ca="1" si="126"/>
        <v>3043.2365223541542</v>
      </c>
      <c r="U223" s="7">
        <f t="shared" ca="1" si="126"/>
        <v>3119.3174354130078</v>
      </c>
      <c r="V223" s="7">
        <f t="shared" ca="1" si="126"/>
        <v>3197.3003712983332</v>
      </c>
      <c r="W223" s="7">
        <f t="shared" ca="1" si="126"/>
        <v>3277.2328805807911</v>
      </c>
      <c r="X223" s="7">
        <f t="shared" ca="1" si="126"/>
        <v>3359.1637025953105</v>
      </c>
      <c r="Y223" s="7">
        <f t="shared" ca="1" si="126"/>
        <v>3443.1427951601931</v>
      </c>
      <c r="Z223" s="7">
        <f t="shared" ca="1" si="126"/>
        <v>3529.2213650391982</v>
      </c>
      <c r="AA223" s="7">
        <f t="shared" ca="1" si="126"/>
        <v>3617.451899165178</v>
      </c>
      <c r="AB223" s="7">
        <f t="shared" ca="1" si="126"/>
        <v>3707.8881966443068</v>
      </c>
      <c r="AC223" s="7">
        <f t="shared" ca="1" si="126"/>
        <v>3800.5854015604141</v>
      </c>
      <c r="AD223" s="7">
        <f t="shared" ca="1" si="126"/>
        <v>3895.6000365994241</v>
      </c>
      <c r="AE223" s="7">
        <f t="shared" ca="1" si="126"/>
        <v>3992.9900375144098</v>
      </c>
      <c r="AF223" s="7">
        <f t="shared" ca="1" si="126"/>
        <v>4092.8147884522705</v>
      </c>
      <c r="AG223" s="7">
        <f t="shared" ca="1" si="126"/>
        <v>4195.1351581635763</v>
      </c>
      <c r="AH223" s="7">
        <f t="shared" ca="1" si="126"/>
        <v>4300.0135371176666</v>
      </c>
      <c r="AI223" s="7">
        <f t="shared" ca="1" si="126"/>
        <v>4407.5138755456073</v>
      </c>
      <c r="AJ223" s="7">
        <f t="shared" ca="1" si="126"/>
        <v>4517.7017224342471</v>
      </c>
      <c r="AK223" s="7">
        <f t="shared" ca="1" si="126"/>
        <v>4630.6442654951034</v>
      </c>
      <c r="AL223" s="7">
        <f t="shared" ca="1" si="126"/>
        <v>4746.41037213248</v>
      </c>
      <c r="AM223" s="7">
        <f t="shared" ca="1" si="126"/>
        <v>4865.0706314357931</v>
      </c>
    </row>
    <row r="224" spans="1:39" x14ac:dyDescent="0.2">
      <c r="A224" s="3" t="s">
        <v>35</v>
      </c>
      <c r="B224" s="14" t="str">
        <f>A216</f>
        <v>Gzira</v>
      </c>
      <c r="C224" s="7">
        <f t="shared" ref="C224:AM224" ca="1" si="127">IF(AND(C217&gt;0,C220=0),VLOOKUP($A216,$85:$94,C$1+2,FALSE),0)</f>
        <v>0</v>
      </c>
      <c r="D224" s="7">
        <f t="shared" ca="1" si="127"/>
        <v>0</v>
      </c>
      <c r="E224" s="7">
        <f t="shared" ca="1" si="127"/>
        <v>0</v>
      </c>
      <c r="F224" s="7">
        <f t="shared" ca="1" si="127"/>
        <v>0</v>
      </c>
      <c r="G224" s="7">
        <f t="shared" ca="1" si="127"/>
        <v>0</v>
      </c>
      <c r="H224" s="7">
        <f t="shared" ca="1" si="127"/>
        <v>0</v>
      </c>
      <c r="I224" s="7">
        <f t="shared" ca="1" si="127"/>
        <v>0</v>
      </c>
      <c r="J224" s="7">
        <f t="shared" ca="1" si="127"/>
        <v>0</v>
      </c>
      <c r="K224" s="7">
        <f t="shared" ca="1" si="127"/>
        <v>0</v>
      </c>
      <c r="L224" s="7">
        <f t="shared" ca="1" si="127"/>
        <v>0</v>
      </c>
      <c r="M224" s="7">
        <f t="shared" ca="1" si="127"/>
        <v>0</v>
      </c>
      <c r="N224" s="7">
        <f t="shared" ca="1" si="127"/>
        <v>0</v>
      </c>
      <c r="O224" s="7">
        <f t="shared" ca="1" si="127"/>
        <v>0</v>
      </c>
      <c r="P224" s="7">
        <f t="shared" ca="1" si="127"/>
        <v>0</v>
      </c>
      <c r="Q224" s="7">
        <f t="shared" ca="1" si="127"/>
        <v>0</v>
      </c>
      <c r="R224" s="7">
        <f t="shared" ca="1" si="127"/>
        <v>0</v>
      </c>
      <c r="S224" s="7">
        <f t="shared" ca="1" si="127"/>
        <v>0</v>
      </c>
      <c r="T224" s="7">
        <f t="shared" ca="1" si="127"/>
        <v>0</v>
      </c>
      <c r="U224" s="7">
        <f t="shared" ca="1" si="127"/>
        <v>0</v>
      </c>
      <c r="V224" s="7">
        <f t="shared" ca="1" si="127"/>
        <v>0</v>
      </c>
      <c r="W224" s="7">
        <f t="shared" ca="1" si="127"/>
        <v>0</v>
      </c>
      <c r="X224" s="7">
        <f t="shared" ca="1" si="127"/>
        <v>0</v>
      </c>
      <c r="Y224" s="7">
        <f t="shared" ca="1" si="127"/>
        <v>0</v>
      </c>
      <c r="Z224" s="7">
        <f t="shared" ca="1" si="127"/>
        <v>0</v>
      </c>
      <c r="AA224" s="7">
        <f t="shared" ca="1" si="127"/>
        <v>0</v>
      </c>
      <c r="AB224" s="7">
        <f t="shared" ca="1" si="127"/>
        <v>0</v>
      </c>
      <c r="AC224" s="7">
        <f t="shared" ca="1" si="127"/>
        <v>0</v>
      </c>
      <c r="AD224" s="7">
        <f t="shared" ca="1" si="127"/>
        <v>0</v>
      </c>
      <c r="AE224" s="7">
        <f t="shared" ca="1" si="127"/>
        <v>0</v>
      </c>
      <c r="AF224" s="7">
        <f t="shared" ca="1" si="127"/>
        <v>0</v>
      </c>
      <c r="AG224" s="7">
        <f t="shared" ca="1" si="127"/>
        <v>0</v>
      </c>
      <c r="AH224" s="7">
        <f t="shared" ca="1" si="127"/>
        <v>0</v>
      </c>
      <c r="AI224" s="7">
        <f t="shared" ca="1" si="127"/>
        <v>0</v>
      </c>
      <c r="AJ224" s="7">
        <f t="shared" ca="1" si="127"/>
        <v>0</v>
      </c>
      <c r="AK224" s="7">
        <f t="shared" ca="1" si="127"/>
        <v>0</v>
      </c>
      <c r="AL224" s="7">
        <f t="shared" ca="1" si="127"/>
        <v>0</v>
      </c>
      <c r="AM224" s="7">
        <f t="shared" ca="1" si="127"/>
        <v>0</v>
      </c>
    </row>
    <row r="225" spans="1:39" x14ac:dyDescent="0.2">
      <c r="A225" s="3" t="s">
        <v>36</v>
      </c>
      <c r="C225" s="7">
        <f ca="1">-C218+SUM(C221:C224)</f>
        <v>0</v>
      </c>
      <c r="D225" s="7">
        <f t="shared" ref="D225" ca="1" si="128">-D218+SUM(D221:D224)</f>
        <v>0</v>
      </c>
      <c r="E225" s="7">
        <f t="shared" ref="E225:AM225" ca="1" si="129">-E218+SUM(E221:E224)</f>
        <v>0</v>
      </c>
      <c r="F225" s="7">
        <f t="shared" ca="1" si="129"/>
        <v>0</v>
      </c>
      <c r="G225" s="7">
        <f t="shared" ca="1" si="129"/>
        <v>0</v>
      </c>
      <c r="H225" s="7">
        <f t="shared" ca="1" si="129"/>
        <v>0</v>
      </c>
      <c r="I225" s="7">
        <f t="shared" ca="1" si="129"/>
        <v>0</v>
      </c>
      <c r="J225" s="7">
        <f t="shared" ca="1" si="129"/>
        <v>0</v>
      </c>
      <c r="K225" s="7">
        <f t="shared" ca="1" si="129"/>
        <v>0</v>
      </c>
      <c r="L225" s="7">
        <f t="shared" ca="1" si="129"/>
        <v>0</v>
      </c>
      <c r="M225" s="7">
        <f t="shared" ca="1" si="129"/>
        <v>0</v>
      </c>
      <c r="N225" s="7">
        <f t="shared" ca="1" si="129"/>
        <v>0</v>
      </c>
      <c r="O225" s="7">
        <f t="shared" ca="1" si="129"/>
        <v>180446.13116601526</v>
      </c>
      <c r="P225" s="7">
        <f t="shared" ca="1" si="129"/>
        <v>-8256.9807611818251</v>
      </c>
      <c r="Q225" s="7">
        <f t="shared" ca="1" si="129"/>
        <v>-8518.4752944658048</v>
      </c>
      <c r="R225" s="7">
        <f t="shared" ca="1" si="129"/>
        <v>-8788.1592915095152</v>
      </c>
      <c r="S225" s="7">
        <f t="shared" ca="1" si="129"/>
        <v>-9066.2870519197822</v>
      </c>
      <c r="T225" s="7">
        <f t="shared" ca="1" si="129"/>
        <v>-9353.1207196839823</v>
      </c>
      <c r="U225" s="7">
        <f t="shared" ca="1" si="129"/>
        <v>-9648.9305238862744</v>
      </c>
      <c r="V225" s="7">
        <f t="shared" ca="1" si="129"/>
        <v>-9953.9950267799268</v>
      </c>
      <c r="W225" s="7">
        <f t="shared" ca="1" si="129"/>
        <v>-10268.601379439817</v>
      </c>
      <c r="X225" s="7">
        <f t="shared" ca="1" si="129"/>
        <v>-10593.045585225918</v>
      </c>
      <c r="Y225" s="7">
        <f t="shared" ca="1" si="129"/>
        <v>-10927.632771295672</v>
      </c>
      <c r="Z225" s="7">
        <f t="shared" ca="1" si="129"/>
        <v>-11272.677468410342</v>
      </c>
      <c r="AA225" s="7">
        <f t="shared" ca="1" si="129"/>
        <v>-11628.503899287849</v>
      </c>
      <c r="AB225" s="7">
        <f t="shared" ca="1" si="129"/>
        <v>-11995.446275762311</v>
      </c>
      <c r="AC225" s="7">
        <f t="shared" ca="1" si="129"/>
        <v>-12373.849105018404</v>
      </c>
      <c r="AD225" s="7">
        <f t="shared" ca="1" si="129"/>
        <v>-12764.067505176759</v>
      </c>
      <c r="AE225" s="7">
        <f t="shared" ca="1" si="129"/>
        <v>-13166.467530515059</v>
      </c>
      <c r="AF225" s="7">
        <f t="shared" ca="1" si="129"/>
        <v>-13581.426506618085</v>
      </c>
      <c r="AG225" s="7">
        <f t="shared" ca="1" si="129"/>
        <v>-14009.333375758892</v>
      </c>
      <c r="AH225" s="7">
        <f t="shared" ca="1" si="129"/>
        <v>-14450.589052822477</v>
      </c>
      <c r="AI225" s="7">
        <f t="shared" ca="1" si="129"/>
        <v>-14905.606792092742</v>
      </c>
      <c r="AJ225" s="7">
        <f t="shared" ca="1" si="129"/>
        <v>-15374.812565233251</v>
      </c>
      <c r="AK225" s="7">
        <f t="shared" ca="1" si="129"/>
        <v>-15858.645450802422</v>
      </c>
      <c r="AL225" s="7">
        <f t="shared" ca="1" si="129"/>
        <v>-16357.558035653972</v>
      </c>
      <c r="AM225" s="7">
        <f t="shared" ca="1" si="129"/>
        <v>-16872.016828584252</v>
      </c>
    </row>
    <row r="226" spans="1:39" x14ac:dyDescent="0.2">
      <c r="A226" s="3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</row>
    <row r="227" spans="1:39" x14ac:dyDescent="0.2">
      <c r="A227" s="3" t="s">
        <v>70</v>
      </c>
      <c r="C227" s="7">
        <f ca="1">C213+SUM($C225:C225)</f>
        <v>63060.110212387553</v>
      </c>
      <c r="D227" s="7">
        <f ca="1">D213+SUM($C225:D225)</f>
        <v>74803.865731513826</v>
      </c>
      <c r="E227" s="7">
        <f ca="1">E213+SUM($C225:E225)</f>
        <v>165269.77766792092</v>
      </c>
      <c r="F227" s="7">
        <f ca="1">F213+SUM($C225:F225)</f>
        <v>77404.797492678772</v>
      </c>
      <c r="G227" s="7">
        <f ca="1">G213+SUM($C225:G225)</f>
        <v>182914.95575458009</v>
      </c>
      <c r="H227" s="7">
        <f ca="1">H213+SUM($C225:H225)</f>
        <v>129529.97572023471</v>
      </c>
      <c r="I227" s="7">
        <f ca="1">I213+SUM($C225:I225)</f>
        <v>91164.213839684453</v>
      </c>
      <c r="J227" s="7">
        <f ca="1">J213+SUM($C225:J225)</f>
        <v>179275.45457262834</v>
      </c>
      <c r="K227" s="7">
        <f ca="1">K213+SUM($C225:K225)</f>
        <v>118281.8899313185</v>
      </c>
      <c r="L227" s="7">
        <f ca="1">L213+SUM($C225:L225)</f>
        <v>138926.09569615126</v>
      </c>
      <c r="M227" s="7">
        <f ca="1">M213+SUM($C225:M225)</f>
        <v>63941.993400129919</v>
      </c>
      <c r="N227" s="7">
        <f ca="1">N213+SUM($C225:N225)</f>
        <v>36292.921153602525</v>
      </c>
      <c r="O227" s="7">
        <f ca="1">O213+SUM($C225:O225)</f>
        <v>187757.52175291552</v>
      </c>
      <c r="P227" s="7">
        <f ca="1">P213+SUM($C225:P225)</f>
        <v>149161.92238866005</v>
      </c>
      <c r="Q227" s="7">
        <f ca="1">Q213+SUM($C225:Q225)</f>
        <v>109397.32537444629</v>
      </c>
      <c r="R227" s="7">
        <f ca="1">R213+SUM($C225:R225)</f>
        <v>68752.057664241234</v>
      </c>
      <c r="S227" s="7">
        <f ca="1">S213+SUM($C225:S225)</f>
        <v>27207.505817526137</v>
      </c>
      <c r="T227" s="7">
        <f ca="1">T213+SUM($C225:T225)</f>
        <v>1786.817682758905</v>
      </c>
      <c r="U227" s="7">
        <f ca="1">U213+SUM($C225:U225)</f>
        <v>-16347.130494424622</v>
      </c>
      <c r="V227" s="7">
        <f ca="1">V213+SUM($C225:V225)</f>
        <v>-34806.744896444783</v>
      </c>
      <c r="W227" s="7">
        <f ca="1">W213+SUM($C225:W225)</f>
        <v>-53596.336704534595</v>
      </c>
      <c r="X227" s="7">
        <f ca="1">X213+SUM($C225:X225)</f>
        <v>-72720.209965226502</v>
      </c>
      <c r="Y227" s="7">
        <f ca="1">Y213+SUM($C225:Y225)</f>
        <v>-112841.51473551872</v>
      </c>
      <c r="Z227" s="7">
        <f ca="1">Z213+SUM($C225:Z225)</f>
        <v>-153822.14436940357</v>
      </c>
      <c r="AA227" s="7">
        <f ca="1">AA213+SUM($C225:AA225)</f>
        <v>-195679.27075580091</v>
      </c>
      <c r="AB227" s="7">
        <f ca="1">AB213+SUM($C225:AB225)</f>
        <v>-238430.36574387387</v>
      </c>
      <c r="AC227" s="7">
        <f ca="1">AC213+SUM($C225:AC225)</f>
        <v>-282093.20476192445</v>
      </c>
      <c r="AD227" s="7">
        <f ca="1">AD213+SUM($C225:AD225)</f>
        <v>-326685.87041036069</v>
      </c>
      <c r="AE227" s="7">
        <f ca="1">AE213+SUM($C225:AE225)</f>
        <v>-362244.28093080386</v>
      </c>
      <c r="AF227" s="7">
        <f ca="1">AF213+SUM($C225:AF225)</f>
        <v>-398520.0571385778</v>
      </c>
      <c r="AG227" s="7">
        <f ca="1">AG213+SUM($C225:AG225)</f>
        <v>-435525.98533859546</v>
      </c>
      <c r="AH227" s="7">
        <f ca="1">AH213+SUM($C225:AH225)</f>
        <v>-473275.0170582743</v>
      </c>
      <c r="AI227" s="7">
        <f ca="1">AI213+SUM($C225:AI225)</f>
        <v>-511780.26854504563</v>
      </c>
      <c r="AJ227" s="7">
        <f ca="1">AJ213+SUM($C225:AJ225)</f>
        <v>-551055.02011231019</v>
      </c>
      <c r="AK227" s="7">
        <f ca="1">AK213+SUM($C225:AK225)</f>
        <v>-591112.7153258794</v>
      </c>
      <c r="AL227" s="7">
        <f ca="1">AL213+SUM($C225:AL225)</f>
        <v>-631966.96002262505</v>
      </c>
      <c r="AM227" s="7">
        <f ca="1">AM213+SUM($C225:AM225)</f>
        <v>-673631.52115271124</v>
      </c>
    </row>
    <row r="228" spans="1:39" x14ac:dyDescent="0.2">
      <c r="A228" s="3" t="s">
        <v>67</v>
      </c>
      <c r="C228" s="7">
        <f t="shared" ref="C228:AM228" ca="1" si="130">MAX(C227+buffer,0)-MAX(C213+buffer,0)</f>
        <v>0</v>
      </c>
      <c r="D228" s="7">
        <f t="shared" ca="1" si="130"/>
        <v>0</v>
      </c>
      <c r="E228" s="7">
        <f t="shared" ca="1" si="130"/>
        <v>0</v>
      </c>
      <c r="F228" s="7">
        <f t="shared" ca="1" si="130"/>
        <v>0</v>
      </c>
      <c r="G228" s="7">
        <f t="shared" ca="1" si="130"/>
        <v>0</v>
      </c>
      <c r="H228" s="7">
        <f t="shared" ca="1" si="130"/>
        <v>0</v>
      </c>
      <c r="I228" s="7">
        <f t="shared" ca="1" si="130"/>
        <v>0</v>
      </c>
      <c r="J228" s="7">
        <f t="shared" ca="1" si="130"/>
        <v>0</v>
      </c>
      <c r="K228" s="7">
        <f t="shared" ca="1" si="130"/>
        <v>0</v>
      </c>
      <c r="L228" s="7">
        <f t="shared" ca="1" si="130"/>
        <v>0</v>
      </c>
      <c r="M228" s="7">
        <f t="shared" ca="1" si="130"/>
        <v>0</v>
      </c>
      <c r="N228" s="7">
        <f t="shared" ca="1" si="130"/>
        <v>0</v>
      </c>
      <c r="O228" s="7">
        <f t="shared" ca="1" si="130"/>
        <v>180446.13116601529</v>
      </c>
      <c r="P228" s="7">
        <f t="shared" ca="1" si="130"/>
        <v>172189.15040483343</v>
      </c>
      <c r="Q228" s="7">
        <f t="shared" ca="1" si="130"/>
        <v>159397.32537444629</v>
      </c>
      <c r="R228" s="7">
        <f t="shared" ca="1" si="130"/>
        <v>118752.05766424123</v>
      </c>
      <c r="S228" s="7">
        <f t="shared" ca="1" si="130"/>
        <v>77207.505817526137</v>
      </c>
      <c r="T228" s="7">
        <f t="shared" ca="1" si="130"/>
        <v>51786.817682758905</v>
      </c>
      <c r="U228" s="7">
        <f t="shared" ca="1" si="130"/>
        <v>33652.869505575378</v>
      </c>
      <c r="V228" s="7">
        <f t="shared" ca="1" si="130"/>
        <v>15193.255103555217</v>
      </c>
      <c r="W228" s="7">
        <f t="shared" ca="1" si="130"/>
        <v>0</v>
      </c>
      <c r="X228" s="7">
        <f t="shared" ca="1" si="130"/>
        <v>0</v>
      </c>
      <c r="Y228" s="7">
        <f t="shared" ca="1" si="130"/>
        <v>0</v>
      </c>
      <c r="Z228" s="7">
        <f t="shared" ca="1" si="130"/>
        <v>0</v>
      </c>
      <c r="AA228" s="7">
        <f t="shared" ca="1" si="130"/>
        <v>0</v>
      </c>
      <c r="AB228" s="7">
        <f t="shared" ca="1" si="130"/>
        <v>0</v>
      </c>
      <c r="AC228" s="7">
        <f t="shared" ca="1" si="130"/>
        <v>0</v>
      </c>
      <c r="AD228" s="7">
        <f t="shared" ca="1" si="130"/>
        <v>0</v>
      </c>
      <c r="AE228" s="7">
        <f t="shared" ca="1" si="130"/>
        <v>0</v>
      </c>
      <c r="AF228" s="7">
        <f t="shared" ca="1" si="130"/>
        <v>0</v>
      </c>
      <c r="AG228" s="7">
        <f t="shared" ca="1" si="130"/>
        <v>0</v>
      </c>
      <c r="AH228" s="7">
        <f t="shared" ca="1" si="130"/>
        <v>0</v>
      </c>
      <c r="AI228" s="7">
        <f t="shared" ca="1" si="130"/>
        <v>0</v>
      </c>
      <c r="AJ228" s="7">
        <f t="shared" ca="1" si="130"/>
        <v>0</v>
      </c>
      <c r="AK228" s="7">
        <f t="shared" ca="1" si="130"/>
        <v>0</v>
      </c>
      <c r="AL228" s="7">
        <f t="shared" ca="1" si="130"/>
        <v>0</v>
      </c>
      <c r="AM228" s="7">
        <f t="shared" ca="1" si="130"/>
        <v>0</v>
      </c>
    </row>
    <row r="229" spans="1:39" x14ac:dyDescent="0.2">
      <c r="A229" s="3" t="s">
        <v>68</v>
      </c>
      <c r="C229" s="7">
        <f ca="1">C228*Inputs!$B$269</f>
        <v>0</v>
      </c>
      <c r="D229" s="7">
        <f ca="1">D228*Inputs!$B$269</f>
        <v>0</v>
      </c>
      <c r="E229" s="7">
        <f ca="1">E228*Inputs!$B$269</f>
        <v>0</v>
      </c>
      <c r="F229" s="7">
        <f ca="1">F228*Inputs!$B$269</f>
        <v>0</v>
      </c>
      <c r="G229" s="7">
        <f ca="1">G228*Inputs!$B$269</f>
        <v>0</v>
      </c>
      <c r="H229" s="7">
        <f ca="1">H228*Inputs!$B$269</f>
        <v>0</v>
      </c>
      <c r="I229" s="7">
        <f ca="1">I228*Inputs!$B$269</f>
        <v>0</v>
      </c>
      <c r="J229" s="7">
        <f ca="1">J228*Inputs!$B$269</f>
        <v>0</v>
      </c>
      <c r="K229" s="7">
        <f ca="1">K228*Inputs!$B$269</f>
        <v>0</v>
      </c>
      <c r="L229" s="7">
        <f ca="1">L228*Inputs!$B$269</f>
        <v>0</v>
      </c>
      <c r="M229" s="7">
        <f ca="1">M228*Inputs!$B$269</f>
        <v>0</v>
      </c>
      <c r="N229" s="7">
        <f ca="1">N228*Inputs!$B$269</f>
        <v>0</v>
      </c>
      <c r="O229" s="7">
        <f ca="1">O228*Inputs!$B$269</f>
        <v>4511.1532791503823</v>
      </c>
      <c r="P229" s="7">
        <f ca="1">P228*Inputs!$B$269</f>
        <v>4304.7287601208363</v>
      </c>
      <c r="Q229" s="7">
        <f ca="1">Q228*Inputs!$B$269</f>
        <v>3984.9331343611575</v>
      </c>
      <c r="R229" s="7">
        <f ca="1">R228*Inputs!$B$269</f>
        <v>2968.8014416060309</v>
      </c>
      <c r="S229" s="7">
        <f ca="1">S228*Inputs!$B$269</f>
        <v>1930.1876454381536</v>
      </c>
      <c r="T229" s="7">
        <f ca="1">T228*Inputs!$B$269</f>
        <v>1294.6704420689728</v>
      </c>
      <c r="U229" s="7">
        <f ca="1">U228*Inputs!$B$269</f>
        <v>841.32173763938454</v>
      </c>
      <c r="V229" s="7">
        <f ca="1">V228*Inputs!$B$269</f>
        <v>379.83137758888046</v>
      </c>
      <c r="W229" s="7">
        <f ca="1">W228*Inputs!$B$269</f>
        <v>0</v>
      </c>
      <c r="X229" s="7">
        <f ca="1">X228*Inputs!$B$269</f>
        <v>0</v>
      </c>
      <c r="Y229" s="7">
        <f ca="1">Y228*Inputs!$B$269</f>
        <v>0</v>
      </c>
      <c r="Z229" s="7">
        <f ca="1">Z228*Inputs!$B$269</f>
        <v>0</v>
      </c>
      <c r="AA229" s="7">
        <f ca="1">AA228*Inputs!$B$269</f>
        <v>0</v>
      </c>
      <c r="AB229" s="7">
        <f ca="1">AB228*Inputs!$B$269</f>
        <v>0</v>
      </c>
      <c r="AC229" s="7">
        <f ca="1">AC228*Inputs!$B$269</f>
        <v>0</v>
      </c>
      <c r="AD229" s="7">
        <f ca="1">AD228*Inputs!$B$269</f>
        <v>0</v>
      </c>
      <c r="AE229" s="7">
        <f ca="1">AE228*Inputs!$B$269</f>
        <v>0</v>
      </c>
      <c r="AF229" s="7">
        <f ca="1">AF228*Inputs!$B$269</f>
        <v>0</v>
      </c>
      <c r="AG229" s="7">
        <f ca="1">AG228*Inputs!$B$269</f>
        <v>0</v>
      </c>
      <c r="AH229" s="7">
        <f ca="1">AH228*Inputs!$B$269</f>
        <v>0</v>
      </c>
      <c r="AI229" s="7">
        <f ca="1">AI228*Inputs!$B$269</f>
        <v>0</v>
      </c>
      <c r="AJ229" s="7">
        <f ca="1">AJ228*Inputs!$B$269</f>
        <v>0</v>
      </c>
      <c r="AK229" s="7">
        <f ca="1">AK228*Inputs!$B$269</f>
        <v>0</v>
      </c>
      <c r="AL229" s="7">
        <f ca="1">AL228*Inputs!$B$269</f>
        <v>0</v>
      </c>
      <c r="AM229" s="7">
        <f ca="1">AM228*Inputs!$B$269</f>
        <v>0</v>
      </c>
    </row>
    <row r="230" spans="1:39" x14ac:dyDescent="0.2">
      <c r="A230" s="3" t="s">
        <v>149</v>
      </c>
      <c r="C230" s="7">
        <f ca="1">C227+SUM($C229:C229)</f>
        <v>63060.110212387553</v>
      </c>
      <c r="D230" s="7">
        <f ca="1">D227+SUM($C229:D229)</f>
        <v>74803.865731513826</v>
      </c>
      <c r="E230" s="7">
        <f ca="1">E227+SUM($C229:E229)</f>
        <v>165269.77766792092</v>
      </c>
      <c r="F230" s="7">
        <f ca="1">F227+SUM($C229:F229)</f>
        <v>77404.797492678772</v>
      </c>
      <c r="G230" s="7">
        <f ca="1">G227+SUM($C229:G229)</f>
        <v>182914.95575458009</v>
      </c>
      <c r="H230" s="7">
        <f ca="1">H227+SUM($C229:H229)</f>
        <v>129529.97572023471</v>
      </c>
      <c r="I230" s="7">
        <f ca="1">I227+SUM($C229:I229)</f>
        <v>91164.213839684453</v>
      </c>
      <c r="J230" s="7">
        <f ca="1">J227+SUM($C229:J229)</f>
        <v>179275.45457262834</v>
      </c>
      <c r="K230" s="7">
        <f ca="1">K227+SUM($C229:K229)</f>
        <v>118281.8899313185</v>
      </c>
      <c r="L230" s="7">
        <f ca="1">L227+SUM($C229:L229)</f>
        <v>138926.09569615126</v>
      </c>
      <c r="M230" s="7">
        <f ca="1">M227+SUM($C229:M229)</f>
        <v>63941.993400129919</v>
      </c>
      <c r="N230" s="7">
        <f ca="1">N227+SUM($C229:N229)</f>
        <v>36292.921153602525</v>
      </c>
      <c r="O230" s="7">
        <f ca="1">O227+SUM($C229:O229)</f>
        <v>192268.67503206589</v>
      </c>
      <c r="P230" s="7">
        <f ca="1">P227+SUM($C229:P229)</f>
        <v>157977.80442793126</v>
      </c>
      <c r="Q230" s="7">
        <f ca="1">Q227+SUM($C229:Q229)</f>
        <v>122198.14054807866</v>
      </c>
      <c r="R230" s="7">
        <f ca="1">R227+SUM($C229:R229)</f>
        <v>84521.674279479645</v>
      </c>
      <c r="S230" s="7">
        <f ca="1">S227+SUM($C229:S229)</f>
        <v>44907.310078202696</v>
      </c>
      <c r="T230" s="7">
        <f ca="1">T227+SUM($C229:T229)</f>
        <v>20781.292385504436</v>
      </c>
      <c r="U230" s="7">
        <f ca="1">U227+SUM($C229:U229)</f>
        <v>3488.6659459602924</v>
      </c>
      <c r="V230" s="7">
        <f ca="1">V227+SUM($C229:V229)</f>
        <v>-14591.117078470987</v>
      </c>
      <c r="W230" s="7">
        <f ca="1">W227+SUM($C229:W229)</f>
        <v>-33380.708886560795</v>
      </c>
      <c r="X230" s="7">
        <f ca="1">X227+SUM($C229:X229)</f>
        <v>-52504.582147252702</v>
      </c>
      <c r="Y230" s="7">
        <f ca="1">Y227+SUM($C229:Y229)</f>
        <v>-92625.886917544922</v>
      </c>
      <c r="Z230" s="7">
        <f ca="1">Z227+SUM($C229:Z229)</f>
        <v>-133606.51655142978</v>
      </c>
      <c r="AA230" s="7">
        <f ca="1">AA227+SUM($C229:AA229)</f>
        <v>-175463.64293782713</v>
      </c>
      <c r="AB230" s="7">
        <f ca="1">AB227+SUM($C229:AB229)</f>
        <v>-218214.73792590009</v>
      </c>
      <c r="AC230" s="7">
        <f ca="1">AC227+SUM($C229:AC229)</f>
        <v>-261877.57694395067</v>
      </c>
      <c r="AD230" s="7">
        <f ca="1">AD227+SUM($C229:AD229)</f>
        <v>-306470.2425923869</v>
      </c>
      <c r="AE230" s="7">
        <f ca="1">AE227+SUM($C229:AE229)</f>
        <v>-342028.65311283007</v>
      </c>
      <c r="AF230" s="7">
        <f ca="1">AF227+SUM($C229:AF229)</f>
        <v>-378304.42932060402</v>
      </c>
      <c r="AG230" s="7">
        <f ca="1">AG227+SUM($C229:AG229)</f>
        <v>-415310.35752062168</v>
      </c>
      <c r="AH230" s="7">
        <f ca="1">AH227+SUM($C229:AH229)</f>
        <v>-453059.38924030052</v>
      </c>
      <c r="AI230" s="7">
        <f ca="1">AI227+SUM($C229:AI229)</f>
        <v>-491564.64072707185</v>
      </c>
      <c r="AJ230" s="7">
        <f ca="1">AJ227+SUM($C229:AJ229)</f>
        <v>-530839.39229433634</v>
      </c>
      <c r="AK230" s="7">
        <f ca="1">AK227+SUM($C229:AK229)</f>
        <v>-570897.08750790555</v>
      </c>
      <c r="AL230" s="7">
        <f ca="1">AL227+SUM($C229:AL229)</f>
        <v>-611751.3322046512</v>
      </c>
      <c r="AM230" s="7">
        <f ca="1">AM227+SUM($C229:AM229)</f>
        <v>-653415.8933347374</v>
      </c>
    </row>
    <row r="231" spans="1:39" x14ac:dyDescent="0.2">
      <c r="A231" s="3" t="s">
        <v>19</v>
      </c>
      <c r="C231" s="7">
        <f ca="1">IF(C230&lt;0,-C230,0)</f>
        <v>0</v>
      </c>
      <c r="D231" s="7">
        <f ca="1">IF(D230+SUM($C231:C231)&lt;0,-(D230+SUM($C231:C231)),0)</f>
        <v>0</v>
      </c>
      <c r="E231" s="7">
        <f ca="1">IF(E230+SUM($C231:D231)&lt;0,-(E230+SUM($C231:D231)),0)</f>
        <v>0</v>
      </c>
      <c r="F231" s="7">
        <f ca="1">IF(F230+SUM($C231:E231)&lt;0,-(F230+SUM($C231:E231)),0)</f>
        <v>0</v>
      </c>
      <c r="G231" s="7">
        <f ca="1">IF(G230+SUM($C231:F231)&lt;0,-(G230+SUM($C231:F231)),0)</f>
        <v>0</v>
      </c>
      <c r="H231" s="7">
        <f ca="1">IF(H230+SUM($C231:G231)&lt;0,-(H230+SUM($C231:G231)),0)</f>
        <v>0</v>
      </c>
      <c r="I231" s="7">
        <f ca="1">IF(I230+SUM($C231:H231)&lt;0,-(I230+SUM($C231:H231)),0)</f>
        <v>0</v>
      </c>
      <c r="J231" s="7">
        <f ca="1">IF(J230+SUM($C231:I231)&lt;0,-(J230+SUM($C231:I231)),0)</f>
        <v>0</v>
      </c>
      <c r="K231" s="7">
        <f ca="1">IF(K230+SUM($C231:J231)&lt;0,-(K230+SUM($C231:J231)),0)</f>
        <v>0</v>
      </c>
      <c r="L231" s="7">
        <f ca="1">IF(L230+SUM($C231:K231)&lt;0,-(L230+SUM($C231:K231)),0)</f>
        <v>0</v>
      </c>
      <c r="M231" s="7">
        <f ca="1">IF(M230+SUM($C231:L231)&lt;0,-(M230+SUM($C231:L231)),0)</f>
        <v>0</v>
      </c>
      <c r="N231" s="7">
        <f ca="1">IF(N230+SUM($C231:M231)&lt;0,-(N230+SUM($C231:M231)),0)</f>
        <v>0</v>
      </c>
      <c r="O231" s="7">
        <f ca="1">IF(O230+SUM($C231:N231)&lt;0,-(O230+SUM($C231:N231)),0)</f>
        <v>0</v>
      </c>
      <c r="P231" s="7">
        <f ca="1">IF(P230+SUM($C231:O231)&lt;0,-(P230+SUM($C231:O231)),0)</f>
        <v>0</v>
      </c>
      <c r="Q231" s="7">
        <f ca="1">IF(Q230+SUM($C231:P231)&lt;0,-(Q230+SUM($C231:P231)),0)</f>
        <v>0</v>
      </c>
      <c r="R231" s="7">
        <f ca="1">IF(R230+SUM($C231:Q231)&lt;0,-(R230+SUM($C231:Q231)),0)</f>
        <v>0</v>
      </c>
      <c r="S231" s="7">
        <f ca="1">IF(S230+SUM($C231:R231)&lt;0,-(S230+SUM($C231:R231)),0)</f>
        <v>0</v>
      </c>
      <c r="T231" s="7">
        <f ca="1">IF(T230+SUM($C231:S231)&lt;0,-(T230+SUM($C231:S231)),0)</f>
        <v>0</v>
      </c>
      <c r="U231" s="7">
        <f ca="1">IF(U230+SUM($C231:T231)&lt;0,-(U230+SUM($C231:T231)),0)</f>
        <v>0</v>
      </c>
      <c r="V231" s="7">
        <f ca="1">IF(V230+SUM($C231:U231)&lt;0,-(V230+SUM($C231:U231)),0)</f>
        <v>14591.117078470987</v>
      </c>
      <c r="W231" s="7">
        <f ca="1">IF(W230+SUM($C231:V231)&lt;0,-(W230+SUM($C231:V231)),0)</f>
        <v>18789.591808089808</v>
      </c>
      <c r="X231" s="7">
        <f ca="1">IF(X230+SUM($C231:W231)&lt;0,-(X230+SUM($C231:W231)),0)</f>
        <v>19123.873260691907</v>
      </c>
      <c r="Y231" s="7">
        <f ca="1">IF(Y230+SUM($C231:X231)&lt;0,-(Y230+SUM($C231:X231)),0)</f>
        <v>40121.304770292219</v>
      </c>
      <c r="Z231" s="7">
        <f ca="1">IF(Z230+SUM($C231:Y231)&lt;0,-(Z230+SUM($C231:Y231)),0)</f>
        <v>40980.629633884862</v>
      </c>
      <c r="AA231" s="7">
        <f ca="1">IF(AA230+SUM($C231:Z231)&lt;0,-(AA230+SUM($C231:Z231)),0)</f>
        <v>41857.126386397344</v>
      </c>
      <c r="AB231" s="7">
        <f ca="1">IF(AB230+SUM($C231:AA231)&lt;0,-(AB230+SUM($C231:AA231)),0)</f>
        <v>42751.09498807296</v>
      </c>
      <c r="AC231" s="7">
        <f ca="1">IF(AC230+SUM($C231:AB231)&lt;0,-(AC230+SUM($C231:AB231)),0)</f>
        <v>43662.839018050581</v>
      </c>
      <c r="AD231" s="7">
        <f ca="1">IF(AD230+SUM($C231:AC231)&lt;0,-(AD230+SUM($C231:AC231)),0)</f>
        <v>44592.665648436232</v>
      </c>
      <c r="AE231" s="7">
        <f ca="1">IF(AE230+SUM($C231:AD231)&lt;0,-(AE230+SUM($C231:AD231)),0)</f>
        <v>35558.410520443169</v>
      </c>
      <c r="AF231" s="7">
        <f ca="1">IF(AF230+SUM($C231:AE231)&lt;0,-(AF230+SUM($C231:AE231)),0)</f>
        <v>36275.776207773946</v>
      </c>
      <c r="AG231" s="7">
        <f ca="1">IF(AG230+SUM($C231:AF231)&lt;0,-(AG230+SUM($C231:AF231)),0)</f>
        <v>37005.928200017661</v>
      </c>
      <c r="AH231" s="7">
        <f ca="1">IF(AH230+SUM($C231:AG231)&lt;0,-(AH230+SUM($C231:AG231)),0)</f>
        <v>37749.031719678838</v>
      </c>
      <c r="AI231" s="7">
        <f ca="1">IF(AI230+SUM($C231:AH231)&lt;0,-(AI230+SUM($C231:AH231)),0)</f>
        <v>38505.251486771333</v>
      </c>
      <c r="AJ231" s="7">
        <f ca="1">IF(AJ230+SUM($C231:AI231)&lt;0,-(AJ230+SUM($C231:AI231)),0)</f>
        <v>39274.751567264495</v>
      </c>
      <c r="AK231" s="7">
        <f ca="1">IF(AK230+SUM($C231:AJ231)&lt;0,-(AK230+SUM($C231:AJ231)),0)</f>
        <v>40057.695213569212</v>
      </c>
      <c r="AL231" s="7">
        <f ca="1">IF(AL230+SUM($C231:AK231)&lt;0,-(AL230+SUM($C231:AK231)),0)</f>
        <v>40854.244696745649</v>
      </c>
      <c r="AM231" s="7">
        <f ca="1">IF(AM230+SUM($C231:AL231)&lt;0,-(AM230+SUM($C231:AL231)),0)</f>
        <v>41664.561130086193</v>
      </c>
    </row>
    <row r="232" spans="1:39" x14ac:dyDescent="0.2"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</row>
    <row r="233" spans="1:39" x14ac:dyDescent="0.2">
      <c r="A233" s="24" t="str">
        <f>IF(Inputs!$B$289=6,IFERROR(_xlfn.XLOOKUP($B233,Inputs!$B$290:$B$299,Inputs!$A$290:$A$299,,0,1),""),IFERROR(_xlfn.XLOOKUP($B233,Inputs!$C$290:$C$299,Inputs!$A$290:$A$299,,0,1),""))</f>
        <v>Boat</v>
      </c>
      <c r="B233" s="26">
        <v>8</v>
      </c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</row>
    <row r="234" spans="1:39" x14ac:dyDescent="0.2">
      <c r="A234" s="3" t="s">
        <v>21</v>
      </c>
      <c r="C234" s="7">
        <f ca="1">IFERROR(VLOOKUP($A233,$A$67:$H$96,C$1+2,FALSE),0)</f>
        <v>173206.90804157319</v>
      </c>
      <c r="D234" s="7">
        <f ca="1">C237</f>
        <v>173206.90804157319</v>
      </c>
      <c r="E234" s="7">
        <f t="shared" ref="E234:AM234" ca="1" si="131">D237</f>
        <v>164546.56263949454</v>
      </c>
      <c r="F234" s="7">
        <f t="shared" ca="1" si="131"/>
        <v>156319.23450751981</v>
      </c>
      <c r="G234" s="7">
        <f t="shared" ca="1" si="131"/>
        <v>148503.27278214382</v>
      </c>
      <c r="H234" s="7">
        <f t="shared" ca="1" si="131"/>
        <v>141078.10914303662</v>
      </c>
      <c r="I234" s="7">
        <f t="shared" ca="1" si="131"/>
        <v>134024.2036858848</v>
      </c>
      <c r="J234" s="7">
        <f t="shared" ca="1" si="131"/>
        <v>127322.99350159056</v>
      </c>
      <c r="K234" s="7">
        <f t="shared" ca="1" si="131"/>
        <v>120956.84382651103</v>
      </c>
      <c r="L234" s="7">
        <f t="shared" ca="1" si="131"/>
        <v>114909.00163518547</v>
      </c>
      <c r="M234" s="7">
        <f t="shared" ca="1" si="131"/>
        <v>109163.55155342619</v>
      </c>
      <c r="N234" s="7">
        <f t="shared" ca="1" si="131"/>
        <v>103705.37397575489</v>
      </c>
      <c r="O234" s="7">
        <f t="shared" ca="1" si="131"/>
        <v>98520.105276967151</v>
      </c>
      <c r="P234" s="7">
        <f t="shared" ca="1" si="131"/>
        <v>93594.10001311879</v>
      </c>
      <c r="Q234" s="7">
        <f t="shared" ca="1" si="131"/>
        <v>88914.395012462846</v>
      </c>
      <c r="R234" s="7">
        <f t="shared" ca="1" si="131"/>
        <v>84468.6752618397</v>
      </c>
      <c r="S234" s="7">
        <f t="shared" ca="1" si="131"/>
        <v>80245.24149874771</v>
      </c>
      <c r="T234" s="7">
        <f t="shared" ca="1" si="131"/>
        <v>76232.97942381032</v>
      </c>
      <c r="U234" s="7">
        <f t="shared" ca="1" si="131"/>
        <v>72421.330452619804</v>
      </c>
      <c r="V234" s="7">
        <f t="shared" ca="1" si="131"/>
        <v>0</v>
      </c>
      <c r="W234" s="7">
        <f t="shared" ca="1" si="131"/>
        <v>0</v>
      </c>
      <c r="X234" s="7">
        <f t="shared" ca="1" si="131"/>
        <v>0</v>
      </c>
      <c r="Y234" s="7">
        <f t="shared" ca="1" si="131"/>
        <v>0</v>
      </c>
      <c r="Z234" s="7">
        <f t="shared" ca="1" si="131"/>
        <v>0</v>
      </c>
      <c r="AA234" s="7">
        <f t="shared" ca="1" si="131"/>
        <v>0</v>
      </c>
      <c r="AB234" s="7">
        <f t="shared" ca="1" si="131"/>
        <v>0</v>
      </c>
      <c r="AC234" s="7">
        <f t="shared" ca="1" si="131"/>
        <v>0</v>
      </c>
      <c r="AD234" s="7">
        <f t="shared" ca="1" si="131"/>
        <v>0</v>
      </c>
      <c r="AE234" s="7">
        <f t="shared" ca="1" si="131"/>
        <v>0</v>
      </c>
      <c r="AF234" s="7">
        <f t="shared" ca="1" si="131"/>
        <v>0</v>
      </c>
      <c r="AG234" s="7">
        <f t="shared" ca="1" si="131"/>
        <v>0</v>
      </c>
      <c r="AH234" s="7">
        <f t="shared" ca="1" si="131"/>
        <v>0</v>
      </c>
      <c r="AI234" s="7">
        <f t="shared" ca="1" si="131"/>
        <v>0</v>
      </c>
      <c r="AJ234" s="7">
        <f t="shared" ca="1" si="131"/>
        <v>0</v>
      </c>
      <c r="AK234" s="7">
        <f t="shared" ca="1" si="131"/>
        <v>0</v>
      </c>
      <c r="AL234" s="7">
        <f t="shared" ca="1" si="131"/>
        <v>0</v>
      </c>
      <c r="AM234" s="7">
        <f t="shared" ca="1" si="131"/>
        <v>0</v>
      </c>
    </row>
    <row r="235" spans="1:39" x14ac:dyDescent="0.2">
      <c r="A235" s="3" t="s">
        <v>22</v>
      </c>
      <c r="C235" s="7">
        <f ca="1">-IF(D231&gt;0,C234,0)</f>
        <v>0</v>
      </c>
      <c r="D235" s="7">
        <f ca="1">-IF(E231&gt;0,D234,0)</f>
        <v>0</v>
      </c>
      <c r="E235" s="7">
        <f ca="1">-IF(F231&gt;0,E234,0)</f>
        <v>0</v>
      </c>
      <c r="F235" s="7">
        <f ca="1">-IF(G231&gt;0,F234,0)</f>
        <v>0</v>
      </c>
      <c r="G235" s="7">
        <f t="shared" ref="G235:AM235" ca="1" si="132">-IF(H231&gt;0,G234,0)</f>
        <v>0</v>
      </c>
      <c r="H235" s="7">
        <f t="shared" ca="1" si="132"/>
        <v>0</v>
      </c>
      <c r="I235" s="7">
        <f t="shared" ca="1" si="132"/>
        <v>0</v>
      </c>
      <c r="J235" s="7">
        <f t="shared" ca="1" si="132"/>
        <v>0</v>
      </c>
      <c r="K235" s="7">
        <f t="shared" ca="1" si="132"/>
        <v>0</v>
      </c>
      <c r="L235" s="7">
        <f t="shared" ca="1" si="132"/>
        <v>0</v>
      </c>
      <c r="M235" s="7">
        <f t="shared" ca="1" si="132"/>
        <v>0</v>
      </c>
      <c r="N235" s="7">
        <f t="shared" ca="1" si="132"/>
        <v>0</v>
      </c>
      <c r="O235" s="7">
        <f t="shared" ca="1" si="132"/>
        <v>0</v>
      </c>
      <c r="P235" s="7">
        <f t="shared" ca="1" si="132"/>
        <v>0</v>
      </c>
      <c r="Q235" s="7">
        <f t="shared" ca="1" si="132"/>
        <v>0</v>
      </c>
      <c r="R235" s="7">
        <f t="shared" ca="1" si="132"/>
        <v>0</v>
      </c>
      <c r="S235" s="7">
        <f t="shared" ca="1" si="132"/>
        <v>0</v>
      </c>
      <c r="T235" s="7">
        <f t="shared" ca="1" si="132"/>
        <v>0</v>
      </c>
      <c r="U235" s="7">
        <f t="shared" ca="1" si="132"/>
        <v>-72421.330452619804</v>
      </c>
      <c r="V235" s="7">
        <f t="shared" ca="1" si="132"/>
        <v>0</v>
      </c>
      <c r="W235" s="7">
        <f t="shared" ca="1" si="132"/>
        <v>0</v>
      </c>
      <c r="X235" s="7">
        <f t="shared" ca="1" si="132"/>
        <v>0</v>
      </c>
      <c r="Y235" s="7">
        <f t="shared" ca="1" si="132"/>
        <v>0</v>
      </c>
      <c r="Z235" s="7">
        <f t="shared" ca="1" si="132"/>
        <v>0</v>
      </c>
      <c r="AA235" s="7">
        <f t="shared" ca="1" si="132"/>
        <v>0</v>
      </c>
      <c r="AB235" s="7">
        <f t="shared" ca="1" si="132"/>
        <v>0</v>
      </c>
      <c r="AC235" s="7">
        <f t="shared" ca="1" si="132"/>
        <v>0</v>
      </c>
      <c r="AD235" s="7">
        <f t="shared" ca="1" si="132"/>
        <v>0</v>
      </c>
      <c r="AE235" s="7">
        <f t="shared" ca="1" si="132"/>
        <v>0</v>
      </c>
      <c r="AF235" s="7">
        <f t="shared" ca="1" si="132"/>
        <v>0</v>
      </c>
      <c r="AG235" s="7">
        <f t="shared" ca="1" si="132"/>
        <v>0</v>
      </c>
      <c r="AH235" s="7">
        <f t="shared" ca="1" si="132"/>
        <v>0</v>
      </c>
      <c r="AI235" s="7">
        <f t="shared" ca="1" si="132"/>
        <v>0</v>
      </c>
      <c r="AJ235" s="7">
        <f t="shared" ca="1" si="132"/>
        <v>0</v>
      </c>
      <c r="AK235" s="7">
        <f t="shared" ca="1" si="132"/>
        <v>0</v>
      </c>
      <c r="AL235" s="7">
        <f t="shared" ca="1" si="132"/>
        <v>0</v>
      </c>
      <c r="AM235" s="7">
        <f t="shared" si="132"/>
        <v>0</v>
      </c>
    </row>
    <row r="236" spans="1:39" x14ac:dyDescent="0.2">
      <c r="A236" s="3" t="s">
        <v>23</v>
      </c>
      <c r="C236" s="7">
        <v>0</v>
      </c>
      <c r="D236" s="7">
        <f t="shared" ref="D236:AM236" ca="1" si="133">SUM(D234:D235)*VLOOKUP($A233,AssVar,2,FALSE)</f>
        <v>-8660.3454020786594</v>
      </c>
      <c r="E236" s="7">
        <f t="shared" ca="1" si="133"/>
        <v>-8227.3281319747275</v>
      </c>
      <c r="F236" s="7">
        <f t="shared" ca="1" si="133"/>
        <v>-7815.9617253759907</v>
      </c>
      <c r="G236" s="7">
        <f t="shared" ca="1" si="133"/>
        <v>-7425.1636391071916</v>
      </c>
      <c r="H236" s="7">
        <f t="shared" ca="1" si="133"/>
        <v>-7053.9054571518318</v>
      </c>
      <c r="I236" s="7">
        <f t="shared" ca="1" si="133"/>
        <v>-6701.2101842942402</v>
      </c>
      <c r="J236" s="7">
        <f t="shared" ca="1" si="133"/>
        <v>-6366.1496750795286</v>
      </c>
      <c r="K236" s="7">
        <f t="shared" ca="1" si="133"/>
        <v>-6047.8421913255515</v>
      </c>
      <c r="L236" s="7">
        <f t="shared" ca="1" si="133"/>
        <v>-5745.4500817592743</v>
      </c>
      <c r="M236" s="7">
        <f t="shared" ca="1" si="133"/>
        <v>-5458.1775776713102</v>
      </c>
      <c r="N236" s="7">
        <f t="shared" ca="1" si="133"/>
        <v>-5185.2686987877451</v>
      </c>
      <c r="O236" s="7">
        <f t="shared" ca="1" si="133"/>
        <v>-4926.0052638483576</v>
      </c>
      <c r="P236" s="7">
        <f t="shared" ca="1" si="133"/>
        <v>-4679.7050006559393</v>
      </c>
      <c r="Q236" s="7">
        <f t="shared" ca="1" si="133"/>
        <v>-4445.7197506231423</v>
      </c>
      <c r="R236" s="7">
        <f t="shared" ca="1" si="133"/>
        <v>-4223.4337630919854</v>
      </c>
      <c r="S236" s="7">
        <f t="shared" ca="1" si="133"/>
        <v>-4012.2620749373855</v>
      </c>
      <c r="T236" s="7">
        <f t="shared" ca="1" si="133"/>
        <v>-3811.648971190516</v>
      </c>
      <c r="U236" s="7">
        <f t="shared" ca="1" si="133"/>
        <v>0</v>
      </c>
      <c r="V236" s="7">
        <f t="shared" ca="1" si="133"/>
        <v>0</v>
      </c>
      <c r="W236" s="7">
        <f t="shared" ca="1" si="133"/>
        <v>0</v>
      </c>
      <c r="X236" s="7">
        <f t="shared" ca="1" si="133"/>
        <v>0</v>
      </c>
      <c r="Y236" s="7">
        <f t="shared" ca="1" si="133"/>
        <v>0</v>
      </c>
      <c r="Z236" s="7">
        <f t="shared" ca="1" si="133"/>
        <v>0</v>
      </c>
      <c r="AA236" s="7">
        <f t="shared" ca="1" si="133"/>
        <v>0</v>
      </c>
      <c r="AB236" s="7">
        <f t="shared" ca="1" si="133"/>
        <v>0</v>
      </c>
      <c r="AC236" s="7">
        <f t="shared" ca="1" si="133"/>
        <v>0</v>
      </c>
      <c r="AD236" s="7">
        <f t="shared" ca="1" si="133"/>
        <v>0</v>
      </c>
      <c r="AE236" s="7">
        <f t="shared" ca="1" si="133"/>
        <v>0</v>
      </c>
      <c r="AF236" s="7">
        <f t="shared" ca="1" si="133"/>
        <v>0</v>
      </c>
      <c r="AG236" s="7">
        <f t="shared" ca="1" si="133"/>
        <v>0</v>
      </c>
      <c r="AH236" s="7">
        <f t="shared" ca="1" si="133"/>
        <v>0</v>
      </c>
      <c r="AI236" s="7">
        <f t="shared" ca="1" si="133"/>
        <v>0</v>
      </c>
      <c r="AJ236" s="7">
        <f t="shared" ca="1" si="133"/>
        <v>0</v>
      </c>
      <c r="AK236" s="7">
        <f t="shared" ca="1" si="133"/>
        <v>0</v>
      </c>
      <c r="AL236" s="7">
        <f t="shared" ca="1" si="133"/>
        <v>0</v>
      </c>
      <c r="AM236" s="7">
        <f t="shared" ca="1" si="133"/>
        <v>0</v>
      </c>
    </row>
    <row r="237" spans="1:39" x14ac:dyDescent="0.2">
      <c r="A237" s="3" t="s">
        <v>24</v>
      </c>
      <c r="C237" s="7">
        <f ca="1">SUM(C234:C236)</f>
        <v>173206.90804157319</v>
      </c>
      <c r="D237" s="7">
        <f t="shared" ref="D237:AM237" ca="1" si="134">SUM(D234:D236)</f>
        <v>164546.56263949454</v>
      </c>
      <c r="E237" s="7">
        <f t="shared" ca="1" si="134"/>
        <v>156319.23450751981</v>
      </c>
      <c r="F237" s="7">
        <f t="shared" ca="1" si="134"/>
        <v>148503.27278214382</v>
      </c>
      <c r="G237" s="7">
        <f t="shared" ca="1" si="134"/>
        <v>141078.10914303662</v>
      </c>
      <c r="H237" s="7">
        <f t="shared" ca="1" si="134"/>
        <v>134024.2036858848</v>
      </c>
      <c r="I237" s="7">
        <f t="shared" ca="1" si="134"/>
        <v>127322.99350159056</v>
      </c>
      <c r="J237" s="7">
        <f t="shared" ca="1" si="134"/>
        <v>120956.84382651103</v>
      </c>
      <c r="K237" s="7">
        <f t="shared" ca="1" si="134"/>
        <v>114909.00163518547</v>
      </c>
      <c r="L237" s="7">
        <f t="shared" ca="1" si="134"/>
        <v>109163.55155342619</v>
      </c>
      <c r="M237" s="7">
        <f t="shared" ca="1" si="134"/>
        <v>103705.37397575489</v>
      </c>
      <c r="N237" s="7">
        <f t="shared" ca="1" si="134"/>
        <v>98520.105276967151</v>
      </c>
      <c r="O237" s="7">
        <f t="shared" ca="1" si="134"/>
        <v>93594.10001311879</v>
      </c>
      <c r="P237" s="7">
        <f t="shared" ca="1" si="134"/>
        <v>88914.395012462846</v>
      </c>
      <c r="Q237" s="7">
        <f t="shared" ca="1" si="134"/>
        <v>84468.6752618397</v>
      </c>
      <c r="R237" s="7">
        <f t="shared" ca="1" si="134"/>
        <v>80245.24149874771</v>
      </c>
      <c r="S237" s="7">
        <f t="shared" ca="1" si="134"/>
        <v>76232.97942381032</v>
      </c>
      <c r="T237" s="7">
        <f t="shared" ca="1" si="134"/>
        <v>72421.330452619804</v>
      </c>
      <c r="U237" s="7">
        <f t="shared" ca="1" si="134"/>
        <v>0</v>
      </c>
      <c r="V237" s="7">
        <f t="shared" ca="1" si="134"/>
        <v>0</v>
      </c>
      <c r="W237" s="7">
        <f t="shared" ca="1" si="134"/>
        <v>0</v>
      </c>
      <c r="X237" s="7">
        <f t="shared" ca="1" si="134"/>
        <v>0</v>
      </c>
      <c r="Y237" s="7">
        <f t="shared" ca="1" si="134"/>
        <v>0</v>
      </c>
      <c r="Z237" s="7">
        <f t="shared" ca="1" si="134"/>
        <v>0</v>
      </c>
      <c r="AA237" s="7">
        <f t="shared" ca="1" si="134"/>
        <v>0</v>
      </c>
      <c r="AB237" s="7">
        <f t="shared" ca="1" si="134"/>
        <v>0</v>
      </c>
      <c r="AC237" s="7">
        <f t="shared" ca="1" si="134"/>
        <v>0</v>
      </c>
      <c r="AD237" s="7">
        <f t="shared" ca="1" si="134"/>
        <v>0</v>
      </c>
      <c r="AE237" s="7">
        <f t="shared" ca="1" si="134"/>
        <v>0</v>
      </c>
      <c r="AF237" s="7">
        <f t="shared" ca="1" si="134"/>
        <v>0</v>
      </c>
      <c r="AG237" s="7">
        <f t="shared" ca="1" si="134"/>
        <v>0</v>
      </c>
      <c r="AH237" s="7">
        <f t="shared" ca="1" si="134"/>
        <v>0</v>
      </c>
      <c r="AI237" s="7">
        <f t="shared" ca="1" si="134"/>
        <v>0</v>
      </c>
      <c r="AJ237" s="7">
        <f t="shared" ca="1" si="134"/>
        <v>0</v>
      </c>
      <c r="AK237" s="7">
        <f t="shared" ca="1" si="134"/>
        <v>0</v>
      </c>
      <c r="AL237" s="7">
        <f t="shared" ca="1" si="134"/>
        <v>0</v>
      </c>
      <c r="AM237" s="7">
        <f t="shared" ca="1" si="134"/>
        <v>0</v>
      </c>
    </row>
    <row r="238" spans="1:39" x14ac:dyDescent="0.2">
      <c r="A238" s="3" t="s">
        <v>25</v>
      </c>
      <c r="C238" s="7">
        <f t="shared" ref="C238:AM238" ca="1" si="135">C235*VLOOKUP($A233,AssVar,3,FALSE)</f>
        <v>0</v>
      </c>
      <c r="D238" s="7">
        <f t="shared" ca="1" si="135"/>
        <v>0</v>
      </c>
      <c r="E238" s="7">
        <f t="shared" ca="1" si="135"/>
        <v>0</v>
      </c>
      <c r="F238" s="7">
        <f t="shared" ca="1" si="135"/>
        <v>0</v>
      </c>
      <c r="G238" s="7">
        <f t="shared" ca="1" si="135"/>
        <v>0</v>
      </c>
      <c r="H238" s="7">
        <f t="shared" ca="1" si="135"/>
        <v>0</v>
      </c>
      <c r="I238" s="7">
        <f t="shared" ca="1" si="135"/>
        <v>0</v>
      </c>
      <c r="J238" s="7">
        <f t="shared" ca="1" si="135"/>
        <v>0</v>
      </c>
      <c r="K238" s="7">
        <f t="shared" ca="1" si="135"/>
        <v>0</v>
      </c>
      <c r="L238" s="7">
        <f t="shared" ca="1" si="135"/>
        <v>0</v>
      </c>
      <c r="M238" s="7">
        <f t="shared" ca="1" si="135"/>
        <v>0</v>
      </c>
      <c r="N238" s="7">
        <f t="shared" ca="1" si="135"/>
        <v>0</v>
      </c>
      <c r="O238" s="7">
        <f t="shared" ca="1" si="135"/>
        <v>0</v>
      </c>
      <c r="P238" s="7">
        <f t="shared" ca="1" si="135"/>
        <v>0</v>
      </c>
      <c r="Q238" s="7">
        <f t="shared" ca="1" si="135"/>
        <v>0</v>
      </c>
      <c r="R238" s="7">
        <f t="shared" ca="1" si="135"/>
        <v>0</v>
      </c>
      <c r="S238" s="7">
        <f t="shared" ca="1" si="135"/>
        <v>0</v>
      </c>
      <c r="T238" s="7">
        <f t="shared" ca="1" si="135"/>
        <v>0</v>
      </c>
      <c r="U238" s="7">
        <f t="shared" ca="1" si="135"/>
        <v>-1448.4266090523961</v>
      </c>
      <c r="V238" s="7">
        <f t="shared" ca="1" si="135"/>
        <v>0</v>
      </c>
      <c r="W238" s="7">
        <f t="shared" ca="1" si="135"/>
        <v>0</v>
      </c>
      <c r="X238" s="7">
        <f t="shared" ca="1" si="135"/>
        <v>0</v>
      </c>
      <c r="Y238" s="7">
        <f t="shared" ca="1" si="135"/>
        <v>0</v>
      </c>
      <c r="Z238" s="7">
        <f t="shared" ca="1" si="135"/>
        <v>0</v>
      </c>
      <c r="AA238" s="7">
        <f t="shared" ca="1" si="135"/>
        <v>0</v>
      </c>
      <c r="AB238" s="7">
        <f t="shared" ca="1" si="135"/>
        <v>0</v>
      </c>
      <c r="AC238" s="7">
        <f t="shared" ca="1" si="135"/>
        <v>0</v>
      </c>
      <c r="AD238" s="7">
        <f t="shared" ca="1" si="135"/>
        <v>0</v>
      </c>
      <c r="AE238" s="7">
        <f t="shared" ca="1" si="135"/>
        <v>0</v>
      </c>
      <c r="AF238" s="7">
        <f t="shared" ca="1" si="135"/>
        <v>0</v>
      </c>
      <c r="AG238" s="7">
        <f t="shared" ca="1" si="135"/>
        <v>0</v>
      </c>
      <c r="AH238" s="7">
        <f t="shared" ca="1" si="135"/>
        <v>0</v>
      </c>
      <c r="AI238" s="7">
        <f t="shared" ca="1" si="135"/>
        <v>0</v>
      </c>
      <c r="AJ238" s="7">
        <f t="shared" ca="1" si="135"/>
        <v>0</v>
      </c>
      <c r="AK238" s="7">
        <f t="shared" ca="1" si="135"/>
        <v>0</v>
      </c>
      <c r="AL238" s="7">
        <f t="shared" ca="1" si="135"/>
        <v>0</v>
      </c>
      <c r="AM238" s="7">
        <f t="shared" si="135"/>
        <v>0</v>
      </c>
    </row>
    <row r="239" spans="1:39" x14ac:dyDescent="0.2">
      <c r="A239" s="3" t="s">
        <v>30</v>
      </c>
      <c r="C239" s="7">
        <f t="shared" ref="C239:AM239" ca="1" si="136">IFERROR(-IF(C234=0,VLOOKUP($A233,$8:$12,C$1+2,FALSE),0),0)</f>
        <v>0</v>
      </c>
      <c r="D239" s="7">
        <f t="shared" ca="1" si="136"/>
        <v>0</v>
      </c>
      <c r="E239" s="7">
        <f t="shared" ca="1" si="136"/>
        <v>0</v>
      </c>
      <c r="F239" s="7">
        <f t="shared" ca="1" si="136"/>
        <v>0</v>
      </c>
      <c r="G239" s="7">
        <f t="shared" ca="1" si="136"/>
        <v>0</v>
      </c>
      <c r="H239" s="7">
        <f t="shared" ca="1" si="136"/>
        <v>0</v>
      </c>
      <c r="I239" s="7">
        <f t="shared" ca="1" si="136"/>
        <v>0</v>
      </c>
      <c r="J239" s="7">
        <f t="shared" ca="1" si="136"/>
        <v>0</v>
      </c>
      <c r="K239" s="7">
        <f t="shared" ca="1" si="136"/>
        <v>0</v>
      </c>
      <c r="L239" s="7">
        <f t="shared" ca="1" si="136"/>
        <v>0</v>
      </c>
      <c r="M239" s="7">
        <f t="shared" ca="1" si="136"/>
        <v>0</v>
      </c>
      <c r="N239" s="7">
        <f t="shared" ca="1" si="136"/>
        <v>0</v>
      </c>
      <c r="O239" s="7">
        <f t="shared" ca="1" si="136"/>
        <v>0</v>
      </c>
      <c r="P239" s="7">
        <f t="shared" ca="1" si="136"/>
        <v>0</v>
      </c>
      <c r="Q239" s="7">
        <f t="shared" ca="1" si="136"/>
        <v>0</v>
      </c>
      <c r="R239" s="7">
        <f t="shared" ca="1" si="136"/>
        <v>0</v>
      </c>
      <c r="S239" s="7">
        <f t="shared" ca="1" si="136"/>
        <v>0</v>
      </c>
      <c r="T239" s="7">
        <f t="shared" ca="1" si="136"/>
        <v>0</v>
      </c>
      <c r="U239" s="7">
        <f t="shared" ca="1" si="136"/>
        <v>0</v>
      </c>
      <c r="V239" s="7">
        <f t="shared" ca="1" si="136"/>
        <v>0</v>
      </c>
      <c r="W239" s="7">
        <f t="shared" ca="1" si="136"/>
        <v>0</v>
      </c>
      <c r="X239" s="7">
        <f t="shared" ca="1" si="136"/>
        <v>0</v>
      </c>
      <c r="Y239" s="7">
        <f t="shared" ca="1" si="136"/>
        <v>0</v>
      </c>
      <c r="Z239" s="7">
        <f t="shared" ca="1" si="136"/>
        <v>0</v>
      </c>
      <c r="AA239" s="7">
        <f t="shared" ca="1" si="136"/>
        <v>0</v>
      </c>
      <c r="AB239" s="7">
        <f t="shared" ca="1" si="136"/>
        <v>0</v>
      </c>
      <c r="AC239" s="7">
        <f t="shared" ca="1" si="136"/>
        <v>0</v>
      </c>
      <c r="AD239" s="7">
        <f t="shared" ca="1" si="136"/>
        <v>0</v>
      </c>
      <c r="AE239" s="7">
        <f t="shared" ca="1" si="136"/>
        <v>0</v>
      </c>
      <c r="AF239" s="7">
        <f t="shared" ca="1" si="136"/>
        <v>0</v>
      </c>
      <c r="AG239" s="7">
        <f t="shared" ca="1" si="136"/>
        <v>0</v>
      </c>
      <c r="AH239" s="7">
        <f t="shared" ca="1" si="136"/>
        <v>0</v>
      </c>
      <c r="AI239" s="7">
        <f t="shared" ca="1" si="136"/>
        <v>0</v>
      </c>
      <c r="AJ239" s="7">
        <f t="shared" ca="1" si="136"/>
        <v>0</v>
      </c>
      <c r="AK239" s="7">
        <f t="shared" ca="1" si="136"/>
        <v>0</v>
      </c>
      <c r="AL239" s="7">
        <f t="shared" ca="1" si="136"/>
        <v>0</v>
      </c>
      <c r="AM239" s="7">
        <f t="shared" ca="1" si="136"/>
        <v>0</v>
      </c>
    </row>
    <row r="240" spans="1:39" x14ac:dyDescent="0.2">
      <c r="A240" s="3" t="s">
        <v>49</v>
      </c>
      <c r="C240" s="7">
        <f t="shared" ref="C240:AM240" ca="1" si="137">IFERROR(IF(C234=0,VLOOKUP($A233,$46:$50,C$1+2,FALSE),0),0)</f>
        <v>0</v>
      </c>
      <c r="D240" s="7">
        <f t="shared" ca="1" si="137"/>
        <v>0</v>
      </c>
      <c r="E240" s="7">
        <f t="shared" ca="1" si="137"/>
        <v>0</v>
      </c>
      <c r="F240" s="7">
        <f t="shared" ca="1" si="137"/>
        <v>0</v>
      </c>
      <c r="G240" s="7">
        <f t="shared" ca="1" si="137"/>
        <v>0</v>
      </c>
      <c r="H240" s="7">
        <f t="shared" ca="1" si="137"/>
        <v>0</v>
      </c>
      <c r="I240" s="7">
        <f t="shared" ca="1" si="137"/>
        <v>0</v>
      </c>
      <c r="J240" s="7">
        <f t="shared" ca="1" si="137"/>
        <v>0</v>
      </c>
      <c r="K240" s="7">
        <f t="shared" ca="1" si="137"/>
        <v>0</v>
      </c>
      <c r="L240" s="7">
        <f t="shared" ca="1" si="137"/>
        <v>0</v>
      </c>
      <c r="M240" s="7">
        <f t="shared" ca="1" si="137"/>
        <v>0</v>
      </c>
      <c r="N240" s="7">
        <f t="shared" ca="1" si="137"/>
        <v>0</v>
      </c>
      <c r="O240" s="7">
        <f t="shared" ca="1" si="137"/>
        <v>0</v>
      </c>
      <c r="P240" s="7">
        <f t="shared" ca="1" si="137"/>
        <v>0</v>
      </c>
      <c r="Q240" s="7">
        <f t="shared" ca="1" si="137"/>
        <v>0</v>
      </c>
      <c r="R240" s="7">
        <f t="shared" ca="1" si="137"/>
        <v>0</v>
      </c>
      <c r="S240" s="7">
        <f t="shared" ca="1" si="137"/>
        <v>0</v>
      </c>
      <c r="T240" s="7">
        <f t="shared" ca="1" si="137"/>
        <v>0</v>
      </c>
      <c r="U240" s="7">
        <f t="shared" ca="1" si="137"/>
        <v>0</v>
      </c>
      <c r="V240" s="7">
        <f t="shared" ca="1" si="137"/>
        <v>0</v>
      </c>
      <c r="W240" s="7">
        <f t="shared" ca="1" si="137"/>
        <v>0</v>
      </c>
      <c r="X240" s="7">
        <f t="shared" ca="1" si="137"/>
        <v>0</v>
      </c>
      <c r="Y240" s="7">
        <f t="shared" ca="1" si="137"/>
        <v>0</v>
      </c>
      <c r="Z240" s="7">
        <f t="shared" ca="1" si="137"/>
        <v>0</v>
      </c>
      <c r="AA240" s="7">
        <f t="shared" ca="1" si="137"/>
        <v>0</v>
      </c>
      <c r="AB240" s="7">
        <f t="shared" ca="1" si="137"/>
        <v>0</v>
      </c>
      <c r="AC240" s="7">
        <f t="shared" ca="1" si="137"/>
        <v>0</v>
      </c>
      <c r="AD240" s="7">
        <f t="shared" ca="1" si="137"/>
        <v>0</v>
      </c>
      <c r="AE240" s="7">
        <f t="shared" ca="1" si="137"/>
        <v>0</v>
      </c>
      <c r="AF240" s="7">
        <f t="shared" ca="1" si="137"/>
        <v>0</v>
      </c>
      <c r="AG240" s="7">
        <f t="shared" ca="1" si="137"/>
        <v>0</v>
      </c>
      <c r="AH240" s="7">
        <f t="shared" ca="1" si="137"/>
        <v>0</v>
      </c>
      <c r="AI240" s="7">
        <f t="shared" ca="1" si="137"/>
        <v>0</v>
      </c>
      <c r="AJ240" s="7">
        <f t="shared" ca="1" si="137"/>
        <v>0</v>
      </c>
      <c r="AK240" s="7">
        <f t="shared" ca="1" si="137"/>
        <v>0</v>
      </c>
      <c r="AL240" s="7">
        <f t="shared" ca="1" si="137"/>
        <v>0</v>
      </c>
      <c r="AM240" s="7">
        <f t="shared" ca="1" si="137"/>
        <v>0</v>
      </c>
    </row>
    <row r="241" spans="1:39" x14ac:dyDescent="0.2">
      <c r="A241" s="3" t="s">
        <v>35</v>
      </c>
      <c r="B241" s="14" t="str">
        <f>A233</f>
        <v>Boat</v>
      </c>
      <c r="C241" s="7">
        <f t="shared" ref="C241:AM241" ca="1" si="138">IF(AND(C234&gt;0,C237=0),VLOOKUP($A233,$85:$94,C$1+2,FALSE),0)</f>
        <v>0</v>
      </c>
      <c r="D241" s="7">
        <f t="shared" ca="1" si="138"/>
        <v>0</v>
      </c>
      <c r="E241" s="7">
        <f t="shared" ca="1" si="138"/>
        <v>0</v>
      </c>
      <c r="F241" s="7">
        <f t="shared" ca="1" si="138"/>
        <v>0</v>
      </c>
      <c r="G241" s="7">
        <f t="shared" ca="1" si="138"/>
        <v>0</v>
      </c>
      <c r="H241" s="7">
        <f t="shared" ca="1" si="138"/>
        <v>0</v>
      </c>
      <c r="I241" s="7">
        <f t="shared" ca="1" si="138"/>
        <v>0</v>
      </c>
      <c r="J241" s="7">
        <f t="shared" ca="1" si="138"/>
        <v>0</v>
      </c>
      <c r="K241" s="7">
        <f t="shared" ca="1" si="138"/>
        <v>0</v>
      </c>
      <c r="L241" s="7">
        <f t="shared" ca="1" si="138"/>
        <v>0</v>
      </c>
      <c r="M241" s="7">
        <f t="shared" ca="1" si="138"/>
        <v>0</v>
      </c>
      <c r="N241" s="7">
        <f t="shared" ca="1" si="138"/>
        <v>0</v>
      </c>
      <c r="O241" s="7">
        <f t="shared" ca="1" si="138"/>
        <v>0</v>
      </c>
      <c r="P241" s="7">
        <f t="shared" ca="1" si="138"/>
        <v>0</v>
      </c>
      <c r="Q241" s="7">
        <f t="shared" ca="1" si="138"/>
        <v>0</v>
      </c>
      <c r="R241" s="7">
        <f t="shared" ca="1" si="138"/>
        <v>0</v>
      </c>
      <c r="S241" s="7">
        <f t="shared" ca="1" si="138"/>
        <v>0</v>
      </c>
      <c r="T241" s="7">
        <f t="shared" ca="1" si="138"/>
        <v>0</v>
      </c>
      <c r="U241" s="7">
        <f t="shared" ca="1" si="138"/>
        <v>0</v>
      </c>
      <c r="V241" s="7">
        <f t="shared" ca="1" si="138"/>
        <v>0</v>
      </c>
      <c r="W241" s="7">
        <f t="shared" ca="1" si="138"/>
        <v>0</v>
      </c>
      <c r="X241" s="7">
        <f t="shared" ca="1" si="138"/>
        <v>0</v>
      </c>
      <c r="Y241" s="7">
        <f t="shared" ca="1" si="138"/>
        <v>0</v>
      </c>
      <c r="Z241" s="7">
        <f t="shared" ca="1" si="138"/>
        <v>0</v>
      </c>
      <c r="AA241" s="7">
        <f t="shared" ca="1" si="138"/>
        <v>0</v>
      </c>
      <c r="AB241" s="7">
        <f t="shared" ca="1" si="138"/>
        <v>0</v>
      </c>
      <c r="AC241" s="7">
        <f t="shared" ca="1" si="138"/>
        <v>0</v>
      </c>
      <c r="AD241" s="7">
        <f t="shared" ca="1" si="138"/>
        <v>0</v>
      </c>
      <c r="AE241" s="7">
        <f t="shared" ca="1" si="138"/>
        <v>0</v>
      </c>
      <c r="AF241" s="7">
        <f t="shared" ca="1" si="138"/>
        <v>0</v>
      </c>
      <c r="AG241" s="7">
        <f t="shared" ca="1" si="138"/>
        <v>0</v>
      </c>
      <c r="AH241" s="7">
        <f t="shared" ca="1" si="138"/>
        <v>0</v>
      </c>
      <c r="AI241" s="7">
        <f t="shared" ca="1" si="138"/>
        <v>0</v>
      </c>
      <c r="AJ241" s="7">
        <f t="shared" ca="1" si="138"/>
        <v>0</v>
      </c>
      <c r="AK241" s="7">
        <f t="shared" ca="1" si="138"/>
        <v>0</v>
      </c>
      <c r="AL241" s="7">
        <f t="shared" ca="1" si="138"/>
        <v>0</v>
      </c>
      <c r="AM241" s="7">
        <f t="shared" ca="1" si="138"/>
        <v>0</v>
      </c>
    </row>
    <row r="242" spans="1:39" x14ac:dyDescent="0.2">
      <c r="A242" s="3" t="s">
        <v>36</v>
      </c>
      <c r="C242" s="7">
        <f ca="1">-C235+SUM(C238:C241)</f>
        <v>0</v>
      </c>
      <c r="D242" s="7">
        <f t="shared" ref="D242" ca="1" si="139">-D235+SUM(D238:D241)</f>
        <v>0</v>
      </c>
      <c r="E242" s="7">
        <f t="shared" ref="E242:AM242" ca="1" si="140">-E235+SUM(E238:E241)</f>
        <v>0</v>
      </c>
      <c r="F242" s="7">
        <f t="shared" ca="1" si="140"/>
        <v>0</v>
      </c>
      <c r="G242" s="7">
        <f t="shared" ca="1" si="140"/>
        <v>0</v>
      </c>
      <c r="H242" s="7">
        <f t="shared" ca="1" si="140"/>
        <v>0</v>
      </c>
      <c r="I242" s="7">
        <f t="shared" ca="1" si="140"/>
        <v>0</v>
      </c>
      <c r="J242" s="7">
        <f t="shared" ca="1" si="140"/>
        <v>0</v>
      </c>
      <c r="K242" s="7">
        <f t="shared" ca="1" si="140"/>
        <v>0</v>
      </c>
      <c r="L242" s="7">
        <f t="shared" ca="1" si="140"/>
        <v>0</v>
      </c>
      <c r="M242" s="7">
        <f t="shared" ca="1" si="140"/>
        <v>0</v>
      </c>
      <c r="N242" s="7">
        <f t="shared" ca="1" si="140"/>
        <v>0</v>
      </c>
      <c r="O242" s="7">
        <f t="shared" ca="1" si="140"/>
        <v>0</v>
      </c>
      <c r="P242" s="7">
        <f t="shared" ca="1" si="140"/>
        <v>0</v>
      </c>
      <c r="Q242" s="7">
        <f t="shared" ca="1" si="140"/>
        <v>0</v>
      </c>
      <c r="R242" s="7">
        <f t="shared" ca="1" si="140"/>
        <v>0</v>
      </c>
      <c r="S242" s="7">
        <f t="shared" ca="1" si="140"/>
        <v>0</v>
      </c>
      <c r="T242" s="7">
        <f t="shared" ca="1" si="140"/>
        <v>0</v>
      </c>
      <c r="U242" s="7">
        <f t="shared" ca="1" si="140"/>
        <v>70972.903843567416</v>
      </c>
      <c r="V242" s="7">
        <f t="shared" ca="1" si="140"/>
        <v>0</v>
      </c>
      <c r="W242" s="7">
        <f t="shared" ca="1" si="140"/>
        <v>0</v>
      </c>
      <c r="X242" s="7">
        <f t="shared" ca="1" si="140"/>
        <v>0</v>
      </c>
      <c r="Y242" s="7">
        <f t="shared" ca="1" si="140"/>
        <v>0</v>
      </c>
      <c r="Z242" s="7">
        <f t="shared" ca="1" si="140"/>
        <v>0</v>
      </c>
      <c r="AA242" s="7">
        <f t="shared" ca="1" si="140"/>
        <v>0</v>
      </c>
      <c r="AB242" s="7">
        <f t="shared" ca="1" si="140"/>
        <v>0</v>
      </c>
      <c r="AC242" s="7">
        <f t="shared" ca="1" si="140"/>
        <v>0</v>
      </c>
      <c r="AD242" s="7">
        <f t="shared" ca="1" si="140"/>
        <v>0</v>
      </c>
      <c r="AE242" s="7">
        <f t="shared" ca="1" si="140"/>
        <v>0</v>
      </c>
      <c r="AF242" s="7">
        <f t="shared" ca="1" si="140"/>
        <v>0</v>
      </c>
      <c r="AG242" s="7">
        <f t="shared" ca="1" si="140"/>
        <v>0</v>
      </c>
      <c r="AH242" s="7">
        <f t="shared" ca="1" si="140"/>
        <v>0</v>
      </c>
      <c r="AI242" s="7">
        <f t="shared" ca="1" si="140"/>
        <v>0</v>
      </c>
      <c r="AJ242" s="7">
        <f t="shared" ca="1" si="140"/>
        <v>0</v>
      </c>
      <c r="AK242" s="7">
        <f t="shared" ca="1" si="140"/>
        <v>0</v>
      </c>
      <c r="AL242" s="7">
        <f t="shared" ca="1" si="140"/>
        <v>0</v>
      </c>
      <c r="AM242" s="7">
        <f t="shared" ca="1" si="140"/>
        <v>0</v>
      </c>
    </row>
    <row r="243" spans="1:39" x14ac:dyDescent="0.2">
      <c r="A243" s="3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</row>
    <row r="244" spans="1:39" x14ac:dyDescent="0.2">
      <c r="A244" s="3" t="s">
        <v>70</v>
      </c>
      <c r="C244" s="7">
        <f ca="1">C230+SUM($C242:C242)</f>
        <v>63060.110212387553</v>
      </c>
      <c r="D244" s="7">
        <f ca="1">D230+SUM($C242:D242)</f>
        <v>74803.865731513826</v>
      </c>
      <c r="E244" s="7">
        <f ca="1">E230+SUM($C242:E242)</f>
        <v>165269.77766792092</v>
      </c>
      <c r="F244" s="7">
        <f ca="1">F230+SUM($C242:F242)</f>
        <v>77404.797492678772</v>
      </c>
      <c r="G244" s="7">
        <f ca="1">G230+SUM($C242:G242)</f>
        <v>182914.95575458009</v>
      </c>
      <c r="H244" s="7">
        <f ca="1">H230+SUM($C242:H242)</f>
        <v>129529.97572023471</v>
      </c>
      <c r="I244" s="7">
        <f ca="1">I230+SUM($C242:I242)</f>
        <v>91164.213839684453</v>
      </c>
      <c r="J244" s="7">
        <f ca="1">J230+SUM($C242:J242)</f>
        <v>179275.45457262834</v>
      </c>
      <c r="K244" s="7">
        <f ca="1">K230+SUM($C242:K242)</f>
        <v>118281.8899313185</v>
      </c>
      <c r="L244" s="7">
        <f ca="1">L230+SUM($C242:L242)</f>
        <v>138926.09569615126</v>
      </c>
      <c r="M244" s="7">
        <f ca="1">M230+SUM($C242:M242)</f>
        <v>63941.993400129919</v>
      </c>
      <c r="N244" s="7">
        <f ca="1">N230+SUM($C242:N242)</f>
        <v>36292.921153602525</v>
      </c>
      <c r="O244" s="7">
        <f ca="1">O230+SUM($C242:O242)</f>
        <v>192268.67503206589</v>
      </c>
      <c r="P244" s="7">
        <f ca="1">P230+SUM($C242:P242)</f>
        <v>157977.80442793126</v>
      </c>
      <c r="Q244" s="7">
        <f ca="1">Q230+SUM($C242:Q242)</f>
        <v>122198.14054807866</v>
      </c>
      <c r="R244" s="7">
        <f ca="1">R230+SUM($C242:R242)</f>
        <v>84521.674279479645</v>
      </c>
      <c r="S244" s="7">
        <f ca="1">S230+SUM($C242:S242)</f>
        <v>44907.310078202696</v>
      </c>
      <c r="T244" s="7">
        <f ca="1">T230+SUM($C242:T242)</f>
        <v>20781.292385504436</v>
      </c>
      <c r="U244" s="7">
        <f ca="1">U230+SUM($C242:U242)</f>
        <v>74461.569789527712</v>
      </c>
      <c r="V244" s="7">
        <f ca="1">V230+SUM($C242:V242)</f>
        <v>56381.786765096433</v>
      </c>
      <c r="W244" s="7">
        <f ca="1">W230+SUM($C242:W242)</f>
        <v>37592.194957006621</v>
      </c>
      <c r="X244" s="7">
        <f ca="1">X230+SUM($C242:X242)</f>
        <v>18468.321696314713</v>
      </c>
      <c r="Y244" s="7">
        <f ca="1">Y230+SUM($C242:Y242)</f>
        <v>-21652.983073977506</v>
      </c>
      <c r="Z244" s="7">
        <f ca="1">Z230+SUM($C242:Z242)</f>
        <v>-62633.612707862369</v>
      </c>
      <c r="AA244" s="7">
        <f ca="1">AA230+SUM($C242:AA242)</f>
        <v>-104490.73909425971</v>
      </c>
      <c r="AB244" s="7">
        <f ca="1">AB230+SUM($C242:AB242)</f>
        <v>-147241.83408233267</v>
      </c>
      <c r="AC244" s="7">
        <f ca="1">AC230+SUM($C242:AC242)</f>
        <v>-190904.67310038325</v>
      </c>
      <c r="AD244" s="7">
        <f ca="1">AD230+SUM($C242:AD242)</f>
        <v>-235497.33874881949</v>
      </c>
      <c r="AE244" s="7">
        <f ca="1">AE230+SUM($C242:AE242)</f>
        <v>-271055.74926926265</v>
      </c>
      <c r="AF244" s="7">
        <f ca="1">AF230+SUM($C242:AF242)</f>
        <v>-307331.5254770366</v>
      </c>
      <c r="AG244" s="7">
        <f ca="1">AG230+SUM($C242:AG242)</f>
        <v>-344337.45367705426</v>
      </c>
      <c r="AH244" s="7">
        <f ca="1">AH230+SUM($C242:AH242)</f>
        <v>-382086.4853967331</v>
      </c>
      <c r="AI244" s="7">
        <f ca="1">AI230+SUM($C242:AI242)</f>
        <v>-420591.73688350443</v>
      </c>
      <c r="AJ244" s="7">
        <f ca="1">AJ230+SUM($C242:AJ242)</f>
        <v>-459866.48845076893</v>
      </c>
      <c r="AK244" s="7">
        <f ca="1">AK230+SUM($C242:AK242)</f>
        <v>-499924.18366433814</v>
      </c>
      <c r="AL244" s="7">
        <f ca="1">AL230+SUM($C242:AL242)</f>
        <v>-540778.42836108385</v>
      </c>
      <c r="AM244" s="7">
        <f ca="1">AM230+SUM($C242:AM242)</f>
        <v>-582442.98949117004</v>
      </c>
    </row>
    <row r="245" spans="1:39" x14ac:dyDescent="0.2">
      <c r="A245" s="3" t="s">
        <v>67</v>
      </c>
      <c r="C245" s="7">
        <f t="shared" ref="C245:AM245" ca="1" si="141">MAX(C244+buffer,0)-MAX(C230+buffer,0)</f>
        <v>0</v>
      </c>
      <c r="D245" s="7">
        <f t="shared" ca="1" si="141"/>
        <v>0</v>
      </c>
      <c r="E245" s="7">
        <f t="shared" ca="1" si="141"/>
        <v>0</v>
      </c>
      <c r="F245" s="7">
        <f t="shared" ca="1" si="141"/>
        <v>0</v>
      </c>
      <c r="G245" s="7">
        <f t="shared" ca="1" si="141"/>
        <v>0</v>
      </c>
      <c r="H245" s="7">
        <f t="shared" ca="1" si="141"/>
        <v>0</v>
      </c>
      <c r="I245" s="7">
        <f t="shared" ca="1" si="141"/>
        <v>0</v>
      </c>
      <c r="J245" s="7">
        <f t="shared" ca="1" si="141"/>
        <v>0</v>
      </c>
      <c r="K245" s="7">
        <f t="shared" ca="1" si="141"/>
        <v>0</v>
      </c>
      <c r="L245" s="7">
        <f t="shared" ca="1" si="141"/>
        <v>0</v>
      </c>
      <c r="M245" s="7">
        <f t="shared" ca="1" si="141"/>
        <v>0</v>
      </c>
      <c r="N245" s="7">
        <f t="shared" ca="1" si="141"/>
        <v>0</v>
      </c>
      <c r="O245" s="7">
        <f t="shared" ca="1" si="141"/>
        <v>0</v>
      </c>
      <c r="P245" s="7">
        <f t="shared" ca="1" si="141"/>
        <v>0</v>
      </c>
      <c r="Q245" s="7">
        <f t="shared" ca="1" si="141"/>
        <v>0</v>
      </c>
      <c r="R245" s="7">
        <f t="shared" ca="1" si="141"/>
        <v>0</v>
      </c>
      <c r="S245" s="7">
        <f t="shared" ca="1" si="141"/>
        <v>0</v>
      </c>
      <c r="T245" s="7">
        <f t="shared" ca="1" si="141"/>
        <v>0</v>
      </c>
      <c r="U245" s="7">
        <f t="shared" ca="1" si="141"/>
        <v>70972.903843567416</v>
      </c>
      <c r="V245" s="7">
        <f t="shared" ca="1" si="141"/>
        <v>70972.903843567416</v>
      </c>
      <c r="W245" s="7">
        <f t="shared" ca="1" si="141"/>
        <v>70972.903843567416</v>
      </c>
      <c r="X245" s="7">
        <f t="shared" ca="1" si="141"/>
        <v>68468.321696314713</v>
      </c>
      <c r="Y245" s="7">
        <f t="shared" ca="1" si="141"/>
        <v>28347.016926022494</v>
      </c>
      <c r="Z245" s="7">
        <f t="shared" ca="1" si="141"/>
        <v>0</v>
      </c>
      <c r="AA245" s="7">
        <f t="shared" ca="1" si="141"/>
        <v>0</v>
      </c>
      <c r="AB245" s="7">
        <f t="shared" ca="1" si="141"/>
        <v>0</v>
      </c>
      <c r="AC245" s="7">
        <f t="shared" ca="1" si="141"/>
        <v>0</v>
      </c>
      <c r="AD245" s="7">
        <f t="shared" ca="1" si="141"/>
        <v>0</v>
      </c>
      <c r="AE245" s="7">
        <f t="shared" ca="1" si="141"/>
        <v>0</v>
      </c>
      <c r="AF245" s="7">
        <f t="shared" ca="1" si="141"/>
        <v>0</v>
      </c>
      <c r="AG245" s="7">
        <f t="shared" ca="1" si="141"/>
        <v>0</v>
      </c>
      <c r="AH245" s="7">
        <f t="shared" ca="1" si="141"/>
        <v>0</v>
      </c>
      <c r="AI245" s="7">
        <f t="shared" ca="1" si="141"/>
        <v>0</v>
      </c>
      <c r="AJ245" s="7">
        <f t="shared" ca="1" si="141"/>
        <v>0</v>
      </c>
      <c r="AK245" s="7">
        <f t="shared" ca="1" si="141"/>
        <v>0</v>
      </c>
      <c r="AL245" s="7">
        <f t="shared" ca="1" si="141"/>
        <v>0</v>
      </c>
      <c r="AM245" s="7">
        <f t="shared" ca="1" si="141"/>
        <v>0</v>
      </c>
    </row>
    <row r="246" spans="1:39" x14ac:dyDescent="0.2">
      <c r="A246" s="3" t="s">
        <v>68</v>
      </c>
      <c r="C246" s="7">
        <f ca="1">C245*Inputs!$B$269</f>
        <v>0</v>
      </c>
      <c r="D246" s="7">
        <f ca="1">D245*Inputs!$B$269</f>
        <v>0</v>
      </c>
      <c r="E246" s="7">
        <f ca="1">E245*Inputs!$B$269</f>
        <v>0</v>
      </c>
      <c r="F246" s="7">
        <f ca="1">F245*Inputs!$B$269</f>
        <v>0</v>
      </c>
      <c r="G246" s="7">
        <f ca="1">G245*Inputs!$B$269</f>
        <v>0</v>
      </c>
      <c r="H246" s="7">
        <f ca="1">H245*Inputs!$B$269</f>
        <v>0</v>
      </c>
      <c r="I246" s="7">
        <f ca="1">I245*Inputs!$B$269</f>
        <v>0</v>
      </c>
      <c r="J246" s="7">
        <f ca="1">J245*Inputs!$B$269</f>
        <v>0</v>
      </c>
      <c r="K246" s="7">
        <f ca="1">K245*Inputs!$B$269</f>
        <v>0</v>
      </c>
      <c r="L246" s="7">
        <f ca="1">L245*Inputs!$B$269</f>
        <v>0</v>
      </c>
      <c r="M246" s="7">
        <f ca="1">M245*Inputs!$B$269</f>
        <v>0</v>
      </c>
      <c r="N246" s="7">
        <f ca="1">N245*Inputs!$B$269</f>
        <v>0</v>
      </c>
      <c r="O246" s="7">
        <f ca="1">O245*Inputs!$B$269</f>
        <v>0</v>
      </c>
      <c r="P246" s="7">
        <f ca="1">P245*Inputs!$B$269</f>
        <v>0</v>
      </c>
      <c r="Q246" s="7">
        <f ca="1">Q245*Inputs!$B$269</f>
        <v>0</v>
      </c>
      <c r="R246" s="7">
        <f ca="1">R245*Inputs!$B$269</f>
        <v>0</v>
      </c>
      <c r="S246" s="7">
        <f ca="1">S245*Inputs!$B$269</f>
        <v>0</v>
      </c>
      <c r="T246" s="7">
        <f ca="1">T245*Inputs!$B$269</f>
        <v>0</v>
      </c>
      <c r="U246" s="7">
        <f ca="1">U245*Inputs!$B$269</f>
        <v>1774.3225960891855</v>
      </c>
      <c r="V246" s="7">
        <f ca="1">V245*Inputs!$B$269</f>
        <v>1774.3225960891855</v>
      </c>
      <c r="W246" s="7">
        <f ca="1">W245*Inputs!$B$269</f>
        <v>1774.3225960891855</v>
      </c>
      <c r="X246" s="7">
        <f ca="1">X245*Inputs!$B$269</f>
        <v>1711.7080424078679</v>
      </c>
      <c r="Y246" s="7">
        <f ca="1">Y245*Inputs!$B$269</f>
        <v>708.67542315056244</v>
      </c>
      <c r="Z246" s="7">
        <f ca="1">Z245*Inputs!$B$269</f>
        <v>0</v>
      </c>
      <c r="AA246" s="7">
        <f ca="1">AA245*Inputs!$B$269</f>
        <v>0</v>
      </c>
      <c r="AB246" s="7">
        <f ca="1">AB245*Inputs!$B$269</f>
        <v>0</v>
      </c>
      <c r="AC246" s="7">
        <f ca="1">AC245*Inputs!$B$269</f>
        <v>0</v>
      </c>
      <c r="AD246" s="7">
        <f ca="1">AD245*Inputs!$B$269</f>
        <v>0</v>
      </c>
      <c r="AE246" s="7">
        <f ca="1">AE245*Inputs!$B$269</f>
        <v>0</v>
      </c>
      <c r="AF246" s="7">
        <f ca="1">AF245*Inputs!$B$269</f>
        <v>0</v>
      </c>
      <c r="AG246" s="7">
        <f ca="1">AG245*Inputs!$B$269</f>
        <v>0</v>
      </c>
      <c r="AH246" s="7">
        <f ca="1">AH245*Inputs!$B$269</f>
        <v>0</v>
      </c>
      <c r="AI246" s="7">
        <f ca="1">AI245*Inputs!$B$269</f>
        <v>0</v>
      </c>
      <c r="AJ246" s="7">
        <f ca="1">AJ245*Inputs!$B$269</f>
        <v>0</v>
      </c>
      <c r="AK246" s="7">
        <f ca="1">AK245*Inputs!$B$269</f>
        <v>0</v>
      </c>
      <c r="AL246" s="7">
        <f ca="1">AL245*Inputs!$B$269</f>
        <v>0</v>
      </c>
      <c r="AM246" s="7">
        <f ca="1">AM245*Inputs!$B$269</f>
        <v>0</v>
      </c>
    </row>
    <row r="247" spans="1:39" x14ac:dyDescent="0.2">
      <c r="A247" s="3" t="s">
        <v>149</v>
      </c>
      <c r="C247" s="7">
        <f ca="1">C244+SUM($C246:C246)</f>
        <v>63060.110212387553</v>
      </c>
      <c r="D247" s="7">
        <f ca="1">D244+SUM($C246:D246)</f>
        <v>74803.865731513826</v>
      </c>
      <c r="E247" s="7">
        <f ca="1">E244+SUM($C246:E246)</f>
        <v>165269.77766792092</v>
      </c>
      <c r="F247" s="7">
        <f ca="1">F244+SUM($C246:F246)</f>
        <v>77404.797492678772</v>
      </c>
      <c r="G247" s="7">
        <f ca="1">G244+SUM($C246:G246)</f>
        <v>182914.95575458009</v>
      </c>
      <c r="H247" s="7">
        <f ca="1">H244+SUM($C246:H246)</f>
        <v>129529.97572023471</v>
      </c>
      <c r="I247" s="7">
        <f ca="1">I244+SUM($C246:I246)</f>
        <v>91164.213839684453</v>
      </c>
      <c r="J247" s="7">
        <f ca="1">J244+SUM($C246:J246)</f>
        <v>179275.45457262834</v>
      </c>
      <c r="K247" s="7">
        <f ca="1">K244+SUM($C246:K246)</f>
        <v>118281.8899313185</v>
      </c>
      <c r="L247" s="7">
        <f ca="1">L244+SUM($C246:L246)</f>
        <v>138926.09569615126</v>
      </c>
      <c r="M247" s="7">
        <f ca="1">M244+SUM($C246:M246)</f>
        <v>63941.993400129919</v>
      </c>
      <c r="N247" s="7">
        <f ca="1">N244+SUM($C246:N246)</f>
        <v>36292.921153602525</v>
      </c>
      <c r="O247" s="7">
        <f ca="1">O244+SUM($C246:O246)</f>
        <v>192268.67503206589</v>
      </c>
      <c r="P247" s="7">
        <f ca="1">P244+SUM($C246:P246)</f>
        <v>157977.80442793126</v>
      </c>
      <c r="Q247" s="7">
        <f ca="1">Q244+SUM($C246:Q246)</f>
        <v>122198.14054807866</v>
      </c>
      <c r="R247" s="7">
        <f ca="1">R244+SUM($C246:R246)</f>
        <v>84521.674279479645</v>
      </c>
      <c r="S247" s="7">
        <f ca="1">S244+SUM($C246:S246)</f>
        <v>44907.310078202696</v>
      </c>
      <c r="T247" s="7">
        <f ca="1">T244+SUM($C246:T246)</f>
        <v>20781.292385504436</v>
      </c>
      <c r="U247" s="7">
        <f ca="1">U244+SUM($C246:U246)</f>
        <v>76235.892385616899</v>
      </c>
      <c r="V247" s="7">
        <f ca="1">V244+SUM($C246:V246)</f>
        <v>59930.431957274806</v>
      </c>
      <c r="W247" s="7">
        <f ca="1">W244+SUM($C246:W246)</f>
        <v>42915.162745274181</v>
      </c>
      <c r="X247" s="7">
        <f ca="1">X244+SUM($C246:X246)</f>
        <v>25502.997526990137</v>
      </c>
      <c r="Y247" s="7">
        <f ca="1">Y244+SUM($C246:Y246)</f>
        <v>-13909.631820151519</v>
      </c>
      <c r="Z247" s="7">
        <f ca="1">Z244+SUM($C246:Z246)</f>
        <v>-54890.261454036379</v>
      </c>
      <c r="AA247" s="7">
        <f ca="1">AA244+SUM($C246:AA246)</f>
        <v>-96747.38784043373</v>
      </c>
      <c r="AB247" s="7">
        <f ca="1">AB244+SUM($C246:AB246)</f>
        <v>-139498.48282850668</v>
      </c>
      <c r="AC247" s="7">
        <f ca="1">AC244+SUM($C246:AC246)</f>
        <v>-183161.32184655726</v>
      </c>
      <c r="AD247" s="7">
        <f ca="1">AD244+SUM($C246:AD246)</f>
        <v>-227753.98749499349</v>
      </c>
      <c r="AE247" s="7">
        <f ca="1">AE244+SUM($C246:AE246)</f>
        <v>-263312.39801543666</v>
      </c>
      <c r="AF247" s="7">
        <f ca="1">AF244+SUM($C246:AF246)</f>
        <v>-299588.1742232106</v>
      </c>
      <c r="AG247" s="7">
        <f ca="1">AG244+SUM($C246:AG246)</f>
        <v>-336594.10242322827</v>
      </c>
      <c r="AH247" s="7">
        <f ca="1">AH244+SUM($C246:AH246)</f>
        <v>-374343.1341429071</v>
      </c>
      <c r="AI247" s="7">
        <f ca="1">AI244+SUM($C246:AI246)</f>
        <v>-412848.38562967844</v>
      </c>
      <c r="AJ247" s="7">
        <f ca="1">AJ244+SUM($C246:AJ246)</f>
        <v>-452123.13719694293</v>
      </c>
      <c r="AK247" s="7">
        <f ca="1">AK244+SUM($C246:AK246)</f>
        <v>-492180.83241051214</v>
      </c>
      <c r="AL247" s="7">
        <f ca="1">AL244+SUM($C246:AL246)</f>
        <v>-533035.07710725791</v>
      </c>
      <c r="AM247" s="7">
        <f ca="1">AM244+SUM($C246:AM246)</f>
        <v>-574699.6382373441</v>
      </c>
    </row>
    <row r="248" spans="1:39" x14ac:dyDescent="0.2">
      <c r="A248" s="3" t="s">
        <v>19</v>
      </c>
      <c r="C248" s="7">
        <f ca="1">IF(C247&lt;0,-C247,0)</f>
        <v>0</v>
      </c>
      <c r="D248" s="7">
        <f ca="1">IF(D247+SUM($C248:C248)&lt;0,-(D247+SUM($C248:C248)),0)</f>
        <v>0</v>
      </c>
      <c r="E248" s="7">
        <f ca="1">IF(E247+SUM($C248:D248)&lt;0,-(E247+SUM($C248:D248)),0)</f>
        <v>0</v>
      </c>
      <c r="F248" s="7">
        <f ca="1">IF(F247+SUM($C248:E248)&lt;0,-(F247+SUM($C248:E248)),0)</f>
        <v>0</v>
      </c>
      <c r="G248" s="7">
        <f ca="1">IF(G247+SUM($C248:F248)&lt;0,-(G247+SUM($C248:F248)),0)</f>
        <v>0</v>
      </c>
      <c r="H248" s="7">
        <f ca="1">IF(H247+SUM($C248:G248)&lt;0,-(H247+SUM($C248:G248)),0)</f>
        <v>0</v>
      </c>
      <c r="I248" s="7">
        <f ca="1">IF(I247+SUM($C248:H248)&lt;0,-(I247+SUM($C248:H248)),0)</f>
        <v>0</v>
      </c>
      <c r="J248" s="7">
        <f ca="1">IF(J247+SUM($C248:I248)&lt;0,-(J247+SUM($C248:I248)),0)</f>
        <v>0</v>
      </c>
      <c r="K248" s="7">
        <f ca="1">IF(K247+SUM($C248:J248)&lt;0,-(K247+SUM($C248:J248)),0)</f>
        <v>0</v>
      </c>
      <c r="L248" s="7">
        <f ca="1">IF(L247+SUM($C248:K248)&lt;0,-(L247+SUM($C248:K248)),0)</f>
        <v>0</v>
      </c>
      <c r="M248" s="7">
        <f ca="1">IF(M247+SUM($C248:L248)&lt;0,-(M247+SUM($C248:L248)),0)</f>
        <v>0</v>
      </c>
      <c r="N248" s="7">
        <f ca="1">IF(N247+SUM($C248:M248)&lt;0,-(N247+SUM($C248:M248)),0)</f>
        <v>0</v>
      </c>
      <c r="O248" s="7">
        <f ca="1">IF(O247+SUM($C248:N248)&lt;0,-(O247+SUM($C248:N248)),0)</f>
        <v>0</v>
      </c>
      <c r="P248" s="7">
        <f ca="1">IF(P247+SUM($C248:O248)&lt;0,-(P247+SUM($C248:O248)),0)</f>
        <v>0</v>
      </c>
      <c r="Q248" s="7">
        <f ca="1">IF(Q247+SUM($C248:P248)&lt;0,-(Q247+SUM($C248:P248)),0)</f>
        <v>0</v>
      </c>
      <c r="R248" s="7">
        <f ca="1">IF(R247+SUM($C248:Q248)&lt;0,-(R247+SUM($C248:Q248)),0)</f>
        <v>0</v>
      </c>
      <c r="S248" s="7">
        <f ca="1">IF(S247+SUM($C248:R248)&lt;0,-(S247+SUM($C248:R248)),0)</f>
        <v>0</v>
      </c>
      <c r="T248" s="7">
        <f ca="1">IF(T247+SUM($C248:S248)&lt;0,-(T247+SUM($C248:S248)),0)</f>
        <v>0</v>
      </c>
      <c r="U248" s="7">
        <f ca="1">IF(U247+SUM($C248:T248)&lt;0,-(U247+SUM($C248:T248)),0)</f>
        <v>0</v>
      </c>
      <c r="V248" s="7">
        <f ca="1">IF(V247+SUM($C248:U248)&lt;0,-(V247+SUM($C248:U248)),0)</f>
        <v>0</v>
      </c>
      <c r="W248" s="7">
        <f ca="1">IF(W247+SUM($C248:V248)&lt;0,-(W247+SUM($C248:V248)),0)</f>
        <v>0</v>
      </c>
      <c r="X248" s="7">
        <f ca="1">IF(X247+SUM($C248:W248)&lt;0,-(X247+SUM($C248:W248)),0)</f>
        <v>0</v>
      </c>
      <c r="Y248" s="7">
        <f ca="1">IF(Y247+SUM($C248:X248)&lt;0,-(Y247+SUM($C248:X248)),0)</f>
        <v>13909.631820151519</v>
      </c>
      <c r="Z248" s="7">
        <f ca="1">IF(Z247+SUM($C248:Y248)&lt;0,-(Z247+SUM($C248:Y248)),0)</f>
        <v>40980.629633884862</v>
      </c>
      <c r="AA248" s="7">
        <f ca="1">IF(AA247+SUM($C248:Z248)&lt;0,-(AA247+SUM($C248:Z248)),0)</f>
        <v>41857.126386397351</v>
      </c>
      <c r="AB248" s="7">
        <f ca="1">IF(AB247+SUM($C248:AA248)&lt;0,-(AB247+SUM($C248:AA248)),0)</f>
        <v>42751.094988072946</v>
      </c>
      <c r="AC248" s="7">
        <f ca="1">IF(AC247+SUM($C248:AB248)&lt;0,-(AC247+SUM($C248:AB248)),0)</f>
        <v>43662.839018050581</v>
      </c>
      <c r="AD248" s="7">
        <f ca="1">IF(AD247+SUM($C248:AC248)&lt;0,-(AD247+SUM($C248:AC248)),0)</f>
        <v>44592.665648436232</v>
      </c>
      <c r="AE248" s="7">
        <f ca="1">IF(AE247+SUM($C248:AD248)&lt;0,-(AE247+SUM($C248:AD248)),0)</f>
        <v>35558.410520443169</v>
      </c>
      <c r="AF248" s="7">
        <f ca="1">IF(AF247+SUM($C248:AE248)&lt;0,-(AF247+SUM($C248:AE248)),0)</f>
        <v>36275.776207773946</v>
      </c>
      <c r="AG248" s="7">
        <f ca="1">IF(AG247+SUM($C248:AF248)&lt;0,-(AG247+SUM($C248:AF248)),0)</f>
        <v>37005.928200017661</v>
      </c>
      <c r="AH248" s="7">
        <f ca="1">IF(AH247+SUM($C248:AG248)&lt;0,-(AH247+SUM($C248:AG248)),0)</f>
        <v>37749.031719678838</v>
      </c>
      <c r="AI248" s="7">
        <f ca="1">IF(AI247+SUM($C248:AH248)&lt;0,-(AI247+SUM($C248:AH248)),0)</f>
        <v>38505.251486771333</v>
      </c>
      <c r="AJ248" s="7">
        <f ca="1">IF(AJ247+SUM($C248:AI248)&lt;0,-(AJ247+SUM($C248:AI248)),0)</f>
        <v>39274.751567264495</v>
      </c>
      <c r="AK248" s="7">
        <f ca="1">IF(AK247+SUM($C248:AJ248)&lt;0,-(AK247+SUM($C248:AJ248)),0)</f>
        <v>40057.695213569212</v>
      </c>
      <c r="AL248" s="7">
        <f ca="1">IF(AL247+SUM($C248:AK248)&lt;0,-(AL247+SUM($C248:AK248)),0)</f>
        <v>40854.244696745765</v>
      </c>
      <c r="AM248" s="7">
        <f ca="1">IF(AM247+SUM($C248:AL248)&lt;0,-(AM247+SUM($C248:AL248)),0)</f>
        <v>41664.561130086193</v>
      </c>
    </row>
    <row r="249" spans="1:39" x14ac:dyDescent="0.2"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</row>
    <row r="250" spans="1:39" x14ac:dyDescent="0.2">
      <c r="A250" s="24" t="str">
        <f>IF(Inputs!$B$289=6,IFERROR(_xlfn.XLOOKUP($B250,Inputs!$B$290:$B$299,Inputs!$A$290:$A$299,,0,1),""),IFERROR(_xlfn.XLOOKUP($B250,Inputs!$C$290:$C$299,Inputs!$A$290:$A$299,,0,1),""))</f>
        <v>Qormi</v>
      </c>
      <c r="B250" s="26">
        <v>9</v>
      </c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</row>
    <row r="251" spans="1:39" x14ac:dyDescent="0.2">
      <c r="A251" s="3" t="s">
        <v>21</v>
      </c>
      <c r="C251" s="7">
        <f ca="1">IFERROR(VLOOKUP($A250,$A$67:$H$96,C$1+2,FALSE),0)</f>
        <v>224931.66569048862</v>
      </c>
      <c r="D251" s="7">
        <f ca="1">C254</f>
        <v>224931.66569048862</v>
      </c>
      <c r="E251" s="7">
        <f t="shared" ref="E251:AM251" ca="1" si="142">D254</f>
        <v>231679.61566120328</v>
      </c>
      <c r="F251" s="7">
        <f t="shared" ca="1" si="142"/>
        <v>238630.00413103937</v>
      </c>
      <c r="G251" s="7">
        <f t="shared" ca="1" si="142"/>
        <v>245788.90425497055</v>
      </c>
      <c r="H251" s="7">
        <f t="shared" ca="1" si="142"/>
        <v>253162.57138261967</v>
      </c>
      <c r="I251" s="7">
        <f t="shared" ca="1" si="142"/>
        <v>260757.44852409826</v>
      </c>
      <c r="J251" s="7">
        <f t="shared" ca="1" si="142"/>
        <v>268580.17197982123</v>
      </c>
      <c r="K251" s="7">
        <f t="shared" ca="1" si="142"/>
        <v>276637.57713921589</v>
      </c>
      <c r="L251" s="7">
        <f t="shared" ca="1" si="142"/>
        <v>284936.70445339236</v>
      </c>
      <c r="M251" s="7">
        <f t="shared" ca="1" si="142"/>
        <v>293484.80558699416</v>
      </c>
      <c r="N251" s="7">
        <f t="shared" ca="1" si="142"/>
        <v>302289.34975460399</v>
      </c>
      <c r="O251" s="7">
        <f t="shared" ca="1" si="142"/>
        <v>311358.03024724213</v>
      </c>
      <c r="P251" s="7">
        <f t="shared" ca="1" si="142"/>
        <v>320698.77115465939</v>
      </c>
      <c r="Q251" s="7">
        <f t="shared" ca="1" si="142"/>
        <v>330319.73428929917</v>
      </c>
      <c r="R251" s="7">
        <f t="shared" ca="1" si="142"/>
        <v>340229.32631797815</v>
      </c>
      <c r="S251" s="7">
        <f t="shared" ca="1" si="142"/>
        <v>350436.20610751747</v>
      </c>
      <c r="T251" s="7">
        <f t="shared" ca="1" si="142"/>
        <v>360949.29229074297</v>
      </c>
      <c r="U251" s="7">
        <f t="shared" ca="1" si="142"/>
        <v>371777.77105946525</v>
      </c>
      <c r="V251" s="7">
        <f t="shared" ca="1" si="142"/>
        <v>382931.10419124918</v>
      </c>
      <c r="W251" s="7">
        <f t="shared" ca="1" si="142"/>
        <v>394419.03731698665</v>
      </c>
      <c r="X251" s="7">
        <f t="shared" ca="1" si="142"/>
        <v>406251.60843649623</v>
      </c>
      <c r="Y251" s="7">
        <f t="shared" ca="1" si="142"/>
        <v>0</v>
      </c>
      <c r="Z251" s="7">
        <f t="shared" ca="1" si="142"/>
        <v>0</v>
      </c>
      <c r="AA251" s="7">
        <f t="shared" ca="1" si="142"/>
        <v>0</v>
      </c>
      <c r="AB251" s="7">
        <f t="shared" ca="1" si="142"/>
        <v>0</v>
      </c>
      <c r="AC251" s="7">
        <f t="shared" ca="1" si="142"/>
        <v>0</v>
      </c>
      <c r="AD251" s="7">
        <f t="shared" ca="1" si="142"/>
        <v>0</v>
      </c>
      <c r="AE251" s="7">
        <f t="shared" ca="1" si="142"/>
        <v>0</v>
      </c>
      <c r="AF251" s="7">
        <f t="shared" ca="1" si="142"/>
        <v>0</v>
      </c>
      <c r="AG251" s="7">
        <f t="shared" ca="1" si="142"/>
        <v>0</v>
      </c>
      <c r="AH251" s="7">
        <f t="shared" ca="1" si="142"/>
        <v>0</v>
      </c>
      <c r="AI251" s="7">
        <f t="shared" ca="1" si="142"/>
        <v>0</v>
      </c>
      <c r="AJ251" s="7">
        <f t="shared" ca="1" si="142"/>
        <v>0</v>
      </c>
      <c r="AK251" s="7">
        <f t="shared" ca="1" si="142"/>
        <v>0</v>
      </c>
      <c r="AL251" s="7">
        <f t="shared" ca="1" si="142"/>
        <v>0</v>
      </c>
      <c r="AM251" s="7">
        <f t="shared" ca="1" si="142"/>
        <v>0</v>
      </c>
    </row>
    <row r="252" spans="1:39" x14ac:dyDescent="0.2">
      <c r="A252" s="3" t="s">
        <v>22</v>
      </c>
      <c r="C252" s="7">
        <f ca="1">-IF(D248&gt;0,C251,0)</f>
        <v>0</v>
      </c>
      <c r="D252" s="7">
        <f ca="1">-IF(E248&gt;0,D251,0)</f>
        <v>0</v>
      </c>
      <c r="E252" s="7">
        <f ca="1">-IF(F248&gt;0,E251,0)</f>
        <v>0</v>
      </c>
      <c r="F252" s="7">
        <f ca="1">-IF(G248&gt;0,F251,0)</f>
        <v>0</v>
      </c>
      <c r="G252" s="7">
        <f t="shared" ref="G252:AM252" ca="1" si="143">-IF(H248&gt;0,G251,0)</f>
        <v>0</v>
      </c>
      <c r="H252" s="7">
        <f t="shared" ca="1" si="143"/>
        <v>0</v>
      </c>
      <c r="I252" s="7">
        <f t="shared" ca="1" si="143"/>
        <v>0</v>
      </c>
      <c r="J252" s="7">
        <f t="shared" ca="1" si="143"/>
        <v>0</v>
      </c>
      <c r="K252" s="7">
        <f t="shared" ca="1" si="143"/>
        <v>0</v>
      </c>
      <c r="L252" s="7">
        <f t="shared" ca="1" si="143"/>
        <v>0</v>
      </c>
      <c r="M252" s="7">
        <f t="shared" ca="1" si="143"/>
        <v>0</v>
      </c>
      <c r="N252" s="7">
        <f t="shared" ca="1" si="143"/>
        <v>0</v>
      </c>
      <c r="O252" s="7">
        <f t="shared" ca="1" si="143"/>
        <v>0</v>
      </c>
      <c r="P252" s="7">
        <f t="shared" ca="1" si="143"/>
        <v>0</v>
      </c>
      <c r="Q252" s="7">
        <f t="shared" ca="1" si="143"/>
        <v>0</v>
      </c>
      <c r="R252" s="7">
        <f t="shared" ca="1" si="143"/>
        <v>0</v>
      </c>
      <c r="S252" s="7">
        <f t="shared" ca="1" si="143"/>
        <v>0</v>
      </c>
      <c r="T252" s="7">
        <f t="shared" ca="1" si="143"/>
        <v>0</v>
      </c>
      <c r="U252" s="7">
        <f t="shared" ca="1" si="143"/>
        <v>0</v>
      </c>
      <c r="V252" s="7">
        <f t="shared" ca="1" si="143"/>
        <v>0</v>
      </c>
      <c r="W252" s="7">
        <f t="shared" ca="1" si="143"/>
        <v>0</v>
      </c>
      <c r="X252" s="7">
        <f t="shared" ca="1" si="143"/>
        <v>-406251.60843649623</v>
      </c>
      <c r="Y252" s="7">
        <f t="shared" ca="1" si="143"/>
        <v>0</v>
      </c>
      <c r="Z252" s="7">
        <f t="shared" ca="1" si="143"/>
        <v>0</v>
      </c>
      <c r="AA252" s="7">
        <f t="shared" ca="1" si="143"/>
        <v>0</v>
      </c>
      <c r="AB252" s="7">
        <f t="shared" ca="1" si="143"/>
        <v>0</v>
      </c>
      <c r="AC252" s="7">
        <f t="shared" ca="1" si="143"/>
        <v>0</v>
      </c>
      <c r="AD252" s="7">
        <f t="shared" ca="1" si="143"/>
        <v>0</v>
      </c>
      <c r="AE252" s="7">
        <f t="shared" ca="1" si="143"/>
        <v>0</v>
      </c>
      <c r="AF252" s="7">
        <f t="shared" ca="1" si="143"/>
        <v>0</v>
      </c>
      <c r="AG252" s="7">
        <f t="shared" ca="1" si="143"/>
        <v>0</v>
      </c>
      <c r="AH252" s="7">
        <f t="shared" ca="1" si="143"/>
        <v>0</v>
      </c>
      <c r="AI252" s="7">
        <f t="shared" ca="1" si="143"/>
        <v>0</v>
      </c>
      <c r="AJ252" s="7">
        <f t="shared" ca="1" si="143"/>
        <v>0</v>
      </c>
      <c r="AK252" s="7">
        <f t="shared" ca="1" si="143"/>
        <v>0</v>
      </c>
      <c r="AL252" s="7">
        <f t="shared" ca="1" si="143"/>
        <v>0</v>
      </c>
      <c r="AM252" s="7">
        <f t="shared" si="143"/>
        <v>0</v>
      </c>
    </row>
    <row r="253" spans="1:39" x14ac:dyDescent="0.2">
      <c r="A253" s="3" t="s">
        <v>23</v>
      </c>
      <c r="C253" s="7">
        <v>0</v>
      </c>
      <c r="D253" s="7">
        <f t="shared" ref="D253:AM253" ca="1" si="144">SUM(D251:D252)*VLOOKUP($A250,AssVar,2,FALSE)</f>
        <v>6747.9499707146579</v>
      </c>
      <c r="E253" s="7">
        <f t="shared" ca="1" si="144"/>
        <v>6950.388469836098</v>
      </c>
      <c r="F253" s="7">
        <f t="shared" ca="1" si="144"/>
        <v>7158.900123931181</v>
      </c>
      <c r="G253" s="7">
        <f t="shared" ca="1" si="144"/>
        <v>7373.6671276491161</v>
      </c>
      <c r="H253" s="7">
        <f t="shared" ca="1" si="144"/>
        <v>7594.8771414785897</v>
      </c>
      <c r="I253" s="7">
        <f t="shared" ca="1" si="144"/>
        <v>7822.7234557229476</v>
      </c>
      <c r="J253" s="7">
        <f t="shared" ca="1" si="144"/>
        <v>8057.4051593946369</v>
      </c>
      <c r="K253" s="7">
        <f t="shared" ca="1" si="144"/>
        <v>8299.1273141764759</v>
      </c>
      <c r="L253" s="7">
        <f t="shared" ca="1" si="144"/>
        <v>8548.1011336017709</v>
      </c>
      <c r="M253" s="7">
        <f t="shared" ca="1" si="144"/>
        <v>8804.5441676098253</v>
      </c>
      <c r="N253" s="7">
        <f t="shared" ca="1" si="144"/>
        <v>9068.6804926381192</v>
      </c>
      <c r="O253" s="7">
        <f t="shared" ca="1" si="144"/>
        <v>9340.7409074172629</v>
      </c>
      <c r="P253" s="7">
        <f t="shared" ca="1" si="144"/>
        <v>9620.9631346397819</v>
      </c>
      <c r="Q253" s="7">
        <f t="shared" ca="1" si="144"/>
        <v>9909.5920286789751</v>
      </c>
      <c r="R253" s="7">
        <f t="shared" ca="1" si="144"/>
        <v>10206.879789539344</v>
      </c>
      <c r="S253" s="7">
        <f t="shared" ca="1" si="144"/>
        <v>10513.086183225523</v>
      </c>
      <c r="T253" s="7">
        <f t="shared" ca="1" si="144"/>
        <v>10828.478768722289</v>
      </c>
      <c r="U253" s="7">
        <f t="shared" ca="1" si="144"/>
        <v>11153.333131783957</v>
      </c>
      <c r="V253" s="7">
        <f t="shared" ca="1" si="144"/>
        <v>11487.933125737474</v>
      </c>
      <c r="W253" s="7">
        <f t="shared" ca="1" si="144"/>
        <v>11832.571119509599</v>
      </c>
      <c r="X253" s="7">
        <f t="shared" ca="1" si="144"/>
        <v>0</v>
      </c>
      <c r="Y253" s="7">
        <f t="shared" ca="1" si="144"/>
        <v>0</v>
      </c>
      <c r="Z253" s="7">
        <f t="shared" ca="1" si="144"/>
        <v>0</v>
      </c>
      <c r="AA253" s="7">
        <f t="shared" ca="1" si="144"/>
        <v>0</v>
      </c>
      <c r="AB253" s="7">
        <f t="shared" ca="1" si="144"/>
        <v>0</v>
      </c>
      <c r="AC253" s="7">
        <f t="shared" ca="1" si="144"/>
        <v>0</v>
      </c>
      <c r="AD253" s="7">
        <f t="shared" ca="1" si="144"/>
        <v>0</v>
      </c>
      <c r="AE253" s="7">
        <f t="shared" ca="1" si="144"/>
        <v>0</v>
      </c>
      <c r="AF253" s="7">
        <f t="shared" ca="1" si="144"/>
        <v>0</v>
      </c>
      <c r="AG253" s="7">
        <f t="shared" ca="1" si="144"/>
        <v>0</v>
      </c>
      <c r="AH253" s="7">
        <f t="shared" ca="1" si="144"/>
        <v>0</v>
      </c>
      <c r="AI253" s="7">
        <f t="shared" ca="1" si="144"/>
        <v>0</v>
      </c>
      <c r="AJ253" s="7">
        <f t="shared" ca="1" si="144"/>
        <v>0</v>
      </c>
      <c r="AK253" s="7">
        <f t="shared" ca="1" si="144"/>
        <v>0</v>
      </c>
      <c r="AL253" s="7">
        <f t="shared" ca="1" si="144"/>
        <v>0</v>
      </c>
      <c r="AM253" s="7">
        <f t="shared" ca="1" si="144"/>
        <v>0</v>
      </c>
    </row>
    <row r="254" spans="1:39" x14ac:dyDescent="0.2">
      <c r="A254" s="3" t="s">
        <v>24</v>
      </c>
      <c r="C254" s="7">
        <f ca="1">SUM(C251:C253)</f>
        <v>224931.66569048862</v>
      </c>
      <c r="D254" s="7">
        <f t="shared" ref="D254:AM254" ca="1" si="145">SUM(D251:D253)</f>
        <v>231679.61566120328</v>
      </c>
      <c r="E254" s="7">
        <f t="shared" ca="1" si="145"/>
        <v>238630.00413103937</v>
      </c>
      <c r="F254" s="7">
        <f t="shared" ca="1" si="145"/>
        <v>245788.90425497055</v>
      </c>
      <c r="G254" s="7">
        <f t="shared" ca="1" si="145"/>
        <v>253162.57138261967</v>
      </c>
      <c r="H254" s="7">
        <f t="shared" ca="1" si="145"/>
        <v>260757.44852409826</v>
      </c>
      <c r="I254" s="7">
        <f t="shared" ca="1" si="145"/>
        <v>268580.17197982123</v>
      </c>
      <c r="J254" s="7">
        <f t="shared" ca="1" si="145"/>
        <v>276637.57713921589</v>
      </c>
      <c r="K254" s="7">
        <f t="shared" ca="1" si="145"/>
        <v>284936.70445339236</v>
      </c>
      <c r="L254" s="7">
        <f t="shared" ca="1" si="145"/>
        <v>293484.80558699416</v>
      </c>
      <c r="M254" s="7">
        <f t="shared" ca="1" si="145"/>
        <v>302289.34975460399</v>
      </c>
      <c r="N254" s="7">
        <f t="shared" ca="1" si="145"/>
        <v>311358.03024724213</v>
      </c>
      <c r="O254" s="7">
        <f t="shared" ca="1" si="145"/>
        <v>320698.77115465939</v>
      </c>
      <c r="P254" s="7">
        <f t="shared" ca="1" si="145"/>
        <v>330319.73428929917</v>
      </c>
      <c r="Q254" s="7">
        <f t="shared" ca="1" si="145"/>
        <v>340229.32631797815</v>
      </c>
      <c r="R254" s="7">
        <f t="shared" ca="1" si="145"/>
        <v>350436.20610751747</v>
      </c>
      <c r="S254" s="7">
        <f t="shared" ca="1" si="145"/>
        <v>360949.29229074297</v>
      </c>
      <c r="T254" s="7">
        <f t="shared" ca="1" si="145"/>
        <v>371777.77105946525</v>
      </c>
      <c r="U254" s="7">
        <f t="shared" ca="1" si="145"/>
        <v>382931.10419124918</v>
      </c>
      <c r="V254" s="7">
        <f t="shared" ca="1" si="145"/>
        <v>394419.03731698665</v>
      </c>
      <c r="W254" s="7">
        <f t="shared" ca="1" si="145"/>
        <v>406251.60843649623</v>
      </c>
      <c r="X254" s="7">
        <f t="shared" ca="1" si="145"/>
        <v>0</v>
      </c>
      <c r="Y254" s="7">
        <f t="shared" ca="1" si="145"/>
        <v>0</v>
      </c>
      <c r="Z254" s="7">
        <f t="shared" ca="1" si="145"/>
        <v>0</v>
      </c>
      <c r="AA254" s="7">
        <f t="shared" ca="1" si="145"/>
        <v>0</v>
      </c>
      <c r="AB254" s="7">
        <f t="shared" ca="1" si="145"/>
        <v>0</v>
      </c>
      <c r="AC254" s="7">
        <f t="shared" ca="1" si="145"/>
        <v>0</v>
      </c>
      <c r="AD254" s="7">
        <f t="shared" ca="1" si="145"/>
        <v>0</v>
      </c>
      <c r="AE254" s="7">
        <f t="shared" ca="1" si="145"/>
        <v>0</v>
      </c>
      <c r="AF254" s="7">
        <f t="shared" ca="1" si="145"/>
        <v>0</v>
      </c>
      <c r="AG254" s="7">
        <f t="shared" ca="1" si="145"/>
        <v>0</v>
      </c>
      <c r="AH254" s="7">
        <f t="shared" ca="1" si="145"/>
        <v>0</v>
      </c>
      <c r="AI254" s="7">
        <f t="shared" ca="1" si="145"/>
        <v>0</v>
      </c>
      <c r="AJ254" s="7">
        <f t="shared" ca="1" si="145"/>
        <v>0</v>
      </c>
      <c r="AK254" s="7">
        <f t="shared" ca="1" si="145"/>
        <v>0</v>
      </c>
      <c r="AL254" s="7">
        <f t="shared" ca="1" si="145"/>
        <v>0</v>
      </c>
      <c r="AM254" s="7">
        <f t="shared" ca="1" si="145"/>
        <v>0</v>
      </c>
    </row>
    <row r="255" spans="1:39" x14ac:dyDescent="0.2">
      <c r="A255" s="3" t="s">
        <v>25</v>
      </c>
      <c r="C255" s="7">
        <f t="shared" ref="C255:AM255" ca="1" si="146">C252*VLOOKUP($A250,AssVar,3,FALSE)</f>
        <v>0</v>
      </c>
      <c r="D255" s="7">
        <f t="shared" ca="1" si="146"/>
        <v>0</v>
      </c>
      <c r="E255" s="7">
        <f t="shared" ca="1" si="146"/>
        <v>0</v>
      </c>
      <c r="F255" s="7">
        <f t="shared" ca="1" si="146"/>
        <v>0</v>
      </c>
      <c r="G255" s="7">
        <f t="shared" ca="1" si="146"/>
        <v>0</v>
      </c>
      <c r="H255" s="7">
        <f t="shared" ca="1" si="146"/>
        <v>0</v>
      </c>
      <c r="I255" s="7">
        <f t="shared" ca="1" si="146"/>
        <v>0</v>
      </c>
      <c r="J255" s="7">
        <f t="shared" ca="1" si="146"/>
        <v>0</v>
      </c>
      <c r="K255" s="7">
        <f t="shared" ca="1" si="146"/>
        <v>0</v>
      </c>
      <c r="L255" s="7">
        <f t="shared" ca="1" si="146"/>
        <v>0</v>
      </c>
      <c r="M255" s="7">
        <f t="shared" ca="1" si="146"/>
        <v>0</v>
      </c>
      <c r="N255" s="7">
        <f t="shared" ca="1" si="146"/>
        <v>0</v>
      </c>
      <c r="O255" s="7">
        <f t="shared" ca="1" si="146"/>
        <v>0</v>
      </c>
      <c r="P255" s="7">
        <f t="shared" ca="1" si="146"/>
        <v>0</v>
      </c>
      <c r="Q255" s="7">
        <f t="shared" ca="1" si="146"/>
        <v>0</v>
      </c>
      <c r="R255" s="7">
        <f t="shared" ca="1" si="146"/>
        <v>0</v>
      </c>
      <c r="S255" s="7">
        <f t="shared" ca="1" si="146"/>
        <v>0</v>
      </c>
      <c r="T255" s="7">
        <f t="shared" ca="1" si="146"/>
        <v>0</v>
      </c>
      <c r="U255" s="7">
        <f t="shared" ca="1" si="146"/>
        <v>0</v>
      </c>
      <c r="V255" s="7">
        <f t="shared" ca="1" si="146"/>
        <v>0</v>
      </c>
      <c r="W255" s="7">
        <f t="shared" ca="1" si="146"/>
        <v>0</v>
      </c>
      <c r="X255" s="7">
        <f t="shared" ca="1" si="146"/>
        <v>-60937.741265474433</v>
      </c>
      <c r="Y255" s="7">
        <f t="shared" ca="1" si="146"/>
        <v>0</v>
      </c>
      <c r="Z255" s="7">
        <f t="shared" ca="1" si="146"/>
        <v>0</v>
      </c>
      <c r="AA255" s="7">
        <f t="shared" ca="1" si="146"/>
        <v>0</v>
      </c>
      <c r="AB255" s="7">
        <f t="shared" ca="1" si="146"/>
        <v>0</v>
      </c>
      <c r="AC255" s="7">
        <f t="shared" ca="1" si="146"/>
        <v>0</v>
      </c>
      <c r="AD255" s="7">
        <f t="shared" ca="1" si="146"/>
        <v>0</v>
      </c>
      <c r="AE255" s="7">
        <f t="shared" ca="1" si="146"/>
        <v>0</v>
      </c>
      <c r="AF255" s="7">
        <f t="shared" ca="1" si="146"/>
        <v>0</v>
      </c>
      <c r="AG255" s="7">
        <f t="shared" ca="1" si="146"/>
        <v>0</v>
      </c>
      <c r="AH255" s="7">
        <f t="shared" ca="1" si="146"/>
        <v>0</v>
      </c>
      <c r="AI255" s="7">
        <f t="shared" ca="1" si="146"/>
        <v>0</v>
      </c>
      <c r="AJ255" s="7">
        <f t="shared" ca="1" si="146"/>
        <v>0</v>
      </c>
      <c r="AK255" s="7">
        <f t="shared" ca="1" si="146"/>
        <v>0</v>
      </c>
      <c r="AL255" s="7">
        <f t="shared" ca="1" si="146"/>
        <v>0</v>
      </c>
      <c r="AM255" s="7">
        <f t="shared" si="146"/>
        <v>0</v>
      </c>
    </row>
    <row r="256" spans="1:39" x14ac:dyDescent="0.2">
      <c r="A256" s="3" t="s">
        <v>30</v>
      </c>
      <c r="C256" s="7">
        <f t="shared" ref="C256:AM256" ca="1" si="147">IFERROR(-IF(C251=0,VLOOKUP($A250,$8:$12,C$1+2,FALSE),0),0)</f>
        <v>0</v>
      </c>
      <c r="D256" s="7">
        <f t="shared" ca="1" si="147"/>
        <v>0</v>
      </c>
      <c r="E256" s="7">
        <f t="shared" ca="1" si="147"/>
        <v>0</v>
      </c>
      <c r="F256" s="7">
        <f t="shared" ca="1" si="147"/>
        <v>0</v>
      </c>
      <c r="G256" s="7">
        <f t="shared" ca="1" si="147"/>
        <v>0</v>
      </c>
      <c r="H256" s="7">
        <f t="shared" ca="1" si="147"/>
        <v>0</v>
      </c>
      <c r="I256" s="7">
        <f t="shared" ca="1" si="147"/>
        <v>0</v>
      </c>
      <c r="J256" s="7">
        <f t="shared" ca="1" si="147"/>
        <v>0</v>
      </c>
      <c r="K256" s="7">
        <f t="shared" ca="1" si="147"/>
        <v>0</v>
      </c>
      <c r="L256" s="7">
        <f t="shared" ca="1" si="147"/>
        <v>0</v>
      </c>
      <c r="M256" s="7">
        <f t="shared" ca="1" si="147"/>
        <v>0</v>
      </c>
      <c r="N256" s="7">
        <f t="shared" ca="1" si="147"/>
        <v>0</v>
      </c>
      <c r="O256" s="7">
        <f t="shared" ca="1" si="147"/>
        <v>0</v>
      </c>
      <c r="P256" s="7">
        <f t="shared" ca="1" si="147"/>
        <v>0</v>
      </c>
      <c r="Q256" s="7">
        <f t="shared" ca="1" si="147"/>
        <v>0</v>
      </c>
      <c r="R256" s="7">
        <f t="shared" ca="1" si="147"/>
        <v>0</v>
      </c>
      <c r="S256" s="7">
        <f t="shared" ca="1" si="147"/>
        <v>0</v>
      </c>
      <c r="T256" s="7">
        <f t="shared" ca="1" si="147"/>
        <v>0</v>
      </c>
      <c r="U256" s="7">
        <f t="shared" ca="1" si="147"/>
        <v>0</v>
      </c>
      <c r="V256" s="7">
        <f t="shared" ca="1" si="147"/>
        <v>0</v>
      </c>
      <c r="W256" s="7">
        <f t="shared" ca="1" si="147"/>
        <v>0</v>
      </c>
      <c r="X256" s="7">
        <f t="shared" ca="1" si="147"/>
        <v>0</v>
      </c>
      <c r="Y256" s="7">
        <f t="shared" ca="1" si="147"/>
        <v>-11496.620453164694</v>
      </c>
      <c r="Z256" s="7">
        <f t="shared" ca="1" si="147"/>
        <v>-11841.519066759636</v>
      </c>
      <c r="AA256" s="7">
        <f t="shared" ca="1" si="147"/>
        <v>-12196.764638762426</v>
      </c>
      <c r="AB256" s="7">
        <f t="shared" ca="1" si="147"/>
        <v>-12562.6675779253</v>
      </c>
      <c r="AC256" s="7">
        <f t="shared" ca="1" si="147"/>
        <v>-12939.54760526306</v>
      </c>
      <c r="AD256" s="7">
        <f t="shared" ca="1" si="147"/>
        <v>-13327.734033420953</v>
      </c>
      <c r="AE256" s="7">
        <f t="shared" ca="1" si="147"/>
        <v>-13727.566054423582</v>
      </c>
      <c r="AF256" s="7">
        <f t="shared" ca="1" si="147"/>
        <v>-14139.39303605629</v>
      </c>
      <c r="AG256" s="7">
        <f t="shared" ca="1" si="147"/>
        <v>-14563.57482713798</v>
      </c>
      <c r="AH256" s="7">
        <f t="shared" ca="1" si="147"/>
        <v>-15000.482071952119</v>
      </c>
      <c r="AI256" s="7">
        <f t="shared" ca="1" si="147"/>
        <v>-15450.496534110684</v>
      </c>
      <c r="AJ256" s="7">
        <f t="shared" ca="1" si="147"/>
        <v>-15914.011430134004</v>
      </c>
      <c r="AK256" s="7">
        <f t="shared" ca="1" si="147"/>
        <v>-16391.431773038024</v>
      </c>
      <c r="AL256" s="7">
        <f t="shared" ca="1" si="147"/>
        <v>-16883.174726229165</v>
      </c>
      <c r="AM256" s="7">
        <f t="shared" ca="1" si="147"/>
        <v>-17389.669968016042</v>
      </c>
    </row>
    <row r="257" spans="1:39" x14ac:dyDescent="0.2">
      <c r="A257" s="3" t="s">
        <v>49</v>
      </c>
      <c r="C257" s="7">
        <f t="shared" ref="C257:AM257" ca="1" si="148">IFERROR(IF(C251=0,VLOOKUP($A250,$46:$50,C$1+2,FALSE),0),0)</f>
        <v>0</v>
      </c>
      <c r="D257" s="7">
        <f t="shared" ca="1" si="148"/>
        <v>0</v>
      </c>
      <c r="E257" s="7">
        <f t="shared" ca="1" si="148"/>
        <v>0</v>
      </c>
      <c r="F257" s="7">
        <f t="shared" ca="1" si="148"/>
        <v>0</v>
      </c>
      <c r="G257" s="7">
        <f t="shared" ca="1" si="148"/>
        <v>0</v>
      </c>
      <c r="H257" s="7">
        <f t="shared" ca="1" si="148"/>
        <v>0</v>
      </c>
      <c r="I257" s="7">
        <f t="shared" ca="1" si="148"/>
        <v>0</v>
      </c>
      <c r="J257" s="7">
        <f t="shared" ca="1" si="148"/>
        <v>0</v>
      </c>
      <c r="K257" s="7">
        <f t="shared" ca="1" si="148"/>
        <v>0</v>
      </c>
      <c r="L257" s="7">
        <f t="shared" ca="1" si="148"/>
        <v>0</v>
      </c>
      <c r="M257" s="7">
        <f t="shared" ca="1" si="148"/>
        <v>0</v>
      </c>
      <c r="N257" s="7">
        <f t="shared" ca="1" si="148"/>
        <v>0</v>
      </c>
      <c r="O257" s="7">
        <f t="shared" ca="1" si="148"/>
        <v>0</v>
      </c>
      <c r="P257" s="7">
        <f t="shared" ca="1" si="148"/>
        <v>0</v>
      </c>
      <c r="Q257" s="7">
        <f t="shared" ca="1" si="148"/>
        <v>0</v>
      </c>
      <c r="R257" s="7">
        <f t="shared" ca="1" si="148"/>
        <v>0</v>
      </c>
      <c r="S257" s="7">
        <f t="shared" ca="1" si="148"/>
        <v>0</v>
      </c>
      <c r="T257" s="7">
        <f t="shared" ca="1" si="148"/>
        <v>0</v>
      </c>
      <c r="U257" s="7">
        <f t="shared" ca="1" si="148"/>
        <v>0</v>
      </c>
      <c r="V257" s="7">
        <f t="shared" ca="1" si="148"/>
        <v>0</v>
      </c>
      <c r="W257" s="7">
        <f t="shared" ca="1" si="148"/>
        <v>0</v>
      </c>
      <c r="X257" s="7">
        <f t="shared" ca="1" si="148"/>
        <v>0</v>
      </c>
      <c r="Y257" s="7">
        <f t="shared" ca="1" si="148"/>
        <v>2065.8856770961161</v>
      </c>
      <c r="Z257" s="7">
        <f t="shared" ca="1" si="148"/>
        <v>2117.5328190235191</v>
      </c>
      <c r="AA257" s="7">
        <f t="shared" ca="1" si="148"/>
        <v>2170.4711394991068</v>
      </c>
      <c r="AB257" s="7">
        <f t="shared" ca="1" si="148"/>
        <v>2224.7329179865842</v>
      </c>
      <c r="AC257" s="7">
        <f t="shared" ca="1" si="148"/>
        <v>2280.3512409362484</v>
      </c>
      <c r="AD257" s="7">
        <f t="shared" ca="1" si="148"/>
        <v>2337.3600219596547</v>
      </c>
      <c r="AE257" s="7">
        <f t="shared" ca="1" si="148"/>
        <v>2395.7940225086459</v>
      </c>
      <c r="AF257" s="7">
        <f t="shared" ca="1" si="148"/>
        <v>2455.6888730713622</v>
      </c>
      <c r="AG257" s="7">
        <f t="shared" ca="1" si="148"/>
        <v>2517.0810948981457</v>
      </c>
      <c r="AH257" s="7">
        <f t="shared" ca="1" si="148"/>
        <v>2580.0081222705999</v>
      </c>
      <c r="AI257" s="7">
        <f t="shared" ca="1" si="148"/>
        <v>2644.5083253273642</v>
      </c>
      <c r="AJ257" s="7">
        <f t="shared" ca="1" si="148"/>
        <v>2710.6210334605485</v>
      </c>
      <c r="AK257" s="7">
        <f t="shared" ca="1" si="148"/>
        <v>2778.3865592970619</v>
      </c>
      <c r="AL257" s="7">
        <f t="shared" ca="1" si="148"/>
        <v>2847.8462232794882</v>
      </c>
      <c r="AM257" s="7">
        <f t="shared" ca="1" si="148"/>
        <v>2919.0423788614758</v>
      </c>
    </row>
    <row r="258" spans="1:39" x14ac:dyDescent="0.2">
      <c r="A258" s="3" t="s">
        <v>35</v>
      </c>
      <c r="B258" s="14" t="str">
        <f>A250</f>
        <v>Qormi</v>
      </c>
      <c r="C258" s="7">
        <f t="shared" ref="C258:AM258" ca="1" si="149">IF(AND(C251&gt;0,C254=0),VLOOKUP($A250,$85:$94,C$1+2,FALSE),0)</f>
        <v>0</v>
      </c>
      <c r="D258" s="7">
        <f t="shared" ca="1" si="149"/>
        <v>0</v>
      </c>
      <c r="E258" s="7">
        <f t="shared" ca="1" si="149"/>
        <v>0</v>
      </c>
      <c r="F258" s="7">
        <f t="shared" ca="1" si="149"/>
        <v>0</v>
      </c>
      <c r="G258" s="7">
        <f t="shared" ca="1" si="149"/>
        <v>0</v>
      </c>
      <c r="H258" s="7">
        <f t="shared" ca="1" si="149"/>
        <v>0</v>
      </c>
      <c r="I258" s="7">
        <f t="shared" ca="1" si="149"/>
        <v>0</v>
      </c>
      <c r="J258" s="7">
        <f t="shared" ca="1" si="149"/>
        <v>0</v>
      </c>
      <c r="K258" s="7">
        <f t="shared" ca="1" si="149"/>
        <v>0</v>
      </c>
      <c r="L258" s="7">
        <f t="shared" ca="1" si="149"/>
        <v>0</v>
      </c>
      <c r="M258" s="7">
        <f t="shared" ca="1" si="149"/>
        <v>0</v>
      </c>
      <c r="N258" s="7">
        <f t="shared" ca="1" si="149"/>
        <v>0</v>
      </c>
      <c r="O258" s="7">
        <f t="shared" ca="1" si="149"/>
        <v>0</v>
      </c>
      <c r="P258" s="7">
        <f t="shared" ca="1" si="149"/>
        <v>0</v>
      </c>
      <c r="Q258" s="7">
        <f t="shared" ca="1" si="149"/>
        <v>0</v>
      </c>
      <c r="R258" s="7">
        <f t="shared" ca="1" si="149"/>
        <v>0</v>
      </c>
      <c r="S258" s="7">
        <f t="shared" ca="1" si="149"/>
        <v>0</v>
      </c>
      <c r="T258" s="7">
        <f t="shared" ca="1" si="149"/>
        <v>0</v>
      </c>
      <c r="U258" s="7">
        <f t="shared" ca="1" si="149"/>
        <v>0</v>
      </c>
      <c r="V258" s="7">
        <f t="shared" ca="1" si="149"/>
        <v>0</v>
      </c>
      <c r="W258" s="7">
        <f t="shared" ca="1" si="149"/>
        <v>0</v>
      </c>
      <c r="X258" s="7">
        <f t="shared" ca="1" si="149"/>
        <v>0</v>
      </c>
      <c r="Y258" s="7">
        <f t="shared" ca="1" si="149"/>
        <v>0</v>
      </c>
      <c r="Z258" s="7">
        <f t="shared" ca="1" si="149"/>
        <v>0</v>
      </c>
      <c r="AA258" s="7">
        <f t="shared" ca="1" si="149"/>
        <v>0</v>
      </c>
      <c r="AB258" s="7">
        <f t="shared" ca="1" si="149"/>
        <v>0</v>
      </c>
      <c r="AC258" s="7">
        <f t="shared" ca="1" si="149"/>
        <v>0</v>
      </c>
      <c r="AD258" s="7">
        <f t="shared" ca="1" si="149"/>
        <v>0</v>
      </c>
      <c r="AE258" s="7">
        <f t="shared" ca="1" si="149"/>
        <v>0</v>
      </c>
      <c r="AF258" s="7">
        <f t="shared" ca="1" si="149"/>
        <v>0</v>
      </c>
      <c r="AG258" s="7">
        <f t="shared" ca="1" si="149"/>
        <v>0</v>
      </c>
      <c r="AH258" s="7">
        <f t="shared" ca="1" si="149"/>
        <v>0</v>
      </c>
      <c r="AI258" s="7">
        <f t="shared" ca="1" si="149"/>
        <v>0</v>
      </c>
      <c r="AJ258" s="7">
        <f t="shared" ca="1" si="149"/>
        <v>0</v>
      </c>
      <c r="AK258" s="7">
        <f t="shared" ca="1" si="149"/>
        <v>0</v>
      </c>
      <c r="AL258" s="7">
        <f t="shared" ca="1" si="149"/>
        <v>0</v>
      </c>
      <c r="AM258" s="7">
        <f t="shared" ca="1" si="149"/>
        <v>0</v>
      </c>
    </row>
    <row r="259" spans="1:39" x14ac:dyDescent="0.2">
      <c r="A259" s="3" t="s">
        <v>36</v>
      </c>
      <c r="C259" s="7">
        <f ca="1">-C252+SUM(C255:C258)</f>
        <v>0</v>
      </c>
      <c r="D259" s="7">
        <f t="shared" ref="D259" ca="1" si="150">-D252+SUM(D255:D258)</f>
        <v>0</v>
      </c>
      <c r="E259" s="7">
        <f t="shared" ref="E259:AM259" ca="1" si="151">-E252+SUM(E255:E258)</f>
        <v>0</v>
      </c>
      <c r="F259" s="7">
        <f t="shared" ca="1" si="151"/>
        <v>0</v>
      </c>
      <c r="G259" s="7">
        <f t="shared" ca="1" si="151"/>
        <v>0</v>
      </c>
      <c r="H259" s="7">
        <f t="shared" ca="1" si="151"/>
        <v>0</v>
      </c>
      <c r="I259" s="7">
        <f t="shared" ca="1" si="151"/>
        <v>0</v>
      </c>
      <c r="J259" s="7">
        <f t="shared" ca="1" si="151"/>
        <v>0</v>
      </c>
      <c r="K259" s="7">
        <f t="shared" ca="1" si="151"/>
        <v>0</v>
      </c>
      <c r="L259" s="7">
        <f t="shared" ca="1" si="151"/>
        <v>0</v>
      </c>
      <c r="M259" s="7">
        <f t="shared" ca="1" si="151"/>
        <v>0</v>
      </c>
      <c r="N259" s="7">
        <f t="shared" ca="1" si="151"/>
        <v>0</v>
      </c>
      <c r="O259" s="7">
        <f t="shared" ca="1" si="151"/>
        <v>0</v>
      </c>
      <c r="P259" s="7">
        <f t="shared" ca="1" si="151"/>
        <v>0</v>
      </c>
      <c r="Q259" s="7">
        <f t="shared" ca="1" si="151"/>
        <v>0</v>
      </c>
      <c r="R259" s="7">
        <f t="shared" ca="1" si="151"/>
        <v>0</v>
      </c>
      <c r="S259" s="7">
        <f t="shared" ca="1" si="151"/>
        <v>0</v>
      </c>
      <c r="T259" s="7">
        <f t="shared" ca="1" si="151"/>
        <v>0</v>
      </c>
      <c r="U259" s="7">
        <f t="shared" ca="1" si="151"/>
        <v>0</v>
      </c>
      <c r="V259" s="7">
        <f t="shared" ca="1" si="151"/>
        <v>0</v>
      </c>
      <c r="W259" s="7">
        <f t="shared" ca="1" si="151"/>
        <v>0</v>
      </c>
      <c r="X259" s="7">
        <f t="shared" ca="1" si="151"/>
        <v>345313.86717102182</v>
      </c>
      <c r="Y259" s="7">
        <f t="shared" ca="1" si="151"/>
        <v>-9430.7347760685789</v>
      </c>
      <c r="Z259" s="7">
        <f t="shared" ca="1" si="151"/>
        <v>-9723.9862477361166</v>
      </c>
      <c r="AA259" s="7">
        <f t="shared" ca="1" si="151"/>
        <v>-10026.29349926332</v>
      </c>
      <c r="AB259" s="7">
        <f t="shared" ca="1" si="151"/>
        <v>-10337.934659938715</v>
      </c>
      <c r="AC259" s="7">
        <f t="shared" ca="1" si="151"/>
        <v>-10659.196364326812</v>
      </c>
      <c r="AD259" s="7">
        <f t="shared" ca="1" si="151"/>
        <v>-10990.374011461299</v>
      </c>
      <c r="AE259" s="7">
        <f t="shared" ca="1" si="151"/>
        <v>-11331.772031914936</v>
      </c>
      <c r="AF259" s="7">
        <f t="shared" ca="1" si="151"/>
        <v>-11683.704162984928</v>
      </c>
      <c r="AG259" s="7">
        <f t="shared" ca="1" si="151"/>
        <v>-12046.493732239835</v>
      </c>
      <c r="AH259" s="7">
        <f t="shared" ca="1" si="151"/>
        <v>-12420.47394968152</v>
      </c>
      <c r="AI259" s="7">
        <f t="shared" ca="1" si="151"/>
        <v>-12805.988208783319</v>
      </c>
      <c r="AJ259" s="7">
        <f t="shared" ca="1" si="151"/>
        <v>-13203.390396673454</v>
      </c>
      <c r="AK259" s="7">
        <f t="shared" ca="1" si="151"/>
        <v>-13613.045213740963</v>
      </c>
      <c r="AL259" s="7">
        <f t="shared" ca="1" si="151"/>
        <v>-14035.328502949676</v>
      </c>
      <c r="AM259" s="7">
        <f t="shared" ca="1" si="151"/>
        <v>-14470.627589154567</v>
      </c>
    </row>
    <row r="260" spans="1:39" x14ac:dyDescent="0.2">
      <c r="A260" s="3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</row>
    <row r="261" spans="1:39" x14ac:dyDescent="0.2">
      <c r="A261" s="3" t="s">
        <v>70</v>
      </c>
      <c r="C261" s="7">
        <f ca="1">C247+SUM($C259:C259)</f>
        <v>63060.110212387553</v>
      </c>
      <c r="D261" s="7">
        <f ca="1">D247+SUM($C259:D259)</f>
        <v>74803.865731513826</v>
      </c>
      <c r="E261" s="7">
        <f ca="1">E247+SUM($C259:E259)</f>
        <v>165269.77766792092</v>
      </c>
      <c r="F261" s="7">
        <f ca="1">F247+SUM($C259:F259)</f>
        <v>77404.797492678772</v>
      </c>
      <c r="G261" s="7">
        <f ca="1">G247+SUM($C259:G259)</f>
        <v>182914.95575458009</v>
      </c>
      <c r="H261" s="7">
        <f ca="1">H247+SUM($C259:H259)</f>
        <v>129529.97572023471</v>
      </c>
      <c r="I261" s="7">
        <f ca="1">I247+SUM($C259:I259)</f>
        <v>91164.213839684453</v>
      </c>
      <c r="J261" s="7">
        <f ca="1">J247+SUM($C259:J259)</f>
        <v>179275.45457262834</v>
      </c>
      <c r="K261" s="7">
        <f ca="1">K247+SUM($C259:K259)</f>
        <v>118281.8899313185</v>
      </c>
      <c r="L261" s="7">
        <f ca="1">L247+SUM($C259:L259)</f>
        <v>138926.09569615126</v>
      </c>
      <c r="M261" s="7">
        <f ca="1">M247+SUM($C259:M259)</f>
        <v>63941.993400129919</v>
      </c>
      <c r="N261" s="7">
        <f ca="1">N247+SUM($C259:N259)</f>
        <v>36292.921153602525</v>
      </c>
      <c r="O261" s="7">
        <f ca="1">O247+SUM($C259:O259)</f>
        <v>192268.67503206589</v>
      </c>
      <c r="P261" s="7">
        <f ca="1">P247+SUM($C259:P259)</f>
        <v>157977.80442793126</v>
      </c>
      <c r="Q261" s="7">
        <f ca="1">Q247+SUM($C259:Q259)</f>
        <v>122198.14054807866</v>
      </c>
      <c r="R261" s="7">
        <f ca="1">R247+SUM($C259:R259)</f>
        <v>84521.674279479645</v>
      </c>
      <c r="S261" s="7">
        <f ca="1">S247+SUM($C259:S259)</f>
        <v>44907.310078202696</v>
      </c>
      <c r="T261" s="7">
        <f ca="1">T247+SUM($C259:T259)</f>
        <v>20781.292385504436</v>
      </c>
      <c r="U261" s="7">
        <f ca="1">U247+SUM($C259:U259)</f>
        <v>76235.892385616899</v>
      </c>
      <c r="V261" s="7">
        <f ca="1">V247+SUM($C259:V259)</f>
        <v>59930.431957274806</v>
      </c>
      <c r="W261" s="7">
        <f ca="1">W247+SUM($C259:W259)</f>
        <v>42915.162745274181</v>
      </c>
      <c r="X261" s="7">
        <f ca="1">X247+SUM($C259:X259)</f>
        <v>370816.86469801195</v>
      </c>
      <c r="Y261" s="7">
        <f ca="1">Y247+SUM($C259:Y259)</f>
        <v>321973.5005748017</v>
      </c>
      <c r="Z261" s="7">
        <f ca="1">Z247+SUM($C259:Z259)</f>
        <v>271268.88469318073</v>
      </c>
      <c r="AA261" s="7">
        <f ca="1">AA247+SUM($C259:AA259)</f>
        <v>219385.4648075201</v>
      </c>
      <c r="AB261" s="7">
        <f ca="1">AB247+SUM($C259:AB259)</f>
        <v>166296.43515950843</v>
      </c>
      <c r="AC261" s="7">
        <f ca="1">AC247+SUM($C259:AC259)</f>
        <v>111974.39977713104</v>
      </c>
      <c r="AD261" s="7">
        <f ca="1">AD247+SUM($C259:AD259)</f>
        <v>56391.360117233533</v>
      </c>
      <c r="AE261" s="7">
        <f ca="1">AE247+SUM($C259:AE259)</f>
        <v>9501.1775648754556</v>
      </c>
      <c r="AF261" s="7">
        <f ca="1">AF247+SUM($C259:AF259)</f>
        <v>-38458.302805883432</v>
      </c>
      <c r="AG261" s="7">
        <f ca="1">AG247+SUM($C259:AG259)</f>
        <v>-87510.72473814094</v>
      </c>
      <c r="AH261" s="7">
        <f ca="1">AH247+SUM($C259:AH259)</f>
        <v>-137680.23040750131</v>
      </c>
      <c r="AI261" s="7">
        <f ca="1">AI247+SUM($C259:AI259)</f>
        <v>-188991.47010305597</v>
      </c>
      <c r="AJ261" s="7">
        <f ca="1">AJ247+SUM($C259:AJ259)</f>
        <v>-241469.61206699393</v>
      </c>
      <c r="AK261" s="7">
        <f ca="1">AK247+SUM($C259:AK259)</f>
        <v>-295140.35249430407</v>
      </c>
      <c r="AL261" s="7">
        <f ca="1">AL247+SUM($C259:AL259)</f>
        <v>-350029.92569399951</v>
      </c>
      <c r="AM261" s="7">
        <f ca="1">AM247+SUM($C259:AM259)</f>
        <v>-406165.11441324028</v>
      </c>
    </row>
    <row r="262" spans="1:39" x14ac:dyDescent="0.2">
      <c r="A262" s="3" t="s">
        <v>67</v>
      </c>
      <c r="C262" s="7">
        <f t="shared" ref="C262:AM262" ca="1" si="152">MAX(C261+buffer,0)-MAX(C247+buffer,0)</f>
        <v>0</v>
      </c>
      <c r="D262" s="7">
        <f t="shared" ca="1" si="152"/>
        <v>0</v>
      </c>
      <c r="E262" s="7">
        <f t="shared" ca="1" si="152"/>
        <v>0</v>
      </c>
      <c r="F262" s="7">
        <f t="shared" ca="1" si="152"/>
        <v>0</v>
      </c>
      <c r="G262" s="7">
        <f t="shared" ca="1" si="152"/>
        <v>0</v>
      </c>
      <c r="H262" s="7">
        <f t="shared" ca="1" si="152"/>
        <v>0</v>
      </c>
      <c r="I262" s="7">
        <f t="shared" ca="1" si="152"/>
        <v>0</v>
      </c>
      <c r="J262" s="7">
        <f t="shared" ca="1" si="152"/>
        <v>0</v>
      </c>
      <c r="K262" s="7">
        <f t="shared" ca="1" si="152"/>
        <v>0</v>
      </c>
      <c r="L262" s="7">
        <f t="shared" ca="1" si="152"/>
        <v>0</v>
      </c>
      <c r="M262" s="7">
        <f t="shared" ca="1" si="152"/>
        <v>0</v>
      </c>
      <c r="N262" s="7">
        <f t="shared" ca="1" si="152"/>
        <v>0</v>
      </c>
      <c r="O262" s="7">
        <f t="shared" ca="1" si="152"/>
        <v>0</v>
      </c>
      <c r="P262" s="7">
        <f t="shared" ca="1" si="152"/>
        <v>0</v>
      </c>
      <c r="Q262" s="7">
        <f t="shared" ca="1" si="152"/>
        <v>0</v>
      </c>
      <c r="R262" s="7">
        <f t="shared" ca="1" si="152"/>
        <v>0</v>
      </c>
      <c r="S262" s="7">
        <f t="shared" ca="1" si="152"/>
        <v>0</v>
      </c>
      <c r="T262" s="7">
        <f t="shared" ca="1" si="152"/>
        <v>0</v>
      </c>
      <c r="U262" s="7">
        <f t="shared" ca="1" si="152"/>
        <v>0</v>
      </c>
      <c r="V262" s="7">
        <f t="shared" ca="1" si="152"/>
        <v>0</v>
      </c>
      <c r="W262" s="7">
        <f t="shared" ca="1" si="152"/>
        <v>0</v>
      </c>
      <c r="X262" s="7">
        <f t="shared" ca="1" si="152"/>
        <v>345313.86717102182</v>
      </c>
      <c r="Y262" s="7">
        <f t="shared" ca="1" si="152"/>
        <v>335883.13239495322</v>
      </c>
      <c r="Z262" s="7">
        <f t="shared" ca="1" si="152"/>
        <v>321268.88469318073</v>
      </c>
      <c r="AA262" s="7">
        <f t="shared" ca="1" si="152"/>
        <v>269385.4648075201</v>
      </c>
      <c r="AB262" s="7">
        <f t="shared" ca="1" si="152"/>
        <v>216296.43515950843</v>
      </c>
      <c r="AC262" s="7">
        <f t="shared" ca="1" si="152"/>
        <v>161974.39977713104</v>
      </c>
      <c r="AD262" s="7">
        <f t="shared" ca="1" si="152"/>
        <v>106391.36011723353</v>
      </c>
      <c r="AE262" s="7">
        <f t="shared" ca="1" si="152"/>
        <v>59501.177564875456</v>
      </c>
      <c r="AF262" s="7">
        <f t="shared" ca="1" si="152"/>
        <v>11541.697194116568</v>
      </c>
      <c r="AG262" s="7">
        <f t="shared" ca="1" si="152"/>
        <v>0</v>
      </c>
      <c r="AH262" s="7">
        <f t="shared" ca="1" si="152"/>
        <v>0</v>
      </c>
      <c r="AI262" s="7">
        <f t="shared" ca="1" si="152"/>
        <v>0</v>
      </c>
      <c r="AJ262" s="7">
        <f t="shared" ca="1" si="152"/>
        <v>0</v>
      </c>
      <c r="AK262" s="7">
        <f t="shared" ca="1" si="152"/>
        <v>0</v>
      </c>
      <c r="AL262" s="7">
        <f t="shared" ca="1" si="152"/>
        <v>0</v>
      </c>
      <c r="AM262" s="7">
        <f t="shared" ca="1" si="152"/>
        <v>0</v>
      </c>
    </row>
    <row r="263" spans="1:39" x14ac:dyDescent="0.2">
      <c r="A263" s="3" t="s">
        <v>68</v>
      </c>
      <c r="C263" s="7">
        <f ca="1">C262*Inputs!$B$269</f>
        <v>0</v>
      </c>
      <c r="D263" s="7">
        <f ca="1">D262*Inputs!$B$269</f>
        <v>0</v>
      </c>
      <c r="E263" s="7">
        <f ca="1">E262*Inputs!$B$269</f>
        <v>0</v>
      </c>
      <c r="F263" s="7">
        <f ca="1">F262*Inputs!$B$269</f>
        <v>0</v>
      </c>
      <c r="G263" s="7">
        <f ca="1">G262*Inputs!$B$269</f>
        <v>0</v>
      </c>
      <c r="H263" s="7">
        <f ca="1">H262*Inputs!$B$269</f>
        <v>0</v>
      </c>
      <c r="I263" s="7">
        <f ca="1">I262*Inputs!$B$269</f>
        <v>0</v>
      </c>
      <c r="J263" s="7">
        <f ca="1">J262*Inputs!$B$269</f>
        <v>0</v>
      </c>
      <c r="K263" s="7">
        <f ca="1">K262*Inputs!$B$269</f>
        <v>0</v>
      </c>
      <c r="L263" s="7">
        <f ca="1">L262*Inputs!$B$269</f>
        <v>0</v>
      </c>
      <c r="M263" s="7">
        <f ca="1">M262*Inputs!$B$269</f>
        <v>0</v>
      </c>
      <c r="N263" s="7">
        <f ca="1">N262*Inputs!$B$269</f>
        <v>0</v>
      </c>
      <c r="O263" s="7">
        <f ca="1">O262*Inputs!$B$269</f>
        <v>0</v>
      </c>
      <c r="P263" s="7">
        <f ca="1">P262*Inputs!$B$269</f>
        <v>0</v>
      </c>
      <c r="Q263" s="7">
        <f ca="1">Q262*Inputs!$B$269</f>
        <v>0</v>
      </c>
      <c r="R263" s="7">
        <f ca="1">R262*Inputs!$B$269</f>
        <v>0</v>
      </c>
      <c r="S263" s="7">
        <f ca="1">S262*Inputs!$B$269</f>
        <v>0</v>
      </c>
      <c r="T263" s="7">
        <f ca="1">T262*Inputs!$B$269</f>
        <v>0</v>
      </c>
      <c r="U263" s="7">
        <f ca="1">U262*Inputs!$B$269</f>
        <v>0</v>
      </c>
      <c r="V263" s="7">
        <f ca="1">V262*Inputs!$B$269</f>
        <v>0</v>
      </c>
      <c r="W263" s="7">
        <f ca="1">W262*Inputs!$B$269</f>
        <v>0</v>
      </c>
      <c r="X263" s="7">
        <f ca="1">X262*Inputs!$B$269</f>
        <v>8632.8466792755462</v>
      </c>
      <c r="Y263" s="7">
        <f ca="1">Y262*Inputs!$B$269</f>
        <v>8397.0783098738302</v>
      </c>
      <c r="Z263" s="7">
        <f ca="1">Z262*Inputs!$B$269</f>
        <v>8031.7221173295184</v>
      </c>
      <c r="AA263" s="7">
        <f ca="1">AA262*Inputs!$B$269</f>
        <v>6734.6366201880028</v>
      </c>
      <c r="AB263" s="7">
        <f ca="1">AB262*Inputs!$B$269</f>
        <v>5407.4108789877109</v>
      </c>
      <c r="AC263" s="7">
        <f ca="1">AC262*Inputs!$B$269</f>
        <v>4049.359994428276</v>
      </c>
      <c r="AD263" s="7">
        <f ca="1">AD262*Inputs!$B$269</f>
        <v>2659.7840029308386</v>
      </c>
      <c r="AE263" s="7">
        <f ca="1">AE262*Inputs!$B$269</f>
        <v>1487.5294391218865</v>
      </c>
      <c r="AF263" s="7">
        <f ca="1">AF262*Inputs!$B$269</f>
        <v>288.54242985291421</v>
      </c>
      <c r="AG263" s="7">
        <f ca="1">AG262*Inputs!$B$269</f>
        <v>0</v>
      </c>
      <c r="AH263" s="7">
        <f ca="1">AH262*Inputs!$B$269</f>
        <v>0</v>
      </c>
      <c r="AI263" s="7">
        <f ca="1">AI262*Inputs!$B$269</f>
        <v>0</v>
      </c>
      <c r="AJ263" s="7">
        <f ca="1">AJ262*Inputs!$B$269</f>
        <v>0</v>
      </c>
      <c r="AK263" s="7">
        <f ca="1">AK262*Inputs!$B$269</f>
        <v>0</v>
      </c>
      <c r="AL263" s="7">
        <f ca="1">AL262*Inputs!$B$269</f>
        <v>0</v>
      </c>
      <c r="AM263" s="7">
        <f ca="1">AM262*Inputs!$B$269</f>
        <v>0</v>
      </c>
    </row>
    <row r="264" spans="1:39" x14ac:dyDescent="0.2">
      <c r="A264" s="3" t="s">
        <v>149</v>
      </c>
      <c r="C264" s="7">
        <f ca="1">C261+SUM($C263:C263)</f>
        <v>63060.110212387553</v>
      </c>
      <c r="D264" s="7">
        <f ca="1">D261+SUM($C263:D263)</f>
        <v>74803.865731513826</v>
      </c>
      <c r="E264" s="7">
        <f ca="1">E261+SUM($C263:E263)</f>
        <v>165269.77766792092</v>
      </c>
      <c r="F264" s="7">
        <f ca="1">F261+SUM($C263:F263)</f>
        <v>77404.797492678772</v>
      </c>
      <c r="G264" s="7">
        <f ca="1">G261+SUM($C263:G263)</f>
        <v>182914.95575458009</v>
      </c>
      <c r="H264" s="7">
        <f ca="1">H261+SUM($C263:H263)</f>
        <v>129529.97572023471</v>
      </c>
      <c r="I264" s="7">
        <f ca="1">I261+SUM($C263:I263)</f>
        <v>91164.213839684453</v>
      </c>
      <c r="J264" s="7">
        <f ca="1">J261+SUM($C263:J263)</f>
        <v>179275.45457262834</v>
      </c>
      <c r="K264" s="7">
        <f ca="1">K261+SUM($C263:K263)</f>
        <v>118281.8899313185</v>
      </c>
      <c r="L264" s="7">
        <f ca="1">L261+SUM($C263:L263)</f>
        <v>138926.09569615126</v>
      </c>
      <c r="M264" s="7">
        <f ca="1">M261+SUM($C263:M263)</f>
        <v>63941.993400129919</v>
      </c>
      <c r="N264" s="7">
        <f ca="1">N261+SUM($C263:N263)</f>
        <v>36292.921153602525</v>
      </c>
      <c r="O264" s="7">
        <f ca="1">O261+SUM($C263:O263)</f>
        <v>192268.67503206589</v>
      </c>
      <c r="P264" s="7">
        <f ca="1">P261+SUM($C263:P263)</f>
        <v>157977.80442793126</v>
      </c>
      <c r="Q264" s="7">
        <f ca="1">Q261+SUM($C263:Q263)</f>
        <v>122198.14054807866</v>
      </c>
      <c r="R264" s="7">
        <f ca="1">R261+SUM($C263:R263)</f>
        <v>84521.674279479645</v>
      </c>
      <c r="S264" s="7">
        <f ca="1">S261+SUM($C263:S263)</f>
        <v>44907.310078202696</v>
      </c>
      <c r="T264" s="7">
        <f ca="1">T261+SUM($C263:T263)</f>
        <v>20781.292385504436</v>
      </c>
      <c r="U264" s="7">
        <f ca="1">U261+SUM($C263:U263)</f>
        <v>76235.892385616899</v>
      </c>
      <c r="V264" s="7">
        <f ca="1">V261+SUM($C263:V263)</f>
        <v>59930.431957274806</v>
      </c>
      <c r="W264" s="7">
        <f ca="1">W261+SUM($C263:W263)</f>
        <v>42915.162745274181</v>
      </c>
      <c r="X264" s="7">
        <f ca="1">X261+SUM($C263:X263)</f>
        <v>379449.71137728752</v>
      </c>
      <c r="Y264" s="7">
        <f ca="1">Y261+SUM($C263:Y263)</f>
        <v>339003.42556395108</v>
      </c>
      <c r="Z264" s="7">
        <f ca="1">Z261+SUM($C263:Z263)</f>
        <v>296330.5317996596</v>
      </c>
      <c r="AA264" s="7">
        <f ca="1">AA261+SUM($C263:AA263)</f>
        <v>251181.74853418698</v>
      </c>
      <c r="AB264" s="7">
        <f ca="1">AB261+SUM($C263:AB263)</f>
        <v>203500.12976516303</v>
      </c>
      <c r="AC264" s="7">
        <f ca="1">AC261+SUM($C263:AC263)</f>
        <v>153227.45437721393</v>
      </c>
      <c r="AD264" s="7">
        <f ca="1">AD261+SUM($C263:AD263)</f>
        <v>100304.19872024725</v>
      </c>
      <c r="AE264" s="7">
        <f ca="1">AE261+SUM($C263:AE263)</f>
        <v>54901.545607011059</v>
      </c>
      <c r="AF264" s="7">
        <f ca="1">AF261+SUM($C263:AF263)</f>
        <v>7230.6076661050902</v>
      </c>
      <c r="AG264" s="7">
        <f ca="1">AG261+SUM($C263:AG263)</f>
        <v>-41821.814266152418</v>
      </c>
      <c r="AH264" s="7">
        <f ca="1">AH261+SUM($C263:AH263)</f>
        <v>-91991.319935512787</v>
      </c>
      <c r="AI264" s="7">
        <f ca="1">AI261+SUM($C263:AI263)</f>
        <v>-143302.55963106744</v>
      </c>
      <c r="AJ264" s="7">
        <f ca="1">AJ261+SUM($C263:AJ263)</f>
        <v>-195780.7015950054</v>
      </c>
      <c r="AK264" s="7">
        <f ca="1">AK261+SUM($C263:AK263)</f>
        <v>-249451.44202231555</v>
      </c>
      <c r="AL264" s="7">
        <f ca="1">AL261+SUM($C263:AL263)</f>
        <v>-304341.01522201102</v>
      </c>
      <c r="AM264" s="7">
        <f ca="1">AM261+SUM($C263:AM263)</f>
        <v>-360476.20394125173</v>
      </c>
    </row>
    <row r="265" spans="1:39" x14ac:dyDescent="0.2">
      <c r="A265" s="3" t="s">
        <v>19</v>
      </c>
      <c r="C265" s="7">
        <f ca="1">IF(C264&lt;0,-C264,0)</f>
        <v>0</v>
      </c>
      <c r="D265" s="7">
        <f ca="1">IF(D264+SUM($C265:C265)&lt;0,-(D264+SUM($C265:C265)),0)</f>
        <v>0</v>
      </c>
      <c r="E265" s="7">
        <f ca="1">IF(E264+SUM($C265:D265)&lt;0,-(E264+SUM($C265:D265)),0)</f>
        <v>0</v>
      </c>
      <c r="F265" s="7">
        <f ca="1">IF(F264+SUM($C265:E265)&lt;0,-(F264+SUM($C265:E265)),0)</f>
        <v>0</v>
      </c>
      <c r="G265" s="7">
        <f ca="1">IF(G264+SUM($C265:F265)&lt;0,-(G264+SUM($C265:F265)),0)</f>
        <v>0</v>
      </c>
      <c r="H265" s="7">
        <f ca="1">IF(H264+SUM($C265:G265)&lt;0,-(H264+SUM($C265:G265)),0)</f>
        <v>0</v>
      </c>
      <c r="I265" s="7">
        <f ca="1">IF(I264+SUM($C265:H265)&lt;0,-(I264+SUM($C265:H265)),0)</f>
        <v>0</v>
      </c>
      <c r="J265" s="7">
        <f ca="1">IF(J264+SUM($C265:I265)&lt;0,-(J264+SUM($C265:I265)),0)</f>
        <v>0</v>
      </c>
      <c r="K265" s="7">
        <f ca="1">IF(K264+SUM($C265:J265)&lt;0,-(K264+SUM($C265:J265)),0)</f>
        <v>0</v>
      </c>
      <c r="L265" s="7">
        <f ca="1">IF(L264+SUM($C265:K265)&lt;0,-(L264+SUM($C265:K265)),0)</f>
        <v>0</v>
      </c>
      <c r="M265" s="7">
        <f ca="1">IF(M264+SUM($C265:L265)&lt;0,-(M264+SUM($C265:L265)),0)</f>
        <v>0</v>
      </c>
      <c r="N265" s="7">
        <f ca="1">IF(N264+SUM($C265:M265)&lt;0,-(N264+SUM($C265:M265)),0)</f>
        <v>0</v>
      </c>
      <c r="O265" s="7">
        <f ca="1">IF(O264+SUM($C265:N265)&lt;0,-(O264+SUM($C265:N265)),0)</f>
        <v>0</v>
      </c>
      <c r="P265" s="7">
        <f ca="1">IF(P264+SUM($C265:O265)&lt;0,-(P264+SUM($C265:O265)),0)</f>
        <v>0</v>
      </c>
      <c r="Q265" s="7">
        <f ca="1">IF(Q264+SUM($C265:P265)&lt;0,-(Q264+SUM($C265:P265)),0)</f>
        <v>0</v>
      </c>
      <c r="R265" s="7">
        <f ca="1">IF(R264+SUM($C265:Q265)&lt;0,-(R264+SUM($C265:Q265)),0)</f>
        <v>0</v>
      </c>
      <c r="S265" s="7">
        <f ca="1">IF(S264+SUM($C265:R265)&lt;0,-(S264+SUM($C265:R265)),0)</f>
        <v>0</v>
      </c>
      <c r="T265" s="7">
        <f ca="1">IF(T264+SUM($C265:S265)&lt;0,-(T264+SUM($C265:S265)),0)</f>
        <v>0</v>
      </c>
      <c r="U265" s="7">
        <f ca="1">IF(U264+SUM($C265:T265)&lt;0,-(U264+SUM($C265:T265)),0)</f>
        <v>0</v>
      </c>
      <c r="V265" s="7">
        <f ca="1">IF(V264+SUM($C265:U265)&lt;0,-(V264+SUM($C265:U265)),0)</f>
        <v>0</v>
      </c>
      <c r="W265" s="7">
        <f ca="1">IF(W264+SUM($C265:V265)&lt;0,-(W264+SUM($C265:V265)),0)</f>
        <v>0</v>
      </c>
      <c r="X265" s="7">
        <f ca="1">IF(X264+SUM($C265:W265)&lt;0,-(X264+SUM($C265:W265)),0)</f>
        <v>0</v>
      </c>
      <c r="Y265" s="7">
        <f ca="1">IF(Y264+SUM($C265:X265)&lt;0,-(Y264+SUM($C265:X265)),0)</f>
        <v>0</v>
      </c>
      <c r="Z265" s="7">
        <f ca="1">IF(Z264+SUM($C265:Y265)&lt;0,-(Z264+SUM($C265:Y265)),0)</f>
        <v>0</v>
      </c>
      <c r="AA265" s="7">
        <f ca="1">IF(AA264+SUM($C265:Z265)&lt;0,-(AA264+SUM($C265:Z265)),0)</f>
        <v>0</v>
      </c>
      <c r="AB265" s="7">
        <f ca="1">IF(AB264+SUM($C265:AA265)&lt;0,-(AB264+SUM($C265:AA265)),0)</f>
        <v>0</v>
      </c>
      <c r="AC265" s="7">
        <f ca="1">IF(AC264+SUM($C265:AB265)&lt;0,-(AC264+SUM($C265:AB265)),0)</f>
        <v>0</v>
      </c>
      <c r="AD265" s="7">
        <f ca="1">IF(AD264+SUM($C265:AC265)&lt;0,-(AD264+SUM($C265:AC265)),0)</f>
        <v>0</v>
      </c>
      <c r="AE265" s="7">
        <f ca="1">IF(AE264+SUM($C265:AD265)&lt;0,-(AE264+SUM($C265:AD265)),0)</f>
        <v>0</v>
      </c>
      <c r="AF265" s="7">
        <f ca="1">IF(AF264+SUM($C265:AE265)&lt;0,-(AF264+SUM($C265:AE265)),0)</f>
        <v>0</v>
      </c>
      <c r="AG265" s="7">
        <f ca="1">IF(AG264+SUM($C265:AF265)&lt;0,-(AG264+SUM($C265:AF265)),0)</f>
        <v>41821.814266152418</v>
      </c>
      <c r="AH265" s="7">
        <f ca="1">IF(AH264+SUM($C265:AG265)&lt;0,-(AH264+SUM($C265:AG265)),0)</f>
        <v>50169.505669360369</v>
      </c>
      <c r="AI265" s="7">
        <f ca="1">IF(AI264+SUM($C265:AH265)&lt;0,-(AI264+SUM($C265:AH265)),0)</f>
        <v>51311.239695554657</v>
      </c>
      <c r="AJ265" s="7">
        <f ca="1">IF(AJ264+SUM($C265:AI265)&lt;0,-(AJ264+SUM($C265:AI265)),0)</f>
        <v>52478.14196393796</v>
      </c>
      <c r="AK265" s="7">
        <f ca="1">IF(AK264+SUM($C265:AJ265)&lt;0,-(AK264+SUM($C265:AJ265)),0)</f>
        <v>53670.740427310142</v>
      </c>
      <c r="AL265" s="7">
        <f ca="1">IF(AL264+SUM($C265:AK265)&lt;0,-(AL264+SUM($C265:AK265)),0)</f>
        <v>54889.573199695471</v>
      </c>
      <c r="AM265" s="7">
        <f ca="1">IF(AM264+SUM($C265:AL265)&lt;0,-(AM264+SUM($C265:AL265)),0)</f>
        <v>56135.188719240716</v>
      </c>
    </row>
    <row r="266" spans="1:39" x14ac:dyDescent="0.2"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</row>
    <row r="267" spans="1:39" x14ac:dyDescent="0.2">
      <c r="A267" s="24" t="str">
        <f>IF(Inputs!$B$289=6,IFERROR(_xlfn.XLOOKUP($B267,Inputs!$B$290:$B$299,Inputs!$A$290:$A$299,,0,1),""),IFERROR(_xlfn.XLOOKUP($B267,Inputs!$C$290:$C$299,Inputs!$A$290:$A$299,,0,1),""))</f>
        <v>Sliema</v>
      </c>
      <c r="B267" s="26">
        <v>10</v>
      </c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</row>
    <row r="268" spans="1:39" x14ac:dyDescent="0.2">
      <c r="A268" s="3" t="s">
        <v>21</v>
      </c>
      <c r="C268" s="7">
        <f ca="1">IFERROR(VLOOKUP($A267,$A$67:$H$96,C$1+2,FALSE),0)</f>
        <v>306724.99866884813</v>
      </c>
      <c r="D268" s="7">
        <f ca="1">C271</f>
        <v>306724.99866884813</v>
      </c>
      <c r="E268" s="7">
        <f t="shared" ref="E268:AM268" ca="1" si="153">D271</f>
        <v>315926.7486289136</v>
      </c>
      <c r="F268" s="7">
        <f t="shared" ca="1" si="153"/>
        <v>325404.55108778103</v>
      </c>
      <c r="G268" s="7">
        <f t="shared" ca="1" si="153"/>
        <v>335166.68762041448</v>
      </c>
      <c r="H268" s="7">
        <f t="shared" ca="1" si="153"/>
        <v>345221.68824902689</v>
      </c>
      <c r="I268" s="7">
        <f t="shared" ca="1" si="153"/>
        <v>355578.33889649768</v>
      </c>
      <c r="J268" s="7">
        <f t="shared" ca="1" si="153"/>
        <v>366245.68906339258</v>
      </c>
      <c r="K268" s="7">
        <f t="shared" ca="1" si="153"/>
        <v>377233.05973529437</v>
      </c>
      <c r="L268" s="7">
        <f t="shared" ca="1" si="153"/>
        <v>388550.05152735318</v>
      </c>
      <c r="M268" s="7">
        <f t="shared" ca="1" si="153"/>
        <v>400206.5530731738</v>
      </c>
      <c r="N268" s="7">
        <f t="shared" ca="1" si="153"/>
        <v>412212.74966536899</v>
      </c>
      <c r="O268" s="7">
        <f t="shared" ca="1" si="153"/>
        <v>424579.13215533004</v>
      </c>
      <c r="P268" s="7">
        <f t="shared" ca="1" si="153"/>
        <v>437316.50611998996</v>
      </c>
      <c r="Q268" s="7">
        <f t="shared" ca="1" si="153"/>
        <v>450436.00130358967</v>
      </c>
      <c r="R268" s="7">
        <f t="shared" ca="1" si="153"/>
        <v>463949.08134269738</v>
      </c>
      <c r="S268" s="7">
        <f t="shared" ca="1" si="153"/>
        <v>477867.55378297827</v>
      </c>
      <c r="T268" s="7">
        <f t="shared" ca="1" si="153"/>
        <v>492203.58039646765</v>
      </c>
      <c r="U268" s="7">
        <f t="shared" ca="1" si="153"/>
        <v>506969.68780836166</v>
      </c>
      <c r="V268" s="7">
        <f t="shared" ca="1" si="153"/>
        <v>522178.7784426125</v>
      </c>
      <c r="W268" s="7">
        <f t="shared" ca="1" si="153"/>
        <v>537844.14179589087</v>
      </c>
      <c r="X268" s="7">
        <f t="shared" ca="1" si="153"/>
        <v>553979.46604976756</v>
      </c>
      <c r="Y268" s="7">
        <f t="shared" ca="1" si="153"/>
        <v>570598.85003126063</v>
      </c>
      <c r="Z268" s="7">
        <f t="shared" ca="1" si="153"/>
        <v>587716.81553219841</v>
      </c>
      <c r="AA268" s="7">
        <f t="shared" ca="1" si="153"/>
        <v>605348.31999816431</v>
      </c>
      <c r="AB268" s="7">
        <f t="shared" ca="1" si="153"/>
        <v>623508.76959810918</v>
      </c>
      <c r="AC268" s="7">
        <f t="shared" ca="1" si="153"/>
        <v>642214.03268605249</v>
      </c>
      <c r="AD268" s="7">
        <f t="shared" ca="1" si="153"/>
        <v>661480.45366663404</v>
      </c>
      <c r="AE268" s="7">
        <f t="shared" ca="1" si="153"/>
        <v>681324.86727663304</v>
      </c>
      <c r="AF268" s="7">
        <f t="shared" ca="1" si="153"/>
        <v>701764.61329493206</v>
      </c>
      <c r="AG268" s="7">
        <f t="shared" ca="1" si="153"/>
        <v>0</v>
      </c>
      <c r="AH268" s="7">
        <f t="shared" ca="1" si="153"/>
        <v>0</v>
      </c>
      <c r="AI268" s="7">
        <f t="shared" ca="1" si="153"/>
        <v>0</v>
      </c>
      <c r="AJ268" s="7">
        <f t="shared" ca="1" si="153"/>
        <v>0</v>
      </c>
      <c r="AK268" s="7">
        <f t="shared" ca="1" si="153"/>
        <v>0</v>
      </c>
      <c r="AL268" s="7">
        <f t="shared" ca="1" si="153"/>
        <v>0</v>
      </c>
      <c r="AM268" s="7">
        <f t="shared" ca="1" si="153"/>
        <v>0</v>
      </c>
    </row>
    <row r="269" spans="1:39" x14ac:dyDescent="0.2">
      <c r="A269" s="3" t="s">
        <v>22</v>
      </c>
      <c r="C269" s="7">
        <f ca="1">-IF(D265&gt;0,C268,0)</f>
        <v>0</v>
      </c>
      <c r="D269" s="7">
        <f ca="1">-IF(E265&gt;0,D268,0)</f>
        <v>0</v>
      </c>
      <c r="E269" s="7">
        <f ca="1">-IF(F265&gt;0,E268,0)</f>
        <v>0</v>
      </c>
      <c r="F269" s="7">
        <f ca="1">-IF(G265&gt;0,F268,0)</f>
        <v>0</v>
      </c>
      <c r="G269" s="7">
        <f t="shared" ref="G269:AM269" ca="1" si="154">-IF(H265&gt;0,G268,0)</f>
        <v>0</v>
      </c>
      <c r="H269" s="7">
        <f t="shared" ca="1" si="154"/>
        <v>0</v>
      </c>
      <c r="I269" s="7">
        <f t="shared" ca="1" si="154"/>
        <v>0</v>
      </c>
      <c r="J269" s="7">
        <f t="shared" ca="1" si="154"/>
        <v>0</v>
      </c>
      <c r="K269" s="7">
        <f t="shared" ca="1" si="154"/>
        <v>0</v>
      </c>
      <c r="L269" s="7">
        <f t="shared" ca="1" si="154"/>
        <v>0</v>
      </c>
      <c r="M269" s="7">
        <f t="shared" ca="1" si="154"/>
        <v>0</v>
      </c>
      <c r="N269" s="7">
        <f t="shared" ca="1" si="154"/>
        <v>0</v>
      </c>
      <c r="O269" s="7">
        <f t="shared" ca="1" si="154"/>
        <v>0</v>
      </c>
      <c r="P269" s="7">
        <f t="shared" ca="1" si="154"/>
        <v>0</v>
      </c>
      <c r="Q269" s="7">
        <f t="shared" ca="1" si="154"/>
        <v>0</v>
      </c>
      <c r="R269" s="7">
        <f t="shared" ca="1" si="154"/>
        <v>0</v>
      </c>
      <c r="S269" s="7">
        <f t="shared" ca="1" si="154"/>
        <v>0</v>
      </c>
      <c r="T269" s="7">
        <f t="shared" ca="1" si="154"/>
        <v>0</v>
      </c>
      <c r="U269" s="7">
        <f t="shared" ca="1" si="154"/>
        <v>0</v>
      </c>
      <c r="V269" s="7">
        <f t="shared" ca="1" si="154"/>
        <v>0</v>
      </c>
      <c r="W269" s="7">
        <f t="shared" ca="1" si="154"/>
        <v>0</v>
      </c>
      <c r="X269" s="7">
        <f t="shared" ca="1" si="154"/>
        <v>0</v>
      </c>
      <c r="Y269" s="7">
        <f t="shared" ca="1" si="154"/>
        <v>0</v>
      </c>
      <c r="Z269" s="7">
        <f t="shared" ca="1" si="154"/>
        <v>0</v>
      </c>
      <c r="AA269" s="7">
        <f t="shared" ca="1" si="154"/>
        <v>0</v>
      </c>
      <c r="AB269" s="7">
        <f t="shared" ca="1" si="154"/>
        <v>0</v>
      </c>
      <c r="AC269" s="7">
        <f t="shared" ca="1" si="154"/>
        <v>0</v>
      </c>
      <c r="AD269" s="7">
        <f t="shared" ca="1" si="154"/>
        <v>0</v>
      </c>
      <c r="AE269" s="7">
        <f t="shared" ca="1" si="154"/>
        <v>0</v>
      </c>
      <c r="AF269" s="7">
        <f t="shared" ca="1" si="154"/>
        <v>-701764.61329493206</v>
      </c>
      <c r="AG269" s="7">
        <f t="shared" ca="1" si="154"/>
        <v>0</v>
      </c>
      <c r="AH269" s="7">
        <f t="shared" ca="1" si="154"/>
        <v>0</v>
      </c>
      <c r="AI269" s="7">
        <f t="shared" ca="1" si="154"/>
        <v>0</v>
      </c>
      <c r="AJ269" s="7">
        <f t="shared" ca="1" si="154"/>
        <v>0</v>
      </c>
      <c r="AK269" s="7">
        <f t="shared" ca="1" si="154"/>
        <v>0</v>
      </c>
      <c r="AL269" s="7">
        <f t="shared" ca="1" si="154"/>
        <v>0</v>
      </c>
      <c r="AM269" s="7">
        <f t="shared" si="154"/>
        <v>0</v>
      </c>
    </row>
    <row r="270" spans="1:39" x14ac:dyDescent="0.2">
      <c r="A270" s="3" t="s">
        <v>23</v>
      </c>
      <c r="C270" s="7">
        <v>0</v>
      </c>
      <c r="D270" s="7">
        <f t="shared" ref="D270:AM270" ca="1" si="155">SUM(D268:D269)*VLOOKUP($A267,AssVar,2,FALSE)</f>
        <v>9201.7499600654428</v>
      </c>
      <c r="E270" s="7">
        <f t="shared" ca="1" si="155"/>
        <v>9477.802458867407</v>
      </c>
      <c r="F270" s="7">
        <f t="shared" ca="1" si="155"/>
        <v>9762.1365326334308</v>
      </c>
      <c r="G270" s="7">
        <f t="shared" ca="1" si="155"/>
        <v>10055.000628612434</v>
      </c>
      <c r="H270" s="7">
        <f t="shared" ca="1" si="155"/>
        <v>10356.650647470806</v>
      </c>
      <c r="I270" s="7">
        <f t="shared" ca="1" si="155"/>
        <v>10667.35016689493</v>
      </c>
      <c r="J270" s="7">
        <f t="shared" ca="1" si="155"/>
        <v>10987.370671901777</v>
      </c>
      <c r="K270" s="7">
        <f t="shared" ca="1" si="155"/>
        <v>11316.99179205883</v>
      </c>
      <c r="L270" s="7">
        <f t="shared" ca="1" si="155"/>
        <v>11656.501545820594</v>
      </c>
      <c r="M270" s="7">
        <f t="shared" ca="1" si="155"/>
        <v>12006.196592195214</v>
      </c>
      <c r="N270" s="7">
        <f t="shared" ca="1" si="155"/>
        <v>12366.38248996107</v>
      </c>
      <c r="O270" s="7">
        <f t="shared" ca="1" si="155"/>
        <v>12737.373964659901</v>
      </c>
      <c r="P270" s="7">
        <f t="shared" ca="1" si="155"/>
        <v>13119.495183599698</v>
      </c>
      <c r="Q270" s="7">
        <f t="shared" ca="1" si="155"/>
        <v>13513.08003910769</v>
      </c>
      <c r="R270" s="7">
        <f t="shared" ca="1" si="155"/>
        <v>13918.472440280921</v>
      </c>
      <c r="S270" s="7">
        <f t="shared" ca="1" si="155"/>
        <v>14336.026613489348</v>
      </c>
      <c r="T270" s="7">
        <f t="shared" ca="1" si="155"/>
        <v>14766.107411894029</v>
      </c>
      <c r="U270" s="7">
        <f t="shared" ca="1" si="155"/>
        <v>15209.09063425085</v>
      </c>
      <c r="V270" s="7">
        <f t="shared" ca="1" si="155"/>
        <v>15665.363353278375</v>
      </c>
      <c r="W270" s="7">
        <f t="shared" ca="1" si="155"/>
        <v>16135.324253876726</v>
      </c>
      <c r="X270" s="7">
        <f t="shared" ca="1" si="155"/>
        <v>16619.383981493025</v>
      </c>
      <c r="Y270" s="7">
        <f t="shared" ca="1" si="155"/>
        <v>17117.965500937818</v>
      </c>
      <c r="Z270" s="7">
        <f t="shared" ca="1" si="155"/>
        <v>17631.504465965951</v>
      </c>
      <c r="AA270" s="7">
        <f t="shared" ca="1" si="155"/>
        <v>18160.449599944928</v>
      </c>
      <c r="AB270" s="7">
        <f t="shared" ca="1" si="155"/>
        <v>18705.263087943276</v>
      </c>
      <c r="AC270" s="7">
        <f t="shared" ca="1" si="155"/>
        <v>19266.420980581574</v>
      </c>
      <c r="AD270" s="7">
        <f t="shared" ca="1" si="155"/>
        <v>19844.413609999021</v>
      </c>
      <c r="AE270" s="7">
        <f t="shared" ca="1" si="155"/>
        <v>20439.746018298989</v>
      </c>
      <c r="AF270" s="7">
        <f t="shared" ca="1" si="155"/>
        <v>0</v>
      </c>
      <c r="AG270" s="7">
        <f t="shared" ca="1" si="155"/>
        <v>0</v>
      </c>
      <c r="AH270" s="7">
        <f t="shared" ca="1" si="155"/>
        <v>0</v>
      </c>
      <c r="AI270" s="7">
        <f t="shared" ca="1" si="155"/>
        <v>0</v>
      </c>
      <c r="AJ270" s="7">
        <f t="shared" ca="1" si="155"/>
        <v>0</v>
      </c>
      <c r="AK270" s="7">
        <f t="shared" ca="1" si="155"/>
        <v>0</v>
      </c>
      <c r="AL270" s="7">
        <f t="shared" ca="1" si="155"/>
        <v>0</v>
      </c>
      <c r="AM270" s="7">
        <f t="shared" ca="1" si="155"/>
        <v>0</v>
      </c>
    </row>
    <row r="271" spans="1:39" x14ac:dyDescent="0.2">
      <c r="A271" s="3" t="s">
        <v>24</v>
      </c>
      <c r="C271" s="7">
        <f ca="1">SUM(C268:C270)</f>
        <v>306724.99866884813</v>
      </c>
      <c r="D271" s="7">
        <f t="shared" ref="D271:AM271" ca="1" si="156">SUM(D268:D270)</f>
        <v>315926.7486289136</v>
      </c>
      <c r="E271" s="7">
        <f t="shared" ca="1" si="156"/>
        <v>325404.55108778103</v>
      </c>
      <c r="F271" s="7">
        <f t="shared" ca="1" si="156"/>
        <v>335166.68762041448</v>
      </c>
      <c r="G271" s="7">
        <f t="shared" ca="1" si="156"/>
        <v>345221.68824902689</v>
      </c>
      <c r="H271" s="7">
        <f t="shared" ca="1" si="156"/>
        <v>355578.33889649768</v>
      </c>
      <c r="I271" s="7">
        <f t="shared" ca="1" si="156"/>
        <v>366245.68906339258</v>
      </c>
      <c r="J271" s="7">
        <f t="shared" ca="1" si="156"/>
        <v>377233.05973529437</v>
      </c>
      <c r="K271" s="7">
        <f t="shared" ca="1" si="156"/>
        <v>388550.05152735318</v>
      </c>
      <c r="L271" s="7">
        <f t="shared" ca="1" si="156"/>
        <v>400206.5530731738</v>
      </c>
      <c r="M271" s="7">
        <f t="shared" ca="1" si="156"/>
        <v>412212.74966536899</v>
      </c>
      <c r="N271" s="7">
        <f t="shared" ca="1" si="156"/>
        <v>424579.13215533004</v>
      </c>
      <c r="O271" s="7">
        <f t="shared" ca="1" si="156"/>
        <v>437316.50611998996</v>
      </c>
      <c r="P271" s="7">
        <f t="shared" ca="1" si="156"/>
        <v>450436.00130358967</v>
      </c>
      <c r="Q271" s="7">
        <f t="shared" ca="1" si="156"/>
        <v>463949.08134269738</v>
      </c>
      <c r="R271" s="7">
        <f t="shared" ca="1" si="156"/>
        <v>477867.55378297827</v>
      </c>
      <c r="S271" s="7">
        <f t="shared" ca="1" si="156"/>
        <v>492203.58039646765</v>
      </c>
      <c r="T271" s="7">
        <f t="shared" ca="1" si="156"/>
        <v>506969.68780836166</v>
      </c>
      <c r="U271" s="7">
        <f t="shared" ca="1" si="156"/>
        <v>522178.7784426125</v>
      </c>
      <c r="V271" s="7">
        <f t="shared" ca="1" si="156"/>
        <v>537844.14179589087</v>
      </c>
      <c r="W271" s="7">
        <f t="shared" ca="1" si="156"/>
        <v>553979.46604976756</v>
      </c>
      <c r="X271" s="7">
        <f t="shared" ca="1" si="156"/>
        <v>570598.85003126063</v>
      </c>
      <c r="Y271" s="7">
        <f t="shared" ca="1" si="156"/>
        <v>587716.81553219841</v>
      </c>
      <c r="Z271" s="7">
        <f t="shared" ca="1" si="156"/>
        <v>605348.31999816431</v>
      </c>
      <c r="AA271" s="7">
        <f t="shared" ca="1" si="156"/>
        <v>623508.76959810918</v>
      </c>
      <c r="AB271" s="7">
        <f t="shared" ca="1" si="156"/>
        <v>642214.03268605249</v>
      </c>
      <c r="AC271" s="7">
        <f t="shared" ca="1" si="156"/>
        <v>661480.45366663404</v>
      </c>
      <c r="AD271" s="7">
        <f t="shared" ca="1" si="156"/>
        <v>681324.86727663304</v>
      </c>
      <c r="AE271" s="7">
        <f t="shared" ca="1" si="156"/>
        <v>701764.61329493206</v>
      </c>
      <c r="AF271" s="7">
        <f t="shared" ca="1" si="156"/>
        <v>0</v>
      </c>
      <c r="AG271" s="7">
        <f t="shared" ca="1" si="156"/>
        <v>0</v>
      </c>
      <c r="AH271" s="7">
        <f t="shared" ca="1" si="156"/>
        <v>0</v>
      </c>
      <c r="AI271" s="7">
        <f t="shared" ca="1" si="156"/>
        <v>0</v>
      </c>
      <c r="AJ271" s="7">
        <f t="shared" ca="1" si="156"/>
        <v>0</v>
      </c>
      <c r="AK271" s="7">
        <f t="shared" ca="1" si="156"/>
        <v>0</v>
      </c>
      <c r="AL271" s="7">
        <f t="shared" ca="1" si="156"/>
        <v>0</v>
      </c>
      <c r="AM271" s="7">
        <f t="shared" ca="1" si="156"/>
        <v>0</v>
      </c>
    </row>
    <row r="272" spans="1:39" x14ac:dyDescent="0.2">
      <c r="A272" s="3" t="s">
        <v>25</v>
      </c>
      <c r="C272" s="7">
        <f t="shared" ref="C272:AM272" ca="1" si="157">C269*VLOOKUP($A267,AssVar,3,FALSE)</f>
        <v>0</v>
      </c>
      <c r="D272" s="7">
        <f t="shared" ca="1" si="157"/>
        <v>0</v>
      </c>
      <c r="E272" s="7">
        <f t="shared" ca="1" si="157"/>
        <v>0</v>
      </c>
      <c r="F272" s="7">
        <f t="shared" ca="1" si="157"/>
        <v>0</v>
      </c>
      <c r="G272" s="7">
        <f t="shared" ca="1" si="157"/>
        <v>0</v>
      </c>
      <c r="H272" s="7">
        <f t="shared" ca="1" si="157"/>
        <v>0</v>
      </c>
      <c r="I272" s="7">
        <f t="shared" ca="1" si="157"/>
        <v>0</v>
      </c>
      <c r="J272" s="7">
        <f t="shared" ca="1" si="157"/>
        <v>0</v>
      </c>
      <c r="K272" s="7">
        <f t="shared" ca="1" si="157"/>
        <v>0</v>
      </c>
      <c r="L272" s="7">
        <f t="shared" ca="1" si="157"/>
        <v>0</v>
      </c>
      <c r="M272" s="7">
        <f t="shared" ca="1" si="157"/>
        <v>0</v>
      </c>
      <c r="N272" s="7">
        <f t="shared" ca="1" si="157"/>
        <v>0</v>
      </c>
      <c r="O272" s="7">
        <f t="shared" ca="1" si="157"/>
        <v>0</v>
      </c>
      <c r="P272" s="7">
        <f t="shared" ca="1" si="157"/>
        <v>0</v>
      </c>
      <c r="Q272" s="7">
        <f t="shared" ca="1" si="157"/>
        <v>0</v>
      </c>
      <c r="R272" s="7">
        <f t="shared" ca="1" si="157"/>
        <v>0</v>
      </c>
      <c r="S272" s="7">
        <f t="shared" ca="1" si="157"/>
        <v>0</v>
      </c>
      <c r="T272" s="7">
        <f t="shared" ca="1" si="157"/>
        <v>0</v>
      </c>
      <c r="U272" s="7">
        <f t="shared" ca="1" si="157"/>
        <v>0</v>
      </c>
      <c r="V272" s="7">
        <f t="shared" ca="1" si="157"/>
        <v>0</v>
      </c>
      <c r="W272" s="7">
        <f t="shared" ca="1" si="157"/>
        <v>0</v>
      </c>
      <c r="X272" s="7">
        <f t="shared" ca="1" si="157"/>
        <v>0</v>
      </c>
      <c r="Y272" s="7">
        <f t="shared" ca="1" si="157"/>
        <v>0</v>
      </c>
      <c r="Z272" s="7">
        <f t="shared" ca="1" si="157"/>
        <v>0</v>
      </c>
      <c r="AA272" s="7">
        <f t="shared" ca="1" si="157"/>
        <v>0</v>
      </c>
      <c r="AB272" s="7">
        <f t="shared" ca="1" si="157"/>
        <v>0</v>
      </c>
      <c r="AC272" s="7">
        <f t="shared" ca="1" si="157"/>
        <v>0</v>
      </c>
      <c r="AD272" s="7">
        <f t="shared" ca="1" si="157"/>
        <v>0</v>
      </c>
      <c r="AE272" s="7">
        <f t="shared" ca="1" si="157"/>
        <v>0</v>
      </c>
      <c r="AF272" s="7">
        <f t="shared" ca="1" si="157"/>
        <v>-105264.69199423981</v>
      </c>
      <c r="AG272" s="7">
        <f t="shared" ca="1" si="157"/>
        <v>0</v>
      </c>
      <c r="AH272" s="7">
        <f t="shared" ca="1" si="157"/>
        <v>0</v>
      </c>
      <c r="AI272" s="7">
        <f t="shared" ca="1" si="157"/>
        <v>0</v>
      </c>
      <c r="AJ272" s="7">
        <f t="shared" ca="1" si="157"/>
        <v>0</v>
      </c>
      <c r="AK272" s="7">
        <f t="shared" ca="1" si="157"/>
        <v>0</v>
      </c>
      <c r="AL272" s="7">
        <f t="shared" ca="1" si="157"/>
        <v>0</v>
      </c>
      <c r="AM272" s="7">
        <f t="shared" si="157"/>
        <v>0</v>
      </c>
    </row>
    <row r="273" spans="1:39" x14ac:dyDescent="0.2">
      <c r="A273" s="3" t="s">
        <v>30</v>
      </c>
      <c r="C273" s="7">
        <f t="shared" ref="C273:AM273" ca="1" si="158">IFERROR(-IF(C268=0,VLOOKUP($A267,$8:$12,C$1+2,FALSE),0),0)</f>
        <v>0</v>
      </c>
      <c r="D273" s="7">
        <f t="shared" ca="1" si="158"/>
        <v>0</v>
      </c>
      <c r="E273" s="7">
        <f t="shared" ca="1" si="158"/>
        <v>0</v>
      </c>
      <c r="F273" s="7">
        <f t="shared" ca="1" si="158"/>
        <v>0</v>
      </c>
      <c r="G273" s="7">
        <f t="shared" ca="1" si="158"/>
        <v>0</v>
      </c>
      <c r="H273" s="7">
        <f t="shared" ca="1" si="158"/>
        <v>0</v>
      </c>
      <c r="I273" s="7">
        <f t="shared" ca="1" si="158"/>
        <v>0</v>
      </c>
      <c r="J273" s="7">
        <f t="shared" ca="1" si="158"/>
        <v>0</v>
      </c>
      <c r="K273" s="7">
        <f t="shared" ca="1" si="158"/>
        <v>0</v>
      </c>
      <c r="L273" s="7">
        <f t="shared" ca="1" si="158"/>
        <v>0</v>
      </c>
      <c r="M273" s="7">
        <f t="shared" ca="1" si="158"/>
        <v>0</v>
      </c>
      <c r="N273" s="7">
        <f t="shared" ca="1" si="158"/>
        <v>0</v>
      </c>
      <c r="O273" s="7">
        <f t="shared" ca="1" si="158"/>
        <v>0</v>
      </c>
      <c r="P273" s="7">
        <f t="shared" ca="1" si="158"/>
        <v>0</v>
      </c>
      <c r="Q273" s="7">
        <f t="shared" ca="1" si="158"/>
        <v>0</v>
      </c>
      <c r="R273" s="7">
        <f t="shared" ca="1" si="158"/>
        <v>0</v>
      </c>
      <c r="S273" s="7">
        <f t="shared" ca="1" si="158"/>
        <v>0</v>
      </c>
      <c r="T273" s="7">
        <f t="shared" ca="1" si="158"/>
        <v>0</v>
      </c>
      <c r="U273" s="7">
        <f t="shared" ca="1" si="158"/>
        <v>0</v>
      </c>
      <c r="V273" s="7">
        <f t="shared" ca="1" si="158"/>
        <v>0</v>
      </c>
      <c r="W273" s="7">
        <f t="shared" ca="1" si="158"/>
        <v>0</v>
      </c>
      <c r="X273" s="7">
        <f t="shared" ca="1" si="158"/>
        <v>0</v>
      </c>
      <c r="Y273" s="7">
        <f t="shared" ca="1" si="158"/>
        <v>0</v>
      </c>
      <c r="Z273" s="7">
        <f t="shared" ca="1" si="158"/>
        <v>0</v>
      </c>
      <c r="AA273" s="7">
        <f t="shared" ca="1" si="158"/>
        <v>0</v>
      </c>
      <c r="AB273" s="7">
        <f t="shared" ca="1" si="158"/>
        <v>0</v>
      </c>
      <c r="AC273" s="7">
        <f t="shared" ca="1" si="158"/>
        <v>0</v>
      </c>
      <c r="AD273" s="7">
        <f t="shared" ca="1" si="158"/>
        <v>0</v>
      </c>
      <c r="AE273" s="7">
        <f t="shared" ca="1" si="158"/>
        <v>0</v>
      </c>
      <c r="AF273" s="7">
        <f t="shared" ca="1" si="158"/>
        <v>0</v>
      </c>
      <c r="AG273" s="7">
        <f t="shared" ca="1" si="158"/>
        <v>-21845.362240706963</v>
      </c>
      <c r="AH273" s="7">
        <f t="shared" ca="1" si="158"/>
        <v>-22500.723107928174</v>
      </c>
      <c r="AI273" s="7">
        <f t="shared" ca="1" si="158"/>
        <v>-23175.74480116602</v>
      </c>
      <c r="AJ273" s="7">
        <f t="shared" ca="1" si="158"/>
        <v>-23871.017145201</v>
      </c>
      <c r="AK273" s="7">
        <f t="shared" ca="1" si="158"/>
        <v>-24587.147659557031</v>
      </c>
      <c r="AL273" s="7">
        <f t="shared" ca="1" si="158"/>
        <v>-25324.762089343742</v>
      </c>
      <c r="AM273" s="7">
        <f t="shared" ca="1" si="158"/>
        <v>-26084.504952024054</v>
      </c>
    </row>
    <row r="274" spans="1:39" x14ac:dyDescent="0.2">
      <c r="A274" s="3" t="s">
        <v>49</v>
      </c>
      <c r="C274" s="7">
        <f t="shared" ref="C274:AM274" ca="1" si="159">IFERROR(IF(C268=0,VLOOKUP($A267,$46:$50,C$1+2,FALSE),0),0)</f>
        <v>0</v>
      </c>
      <c r="D274" s="7">
        <f t="shared" ca="1" si="159"/>
        <v>0</v>
      </c>
      <c r="E274" s="7">
        <f t="shared" ca="1" si="159"/>
        <v>0</v>
      </c>
      <c r="F274" s="7">
        <f t="shared" ca="1" si="159"/>
        <v>0</v>
      </c>
      <c r="G274" s="7">
        <f t="shared" ca="1" si="159"/>
        <v>0</v>
      </c>
      <c r="H274" s="7">
        <f t="shared" ca="1" si="159"/>
        <v>0</v>
      </c>
      <c r="I274" s="7">
        <f t="shared" ca="1" si="159"/>
        <v>0</v>
      </c>
      <c r="J274" s="7">
        <f t="shared" ca="1" si="159"/>
        <v>0</v>
      </c>
      <c r="K274" s="7">
        <f t="shared" ca="1" si="159"/>
        <v>0</v>
      </c>
      <c r="L274" s="7">
        <f t="shared" ca="1" si="159"/>
        <v>0</v>
      </c>
      <c r="M274" s="7">
        <f t="shared" ca="1" si="159"/>
        <v>0</v>
      </c>
      <c r="N274" s="7">
        <f t="shared" ca="1" si="159"/>
        <v>0</v>
      </c>
      <c r="O274" s="7">
        <f t="shared" ca="1" si="159"/>
        <v>0</v>
      </c>
      <c r="P274" s="7">
        <f t="shared" ca="1" si="159"/>
        <v>0</v>
      </c>
      <c r="Q274" s="7">
        <f t="shared" ca="1" si="159"/>
        <v>0</v>
      </c>
      <c r="R274" s="7">
        <f t="shared" ca="1" si="159"/>
        <v>0</v>
      </c>
      <c r="S274" s="7">
        <f t="shared" ca="1" si="159"/>
        <v>0</v>
      </c>
      <c r="T274" s="7">
        <f t="shared" ca="1" si="159"/>
        <v>0</v>
      </c>
      <c r="U274" s="7">
        <f t="shared" ca="1" si="159"/>
        <v>0</v>
      </c>
      <c r="V274" s="7">
        <f t="shared" ca="1" si="159"/>
        <v>0</v>
      </c>
      <c r="W274" s="7">
        <f t="shared" ca="1" si="159"/>
        <v>0</v>
      </c>
      <c r="X274" s="7">
        <f t="shared" ca="1" si="159"/>
        <v>0</v>
      </c>
      <c r="Y274" s="7">
        <f t="shared" ca="1" si="159"/>
        <v>0</v>
      </c>
      <c r="Z274" s="7">
        <f t="shared" ca="1" si="159"/>
        <v>0</v>
      </c>
      <c r="AA274" s="7">
        <f t="shared" ca="1" si="159"/>
        <v>0</v>
      </c>
      <c r="AB274" s="7">
        <f t="shared" ca="1" si="159"/>
        <v>0</v>
      </c>
      <c r="AC274" s="7">
        <f t="shared" ca="1" si="159"/>
        <v>0</v>
      </c>
      <c r="AD274" s="7">
        <f t="shared" ca="1" si="159"/>
        <v>0</v>
      </c>
      <c r="AE274" s="7">
        <f t="shared" ca="1" si="159"/>
        <v>0</v>
      </c>
      <c r="AF274" s="7">
        <f t="shared" ca="1" si="159"/>
        <v>0</v>
      </c>
      <c r="AG274" s="7">
        <f t="shared" ca="1" si="159"/>
        <v>10487.83789540894</v>
      </c>
      <c r="AH274" s="7">
        <f t="shared" ca="1" si="159"/>
        <v>10750.033842794166</v>
      </c>
      <c r="AI274" s="7">
        <f t="shared" ca="1" si="159"/>
        <v>11018.784688864018</v>
      </c>
      <c r="AJ274" s="7">
        <f t="shared" ca="1" si="159"/>
        <v>11294.254306085619</v>
      </c>
      <c r="AK274" s="7">
        <f t="shared" ca="1" si="159"/>
        <v>11576.610663737758</v>
      </c>
      <c r="AL274" s="7">
        <f t="shared" ca="1" si="159"/>
        <v>11866.025930331201</v>
      </c>
      <c r="AM274" s="7">
        <f t="shared" ca="1" si="159"/>
        <v>12162.676578589482</v>
      </c>
    </row>
    <row r="275" spans="1:39" x14ac:dyDescent="0.2">
      <c r="A275" s="3" t="s">
        <v>35</v>
      </c>
      <c r="B275" s="14" t="str">
        <f>A267</f>
        <v>Sliema</v>
      </c>
      <c r="C275" s="7">
        <f t="shared" ref="C275:AM275" ca="1" si="160">IF(AND(C268&gt;0,C271=0),VLOOKUP($A267,$85:$94,C$1+2,FALSE),0)</f>
        <v>0</v>
      </c>
      <c r="D275" s="7">
        <f t="shared" ca="1" si="160"/>
        <v>0</v>
      </c>
      <c r="E275" s="7">
        <f t="shared" ca="1" si="160"/>
        <v>0</v>
      </c>
      <c r="F275" s="7">
        <f t="shared" ca="1" si="160"/>
        <v>0</v>
      </c>
      <c r="G275" s="7">
        <f t="shared" ca="1" si="160"/>
        <v>0</v>
      </c>
      <c r="H275" s="7">
        <f t="shared" ca="1" si="160"/>
        <v>0</v>
      </c>
      <c r="I275" s="7">
        <f t="shared" ca="1" si="160"/>
        <v>0</v>
      </c>
      <c r="J275" s="7">
        <f t="shared" ca="1" si="160"/>
        <v>0</v>
      </c>
      <c r="K275" s="7">
        <f t="shared" ca="1" si="160"/>
        <v>0</v>
      </c>
      <c r="L275" s="7">
        <f t="shared" ca="1" si="160"/>
        <v>0</v>
      </c>
      <c r="M275" s="7">
        <f t="shared" ca="1" si="160"/>
        <v>0</v>
      </c>
      <c r="N275" s="7">
        <f t="shared" ca="1" si="160"/>
        <v>0</v>
      </c>
      <c r="O275" s="7">
        <f t="shared" ca="1" si="160"/>
        <v>0</v>
      </c>
      <c r="P275" s="7">
        <f t="shared" ca="1" si="160"/>
        <v>0</v>
      </c>
      <c r="Q275" s="7">
        <f t="shared" ca="1" si="160"/>
        <v>0</v>
      </c>
      <c r="R275" s="7">
        <f t="shared" ca="1" si="160"/>
        <v>0</v>
      </c>
      <c r="S275" s="7">
        <f t="shared" ca="1" si="160"/>
        <v>0</v>
      </c>
      <c r="T275" s="7">
        <f t="shared" ca="1" si="160"/>
        <v>0</v>
      </c>
      <c r="U275" s="7">
        <f t="shared" ca="1" si="160"/>
        <v>0</v>
      </c>
      <c r="V275" s="7">
        <f t="shared" ca="1" si="160"/>
        <v>0</v>
      </c>
      <c r="W275" s="7">
        <f t="shared" ca="1" si="160"/>
        <v>0</v>
      </c>
      <c r="X275" s="7">
        <f t="shared" ca="1" si="160"/>
        <v>0</v>
      </c>
      <c r="Y275" s="7">
        <f t="shared" ca="1" si="160"/>
        <v>0</v>
      </c>
      <c r="Z275" s="7">
        <f t="shared" ca="1" si="160"/>
        <v>0</v>
      </c>
      <c r="AA275" s="7">
        <f t="shared" ca="1" si="160"/>
        <v>0</v>
      </c>
      <c r="AB275" s="7">
        <f t="shared" ca="1" si="160"/>
        <v>0</v>
      </c>
      <c r="AC275" s="7">
        <f t="shared" ca="1" si="160"/>
        <v>0</v>
      </c>
      <c r="AD275" s="7">
        <f t="shared" ca="1" si="160"/>
        <v>0</v>
      </c>
      <c r="AE275" s="7">
        <f t="shared" ca="1" si="160"/>
        <v>0</v>
      </c>
      <c r="AF275" s="7">
        <f t="shared" ca="1" si="160"/>
        <v>0</v>
      </c>
      <c r="AG275" s="7">
        <f t="shared" ca="1" si="160"/>
        <v>0</v>
      </c>
      <c r="AH275" s="7">
        <f t="shared" ca="1" si="160"/>
        <v>0</v>
      </c>
      <c r="AI275" s="7">
        <f t="shared" ca="1" si="160"/>
        <v>0</v>
      </c>
      <c r="AJ275" s="7">
        <f t="shared" ca="1" si="160"/>
        <v>0</v>
      </c>
      <c r="AK275" s="7">
        <f t="shared" ca="1" si="160"/>
        <v>0</v>
      </c>
      <c r="AL275" s="7">
        <f t="shared" ca="1" si="160"/>
        <v>0</v>
      </c>
      <c r="AM275" s="7">
        <f t="shared" ca="1" si="160"/>
        <v>0</v>
      </c>
    </row>
    <row r="276" spans="1:39" x14ac:dyDescent="0.2">
      <c r="A276" s="3" t="s">
        <v>36</v>
      </c>
      <c r="C276" s="7">
        <f ca="1">-C269+SUM(C272:C275)</f>
        <v>0</v>
      </c>
      <c r="D276" s="7">
        <f t="shared" ref="D276" ca="1" si="161">-D269+SUM(D272:D275)</f>
        <v>0</v>
      </c>
      <c r="E276" s="7">
        <f t="shared" ref="E276:AM276" ca="1" si="162">-E269+SUM(E272:E275)</f>
        <v>0</v>
      </c>
      <c r="F276" s="7">
        <f t="shared" ca="1" si="162"/>
        <v>0</v>
      </c>
      <c r="G276" s="7">
        <f t="shared" ca="1" si="162"/>
        <v>0</v>
      </c>
      <c r="H276" s="7">
        <f t="shared" ca="1" si="162"/>
        <v>0</v>
      </c>
      <c r="I276" s="7">
        <f t="shared" ca="1" si="162"/>
        <v>0</v>
      </c>
      <c r="J276" s="7">
        <f t="shared" ca="1" si="162"/>
        <v>0</v>
      </c>
      <c r="K276" s="7">
        <f t="shared" ca="1" si="162"/>
        <v>0</v>
      </c>
      <c r="L276" s="7">
        <f t="shared" ca="1" si="162"/>
        <v>0</v>
      </c>
      <c r="M276" s="7">
        <f t="shared" ca="1" si="162"/>
        <v>0</v>
      </c>
      <c r="N276" s="7">
        <f t="shared" ca="1" si="162"/>
        <v>0</v>
      </c>
      <c r="O276" s="7">
        <f t="shared" ca="1" si="162"/>
        <v>0</v>
      </c>
      <c r="P276" s="7">
        <f t="shared" ca="1" si="162"/>
        <v>0</v>
      </c>
      <c r="Q276" s="7">
        <f t="shared" ca="1" si="162"/>
        <v>0</v>
      </c>
      <c r="R276" s="7">
        <f t="shared" ca="1" si="162"/>
        <v>0</v>
      </c>
      <c r="S276" s="7">
        <f t="shared" ca="1" si="162"/>
        <v>0</v>
      </c>
      <c r="T276" s="7">
        <f t="shared" ca="1" si="162"/>
        <v>0</v>
      </c>
      <c r="U276" s="7">
        <f t="shared" ca="1" si="162"/>
        <v>0</v>
      </c>
      <c r="V276" s="7">
        <f t="shared" ca="1" si="162"/>
        <v>0</v>
      </c>
      <c r="W276" s="7">
        <f t="shared" ca="1" si="162"/>
        <v>0</v>
      </c>
      <c r="X276" s="7">
        <f t="shared" ca="1" si="162"/>
        <v>0</v>
      </c>
      <c r="Y276" s="7">
        <f t="shared" ca="1" si="162"/>
        <v>0</v>
      </c>
      <c r="Z276" s="7">
        <f t="shared" ca="1" si="162"/>
        <v>0</v>
      </c>
      <c r="AA276" s="7">
        <f t="shared" ca="1" si="162"/>
        <v>0</v>
      </c>
      <c r="AB276" s="7">
        <f t="shared" ca="1" si="162"/>
        <v>0</v>
      </c>
      <c r="AC276" s="7">
        <f t="shared" ca="1" si="162"/>
        <v>0</v>
      </c>
      <c r="AD276" s="7">
        <f t="shared" ca="1" si="162"/>
        <v>0</v>
      </c>
      <c r="AE276" s="7">
        <f t="shared" ca="1" si="162"/>
        <v>0</v>
      </c>
      <c r="AF276" s="7">
        <f t="shared" ca="1" si="162"/>
        <v>596499.92130069225</v>
      </c>
      <c r="AG276" s="7">
        <f t="shared" ca="1" si="162"/>
        <v>-11357.524345298023</v>
      </c>
      <c r="AH276" s="7">
        <f t="shared" ca="1" si="162"/>
        <v>-11750.689265134008</v>
      </c>
      <c r="AI276" s="7">
        <f t="shared" ca="1" si="162"/>
        <v>-12156.960112302002</v>
      </c>
      <c r="AJ276" s="7">
        <f t="shared" ca="1" si="162"/>
        <v>-12576.762839115381</v>
      </c>
      <c r="AK276" s="7">
        <f t="shared" ca="1" si="162"/>
        <v>-13010.536995819273</v>
      </c>
      <c r="AL276" s="7">
        <f t="shared" ca="1" si="162"/>
        <v>-13458.73615901254</v>
      </c>
      <c r="AM276" s="7">
        <f t="shared" ca="1" si="162"/>
        <v>-13921.828373434571</v>
      </c>
    </row>
    <row r="277" spans="1:39" x14ac:dyDescent="0.2">
      <c r="A277" s="3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</row>
    <row r="278" spans="1:39" x14ac:dyDescent="0.2">
      <c r="A278" s="3" t="s">
        <v>70</v>
      </c>
      <c r="C278" s="7">
        <f ca="1">C264+SUM($C276:C276)</f>
        <v>63060.110212387553</v>
      </c>
      <c r="D278" s="7">
        <f ca="1">D264+SUM($C276:D276)</f>
        <v>74803.865731513826</v>
      </c>
      <c r="E278" s="7">
        <f ca="1">E264+SUM($C276:E276)</f>
        <v>165269.77766792092</v>
      </c>
      <c r="F278" s="7">
        <f ca="1">F264+SUM($C276:F276)</f>
        <v>77404.797492678772</v>
      </c>
      <c r="G278" s="7">
        <f ca="1">G264+SUM($C276:G276)</f>
        <v>182914.95575458009</v>
      </c>
      <c r="H278" s="7">
        <f ca="1">H264+SUM($C276:H276)</f>
        <v>129529.97572023471</v>
      </c>
      <c r="I278" s="7">
        <f ca="1">I264+SUM($C276:I276)</f>
        <v>91164.213839684453</v>
      </c>
      <c r="J278" s="7">
        <f ca="1">J264+SUM($C276:J276)</f>
        <v>179275.45457262834</v>
      </c>
      <c r="K278" s="7">
        <f ca="1">K264+SUM($C276:K276)</f>
        <v>118281.8899313185</v>
      </c>
      <c r="L278" s="7">
        <f ca="1">L264+SUM($C276:L276)</f>
        <v>138926.09569615126</v>
      </c>
      <c r="M278" s="7">
        <f ca="1">M264+SUM($C276:M276)</f>
        <v>63941.993400129919</v>
      </c>
      <c r="N278" s="7">
        <f ca="1">N264+SUM($C276:N276)</f>
        <v>36292.921153602525</v>
      </c>
      <c r="O278" s="7">
        <f ca="1">O264+SUM($C276:O276)</f>
        <v>192268.67503206589</v>
      </c>
      <c r="P278" s="7">
        <f ca="1">P264+SUM($C276:P276)</f>
        <v>157977.80442793126</v>
      </c>
      <c r="Q278" s="7">
        <f ca="1">Q264+SUM($C276:Q276)</f>
        <v>122198.14054807866</v>
      </c>
      <c r="R278" s="7">
        <f ca="1">R264+SUM($C276:R276)</f>
        <v>84521.674279479645</v>
      </c>
      <c r="S278" s="7">
        <f ca="1">S264+SUM($C276:S276)</f>
        <v>44907.310078202696</v>
      </c>
      <c r="T278" s="7">
        <f ca="1">T264+SUM($C276:T276)</f>
        <v>20781.292385504436</v>
      </c>
      <c r="U278" s="7">
        <f ca="1">U264+SUM($C276:U276)</f>
        <v>76235.892385616899</v>
      </c>
      <c r="V278" s="7">
        <f ca="1">V264+SUM($C276:V276)</f>
        <v>59930.431957274806</v>
      </c>
      <c r="W278" s="7">
        <f ca="1">W264+SUM($C276:W276)</f>
        <v>42915.162745274181</v>
      </c>
      <c r="X278" s="7">
        <f ca="1">X264+SUM($C276:X276)</f>
        <v>379449.71137728752</v>
      </c>
      <c r="Y278" s="7">
        <f ca="1">Y264+SUM($C276:Y276)</f>
        <v>339003.42556395108</v>
      </c>
      <c r="Z278" s="7">
        <f ca="1">Z264+SUM($C276:Z276)</f>
        <v>296330.5317996596</v>
      </c>
      <c r="AA278" s="7">
        <f ca="1">AA264+SUM($C276:AA276)</f>
        <v>251181.74853418698</v>
      </c>
      <c r="AB278" s="7">
        <f ca="1">AB264+SUM($C276:AB276)</f>
        <v>203500.12976516303</v>
      </c>
      <c r="AC278" s="7">
        <f ca="1">AC264+SUM($C276:AC276)</f>
        <v>153227.45437721393</v>
      </c>
      <c r="AD278" s="7">
        <f ca="1">AD264+SUM($C276:AD276)</f>
        <v>100304.19872024725</v>
      </c>
      <c r="AE278" s="7">
        <f ca="1">AE264+SUM($C276:AE276)</f>
        <v>54901.545607011059</v>
      </c>
      <c r="AF278" s="7">
        <f ca="1">AF264+SUM($C276:AF276)</f>
        <v>603730.52896679728</v>
      </c>
      <c r="AG278" s="7">
        <f ca="1">AG264+SUM($C276:AG276)</f>
        <v>543320.58268924174</v>
      </c>
      <c r="AH278" s="7">
        <f ca="1">AH264+SUM($C276:AH276)</f>
        <v>481400.38775474735</v>
      </c>
      <c r="AI278" s="7">
        <f ca="1">AI264+SUM($C276:AI276)</f>
        <v>417932.18794689071</v>
      </c>
      <c r="AJ278" s="7">
        <f ca="1">AJ264+SUM($C276:AJ276)</f>
        <v>352877.28314383741</v>
      </c>
      <c r="AK278" s="7">
        <f ca="1">AK264+SUM($C276:AK276)</f>
        <v>286196.00572070794</v>
      </c>
      <c r="AL278" s="7">
        <f ca="1">AL264+SUM($C276:AL276)</f>
        <v>217847.69636199996</v>
      </c>
      <c r="AM278" s="7">
        <f ca="1">AM264+SUM($C276:AM276)</f>
        <v>147790.6792693247</v>
      </c>
    </row>
    <row r="279" spans="1:39" x14ac:dyDescent="0.2">
      <c r="A279" s="3" t="s">
        <v>67</v>
      </c>
      <c r="C279" s="7">
        <f t="shared" ref="C279:AM279" ca="1" si="163">MAX(C278+buffer,0)-MAX(C264+buffer,0)</f>
        <v>0</v>
      </c>
      <c r="D279" s="7">
        <f t="shared" ca="1" si="163"/>
        <v>0</v>
      </c>
      <c r="E279" s="7">
        <f t="shared" ca="1" si="163"/>
        <v>0</v>
      </c>
      <c r="F279" s="7">
        <f t="shared" ca="1" si="163"/>
        <v>0</v>
      </c>
      <c r="G279" s="7">
        <f t="shared" ca="1" si="163"/>
        <v>0</v>
      </c>
      <c r="H279" s="7">
        <f t="shared" ca="1" si="163"/>
        <v>0</v>
      </c>
      <c r="I279" s="7">
        <f t="shared" ca="1" si="163"/>
        <v>0</v>
      </c>
      <c r="J279" s="7">
        <f t="shared" ca="1" si="163"/>
        <v>0</v>
      </c>
      <c r="K279" s="7">
        <f t="shared" ca="1" si="163"/>
        <v>0</v>
      </c>
      <c r="L279" s="7">
        <f t="shared" ca="1" si="163"/>
        <v>0</v>
      </c>
      <c r="M279" s="7">
        <f t="shared" ca="1" si="163"/>
        <v>0</v>
      </c>
      <c r="N279" s="7">
        <f t="shared" ca="1" si="163"/>
        <v>0</v>
      </c>
      <c r="O279" s="7">
        <f t="shared" ca="1" si="163"/>
        <v>0</v>
      </c>
      <c r="P279" s="7">
        <f t="shared" ca="1" si="163"/>
        <v>0</v>
      </c>
      <c r="Q279" s="7">
        <f t="shared" ca="1" si="163"/>
        <v>0</v>
      </c>
      <c r="R279" s="7">
        <f t="shared" ca="1" si="163"/>
        <v>0</v>
      </c>
      <c r="S279" s="7">
        <f t="shared" ca="1" si="163"/>
        <v>0</v>
      </c>
      <c r="T279" s="7">
        <f t="shared" ca="1" si="163"/>
        <v>0</v>
      </c>
      <c r="U279" s="7">
        <f t="shared" ca="1" si="163"/>
        <v>0</v>
      </c>
      <c r="V279" s="7">
        <f t="shared" ca="1" si="163"/>
        <v>0</v>
      </c>
      <c r="W279" s="7">
        <f t="shared" ca="1" si="163"/>
        <v>0</v>
      </c>
      <c r="X279" s="7">
        <f t="shared" ca="1" si="163"/>
        <v>0</v>
      </c>
      <c r="Y279" s="7">
        <f t="shared" ca="1" si="163"/>
        <v>0</v>
      </c>
      <c r="Z279" s="7">
        <f t="shared" ca="1" si="163"/>
        <v>0</v>
      </c>
      <c r="AA279" s="7">
        <f t="shared" ca="1" si="163"/>
        <v>0</v>
      </c>
      <c r="AB279" s="7">
        <f t="shared" ca="1" si="163"/>
        <v>0</v>
      </c>
      <c r="AC279" s="7">
        <f t="shared" ca="1" si="163"/>
        <v>0</v>
      </c>
      <c r="AD279" s="7">
        <f t="shared" ca="1" si="163"/>
        <v>0</v>
      </c>
      <c r="AE279" s="7">
        <f t="shared" ca="1" si="163"/>
        <v>0</v>
      </c>
      <c r="AF279" s="7">
        <f t="shared" ca="1" si="163"/>
        <v>596499.92130069225</v>
      </c>
      <c r="AG279" s="7">
        <f t="shared" ca="1" si="163"/>
        <v>585142.39695539419</v>
      </c>
      <c r="AH279" s="7">
        <f t="shared" ca="1" si="163"/>
        <v>531400.38775474741</v>
      </c>
      <c r="AI279" s="7">
        <f t="shared" ca="1" si="163"/>
        <v>467932.18794689071</v>
      </c>
      <c r="AJ279" s="7">
        <f t="shared" ca="1" si="163"/>
        <v>402877.28314383741</v>
      </c>
      <c r="AK279" s="7">
        <f t="shared" ca="1" si="163"/>
        <v>336196.00572070794</v>
      </c>
      <c r="AL279" s="7">
        <f t="shared" ca="1" si="163"/>
        <v>267847.69636199996</v>
      </c>
      <c r="AM279" s="7">
        <f t="shared" ca="1" si="163"/>
        <v>197790.6792693247</v>
      </c>
    </row>
    <row r="280" spans="1:39" x14ac:dyDescent="0.2">
      <c r="A280" s="3" t="s">
        <v>68</v>
      </c>
      <c r="C280" s="7">
        <f ca="1">C279*Inputs!$B$269</f>
        <v>0</v>
      </c>
      <c r="D280" s="7">
        <f ca="1">D279*Inputs!$B$269</f>
        <v>0</v>
      </c>
      <c r="E280" s="7">
        <f ca="1">E279*Inputs!$B$269</f>
        <v>0</v>
      </c>
      <c r="F280" s="7">
        <f ca="1">F279*Inputs!$B$269</f>
        <v>0</v>
      </c>
      <c r="G280" s="7">
        <f ca="1">G279*Inputs!$B$269</f>
        <v>0</v>
      </c>
      <c r="H280" s="7">
        <f ca="1">H279*Inputs!$B$269</f>
        <v>0</v>
      </c>
      <c r="I280" s="7">
        <f ca="1">I279*Inputs!$B$269</f>
        <v>0</v>
      </c>
      <c r="J280" s="7">
        <f ca="1">J279*Inputs!$B$269</f>
        <v>0</v>
      </c>
      <c r="K280" s="7">
        <f ca="1">K279*Inputs!$B$269</f>
        <v>0</v>
      </c>
      <c r="L280" s="7">
        <f ca="1">L279*Inputs!$B$269</f>
        <v>0</v>
      </c>
      <c r="M280" s="7">
        <f ca="1">M279*Inputs!$B$269</f>
        <v>0</v>
      </c>
      <c r="N280" s="7">
        <f ca="1">N279*Inputs!$B$269</f>
        <v>0</v>
      </c>
      <c r="O280" s="7">
        <f ca="1">O279*Inputs!$B$269</f>
        <v>0</v>
      </c>
      <c r="P280" s="7">
        <f ca="1">P279*Inputs!$B$269</f>
        <v>0</v>
      </c>
      <c r="Q280" s="7">
        <f ca="1">Q279*Inputs!$B$269</f>
        <v>0</v>
      </c>
      <c r="R280" s="7">
        <f ca="1">R279*Inputs!$B$269</f>
        <v>0</v>
      </c>
      <c r="S280" s="7">
        <f ca="1">S279*Inputs!$B$269</f>
        <v>0</v>
      </c>
      <c r="T280" s="7">
        <f ca="1">T279*Inputs!$B$269</f>
        <v>0</v>
      </c>
      <c r="U280" s="7">
        <f ca="1">U279*Inputs!$B$269</f>
        <v>0</v>
      </c>
      <c r="V280" s="7">
        <f ca="1">V279*Inputs!$B$269</f>
        <v>0</v>
      </c>
      <c r="W280" s="7">
        <f ca="1">W279*Inputs!$B$269</f>
        <v>0</v>
      </c>
      <c r="X280" s="7">
        <f ca="1">X279*Inputs!$B$269</f>
        <v>0</v>
      </c>
      <c r="Y280" s="7">
        <f ca="1">Y279*Inputs!$B$269</f>
        <v>0</v>
      </c>
      <c r="Z280" s="7">
        <f ca="1">Z279*Inputs!$B$269</f>
        <v>0</v>
      </c>
      <c r="AA280" s="7">
        <f ca="1">AA279*Inputs!$B$269</f>
        <v>0</v>
      </c>
      <c r="AB280" s="7">
        <f ca="1">AB279*Inputs!$B$269</f>
        <v>0</v>
      </c>
      <c r="AC280" s="7">
        <f ca="1">AC279*Inputs!$B$269</f>
        <v>0</v>
      </c>
      <c r="AD280" s="7">
        <f ca="1">AD279*Inputs!$B$269</f>
        <v>0</v>
      </c>
      <c r="AE280" s="7">
        <f ca="1">AE279*Inputs!$B$269</f>
        <v>0</v>
      </c>
      <c r="AF280" s="7">
        <f ca="1">AF279*Inputs!$B$269</f>
        <v>14912.498032517307</v>
      </c>
      <c r="AG280" s="7">
        <f ca="1">AG279*Inputs!$B$269</f>
        <v>14628.559923884855</v>
      </c>
      <c r="AH280" s="7">
        <f ca="1">AH279*Inputs!$B$269</f>
        <v>13285.009693868686</v>
      </c>
      <c r="AI280" s="7">
        <f ca="1">AI279*Inputs!$B$269</f>
        <v>11698.304698672269</v>
      </c>
      <c r="AJ280" s="7">
        <f ca="1">AJ279*Inputs!$B$269</f>
        <v>10071.932078595935</v>
      </c>
      <c r="AK280" s="7">
        <f ca="1">AK279*Inputs!$B$269</f>
        <v>8404.9001430176995</v>
      </c>
      <c r="AL280" s="7">
        <f ca="1">AL279*Inputs!$B$269</f>
        <v>6696.1924090499997</v>
      </c>
      <c r="AM280" s="7">
        <f ca="1">AM279*Inputs!$B$269</f>
        <v>4944.766981733118</v>
      </c>
    </row>
    <row r="281" spans="1:39" x14ac:dyDescent="0.2">
      <c r="A281" s="3" t="s">
        <v>149</v>
      </c>
      <c r="C281" s="7">
        <f ca="1">C278+SUM($C280:C280)</f>
        <v>63060.110212387553</v>
      </c>
      <c r="D281" s="7">
        <f ca="1">D278+SUM($C280:D280)</f>
        <v>74803.865731513826</v>
      </c>
      <c r="E281" s="7">
        <f ca="1">E278+SUM($C280:E280)</f>
        <v>165269.77766792092</v>
      </c>
      <c r="F281" s="7">
        <f ca="1">F278+SUM($C280:F280)</f>
        <v>77404.797492678772</v>
      </c>
      <c r="G281" s="7">
        <f ca="1">G278+SUM($C280:G280)</f>
        <v>182914.95575458009</v>
      </c>
      <c r="H281" s="7">
        <f ca="1">H278+SUM($C280:H280)</f>
        <v>129529.97572023471</v>
      </c>
      <c r="I281" s="7">
        <f ca="1">I278+SUM($C280:I280)</f>
        <v>91164.213839684453</v>
      </c>
      <c r="J281" s="7">
        <f ca="1">J278+SUM($C280:J280)</f>
        <v>179275.45457262834</v>
      </c>
      <c r="K281" s="7">
        <f ca="1">K278+SUM($C280:K280)</f>
        <v>118281.8899313185</v>
      </c>
      <c r="L281" s="7">
        <f ca="1">L278+SUM($C280:L280)</f>
        <v>138926.09569615126</v>
      </c>
      <c r="M281" s="7">
        <f ca="1">M278+SUM($C280:M280)</f>
        <v>63941.993400129919</v>
      </c>
      <c r="N281" s="7">
        <f ca="1">N278+SUM($C280:N280)</f>
        <v>36292.921153602525</v>
      </c>
      <c r="O281" s="7">
        <f ca="1">O278+SUM($C280:O280)</f>
        <v>192268.67503206589</v>
      </c>
      <c r="P281" s="7">
        <f ca="1">P278+SUM($C280:P280)</f>
        <v>157977.80442793126</v>
      </c>
      <c r="Q281" s="7">
        <f ca="1">Q278+SUM($C280:Q280)</f>
        <v>122198.14054807866</v>
      </c>
      <c r="R281" s="7">
        <f ca="1">R278+SUM($C280:R280)</f>
        <v>84521.674279479645</v>
      </c>
      <c r="S281" s="7">
        <f ca="1">S278+SUM($C280:S280)</f>
        <v>44907.310078202696</v>
      </c>
      <c r="T281" s="7">
        <f ca="1">T278+SUM($C280:T280)</f>
        <v>20781.292385504436</v>
      </c>
      <c r="U281" s="7">
        <f ca="1">U278+SUM($C280:U280)</f>
        <v>76235.892385616899</v>
      </c>
      <c r="V281" s="7">
        <f ca="1">V278+SUM($C280:V280)</f>
        <v>59930.431957274806</v>
      </c>
      <c r="W281" s="7">
        <f ca="1">W278+SUM($C280:W280)</f>
        <v>42915.162745274181</v>
      </c>
      <c r="X281" s="7">
        <f ca="1">X278+SUM($C280:X280)</f>
        <v>379449.71137728752</v>
      </c>
      <c r="Y281" s="7">
        <f ca="1">Y278+SUM($C280:Y280)</f>
        <v>339003.42556395108</v>
      </c>
      <c r="Z281" s="7">
        <f ca="1">Z278+SUM($C280:Z280)</f>
        <v>296330.5317996596</v>
      </c>
      <c r="AA281" s="7">
        <f ca="1">AA278+SUM($C280:AA280)</f>
        <v>251181.74853418698</v>
      </c>
      <c r="AB281" s="7">
        <f ca="1">AB278+SUM($C280:AB280)</f>
        <v>203500.12976516303</v>
      </c>
      <c r="AC281" s="7">
        <f ca="1">AC278+SUM($C280:AC280)</f>
        <v>153227.45437721393</v>
      </c>
      <c r="AD281" s="7">
        <f ca="1">AD278+SUM($C280:AD280)</f>
        <v>100304.19872024725</v>
      </c>
      <c r="AE281" s="7">
        <f ca="1">AE278+SUM($C280:AE280)</f>
        <v>54901.545607011059</v>
      </c>
      <c r="AF281" s="7">
        <f ca="1">AF278+SUM($C280:AF280)</f>
        <v>618643.02699931455</v>
      </c>
      <c r="AG281" s="7">
        <f ca="1">AG278+SUM($C280:AG280)</f>
        <v>572861.64064564393</v>
      </c>
      <c r="AH281" s="7">
        <f ca="1">AH278+SUM($C280:AH280)</f>
        <v>524226.45540501818</v>
      </c>
      <c r="AI281" s="7">
        <f ca="1">AI278+SUM($C280:AI280)</f>
        <v>472456.56029583386</v>
      </c>
      <c r="AJ281" s="7">
        <f ca="1">AJ278+SUM($C280:AJ280)</f>
        <v>417473.58757137647</v>
      </c>
      <c r="AK281" s="7">
        <f ca="1">AK278+SUM($C280:AK280)</f>
        <v>359197.2102912647</v>
      </c>
      <c r="AL281" s="7">
        <f ca="1">AL278+SUM($C280:AL280)</f>
        <v>297545.09334160667</v>
      </c>
      <c r="AM281" s="7">
        <f ca="1">AM278+SUM($C280:AM280)</f>
        <v>232432.84323066456</v>
      </c>
    </row>
    <row r="282" spans="1:39" x14ac:dyDescent="0.2">
      <c r="A282" s="3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</row>
    <row r="283" spans="1:39" x14ac:dyDescent="0.2">
      <c r="A283" s="3" t="s">
        <v>147</v>
      </c>
      <c r="C283" s="7">
        <f t="shared" ref="C283:AM283" ca="1" si="164">C281+buffer</f>
        <v>113060.11021238755</v>
      </c>
      <c r="D283" s="7">
        <f t="shared" ca="1" si="164"/>
        <v>124803.86573151383</v>
      </c>
      <c r="E283" s="7">
        <f t="shared" ca="1" si="164"/>
        <v>215269.77766792092</v>
      </c>
      <c r="F283" s="7">
        <f t="shared" ca="1" si="164"/>
        <v>127404.79749267877</v>
      </c>
      <c r="G283" s="7">
        <f t="shared" ca="1" si="164"/>
        <v>232914.95575458009</v>
      </c>
      <c r="H283" s="7">
        <f t="shared" ca="1" si="164"/>
        <v>179529.97572023471</v>
      </c>
      <c r="I283" s="7">
        <f t="shared" ca="1" si="164"/>
        <v>141164.21383968444</v>
      </c>
      <c r="J283" s="7">
        <f t="shared" ca="1" si="164"/>
        <v>229275.45457262834</v>
      </c>
      <c r="K283" s="7">
        <f t="shared" ca="1" si="164"/>
        <v>168281.8899313185</v>
      </c>
      <c r="L283" s="7">
        <f t="shared" ca="1" si="164"/>
        <v>188926.09569615126</v>
      </c>
      <c r="M283" s="7">
        <f t="shared" ca="1" si="164"/>
        <v>113941.99340012993</v>
      </c>
      <c r="N283" s="7">
        <f t="shared" ca="1" si="164"/>
        <v>86292.921153602525</v>
      </c>
      <c r="O283" s="7">
        <f t="shared" ca="1" si="164"/>
        <v>242268.67503206589</v>
      </c>
      <c r="P283" s="7">
        <f t="shared" ca="1" si="164"/>
        <v>207977.80442793126</v>
      </c>
      <c r="Q283" s="7">
        <f t="shared" ca="1" si="164"/>
        <v>172198.14054807866</v>
      </c>
      <c r="R283" s="7">
        <f t="shared" ca="1" si="164"/>
        <v>134521.67427947966</v>
      </c>
      <c r="S283" s="7">
        <f t="shared" ca="1" si="164"/>
        <v>94907.310078202689</v>
      </c>
      <c r="T283" s="7">
        <f t="shared" ca="1" si="164"/>
        <v>70781.292385504436</v>
      </c>
      <c r="U283" s="7">
        <f t="shared" ca="1" si="164"/>
        <v>126235.8923856169</v>
      </c>
      <c r="V283" s="7">
        <f t="shared" ca="1" si="164"/>
        <v>109930.43195727481</v>
      </c>
      <c r="W283" s="7">
        <f t="shared" ca="1" si="164"/>
        <v>92915.162745274181</v>
      </c>
      <c r="X283" s="7">
        <f t="shared" ca="1" si="164"/>
        <v>429449.71137728752</v>
      </c>
      <c r="Y283" s="7">
        <f t="shared" ca="1" si="164"/>
        <v>389003.42556395108</v>
      </c>
      <c r="Z283" s="7">
        <f t="shared" ca="1" si="164"/>
        <v>346330.5317996596</v>
      </c>
      <c r="AA283" s="7">
        <f t="shared" ca="1" si="164"/>
        <v>301181.74853418698</v>
      </c>
      <c r="AB283" s="7">
        <f t="shared" ca="1" si="164"/>
        <v>253500.12976516303</v>
      </c>
      <c r="AC283" s="7">
        <f t="shared" ca="1" si="164"/>
        <v>203227.45437721393</v>
      </c>
      <c r="AD283" s="7">
        <f t="shared" ca="1" si="164"/>
        <v>150304.19872024725</v>
      </c>
      <c r="AE283" s="7">
        <f t="shared" ca="1" si="164"/>
        <v>104901.54560701107</v>
      </c>
      <c r="AF283" s="7">
        <f t="shared" ca="1" si="164"/>
        <v>668643.02699931455</v>
      </c>
      <c r="AG283" s="7">
        <f t="shared" ca="1" si="164"/>
        <v>622861.64064564393</v>
      </c>
      <c r="AH283" s="7">
        <f t="shared" ca="1" si="164"/>
        <v>574226.45540501818</v>
      </c>
      <c r="AI283" s="7">
        <f t="shared" ca="1" si="164"/>
        <v>522456.56029583386</v>
      </c>
      <c r="AJ283" s="7">
        <f t="shared" ca="1" si="164"/>
        <v>467473.58757137647</v>
      </c>
      <c r="AK283" s="7">
        <f t="shared" ca="1" si="164"/>
        <v>409197.2102912647</v>
      </c>
      <c r="AL283" s="7">
        <f t="shared" ca="1" si="164"/>
        <v>347545.09334160667</v>
      </c>
      <c r="AM283" s="7">
        <f t="shared" ca="1" si="164"/>
        <v>282432.84323066456</v>
      </c>
    </row>
    <row r="284" spans="1:39" x14ac:dyDescent="0.2">
      <c r="A284" s="4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</row>
    <row r="285" spans="1:39" x14ac:dyDescent="0.2">
      <c r="A285" s="29" t="s">
        <v>58</v>
      </c>
      <c r="B285" s="2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</row>
    <row r="286" spans="1:39" x14ac:dyDescent="0.2">
      <c r="A286" s="3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</row>
    <row r="287" spans="1:39" x14ac:dyDescent="0.2">
      <c r="A287" s="18" t="s">
        <v>194</v>
      </c>
      <c r="B287" s="19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</row>
    <row r="288" spans="1:39" x14ac:dyDescent="0.2">
      <c r="A288" s="22" t="str">
        <f>B$122</f>
        <v>Painting</v>
      </c>
      <c r="B288" s="19"/>
      <c r="C288" s="20">
        <f ca="1">SUM($C116:C116)</f>
        <v>-20448.333244589874</v>
      </c>
      <c r="D288" s="20">
        <f ca="1">SUM($C116:D116)</f>
        <v>-20448.333244589874</v>
      </c>
      <c r="E288" s="20">
        <f ca="1">SUM($C116:E116)</f>
        <v>-20448.333244589874</v>
      </c>
      <c r="F288" s="20">
        <f ca="1">SUM($C116:F116)</f>
        <v>-20448.333244589874</v>
      </c>
      <c r="G288" s="20">
        <f ca="1">SUM($C116:G116)</f>
        <v>-20448.333244589874</v>
      </c>
      <c r="H288" s="20">
        <f ca="1">SUM($C116:H116)</f>
        <v>-20448.333244589874</v>
      </c>
      <c r="I288" s="20">
        <f ca="1">SUM($C116:I116)</f>
        <v>-20448.333244589874</v>
      </c>
      <c r="J288" s="20">
        <f ca="1">SUM($C116:J116)</f>
        <v>-20448.333244589874</v>
      </c>
      <c r="K288" s="20">
        <f ca="1">SUM($C116:K116)</f>
        <v>-20448.333244589874</v>
      </c>
      <c r="L288" s="20">
        <f ca="1">SUM($C116:L116)</f>
        <v>-20448.333244589874</v>
      </c>
      <c r="M288" s="20">
        <f ca="1">SUM($C116:M116)</f>
        <v>-20448.333244589874</v>
      </c>
      <c r="N288" s="20">
        <f ca="1">SUM($C116:N116)</f>
        <v>-20448.333244589874</v>
      </c>
      <c r="O288" s="20">
        <f ca="1">SUM($C116:O116)</f>
        <v>-20448.333244589874</v>
      </c>
      <c r="P288" s="20">
        <f ca="1">SUM($C116:P116)</f>
        <v>-20448.333244589874</v>
      </c>
      <c r="Q288" s="20">
        <f ca="1">SUM($C116:Q116)</f>
        <v>-20448.333244589874</v>
      </c>
      <c r="R288" s="20">
        <f ca="1">SUM($C116:R116)</f>
        <v>-20448.333244589874</v>
      </c>
      <c r="S288" s="20">
        <f ca="1">SUM($C116:S116)</f>
        <v>-20448.333244589874</v>
      </c>
      <c r="T288" s="20">
        <f ca="1">SUM($C116:T116)</f>
        <v>-20448.333244589874</v>
      </c>
      <c r="U288" s="20">
        <f ca="1">SUM($C116:U116)</f>
        <v>-20448.333244589874</v>
      </c>
      <c r="V288" s="20">
        <f ca="1">SUM($C116:V116)</f>
        <v>-20448.333244589874</v>
      </c>
      <c r="W288" s="20">
        <f ca="1">SUM($C116:W116)</f>
        <v>-20448.333244589874</v>
      </c>
      <c r="X288" s="20">
        <f ca="1">SUM($C116:X116)</f>
        <v>-20448.333244589874</v>
      </c>
      <c r="Y288" s="20">
        <f ca="1">SUM($C116:Y116)</f>
        <v>-20448.333244589874</v>
      </c>
      <c r="Z288" s="20">
        <f ca="1">SUM($C116:Z116)</f>
        <v>-20448.333244589874</v>
      </c>
      <c r="AA288" s="20">
        <f ca="1">SUM($C116:AA116)</f>
        <v>-20448.333244589874</v>
      </c>
      <c r="AB288" s="20">
        <f ca="1">SUM($C116:AB116)</f>
        <v>-20448.333244589874</v>
      </c>
      <c r="AC288" s="20">
        <f ca="1">SUM($C116:AC116)</f>
        <v>-20448.333244589874</v>
      </c>
      <c r="AD288" s="20">
        <f ca="1">SUM($C116:AD116)</f>
        <v>-20448.333244589874</v>
      </c>
      <c r="AE288" s="20">
        <f ca="1">SUM($C116:AE116)</f>
        <v>-20448.333244589874</v>
      </c>
      <c r="AF288" s="20">
        <f ca="1">SUM($C116:AF116)</f>
        <v>-20448.333244589874</v>
      </c>
      <c r="AG288" s="20">
        <f ca="1">SUM($C116:AG116)</f>
        <v>-20448.333244589874</v>
      </c>
      <c r="AH288" s="20">
        <f ca="1">SUM($C116:AH116)</f>
        <v>-20448.333244589874</v>
      </c>
      <c r="AI288" s="20">
        <f ca="1">SUM($C116:AI116)</f>
        <v>-20448.333244589874</v>
      </c>
      <c r="AJ288" s="20">
        <f ca="1">SUM($C116:AJ116)</f>
        <v>-20448.333244589874</v>
      </c>
      <c r="AK288" s="20">
        <f ca="1">SUM($C116:AK116)</f>
        <v>-20448.333244589874</v>
      </c>
      <c r="AL288" s="20">
        <f ca="1">SUM($C116:AL116)</f>
        <v>-20448.333244589874</v>
      </c>
      <c r="AM288" s="20">
        <f ca="1">SUM($C116:AM116)</f>
        <v>-20448.333244589874</v>
      </c>
    </row>
    <row r="289" spans="1:39" x14ac:dyDescent="0.2">
      <c r="A289" s="22" t="str">
        <f>B$139</f>
        <v>Car</v>
      </c>
      <c r="B289" s="19"/>
      <c r="C289" s="20">
        <f ca="1">SUM($C133:C133)</f>
        <v>-38490.424009238486</v>
      </c>
      <c r="D289" s="20">
        <f ca="1">SUM($C133:D133)</f>
        <v>-38490.424009238486</v>
      </c>
      <c r="E289" s="20">
        <f ca="1">SUM($C133:E133)</f>
        <v>-38490.424009238486</v>
      </c>
      <c r="F289" s="20">
        <f ca="1">SUM($C133:F133)</f>
        <v>-38490.424009238486</v>
      </c>
      <c r="G289" s="20">
        <f ca="1">SUM($C133:G133)</f>
        <v>-38490.424009238486</v>
      </c>
      <c r="H289" s="20">
        <f ca="1">SUM($C133:H133)</f>
        <v>-38490.424009238486</v>
      </c>
      <c r="I289" s="20">
        <f ca="1">SUM($C133:I133)</f>
        <v>-38490.424009238486</v>
      </c>
      <c r="J289" s="20">
        <f ca="1">SUM($C133:J133)</f>
        <v>-38490.424009238486</v>
      </c>
      <c r="K289" s="20">
        <f ca="1">SUM($C133:K133)</f>
        <v>-38490.424009238486</v>
      </c>
      <c r="L289" s="20">
        <f ca="1">SUM($C133:L133)</f>
        <v>-38490.424009238486</v>
      </c>
      <c r="M289" s="20">
        <f ca="1">SUM($C133:M133)</f>
        <v>-38490.424009238486</v>
      </c>
      <c r="N289" s="20">
        <f ca="1">SUM($C133:N133)</f>
        <v>-38490.424009238486</v>
      </c>
      <c r="O289" s="20">
        <f ca="1">SUM($C133:O133)</f>
        <v>-38490.424009238486</v>
      </c>
      <c r="P289" s="20">
        <f ca="1">SUM($C133:P133)</f>
        <v>-38490.424009238486</v>
      </c>
      <c r="Q289" s="20">
        <f ca="1">SUM($C133:Q133)</f>
        <v>-38490.424009238486</v>
      </c>
      <c r="R289" s="20">
        <f ca="1">SUM($C133:R133)</f>
        <v>-38490.424009238486</v>
      </c>
      <c r="S289" s="20">
        <f ca="1">SUM($C133:S133)</f>
        <v>-38490.424009238486</v>
      </c>
      <c r="T289" s="20">
        <f ca="1">SUM($C133:T133)</f>
        <v>-38490.424009238486</v>
      </c>
      <c r="U289" s="20">
        <f ca="1">SUM($C133:U133)</f>
        <v>-38490.424009238486</v>
      </c>
      <c r="V289" s="20">
        <f ca="1">SUM($C133:V133)</f>
        <v>-38490.424009238486</v>
      </c>
      <c r="W289" s="20">
        <f ca="1">SUM($C133:W133)</f>
        <v>-38490.424009238486</v>
      </c>
      <c r="X289" s="20">
        <f ca="1">SUM($C133:X133)</f>
        <v>-38490.424009238486</v>
      </c>
      <c r="Y289" s="20">
        <f ca="1">SUM($C133:Y133)</f>
        <v>-38490.424009238486</v>
      </c>
      <c r="Z289" s="20">
        <f ca="1">SUM($C133:Z133)</f>
        <v>-38490.424009238486</v>
      </c>
      <c r="AA289" s="20">
        <f ca="1">SUM($C133:AA133)</f>
        <v>-38490.424009238486</v>
      </c>
      <c r="AB289" s="20">
        <f ca="1">SUM($C133:AB133)</f>
        <v>-38490.424009238486</v>
      </c>
      <c r="AC289" s="20">
        <f ca="1">SUM($C133:AC133)</f>
        <v>-38490.424009238486</v>
      </c>
      <c r="AD289" s="20">
        <f ca="1">SUM($C133:AD133)</f>
        <v>-38490.424009238486</v>
      </c>
      <c r="AE289" s="20">
        <f ca="1">SUM($C133:AE133)</f>
        <v>-38490.424009238486</v>
      </c>
      <c r="AF289" s="20">
        <f ca="1">SUM($C133:AF133)</f>
        <v>-38490.424009238486</v>
      </c>
      <c r="AG289" s="20">
        <f ca="1">SUM($C133:AG133)</f>
        <v>-38490.424009238486</v>
      </c>
      <c r="AH289" s="20">
        <f ca="1">SUM($C133:AH133)</f>
        <v>-38490.424009238486</v>
      </c>
      <c r="AI289" s="20">
        <f ca="1">SUM($C133:AI133)</f>
        <v>-38490.424009238486</v>
      </c>
      <c r="AJ289" s="20">
        <f ca="1">SUM($C133:AJ133)</f>
        <v>-38490.424009238486</v>
      </c>
      <c r="AK289" s="20">
        <f ca="1">SUM($C133:AK133)</f>
        <v>-38490.424009238486</v>
      </c>
      <c r="AL289" s="20">
        <f ca="1">SUM($C133:AL133)</f>
        <v>-38490.424009238486</v>
      </c>
      <c r="AM289" s="20">
        <f ca="1">SUM($C133:AM133)</f>
        <v>-38490.424009238486</v>
      </c>
    </row>
    <row r="290" spans="1:39" x14ac:dyDescent="0.2">
      <c r="A290" s="22" t="str">
        <f>B$156</f>
        <v>Jewelry</v>
      </c>
      <c r="B290" s="19"/>
      <c r="C290" s="20">
        <f ca="1">SUM($C150:C150)</f>
        <v>0</v>
      </c>
      <c r="D290" s="20">
        <f ca="1">SUM($C150:D150)</f>
        <v>-50748.140451472013</v>
      </c>
      <c r="E290" s="20">
        <f ca="1">SUM($C150:E150)</f>
        <v>-50748.140451472013</v>
      </c>
      <c r="F290" s="20">
        <f ca="1">SUM($C150:F150)</f>
        <v>-50748.140451472013</v>
      </c>
      <c r="G290" s="20">
        <f ca="1">SUM($C150:G150)</f>
        <v>-50748.140451472013</v>
      </c>
      <c r="H290" s="20">
        <f ca="1">SUM($C150:H150)</f>
        <v>-50748.140451472013</v>
      </c>
      <c r="I290" s="20">
        <f ca="1">SUM($C150:I150)</f>
        <v>-50748.140451472013</v>
      </c>
      <c r="J290" s="20">
        <f ca="1">SUM($C150:J150)</f>
        <v>-50748.140451472013</v>
      </c>
      <c r="K290" s="20">
        <f ca="1">SUM($C150:K150)</f>
        <v>-50748.140451472013</v>
      </c>
      <c r="L290" s="20">
        <f ca="1">SUM($C150:L150)</f>
        <v>-50748.140451472013</v>
      </c>
      <c r="M290" s="20">
        <f ca="1">SUM($C150:M150)</f>
        <v>-50748.140451472013</v>
      </c>
      <c r="N290" s="20">
        <f ca="1">SUM($C150:N150)</f>
        <v>-50748.140451472013</v>
      </c>
      <c r="O290" s="20">
        <f ca="1">SUM($C150:O150)</f>
        <v>-50748.140451472013</v>
      </c>
      <c r="P290" s="20">
        <f ca="1">SUM($C150:P150)</f>
        <v>-50748.140451472013</v>
      </c>
      <c r="Q290" s="20">
        <f ca="1">SUM($C150:Q150)</f>
        <v>-50748.140451472013</v>
      </c>
      <c r="R290" s="20">
        <f ca="1">SUM($C150:R150)</f>
        <v>-50748.140451472013</v>
      </c>
      <c r="S290" s="20">
        <f ca="1">SUM($C150:S150)</f>
        <v>-50748.140451472013</v>
      </c>
      <c r="T290" s="20">
        <f ca="1">SUM($C150:T150)</f>
        <v>-50748.140451472013</v>
      </c>
      <c r="U290" s="20">
        <f ca="1">SUM($C150:U150)</f>
        <v>-50748.140451472013</v>
      </c>
      <c r="V290" s="20">
        <f ca="1">SUM($C150:V150)</f>
        <v>-50748.140451472013</v>
      </c>
      <c r="W290" s="20">
        <f ca="1">SUM($C150:W150)</f>
        <v>-50748.140451472013</v>
      </c>
      <c r="X290" s="20">
        <f ca="1">SUM($C150:X150)</f>
        <v>-50748.140451472013</v>
      </c>
      <c r="Y290" s="20">
        <f ca="1">SUM($C150:Y150)</f>
        <v>-50748.140451472013</v>
      </c>
      <c r="Z290" s="20">
        <f ca="1">SUM($C150:Z150)</f>
        <v>-50748.140451472013</v>
      </c>
      <c r="AA290" s="20">
        <f ca="1">SUM($C150:AA150)</f>
        <v>-50748.140451472013</v>
      </c>
      <c r="AB290" s="20">
        <f ca="1">SUM($C150:AB150)</f>
        <v>-50748.140451472013</v>
      </c>
      <c r="AC290" s="20">
        <f ca="1">SUM($C150:AC150)</f>
        <v>-50748.140451472013</v>
      </c>
      <c r="AD290" s="20">
        <f ca="1">SUM($C150:AD150)</f>
        <v>-50748.140451472013</v>
      </c>
      <c r="AE290" s="20">
        <f ca="1">SUM($C150:AE150)</f>
        <v>-50748.140451472013</v>
      </c>
      <c r="AF290" s="20">
        <f ca="1">SUM($C150:AF150)</f>
        <v>-50748.140451472013</v>
      </c>
      <c r="AG290" s="20">
        <f ca="1">SUM($C150:AG150)</f>
        <v>-50748.140451472013</v>
      </c>
      <c r="AH290" s="20">
        <f ca="1">SUM($C150:AH150)</f>
        <v>-50748.140451472013</v>
      </c>
      <c r="AI290" s="20">
        <f ca="1">SUM($C150:AI150)</f>
        <v>-50748.140451472013</v>
      </c>
      <c r="AJ290" s="20">
        <f ca="1">SUM($C150:AJ150)</f>
        <v>-50748.140451472013</v>
      </c>
      <c r="AK290" s="20">
        <f ca="1">SUM($C150:AK150)</f>
        <v>-50748.140451472013</v>
      </c>
      <c r="AL290" s="20">
        <f ca="1">SUM($C150:AL150)</f>
        <v>-50748.140451472013</v>
      </c>
      <c r="AM290" s="20">
        <f ca="1">SUM($C150:AM150)</f>
        <v>-50748.140451472013</v>
      </c>
    </row>
    <row r="291" spans="1:39" x14ac:dyDescent="0.2">
      <c r="A291" s="22" t="str">
        <f>B$173</f>
        <v>Gudja</v>
      </c>
      <c r="B291" s="19"/>
      <c r="C291" s="20">
        <f ca="1">SUM($C167:C167)</f>
        <v>0</v>
      </c>
      <c r="D291" s="20">
        <f ca="1">SUM($C167:D167)</f>
        <v>0</v>
      </c>
      <c r="E291" s="20">
        <f ca="1">SUM($C167:E167)</f>
        <v>-84247.132967710277</v>
      </c>
      <c r="F291" s="20">
        <f ca="1">SUM($C167:F167)</f>
        <v>-84247.132967710277</v>
      </c>
      <c r="G291" s="20">
        <f ca="1">SUM($C167:G167)</f>
        <v>-84247.132967710277</v>
      </c>
      <c r="H291" s="20">
        <f ca="1">SUM($C167:H167)</f>
        <v>-84247.132967710277</v>
      </c>
      <c r="I291" s="20">
        <f ca="1">SUM($C167:I167)</f>
        <v>-84247.132967710277</v>
      </c>
      <c r="J291" s="20">
        <f ca="1">SUM($C167:J167)</f>
        <v>-84247.132967710277</v>
      </c>
      <c r="K291" s="20">
        <f ca="1">SUM($C167:K167)</f>
        <v>-84247.132967710277</v>
      </c>
      <c r="L291" s="20">
        <f ca="1">SUM($C167:L167)</f>
        <v>-84247.132967710277</v>
      </c>
      <c r="M291" s="20">
        <f ca="1">SUM($C167:M167)</f>
        <v>-84247.132967710277</v>
      </c>
      <c r="N291" s="20">
        <f ca="1">SUM($C167:N167)</f>
        <v>-84247.132967710277</v>
      </c>
      <c r="O291" s="20">
        <f ca="1">SUM($C167:O167)</f>
        <v>-84247.132967710277</v>
      </c>
      <c r="P291" s="20">
        <f ca="1">SUM($C167:P167)</f>
        <v>-84247.132967710277</v>
      </c>
      <c r="Q291" s="20">
        <f ca="1">SUM($C167:Q167)</f>
        <v>-84247.132967710277</v>
      </c>
      <c r="R291" s="20">
        <f ca="1">SUM($C167:R167)</f>
        <v>-84247.132967710277</v>
      </c>
      <c r="S291" s="20">
        <f ca="1">SUM($C167:S167)</f>
        <v>-84247.132967710277</v>
      </c>
      <c r="T291" s="20">
        <f ca="1">SUM($C167:T167)</f>
        <v>-84247.132967710277</v>
      </c>
      <c r="U291" s="20">
        <f ca="1">SUM($C167:U167)</f>
        <v>-84247.132967710277</v>
      </c>
      <c r="V291" s="20">
        <f ca="1">SUM($C167:V167)</f>
        <v>-84247.132967710277</v>
      </c>
      <c r="W291" s="20">
        <f ca="1">SUM($C167:W167)</f>
        <v>-84247.132967710277</v>
      </c>
      <c r="X291" s="20">
        <f ca="1">SUM($C167:X167)</f>
        <v>-84247.132967710277</v>
      </c>
      <c r="Y291" s="20">
        <f ca="1">SUM($C167:Y167)</f>
        <v>-84247.132967710277</v>
      </c>
      <c r="Z291" s="20">
        <f ca="1">SUM($C167:Z167)</f>
        <v>-84247.132967710277</v>
      </c>
      <c r="AA291" s="20">
        <f ca="1">SUM($C167:AA167)</f>
        <v>-84247.132967710277</v>
      </c>
      <c r="AB291" s="20">
        <f ca="1">SUM($C167:AB167)</f>
        <v>-84247.132967710277</v>
      </c>
      <c r="AC291" s="20">
        <f ca="1">SUM($C167:AC167)</f>
        <v>-84247.132967710277</v>
      </c>
      <c r="AD291" s="20">
        <f ca="1">SUM($C167:AD167)</f>
        <v>-84247.132967710277</v>
      </c>
      <c r="AE291" s="20">
        <f ca="1">SUM($C167:AE167)</f>
        <v>-84247.132967710277</v>
      </c>
      <c r="AF291" s="20">
        <f ca="1">SUM($C167:AF167)</f>
        <v>-84247.132967710277</v>
      </c>
      <c r="AG291" s="20">
        <f ca="1">SUM($C167:AG167)</f>
        <v>-84247.132967710277</v>
      </c>
      <c r="AH291" s="20">
        <f ca="1">SUM($C167:AH167)</f>
        <v>-84247.132967710277</v>
      </c>
      <c r="AI291" s="20">
        <f ca="1">SUM($C167:AI167)</f>
        <v>-84247.132967710277</v>
      </c>
      <c r="AJ291" s="20">
        <f ca="1">SUM($C167:AJ167)</f>
        <v>-84247.132967710277</v>
      </c>
      <c r="AK291" s="20">
        <f ca="1">SUM($C167:AK167)</f>
        <v>-84247.132967710277</v>
      </c>
      <c r="AL291" s="20">
        <f ca="1">SUM($C167:AL167)</f>
        <v>-84247.132967710277</v>
      </c>
      <c r="AM291" s="20">
        <f ca="1">SUM($C167:AM167)</f>
        <v>-84247.132967710277</v>
      </c>
    </row>
    <row r="292" spans="1:39" x14ac:dyDescent="0.2">
      <c r="A292" s="22" t="str">
        <f>B$190</f>
        <v>Antiques</v>
      </c>
      <c r="B292" s="19"/>
      <c r="C292" s="20">
        <f ca="1">SUM($C184:C184)</f>
        <v>0</v>
      </c>
      <c r="D292" s="20">
        <f ca="1">SUM($C184:D184)</f>
        <v>0</v>
      </c>
      <c r="E292" s="20">
        <f ca="1">SUM($C184:E184)</f>
        <v>-84891.489347222378</v>
      </c>
      <c r="F292" s="20">
        <f ca="1">SUM($C184:F184)</f>
        <v>-84891.489347222378</v>
      </c>
      <c r="G292" s="20">
        <f ca="1">SUM($C184:G184)</f>
        <v>-84891.489347222378</v>
      </c>
      <c r="H292" s="20">
        <f ca="1">SUM($C184:H184)</f>
        <v>-84891.489347222378</v>
      </c>
      <c r="I292" s="20">
        <f ca="1">SUM($C184:I184)</f>
        <v>-84891.489347222378</v>
      </c>
      <c r="J292" s="20">
        <f ca="1">SUM($C184:J184)</f>
        <v>-84891.489347222378</v>
      </c>
      <c r="K292" s="20">
        <f ca="1">SUM($C184:K184)</f>
        <v>-84891.489347222378</v>
      </c>
      <c r="L292" s="20">
        <f ca="1">SUM($C184:L184)</f>
        <v>-84891.489347222378</v>
      </c>
      <c r="M292" s="20">
        <f ca="1">SUM($C184:M184)</f>
        <v>-84891.489347222378</v>
      </c>
      <c r="N292" s="20">
        <f ca="1">SUM($C184:N184)</f>
        <v>-84891.489347222378</v>
      </c>
      <c r="O292" s="20">
        <f ca="1">SUM($C184:O184)</f>
        <v>-84891.489347222378</v>
      </c>
      <c r="P292" s="20">
        <f ca="1">SUM($C184:P184)</f>
        <v>-84891.489347222378</v>
      </c>
      <c r="Q292" s="20">
        <f ca="1">SUM($C184:Q184)</f>
        <v>-84891.489347222378</v>
      </c>
      <c r="R292" s="20">
        <f ca="1">SUM($C184:R184)</f>
        <v>-84891.489347222378</v>
      </c>
      <c r="S292" s="20">
        <f ca="1">SUM($C184:S184)</f>
        <v>-84891.489347222378</v>
      </c>
      <c r="T292" s="20">
        <f ca="1">SUM($C184:T184)</f>
        <v>-84891.489347222378</v>
      </c>
      <c r="U292" s="20">
        <f ca="1">SUM($C184:U184)</f>
        <v>-84891.489347222378</v>
      </c>
      <c r="V292" s="20">
        <f ca="1">SUM($C184:V184)</f>
        <v>-84891.489347222378</v>
      </c>
      <c r="W292" s="20">
        <f ca="1">SUM($C184:W184)</f>
        <v>-84891.489347222378</v>
      </c>
      <c r="X292" s="20">
        <f ca="1">SUM($C184:X184)</f>
        <v>-84891.489347222378</v>
      </c>
      <c r="Y292" s="20">
        <f ca="1">SUM($C184:Y184)</f>
        <v>-84891.489347222378</v>
      </c>
      <c r="Z292" s="20">
        <f ca="1">SUM($C184:Z184)</f>
        <v>-84891.489347222378</v>
      </c>
      <c r="AA292" s="20">
        <f ca="1">SUM($C184:AA184)</f>
        <v>-84891.489347222378</v>
      </c>
      <c r="AB292" s="20">
        <f ca="1">SUM($C184:AB184)</f>
        <v>-84891.489347222378</v>
      </c>
      <c r="AC292" s="20">
        <f ca="1">SUM($C184:AC184)</f>
        <v>-84891.489347222378</v>
      </c>
      <c r="AD292" s="20">
        <f ca="1">SUM($C184:AD184)</f>
        <v>-84891.489347222378</v>
      </c>
      <c r="AE292" s="20">
        <f ca="1">SUM($C184:AE184)</f>
        <v>-84891.489347222378</v>
      </c>
      <c r="AF292" s="20">
        <f ca="1">SUM($C184:AF184)</f>
        <v>-84891.489347222378</v>
      </c>
      <c r="AG292" s="20">
        <f ca="1">SUM($C184:AG184)</f>
        <v>-84891.489347222378</v>
      </c>
      <c r="AH292" s="20">
        <f ca="1">SUM($C184:AH184)</f>
        <v>-84891.489347222378</v>
      </c>
      <c r="AI292" s="20">
        <f ca="1">SUM($C184:AI184)</f>
        <v>-84891.489347222378</v>
      </c>
      <c r="AJ292" s="20">
        <f ca="1">SUM($C184:AJ184)</f>
        <v>-84891.489347222378</v>
      </c>
      <c r="AK292" s="20">
        <f ca="1">SUM($C184:AK184)</f>
        <v>-84891.489347222378</v>
      </c>
      <c r="AL292" s="20">
        <f ca="1">SUM($C184:AL184)</f>
        <v>-84891.489347222378</v>
      </c>
      <c r="AM292" s="20">
        <f ca="1">SUM($C184:AM184)</f>
        <v>-84891.489347222378</v>
      </c>
    </row>
    <row r="293" spans="1:39" x14ac:dyDescent="0.2">
      <c r="A293" s="22" t="str">
        <f>B$207</f>
        <v>Marsa</v>
      </c>
      <c r="B293" s="19"/>
      <c r="C293" s="20">
        <f ca="1">SUM($C201:C201)</f>
        <v>0</v>
      </c>
      <c r="D293" s="20">
        <f ca="1">SUM($C201:D201)</f>
        <v>0</v>
      </c>
      <c r="E293" s="20">
        <f ca="1">SUM($C201:E201)</f>
        <v>0</v>
      </c>
      <c r="F293" s="20">
        <f ca="1">SUM($C201:F201)</f>
        <v>0</v>
      </c>
      <c r="G293" s="20">
        <f ca="1">SUM($C201:G201)</f>
        <v>0</v>
      </c>
      <c r="H293" s="20">
        <f ca="1">SUM($C201:H201)</f>
        <v>0</v>
      </c>
      <c r="I293" s="20">
        <f ca="1">SUM($C201:I201)</f>
        <v>0</v>
      </c>
      <c r="J293" s="20">
        <f ca="1">SUM($C201:J201)</f>
        <v>-146498.275625357</v>
      </c>
      <c r="K293" s="20">
        <f ca="1">SUM($C201:K201)</f>
        <v>-146498.275625357</v>
      </c>
      <c r="L293" s="20">
        <f ca="1">SUM($C201:L201)</f>
        <v>-146498.275625357</v>
      </c>
      <c r="M293" s="20">
        <f ca="1">SUM($C201:M201)</f>
        <v>-146498.275625357</v>
      </c>
      <c r="N293" s="20">
        <f ca="1">SUM($C201:N201)</f>
        <v>-146498.275625357</v>
      </c>
      <c r="O293" s="20">
        <f ca="1">SUM($C201:O201)</f>
        <v>-146498.275625357</v>
      </c>
      <c r="P293" s="20">
        <f ca="1">SUM($C201:P201)</f>
        <v>-146498.275625357</v>
      </c>
      <c r="Q293" s="20">
        <f ca="1">SUM($C201:Q201)</f>
        <v>-146498.275625357</v>
      </c>
      <c r="R293" s="20">
        <f ca="1">SUM($C201:R201)</f>
        <v>-146498.275625357</v>
      </c>
      <c r="S293" s="20">
        <f ca="1">SUM($C201:S201)</f>
        <v>-146498.275625357</v>
      </c>
      <c r="T293" s="20">
        <f ca="1">SUM($C201:T201)</f>
        <v>-146498.275625357</v>
      </c>
      <c r="U293" s="20">
        <f ca="1">SUM($C201:U201)</f>
        <v>-146498.275625357</v>
      </c>
      <c r="V293" s="20">
        <f ca="1">SUM($C201:V201)</f>
        <v>-146498.275625357</v>
      </c>
      <c r="W293" s="20">
        <f ca="1">SUM($C201:W201)</f>
        <v>-146498.275625357</v>
      </c>
      <c r="X293" s="20">
        <f ca="1">SUM($C201:X201)</f>
        <v>-146498.275625357</v>
      </c>
      <c r="Y293" s="20">
        <f ca="1">SUM($C201:Y201)</f>
        <v>-146498.275625357</v>
      </c>
      <c r="Z293" s="20">
        <f ca="1">SUM($C201:Z201)</f>
        <v>-146498.275625357</v>
      </c>
      <c r="AA293" s="20">
        <f ca="1">SUM($C201:AA201)</f>
        <v>-146498.275625357</v>
      </c>
      <c r="AB293" s="20">
        <f ca="1">SUM($C201:AB201)</f>
        <v>-146498.275625357</v>
      </c>
      <c r="AC293" s="20">
        <f ca="1">SUM($C201:AC201)</f>
        <v>-146498.275625357</v>
      </c>
      <c r="AD293" s="20">
        <f ca="1">SUM($C201:AD201)</f>
        <v>-146498.275625357</v>
      </c>
      <c r="AE293" s="20">
        <f ca="1">SUM($C201:AE201)</f>
        <v>-146498.275625357</v>
      </c>
      <c r="AF293" s="20">
        <f ca="1">SUM($C201:AF201)</f>
        <v>-146498.275625357</v>
      </c>
      <c r="AG293" s="20">
        <f ca="1">SUM($C201:AG201)</f>
        <v>-146498.275625357</v>
      </c>
      <c r="AH293" s="20">
        <f ca="1">SUM($C201:AH201)</f>
        <v>-146498.275625357</v>
      </c>
      <c r="AI293" s="20">
        <f ca="1">SUM($C201:AI201)</f>
        <v>-146498.275625357</v>
      </c>
      <c r="AJ293" s="20">
        <f ca="1">SUM($C201:AJ201)</f>
        <v>-146498.275625357</v>
      </c>
      <c r="AK293" s="20">
        <f ca="1">SUM($C201:AK201)</f>
        <v>-146498.275625357</v>
      </c>
      <c r="AL293" s="20">
        <f ca="1">SUM($C201:AL201)</f>
        <v>-146498.275625357</v>
      </c>
      <c r="AM293" s="20">
        <f ca="1">SUM($C201:AM201)</f>
        <v>-146498.275625357</v>
      </c>
    </row>
    <row r="294" spans="1:39" x14ac:dyDescent="0.2">
      <c r="A294" s="22" t="str">
        <f>B$224</f>
        <v>Gzira</v>
      </c>
      <c r="B294" s="19"/>
      <c r="C294" s="20">
        <f ca="1">SUM($C218:C218)</f>
        <v>0</v>
      </c>
      <c r="D294" s="20">
        <f ca="1">SUM($C218:D218)</f>
        <v>0</v>
      </c>
      <c r="E294" s="20">
        <f ca="1">SUM($C218:E218)</f>
        <v>0</v>
      </c>
      <c r="F294" s="20">
        <f ca="1">SUM($C218:F218)</f>
        <v>0</v>
      </c>
      <c r="G294" s="20">
        <f ca="1">SUM($C218:G218)</f>
        <v>0</v>
      </c>
      <c r="H294" s="20">
        <f ca="1">SUM($C218:H218)</f>
        <v>0</v>
      </c>
      <c r="I294" s="20">
        <f ca="1">SUM($C218:I218)</f>
        <v>0</v>
      </c>
      <c r="J294" s="20">
        <f ca="1">SUM($C218:J218)</f>
        <v>0</v>
      </c>
      <c r="K294" s="20">
        <f ca="1">SUM($C218:K218)</f>
        <v>0</v>
      </c>
      <c r="L294" s="20">
        <f ca="1">SUM($C218:L218)</f>
        <v>0</v>
      </c>
      <c r="M294" s="20">
        <f ca="1">SUM($C218:M218)</f>
        <v>0</v>
      </c>
      <c r="N294" s="20">
        <f ca="1">SUM($C218:N218)</f>
        <v>0</v>
      </c>
      <c r="O294" s="20">
        <f ca="1">SUM($C218:O218)</f>
        <v>-212289.56607766502</v>
      </c>
      <c r="P294" s="20">
        <f ca="1">SUM($C218:P218)</f>
        <v>-212289.56607766502</v>
      </c>
      <c r="Q294" s="20">
        <f ca="1">SUM($C218:Q218)</f>
        <v>-212289.56607766502</v>
      </c>
      <c r="R294" s="20">
        <f ca="1">SUM($C218:R218)</f>
        <v>-212289.56607766502</v>
      </c>
      <c r="S294" s="20">
        <f ca="1">SUM($C218:S218)</f>
        <v>-212289.56607766502</v>
      </c>
      <c r="T294" s="20">
        <f ca="1">SUM($C218:T218)</f>
        <v>-212289.56607766502</v>
      </c>
      <c r="U294" s="20">
        <f ca="1">SUM($C218:U218)</f>
        <v>-212289.56607766502</v>
      </c>
      <c r="V294" s="20">
        <f ca="1">SUM($C218:V218)</f>
        <v>-212289.56607766502</v>
      </c>
      <c r="W294" s="20">
        <f ca="1">SUM($C218:W218)</f>
        <v>-212289.56607766502</v>
      </c>
      <c r="X294" s="20">
        <f ca="1">SUM($C218:X218)</f>
        <v>-212289.56607766502</v>
      </c>
      <c r="Y294" s="20">
        <f ca="1">SUM($C218:Y218)</f>
        <v>-212289.56607766502</v>
      </c>
      <c r="Z294" s="20">
        <f ca="1">SUM($C218:Z218)</f>
        <v>-212289.56607766502</v>
      </c>
      <c r="AA294" s="20">
        <f ca="1">SUM($C218:AA218)</f>
        <v>-212289.56607766502</v>
      </c>
      <c r="AB294" s="20">
        <f ca="1">SUM($C218:AB218)</f>
        <v>-212289.56607766502</v>
      </c>
      <c r="AC294" s="20">
        <f ca="1">SUM($C218:AC218)</f>
        <v>-212289.56607766502</v>
      </c>
      <c r="AD294" s="20">
        <f ca="1">SUM($C218:AD218)</f>
        <v>-212289.56607766502</v>
      </c>
      <c r="AE294" s="20">
        <f ca="1">SUM($C218:AE218)</f>
        <v>-212289.56607766502</v>
      </c>
      <c r="AF294" s="20">
        <f ca="1">SUM($C218:AF218)</f>
        <v>-212289.56607766502</v>
      </c>
      <c r="AG294" s="20">
        <f ca="1">SUM($C218:AG218)</f>
        <v>-212289.56607766502</v>
      </c>
      <c r="AH294" s="20">
        <f ca="1">SUM($C218:AH218)</f>
        <v>-212289.56607766502</v>
      </c>
      <c r="AI294" s="20">
        <f ca="1">SUM($C218:AI218)</f>
        <v>-212289.56607766502</v>
      </c>
      <c r="AJ294" s="20">
        <f ca="1">SUM($C218:AJ218)</f>
        <v>-212289.56607766502</v>
      </c>
      <c r="AK294" s="20">
        <f ca="1">SUM($C218:AK218)</f>
        <v>-212289.56607766502</v>
      </c>
      <c r="AL294" s="20">
        <f ca="1">SUM($C218:AL218)</f>
        <v>-212289.56607766502</v>
      </c>
      <c r="AM294" s="20">
        <f ca="1">SUM($C218:AM218)</f>
        <v>-212289.56607766502</v>
      </c>
    </row>
    <row r="295" spans="1:39" x14ac:dyDescent="0.2">
      <c r="A295" s="22" t="str">
        <f>B$241</f>
        <v>Boat</v>
      </c>
      <c r="B295" s="19"/>
      <c r="C295" s="20">
        <f ca="1">SUM($C235:C235)</f>
        <v>0</v>
      </c>
      <c r="D295" s="20">
        <f ca="1">SUM($C235:D235)</f>
        <v>0</v>
      </c>
      <c r="E295" s="20">
        <f ca="1">SUM($C235:E235)</f>
        <v>0</v>
      </c>
      <c r="F295" s="20">
        <f ca="1">SUM($C235:F235)</f>
        <v>0</v>
      </c>
      <c r="G295" s="20">
        <f ca="1">SUM($C235:G235)</f>
        <v>0</v>
      </c>
      <c r="H295" s="20">
        <f ca="1">SUM($C235:H235)</f>
        <v>0</v>
      </c>
      <c r="I295" s="20">
        <f ca="1">SUM($C235:I235)</f>
        <v>0</v>
      </c>
      <c r="J295" s="20">
        <f ca="1">SUM($C235:J235)</f>
        <v>0</v>
      </c>
      <c r="K295" s="20">
        <f ca="1">SUM($C235:K235)</f>
        <v>0</v>
      </c>
      <c r="L295" s="20">
        <f ca="1">SUM($C235:L235)</f>
        <v>0</v>
      </c>
      <c r="M295" s="20">
        <f ca="1">SUM($C235:M235)</f>
        <v>0</v>
      </c>
      <c r="N295" s="20">
        <f ca="1">SUM($C235:N235)</f>
        <v>0</v>
      </c>
      <c r="O295" s="20">
        <f ca="1">SUM($C235:O235)</f>
        <v>0</v>
      </c>
      <c r="P295" s="20">
        <f ca="1">SUM($C235:P235)</f>
        <v>0</v>
      </c>
      <c r="Q295" s="20">
        <f ca="1">SUM($C235:Q235)</f>
        <v>0</v>
      </c>
      <c r="R295" s="20">
        <f ca="1">SUM($C235:R235)</f>
        <v>0</v>
      </c>
      <c r="S295" s="20">
        <f ca="1">SUM($C235:S235)</f>
        <v>0</v>
      </c>
      <c r="T295" s="20">
        <f ca="1">SUM($C235:T235)</f>
        <v>0</v>
      </c>
      <c r="U295" s="20">
        <f ca="1">SUM($C235:U235)</f>
        <v>-72421.330452619804</v>
      </c>
      <c r="V295" s="20">
        <f ca="1">SUM($C235:V235)</f>
        <v>-72421.330452619804</v>
      </c>
      <c r="W295" s="20">
        <f ca="1">SUM($C235:W235)</f>
        <v>-72421.330452619804</v>
      </c>
      <c r="X295" s="20">
        <f ca="1">SUM($C235:X235)</f>
        <v>-72421.330452619804</v>
      </c>
      <c r="Y295" s="20">
        <f ca="1">SUM($C235:Y235)</f>
        <v>-72421.330452619804</v>
      </c>
      <c r="Z295" s="20">
        <f ca="1">SUM($C235:Z235)</f>
        <v>-72421.330452619804</v>
      </c>
      <c r="AA295" s="20">
        <f ca="1">SUM($C235:AA235)</f>
        <v>-72421.330452619804</v>
      </c>
      <c r="AB295" s="20">
        <f ca="1">SUM($C235:AB235)</f>
        <v>-72421.330452619804</v>
      </c>
      <c r="AC295" s="20">
        <f ca="1">SUM($C235:AC235)</f>
        <v>-72421.330452619804</v>
      </c>
      <c r="AD295" s="20">
        <f ca="1">SUM($C235:AD235)</f>
        <v>-72421.330452619804</v>
      </c>
      <c r="AE295" s="20">
        <f ca="1">SUM($C235:AE235)</f>
        <v>-72421.330452619804</v>
      </c>
      <c r="AF295" s="20">
        <f ca="1">SUM($C235:AF235)</f>
        <v>-72421.330452619804</v>
      </c>
      <c r="AG295" s="20">
        <f ca="1">SUM($C235:AG235)</f>
        <v>-72421.330452619804</v>
      </c>
      <c r="AH295" s="20">
        <f ca="1">SUM($C235:AH235)</f>
        <v>-72421.330452619804</v>
      </c>
      <c r="AI295" s="20">
        <f ca="1">SUM($C235:AI235)</f>
        <v>-72421.330452619804</v>
      </c>
      <c r="AJ295" s="20">
        <f ca="1">SUM($C235:AJ235)</f>
        <v>-72421.330452619804</v>
      </c>
      <c r="AK295" s="20">
        <f ca="1">SUM($C235:AK235)</f>
        <v>-72421.330452619804</v>
      </c>
      <c r="AL295" s="20">
        <f ca="1">SUM($C235:AL235)</f>
        <v>-72421.330452619804</v>
      </c>
      <c r="AM295" s="20">
        <f ca="1">SUM($C235:AM235)</f>
        <v>-72421.330452619804</v>
      </c>
    </row>
    <row r="296" spans="1:39" x14ac:dyDescent="0.2">
      <c r="A296" s="22" t="str">
        <f>B$258</f>
        <v>Qormi</v>
      </c>
      <c r="B296" s="19"/>
      <c r="C296" s="20">
        <f ca="1">SUM($C252:C252)</f>
        <v>0</v>
      </c>
      <c r="D296" s="20">
        <f ca="1">SUM($C252:D252)</f>
        <v>0</v>
      </c>
      <c r="E296" s="20">
        <f ca="1">SUM($C252:E252)</f>
        <v>0</v>
      </c>
      <c r="F296" s="20">
        <f ca="1">SUM($C252:F252)</f>
        <v>0</v>
      </c>
      <c r="G296" s="20">
        <f ca="1">SUM($C252:G252)</f>
        <v>0</v>
      </c>
      <c r="H296" s="20">
        <f ca="1">SUM($C252:H252)</f>
        <v>0</v>
      </c>
      <c r="I296" s="20">
        <f ca="1">SUM($C252:I252)</f>
        <v>0</v>
      </c>
      <c r="J296" s="20">
        <f ca="1">SUM($C252:J252)</f>
        <v>0</v>
      </c>
      <c r="K296" s="20">
        <f ca="1">SUM($C252:K252)</f>
        <v>0</v>
      </c>
      <c r="L296" s="20">
        <f ca="1">SUM($C252:L252)</f>
        <v>0</v>
      </c>
      <c r="M296" s="20">
        <f ca="1">SUM($C252:M252)</f>
        <v>0</v>
      </c>
      <c r="N296" s="20">
        <f ca="1">SUM($C252:N252)</f>
        <v>0</v>
      </c>
      <c r="O296" s="20">
        <f ca="1">SUM($C252:O252)</f>
        <v>0</v>
      </c>
      <c r="P296" s="20">
        <f ca="1">SUM($C252:P252)</f>
        <v>0</v>
      </c>
      <c r="Q296" s="20">
        <f ca="1">SUM($C252:Q252)</f>
        <v>0</v>
      </c>
      <c r="R296" s="20">
        <f ca="1">SUM($C252:R252)</f>
        <v>0</v>
      </c>
      <c r="S296" s="20">
        <f ca="1">SUM($C252:S252)</f>
        <v>0</v>
      </c>
      <c r="T296" s="20">
        <f ca="1">SUM($C252:T252)</f>
        <v>0</v>
      </c>
      <c r="U296" s="20">
        <f ca="1">SUM($C252:U252)</f>
        <v>0</v>
      </c>
      <c r="V296" s="20">
        <f ca="1">SUM($C252:V252)</f>
        <v>0</v>
      </c>
      <c r="W296" s="20">
        <f ca="1">SUM($C252:W252)</f>
        <v>0</v>
      </c>
      <c r="X296" s="20">
        <f ca="1">SUM($C252:X252)</f>
        <v>-406251.60843649623</v>
      </c>
      <c r="Y296" s="20">
        <f ca="1">SUM($C252:Y252)</f>
        <v>-406251.60843649623</v>
      </c>
      <c r="Z296" s="20">
        <f ca="1">SUM($C252:Z252)</f>
        <v>-406251.60843649623</v>
      </c>
      <c r="AA296" s="20">
        <f ca="1">SUM($C252:AA252)</f>
        <v>-406251.60843649623</v>
      </c>
      <c r="AB296" s="20">
        <f ca="1">SUM($C252:AB252)</f>
        <v>-406251.60843649623</v>
      </c>
      <c r="AC296" s="20">
        <f ca="1">SUM($C252:AC252)</f>
        <v>-406251.60843649623</v>
      </c>
      <c r="AD296" s="20">
        <f ca="1">SUM($C252:AD252)</f>
        <v>-406251.60843649623</v>
      </c>
      <c r="AE296" s="20">
        <f ca="1">SUM($C252:AE252)</f>
        <v>-406251.60843649623</v>
      </c>
      <c r="AF296" s="20">
        <f ca="1">SUM($C252:AF252)</f>
        <v>-406251.60843649623</v>
      </c>
      <c r="AG296" s="20">
        <f ca="1">SUM($C252:AG252)</f>
        <v>-406251.60843649623</v>
      </c>
      <c r="AH296" s="20">
        <f ca="1">SUM($C252:AH252)</f>
        <v>-406251.60843649623</v>
      </c>
      <c r="AI296" s="20">
        <f ca="1">SUM($C252:AI252)</f>
        <v>-406251.60843649623</v>
      </c>
      <c r="AJ296" s="20">
        <f ca="1">SUM($C252:AJ252)</f>
        <v>-406251.60843649623</v>
      </c>
      <c r="AK296" s="20">
        <f ca="1">SUM($C252:AK252)</f>
        <v>-406251.60843649623</v>
      </c>
      <c r="AL296" s="20">
        <f ca="1">SUM($C252:AL252)</f>
        <v>-406251.60843649623</v>
      </c>
      <c r="AM296" s="20">
        <f ca="1">SUM($C252:AM252)</f>
        <v>-406251.60843649623</v>
      </c>
    </row>
    <row r="297" spans="1:39" x14ac:dyDescent="0.2">
      <c r="A297" s="22" t="str">
        <f>B$275</f>
        <v>Sliema</v>
      </c>
      <c r="B297" s="19"/>
      <c r="C297" s="20">
        <f ca="1">SUM($C269:C269)</f>
        <v>0</v>
      </c>
      <c r="D297" s="20">
        <f ca="1">SUM($C269:D269)</f>
        <v>0</v>
      </c>
      <c r="E297" s="20">
        <f ca="1">SUM($C269:E269)</f>
        <v>0</v>
      </c>
      <c r="F297" s="20">
        <f ca="1">SUM($C269:F269)</f>
        <v>0</v>
      </c>
      <c r="G297" s="20">
        <f ca="1">SUM($C269:G269)</f>
        <v>0</v>
      </c>
      <c r="H297" s="20">
        <f ca="1">SUM($C269:H269)</f>
        <v>0</v>
      </c>
      <c r="I297" s="20">
        <f ca="1">SUM($C269:I269)</f>
        <v>0</v>
      </c>
      <c r="J297" s="20">
        <f ca="1">SUM($C269:J269)</f>
        <v>0</v>
      </c>
      <c r="K297" s="20">
        <f ca="1">SUM($C269:K269)</f>
        <v>0</v>
      </c>
      <c r="L297" s="20">
        <f ca="1">SUM($C269:L269)</f>
        <v>0</v>
      </c>
      <c r="M297" s="20">
        <f ca="1">SUM($C269:M269)</f>
        <v>0</v>
      </c>
      <c r="N297" s="20">
        <f ca="1">SUM($C269:N269)</f>
        <v>0</v>
      </c>
      <c r="O297" s="20">
        <f ca="1">SUM($C269:O269)</f>
        <v>0</v>
      </c>
      <c r="P297" s="20">
        <f ca="1">SUM($C269:P269)</f>
        <v>0</v>
      </c>
      <c r="Q297" s="20">
        <f ca="1">SUM($C269:Q269)</f>
        <v>0</v>
      </c>
      <c r="R297" s="20">
        <f ca="1">SUM($C269:R269)</f>
        <v>0</v>
      </c>
      <c r="S297" s="20">
        <f ca="1">SUM($C269:S269)</f>
        <v>0</v>
      </c>
      <c r="T297" s="20">
        <f ca="1">SUM($C269:T269)</f>
        <v>0</v>
      </c>
      <c r="U297" s="20">
        <f ca="1">SUM($C269:U269)</f>
        <v>0</v>
      </c>
      <c r="V297" s="20">
        <f ca="1">SUM($C269:V269)</f>
        <v>0</v>
      </c>
      <c r="W297" s="20">
        <f ca="1">SUM($C269:W269)</f>
        <v>0</v>
      </c>
      <c r="X297" s="20">
        <f ca="1">SUM($C269:X269)</f>
        <v>0</v>
      </c>
      <c r="Y297" s="20">
        <f ca="1">SUM($C269:Y269)</f>
        <v>0</v>
      </c>
      <c r="Z297" s="20">
        <f ca="1">SUM($C269:Z269)</f>
        <v>0</v>
      </c>
      <c r="AA297" s="20">
        <f ca="1">SUM($C269:AA269)</f>
        <v>0</v>
      </c>
      <c r="AB297" s="20">
        <f ca="1">SUM($C269:AB269)</f>
        <v>0</v>
      </c>
      <c r="AC297" s="20">
        <f ca="1">SUM($C269:AC269)</f>
        <v>0</v>
      </c>
      <c r="AD297" s="20">
        <f ca="1">SUM($C269:AD269)</f>
        <v>0</v>
      </c>
      <c r="AE297" s="20">
        <f ca="1">SUM($C269:AE269)</f>
        <v>0</v>
      </c>
      <c r="AF297" s="20">
        <f ca="1">SUM($C269:AF269)</f>
        <v>-701764.61329493206</v>
      </c>
      <c r="AG297" s="20">
        <f ca="1">SUM($C269:AG269)</f>
        <v>-701764.61329493206</v>
      </c>
      <c r="AH297" s="20">
        <f ca="1">SUM($C269:AH269)</f>
        <v>-701764.61329493206</v>
      </c>
      <c r="AI297" s="20">
        <f ca="1">SUM($C269:AI269)</f>
        <v>-701764.61329493206</v>
      </c>
      <c r="AJ297" s="20">
        <f ca="1">SUM($C269:AJ269)</f>
        <v>-701764.61329493206</v>
      </c>
      <c r="AK297" s="20">
        <f ca="1">SUM($C269:AK269)</f>
        <v>-701764.61329493206</v>
      </c>
      <c r="AL297" s="20">
        <f ca="1">SUM($C269:AL269)</f>
        <v>-701764.61329493206</v>
      </c>
      <c r="AM297" s="20">
        <f ca="1">SUM($C269:AM269)</f>
        <v>-701764.61329493206</v>
      </c>
    </row>
    <row r="298" spans="1:39" x14ac:dyDescent="0.2">
      <c r="A298" s="21"/>
      <c r="B298" s="19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</row>
    <row r="299" spans="1:39" x14ac:dyDescent="0.2">
      <c r="A299" s="18" t="s">
        <v>195</v>
      </c>
      <c r="B299" s="19"/>
      <c r="C299" s="20"/>
      <c r="D299" s="91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</row>
    <row r="300" spans="1:39" x14ac:dyDescent="0.2">
      <c r="A300" s="22" t="str">
        <f>$A71</f>
        <v>Sliema</v>
      </c>
      <c r="B300" s="19"/>
      <c r="C300" s="20">
        <f t="shared" ref="C300:AM304" ca="1" si="165">IFERROR(IF(VLOOKUP($A300,$287:$297,C$1+2,FALSE)=0,C71,0),C71)</f>
        <v>306724.99866884813</v>
      </c>
      <c r="D300" s="20">
        <f t="shared" ca="1" si="165"/>
        <v>315926.7486289136</v>
      </c>
      <c r="E300" s="20">
        <f t="shared" ca="1" si="165"/>
        <v>325404.55108778103</v>
      </c>
      <c r="F300" s="20">
        <f t="shared" ca="1" si="165"/>
        <v>335166.68762041448</v>
      </c>
      <c r="G300" s="20">
        <f t="shared" ca="1" si="165"/>
        <v>345221.68824902695</v>
      </c>
      <c r="H300" s="20">
        <f t="shared" ca="1" si="165"/>
        <v>355578.33889649779</v>
      </c>
      <c r="I300" s="20">
        <f t="shared" ca="1" si="165"/>
        <v>366245.68906339275</v>
      </c>
      <c r="J300" s="20">
        <f t="shared" ca="1" si="165"/>
        <v>377233.05973529455</v>
      </c>
      <c r="K300" s="20">
        <f t="shared" ca="1" si="165"/>
        <v>388550.05152735341</v>
      </c>
      <c r="L300" s="20">
        <f t="shared" ca="1" si="165"/>
        <v>400206.55307317403</v>
      </c>
      <c r="M300" s="20">
        <f t="shared" ca="1" si="165"/>
        <v>412212.74966536928</v>
      </c>
      <c r="N300" s="20">
        <f t="shared" ca="1" si="165"/>
        <v>424579.13215533039</v>
      </c>
      <c r="O300" s="20">
        <f t="shared" ca="1" si="165"/>
        <v>437316.50611999031</v>
      </c>
      <c r="P300" s="20">
        <f t="shared" ca="1" si="165"/>
        <v>450436.00130359002</v>
      </c>
      <c r="Q300" s="20">
        <f t="shared" ca="1" si="165"/>
        <v>463949.08134269773</v>
      </c>
      <c r="R300" s="20">
        <f t="shared" ca="1" si="165"/>
        <v>477867.55378297868</v>
      </c>
      <c r="S300" s="20">
        <f t="shared" ca="1" si="165"/>
        <v>492203.58039646805</v>
      </c>
      <c r="T300" s="20">
        <f t="shared" ca="1" si="165"/>
        <v>506969.68780836213</v>
      </c>
      <c r="U300" s="20">
        <f t="shared" ca="1" si="165"/>
        <v>522178.77844261302</v>
      </c>
      <c r="V300" s="20">
        <f t="shared" ca="1" si="165"/>
        <v>537844.14179589145</v>
      </c>
      <c r="W300" s="20">
        <f t="shared" ca="1" si="165"/>
        <v>553979.46604976826</v>
      </c>
      <c r="X300" s="20">
        <f t="shared" ca="1" si="165"/>
        <v>570598.85003126133</v>
      </c>
      <c r="Y300" s="20">
        <f t="shared" ca="1" si="165"/>
        <v>587716.81553219922</v>
      </c>
      <c r="Z300" s="20">
        <f t="shared" ca="1" si="165"/>
        <v>605348.31999816524</v>
      </c>
      <c r="AA300" s="20">
        <f t="shared" ca="1" si="165"/>
        <v>623508.76959811023</v>
      </c>
      <c r="AB300" s="20">
        <f t="shared" ca="1" si="165"/>
        <v>642214.03268605354</v>
      </c>
      <c r="AC300" s="20">
        <f t="shared" ca="1" si="165"/>
        <v>661480.45366663521</v>
      </c>
      <c r="AD300" s="20">
        <f t="shared" ca="1" si="165"/>
        <v>681324.86727663432</v>
      </c>
      <c r="AE300" s="20">
        <f t="shared" ca="1" si="165"/>
        <v>701764.61329493334</v>
      </c>
      <c r="AF300" s="20">
        <f t="shared" ca="1" si="165"/>
        <v>0</v>
      </c>
      <c r="AG300" s="20">
        <f t="shared" ca="1" si="165"/>
        <v>0</v>
      </c>
      <c r="AH300" s="20">
        <f t="shared" ca="1" si="165"/>
        <v>0</v>
      </c>
      <c r="AI300" s="20">
        <f t="shared" ca="1" si="165"/>
        <v>0</v>
      </c>
      <c r="AJ300" s="20">
        <f t="shared" ca="1" si="165"/>
        <v>0</v>
      </c>
      <c r="AK300" s="20">
        <f t="shared" ca="1" si="165"/>
        <v>0</v>
      </c>
      <c r="AL300" s="20">
        <f t="shared" ca="1" si="165"/>
        <v>0</v>
      </c>
      <c r="AM300" s="20">
        <f t="shared" ca="1" si="165"/>
        <v>0</v>
      </c>
    </row>
    <row r="301" spans="1:39" x14ac:dyDescent="0.2">
      <c r="A301" s="22" t="str">
        <f>$A72</f>
        <v>Gzira</v>
      </c>
      <c r="B301" s="19"/>
      <c r="C301" s="20">
        <f t="shared" ca="1" si="165"/>
        <v>153362.49933442406</v>
      </c>
      <c r="D301" s="20">
        <f t="shared" ca="1" si="165"/>
        <v>157963.3743144568</v>
      </c>
      <c r="E301" s="20">
        <f t="shared" ca="1" si="165"/>
        <v>162702.27554389052</v>
      </c>
      <c r="F301" s="20">
        <f t="shared" ca="1" si="165"/>
        <v>167583.34381020724</v>
      </c>
      <c r="G301" s="20">
        <f t="shared" ca="1" si="165"/>
        <v>172610.84412451347</v>
      </c>
      <c r="H301" s="20">
        <f t="shared" ca="1" si="165"/>
        <v>177789.1694482489</v>
      </c>
      <c r="I301" s="20">
        <f t="shared" ca="1" si="165"/>
        <v>183122.84453169638</v>
      </c>
      <c r="J301" s="20">
        <f t="shared" ca="1" si="165"/>
        <v>188616.52986764727</v>
      </c>
      <c r="K301" s="20">
        <f t="shared" ca="1" si="165"/>
        <v>194275.02576367671</v>
      </c>
      <c r="L301" s="20">
        <f t="shared" ca="1" si="165"/>
        <v>200103.27653658701</v>
      </c>
      <c r="M301" s="20">
        <f t="shared" ca="1" si="165"/>
        <v>206106.37483268464</v>
      </c>
      <c r="N301" s="20">
        <f t="shared" ca="1" si="165"/>
        <v>212289.56607766519</v>
      </c>
      <c r="O301" s="20">
        <f t="shared" ca="1" si="165"/>
        <v>0</v>
      </c>
      <c r="P301" s="20">
        <f t="shared" ca="1" si="165"/>
        <v>0</v>
      </c>
      <c r="Q301" s="20">
        <f t="shared" ca="1" si="165"/>
        <v>0</v>
      </c>
      <c r="R301" s="20">
        <f t="shared" ca="1" si="165"/>
        <v>0</v>
      </c>
      <c r="S301" s="20">
        <f t="shared" ca="1" si="165"/>
        <v>0</v>
      </c>
      <c r="T301" s="20">
        <f t="shared" ca="1" si="165"/>
        <v>0</v>
      </c>
      <c r="U301" s="20">
        <f t="shared" ca="1" si="165"/>
        <v>0</v>
      </c>
      <c r="V301" s="20">
        <f t="shared" ca="1" si="165"/>
        <v>0</v>
      </c>
      <c r="W301" s="20">
        <f t="shared" ca="1" si="165"/>
        <v>0</v>
      </c>
      <c r="X301" s="20">
        <f t="shared" ca="1" si="165"/>
        <v>0</v>
      </c>
      <c r="Y301" s="20">
        <f t="shared" ca="1" si="165"/>
        <v>0</v>
      </c>
      <c r="Z301" s="20">
        <f t="shared" ca="1" si="165"/>
        <v>0</v>
      </c>
      <c r="AA301" s="20">
        <f t="shared" ca="1" si="165"/>
        <v>0</v>
      </c>
      <c r="AB301" s="20">
        <f t="shared" ca="1" si="165"/>
        <v>0</v>
      </c>
      <c r="AC301" s="20">
        <f t="shared" ca="1" si="165"/>
        <v>0</v>
      </c>
      <c r="AD301" s="20">
        <f t="shared" ca="1" si="165"/>
        <v>0</v>
      </c>
      <c r="AE301" s="20">
        <f t="shared" ca="1" si="165"/>
        <v>0</v>
      </c>
      <c r="AF301" s="20">
        <f t="shared" ca="1" si="165"/>
        <v>0</v>
      </c>
      <c r="AG301" s="20">
        <f t="shared" ca="1" si="165"/>
        <v>0</v>
      </c>
      <c r="AH301" s="20">
        <f t="shared" ca="1" si="165"/>
        <v>0</v>
      </c>
      <c r="AI301" s="20">
        <f t="shared" ca="1" si="165"/>
        <v>0</v>
      </c>
      <c r="AJ301" s="20">
        <f t="shared" ca="1" si="165"/>
        <v>0</v>
      </c>
      <c r="AK301" s="20">
        <f t="shared" ca="1" si="165"/>
        <v>0</v>
      </c>
      <c r="AL301" s="20">
        <f t="shared" ca="1" si="165"/>
        <v>0</v>
      </c>
      <c r="AM301" s="20">
        <f t="shared" ca="1" si="165"/>
        <v>0</v>
      </c>
    </row>
    <row r="302" spans="1:39" x14ac:dyDescent="0.2">
      <c r="A302" s="22" t="str">
        <f>$A73</f>
        <v>Qormi</v>
      </c>
      <c r="B302" s="19"/>
      <c r="C302" s="20">
        <f t="shared" ca="1" si="165"/>
        <v>224931.66569048862</v>
      </c>
      <c r="D302" s="20">
        <f t="shared" ca="1" si="165"/>
        <v>231679.61566120328</v>
      </c>
      <c r="E302" s="20">
        <f t="shared" ca="1" si="165"/>
        <v>238630.00413103937</v>
      </c>
      <c r="F302" s="20">
        <f t="shared" ca="1" si="165"/>
        <v>245788.90425497055</v>
      </c>
      <c r="G302" s="20">
        <f t="shared" ca="1" si="165"/>
        <v>253162.57138261967</v>
      </c>
      <c r="H302" s="20">
        <f t="shared" ca="1" si="165"/>
        <v>260757.44852409826</v>
      </c>
      <c r="I302" s="20">
        <f t="shared" ca="1" si="165"/>
        <v>268580.17197982123</v>
      </c>
      <c r="J302" s="20">
        <f t="shared" ca="1" si="165"/>
        <v>276637.57713921589</v>
      </c>
      <c r="K302" s="20">
        <f t="shared" ca="1" si="165"/>
        <v>284936.70445339236</v>
      </c>
      <c r="L302" s="20">
        <f t="shared" ca="1" si="165"/>
        <v>293484.80558699416</v>
      </c>
      <c r="M302" s="20">
        <f t="shared" ca="1" si="165"/>
        <v>302289.34975460399</v>
      </c>
      <c r="N302" s="20">
        <f t="shared" ca="1" si="165"/>
        <v>311358.03024724213</v>
      </c>
      <c r="O302" s="20">
        <f t="shared" ca="1" si="165"/>
        <v>320698.77115465939</v>
      </c>
      <c r="P302" s="20">
        <f t="shared" ca="1" si="165"/>
        <v>330319.73428929917</v>
      </c>
      <c r="Q302" s="20">
        <f t="shared" ca="1" si="165"/>
        <v>340229.32631797815</v>
      </c>
      <c r="R302" s="20">
        <f t="shared" ca="1" si="165"/>
        <v>350436.20610751753</v>
      </c>
      <c r="S302" s="20">
        <f t="shared" ca="1" si="165"/>
        <v>360949.29229074309</v>
      </c>
      <c r="T302" s="20">
        <f t="shared" ca="1" si="165"/>
        <v>371777.77105946542</v>
      </c>
      <c r="U302" s="20">
        <f t="shared" ca="1" si="165"/>
        <v>382931.10419124941</v>
      </c>
      <c r="V302" s="20">
        <f t="shared" ca="1" si="165"/>
        <v>394419.03731698688</v>
      </c>
      <c r="W302" s="20">
        <f t="shared" ca="1" si="165"/>
        <v>406251.60843649652</v>
      </c>
      <c r="X302" s="20">
        <f t="shared" ca="1" si="165"/>
        <v>0</v>
      </c>
      <c r="Y302" s="20">
        <f t="shared" ca="1" si="165"/>
        <v>0</v>
      </c>
      <c r="Z302" s="20">
        <f t="shared" ca="1" si="165"/>
        <v>0</v>
      </c>
      <c r="AA302" s="20">
        <f t="shared" ca="1" si="165"/>
        <v>0</v>
      </c>
      <c r="AB302" s="20">
        <f t="shared" ca="1" si="165"/>
        <v>0</v>
      </c>
      <c r="AC302" s="20">
        <f t="shared" ca="1" si="165"/>
        <v>0</v>
      </c>
      <c r="AD302" s="20">
        <f t="shared" ca="1" si="165"/>
        <v>0</v>
      </c>
      <c r="AE302" s="20">
        <f t="shared" ca="1" si="165"/>
        <v>0</v>
      </c>
      <c r="AF302" s="20">
        <f t="shared" ca="1" si="165"/>
        <v>0</v>
      </c>
      <c r="AG302" s="20">
        <f t="shared" ca="1" si="165"/>
        <v>0</v>
      </c>
      <c r="AH302" s="20">
        <f t="shared" ca="1" si="165"/>
        <v>0</v>
      </c>
      <c r="AI302" s="20">
        <f t="shared" ca="1" si="165"/>
        <v>0</v>
      </c>
      <c r="AJ302" s="20">
        <f t="shared" ca="1" si="165"/>
        <v>0</v>
      </c>
      <c r="AK302" s="20">
        <f t="shared" ca="1" si="165"/>
        <v>0</v>
      </c>
      <c r="AL302" s="20">
        <f t="shared" ca="1" si="165"/>
        <v>0</v>
      </c>
      <c r="AM302" s="20">
        <f t="shared" ca="1" si="165"/>
        <v>0</v>
      </c>
    </row>
    <row r="303" spans="1:39" x14ac:dyDescent="0.2">
      <c r="A303" s="22" t="str">
        <f>$A74</f>
        <v>Gudja</v>
      </c>
      <c r="B303" s="19"/>
      <c r="C303" s="20">
        <f t="shared" ca="1" si="165"/>
        <v>81793.332978359496</v>
      </c>
      <c r="D303" s="20">
        <f t="shared" ca="1" si="165"/>
        <v>84247.132967710277</v>
      </c>
      <c r="E303" s="20">
        <f t="shared" ca="1" si="165"/>
        <v>0</v>
      </c>
      <c r="F303" s="20">
        <f t="shared" ca="1" si="165"/>
        <v>0</v>
      </c>
      <c r="G303" s="20">
        <f t="shared" ca="1" si="165"/>
        <v>0</v>
      </c>
      <c r="H303" s="20">
        <f t="shared" ca="1" si="165"/>
        <v>0</v>
      </c>
      <c r="I303" s="20">
        <f t="shared" ca="1" si="165"/>
        <v>0</v>
      </c>
      <c r="J303" s="20">
        <f t="shared" ca="1" si="165"/>
        <v>0</v>
      </c>
      <c r="K303" s="20">
        <f t="shared" ca="1" si="165"/>
        <v>0</v>
      </c>
      <c r="L303" s="20">
        <f t="shared" ca="1" si="165"/>
        <v>0</v>
      </c>
      <c r="M303" s="20">
        <f t="shared" ca="1" si="165"/>
        <v>0</v>
      </c>
      <c r="N303" s="20">
        <f t="shared" ca="1" si="165"/>
        <v>0</v>
      </c>
      <c r="O303" s="20">
        <f t="shared" ca="1" si="165"/>
        <v>0</v>
      </c>
      <c r="P303" s="20">
        <f t="shared" ca="1" si="165"/>
        <v>0</v>
      </c>
      <c r="Q303" s="20">
        <f t="shared" ca="1" si="165"/>
        <v>0</v>
      </c>
      <c r="R303" s="20">
        <f t="shared" ca="1" si="165"/>
        <v>0</v>
      </c>
      <c r="S303" s="20">
        <f t="shared" ca="1" si="165"/>
        <v>0</v>
      </c>
      <c r="T303" s="20">
        <f t="shared" ca="1" si="165"/>
        <v>0</v>
      </c>
      <c r="U303" s="20">
        <f t="shared" ca="1" si="165"/>
        <v>0</v>
      </c>
      <c r="V303" s="20">
        <f t="shared" ca="1" si="165"/>
        <v>0</v>
      </c>
      <c r="W303" s="20">
        <f t="shared" ca="1" si="165"/>
        <v>0</v>
      </c>
      <c r="X303" s="20">
        <f t="shared" ca="1" si="165"/>
        <v>0</v>
      </c>
      <c r="Y303" s="20">
        <f t="shared" ca="1" si="165"/>
        <v>0</v>
      </c>
      <c r="Z303" s="20">
        <f t="shared" ca="1" si="165"/>
        <v>0</v>
      </c>
      <c r="AA303" s="20">
        <f t="shared" ca="1" si="165"/>
        <v>0</v>
      </c>
      <c r="AB303" s="20">
        <f t="shared" ca="1" si="165"/>
        <v>0</v>
      </c>
      <c r="AC303" s="20">
        <f t="shared" ca="1" si="165"/>
        <v>0</v>
      </c>
      <c r="AD303" s="20">
        <f t="shared" ca="1" si="165"/>
        <v>0</v>
      </c>
      <c r="AE303" s="20">
        <f t="shared" ca="1" si="165"/>
        <v>0</v>
      </c>
      <c r="AF303" s="20">
        <f t="shared" ca="1" si="165"/>
        <v>0</v>
      </c>
      <c r="AG303" s="20">
        <f t="shared" ca="1" si="165"/>
        <v>0</v>
      </c>
      <c r="AH303" s="20">
        <f t="shared" ca="1" si="165"/>
        <v>0</v>
      </c>
      <c r="AI303" s="20">
        <f t="shared" ca="1" si="165"/>
        <v>0</v>
      </c>
      <c r="AJ303" s="20">
        <f t="shared" ca="1" si="165"/>
        <v>0</v>
      </c>
      <c r="AK303" s="20">
        <f t="shared" ca="1" si="165"/>
        <v>0</v>
      </c>
      <c r="AL303" s="20">
        <f t="shared" ca="1" si="165"/>
        <v>0</v>
      </c>
      <c r="AM303" s="20">
        <f t="shared" ca="1" si="165"/>
        <v>0</v>
      </c>
    </row>
    <row r="304" spans="1:39" x14ac:dyDescent="0.2">
      <c r="A304" s="22" t="str">
        <f>$A75</f>
        <v>Marsa</v>
      </c>
      <c r="B304" s="19"/>
      <c r="C304" s="20">
        <f t="shared" ca="1" si="165"/>
        <v>122689.99946753924</v>
      </c>
      <c r="D304" s="20">
        <f t="shared" ca="1" si="165"/>
        <v>126370.69945156542</v>
      </c>
      <c r="E304" s="20">
        <f t="shared" ca="1" si="165"/>
        <v>130161.82043511239</v>
      </c>
      <c r="F304" s="20">
        <f t="shared" ca="1" si="165"/>
        <v>134066.67504816575</v>
      </c>
      <c r="G304" s="20">
        <f t="shared" ca="1" si="165"/>
        <v>138088.67529961074</v>
      </c>
      <c r="H304" s="20">
        <f t="shared" ca="1" si="165"/>
        <v>142231.33555859906</v>
      </c>
      <c r="I304" s="20">
        <f t="shared" ca="1" si="165"/>
        <v>146498.27562535706</v>
      </c>
      <c r="J304" s="20">
        <f t="shared" ca="1" si="165"/>
        <v>0</v>
      </c>
      <c r="K304" s="20">
        <f t="shared" ca="1" si="165"/>
        <v>0</v>
      </c>
      <c r="L304" s="20">
        <f t="shared" ca="1" si="165"/>
        <v>0</v>
      </c>
      <c r="M304" s="20">
        <f t="shared" ca="1" si="165"/>
        <v>0</v>
      </c>
      <c r="N304" s="20">
        <f t="shared" ca="1" si="165"/>
        <v>0</v>
      </c>
      <c r="O304" s="20">
        <f t="shared" ca="1" si="165"/>
        <v>0</v>
      </c>
      <c r="P304" s="20">
        <f t="shared" ca="1" si="165"/>
        <v>0</v>
      </c>
      <c r="Q304" s="20">
        <f t="shared" ca="1" si="165"/>
        <v>0</v>
      </c>
      <c r="R304" s="20">
        <f t="shared" ca="1" si="165"/>
        <v>0</v>
      </c>
      <c r="S304" s="20">
        <f t="shared" ca="1" si="165"/>
        <v>0</v>
      </c>
      <c r="T304" s="20">
        <f t="shared" ca="1" si="165"/>
        <v>0</v>
      </c>
      <c r="U304" s="20">
        <f t="shared" ca="1" si="165"/>
        <v>0</v>
      </c>
      <c r="V304" s="20">
        <f t="shared" ca="1" si="165"/>
        <v>0</v>
      </c>
      <c r="W304" s="20">
        <f t="shared" ca="1" si="165"/>
        <v>0</v>
      </c>
      <c r="X304" s="20">
        <f t="shared" ca="1" si="165"/>
        <v>0</v>
      </c>
      <c r="Y304" s="20">
        <f t="shared" ca="1" si="165"/>
        <v>0</v>
      </c>
      <c r="Z304" s="20">
        <f t="shared" ca="1" si="165"/>
        <v>0</v>
      </c>
      <c r="AA304" s="20">
        <f t="shared" ca="1" si="165"/>
        <v>0</v>
      </c>
      <c r="AB304" s="20">
        <f t="shared" ca="1" si="165"/>
        <v>0</v>
      </c>
      <c r="AC304" s="20">
        <f t="shared" ca="1" si="165"/>
        <v>0</v>
      </c>
      <c r="AD304" s="20">
        <f t="shared" ca="1" si="165"/>
        <v>0</v>
      </c>
      <c r="AE304" s="20">
        <f t="shared" ca="1" si="165"/>
        <v>0</v>
      </c>
      <c r="AF304" s="20">
        <f t="shared" ca="1" si="165"/>
        <v>0</v>
      </c>
      <c r="AG304" s="20">
        <f t="shared" ca="1" si="165"/>
        <v>0</v>
      </c>
      <c r="AH304" s="20">
        <f t="shared" ca="1" si="165"/>
        <v>0</v>
      </c>
      <c r="AI304" s="20">
        <f t="shared" ca="1" si="165"/>
        <v>0</v>
      </c>
      <c r="AJ304" s="20">
        <f t="shared" ca="1" si="165"/>
        <v>0</v>
      </c>
      <c r="AK304" s="20">
        <f t="shared" ca="1" si="165"/>
        <v>0</v>
      </c>
      <c r="AL304" s="20">
        <f t="shared" ca="1" si="165"/>
        <v>0</v>
      </c>
      <c r="AM304" s="20">
        <f t="shared" ca="1" si="165"/>
        <v>0</v>
      </c>
    </row>
    <row r="305" spans="1:39" x14ac:dyDescent="0.2">
      <c r="A305" s="22" t="str">
        <f>A77</f>
        <v>Jewelry</v>
      </c>
      <c r="B305" s="19"/>
      <c r="C305" s="20">
        <f t="shared" ref="C305:AM309" ca="1" si="166">IFERROR(IF(VLOOKUP($A305,$287:$297,C$1+2,FALSE)=0,C77,0),C77)</f>
        <v>50748.140451472013</v>
      </c>
      <c r="D305" s="20">
        <f t="shared" ca="1" si="166"/>
        <v>0</v>
      </c>
      <c r="E305" s="20">
        <f t="shared" ca="1" si="166"/>
        <v>0</v>
      </c>
      <c r="F305" s="20">
        <f t="shared" ca="1" si="166"/>
        <v>0</v>
      </c>
      <c r="G305" s="20">
        <f t="shared" ca="1" si="166"/>
        <v>0</v>
      </c>
      <c r="H305" s="20">
        <f t="shared" ca="1" si="166"/>
        <v>0</v>
      </c>
      <c r="I305" s="20">
        <f t="shared" ca="1" si="166"/>
        <v>0</v>
      </c>
      <c r="J305" s="20">
        <f t="shared" ca="1" si="166"/>
        <v>0</v>
      </c>
      <c r="K305" s="20">
        <f t="shared" ca="1" si="166"/>
        <v>0</v>
      </c>
      <c r="L305" s="20">
        <f t="shared" ca="1" si="166"/>
        <v>0</v>
      </c>
      <c r="M305" s="20">
        <f t="shared" ca="1" si="166"/>
        <v>0</v>
      </c>
      <c r="N305" s="20">
        <f t="shared" ca="1" si="166"/>
        <v>0</v>
      </c>
      <c r="O305" s="20">
        <f t="shared" ca="1" si="166"/>
        <v>0</v>
      </c>
      <c r="P305" s="20">
        <f t="shared" ca="1" si="166"/>
        <v>0</v>
      </c>
      <c r="Q305" s="20">
        <f t="shared" ca="1" si="166"/>
        <v>0</v>
      </c>
      <c r="R305" s="20">
        <f t="shared" ca="1" si="166"/>
        <v>0</v>
      </c>
      <c r="S305" s="20">
        <f t="shared" ca="1" si="166"/>
        <v>0</v>
      </c>
      <c r="T305" s="20">
        <f t="shared" ca="1" si="166"/>
        <v>0</v>
      </c>
      <c r="U305" s="20">
        <f t="shared" ca="1" si="166"/>
        <v>0</v>
      </c>
      <c r="V305" s="20">
        <f t="shared" ca="1" si="166"/>
        <v>0</v>
      </c>
      <c r="W305" s="20">
        <f t="shared" ca="1" si="166"/>
        <v>0</v>
      </c>
      <c r="X305" s="20">
        <f t="shared" ca="1" si="166"/>
        <v>0</v>
      </c>
      <c r="Y305" s="20">
        <f t="shared" ca="1" si="166"/>
        <v>0</v>
      </c>
      <c r="Z305" s="20">
        <f t="shared" ca="1" si="166"/>
        <v>0</v>
      </c>
      <c r="AA305" s="20">
        <f t="shared" ca="1" si="166"/>
        <v>0</v>
      </c>
      <c r="AB305" s="20">
        <f t="shared" ca="1" si="166"/>
        <v>0</v>
      </c>
      <c r="AC305" s="20">
        <f t="shared" ca="1" si="166"/>
        <v>0</v>
      </c>
      <c r="AD305" s="20">
        <f t="shared" ca="1" si="166"/>
        <v>0</v>
      </c>
      <c r="AE305" s="20">
        <f t="shared" ca="1" si="166"/>
        <v>0</v>
      </c>
      <c r="AF305" s="20">
        <f t="shared" ca="1" si="166"/>
        <v>0</v>
      </c>
      <c r="AG305" s="20">
        <f t="shared" ca="1" si="166"/>
        <v>0</v>
      </c>
      <c r="AH305" s="20">
        <f t="shared" ca="1" si="166"/>
        <v>0</v>
      </c>
      <c r="AI305" s="20">
        <f t="shared" ca="1" si="166"/>
        <v>0</v>
      </c>
      <c r="AJ305" s="20">
        <f t="shared" ca="1" si="166"/>
        <v>0</v>
      </c>
      <c r="AK305" s="20">
        <f t="shared" ca="1" si="166"/>
        <v>0</v>
      </c>
      <c r="AL305" s="20">
        <f t="shared" ca="1" si="166"/>
        <v>0</v>
      </c>
      <c r="AM305" s="20">
        <f t="shared" ca="1" si="166"/>
        <v>0</v>
      </c>
    </row>
    <row r="306" spans="1:39" x14ac:dyDescent="0.2">
      <c r="A306" s="22" t="str">
        <f>A78</f>
        <v>Car</v>
      </c>
      <c r="B306" s="19"/>
      <c r="C306" s="20">
        <f t="shared" ca="1" si="166"/>
        <v>0</v>
      </c>
      <c r="D306" s="20">
        <f t="shared" ca="1" si="166"/>
        <v>0</v>
      </c>
      <c r="E306" s="20">
        <f t="shared" ca="1" si="166"/>
        <v>0</v>
      </c>
      <c r="F306" s="20">
        <f t="shared" ca="1" si="166"/>
        <v>0</v>
      </c>
      <c r="G306" s="20">
        <f t="shared" ca="1" si="166"/>
        <v>0</v>
      </c>
      <c r="H306" s="20">
        <f t="shared" ca="1" si="166"/>
        <v>0</v>
      </c>
      <c r="I306" s="20">
        <f t="shared" ca="1" si="166"/>
        <v>0</v>
      </c>
      <c r="J306" s="20">
        <f t="shared" ca="1" si="166"/>
        <v>0</v>
      </c>
      <c r="K306" s="20">
        <f t="shared" ca="1" si="166"/>
        <v>0</v>
      </c>
      <c r="L306" s="20">
        <f t="shared" ca="1" si="166"/>
        <v>0</v>
      </c>
      <c r="M306" s="20">
        <f t="shared" ca="1" si="166"/>
        <v>0</v>
      </c>
      <c r="N306" s="20">
        <f t="shared" ca="1" si="166"/>
        <v>0</v>
      </c>
      <c r="O306" s="20">
        <f t="shared" ca="1" si="166"/>
        <v>0</v>
      </c>
      <c r="P306" s="20">
        <f t="shared" ca="1" si="166"/>
        <v>0</v>
      </c>
      <c r="Q306" s="20">
        <f t="shared" ca="1" si="166"/>
        <v>0</v>
      </c>
      <c r="R306" s="20">
        <f t="shared" ca="1" si="166"/>
        <v>0</v>
      </c>
      <c r="S306" s="20">
        <f t="shared" ca="1" si="166"/>
        <v>0</v>
      </c>
      <c r="T306" s="20">
        <f t="shared" ca="1" si="166"/>
        <v>0</v>
      </c>
      <c r="U306" s="20">
        <f t="shared" ca="1" si="166"/>
        <v>0</v>
      </c>
      <c r="V306" s="20">
        <f t="shared" ca="1" si="166"/>
        <v>0</v>
      </c>
      <c r="W306" s="20">
        <f t="shared" ca="1" si="166"/>
        <v>0</v>
      </c>
      <c r="X306" s="20">
        <f t="shared" ca="1" si="166"/>
        <v>0</v>
      </c>
      <c r="Y306" s="20">
        <f t="shared" ca="1" si="166"/>
        <v>0</v>
      </c>
      <c r="Z306" s="20">
        <f t="shared" ca="1" si="166"/>
        <v>0</v>
      </c>
      <c r="AA306" s="20">
        <f t="shared" ca="1" si="166"/>
        <v>0</v>
      </c>
      <c r="AB306" s="20">
        <f t="shared" ca="1" si="166"/>
        <v>0</v>
      </c>
      <c r="AC306" s="20">
        <f t="shared" ca="1" si="166"/>
        <v>0</v>
      </c>
      <c r="AD306" s="20">
        <f t="shared" ca="1" si="166"/>
        <v>0</v>
      </c>
      <c r="AE306" s="20">
        <f t="shared" ca="1" si="166"/>
        <v>0</v>
      </c>
      <c r="AF306" s="20">
        <f t="shared" ca="1" si="166"/>
        <v>0</v>
      </c>
      <c r="AG306" s="20">
        <f t="shared" ca="1" si="166"/>
        <v>0</v>
      </c>
      <c r="AH306" s="20">
        <f t="shared" ca="1" si="166"/>
        <v>0</v>
      </c>
      <c r="AI306" s="20">
        <f t="shared" ca="1" si="166"/>
        <v>0</v>
      </c>
      <c r="AJ306" s="20">
        <f t="shared" ca="1" si="166"/>
        <v>0</v>
      </c>
      <c r="AK306" s="20">
        <f t="shared" ca="1" si="166"/>
        <v>0</v>
      </c>
      <c r="AL306" s="20">
        <f t="shared" ca="1" si="166"/>
        <v>0</v>
      </c>
      <c r="AM306" s="20">
        <f t="shared" ca="1" si="166"/>
        <v>0</v>
      </c>
    </row>
    <row r="307" spans="1:39" x14ac:dyDescent="0.2">
      <c r="A307" s="22" t="str">
        <f>A79</f>
        <v>Painting</v>
      </c>
      <c r="B307" s="19"/>
      <c r="C307" s="20">
        <f t="shared" ca="1" si="166"/>
        <v>0</v>
      </c>
      <c r="D307" s="20">
        <f t="shared" ca="1" si="166"/>
        <v>0</v>
      </c>
      <c r="E307" s="20">
        <f t="shared" ca="1" si="166"/>
        <v>0</v>
      </c>
      <c r="F307" s="20">
        <f t="shared" ca="1" si="166"/>
        <v>0</v>
      </c>
      <c r="G307" s="20">
        <f t="shared" ca="1" si="166"/>
        <v>0</v>
      </c>
      <c r="H307" s="20">
        <f t="shared" ca="1" si="166"/>
        <v>0</v>
      </c>
      <c r="I307" s="20">
        <f t="shared" ca="1" si="166"/>
        <v>0</v>
      </c>
      <c r="J307" s="20">
        <f t="shared" ca="1" si="166"/>
        <v>0</v>
      </c>
      <c r="K307" s="20">
        <f t="shared" ca="1" si="166"/>
        <v>0</v>
      </c>
      <c r="L307" s="20">
        <f t="shared" ca="1" si="166"/>
        <v>0</v>
      </c>
      <c r="M307" s="20">
        <f t="shared" ca="1" si="166"/>
        <v>0</v>
      </c>
      <c r="N307" s="20">
        <f t="shared" ca="1" si="166"/>
        <v>0</v>
      </c>
      <c r="O307" s="20">
        <f t="shared" ca="1" si="166"/>
        <v>0</v>
      </c>
      <c r="P307" s="20">
        <f t="shared" ca="1" si="166"/>
        <v>0</v>
      </c>
      <c r="Q307" s="20">
        <f t="shared" ca="1" si="166"/>
        <v>0</v>
      </c>
      <c r="R307" s="20">
        <f t="shared" ca="1" si="166"/>
        <v>0</v>
      </c>
      <c r="S307" s="20">
        <f t="shared" ca="1" si="166"/>
        <v>0</v>
      </c>
      <c r="T307" s="20">
        <f t="shared" ca="1" si="166"/>
        <v>0</v>
      </c>
      <c r="U307" s="20">
        <f t="shared" ca="1" si="166"/>
        <v>0</v>
      </c>
      <c r="V307" s="20">
        <f t="shared" ca="1" si="166"/>
        <v>0</v>
      </c>
      <c r="W307" s="20">
        <f t="shared" ca="1" si="166"/>
        <v>0</v>
      </c>
      <c r="X307" s="20">
        <f t="shared" ca="1" si="166"/>
        <v>0</v>
      </c>
      <c r="Y307" s="20">
        <f t="shared" ca="1" si="166"/>
        <v>0</v>
      </c>
      <c r="Z307" s="20">
        <f t="shared" ca="1" si="166"/>
        <v>0</v>
      </c>
      <c r="AA307" s="20">
        <f t="shared" ca="1" si="166"/>
        <v>0</v>
      </c>
      <c r="AB307" s="20">
        <f t="shared" ca="1" si="166"/>
        <v>0</v>
      </c>
      <c r="AC307" s="20">
        <f t="shared" ca="1" si="166"/>
        <v>0</v>
      </c>
      <c r="AD307" s="20">
        <f t="shared" ca="1" si="166"/>
        <v>0</v>
      </c>
      <c r="AE307" s="20">
        <f t="shared" ca="1" si="166"/>
        <v>0</v>
      </c>
      <c r="AF307" s="20">
        <f t="shared" ca="1" si="166"/>
        <v>0</v>
      </c>
      <c r="AG307" s="20">
        <f t="shared" ca="1" si="166"/>
        <v>0</v>
      </c>
      <c r="AH307" s="20">
        <f t="shared" ca="1" si="166"/>
        <v>0</v>
      </c>
      <c r="AI307" s="20">
        <f t="shared" ca="1" si="166"/>
        <v>0</v>
      </c>
      <c r="AJ307" s="20">
        <f t="shared" ca="1" si="166"/>
        <v>0</v>
      </c>
      <c r="AK307" s="20">
        <f t="shared" ca="1" si="166"/>
        <v>0</v>
      </c>
      <c r="AL307" s="20">
        <f t="shared" ca="1" si="166"/>
        <v>0</v>
      </c>
      <c r="AM307" s="20">
        <f t="shared" ca="1" si="166"/>
        <v>0</v>
      </c>
    </row>
    <row r="308" spans="1:39" x14ac:dyDescent="0.2">
      <c r="A308" s="22" t="str">
        <f>A80</f>
        <v>Boat</v>
      </c>
      <c r="B308" s="19"/>
      <c r="C308" s="20">
        <f t="shared" ca="1" si="166"/>
        <v>173206.90804157319</v>
      </c>
      <c r="D308" s="20">
        <f t="shared" ca="1" si="166"/>
        <v>164546.56263949451</v>
      </c>
      <c r="E308" s="20">
        <f t="shared" ca="1" si="166"/>
        <v>156319.23450751978</v>
      </c>
      <c r="F308" s="20">
        <f t="shared" ca="1" si="166"/>
        <v>148503.27278214379</v>
      </c>
      <c r="G308" s="20">
        <f t="shared" ca="1" si="166"/>
        <v>141078.10914303659</v>
      </c>
      <c r="H308" s="20">
        <f t="shared" ca="1" si="166"/>
        <v>134024.20368588474</v>
      </c>
      <c r="I308" s="20">
        <f t="shared" ca="1" si="166"/>
        <v>127322.99350159049</v>
      </c>
      <c r="J308" s="20">
        <f t="shared" ca="1" si="166"/>
        <v>120956.84382651096</v>
      </c>
      <c r="K308" s="20">
        <f t="shared" ca="1" si="166"/>
        <v>114909.0016351854</v>
      </c>
      <c r="L308" s="20">
        <f t="shared" ca="1" si="166"/>
        <v>109163.55155342612</v>
      </c>
      <c r="M308" s="20">
        <f t="shared" ca="1" si="166"/>
        <v>103705.37397575482</v>
      </c>
      <c r="N308" s="20">
        <f t="shared" ca="1" si="166"/>
        <v>98520.105276967079</v>
      </c>
      <c r="O308" s="20">
        <f t="shared" ca="1" si="166"/>
        <v>93594.100013118717</v>
      </c>
      <c r="P308" s="20">
        <f t="shared" ca="1" si="166"/>
        <v>88914.395012462774</v>
      </c>
      <c r="Q308" s="20">
        <f t="shared" ca="1" si="166"/>
        <v>84468.675261839628</v>
      </c>
      <c r="R308" s="20">
        <f t="shared" ca="1" si="166"/>
        <v>80245.241498747637</v>
      </c>
      <c r="S308" s="20">
        <f t="shared" ca="1" si="166"/>
        <v>76232.979423810248</v>
      </c>
      <c r="T308" s="20">
        <f t="shared" ca="1" si="166"/>
        <v>72421.330452619732</v>
      </c>
      <c r="U308" s="20">
        <f t="shared" ca="1" si="166"/>
        <v>0</v>
      </c>
      <c r="V308" s="20">
        <f t="shared" ca="1" si="166"/>
        <v>0</v>
      </c>
      <c r="W308" s="20">
        <f t="shared" ca="1" si="166"/>
        <v>0</v>
      </c>
      <c r="X308" s="20">
        <f t="shared" ca="1" si="166"/>
        <v>0</v>
      </c>
      <c r="Y308" s="20">
        <f t="shared" ca="1" si="166"/>
        <v>0</v>
      </c>
      <c r="Z308" s="20">
        <f t="shared" ca="1" si="166"/>
        <v>0</v>
      </c>
      <c r="AA308" s="20">
        <f t="shared" ca="1" si="166"/>
        <v>0</v>
      </c>
      <c r="AB308" s="20">
        <f t="shared" ca="1" si="166"/>
        <v>0</v>
      </c>
      <c r="AC308" s="20">
        <f t="shared" ca="1" si="166"/>
        <v>0</v>
      </c>
      <c r="AD308" s="20">
        <f t="shared" ca="1" si="166"/>
        <v>0</v>
      </c>
      <c r="AE308" s="20">
        <f t="shared" ca="1" si="166"/>
        <v>0</v>
      </c>
      <c r="AF308" s="20">
        <f t="shared" ca="1" si="166"/>
        <v>0</v>
      </c>
      <c r="AG308" s="20">
        <f t="shared" ca="1" si="166"/>
        <v>0</v>
      </c>
      <c r="AH308" s="20">
        <f t="shared" ca="1" si="166"/>
        <v>0</v>
      </c>
      <c r="AI308" s="20">
        <f t="shared" ca="1" si="166"/>
        <v>0</v>
      </c>
      <c r="AJ308" s="20">
        <f t="shared" ca="1" si="166"/>
        <v>0</v>
      </c>
      <c r="AK308" s="20">
        <f t="shared" ca="1" si="166"/>
        <v>0</v>
      </c>
      <c r="AL308" s="20">
        <f t="shared" ca="1" si="166"/>
        <v>0</v>
      </c>
      <c r="AM308" s="20">
        <f t="shared" ca="1" si="166"/>
        <v>0</v>
      </c>
    </row>
    <row r="309" spans="1:39" x14ac:dyDescent="0.2">
      <c r="A309" s="22" t="str">
        <f>A81</f>
        <v>Antiques</v>
      </c>
      <c r="B309" s="19"/>
      <c r="C309" s="20">
        <f t="shared" ca="1" si="166"/>
        <v>83226.9503404141</v>
      </c>
      <c r="D309" s="20">
        <f t="shared" ca="1" si="166"/>
        <v>84891.489347222378</v>
      </c>
      <c r="E309" s="20">
        <f t="shared" ca="1" si="166"/>
        <v>0</v>
      </c>
      <c r="F309" s="20">
        <f t="shared" ca="1" si="166"/>
        <v>0</v>
      </c>
      <c r="G309" s="20">
        <f t="shared" ca="1" si="166"/>
        <v>0</v>
      </c>
      <c r="H309" s="20">
        <f t="shared" ca="1" si="166"/>
        <v>0</v>
      </c>
      <c r="I309" s="20">
        <f t="shared" ca="1" si="166"/>
        <v>0</v>
      </c>
      <c r="J309" s="20">
        <f t="shared" ca="1" si="166"/>
        <v>0</v>
      </c>
      <c r="K309" s="20">
        <f t="shared" ca="1" si="166"/>
        <v>0</v>
      </c>
      <c r="L309" s="20">
        <f t="shared" ca="1" si="166"/>
        <v>0</v>
      </c>
      <c r="M309" s="20">
        <f t="shared" ca="1" si="166"/>
        <v>0</v>
      </c>
      <c r="N309" s="20">
        <f t="shared" ca="1" si="166"/>
        <v>0</v>
      </c>
      <c r="O309" s="20">
        <f t="shared" ca="1" si="166"/>
        <v>0</v>
      </c>
      <c r="P309" s="20">
        <f t="shared" ca="1" si="166"/>
        <v>0</v>
      </c>
      <c r="Q309" s="20">
        <f t="shared" ca="1" si="166"/>
        <v>0</v>
      </c>
      <c r="R309" s="20">
        <f t="shared" ca="1" si="166"/>
        <v>0</v>
      </c>
      <c r="S309" s="20">
        <f t="shared" ca="1" si="166"/>
        <v>0</v>
      </c>
      <c r="T309" s="20">
        <f t="shared" ca="1" si="166"/>
        <v>0</v>
      </c>
      <c r="U309" s="20">
        <f t="shared" ca="1" si="166"/>
        <v>0</v>
      </c>
      <c r="V309" s="20">
        <f t="shared" ca="1" si="166"/>
        <v>0</v>
      </c>
      <c r="W309" s="20">
        <f t="shared" ca="1" si="166"/>
        <v>0</v>
      </c>
      <c r="X309" s="20">
        <f t="shared" ca="1" si="166"/>
        <v>0</v>
      </c>
      <c r="Y309" s="20">
        <f t="shared" ca="1" si="166"/>
        <v>0</v>
      </c>
      <c r="Z309" s="20">
        <f t="shared" ca="1" si="166"/>
        <v>0</v>
      </c>
      <c r="AA309" s="20">
        <f t="shared" ca="1" si="166"/>
        <v>0</v>
      </c>
      <c r="AB309" s="20">
        <f t="shared" ca="1" si="166"/>
        <v>0</v>
      </c>
      <c r="AC309" s="20">
        <f t="shared" ca="1" si="166"/>
        <v>0</v>
      </c>
      <c r="AD309" s="20">
        <f t="shared" ca="1" si="166"/>
        <v>0</v>
      </c>
      <c r="AE309" s="20">
        <f t="shared" ca="1" si="166"/>
        <v>0</v>
      </c>
      <c r="AF309" s="20">
        <f t="shared" ca="1" si="166"/>
        <v>0</v>
      </c>
      <c r="AG309" s="20">
        <f t="shared" ca="1" si="166"/>
        <v>0</v>
      </c>
      <c r="AH309" s="20">
        <f t="shared" ca="1" si="166"/>
        <v>0</v>
      </c>
      <c r="AI309" s="20">
        <f t="shared" ca="1" si="166"/>
        <v>0</v>
      </c>
      <c r="AJ309" s="20">
        <f t="shared" ca="1" si="166"/>
        <v>0</v>
      </c>
      <c r="AK309" s="20">
        <f t="shared" ca="1" si="166"/>
        <v>0</v>
      </c>
      <c r="AL309" s="20">
        <f t="shared" ca="1" si="166"/>
        <v>0</v>
      </c>
      <c r="AM309" s="20">
        <f t="shared" ca="1" si="166"/>
        <v>0</v>
      </c>
    </row>
    <row r="310" spans="1:39" x14ac:dyDescent="0.2"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</row>
    <row r="311" spans="1:39" x14ac:dyDescent="0.2">
      <c r="A311" s="18" t="s">
        <v>196</v>
      </c>
      <c r="B311" s="19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</row>
    <row r="312" spans="1:39" x14ac:dyDescent="0.2">
      <c r="A312" s="22" t="str">
        <f>B$122</f>
        <v>Painting</v>
      </c>
      <c r="B312" s="19"/>
      <c r="C312" s="20">
        <f ca="1">SUM($C122:C122)</f>
        <v>-6642.0499231875183</v>
      </c>
      <c r="D312" s="20">
        <f ca="1">SUM($C122:D122)</f>
        <v>-6642.0499231875183</v>
      </c>
      <c r="E312" s="20">
        <f ca="1">SUM($C122:E122)</f>
        <v>-6642.0499231875183</v>
      </c>
      <c r="F312" s="20">
        <f ca="1">SUM($C122:F122)</f>
        <v>-6642.0499231875183</v>
      </c>
      <c r="G312" s="20">
        <f ca="1">SUM($C122:G122)</f>
        <v>-6642.0499231875183</v>
      </c>
      <c r="H312" s="20">
        <f ca="1">SUM($C122:H122)</f>
        <v>-6642.0499231875183</v>
      </c>
      <c r="I312" s="20">
        <f ca="1">SUM($C122:I122)</f>
        <v>-6642.0499231875183</v>
      </c>
      <c r="J312" s="20">
        <f ca="1">SUM($C122:J122)</f>
        <v>-6642.0499231875183</v>
      </c>
      <c r="K312" s="20">
        <f ca="1">SUM($C122:K122)</f>
        <v>-6642.0499231875183</v>
      </c>
      <c r="L312" s="20">
        <f ca="1">SUM($C122:L122)</f>
        <v>-6642.0499231875183</v>
      </c>
      <c r="M312" s="20">
        <f ca="1">SUM($C122:M122)</f>
        <v>-6642.0499231875183</v>
      </c>
      <c r="N312" s="20">
        <f ca="1">SUM($C122:N122)</f>
        <v>-6642.0499231875183</v>
      </c>
      <c r="O312" s="20">
        <f ca="1">SUM($C122:O122)</f>
        <v>-6642.0499231875183</v>
      </c>
      <c r="P312" s="20">
        <f ca="1">SUM($C122:P122)</f>
        <v>-6642.0499231875183</v>
      </c>
      <c r="Q312" s="20">
        <f ca="1">SUM($C122:Q122)</f>
        <v>-6642.0499231875183</v>
      </c>
      <c r="R312" s="20">
        <f ca="1">SUM($C122:R122)</f>
        <v>-6642.0499231875183</v>
      </c>
      <c r="S312" s="20">
        <f ca="1">SUM($C122:S122)</f>
        <v>-6642.0499231875183</v>
      </c>
      <c r="T312" s="20">
        <f ca="1">SUM($C122:T122)</f>
        <v>-6642.0499231875183</v>
      </c>
      <c r="U312" s="20">
        <f ca="1">SUM($C122:U122)</f>
        <v>-6642.0499231875183</v>
      </c>
      <c r="V312" s="20">
        <f ca="1">SUM($C122:V122)</f>
        <v>-6642.0499231875183</v>
      </c>
      <c r="W312" s="20">
        <f ca="1">SUM($C122:W122)</f>
        <v>-6642.0499231875183</v>
      </c>
      <c r="X312" s="20">
        <f ca="1">SUM($C122:X122)</f>
        <v>-6642.0499231875183</v>
      </c>
      <c r="Y312" s="20">
        <f ca="1">SUM($C122:Y122)</f>
        <v>-6642.0499231875183</v>
      </c>
      <c r="Z312" s="20">
        <f ca="1">SUM($C122:Z122)</f>
        <v>-6642.0499231875183</v>
      </c>
      <c r="AA312" s="20">
        <f ca="1">SUM($C122:AA122)</f>
        <v>-6642.0499231875183</v>
      </c>
      <c r="AB312" s="20">
        <f ca="1">SUM($C122:AB122)</f>
        <v>-6642.0499231875183</v>
      </c>
      <c r="AC312" s="20">
        <f ca="1">SUM($C122:AC122)</f>
        <v>-6642.0499231875183</v>
      </c>
      <c r="AD312" s="20">
        <f ca="1">SUM($C122:AD122)</f>
        <v>-6642.0499231875183</v>
      </c>
      <c r="AE312" s="20">
        <f ca="1">SUM($C122:AE122)</f>
        <v>-6642.0499231875183</v>
      </c>
      <c r="AF312" s="20">
        <f ca="1">SUM($C122:AF122)</f>
        <v>-6642.0499231875183</v>
      </c>
      <c r="AG312" s="20">
        <f ca="1">SUM($C122:AG122)</f>
        <v>-6642.0499231875183</v>
      </c>
      <c r="AH312" s="20">
        <f ca="1">SUM($C122:AH122)</f>
        <v>-6642.0499231875183</v>
      </c>
      <c r="AI312" s="20">
        <f ca="1">SUM($C122:AI122)</f>
        <v>-6642.0499231875183</v>
      </c>
      <c r="AJ312" s="20">
        <f ca="1">SUM($C122:AJ122)</f>
        <v>-6642.0499231875183</v>
      </c>
      <c r="AK312" s="20">
        <f ca="1">SUM($C122:AK122)</f>
        <v>-6642.0499231875183</v>
      </c>
      <c r="AL312" s="20">
        <f ca="1">SUM($C122:AL122)</f>
        <v>-6642.0499231875183</v>
      </c>
      <c r="AM312" s="20">
        <f ca="1">SUM($C122:AM122)</f>
        <v>-6642.0499231875183</v>
      </c>
    </row>
    <row r="313" spans="1:39" x14ac:dyDescent="0.2">
      <c r="A313" s="22" t="str">
        <f>B$139</f>
        <v>Car</v>
      </c>
      <c r="B313" s="19"/>
      <c r="C313" s="20">
        <f ca="1">SUM($C139:C139)</f>
        <v>-5311.4222222593407</v>
      </c>
      <c r="D313" s="20">
        <f ca="1">SUM($C139:D139)</f>
        <v>-5311.4222222593407</v>
      </c>
      <c r="E313" s="20">
        <f ca="1">SUM($C139:E139)</f>
        <v>-5311.4222222593407</v>
      </c>
      <c r="F313" s="20">
        <f ca="1">SUM($C139:F139)</f>
        <v>-5311.4222222593407</v>
      </c>
      <c r="G313" s="20">
        <f ca="1">SUM($C139:G139)</f>
        <v>-5311.4222222593407</v>
      </c>
      <c r="H313" s="20">
        <f ca="1">SUM($C139:H139)</f>
        <v>-5311.4222222593407</v>
      </c>
      <c r="I313" s="20">
        <f ca="1">SUM($C139:I139)</f>
        <v>-5311.4222222593407</v>
      </c>
      <c r="J313" s="20">
        <f ca="1">SUM($C139:J139)</f>
        <v>-5311.4222222593407</v>
      </c>
      <c r="K313" s="20">
        <f ca="1">SUM($C139:K139)</f>
        <v>-5311.4222222593407</v>
      </c>
      <c r="L313" s="20">
        <f ca="1">SUM($C139:L139)</f>
        <v>-5311.4222222593407</v>
      </c>
      <c r="M313" s="20">
        <f ca="1">SUM($C139:M139)</f>
        <v>-5311.4222222593407</v>
      </c>
      <c r="N313" s="20">
        <f ca="1">SUM($C139:N139)</f>
        <v>-5311.4222222593407</v>
      </c>
      <c r="O313" s="20">
        <f ca="1">SUM($C139:O139)</f>
        <v>-5311.4222222593407</v>
      </c>
      <c r="P313" s="20">
        <f ca="1">SUM($C139:P139)</f>
        <v>-5311.4222222593407</v>
      </c>
      <c r="Q313" s="20">
        <f ca="1">SUM($C139:Q139)</f>
        <v>-5311.4222222593407</v>
      </c>
      <c r="R313" s="20">
        <f ca="1">SUM($C139:R139)</f>
        <v>-5311.4222222593407</v>
      </c>
      <c r="S313" s="20">
        <f ca="1">SUM($C139:S139)</f>
        <v>-5311.4222222593407</v>
      </c>
      <c r="T313" s="20">
        <f ca="1">SUM($C139:T139)</f>
        <v>-5311.4222222593407</v>
      </c>
      <c r="U313" s="20">
        <f ca="1">SUM($C139:U139)</f>
        <v>-5311.4222222593407</v>
      </c>
      <c r="V313" s="20">
        <f ca="1">SUM($C139:V139)</f>
        <v>-5311.4222222593407</v>
      </c>
      <c r="W313" s="20">
        <f ca="1">SUM($C139:W139)</f>
        <v>-5311.4222222593407</v>
      </c>
      <c r="X313" s="20">
        <f ca="1">SUM($C139:X139)</f>
        <v>-5311.4222222593407</v>
      </c>
      <c r="Y313" s="20">
        <f ca="1">SUM($C139:Y139)</f>
        <v>-5311.4222222593407</v>
      </c>
      <c r="Z313" s="20">
        <f ca="1">SUM($C139:Z139)</f>
        <v>-5311.4222222593407</v>
      </c>
      <c r="AA313" s="20">
        <f ca="1">SUM($C139:AA139)</f>
        <v>-5311.4222222593407</v>
      </c>
      <c r="AB313" s="20">
        <f ca="1">SUM($C139:AB139)</f>
        <v>-5311.4222222593407</v>
      </c>
      <c r="AC313" s="20">
        <f ca="1">SUM($C139:AC139)</f>
        <v>-5311.4222222593407</v>
      </c>
      <c r="AD313" s="20">
        <f ca="1">SUM($C139:AD139)</f>
        <v>-5311.4222222593407</v>
      </c>
      <c r="AE313" s="20">
        <f ca="1">SUM($C139:AE139)</f>
        <v>-5311.4222222593407</v>
      </c>
      <c r="AF313" s="20">
        <f ca="1">SUM($C139:AF139)</f>
        <v>-5311.4222222593407</v>
      </c>
      <c r="AG313" s="20">
        <f ca="1">SUM($C139:AG139)</f>
        <v>-5311.4222222593407</v>
      </c>
      <c r="AH313" s="20">
        <f ca="1">SUM($C139:AH139)</f>
        <v>-5311.4222222593407</v>
      </c>
      <c r="AI313" s="20">
        <f ca="1">SUM($C139:AI139)</f>
        <v>-5311.4222222593407</v>
      </c>
      <c r="AJ313" s="20">
        <f ca="1">SUM($C139:AJ139)</f>
        <v>-5311.4222222593407</v>
      </c>
      <c r="AK313" s="20">
        <f ca="1">SUM($C139:AK139)</f>
        <v>-5311.4222222593407</v>
      </c>
      <c r="AL313" s="20">
        <f ca="1">SUM($C139:AL139)</f>
        <v>-5311.4222222593407</v>
      </c>
      <c r="AM313" s="20">
        <f ca="1">SUM($C139:AM139)</f>
        <v>-5311.4222222593407</v>
      </c>
    </row>
    <row r="314" spans="1:39" x14ac:dyDescent="0.2">
      <c r="A314" s="22" t="str">
        <f>B$156</f>
        <v>Jewelry</v>
      </c>
      <c r="B314" s="19"/>
      <c r="C314" s="20">
        <f ca="1">SUM($C156:C156)</f>
        <v>0</v>
      </c>
      <c r="D314" s="20">
        <f ca="1">SUM($C156:D156)</f>
        <v>-1019.5782814113345</v>
      </c>
      <c r="E314" s="20">
        <f ca="1">SUM($C156:E156)</f>
        <v>-1019.5782814113345</v>
      </c>
      <c r="F314" s="20">
        <f ca="1">SUM($C156:F156)</f>
        <v>-1019.5782814113345</v>
      </c>
      <c r="G314" s="20">
        <f ca="1">SUM($C156:G156)</f>
        <v>-1019.5782814113345</v>
      </c>
      <c r="H314" s="20">
        <f ca="1">SUM($C156:H156)</f>
        <v>-1019.5782814113345</v>
      </c>
      <c r="I314" s="20">
        <f ca="1">SUM($C156:I156)</f>
        <v>-1019.5782814113345</v>
      </c>
      <c r="J314" s="20">
        <f ca="1">SUM($C156:J156)</f>
        <v>-1019.5782814113345</v>
      </c>
      <c r="K314" s="20">
        <f ca="1">SUM($C156:K156)</f>
        <v>-1019.5782814113345</v>
      </c>
      <c r="L314" s="20">
        <f ca="1">SUM($C156:L156)</f>
        <v>-1019.5782814113345</v>
      </c>
      <c r="M314" s="20">
        <f ca="1">SUM($C156:M156)</f>
        <v>-1019.5782814113345</v>
      </c>
      <c r="N314" s="20">
        <f ca="1">SUM($C156:N156)</f>
        <v>-1019.5782814113345</v>
      </c>
      <c r="O314" s="20">
        <f ca="1">SUM($C156:O156)</f>
        <v>-1019.5782814113345</v>
      </c>
      <c r="P314" s="20">
        <f ca="1">SUM($C156:P156)</f>
        <v>-1019.5782814113345</v>
      </c>
      <c r="Q314" s="20">
        <f ca="1">SUM($C156:Q156)</f>
        <v>-1019.5782814113345</v>
      </c>
      <c r="R314" s="20">
        <f ca="1">SUM($C156:R156)</f>
        <v>-1019.5782814113345</v>
      </c>
      <c r="S314" s="20">
        <f ca="1">SUM($C156:S156)</f>
        <v>-1019.5782814113345</v>
      </c>
      <c r="T314" s="20">
        <f ca="1">SUM($C156:T156)</f>
        <v>-1019.5782814113345</v>
      </c>
      <c r="U314" s="20">
        <f ca="1">SUM($C156:U156)</f>
        <v>-1019.5782814113345</v>
      </c>
      <c r="V314" s="20">
        <f ca="1">SUM($C156:V156)</f>
        <v>-1019.5782814113345</v>
      </c>
      <c r="W314" s="20">
        <f ca="1">SUM($C156:W156)</f>
        <v>-1019.5782814113345</v>
      </c>
      <c r="X314" s="20">
        <f ca="1">SUM($C156:X156)</f>
        <v>-1019.5782814113345</v>
      </c>
      <c r="Y314" s="20">
        <f ca="1">SUM($C156:Y156)</f>
        <v>-1019.5782814113345</v>
      </c>
      <c r="Z314" s="20">
        <f ca="1">SUM($C156:Z156)</f>
        <v>-1019.5782814113345</v>
      </c>
      <c r="AA314" s="20">
        <f ca="1">SUM($C156:AA156)</f>
        <v>-1019.5782814113345</v>
      </c>
      <c r="AB314" s="20">
        <f ca="1">SUM($C156:AB156)</f>
        <v>-1019.5782814113345</v>
      </c>
      <c r="AC314" s="20">
        <f ca="1">SUM($C156:AC156)</f>
        <v>-1019.5782814113345</v>
      </c>
      <c r="AD314" s="20">
        <f ca="1">SUM($C156:AD156)</f>
        <v>-1019.5782814113345</v>
      </c>
      <c r="AE314" s="20">
        <f ca="1">SUM($C156:AE156)</f>
        <v>-1019.5782814113345</v>
      </c>
      <c r="AF314" s="20">
        <f ca="1">SUM($C156:AF156)</f>
        <v>-1019.5782814113345</v>
      </c>
      <c r="AG314" s="20">
        <f ca="1">SUM($C156:AG156)</f>
        <v>-1019.5782814113345</v>
      </c>
      <c r="AH314" s="20">
        <f ca="1">SUM($C156:AH156)</f>
        <v>-1019.5782814113345</v>
      </c>
      <c r="AI314" s="20">
        <f ca="1">SUM($C156:AI156)</f>
        <v>-1019.5782814113345</v>
      </c>
      <c r="AJ314" s="20">
        <f ca="1">SUM($C156:AJ156)</f>
        <v>-1019.5782814113345</v>
      </c>
      <c r="AK314" s="20">
        <f ca="1">SUM($C156:AK156)</f>
        <v>-1019.5782814113345</v>
      </c>
      <c r="AL314" s="20">
        <f ca="1">SUM($C156:AL156)</f>
        <v>-1019.5782814113345</v>
      </c>
      <c r="AM314" s="20">
        <f ca="1">SUM($C156:AM156)</f>
        <v>-1019.5782814113345</v>
      </c>
    </row>
    <row r="315" spans="1:39" x14ac:dyDescent="0.2">
      <c r="A315" s="22" t="str">
        <f>B$173</f>
        <v>Gudja</v>
      </c>
      <c r="B315" s="19"/>
      <c r="C315" s="20">
        <f ca="1">SUM($C173:C173)</f>
        <v>0</v>
      </c>
      <c r="D315" s="20">
        <f ca="1">SUM($C173:D173)</f>
        <v>0</v>
      </c>
      <c r="E315" s="20">
        <f ca="1">SUM($C173:E173)</f>
        <v>-2232.7559577452803</v>
      </c>
      <c r="F315" s="20">
        <f ca="1">SUM($C173:F173)</f>
        <v>-2232.7559577452803</v>
      </c>
      <c r="G315" s="20">
        <f ca="1">SUM($C173:G173)</f>
        <v>-2232.7559577452803</v>
      </c>
      <c r="H315" s="20">
        <f ca="1">SUM($C173:H173)</f>
        <v>-2232.7559577452803</v>
      </c>
      <c r="I315" s="20">
        <f ca="1">SUM($C173:I173)</f>
        <v>-2232.7559577452803</v>
      </c>
      <c r="J315" s="20">
        <f ca="1">SUM($C173:J173)</f>
        <v>-2232.7559577452803</v>
      </c>
      <c r="K315" s="20">
        <f ca="1">SUM($C173:K173)</f>
        <v>-2232.7559577452803</v>
      </c>
      <c r="L315" s="20">
        <f ca="1">SUM($C173:L173)</f>
        <v>-2232.7559577452803</v>
      </c>
      <c r="M315" s="20">
        <f ca="1">SUM($C173:M173)</f>
        <v>-2232.7559577452803</v>
      </c>
      <c r="N315" s="20">
        <f ca="1">SUM($C173:N173)</f>
        <v>-2232.7559577452803</v>
      </c>
      <c r="O315" s="20">
        <f ca="1">SUM($C173:O173)</f>
        <v>-2232.7559577452803</v>
      </c>
      <c r="P315" s="20">
        <f ca="1">SUM($C173:P173)</f>
        <v>-2232.7559577452803</v>
      </c>
      <c r="Q315" s="20">
        <f ca="1">SUM($C173:Q173)</f>
        <v>-2232.7559577452803</v>
      </c>
      <c r="R315" s="20">
        <f ca="1">SUM($C173:R173)</f>
        <v>-2232.7559577452803</v>
      </c>
      <c r="S315" s="20">
        <f ca="1">SUM($C173:S173)</f>
        <v>-2232.7559577452803</v>
      </c>
      <c r="T315" s="20">
        <f ca="1">SUM($C173:T173)</f>
        <v>-2232.7559577452803</v>
      </c>
      <c r="U315" s="20">
        <f ca="1">SUM($C173:U173)</f>
        <v>-2232.7559577452803</v>
      </c>
      <c r="V315" s="20">
        <f ca="1">SUM($C173:V173)</f>
        <v>-2232.7559577452803</v>
      </c>
      <c r="W315" s="20">
        <f ca="1">SUM($C173:W173)</f>
        <v>-2232.7559577452803</v>
      </c>
      <c r="X315" s="20">
        <f ca="1">SUM($C173:X173)</f>
        <v>-2232.7559577452803</v>
      </c>
      <c r="Y315" s="20">
        <f ca="1">SUM($C173:Y173)</f>
        <v>-2232.7559577452803</v>
      </c>
      <c r="Z315" s="20">
        <f ca="1">SUM($C173:Z173)</f>
        <v>-2232.7559577452803</v>
      </c>
      <c r="AA315" s="20">
        <f ca="1">SUM($C173:AA173)</f>
        <v>-2232.7559577452803</v>
      </c>
      <c r="AB315" s="20">
        <f ca="1">SUM($C173:AB173)</f>
        <v>-2232.7559577452803</v>
      </c>
      <c r="AC315" s="20">
        <f ca="1">SUM($C173:AC173)</f>
        <v>-2232.7559577452803</v>
      </c>
      <c r="AD315" s="20">
        <f ca="1">SUM($C173:AD173)</f>
        <v>-2232.7559577452803</v>
      </c>
      <c r="AE315" s="20">
        <f ca="1">SUM($C173:AE173)</f>
        <v>-2232.7559577452803</v>
      </c>
      <c r="AF315" s="20">
        <f ca="1">SUM($C173:AF173)</f>
        <v>-2232.7559577452803</v>
      </c>
      <c r="AG315" s="20">
        <f ca="1">SUM($C173:AG173)</f>
        <v>-2232.7559577452803</v>
      </c>
      <c r="AH315" s="20">
        <f ca="1">SUM($C173:AH173)</f>
        <v>-2232.7559577452803</v>
      </c>
      <c r="AI315" s="20">
        <f ca="1">SUM($C173:AI173)</f>
        <v>-2232.7559577452803</v>
      </c>
      <c r="AJ315" s="20">
        <f ca="1">SUM($C173:AJ173)</f>
        <v>-2232.7559577452803</v>
      </c>
      <c r="AK315" s="20">
        <f ca="1">SUM($C173:AK173)</f>
        <v>-2232.7559577452803</v>
      </c>
      <c r="AL315" s="20">
        <f ca="1">SUM($C173:AL173)</f>
        <v>-2232.7559577452803</v>
      </c>
      <c r="AM315" s="20">
        <f ca="1">SUM($C173:AM173)</f>
        <v>-2232.7559577452803</v>
      </c>
    </row>
    <row r="316" spans="1:39" x14ac:dyDescent="0.2">
      <c r="A316" s="22" t="str">
        <f>B$190</f>
        <v>Antiques</v>
      </c>
      <c r="B316" s="19"/>
      <c r="C316" s="20">
        <f ca="1">SUM($C190:C190)</f>
        <v>0</v>
      </c>
      <c r="D316" s="20">
        <f ca="1">SUM($C190:D190)</f>
        <v>0</v>
      </c>
      <c r="E316" s="20">
        <f ca="1">SUM($C190:E190)</f>
        <v>-347.34775010749127</v>
      </c>
      <c r="F316" s="20">
        <f ca="1">SUM($C190:F190)</f>
        <v>-347.34775010749127</v>
      </c>
      <c r="G316" s="20">
        <f ca="1">SUM($C190:G190)</f>
        <v>-347.34775010749127</v>
      </c>
      <c r="H316" s="20">
        <f ca="1">SUM($C190:H190)</f>
        <v>-347.34775010749127</v>
      </c>
      <c r="I316" s="20">
        <f ca="1">SUM($C190:I190)</f>
        <v>-347.34775010749127</v>
      </c>
      <c r="J316" s="20">
        <f ca="1">SUM($C190:J190)</f>
        <v>-347.34775010749127</v>
      </c>
      <c r="K316" s="20">
        <f ca="1">SUM($C190:K190)</f>
        <v>-347.34775010749127</v>
      </c>
      <c r="L316" s="20">
        <f ca="1">SUM($C190:L190)</f>
        <v>-347.34775010749127</v>
      </c>
      <c r="M316" s="20">
        <f ca="1">SUM($C190:M190)</f>
        <v>-347.34775010749127</v>
      </c>
      <c r="N316" s="20">
        <f ca="1">SUM($C190:N190)</f>
        <v>-347.34775010749127</v>
      </c>
      <c r="O316" s="20">
        <f ca="1">SUM($C190:O190)</f>
        <v>-347.34775010749127</v>
      </c>
      <c r="P316" s="20">
        <f ca="1">SUM($C190:P190)</f>
        <v>-347.34775010749127</v>
      </c>
      <c r="Q316" s="20">
        <f ca="1">SUM($C190:Q190)</f>
        <v>-347.34775010749127</v>
      </c>
      <c r="R316" s="20">
        <f ca="1">SUM($C190:R190)</f>
        <v>-347.34775010749127</v>
      </c>
      <c r="S316" s="20">
        <f ca="1">SUM($C190:S190)</f>
        <v>-347.34775010749127</v>
      </c>
      <c r="T316" s="20">
        <f ca="1">SUM($C190:T190)</f>
        <v>-347.34775010749127</v>
      </c>
      <c r="U316" s="20">
        <f ca="1">SUM($C190:U190)</f>
        <v>-347.34775010749127</v>
      </c>
      <c r="V316" s="20">
        <f ca="1">SUM($C190:V190)</f>
        <v>-347.34775010749127</v>
      </c>
      <c r="W316" s="20">
        <f ca="1">SUM($C190:W190)</f>
        <v>-347.34775010749127</v>
      </c>
      <c r="X316" s="20">
        <f ca="1">SUM($C190:X190)</f>
        <v>-347.34775010749127</v>
      </c>
      <c r="Y316" s="20">
        <f ca="1">SUM($C190:Y190)</f>
        <v>-347.34775010749127</v>
      </c>
      <c r="Z316" s="20">
        <f ca="1">SUM($C190:Z190)</f>
        <v>-347.34775010749127</v>
      </c>
      <c r="AA316" s="20">
        <f ca="1">SUM($C190:AA190)</f>
        <v>-347.34775010749127</v>
      </c>
      <c r="AB316" s="20">
        <f ca="1">SUM($C190:AB190)</f>
        <v>-347.34775010749127</v>
      </c>
      <c r="AC316" s="20">
        <f ca="1">SUM($C190:AC190)</f>
        <v>-347.34775010749127</v>
      </c>
      <c r="AD316" s="20">
        <f ca="1">SUM($C190:AD190)</f>
        <v>-347.34775010749127</v>
      </c>
      <c r="AE316" s="20">
        <f ca="1">SUM($C190:AE190)</f>
        <v>-347.34775010749127</v>
      </c>
      <c r="AF316" s="20">
        <f ca="1">SUM($C190:AF190)</f>
        <v>-347.34775010749127</v>
      </c>
      <c r="AG316" s="20">
        <f ca="1">SUM($C190:AG190)</f>
        <v>-347.34775010749127</v>
      </c>
      <c r="AH316" s="20">
        <f ca="1">SUM($C190:AH190)</f>
        <v>-347.34775010749127</v>
      </c>
      <c r="AI316" s="20">
        <f ca="1">SUM($C190:AI190)</f>
        <v>-347.34775010749127</v>
      </c>
      <c r="AJ316" s="20">
        <f ca="1">SUM($C190:AJ190)</f>
        <v>-347.34775010749127</v>
      </c>
      <c r="AK316" s="20">
        <f ca="1">SUM($C190:AK190)</f>
        <v>-347.34775010749127</v>
      </c>
      <c r="AL316" s="20">
        <f ca="1">SUM($C190:AL190)</f>
        <v>-347.34775010749127</v>
      </c>
      <c r="AM316" s="20">
        <f ca="1">SUM($C190:AM190)</f>
        <v>-347.34775010749127</v>
      </c>
    </row>
    <row r="317" spans="1:39" x14ac:dyDescent="0.2">
      <c r="A317" s="22" t="str">
        <f>B$207</f>
        <v>Marsa</v>
      </c>
      <c r="B317" s="19"/>
      <c r="C317" s="20">
        <f ca="1">SUM($C207:C207)</f>
        <v>0</v>
      </c>
      <c r="D317" s="20">
        <f ca="1">SUM($C207:D207)</f>
        <v>0</v>
      </c>
      <c r="E317" s="20">
        <f ca="1">SUM($C207:E207)</f>
        <v>0</v>
      </c>
      <c r="F317" s="20">
        <f ca="1">SUM($C207:F207)</f>
        <v>0</v>
      </c>
      <c r="G317" s="20">
        <f ca="1">SUM($C207:G207)</f>
        <v>0</v>
      </c>
      <c r="H317" s="20">
        <f ca="1">SUM($C207:H207)</f>
        <v>0</v>
      </c>
      <c r="I317" s="20">
        <f ca="1">SUM($C207:I207)</f>
        <v>0</v>
      </c>
      <c r="J317" s="20">
        <f ca="1">SUM($C207:J207)</f>
        <v>0</v>
      </c>
      <c r="K317" s="20">
        <f ca="1">SUM($C207:K207)</f>
        <v>0</v>
      </c>
      <c r="L317" s="20">
        <f ca="1">SUM($C207:L207)</f>
        <v>0</v>
      </c>
      <c r="M317" s="20">
        <f ca="1">SUM($C207:M207)</f>
        <v>0</v>
      </c>
      <c r="N317" s="20">
        <f ca="1">SUM($C207:N207)</f>
        <v>0</v>
      </c>
      <c r="O317" s="20">
        <f ca="1">SUM($C207:O207)</f>
        <v>0</v>
      </c>
      <c r="P317" s="20">
        <f ca="1">SUM($C207:P207)</f>
        <v>0</v>
      </c>
      <c r="Q317" s="20">
        <f ca="1">SUM($C207:Q207)</f>
        <v>0</v>
      </c>
      <c r="R317" s="20">
        <f ca="1">SUM($C207:R207)</f>
        <v>0</v>
      </c>
      <c r="S317" s="20">
        <f ca="1">SUM($C207:S207)</f>
        <v>0</v>
      </c>
      <c r="T317" s="20">
        <f ca="1">SUM($C207:T207)</f>
        <v>0</v>
      </c>
      <c r="U317" s="20">
        <f ca="1">SUM($C207:U207)</f>
        <v>0</v>
      </c>
      <c r="V317" s="20">
        <f ca="1">SUM($C207:V207)</f>
        <v>0</v>
      </c>
      <c r="W317" s="20">
        <f ca="1">SUM($C207:W207)</f>
        <v>0</v>
      </c>
      <c r="X317" s="20">
        <f ca="1">SUM($C207:X207)</f>
        <v>0</v>
      </c>
      <c r="Y317" s="20">
        <f ca="1">SUM($C207:Y207)</f>
        <v>0</v>
      </c>
      <c r="Z317" s="20">
        <f ca="1">SUM($C207:Z207)</f>
        <v>0</v>
      </c>
      <c r="AA317" s="20">
        <f ca="1">SUM($C207:AA207)</f>
        <v>0</v>
      </c>
      <c r="AB317" s="20">
        <f ca="1">SUM($C207:AB207)</f>
        <v>0</v>
      </c>
      <c r="AC317" s="20">
        <f ca="1">SUM($C207:AC207)</f>
        <v>0</v>
      </c>
      <c r="AD317" s="20">
        <f ca="1">SUM($C207:AD207)</f>
        <v>0</v>
      </c>
      <c r="AE317" s="20">
        <f ca="1">SUM($C207:AE207)</f>
        <v>0</v>
      </c>
      <c r="AF317" s="20">
        <f ca="1">SUM($C207:AF207)</f>
        <v>0</v>
      </c>
      <c r="AG317" s="20">
        <f ca="1">SUM($C207:AG207)</f>
        <v>0</v>
      </c>
      <c r="AH317" s="20">
        <f ca="1">SUM($C207:AH207)</f>
        <v>0</v>
      </c>
      <c r="AI317" s="20">
        <f ca="1">SUM($C207:AI207)</f>
        <v>0</v>
      </c>
      <c r="AJ317" s="20">
        <f ca="1">SUM($C207:AJ207)</f>
        <v>0</v>
      </c>
      <c r="AK317" s="20">
        <f ca="1">SUM($C207:AK207)</f>
        <v>0</v>
      </c>
      <c r="AL317" s="20">
        <f ca="1">SUM($C207:AL207)</f>
        <v>0</v>
      </c>
      <c r="AM317" s="20">
        <f ca="1">SUM($C207:AM207)</f>
        <v>0</v>
      </c>
    </row>
    <row r="318" spans="1:39" x14ac:dyDescent="0.2">
      <c r="A318" s="22" t="str">
        <f>B$224</f>
        <v>Gzira</v>
      </c>
      <c r="B318" s="19"/>
      <c r="C318" s="20">
        <f ca="1">SUM($C224:C224)</f>
        <v>0</v>
      </c>
      <c r="D318" s="20">
        <f ca="1">SUM($C224:D224)</f>
        <v>0</v>
      </c>
      <c r="E318" s="20">
        <f ca="1">SUM($C224:E224)</f>
        <v>0</v>
      </c>
      <c r="F318" s="20">
        <f ca="1">SUM($C224:F224)</f>
        <v>0</v>
      </c>
      <c r="G318" s="20">
        <f ca="1">SUM($C224:G224)</f>
        <v>0</v>
      </c>
      <c r="H318" s="20">
        <f ca="1">SUM($C224:H224)</f>
        <v>0</v>
      </c>
      <c r="I318" s="20">
        <f ca="1">SUM($C224:I224)</f>
        <v>0</v>
      </c>
      <c r="J318" s="20">
        <f ca="1">SUM($C224:J224)</f>
        <v>0</v>
      </c>
      <c r="K318" s="20">
        <f ca="1">SUM($C224:K224)</f>
        <v>0</v>
      </c>
      <c r="L318" s="20">
        <f ca="1">SUM($C224:L224)</f>
        <v>0</v>
      </c>
      <c r="M318" s="20">
        <f ca="1">SUM($C224:M224)</f>
        <v>0</v>
      </c>
      <c r="N318" s="20">
        <f ca="1">SUM($C224:N224)</f>
        <v>0</v>
      </c>
      <c r="O318" s="20">
        <f ca="1">SUM($C224:O224)</f>
        <v>0</v>
      </c>
      <c r="P318" s="20">
        <f ca="1">SUM($C224:P224)</f>
        <v>0</v>
      </c>
      <c r="Q318" s="20">
        <f ca="1">SUM($C224:Q224)</f>
        <v>0</v>
      </c>
      <c r="R318" s="20">
        <f ca="1">SUM($C224:R224)</f>
        <v>0</v>
      </c>
      <c r="S318" s="20">
        <f ca="1">SUM($C224:S224)</f>
        <v>0</v>
      </c>
      <c r="T318" s="20">
        <f ca="1">SUM($C224:T224)</f>
        <v>0</v>
      </c>
      <c r="U318" s="20">
        <f ca="1">SUM($C224:U224)</f>
        <v>0</v>
      </c>
      <c r="V318" s="20">
        <f ca="1">SUM($C224:V224)</f>
        <v>0</v>
      </c>
      <c r="W318" s="20">
        <f ca="1">SUM($C224:W224)</f>
        <v>0</v>
      </c>
      <c r="X318" s="20">
        <f ca="1">SUM($C224:X224)</f>
        <v>0</v>
      </c>
      <c r="Y318" s="20">
        <f ca="1">SUM($C224:Y224)</f>
        <v>0</v>
      </c>
      <c r="Z318" s="20">
        <f ca="1">SUM($C224:Z224)</f>
        <v>0</v>
      </c>
      <c r="AA318" s="20">
        <f ca="1">SUM($C224:AA224)</f>
        <v>0</v>
      </c>
      <c r="AB318" s="20">
        <f ca="1">SUM($C224:AB224)</f>
        <v>0</v>
      </c>
      <c r="AC318" s="20">
        <f ca="1">SUM($C224:AC224)</f>
        <v>0</v>
      </c>
      <c r="AD318" s="20">
        <f ca="1">SUM($C224:AD224)</f>
        <v>0</v>
      </c>
      <c r="AE318" s="20">
        <f ca="1">SUM($C224:AE224)</f>
        <v>0</v>
      </c>
      <c r="AF318" s="20">
        <f ca="1">SUM($C224:AF224)</f>
        <v>0</v>
      </c>
      <c r="AG318" s="20">
        <f ca="1">SUM($C224:AG224)</f>
        <v>0</v>
      </c>
      <c r="AH318" s="20">
        <f ca="1">SUM($C224:AH224)</f>
        <v>0</v>
      </c>
      <c r="AI318" s="20">
        <f ca="1">SUM($C224:AI224)</f>
        <v>0</v>
      </c>
      <c r="AJ318" s="20">
        <f ca="1">SUM($C224:AJ224)</f>
        <v>0</v>
      </c>
      <c r="AK318" s="20">
        <f ca="1">SUM($C224:AK224)</f>
        <v>0</v>
      </c>
      <c r="AL318" s="20">
        <f ca="1">SUM($C224:AL224)</f>
        <v>0</v>
      </c>
      <c r="AM318" s="20">
        <f ca="1">SUM($C224:AM224)</f>
        <v>0</v>
      </c>
    </row>
    <row r="319" spans="1:39" x14ac:dyDescent="0.2">
      <c r="A319" s="22" t="str">
        <f>B$241</f>
        <v>Boat</v>
      </c>
      <c r="B319" s="19"/>
      <c r="C319" s="20">
        <f ca="1">SUM($C241:C241)</f>
        <v>0</v>
      </c>
      <c r="D319" s="20">
        <f ca="1">SUM($C241:D241)</f>
        <v>0</v>
      </c>
      <c r="E319" s="20">
        <f ca="1">SUM($C241:E241)</f>
        <v>0</v>
      </c>
      <c r="F319" s="20">
        <f ca="1">SUM($C241:F241)</f>
        <v>0</v>
      </c>
      <c r="G319" s="20">
        <f ca="1">SUM($C241:G241)</f>
        <v>0</v>
      </c>
      <c r="H319" s="20">
        <f ca="1">SUM($C241:H241)</f>
        <v>0</v>
      </c>
      <c r="I319" s="20">
        <f ca="1">SUM($C241:I241)</f>
        <v>0</v>
      </c>
      <c r="J319" s="20">
        <f ca="1">SUM($C241:J241)</f>
        <v>0</v>
      </c>
      <c r="K319" s="20">
        <f ca="1">SUM($C241:K241)</f>
        <v>0</v>
      </c>
      <c r="L319" s="20">
        <f ca="1">SUM($C241:L241)</f>
        <v>0</v>
      </c>
      <c r="M319" s="20">
        <f ca="1">SUM($C241:M241)</f>
        <v>0</v>
      </c>
      <c r="N319" s="20">
        <f ca="1">SUM($C241:N241)</f>
        <v>0</v>
      </c>
      <c r="O319" s="20">
        <f ca="1">SUM($C241:O241)</f>
        <v>0</v>
      </c>
      <c r="P319" s="20">
        <f ca="1">SUM($C241:P241)</f>
        <v>0</v>
      </c>
      <c r="Q319" s="20">
        <f ca="1">SUM($C241:Q241)</f>
        <v>0</v>
      </c>
      <c r="R319" s="20">
        <f ca="1">SUM($C241:R241)</f>
        <v>0</v>
      </c>
      <c r="S319" s="20">
        <f ca="1">SUM($C241:S241)</f>
        <v>0</v>
      </c>
      <c r="T319" s="20">
        <f ca="1">SUM($C241:T241)</f>
        <v>0</v>
      </c>
      <c r="U319" s="20">
        <f ca="1">SUM($C241:U241)</f>
        <v>0</v>
      </c>
      <c r="V319" s="20">
        <f ca="1">SUM($C241:V241)</f>
        <v>0</v>
      </c>
      <c r="W319" s="20">
        <f ca="1">SUM($C241:W241)</f>
        <v>0</v>
      </c>
      <c r="X319" s="20">
        <f ca="1">SUM($C241:X241)</f>
        <v>0</v>
      </c>
      <c r="Y319" s="20">
        <f ca="1">SUM($C241:Y241)</f>
        <v>0</v>
      </c>
      <c r="Z319" s="20">
        <f ca="1">SUM($C241:Z241)</f>
        <v>0</v>
      </c>
      <c r="AA319" s="20">
        <f ca="1">SUM($C241:AA241)</f>
        <v>0</v>
      </c>
      <c r="AB319" s="20">
        <f ca="1">SUM($C241:AB241)</f>
        <v>0</v>
      </c>
      <c r="AC319" s="20">
        <f ca="1">SUM($C241:AC241)</f>
        <v>0</v>
      </c>
      <c r="AD319" s="20">
        <f ca="1">SUM($C241:AD241)</f>
        <v>0</v>
      </c>
      <c r="AE319" s="20">
        <f ca="1">SUM($C241:AE241)</f>
        <v>0</v>
      </c>
      <c r="AF319" s="20">
        <f ca="1">SUM($C241:AF241)</f>
        <v>0</v>
      </c>
      <c r="AG319" s="20">
        <f ca="1">SUM($C241:AG241)</f>
        <v>0</v>
      </c>
      <c r="AH319" s="20">
        <f ca="1">SUM($C241:AH241)</f>
        <v>0</v>
      </c>
      <c r="AI319" s="20">
        <f ca="1">SUM($C241:AI241)</f>
        <v>0</v>
      </c>
      <c r="AJ319" s="20">
        <f ca="1">SUM($C241:AJ241)</f>
        <v>0</v>
      </c>
      <c r="AK319" s="20">
        <f ca="1">SUM($C241:AK241)</f>
        <v>0</v>
      </c>
      <c r="AL319" s="20">
        <f ca="1">SUM($C241:AL241)</f>
        <v>0</v>
      </c>
      <c r="AM319" s="20">
        <f ca="1">SUM($C241:AM241)</f>
        <v>0</v>
      </c>
    </row>
    <row r="320" spans="1:39" x14ac:dyDescent="0.2">
      <c r="A320" s="22" t="str">
        <f>B$258</f>
        <v>Qormi</v>
      </c>
      <c r="B320" s="19"/>
      <c r="C320" s="20">
        <f ca="1">SUM($C258:C258)</f>
        <v>0</v>
      </c>
      <c r="D320" s="20">
        <f ca="1">SUM($C258:D258)</f>
        <v>0</v>
      </c>
      <c r="E320" s="20">
        <f ca="1">SUM($C258:E258)</f>
        <v>0</v>
      </c>
      <c r="F320" s="20">
        <f ca="1">SUM($C258:F258)</f>
        <v>0</v>
      </c>
      <c r="G320" s="20">
        <f ca="1">SUM($C258:G258)</f>
        <v>0</v>
      </c>
      <c r="H320" s="20">
        <f ca="1">SUM($C258:H258)</f>
        <v>0</v>
      </c>
      <c r="I320" s="20">
        <f ca="1">SUM($C258:I258)</f>
        <v>0</v>
      </c>
      <c r="J320" s="20">
        <f ca="1">SUM($C258:J258)</f>
        <v>0</v>
      </c>
      <c r="K320" s="20">
        <f ca="1">SUM($C258:K258)</f>
        <v>0</v>
      </c>
      <c r="L320" s="20">
        <f ca="1">SUM($C258:L258)</f>
        <v>0</v>
      </c>
      <c r="M320" s="20">
        <f ca="1">SUM($C258:M258)</f>
        <v>0</v>
      </c>
      <c r="N320" s="20">
        <f ca="1">SUM($C258:N258)</f>
        <v>0</v>
      </c>
      <c r="O320" s="20">
        <f ca="1">SUM($C258:O258)</f>
        <v>0</v>
      </c>
      <c r="P320" s="20">
        <f ca="1">SUM($C258:P258)</f>
        <v>0</v>
      </c>
      <c r="Q320" s="20">
        <f ca="1">SUM($C258:Q258)</f>
        <v>0</v>
      </c>
      <c r="R320" s="20">
        <f ca="1">SUM($C258:R258)</f>
        <v>0</v>
      </c>
      <c r="S320" s="20">
        <f ca="1">SUM($C258:S258)</f>
        <v>0</v>
      </c>
      <c r="T320" s="20">
        <f ca="1">SUM($C258:T258)</f>
        <v>0</v>
      </c>
      <c r="U320" s="20">
        <f ca="1">SUM($C258:U258)</f>
        <v>0</v>
      </c>
      <c r="V320" s="20">
        <f ca="1">SUM($C258:V258)</f>
        <v>0</v>
      </c>
      <c r="W320" s="20">
        <f ca="1">SUM($C258:W258)</f>
        <v>0</v>
      </c>
      <c r="X320" s="20">
        <f ca="1">SUM($C258:X258)</f>
        <v>0</v>
      </c>
      <c r="Y320" s="20">
        <f ca="1">SUM($C258:Y258)</f>
        <v>0</v>
      </c>
      <c r="Z320" s="20">
        <f ca="1">SUM($C258:Z258)</f>
        <v>0</v>
      </c>
      <c r="AA320" s="20">
        <f ca="1">SUM($C258:AA258)</f>
        <v>0</v>
      </c>
      <c r="AB320" s="20">
        <f ca="1">SUM($C258:AB258)</f>
        <v>0</v>
      </c>
      <c r="AC320" s="20">
        <f ca="1">SUM($C258:AC258)</f>
        <v>0</v>
      </c>
      <c r="AD320" s="20">
        <f ca="1">SUM($C258:AD258)</f>
        <v>0</v>
      </c>
      <c r="AE320" s="20">
        <f ca="1">SUM($C258:AE258)</f>
        <v>0</v>
      </c>
      <c r="AF320" s="20">
        <f ca="1">SUM($C258:AF258)</f>
        <v>0</v>
      </c>
      <c r="AG320" s="20">
        <f ca="1">SUM($C258:AG258)</f>
        <v>0</v>
      </c>
      <c r="AH320" s="20">
        <f ca="1">SUM($C258:AH258)</f>
        <v>0</v>
      </c>
      <c r="AI320" s="20">
        <f ca="1">SUM($C258:AI258)</f>
        <v>0</v>
      </c>
      <c r="AJ320" s="20">
        <f ca="1">SUM($C258:AJ258)</f>
        <v>0</v>
      </c>
      <c r="AK320" s="20">
        <f ca="1">SUM($C258:AK258)</f>
        <v>0</v>
      </c>
      <c r="AL320" s="20">
        <f ca="1">SUM($C258:AL258)</f>
        <v>0</v>
      </c>
      <c r="AM320" s="20">
        <f ca="1">SUM($C258:AM258)</f>
        <v>0</v>
      </c>
    </row>
    <row r="321" spans="1:39" x14ac:dyDescent="0.2">
      <c r="A321" s="22" t="str">
        <f>B$275</f>
        <v>Sliema</v>
      </c>
      <c r="B321" s="19"/>
      <c r="C321" s="20">
        <f ca="1">SUM($C275:C275)</f>
        <v>0</v>
      </c>
      <c r="D321" s="20">
        <f ca="1">SUM($C275:D275)</f>
        <v>0</v>
      </c>
      <c r="E321" s="20">
        <f ca="1">SUM($C275:E275)</f>
        <v>0</v>
      </c>
      <c r="F321" s="20">
        <f ca="1">SUM($C275:F275)</f>
        <v>0</v>
      </c>
      <c r="G321" s="20">
        <f ca="1">SUM($C275:G275)</f>
        <v>0</v>
      </c>
      <c r="H321" s="20">
        <f ca="1">SUM($C275:H275)</f>
        <v>0</v>
      </c>
      <c r="I321" s="20">
        <f ca="1">SUM($C275:I275)</f>
        <v>0</v>
      </c>
      <c r="J321" s="20">
        <f ca="1">SUM($C275:J275)</f>
        <v>0</v>
      </c>
      <c r="K321" s="20">
        <f ca="1">SUM($C275:K275)</f>
        <v>0</v>
      </c>
      <c r="L321" s="20">
        <f ca="1">SUM($C275:L275)</f>
        <v>0</v>
      </c>
      <c r="M321" s="20">
        <f ca="1">SUM($C275:M275)</f>
        <v>0</v>
      </c>
      <c r="N321" s="20">
        <f ca="1">SUM($C275:N275)</f>
        <v>0</v>
      </c>
      <c r="O321" s="20">
        <f ca="1">SUM($C275:O275)</f>
        <v>0</v>
      </c>
      <c r="P321" s="20">
        <f ca="1">SUM($C275:P275)</f>
        <v>0</v>
      </c>
      <c r="Q321" s="20">
        <f ca="1">SUM($C275:Q275)</f>
        <v>0</v>
      </c>
      <c r="R321" s="20">
        <f ca="1">SUM($C275:R275)</f>
        <v>0</v>
      </c>
      <c r="S321" s="20">
        <f ca="1">SUM($C275:S275)</f>
        <v>0</v>
      </c>
      <c r="T321" s="20">
        <f ca="1">SUM($C275:T275)</f>
        <v>0</v>
      </c>
      <c r="U321" s="20">
        <f ca="1">SUM($C275:U275)</f>
        <v>0</v>
      </c>
      <c r="V321" s="20">
        <f ca="1">SUM($C275:V275)</f>
        <v>0</v>
      </c>
      <c r="W321" s="20">
        <f ca="1">SUM($C275:W275)</f>
        <v>0</v>
      </c>
      <c r="X321" s="20">
        <f ca="1">SUM($C275:X275)</f>
        <v>0</v>
      </c>
      <c r="Y321" s="20">
        <f ca="1">SUM($C275:Y275)</f>
        <v>0</v>
      </c>
      <c r="Z321" s="20">
        <f ca="1">SUM($C275:Z275)</f>
        <v>0</v>
      </c>
      <c r="AA321" s="20">
        <f ca="1">SUM($C275:AA275)</f>
        <v>0</v>
      </c>
      <c r="AB321" s="20">
        <f ca="1">SUM($C275:AB275)</f>
        <v>0</v>
      </c>
      <c r="AC321" s="20">
        <f ca="1">SUM($C275:AC275)</f>
        <v>0</v>
      </c>
      <c r="AD321" s="20">
        <f ca="1">SUM($C275:AD275)</f>
        <v>0</v>
      </c>
      <c r="AE321" s="20">
        <f ca="1">SUM($C275:AE275)</f>
        <v>0</v>
      </c>
      <c r="AF321" s="20">
        <f ca="1">SUM($C275:AF275)</f>
        <v>0</v>
      </c>
      <c r="AG321" s="20">
        <f ca="1">SUM($C275:AG275)</f>
        <v>0</v>
      </c>
      <c r="AH321" s="20">
        <f ca="1">SUM($C275:AH275)</f>
        <v>0</v>
      </c>
      <c r="AI321" s="20">
        <f ca="1">SUM($C275:AI275)</f>
        <v>0</v>
      </c>
      <c r="AJ321" s="20">
        <f ca="1">SUM($C275:AJ275)</f>
        <v>0</v>
      </c>
      <c r="AK321" s="20">
        <f ca="1">SUM($C275:AK275)</f>
        <v>0</v>
      </c>
      <c r="AL321" s="20">
        <f ca="1">SUM($C275:AL275)</f>
        <v>0</v>
      </c>
      <c r="AM321" s="20">
        <f ca="1">SUM($C275:AM275)</f>
        <v>0</v>
      </c>
    </row>
    <row r="322" spans="1:39" x14ac:dyDescent="0.2">
      <c r="A322" s="21"/>
      <c r="B322" s="19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</row>
    <row r="323" spans="1:39" x14ac:dyDescent="0.2">
      <c r="A323" s="3" t="s">
        <v>204</v>
      </c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</row>
    <row r="324" spans="1:39" x14ac:dyDescent="0.2">
      <c r="A324" s="16" t="str">
        <f>A300</f>
        <v>Sliema</v>
      </c>
      <c r="C324" s="7">
        <f t="shared" ref="C324:AM330" ca="1" si="167">IFERROR(IF(VLOOKUP($A324,$311:$321,C$1+2,FALSE)=0,C85,0),C85)</f>
        <v>-46591.052384870025</v>
      </c>
      <c r="D324" s="7">
        <f t="shared" ca="1" si="167"/>
        <v>-41924.97244406183</v>
      </c>
      <c r="E324" s="7">
        <f t="shared" ca="1" si="167"/>
        <v>-37116.969216818994</v>
      </c>
      <c r="F324" s="7">
        <f t="shared" ca="1" si="167"/>
        <v>-32162.725970576364</v>
      </c>
      <c r="G324" s="7">
        <f t="shared" ca="1" si="167"/>
        <v>-27057.79467521701</v>
      </c>
      <c r="H324" s="7">
        <f t="shared" ca="1" si="167"/>
        <v>-21797.592009531552</v>
      </c>
      <c r="I324" s="7">
        <f t="shared" ca="1" si="167"/>
        <v>-16377.395246210348</v>
      </c>
      <c r="J324" s="7">
        <f t="shared" ca="1" si="167"/>
        <v>-10792.33801167312</v>
      </c>
      <c r="K324" s="7">
        <f t="shared" ca="1" si="167"/>
        <v>-5037.4059169308748</v>
      </c>
      <c r="L324" s="7">
        <f t="shared" ca="1" si="167"/>
        <v>0</v>
      </c>
      <c r="M324" s="7">
        <f t="shared" ca="1" si="167"/>
        <v>0</v>
      </c>
      <c r="N324" s="7">
        <f t="shared" ca="1" si="167"/>
        <v>0</v>
      </c>
      <c r="O324" s="7">
        <f t="shared" ca="1" si="167"/>
        <v>0</v>
      </c>
      <c r="P324" s="7">
        <f t="shared" ca="1" si="167"/>
        <v>0</v>
      </c>
      <c r="Q324" s="7">
        <f t="shared" ca="1" si="167"/>
        <v>0</v>
      </c>
      <c r="R324" s="7">
        <f t="shared" ca="1" si="167"/>
        <v>0</v>
      </c>
      <c r="S324" s="7">
        <f t="shared" ca="1" si="167"/>
        <v>0</v>
      </c>
      <c r="T324" s="7">
        <f t="shared" ca="1" si="167"/>
        <v>0</v>
      </c>
      <c r="U324" s="7">
        <f t="shared" ca="1" si="167"/>
        <v>0</v>
      </c>
      <c r="V324" s="7">
        <f t="shared" ca="1" si="167"/>
        <v>0</v>
      </c>
      <c r="W324" s="7">
        <f t="shared" ca="1" si="167"/>
        <v>0</v>
      </c>
      <c r="X324" s="7">
        <f t="shared" ca="1" si="167"/>
        <v>0</v>
      </c>
      <c r="Y324" s="7">
        <f t="shared" ca="1" si="167"/>
        <v>0</v>
      </c>
      <c r="Z324" s="7">
        <f t="shared" ca="1" si="167"/>
        <v>0</v>
      </c>
      <c r="AA324" s="7">
        <f t="shared" ca="1" si="167"/>
        <v>0</v>
      </c>
      <c r="AB324" s="7">
        <f t="shared" ca="1" si="167"/>
        <v>0</v>
      </c>
      <c r="AC324" s="7">
        <f t="shared" ca="1" si="167"/>
        <v>0</v>
      </c>
      <c r="AD324" s="7">
        <f t="shared" ca="1" si="167"/>
        <v>0</v>
      </c>
      <c r="AE324" s="7">
        <f t="shared" ca="1" si="167"/>
        <v>0</v>
      </c>
      <c r="AF324" s="7">
        <f t="shared" ca="1" si="167"/>
        <v>0</v>
      </c>
      <c r="AG324" s="7">
        <f t="shared" ca="1" si="167"/>
        <v>0</v>
      </c>
      <c r="AH324" s="7">
        <f t="shared" ca="1" si="167"/>
        <v>0</v>
      </c>
      <c r="AI324" s="7">
        <f t="shared" ca="1" si="167"/>
        <v>0</v>
      </c>
      <c r="AJ324" s="7">
        <f t="shared" ca="1" si="167"/>
        <v>0</v>
      </c>
      <c r="AK324" s="7">
        <f t="shared" ca="1" si="167"/>
        <v>0</v>
      </c>
      <c r="AL324" s="7">
        <f t="shared" ca="1" si="167"/>
        <v>0</v>
      </c>
      <c r="AM324" s="7">
        <f t="shared" ca="1" si="167"/>
        <v>0</v>
      </c>
    </row>
    <row r="325" spans="1:39" x14ac:dyDescent="0.2">
      <c r="A325" s="16" t="str">
        <f t="shared" ref="A325:A333" si="168">A301</f>
        <v>Gzira</v>
      </c>
      <c r="C325" s="7">
        <f t="shared" ca="1" si="167"/>
        <v>-6816.3065303051853</v>
      </c>
      <c r="D325" s="7">
        <f t="shared" ca="1" si="167"/>
        <v>-4531.7666039667383</v>
      </c>
      <c r="E325" s="7">
        <f t="shared" ca="1" si="167"/>
        <v>-2201.1147111864902</v>
      </c>
      <c r="F325" s="7">
        <f t="shared" ca="1" si="167"/>
        <v>0</v>
      </c>
      <c r="G325" s="7">
        <f t="shared" ca="1" si="167"/>
        <v>0</v>
      </c>
      <c r="H325" s="7">
        <f t="shared" ca="1" si="167"/>
        <v>0</v>
      </c>
      <c r="I325" s="7">
        <f t="shared" ca="1" si="167"/>
        <v>0</v>
      </c>
      <c r="J325" s="7">
        <f t="shared" ca="1" si="167"/>
        <v>0</v>
      </c>
      <c r="K325" s="7">
        <f t="shared" ca="1" si="167"/>
        <v>0</v>
      </c>
      <c r="L325" s="7">
        <f t="shared" ca="1" si="167"/>
        <v>0</v>
      </c>
      <c r="M325" s="7">
        <f t="shared" ca="1" si="167"/>
        <v>0</v>
      </c>
      <c r="N325" s="7">
        <f t="shared" ca="1" si="167"/>
        <v>0</v>
      </c>
      <c r="O325" s="7">
        <f t="shared" ca="1" si="167"/>
        <v>0</v>
      </c>
      <c r="P325" s="7">
        <f t="shared" ca="1" si="167"/>
        <v>0</v>
      </c>
      <c r="Q325" s="7">
        <f t="shared" ca="1" si="167"/>
        <v>0</v>
      </c>
      <c r="R325" s="7">
        <f t="shared" ca="1" si="167"/>
        <v>0</v>
      </c>
      <c r="S325" s="7">
        <f t="shared" ca="1" si="167"/>
        <v>0</v>
      </c>
      <c r="T325" s="7">
        <f t="shared" ca="1" si="167"/>
        <v>0</v>
      </c>
      <c r="U325" s="7">
        <f t="shared" ca="1" si="167"/>
        <v>0</v>
      </c>
      <c r="V325" s="7">
        <f t="shared" ca="1" si="167"/>
        <v>0</v>
      </c>
      <c r="W325" s="7">
        <f t="shared" ca="1" si="167"/>
        <v>0</v>
      </c>
      <c r="X325" s="7">
        <f t="shared" ca="1" si="167"/>
        <v>0</v>
      </c>
      <c r="Y325" s="7">
        <f t="shared" ca="1" si="167"/>
        <v>0</v>
      </c>
      <c r="Z325" s="7">
        <f t="shared" ca="1" si="167"/>
        <v>0</v>
      </c>
      <c r="AA325" s="7">
        <f t="shared" ca="1" si="167"/>
        <v>0</v>
      </c>
      <c r="AB325" s="7">
        <f t="shared" ca="1" si="167"/>
        <v>0</v>
      </c>
      <c r="AC325" s="7">
        <f t="shared" ca="1" si="167"/>
        <v>0</v>
      </c>
      <c r="AD325" s="7">
        <f t="shared" ca="1" si="167"/>
        <v>0</v>
      </c>
      <c r="AE325" s="7">
        <f t="shared" ca="1" si="167"/>
        <v>0</v>
      </c>
      <c r="AF325" s="7">
        <f t="shared" ca="1" si="167"/>
        <v>0</v>
      </c>
      <c r="AG325" s="7">
        <f t="shared" ca="1" si="167"/>
        <v>0</v>
      </c>
      <c r="AH325" s="7">
        <f t="shared" ca="1" si="167"/>
        <v>0</v>
      </c>
      <c r="AI325" s="7">
        <f t="shared" ca="1" si="167"/>
        <v>0</v>
      </c>
      <c r="AJ325" s="7">
        <f t="shared" ca="1" si="167"/>
        <v>0</v>
      </c>
      <c r="AK325" s="7">
        <f t="shared" ca="1" si="167"/>
        <v>0</v>
      </c>
      <c r="AL325" s="7">
        <f t="shared" ca="1" si="167"/>
        <v>0</v>
      </c>
      <c r="AM325" s="7">
        <f t="shared" ca="1" si="167"/>
        <v>0</v>
      </c>
    </row>
    <row r="326" spans="1:39" x14ac:dyDescent="0.2">
      <c r="A326" s="16" t="str">
        <f t="shared" si="168"/>
        <v>Qormi</v>
      </c>
      <c r="C326" s="7">
        <f t="shared" ca="1" si="167"/>
        <v>-13284.099846375037</v>
      </c>
      <c r="D326" s="7">
        <f t="shared" ca="1" si="167"/>
        <v>-10894.02573326202</v>
      </c>
      <c r="E326" s="7">
        <f t="shared" ca="1" si="167"/>
        <v>-8381.6708924441427</v>
      </c>
      <c r="F326" s="7">
        <f t="shared" ca="1" si="167"/>
        <v>-5740.779209817676</v>
      </c>
      <c r="G326" s="7">
        <f t="shared" ca="1" si="167"/>
        <v>-2964.7744966079426</v>
      </c>
      <c r="H326" s="7">
        <f t="shared" ca="1" si="167"/>
        <v>-46.744113741759065</v>
      </c>
      <c r="I326" s="7">
        <f t="shared" ca="1" si="167"/>
        <v>0</v>
      </c>
      <c r="J326" s="7">
        <f t="shared" ca="1" si="167"/>
        <v>0</v>
      </c>
      <c r="K326" s="7">
        <f t="shared" ca="1" si="167"/>
        <v>0</v>
      </c>
      <c r="L326" s="7">
        <f t="shared" ca="1" si="167"/>
        <v>0</v>
      </c>
      <c r="M326" s="7">
        <f t="shared" ca="1" si="167"/>
        <v>0</v>
      </c>
      <c r="N326" s="7">
        <f t="shared" ca="1" si="167"/>
        <v>0</v>
      </c>
      <c r="O326" s="7">
        <f t="shared" ca="1" si="167"/>
        <v>0</v>
      </c>
      <c r="P326" s="7">
        <f t="shared" ca="1" si="167"/>
        <v>0</v>
      </c>
      <c r="Q326" s="7">
        <f t="shared" ca="1" si="167"/>
        <v>0</v>
      </c>
      <c r="R326" s="7">
        <f t="shared" ca="1" si="167"/>
        <v>0</v>
      </c>
      <c r="S326" s="7">
        <f t="shared" ca="1" si="167"/>
        <v>0</v>
      </c>
      <c r="T326" s="7">
        <f t="shared" ca="1" si="167"/>
        <v>0</v>
      </c>
      <c r="U326" s="7">
        <f t="shared" ca="1" si="167"/>
        <v>0</v>
      </c>
      <c r="V326" s="7">
        <f t="shared" ca="1" si="167"/>
        <v>0</v>
      </c>
      <c r="W326" s="7">
        <f t="shared" ca="1" si="167"/>
        <v>0</v>
      </c>
      <c r="X326" s="7">
        <f t="shared" ca="1" si="167"/>
        <v>0</v>
      </c>
      <c r="Y326" s="7">
        <f t="shared" ca="1" si="167"/>
        <v>0</v>
      </c>
      <c r="Z326" s="7">
        <f t="shared" ca="1" si="167"/>
        <v>0</v>
      </c>
      <c r="AA326" s="7">
        <f t="shared" ca="1" si="167"/>
        <v>0</v>
      </c>
      <c r="AB326" s="7">
        <f t="shared" ca="1" si="167"/>
        <v>0</v>
      </c>
      <c r="AC326" s="7">
        <f t="shared" ca="1" si="167"/>
        <v>0</v>
      </c>
      <c r="AD326" s="7">
        <f t="shared" ca="1" si="167"/>
        <v>0</v>
      </c>
      <c r="AE326" s="7">
        <f t="shared" ca="1" si="167"/>
        <v>0</v>
      </c>
      <c r="AF326" s="7">
        <f t="shared" ca="1" si="167"/>
        <v>0</v>
      </c>
      <c r="AG326" s="7">
        <f t="shared" ca="1" si="167"/>
        <v>0</v>
      </c>
      <c r="AH326" s="7">
        <f t="shared" ca="1" si="167"/>
        <v>0</v>
      </c>
      <c r="AI326" s="7">
        <f t="shared" ca="1" si="167"/>
        <v>0</v>
      </c>
      <c r="AJ326" s="7">
        <f t="shared" ca="1" si="167"/>
        <v>0</v>
      </c>
      <c r="AK326" s="7">
        <f t="shared" ca="1" si="167"/>
        <v>0</v>
      </c>
      <c r="AL326" s="7">
        <f t="shared" ca="1" si="167"/>
        <v>0</v>
      </c>
      <c r="AM326" s="7">
        <f t="shared" ca="1" si="167"/>
        <v>0</v>
      </c>
    </row>
    <row r="327" spans="1:39" x14ac:dyDescent="0.2">
      <c r="A327" s="16" t="str">
        <f t="shared" si="168"/>
        <v>Gudja</v>
      </c>
      <c r="C327" s="7">
        <f t="shared" ca="1" si="167"/>
        <v>-4025.8511111463736</v>
      </c>
      <c r="D327" s="7">
        <f t="shared" ca="1" si="167"/>
        <v>-3138.2612491824134</v>
      </c>
      <c r="E327" s="7">
        <f t="shared" ca="1" si="167"/>
        <v>0</v>
      </c>
      <c r="F327" s="7">
        <f t="shared" ca="1" si="167"/>
        <v>0</v>
      </c>
      <c r="G327" s="7">
        <f t="shared" ca="1" si="167"/>
        <v>0</v>
      </c>
      <c r="H327" s="7">
        <f t="shared" ca="1" si="167"/>
        <v>0</v>
      </c>
      <c r="I327" s="7">
        <f t="shared" ca="1" si="167"/>
        <v>0</v>
      </c>
      <c r="J327" s="7">
        <f t="shared" ca="1" si="167"/>
        <v>0</v>
      </c>
      <c r="K327" s="7">
        <f t="shared" ca="1" si="167"/>
        <v>0</v>
      </c>
      <c r="L327" s="7">
        <f t="shared" ca="1" si="167"/>
        <v>0</v>
      </c>
      <c r="M327" s="7">
        <f t="shared" ca="1" si="167"/>
        <v>0</v>
      </c>
      <c r="N327" s="7">
        <f t="shared" ca="1" si="167"/>
        <v>0</v>
      </c>
      <c r="O327" s="7">
        <f t="shared" ca="1" si="167"/>
        <v>0</v>
      </c>
      <c r="P327" s="7">
        <f t="shared" ca="1" si="167"/>
        <v>0</v>
      </c>
      <c r="Q327" s="7">
        <f t="shared" ca="1" si="167"/>
        <v>0</v>
      </c>
      <c r="R327" s="7">
        <f t="shared" ca="1" si="167"/>
        <v>0</v>
      </c>
      <c r="S327" s="7">
        <f t="shared" ca="1" si="167"/>
        <v>0</v>
      </c>
      <c r="T327" s="7">
        <f t="shared" ca="1" si="167"/>
        <v>0</v>
      </c>
      <c r="U327" s="7">
        <f t="shared" ca="1" si="167"/>
        <v>0</v>
      </c>
      <c r="V327" s="7">
        <f t="shared" ca="1" si="167"/>
        <v>0</v>
      </c>
      <c r="W327" s="7">
        <f t="shared" ca="1" si="167"/>
        <v>0</v>
      </c>
      <c r="X327" s="7">
        <f t="shared" ca="1" si="167"/>
        <v>0</v>
      </c>
      <c r="Y327" s="7">
        <f t="shared" ca="1" si="167"/>
        <v>0</v>
      </c>
      <c r="Z327" s="7">
        <f t="shared" ca="1" si="167"/>
        <v>0</v>
      </c>
      <c r="AA327" s="7">
        <f t="shared" ca="1" si="167"/>
        <v>0</v>
      </c>
      <c r="AB327" s="7">
        <f t="shared" ca="1" si="167"/>
        <v>0</v>
      </c>
      <c r="AC327" s="7">
        <f t="shared" ca="1" si="167"/>
        <v>0</v>
      </c>
      <c r="AD327" s="7">
        <f t="shared" ca="1" si="167"/>
        <v>0</v>
      </c>
      <c r="AE327" s="7">
        <f t="shared" ca="1" si="167"/>
        <v>0</v>
      </c>
      <c r="AF327" s="7">
        <f t="shared" ca="1" si="167"/>
        <v>0</v>
      </c>
      <c r="AG327" s="7">
        <f t="shared" ca="1" si="167"/>
        <v>0</v>
      </c>
      <c r="AH327" s="7">
        <f t="shared" ca="1" si="167"/>
        <v>0</v>
      </c>
      <c r="AI327" s="7">
        <f t="shared" ca="1" si="167"/>
        <v>0</v>
      </c>
      <c r="AJ327" s="7">
        <f t="shared" ca="1" si="167"/>
        <v>0</v>
      </c>
      <c r="AK327" s="7">
        <f t="shared" ca="1" si="167"/>
        <v>0</v>
      </c>
      <c r="AL327" s="7">
        <f t="shared" ca="1" si="167"/>
        <v>0</v>
      </c>
      <c r="AM327" s="7">
        <f t="shared" ca="1" si="167"/>
        <v>0</v>
      </c>
    </row>
    <row r="328" spans="1:39" x14ac:dyDescent="0.2">
      <c r="A328" s="16" t="str">
        <f t="shared" si="168"/>
        <v>Marsa</v>
      </c>
      <c r="C328" s="7">
        <f t="shared" ca="1" si="167"/>
        <v>-8649.5822104017261</v>
      </c>
      <c r="D328" s="7">
        <f t="shared" ca="1" si="167"/>
        <v>-7452.7015983848178</v>
      </c>
      <c r="E328" s="7">
        <f t="shared" ca="1" si="167"/>
        <v>-6219.4167172421839</v>
      </c>
      <c r="F328" s="7">
        <f t="shared" ca="1" si="167"/>
        <v>-4948.6202962926418</v>
      </c>
      <c r="G328" s="7">
        <f t="shared" ca="1" si="167"/>
        <v>-3639.1713861576636</v>
      </c>
      <c r="H328" s="7">
        <f t="shared" ca="1" si="167"/>
        <v>-2289.8943343915744</v>
      </c>
      <c r="I328" s="7">
        <f t="shared" ca="1" si="167"/>
        <v>-899.57772995459527</v>
      </c>
      <c r="J328" s="7">
        <f t="shared" ca="1" si="167"/>
        <v>0</v>
      </c>
      <c r="K328" s="7">
        <f t="shared" ca="1" si="167"/>
        <v>0</v>
      </c>
      <c r="L328" s="7">
        <f t="shared" ca="1" si="167"/>
        <v>0</v>
      </c>
      <c r="M328" s="7">
        <f t="shared" ca="1" si="167"/>
        <v>0</v>
      </c>
      <c r="N328" s="7">
        <f t="shared" ca="1" si="167"/>
        <v>0</v>
      </c>
      <c r="O328" s="7">
        <f t="shared" ca="1" si="167"/>
        <v>0</v>
      </c>
      <c r="P328" s="7">
        <f t="shared" ca="1" si="167"/>
        <v>0</v>
      </c>
      <c r="Q328" s="7">
        <f t="shared" ca="1" si="167"/>
        <v>0</v>
      </c>
      <c r="R328" s="7">
        <f t="shared" ca="1" si="167"/>
        <v>0</v>
      </c>
      <c r="S328" s="7">
        <f t="shared" ca="1" si="167"/>
        <v>0</v>
      </c>
      <c r="T328" s="7">
        <f t="shared" ca="1" si="167"/>
        <v>0</v>
      </c>
      <c r="U328" s="7">
        <f t="shared" ca="1" si="167"/>
        <v>0</v>
      </c>
      <c r="V328" s="7">
        <f t="shared" ca="1" si="167"/>
        <v>0</v>
      </c>
      <c r="W328" s="7">
        <f t="shared" ca="1" si="167"/>
        <v>0</v>
      </c>
      <c r="X328" s="7">
        <f t="shared" ca="1" si="167"/>
        <v>0</v>
      </c>
      <c r="Y328" s="7">
        <f t="shared" ca="1" si="167"/>
        <v>0</v>
      </c>
      <c r="Z328" s="7">
        <f t="shared" ca="1" si="167"/>
        <v>0</v>
      </c>
      <c r="AA328" s="7">
        <f t="shared" ca="1" si="167"/>
        <v>0</v>
      </c>
      <c r="AB328" s="7">
        <f t="shared" ca="1" si="167"/>
        <v>0</v>
      </c>
      <c r="AC328" s="7">
        <f t="shared" ca="1" si="167"/>
        <v>0</v>
      </c>
      <c r="AD328" s="7">
        <f t="shared" ca="1" si="167"/>
        <v>0</v>
      </c>
      <c r="AE328" s="7">
        <f t="shared" ca="1" si="167"/>
        <v>0</v>
      </c>
      <c r="AF328" s="7">
        <f t="shared" ca="1" si="167"/>
        <v>0</v>
      </c>
      <c r="AG328" s="7">
        <f t="shared" ca="1" si="167"/>
        <v>0</v>
      </c>
      <c r="AH328" s="7">
        <f t="shared" ca="1" si="167"/>
        <v>0</v>
      </c>
      <c r="AI328" s="7">
        <f t="shared" ca="1" si="167"/>
        <v>0</v>
      </c>
      <c r="AJ328" s="7">
        <f t="shared" ca="1" si="167"/>
        <v>0</v>
      </c>
      <c r="AK328" s="7">
        <f t="shared" ca="1" si="167"/>
        <v>0</v>
      </c>
      <c r="AL328" s="7">
        <f t="shared" ca="1" si="167"/>
        <v>0</v>
      </c>
      <c r="AM328" s="7">
        <f t="shared" ca="1" si="167"/>
        <v>0</v>
      </c>
    </row>
    <row r="329" spans="1:39" x14ac:dyDescent="0.2">
      <c r="A329" s="16" t="str">
        <f t="shared" si="168"/>
        <v>Jewelry</v>
      </c>
      <c r="C329" s="7">
        <f t="shared" ca="1" si="167"/>
        <v>-1875.0262705595046</v>
      </c>
      <c r="D329" s="7">
        <f t="shared" ca="1" si="167"/>
        <v>0</v>
      </c>
      <c r="E329" s="7">
        <f t="shared" ca="1" si="167"/>
        <v>0</v>
      </c>
      <c r="F329" s="7">
        <f t="shared" ca="1" si="167"/>
        <v>0</v>
      </c>
      <c r="G329" s="7">
        <f t="shared" ca="1" si="167"/>
        <v>0</v>
      </c>
      <c r="H329" s="7">
        <f t="shared" ca="1" si="167"/>
        <v>0</v>
      </c>
      <c r="I329" s="7">
        <f t="shared" ca="1" si="167"/>
        <v>0</v>
      </c>
      <c r="J329" s="7">
        <f t="shared" ca="1" si="167"/>
        <v>0</v>
      </c>
      <c r="K329" s="7">
        <f t="shared" ca="1" si="167"/>
        <v>0</v>
      </c>
      <c r="L329" s="7">
        <f t="shared" ca="1" si="167"/>
        <v>0</v>
      </c>
      <c r="M329" s="7">
        <f t="shared" ca="1" si="167"/>
        <v>0</v>
      </c>
      <c r="N329" s="7">
        <f t="shared" ca="1" si="167"/>
        <v>0</v>
      </c>
      <c r="O329" s="7">
        <f t="shared" ca="1" si="167"/>
        <v>0</v>
      </c>
      <c r="P329" s="7">
        <f t="shared" ca="1" si="167"/>
        <v>0</v>
      </c>
      <c r="Q329" s="7">
        <f t="shared" ca="1" si="167"/>
        <v>0</v>
      </c>
      <c r="R329" s="7">
        <f t="shared" ca="1" si="167"/>
        <v>0</v>
      </c>
      <c r="S329" s="7">
        <f t="shared" ca="1" si="167"/>
        <v>0</v>
      </c>
      <c r="T329" s="7">
        <f t="shared" ca="1" si="167"/>
        <v>0</v>
      </c>
      <c r="U329" s="7">
        <f t="shared" ca="1" si="167"/>
        <v>0</v>
      </c>
      <c r="V329" s="7">
        <f t="shared" ca="1" si="167"/>
        <v>0</v>
      </c>
      <c r="W329" s="7">
        <f t="shared" ca="1" si="167"/>
        <v>0</v>
      </c>
      <c r="X329" s="7">
        <f t="shared" ca="1" si="167"/>
        <v>0</v>
      </c>
      <c r="Y329" s="7">
        <f t="shared" ca="1" si="167"/>
        <v>0</v>
      </c>
      <c r="Z329" s="7">
        <f t="shared" ca="1" si="167"/>
        <v>0</v>
      </c>
      <c r="AA329" s="7">
        <f t="shared" ca="1" si="167"/>
        <v>0</v>
      </c>
      <c r="AB329" s="7">
        <f t="shared" ca="1" si="167"/>
        <v>0</v>
      </c>
      <c r="AC329" s="7">
        <f t="shared" ca="1" si="167"/>
        <v>0</v>
      </c>
      <c r="AD329" s="7">
        <f t="shared" ca="1" si="167"/>
        <v>0</v>
      </c>
      <c r="AE329" s="7">
        <f t="shared" ca="1" si="167"/>
        <v>0</v>
      </c>
      <c r="AF329" s="7">
        <f t="shared" ca="1" si="167"/>
        <v>0</v>
      </c>
      <c r="AG329" s="7">
        <f t="shared" ca="1" si="167"/>
        <v>0</v>
      </c>
      <c r="AH329" s="7">
        <f t="shared" ca="1" si="167"/>
        <v>0</v>
      </c>
      <c r="AI329" s="7">
        <f t="shared" ca="1" si="167"/>
        <v>0</v>
      </c>
      <c r="AJ329" s="7">
        <f t="shared" ca="1" si="167"/>
        <v>0</v>
      </c>
      <c r="AK329" s="7">
        <f t="shared" ca="1" si="167"/>
        <v>0</v>
      </c>
      <c r="AL329" s="7">
        <f t="shared" ca="1" si="167"/>
        <v>0</v>
      </c>
      <c r="AM329" s="7">
        <f t="shared" ca="1" si="167"/>
        <v>0</v>
      </c>
    </row>
    <row r="330" spans="1:39" x14ac:dyDescent="0.2">
      <c r="A330" s="16" t="str">
        <f t="shared" si="168"/>
        <v>Car</v>
      </c>
      <c r="C330" s="7">
        <f t="shared" ca="1" si="167"/>
        <v>0</v>
      </c>
      <c r="D330" s="7">
        <f t="shared" ca="1" si="167"/>
        <v>0</v>
      </c>
      <c r="E330" s="7">
        <f t="shared" ca="1" si="167"/>
        <v>0</v>
      </c>
      <c r="F330" s="7">
        <f t="shared" ca="1" si="167"/>
        <v>0</v>
      </c>
      <c r="G330" s="7">
        <f t="shared" ca="1" si="167"/>
        <v>0</v>
      </c>
      <c r="H330" s="7">
        <f t="shared" ca="1" si="167"/>
        <v>0</v>
      </c>
      <c r="I330" s="7">
        <f t="shared" ca="1" si="167"/>
        <v>0</v>
      </c>
      <c r="J330" s="7">
        <f t="shared" ca="1" si="167"/>
        <v>0</v>
      </c>
      <c r="K330" s="7">
        <f t="shared" ca="1" si="167"/>
        <v>0</v>
      </c>
      <c r="L330" s="7">
        <f t="shared" ca="1" si="167"/>
        <v>0</v>
      </c>
      <c r="M330" s="7">
        <f t="shared" ca="1" si="167"/>
        <v>0</v>
      </c>
      <c r="N330" s="7">
        <f t="shared" ca="1" si="167"/>
        <v>0</v>
      </c>
      <c r="O330" s="7">
        <f t="shared" ca="1" si="167"/>
        <v>0</v>
      </c>
      <c r="P330" s="7">
        <f t="shared" ca="1" si="167"/>
        <v>0</v>
      </c>
      <c r="Q330" s="7">
        <f t="shared" ca="1" si="167"/>
        <v>0</v>
      </c>
      <c r="R330" s="7">
        <f t="shared" ca="1" si="167"/>
        <v>0</v>
      </c>
      <c r="S330" s="7">
        <f t="shared" ca="1" si="167"/>
        <v>0</v>
      </c>
      <c r="T330" s="7">
        <f t="shared" ca="1" si="167"/>
        <v>0</v>
      </c>
      <c r="U330" s="7">
        <f t="shared" ca="1" si="167"/>
        <v>0</v>
      </c>
      <c r="V330" s="7">
        <f t="shared" ca="1" si="167"/>
        <v>0</v>
      </c>
      <c r="W330" s="7">
        <f t="shared" ca="1" si="167"/>
        <v>0</v>
      </c>
      <c r="X330" s="7">
        <f t="shared" ca="1" si="167"/>
        <v>0</v>
      </c>
      <c r="Y330" s="7">
        <f t="shared" ca="1" si="167"/>
        <v>0</v>
      </c>
      <c r="Z330" s="7">
        <f t="shared" ca="1" si="167"/>
        <v>0</v>
      </c>
      <c r="AA330" s="7">
        <f t="shared" ca="1" si="167"/>
        <v>0</v>
      </c>
      <c r="AB330" s="7">
        <f t="shared" ca="1" si="167"/>
        <v>0</v>
      </c>
      <c r="AC330" s="7">
        <f t="shared" ca="1" si="167"/>
        <v>0</v>
      </c>
      <c r="AD330" s="7">
        <f t="shared" ca="1" si="167"/>
        <v>0</v>
      </c>
      <c r="AE330" s="7">
        <f t="shared" ca="1" si="167"/>
        <v>0</v>
      </c>
      <c r="AF330" s="7">
        <f t="shared" ca="1" si="167"/>
        <v>0</v>
      </c>
      <c r="AG330" s="7">
        <f t="shared" ca="1" si="167"/>
        <v>0</v>
      </c>
      <c r="AH330" s="7">
        <f t="shared" ca="1" si="167"/>
        <v>0</v>
      </c>
      <c r="AI330" s="7">
        <f t="shared" ca="1" si="167"/>
        <v>0</v>
      </c>
      <c r="AJ330" s="7">
        <f t="shared" ref="AJ330:AM330" ca="1" si="169">IFERROR(IF(VLOOKUP($A330,$311:$321,AJ$1+2,FALSE)=0,AJ91,0),AJ91)</f>
        <v>0</v>
      </c>
      <c r="AK330" s="7">
        <f t="shared" ca="1" si="169"/>
        <v>0</v>
      </c>
      <c r="AL330" s="7">
        <f t="shared" ca="1" si="169"/>
        <v>0</v>
      </c>
      <c r="AM330" s="7">
        <f t="shared" ca="1" si="169"/>
        <v>0</v>
      </c>
    </row>
    <row r="331" spans="1:39" x14ac:dyDescent="0.2">
      <c r="A331" s="16" t="str">
        <f t="shared" si="168"/>
        <v>Painting</v>
      </c>
      <c r="C331" s="7">
        <f t="shared" ref="C331:AM333" ca="1" si="170">IFERROR(IF(VLOOKUP($A331,$311:$321,C$1+2,FALSE)=0,C92,0),C92)</f>
        <v>0</v>
      </c>
      <c r="D331" s="7">
        <f t="shared" ca="1" si="170"/>
        <v>0</v>
      </c>
      <c r="E331" s="7">
        <f t="shared" ca="1" si="170"/>
        <v>0</v>
      </c>
      <c r="F331" s="7">
        <f t="shared" ca="1" si="170"/>
        <v>0</v>
      </c>
      <c r="G331" s="7">
        <f t="shared" ca="1" si="170"/>
        <v>0</v>
      </c>
      <c r="H331" s="7">
        <f t="shared" ca="1" si="170"/>
        <v>0</v>
      </c>
      <c r="I331" s="7">
        <f t="shared" ca="1" si="170"/>
        <v>0</v>
      </c>
      <c r="J331" s="7">
        <f t="shared" ca="1" si="170"/>
        <v>0</v>
      </c>
      <c r="K331" s="7">
        <f t="shared" ca="1" si="170"/>
        <v>0</v>
      </c>
      <c r="L331" s="7">
        <f t="shared" ca="1" si="170"/>
        <v>0</v>
      </c>
      <c r="M331" s="7">
        <f t="shared" ca="1" si="170"/>
        <v>0</v>
      </c>
      <c r="N331" s="7">
        <f t="shared" ca="1" si="170"/>
        <v>0</v>
      </c>
      <c r="O331" s="7">
        <f t="shared" ca="1" si="170"/>
        <v>0</v>
      </c>
      <c r="P331" s="7">
        <f t="shared" ca="1" si="170"/>
        <v>0</v>
      </c>
      <c r="Q331" s="7">
        <f t="shared" ca="1" si="170"/>
        <v>0</v>
      </c>
      <c r="R331" s="7">
        <f t="shared" ca="1" si="170"/>
        <v>0</v>
      </c>
      <c r="S331" s="7">
        <f t="shared" ca="1" si="170"/>
        <v>0</v>
      </c>
      <c r="T331" s="7">
        <f t="shared" ca="1" si="170"/>
        <v>0</v>
      </c>
      <c r="U331" s="7">
        <f t="shared" ca="1" si="170"/>
        <v>0</v>
      </c>
      <c r="V331" s="7">
        <f t="shared" ca="1" si="170"/>
        <v>0</v>
      </c>
      <c r="W331" s="7">
        <f t="shared" ca="1" si="170"/>
        <v>0</v>
      </c>
      <c r="X331" s="7">
        <f t="shared" ca="1" si="170"/>
        <v>0</v>
      </c>
      <c r="Y331" s="7">
        <f t="shared" ca="1" si="170"/>
        <v>0</v>
      </c>
      <c r="Z331" s="7">
        <f t="shared" ca="1" si="170"/>
        <v>0</v>
      </c>
      <c r="AA331" s="7">
        <f t="shared" ca="1" si="170"/>
        <v>0</v>
      </c>
      <c r="AB331" s="7">
        <f t="shared" ca="1" si="170"/>
        <v>0</v>
      </c>
      <c r="AC331" s="7">
        <f t="shared" ca="1" si="170"/>
        <v>0</v>
      </c>
      <c r="AD331" s="7">
        <f t="shared" ca="1" si="170"/>
        <v>0</v>
      </c>
      <c r="AE331" s="7">
        <f t="shared" ca="1" si="170"/>
        <v>0</v>
      </c>
      <c r="AF331" s="7">
        <f t="shared" ca="1" si="170"/>
        <v>0</v>
      </c>
      <c r="AG331" s="7">
        <f t="shared" ca="1" si="170"/>
        <v>0</v>
      </c>
      <c r="AH331" s="7">
        <f t="shared" ca="1" si="170"/>
        <v>0</v>
      </c>
      <c r="AI331" s="7">
        <f t="shared" ca="1" si="170"/>
        <v>0</v>
      </c>
      <c r="AJ331" s="7">
        <f t="shared" ca="1" si="170"/>
        <v>0</v>
      </c>
      <c r="AK331" s="7">
        <f t="shared" ca="1" si="170"/>
        <v>0</v>
      </c>
      <c r="AL331" s="7">
        <f t="shared" ca="1" si="170"/>
        <v>0</v>
      </c>
      <c r="AM331" s="7">
        <f t="shared" ca="1" si="170"/>
        <v>0</v>
      </c>
    </row>
    <row r="332" spans="1:39" x14ac:dyDescent="0.2">
      <c r="A332" s="16" t="str">
        <f t="shared" si="168"/>
        <v>Boat</v>
      </c>
      <c r="C332" s="7">
        <f t="shared" ca="1" si="170"/>
        <v>-36106.782888498572</v>
      </c>
      <c r="D332" s="7">
        <f t="shared" ca="1" si="170"/>
        <v>-30636.379329838361</v>
      </c>
      <c r="E332" s="7">
        <f t="shared" ca="1" si="170"/>
        <v>-24828.573249664209</v>
      </c>
      <c r="F332" s="7">
        <f t="shared" ca="1" si="170"/>
        <v>-18662.55439873159</v>
      </c>
      <c r="G332" s="7">
        <f t="shared" ca="1" si="170"/>
        <v>-12116.228997158192</v>
      </c>
      <c r="H332" s="7">
        <f t="shared" ca="1" si="170"/>
        <v>-5166.1405690627944</v>
      </c>
      <c r="I332" s="7">
        <f t="shared" ca="1" si="170"/>
        <v>0</v>
      </c>
      <c r="J332" s="7">
        <f t="shared" ca="1" si="170"/>
        <v>0</v>
      </c>
      <c r="K332" s="7">
        <f t="shared" ca="1" si="170"/>
        <v>0</v>
      </c>
      <c r="L332" s="7">
        <f t="shared" ca="1" si="170"/>
        <v>0</v>
      </c>
      <c r="M332" s="7">
        <f t="shared" ca="1" si="170"/>
        <v>0</v>
      </c>
      <c r="N332" s="7">
        <f t="shared" ca="1" si="170"/>
        <v>0</v>
      </c>
      <c r="O332" s="7">
        <f t="shared" ca="1" si="170"/>
        <v>0</v>
      </c>
      <c r="P332" s="7">
        <f t="shared" ca="1" si="170"/>
        <v>0</v>
      </c>
      <c r="Q332" s="7">
        <f t="shared" ca="1" si="170"/>
        <v>0</v>
      </c>
      <c r="R332" s="7">
        <f t="shared" ca="1" si="170"/>
        <v>0</v>
      </c>
      <c r="S332" s="7">
        <f t="shared" ca="1" si="170"/>
        <v>0</v>
      </c>
      <c r="T332" s="7">
        <f t="shared" ca="1" si="170"/>
        <v>0</v>
      </c>
      <c r="U332" s="7">
        <f t="shared" ca="1" si="170"/>
        <v>0</v>
      </c>
      <c r="V332" s="7">
        <f t="shared" ca="1" si="170"/>
        <v>0</v>
      </c>
      <c r="W332" s="7">
        <f t="shared" ca="1" si="170"/>
        <v>0</v>
      </c>
      <c r="X332" s="7">
        <f t="shared" ca="1" si="170"/>
        <v>0</v>
      </c>
      <c r="Y332" s="7">
        <f t="shared" ca="1" si="170"/>
        <v>0</v>
      </c>
      <c r="Z332" s="7">
        <f t="shared" ca="1" si="170"/>
        <v>0</v>
      </c>
      <c r="AA332" s="7">
        <f t="shared" ca="1" si="170"/>
        <v>0</v>
      </c>
      <c r="AB332" s="7">
        <f t="shared" ca="1" si="170"/>
        <v>0</v>
      </c>
      <c r="AC332" s="7">
        <f t="shared" ca="1" si="170"/>
        <v>0</v>
      </c>
      <c r="AD332" s="7">
        <f t="shared" ca="1" si="170"/>
        <v>0</v>
      </c>
      <c r="AE332" s="7">
        <f t="shared" ca="1" si="170"/>
        <v>0</v>
      </c>
      <c r="AF332" s="7">
        <f t="shared" ca="1" si="170"/>
        <v>0</v>
      </c>
      <c r="AG332" s="7">
        <f t="shared" ca="1" si="170"/>
        <v>0</v>
      </c>
      <c r="AH332" s="7">
        <f t="shared" ca="1" si="170"/>
        <v>0</v>
      </c>
      <c r="AI332" s="7">
        <f t="shared" ca="1" si="170"/>
        <v>0</v>
      </c>
      <c r="AJ332" s="7">
        <f t="shared" ca="1" si="170"/>
        <v>0</v>
      </c>
      <c r="AK332" s="7">
        <f t="shared" ca="1" si="170"/>
        <v>0</v>
      </c>
      <c r="AL332" s="7">
        <f t="shared" ca="1" si="170"/>
        <v>0</v>
      </c>
      <c r="AM332" s="7">
        <f t="shared" ca="1" si="170"/>
        <v>0</v>
      </c>
    </row>
    <row r="333" spans="1:39" x14ac:dyDescent="0.2">
      <c r="A333" s="16" t="str">
        <f t="shared" si="168"/>
        <v>Antiques</v>
      </c>
      <c r="C333" s="7">
        <f t="shared" ca="1" si="170"/>
        <v>-2886.4020391451668</v>
      </c>
      <c r="D333" s="7">
        <f t="shared" ca="1" si="170"/>
        <v>-1635.892615008569</v>
      </c>
      <c r="E333" s="7">
        <f t="shared" ca="1" si="170"/>
        <v>0</v>
      </c>
      <c r="F333" s="7">
        <f t="shared" ca="1" si="170"/>
        <v>0</v>
      </c>
      <c r="G333" s="7">
        <f t="shared" ca="1" si="170"/>
        <v>0</v>
      </c>
      <c r="H333" s="7">
        <f t="shared" ca="1" si="170"/>
        <v>0</v>
      </c>
      <c r="I333" s="7">
        <f t="shared" ca="1" si="170"/>
        <v>0</v>
      </c>
      <c r="J333" s="7">
        <f t="shared" ca="1" si="170"/>
        <v>0</v>
      </c>
      <c r="K333" s="7">
        <f t="shared" ca="1" si="170"/>
        <v>0</v>
      </c>
      <c r="L333" s="7">
        <f t="shared" ca="1" si="170"/>
        <v>0</v>
      </c>
      <c r="M333" s="7">
        <f t="shared" ca="1" si="170"/>
        <v>0</v>
      </c>
      <c r="N333" s="7">
        <f t="shared" ca="1" si="170"/>
        <v>0</v>
      </c>
      <c r="O333" s="7">
        <f t="shared" ca="1" si="170"/>
        <v>0</v>
      </c>
      <c r="P333" s="7">
        <f t="shared" ca="1" si="170"/>
        <v>0</v>
      </c>
      <c r="Q333" s="7">
        <f t="shared" ca="1" si="170"/>
        <v>0</v>
      </c>
      <c r="R333" s="7">
        <f t="shared" ca="1" si="170"/>
        <v>0</v>
      </c>
      <c r="S333" s="7">
        <f t="shared" ca="1" si="170"/>
        <v>0</v>
      </c>
      <c r="T333" s="7">
        <f t="shared" ca="1" si="170"/>
        <v>0</v>
      </c>
      <c r="U333" s="7">
        <f t="shared" ca="1" si="170"/>
        <v>0</v>
      </c>
      <c r="V333" s="7">
        <f t="shared" ca="1" si="170"/>
        <v>0</v>
      </c>
      <c r="W333" s="7">
        <f t="shared" ca="1" si="170"/>
        <v>0</v>
      </c>
      <c r="X333" s="7">
        <f t="shared" ca="1" si="170"/>
        <v>0</v>
      </c>
      <c r="Y333" s="7">
        <f t="shared" ca="1" si="170"/>
        <v>0</v>
      </c>
      <c r="Z333" s="7">
        <f t="shared" ca="1" si="170"/>
        <v>0</v>
      </c>
      <c r="AA333" s="7">
        <f t="shared" ca="1" si="170"/>
        <v>0</v>
      </c>
      <c r="AB333" s="7">
        <f t="shared" ca="1" si="170"/>
        <v>0</v>
      </c>
      <c r="AC333" s="7">
        <f t="shared" ca="1" si="170"/>
        <v>0</v>
      </c>
      <c r="AD333" s="7">
        <f t="shared" ca="1" si="170"/>
        <v>0</v>
      </c>
      <c r="AE333" s="7">
        <f t="shared" ca="1" si="170"/>
        <v>0</v>
      </c>
      <c r="AF333" s="7">
        <f t="shared" ca="1" si="170"/>
        <v>0</v>
      </c>
      <c r="AG333" s="7">
        <f t="shared" ca="1" si="170"/>
        <v>0</v>
      </c>
      <c r="AH333" s="7">
        <f t="shared" ca="1" si="170"/>
        <v>0</v>
      </c>
      <c r="AI333" s="7">
        <f t="shared" ca="1" si="170"/>
        <v>0</v>
      </c>
      <c r="AJ333" s="7">
        <f t="shared" ca="1" si="170"/>
        <v>0</v>
      </c>
      <c r="AK333" s="7">
        <f t="shared" ca="1" si="170"/>
        <v>0</v>
      </c>
      <c r="AL333" s="7">
        <f t="shared" ca="1" si="170"/>
        <v>0</v>
      </c>
      <c r="AM333" s="7">
        <f t="shared" ca="1" si="170"/>
        <v>0</v>
      </c>
    </row>
    <row r="334" spans="1:39" x14ac:dyDescent="0.2"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</row>
    <row r="335" spans="1:39" x14ac:dyDescent="0.2">
      <c r="A335" s="3" t="s">
        <v>59</v>
      </c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</row>
    <row r="336" spans="1:39" x14ac:dyDescent="0.2">
      <c r="A336" s="16" t="str">
        <f t="shared" ref="A336:A343" si="171">A68</f>
        <v>Cash</v>
      </c>
      <c r="C336" s="7">
        <f ca="1">C283</f>
        <v>113060.11021238755</v>
      </c>
      <c r="D336" s="7">
        <f t="shared" ref="D336:AM336" ca="1" si="172">D283</f>
        <v>124803.86573151383</v>
      </c>
      <c r="E336" s="7">
        <f t="shared" ca="1" si="172"/>
        <v>215269.77766792092</v>
      </c>
      <c r="F336" s="7">
        <f t="shared" ca="1" si="172"/>
        <v>127404.79749267877</v>
      </c>
      <c r="G336" s="7">
        <f t="shared" ca="1" si="172"/>
        <v>232914.95575458009</v>
      </c>
      <c r="H336" s="7">
        <f t="shared" ca="1" si="172"/>
        <v>179529.97572023471</v>
      </c>
      <c r="I336" s="7">
        <f t="shared" ca="1" si="172"/>
        <v>141164.21383968444</v>
      </c>
      <c r="J336" s="7">
        <f t="shared" ca="1" si="172"/>
        <v>229275.45457262834</v>
      </c>
      <c r="K336" s="7">
        <f t="shared" ca="1" si="172"/>
        <v>168281.8899313185</v>
      </c>
      <c r="L336" s="7">
        <f t="shared" ca="1" si="172"/>
        <v>188926.09569615126</v>
      </c>
      <c r="M336" s="7">
        <f t="shared" ca="1" si="172"/>
        <v>113941.99340012993</v>
      </c>
      <c r="N336" s="7">
        <f t="shared" ca="1" si="172"/>
        <v>86292.921153602525</v>
      </c>
      <c r="O336" s="7">
        <f t="shared" ca="1" si="172"/>
        <v>242268.67503206589</v>
      </c>
      <c r="P336" s="7">
        <f t="shared" ca="1" si="172"/>
        <v>207977.80442793126</v>
      </c>
      <c r="Q336" s="7">
        <f t="shared" ca="1" si="172"/>
        <v>172198.14054807866</v>
      </c>
      <c r="R336" s="7">
        <f t="shared" ca="1" si="172"/>
        <v>134521.67427947966</v>
      </c>
      <c r="S336" s="7">
        <f t="shared" ca="1" si="172"/>
        <v>94907.310078202689</v>
      </c>
      <c r="T336" s="7">
        <f t="shared" ca="1" si="172"/>
        <v>70781.292385504436</v>
      </c>
      <c r="U336" s="7">
        <f t="shared" ca="1" si="172"/>
        <v>126235.8923856169</v>
      </c>
      <c r="V336" s="7">
        <f t="shared" ca="1" si="172"/>
        <v>109930.43195727481</v>
      </c>
      <c r="W336" s="7">
        <f t="shared" ca="1" si="172"/>
        <v>92915.162745274181</v>
      </c>
      <c r="X336" s="7">
        <f t="shared" ca="1" si="172"/>
        <v>429449.71137728752</v>
      </c>
      <c r="Y336" s="7">
        <f t="shared" ca="1" si="172"/>
        <v>389003.42556395108</v>
      </c>
      <c r="Z336" s="7">
        <f t="shared" ca="1" si="172"/>
        <v>346330.5317996596</v>
      </c>
      <c r="AA336" s="7">
        <f t="shared" ca="1" si="172"/>
        <v>301181.74853418698</v>
      </c>
      <c r="AB336" s="7">
        <f t="shared" ca="1" si="172"/>
        <v>253500.12976516303</v>
      </c>
      <c r="AC336" s="7">
        <f t="shared" ca="1" si="172"/>
        <v>203227.45437721393</v>
      </c>
      <c r="AD336" s="7">
        <f t="shared" ca="1" si="172"/>
        <v>150304.19872024725</v>
      </c>
      <c r="AE336" s="7">
        <f t="shared" ca="1" si="172"/>
        <v>104901.54560701107</v>
      </c>
      <c r="AF336" s="7">
        <f t="shared" ca="1" si="172"/>
        <v>668643.02699931455</v>
      </c>
      <c r="AG336" s="7">
        <f t="shared" ca="1" si="172"/>
        <v>622861.64064564393</v>
      </c>
      <c r="AH336" s="7">
        <f t="shared" ca="1" si="172"/>
        <v>574226.45540501818</v>
      </c>
      <c r="AI336" s="7">
        <f t="shared" ca="1" si="172"/>
        <v>522456.56029583386</v>
      </c>
      <c r="AJ336" s="7">
        <f t="shared" ca="1" si="172"/>
        <v>467473.58757137647</v>
      </c>
      <c r="AK336" s="7">
        <f t="shared" ca="1" si="172"/>
        <v>409197.2102912647</v>
      </c>
      <c r="AL336" s="7">
        <f t="shared" ca="1" si="172"/>
        <v>347545.09334160667</v>
      </c>
      <c r="AM336" s="7">
        <f t="shared" ca="1" si="172"/>
        <v>282432.84323066456</v>
      </c>
    </row>
    <row r="337" spans="1:39" x14ac:dyDescent="0.2">
      <c r="A337" s="16" t="str">
        <f t="shared" si="171"/>
        <v>Home</v>
      </c>
      <c r="C337" s="7">
        <f t="shared" ref="C337:AM337" ca="1" si="173">C69</f>
        <v>511208.33111474686</v>
      </c>
      <c r="D337" s="7">
        <f t="shared" ca="1" si="173"/>
        <v>526544.58104818931</v>
      </c>
      <c r="E337" s="7">
        <f t="shared" ca="1" si="173"/>
        <v>542340.91847963503</v>
      </c>
      <c r="F337" s="7">
        <f t="shared" ca="1" si="173"/>
        <v>558611.14603402407</v>
      </c>
      <c r="G337" s="7">
        <f t="shared" ca="1" si="173"/>
        <v>287684.74020752241</v>
      </c>
      <c r="H337" s="7">
        <f t="shared" ca="1" si="173"/>
        <v>296315.28241374809</v>
      </c>
      <c r="I337" s="7">
        <f t="shared" ca="1" si="173"/>
        <v>305204.74088616052</v>
      </c>
      <c r="J337" s="7">
        <f t="shared" ca="1" si="173"/>
        <v>314360.88311274536</v>
      </c>
      <c r="K337" s="7">
        <f t="shared" ca="1" si="173"/>
        <v>323791.70960612776</v>
      </c>
      <c r="L337" s="7">
        <f t="shared" ca="1" si="173"/>
        <v>333505.4608943116</v>
      </c>
      <c r="M337" s="7">
        <f t="shared" ca="1" si="173"/>
        <v>343510.62472114095</v>
      </c>
      <c r="N337" s="7">
        <f t="shared" ca="1" si="173"/>
        <v>353815.94346277521</v>
      </c>
      <c r="O337" s="7">
        <f t="shared" ca="1" si="173"/>
        <v>364430.42176665849</v>
      </c>
      <c r="P337" s="7">
        <f t="shared" ca="1" si="173"/>
        <v>375363.33441965823</v>
      </c>
      <c r="Q337" s="7">
        <f t="shared" ca="1" si="173"/>
        <v>386624.23445224797</v>
      </c>
      <c r="R337" s="7">
        <f t="shared" ca="1" si="173"/>
        <v>398222.96148581541</v>
      </c>
      <c r="S337" s="7">
        <f t="shared" ca="1" si="173"/>
        <v>410169.65033038991</v>
      </c>
      <c r="T337" s="7">
        <f t="shared" ca="1" si="173"/>
        <v>422474.73984030163</v>
      </c>
      <c r="U337" s="7">
        <f t="shared" ca="1" si="173"/>
        <v>435148.98203551071</v>
      </c>
      <c r="V337" s="7">
        <f t="shared" ca="1" si="173"/>
        <v>448203.45149657602</v>
      </c>
      <c r="W337" s="7">
        <f t="shared" ca="1" si="173"/>
        <v>461649.5550414733</v>
      </c>
      <c r="X337" s="7">
        <f t="shared" ca="1" si="173"/>
        <v>475499.04169271752</v>
      </c>
      <c r="Y337" s="7">
        <f t="shared" ca="1" si="173"/>
        <v>489764.01294349908</v>
      </c>
      <c r="Z337" s="7">
        <f t="shared" ca="1" si="173"/>
        <v>504456.93333180406</v>
      </c>
      <c r="AA337" s="7">
        <f t="shared" ca="1" si="173"/>
        <v>519590.64133175818</v>
      </c>
      <c r="AB337" s="7">
        <f t="shared" ca="1" si="173"/>
        <v>535178.36057171097</v>
      </c>
      <c r="AC337" s="7">
        <f t="shared" ca="1" si="173"/>
        <v>551233.71138886234</v>
      </c>
      <c r="AD337" s="7">
        <f t="shared" ca="1" si="173"/>
        <v>567770.72273052821</v>
      </c>
      <c r="AE337" s="7">
        <f t="shared" ca="1" si="173"/>
        <v>584803.84441244404</v>
      </c>
      <c r="AF337" s="7">
        <f t="shared" ca="1" si="173"/>
        <v>602347.95974481734</v>
      </c>
      <c r="AG337" s="7">
        <f t="shared" ca="1" si="173"/>
        <v>620418.39853716188</v>
      </c>
      <c r="AH337" s="7">
        <f t="shared" ca="1" si="173"/>
        <v>639030.9504932767</v>
      </c>
      <c r="AI337" s="7">
        <f t="shared" ca="1" si="173"/>
        <v>658201.87900807499</v>
      </c>
      <c r="AJ337" s="7">
        <f t="shared" ca="1" si="173"/>
        <v>677947.93537831726</v>
      </c>
      <c r="AK337" s="7">
        <f t="shared" ca="1" si="173"/>
        <v>698286.37343966682</v>
      </c>
      <c r="AL337" s="7">
        <f t="shared" ca="1" si="173"/>
        <v>719234.96464285685</v>
      </c>
      <c r="AM337" s="7">
        <f t="shared" ca="1" si="173"/>
        <v>740812.01358214254</v>
      </c>
    </row>
    <row r="338" spans="1:39" x14ac:dyDescent="0.2">
      <c r="A338" s="16" t="s">
        <v>50</v>
      </c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</row>
    <row r="339" spans="1:39" x14ac:dyDescent="0.2">
      <c r="A339" s="17" t="str">
        <f t="shared" si="171"/>
        <v>Sliema</v>
      </c>
      <c r="C339" s="7">
        <f t="shared" ref="C339:AM343" ca="1" si="174">C300</f>
        <v>306724.99866884813</v>
      </c>
      <c r="D339" s="7">
        <f t="shared" ca="1" si="174"/>
        <v>315926.7486289136</v>
      </c>
      <c r="E339" s="7">
        <f t="shared" ca="1" si="174"/>
        <v>325404.55108778103</v>
      </c>
      <c r="F339" s="7">
        <f t="shared" ca="1" si="174"/>
        <v>335166.68762041448</v>
      </c>
      <c r="G339" s="7">
        <f t="shared" ca="1" si="174"/>
        <v>345221.68824902695</v>
      </c>
      <c r="H339" s="7">
        <f t="shared" ca="1" si="174"/>
        <v>355578.33889649779</v>
      </c>
      <c r="I339" s="7">
        <f t="shared" ca="1" si="174"/>
        <v>366245.68906339275</v>
      </c>
      <c r="J339" s="7">
        <f t="shared" ca="1" si="174"/>
        <v>377233.05973529455</v>
      </c>
      <c r="K339" s="7">
        <f t="shared" ca="1" si="174"/>
        <v>388550.05152735341</v>
      </c>
      <c r="L339" s="7">
        <f t="shared" ca="1" si="174"/>
        <v>400206.55307317403</v>
      </c>
      <c r="M339" s="7">
        <f t="shared" ca="1" si="174"/>
        <v>412212.74966536928</v>
      </c>
      <c r="N339" s="7">
        <f t="shared" ca="1" si="174"/>
        <v>424579.13215533039</v>
      </c>
      <c r="O339" s="7">
        <f t="shared" ca="1" si="174"/>
        <v>437316.50611999031</v>
      </c>
      <c r="P339" s="7">
        <f t="shared" ca="1" si="174"/>
        <v>450436.00130359002</v>
      </c>
      <c r="Q339" s="7">
        <f t="shared" ca="1" si="174"/>
        <v>463949.08134269773</v>
      </c>
      <c r="R339" s="7">
        <f t="shared" ca="1" si="174"/>
        <v>477867.55378297868</v>
      </c>
      <c r="S339" s="7">
        <f t="shared" ca="1" si="174"/>
        <v>492203.58039646805</v>
      </c>
      <c r="T339" s="7">
        <f t="shared" ca="1" si="174"/>
        <v>506969.68780836213</v>
      </c>
      <c r="U339" s="7">
        <f t="shared" ca="1" si="174"/>
        <v>522178.77844261302</v>
      </c>
      <c r="V339" s="7">
        <f t="shared" ca="1" si="174"/>
        <v>537844.14179589145</v>
      </c>
      <c r="W339" s="7">
        <f t="shared" ca="1" si="174"/>
        <v>553979.46604976826</v>
      </c>
      <c r="X339" s="7">
        <f t="shared" ca="1" si="174"/>
        <v>570598.85003126133</v>
      </c>
      <c r="Y339" s="7">
        <f t="shared" ca="1" si="174"/>
        <v>587716.81553219922</v>
      </c>
      <c r="Z339" s="7">
        <f t="shared" ca="1" si="174"/>
        <v>605348.31999816524</v>
      </c>
      <c r="AA339" s="7">
        <f t="shared" ca="1" si="174"/>
        <v>623508.76959811023</v>
      </c>
      <c r="AB339" s="7">
        <f t="shared" ca="1" si="174"/>
        <v>642214.03268605354</v>
      </c>
      <c r="AC339" s="7">
        <f t="shared" ca="1" si="174"/>
        <v>661480.45366663521</v>
      </c>
      <c r="AD339" s="7">
        <f t="shared" ca="1" si="174"/>
        <v>681324.86727663432</v>
      </c>
      <c r="AE339" s="7">
        <f t="shared" ca="1" si="174"/>
        <v>701764.61329493334</v>
      </c>
      <c r="AF339" s="7">
        <f t="shared" ca="1" si="174"/>
        <v>0</v>
      </c>
      <c r="AG339" s="7">
        <f t="shared" ca="1" si="174"/>
        <v>0</v>
      </c>
      <c r="AH339" s="7">
        <f t="shared" ca="1" si="174"/>
        <v>0</v>
      </c>
      <c r="AI339" s="7">
        <f t="shared" ca="1" si="174"/>
        <v>0</v>
      </c>
      <c r="AJ339" s="7">
        <f t="shared" ca="1" si="174"/>
        <v>0</v>
      </c>
      <c r="AK339" s="7">
        <f t="shared" ca="1" si="174"/>
        <v>0</v>
      </c>
      <c r="AL339" s="7">
        <f t="shared" ca="1" si="174"/>
        <v>0</v>
      </c>
      <c r="AM339" s="7">
        <f t="shared" ca="1" si="174"/>
        <v>0</v>
      </c>
    </row>
    <row r="340" spans="1:39" x14ac:dyDescent="0.2">
      <c r="A340" s="17" t="str">
        <f t="shared" si="171"/>
        <v>Gzira</v>
      </c>
      <c r="C340" s="7">
        <f t="shared" ca="1" si="174"/>
        <v>153362.49933442406</v>
      </c>
      <c r="D340" s="7">
        <f t="shared" ca="1" si="174"/>
        <v>157963.3743144568</v>
      </c>
      <c r="E340" s="7">
        <f t="shared" ca="1" si="174"/>
        <v>162702.27554389052</v>
      </c>
      <c r="F340" s="7">
        <f t="shared" ca="1" si="174"/>
        <v>167583.34381020724</v>
      </c>
      <c r="G340" s="7">
        <f t="shared" ca="1" si="174"/>
        <v>172610.84412451347</v>
      </c>
      <c r="H340" s="7">
        <f t="shared" ca="1" si="174"/>
        <v>177789.1694482489</v>
      </c>
      <c r="I340" s="7">
        <f t="shared" ca="1" si="174"/>
        <v>183122.84453169638</v>
      </c>
      <c r="J340" s="7">
        <f t="shared" ca="1" si="174"/>
        <v>188616.52986764727</v>
      </c>
      <c r="K340" s="7">
        <f t="shared" ca="1" si="174"/>
        <v>194275.02576367671</v>
      </c>
      <c r="L340" s="7">
        <f t="shared" ca="1" si="174"/>
        <v>200103.27653658701</v>
      </c>
      <c r="M340" s="7">
        <f t="shared" ca="1" si="174"/>
        <v>206106.37483268464</v>
      </c>
      <c r="N340" s="7">
        <f t="shared" ca="1" si="174"/>
        <v>212289.56607766519</v>
      </c>
      <c r="O340" s="7">
        <f t="shared" ca="1" si="174"/>
        <v>0</v>
      </c>
      <c r="P340" s="7">
        <f t="shared" ca="1" si="174"/>
        <v>0</v>
      </c>
      <c r="Q340" s="7">
        <f t="shared" ca="1" si="174"/>
        <v>0</v>
      </c>
      <c r="R340" s="7">
        <f t="shared" ca="1" si="174"/>
        <v>0</v>
      </c>
      <c r="S340" s="7">
        <f t="shared" ca="1" si="174"/>
        <v>0</v>
      </c>
      <c r="T340" s="7">
        <f t="shared" ca="1" si="174"/>
        <v>0</v>
      </c>
      <c r="U340" s="7">
        <f t="shared" ca="1" si="174"/>
        <v>0</v>
      </c>
      <c r="V340" s="7">
        <f t="shared" ca="1" si="174"/>
        <v>0</v>
      </c>
      <c r="W340" s="7">
        <f t="shared" ca="1" si="174"/>
        <v>0</v>
      </c>
      <c r="X340" s="7">
        <f t="shared" ca="1" si="174"/>
        <v>0</v>
      </c>
      <c r="Y340" s="7">
        <f t="shared" ca="1" si="174"/>
        <v>0</v>
      </c>
      <c r="Z340" s="7">
        <f t="shared" ca="1" si="174"/>
        <v>0</v>
      </c>
      <c r="AA340" s="7">
        <f t="shared" ca="1" si="174"/>
        <v>0</v>
      </c>
      <c r="AB340" s="7">
        <f t="shared" ca="1" si="174"/>
        <v>0</v>
      </c>
      <c r="AC340" s="7">
        <f t="shared" ca="1" si="174"/>
        <v>0</v>
      </c>
      <c r="AD340" s="7">
        <f t="shared" ca="1" si="174"/>
        <v>0</v>
      </c>
      <c r="AE340" s="7">
        <f t="shared" ca="1" si="174"/>
        <v>0</v>
      </c>
      <c r="AF340" s="7">
        <f t="shared" ca="1" si="174"/>
        <v>0</v>
      </c>
      <c r="AG340" s="7">
        <f t="shared" ca="1" si="174"/>
        <v>0</v>
      </c>
      <c r="AH340" s="7">
        <f t="shared" ca="1" si="174"/>
        <v>0</v>
      </c>
      <c r="AI340" s="7">
        <f t="shared" ca="1" si="174"/>
        <v>0</v>
      </c>
      <c r="AJ340" s="7">
        <f t="shared" ca="1" si="174"/>
        <v>0</v>
      </c>
      <c r="AK340" s="7">
        <f t="shared" ca="1" si="174"/>
        <v>0</v>
      </c>
      <c r="AL340" s="7">
        <f t="shared" ca="1" si="174"/>
        <v>0</v>
      </c>
      <c r="AM340" s="7">
        <f t="shared" ca="1" si="174"/>
        <v>0</v>
      </c>
    </row>
    <row r="341" spans="1:39" x14ac:dyDescent="0.2">
      <c r="A341" s="17" t="str">
        <f t="shared" si="171"/>
        <v>Qormi</v>
      </c>
      <c r="C341" s="7">
        <f t="shared" ca="1" si="174"/>
        <v>224931.66569048862</v>
      </c>
      <c r="D341" s="7">
        <f t="shared" ca="1" si="174"/>
        <v>231679.61566120328</v>
      </c>
      <c r="E341" s="7">
        <f t="shared" ca="1" si="174"/>
        <v>238630.00413103937</v>
      </c>
      <c r="F341" s="7">
        <f t="shared" ca="1" si="174"/>
        <v>245788.90425497055</v>
      </c>
      <c r="G341" s="7">
        <f t="shared" ca="1" si="174"/>
        <v>253162.57138261967</v>
      </c>
      <c r="H341" s="7">
        <f t="shared" ca="1" si="174"/>
        <v>260757.44852409826</v>
      </c>
      <c r="I341" s="7">
        <f t="shared" ca="1" si="174"/>
        <v>268580.17197982123</v>
      </c>
      <c r="J341" s="7">
        <f t="shared" ca="1" si="174"/>
        <v>276637.57713921589</v>
      </c>
      <c r="K341" s="7">
        <f t="shared" ca="1" si="174"/>
        <v>284936.70445339236</v>
      </c>
      <c r="L341" s="7">
        <f t="shared" ca="1" si="174"/>
        <v>293484.80558699416</v>
      </c>
      <c r="M341" s="7">
        <f t="shared" ca="1" si="174"/>
        <v>302289.34975460399</v>
      </c>
      <c r="N341" s="7">
        <f t="shared" ca="1" si="174"/>
        <v>311358.03024724213</v>
      </c>
      <c r="O341" s="7">
        <f t="shared" ca="1" si="174"/>
        <v>320698.77115465939</v>
      </c>
      <c r="P341" s="7">
        <f t="shared" ca="1" si="174"/>
        <v>330319.73428929917</v>
      </c>
      <c r="Q341" s="7">
        <f t="shared" ca="1" si="174"/>
        <v>340229.32631797815</v>
      </c>
      <c r="R341" s="7">
        <f t="shared" ca="1" si="174"/>
        <v>350436.20610751753</v>
      </c>
      <c r="S341" s="7">
        <f t="shared" ca="1" si="174"/>
        <v>360949.29229074309</v>
      </c>
      <c r="T341" s="7">
        <f t="shared" ca="1" si="174"/>
        <v>371777.77105946542</v>
      </c>
      <c r="U341" s="7">
        <f t="shared" ca="1" si="174"/>
        <v>382931.10419124941</v>
      </c>
      <c r="V341" s="7">
        <f t="shared" ca="1" si="174"/>
        <v>394419.03731698688</v>
      </c>
      <c r="W341" s="7">
        <f t="shared" ca="1" si="174"/>
        <v>406251.60843649652</v>
      </c>
      <c r="X341" s="7">
        <f t="shared" ca="1" si="174"/>
        <v>0</v>
      </c>
      <c r="Y341" s="7">
        <f t="shared" ca="1" si="174"/>
        <v>0</v>
      </c>
      <c r="Z341" s="7">
        <f t="shared" ca="1" si="174"/>
        <v>0</v>
      </c>
      <c r="AA341" s="7">
        <f t="shared" ca="1" si="174"/>
        <v>0</v>
      </c>
      <c r="AB341" s="7">
        <f t="shared" ca="1" si="174"/>
        <v>0</v>
      </c>
      <c r="AC341" s="7">
        <f t="shared" ca="1" si="174"/>
        <v>0</v>
      </c>
      <c r="AD341" s="7">
        <f t="shared" ca="1" si="174"/>
        <v>0</v>
      </c>
      <c r="AE341" s="7">
        <f t="shared" ca="1" si="174"/>
        <v>0</v>
      </c>
      <c r="AF341" s="7">
        <f t="shared" ca="1" si="174"/>
        <v>0</v>
      </c>
      <c r="AG341" s="7">
        <f t="shared" ca="1" si="174"/>
        <v>0</v>
      </c>
      <c r="AH341" s="7">
        <f t="shared" ca="1" si="174"/>
        <v>0</v>
      </c>
      <c r="AI341" s="7">
        <f t="shared" ca="1" si="174"/>
        <v>0</v>
      </c>
      <c r="AJ341" s="7">
        <f t="shared" ca="1" si="174"/>
        <v>0</v>
      </c>
      <c r="AK341" s="7">
        <f t="shared" ca="1" si="174"/>
        <v>0</v>
      </c>
      <c r="AL341" s="7">
        <f t="shared" ca="1" si="174"/>
        <v>0</v>
      </c>
      <c r="AM341" s="7">
        <f t="shared" ca="1" si="174"/>
        <v>0</v>
      </c>
    </row>
    <row r="342" spans="1:39" x14ac:dyDescent="0.2">
      <c r="A342" s="17" t="str">
        <f t="shared" si="171"/>
        <v>Gudja</v>
      </c>
      <c r="C342" s="7">
        <f t="shared" ca="1" si="174"/>
        <v>81793.332978359496</v>
      </c>
      <c r="D342" s="7">
        <f t="shared" ca="1" si="174"/>
        <v>84247.132967710277</v>
      </c>
      <c r="E342" s="7">
        <f t="shared" ca="1" si="174"/>
        <v>0</v>
      </c>
      <c r="F342" s="7">
        <f t="shared" ca="1" si="174"/>
        <v>0</v>
      </c>
      <c r="G342" s="7">
        <f t="shared" ca="1" si="174"/>
        <v>0</v>
      </c>
      <c r="H342" s="7">
        <f t="shared" ca="1" si="174"/>
        <v>0</v>
      </c>
      <c r="I342" s="7">
        <f t="shared" ca="1" si="174"/>
        <v>0</v>
      </c>
      <c r="J342" s="7">
        <f t="shared" ca="1" si="174"/>
        <v>0</v>
      </c>
      <c r="K342" s="7">
        <f t="shared" ca="1" si="174"/>
        <v>0</v>
      </c>
      <c r="L342" s="7">
        <f t="shared" ca="1" si="174"/>
        <v>0</v>
      </c>
      <c r="M342" s="7">
        <f t="shared" ca="1" si="174"/>
        <v>0</v>
      </c>
      <c r="N342" s="7">
        <f t="shared" ca="1" si="174"/>
        <v>0</v>
      </c>
      <c r="O342" s="7">
        <f t="shared" ca="1" si="174"/>
        <v>0</v>
      </c>
      <c r="P342" s="7">
        <f t="shared" ca="1" si="174"/>
        <v>0</v>
      </c>
      <c r="Q342" s="7">
        <f t="shared" ca="1" si="174"/>
        <v>0</v>
      </c>
      <c r="R342" s="7">
        <f t="shared" ca="1" si="174"/>
        <v>0</v>
      </c>
      <c r="S342" s="7">
        <f t="shared" ca="1" si="174"/>
        <v>0</v>
      </c>
      <c r="T342" s="7">
        <f t="shared" ca="1" si="174"/>
        <v>0</v>
      </c>
      <c r="U342" s="7">
        <f t="shared" ca="1" si="174"/>
        <v>0</v>
      </c>
      <c r="V342" s="7">
        <f t="shared" ca="1" si="174"/>
        <v>0</v>
      </c>
      <c r="W342" s="7">
        <f t="shared" ca="1" si="174"/>
        <v>0</v>
      </c>
      <c r="X342" s="7">
        <f t="shared" ca="1" si="174"/>
        <v>0</v>
      </c>
      <c r="Y342" s="7">
        <f t="shared" ca="1" si="174"/>
        <v>0</v>
      </c>
      <c r="Z342" s="7">
        <f t="shared" ca="1" si="174"/>
        <v>0</v>
      </c>
      <c r="AA342" s="7">
        <f t="shared" ca="1" si="174"/>
        <v>0</v>
      </c>
      <c r="AB342" s="7">
        <f t="shared" ca="1" si="174"/>
        <v>0</v>
      </c>
      <c r="AC342" s="7">
        <f t="shared" ca="1" si="174"/>
        <v>0</v>
      </c>
      <c r="AD342" s="7">
        <f t="shared" ca="1" si="174"/>
        <v>0</v>
      </c>
      <c r="AE342" s="7">
        <f t="shared" ca="1" si="174"/>
        <v>0</v>
      </c>
      <c r="AF342" s="7">
        <f t="shared" ca="1" si="174"/>
        <v>0</v>
      </c>
      <c r="AG342" s="7">
        <f t="shared" ca="1" si="174"/>
        <v>0</v>
      </c>
      <c r="AH342" s="7">
        <f t="shared" ca="1" si="174"/>
        <v>0</v>
      </c>
      <c r="AI342" s="7">
        <f t="shared" ca="1" si="174"/>
        <v>0</v>
      </c>
      <c r="AJ342" s="7">
        <f t="shared" ca="1" si="174"/>
        <v>0</v>
      </c>
      <c r="AK342" s="7">
        <f t="shared" ca="1" si="174"/>
        <v>0</v>
      </c>
      <c r="AL342" s="7">
        <f t="shared" ca="1" si="174"/>
        <v>0</v>
      </c>
      <c r="AM342" s="7">
        <f t="shared" ca="1" si="174"/>
        <v>0</v>
      </c>
    </row>
    <row r="343" spans="1:39" x14ac:dyDescent="0.2">
      <c r="A343" s="17" t="str">
        <f t="shared" si="171"/>
        <v>Marsa</v>
      </c>
      <c r="C343" s="7">
        <f t="shared" ca="1" si="174"/>
        <v>122689.99946753924</v>
      </c>
      <c r="D343" s="7">
        <f t="shared" ca="1" si="174"/>
        <v>126370.69945156542</v>
      </c>
      <c r="E343" s="7">
        <f t="shared" ca="1" si="174"/>
        <v>130161.82043511239</v>
      </c>
      <c r="F343" s="7">
        <f t="shared" ca="1" si="174"/>
        <v>134066.67504816575</v>
      </c>
      <c r="G343" s="7">
        <f t="shared" ca="1" si="174"/>
        <v>138088.67529961074</v>
      </c>
      <c r="H343" s="7">
        <f t="shared" ca="1" si="174"/>
        <v>142231.33555859906</v>
      </c>
      <c r="I343" s="7">
        <f t="shared" ca="1" si="174"/>
        <v>146498.27562535706</v>
      </c>
      <c r="J343" s="7">
        <f t="shared" ca="1" si="174"/>
        <v>0</v>
      </c>
      <c r="K343" s="7">
        <f t="shared" ca="1" si="174"/>
        <v>0</v>
      </c>
      <c r="L343" s="7">
        <f t="shared" ca="1" si="174"/>
        <v>0</v>
      </c>
      <c r="M343" s="7">
        <f t="shared" ca="1" si="174"/>
        <v>0</v>
      </c>
      <c r="N343" s="7">
        <f t="shared" ca="1" si="174"/>
        <v>0</v>
      </c>
      <c r="O343" s="7">
        <f t="shared" ca="1" si="174"/>
        <v>0</v>
      </c>
      <c r="P343" s="7">
        <f t="shared" ca="1" si="174"/>
        <v>0</v>
      </c>
      <c r="Q343" s="7">
        <f t="shared" ca="1" si="174"/>
        <v>0</v>
      </c>
      <c r="R343" s="7">
        <f t="shared" ca="1" si="174"/>
        <v>0</v>
      </c>
      <c r="S343" s="7">
        <f t="shared" ca="1" si="174"/>
        <v>0</v>
      </c>
      <c r="T343" s="7">
        <f t="shared" ca="1" si="174"/>
        <v>0</v>
      </c>
      <c r="U343" s="7">
        <f t="shared" ca="1" si="174"/>
        <v>0</v>
      </c>
      <c r="V343" s="7">
        <f t="shared" ca="1" si="174"/>
        <v>0</v>
      </c>
      <c r="W343" s="7">
        <f t="shared" ca="1" si="174"/>
        <v>0</v>
      </c>
      <c r="X343" s="7">
        <f t="shared" ca="1" si="174"/>
        <v>0</v>
      </c>
      <c r="Y343" s="7">
        <f t="shared" ca="1" si="174"/>
        <v>0</v>
      </c>
      <c r="Z343" s="7">
        <f t="shared" ca="1" si="174"/>
        <v>0</v>
      </c>
      <c r="AA343" s="7">
        <f t="shared" ca="1" si="174"/>
        <v>0</v>
      </c>
      <c r="AB343" s="7">
        <f t="shared" ca="1" si="174"/>
        <v>0</v>
      </c>
      <c r="AC343" s="7">
        <f t="shared" ca="1" si="174"/>
        <v>0</v>
      </c>
      <c r="AD343" s="7">
        <f t="shared" ca="1" si="174"/>
        <v>0</v>
      </c>
      <c r="AE343" s="7">
        <f t="shared" ca="1" si="174"/>
        <v>0</v>
      </c>
      <c r="AF343" s="7">
        <f t="shared" ca="1" si="174"/>
        <v>0</v>
      </c>
      <c r="AG343" s="7">
        <f t="shared" ca="1" si="174"/>
        <v>0</v>
      </c>
      <c r="AH343" s="7">
        <f t="shared" ca="1" si="174"/>
        <v>0</v>
      </c>
      <c r="AI343" s="7">
        <f t="shared" ca="1" si="174"/>
        <v>0</v>
      </c>
      <c r="AJ343" s="7">
        <f t="shared" ca="1" si="174"/>
        <v>0</v>
      </c>
      <c r="AK343" s="7">
        <f t="shared" ca="1" si="174"/>
        <v>0</v>
      </c>
      <c r="AL343" s="7">
        <f t="shared" ca="1" si="174"/>
        <v>0</v>
      </c>
      <c r="AM343" s="7">
        <f t="shared" ca="1" si="174"/>
        <v>0</v>
      </c>
    </row>
    <row r="344" spans="1:39" x14ac:dyDescent="0.2">
      <c r="A344" s="16" t="s">
        <v>193</v>
      </c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</row>
    <row r="345" spans="1:39" x14ac:dyDescent="0.2">
      <c r="A345" s="17" t="str">
        <f>TEXT(Inputs!$B$87,"")</f>
        <v>Jewelry</v>
      </c>
      <c r="C345" s="7">
        <f ca="1">C305</f>
        <v>50748.140451472013</v>
      </c>
      <c r="D345" s="7">
        <f t="shared" ref="D345:AM349" ca="1" si="175">D305</f>
        <v>0</v>
      </c>
      <c r="E345" s="7">
        <f t="shared" ca="1" si="175"/>
        <v>0</v>
      </c>
      <c r="F345" s="7">
        <f t="shared" ca="1" si="175"/>
        <v>0</v>
      </c>
      <c r="G345" s="7">
        <f t="shared" ca="1" si="175"/>
        <v>0</v>
      </c>
      <c r="H345" s="7">
        <f t="shared" ca="1" si="175"/>
        <v>0</v>
      </c>
      <c r="I345" s="7">
        <f t="shared" ca="1" si="175"/>
        <v>0</v>
      </c>
      <c r="J345" s="7">
        <f t="shared" ca="1" si="175"/>
        <v>0</v>
      </c>
      <c r="K345" s="7">
        <f t="shared" ca="1" si="175"/>
        <v>0</v>
      </c>
      <c r="L345" s="7">
        <f t="shared" ca="1" si="175"/>
        <v>0</v>
      </c>
      <c r="M345" s="7">
        <f t="shared" ca="1" si="175"/>
        <v>0</v>
      </c>
      <c r="N345" s="7">
        <f t="shared" ca="1" si="175"/>
        <v>0</v>
      </c>
      <c r="O345" s="7">
        <f t="shared" ca="1" si="175"/>
        <v>0</v>
      </c>
      <c r="P345" s="7">
        <f t="shared" ca="1" si="175"/>
        <v>0</v>
      </c>
      <c r="Q345" s="7">
        <f t="shared" ca="1" si="175"/>
        <v>0</v>
      </c>
      <c r="R345" s="7">
        <f t="shared" ca="1" si="175"/>
        <v>0</v>
      </c>
      <c r="S345" s="7">
        <f t="shared" ca="1" si="175"/>
        <v>0</v>
      </c>
      <c r="T345" s="7">
        <f t="shared" ca="1" si="175"/>
        <v>0</v>
      </c>
      <c r="U345" s="7">
        <f t="shared" ca="1" si="175"/>
        <v>0</v>
      </c>
      <c r="V345" s="7">
        <f t="shared" ca="1" si="175"/>
        <v>0</v>
      </c>
      <c r="W345" s="7">
        <f t="shared" ca="1" si="175"/>
        <v>0</v>
      </c>
      <c r="X345" s="7">
        <f t="shared" ca="1" si="175"/>
        <v>0</v>
      </c>
      <c r="Y345" s="7">
        <f t="shared" ca="1" si="175"/>
        <v>0</v>
      </c>
      <c r="Z345" s="7">
        <f t="shared" ca="1" si="175"/>
        <v>0</v>
      </c>
      <c r="AA345" s="7">
        <f t="shared" ca="1" si="175"/>
        <v>0</v>
      </c>
      <c r="AB345" s="7">
        <f t="shared" ca="1" si="175"/>
        <v>0</v>
      </c>
      <c r="AC345" s="7">
        <f t="shared" ca="1" si="175"/>
        <v>0</v>
      </c>
      <c r="AD345" s="7">
        <f t="shared" ca="1" si="175"/>
        <v>0</v>
      </c>
      <c r="AE345" s="7">
        <f t="shared" ca="1" si="175"/>
        <v>0</v>
      </c>
      <c r="AF345" s="7">
        <f t="shared" ca="1" si="175"/>
        <v>0</v>
      </c>
      <c r="AG345" s="7">
        <f t="shared" ca="1" si="175"/>
        <v>0</v>
      </c>
      <c r="AH345" s="7">
        <f t="shared" ca="1" si="175"/>
        <v>0</v>
      </c>
      <c r="AI345" s="7">
        <f t="shared" ca="1" si="175"/>
        <v>0</v>
      </c>
      <c r="AJ345" s="7">
        <f t="shared" ca="1" si="175"/>
        <v>0</v>
      </c>
      <c r="AK345" s="7">
        <f t="shared" ca="1" si="175"/>
        <v>0</v>
      </c>
      <c r="AL345" s="7">
        <f t="shared" ca="1" si="175"/>
        <v>0</v>
      </c>
      <c r="AM345" s="7">
        <f t="shared" ca="1" si="175"/>
        <v>0</v>
      </c>
    </row>
    <row r="346" spans="1:39" x14ac:dyDescent="0.2">
      <c r="A346" s="17" t="str">
        <f>TEXT(Inputs!$B$92,"")</f>
        <v>Car</v>
      </c>
      <c r="C346" s="7">
        <f t="shared" ref="C346:R349" ca="1" si="176">C306</f>
        <v>0</v>
      </c>
      <c r="D346" s="7">
        <f t="shared" ca="1" si="176"/>
        <v>0</v>
      </c>
      <c r="E346" s="7">
        <f t="shared" ca="1" si="176"/>
        <v>0</v>
      </c>
      <c r="F346" s="7">
        <f t="shared" ca="1" si="176"/>
        <v>0</v>
      </c>
      <c r="G346" s="7">
        <f t="shared" ca="1" si="176"/>
        <v>0</v>
      </c>
      <c r="H346" s="7">
        <f t="shared" ca="1" si="176"/>
        <v>0</v>
      </c>
      <c r="I346" s="7">
        <f t="shared" ca="1" si="176"/>
        <v>0</v>
      </c>
      <c r="J346" s="7">
        <f t="shared" ca="1" si="176"/>
        <v>0</v>
      </c>
      <c r="K346" s="7">
        <f t="shared" ca="1" si="176"/>
        <v>0</v>
      </c>
      <c r="L346" s="7">
        <f t="shared" ca="1" si="176"/>
        <v>0</v>
      </c>
      <c r="M346" s="7">
        <f t="shared" ca="1" si="176"/>
        <v>0</v>
      </c>
      <c r="N346" s="7">
        <f t="shared" ca="1" si="176"/>
        <v>0</v>
      </c>
      <c r="O346" s="7">
        <f t="shared" ca="1" si="176"/>
        <v>0</v>
      </c>
      <c r="P346" s="7">
        <f t="shared" ca="1" si="176"/>
        <v>0</v>
      </c>
      <c r="Q346" s="7">
        <f t="shared" ca="1" si="176"/>
        <v>0</v>
      </c>
      <c r="R346" s="7">
        <f t="shared" ca="1" si="176"/>
        <v>0</v>
      </c>
      <c r="S346" s="7">
        <f t="shared" ca="1" si="175"/>
        <v>0</v>
      </c>
      <c r="T346" s="7">
        <f t="shared" ca="1" si="175"/>
        <v>0</v>
      </c>
      <c r="U346" s="7">
        <f t="shared" ca="1" si="175"/>
        <v>0</v>
      </c>
      <c r="V346" s="7">
        <f t="shared" ca="1" si="175"/>
        <v>0</v>
      </c>
      <c r="W346" s="7">
        <f t="shared" ca="1" si="175"/>
        <v>0</v>
      </c>
      <c r="X346" s="7">
        <f t="shared" ca="1" si="175"/>
        <v>0</v>
      </c>
      <c r="Y346" s="7">
        <f t="shared" ca="1" si="175"/>
        <v>0</v>
      </c>
      <c r="Z346" s="7">
        <f t="shared" ca="1" si="175"/>
        <v>0</v>
      </c>
      <c r="AA346" s="7">
        <f t="shared" ca="1" si="175"/>
        <v>0</v>
      </c>
      <c r="AB346" s="7">
        <f t="shared" ca="1" si="175"/>
        <v>0</v>
      </c>
      <c r="AC346" s="7">
        <f t="shared" ca="1" si="175"/>
        <v>0</v>
      </c>
      <c r="AD346" s="7">
        <f t="shared" ca="1" si="175"/>
        <v>0</v>
      </c>
      <c r="AE346" s="7">
        <f t="shared" ca="1" si="175"/>
        <v>0</v>
      </c>
      <c r="AF346" s="7">
        <f t="shared" ca="1" si="175"/>
        <v>0</v>
      </c>
      <c r="AG346" s="7">
        <f t="shared" ca="1" si="175"/>
        <v>0</v>
      </c>
      <c r="AH346" s="7">
        <f t="shared" ca="1" si="175"/>
        <v>0</v>
      </c>
      <c r="AI346" s="7">
        <f t="shared" ca="1" si="175"/>
        <v>0</v>
      </c>
      <c r="AJ346" s="7">
        <f t="shared" ca="1" si="175"/>
        <v>0</v>
      </c>
      <c r="AK346" s="7">
        <f t="shared" ca="1" si="175"/>
        <v>0</v>
      </c>
      <c r="AL346" s="7">
        <f t="shared" ca="1" si="175"/>
        <v>0</v>
      </c>
      <c r="AM346" s="7">
        <f t="shared" ca="1" si="175"/>
        <v>0</v>
      </c>
    </row>
    <row r="347" spans="1:39" x14ac:dyDescent="0.2">
      <c r="A347" s="17" t="str">
        <f>TEXT(Inputs!$B$97,"")</f>
        <v>Painting</v>
      </c>
      <c r="C347" s="7">
        <f t="shared" ca="1" si="176"/>
        <v>0</v>
      </c>
      <c r="D347" s="7">
        <f t="shared" ca="1" si="175"/>
        <v>0</v>
      </c>
      <c r="E347" s="7">
        <f t="shared" ca="1" si="175"/>
        <v>0</v>
      </c>
      <c r="F347" s="7">
        <f t="shared" ca="1" si="175"/>
        <v>0</v>
      </c>
      <c r="G347" s="7">
        <f t="shared" ca="1" si="175"/>
        <v>0</v>
      </c>
      <c r="H347" s="7">
        <f t="shared" ca="1" si="175"/>
        <v>0</v>
      </c>
      <c r="I347" s="7">
        <f t="shared" ca="1" si="175"/>
        <v>0</v>
      </c>
      <c r="J347" s="7">
        <f t="shared" ca="1" si="175"/>
        <v>0</v>
      </c>
      <c r="K347" s="7">
        <f t="shared" ca="1" si="175"/>
        <v>0</v>
      </c>
      <c r="L347" s="7">
        <f t="shared" ca="1" si="175"/>
        <v>0</v>
      </c>
      <c r="M347" s="7">
        <f t="shared" ca="1" si="175"/>
        <v>0</v>
      </c>
      <c r="N347" s="7">
        <f t="shared" ca="1" si="175"/>
        <v>0</v>
      </c>
      <c r="O347" s="7">
        <f t="shared" ca="1" si="175"/>
        <v>0</v>
      </c>
      <c r="P347" s="7">
        <f t="shared" ca="1" si="175"/>
        <v>0</v>
      </c>
      <c r="Q347" s="7">
        <f t="shared" ca="1" si="175"/>
        <v>0</v>
      </c>
      <c r="R347" s="7">
        <f t="shared" ca="1" si="175"/>
        <v>0</v>
      </c>
      <c r="S347" s="7">
        <f t="shared" ca="1" si="175"/>
        <v>0</v>
      </c>
      <c r="T347" s="7">
        <f t="shared" ca="1" si="175"/>
        <v>0</v>
      </c>
      <c r="U347" s="7">
        <f t="shared" ca="1" si="175"/>
        <v>0</v>
      </c>
      <c r="V347" s="7">
        <f t="shared" ca="1" si="175"/>
        <v>0</v>
      </c>
      <c r="W347" s="7">
        <f t="shared" ca="1" si="175"/>
        <v>0</v>
      </c>
      <c r="X347" s="7">
        <f t="shared" ca="1" si="175"/>
        <v>0</v>
      </c>
      <c r="Y347" s="7">
        <f t="shared" ca="1" si="175"/>
        <v>0</v>
      </c>
      <c r="Z347" s="7">
        <f t="shared" ca="1" si="175"/>
        <v>0</v>
      </c>
      <c r="AA347" s="7">
        <f t="shared" ca="1" si="175"/>
        <v>0</v>
      </c>
      <c r="AB347" s="7">
        <f t="shared" ca="1" si="175"/>
        <v>0</v>
      </c>
      <c r="AC347" s="7">
        <f t="shared" ca="1" si="175"/>
        <v>0</v>
      </c>
      <c r="AD347" s="7">
        <f t="shared" ca="1" si="175"/>
        <v>0</v>
      </c>
      <c r="AE347" s="7">
        <f t="shared" ca="1" si="175"/>
        <v>0</v>
      </c>
      <c r="AF347" s="7">
        <f t="shared" ca="1" si="175"/>
        <v>0</v>
      </c>
      <c r="AG347" s="7">
        <f t="shared" ca="1" si="175"/>
        <v>0</v>
      </c>
      <c r="AH347" s="7">
        <f t="shared" ca="1" si="175"/>
        <v>0</v>
      </c>
      <c r="AI347" s="7">
        <f t="shared" ca="1" si="175"/>
        <v>0</v>
      </c>
      <c r="AJ347" s="7">
        <f t="shared" ca="1" si="175"/>
        <v>0</v>
      </c>
      <c r="AK347" s="7">
        <f t="shared" ca="1" si="175"/>
        <v>0</v>
      </c>
      <c r="AL347" s="7">
        <f t="shared" ca="1" si="175"/>
        <v>0</v>
      </c>
      <c r="AM347" s="7">
        <f t="shared" ca="1" si="175"/>
        <v>0</v>
      </c>
    </row>
    <row r="348" spans="1:39" x14ac:dyDescent="0.2">
      <c r="A348" s="17" t="str">
        <f>TEXT(Inputs!$B$102,"")</f>
        <v>Boat</v>
      </c>
      <c r="C348" s="7">
        <f t="shared" ca="1" si="176"/>
        <v>173206.90804157319</v>
      </c>
      <c r="D348" s="7">
        <f t="shared" ca="1" si="175"/>
        <v>164546.56263949451</v>
      </c>
      <c r="E348" s="7">
        <f t="shared" ca="1" si="175"/>
        <v>156319.23450751978</v>
      </c>
      <c r="F348" s="7">
        <f t="shared" ca="1" si="175"/>
        <v>148503.27278214379</v>
      </c>
      <c r="G348" s="7">
        <f t="shared" ca="1" si="175"/>
        <v>141078.10914303659</v>
      </c>
      <c r="H348" s="7">
        <f t="shared" ca="1" si="175"/>
        <v>134024.20368588474</v>
      </c>
      <c r="I348" s="7">
        <f t="shared" ca="1" si="175"/>
        <v>127322.99350159049</v>
      </c>
      <c r="J348" s="7">
        <f t="shared" ca="1" si="175"/>
        <v>120956.84382651096</v>
      </c>
      <c r="K348" s="7">
        <f t="shared" ca="1" si="175"/>
        <v>114909.0016351854</v>
      </c>
      <c r="L348" s="7">
        <f t="shared" ca="1" si="175"/>
        <v>109163.55155342612</v>
      </c>
      <c r="M348" s="7">
        <f t="shared" ca="1" si="175"/>
        <v>103705.37397575482</v>
      </c>
      <c r="N348" s="7">
        <f t="shared" ca="1" si="175"/>
        <v>98520.105276967079</v>
      </c>
      <c r="O348" s="7">
        <f t="shared" ca="1" si="175"/>
        <v>93594.100013118717</v>
      </c>
      <c r="P348" s="7">
        <f t="shared" ca="1" si="175"/>
        <v>88914.395012462774</v>
      </c>
      <c r="Q348" s="7">
        <f t="shared" ca="1" si="175"/>
        <v>84468.675261839628</v>
      </c>
      <c r="R348" s="7">
        <f t="shared" ca="1" si="175"/>
        <v>80245.241498747637</v>
      </c>
      <c r="S348" s="7">
        <f t="shared" ca="1" si="175"/>
        <v>76232.979423810248</v>
      </c>
      <c r="T348" s="7">
        <f t="shared" ca="1" si="175"/>
        <v>72421.330452619732</v>
      </c>
      <c r="U348" s="7">
        <f t="shared" ca="1" si="175"/>
        <v>0</v>
      </c>
      <c r="V348" s="7">
        <f t="shared" ca="1" si="175"/>
        <v>0</v>
      </c>
      <c r="W348" s="7">
        <f t="shared" ca="1" si="175"/>
        <v>0</v>
      </c>
      <c r="X348" s="7">
        <f t="shared" ca="1" si="175"/>
        <v>0</v>
      </c>
      <c r="Y348" s="7">
        <f t="shared" ca="1" si="175"/>
        <v>0</v>
      </c>
      <c r="Z348" s="7">
        <f t="shared" ca="1" si="175"/>
        <v>0</v>
      </c>
      <c r="AA348" s="7">
        <f t="shared" ca="1" si="175"/>
        <v>0</v>
      </c>
      <c r="AB348" s="7">
        <f t="shared" ca="1" si="175"/>
        <v>0</v>
      </c>
      <c r="AC348" s="7">
        <f t="shared" ca="1" si="175"/>
        <v>0</v>
      </c>
      <c r="AD348" s="7">
        <f t="shared" ca="1" si="175"/>
        <v>0</v>
      </c>
      <c r="AE348" s="7">
        <f t="shared" ca="1" si="175"/>
        <v>0</v>
      </c>
      <c r="AF348" s="7">
        <f t="shared" ca="1" si="175"/>
        <v>0</v>
      </c>
      <c r="AG348" s="7">
        <f t="shared" ca="1" si="175"/>
        <v>0</v>
      </c>
      <c r="AH348" s="7">
        <f t="shared" ca="1" si="175"/>
        <v>0</v>
      </c>
      <c r="AI348" s="7">
        <f t="shared" ca="1" si="175"/>
        <v>0</v>
      </c>
      <c r="AJ348" s="7">
        <f t="shared" ca="1" si="175"/>
        <v>0</v>
      </c>
      <c r="AK348" s="7">
        <f t="shared" ca="1" si="175"/>
        <v>0</v>
      </c>
      <c r="AL348" s="7">
        <f t="shared" ca="1" si="175"/>
        <v>0</v>
      </c>
      <c r="AM348" s="7">
        <f t="shared" ca="1" si="175"/>
        <v>0</v>
      </c>
    </row>
    <row r="349" spans="1:39" x14ac:dyDescent="0.2">
      <c r="A349" s="17" t="str">
        <f>TEXT(Inputs!$B$107,"")</f>
        <v>Antiques</v>
      </c>
      <c r="C349" s="7">
        <f t="shared" ca="1" si="176"/>
        <v>83226.9503404141</v>
      </c>
      <c r="D349" s="7">
        <f t="shared" ca="1" si="175"/>
        <v>84891.489347222378</v>
      </c>
      <c r="E349" s="7">
        <f t="shared" ca="1" si="175"/>
        <v>0</v>
      </c>
      <c r="F349" s="7">
        <f t="shared" ca="1" si="175"/>
        <v>0</v>
      </c>
      <c r="G349" s="7">
        <f t="shared" ca="1" si="175"/>
        <v>0</v>
      </c>
      <c r="H349" s="7">
        <f t="shared" ca="1" si="175"/>
        <v>0</v>
      </c>
      <c r="I349" s="7">
        <f t="shared" ca="1" si="175"/>
        <v>0</v>
      </c>
      <c r="J349" s="7">
        <f t="shared" ca="1" si="175"/>
        <v>0</v>
      </c>
      <c r="K349" s="7">
        <f t="shared" ca="1" si="175"/>
        <v>0</v>
      </c>
      <c r="L349" s="7">
        <f t="shared" ca="1" si="175"/>
        <v>0</v>
      </c>
      <c r="M349" s="7">
        <f t="shared" ca="1" si="175"/>
        <v>0</v>
      </c>
      <c r="N349" s="7">
        <f t="shared" ca="1" si="175"/>
        <v>0</v>
      </c>
      <c r="O349" s="7">
        <f t="shared" ca="1" si="175"/>
        <v>0</v>
      </c>
      <c r="P349" s="7">
        <f t="shared" ca="1" si="175"/>
        <v>0</v>
      </c>
      <c r="Q349" s="7">
        <f t="shared" ca="1" si="175"/>
        <v>0</v>
      </c>
      <c r="R349" s="7">
        <f t="shared" ca="1" si="175"/>
        <v>0</v>
      </c>
      <c r="S349" s="7">
        <f t="shared" ca="1" si="175"/>
        <v>0</v>
      </c>
      <c r="T349" s="7">
        <f t="shared" ca="1" si="175"/>
        <v>0</v>
      </c>
      <c r="U349" s="7">
        <f t="shared" ca="1" si="175"/>
        <v>0</v>
      </c>
      <c r="V349" s="7">
        <f t="shared" ca="1" si="175"/>
        <v>0</v>
      </c>
      <c r="W349" s="7">
        <f t="shared" ca="1" si="175"/>
        <v>0</v>
      </c>
      <c r="X349" s="7">
        <f t="shared" ca="1" si="175"/>
        <v>0</v>
      </c>
      <c r="Y349" s="7">
        <f t="shared" ca="1" si="175"/>
        <v>0</v>
      </c>
      <c r="Z349" s="7">
        <f t="shared" ca="1" si="175"/>
        <v>0</v>
      </c>
      <c r="AA349" s="7">
        <f t="shared" ca="1" si="175"/>
        <v>0</v>
      </c>
      <c r="AB349" s="7">
        <f t="shared" ca="1" si="175"/>
        <v>0</v>
      </c>
      <c r="AC349" s="7">
        <f t="shared" ca="1" si="175"/>
        <v>0</v>
      </c>
      <c r="AD349" s="7">
        <f t="shared" ca="1" si="175"/>
        <v>0</v>
      </c>
      <c r="AE349" s="7">
        <f t="shared" ca="1" si="175"/>
        <v>0</v>
      </c>
      <c r="AF349" s="7">
        <f t="shared" ca="1" si="175"/>
        <v>0</v>
      </c>
      <c r="AG349" s="7">
        <f t="shared" ca="1" si="175"/>
        <v>0</v>
      </c>
      <c r="AH349" s="7">
        <f t="shared" ca="1" si="175"/>
        <v>0</v>
      </c>
      <c r="AI349" s="7">
        <f t="shared" ca="1" si="175"/>
        <v>0</v>
      </c>
      <c r="AJ349" s="7">
        <f t="shared" ca="1" si="175"/>
        <v>0</v>
      </c>
      <c r="AK349" s="7">
        <f t="shared" ca="1" si="175"/>
        <v>0</v>
      </c>
      <c r="AL349" s="7">
        <f t="shared" ca="1" si="175"/>
        <v>0</v>
      </c>
      <c r="AM349" s="7">
        <f t="shared" ca="1" si="175"/>
        <v>0</v>
      </c>
    </row>
    <row r="350" spans="1:39" x14ac:dyDescent="0.2">
      <c r="A350" s="16" t="str">
        <f t="shared" ref="A350:A357" si="177">A82</f>
        <v>Stock market equity investments</v>
      </c>
      <c r="C350" s="7">
        <f t="shared" ref="C350:AM350" ca="1" si="178">C107</f>
        <v>31782.57432893329</v>
      </c>
      <c r="D350" s="7">
        <f t="shared" ca="1" si="178"/>
        <v>0</v>
      </c>
      <c r="E350" s="7">
        <f t="shared" ca="1" si="178"/>
        <v>0</v>
      </c>
      <c r="F350" s="7">
        <f t="shared" ca="1" si="178"/>
        <v>0</v>
      </c>
      <c r="G350" s="7">
        <f t="shared" ca="1" si="178"/>
        <v>0</v>
      </c>
      <c r="H350" s="7">
        <f t="shared" ca="1" si="178"/>
        <v>0</v>
      </c>
      <c r="I350" s="7">
        <f t="shared" ca="1" si="178"/>
        <v>0</v>
      </c>
      <c r="J350" s="7">
        <f t="shared" ca="1" si="178"/>
        <v>0</v>
      </c>
      <c r="K350" s="7">
        <f t="shared" ca="1" si="178"/>
        <v>0</v>
      </c>
      <c r="L350" s="7">
        <f t="shared" ca="1" si="178"/>
        <v>0</v>
      </c>
      <c r="M350" s="7">
        <f t="shared" ca="1" si="178"/>
        <v>0</v>
      </c>
      <c r="N350" s="7">
        <f t="shared" ca="1" si="178"/>
        <v>0</v>
      </c>
      <c r="O350" s="7">
        <f t="shared" ca="1" si="178"/>
        <v>0</v>
      </c>
      <c r="P350" s="7">
        <f t="shared" ca="1" si="178"/>
        <v>0</v>
      </c>
      <c r="Q350" s="7">
        <f t="shared" ca="1" si="178"/>
        <v>0</v>
      </c>
      <c r="R350" s="7">
        <f t="shared" ca="1" si="178"/>
        <v>0</v>
      </c>
      <c r="S350" s="7">
        <f t="shared" ca="1" si="178"/>
        <v>0</v>
      </c>
      <c r="T350" s="7">
        <f t="shared" ca="1" si="178"/>
        <v>0</v>
      </c>
      <c r="U350" s="7">
        <f t="shared" ca="1" si="178"/>
        <v>0</v>
      </c>
      <c r="V350" s="7">
        <f t="shared" ca="1" si="178"/>
        <v>0</v>
      </c>
      <c r="W350" s="7">
        <f t="shared" ca="1" si="178"/>
        <v>0</v>
      </c>
      <c r="X350" s="7">
        <f t="shared" ca="1" si="178"/>
        <v>0</v>
      </c>
      <c r="Y350" s="7">
        <f t="shared" ca="1" si="178"/>
        <v>0</v>
      </c>
      <c r="Z350" s="7">
        <f t="shared" ca="1" si="178"/>
        <v>0</v>
      </c>
      <c r="AA350" s="7">
        <f t="shared" ca="1" si="178"/>
        <v>0</v>
      </c>
      <c r="AB350" s="7">
        <f t="shared" ca="1" si="178"/>
        <v>0</v>
      </c>
      <c r="AC350" s="7">
        <f t="shared" ca="1" si="178"/>
        <v>0</v>
      </c>
      <c r="AD350" s="7">
        <f t="shared" ca="1" si="178"/>
        <v>0</v>
      </c>
      <c r="AE350" s="7">
        <f t="shared" ca="1" si="178"/>
        <v>0</v>
      </c>
      <c r="AF350" s="7">
        <f t="shared" ca="1" si="178"/>
        <v>0</v>
      </c>
      <c r="AG350" s="7">
        <f t="shared" ca="1" si="178"/>
        <v>0</v>
      </c>
      <c r="AH350" s="7">
        <f t="shared" ca="1" si="178"/>
        <v>0</v>
      </c>
      <c r="AI350" s="7">
        <f t="shared" ca="1" si="178"/>
        <v>0</v>
      </c>
      <c r="AJ350" s="7">
        <f t="shared" ca="1" si="178"/>
        <v>0</v>
      </c>
      <c r="AK350" s="7">
        <f t="shared" ca="1" si="178"/>
        <v>0</v>
      </c>
      <c r="AL350" s="7">
        <f t="shared" ca="1" si="178"/>
        <v>0</v>
      </c>
      <c r="AM350" s="7">
        <f t="shared" ca="1" si="178"/>
        <v>0</v>
      </c>
    </row>
    <row r="351" spans="1:39" x14ac:dyDescent="0.2">
      <c r="A351" s="16" t="str">
        <f t="shared" si="177"/>
        <v>Home loan</v>
      </c>
      <c r="C351" s="7">
        <f t="shared" ref="C351:AM351" ca="1" si="179">C83</f>
        <v>-48409.157779606016</v>
      </c>
      <c r="D351" s="7">
        <f t="shared" ca="1" si="179"/>
        <v>-46231.653807228853</v>
      </c>
      <c r="E351" s="7">
        <f t="shared" ca="1" si="179"/>
        <v>-43987.918967848869</v>
      </c>
      <c r="F351" s="7">
        <f t="shared" ca="1" si="179"/>
        <v>-41675.938786268969</v>
      </c>
      <c r="G351" s="7">
        <f t="shared" ca="1" si="179"/>
        <v>0</v>
      </c>
      <c r="H351" s="7">
        <f t="shared" ca="1" si="179"/>
        <v>0</v>
      </c>
      <c r="I351" s="7">
        <f t="shared" ca="1" si="179"/>
        <v>0</v>
      </c>
      <c r="J351" s="7">
        <f t="shared" ca="1" si="179"/>
        <v>0</v>
      </c>
      <c r="K351" s="7">
        <f t="shared" ca="1" si="179"/>
        <v>0</v>
      </c>
      <c r="L351" s="7">
        <f t="shared" ca="1" si="179"/>
        <v>0</v>
      </c>
      <c r="M351" s="7">
        <f t="shared" ca="1" si="179"/>
        <v>0</v>
      </c>
      <c r="N351" s="7">
        <f t="shared" ca="1" si="179"/>
        <v>0</v>
      </c>
      <c r="O351" s="7">
        <f t="shared" ca="1" si="179"/>
        <v>0</v>
      </c>
      <c r="P351" s="7">
        <f t="shared" ca="1" si="179"/>
        <v>0</v>
      </c>
      <c r="Q351" s="7">
        <f t="shared" ca="1" si="179"/>
        <v>0</v>
      </c>
      <c r="R351" s="7">
        <f t="shared" ca="1" si="179"/>
        <v>0</v>
      </c>
      <c r="S351" s="7">
        <f t="shared" ca="1" si="179"/>
        <v>0</v>
      </c>
      <c r="T351" s="7">
        <f t="shared" ca="1" si="179"/>
        <v>0</v>
      </c>
      <c r="U351" s="7">
        <f t="shared" ca="1" si="179"/>
        <v>0</v>
      </c>
      <c r="V351" s="7">
        <f t="shared" ca="1" si="179"/>
        <v>0</v>
      </c>
      <c r="W351" s="7">
        <f t="shared" ca="1" si="179"/>
        <v>0</v>
      </c>
      <c r="X351" s="7">
        <f t="shared" ca="1" si="179"/>
        <v>0</v>
      </c>
      <c r="Y351" s="7">
        <f t="shared" ca="1" si="179"/>
        <v>0</v>
      </c>
      <c r="Z351" s="7">
        <f t="shared" ca="1" si="179"/>
        <v>0</v>
      </c>
      <c r="AA351" s="7">
        <f t="shared" ca="1" si="179"/>
        <v>0</v>
      </c>
      <c r="AB351" s="7">
        <f t="shared" ca="1" si="179"/>
        <v>0</v>
      </c>
      <c r="AC351" s="7">
        <f t="shared" ca="1" si="179"/>
        <v>0</v>
      </c>
      <c r="AD351" s="7">
        <f t="shared" ca="1" si="179"/>
        <v>0</v>
      </c>
      <c r="AE351" s="7">
        <f t="shared" ca="1" si="179"/>
        <v>0</v>
      </c>
      <c r="AF351" s="7">
        <f t="shared" ca="1" si="179"/>
        <v>0</v>
      </c>
      <c r="AG351" s="7">
        <f t="shared" ca="1" si="179"/>
        <v>0</v>
      </c>
      <c r="AH351" s="7">
        <f t="shared" ca="1" si="179"/>
        <v>0</v>
      </c>
      <c r="AI351" s="7">
        <f t="shared" ca="1" si="179"/>
        <v>0</v>
      </c>
      <c r="AJ351" s="7">
        <f t="shared" ca="1" si="179"/>
        <v>0</v>
      </c>
      <c r="AK351" s="7">
        <f t="shared" ca="1" si="179"/>
        <v>0</v>
      </c>
      <c r="AL351" s="7">
        <f t="shared" ca="1" si="179"/>
        <v>0</v>
      </c>
      <c r="AM351" s="7">
        <f t="shared" ca="1" si="179"/>
        <v>0</v>
      </c>
    </row>
    <row r="352" spans="1:39" x14ac:dyDescent="0.2">
      <c r="A352" s="16" t="str">
        <f t="shared" si="177"/>
        <v>Other asset loans</v>
      </c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</row>
    <row r="353" spans="1:39" x14ac:dyDescent="0.2">
      <c r="A353" s="17" t="str">
        <f t="shared" si="177"/>
        <v>Sliema</v>
      </c>
      <c r="C353" s="7">
        <f t="shared" ref="C353:AM359" ca="1" si="180">C324</f>
        <v>-46591.052384870025</v>
      </c>
      <c r="D353" s="7">
        <f t="shared" ca="1" si="180"/>
        <v>-41924.97244406183</v>
      </c>
      <c r="E353" s="7">
        <f t="shared" ca="1" si="180"/>
        <v>-37116.969216818994</v>
      </c>
      <c r="F353" s="7">
        <f t="shared" ca="1" si="180"/>
        <v>-32162.725970576364</v>
      </c>
      <c r="G353" s="7">
        <f t="shared" ca="1" si="180"/>
        <v>-27057.79467521701</v>
      </c>
      <c r="H353" s="7">
        <f t="shared" ca="1" si="180"/>
        <v>-21797.592009531552</v>
      </c>
      <c r="I353" s="7">
        <f t="shared" ca="1" si="180"/>
        <v>-16377.395246210348</v>
      </c>
      <c r="J353" s="7">
        <f t="shared" ca="1" si="180"/>
        <v>-10792.33801167312</v>
      </c>
      <c r="K353" s="7">
        <f t="shared" ca="1" si="180"/>
        <v>-5037.4059169308748</v>
      </c>
      <c r="L353" s="7">
        <f t="shared" ca="1" si="180"/>
        <v>0</v>
      </c>
      <c r="M353" s="7">
        <f t="shared" ca="1" si="180"/>
        <v>0</v>
      </c>
      <c r="N353" s="7">
        <f t="shared" ca="1" si="180"/>
        <v>0</v>
      </c>
      <c r="O353" s="7">
        <f t="shared" ca="1" si="180"/>
        <v>0</v>
      </c>
      <c r="P353" s="7">
        <f t="shared" ca="1" si="180"/>
        <v>0</v>
      </c>
      <c r="Q353" s="7">
        <f t="shared" ca="1" si="180"/>
        <v>0</v>
      </c>
      <c r="R353" s="7">
        <f t="shared" ca="1" si="180"/>
        <v>0</v>
      </c>
      <c r="S353" s="7">
        <f t="shared" ca="1" si="180"/>
        <v>0</v>
      </c>
      <c r="T353" s="7">
        <f t="shared" ca="1" si="180"/>
        <v>0</v>
      </c>
      <c r="U353" s="7">
        <f t="shared" ca="1" si="180"/>
        <v>0</v>
      </c>
      <c r="V353" s="7">
        <f t="shared" ca="1" si="180"/>
        <v>0</v>
      </c>
      <c r="W353" s="7">
        <f t="shared" ca="1" si="180"/>
        <v>0</v>
      </c>
      <c r="X353" s="7">
        <f t="shared" ca="1" si="180"/>
        <v>0</v>
      </c>
      <c r="Y353" s="7">
        <f t="shared" ca="1" si="180"/>
        <v>0</v>
      </c>
      <c r="Z353" s="7">
        <f t="shared" ca="1" si="180"/>
        <v>0</v>
      </c>
      <c r="AA353" s="7">
        <f t="shared" ca="1" si="180"/>
        <v>0</v>
      </c>
      <c r="AB353" s="7">
        <f t="shared" ca="1" si="180"/>
        <v>0</v>
      </c>
      <c r="AC353" s="7">
        <f t="shared" ca="1" si="180"/>
        <v>0</v>
      </c>
      <c r="AD353" s="7">
        <f t="shared" ca="1" si="180"/>
        <v>0</v>
      </c>
      <c r="AE353" s="7">
        <f t="shared" ca="1" si="180"/>
        <v>0</v>
      </c>
      <c r="AF353" s="7">
        <f t="shared" ca="1" si="180"/>
        <v>0</v>
      </c>
      <c r="AG353" s="7">
        <f t="shared" ca="1" si="180"/>
        <v>0</v>
      </c>
      <c r="AH353" s="7">
        <f t="shared" ca="1" si="180"/>
        <v>0</v>
      </c>
      <c r="AI353" s="7">
        <f t="shared" ca="1" si="180"/>
        <v>0</v>
      </c>
      <c r="AJ353" s="7">
        <f t="shared" ca="1" si="180"/>
        <v>0</v>
      </c>
      <c r="AK353" s="7">
        <f t="shared" ca="1" si="180"/>
        <v>0</v>
      </c>
      <c r="AL353" s="7">
        <f t="shared" ca="1" si="180"/>
        <v>0</v>
      </c>
      <c r="AM353" s="7">
        <f t="shared" ca="1" si="180"/>
        <v>0</v>
      </c>
    </row>
    <row r="354" spans="1:39" x14ac:dyDescent="0.2">
      <c r="A354" s="17" t="str">
        <f t="shared" si="177"/>
        <v>Gzira</v>
      </c>
      <c r="C354" s="7">
        <f t="shared" ca="1" si="180"/>
        <v>-6816.3065303051853</v>
      </c>
      <c r="D354" s="7">
        <f t="shared" ca="1" si="180"/>
        <v>-4531.7666039667383</v>
      </c>
      <c r="E354" s="7">
        <f t="shared" ca="1" si="180"/>
        <v>-2201.1147111864902</v>
      </c>
      <c r="F354" s="7">
        <f t="shared" ca="1" si="180"/>
        <v>0</v>
      </c>
      <c r="G354" s="7">
        <f t="shared" ca="1" si="180"/>
        <v>0</v>
      </c>
      <c r="H354" s="7">
        <f t="shared" ca="1" si="180"/>
        <v>0</v>
      </c>
      <c r="I354" s="7">
        <f t="shared" ca="1" si="180"/>
        <v>0</v>
      </c>
      <c r="J354" s="7">
        <f t="shared" ca="1" si="180"/>
        <v>0</v>
      </c>
      <c r="K354" s="7">
        <f t="shared" ca="1" si="180"/>
        <v>0</v>
      </c>
      <c r="L354" s="7">
        <f t="shared" ca="1" si="180"/>
        <v>0</v>
      </c>
      <c r="M354" s="7">
        <f t="shared" ca="1" si="180"/>
        <v>0</v>
      </c>
      <c r="N354" s="7">
        <f t="shared" ca="1" si="180"/>
        <v>0</v>
      </c>
      <c r="O354" s="7">
        <f t="shared" ca="1" si="180"/>
        <v>0</v>
      </c>
      <c r="P354" s="7">
        <f t="shared" ca="1" si="180"/>
        <v>0</v>
      </c>
      <c r="Q354" s="7">
        <f t="shared" ca="1" si="180"/>
        <v>0</v>
      </c>
      <c r="R354" s="7">
        <f t="shared" ca="1" si="180"/>
        <v>0</v>
      </c>
      <c r="S354" s="7">
        <f t="shared" ca="1" si="180"/>
        <v>0</v>
      </c>
      <c r="T354" s="7">
        <f t="shared" ca="1" si="180"/>
        <v>0</v>
      </c>
      <c r="U354" s="7">
        <f t="shared" ca="1" si="180"/>
        <v>0</v>
      </c>
      <c r="V354" s="7">
        <f t="shared" ca="1" si="180"/>
        <v>0</v>
      </c>
      <c r="W354" s="7">
        <f t="shared" ca="1" si="180"/>
        <v>0</v>
      </c>
      <c r="X354" s="7">
        <f t="shared" ca="1" si="180"/>
        <v>0</v>
      </c>
      <c r="Y354" s="7">
        <f t="shared" ca="1" si="180"/>
        <v>0</v>
      </c>
      <c r="Z354" s="7">
        <f t="shared" ca="1" si="180"/>
        <v>0</v>
      </c>
      <c r="AA354" s="7">
        <f t="shared" ca="1" si="180"/>
        <v>0</v>
      </c>
      <c r="AB354" s="7">
        <f t="shared" ca="1" si="180"/>
        <v>0</v>
      </c>
      <c r="AC354" s="7">
        <f t="shared" ca="1" si="180"/>
        <v>0</v>
      </c>
      <c r="AD354" s="7">
        <f t="shared" ca="1" si="180"/>
        <v>0</v>
      </c>
      <c r="AE354" s="7">
        <f t="shared" ca="1" si="180"/>
        <v>0</v>
      </c>
      <c r="AF354" s="7">
        <f t="shared" ca="1" si="180"/>
        <v>0</v>
      </c>
      <c r="AG354" s="7">
        <f t="shared" ca="1" si="180"/>
        <v>0</v>
      </c>
      <c r="AH354" s="7">
        <f t="shared" ca="1" si="180"/>
        <v>0</v>
      </c>
      <c r="AI354" s="7">
        <f t="shared" ca="1" si="180"/>
        <v>0</v>
      </c>
      <c r="AJ354" s="7">
        <f t="shared" ca="1" si="180"/>
        <v>0</v>
      </c>
      <c r="AK354" s="7">
        <f t="shared" ca="1" si="180"/>
        <v>0</v>
      </c>
      <c r="AL354" s="7">
        <f t="shared" ca="1" si="180"/>
        <v>0</v>
      </c>
      <c r="AM354" s="7">
        <f t="shared" ca="1" si="180"/>
        <v>0</v>
      </c>
    </row>
    <row r="355" spans="1:39" x14ac:dyDescent="0.2">
      <c r="A355" s="17" t="str">
        <f t="shared" si="177"/>
        <v>Qormi</v>
      </c>
      <c r="C355" s="7">
        <f t="shared" ca="1" si="180"/>
        <v>-13284.099846375037</v>
      </c>
      <c r="D355" s="7">
        <f t="shared" ca="1" si="180"/>
        <v>-10894.02573326202</v>
      </c>
      <c r="E355" s="7">
        <f t="shared" ca="1" si="180"/>
        <v>-8381.6708924441427</v>
      </c>
      <c r="F355" s="7">
        <f t="shared" ca="1" si="180"/>
        <v>-5740.779209817676</v>
      </c>
      <c r="G355" s="7">
        <f t="shared" ca="1" si="180"/>
        <v>-2964.7744966079426</v>
      </c>
      <c r="H355" s="7">
        <f t="shared" ca="1" si="180"/>
        <v>-46.744113741759065</v>
      </c>
      <c r="I355" s="7">
        <f t="shared" ca="1" si="180"/>
        <v>0</v>
      </c>
      <c r="J355" s="7">
        <f t="shared" ca="1" si="180"/>
        <v>0</v>
      </c>
      <c r="K355" s="7">
        <f t="shared" ca="1" si="180"/>
        <v>0</v>
      </c>
      <c r="L355" s="7">
        <f t="shared" ca="1" si="180"/>
        <v>0</v>
      </c>
      <c r="M355" s="7">
        <f t="shared" ca="1" si="180"/>
        <v>0</v>
      </c>
      <c r="N355" s="7">
        <f t="shared" ca="1" si="180"/>
        <v>0</v>
      </c>
      <c r="O355" s="7">
        <f t="shared" ca="1" si="180"/>
        <v>0</v>
      </c>
      <c r="P355" s="7">
        <f t="shared" ca="1" si="180"/>
        <v>0</v>
      </c>
      <c r="Q355" s="7">
        <f t="shared" ca="1" si="180"/>
        <v>0</v>
      </c>
      <c r="R355" s="7">
        <f t="shared" ca="1" si="180"/>
        <v>0</v>
      </c>
      <c r="S355" s="7">
        <f t="shared" ca="1" si="180"/>
        <v>0</v>
      </c>
      <c r="T355" s="7">
        <f t="shared" ca="1" si="180"/>
        <v>0</v>
      </c>
      <c r="U355" s="7">
        <f t="shared" ca="1" si="180"/>
        <v>0</v>
      </c>
      <c r="V355" s="7">
        <f t="shared" ca="1" si="180"/>
        <v>0</v>
      </c>
      <c r="W355" s="7">
        <f t="shared" ca="1" si="180"/>
        <v>0</v>
      </c>
      <c r="X355" s="7">
        <f t="shared" ca="1" si="180"/>
        <v>0</v>
      </c>
      <c r="Y355" s="7">
        <f t="shared" ca="1" si="180"/>
        <v>0</v>
      </c>
      <c r="Z355" s="7">
        <f t="shared" ca="1" si="180"/>
        <v>0</v>
      </c>
      <c r="AA355" s="7">
        <f t="shared" ca="1" si="180"/>
        <v>0</v>
      </c>
      <c r="AB355" s="7">
        <f t="shared" ca="1" si="180"/>
        <v>0</v>
      </c>
      <c r="AC355" s="7">
        <f t="shared" ca="1" si="180"/>
        <v>0</v>
      </c>
      <c r="AD355" s="7">
        <f t="shared" ca="1" si="180"/>
        <v>0</v>
      </c>
      <c r="AE355" s="7">
        <f t="shared" ca="1" si="180"/>
        <v>0</v>
      </c>
      <c r="AF355" s="7">
        <f t="shared" ca="1" si="180"/>
        <v>0</v>
      </c>
      <c r="AG355" s="7">
        <f t="shared" ca="1" si="180"/>
        <v>0</v>
      </c>
      <c r="AH355" s="7">
        <f t="shared" ca="1" si="180"/>
        <v>0</v>
      </c>
      <c r="AI355" s="7">
        <f t="shared" ca="1" si="180"/>
        <v>0</v>
      </c>
      <c r="AJ355" s="7">
        <f t="shared" ca="1" si="180"/>
        <v>0</v>
      </c>
      <c r="AK355" s="7">
        <f t="shared" ca="1" si="180"/>
        <v>0</v>
      </c>
      <c r="AL355" s="7">
        <f t="shared" ca="1" si="180"/>
        <v>0</v>
      </c>
      <c r="AM355" s="7">
        <f t="shared" ca="1" si="180"/>
        <v>0</v>
      </c>
    </row>
    <row r="356" spans="1:39" x14ac:dyDescent="0.2">
      <c r="A356" s="17" t="str">
        <f t="shared" si="177"/>
        <v>Gudja</v>
      </c>
      <c r="C356" s="7">
        <f t="shared" ca="1" si="180"/>
        <v>-4025.8511111463736</v>
      </c>
      <c r="D356" s="7">
        <f t="shared" ca="1" si="180"/>
        <v>-3138.2612491824134</v>
      </c>
      <c r="E356" s="7">
        <f t="shared" ca="1" si="180"/>
        <v>0</v>
      </c>
      <c r="F356" s="7">
        <f t="shared" ca="1" si="180"/>
        <v>0</v>
      </c>
      <c r="G356" s="7">
        <f t="shared" ca="1" si="180"/>
        <v>0</v>
      </c>
      <c r="H356" s="7">
        <f t="shared" ca="1" si="180"/>
        <v>0</v>
      </c>
      <c r="I356" s="7">
        <f t="shared" ca="1" si="180"/>
        <v>0</v>
      </c>
      <c r="J356" s="7">
        <f t="shared" ca="1" si="180"/>
        <v>0</v>
      </c>
      <c r="K356" s="7">
        <f t="shared" ca="1" si="180"/>
        <v>0</v>
      </c>
      <c r="L356" s="7">
        <f t="shared" ca="1" si="180"/>
        <v>0</v>
      </c>
      <c r="M356" s="7">
        <f t="shared" ca="1" si="180"/>
        <v>0</v>
      </c>
      <c r="N356" s="7">
        <f t="shared" ca="1" si="180"/>
        <v>0</v>
      </c>
      <c r="O356" s="7">
        <f t="shared" ca="1" si="180"/>
        <v>0</v>
      </c>
      <c r="P356" s="7">
        <f t="shared" ca="1" si="180"/>
        <v>0</v>
      </c>
      <c r="Q356" s="7">
        <f t="shared" ca="1" si="180"/>
        <v>0</v>
      </c>
      <c r="R356" s="7">
        <f t="shared" ca="1" si="180"/>
        <v>0</v>
      </c>
      <c r="S356" s="7">
        <f t="shared" ca="1" si="180"/>
        <v>0</v>
      </c>
      <c r="T356" s="7">
        <f t="shared" ca="1" si="180"/>
        <v>0</v>
      </c>
      <c r="U356" s="7">
        <f t="shared" ca="1" si="180"/>
        <v>0</v>
      </c>
      <c r="V356" s="7">
        <f t="shared" ca="1" si="180"/>
        <v>0</v>
      </c>
      <c r="W356" s="7">
        <f t="shared" ca="1" si="180"/>
        <v>0</v>
      </c>
      <c r="X356" s="7">
        <f t="shared" ca="1" si="180"/>
        <v>0</v>
      </c>
      <c r="Y356" s="7">
        <f t="shared" ca="1" si="180"/>
        <v>0</v>
      </c>
      <c r="Z356" s="7">
        <f t="shared" ca="1" si="180"/>
        <v>0</v>
      </c>
      <c r="AA356" s="7">
        <f t="shared" ca="1" si="180"/>
        <v>0</v>
      </c>
      <c r="AB356" s="7">
        <f t="shared" ca="1" si="180"/>
        <v>0</v>
      </c>
      <c r="AC356" s="7">
        <f t="shared" ca="1" si="180"/>
        <v>0</v>
      </c>
      <c r="AD356" s="7">
        <f t="shared" ca="1" si="180"/>
        <v>0</v>
      </c>
      <c r="AE356" s="7">
        <f t="shared" ca="1" si="180"/>
        <v>0</v>
      </c>
      <c r="AF356" s="7">
        <f t="shared" ca="1" si="180"/>
        <v>0</v>
      </c>
      <c r="AG356" s="7">
        <f t="shared" ca="1" si="180"/>
        <v>0</v>
      </c>
      <c r="AH356" s="7">
        <f t="shared" ca="1" si="180"/>
        <v>0</v>
      </c>
      <c r="AI356" s="7">
        <f t="shared" ca="1" si="180"/>
        <v>0</v>
      </c>
      <c r="AJ356" s="7">
        <f t="shared" ca="1" si="180"/>
        <v>0</v>
      </c>
      <c r="AK356" s="7">
        <f t="shared" ca="1" si="180"/>
        <v>0</v>
      </c>
      <c r="AL356" s="7">
        <f t="shared" ca="1" si="180"/>
        <v>0</v>
      </c>
      <c r="AM356" s="7">
        <f t="shared" ca="1" si="180"/>
        <v>0</v>
      </c>
    </row>
    <row r="357" spans="1:39" x14ac:dyDescent="0.2">
      <c r="A357" s="17" t="str">
        <f t="shared" si="177"/>
        <v>Marsa</v>
      </c>
      <c r="C357" s="7">
        <f t="shared" ca="1" si="180"/>
        <v>-8649.5822104017261</v>
      </c>
      <c r="D357" s="7">
        <f t="shared" ca="1" si="180"/>
        <v>-7452.7015983848178</v>
      </c>
      <c r="E357" s="7">
        <f t="shared" ca="1" si="180"/>
        <v>-6219.4167172421839</v>
      </c>
      <c r="F357" s="7">
        <f t="shared" ca="1" si="180"/>
        <v>-4948.6202962926418</v>
      </c>
      <c r="G357" s="7">
        <f t="shared" ca="1" si="180"/>
        <v>-3639.1713861576636</v>
      </c>
      <c r="H357" s="7">
        <f t="shared" ca="1" si="180"/>
        <v>-2289.8943343915744</v>
      </c>
      <c r="I357" s="7">
        <f t="shared" ca="1" si="180"/>
        <v>-899.57772995459527</v>
      </c>
      <c r="J357" s="7">
        <f t="shared" ca="1" si="180"/>
        <v>0</v>
      </c>
      <c r="K357" s="7">
        <f t="shared" ca="1" si="180"/>
        <v>0</v>
      </c>
      <c r="L357" s="7">
        <f t="shared" ca="1" si="180"/>
        <v>0</v>
      </c>
      <c r="M357" s="7">
        <f t="shared" ca="1" si="180"/>
        <v>0</v>
      </c>
      <c r="N357" s="7">
        <f t="shared" ca="1" si="180"/>
        <v>0</v>
      </c>
      <c r="O357" s="7">
        <f t="shared" ca="1" si="180"/>
        <v>0</v>
      </c>
      <c r="P357" s="7">
        <f t="shared" ca="1" si="180"/>
        <v>0</v>
      </c>
      <c r="Q357" s="7">
        <f t="shared" ca="1" si="180"/>
        <v>0</v>
      </c>
      <c r="R357" s="7">
        <f t="shared" ca="1" si="180"/>
        <v>0</v>
      </c>
      <c r="S357" s="7">
        <f t="shared" ca="1" si="180"/>
        <v>0</v>
      </c>
      <c r="T357" s="7">
        <f t="shared" ca="1" si="180"/>
        <v>0</v>
      </c>
      <c r="U357" s="7">
        <f t="shared" ca="1" si="180"/>
        <v>0</v>
      </c>
      <c r="V357" s="7">
        <f t="shared" ca="1" si="180"/>
        <v>0</v>
      </c>
      <c r="W357" s="7">
        <f t="shared" ca="1" si="180"/>
        <v>0</v>
      </c>
      <c r="X357" s="7">
        <f t="shared" ca="1" si="180"/>
        <v>0</v>
      </c>
      <c r="Y357" s="7">
        <f t="shared" ca="1" si="180"/>
        <v>0</v>
      </c>
      <c r="Z357" s="7">
        <f t="shared" ca="1" si="180"/>
        <v>0</v>
      </c>
      <c r="AA357" s="7">
        <f t="shared" ca="1" si="180"/>
        <v>0</v>
      </c>
      <c r="AB357" s="7">
        <f t="shared" ca="1" si="180"/>
        <v>0</v>
      </c>
      <c r="AC357" s="7">
        <f t="shared" ca="1" si="180"/>
        <v>0</v>
      </c>
      <c r="AD357" s="7">
        <f t="shared" ca="1" si="180"/>
        <v>0</v>
      </c>
      <c r="AE357" s="7">
        <f t="shared" ca="1" si="180"/>
        <v>0</v>
      </c>
      <c r="AF357" s="7">
        <f t="shared" ca="1" si="180"/>
        <v>0</v>
      </c>
      <c r="AG357" s="7">
        <f t="shared" ca="1" si="180"/>
        <v>0</v>
      </c>
      <c r="AH357" s="7">
        <f t="shared" ca="1" si="180"/>
        <v>0</v>
      </c>
      <c r="AI357" s="7">
        <f t="shared" ca="1" si="180"/>
        <v>0</v>
      </c>
      <c r="AJ357" s="7">
        <f t="shared" ca="1" si="180"/>
        <v>0</v>
      </c>
      <c r="AK357" s="7">
        <f t="shared" ca="1" si="180"/>
        <v>0</v>
      </c>
      <c r="AL357" s="7">
        <f t="shared" ca="1" si="180"/>
        <v>0</v>
      </c>
      <c r="AM357" s="7">
        <f t="shared" ca="1" si="180"/>
        <v>0</v>
      </c>
    </row>
    <row r="358" spans="1:39" x14ac:dyDescent="0.2">
      <c r="A358" s="17" t="str">
        <f>TEXT(Inputs!$B$87,"")</f>
        <v>Jewelry</v>
      </c>
      <c r="C358" s="7">
        <f t="shared" ca="1" si="180"/>
        <v>-1875.0262705595046</v>
      </c>
      <c r="D358" s="7">
        <f t="shared" ca="1" si="180"/>
        <v>0</v>
      </c>
      <c r="E358" s="7">
        <f t="shared" ca="1" si="180"/>
        <v>0</v>
      </c>
      <c r="F358" s="7">
        <f t="shared" ca="1" si="180"/>
        <v>0</v>
      </c>
      <c r="G358" s="7">
        <f t="shared" ca="1" si="180"/>
        <v>0</v>
      </c>
      <c r="H358" s="7">
        <f t="shared" ca="1" si="180"/>
        <v>0</v>
      </c>
      <c r="I358" s="7">
        <f t="shared" ca="1" si="180"/>
        <v>0</v>
      </c>
      <c r="J358" s="7">
        <f t="shared" ca="1" si="180"/>
        <v>0</v>
      </c>
      <c r="K358" s="7">
        <f t="shared" ca="1" si="180"/>
        <v>0</v>
      </c>
      <c r="L358" s="7">
        <f t="shared" ca="1" si="180"/>
        <v>0</v>
      </c>
      <c r="M358" s="7">
        <f t="shared" ca="1" si="180"/>
        <v>0</v>
      </c>
      <c r="N358" s="7">
        <f t="shared" ca="1" si="180"/>
        <v>0</v>
      </c>
      <c r="O358" s="7">
        <f t="shared" ca="1" si="180"/>
        <v>0</v>
      </c>
      <c r="P358" s="7">
        <f t="shared" ca="1" si="180"/>
        <v>0</v>
      </c>
      <c r="Q358" s="7">
        <f t="shared" ca="1" si="180"/>
        <v>0</v>
      </c>
      <c r="R358" s="7">
        <f t="shared" ca="1" si="180"/>
        <v>0</v>
      </c>
      <c r="S358" s="7">
        <f t="shared" ca="1" si="180"/>
        <v>0</v>
      </c>
      <c r="T358" s="7">
        <f t="shared" ca="1" si="180"/>
        <v>0</v>
      </c>
      <c r="U358" s="7">
        <f t="shared" ca="1" si="180"/>
        <v>0</v>
      </c>
      <c r="V358" s="7">
        <f t="shared" ca="1" si="180"/>
        <v>0</v>
      </c>
      <c r="W358" s="7">
        <f t="shared" ca="1" si="180"/>
        <v>0</v>
      </c>
      <c r="X358" s="7">
        <f t="shared" ca="1" si="180"/>
        <v>0</v>
      </c>
      <c r="Y358" s="7">
        <f t="shared" ca="1" si="180"/>
        <v>0</v>
      </c>
      <c r="Z358" s="7">
        <f t="shared" ca="1" si="180"/>
        <v>0</v>
      </c>
      <c r="AA358" s="7">
        <f t="shared" ca="1" si="180"/>
        <v>0</v>
      </c>
      <c r="AB358" s="7">
        <f t="shared" ca="1" si="180"/>
        <v>0</v>
      </c>
      <c r="AC358" s="7">
        <f t="shared" ca="1" si="180"/>
        <v>0</v>
      </c>
      <c r="AD358" s="7">
        <f t="shared" ca="1" si="180"/>
        <v>0</v>
      </c>
      <c r="AE358" s="7">
        <f t="shared" ca="1" si="180"/>
        <v>0</v>
      </c>
      <c r="AF358" s="7">
        <f t="shared" ca="1" si="180"/>
        <v>0</v>
      </c>
      <c r="AG358" s="7">
        <f t="shared" ca="1" si="180"/>
        <v>0</v>
      </c>
      <c r="AH358" s="7">
        <f t="shared" ca="1" si="180"/>
        <v>0</v>
      </c>
      <c r="AI358" s="7">
        <f t="shared" ca="1" si="180"/>
        <v>0</v>
      </c>
      <c r="AJ358" s="7">
        <f t="shared" ca="1" si="180"/>
        <v>0</v>
      </c>
      <c r="AK358" s="7">
        <f t="shared" ca="1" si="180"/>
        <v>0</v>
      </c>
      <c r="AL358" s="7">
        <f t="shared" ca="1" si="180"/>
        <v>0</v>
      </c>
      <c r="AM358" s="7">
        <f t="shared" ca="1" si="180"/>
        <v>0</v>
      </c>
    </row>
    <row r="359" spans="1:39" x14ac:dyDescent="0.2">
      <c r="A359" s="17" t="str">
        <f>TEXT(Inputs!$B$92,"")</f>
        <v>Car</v>
      </c>
      <c r="C359" s="7">
        <f t="shared" ca="1" si="180"/>
        <v>0</v>
      </c>
      <c r="D359" s="7">
        <f t="shared" ca="1" si="180"/>
        <v>0</v>
      </c>
      <c r="E359" s="7">
        <f t="shared" ca="1" si="180"/>
        <v>0</v>
      </c>
      <c r="F359" s="7">
        <f t="shared" ca="1" si="180"/>
        <v>0</v>
      </c>
      <c r="G359" s="7">
        <f t="shared" ca="1" si="180"/>
        <v>0</v>
      </c>
      <c r="H359" s="7">
        <f t="shared" ca="1" si="180"/>
        <v>0</v>
      </c>
      <c r="I359" s="7">
        <f t="shared" ca="1" si="180"/>
        <v>0</v>
      </c>
      <c r="J359" s="7">
        <f t="shared" ca="1" si="180"/>
        <v>0</v>
      </c>
      <c r="K359" s="7">
        <f t="shared" ca="1" si="180"/>
        <v>0</v>
      </c>
      <c r="L359" s="7">
        <f t="shared" ca="1" si="180"/>
        <v>0</v>
      </c>
      <c r="M359" s="7">
        <f t="shared" ca="1" si="180"/>
        <v>0</v>
      </c>
      <c r="N359" s="7">
        <f t="shared" ca="1" si="180"/>
        <v>0</v>
      </c>
      <c r="O359" s="7">
        <f t="shared" ca="1" si="180"/>
        <v>0</v>
      </c>
      <c r="P359" s="7">
        <f t="shared" ca="1" si="180"/>
        <v>0</v>
      </c>
      <c r="Q359" s="7">
        <f t="shared" ca="1" si="180"/>
        <v>0</v>
      </c>
      <c r="R359" s="7">
        <f t="shared" ca="1" si="180"/>
        <v>0</v>
      </c>
      <c r="S359" s="7">
        <f t="shared" ca="1" si="180"/>
        <v>0</v>
      </c>
      <c r="T359" s="7">
        <f t="shared" ca="1" si="180"/>
        <v>0</v>
      </c>
      <c r="U359" s="7">
        <f t="shared" ca="1" si="180"/>
        <v>0</v>
      </c>
      <c r="V359" s="7">
        <f t="shared" ca="1" si="180"/>
        <v>0</v>
      </c>
      <c r="W359" s="7">
        <f t="shared" ca="1" si="180"/>
        <v>0</v>
      </c>
      <c r="X359" s="7">
        <f t="shared" ca="1" si="180"/>
        <v>0</v>
      </c>
      <c r="Y359" s="7">
        <f t="shared" ca="1" si="180"/>
        <v>0</v>
      </c>
      <c r="Z359" s="7">
        <f t="shared" ca="1" si="180"/>
        <v>0</v>
      </c>
      <c r="AA359" s="7">
        <f t="shared" ca="1" si="180"/>
        <v>0</v>
      </c>
      <c r="AB359" s="7">
        <f t="shared" ca="1" si="180"/>
        <v>0</v>
      </c>
      <c r="AC359" s="7">
        <f t="shared" ca="1" si="180"/>
        <v>0</v>
      </c>
      <c r="AD359" s="7">
        <f t="shared" ca="1" si="180"/>
        <v>0</v>
      </c>
      <c r="AE359" s="7">
        <f t="shared" ca="1" si="180"/>
        <v>0</v>
      </c>
      <c r="AF359" s="7">
        <f t="shared" ca="1" si="180"/>
        <v>0</v>
      </c>
      <c r="AG359" s="7">
        <f t="shared" ca="1" si="180"/>
        <v>0</v>
      </c>
      <c r="AH359" s="7">
        <f t="shared" ca="1" si="180"/>
        <v>0</v>
      </c>
      <c r="AI359" s="7">
        <f t="shared" ca="1" si="180"/>
        <v>0</v>
      </c>
      <c r="AJ359" s="7">
        <f t="shared" ref="AJ359:AM359" ca="1" si="181">AJ330</f>
        <v>0</v>
      </c>
      <c r="AK359" s="7">
        <f t="shared" ca="1" si="181"/>
        <v>0</v>
      </c>
      <c r="AL359" s="7">
        <f t="shared" ca="1" si="181"/>
        <v>0</v>
      </c>
      <c r="AM359" s="7">
        <f t="shared" ca="1" si="181"/>
        <v>0</v>
      </c>
    </row>
    <row r="360" spans="1:39" x14ac:dyDescent="0.2">
      <c r="A360" s="17" t="str">
        <f>TEXT(Inputs!$B$97,"")</f>
        <v>Painting</v>
      </c>
      <c r="C360" s="7">
        <f t="shared" ref="C360:AM362" ca="1" si="182">C331</f>
        <v>0</v>
      </c>
      <c r="D360" s="7">
        <f t="shared" ca="1" si="182"/>
        <v>0</v>
      </c>
      <c r="E360" s="7">
        <f t="shared" ca="1" si="182"/>
        <v>0</v>
      </c>
      <c r="F360" s="7">
        <f t="shared" ca="1" si="182"/>
        <v>0</v>
      </c>
      <c r="G360" s="7">
        <f t="shared" ca="1" si="182"/>
        <v>0</v>
      </c>
      <c r="H360" s="7">
        <f t="shared" ca="1" si="182"/>
        <v>0</v>
      </c>
      <c r="I360" s="7">
        <f t="shared" ca="1" si="182"/>
        <v>0</v>
      </c>
      <c r="J360" s="7">
        <f t="shared" ca="1" si="182"/>
        <v>0</v>
      </c>
      <c r="K360" s="7">
        <f t="shared" ca="1" si="182"/>
        <v>0</v>
      </c>
      <c r="L360" s="7">
        <f t="shared" ca="1" si="182"/>
        <v>0</v>
      </c>
      <c r="M360" s="7">
        <f t="shared" ca="1" si="182"/>
        <v>0</v>
      </c>
      <c r="N360" s="7">
        <f t="shared" ca="1" si="182"/>
        <v>0</v>
      </c>
      <c r="O360" s="7">
        <f t="shared" ca="1" si="182"/>
        <v>0</v>
      </c>
      <c r="P360" s="7">
        <f t="shared" ca="1" si="182"/>
        <v>0</v>
      </c>
      <c r="Q360" s="7">
        <f t="shared" ca="1" si="182"/>
        <v>0</v>
      </c>
      <c r="R360" s="7">
        <f t="shared" ca="1" si="182"/>
        <v>0</v>
      </c>
      <c r="S360" s="7">
        <f t="shared" ca="1" si="182"/>
        <v>0</v>
      </c>
      <c r="T360" s="7">
        <f t="shared" ca="1" si="182"/>
        <v>0</v>
      </c>
      <c r="U360" s="7">
        <f t="shared" ca="1" si="182"/>
        <v>0</v>
      </c>
      <c r="V360" s="7">
        <f t="shared" ca="1" si="182"/>
        <v>0</v>
      </c>
      <c r="W360" s="7">
        <f t="shared" ca="1" si="182"/>
        <v>0</v>
      </c>
      <c r="X360" s="7">
        <f t="shared" ca="1" si="182"/>
        <v>0</v>
      </c>
      <c r="Y360" s="7">
        <f t="shared" ca="1" si="182"/>
        <v>0</v>
      </c>
      <c r="Z360" s="7">
        <f t="shared" ca="1" si="182"/>
        <v>0</v>
      </c>
      <c r="AA360" s="7">
        <f t="shared" ca="1" si="182"/>
        <v>0</v>
      </c>
      <c r="AB360" s="7">
        <f t="shared" ca="1" si="182"/>
        <v>0</v>
      </c>
      <c r="AC360" s="7">
        <f t="shared" ca="1" si="182"/>
        <v>0</v>
      </c>
      <c r="AD360" s="7">
        <f t="shared" ca="1" si="182"/>
        <v>0</v>
      </c>
      <c r="AE360" s="7">
        <f t="shared" ca="1" si="182"/>
        <v>0</v>
      </c>
      <c r="AF360" s="7">
        <f t="shared" ca="1" si="182"/>
        <v>0</v>
      </c>
      <c r="AG360" s="7">
        <f t="shared" ca="1" si="182"/>
        <v>0</v>
      </c>
      <c r="AH360" s="7">
        <f t="shared" ca="1" si="182"/>
        <v>0</v>
      </c>
      <c r="AI360" s="7">
        <f t="shared" ca="1" si="182"/>
        <v>0</v>
      </c>
      <c r="AJ360" s="7">
        <f t="shared" ca="1" si="182"/>
        <v>0</v>
      </c>
      <c r="AK360" s="7">
        <f t="shared" ca="1" si="182"/>
        <v>0</v>
      </c>
      <c r="AL360" s="7">
        <f t="shared" ca="1" si="182"/>
        <v>0</v>
      </c>
      <c r="AM360" s="7">
        <f t="shared" ca="1" si="182"/>
        <v>0</v>
      </c>
    </row>
    <row r="361" spans="1:39" x14ac:dyDescent="0.2">
      <c r="A361" s="17" t="str">
        <f>TEXT(Inputs!$B$102,"")</f>
        <v>Boat</v>
      </c>
      <c r="C361" s="7">
        <f t="shared" ca="1" si="182"/>
        <v>-36106.782888498572</v>
      </c>
      <c r="D361" s="7">
        <f t="shared" ca="1" si="182"/>
        <v>-30636.379329838361</v>
      </c>
      <c r="E361" s="7">
        <f t="shared" ca="1" si="182"/>
        <v>-24828.573249664209</v>
      </c>
      <c r="F361" s="7">
        <f t="shared" ca="1" si="182"/>
        <v>-18662.55439873159</v>
      </c>
      <c r="G361" s="7">
        <f t="shared" ca="1" si="182"/>
        <v>-12116.228997158192</v>
      </c>
      <c r="H361" s="7">
        <f t="shared" ca="1" si="182"/>
        <v>-5166.1405690627944</v>
      </c>
      <c r="I361" s="7">
        <f t="shared" ca="1" si="182"/>
        <v>0</v>
      </c>
      <c r="J361" s="7">
        <f t="shared" ca="1" si="182"/>
        <v>0</v>
      </c>
      <c r="K361" s="7">
        <f t="shared" ca="1" si="182"/>
        <v>0</v>
      </c>
      <c r="L361" s="7">
        <f t="shared" ca="1" si="182"/>
        <v>0</v>
      </c>
      <c r="M361" s="7">
        <f t="shared" ca="1" si="182"/>
        <v>0</v>
      </c>
      <c r="N361" s="7">
        <f t="shared" ca="1" si="182"/>
        <v>0</v>
      </c>
      <c r="O361" s="7">
        <f t="shared" ca="1" si="182"/>
        <v>0</v>
      </c>
      <c r="P361" s="7">
        <f t="shared" ca="1" si="182"/>
        <v>0</v>
      </c>
      <c r="Q361" s="7">
        <f t="shared" ca="1" si="182"/>
        <v>0</v>
      </c>
      <c r="R361" s="7">
        <f t="shared" ca="1" si="182"/>
        <v>0</v>
      </c>
      <c r="S361" s="7">
        <f t="shared" ca="1" si="182"/>
        <v>0</v>
      </c>
      <c r="T361" s="7">
        <f t="shared" ca="1" si="182"/>
        <v>0</v>
      </c>
      <c r="U361" s="7">
        <f t="shared" ca="1" si="182"/>
        <v>0</v>
      </c>
      <c r="V361" s="7">
        <f t="shared" ca="1" si="182"/>
        <v>0</v>
      </c>
      <c r="W361" s="7">
        <f t="shared" ca="1" si="182"/>
        <v>0</v>
      </c>
      <c r="X361" s="7">
        <f t="shared" ca="1" si="182"/>
        <v>0</v>
      </c>
      <c r="Y361" s="7">
        <f t="shared" ca="1" si="182"/>
        <v>0</v>
      </c>
      <c r="Z361" s="7">
        <f t="shared" ca="1" si="182"/>
        <v>0</v>
      </c>
      <c r="AA361" s="7">
        <f t="shared" ca="1" si="182"/>
        <v>0</v>
      </c>
      <c r="AB361" s="7">
        <f t="shared" ca="1" si="182"/>
        <v>0</v>
      </c>
      <c r="AC361" s="7">
        <f t="shared" ca="1" si="182"/>
        <v>0</v>
      </c>
      <c r="AD361" s="7">
        <f t="shared" ca="1" si="182"/>
        <v>0</v>
      </c>
      <c r="AE361" s="7">
        <f t="shared" ca="1" si="182"/>
        <v>0</v>
      </c>
      <c r="AF361" s="7">
        <f t="shared" ca="1" si="182"/>
        <v>0</v>
      </c>
      <c r="AG361" s="7">
        <f t="shared" ca="1" si="182"/>
        <v>0</v>
      </c>
      <c r="AH361" s="7">
        <f t="shared" ca="1" si="182"/>
        <v>0</v>
      </c>
      <c r="AI361" s="7">
        <f t="shared" ca="1" si="182"/>
        <v>0</v>
      </c>
      <c r="AJ361" s="7">
        <f t="shared" ca="1" si="182"/>
        <v>0</v>
      </c>
      <c r="AK361" s="7">
        <f t="shared" ca="1" si="182"/>
        <v>0</v>
      </c>
      <c r="AL361" s="7">
        <f t="shared" ca="1" si="182"/>
        <v>0</v>
      </c>
      <c r="AM361" s="7">
        <f t="shared" ca="1" si="182"/>
        <v>0</v>
      </c>
    </row>
    <row r="362" spans="1:39" x14ac:dyDescent="0.2">
      <c r="A362" s="17" t="str">
        <f>TEXT(Inputs!$B$107,"")</f>
        <v>Antiques</v>
      </c>
      <c r="C362" s="7">
        <f t="shared" ca="1" si="182"/>
        <v>-2886.4020391451668</v>
      </c>
      <c r="D362" s="7">
        <f t="shared" ca="1" si="182"/>
        <v>-1635.892615008569</v>
      </c>
      <c r="E362" s="7">
        <f t="shared" ca="1" si="182"/>
        <v>0</v>
      </c>
      <c r="F362" s="7">
        <f t="shared" ca="1" si="182"/>
        <v>0</v>
      </c>
      <c r="G362" s="7">
        <f t="shared" ca="1" si="182"/>
        <v>0</v>
      </c>
      <c r="H362" s="7">
        <f t="shared" ca="1" si="182"/>
        <v>0</v>
      </c>
      <c r="I362" s="7">
        <f t="shared" ca="1" si="182"/>
        <v>0</v>
      </c>
      <c r="J362" s="7">
        <f t="shared" ca="1" si="182"/>
        <v>0</v>
      </c>
      <c r="K362" s="7">
        <f t="shared" ca="1" si="182"/>
        <v>0</v>
      </c>
      <c r="L362" s="7">
        <f t="shared" ca="1" si="182"/>
        <v>0</v>
      </c>
      <c r="M362" s="7">
        <f t="shared" ca="1" si="182"/>
        <v>0</v>
      </c>
      <c r="N362" s="7">
        <f t="shared" ca="1" si="182"/>
        <v>0</v>
      </c>
      <c r="O362" s="7">
        <f t="shared" ca="1" si="182"/>
        <v>0</v>
      </c>
      <c r="P362" s="7">
        <f t="shared" ca="1" si="182"/>
        <v>0</v>
      </c>
      <c r="Q362" s="7">
        <f t="shared" ca="1" si="182"/>
        <v>0</v>
      </c>
      <c r="R362" s="7">
        <f t="shared" ca="1" si="182"/>
        <v>0</v>
      </c>
      <c r="S362" s="7">
        <f t="shared" ca="1" si="182"/>
        <v>0</v>
      </c>
      <c r="T362" s="7">
        <f t="shared" ca="1" si="182"/>
        <v>0</v>
      </c>
      <c r="U362" s="7">
        <f t="shared" ca="1" si="182"/>
        <v>0</v>
      </c>
      <c r="V362" s="7">
        <f t="shared" ca="1" si="182"/>
        <v>0</v>
      </c>
      <c r="W362" s="7">
        <f t="shared" ca="1" si="182"/>
        <v>0</v>
      </c>
      <c r="X362" s="7">
        <f t="shared" ca="1" si="182"/>
        <v>0</v>
      </c>
      <c r="Y362" s="7">
        <f t="shared" ca="1" si="182"/>
        <v>0</v>
      </c>
      <c r="Z362" s="7">
        <f t="shared" ca="1" si="182"/>
        <v>0</v>
      </c>
      <c r="AA362" s="7">
        <f t="shared" ca="1" si="182"/>
        <v>0</v>
      </c>
      <c r="AB362" s="7">
        <f t="shared" ca="1" si="182"/>
        <v>0</v>
      </c>
      <c r="AC362" s="7">
        <f t="shared" ca="1" si="182"/>
        <v>0</v>
      </c>
      <c r="AD362" s="7">
        <f t="shared" ca="1" si="182"/>
        <v>0</v>
      </c>
      <c r="AE362" s="7">
        <f t="shared" ca="1" si="182"/>
        <v>0</v>
      </c>
      <c r="AF362" s="7">
        <f t="shared" ca="1" si="182"/>
        <v>0</v>
      </c>
      <c r="AG362" s="7">
        <f t="shared" ca="1" si="182"/>
        <v>0</v>
      </c>
      <c r="AH362" s="7">
        <f t="shared" ca="1" si="182"/>
        <v>0</v>
      </c>
      <c r="AI362" s="7">
        <f t="shared" ca="1" si="182"/>
        <v>0</v>
      </c>
      <c r="AJ362" s="7">
        <f t="shared" ca="1" si="182"/>
        <v>0</v>
      </c>
      <c r="AK362" s="7">
        <f t="shared" ca="1" si="182"/>
        <v>0</v>
      </c>
      <c r="AL362" s="7">
        <f t="shared" ca="1" si="182"/>
        <v>0</v>
      </c>
      <c r="AM362" s="7">
        <f t="shared" ca="1" si="182"/>
        <v>0</v>
      </c>
    </row>
    <row r="363" spans="1:39" x14ac:dyDescent="0.2">
      <c r="A363" s="16" t="str">
        <f>A95</f>
        <v>Other loan</v>
      </c>
      <c r="C363" s="7">
        <f t="shared" ref="C363:AM363" ca="1" si="183">C95</f>
        <v>-3724.5365251296162</v>
      </c>
      <c r="D363" s="7">
        <f t="shared" ca="1" si="183"/>
        <v>-3337.4796695640352</v>
      </c>
      <c r="E363" s="7">
        <f t="shared" ca="1" si="183"/>
        <v>-2926.5499940800146</v>
      </c>
      <c r="F363" s="7">
        <f t="shared" ca="1" si="183"/>
        <v>-2490.2750753819519</v>
      </c>
      <c r="G363" s="7">
        <f t="shared" ca="1" si="183"/>
        <v>-2027.0916743272305</v>
      </c>
      <c r="H363" s="7">
        <f t="shared" ca="1" si="183"/>
        <v>-1535.3401346034998</v>
      </c>
      <c r="I363" s="7">
        <f t="shared" ca="1" si="183"/>
        <v>-1013.2584359286093</v>
      </c>
      <c r="J363" s="7">
        <f t="shared" ca="1" si="183"/>
        <v>-458.97588046495366</v>
      </c>
      <c r="K363" s="7">
        <f t="shared" ca="1" si="183"/>
        <v>0</v>
      </c>
      <c r="L363" s="7">
        <f t="shared" ca="1" si="183"/>
        <v>0</v>
      </c>
      <c r="M363" s="7">
        <f t="shared" ca="1" si="183"/>
        <v>0</v>
      </c>
      <c r="N363" s="7">
        <f t="shared" ca="1" si="183"/>
        <v>0</v>
      </c>
      <c r="O363" s="7">
        <f t="shared" ca="1" si="183"/>
        <v>0</v>
      </c>
      <c r="P363" s="7">
        <f t="shared" ca="1" si="183"/>
        <v>0</v>
      </c>
      <c r="Q363" s="7">
        <f t="shared" ca="1" si="183"/>
        <v>0</v>
      </c>
      <c r="R363" s="7">
        <f t="shared" ca="1" si="183"/>
        <v>0</v>
      </c>
      <c r="S363" s="7">
        <f t="shared" ca="1" si="183"/>
        <v>0</v>
      </c>
      <c r="T363" s="7">
        <f t="shared" ca="1" si="183"/>
        <v>0</v>
      </c>
      <c r="U363" s="7">
        <f t="shared" ca="1" si="183"/>
        <v>0</v>
      </c>
      <c r="V363" s="7">
        <f t="shared" ca="1" si="183"/>
        <v>0</v>
      </c>
      <c r="W363" s="7">
        <f t="shared" ca="1" si="183"/>
        <v>0</v>
      </c>
      <c r="X363" s="7">
        <f t="shared" ca="1" si="183"/>
        <v>0</v>
      </c>
      <c r="Y363" s="7">
        <f t="shared" ca="1" si="183"/>
        <v>0</v>
      </c>
      <c r="Z363" s="7">
        <f t="shared" ca="1" si="183"/>
        <v>0</v>
      </c>
      <c r="AA363" s="7">
        <f t="shared" ca="1" si="183"/>
        <v>0</v>
      </c>
      <c r="AB363" s="7">
        <f t="shared" ca="1" si="183"/>
        <v>0</v>
      </c>
      <c r="AC363" s="7">
        <f t="shared" ca="1" si="183"/>
        <v>0</v>
      </c>
      <c r="AD363" s="7">
        <f t="shared" ca="1" si="183"/>
        <v>0</v>
      </c>
      <c r="AE363" s="7">
        <f t="shared" ca="1" si="183"/>
        <v>0</v>
      </c>
      <c r="AF363" s="7">
        <f t="shared" ca="1" si="183"/>
        <v>0</v>
      </c>
      <c r="AG363" s="7">
        <f t="shared" ca="1" si="183"/>
        <v>0</v>
      </c>
      <c r="AH363" s="7">
        <f t="shared" ca="1" si="183"/>
        <v>0</v>
      </c>
      <c r="AI363" s="7">
        <f t="shared" ca="1" si="183"/>
        <v>0</v>
      </c>
      <c r="AJ363" s="7">
        <f t="shared" ca="1" si="183"/>
        <v>0</v>
      </c>
      <c r="AK363" s="7">
        <f t="shared" ca="1" si="183"/>
        <v>0</v>
      </c>
      <c r="AL363" s="7">
        <f t="shared" ca="1" si="183"/>
        <v>0</v>
      </c>
      <c r="AM363" s="7">
        <f t="shared" ca="1" si="183"/>
        <v>0</v>
      </c>
    </row>
    <row r="364" spans="1:39" x14ac:dyDescent="0.2">
      <c r="A364" s="4"/>
      <c r="C364" s="9">
        <f t="shared" ref="C364:AM364" ca="1" si="184">SUM(C335:C363)</f>
        <v>1680366.7130431491</v>
      </c>
      <c r="D364" s="9">
        <f t="shared" ca="1" si="184"/>
        <v>1667190.9367397714</v>
      </c>
      <c r="E364" s="9">
        <f t="shared" ca="1" si="184"/>
        <v>1645166.3681036141</v>
      </c>
      <c r="F364" s="9">
        <f t="shared" ca="1" si="184"/>
        <v>1611443.9333055357</v>
      </c>
      <c r="G364" s="9">
        <f t="shared" ca="1" si="184"/>
        <v>1522956.5229314421</v>
      </c>
      <c r="H364" s="9">
        <f t="shared" ca="1" si="184"/>
        <v>1515390.0430859807</v>
      </c>
      <c r="I364" s="9">
        <f t="shared" ca="1" si="184"/>
        <v>1519848.6980156095</v>
      </c>
      <c r="J364" s="9">
        <f t="shared" ca="1" si="184"/>
        <v>1495829.034361904</v>
      </c>
      <c r="K364" s="9">
        <f t="shared" ca="1" si="184"/>
        <v>1469706.9770001234</v>
      </c>
      <c r="L364" s="9">
        <f t="shared" ca="1" si="184"/>
        <v>1525389.7433406441</v>
      </c>
      <c r="M364" s="9">
        <f t="shared" ca="1" si="184"/>
        <v>1481766.4663496837</v>
      </c>
      <c r="N364" s="9">
        <f t="shared" ca="1" si="184"/>
        <v>1486855.6983735827</v>
      </c>
      <c r="O364" s="9">
        <f t="shared" ca="1" si="184"/>
        <v>1458308.4740864928</v>
      </c>
      <c r="P364" s="9">
        <f t="shared" ca="1" si="184"/>
        <v>1453011.2694529414</v>
      </c>
      <c r="Q364" s="9">
        <f t="shared" ca="1" si="184"/>
        <v>1447469.4579228421</v>
      </c>
      <c r="R364" s="9">
        <f t="shared" ca="1" si="184"/>
        <v>1441293.6371545389</v>
      </c>
      <c r="S364" s="9">
        <f t="shared" ca="1" si="184"/>
        <v>1434462.8125196141</v>
      </c>
      <c r="T364" s="9">
        <f t="shared" ca="1" si="184"/>
        <v>1444424.8215462533</v>
      </c>
      <c r="U364" s="9">
        <f t="shared" ca="1" si="184"/>
        <v>1466494.7570549902</v>
      </c>
      <c r="V364" s="9">
        <f t="shared" ca="1" si="184"/>
        <v>1490397.0625667293</v>
      </c>
      <c r="W364" s="9">
        <f t="shared" ca="1" si="184"/>
        <v>1514795.7922730122</v>
      </c>
      <c r="X364" s="9">
        <f t="shared" ca="1" si="184"/>
        <v>1475547.6031012663</v>
      </c>
      <c r="Y364" s="9">
        <f t="shared" ca="1" si="184"/>
        <v>1466484.2540396494</v>
      </c>
      <c r="Z364" s="9">
        <f t="shared" ca="1" si="184"/>
        <v>1456135.7851296291</v>
      </c>
      <c r="AA364" s="9">
        <f t="shared" ca="1" si="184"/>
        <v>1444281.1594640552</v>
      </c>
      <c r="AB364" s="9">
        <f t="shared" ca="1" si="184"/>
        <v>1430892.5230229276</v>
      </c>
      <c r="AC364" s="9">
        <f t="shared" ca="1" si="184"/>
        <v>1415941.6194327115</v>
      </c>
      <c r="AD364" s="9">
        <f t="shared" ca="1" si="184"/>
        <v>1399399.7887274097</v>
      </c>
      <c r="AE364" s="9">
        <f t="shared" ca="1" si="184"/>
        <v>1391470.0033143885</v>
      </c>
      <c r="AF364" s="9">
        <f t="shared" ca="1" si="184"/>
        <v>1270990.9867441319</v>
      </c>
      <c r="AG364" s="9">
        <f t="shared" ca="1" si="184"/>
        <v>1243280.0391828059</v>
      </c>
      <c r="AH364" s="9">
        <f t="shared" ca="1" si="184"/>
        <v>1213257.4058982949</v>
      </c>
      <c r="AI364" s="9">
        <f t="shared" ca="1" si="184"/>
        <v>1180658.439303909</v>
      </c>
      <c r="AJ364" s="9">
        <f t="shared" ca="1" si="184"/>
        <v>1145421.5229496937</v>
      </c>
      <c r="AK364" s="9">
        <f t="shared" ca="1" si="184"/>
        <v>1107483.5837309314</v>
      </c>
      <c r="AL364" s="9">
        <f t="shared" ca="1" si="184"/>
        <v>1066780.0579844634</v>
      </c>
      <c r="AM364" s="9">
        <f t="shared" ca="1" si="184"/>
        <v>1023244.856812807</v>
      </c>
    </row>
    <row r="365" spans="1:39" x14ac:dyDescent="0.2"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</row>
    <row r="366" spans="1:39" ht="19" x14ac:dyDescent="0.25">
      <c r="A366" s="25" t="s">
        <v>71</v>
      </c>
      <c r="B366" s="26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</row>
    <row r="367" spans="1:39" x14ac:dyDescent="0.2"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</row>
    <row r="368" spans="1:39" x14ac:dyDescent="0.2">
      <c r="A368" s="15" t="s">
        <v>60</v>
      </c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</row>
    <row r="369" spans="1:39" x14ac:dyDescent="0.2">
      <c r="A369" s="3" t="s">
        <v>8</v>
      </c>
      <c r="C369" s="7">
        <f t="shared" ref="C369:AM369" ca="1" si="185">C68</f>
        <v>66108.4375</v>
      </c>
      <c r="D369" s="7">
        <f t="shared" ca="1" si="185"/>
        <v>-3417.8546875000029</v>
      </c>
      <c r="E369" s="7">
        <f t="shared" ca="1" si="185"/>
        <v>-70356.817187499997</v>
      </c>
      <c r="F369" s="7">
        <f t="shared" ca="1" si="185"/>
        <v>-158215.57654312759</v>
      </c>
      <c r="G369" s="7">
        <f t="shared" ca="1" si="185"/>
        <v>-55000.299615775701</v>
      </c>
      <c r="H369" s="7">
        <f t="shared" ca="1" si="185"/>
        <v>-109203.65647556525</v>
      </c>
      <c r="I369" s="7">
        <f t="shared" ca="1" si="185"/>
        <v>-147351.90611103765</v>
      </c>
      <c r="J369" s="7">
        <f t="shared" ca="1" si="185"/>
        <v>-185525.10457026522</v>
      </c>
      <c r="K369" s="7">
        <f t="shared" ca="1" si="185"/>
        <v>-241511.31356787487</v>
      </c>
      <c r="L369" s="7">
        <f t="shared" ca="1" si="185"/>
        <v>-215999.45705975813</v>
      </c>
      <c r="M369" s="7">
        <f t="shared" ca="1" si="185"/>
        <v>-284257.330553559</v>
      </c>
      <c r="N369" s="7">
        <f t="shared" ca="1" si="185"/>
        <v>-304153.21090172138</v>
      </c>
      <c r="O369" s="7">
        <f t="shared" ca="1" si="185"/>
        <v>-324331.06686245633</v>
      </c>
      <c r="P369" s="7">
        <f t="shared" ca="1" si="185"/>
        <v>-344791.48518419417</v>
      </c>
      <c r="Q369" s="7">
        <f t="shared" ca="1" si="185"/>
        <v>-365534.87340481958</v>
      </c>
      <c r="R369" s="7">
        <f t="shared" ca="1" si="185"/>
        <v>-386561.44955503009</v>
      </c>
      <c r="S369" s="7">
        <f t="shared" ca="1" si="185"/>
        <v>-407871.23142978735</v>
      </c>
      <c r="T369" s="7">
        <f t="shared" ca="1" si="185"/>
        <v>-412421.90088664548</v>
      </c>
      <c r="U369" s="7">
        <f t="shared" ca="1" si="185"/>
        <v>-409030.81907862029</v>
      </c>
      <c r="V369" s="7">
        <f t="shared" ca="1" si="185"/>
        <v>-405290.019080239</v>
      </c>
      <c r="W369" s="7">
        <f t="shared" ca="1" si="185"/>
        <v>-401182.80970238801</v>
      </c>
      <c r="X369" s="7">
        <f t="shared" ca="1" si="185"/>
        <v>-396691.84402919537</v>
      </c>
      <c r="Y369" s="7">
        <f t="shared" ca="1" si="185"/>
        <v>-412457.95264241181</v>
      </c>
      <c r="Z369" s="7">
        <f t="shared" ca="1" si="185"/>
        <v>-428320.02037795464</v>
      </c>
      <c r="AA369" s="7">
        <f t="shared" ca="1" si="185"/>
        <v>-444271.50040609192</v>
      </c>
      <c r="AB369" s="7">
        <f t="shared" ca="1" si="185"/>
        <v>-460305.41385211475</v>
      </c>
      <c r="AC369" s="7">
        <f t="shared" ca="1" si="185"/>
        <v>-476414.33094398573</v>
      </c>
      <c r="AD369" s="7">
        <f t="shared" ca="1" si="185"/>
        <v>-492590.35144714196</v>
      </c>
      <c r="AE369" s="7">
        <f t="shared" ca="1" si="185"/>
        <v>-498842.60926759918</v>
      </c>
      <c r="AF369" s="7">
        <f t="shared" ca="1" si="185"/>
        <v>-504895.11478903121</v>
      </c>
      <c r="AG369" s="7">
        <f t="shared" ca="1" si="185"/>
        <v>-510732.19244162634</v>
      </c>
      <c r="AH369" s="7">
        <f t="shared" ca="1" si="185"/>
        <v>-516337.45431345748</v>
      </c>
      <c r="AI369" s="7">
        <f t="shared" ca="1" si="185"/>
        <v>-521693.77272834309</v>
      </c>
      <c r="AJ369" s="7">
        <f t="shared" ca="1" si="185"/>
        <v>-526783.25184974738</v>
      </c>
      <c r="AK369" s="7">
        <f t="shared" ca="1" si="185"/>
        <v>-531587.19827771769</v>
      </c>
      <c r="AL369" s="7">
        <f t="shared" ca="1" si="185"/>
        <v>-536086.09060477407</v>
      </c>
      <c r="AM369" s="7">
        <f t="shared" ca="1" si="185"/>
        <v>-540259.54789554526</v>
      </c>
    </row>
    <row r="370" spans="1:39" x14ac:dyDescent="0.2">
      <c r="A370" s="3" t="s">
        <v>27</v>
      </c>
      <c r="C370" s="7">
        <f t="shared" ref="C370:AM370" ca="1" si="186">C96</f>
        <v>1680400.325439143</v>
      </c>
      <c r="D370" s="7">
        <f t="shared" ca="1" si="186"/>
        <v>1664531.4855591119</v>
      </c>
      <c r="E370" s="7">
        <f t="shared" ca="1" si="186"/>
        <v>1663582.8195843792</v>
      </c>
      <c r="F370" s="7">
        <f t="shared" ca="1" si="186"/>
        <v>1640416.219770768</v>
      </c>
      <c r="G370" s="7">
        <f t="shared" ca="1" si="186"/>
        <v>1560247.5421712503</v>
      </c>
      <c r="H370" s="7">
        <f t="shared" ca="1" si="186"/>
        <v>1562451.0561380617</v>
      </c>
      <c r="I370" s="7">
        <f t="shared" ca="1" si="186"/>
        <v>1564615.6975610044</v>
      </c>
      <c r="J370" s="7">
        <f t="shared" ca="1" si="186"/>
        <v>1572943.3637150936</v>
      </c>
      <c r="K370" s="7">
        <f t="shared" ca="1" si="186"/>
        <v>1564525.940162767</v>
      </c>
      <c r="L370" s="7">
        <f t="shared" ca="1" si="186"/>
        <v>1638357.0888425331</v>
      </c>
      <c r="M370" s="7">
        <f t="shared" ca="1" si="186"/>
        <v>1615456.8604003708</v>
      </c>
      <c r="N370" s="7">
        <f t="shared" ca="1" si="186"/>
        <v>1636022.7933244894</v>
      </c>
      <c r="O370" s="7">
        <f t="shared" ca="1" si="186"/>
        <v>1662679.0759724905</v>
      </c>
      <c r="P370" s="7">
        <f t="shared" ca="1" si="186"/>
        <v>1690904.1216785647</v>
      </c>
      <c r="Q370" s="7">
        <f t="shared" ca="1" si="186"/>
        <v>1720728.2562583312</v>
      </c>
      <c r="R370" s="7">
        <f t="shared" ca="1" si="186"/>
        <v>1754424.6338430315</v>
      </c>
      <c r="S370" s="7">
        <f t="shared" ca="1" si="186"/>
        <v>1790030.0561917427</v>
      </c>
      <c r="T370" s="7">
        <f t="shared" ca="1" si="186"/>
        <v>1844645.0907033004</v>
      </c>
      <c r="U370" s="7">
        <f t="shared" ca="1" si="186"/>
        <v>1909514.498151449</v>
      </c>
      <c r="V370" s="7">
        <f t="shared" ca="1" si="186"/>
        <v>1961817.2878751613</v>
      </c>
      <c r="W370" s="7">
        <f t="shared" ca="1" si="186"/>
        <v>2032180.0221770538</v>
      </c>
      <c r="X370" s="7">
        <f t="shared" ca="1" si="186"/>
        <v>2105568.6367935585</v>
      </c>
      <c r="Y370" s="7">
        <f t="shared" ca="1" si="186"/>
        <v>2160013.4145792569</v>
      </c>
      <c r="Z370" s="7">
        <f t="shared" ca="1" si="186"/>
        <v>2216951.6407860694</v>
      </c>
      <c r="AA370" s="7">
        <f t="shared" ca="1" si="186"/>
        <v>2251769.3078602767</v>
      </c>
      <c r="AB370" s="7">
        <f t="shared" ca="1" si="186"/>
        <v>2310814.8408600721</v>
      </c>
      <c r="AC370" s="7">
        <f t="shared" ca="1" si="186"/>
        <v>2372314.9672979498</v>
      </c>
      <c r="AD370" s="7">
        <f t="shared" ca="1" si="186"/>
        <v>2436344.3622352658</v>
      </c>
      <c r="AE370" s="7">
        <f t="shared" ca="1" si="186"/>
        <v>2512963.5021171784</v>
      </c>
      <c r="AF370" s="7">
        <f t="shared" ca="1" si="186"/>
        <v>2592520.8892716188</v>
      </c>
      <c r="AG370" s="7">
        <f t="shared" ca="1" si="186"/>
        <v>2675107.6854528324</v>
      </c>
      <c r="AH370" s="7">
        <f t="shared" ca="1" si="186"/>
        <v>2762446.5800062721</v>
      </c>
      <c r="AI370" s="7">
        <f t="shared" ca="1" si="186"/>
        <v>2853230.4258343885</v>
      </c>
      <c r="AJ370" s="7">
        <f t="shared" ca="1" si="186"/>
        <v>2947584.8977903267</v>
      </c>
      <c r="AK370" s="7">
        <f t="shared" ca="1" si="186"/>
        <v>3045641.8932060651</v>
      </c>
      <c r="AL370" s="7">
        <f t="shared" ca="1" si="186"/>
        <v>3147539.8425024515</v>
      </c>
      <c r="AM370" s="7">
        <f t="shared" ca="1" si="186"/>
        <v>3253424.0416507251</v>
      </c>
    </row>
    <row r="371" spans="1:39" x14ac:dyDescent="0.2">
      <c r="A371" s="3"/>
      <c r="C371" s="10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</row>
    <row r="372" spans="1:39" x14ac:dyDescent="0.2">
      <c r="A372" s="15" t="s">
        <v>61</v>
      </c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</row>
    <row r="373" spans="1:39" x14ac:dyDescent="0.2">
      <c r="A373" s="3" t="s">
        <v>8</v>
      </c>
      <c r="C373" s="7">
        <f t="shared" ref="C373:AM373" ca="1" si="187">C336</f>
        <v>113060.11021238755</v>
      </c>
      <c r="D373" s="7">
        <f t="shared" ca="1" si="187"/>
        <v>124803.86573151383</v>
      </c>
      <c r="E373" s="7">
        <f t="shared" ca="1" si="187"/>
        <v>215269.77766792092</v>
      </c>
      <c r="F373" s="7">
        <f t="shared" ca="1" si="187"/>
        <v>127404.79749267877</v>
      </c>
      <c r="G373" s="7">
        <f t="shared" ca="1" si="187"/>
        <v>232914.95575458009</v>
      </c>
      <c r="H373" s="7">
        <f t="shared" ca="1" si="187"/>
        <v>179529.97572023471</v>
      </c>
      <c r="I373" s="7">
        <f t="shared" ca="1" si="187"/>
        <v>141164.21383968444</v>
      </c>
      <c r="J373" s="7">
        <f t="shared" ca="1" si="187"/>
        <v>229275.45457262834</v>
      </c>
      <c r="K373" s="7">
        <f t="shared" ca="1" si="187"/>
        <v>168281.8899313185</v>
      </c>
      <c r="L373" s="7">
        <f t="shared" ca="1" si="187"/>
        <v>188926.09569615126</v>
      </c>
      <c r="M373" s="7">
        <f t="shared" ca="1" si="187"/>
        <v>113941.99340012993</v>
      </c>
      <c r="N373" s="7">
        <f t="shared" ca="1" si="187"/>
        <v>86292.921153602525</v>
      </c>
      <c r="O373" s="7">
        <f t="shared" ca="1" si="187"/>
        <v>242268.67503206589</v>
      </c>
      <c r="P373" s="7">
        <f t="shared" ca="1" si="187"/>
        <v>207977.80442793126</v>
      </c>
      <c r="Q373" s="7">
        <f t="shared" ca="1" si="187"/>
        <v>172198.14054807866</v>
      </c>
      <c r="R373" s="7">
        <f t="shared" ca="1" si="187"/>
        <v>134521.67427947966</v>
      </c>
      <c r="S373" s="7">
        <f t="shared" ca="1" si="187"/>
        <v>94907.310078202689</v>
      </c>
      <c r="T373" s="7">
        <f t="shared" ca="1" si="187"/>
        <v>70781.292385504436</v>
      </c>
      <c r="U373" s="7">
        <f t="shared" ca="1" si="187"/>
        <v>126235.8923856169</v>
      </c>
      <c r="V373" s="7">
        <f t="shared" ca="1" si="187"/>
        <v>109930.43195727481</v>
      </c>
      <c r="W373" s="7">
        <f t="shared" ca="1" si="187"/>
        <v>92915.162745274181</v>
      </c>
      <c r="X373" s="7">
        <f t="shared" ca="1" si="187"/>
        <v>429449.71137728752</v>
      </c>
      <c r="Y373" s="7">
        <f t="shared" ca="1" si="187"/>
        <v>389003.42556395108</v>
      </c>
      <c r="Z373" s="7">
        <f t="shared" ca="1" si="187"/>
        <v>346330.5317996596</v>
      </c>
      <c r="AA373" s="7">
        <f t="shared" ca="1" si="187"/>
        <v>301181.74853418698</v>
      </c>
      <c r="AB373" s="7">
        <f t="shared" ca="1" si="187"/>
        <v>253500.12976516303</v>
      </c>
      <c r="AC373" s="7">
        <f t="shared" ca="1" si="187"/>
        <v>203227.45437721393</v>
      </c>
      <c r="AD373" s="7">
        <f t="shared" ca="1" si="187"/>
        <v>150304.19872024725</v>
      </c>
      <c r="AE373" s="7">
        <f t="shared" ca="1" si="187"/>
        <v>104901.54560701107</v>
      </c>
      <c r="AF373" s="7">
        <f t="shared" ca="1" si="187"/>
        <v>668643.02699931455</v>
      </c>
      <c r="AG373" s="7">
        <f t="shared" ca="1" si="187"/>
        <v>622861.64064564393</v>
      </c>
      <c r="AH373" s="7">
        <f t="shared" ca="1" si="187"/>
        <v>574226.45540501818</v>
      </c>
      <c r="AI373" s="7">
        <f t="shared" ca="1" si="187"/>
        <v>522456.56029583386</v>
      </c>
      <c r="AJ373" s="7">
        <f t="shared" ca="1" si="187"/>
        <v>467473.58757137647</v>
      </c>
      <c r="AK373" s="7">
        <f t="shared" ca="1" si="187"/>
        <v>409197.2102912647</v>
      </c>
      <c r="AL373" s="7">
        <f t="shared" ca="1" si="187"/>
        <v>347545.09334160667</v>
      </c>
      <c r="AM373" s="7">
        <f t="shared" ca="1" si="187"/>
        <v>282432.84323066456</v>
      </c>
    </row>
    <row r="374" spans="1:39" x14ac:dyDescent="0.2">
      <c r="A374" s="3" t="s">
        <v>27</v>
      </c>
      <c r="C374" s="7">
        <f t="shared" ref="C374:AM374" ca="1" si="188">C364</f>
        <v>1680366.7130431491</v>
      </c>
      <c r="D374" s="7">
        <f t="shared" ca="1" si="188"/>
        <v>1667190.9367397714</v>
      </c>
      <c r="E374" s="7">
        <f t="shared" ca="1" si="188"/>
        <v>1645166.3681036141</v>
      </c>
      <c r="F374" s="7">
        <f t="shared" ca="1" si="188"/>
        <v>1611443.9333055357</v>
      </c>
      <c r="G374" s="7">
        <f t="shared" ca="1" si="188"/>
        <v>1522956.5229314421</v>
      </c>
      <c r="H374" s="7">
        <f t="shared" ca="1" si="188"/>
        <v>1515390.0430859807</v>
      </c>
      <c r="I374" s="7">
        <f t="shared" ca="1" si="188"/>
        <v>1519848.6980156095</v>
      </c>
      <c r="J374" s="7">
        <f t="shared" ca="1" si="188"/>
        <v>1495829.034361904</v>
      </c>
      <c r="K374" s="7">
        <f t="shared" ca="1" si="188"/>
        <v>1469706.9770001234</v>
      </c>
      <c r="L374" s="7">
        <f t="shared" ca="1" si="188"/>
        <v>1525389.7433406441</v>
      </c>
      <c r="M374" s="7">
        <f t="shared" ca="1" si="188"/>
        <v>1481766.4663496837</v>
      </c>
      <c r="N374" s="7">
        <f t="shared" ca="1" si="188"/>
        <v>1486855.6983735827</v>
      </c>
      <c r="O374" s="7">
        <f t="shared" ca="1" si="188"/>
        <v>1458308.4740864928</v>
      </c>
      <c r="P374" s="7">
        <f t="shared" ca="1" si="188"/>
        <v>1453011.2694529414</v>
      </c>
      <c r="Q374" s="7">
        <f t="shared" ca="1" si="188"/>
        <v>1447469.4579228421</v>
      </c>
      <c r="R374" s="7">
        <f t="shared" ca="1" si="188"/>
        <v>1441293.6371545389</v>
      </c>
      <c r="S374" s="7">
        <f t="shared" ca="1" si="188"/>
        <v>1434462.8125196141</v>
      </c>
      <c r="T374" s="7">
        <f t="shared" ca="1" si="188"/>
        <v>1444424.8215462533</v>
      </c>
      <c r="U374" s="7">
        <f t="shared" ca="1" si="188"/>
        <v>1466494.7570549902</v>
      </c>
      <c r="V374" s="7">
        <f t="shared" ca="1" si="188"/>
        <v>1490397.0625667293</v>
      </c>
      <c r="W374" s="7">
        <f t="shared" ca="1" si="188"/>
        <v>1514795.7922730122</v>
      </c>
      <c r="X374" s="7">
        <f t="shared" ca="1" si="188"/>
        <v>1475547.6031012663</v>
      </c>
      <c r="Y374" s="7">
        <f t="shared" ca="1" si="188"/>
        <v>1466484.2540396494</v>
      </c>
      <c r="Z374" s="7">
        <f t="shared" ca="1" si="188"/>
        <v>1456135.7851296291</v>
      </c>
      <c r="AA374" s="7">
        <f t="shared" ca="1" si="188"/>
        <v>1444281.1594640552</v>
      </c>
      <c r="AB374" s="7">
        <f t="shared" ca="1" si="188"/>
        <v>1430892.5230229276</v>
      </c>
      <c r="AC374" s="7">
        <f t="shared" ca="1" si="188"/>
        <v>1415941.6194327115</v>
      </c>
      <c r="AD374" s="7">
        <f t="shared" ca="1" si="188"/>
        <v>1399399.7887274097</v>
      </c>
      <c r="AE374" s="7">
        <f t="shared" ca="1" si="188"/>
        <v>1391470.0033143885</v>
      </c>
      <c r="AF374" s="7">
        <f t="shared" ca="1" si="188"/>
        <v>1270990.9867441319</v>
      </c>
      <c r="AG374" s="7">
        <f t="shared" ca="1" si="188"/>
        <v>1243280.0391828059</v>
      </c>
      <c r="AH374" s="7">
        <f t="shared" ca="1" si="188"/>
        <v>1213257.4058982949</v>
      </c>
      <c r="AI374" s="7">
        <f t="shared" ca="1" si="188"/>
        <v>1180658.439303909</v>
      </c>
      <c r="AJ374" s="7">
        <f t="shared" ca="1" si="188"/>
        <v>1145421.5229496937</v>
      </c>
      <c r="AK374" s="7">
        <f t="shared" ca="1" si="188"/>
        <v>1107483.5837309314</v>
      </c>
      <c r="AL374" s="7">
        <f t="shared" ca="1" si="188"/>
        <v>1066780.0579844634</v>
      </c>
      <c r="AM374" s="7">
        <f t="shared" ca="1" si="188"/>
        <v>1023244.856812807</v>
      </c>
    </row>
    <row r="375" spans="1:39" x14ac:dyDescent="0.2">
      <c r="A375" s="3"/>
      <c r="C375" s="7"/>
      <c r="D375" s="7"/>
      <c r="E375" s="23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</row>
    <row r="376" spans="1:39" x14ac:dyDescent="0.2">
      <c r="A376" s="15" t="s">
        <v>62</v>
      </c>
      <c r="B376" s="2" t="s">
        <v>1</v>
      </c>
      <c r="C376" s="7">
        <f t="shared" ref="C376:AM376" si="189">C3</f>
        <v>48</v>
      </c>
      <c r="D376" s="7">
        <f t="shared" si="189"/>
        <v>49</v>
      </c>
      <c r="E376" s="7">
        <f t="shared" si="189"/>
        <v>50</v>
      </c>
      <c r="F376" s="7">
        <f t="shared" si="189"/>
        <v>51</v>
      </c>
      <c r="G376" s="7">
        <f t="shared" si="189"/>
        <v>52</v>
      </c>
      <c r="H376" s="7">
        <f t="shared" si="189"/>
        <v>53</v>
      </c>
      <c r="I376" s="7">
        <f t="shared" si="189"/>
        <v>54</v>
      </c>
      <c r="J376" s="7">
        <f t="shared" si="189"/>
        <v>55</v>
      </c>
      <c r="K376" s="7">
        <f t="shared" si="189"/>
        <v>56</v>
      </c>
      <c r="L376" s="7">
        <f t="shared" si="189"/>
        <v>57</v>
      </c>
      <c r="M376" s="7">
        <f t="shared" si="189"/>
        <v>58</v>
      </c>
      <c r="N376" s="7">
        <f t="shared" si="189"/>
        <v>59</v>
      </c>
      <c r="O376" s="7">
        <f t="shared" si="189"/>
        <v>60</v>
      </c>
      <c r="P376" s="7">
        <f t="shared" si="189"/>
        <v>61</v>
      </c>
      <c r="Q376" s="7">
        <f t="shared" si="189"/>
        <v>62</v>
      </c>
      <c r="R376" s="7">
        <f t="shared" si="189"/>
        <v>63</v>
      </c>
      <c r="S376" s="7">
        <f t="shared" si="189"/>
        <v>64</v>
      </c>
      <c r="T376" s="7">
        <f t="shared" si="189"/>
        <v>65</v>
      </c>
      <c r="U376" s="7">
        <f t="shared" si="189"/>
        <v>66</v>
      </c>
      <c r="V376" s="7">
        <f t="shared" si="189"/>
        <v>67</v>
      </c>
      <c r="W376" s="7">
        <f t="shared" si="189"/>
        <v>68</v>
      </c>
      <c r="X376" s="7">
        <f t="shared" si="189"/>
        <v>69</v>
      </c>
      <c r="Y376" s="7">
        <f t="shared" si="189"/>
        <v>70</v>
      </c>
      <c r="Z376" s="7">
        <f t="shared" si="189"/>
        <v>71</v>
      </c>
      <c r="AA376" s="7">
        <f t="shared" si="189"/>
        <v>72</v>
      </c>
      <c r="AB376" s="7">
        <f t="shared" si="189"/>
        <v>73</v>
      </c>
      <c r="AC376" s="7">
        <f t="shared" si="189"/>
        <v>74</v>
      </c>
      <c r="AD376" s="7">
        <f t="shared" si="189"/>
        <v>75</v>
      </c>
      <c r="AE376" s="7">
        <f t="shared" si="189"/>
        <v>76</v>
      </c>
      <c r="AF376" s="7">
        <f t="shared" si="189"/>
        <v>77</v>
      </c>
      <c r="AG376" s="7">
        <f t="shared" si="189"/>
        <v>78</v>
      </c>
      <c r="AH376" s="7">
        <f t="shared" si="189"/>
        <v>79</v>
      </c>
      <c r="AI376" s="7">
        <f t="shared" si="189"/>
        <v>80</v>
      </c>
      <c r="AJ376" s="7">
        <f t="shared" si="189"/>
        <v>81</v>
      </c>
      <c r="AK376" s="7">
        <f t="shared" si="189"/>
        <v>82</v>
      </c>
      <c r="AL376" s="7">
        <f t="shared" si="189"/>
        <v>83</v>
      </c>
      <c r="AM376" s="7">
        <f t="shared" si="189"/>
        <v>84</v>
      </c>
    </row>
    <row r="377" spans="1:39" x14ac:dyDescent="0.2">
      <c r="A377" s="3" t="s">
        <v>60</v>
      </c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</row>
    <row r="378" spans="1:39" x14ac:dyDescent="0.2">
      <c r="A378" s="3" t="s">
        <v>8</v>
      </c>
      <c r="C378" s="7">
        <f t="shared" ref="C378:AM379" ca="1" si="190">C369</f>
        <v>66108.4375</v>
      </c>
      <c r="D378" s="7">
        <f t="shared" ca="1" si="190"/>
        <v>-3417.8546875000029</v>
      </c>
      <c r="E378" s="7">
        <f t="shared" ca="1" si="190"/>
        <v>-70356.817187499997</v>
      </c>
      <c r="F378" s="7">
        <f t="shared" ca="1" si="190"/>
        <v>-158215.57654312759</v>
      </c>
      <c r="G378" s="7">
        <f t="shared" ca="1" si="190"/>
        <v>-55000.299615775701</v>
      </c>
      <c r="H378" s="7">
        <f t="shared" ca="1" si="190"/>
        <v>-109203.65647556525</v>
      </c>
      <c r="I378" s="7">
        <f t="shared" ca="1" si="190"/>
        <v>-147351.90611103765</v>
      </c>
      <c r="J378" s="7">
        <f t="shared" ca="1" si="190"/>
        <v>-185525.10457026522</v>
      </c>
      <c r="K378" s="7">
        <f t="shared" ca="1" si="190"/>
        <v>-241511.31356787487</v>
      </c>
      <c r="L378" s="7">
        <f t="shared" ca="1" si="190"/>
        <v>-215999.45705975813</v>
      </c>
      <c r="M378" s="7">
        <f t="shared" ca="1" si="190"/>
        <v>-284257.330553559</v>
      </c>
      <c r="N378" s="7">
        <f t="shared" ca="1" si="190"/>
        <v>-304153.21090172138</v>
      </c>
      <c r="O378" s="7">
        <f t="shared" ca="1" si="190"/>
        <v>-324331.06686245633</v>
      </c>
      <c r="P378" s="7">
        <f t="shared" ca="1" si="190"/>
        <v>-344791.48518419417</v>
      </c>
      <c r="Q378" s="7">
        <f t="shared" ca="1" si="190"/>
        <v>-365534.87340481958</v>
      </c>
      <c r="R378" s="7">
        <f t="shared" ca="1" si="190"/>
        <v>-386561.44955503009</v>
      </c>
      <c r="S378" s="7">
        <f t="shared" ca="1" si="190"/>
        <v>-407871.23142978735</v>
      </c>
      <c r="T378" s="7">
        <f t="shared" ca="1" si="190"/>
        <v>-412421.90088664548</v>
      </c>
      <c r="U378" s="7">
        <f t="shared" ca="1" si="190"/>
        <v>-409030.81907862029</v>
      </c>
      <c r="V378" s="7">
        <f t="shared" ca="1" si="190"/>
        <v>-405290.019080239</v>
      </c>
      <c r="W378" s="7">
        <f t="shared" ca="1" si="190"/>
        <v>-401182.80970238801</v>
      </c>
      <c r="X378" s="7">
        <f t="shared" ca="1" si="190"/>
        <v>-396691.84402919537</v>
      </c>
      <c r="Y378" s="7">
        <f t="shared" ca="1" si="190"/>
        <v>-412457.95264241181</v>
      </c>
      <c r="Z378" s="7">
        <f t="shared" ca="1" si="190"/>
        <v>-428320.02037795464</v>
      </c>
      <c r="AA378" s="7">
        <f t="shared" ca="1" si="190"/>
        <v>-444271.50040609192</v>
      </c>
      <c r="AB378" s="7">
        <f t="shared" ca="1" si="190"/>
        <v>-460305.41385211475</v>
      </c>
      <c r="AC378" s="7">
        <f t="shared" ca="1" si="190"/>
        <v>-476414.33094398573</v>
      </c>
      <c r="AD378" s="7">
        <f t="shared" ca="1" si="190"/>
        <v>-492590.35144714196</v>
      </c>
      <c r="AE378" s="7">
        <f t="shared" ca="1" si="190"/>
        <v>-498842.60926759918</v>
      </c>
      <c r="AF378" s="7">
        <f t="shared" ca="1" si="190"/>
        <v>-504895.11478903121</v>
      </c>
      <c r="AG378" s="7">
        <f t="shared" ca="1" si="190"/>
        <v>-510732.19244162634</v>
      </c>
      <c r="AH378" s="7">
        <f t="shared" ca="1" si="190"/>
        <v>-516337.45431345748</v>
      </c>
      <c r="AI378" s="7">
        <f t="shared" ca="1" si="190"/>
        <v>-521693.77272834309</v>
      </c>
      <c r="AJ378" s="7">
        <f t="shared" ca="1" si="190"/>
        <v>-526783.25184974738</v>
      </c>
      <c r="AK378" s="7">
        <f t="shared" ca="1" si="190"/>
        <v>-531587.19827771769</v>
      </c>
      <c r="AL378" s="7">
        <f t="shared" ca="1" si="190"/>
        <v>-536086.09060477407</v>
      </c>
      <c r="AM378" s="7">
        <f t="shared" ca="1" si="190"/>
        <v>-540259.54789554526</v>
      </c>
    </row>
    <row r="379" spans="1:39" x14ac:dyDescent="0.2">
      <c r="A379" s="3" t="s">
        <v>27</v>
      </c>
      <c r="C379" s="7">
        <f t="shared" ca="1" si="190"/>
        <v>1680400.325439143</v>
      </c>
      <c r="D379" s="7">
        <f t="shared" ca="1" si="190"/>
        <v>1664531.4855591119</v>
      </c>
      <c r="E379" s="7">
        <f t="shared" ca="1" si="190"/>
        <v>1663582.8195843792</v>
      </c>
      <c r="F379" s="7">
        <f t="shared" ca="1" si="190"/>
        <v>1640416.219770768</v>
      </c>
      <c r="G379" s="7">
        <f t="shared" ca="1" si="190"/>
        <v>1560247.5421712503</v>
      </c>
      <c r="H379" s="7">
        <f t="shared" ca="1" si="190"/>
        <v>1562451.0561380617</v>
      </c>
      <c r="I379" s="7">
        <f t="shared" ca="1" si="190"/>
        <v>1564615.6975610044</v>
      </c>
      <c r="J379" s="7">
        <f t="shared" ca="1" si="190"/>
        <v>1572943.3637150936</v>
      </c>
      <c r="K379" s="7">
        <f t="shared" ca="1" si="190"/>
        <v>1564525.940162767</v>
      </c>
      <c r="L379" s="7">
        <f t="shared" ca="1" si="190"/>
        <v>1638357.0888425331</v>
      </c>
      <c r="M379" s="7">
        <f t="shared" ca="1" si="190"/>
        <v>1615456.8604003708</v>
      </c>
      <c r="N379" s="7">
        <f t="shared" ca="1" si="190"/>
        <v>1636022.7933244894</v>
      </c>
      <c r="O379" s="7">
        <f t="shared" ca="1" si="190"/>
        <v>1662679.0759724905</v>
      </c>
      <c r="P379" s="7">
        <f t="shared" ca="1" si="190"/>
        <v>1690904.1216785647</v>
      </c>
      <c r="Q379" s="7">
        <f t="shared" ca="1" si="190"/>
        <v>1720728.2562583312</v>
      </c>
      <c r="R379" s="7">
        <f t="shared" ca="1" si="190"/>
        <v>1754424.6338430315</v>
      </c>
      <c r="S379" s="7">
        <f t="shared" ca="1" si="190"/>
        <v>1790030.0561917427</v>
      </c>
      <c r="T379" s="7">
        <f t="shared" ca="1" si="190"/>
        <v>1844645.0907033004</v>
      </c>
      <c r="U379" s="7">
        <f t="shared" ca="1" si="190"/>
        <v>1909514.498151449</v>
      </c>
      <c r="V379" s="7">
        <f t="shared" ca="1" si="190"/>
        <v>1961817.2878751613</v>
      </c>
      <c r="W379" s="7">
        <f t="shared" ca="1" si="190"/>
        <v>2032180.0221770538</v>
      </c>
      <c r="X379" s="7">
        <f t="shared" ca="1" si="190"/>
        <v>2105568.6367935585</v>
      </c>
      <c r="Y379" s="7">
        <f t="shared" ca="1" si="190"/>
        <v>2160013.4145792569</v>
      </c>
      <c r="Z379" s="7">
        <f t="shared" ca="1" si="190"/>
        <v>2216951.6407860694</v>
      </c>
      <c r="AA379" s="7">
        <f t="shared" ca="1" si="190"/>
        <v>2251769.3078602767</v>
      </c>
      <c r="AB379" s="7">
        <f t="shared" ca="1" si="190"/>
        <v>2310814.8408600721</v>
      </c>
      <c r="AC379" s="7">
        <f t="shared" ca="1" si="190"/>
        <v>2372314.9672979498</v>
      </c>
      <c r="AD379" s="7">
        <f t="shared" ca="1" si="190"/>
        <v>2436344.3622352658</v>
      </c>
      <c r="AE379" s="7">
        <f t="shared" ca="1" si="190"/>
        <v>2512963.5021171784</v>
      </c>
      <c r="AF379" s="7">
        <f t="shared" ca="1" si="190"/>
        <v>2592520.8892716188</v>
      </c>
      <c r="AG379" s="7">
        <f t="shared" ca="1" si="190"/>
        <v>2675107.6854528324</v>
      </c>
      <c r="AH379" s="7">
        <f t="shared" ca="1" si="190"/>
        <v>2762446.5800062721</v>
      </c>
      <c r="AI379" s="7">
        <f t="shared" ca="1" si="190"/>
        <v>2853230.4258343885</v>
      </c>
      <c r="AJ379" s="7">
        <f t="shared" ca="1" si="190"/>
        <v>2947584.8977903267</v>
      </c>
      <c r="AK379" s="7">
        <f t="shared" ca="1" si="190"/>
        <v>3045641.8932060651</v>
      </c>
      <c r="AL379" s="7">
        <f t="shared" ca="1" si="190"/>
        <v>3147539.8425024515</v>
      </c>
      <c r="AM379" s="7">
        <f t="shared" ca="1" si="190"/>
        <v>3253424.0416507251</v>
      </c>
    </row>
    <row r="380" spans="1:39" x14ac:dyDescent="0.2">
      <c r="A380" s="3" t="s">
        <v>61</v>
      </c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</row>
    <row r="381" spans="1:39" x14ac:dyDescent="0.2">
      <c r="A381" s="16" t="s">
        <v>8</v>
      </c>
      <c r="C381" s="7">
        <f ca="1">C373</f>
        <v>113060.11021238755</v>
      </c>
      <c r="D381" s="7">
        <f t="shared" ref="D381:AM382" ca="1" si="191">D373</f>
        <v>124803.86573151383</v>
      </c>
      <c r="E381" s="7">
        <f t="shared" ca="1" si="191"/>
        <v>215269.77766792092</v>
      </c>
      <c r="F381" s="7">
        <f t="shared" ca="1" si="191"/>
        <v>127404.79749267877</v>
      </c>
      <c r="G381" s="7">
        <f t="shared" ca="1" si="191"/>
        <v>232914.95575458009</v>
      </c>
      <c r="H381" s="7">
        <f t="shared" ca="1" si="191"/>
        <v>179529.97572023471</v>
      </c>
      <c r="I381" s="7">
        <f t="shared" ca="1" si="191"/>
        <v>141164.21383968444</v>
      </c>
      <c r="J381" s="7">
        <f t="shared" ca="1" si="191"/>
        <v>229275.45457262834</v>
      </c>
      <c r="K381" s="7">
        <f t="shared" ca="1" si="191"/>
        <v>168281.8899313185</v>
      </c>
      <c r="L381" s="7">
        <f t="shared" ca="1" si="191"/>
        <v>188926.09569615126</v>
      </c>
      <c r="M381" s="7">
        <f t="shared" ca="1" si="191"/>
        <v>113941.99340012993</v>
      </c>
      <c r="N381" s="7">
        <f t="shared" ca="1" si="191"/>
        <v>86292.921153602525</v>
      </c>
      <c r="O381" s="7">
        <f t="shared" ca="1" si="191"/>
        <v>242268.67503206589</v>
      </c>
      <c r="P381" s="7">
        <f t="shared" ca="1" si="191"/>
        <v>207977.80442793126</v>
      </c>
      <c r="Q381" s="7">
        <f t="shared" ca="1" si="191"/>
        <v>172198.14054807866</v>
      </c>
      <c r="R381" s="7">
        <f t="shared" ca="1" si="191"/>
        <v>134521.67427947966</v>
      </c>
      <c r="S381" s="7">
        <f t="shared" ca="1" si="191"/>
        <v>94907.310078202689</v>
      </c>
      <c r="T381" s="7">
        <f t="shared" ca="1" si="191"/>
        <v>70781.292385504436</v>
      </c>
      <c r="U381" s="7">
        <f t="shared" ca="1" si="191"/>
        <v>126235.8923856169</v>
      </c>
      <c r="V381" s="7">
        <f t="shared" ca="1" si="191"/>
        <v>109930.43195727481</v>
      </c>
      <c r="W381" s="7">
        <f t="shared" ca="1" si="191"/>
        <v>92915.162745274181</v>
      </c>
      <c r="X381" s="7">
        <f t="shared" ca="1" si="191"/>
        <v>429449.71137728752</v>
      </c>
      <c r="Y381" s="7">
        <f t="shared" ca="1" si="191"/>
        <v>389003.42556395108</v>
      </c>
      <c r="Z381" s="7">
        <f t="shared" ca="1" si="191"/>
        <v>346330.5317996596</v>
      </c>
      <c r="AA381" s="7">
        <f t="shared" ca="1" si="191"/>
        <v>301181.74853418698</v>
      </c>
      <c r="AB381" s="7">
        <f t="shared" ca="1" si="191"/>
        <v>253500.12976516303</v>
      </c>
      <c r="AC381" s="7">
        <f t="shared" ca="1" si="191"/>
        <v>203227.45437721393</v>
      </c>
      <c r="AD381" s="7">
        <f t="shared" ca="1" si="191"/>
        <v>150304.19872024725</v>
      </c>
      <c r="AE381" s="7">
        <f t="shared" ca="1" si="191"/>
        <v>104901.54560701107</v>
      </c>
      <c r="AF381" s="7">
        <f t="shared" ca="1" si="191"/>
        <v>668643.02699931455</v>
      </c>
      <c r="AG381" s="7">
        <f t="shared" ca="1" si="191"/>
        <v>622861.64064564393</v>
      </c>
      <c r="AH381" s="7">
        <f t="shared" ca="1" si="191"/>
        <v>574226.45540501818</v>
      </c>
      <c r="AI381" s="7">
        <f t="shared" ca="1" si="191"/>
        <v>522456.56029583386</v>
      </c>
      <c r="AJ381" s="7">
        <f t="shared" ca="1" si="191"/>
        <v>467473.58757137647</v>
      </c>
      <c r="AK381" s="7">
        <f t="shared" ca="1" si="191"/>
        <v>409197.2102912647</v>
      </c>
      <c r="AL381" s="7">
        <f t="shared" ca="1" si="191"/>
        <v>347545.09334160667</v>
      </c>
      <c r="AM381" s="95">
        <f t="shared" ca="1" si="191"/>
        <v>282432.84323066456</v>
      </c>
    </row>
    <row r="382" spans="1:39" x14ac:dyDescent="0.2">
      <c r="A382" s="16" t="s">
        <v>27</v>
      </c>
      <c r="C382" s="7">
        <f ca="1">C374</f>
        <v>1680366.7130431491</v>
      </c>
      <c r="D382" s="7">
        <f t="shared" ca="1" si="191"/>
        <v>1667190.9367397714</v>
      </c>
      <c r="E382" s="7">
        <f t="shared" ca="1" si="191"/>
        <v>1645166.3681036141</v>
      </c>
      <c r="F382" s="7">
        <f t="shared" ca="1" si="191"/>
        <v>1611443.9333055357</v>
      </c>
      <c r="G382" s="7">
        <f t="shared" ca="1" si="191"/>
        <v>1522956.5229314421</v>
      </c>
      <c r="H382" s="7">
        <f t="shared" ca="1" si="191"/>
        <v>1515390.0430859807</v>
      </c>
      <c r="I382" s="7">
        <f t="shared" ca="1" si="191"/>
        <v>1519848.6980156095</v>
      </c>
      <c r="J382" s="7">
        <f t="shared" ca="1" si="191"/>
        <v>1495829.034361904</v>
      </c>
      <c r="K382" s="7">
        <f t="shared" ca="1" si="191"/>
        <v>1469706.9770001234</v>
      </c>
      <c r="L382" s="7">
        <f t="shared" ca="1" si="191"/>
        <v>1525389.7433406441</v>
      </c>
      <c r="M382" s="7">
        <f t="shared" ca="1" si="191"/>
        <v>1481766.4663496837</v>
      </c>
      <c r="N382" s="7">
        <f t="shared" ca="1" si="191"/>
        <v>1486855.6983735827</v>
      </c>
      <c r="O382" s="7">
        <f t="shared" ca="1" si="191"/>
        <v>1458308.4740864928</v>
      </c>
      <c r="P382" s="7">
        <f t="shared" ca="1" si="191"/>
        <v>1453011.2694529414</v>
      </c>
      <c r="Q382" s="7">
        <f t="shared" ca="1" si="191"/>
        <v>1447469.4579228421</v>
      </c>
      <c r="R382" s="7">
        <f t="shared" ca="1" si="191"/>
        <v>1441293.6371545389</v>
      </c>
      <c r="S382" s="7">
        <f t="shared" ca="1" si="191"/>
        <v>1434462.8125196141</v>
      </c>
      <c r="T382" s="7">
        <f t="shared" ca="1" si="191"/>
        <v>1444424.8215462533</v>
      </c>
      <c r="U382" s="7">
        <f t="shared" ca="1" si="191"/>
        <v>1466494.7570549902</v>
      </c>
      <c r="V382" s="7">
        <f t="shared" ca="1" si="191"/>
        <v>1490397.0625667293</v>
      </c>
      <c r="W382" s="7">
        <f t="shared" ca="1" si="191"/>
        <v>1514795.7922730122</v>
      </c>
      <c r="X382" s="7">
        <f t="shared" ca="1" si="191"/>
        <v>1475547.6031012663</v>
      </c>
      <c r="Y382" s="7">
        <f t="shared" ca="1" si="191"/>
        <v>1466484.2540396494</v>
      </c>
      <c r="Z382" s="7">
        <f t="shared" ca="1" si="191"/>
        <v>1456135.7851296291</v>
      </c>
      <c r="AA382" s="7">
        <f t="shared" ca="1" si="191"/>
        <v>1444281.1594640552</v>
      </c>
      <c r="AB382" s="7">
        <f t="shared" ca="1" si="191"/>
        <v>1430892.5230229276</v>
      </c>
      <c r="AC382" s="7">
        <f t="shared" ca="1" si="191"/>
        <v>1415941.6194327115</v>
      </c>
      <c r="AD382" s="7">
        <f t="shared" ca="1" si="191"/>
        <v>1399399.7887274097</v>
      </c>
      <c r="AE382" s="7">
        <f t="shared" ca="1" si="191"/>
        <v>1391470.0033143885</v>
      </c>
      <c r="AF382" s="7">
        <f t="shared" ca="1" si="191"/>
        <v>1270990.9867441319</v>
      </c>
      <c r="AG382" s="7">
        <f t="shared" ca="1" si="191"/>
        <v>1243280.0391828059</v>
      </c>
      <c r="AH382" s="7">
        <f t="shared" ca="1" si="191"/>
        <v>1213257.4058982949</v>
      </c>
      <c r="AI382" s="7">
        <f t="shared" ca="1" si="191"/>
        <v>1180658.439303909</v>
      </c>
      <c r="AJ382" s="7">
        <f t="shared" ca="1" si="191"/>
        <v>1145421.5229496937</v>
      </c>
      <c r="AK382" s="7">
        <f t="shared" ca="1" si="191"/>
        <v>1107483.5837309314</v>
      </c>
      <c r="AL382" s="7">
        <f t="shared" ca="1" si="191"/>
        <v>1066780.0579844634</v>
      </c>
      <c r="AM382" s="96">
        <f t="shared" ca="1" si="191"/>
        <v>1023244.856812807</v>
      </c>
    </row>
    <row r="383" spans="1:39" x14ac:dyDescent="0.2"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</row>
    <row r="384" spans="1:39" x14ac:dyDescent="0.2">
      <c r="A384" s="16" t="s">
        <v>177</v>
      </c>
      <c r="C384" s="7">
        <f t="shared" ref="C384:AM384" si="192">buffer</f>
        <v>50000</v>
      </c>
      <c r="D384" s="7">
        <f t="shared" si="192"/>
        <v>50000</v>
      </c>
      <c r="E384" s="7">
        <f t="shared" si="192"/>
        <v>50000</v>
      </c>
      <c r="F384" s="7">
        <f t="shared" si="192"/>
        <v>50000</v>
      </c>
      <c r="G384" s="7">
        <f t="shared" si="192"/>
        <v>50000</v>
      </c>
      <c r="H384" s="7">
        <f t="shared" si="192"/>
        <v>50000</v>
      </c>
      <c r="I384" s="7">
        <f t="shared" si="192"/>
        <v>50000</v>
      </c>
      <c r="J384" s="7">
        <f t="shared" si="192"/>
        <v>50000</v>
      </c>
      <c r="K384" s="7">
        <f t="shared" si="192"/>
        <v>50000</v>
      </c>
      <c r="L384" s="7">
        <f t="shared" si="192"/>
        <v>50000</v>
      </c>
      <c r="M384" s="7">
        <f t="shared" si="192"/>
        <v>50000</v>
      </c>
      <c r="N384" s="7">
        <f t="shared" si="192"/>
        <v>50000</v>
      </c>
      <c r="O384" s="7">
        <f t="shared" si="192"/>
        <v>50000</v>
      </c>
      <c r="P384" s="7">
        <f t="shared" si="192"/>
        <v>50000</v>
      </c>
      <c r="Q384" s="7">
        <f t="shared" si="192"/>
        <v>50000</v>
      </c>
      <c r="R384" s="7">
        <f t="shared" si="192"/>
        <v>50000</v>
      </c>
      <c r="S384" s="7">
        <f t="shared" si="192"/>
        <v>50000</v>
      </c>
      <c r="T384" s="7">
        <f t="shared" si="192"/>
        <v>50000</v>
      </c>
      <c r="U384" s="7">
        <f t="shared" si="192"/>
        <v>50000</v>
      </c>
      <c r="V384" s="7">
        <f t="shared" si="192"/>
        <v>50000</v>
      </c>
      <c r="W384" s="7">
        <f t="shared" si="192"/>
        <v>50000</v>
      </c>
      <c r="X384" s="7">
        <f t="shared" si="192"/>
        <v>50000</v>
      </c>
      <c r="Y384" s="7">
        <f t="shared" si="192"/>
        <v>50000</v>
      </c>
      <c r="Z384" s="7">
        <f t="shared" si="192"/>
        <v>50000</v>
      </c>
      <c r="AA384" s="7">
        <f t="shared" si="192"/>
        <v>50000</v>
      </c>
      <c r="AB384" s="7">
        <f t="shared" si="192"/>
        <v>50000</v>
      </c>
      <c r="AC384" s="7">
        <f t="shared" si="192"/>
        <v>50000</v>
      </c>
      <c r="AD384" s="7">
        <f t="shared" si="192"/>
        <v>50000</v>
      </c>
      <c r="AE384" s="7">
        <f t="shared" si="192"/>
        <v>50000</v>
      </c>
      <c r="AF384" s="7">
        <f t="shared" si="192"/>
        <v>50000</v>
      </c>
      <c r="AG384" s="7">
        <f t="shared" si="192"/>
        <v>50000</v>
      </c>
      <c r="AH384" s="7">
        <f t="shared" si="192"/>
        <v>50000</v>
      </c>
      <c r="AI384" s="7">
        <f t="shared" si="192"/>
        <v>50000</v>
      </c>
      <c r="AJ384" s="7">
        <f t="shared" si="192"/>
        <v>50000</v>
      </c>
      <c r="AK384" s="7">
        <f t="shared" si="192"/>
        <v>50000</v>
      </c>
      <c r="AL384" s="7">
        <f t="shared" si="192"/>
        <v>50000</v>
      </c>
      <c r="AM384" s="7">
        <f t="shared" si="192"/>
        <v>50000</v>
      </c>
    </row>
    <row r="385" spans="1:39" x14ac:dyDescent="0.2">
      <c r="A385" s="16" t="s">
        <v>175</v>
      </c>
      <c r="C385" s="7">
        <f t="shared" ref="C385:AM385" si="193">legacy</f>
        <v>1000000</v>
      </c>
      <c r="D385" s="7">
        <f t="shared" si="193"/>
        <v>1000000</v>
      </c>
      <c r="E385" s="7">
        <f t="shared" si="193"/>
        <v>1000000</v>
      </c>
      <c r="F385" s="7">
        <f t="shared" si="193"/>
        <v>1000000</v>
      </c>
      <c r="G385" s="7">
        <f t="shared" si="193"/>
        <v>1000000</v>
      </c>
      <c r="H385" s="7">
        <f t="shared" si="193"/>
        <v>1000000</v>
      </c>
      <c r="I385" s="7">
        <f t="shared" si="193"/>
        <v>1000000</v>
      </c>
      <c r="J385" s="7">
        <f t="shared" si="193"/>
        <v>1000000</v>
      </c>
      <c r="K385" s="7">
        <f t="shared" si="193"/>
        <v>1000000</v>
      </c>
      <c r="L385" s="7">
        <f t="shared" si="193"/>
        <v>1000000</v>
      </c>
      <c r="M385" s="7">
        <f t="shared" si="193"/>
        <v>1000000</v>
      </c>
      <c r="N385" s="7">
        <f t="shared" si="193"/>
        <v>1000000</v>
      </c>
      <c r="O385" s="7">
        <f t="shared" si="193"/>
        <v>1000000</v>
      </c>
      <c r="P385" s="7">
        <f t="shared" si="193"/>
        <v>1000000</v>
      </c>
      <c r="Q385" s="7">
        <f t="shared" si="193"/>
        <v>1000000</v>
      </c>
      <c r="R385" s="7">
        <f t="shared" si="193"/>
        <v>1000000</v>
      </c>
      <c r="S385" s="7">
        <f t="shared" si="193"/>
        <v>1000000</v>
      </c>
      <c r="T385" s="7">
        <f t="shared" si="193"/>
        <v>1000000</v>
      </c>
      <c r="U385" s="7">
        <f t="shared" si="193"/>
        <v>1000000</v>
      </c>
      <c r="V385" s="7">
        <f t="shared" si="193"/>
        <v>1000000</v>
      </c>
      <c r="W385" s="7">
        <f t="shared" si="193"/>
        <v>1000000</v>
      </c>
      <c r="X385" s="7">
        <f t="shared" si="193"/>
        <v>1000000</v>
      </c>
      <c r="Y385" s="7">
        <f t="shared" si="193"/>
        <v>1000000</v>
      </c>
      <c r="Z385" s="7">
        <f t="shared" si="193"/>
        <v>1000000</v>
      </c>
      <c r="AA385" s="7">
        <f t="shared" si="193"/>
        <v>1000000</v>
      </c>
      <c r="AB385" s="7">
        <f t="shared" si="193"/>
        <v>1000000</v>
      </c>
      <c r="AC385" s="7">
        <f t="shared" si="193"/>
        <v>1000000</v>
      </c>
      <c r="AD385" s="7">
        <f t="shared" si="193"/>
        <v>1000000</v>
      </c>
      <c r="AE385" s="7">
        <f t="shared" si="193"/>
        <v>1000000</v>
      </c>
      <c r="AF385" s="7">
        <f t="shared" si="193"/>
        <v>1000000</v>
      </c>
      <c r="AG385" s="7">
        <f t="shared" si="193"/>
        <v>1000000</v>
      </c>
      <c r="AH385" s="7">
        <f t="shared" si="193"/>
        <v>1000000</v>
      </c>
      <c r="AI385" s="7">
        <f t="shared" si="193"/>
        <v>1000000</v>
      </c>
      <c r="AJ385" s="7">
        <f t="shared" si="193"/>
        <v>1000000</v>
      </c>
      <c r="AK385" s="7">
        <f t="shared" si="193"/>
        <v>1000000</v>
      </c>
      <c r="AL385" s="7">
        <f t="shared" si="193"/>
        <v>1000000</v>
      </c>
      <c r="AM385" s="7">
        <f t="shared" si="193"/>
        <v>1000000</v>
      </c>
    </row>
    <row r="386" spans="1:39" x14ac:dyDescent="0.2"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</row>
    <row r="387" spans="1:39" x14ac:dyDescent="0.2"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</row>
    <row r="388" spans="1:39" x14ac:dyDescent="0.2"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</row>
    <row r="389" spans="1:39" x14ac:dyDescent="0.2"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</row>
    <row r="390" spans="1:39" x14ac:dyDescent="0.2"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</row>
    <row r="391" spans="1:39" x14ac:dyDescent="0.2"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</row>
    <row r="392" spans="1:39" x14ac:dyDescent="0.2"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</row>
    <row r="393" spans="1:39" x14ac:dyDescent="0.2"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</row>
    <row r="394" spans="1:39" x14ac:dyDescent="0.2"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</row>
    <row r="395" spans="1:39" x14ac:dyDescent="0.2"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</row>
    <row r="396" spans="1:39" x14ac:dyDescent="0.2"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</row>
    <row r="397" spans="1:39" x14ac:dyDescent="0.2"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</row>
    <row r="398" spans="1:39" x14ac:dyDescent="0.2"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</row>
    <row r="399" spans="1:39" x14ac:dyDescent="0.2"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</row>
    <row r="400" spans="1:39" x14ac:dyDescent="0.2"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</row>
    <row r="401" spans="3:39" x14ac:dyDescent="0.2"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</row>
    <row r="402" spans="3:39" x14ac:dyDescent="0.2"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</row>
    <row r="403" spans="3:39" x14ac:dyDescent="0.2"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</row>
    <row r="404" spans="3:39" x14ac:dyDescent="0.2"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</row>
    <row r="405" spans="3:39" x14ac:dyDescent="0.2"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</row>
    <row r="406" spans="3:39" x14ac:dyDescent="0.2"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</row>
    <row r="407" spans="3:39" x14ac:dyDescent="0.2"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</row>
    <row r="408" spans="3:39" x14ac:dyDescent="0.2"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</row>
    <row r="409" spans="3:39" x14ac:dyDescent="0.2"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</row>
    <row r="410" spans="3:39" x14ac:dyDescent="0.2"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</row>
    <row r="411" spans="3:39" x14ac:dyDescent="0.2"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</row>
    <row r="412" spans="3:39" x14ac:dyDescent="0.2"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</row>
    <row r="413" spans="3:39" x14ac:dyDescent="0.2"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</row>
    <row r="414" spans="3:39" x14ac:dyDescent="0.2"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</row>
    <row r="415" spans="3:39" x14ac:dyDescent="0.2"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</row>
    <row r="416" spans="3:39" x14ac:dyDescent="0.2"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</row>
    <row r="417" spans="3:39" x14ac:dyDescent="0.2"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</row>
    <row r="418" spans="3:39" x14ac:dyDescent="0.2"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</row>
    <row r="419" spans="3:39" x14ac:dyDescent="0.2"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</row>
    <row r="420" spans="3:39" x14ac:dyDescent="0.2"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</row>
    <row r="421" spans="3:39" x14ac:dyDescent="0.2"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</row>
    <row r="422" spans="3:39" x14ac:dyDescent="0.2"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</row>
    <row r="423" spans="3:39" x14ac:dyDescent="0.2"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</row>
    <row r="424" spans="3:39" x14ac:dyDescent="0.2"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</row>
    <row r="425" spans="3:39" x14ac:dyDescent="0.2"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</row>
    <row r="426" spans="3:39" x14ac:dyDescent="0.2"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</row>
    <row r="427" spans="3:39" x14ac:dyDescent="0.2"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</row>
    <row r="428" spans="3:39" x14ac:dyDescent="0.2"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</row>
    <row r="429" spans="3:39" x14ac:dyDescent="0.2"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</row>
    <row r="430" spans="3:39" x14ac:dyDescent="0.2"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</row>
    <row r="431" spans="3:39" x14ac:dyDescent="0.2"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</row>
    <row r="432" spans="3:39" x14ac:dyDescent="0.2"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</row>
    <row r="433" spans="3:39" x14ac:dyDescent="0.2"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</row>
    <row r="434" spans="3:39" x14ac:dyDescent="0.2"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</row>
    <row r="435" spans="3:39" x14ac:dyDescent="0.2"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</row>
    <row r="436" spans="3:39" x14ac:dyDescent="0.2"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</row>
    <row r="437" spans="3:39" x14ac:dyDescent="0.2"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</row>
    <row r="438" spans="3:39" x14ac:dyDescent="0.2"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</row>
    <row r="439" spans="3:39" x14ac:dyDescent="0.2"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</row>
    <row r="440" spans="3:39" x14ac:dyDescent="0.2"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</row>
    <row r="441" spans="3:39" x14ac:dyDescent="0.2"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</row>
    <row r="442" spans="3:39" x14ac:dyDescent="0.2"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</row>
    <row r="443" spans="3:39" x14ac:dyDescent="0.2"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</row>
    <row r="444" spans="3:39" x14ac:dyDescent="0.2"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</row>
    <row r="445" spans="3:39" x14ac:dyDescent="0.2"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</row>
    <row r="446" spans="3:39" x14ac:dyDescent="0.2"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</row>
    <row r="447" spans="3:39" x14ac:dyDescent="0.2"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</row>
    <row r="448" spans="3:39" x14ac:dyDescent="0.2"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</row>
    <row r="449" spans="3:39" x14ac:dyDescent="0.2"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</row>
    <row r="450" spans="3:39" x14ac:dyDescent="0.2"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</row>
    <row r="451" spans="3:39" x14ac:dyDescent="0.2"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</row>
    <row r="452" spans="3:39" x14ac:dyDescent="0.2"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</row>
    <row r="453" spans="3:39" x14ac:dyDescent="0.2"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</row>
    <row r="454" spans="3:39" x14ac:dyDescent="0.2"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</row>
    <row r="455" spans="3:39" x14ac:dyDescent="0.2"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</row>
    <row r="456" spans="3:39" x14ac:dyDescent="0.2"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</row>
    <row r="457" spans="3:39" x14ac:dyDescent="0.2"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</row>
    <row r="458" spans="3:39" x14ac:dyDescent="0.2"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</row>
    <row r="459" spans="3:39" x14ac:dyDescent="0.2"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</row>
    <row r="460" spans="3:39" x14ac:dyDescent="0.2"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</row>
    <row r="461" spans="3:39" x14ac:dyDescent="0.2"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</row>
    <row r="462" spans="3:39" x14ac:dyDescent="0.2"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</row>
    <row r="463" spans="3:39" x14ac:dyDescent="0.2"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</row>
    <row r="464" spans="3:39" x14ac:dyDescent="0.2"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</row>
    <row r="465" spans="3:39" x14ac:dyDescent="0.2"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</row>
    <row r="466" spans="3:39" x14ac:dyDescent="0.2"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</row>
    <row r="467" spans="3:39" x14ac:dyDescent="0.2"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</row>
    <row r="468" spans="3:39" x14ac:dyDescent="0.2"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</row>
    <row r="469" spans="3:39" x14ac:dyDescent="0.2"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</row>
    <row r="470" spans="3:39" x14ac:dyDescent="0.2"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</row>
    <row r="471" spans="3:39" x14ac:dyDescent="0.2"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</row>
    <row r="472" spans="3:39" x14ac:dyDescent="0.2"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</row>
    <row r="473" spans="3:39" x14ac:dyDescent="0.2"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</row>
    <row r="474" spans="3:39" x14ac:dyDescent="0.2"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</row>
    <row r="475" spans="3:39" x14ac:dyDescent="0.2"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</row>
    <row r="476" spans="3:39" x14ac:dyDescent="0.2"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</row>
    <row r="477" spans="3:39" x14ac:dyDescent="0.2"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</row>
    <row r="478" spans="3:39" x14ac:dyDescent="0.2"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</row>
    <row r="479" spans="3:39" x14ac:dyDescent="0.2"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</row>
    <row r="480" spans="3:39" x14ac:dyDescent="0.2"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</row>
    <row r="481" spans="3:39" x14ac:dyDescent="0.2"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</row>
    <row r="482" spans="3:39" x14ac:dyDescent="0.2"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</row>
    <row r="483" spans="3:39" x14ac:dyDescent="0.2"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</row>
    <row r="484" spans="3:39" x14ac:dyDescent="0.2"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</row>
    <row r="485" spans="3:39" x14ac:dyDescent="0.2"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</row>
    <row r="486" spans="3:39" x14ac:dyDescent="0.2"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</row>
    <row r="487" spans="3:39" x14ac:dyDescent="0.2"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</row>
    <row r="488" spans="3:39" x14ac:dyDescent="0.2"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</row>
    <row r="489" spans="3:39" x14ac:dyDescent="0.2"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</row>
    <row r="490" spans="3:39" x14ac:dyDescent="0.2"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</row>
    <row r="491" spans="3:39" x14ac:dyDescent="0.2"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</row>
    <row r="492" spans="3:39" x14ac:dyDescent="0.2"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</row>
    <row r="493" spans="3:39" x14ac:dyDescent="0.2"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</row>
    <row r="494" spans="3:39" x14ac:dyDescent="0.2"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</row>
    <row r="495" spans="3:39" x14ac:dyDescent="0.2"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</row>
    <row r="496" spans="3:39" x14ac:dyDescent="0.2"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</row>
    <row r="497" spans="3:39" x14ac:dyDescent="0.2"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</row>
    <row r="498" spans="3:39" x14ac:dyDescent="0.2"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</row>
    <row r="499" spans="3:39" x14ac:dyDescent="0.2"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</row>
    <row r="500" spans="3:39" x14ac:dyDescent="0.2"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</row>
    <row r="501" spans="3:39" x14ac:dyDescent="0.2"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</row>
    <row r="502" spans="3:39" x14ac:dyDescent="0.2"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</row>
    <row r="503" spans="3:39" x14ac:dyDescent="0.2"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</row>
    <row r="504" spans="3:39" x14ac:dyDescent="0.2"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</row>
    <row r="505" spans="3:39" x14ac:dyDescent="0.2"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</row>
    <row r="506" spans="3:39" x14ac:dyDescent="0.2"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</row>
    <row r="507" spans="3:39" x14ac:dyDescent="0.2"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</row>
    <row r="508" spans="3:39" x14ac:dyDescent="0.2"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</row>
    <row r="509" spans="3:39" x14ac:dyDescent="0.2"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</row>
    <row r="510" spans="3:39" x14ac:dyDescent="0.2"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</row>
    <row r="511" spans="3:39" x14ac:dyDescent="0.2"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</row>
    <row r="512" spans="3:39" x14ac:dyDescent="0.2"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</row>
    <row r="513" spans="3:39" x14ac:dyDescent="0.2"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</row>
    <row r="514" spans="3:39" x14ac:dyDescent="0.2"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</row>
    <row r="515" spans="3:39" x14ac:dyDescent="0.2"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</row>
    <row r="516" spans="3:39" x14ac:dyDescent="0.2"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</row>
    <row r="517" spans="3:39" x14ac:dyDescent="0.2"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</row>
    <row r="518" spans="3:39" x14ac:dyDescent="0.2"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</row>
    <row r="519" spans="3:39" x14ac:dyDescent="0.2"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</row>
    <row r="520" spans="3:39" x14ac:dyDescent="0.2"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</row>
    <row r="521" spans="3:39" x14ac:dyDescent="0.2"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</row>
    <row r="522" spans="3:39" x14ac:dyDescent="0.2"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</row>
    <row r="523" spans="3:39" x14ac:dyDescent="0.2"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</row>
    <row r="524" spans="3:39" x14ac:dyDescent="0.2"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</row>
    <row r="525" spans="3:39" x14ac:dyDescent="0.2"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</row>
    <row r="526" spans="3:39" x14ac:dyDescent="0.2"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</row>
    <row r="527" spans="3:39" x14ac:dyDescent="0.2"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20</vt:i4>
      </vt:variant>
    </vt:vector>
  </HeadingPairs>
  <TitlesOfParts>
    <vt:vector size="24" baseType="lpstr">
      <vt:lpstr>Inputs</vt:lpstr>
      <vt:lpstr>Output</vt:lpstr>
      <vt:lpstr>RetNorm_Engine</vt:lpstr>
      <vt:lpstr>RetEarly_Engine</vt:lpstr>
      <vt:lpstr>A1inc</vt:lpstr>
      <vt:lpstr>A2inc</vt:lpstr>
      <vt:lpstr>A3inc</vt:lpstr>
      <vt:lpstr>A4inc</vt:lpstr>
      <vt:lpstr>A5inc</vt:lpstr>
      <vt:lpstr>AssVar</vt:lpstr>
      <vt:lpstr>buffer</vt:lpstr>
      <vt:lpstr>DCoth</vt:lpstr>
      <vt:lpstr>DCprop</vt:lpstr>
      <vt:lpstr>EndAge</vt:lpstr>
      <vt:lpstr>inf</vt:lpstr>
      <vt:lpstr>legacy</vt:lpstr>
      <vt:lpstr>MthOff</vt:lpstr>
      <vt:lpstr>MthRem</vt:lpstr>
      <vt:lpstr>princ</vt:lpstr>
      <vt:lpstr>ProRate</vt:lpstr>
      <vt:lpstr>RetAge</vt:lpstr>
      <vt:lpstr>rinc</vt:lpstr>
      <vt:lpstr>sincr</vt:lpstr>
      <vt:lpstr>stinc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Bonnici</dc:creator>
  <cp:lastModifiedBy>Kenneth Bonnici</cp:lastModifiedBy>
  <dcterms:created xsi:type="dcterms:W3CDTF">2026-01-26T20:28:02Z</dcterms:created>
  <dcterms:modified xsi:type="dcterms:W3CDTF">2026-04-04T19:50:16Z</dcterms:modified>
</cp:coreProperties>
</file>